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rajpawar/zcb-term-structure/excel/"/>
    </mc:Choice>
  </mc:AlternateContent>
  <xr:revisionPtr revIDLastSave="0" documentId="13_ncr:1_{309B2C6E-4B25-FC47-8C97-97ADF5FB2C5D}" xr6:coauthVersionLast="47" xr6:coauthVersionMax="47" xr10:uidLastSave="{00000000-0000-0000-0000-000000000000}"/>
  <bookViews>
    <workbookView xWindow="0" yWindow="680" windowWidth="34200" windowHeight="20380" xr2:uid="{00000000-000D-0000-FFFF-FFFF00000000}"/>
  </bookViews>
  <sheets>
    <sheet name="Data" sheetId="1" r:id="rId1"/>
    <sheet name="Bonds" sheetId="2" r:id="rId2"/>
    <sheet name="CashFlows" sheetId="3" r:id="rId3"/>
    <sheet name="Curve" sheetId="4" r:id="rId4"/>
    <sheet name="Notes" sheetId="5" r:id="rId5"/>
  </sheets>
  <definedNames>
    <definedName name="beta_0">Curve!$B$4</definedName>
    <definedName name="beta_1">Curve!$B$5</definedName>
    <definedName name="beta_2">Curve!$B$6</definedName>
    <definedName name="beta_3">Curve!$B$7</definedName>
    <definedName name="MinYears">Bonds!$B$5</definedName>
    <definedName name="Settle">Bonds!$B$3</definedName>
    <definedName name="tau_1">Curve!$B$8</definedName>
    <definedName name="tau_2">Curve!$B$9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4" l="1"/>
  <c r="B17" i="4"/>
  <c r="E360" i="2"/>
  <c r="D360" i="2"/>
  <c r="F360" i="2" s="1"/>
  <c r="C360" i="2"/>
  <c r="B360" i="2"/>
  <c r="B360" i="3" s="1"/>
  <c r="A360" i="2"/>
  <c r="A360" i="3" s="1"/>
  <c r="D360" i="3" s="1"/>
  <c r="E359" i="2"/>
  <c r="D359" i="2"/>
  <c r="F359" i="2" s="1"/>
  <c r="C359" i="2"/>
  <c r="B359" i="2"/>
  <c r="B359" i="3" s="1"/>
  <c r="A359" i="2"/>
  <c r="E358" i="2"/>
  <c r="D358" i="2"/>
  <c r="F358" i="2" s="1"/>
  <c r="C358" i="2"/>
  <c r="B358" i="2"/>
  <c r="B358" i="3" s="1"/>
  <c r="A358" i="2"/>
  <c r="F357" i="2"/>
  <c r="E357" i="2"/>
  <c r="D357" i="2"/>
  <c r="C357" i="2"/>
  <c r="B357" i="2"/>
  <c r="B357" i="3" s="1"/>
  <c r="A357" i="2"/>
  <c r="E356" i="2"/>
  <c r="D356" i="2"/>
  <c r="F356" i="2" s="1"/>
  <c r="C356" i="2"/>
  <c r="B356" i="2"/>
  <c r="B356" i="3" s="1"/>
  <c r="A356" i="2"/>
  <c r="A356" i="3" s="1"/>
  <c r="D356" i="3" s="1"/>
  <c r="E355" i="2"/>
  <c r="D355" i="2"/>
  <c r="F355" i="2" s="1"/>
  <c r="C355" i="2"/>
  <c r="B355" i="2"/>
  <c r="B355" i="3" s="1"/>
  <c r="A355" i="2"/>
  <c r="E354" i="2"/>
  <c r="D354" i="2"/>
  <c r="F354" i="2" s="1"/>
  <c r="C354" i="2"/>
  <c r="B354" i="2"/>
  <c r="A354" i="2"/>
  <c r="F353" i="2"/>
  <c r="E353" i="2"/>
  <c r="D353" i="2"/>
  <c r="C353" i="2"/>
  <c r="B353" i="2"/>
  <c r="B353" i="3" s="1"/>
  <c r="A353" i="2"/>
  <c r="A353" i="3" s="1"/>
  <c r="D353" i="3" s="1"/>
  <c r="E352" i="2"/>
  <c r="D352" i="2"/>
  <c r="F352" i="2" s="1"/>
  <c r="C352" i="2"/>
  <c r="B352" i="2"/>
  <c r="B352" i="3" s="1"/>
  <c r="A352" i="2"/>
  <c r="E351" i="2"/>
  <c r="D351" i="2"/>
  <c r="F351" i="2" s="1"/>
  <c r="C351" i="2"/>
  <c r="B351" i="2"/>
  <c r="B351" i="3" s="1"/>
  <c r="A351" i="2"/>
  <c r="A351" i="3" s="1"/>
  <c r="D351" i="3" s="1"/>
  <c r="E350" i="2"/>
  <c r="D350" i="2"/>
  <c r="F350" i="2" s="1"/>
  <c r="C350" i="2"/>
  <c r="B350" i="2"/>
  <c r="B350" i="3" s="1"/>
  <c r="A350" i="2"/>
  <c r="E349" i="2"/>
  <c r="D349" i="2"/>
  <c r="F349" i="2" s="1"/>
  <c r="C349" i="2"/>
  <c r="B349" i="2"/>
  <c r="B349" i="3" s="1"/>
  <c r="A349" i="2"/>
  <c r="A349" i="3" s="1"/>
  <c r="D349" i="3" s="1"/>
  <c r="E348" i="2"/>
  <c r="D348" i="2"/>
  <c r="F348" i="2" s="1"/>
  <c r="C348" i="2"/>
  <c r="B348" i="2"/>
  <c r="B348" i="3" s="1"/>
  <c r="A348" i="2"/>
  <c r="E347" i="2"/>
  <c r="D347" i="2"/>
  <c r="F347" i="2" s="1"/>
  <c r="C347" i="2"/>
  <c r="B347" i="2"/>
  <c r="B347" i="3" s="1"/>
  <c r="A347" i="2"/>
  <c r="A347" i="3" s="1"/>
  <c r="D347" i="3" s="1"/>
  <c r="F346" i="2"/>
  <c r="E346" i="2"/>
  <c r="D346" i="2"/>
  <c r="C346" i="2"/>
  <c r="B346" i="2"/>
  <c r="B346" i="3" s="1"/>
  <c r="A346" i="2"/>
  <c r="E345" i="2"/>
  <c r="D345" i="2"/>
  <c r="F345" i="2" s="1"/>
  <c r="C345" i="2"/>
  <c r="B345" i="2"/>
  <c r="B345" i="3" s="1"/>
  <c r="A345" i="2"/>
  <c r="A345" i="3" s="1"/>
  <c r="D345" i="3" s="1"/>
  <c r="E344" i="2"/>
  <c r="D344" i="2"/>
  <c r="F344" i="2" s="1"/>
  <c r="C344" i="2"/>
  <c r="B344" i="2"/>
  <c r="B344" i="3" s="1"/>
  <c r="A344" i="2"/>
  <c r="E343" i="2"/>
  <c r="D343" i="2"/>
  <c r="F343" i="2" s="1"/>
  <c r="C343" i="2"/>
  <c r="B343" i="2"/>
  <c r="B343" i="3" s="1"/>
  <c r="A343" i="2"/>
  <c r="A343" i="3" s="1"/>
  <c r="D343" i="3" s="1"/>
  <c r="E342" i="2"/>
  <c r="D342" i="2"/>
  <c r="F342" i="2" s="1"/>
  <c r="C342" i="2"/>
  <c r="B342" i="2"/>
  <c r="B342" i="3" s="1"/>
  <c r="A342" i="2"/>
  <c r="E341" i="2"/>
  <c r="D341" i="2"/>
  <c r="F341" i="2" s="1"/>
  <c r="C341" i="2"/>
  <c r="B341" i="2"/>
  <c r="B341" i="3" s="1"/>
  <c r="A341" i="2"/>
  <c r="A341" i="3" s="1"/>
  <c r="D341" i="3" s="1"/>
  <c r="E340" i="2"/>
  <c r="D340" i="2"/>
  <c r="F340" i="2" s="1"/>
  <c r="C340" i="2"/>
  <c r="B340" i="2"/>
  <c r="B340" i="3" s="1"/>
  <c r="A340" i="2"/>
  <c r="E339" i="2"/>
  <c r="D339" i="2"/>
  <c r="F339" i="2" s="1"/>
  <c r="C339" i="2"/>
  <c r="B339" i="2"/>
  <c r="B339" i="3" s="1"/>
  <c r="A339" i="2"/>
  <c r="A339" i="3" s="1"/>
  <c r="D339" i="3" s="1"/>
  <c r="E338" i="2"/>
  <c r="D338" i="2"/>
  <c r="F338" i="2" s="1"/>
  <c r="C338" i="2"/>
  <c r="B338" i="2"/>
  <c r="B338" i="3" s="1"/>
  <c r="A338" i="2"/>
  <c r="F337" i="2"/>
  <c r="E337" i="2"/>
  <c r="D337" i="2"/>
  <c r="C337" i="2"/>
  <c r="B337" i="2"/>
  <c r="B337" i="3" s="1"/>
  <c r="A337" i="2"/>
  <c r="A337" i="3" s="1"/>
  <c r="D337" i="3" s="1"/>
  <c r="E336" i="2"/>
  <c r="D336" i="2"/>
  <c r="F336" i="2" s="1"/>
  <c r="C336" i="2"/>
  <c r="B336" i="2"/>
  <c r="B336" i="3" s="1"/>
  <c r="A336" i="2"/>
  <c r="E335" i="2"/>
  <c r="D335" i="2"/>
  <c r="F335" i="2" s="1"/>
  <c r="C335" i="2"/>
  <c r="B335" i="2"/>
  <c r="B335" i="3" s="1"/>
  <c r="A335" i="2"/>
  <c r="A335" i="3" s="1"/>
  <c r="D335" i="3" s="1"/>
  <c r="E334" i="2"/>
  <c r="D334" i="2"/>
  <c r="F334" i="2" s="1"/>
  <c r="C334" i="2"/>
  <c r="B334" i="2"/>
  <c r="B334" i="3" s="1"/>
  <c r="A334" i="2"/>
  <c r="E333" i="2"/>
  <c r="D333" i="2"/>
  <c r="F333" i="2" s="1"/>
  <c r="C333" i="2"/>
  <c r="B333" i="2"/>
  <c r="B333" i="3" s="1"/>
  <c r="A333" i="2"/>
  <c r="A333" i="3" s="1"/>
  <c r="D333" i="3" s="1"/>
  <c r="E332" i="2"/>
  <c r="D332" i="2"/>
  <c r="F332" i="2" s="1"/>
  <c r="C332" i="2"/>
  <c r="B332" i="2"/>
  <c r="B332" i="3" s="1"/>
  <c r="A332" i="2"/>
  <c r="E331" i="2"/>
  <c r="D331" i="2"/>
  <c r="F331" i="2" s="1"/>
  <c r="C331" i="2"/>
  <c r="B331" i="2"/>
  <c r="B331" i="3" s="1"/>
  <c r="A331" i="2"/>
  <c r="A331" i="3" s="1"/>
  <c r="D331" i="3" s="1"/>
  <c r="E330" i="2"/>
  <c r="D330" i="2"/>
  <c r="F330" i="2" s="1"/>
  <c r="C330" i="2"/>
  <c r="B330" i="2"/>
  <c r="A330" i="2"/>
  <c r="E329" i="2"/>
  <c r="D329" i="2"/>
  <c r="F329" i="2" s="1"/>
  <c r="C329" i="2"/>
  <c r="B329" i="2"/>
  <c r="B329" i="3" s="1"/>
  <c r="A329" i="2"/>
  <c r="A329" i="3" s="1"/>
  <c r="D329" i="3" s="1"/>
  <c r="E328" i="2"/>
  <c r="D328" i="2"/>
  <c r="F328" i="2" s="1"/>
  <c r="C328" i="2"/>
  <c r="B328" i="2"/>
  <c r="B328" i="3" s="1"/>
  <c r="A328" i="2"/>
  <c r="F327" i="2"/>
  <c r="E327" i="2"/>
  <c r="D327" i="2"/>
  <c r="C327" i="2"/>
  <c r="B327" i="2"/>
  <c r="B327" i="3" s="1"/>
  <c r="A327" i="2"/>
  <c r="A327" i="3" s="1"/>
  <c r="D327" i="3" s="1"/>
  <c r="E326" i="2"/>
  <c r="D326" i="2"/>
  <c r="F326" i="2" s="1"/>
  <c r="C326" i="2"/>
  <c r="B326" i="2"/>
  <c r="B326" i="3" s="1"/>
  <c r="A326" i="2"/>
  <c r="E325" i="2"/>
  <c r="D325" i="2"/>
  <c r="F325" i="2" s="1"/>
  <c r="C325" i="2"/>
  <c r="B325" i="2"/>
  <c r="B325" i="3" s="1"/>
  <c r="A325" i="2"/>
  <c r="A325" i="3" s="1"/>
  <c r="D325" i="3" s="1"/>
  <c r="E324" i="2"/>
  <c r="D324" i="2"/>
  <c r="F324" i="2" s="1"/>
  <c r="C324" i="2"/>
  <c r="B324" i="2"/>
  <c r="B324" i="3" s="1"/>
  <c r="A324" i="2"/>
  <c r="E323" i="2"/>
  <c r="D323" i="2"/>
  <c r="F323" i="2" s="1"/>
  <c r="C323" i="2"/>
  <c r="B323" i="2"/>
  <c r="B323" i="3" s="1"/>
  <c r="A323" i="2"/>
  <c r="A323" i="3" s="1"/>
  <c r="D323" i="3" s="1"/>
  <c r="E322" i="2"/>
  <c r="D322" i="2"/>
  <c r="F322" i="2" s="1"/>
  <c r="C322" i="2"/>
  <c r="B322" i="2"/>
  <c r="B322" i="3" s="1"/>
  <c r="A322" i="2"/>
  <c r="F321" i="2"/>
  <c r="E321" i="2"/>
  <c r="D321" i="2"/>
  <c r="C321" i="2"/>
  <c r="B321" i="2"/>
  <c r="B321" i="3" s="1"/>
  <c r="A321" i="2"/>
  <c r="E320" i="2"/>
  <c r="D320" i="2"/>
  <c r="F320" i="2" s="1"/>
  <c r="C320" i="2"/>
  <c r="B320" i="2"/>
  <c r="A320" i="2"/>
  <c r="F319" i="2"/>
  <c r="E319" i="2"/>
  <c r="D319" i="2"/>
  <c r="C319" i="2"/>
  <c r="B319" i="2"/>
  <c r="B319" i="3" s="1"/>
  <c r="A319" i="2"/>
  <c r="A319" i="3" s="1"/>
  <c r="D319" i="3" s="1"/>
  <c r="E318" i="2"/>
  <c r="D318" i="2"/>
  <c r="F318" i="2" s="1"/>
  <c r="C318" i="2"/>
  <c r="B318" i="2"/>
  <c r="B318" i="3" s="1"/>
  <c r="A318" i="2"/>
  <c r="E317" i="2"/>
  <c r="D317" i="2"/>
  <c r="F317" i="2" s="1"/>
  <c r="C317" i="2"/>
  <c r="B317" i="2"/>
  <c r="B317" i="3" s="1"/>
  <c r="A317" i="2"/>
  <c r="A317" i="3" s="1"/>
  <c r="D317" i="3" s="1"/>
  <c r="F316" i="2"/>
  <c r="E316" i="2"/>
  <c r="D316" i="2"/>
  <c r="C316" i="2"/>
  <c r="B316" i="2"/>
  <c r="B316" i="3" s="1"/>
  <c r="A316" i="2"/>
  <c r="E315" i="2"/>
  <c r="D315" i="2"/>
  <c r="F315" i="2" s="1"/>
  <c r="C315" i="2"/>
  <c r="B315" i="2"/>
  <c r="B315" i="3" s="1"/>
  <c r="A315" i="2"/>
  <c r="A315" i="3" s="1"/>
  <c r="D315" i="3" s="1"/>
  <c r="E314" i="2"/>
  <c r="D314" i="2"/>
  <c r="F314" i="2" s="1"/>
  <c r="C314" i="2"/>
  <c r="B314" i="2"/>
  <c r="B314" i="3" s="1"/>
  <c r="A314" i="2"/>
  <c r="E313" i="2"/>
  <c r="D313" i="2"/>
  <c r="F313" i="2" s="1"/>
  <c r="C313" i="2"/>
  <c r="B313" i="2"/>
  <c r="B313" i="3" s="1"/>
  <c r="A313" i="2"/>
  <c r="A313" i="3" s="1"/>
  <c r="D313" i="3" s="1"/>
  <c r="E312" i="2"/>
  <c r="D312" i="2"/>
  <c r="F312" i="2" s="1"/>
  <c r="C312" i="2"/>
  <c r="B312" i="2"/>
  <c r="B312" i="3" s="1"/>
  <c r="A312" i="2"/>
  <c r="F311" i="2"/>
  <c r="E311" i="2"/>
  <c r="D311" i="2"/>
  <c r="C311" i="2"/>
  <c r="B311" i="2"/>
  <c r="B311" i="3" s="1"/>
  <c r="A311" i="2"/>
  <c r="E310" i="2"/>
  <c r="D310" i="2"/>
  <c r="F310" i="2" s="1"/>
  <c r="C310" i="2"/>
  <c r="B310" i="2"/>
  <c r="A310" i="2"/>
  <c r="F309" i="2"/>
  <c r="E309" i="2"/>
  <c r="D309" i="2"/>
  <c r="C309" i="2"/>
  <c r="B309" i="2"/>
  <c r="B309" i="3" s="1"/>
  <c r="A309" i="2"/>
  <c r="A309" i="3" s="1"/>
  <c r="D309" i="3" s="1"/>
  <c r="E308" i="2"/>
  <c r="D308" i="2"/>
  <c r="F308" i="2" s="1"/>
  <c r="C308" i="2"/>
  <c r="B308" i="2"/>
  <c r="B308" i="3" s="1"/>
  <c r="A308" i="2"/>
  <c r="E307" i="2"/>
  <c r="D307" i="2"/>
  <c r="F307" i="2" s="1"/>
  <c r="C307" i="2"/>
  <c r="B307" i="2"/>
  <c r="B307" i="3" s="1"/>
  <c r="A307" i="2"/>
  <c r="A307" i="3" s="1"/>
  <c r="D307" i="3" s="1"/>
  <c r="E306" i="2"/>
  <c r="D306" i="2"/>
  <c r="F306" i="2" s="1"/>
  <c r="C306" i="2"/>
  <c r="B306" i="2"/>
  <c r="B306" i="3" s="1"/>
  <c r="A306" i="2"/>
  <c r="F305" i="2"/>
  <c r="E305" i="2"/>
  <c r="D305" i="2"/>
  <c r="C305" i="2"/>
  <c r="B305" i="2"/>
  <c r="B305" i="3" s="1"/>
  <c r="A305" i="2"/>
  <c r="A305" i="3" s="1"/>
  <c r="D305" i="3" s="1"/>
  <c r="E304" i="2"/>
  <c r="D304" i="2"/>
  <c r="F304" i="2" s="1"/>
  <c r="C304" i="2"/>
  <c r="B304" i="2"/>
  <c r="B304" i="3" s="1"/>
  <c r="A304" i="2"/>
  <c r="F303" i="2"/>
  <c r="E303" i="2"/>
  <c r="D303" i="2"/>
  <c r="C303" i="2"/>
  <c r="B303" i="2"/>
  <c r="B303" i="3" s="1"/>
  <c r="A303" i="2"/>
  <c r="A303" i="3" s="1"/>
  <c r="D303" i="3" s="1"/>
  <c r="E302" i="2"/>
  <c r="D302" i="2"/>
  <c r="F302" i="2" s="1"/>
  <c r="C302" i="2"/>
  <c r="B302" i="2"/>
  <c r="B302" i="3" s="1"/>
  <c r="A302" i="2"/>
  <c r="E301" i="2"/>
  <c r="D301" i="2"/>
  <c r="F301" i="2" s="1"/>
  <c r="C301" i="2"/>
  <c r="B301" i="2"/>
  <c r="B301" i="3" s="1"/>
  <c r="A301" i="2"/>
  <c r="E300" i="2"/>
  <c r="D300" i="2"/>
  <c r="F300" i="2" s="1"/>
  <c r="C300" i="2"/>
  <c r="B300" i="2"/>
  <c r="A300" i="2"/>
  <c r="E299" i="2"/>
  <c r="D299" i="2"/>
  <c r="F299" i="2" s="1"/>
  <c r="C299" i="2"/>
  <c r="B299" i="2"/>
  <c r="B299" i="3" s="1"/>
  <c r="A299" i="2"/>
  <c r="A299" i="3" s="1"/>
  <c r="D299" i="3" s="1"/>
  <c r="E298" i="2"/>
  <c r="D298" i="2"/>
  <c r="F298" i="2" s="1"/>
  <c r="C298" i="2"/>
  <c r="B298" i="2"/>
  <c r="B298" i="3" s="1"/>
  <c r="A298" i="2"/>
  <c r="E297" i="2"/>
  <c r="D297" i="2"/>
  <c r="F297" i="2" s="1"/>
  <c r="C297" i="2"/>
  <c r="B297" i="2"/>
  <c r="B297" i="3" s="1"/>
  <c r="A297" i="2"/>
  <c r="A297" i="3" s="1"/>
  <c r="D297" i="3" s="1"/>
  <c r="F296" i="2"/>
  <c r="E296" i="2"/>
  <c r="D296" i="2"/>
  <c r="C296" i="2"/>
  <c r="B296" i="2"/>
  <c r="B296" i="3" s="1"/>
  <c r="A296" i="2"/>
  <c r="F295" i="2"/>
  <c r="E295" i="2"/>
  <c r="D295" i="2"/>
  <c r="C295" i="2"/>
  <c r="B295" i="2"/>
  <c r="B295" i="3" s="1"/>
  <c r="A295" i="2"/>
  <c r="A295" i="3" s="1"/>
  <c r="D295" i="3" s="1"/>
  <c r="E294" i="2"/>
  <c r="D294" i="2"/>
  <c r="F294" i="2" s="1"/>
  <c r="C294" i="2"/>
  <c r="B294" i="2"/>
  <c r="B294" i="3" s="1"/>
  <c r="A294" i="2"/>
  <c r="F293" i="2"/>
  <c r="E293" i="2"/>
  <c r="D293" i="2"/>
  <c r="C293" i="2"/>
  <c r="B293" i="2"/>
  <c r="B293" i="3" s="1"/>
  <c r="A293" i="2"/>
  <c r="A293" i="3" s="1"/>
  <c r="D293" i="3" s="1"/>
  <c r="E292" i="2"/>
  <c r="D292" i="2"/>
  <c r="F292" i="2" s="1"/>
  <c r="C292" i="2"/>
  <c r="B292" i="2"/>
  <c r="B292" i="3" s="1"/>
  <c r="A292" i="2"/>
  <c r="E291" i="2"/>
  <c r="D291" i="2"/>
  <c r="F291" i="2" s="1"/>
  <c r="C291" i="2"/>
  <c r="B291" i="2"/>
  <c r="B291" i="3" s="1"/>
  <c r="A291" i="2"/>
  <c r="E290" i="2"/>
  <c r="D290" i="2"/>
  <c r="F290" i="2" s="1"/>
  <c r="C290" i="2"/>
  <c r="B290" i="2"/>
  <c r="A290" i="2"/>
  <c r="E289" i="2"/>
  <c r="D289" i="2"/>
  <c r="F289" i="2" s="1"/>
  <c r="C289" i="2"/>
  <c r="B289" i="2"/>
  <c r="B289" i="3" s="1"/>
  <c r="A289" i="2"/>
  <c r="A289" i="3" s="1"/>
  <c r="D289" i="3" s="1"/>
  <c r="E288" i="2"/>
  <c r="D288" i="2"/>
  <c r="F288" i="2" s="1"/>
  <c r="C288" i="2"/>
  <c r="B288" i="2"/>
  <c r="B288" i="3" s="1"/>
  <c r="A288" i="2"/>
  <c r="F287" i="2"/>
  <c r="E287" i="2"/>
  <c r="D287" i="2"/>
  <c r="C287" i="2"/>
  <c r="B287" i="2"/>
  <c r="B287" i="3" s="1"/>
  <c r="A287" i="2"/>
  <c r="A287" i="3" s="1"/>
  <c r="D287" i="3" s="1"/>
  <c r="F286" i="2"/>
  <c r="E286" i="2"/>
  <c r="D286" i="2"/>
  <c r="C286" i="2"/>
  <c r="B286" i="2"/>
  <c r="B286" i="3" s="1"/>
  <c r="A286" i="2"/>
  <c r="E285" i="2"/>
  <c r="D285" i="2"/>
  <c r="F285" i="2" s="1"/>
  <c r="C285" i="2"/>
  <c r="B285" i="2"/>
  <c r="B285" i="3" s="1"/>
  <c r="A285" i="2"/>
  <c r="A285" i="3" s="1"/>
  <c r="D285" i="3" s="1"/>
  <c r="E284" i="2"/>
  <c r="D284" i="2"/>
  <c r="F284" i="2" s="1"/>
  <c r="C284" i="2"/>
  <c r="B284" i="2"/>
  <c r="B284" i="3" s="1"/>
  <c r="A284" i="2"/>
  <c r="E283" i="2"/>
  <c r="D283" i="2"/>
  <c r="F283" i="2" s="1"/>
  <c r="C283" i="2"/>
  <c r="B283" i="2"/>
  <c r="B283" i="3" s="1"/>
  <c r="A283" i="2"/>
  <c r="A283" i="3" s="1"/>
  <c r="D283" i="3" s="1"/>
  <c r="E282" i="2"/>
  <c r="D282" i="2"/>
  <c r="F282" i="2" s="1"/>
  <c r="C282" i="2"/>
  <c r="B282" i="2"/>
  <c r="B282" i="3" s="1"/>
  <c r="A282" i="2"/>
  <c r="E281" i="2"/>
  <c r="D281" i="2"/>
  <c r="F281" i="2" s="1"/>
  <c r="C281" i="2"/>
  <c r="B281" i="2"/>
  <c r="B281" i="3" s="1"/>
  <c r="A281" i="2"/>
  <c r="E280" i="2"/>
  <c r="D280" i="2"/>
  <c r="F280" i="2" s="1"/>
  <c r="C280" i="2"/>
  <c r="B280" i="2"/>
  <c r="A280" i="2"/>
  <c r="E279" i="2"/>
  <c r="D279" i="2"/>
  <c r="F279" i="2" s="1"/>
  <c r="C279" i="2"/>
  <c r="B279" i="2"/>
  <c r="B279" i="3" s="1"/>
  <c r="A279" i="2"/>
  <c r="A279" i="3" s="1"/>
  <c r="D279" i="3" s="1"/>
  <c r="E278" i="2"/>
  <c r="D278" i="2"/>
  <c r="F278" i="2" s="1"/>
  <c r="C278" i="2"/>
  <c r="B278" i="2"/>
  <c r="B278" i="3" s="1"/>
  <c r="A278" i="2"/>
  <c r="F277" i="2"/>
  <c r="E277" i="2"/>
  <c r="D277" i="2"/>
  <c r="C277" i="2"/>
  <c r="B277" i="2"/>
  <c r="B277" i="3" s="1"/>
  <c r="A277" i="2"/>
  <c r="A277" i="3" s="1"/>
  <c r="D277" i="3" s="1"/>
  <c r="E276" i="2"/>
  <c r="D276" i="2"/>
  <c r="F276" i="2" s="1"/>
  <c r="C276" i="2"/>
  <c r="B276" i="2"/>
  <c r="B276" i="3" s="1"/>
  <c r="A276" i="2"/>
  <c r="E275" i="2"/>
  <c r="D275" i="2"/>
  <c r="F275" i="2" s="1"/>
  <c r="C275" i="2"/>
  <c r="B275" i="2"/>
  <c r="B275" i="3" s="1"/>
  <c r="A275" i="2"/>
  <c r="A275" i="3" s="1"/>
  <c r="D275" i="3" s="1"/>
  <c r="E274" i="2"/>
  <c r="D274" i="2"/>
  <c r="F274" i="2" s="1"/>
  <c r="C274" i="2"/>
  <c r="B274" i="2"/>
  <c r="B274" i="3" s="1"/>
  <c r="A274" i="2"/>
  <c r="E273" i="2"/>
  <c r="D273" i="2"/>
  <c r="F273" i="2" s="1"/>
  <c r="C273" i="2"/>
  <c r="B273" i="2"/>
  <c r="B273" i="3" s="1"/>
  <c r="A273" i="2"/>
  <c r="A273" i="3" s="1"/>
  <c r="D273" i="3" s="1"/>
  <c r="E272" i="2"/>
  <c r="D272" i="2"/>
  <c r="F272" i="2" s="1"/>
  <c r="C272" i="2"/>
  <c r="B272" i="2"/>
  <c r="B272" i="3" s="1"/>
  <c r="A272" i="2"/>
  <c r="F271" i="2"/>
  <c r="E271" i="2"/>
  <c r="D271" i="2"/>
  <c r="C271" i="2"/>
  <c r="B271" i="2"/>
  <c r="B271" i="3" s="1"/>
  <c r="A271" i="2"/>
  <c r="E270" i="2"/>
  <c r="D270" i="2"/>
  <c r="F270" i="2" s="1"/>
  <c r="C270" i="2"/>
  <c r="B270" i="2"/>
  <c r="A270" i="2"/>
  <c r="F269" i="2"/>
  <c r="E269" i="2"/>
  <c r="D269" i="2"/>
  <c r="C269" i="2"/>
  <c r="B269" i="2"/>
  <c r="B269" i="3" s="1"/>
  <c r="A269" i="2"/>
  <c r="A269" i="3" s="1"/>
  <c r="D269" i="3" s="1"/>
  <c r="E268" i="2"/>
  <c r="D268" i="2"/>
  <c r="F268" i="2" s="1"/>
  <c r="C268" i="2"/>
  <c r="B268" i="2"/>
  <c r="B268" i="3" s="1"/>
  <c r="A268" i="2"/>
  <c r="E267" i="2"/>
  <c r="D267" i="2"/>
  <c r="F267" i="2" s="1"/>
  <c r="C267" i="2"/>
  <c r="B267" i="2"/>
  <c r="B267" i="3" s="1"/>
  <c r="A267" i="2"/>
  <c r="A267" i="3" s="1"/>
  <c r="D267" i="3" s="1"/>
  <c r="E266" i="2"/>
  <c r="D266" i="2"/>
  <c r="F266" i="2" s="1"/>
  <c r="C266" i="2"/>
  <c r="B266" i="2"/>
  <c r="B266" i="3" s="1"/>
  <c r="A266" i="2"/>
  <c r="E265" i="2"/>
  <c r="D265" i="2"/>
  <c r="F265" i="2" s="1"/>
  <c r="C265" i="2"/>
  <c r="B265" i="2"/>
  <c r="B265" i="3" s="1"/>
  <c r="A265" i="2"/>
  <c r="A265" i="3" s="1"/>
  <c r="D265" i="3" s="1"/>
  <c r="E264" i="2"/>
  <c r="D264" i="2"/>
  <c r="F264" i="2" s="1"/>
  <c r="C264" i="2"/>
  <c r="B264" i="2"/>
  <c r="B264" i="3" s="1"/>
  <c r="A264" i="2"/>
  <c r="E263" i="2"/>
  <c r="D263" i="2"/>
  <c r="F263" i="2" s="1"/>
  <c r="C263" i="2"/>
  <c r="B263" i="2"/>
  <c r="B263" i="3" s="1"/>
  <c r="A263" i="2"/>
  <c r="E262" i="2"/>
  <c r="D262" i="2"/>
  <c r="F262" i="2" s="1"/>
  <c r="C262" i="2"/>
  <c r="B262" i="2"/>
  <c r="A262" i="2"/>
  <c r="F261" i="2"/>
  <c r="E261" i="2"/>
  <c r="D261" i="2"/>
  <c r="C261" i="2"/>
  <c r="B261" i="2"/>
  <c r="B261" i="3" s="1"/>
  <c r="A261" i="2"/>
  <c r="E260" i="2"/>
  <c r="D260" i="2"/>
  <c r="F260" i="2" s="1"/>
  <c r="C260" i="2"/>
  <c r="B260" i="2"/>
  <c r="A260" i="2"/>
  <c r="F259" i="2"/>
  <c r="E259" i="2"/>
  <c r="D259" i="2"/>
  <c r="C259" i="2"/>
  <c r="B259" i="2"/>
  <c r="B259" i="3" s="1"/>
  <c r="A259" i="2"/>
  <c r="A259" i="3" s="1"/>
  <c r="D259" i="3" s="1"/>
  <c r="E258" i="2"/>
  <c r="D258" i="2"/>
  <c r="F258" i="2" s="1"/>
  <c r="C258" i="2"/>
  <c r="B258" i="2"/>
  <c r="B258" i="3" s="1"/>
  <c r="A258" i="2"/>
  <c r="E257" i="2"/>
  <c r="D257" i="2"/>
  <c r="F257" i="2" s="1"/>
  <c r="C257" i="2"/>
  <c r="B257" i="2"/>
  <c r="B257" i="3" s="1"/>
  <c r="A257" i="2"/>
  <c r="A257" i="3" s="1"/>
  <c r="D257" i="3" s="1"/>
  <c r="E256" i="2"/>
  <c r="D256" i="2"/>
  <c r="F256" i="2" s="1"/>
  <c r="C256" i="2"/>
  <c r="B256" i="2"/>
  <c r="B256" i="3" s="1"/>
  <c r="A256" i="2"/>
  <c r="F255" i="2"/>
  <c r="E255" i="2"/>
  <c r="D255" i="2"/>
  <c r="C255" i="2"/>
  <c r="B255" i="2"/>
  <c r="B255" i="3" s="1"/>
  <c r="A255" i="2"/>
  <c r="A255" i="3" s="1"/>
  <c r="D255" i="3" s="1"/>
  <c r="E254" i="2"/>
  <c r="D254" i="2"/>
  <c r="F254" i="2" s="1"/>
  <c r="C254" i="2"/>
  <c r="B254" i="2"/>
  <c r="B254" i="3" s="1"/>
  <c r="A254" i="2"/>
  <c r="F253" i="2"/>
  <c r="E253" i="2"/>
  <c r="D253" i="2"/>
  <c r="C253" i="2"/>
  <c r="B253" i="2"/>
  <c r="B253" i="3" s="1"/>
  <c r="A253" i="2"/>
  <c r="E252" i="2"/>
  <c r="D252" i="2"/>
  <c r="F252" i="2" s="1"/>
  <c r="C252" i="2"/>
  <c r="B252" i="2"/>
  <c r="A252" i="2"/>
  <c r="E251" i="2"/>
  <c r="D251" i="2"/>
  <c r="F251" i="2" s="1"/>
  <c r="C251" i="2"/>
  <c r="B251" i="2"/>
  <c r="B251" i="3" s="1"/>
  <c r="A251" i="2"/>
  <c r="E250" i="2"/>
  <c r="D250" i="2"/>
  <c r="F250" i="2" s="1"/>
  <c r="C250" i="2"/>
  <c r="B250" i="2"/>
  <c r="A250" i="2"/>
  <c r="E249" i="2"/>
  <c r="D249" i="2"/>
  <c r="F249" i="2" s="1"/>
  <c r="C249" i="2"/>
  <c r="B249" i="2"/>
  <c r="B249" i="3" s="1"/>
  <c r="A249" i="2"/>
  <c r="A249" i="3" s="1"/>
  <c r="D249" i="3" s="1"/>
  <c r="E248" i="2"/>
  <c r="D248" i="2"/>
  <c r="F248" i="2" s="1"/>
  <c r="C248" i="2"/>
  <c r="B248" i="2"/>
  <c r="B248" i="3" s="1"/>
  <c r="A248" i="2"/>
  <c r="E247" i="2"/>
  <c r="D247" i="2"/>
  <c r="F247" i="2" s="1"/>
  <c r="C247" i="2"/>
  <c r="B247" i="2"/>
  <c r="B247" i="3" s="1"/>
  <c r="A247" i="2"/>
  <c r="A247" i="3" s="1"/>
  <c r="D247" i="3" s="1"/>
  <c r="F246" i="2"/>
  <c r="E246" i="2"/>
  <c r="D246" i="2"/>
  <c r="C246" i="2"/>
  <c r="B246" i="2"/>
  <c r="B246" i="3" s="1"/>
  <c r="A246" i="2"/>
  <c r="F245" i="2"/>
  <c r="E245" i="2"/>
  <c r="D245" i="2"/>
  <c r="C245" i="2"/>
  <c r="B245" i="2"/>
  <c r="B245" i="3" s="1"/>
  <c r="A245" i="2"/>
  <c r="A245" i="3" s="1"/>
  <c r="D245" i="3" s="1"/>
  <c r="E244" i="2"/>
  <c r="D244" i="2"/>
  <c r="F244" i="2" s="1"/>
  <c r="C244" i="2"/>
  <c r="B244" i="2"/>
  <c r="B244" i="3" s="1"/>
  <c r="A244" i="2"/>
  <c r="E243" i="2"/>
  <c r="D243" i="2"/>
  <c r="F243" i="2" s="1"/>
  <c r="C243" i="2"/>
  <c r="B243" i="2"/>
  <c r="B243" i="3" s="1"/>
  <c r="A243" i="2"/>
  <c r="E242" i="2"/>
  <c r="D242" i="2"/>
  <c r="F242" i="2" s="1"/>
  <c r="C242" i="2"/>
  <c r="B242" i="2"/>
  <c r="A242" i="2"/>
  <c r="E241" i="2"/>
  <c r="D241" i="2"/>
  <c r="F241" i="2" s="1"/>
  <c r="C241" i="2"/>
  <c r="B241" i="2"/>
  <c r="B241" i="3" s="1"/>
  <c r="A241" i="2"/>
  <c r="E240" i="2"/>
  <c r="D240" i="2"/>
  <c r="F240" i="2" s="1"/>
  <c r="C240" i="2"/>
  <c r="B240" i="2"/>
  <c r="A240" i="2"/>
  <c r="F239" i="2"/>
  <c r="E239" i="2"/>
  <c r="D239" i="2"/>
  <c r="C239" i="2"/>
  <c r="B239" i="2"/>
  <c r="B239" i="3" s="1"/>
  <c r="A239" i="2"/>
  <c r="A239" i="3" s="1"/>
  <c r="D239" i="3" s="1"/>
  <c r="E238" i="2"/>
  <c r="D238" i="2"/>
  <c r="F238" i="2" s="1"/>
  <c r="C238" i="2"/>
  <c r="B238" i="2"/>
  <c r="B238" i="3" s="1"/>
  <c r="A238" i="2"/>
  <c r="F237" i="2"/>
  <c r="E237" i="2"/>
  <c r="D237" i="2"/>
  <c r="C237" i="2"/>
  <c r="B237" i="2"/>
  <c r="B237" i="3" s="1"/>
  <c r="A237" i="2"/>
  <c r="A237" i="3" s="1"/>
  <c r="D237" i="3" s="1"/>
  <c r="F236" i="2"/>
  <c r="E236" i="2"/>
  <c r="D236" i="2"/>
  <c r="C236" i="2"/>
  <c r="B236" i="2"/>
  <c r="B236" i="3" s="1"/>
  <c r="A236" i="2"/>
  <c r="E235" i="2"/>
  <c r="D235" i="2"/>
  <c r="F235" i="2" s="1"/>
  <c r="C235" i="2"/>
  <c r="B235" i="2"/>
  <c r="B235" i="3" s="1"/>
  <c r="A235" i="2"/>
  <c r="A235" i="3" s="1"/>
  <c r="D235" i="3" s="1"/>
  <c r="E234" i="2"/>
  <c r="D234" i="2"/>
  <c r="F234" i="2" s="1"/>
  <c r="C234" i="2"/>
  <c r="B234" i="2"/>
  <c r="B234" i="3" s="1"/>
  <c r="A234" i="2"/>
  <c r="E233" i="2"/>
  <c r="D233" i="2"/>
  <c r="F233" i="2" s="1"/>
  <c r="C233" i="2"/>
  <c r="B233" i="2"/>
  <c r="B233" i="3" s="1"/>
  <c r="A233" i="2"/>
  <c r="E232" i="2"/>
  <c r="D232" i="2"/>
  <c r="F232" i="2" s="1"/>
  <c r="C232" i="2"/>
  <c r="B232" i="2"/>
  <c r="A232" i="2"/>
  <c r="E231" i="2"/>
  <c r="D231" i="2"/>
  <c r="F231" i="2" s="1"/>
  <c r="C231" i="2"/>
  <c r="B231" i="2"/>
  <c r="B231" i="3" s="1"/>
  <c r="A231" i="2"/>
  <c r="E230" i="2"/>
  <c r="D230" i="2"/>
  <c r="F230" i="2" s="1"/>
  <c r="C230" i="2"/>
  <c r="B230" i="2"/>
  <c r="A230" i="2"/>
  <c r="F229" i="2"/>
  <c r="E229" i="2"/>
  <c r="D229" i="2"/>
  <c r="C229" i="2"/>
  <c r="B229" i="2"/>
  <c r="B229" i="3" s="1"/>
  <c r="A229" i="2"/>
  <c r="A229" i="3" s="1"/>
  <c r="D229" i="3" s="1"/>
  <c r="E228" i="2"/>
  <c r="D228" i="2"/>
  <c r="F228" i="2" s="1"/>
  <c r="C228" i="2"/>
  <c r="B228" i="2"/>
  <c r="B228" i="3" s="1"/>
  <c r="A228" i="2"/>
  <c r="F227" i="2"/>
  <c r="E227" i="2"/>
  <c r="D227" i="2"/>
  <c r="C227" i="2"/>
  <c r="B227" i="2"/>
  <c r="B227" i="3" s="1"/>
  <c r="A227" i="2"/>
  <c r="A227" i="3" s="1"/>
  <c r="D227" i="3" s="1"/>
  <c r="E226" i="2"/>
  <c r="D226" i="2"/>
  <c r="F226" i="2" s="1"/>
  <c r="C226" i="2"/>
  <c r="B226" i="2"/>
  <c r="B226" i="3" s="1"/>
  <c r="A226" i="2"/>
  <c r="E225" i="2"/>
  <c r="D225" i="2"/>
  <c r="F225" i="2" s="1"/>
  <c r="C225" i="2"/>
  <c r="B225" i="2"/>
  <c r="B225" i="3" s="1"/>
  <c r="A225" i="2"/>
  <c r="A225" i="3" s="1"/>
  <c r="D225" i="3" s="1"/>
  <c r="E224" i="2"/>
  <c r="D224" i="2"/>
  <c r="F224" i="2" s="1"/>
  <c r="C224" i="2"/>
  <c r="B224" i="2"/>
  <c r="B224" i="3" s="1"/>
  <c r="A224" i="2"/>
  <c r="F223" i="2"/>
  <c r="E223" i="2"/>
  <c r="D223" i="2"/>
  <c r="C223" i="2"/>
  <c r="B223" i="2"/>
  <c r="B223" i="3" s="1"/>
  <c r="A223" i="2"/>
  <c r="F222" i="2"/>
  <c r="E222" i="2"/>
  <c r="D222" i="2"/>
  <c r="C222" i="2"/>
  <c r="B222" i="2"/>
  <c r="A222" i="2"/>
  <c r="E221" i="2"/>
  <c r="D221" i="2"/>
  <c r="F221" i="2" s="1"/>
  <c r="C221" i="2"/>
  <c r="B221" i="2"/>
  <c r="B221" i="3" s="1"/>
  <c r="A221" i="2"/>
  <c r="E220" i="2"/>
  <c r="D220" i="2"/>
  <c r="F220" i="2" s="1"/>
  <c r="C220" i="2"/>
  <c r="B220" i="2"/>
  <c r="B220" i="3" s="1"/>
  <c r="A220" i="2"/>
  <c r="E219" i="2"/>
  <c r="D219" i="2"/>
  <c r="F219" i="2" s="1"/>
  <c r="C219" i="2"/>
  <c r="B219" i="2"/>
  <c r="B219" i="3" s="1"/>
  <c r="A219" i="2"/>
  <c r="A219" i="3" s="1"/>
  <c r="D219" i="3" s="1"/>
  <c r="E218" i="2"/>
  <c r="D218" i="2"/>
  <c r="F218" i="2" s="1"/>
  <c r="C218" i="2"/>
  <c r="B218" i="2"/>
  <c r="B218" i="3" s="1"/>
  <c r="A218" i="2"/>
  <c r="E217" i="2"/>
  <c r="D217" i="2"/>
  <c r="F217" i="2" s="1"/>
  <c r="C217" i="2"/>
  <c r="B217" i="2"/>
  <c r="B217" i="3" s="1"/>
  <c r="A217" i="2"/>
  <c r="A217" i="3" s="1"/>
  <c r="D217" i="3" s="1"/>
  <c r="F216" i="2"/>
  <c r="E216" i="2"/>
  <c r="D216" i="2"/>
  <c r="C216" i="2"/>
  <c r="B216" i="2"/>
  <c r="A216" i="2"/>
  <c r="F215" i="2"/>
  <c r="E215" i="2"/>
  <c r="D215" i="2"/>
  <c r="C215" i="2"/>
  <c r="B215" i="2"/>
  <c r="A215" i="2"/>
  <c r="A215" i="3" s="1"/>
  <c r="D215" i="3" s="1"/>
  <c r="E214" i="2"/>
  <c r="D214" i="2"/>
  <c r="F214" i="2" s="1"/>
  <c r="C214" i="2"/>
  <c r="B214" i="2"/>
  <c r="A214" i="2"/>
  <c r="F213" i="2"/>
  <c r="E213" i="2"/>
  <c r="D213" i="2"/>
  <c r="C213" i="2"/>
  <c r="B213" i="2"/>
  <c r="B213" i="3" s="1"/>
  <c r="A213" i="2"/>
  <c r="A213" i="3" s="1"/>
  <c r="D213" i="3" s="1"/>
  <c r="E212" i="2"/>
  <c r="D212" i="2"/>
  <c r="F212" i="2" s="1"/>
  <c r="C212" i="2"/>
  <c r="B212" i="2"/>
  <c r="B212" i="3" s="1"/>
  <c r="A212" i="2"/>
  <c r="A212" i="3" s="1"/>
  <c r="D212" i="3" s="1"/>
  <c r="F211" i="2"/>
  <c r="E211" i="2"/>
  <c r="D211" i="2"/>
  <c r="C211" i="2"/>
  <c r="B211" i="2"/>
  <c r="B211" i="3" s="1"/>
  <c r="A211" i="2"/>
  <c r="A211" i="3" s="1"/>
  <c r="D211" i="3" s="1"/>
  <c r="E210" i="2"/>
  <c r="D210" i="2"/>
  <c r="F210" i="2" s="1"/>
  <c r="C210" i="2"/>
  <c r="B210" i="2"/>
  <c r="B210" i="3" s="1"/>
  <c r="A210" i="2"/>
  <c r="A210" i="3" s="1"/>
  <c r="D210" i="3" s="1"/>
  <c r="E209" i="2"/>
  <c r="D209" i="2"/>
  <c r="F209" i="2" s="1"/>
  <c r="C209" i="2"/>
  <c r="B209" i="2"/>
  <c r="A209" i="2"/>
  <c r="A209" i="3" s="1"/>
  <c r="D209" i="3" s="1"/>
  <c r="E208" i="2"/>
  <c r="D208" i="2"/>
  <c r="F208" i="2" s="1"/>
  <c r="C208" i="2"/>
  <c r="B208" i="2"/>
  <c r="A208" i="2"/>
  <c r="A208" i="3" s="1"/>
  <c r="D208" i="3" s="1"/>
  <c r="F207" i="2"/>
  <c r="E207" i="2"/>
  <c r="D207" i="2"/>
  <c r="C207" i="2"/>
  <c r="B207" i="2"/>
  <c r="B207" i="3" s="1"/>
  <c r="A207" i="2"/>
  <c r="A207" i="3" s="1"/>
  <c r="D207" i="3" s="1"/>
  <c r="F206" i="2"/>
  <c r="E206" i="2"/>
  <c r="D206" i="2"/>
  <c r="C206" i="2"/>
  <c r="B206" i="2"/>
  <c r="A206" i="2"/>
  <c r="A206" i="3" s="1"/>
  <c r="D206" i="3" s="1"/>
  <c r="E205" i="2"/>
  <c r="D205" i="2"/>
  <c r="F205" i="2" s="1"/>
  <c r="C205" i="2"/>
  <c r="B205" i="2"/>
  <c r="A205" i="2"/>
  <c r="A205" i="3" s="1"/>
  <c r="D205" i="3" s="1"/>
  <c r="E204" i="2"/>
  <c r="D204" i="2"/>
  <c r="F204" i="2" s="1"/>
  <c r="C204" i="2"/>
  <c r="B204" i="2"/>
  <c r="B204" i="3" s="1"/>
  <c r="A204" i="2"/>
  <c r="E203" i="2"/>
  <c r="D203" i="2"/>
  <c r="F203" i="2" s="1"/>
  <c r="C203" i="2"/>
  <c r="B203" i="2"/>
  <c r="B203" i="3" s="1"/>
  <c r="A203" i="2"/>
  <c r="A203" i="3" s="1"/>
  <c r="D203" i="3" s="1"/>
  <c r="E202" i="2"/>
  <c r="D202" i="2"/>
  <c r="F202" i="2" s="1"/>
  <c r="C202" i="2"/>
  <c r="B202" i="2"/>
  <c r="A202" i="2"/>
  <c r="A202" i="3" s="1"/>
  <c r="D202" i="3" s="1"/>
  <c r="E201" i="2"/>
  <c r="D201" i="2"/>
  <c r="F201" i="2" s="1"/>
  <c r="C201" i="2"/>
  <c r="B201" i="2"/>
  <c r="B201" i="3" s="1"/>
  <c r="A201" i="2"/>
  <c r="A201" i="3" s="1"/>
  <c r="D201" i="3" s="1"/>
  <c r="F200" i="2"/>
  <c r="E200" i="2"/>
  <c r="D200" i="2"/>
  <c r="C200" i="2"/>
  <c r="B200" i="2"/>
  <c r="B200" i="3" s="1"/>
  <c r="A200" i="2"/>
  <c r="A200" i="3" s="1"/>
  <c r="D200" i="3" s="1"/>
  <c r="F199" i="2"/>
  <c r="E199" i="2"/>
  <c r="D199" i="2"/>
  <c r="C199" i="2"/>
  <c r="B199" i="2"/>
  <c r="B199" i="3" s="1"/>
  <c r="A199" i="2"/>
  <c r="A199" i="3" s="1"/>
  <c r="D199" i="3" s="1"/>
  <c r="E198" i="2"/>
  <c r="D198" i="2"/>
  <c r="F198" i="2" s="1"/>
  <c r="C198" i="2"/>
  <c r="B198" i="2"/>
  <c r="B198" i="3" s="1"/>
  <c r="A198" i="2"/>
  <c r="A198" i="3" s="1"/>
  <c r="D198" i="3" s="1"/>
  <c r="E197" i="2"/>
  <c r="D197" i="2"/>
  <c r="F197" i="2" s="1"/>
  <c r="C197" i="2"/>
  <c r="B197" i="2"/>
  <c r="B197" i="3" s="1"/>
  <c r="A197" i="2"/>
  <c r="A197" i="3" s="1"/>
  <c r="D197" i="3" s="1"/>
  <c r="E196" i="2"/>
  <c r="D196" i="2"/>
  <c r="F196" i="2" s="1"/>
  <c r="C196" i="2"/>
  <c r="B196" i="2"/>
  <c r="B196" i="3" s="1"/>
  <c r="A196" i="2"/>
  <c r="A196" i="3" s="1"/>
  <c r="D196" i="3" s="1"/>
  <c r="E195" i="2"/>
  <c r="D195" i="2"/>
  <c r="F195" i="2" s="1"/>
  <c r="C195" i="2"/>
  <c r="B195" i="2"/>
  <c r="B195" i="3" s="1"/>
  <c r="A195" i="2"/>
  <c r="A195" i="3" s="1"/>
  <c r="D195" i="3" s="1"/>
  <c r="E194" i="2"/>
  <c r="D194" i="2"/>
  <c r="F194" i="2" s="1"/>
  <c r="C194" i="2"/>
  <c r="B194" i="2"/>
  <c r="B194" i="3" s="1"/>
  <c r="A194" i="2"/>
  <c r="A194" i="3" s="1"/>
  <c r="D194" i="3" s="1"/>
  <c r="F193" i="2"/>
  <c r="E193" i="2"/>
  <c r="D193" i="2"/>
  <c r="C193" i="2"/>
  <c r="B193" i="2"/>
  <c r="B193" i="3" s="1"/>
  <c r="A193" i="2"/>
  <c r="A193" i="3" s="1"/>
  <c r="D193" i="3" s="1"/>
  <c r="E192" i="2"/>
  <c r="D192" i="2"/>
  <c r="F192" i="2" s="1"/>
  <c r="C192" i="2"/>
  <c r="B192" i="2"/>
  <c r="B192" i="3" s="1"/>
  <c r="A192" i="2"/>
  <c r="A192" i="3" s="1"/>
  <c r="D192" i="3" s="1"/>
  <c r="E191" i="2"/>
  <c r="D191" i="2"/>
  <c r="F191" i="2" s="1"/>
  <c r="C191" i="2"/>
  <c r="B191" i="2"/>
  <c r="B191" i="3" s="1"/>
  <c r="A191" i="2"/>
  <c r="A191" i="3" s="1"/>
  <c r="D191" i="3" s="1"/>
  <c r="E190" i="2"/>
  <c r="D190" i="2"/>
  <c r="F190" i="2" s="1"/>
  <c r="C190" i="2"/>
  <c r="B190" i="2"/>
  <c r="B190" i="3" s="1"/>
  <c r="A190" i="2"/>
  <c r="A190" i="3" s="1"/>
  <c r="D190" i="3" s="1"/>
  <c r="E189" i="2"/>
  <c r="D189" i="2"/>
  <c r="F189" i="2" s="1"/>
  <c r="C189" i="2"/>
  <c r="B189" i="2"/>
  <c r="B189" i="3" s="1"/>
  <c r="A189" i="2"/>
  <c r="A189" i="3" s="1"/>
  <c r="D189" i="3" s="1"/>
  <c r="E188" i="2"/>
  <c r="D188" i="2"/>
  <c r="F188" i="2" s="1"/>
  <c r="C188" i="2"/>
  <c r="B188" i="2"/>
  <c r="B188" i="3" s="1"/>
  <c r="A188" i="2"/>
  <c r="A188" i="3" s="1"/>
  <c r="D188" i="3" s="1"/>
  <c r="E187" i="2"/>
  <c r="D187" i="2"/>
  <c r="F187" i="2" s="1"/>
  <c r="C187" i="2"/>
  <c r="B187" i="2"/>
  <c r="B187" i="3" s="1"/>
  <c r="A187" i="2"/>
  <c r="A187" i="3" s="1"/>
  <c r="D187" i="3" s="1"/>
  <c r="E186" i="2"/>
  <c r="D186" i="2"/>
  <c r="F186" i="2" s="1"/>
  <c r="C186" i="2"/>
  <c r="B186" i="2"/>
  <c r="B186" i="3" s="1"/>
  <c r="A186" i="2"/>
  <c r="A186" i="3" s="1"/>
  <c r="D186" i="3" s="1"/>
  <c r="F185" i="2"/>
  <c r="E185" i="2"/>
  <c r="D185" i="2"/>
  <c r="C185" i="2"/>
  <c r="B185" i="2"/>
  <c r="B185" i="3" s="1"/>
  <c r="A185" i="2"/>
  <c r="A185" i="3" s="1"/>
  <c r="D185" i="3" s="1"/>
  <c r="E184" i="2"/>
  <c r="D184" i="2"/>
  <c r="F184" i="2" s="1"/>
  <c r="C184" i="2"/>
  <c r="B184" i="2"/>
  <c r="B184" i="3" s="1"/>
  <c r="A184" i="2"/>
  <c r="A184" i="3" s="1"/>
  <c r="D184" i="3" s="1"/>
  <c r="E183" i="2"/>
  <c r="D183" i="2"/>
  <c r="F183" i="2" s="1"/>
  <c r="C183" i="2"/>
  <c r="B183" i="2"/>
  <c r="B183" i="3" s="1"/>
  <c r="A183" i="2"/>
  <c r="A183" i="3" s="1"/>
  <c r="D183" i="3" s="1"/>
  <c r="E182" i="2"/>
  <c r="D182" i="2"/>
  <c r="F182" i="2" s="1"/>
  <c r="C182" i="2"/>
  <c r="B182" i="2"/>
  <c r="B182" i="3" s="1"/>
  <c r="A182" i="2"/>
  <c r="A182" i="3" s="1"/>
  <c r="D182" i="3" s="1"/>
  <c r="E181" i="2"/>
  <c r="D181" i="2"/>
  <c r="F181" i="2" s="1"/>
  <c r="C181" i="2"/>
  <c r="B181" i="2"/>
  <c r="B181" i="3" s="1"/>
  <c r="A181" i="2"/>
  <c r="A181" i="3" s="1"/>
  <c r="D181" i="3" s="1"/>
  <c r="E180" i="2"/>
  <c r="D180" i="2"/>
  <c r="F180" i="2" s="1"/>
  <c r="C180" i="2"/>
  <c r="B180" i="2"/>
  <c r="B180" i="3" s="1"/>
  <c r="A180" i="2"/>
  <c r="A180" i="3" s="1"/>
  <c r="D180" i="3" s="1"/>
  <c r="F179" i="2"/>
  <c r="E179" i="2"/>
  <c r="D179" i="2"/>
  <c r="C179" i="2"/>
  <c r="B179" i="2"/>
  <c r="B179" i="3" s="1"/>
  <c r="A179" i="2"/>
  <c r="A179" i="3" s="1"/>
  <c r="D179" i="3" s="1"/>
  <c r="F178" i="2"/>
  <c r="E178" i="2"/>
  <c r="D178" i="2"/>
  <c r="C178" i="2"/>
  <c r="B178" i="2"/>
  <c r="B178" i="3" s="1"/>
  <c r="A178" i="2"/>
  <c r="A178" i="3" s="1"/>
  <c r="D178" i="3" s="1"/>
  <c r="E177" i="2"/>
  <c r="D177" i="2"/>
  <c r="F177" i="2" s="1"/>
  <c r="C177" i="2"/>
  <c r="B177" i="2"/>
  <c r="B177" i="3" s="1"/>
  <c r="A177" i="2"/>
  <c r="A177" i="3" s="1"/>
  <c r="D177" i="3" s="1"/>
  <c r="E176" i="2"/>
  <c r="D176" i="2"/>
  <c r="F176" i="2" s="1"/>
  <c r="C176" i="2"/>
  <c r="B176" i="2"/>
  <c r="B176" i="3" s="1"/>
  <c r="A176" i="2"/>
  <c r="A176" i="3" s="1"/>
  <c r="D176" i="3" s="1"/>
  <c r="E175" i="2"/>
  <c r="D175" i="2"/>
  <c r="F175" i="2" s="1"/>
  <c r="C175" i="2"/>
  <c r="B175" i="2"/>
  <c r="B175" i="3" s="1"/>
  <c r="A175" i="2"/>
  <c r="A175" i="3" s="1"/>
  <c r="D175" i="3" s="1"/>
  <c r="F174" i="2"/>
  <c r="E174" i="2"/>
  <c r="D174" i="2"/>
  <c r="C174" i="2"/>
  <c r="B174" i="2"/>
  <c r="B174" i="3" s="1"/>
  <c r="A174" i="2"/>
  <c r="A174" i="3" s="1"/>
  <c r="D174" i="3" s="1"/>
  <c r="F173" i="2"/>
  <c r="E173" i="2"/>
  <c r="D173" i="2"/>
  <c r="C173" i="2"/>
  <c r="B173" i="2"/>
  <c r="B173" i="3" s="1"/>
  <c r="A173" i="2"/>
  <c r="A173" i="3" s="1"/>
  <c r="D173" i="3" s="1"/>
  <c r="E172" i="2"/>
  <c r="D172" i="2"/>
  <c r="F172" i="2" s="1"/>
  <c r="C172" i="2"/>
  <c r="B172" i="2"/>
  <c r="B172" i="3" s="1"/>
  <c r="A172" i="2"/>
  <c r="A172" i="3" s="1"/>
  <c r="D172" i="3" s="1"/>
  <c r="F171" i="2"/>
  <c r="E171" i="2"/>
  <c r="D171" i="2"/>
  <c r="C171" i="2"/>
  <c r="B171" i="2"/>
  <c r="B171" i="3" s="1"/>
  <c r="A171" i="2"/>
  <c r="A171" i="3" s="1"/>
  <c r="D171" i="3" s="1"/>
  <c r="E170" i="2"/>
  <c r="D170" i="2"/>
  <c r="F170" i="2" s="1"/>
  <c r="C170" i="2"/>
  <c r="B170" i="2"/>
  <c r="B170" i="3" s="1"/>
  <c r="A170" i="2"/>
  <c r="A170" i="3" s="1"/>
  <c r="D170" i="3" s="1"/>
  <c r="E169" i="2"/>
  <c r="D169" i="2"/>
  <c r="F169" i="2" s="1"/>
  <c r="C169" i="2"/>
  <c r="B169" i="2"/>
  <c r="B169" i="3" s="1"/>
  <c r="A169" i="2"/>
  <c r="A169" i="3" s="1"/>
  <c r="D169" i="3" s="1"/>
  <c r="E168" i="2"/>
  <c r="D168" i="2"/>
  <c r="F168" i="2" s="1"/>
  <c r="C168" i="2"/>
  <c r="B168" i="2"/>
  <c r="B168" i="3" s="1"/>
  <c r="A168" i="2"/>
  <c r="A168" i="3" s="1"/>
  <c r="D168" i="3" s="1"/>
  <c r="F167" i="2"/>
  <c r="E167" i="2"/>
  <c r="D167" i="2"/>
  <c r="C167" i="2"/>
  <c r="B167" i="2"/>
  <c r="B167" i="3" s="1"/>
  <c r="A167" i="2"/>
  <c r="A167" i="3" s="1"/>
  <c r="D167" i="3" s="1"/>
  <c r="E166" i="2"/>
  <c r="D166" i="2"/>
  <c r="F166" i="2" s="1"/>
  <c r="C166" i="2"/>
  <c r="B166" i="2"/>
  <c r="B166" i="3" s="1"/>
  <c r="A166" i="2"/>
  <c r="A166" i="3" s="1"/>
  <c r="D166" i="3" s="1"/>
  <c r="F165" i="2"/>
  <c r="E165" i="2"/>
  <c r="D165" i="2"/>
  <c r="C165" i="2"/>
  <c r="B165" i="2"/>
  <c r="B165" i="3" s="1"/>
  <c r="A165" i="2"/>
  <c r="A165" i="3" s="1"/>
  <c r="D165" i="3" s="1"/>
  <c r="F164" i="2"/>
  <c r="E164" i="2"/>
  <c r="D164" i="2"/>
  <c r="C164" i="2"/>
  <c r="B164" i="2"/>
  <c r="B164" i="3" s="1"/>
  <c r="A164" i="2"/>
  <c r="A164" i="3" s="1"/>
  <c r="D164" i="3" s="1"/>
  <c r="E163" i="2"/>
  <c r="D163" i="2"/>
  <c r="F163" i="2" s="1"/>
  <c r="C163" i="2"/>
  <c r="B163" i="2"/>
  <c r="B163" i="3" s="1"/>
  <c r="A163" i="2"/>
  <c r="A163" i="3" s="1"/>
  <c r="D163" i="3" s="1"/>
  <c r="E162" i="2"/>
  <c r="D162" i="2"/>
  <c r="F162" i="2" s="1"/>
  <c r="C162" i="2"/>
  <c r="B162" i="2"/>
  <c r="B162" i="3" s="1"/>
  <c r="A162" i="2"/>
  <c r="A162" i="3" s="1"/>
  <c r="D162" i="3" s="1"/>
  <c r="E161" i="2"/>
  <c r="D161" i="2"/>
  <c r="F161" i="2" s="1"/>
  <c r="C161" i="2"/>
  <c r="B161" i="2"/>
  <c r="B161" i="3" s="1"/>
  <c r="A161" i="2"/>
  <c r="A161" i="3" s="1"/>
  <c r="D161" i="3" s="1"/>
  <c r="E160" i="2"/>
  <c r="D160" i="2"/>
  <c r="F160" i="2" s="1"/>
  <c r="C160" i="2"/>
  <c r="B160" i="2"/>
  <c r="B160" i="3" s="1"/>
  <c r="A160" i="2"/>
  <c r="A160" i="3" s="1"/>
  <c r="D160" i="3" s="1"/>
  <c r="E159" i="2"/>
  <c r="D159" i="2"/>
  <c r="F159" i="2" s="1"/>
  <c r="C159" i="2"/>
  <c r="B159" i="2"/>
  <c r="B159" i="3" s="1"/>
  <c r="A159" i="2"/>
  <c r="A159" i="3" s="1"/>
  <c r="D159" i="3" s="1"/>
  <c r="E158" i="2"/>
  <c r="D158" i="2"/>
  <c r="F158" i="2" s="1"/>
  <c r="C158" i="2"/>
  <c r="B158" i="2"/>
  <c r="B158" i="3" s="1"/>
  <c r="A158" i="2"/>
  <c r="A158" i="3" s="1"/>
  <c r="D158" i="3" s="1"/>
  <c r="F157" i="2"/>
  <c r="E157" i="2"/>
  <c r="D157" i="2"/>
  <c r="C157" i="2"/>
  <c r="B157" i="2"/>
  <c r="B157" i="3" s="1"/>
  <c r="A157" i="2"/>
  <c r="A157" i="3" s="1"/>
  <c r="D157" i="3" s="1"/>
  <c r="E156" i="2"/>
  <c r="D156" i="2"/>
  <c r="F156" i="2" s="1"/>
  <c r="C156" i="2"/>
  <c r="B156" i="2"/>
  <c r="B156" i="3" s="1"/>
  <c r="A156" i="2"/>
  <c r="A156" i="3" s="1"/>
  <c r="D156" i="3" s="1"/>
  <c r="F155" i="2"/>
  <c r="E155" i="2"/>
  <c r="D155" i="2"/>
  <c r="C155" i="2"/>
  <c r="B155" i="2"/>
  <c r="B155" i="3" s="1"/>
  <c r="A155" i="2"/>
  <c r="A155" i="3" s="1"/>
  <c r="D155" i="3" s="1"/>
  <c r="E154" i="2"/>
  <c r="D154" i="2"/>
  <c r="F154" i="2" s="1"/>
  <c r="C154" i="2"/>
  <c r="B154" i="2"/>
  <c r="B154" i="3" s="1"/>
  <c r="A154" i="2"/>
  <c r="A154" i="3" s="1"/>
  <c r="D154" i="3" s="1"/>
  <c r="E153" i="2"/>
  <c r="D153" i="2"/>
  <c r="F153" i="2" s="1"/>
  <c r="C153" i="2"/>
  <c r="B153" i="2"/>
  <c r="B153" i="3" s="1"/>
  <c r="A153" i="2"/>
  <c r="A153" i="3" s="1"/>
  <c r="D153" i="3" s="1"/>
  <c r="E152" i="2"/>
  <c r="D152" i="2"/>
  <c r="F152" i="2" s="1"/>
  <c r="C152" i="2"/>
  <c r="B152" i="2"/>
  <c r="B152" i="3" s="1"/>
  <c r="A152" i="2"/>
  <c r="A152" i="3" s="1"/>
  <c r="D152" i="3" s="1"/>
  <c r="F151" i="2"/>
  <c r="E151" i="2"/>
  <c r="D151" i="2"/>
  <c r="C151" i="2"/>
  <c r="B151" i="2"/>
  <c r="B151" i="3" s="1"/>
  <c r="A151" i="2"/>
  <c r="A151" i="3" s="1"/>
  <c r="D151" i="3" s="1"/>
  <c r="E150" i="2"/>
  <c r="D150" i="2"/>
  <c r="F150" i="2" s="1"/>
  <c r="C150" i="2"/>
  <c r="B150" i="2"/>
  <c r="B150" i="3" s="1"/>
  <c r="A150" i="2"/>
  <c r="A150" i="3" s="1"/>
  <c r="D150" i="3" s="1"/>
  <c r="F149" i="2"/>
  <c r="E149" i="2"/>
  <c r="D149" i="2"/>
  <c r="C149" i="2"/>
  <c r="B149" i="2"/>
  <c r="B149" i="3" s="1"/>
  <c r="A149" i="2"/>
  <c r="A149" i="3" s="1"/>
  <c r="D149" i="3" s="1"/>
  <c r="E148" i="2"/>
  <c r="D148" i="2"/>
  <c r="F148" i="2" s="1"/>
  <c r="C148" i="2"/>
  <c r="B148" i="2"/>
  <c r="B148" i="3" s="1"/>
  <c r="A148" i="2"/>
  <c r="A148" i="3" s="1"/>
  <c r="D148" i="3" s="1"/>
  <c r="E147" i="2"/>
  <c r="D147" i="2"/>
  <c r="F147" i="2" s="1"/>
  <c r="C147" i="2"/>
  <c r="B147" i="2"/>
  <c r="B147" i="3" s="1"/>
  <c r="A147" i="2"/>
  <c r="A147" i="3" s="1"/>
  <c r="D147" i="3" s="1"/>
  <c r="E146" i="2"/>
  <c r="D146" i="2"/>
  <c r="F146" i="2" s="1"/>
  <c r="C146" i="2"/>
  <c r="B146" i="2"/>
  <c r="B146" i="3" s="1"/>
  <c r="A146" i="2"/>
  <c r="A146" i="3" s="1"/>
  <c r="D146" i="3" s="1"/>
  <c r="E145" i="2"/>
  <c r="D145" i="2"/>
  <c r="F145" i="2" s="1"/>
  <c r="C145" i="2"/>
  <c r="B145" i="2"/>
  <c r="B145" i="3" s="1"/>
  <c r="A145" i="2"/>
  <c r="A145" i="3" s="1"/>
  <c r="D145" i="3" s="1"/>
  <c r="E144" i="2"/>
  <c r="D144" i="2"/>
  <c r="F144" i="2" s="1"/>
  <c r="C144" i="2"/>
  <c r="B144" i="2"/>
  <c r="B144" i="3" s="1"/>
  <c r="A144" i="2"/>
  <c r="A144" i="3" s="1"/>
  <c r="D144" i="3" s="1"/>
  <c r="E143" i="2"/>
  <c r="D143" i="2"/>
  <c r="F143" i="2" s="1"/>
  <c r="C143" i="2"/>
  <c r="B143" i="2"/>
  <c r="B143" i="3" s="1"/>
  <c r="A143" i="2"/>
  <c r="A143" i="3" s="1"/>
  <c r="D143" i="3" s="1"/>
  <c r="E142" i="2"/>
  <c r="D142" i="2"/>
  <c r="F142" i="2" s="1"/>
  <c r="C142" i="2"/>
  <c r="B142" i="2"/>
  <c r="B142" i="3" s="1"/>
  <c r="A142" i="2"/>
  <c r="A142" i="3" s="1"/>
  <c r="D142" i="3" s="1"/>
  <c r="F141" i="2"/>
  <c r="E141" i="2"/>
  <c r="D141" i="2"/>
  <c r="C141" i="2"/>
  <c r="B141" i="2"/>
  <c r="B141" i="3" s="1"/>
  <c r="A141" i="2"/>
  <c r="A141" i="3" s="1"/>
  <c r="D141" i="3" s="1"/>
  <c r="E140" i="2"/>
  <c r="D140" i="2"/>
  <c r="F140" i="2" s="1"/>
  <c r="C140" i="2"/>
  <c r="B140" i="2"/>
  <c r="B140" i="3" s="1"/>
  <c r="A140" i="2"/>
  <c r="A140" i="3" s="1"/>
  <c r="D140" i="3" s="1"/>
  <c r="F139" i="2"/>
  <c r="E139" i="2"/>
  <c r="D139" i="2"/>
  <c r="C139" i="2"/>
  <c r="B139" i="2"/>
  <c r="B139" i="3" s="1"/>
  <c r="A139" i="2"/>
  <c r="A139" i="3" s="1"/>
  <c r="D139" i="3" s="1"/>
  <c r="E138" i="2"/>
  <c r="D138" i="2"/>
  <c r="F138" i="2" s="1"/>
  <c r="C138" i="2"/>
  <c r="B138" i="2"/>
  <c r="B138" i="3" s="1"/>
  <c r="A138" i="2"/>
  <c r="A138" i="3" s="1"/>
  <c r="D138" i="3" s="1"/>
  <c r="E137" i="2"/>
  <c r="D137" i="2"/>
  <c r="F137" i="2" s="1"/>
  <c r="C137" i="2"/>
  <c r="B137" i="2"/>
  <c r="B137" i="3" s="1"/>
  <c r="A137" i="2"/>
  <c r="A137" i="3" s="1"/>
  <c r="D137" i="3" s="1"/>
  <c r="E136" i="2"/>
  <c r="D136" i="2"/>
  <c r="F136" i="2" s="1"/>
  <c r="C136" i="2"/>
  <c r="B136" i="2"/>
  <c r="A136" i="2"/>
  <c r="A136" i="3" s="1"/>
  <c r="D136" i="3" s="1"/>
  <c r="F135" i="2"/>
  <c r="E135" i="2"/>
  <c r="D135" i="2"/>
  <c r="C135" i="2"/>
  <c r="B135" i="2"/>
  <c r="B135" i="3" s="1"/>
  <c r="A135" i="2"/>
  <c r="A135" i="3" s="1"/>
  <c r="D135" i="3" s="1"/>
  <c r="F134" i="2"/>
  <c r="E134" i="2"/>
  <c r="D134" i="2"/>
  <c r="C134" i="2"/>
  <c r="B134" i="2"/>
  <c r="B134" i="3" s="1"/>
  <c r="A134" i="2"/>
  <c r="A134" i="3" s="1"/>
  <c r="D134" i="3" s="1"/>
  <c r="F133" i="2"/>
  <c r="E133" i="2"/>
  <c r="D133" i="2"/>
  <c r="C133" i="2"/>
  <c r="B133" i="2"/>
  <c r="B133" i="3" s="1"/>
  <c r="A133" i="2"/>
  <c r="E132" i="2"/>
  <c r="D132" i="2"/>
  <c r="F132" i="2" s="1"/>
  <c r="C132" i="2"/>
  <c r="B132" i="2"/>
  <c r="B132" i="3" s="1"/>
  <c r="A132" i="2"/>
  <c r="A132" i="3" s="1"/>
  <c r="D132" i="3" s="1"/>
  <c r="E131" i="2"/>
  <c r="D131" i="2"/>
  <c r="F131" i="2" s="1"/>
  <c r="C131" i="2"/>
  <c r="B131" i="2"/>
  <c r="B131" i="3" s="1"/>
  <c r="A131" i="2"/>
  <c r="A131" i="3" s="1"/>
  <c r="D131" i="3" s="1"/>
  <c r="E130" i="2"/>
  <c r="D130" i="2"/>
  <c r="F130" i="2" s="1"/>
  <c r="C130" i="2"/>
  <c r="B130" i="2"/>
  <c r="B130" i="3" s="1"/>
  <c r="A130" i="2"/>
  <c r="A130" i="3" s="1"/>
  <c r="D130" i="3" s="1"/>
  <c r="E129" i="2"/>
  <c r="D129" i="2"/>
  <c r="F129" i="2" s="1"/>
  <c r="C129" i="2"/>
  <c r="B129" i="2"/>
  <c r="B129" i="3" s="1"/>
  <c r="A129" i="2"/>
  <c r="F128" i="2"/>
  <c r="E128" i="2"/>
  <c r="D128" i="2"/>
  <c r="C128" i="2"/>
  <c r="B128" i="2"/>
  <c r="B128" i="3" s="1"/>
  <c r="A128" i="2"/>
  <c r="A128" i="3" s="1"/>
  <c r="D128" i="3" s="1"/>
  <c r="F127" i="2"/>
  <c r="E127" i="2"/>
  <c r="D127" i="2"/>
  <c r="C127" i="2"/>
  <c r="B127" i="2"/>
  <c r="B127" i="3" s="1"/>
  <c r="A127" i="2"/>
  <c r="A127" i="3" s="1"/>
  <c r="D127" i="3" s="1"/>
  <c r="E126" i="2"/>
  <c r="D126" i="2"/>
  <c r="F126" i="2" s="1"/>
  <c r="C126" i="2"/>
  <c r="B126" i="2"/>
  <c r="A126" i="2"/>
  <c r="A126" i="3" s="1"/>
  <c r="D126" i="3" s="1"/>
  <c r="F125" i="2"/>
  <c r="E125" i="2"/>
  <c r="D125" i="2"/>
  <c r="C125" i="2"/>
  <c r="B125" i="2"/>
  <c r="B125" i="3" s="1"/>
  <c r="A125" i="2"/>
  <c r="A125" i="3" s="1"/>
  <c r="D125" i="3" s="1"/>
  <c r="E124" i="2"/>
  <c r="D124" i="2"/>
  <c r="F124" i="2" s="1"/>
  <c r="C124" i="2"/>
  <c r="B124" i="2"/>
  <c r="B124" i="3" s="1"/>
  <c r="A124" i="2"/>
  <c r="A124" i="3" s="1"/>
  <c r="D124" i="3" s="1"/>
  <c r="E123" i="2"/>
  <c r="D123" i="2"/>
  <c r="F123" i="2" s="1"/>
  <c r="C123" i="2"/>
  <c r="B123" i="2"/>
  <c r="B123" i="3" s="1"/>
  <c r="A123" i="2"/>
  <c r="E122" i="2"/>
  <c r="D122" i="2"/>
  <c r="F122" i="2" s="1"/>
  <c r="C122" i="2"/>
  <c r="B122" i="2"/>
  <c r="A122" i="2"/>
  <c r="A122" i="3" s="1"/>
  <c r="D122" i="3" s="1"/>
  <c r="F121" i="2"/>
  <c r="E121" i="2"/>
  <c r="D121" i="2"/>
  <c r="C121" i="2"/>
  <c r="B121" i="2"/>
  <c r="B121" i="3" s="1"/>
  <c r="A121" i="2"/>
  <c r="A121" i="3" s="1"/>
  <c r="D121" i="3" s="1"/>
  <c r="E120" i="2"/>
  <c r="D120" i="2"/>
  <c r="F120" i="2" s="1"/>
  <c r="C120" i="2"/>
  <c r="B120" i="2"/>
  <c r="B120" i="3" s="1"/>
  <c r="A120" i="2"/>
  <c r="A120" i="3" s="1"/>
  <c r="D120" i="3" s="1"/>
  <c r="F119" i="2"/>
  <c r="E119" i="2"/>
  <c r="D119" i="2"/>
  <c r="C119" i="2"/>
  <c r="B119" i="2"/>
  <c r="B119" i="3" s="1"/>
  <c r="A119" i="2"/>
  <c r="E118" i="2"/>
  <c r="D118" i="2"/>
  <c r="F118" i="2" s="1"/>
  <c r="C118" i="2"/>
  <c r="B118" i="2"/>
  <c r="B118" i="3" s="1"/>
  <c r="A118" i="2"/>
  <c r="A118" i="3" s="1"/>
  <c r="D118" i="3" s="1"/>
  <c r="F117" i="2"/>
  <c r="E117" i="2"/>
  <c r="D117" i="2"/>
  <c r="C117" i="2"/>
  <c r="B117" i="2"/>
  <c r="B117" i="3" s="1"/>
  <c r="A117" i="2"/>
  <c r="E116" i="2"/>
  <c r="D116" i="2"/>
  <c r="F116" i="2" s="1"/>
  <c r="C116" i="2"/>
  <c r="B116" i="2"/>
  <c r="B116" i="3" s="1"/>
  <c r="A116" i="2"/>
  <c r="A116" i="3" s="1"/>
  <c r="D116" i="3" s="1"/>
  <c r="E115" i="2"/>
  <c r="D115" i="2"/>
  <c r="F115" i="2" s="1"/>
  <c r="C115" i="2"/>
  <c r="B115" i="2"/>
  <c r="B115" i="3" s="1"/>
  <c r="A115" i="2"/>
  <c r="A115" i="3" s="1"/>
  <c r="D115" i="3" s="1"/>
  <c r="E114" i="2"/>
  <c r="D114" i="2"/>
  <c r="F114" i="2" s="1"/>
  <c r="C114" i="2"/>
  <c r="B114" i="2"/>
  <c r="B114" i="3" s="1"/>
  <c r="A114" i="2"/>
  <c r="A114" i="3" s="1"/>
  <c r="D114" i="3" s="1"/>
  <c r="E113" i="2"/>
  <c r="D113" i="2"/>
  <c r="F113" i="2" s="1"/>
  <c r="C113" i="2"/>
  <c r="B113" i="2"/>
  <c r="B113" i="3" s="1"/>
  <c r="A113" i="2"/>
  <c r="F112" i="2"/>
  <c r="E112" i="2"/>
  <c r="D112" i="2"/>
  <c r="C112" i="2"/>
  <c r="B112" i="2"/>
  <c r="A112" i="2"/>
  <c r="A112" i="3" s="1"/>
  <c r="D112" i="3" s="1"/>
  <c r="F111" i="2"/>
  <c r="E111" i="2"/>
  <c r="D111" i="2"/>
  <c r="C111" i="2"/>
  <c r="B111" i="2"/>
  <c r="B111" i="3" s="1"/>
  <c r="A111" i="2"/>
  <c r="A111" i="3" s="1"/>
  <c r="D111" i="3" s="1"/>
  <c r="E110" i="2"/>
  <c r="D110" i="2"/>
  <c r="F110" i="2" s="1"/>
  <c r="C110" i="2"/>
  <c r="B110" i="2"/>
  <c r="M110" i="2" s="1"/>
  <c r="N110" i="2" s="1"/>
  <c r="A110" i="2"/>
  <c r="A110" i="3" s="1"/>
  <c r="D110" i="3" s="1"/>
  <c r="E109" i="2"/>
  <c r="D109" i="2"/>
  <c r="F109" i="2" s="1"/>
  <c r="C109" i="2"/>
  <c r="B109" i="2"/>
  <c r="B109" i="3" s="1"/>
  <c r="A109" i="2"/>
  <c r="E108" i="2"/>
  <c r="D108" i="2"/>
  <c r="F108" i="2" s="1"/>
  <c r="C108" i="2"/>
  <c r="B108" i="2"/>
  <c r="B108" i="3" s="1"/>
  <c r="A108" i="2"/>
  <c r="A108" i="3" s="1"/>
  <c r="D108" i="3" s="1"/>
  <c r="E107" i="2"/>
  <c r="D107" i="2"/>
  <c r="F107" i="2" s="1"/>
  <c r="C107" i="2"/>
  <c r="B107" i="2"/>
  <c r="B107" i="3" s="1"/>
  <c r="A107" i="2"/>
  <c r="E106" i="2"/>
  <c r="D106" i="2"/>
  <c r="F106" i="2" s="1"/>
  <c r="C106" i="2"/>
  <c r="B106" i="2"/>
  <c r="B106" i="3" s="1"/>
  <c r="A106" i="2"/>
  <c r="A106" i="3" s="1"/>
  <c r="D106" i="3" s="1"/>
  <c r="F105" i="2"/>
  <c r="E105" i="2"/>
  <c r="D105" i="2"/>
  <c r="C105" i="2"/>
  <c r="B105" i="2"/>
  <c r="B105" i="3" s="1"/>
  <c r="A105" i="2"/>
  <c r="A105" i="3" s="1"/>
  <c r="D105" i="3" s="1"/>
  <c r="F104" i="2"/>
  <c r="E104" i="2"/>
  <c r="D104" i="2"/>
  <c r="C104" i="2"/>
  <c r="B104" i="2"/>
  <c r="B104" i="3" s="1"/>
  <c r="A104" i="2"/>
  <c r="A104" i="3" s="1"/>
  <c r="D104" i="3" s="1"/>
  <c r="F103" i="2"/>
  <c r="E103" i="2"/>
  <c r="D103" i="2"/>
  <c r="C103" i="2"/>
  <c r="B103" i="2"/>
  <c r="B103" i="3" s="1"/>
  <c r="A103" i="2"/>
  <c r="E102" i="2"/>
  <c r="D102" i="2"/>
  <c r="F102" i="2" s="1"/>
  <c r="C102" i="2"/>
  <c r="B102" i="2"/>
  <c r="A102" i="2"/>
  <c r="A102" i="3" s="1"/>
  <c r="D102" i="3" s="1"/>
  <c r="E101" i="2"/>
  <c r="D101" i="2"/>
  <c r="F101" i="2" s="1"/>
  <c r="C101" i="2"/>
  <c r="B101" i="2"/>
  <c r="B101" i="3" s="1"/>
  <c r="A101" i="2"/>
  <c r="A101" i="3" s="1"/>
  <c r="D101" i="3" s="1"/>
  <c r="E100" i="2"/>
  <c r="D100" i="2"/>
  <c r="F100" i="2" s="1"/>
  <c r="C100" i="2"/>
  <c r="B100" i="2"/>
  <c r="A100" i="2"/>
  <c r="A100" i="3" s="1"/>
  <c r="D100" i="3" s="1"/>
  <c r="E99" i="2"/>
  <c r="D99" i="2"/>
  <c r="F99" i="2" s="1"/>
  <c r="C99" i="2"/>
  <c r="B99" i="2"/>
  <c r="B99" i="3" s="1"/>
  <c r="A99" i="2"/>
  <c r="E98" i="2"/>
  <c r="D98" i="2"/>
  <c r="F98" i="2" s="1"/>
  <c r="C98" i="2"/>
  <c r="B98" i="2"/>
  <c r="B98" i="3" s="1"/>
  <c r="A98" i="2"/>
  <c r="A98" i="3" s="1"/>
  <c r="D98" i="3" s="1"/>
  <c r="F97" i="2"/>
  <c r="E97" i="2"/>
  <c r="D97" i="2"/>
  <c r="C97" i="2"/>
  <c r="B97" i="2"/>
  <c r="B97" i="3" s="1"/>
  <c r="A97" i="2"/>
  <c r="E96" i="2"/>
  <c r="D96" i="2"/>
  <c r="F96" i="2" s="1"/>
  <c r="C96" i="2"/>
  <c r="B96" i="2"/>
  <c r="B96" i="3" s="1"/>
  <c r="A96" i="2"/>
  <c r="A96" i="3" s="1"/>
  <c r="D96" i="3" s="1"/>
  <c r="F95" i="2"/>
  <c r="E95" i="2"/>
  <c r="D95" i="2"/>
  <c r="C95" i="2"/>
  <c r="B95" i="2"/>
  <c r="B95" i="3" s="1"/>
  <c r="A95" i="2"/>
  <c r="A95" i="3" s="1"/>
  <c r="D95" i="3" s="1"/>
  <c r="E94" i="2"/>
  <c r="D94" i="2"/>
  <c r="F94" i="2" s="1"/>
  <c r="C94" i="2"/>
  <c r="B94" i="2"/>
  <c r="B94" i="3" s="1"/>
  <c r="A94" i="2"/>
  <c r="A94" i="3" s="1"/>
  <c r="D94" i="3" s="1"/>
  <c r="E93" i="2"/>
  <c r="D93" i="2"/>
  <c r="F93" i="2" s="1"/>
  <c r="C93" i="2"/>
  <c r="B93" i="2"/>
  <c r="B93" i="3" s="1"/>
  <c r="A93" i="2"/>
  <c r="E92" i="2"/>
  <c r="D92" i="2"/>
  <c r="F92" i="2" s="1"/>
  <c r="C92" i="2"/>
  <c r="B92" i="2"/>
  <c r="A92" i="2"/>
  <c r="A92" i="3" s="1"/>
  <c r="D92" i="3" s="1"/>
  <c r="F91" i="2"/>
  <c r="E91" i="2"/>
  <c r="D91" i="2"/>
  <c r="C91" i="2"/>
  <c r="B91" i="2"/>
  <c r="B91" i="3" s="1"/>
  <c r="A91" i="2"/>
  <c r="A91" i="3" s="1"/>
  <c r="D91" i="3" s="1"/>
  <c r="E90" i="2"/>
  <c r="D90" i="2"/>
  <c r="F90" i="2" s="1"/>
  <c r="C90" i="2"/>
  <c r="B90" i="2"/>
  <c r="A90" i="2"/>
  <c r="F89" i="2"/>
  <c r="E89" i="2"/>
  <c r="D89" i="2"/>
  <c r="C89" i="2"/>
  <c r="B89" i="2"/>
  <c r="B89" i="3" s="1"/>
  <c r="A89" i="2"/>
  <c r="E88" i="2"/>
  <c r="D88" i="2"/>
  <c r="F88" i="2" s="1"/>
  <c r="C88" i="2"/>
  <c r="B88" i="2"/>
  <c r="B88" i="3" s="1"/>
  <c r="A88" i="2"/>
  <c r="A88" i="3" s="1"/>
  <c r="D88" i="3" s="1"/>
  <c r="E87" i="2"/>
  <c r="D87" i="2"/>
  <c r="F87" i="2" s="1"/>
  <c r="C87" i="2"/>
  <c r="B87" i="2"/>
  <c r="B87" i="3" s="1"/>
  <c r="A87" i="2"/>
  <c r="E86" i="2"/>
  <c r="D86" i="2"/>
  <c r="F86" i="2" s="1"/>
  <c r="C86" i="2"/>
  <c r="B86" i="2"/>
  <c r="B86" i="3" s="1"/>
  <c r="A86" i="2"/>
  <c r="A86" i="3" s="1"/>
  <c r="D86" i="3" s="1"/>
  <c r="E85" i="2"/>
  <c r="D85" i="2"/>
  <c r="F85" i="2" s="1"/>
  <c r="C85" i="2"/>
  <c r="B85" i="2"/>
  <c r="B85" i="3" s="1"/>
  <c r="A85" i="2"/>
  <c r="A85" i="3" s="1"/>
  <c r="D85" i="3" s="1"/>
  <c r="F84" i="2"/>
  <c r="E84" i="2"/>
  <c r="D84" i="2"/>
  <c r="C84" i="2"/>
  <c r="B84" i="2"/>
  <c r="B84" i="3" s="1"/>
  <c r="A84" i="2"/>
  <c r="A84" i="3" s="1"/>
  <c r="D84" i="3" s="1"/>
  <c r="F83" i="2"/>
  <c r="E83" i="2"/>
  <c r="D83" i="2"/>
  <c r="C83" i="2"/>
  <c r="B83" i="2"/>
  <c r="A83" i="2"/>
  <c r="F82" i="2"/>
  <c r="E82" i="2"/>
  <c r="D82" i="2"/>
  <c r="C82" i="2"/>
  <c r="B82" i="2"/>
  <c r="A82" i="2"/>
  <c r="A82" i="3" s="1"/>
  <c r="D82" i="3" s="1"/>
  <c r="E81" i="2"/>
  <c r="D81" i="2"/>
  <c r="F81" i="2" s="1"/>
  <c r="C81" i="2"/>
  <c r="B81" i="2"/>
  <c r="B81" i="3" s="1"/>
  <c r="A81" i="2"/>
  <c r="A81" i="3" s="1"/>
  <c r="D81" i="3" s="1"/>
  <c r="E80" i="2"/>
  <c r="D80" i="2"/>
  <c r="F80" i="2" s="1"/>
  <c r="C80" i="2"/>
  <c r="B80" i="2"/>
  <c r="A80" i="2"/>
  <c r="E79" i="2"/>
  <c r="D79" i="2"/>
  <c r="F79" i="2" s="1"/>
  <c r="C79" i="2"/>
  <c r="B79" i="2"/>
  <c r="B79" i="3" s="1"/>
  <c r="A79" i="2"/>
  <c r="E78" i="2"/>
  <c r="D78" i="2"/>
  <c r="F78" i="2" s="1"/>
  <c r="C78" i="2"/>
  <c r="B78" i="2"/>
  <c r="B78" i="3" s="1"/>
  <c r="A78" i="2"/>
  <c r="A78" i="3" s="1"/>
  <c r="D78" i="3" s="1"/>
  <c r="F77" i="2"/>
  <c r="E77" i="2"/>
  <c r="D77" i="2"/>
  <c r="C77" i="2"/>
  <c r="B77" i="2"/>
  <c r="B77" i="3" s="1"/>
  <c r="A77" i="2"/>
  <c r="E76" i="2"/>
  <c r="D76" i="2"/>
  <c r="F76" i="2" s="1"/>
  <c r="C76" i="2"/>
  <c r="B76" i="2"/>
  <c r="B76" i="3" s="1"/>
  <c r="A76" i="2"/>
  <c r="A76" i="3" s="1"/>
  <c r="D76" i="3" s="1"/>
  <c r="F75" i="2"/>
  <c r="E75" i="2"/>
  <c r="D75" i="2"/>
  <c r="C75" i="2"/>
  <c r="B75" i="2"/>
  <c r="B75" i="3" s="1"/>
  <c r="A75" i="2"/>
  <c r="A75" i="3" s="1"/>
  <c r="D75" i="3" s="1"/>
  <c r="E74" i="2"/>
  <c r="D74" i="2"/>
  <c r="F74" i="2" s="1"/>
  <c r="C74" i="2"/>
  <c r="B74" i="2"/>
  <c r="B74" i="3" s="1"/>
  <c r="A74" i="2"/>
  <c r="A74" i="3" s="1"/>
  <c r="D74" i="3" s="1"/>
  <c r="E73" i="2"/>
  <c r="D73" i="2"/>
  <c r="F73" i="2" s="1"/>
  <c r="C73" i="2"/>
  <c r="B73" i="2"/>
  <c r="A73" i="2"/>
  <c r="F72" i="2"/>
  <c r="E72" i="2"/>
  <c r="D72" i="2"/>
  <c r="C72" i="2"/>
  <c r="B72" i="2"/>
  <c r="A72" i="2"/>
  <c r="A72" i="3" s="1"/>
  <c r="D72" i="3" s="1"/>
  <c r="F71" i="2"/>
  <c r="E71" i="2"/>
  <c r="D71" i="2"/>
  <c r="C71" i="2"/>
  <c r="B71" i="2"/>
  <c r="B71" i="3" s="1"/>
  <c r="A71" i="2"/>
  <c r="A71" i="3" s="1"/>
  <c r="D71" i="3" s="1"/>
  <c r="E70" i="2"/>
  <c r="D70" i="2"/>
  <c r="F70" i="2" s="1"/>
  <c r="C70" i="2"/>
  <c r="B70" i="2"/>
  <c r="A70" i="2"/>
  <c r="F69" i="2"/>
  <c r="E69" i="2"/>
  <c r="D69" i="2"/>
  <c r="C69" i="2"/>
  <c r="B69" i="2"/>
  <c r="B69" i="3" s="1"/>
  <c r="A69" i="2"/>
  <c r="E68" i="2"/>
  <c r="D68" i="2"/>
  <c r="F68" i="2" s="1"/>
  <c r="C68" i="2"/>
  <c r="B68" i="2"/>
  <c r="B68" i="3" s="1"/>
  <c r="A68" i="2"/>
  <c r="A68" i="3" s="1"/>
  <c r="D68" i="3" s="1"/>
  <c r="E67" i="2"/>
  <c r="D67" i="2"/>
  <c r="F67" i="2" s="1"/>
  <c r="C67" i="2"/>
  <c r="B67" i="2"/>
  <c r="B67" i="3" s="1"/>
  <c r="A67" i="2"/>
  <c r="E66" i="2"/>
  <c r="D66" i="2"/>
  <c r="F66" i="2" s="1"/>
  <c r="C66" i="2"/>
  <c r="B66" i="2"/>
  <c r="B66" i="3" s="1"/>
  <c r="A66" i="2"/>
  <c r="F65" i="2"/>
  <c r="E65" i="2"/>
  <c r="D65" i="2"/>
  <c r="C65" i="2"/>
  <c r="B65" i="2"/>
  <c r="B65" i="3" s="1"/>
  <c r="A65" i="2"/>
  <c r="A65" i="3" s="1"/>
  <c r="D65" i="3" s="1"/>
  <c r="F64" i="2"/>
  <c r="E64" i="2"/>
  <c r="D64" i="2"/>
  <c r="C64" i="2"/>
  <c r="B64" i="2"/>
  <c r="B64" i="3" s="1"/>
  <c r="A64" i="2"/>
  <c r="A64" i="3" s="1"/>
  <c r="D64" i="3" s="1"/>
  <c r="F63" i="2"/>
  <c r="E63" i="2"/>
  <c r="D63" i="2"/>
  <c r="C63" i="2"/>
  <c r="B63" i="2"/>
  <c r="A63" i="2"/>
  <c r="E62" i="2"/>
  <c r="D62" i="2"/>
  <c r="F62" i="2" s="1"/>
  <c r="C62" i="2"/>
  <c r="B62" i="2"/>
  <c r="A62" i="2"/>
  <c r="A62" i="3" s="1"/>
  <c r="D62" i="3" s="1"/>
  <c r="E61" i="2"/>
  <c r="D61" i="2"/>
  <c r="F61" i="2" s="1"/>
  <c r="C61" i="2"/>
  <c r="B61" i="2"/>
  <c r="B61" i="3" s="1"/>
  <c r="A61" i="2"/>
  <c r="A61" i="3" s="1"/>
  <c r="D61" i="3" s="1"/>
  <c r="E60" i="2"/>
  <c r="D60" i="2"/>
  <c r="F60" i="2" s="1"/>
  <c r="C60" i="2"/>
  <c r="B60" i="2"/>
  <c r="A60" i="2"/>
  <c r="E59" i="2"/>
  <c r="D59" i="2"/>
  <c r="F59" i="2" s="1"/>
  <c r="C59" i="2"/>
  <c r="B59" i="2"/>
  <c r="B59" i="3" s="1"/>
  <c r="A59" i="2"/>
  <c r="F58" i="2"/>
  <c r="E58" i="2"/>
  <c r="D58" i="2"/>
  <c r="C58" i="2"/>
  <c r="B58" i="2"/>
  <c r="B58" i="3" s="1"/>
  <c r="A58" i="2"/>
  <c r="A58" i="3" s="1"/>
  <c r="D58" i="3" s="1"/>
  <c r="F57" i="2"/>
  <c r="E57" i="2"/>
  <c r="D57" i="2"/>
  <c r="C57" i="2"/>
  <c r="B57" i="2"/>
  <c r="B57" i="3" s="1"/>
  <c r="A57" i="2"/>
  <c r="E56" i="2"/>
  <c r="D56" i="2"/>
  <c r="F56" i="2" s="1"/>
  <c r="C56" i="2"/>
  <c r="B56" i="2"/>
  <c r="B56" i="3" s="1"/>
  <c r="A56" i="2"/>
  <c r="F55" i="2"/>
  <c r="E55" i="2"/>
  <c r="D55" i="2"/>
  <c r="C55" i="2"/>
  <c r="B55" i="2"/>
  <c r="B55" i="3" s="1"/>
  <c r="A55" i="2"/>
  <c r="A55" i="3" s="1"/>
  <c r="D55" i="3" s="1"/>
  <c r="E54" i="2"/>
  <c r="D54" i="2"/>
  <c r="F54" i="2" s="1"/>
  <c r="C54" i="2"/>
  <c r="B54" i="2"/>
  <c r="B54" i="3" s="1"/>
  <c r="A54" i="2"/>
  <c r="A54" i="3" s="1"/>
  <c r="D54" i="3" s="1"/>
  <c r="E53" i="2"/>
  <c r="D53" i="2"/>
  <c r="F53" i="2" s="1"/>
  <c r="C53" i="2"/>
  <c r="B53" i="2"/>
  <c r="A53" i="2"/>
  <c r="E52" i="2"/>
  <c r="D52" i="2"/>
  <c r="F52" i="2" s="1"/>
  <c r="C52" i="2"/>
  <c r="B52" i="2"/>
  <c r="A52" i="2"/>
  <c r="A52" i="3" s="1"/>
  <c r="D52" i="3" s="1"/>
  <c r="F51" i="2"/>
  <c r="E51" i="2"/>
  <c r="D51" i="2"/>
  <c r="C51" i="2"/>
  <c r="B51" i="2"/>
  <c r="B51" i="3" s="1"/>
  <c r="A51" i="2"/>
  <c r="A51" i="3" s="1"/>
  <c r="D51" i="3" s="1"/>
  <c r="E50" i="2"/>
  <c r="D50" i="2"/>
  <c r="F50" i="2" s="1"/>
  <c r="C50" i="2"/>
  <c r="B50" i="2"/>
  <c r="B50" i="3" s="1"/>
  <c r="A50" i="2"/>
  <c r="F49" i="2"/>
  <c r="E49" i="2"/>
  <c r="D49" i="2"/>
  <c r="C49" i="2"/>
  <c r="B49" i="2"/>
  <c r="B49" i="3" s="1"/>
  <c r="A49" i="2"/>
  <c r="A49" i="3" s="1"/>
  <c r="D49" i="3" s="1"/>
  <c r="E48" i="2"/>
  <c r="D48" i="2"/>
  <c r="F48" i="2" s="1"/>
  <c r="C48" i="2"/>
  <c r="B48" i="2"/>
  <c r="B48" i="3" s="1"/>
  <c r="A48" i="2"/>
  <c r="A48" i="3" s="1"/>
  <c r="D48" i="3" s="1"/>
  <c r="E47" i="2"/>
  <c r="D47" i="2"/>
  <c r="F47" i="2" s="1"/>
  <c r="C47" i="2"/>
  <c r="B47" i="2"/>
  <c r="A47" i="2"/>
  <c r="E46" i="2"/>
  <c r="D46" i="2"/>
  <c r="F46" i="2" s="1"/>
  <c r="C46" i="2"/>
  <c r="B46" i="2"/>
  <c r="B46" i="3" s="1"/>
  <c r="A46" i="2"/>
  <c r="A46" i="3" s="1"/>
  <c r="D46" i="3" s="1"/>
  <c r="E45" i="2"/>
  <c r="D45" i="2"/>
  <c r="F45" i="2" s="1"/>
  <c r="C45" i="2"/>
  <c r="B45" i="2"/>
  <c r="B45" i="3" s="1"/>
  <c r="A45" i="2"/>
  <c r="A45" i="3" s="1"/>
  <c r="D45" i="3" s="1"/>
  <c r="F44" i="2"/>
  <c r="E44" i="2"/>
  <c r="D44" i="2"/>
  <c r="C44" i="2"/>
  <c r="B44" i="2"/>
  <c r="A44" i="2"/>
  <c r="A44" i="3" s="1"/>
  <c r="D44" i="3" s="1"/>
  <c r="F43" i="2"/>
  <c r="E43" i="2"/>
  <c r="D43" i="2"/>
  <c r="C43" i="2"/>
  <c r="B43" i="2"/>
  <c r="B43" i="3" s="1"/>
  <c r="A43" i="2"/>
  <c r="E42" i="2"/>
  <c r="D42" i="2"/>
  <c r="F42" i="2" s="1"/>
  <c r="C42" i="2"/>
  <c r="B42" i="2"/>
  <c r="A42" i="2"/>
  <c r="A42" i="3" s="1"/>
  <c r="D42" i="3" s="1"/>
  <c r="E41" i="2"/>
  <c r="D41" i="2"/>
  <c r="F41" i="2" s="1"/>
  <c r="C41" i="2"/>
  <c r="B41" i="2"/>
  <c r="B41" i="3" s="1"/>
  <c r="A41" i="2"/>
  <c r="A41" i="3" s="1"/>
  <c r="D41" i="3" s="1"/>
  <c r="E40" i="2"/>
  <c r="D40" i="2"/>
  <c r="F40" i="2" s="1"/>
  <c r="C40" i="2"/>
  <c r="B40" i="2"/>
  <c r="B40" i="3" s="1"/>
  <c r="A40" i="2"/>
  <c r="E39" i="2"/>
  <c r="D39" i="2"/>
  <c r="F39" i="2" s="1"/>
  <c r="C39" i="2"/>
  <c r="B39" i="2"/>
  <c r="B39" i="3" s="1"/>
  <c r="A39" i="2"/>
  <c r="A39" i="3" s="1"/>
  <c r="D39" i="3" s="1"/>
  <c r="F38" i="2"/>
  <c r="E38" i="2"/>
  <c r="D38" i="2"/>
  <c r="C38" i="2"/>
  <c r="B38" i="2"/>
  <c r="A38" i="2"/>
  <c r="A38" i="3" s="1"/>
  <c r="D38" i="3" s="1"/>
  <c r="F37" i="2"/>
  <c r="E37" i="2"/>
  <c r="D37" i="2"/>
  <c r="C37" i="2"/>
  <c r="B37" i="2"/>
  <c r="B37" i="3" s="1"/>
  <c r="A37" i="2"/>
  <c r="A37" i="3" s="1"/>
  <c r="D37" i="3" s="1"/>
  <c r="E36" i="2"/>
  <c r="D36" i="2"/>
  <c r="F36" i="2" s="1"/>
  <c r="C36" i="2"/>
  <c r="B36" i="2"/>
  <c r="A36" i="2"/>
  <c r="A36" i="3" s="1"/>
  <c r="D36" i="3" s="1"/>
  <c r="E35" i="2"/>
  <c r="D35" i="2"/>
  <c r="F35" i="2" s="1"/>
  <c r="C35" i="2"/>
  <c r="B35" i="2"/>
  <c r="B35" i="3" s="1"/>
  <c r="A35" i="2"/>
  <c r="A35" i="3" s="1"/>
  <c r="D35" i="3" s="1"/>
  <c r="E34" i="2"/>
  <c r="D34" i="2"/>
  <c r="F34" i="2" s="1"/>
  <c r="C34" i="2"/>
  <c r="B34" i="2"/>
  <c r="A34" i="2"/>
  <c r="A34" i="3" s="1"/>
  <c r="D34" i="3" s="1"/>
  <c r="E33" i="2"/>
  <c r="D33" i="2"/>
  <c r="F33" i="2" s="1"/>
  <c r="C33" i="2"/>
  <c r="B33" i="2"/>
  <c r="B33" i="3" s="1"/>
  <c r="A33" i="2"/>
  <c r="A33" i="3" s="1"/>
  <c r="D33" i="3" s="1"/>
  <c r="E32" i="2"/>
  <c r="D32" i="2"/>
  <c r="F32" i="2" s="1"/>
  <c r="C32" i="2"/>
  <c r="B32" i="2"/>
  <c r="A32" i="2"/>
  <c r="A32" i="3" s="1"/>
  <c r="D32" i="3" s="1"/>
  <c r="E31" i="2"/>
  <c r="D31" i="2"/>
  <c r="F31" i="2" s="1"/>
  <c r="C31" i="2"/>
  <c r="B31" i="2"/>
  <c r="B31" i="3" s="1"/>
  <c r="A31" i="2"/>
  <c r="A31" i="3" s="1"/>
  <c r="D31" i="3" s="1"/>
  <c r="F30" i="2"/>
  <c r="E30" i="2"/>
  <c r="D30" i="2"/>
  <c r="C30" i="2"/>
  <c r="B30" i="2"/>
  <c r="A30" i="2"/>
  <c r="A30" i="3" s="1"/>
  <c r="D30" i="3" s="1"/>
  <c r="F29" i="2"/>
  <c r="E29" i="2"/>
  <c r="D29" i="2"/>
  <c r="C29" i="2"/>
  <c r="B29" i="2"/>
  <c r="B29" i="3" s="1"/>
  <c r="A29" i="2"/>
  <c r="A29" i="3" s="1"/>
  <c r="D29" i="3" s="1"/>
  <c r="E28" i="2"/>
  <c r="D28" i="2"/>
  <c r="F28" i="2" s="1"/>
  <c r="C28" i="2"/>
  <c r="B28" i="2"/>
  <c r="A28" i="2"/>
  <c r="A28" i="3" s="1"/>
  <c r="D28" i="3" s="1"/>
  <c r="E27" i="2"/>
  <c r="D27" i="2"/>
  <c r="F27" i="2" s="1"/>
  <c r="C27" i="2"/>
  <c r="B27" i="2"/>
  <c r="B27" i="3" s="1"/>
  <c r="A27" i="2"/>
  <c r="A27" i="3" s="1"/>
  <c r="D27" i="3" s="1"/>
  <c r="E26" i="2"/>
  <c r="D26" i="2"/>
  <c r="F26" i="2" s="1"/>
  <c r="C26" i="2"/>
  <c r="B26" i="2"/>
  <c r="A26" i="2"/>
  <c r="A26" i="3" s="1"/>
  <c r="D26" i="3" s="1"/>
  <c r="E25" i="2"/>
  <c r="D25" i="2"/>
  <c r="F25" i="2" s="1"/>
  <c r="C25" i="2"/>
  <c r="B25" i="2"/>
  <c r="B25" i="3" s="1"/>
  <c r="A25" i="2"/>
  <c r="A25" i="3" s="1"/>
  <c r="D25" i="3" s="1"/>
  <c r="F24" i="2"/>
  <c r="E24" i="2"/>
  <c r="D24" i="2"/>
  <c r="C24" i="2"/>
  <c r="B24" i="2"/>
  <c r="A24" i="2"/>
  <c r="A24" i="3" s="1"/>
  <c r="D24" i="3" s="1"/>
  <c r="E23" i="2"/>
  <c r="D23" i="2"/>
  <c r="F23" i="2" s="1"/>
  <c r="C23" i="2"/>
  <c r="B23" i="2"/>
  <c r="B23" i="3" s="1"/>
  <c r="A23" i="2"/>
  <c r="A23" i="3" s="1"/>
  <c r="D23" i="3" s="1"/>
  <c r="F22" i="2"/>
  <c r="E22" i="2"/>
  <c r="D22" i="2"/>
  <c r="C22" i="2"/>
  <c r="B22" i="2"/>
  <c r="A22" i="2"/>
  <c r="A22" i="3" s="1"/>
  <c r="D22" i="3" s="1"/>
  <c r="E21" i="2"/>
  <c r="D21" i="2"/>
  <c r="F21" i="2" s="1"/>
  <c r="C21" i="2"/>
  <c r="B21" i="2"/>
  <c r="B21" i="3" s="1"/>
  <c r="A21" i="2"/>
  <c r="A21" i="3" s="1"/>
  <c r="D21" i="3" s="1"/>
  <c r="E20" i="2"/>
  <c r="D20" i="2"/>
  <c r="F20" i="2" s="1"/>
  <c r="C20" i="2"/>
  <c r="B20" i="2"/>
  <c r="A20" i="2"/>
  <c r="A20" i="3" s="1"/>
  <c r="D20" i="3" s="1"/>
  <c r="E19" i="2"/>
  <c r="D19" i="2"/>
  <c r="F19" i="2" s="1"/>
  <c r="C19" i="2"/>
  <c r="B19" i="2"/>
  <c r="B19" i="3" s="1"/>
  <c r="A19" i="2"/>
  <c r="A19" i="3" s="1"/>
  <c r="D19" i="3" s="1"/>
  <c r="E18" i="2"/>
  <c r="D18" i="2"/>
  <c r="F18" i="2" s="1"/>
  <c r="C18" i="2"/>
  <c r="B18" i="2"/>
  <c r="A18" i="2"/>
  <c r="A18" i="3" s="1"/>
  <c r="D18" i="3" s="1"/>
  <c r="F17" i="2"/>
  <c r="E17" i="2"/>
  <c r="D17" i="2"/>
  <c r="C17" i="2"/>
  <c r="B17" i="2"/>
  <c r="B17" i="3" s="1"/>
  <c r="A17" i="2"/>
  <c r="A17" i="3" s="1"/>
  <c r="D17" i="3" s="1"/>
  <c r="F16" i="2"/>
  <c r="E16" i="2"/>
  <c r="D16" i="2"/>
  <c r="C16" i="2"/>
  <c r="B16" i="2"/>
  <c r="A16" i="2"/>
  <c r="A16" i="3" s="1"/>
  <c r="D16" i="3" s="1"/>
  <c r="E15" i="2"/>
  <c r="D15" i="2"/>
  <c r="F15" i="2" s="1"/>
  <c r="C15" i="2"/>
  <c r="B15" i="2"/>
  <c r="B15" i="3" s="1"/>
  <c r="A15" i="2"/>
  <c r="A15" i="3" s="1"/>
  <c r="D15" i="3" s="1"/>
  <c r="E14" i="2"/>
  <c r="D14" i="2"/>
  <c r="F14" i="2" s="1"/>
  <c r="C14" i="2"/>
  <c r="B14" i="2"/>
  <c r="A14" i="2"/>
  <c r="A14" i="3" s="1"/>
  <c r="D14" i="3" s="1"/>
  <c r="E13" i="2"/>
  <c r="D13" i="2"/>
  <c r="F13" i="2" s="1"/>
  <c r="C13" i="2"/>
  <c r="B13" i="2"/>
  <c r="B13" i="3" s="1"/>
  <c r="A13" i="2"/>
  <c r="A13" i="3" s="1"/>
  <c r="D13" i="3" s="1"/>
  <c r="E12" i="2"/>
  <c r="D12" i="2"/>
  <c r="F12" i="2" s="1"/>
  <c r="C12" i="2"/>
  <c r="B12" i="2"/>
  <c r="A12" i="2"/>
  <c r="A12" i="3" s="1"/>
  <c r="D12" i="3" s="1"/>
  <c r="E11" i="2"/>
  <c r="D11" i="2"/>
  <c r="F11" i="2" s="1"/>
  <c r="C11" i="2"/>
  <c r="B11" i="2"/>
  <c r="B11" i="3" s="1"/>
  <c r="A11" i="2"/>
  <c r="A11" i="3" s="1"/>
  <c r="D11" i="3" s="1"/>
  <c r="E10" i="2"/>
  <c r="D10" i="2"/>
  <c r="F10" i="2" s="1"/>
  <c r="C10" i="2"/>
  <c r="B10" i="2"/>
  <c r="A10" i="2"/>
  <c r="A10" i="3" s="1"/>
  <c r="D10" i="3" s="1"/>
  <c r="F9" i="2"/>
  <c r="E9" i="2"/>
  <c r="D9" i="2"/>
  <c r="C9" i="2"/>
  <c r="B9" i="2"/>
  <c r="B9" i="3" s="1"/>
  <c r="A9" i="2"/>
  <c r="A9" i="3" s="1"/>
  <c r="D9" i="3" s="1"/>
  <c r="F8" i="2"/>
  <c r="E8" i="2"/>
  <c r="D8" i="2"/>
  <c r="C8" i="2"/>
  <c r="B8" i="2"/>
  <c r="A8" i="2"/>
  <c r="A8" i="3" s="1"/>
  <c r="D8" i="3" s="1"/>
  <c r="B3" i="2"/>
  <c r="M63" i="2" l="1"/>
  <c r="N63" i="2" s="1"/>
  <c r="M70" i="2"/>
  <c r="N70" i="2" s="1"/>
  <c r="M53" i="2"/>
  <c r="N53" i="2" s="1"/>
  <c r="M100" i="2"/>
  <c r="N100" i="2" s="1"/>
  <c r="M60" i="2"/>
  <c r="N60" i="2" s="1"/>
  <c r="B264" i="4"/>
  <c r="C264" i="4" s="1"/>
  <c r="B261" i="4"/>
  <c r="C261" i="4" s="1"/>
  <c r="B244" i="4"/>
  <c r="C244" i="4" s="1"/>
  <c r="B241" i="4"/>
  <c r="C241" i="4" s="1"/>
  <c r="B224" i="4"/>
  <c r="C224" i="4" s="1"/>
  <c r="B221" i="4"/>
  <c r="C221" i="4" s="1"/>
  <c r="B204" i="4"/>
  <c r="C204" i="4" s="1"/>
  <c r="B201" i="4"/>
  <c r="C201" i="4" s="1"/>
  <c r="B184" i="4"/>
  <c r="C184" i="4" s="1"/>
  <c r="B181" i="4"/>
  <c r="C181" i="4" s="1"/>
  <c r="B173" i="4"/>
  <c r="C173" i="4" s="1"/>
  <c r="B162" i="4"/>
  <c r="C162" i="4" s="1"/>
  <c r="B153" i="4"/>
  <c r="C153" i="4" s="1"/>
  <c r="B142" i="4"/>
  <c r="C142" i="4" s="1"/>
  <c r="B133" i="4"/>
  <c r="C133" i="4" s="1"/>
  <c r="B122" i="4"/>
  <c r="C122" i="4" s="1"/>
  <c r="B113" i="4"/>
  <c r="C113" i="4" s="1"/>
  <c r="B102" i="4"/>
  <c r="C102" i="4" s="1"/>
  <c r="B258" i="4"/>
  <c r="C258" i="4" s="1"/>
  <c r="B255" i="4"/>
  <c r="C255" i="4" s="1"/>
  <c r="B238" i="4"/>
  <c r="C238" i="4" s="1"/>
  <c r="B235" i="4"/>
  <c r="C235" i="4" s="1"/>
  <c r="B218" i="4"/>
  <c r="C218" i="4" s="1"/>
  <c r="B215" i="4"/>
  <c r="C215" i="4" s="1"/>
  <c r="B198" i="4"/>
  <c r="C198" i="4" s="1"/>
  <c r="B195" i="4"/>
  <c r="C195" i="4" s="1"/>
  <c r="B178" i="4"/>
  <c r="C178" i="4" s="1"/>
  <c r="B175" i="4"/>
  <c r="C175" i="4" s="1"/>
  <c r="B164" i="4"/>
  <c r="C164" i="4" s="1"/>
  <c r="B155" i="4"/>
  <c r="C155" i="4" s="1"/>
  <c r="B144" i="4"/>
  <c r="C144" i="4" s="1"/>
  <c r="B135" i="4"/>
  <c r="C135" i="4" s="1"/>
  <c r="B124" i="4"/>
  <c r="C124" i="4" s="1"/>
  <c r="B115" i="4"/>
  <c r="C115" i="4" s="1"/>
  <c r="B104" i="4"/>
  <c r="C104" i="4" s="1"/>
  <c r="B266" i="4"/>
  <c r="C266" i="4" s="1"/>
  <c r="B262" i="4"/>
  <c r="C262" i="4" s="1"/>
  <c r="B251" i="4"/>
  <c r="C251" i="4" s="1"/>
  <c r="B230" i="4"/>
  <c r="C230" i="4" s="1"/>
  <c r="B226" i="4"/>
  <c r="C226" i="4" s="1"/>
  <c r="B219" i="4"/>
  <c r="C219" i="4" s="1"/>
  <c r="B194" i="4"/>
  <c r="C194" i="4" s="1"/>
  <c r="B187" i="4"/>
  <c r="C187" i="4" s="1"/>
  <c r="B183" i="4"/>
  <c r="C183" i="4" s="1"/>
  <c r="B159" i="4"/>
  <c r="C159" i="4" s="1"/>
  <c r="B151" i="4"/>
  <c r="C151" i="4" s="1"/>
  <c r="B148" i="4"/>
  <c r="C148" i="4" s="1"/>
  <c r="B140" i="4"/>
  <c r="C140" i="4" s="1"/>
  <c r="B123" i="4"/>
  <c r="C123" i="4" s="1"/>
  <c r="B112" i="4"/>
  <c r="C112" i="4" s="1"/>
  <c r="B88" i="4"/>
  <c r="C88" i="4" s="1"/>
  <c r="B74" i="4"/>
  <c r="C74" i="4" s="1"/>
  <c r="B65" i="4"/>
  <c r="C65" i="4" s="1"/>
  <c r="B240" i="4"/>
  <c r="C240" i="4" s="1"/>
  <c r="B233" i="4"/>
  <c r="C233" i="4" s="1"/>
  <c r="B229" i="4"/>
  <c r="C229" i="4" s="1"/>
  <c r="B208" i="4"/>
  <c r="C208" i="4" s="1"/>
  <c r="B197" i="4"/>
  <c r="C197" i="4" s="1"/>
  <c r="B176" i="4"/>
  <c r="C176" i="4" s="1"/>
  <c r="B170" i="4"/>
  <c r="C170" i="4" s="1"/>
  <c r="B145" i="4"/>
  <c r="C145" i="4" s="1"/>
  <c r="B265" i="4"/>
  <c r="C265" i="4" s="1"/>
  <c r="B254" i="4"/>
  <c r="C254" i="4" s="1"/>
  <c r="B247" i="4"/>
  <c r="C247" i="4" s="1"/>
  <c r="B243" i="4"/>
  <c r="C243" i="4" s="1"/>
  <c r="B222" i="4"/>
  <c r="C222" i="4" s="1"/>
  <c r="B211" i="4"/>
  <c r="C211" i="4" s="1"/>
  <c r="B190" i="4"/>
  <c r="C190" i="4" s="1"/>
  <c r="B186" i="4"/>
  <c r="C186" i="4" s="1"/>
  <c r="B179" i="4"/>
  <c r="C179" i="4" s="1"/>
  <c r="B167" i="4"/>
  <c r="C167" i="4" s="1"/>
  <c r="B260" i="4"/>
  <c r="C260" i="4" s="1"/>
  <c r="B253" i="4"/>
  <c r="C253" i="4" s="1"/>
  <c r="B249" i="4"/>
  <c r="C249" i="4" s="1"/>
  <c r="B228" i="4"/>
  <c r="C228" i="4" s="1"/>
  <c r="B217" i="4"/>
  <c r="C217" i="4" s="1"/>
  <c r="B196" i="4"/>
  <c r="C196" i="4" s="1"/>
  <c r="B192" i="4"/>
  <c r="C192" i="4" s="1"/>
  <c r="B185" i="4"/>
  <c r="C185" i="4" s="1"/>
  <c r="B169" i="4"/>
  <c r="C169" i="4" s="1"/>
  <c r="B166" i="4"/>
  <c r="C166" i="4" s="1"/>
  <c r="B158" i="4"/>
  <c r="C158" i="4" s="1"/>
  <c r="B141" i="4"/>
  <c r="C141" i="4" s="1"/>
  <c r="B130" i="4"/>
  <c r="C130" i="4" s="1"/>
  <c r="B105" i="4"/>
  <c r="C105" i="4" s="1"/>
  <c r="B89" i="4"/>
  <c r="C89" i="4" s="1"/>
  <c r="B75" i="4"/>
  <c r="C75" i="4" s="1"/>
  <c r="B64" i="4"/>
  <c r="C64" i="4" s="1"/>
  <c r="B263" i="4"/>
  <c r="C263" i="4" s="1"/>
  <c r="B242" i="4"/>
  <c r="C242" i="4" s="1"/>
  <c r="B231" i="4"/>
  <c r="C231" i="4" s="1"/>
  <c r="B210" i="4"/>
  <c r="C210" i="4" s="1"/>
  <c r="B206" i="4"/>
  <c r="C206" i="4" s="1"/>
  <c r="B199" i="4"/>
  <c r="C199" i="4" s="1"/>
  <c r="B163" i="4"/>
  <c r="C163" i="4" s="1"/>
  <c r="B152" i="4"/>
  <c r="C152" i="4" s="1"/>
  <c r="B257" i="4"/>
  <c r="C257" i="4" s="1"/>
  <c r="B236" i="4"/>
  <c r="C236" i="4" s="1"/>
  <c r="B200" i="4"/>
  <c r="C200" i="4" s="1"/>
  <c r="B193" i="4"/>
  <c r="C193" i="4" s="1"/>
  <c r="B157" i="4"/>
  <c r="C157" i="4" s="1"/>
  <c r="B117" i="4"/>
  <c r="C117" i="4" s="1"/>
  <c r="B114" i="4"/>
  <c r="C114" i="4" s="1"/>
  <c r="B107" i="4"/>
  <c r="C107" i="4" s="1"/>
  <c r="B87" i="4"/>
  <c r="C87" i="4" s="1"/>
  <c r="B84" i="4"/>
  <c r="C84" i="4" s="1"/>
  <c r="B81" i="4"/>
  <c r="C81" i="4" s="1"/>
  <c r="B70" i="4"/>
  <c r="C70" i="4" s="1"/>
  <c r="B67" i="4"/>
  <c r="C67" i="4" s="1"/>
  <c r="B27" i="4"/>
  <c r="C27" i="4" s="1"/>
  <c r="B250" i="4"/>
  <c r="C250" i="4" s="1"/>
  <c r="B214" i="4"/>
  <c r="C214" i="4" s="1"/>
  <c r="B207" i="4"/>
  <c r="C207" i="4" s="1"/>
  <c r="B172" i="4"/>
  <c r="C172" i="4" s="1"/>
  <c r="B143" i="4"/>
  <c r="C143" i="4" s="1"/>
  <c r="B131" i="4"/>
  <c r="C131" i="4" s="1"/>
  <c r="B110" i="4"/>
  <c r="C110" i="4" s="1"/>
  <c r="B103" i="4"/>
  <c r="C103" i="4" s="1"/>
  <c r="B100" i="4"/>
  <c r="C100" i="4" s="1"/>
  <c r="B93" i="4"/>
  <c r="C93" i="4" s="1"/>
  <c r="B90" i="4"/>
  <c r="C90" i="4" s="1"/>
  <c r="B78" i="4"/>
  <c r="C78" i="4" s="1"/>
  <c r="B59" i="4"/>
  <c r="C59" i="4" s="1"/>
  <c r="B54" i="4"/>
  <c r="C54" i="4" s="1"/>
  <c r="B49" i="4"/>
  <c r="C49" i="4" s="1"/>
  <c r="B44" i="4"/>
  <c r="C44" i="4" s="1"/>
  <c r="B39" i="4"/>
  <c r="C39" i="4" s="1"/>
  <c r="B34" i="4"/>
  <c r="C34" i="4" s="1"/>
  <c r="B29" i="4"/>
  <c r="C29" i="4" s="1"/>
  <c r="B256" i="4"/>
  <c r="C256" i="4" s="1"/>
  <c r="B220" i="4"/>
  <c r="C220" i="4" s="1"/>
  <c r="B234" i="4"/>
  <c r="C234" i="4" s="1"/>
  <c r="B227" i="4"/>
  <c r="C227" i="4" s="1"/>
  <c r="B252" i="4"/>
  <c r="C252" i="4" s="1"/>
  <c r="B245" i="4"/>
  <c r="C245" i="4" s="1"/>
  <c r="B209" i="4"/>
  <c r="C209" i="4" s="1"/>
  <c r="B188" i="4"/>
  <c r="C188" i="4" s="1"/>
  <c r="B174" i="4"/>
  <c r="C174" i="4" s="1"/>
  <c r="B136" i="4"/>
  <c r="C136" i="4" s="1"/>
  <c r="B232" i="4"/>
  <c r="C232" i="4" s="1"/>
  <c r="B161" i="4"/>
  <c r="C161" i="4" s="1"/>
  <c r="B109" i="4"/>
  <c r="C109" i="4" s="1"/>
  <c r="B96" i="4"/>
  <c r="C96" i="4" s="1"/>
  <c r="B77" i="4"/>
  <c r="C77" i="4" s="1"/>
  <c r="B26" i="4"/>
  <c r="C26" i="4" s="1"/>
  <c r="B246" i="4"/>
  <c r="C246" i="4" s="1"/>
  <c r="B168" i="4"/>
  <c r="C168" i="4" s="1"/>
  <c r="B126" i="4"/>
  <c r="C126" i="4" s="1"/>
  <c r="B118" i="4"/>
  <c r="C118" i="4" s="1"/>
  <c r="B92" i="4"/>
  <c r="C92" i="4" s="1"/>
  <c r="B63" i="4"/>
  <c r="C63" i="4" s="1"/>
  <c r="B60" i="4"/>
  <c r="C60" i="4" s="1"/>
  <c r="B57" i="4"/>
  <c r="C57" i="4" s="1"/>
  <c r="B41" i="4"/>
  <c r="C41" i="4" s="1"/>
  <c r="B38" i="4"/>
  <c r="C38" i="4" s="1"/>
  <c r="B35" i="4"/>
  <c r="C35" i="4" s="1"/>
  <c r="B32" i="4"/>
  <c r="C32" i="4" s="1"/>
  <c r="B259" i="4"/>
  <c r="C259" i="4" s="1"/>
  <c r="B154" i="4"/>
  <c r="C154" i="4" s="1"/>
  <c r="B147" i="4"/>
  <c r="C147" i="4" s="1"/>
  <c r="B134" i="4"/>
  <c r="C134" i="4" s="1"/>
  <c r="B99" i="4"/>
  <c r="C99" i="4" s="1"/>
  <c r="B95" i="4"/>
  <c r="C95" i="4" s="1"/>
  <c r="B80" i="4"/>
  <c r="C80" i="4" s="1"/>
  <c r="B66" i="4"/>
  <c r="C66" i="4" s="1"/>
  <c r="B216" i="4"/>
  <c r="C216" i="4" s="1"/>
  <c r="B205" i="4"/>
  <c r="C205" i="4" s="1"/>
  <c r="B160" i="4"/>
  <c r="C160" i="4" s="1"/>
  <c r="B146" i="4"/>
  <c r="C146" i="4" s="1"/>
  <c r="B121" i="4"/>
  <c r="C121" i="4" s="1"/>
  <c r="B108" i="4"/>
  <c r="C108" i="4" s="1"/>
  <c r="B91" i="4"/>
  <c r="C91" i="4" s="1"/>
  <c r="B83" i="4"/>
  <c r="C83" i="4" s="1"/>
  <c r="B73" i="4"/>
  <c r="C73" i="4" s="1"/>
  <c r="B69" i="4"/>
  <c r="C69" i="4" s="1"/>
  <c r="B56" i="4"/>
  <c r="C56" i="4" s="1"/>
  <c r="B53" i="4"/>
  <c r="C53" i="4" s="1"/>
  <c r="B223" i="4"/>
  <c r="C223" i="4" s="1"/>
  <c r="B171" i="4"/>
  <c r="C171" i="4" s="1"/>
  <c r="B137" i="4"/>
  <c r="C137" i="4" s="1"/>
  <c r="B128" i="4"/>
  <c r="C128" i="4" s="1"/>
  <c r="B119" i="4"/>
  <c r="C119" i="4" s="1"/>
  <c r="B111" i="4"/>
  <c r="C111" i="4" s="1"/>
  <c r="B82" i="4"/>
  <c r="C82" i="4" s="1"/>
  <c r="B68" i="4"/>
  <c r="C68" i="4" s="1"/>
  <c r="B61" i="4"/>
  <c r="C61" i="4" s="1"/>
  <c r="B58" i="4"/>
  <c r="C58" i="4" s="1"/>
  <c r="B55" i="4"/>
  <c r="C55" i="4" s="1"/>
  <c r="B52" i="4"/>
  <c r="C52" i="4" s="1"/>
  <c r="B36" i="4"/>
  <c r="C36" i="4" s="1"/>
  <c r="B33" i="4"/>
  <c r="C33" i="4" s="1"/>
  <c r="B30" i="4"/>
  <c r="C30" i="4" s="1"/>
  <c r="B24" i="4"/>
  <c r="C24" i="4" s="1"/>
  <c r="B139" i="4"/>
  <c r="C139" i="4" s="1"/>
  <c r="B22" i="4"/>
  <c r="C22" i="4" s="1"/>
  <c r="B225" i="4"/>
  <c r="C225" i="4" s="1"/>
  <c r="B203" i="4"/>
  <c r="C203" i="4" s="1"/>
  <c r="B165" i="4"/>
  <c r="C165" i="4" s="1"/>
  <c r="B138" i="4"/>
  <c r="C138" i="4" s="1"/>
  <c r="B129" i="4"/>
  <c r="C129" i="4" s="1"/>
  <c r="B120" i="4"/>
  <c r="C120" i="4" s="1"/>
  <c r="B79" i="4"/>
  <c r="C79" i="4" s="1"/>
  <c r="B72" i="4"/>
  <c r="C72" i="4" s="1"/>
  <c r="B48" i="4"/>
  <c r="C48" i="4" s="1"/>
  <c r="B202" i="4"/>
  <c r="C202" i="4" s="1"/>
  <c r="B182" i="4"/>
  <c r="C182" i="4" s="1"/>
  <c r="B94" i="4"/>
  <c r="C94" i="4" s="1"/>
  <c r="B86" i="4"/>
  <c r="C86" i="4" s="1"/>
  <c r="B43" i="4"/>
  <c r="C43" i="4" s="1"/>
  <c r="B180" i="4"/>
  <c r="C180" i="4" s="1"/>
  <c r="B150" i="4"/>
  <c r="C150" i="4" s="1"/>
  <c r="B127" i="4"/>
  <c r="C127" i="4" s="1"/>
  <c r="B85" i="4"/>
  <c r="C85" i="4" s="1"/>
  <c r="B71" i="4"/>
  <c r="C71" i="4" s="1"/>
  <c r="B47" i="4"/>
  <c r="C47" i="4" s="1"/>
  <c r="B248" i="4"/>
  <c r="C248" i="4" s="1"/>
  <c r="B177" i="4"/>
  <c r="C177" i="4" s="1"/>
  <c r="B149" i="4"/>
  <c r="C149" i="4" s="1"/>
  <c r="B101" i="4"/>
  <c r="C101" i="4" s="1"/>
  <c r="B51" i="4"/>
  <c r="C51" i="4" s="1"/>
  <c r="B25" i="4"/>
  <c r="C25" i="4" s="1"/>
  <c r="B213" i="4"/>
  <c r="C213" i="4" s="1"/>
  <c r="B125" i="4"/>
  <c r="C125" i="4" s="1"/>
  <c r="B116" i="4"/>
  <c r="C116" i="4" s="1"/>
  <c r="B76" i="4"/>
  <c r="C76" i="4" s="1"/>
  <c r="B46" i="4"/>
  <c r="C46" i="4" s="1"/>
  <c r="B42" i="4"/>
  <c r="C42" i="4" s="1"/>
  <c r="B28" i="4"/>
  <c r="C28" i="4" s="1"/>
  <c r="B62" i="4"/>
  <c r="C62" i="4" s="1"/>
  <c r="B50" i="4"/>
  <c r="C50" i="4" s="1"/>
  <c r="B37" i="4"/>
  <c r="C37" i="4" s="1"/>
  <c r="B237" i="4"/>
  <c r="C237" i="4" s="1"/>
  <c r="B189" i="4"/>
  <c r="C189" i="4" s="1"/>
  <c r="B156" i="4"/>
  <c r="C156" i="4" s="1"/>
  <c r="B132" i="4"/>
  <c r="C132" i="4" s="1"/>
  <c r="B97" i="4"/>
  <c r="C97" i="4" s="1"/>
  <c r="B45" i="4"/>
  <c r="C45" i="4" s="1"/>
  <c r="B31" i="4"/>
  <c r="C31" i="4" s="1"/>
  <c r="B23" i="4"/>
  <c r="C23" i="4" s="1"/>
  <c r="B239" i="4"/>
  <c r="C239" i="4" s="1"/>
  <c r="B98" i="4"/>
  <c r="C98" i="4" s="1"/>
  <c r="B106" i="4"/>
  <c r="C106" i="4" s="1"/>
  <c r="B212" i="4"/>
  <c r="C212" i="4" s="1"/>
  <c r="B191" i="4"/>
  <c r="C191" i="4" s="1"/>
  <c r="B40" i="4"/>
  <c r="C40" i="4" s="1"/>
  <c r="G359" i="2"/>
  <c r="G357" i="2"/>
  <c r="I357" i="2" s="1"/>
  <c r="G355" i="2"/>
  <c r="M356" i="2"/>
  <c r="P355" i="2"/>
  <c r="C355" i="3" s="1"/>
  <c r="I352" i="2"/>
  <c r="I338" i="2"/>
  <c r="I298" i="2"/>
  <c r="I278" i="2"/>
  <c r="I218" i="2"/>
  <c r="P358" i="2"/>
  <c r="C358" i="3" s="1"/>
  <c r="H360" i="2"/>
  <c r="H357" i="2"/>
  <c r="G354" i="2"/>
  <c r="I354" i="2" s="1"/>
  <c r="G352" i="2"/>
  <c r="G350" i="2"/>
  <c r="I350" i="2" s="1"/>
  <c r="G348" i="2"/>
  <c r="I348" i="2" s="1"/>
  <c r="G346" i="2"/>
  <c r="I346" i="2" s="1"/>
  <c r="G344" i="2"/>
  <c r="I344" i="2" s="1"/>
  <c r="G342" i="2"/>
  <c r="I342" i="2" s="1"/>
  <c r="G340" i="2"/>
  <c r="I340" i="2" s="1"/>
  <c r="G338" i="2"/>
  <c r="G336" i="2"/>
  <c r="I336" i="2" s="1"/>
  <c r="G334" i="2"/>
  <c r="I334" i="2" s="1"/>
  <c r="G332" i="2"/>
  <c r="I332" i="2" s="1"/>
  <c r="G330" i="2"/>
  <c r="I330" i="2" s="1"/>
  <c r="G328" i="2"/>
  <c r="I328" i="2" s="1"/>
  <c r="G326" i="2"/>
  <c r="I326" i="2" s="1"/>
  <c r="G324" i="2"/>
  <c r="I324" i="2" s="1"/>
  <c r="G322" i="2"/>
  <c r="I322" i="2" s="1"/>
  <c r="G320" i="2"/>
  <c r="I320" i="2" s="1"/>
  <c r="G318" i="2"/>
  <c r="I318" i="2" s="1"/>
  <c r="G316" i="2"/>
  <c r="I316" i="2" s="1"/>
  <c r="G314" i="2"/>
  <c r="I314" i="2" s="1"/>
  <c r="G312" i="2"/>
  <c r="I312" i="2" s="1"/>
  <c r="G310" i="2"/>
  <c r="I310" i="2" s="1"/>
  <c r="G308" i="2"/>
  <c r="I308" i="2" s="1"/>
  <c r="G306" i="2"/>
  <c r="I306" i="2" s="1"/>
  <c r="G304" i="2"/>
  <c r="I304" i="2" s="1"/>
  <c r="G302" i="2"/>
  <c r="I302" i="2" s="1"/>
  <c r="G300" i="2"/>
  <c r="I300" i="2" s="1"/>
  <c r="G298" i="2"/>
  <c r="G296" i="2"/>
  <c r="I296" i="2" s="1"/>
  <c r="G294" i="2"/>
  <c r="I294" i="2" s="1"/>
  <c r="G292" i="2"/>
  <c r="I292" i="2" s="1"/>
  <c r="G290" i="2"/>
  <c r="I290" i="2" s="1"/>
  <c r="G288" i="2"/>
  <c r="I288" i="2" s="1"/>
  <c r="G286" i="2"/>
  <c r="I286" i="2" s="1"/>
  <c r="G284" i="2"/>
  <c r="I284" i="2" s="1"/>
  <c r="G282" i="2"/>
  <c r="I282" i="2" s="1"/>
  <c r="G280" i="2"/>
  <c r="I280" i="2" s="1"/>
  <c r="G278" i="2"/>
  <c r="G276" i="2"/>
  <c r="I276" i="2" s="1"/>
  <c r="G274" i="2"/>
  <c r="I274" i="2" s="1"/>
  <c r="G272" i="2"/>
  <c r="I272" i="2" s="1"/>
  <c r="G270" i="2"/>
  <c r="I270" i="2" s="1"/>
  <c r="G268" i="2"/>
  <c r="I268" i="2" s="1"/>
  <c r="G266" i="2"/>
  <c r="I266" i="2" s="1"/>
  <c r="G264" i="2"/>
  <c r="I264" i="2" s="1"/>
  <c r="G262" i="2"/>
  <c r="I262" i="2" s="1"/>
  <c r="G260" i="2"/>
  <c r="I260" i="2" s="1"/>
  <c r="G258" i="2"/>
  <c r="I258" i="2" s="1"/>
  <c r="G256" i="2"/>
  <c r="I256" i="2" s="1"/>
  <c r="G254" i="2"/>
  <c r="I254" i="2" s="1"/>
  <c r="G252" i="2"/>
  <c r="I252" i="2" s="1"/>
  <c r="G250" i="2"/>
  <c r="I250" i="2" s="1"/>
  <c r="G248" i="2"/>
  <c r="I248" i="2" s="1"/>
  <c r="G246" i="2"/>
  <c r="I246" i="2" s="1"/>
  <c r="G244" i="2"/>
  <c r="I244" i="2" s="1"/>
  <c r="G242" i="2"/>
  <c r="I242" i="2" s="1"/>
  <c r="G240" i="2"/>
  <c r="I240" i="2" s="1"/>
  <c r="G238" i="2"/>
  <c r="I238" i="2" s="1"/>
  <c r="G236" i="2"/>
  <c r="I236" i="2" s="1"/>
  <c r="G234" i="2"/>
  <c r="I234" i="2" s="1"/>
  <c r="G232" i="2"/>
  <c r="I232" i="2" s="1"/>
  <c r="G230" i="2"/>
  <c r="I230" i="2" s="1"/>
  <c r="G228" i="2"/>
  <c r="I228" i="2" s="1"/>
  <c r="G226" i="2"/>
  <c r="I226" i="2" s="1"/>
  <c r="G224" i="2"/>
  <c r="I224" i="2" s="1"/>
  <c r="G222" i="2"/>
  <c r="I222" i="2" s="1"/>
  <c r="G220" i="2"/>
  <c r="I220" i="2" s="1"/>
  <c r="G218" i="2"/>
  <c r="G216" i="2"/>
  <c r="I216" i="2" s="1"/>
  <c r="G360" i="2"/>
  <c r="I360" i="2" s="1"/>
  <c r="G356" i="2"/>
  <c r="H355" i="2"/>
  <c r="H354" i="2"/>
  <c r="J354" i="2" s="1"/>
  <c r="H353" i="2"/>
  <c r="J353" i="2" s="1"/>
  <c r="M349" i="2"/>
  <c r="P347" i="2"/>
  <c r="C347" i="3" s="1"/>
  <c r="H344" i="2"/>
  <c r="H343" i="2"/>
  <c r="G353" i="2"/>
  <c r="P346" i="2"/>
  <c r="C346" i="3" s="1"/>
  <c r="G343" i="2"/>
  <c r="P336" i="2"/>
  <c r="C336" i="3" s="1"/>
  <c r="G333" i="2"/>
  <c r="P326" i="2"/>
  <c r="C326" i="3" s="1"/>
  <c r="G323" i="2"/>
  <c r="I323" i="2" s="1"/>
  <c r="P316" i="2"/>
  <c r="C316" i="3" s="1"/>
  <c r="G313" i="2"/>
  <c r="P306" i="2"/>
  <c r="C306" i="3" s="1"/>
  <c r="G303" i="2"/>
  <c r="P296" i="2"/>
  <c r="C296" i="3" s="1"/>
  <c r="G293" i="2"/>
  <c r="P286" i="2"/>
  <c r="C286" i="3" s="1"/>
  <c r="G283" i="2"/>
  <c r="I283" i="2" s="1"/>
  <c r="P276" i="2"/>
  <c r="C276" i="3" s="1"/>
  <c r="G273" i="2"/>
  <c r="I273" i="2" s="1"/>
  <c r="P266" i="2"/>
  <c r="C266" i="3" s="1"/>
  <c r="G263" i="2"/>
  <c r="P256" i="2"/>
  <c r="C256" i="3" s="1"/>
  <c r="G253" i="2"/>
  <c r="I251" i="2"/>
  <c r="P246" i="2"/>
  <c r="C246" i="3" s="1"/>
  <c r="G243" i="2"/>
  <c r="I243" i="2" s="1"/>
  <c r="P236" i="2"/>
  <c r="C236" i="3" s="1"/>
  <c r="G233" i="2"/>
  <c r="I233" i="2" s="1"/>
  <c r="P226" i="2"/>
  <c r="C226" i="3" s="1"/>
  <c r="G223" i="2"/>
  <c r="P216" i="2"/>
  <c r="C216" i="3" s="1"/>
  <c r="P212" i="2"/>
  <c r="C212" i="3" s="1"/>
  <c r="H211" i="2"/>
  <c r="P359" i="2"/>
  <c r="C359" i="3" s="1"/>
  <c r="M358" i="2"/>
  <c r="P354" i="2"/>
  <c r="C354" i="3" s="1"/>
  <c r="G351" i="2"/>
  <c r="I351" i="2" s="1"/>
  <c r="P344" i="2"/>
  <c r="C344" i="3" s="1"/>
  <c r="G341" i="2"/>
  <c r="I341" i="2" s="1"/>
  <c r="P334" i="2"/>
  <c r="C334" i="3" s="1"/>
  <c r="G331" i="2"/>
  <c r="I331" i="2" s="1"/>
  <c r="P324" i="2"/>
  <c r="C324" i="3" s="1"/>
  <c r="G321" i="2"/>
  <c r="I321" i="2" s="1"/>
  <c r="P314" i="2"/>
  <c r="C314" i="3" s="1"/>
  <c r="G311" i="2"/>
  <c r="I311" i="2" s="1"/>
  <c r="I309" i="2"/>
  <c r="P304" i="2"/>
  <c r="C304" i="3" s="1"/>
  <c r="G301" i="2"/>
  <c r="I301" i="2" s="1"/>
  <c r="P294" i="2"/>
  <c r="C294" i="3" s="1"/>
  <c r="G291" i="2"/>
  <c r="I291" i="2" s="1"/>
  <c r="P284" i="2"/>
  <c r="C284" i="3" s="1"/>
  <c r="G281" i="2"/>
  <c r="I281" i="2" s="1"/>
  <c r="P274" i="2"/>
  <c r="C274" i="3" s="1"/>
  <c r="G271" i="2"/>
  <c r="I271" i="2" s="1"/>
  <c r="P264" i="2"/>
  <c r="C264" i="3" s="1"/>
  <c r="G261" i="2"/>
  <c r="I261" i="2" s="1"/>
  <c r="I259" i="2"/>
  <c r="P254" i="2"/>
  <c r="C254" i="3" s="1"/>
  <c r="G251" i="2"/>
  <c r="P244" i="2"/>
  <c r="C244" i="3" s="1"/>
  <c r="G241" i="2"/>
  <c r="I241" i="2" s="1"/>
  <c r="P234" i="2"/>
  <c r="C234" i="3" s="1"/>
  <c r="G231" i="2"/>
  <c r="I231" i="2" s="1"/>
  <c r="P224" i="2"/>
  <c r="C224" i="3" s="1"/>
  <c r="Q360" i="2"/>
  <c r="R360" i="2" s="1"/>
  <c r="Q356" i="2"/>
  <c r="R356" i="2" s="1"/>
  <c r="P353" i="2"/>
  <c r="C353" i="3" s="1"/>
  <c r="H350" i="2"/>
  <c r="J350" i="2" s="1"/>
  <c r="H349" i="2"/>
  <c r="M346" i="2"/>
  <c r="M345" i="2"/>
  <c r="P343" i="2"/>
  <c r="C343" i="3" s="1"/>
  <c r="H340" i="2"/>
  <c r="H339" i="2"/>
  <c r="M336" i="2"/>
  <c r="M335" i="2"/>
  <c r="P333" i="2"/>
  <c r="C333" i="3" s="1"/>
  <c r="H330" i="2"/>
  <c r="J330" i="2" s="1"/>
  <c r="H329" i="2"/>
  <c r="M326" i="2"/>
  <c r="M325" i="2"/>
  <c r="P323" i="2"/>
  <c r="C323" i="3" s="1"/>
  <c r="H320" i="2"/>
  <c r="H319" i="2"/>
  <c r="M316" i="2"/>
  <c r="M315" i="2"/>
  <c r="P313" i="2"/>
  <c r="C313" i="3" s="1"/>
  <c r="H310" i="2"/>
  <c r="J310" i="2" s="1"/>
  <c r="H309" i="2"/>
  <c r="M306" i="2"/>
  <c r="M305" i="2"/>
  <c r="P303" i="2"/>
  <c r="C303" i="3" s="1"/>
  <c r="H300" i="2"/>
  <c r="H299" i="2"/>
  <c r="M296" i="2"/>
  <c r="M295" i="2"/>
  <c r="P293" i="2"/>
  <c r="C293" i="3" s="1"/>
  <c r="H290" i="2"/>
  <c r="J290" i="2" s="1"/>
  <c r="H289" i="2"/>
  <c r="M286" i="2"/>
  <c r="M285" i="2"/>
  <c r="P283" i="2"/>
  <c r="C283" i="3" s="1"/>
  <c r="H280" i="2"/>
  <c r="H279" i="2"/>
  <c r="M276" i="2"/>
  <c r="M275" i="2"/>
  <c r="P273" i="2"/>
  <c r="C273" i="3" s="1"/>
  <c r="H270" i="2"/>
  <c r="J270" i="2" s="1"/>
  <c r="H269" i="2"/>
  <c r="M266" i="2"/>
  <c r="M265" i="2"/>
  <c r="P263" i="2"/>
  <c r="C263" i="3" s="1"/>
  <c r="H260" i="2"/>
  <c r="H259" i="2"/>
  <c r="J259" i="2" s="1"/>
  <c r="M256" i="2"/>
  <c r="M255" i="2"/>
  <c r="P253" i="2"/>
  <c r="C253" i="3" s="1"/>
  <c r="H250" i="2"/>
  <c r="J250" i="2" s="1"/>
  <c r="H249" i="2"/>
  <c r="M246" i="2"/>
  <c r="M245" i="2"/>
  <c r="P243" i="2"/>
  <c r="C243" i="3" s="1"/>
  <c r="H240" i="2"/>
  <c r="H239" i="2"/>
  <c r="M236" i="2"/>
  <c r="M235" i="2"/>
  <c r="P233" i="2"/>
  <c r="C233" i="3" s="1"/>
  <c r="H230" i="2"/>
  <c r="J230" i="2" s="1"/>
  <c r="H229" i="2"/>
  <c r="M226" i="2"/>
  <c r="M225" i="2"/>
  <c r="P223" i="2"/>
  <c r="C223" i="3" s="1"/>
  <c r="H220" i="2"/>
  <c r="H219" i="2"/>
  <c r="P211" i="2"/>
  <c r="C211" i="3" s="1"/>
  <c r="H210" i="2"/>
  <c r="G207" i="2"/>
  <c r="I207" i="2" s="1"/>
  <c r="P360" i="2"/>
  <c r="C360" i="3" s="1"/>
  <c r="P356" i="2"/>
  <c r="C356" i="3" s="1"/>
  <c r="P352" i="2"/>
  <c r="C352" i="3" s="1"/>
  <c r="G349" i="2"/>
  <c r="I349" i="2" s="1"/>
  <c r="P342" i="2"/>
  <c r="C342" i="3" s="1"/>
  <c r="G339" i="2"/>
  <c r="I339" i="2" s="1"/>
  <c r="P332" i="2"/>
  <c r="C332" i="3" s="1"/>
  <c r="G329" i="2"/>
  <c r="I329" i="2" s="1"/>
  <c r="I327" i="2"/>
  <c r="P322" i="2"/>
  <c r="C322" i="3" s="1"/>
  <c r="G319" i="2"/>
  <c r="I319" i="2" s="1"/>
  <c r="P312" i="2"/>
  <c r="C312" i="3" s="1"/>
  <c r="G309" i="2"/>
  <c r="P302" i="2"/>
  <c r="C302" i="3" s="1"/>
  <c r="G299" i="2"/>
  <c r="I299" i="2" s="1"/>
  <c r="P292" i="2"/>
  <c r="C292" i="3" s="1"/>
  <c r="G289" i="2"/>
  <c r="I289" i="2" s="1"/>
  <c r="P282" i="2"/>
  <c r="C282" i="3" s="1"/>
  <c r="G279" i="2"/>
  <c r="I279" i="2" s="1"/>
  <c r="I277" i="2"/>
  <c r="P272" i="2"/>
  <c r="C272" i="3" s="1"/>
  <c r="G269" i="2"/>
  <c r="I269" i="2" s="1"/>
  <c r="P262" i="2"/>
  <c r="C262" i="3" s="1"/>
  <c r="G259" i="2"/>
  <c r="P252" i="2"/>
  <c r="C252" i="3" s="1"/>
  <c r="G249" i="2"/>
  <c r="I249" i="2" s="1"/>
  <c r="P242" i="2"/>
  <c r="C242" i="3" s="1"/>
  <c r="G239" i="2"/>
  <c r="I239" i="2" s="1"/>
  <c r="P232" i="2"/>
  <c r="C232" i="3" s="1"/>
  <c r="G229" i="2"/>
  <c r="I229" i="2" s="1"/>
  <c r="P222" i="2"/>
  <c r="C222" i="3" s="1"/>
  <c r="G219" i="2"/>
  <c r="I359" i="2"/>
  <c r="H358" i="2"/>
  <c r="M354" i="2"/>
  <c r="M353" i="2"/>
  <c r="P351" i="2"/>
  <c r="C351" i="3" s="1"/>
  <c r="H348" i="2"/>
  <c r="J348" i="2" s="1"/>
  <c r="H347" i="2"/>
  <c r="M344" i="2"/>
  <c r="M343" i="2"/>
  <c r="P341" i="2"/>
  <c r="C341" i="3" s="1"/>
  <c r="H338" i="2"/>
  <c r="J338" i="2" s="1"/>
  <c r="H337" i="2"/>
  <c r="M334" i="2"/>
  <c r="M333" i="2"/>
  <c r="P331" i="2"/>
  <c r="C331" i="3" s="1"/>
  <c r="H328" i="2"/>
  <c r="J328" i="2" s="1"/>
  <c r="H327" i="2"/>
  <c r="M324" i="2"/>
  <c r="M323" i="2"/>
  <c r="P321" i="2"/>
  <c r="C321" i="3" s="1"/>
  <c r="H318" i="2"/>
  <c r="J318" i="2" s="1"/>
  <c r="H317" i="2"/>
  <c r="M314" i="2"/>
  <c r="M313" i="2"/>
  <c r="P311" i="2"/>
  <c r="C311" i="3" s="1"/>
  <c r="H308" i="2"/>
  <c r="J308" i="2" s="1"/>
  <c r="H307" i="2"/>
  <c r="M304" i="2"/>
  <c r="M303" i="2"/>
  <c r="P301" i="2"/>
  <c r="C301" i="3" s="1"/>
  <c r="H298" i="2"/>
  <c r="J298" i="2" s="1"/>
  <c r="H297" i="2"/>
  <c r="M294" i="2"/>
  <c r="M293" i="2"/>
  <c r="P291" i="2"/>
  <c r="C291" i="3" s="1"/>
  <c r="H288" i="2"/>
  <c r="J288" i="2" s="1"/>
  <c r="H287" i="2"/>
  <c r="M284" i="2"/>
  <c r="M283" i="2"/>
  <c r="P281" i="2"/>
  <c r="C281" i="3" s="1"/>
  <c r="H278" i="2"/>
  <c r="J278" i="2" s="1"/>
  <c r="H277" i="2"/>
  <c r="M274" i="2"/>
  <c r="M273" i="2"/>
  <c r="P271" i="2"/>
  <c r="C271" i="3" s="1"/>
  <c r="H268" i="2"/>
  <c r="J268" i="2" s="1"/>
  <c r="H267" i="2"/>
  <c r="M264" i="2"/>
  <c r="M263" i="2"/>
  <c r="P261" i="2"/>
  <c r="C261" i="3" s="1"/>
  <c r="H258" i="2"/>
  <c r="J258" i="2" s="1"/>
  <c r="H257" i="2"/>
  <c r="M254" i="2"/>
  <c r="M253" i="2"/>
  <c r="P251" i="2"/>
  <c r="C251" i="3" s="1"/>
  <c r="H248" i="2"/>
  <c r="J248" i="2" s="1"/>
  <c r="H247" i="2"/>
  <c r="M244" i="2"/>
  <c r="M243" i="2"/>
  <c r="P241" i="2"/>
  <c r="C241" i="3" s="1"/>
  <c r="H238" i="2"/>
  <c r="J238" i="2" s="1"/>
  <c r="H237" i="2"/>
  <c r="M234" i="2"/>
  <c r="M233" i="2"/>
  <c r="P231" i="2"/>
  <c r="C231" i="3" s="1"/>
  <c r="H228" i="2"/>
  <c r="J228" i="2" s="1"/>
  <c r="H227" i="2"/>
  <c r="M223" i="2"/>
  <c r="P221" i="2"/>
  <c r="C221" i="3" s="1"/>
  <c r="H218" i="2"/>
  <c r="J218" i="2" s="1"/>
  <c r="H217" i="2"/>
  <c r="H359" i="2"/>
  <c r="J359" i="2" s="1"/>
  <c r="G358" i="2"/>
  <c r="I358" i="2" s="1"/>
  <c r="P350" i="2"/>
  <c r="C350" i="3" s="1"/>
  <c r="Q349" i="2"/>
  <c r="R349" i="2" s="1"/>
  <c r="G347" i="2"/>
  <c r="I347" i="2" s="1"/>
  <c r="I345" i="2"/>
  <c r="P340" i="2"/>
  <c r="C340" i="3" s="1"/>
  <c r="Q339" i="2"/>
  <c r="R339" i="2" s="1"/>
  <c r="G337" i="2"/>
  <c r="I337" i="2" s="1"/>
  <c r="P330" i="2"/>
  <c r="C330" i="3" s="1"/>
  <c r="Q329" i="2"/>
  <c r="R329" i="2" s="1"/>
  <c r="G327" i="2"/>
  <c r="I325" i="2"/>
  <c r="P320" i="2"/>
  <c r="C320" i="3" s="1"/>
  <c r="Q319" i="2"/>
  <c r="R319" i="2" s="1"/>
  <c r="G317" i="2"/>
  <c r="I317" i="2" s="1"/>
  <c r="P310" i="2"/>
  <c r="C310" i="3" s="1"/>
  <c r="Q309" i="2"/>
  <c r="R309" i="2" s="1"/>
  <c r="G307" i="2"/>
  <c r="I307" i="2" s="1"/>
  <c r="P300" i="2"/>
  <c r="C300" i="3" s="1"/>
  <c r="Q299" i="2"/>
  <c r="R299" i="2" s="1"/>
  <c r="G297" i="2"/>
  <c r="I297" i="2" s="1"/>
  <c r="P290" i="2"/>
  <c r="C290" i="3" s="1"/>
  <c r="Q289" i="2"/>
  <c r="R289" i="2" s="1"/>
  <c r="G287" i="2"/>
  <c r="I287" i="2" s="1"/>
  <c r="P280" i="2"/>
  <c r="C280" i="3" s="1"/>
  <c r="Q279" i="2"/>
  <c r="R279" i="2" s="1"/>
  <c r="G277" i="2"/>
  <c r="M360" i="2"/>
  <c r="P357" i="2"/>
  <c r="C357" i="3" s="1"/>
  <c r="I356" i="2"/>
  <c r="M352" i="2"/>
  <c r="N352" i="2" s="1"/>
  <c r="M351" i="2"/>
  <c r="P349" i="2"/>
  <c r="C349" i="3" s="1"/>
  <c r="H346" i="2"/>
  <c r="J346" i="2" s="1"/>
  <c r="H345" i="2"/>
  <c r="J345" i="2" s="1"/>
  <c r="M342" i="2"/>
  <c r="M341" i="2"/>
  <c r="P339" i="2"/>
  <c r="C339" i="3" s="1"/>
  <c r="H336" i="2"/>
  <c r="J336" i="2" s="1"/>
  <c r="H335" i="2"/>
  <c r="M332" i="2"/>
  <c r="M331" i="2"/>
  <c r="P329" i="2"/>
  <c r="C329" i="3" s="1"/>
  <c r="H326" i="2"/>
  <c r="J326" i="2" s="1"/>
  <c r="H325" i="2"/>
  <c r="J325" i="2" s="1"/>
  <c r="M322" i="2"/>
  <c r="M321" i="2"/>
  <c r="P319" i="2"/>
  <c r="C319" i="3" s="1"/>
  <c r="H316" i="2"/>
  <c r="J316" i="2" s="1"/>
  <c r="H315" i="2"/>
  <c r="M312" i="2"/>
  <c r="M311" i="2"/>
  <c r="P309" i="2"/>
  <c r="C309" i="3" s="1"/>
  <c r="H306" i="2"/>
  <c r="J306" i="2" s="1"/>
  <c r="H305" i="2"/>
  <c r="M302" i="2"/>
  <c r="M301" i="2"/>
  <c r="P299" i="2"/>
  <c r="C299" i="3" s="1"/>
  <c r="H296" i="2"/>
  <c r="J296" i="2" s="1"/>
  <c r="H295" i="2"/>
  <c r="M292" i="2"/>
  <c r="M291" i="2"/>
  <c r="P289" i="2"/>
  <c r="C289" i="3" s="1"/>
  <c r="H286" i="2"/>
  <c r="J286" i="2" s="1"/>
  <c r="H285" i="2"/>
  <c r="M282" i="2"/>
  <c r="M281" i="2"/>
  <c r="P279" i="2"/>
  <c r="C279" i="3" s="1"/>
  <c r="H276" i="2"/>
  <c r="J276" i="2" s="1"/>
  <c r="H275" i="2"/>
  <c r="M272" i="2"/>
  <c r="M271" i="2"/>
  <c r="P269" i="2"/>
  <c r="C269" i="3" s="1"/>
  <c r="H266" i="2"/>
  <c r="J266" i="2" s="1"/>
  <c r="H265" i="2"/>
  <c r="M261" i="2"/>
  <c r="P259" i="2"/>
  <c r="C259" i="3" s="1"/>
  <c r="H256" i="2"/>
  <c r="J256" i="2" s="1"/>
  <c r="H255" i="2"/>
  <c r="M251" i="2"/>
  <c r="P249" i="2"/>
  <c r="C249" i="3" s="1"/>
  <c r="H356" i="2"/>
  <c r="J356" i="2" s="1"/>
  <c r="I355" i="2"/>
  <c r="I353" i="2"/>
  <c r="P348" i="2"/>
  <c r="C348" i="3" s="1"/>
  <c r="Q347" i="2"/>
  <c r="R347" i="2" s="1"/>
  <c r="G345" i="2"/>
  <c r="I343" i="2"/>
  <c r="P338" i="2"/>
  <c r="C338" i="3" s="1"/>
  <c r="Q337" i="2"/>
  <c r="R337" i="2" s="1"/>
  <c r="G335" i="2"/>
  <c r="I335" i="2" s="1"/>
  <c r="I333" i="2"/>
  <c r="Q327" i="2"/>
  <c r="R327" i="2" s="1"/>
  <c r="P325" i="2"/>
  <c r="C325" i="3" s="1"/>
  <c r="H271" i="2"/>
  <c r="J271" i="2" s="1"/>
  <c r="H264" i="2"/>
  <c r="M258" i="2"/>
  <c r="M257" i="2"/>
  <c r="H242" i="2"/>
  <c r="M241" i="2"/>
  <c r="M237" i="2"/>
  <c r="Q227" i="2"/>
  <c r="R227" i="2" s="1"/>
  <c r="G225" i="2"/>
  <c r="I225" i="2" s="1"/>
  <c r="G221" i="2"/>
  <c r="I221" i="2" s="1"/>
  <c r="P220" i="2"/>
  <c r="C220" i="3" s="1"/>
  <c r="H216" i="2"/>
  <c r="J216" i="2" s="1"/>
  <c r="P206" i="2"/>
  <c r="C206" i="3" s="1"/>
  <c r="G204" i="2"/>
  <c r="I204" i="2" s="1"/>
  <c r="G203" i="2"/>
  <c r="I203" i="2" s="1"/>
  <c r="H202" i="2"/>
  <c r="G199" i="2"/>
  <c r="I195" i="2"/>
  <c r="P193" i="2"/>
  <c r="C193" i="3" s="1"/>
  <c r="H192" i="2"/>
  <c r="G189" i="2"/>
  <c r="I189" i="2" s="1"/>
  <c r="P183" i="2"/>
  <c r="C183" i="3" s="1"/>
  <c r="H182" i="2"/>
  <c r="G179" i="2"/>
  <c r="P173" i="2"/>
  <c r="C173" i="3" s="1"/>
  <c r="H172" i="2"/>
  <c r="G169" i="2"/>
  <c r="I169" i="2" s="1"/>
  <c r="M167" i="2"/>
  <c r="P163" i="2"/>
  <c r="C163" i="3" s="1"/>
  <c r="H162" i="2"/>
  <c r="G159" i="2"/>
  <c r="I159" i="2" s="1"/>
  <c r="M157" i="2"/>
  <c r="P153" i="2"/>
  <c r="C153" i="3" s="1"/>
  <c r="H152" i="2"/>
  <c r="G149" i="2"/>
  <c r="M147" i="2"/>
  <c r="P143" i="2"/>
  <c r="C143" i="3" s="1"/>
  <c r="H142" i="2"/>
  <c r="G139" i="2"/>
  <c r="M137" i="2"/>
  <c r="Q136" i="2"/>
  <c r="R136" i="2" s="1"/>
  <c r="P133" i="2"/>
  <c r="C133" i="3" s="1"/>
  <c r="H132" i="2"/>
  <c r="G129" i="2"/>
  <c r="I129" i="2" s="1"/>
  <c r="M127" i="2"/>
  <c r="Q126" i="2"/>
  <c r="R126" i="2" s="1"/>
  <c r="P123" i="2"/>
  <c r="C123" i="3" s="1"/>
  <c r="H122" i="2"/>
  <c r="G119" i="2"/>
  <c r="M117" i="2"/>
  <c r="Q116" i="2"/>
  <c r="R116" i="2" s="1"/>
  <c r="P113" i="2"/>
  <c r="C113" i="3" s="1"/>
  <c r="H112" i="2"/>
  <c r="H82" i="2"/>
  <c r="G79" i="2"/>
  <c r="M77" i="2"/>
  <c r="N77" i="2" s="1"/>
  <c r="Q76" i="2"/>
  <c r="R76" i="2" s="1"/>
  <c r="I75" i="2"/>
  <c r="H72" i="2"/>
  <c r="P63" i="2"/>
  <c r="C63" i="3" s="1"/>
  <c r="H62" i="2"/>
  <c r="G59" i="2"/>
  <c r="I59" i="2" s="1"/>
  <c r="K59" i="2" s="1"/>
  <c r="L59" i="2" s="1"/>
  <c r="P337" i="2"/>
  <c r="C337" i="3" s="1"/>
  <c r="P327" i="2"/>
  <c r="C327" i="3" s="1"/>
  <c r="G325" i="2"/>
  <c r="Q317" i="2"/>
  <c r="R317" i="2" s="1"/>
  <c r="P315" i="2"/>
  <c r="C315" i="3" s="1"/>
  <c r="M269" i="2"/>
  <c r="P268" i="2"/>
  <c r="C268" i="3" s="1"/>
  <c r="Q267" i="2"/>
  <c r="R267" i="2" s="1"/>
  <c r="I263" i="2"/>
  <c r="G257" i="2"/>
  <c r="I257" i="2" s="1"/>
  <c r="H244" i="2"/>
  <c r="G237" i="2"/>
  <c r="I237" i="2" s="1"/>
  <c r="M228" i="2"/>
  <c r="P227" i="2"/>
  <c r="C227" i="3" s="1"/>
  <c r="M218" i="2"/>
  <c r="P215" i="2"/>
  <c r="C215" i="3" s="1"/>
  <c r="P205" i="2"/>
  <c r="C205" i="3" s="1"/>
  <c r="G202" i="2"/>
  <c r="I202" i="2" s="1"/>
  <c r="P196" i="2"/>
  <c r="C196" i="3" s="1"/>
  <c r="H195" i="2"/>
  <c r="J195" i="2" s="1"/>
  <c r="G192" i="2"/>
  <c r="I192" i="2" s="1"/>
  <c r="P186" i="2"/>
  <c r="C186" i="3" s="1"/>
  <c r="H185" i="2"/>
  <c r="G182" i="2"/>
  <c r="I182" i="2" s="1"/>
  <c r="P176" i="2"/>
  <c r="C176" i="3" s="1"/>
  <c r="H175" i="2"/>
  <c r="G172" i="2"/>
  <c r="I172" i="2" s="1"/>
  <c r="P166" i="2"/>
  <c r="C166" i="3" s="1"/>
  <c r="H165" i="2"/>
  <c r="G162" i="2"/>
  <c r="I162" i="2" s="1"/>
  <c r="P156" i="2"/>
  <c r="C156" i="3" s="1"/>
  <c r="H155" i="2"/>
  <c r="G152" i="2"/>
  <c r="I152" i="2" s="1"/>
  <c r="P146" i="2"/>
  <c r="C146" i="3" s="1"/>
  <c r="H145" i="2"/>
  <c r="J145" i="2" s="1"/>
  <c r="G142" i="2"/>
  <c r="I142" i="2" s="1"/>
  <c r="P136" i="2"/>
  <c r="C136" i="3" s="1"/>
  <c r="H135" i="2"/>
  <c r="G132" i="2"/>
  <c r="I132" i="2" s="1"/>
  <c r="P126" i="2"/>
  <c r="C126" i="3" s="1"/>
  <c r="H125" i="2"/>
  <c r="G122" i="2"/>
  <c r="I122" i="2" s="1"/>
  <c r="P116" i="2"/>
  <c r="C116" i="3" s="1"/>
  <c r="H115" i="2"/>
  <c r="G112" i="2"/>
  <c r="I112" i="2" s="1"/>
  <c r="P106" i="2"/>
  <c r="C106" i="3" s="1"/>
  <c r="H105" i="2"/>
  <c r="G102" i="2"/>
  <c r="I102" i="2" s="1"/>
  <c r="P96" i="2"/>
  <c r="C96" i="3" s="1"/>
  <c r="H95" i="2"/>
  <c r="G92" i="2"/>
  <c r="I92" i="2" s="1"/>
  <c r="P86" i="2"/>
  <c r="C86" i="3" s="1"/>
  <c r="H85" i="2"/>
  <c r="G82" i="2"/>
  <c r="I82" i="2" s="1"/>
  <c r="P76" i="2"/>
  <c r="C76" i="3" s="1"/>
  <c r="H75" i="2"/>
  <c r="G72" i="2"/>
  <c r="I72" i="2" s="1"/>
  <c r="P66" i="2"/>
  <c r="C66" i="3" s="1"/>
  <c r="H65" i="2"/>
  <c r="G62" i="2"/>
  <c r="I62" i="2" s="1"/>
  <c r="P56" i="2"/>
  <c r="C56" i="3" s="1"/>
  <c r="H55" i="2"/>
  <c r="M347" i="2"/>
  <c r="M337" i="2"/>
  <c r="P328" i="2"/>
  <c r="C328" i="3" s="1"/>
  <c r="M327" i="2"/>
  <c r="H324" i="2"/>
  <c r="J324" i="2" s="1"/>
  <c r="H323" i="2"/>
  <c r="P317" i="2"/>
  <c r="C317" i="3" s="1"/>
  <c r="G315" i="2"/>
  <c r="I315" i="2" s="1"/>
  <c r="I313" i="2"/>
  <c r="Q307" i="2"/>
  <c r="R307" i="2" s="1"/>
  <c r="P305" i="2"/>
  <c r="C305" i="3" s="1"/>
  <c r="P267" i="2"/>
  <c r="C267" i="3" s="1"/>
  <c r="H263" i="2"/>
  <c r="J263" i="2" s="1"/>
  <c r="P255" i="2"/>
  <c r="C255" i="3" s="1"/>
  <c r="H252" i="2"/>
  <c r="J252" i="2" s="1"/>
  <c r="H246" i="2"/>
  <c r="P240" i="2"/>
  <c r="C240" i="3" s="1"/>
  <c r="H232" i="2"/>
  <c r="J232" i="2" s="1"/>
  <c r="M231" i="2"/>
  <c r="M227" i="2"/>
  <c r="H213" i="2"/>
  <c r="H212" i="2"/>
  <c r="J212" i="2" s="1"/>
  <c r="G210" i="2"/>
  <c r="I210" i="2" s="1"/>
  <c r="H209" i="2"/>
  <c r="J209" i="2" s="1"/>
  <c r="P204" i="2"/>
  <c r="C204" i="3" s="1"/>
  <c r="P199" i="2"/>
  <c r="C199" i="3" s="1"/>
  <c r="H198" i="2"/>
  <c r="G195" i="2"/>
  <c r="Q192" i="2"/>
  <c r="R192" i="2" s="1"/>
  <c r="P189" i="2"/>
  <c r="C189" i="3" s="1"/>
  <c r="H188" i="2"/>
  <c r="G185" i="2"/>
  <c r="I185" i="2" s="1"/>
  <c r="Q182" i="2"/>
  <c r="R182" i="2" s="1"/>
  <c r="P179" i="2"/>
  <c r="C179" i="3" s="1"/>
  <c r="H178" i="2"/>
  <c r="G175" i="2"/>
  <c r="I175" i="2" s="1"/>
  <c r="Q172" i="2"/>
  <c r="R172" i="2" s="1"/>
  <c r="P169" i="2"/>
  <c r="C169" i="3" s="1"/>
  <c r="H168" i="2"/>
  <c r="G165" i="2"/>
  <c r="I165" i="2" s="1"/>
  <c r="M163" i="2"/>
  <c r="N163" i="2" s="1"/>
  <c r="Q162" i="2"/>
  <c r="R162" i="2" s="1"/>
  <c r="P159" i="2"/>
  <c r="C159" i="3" s="1"/>
  <c r="H158" i="2"/>
  <c r="G155" i="2"/>
  <c r="I155" i="2" s="1"/>
  <c r="M153" i="2"/>
  <c r="N153" i="2" s="1"/>
  <c r="Q152" i="2"/>
  <c r="R152" i="2" s="1"/>
  <c r="P149" i="2"/>
  <c r="C149" i="3" s="1"/>
  <c r="H148" i="2"/>
  <c r="G145" i="2"/>
  <c r="I145" i="2" s="1"/>
  <c r="M143" i="2"/>
  <c r="N143" i="2" s="1"/>
  <c r="Q142" i="2"/>
  <c r="R142" i="2" s="1"/>
  <c r="P139" i="2"/>
  <c r="C139" i="3" s="1"/>
  <c r="H138" i="2"/>
  <c r="G135" i="2"/>
  <c r="I135" i="2" s="1"/>
  <c r="M133" i="2"/>
  <c r="N133" i="2" s="1"/>
  <c r="Q132" i="2"/>
  <c r="R132" i="2" s="1"/>
  <c r="P129" i="2"/>
  <c r="C129" i="3" s="1"/>
  <c r="H128" i="2"/>
  <c r="G125" i="2"/>
  <c r="I125" i="2" s="1"/>
  <c r="M123" i="2"/>
  <c r="N123" i="2" s="1"/>
  <c r="Q122" i="2"/>
  <c r="R122" i="2" s="1"/>
  <c r="P119" i="2"/>
  <c r="C119" i="3" s="1"/>
  <c r="H351" i="2"/>
  <c r="J351" i="2" s="1"/>
  <c r="M329" i="2"/>
  <c r="P318" i="2"/>
  <c r="C318" i="3" s="1"/>
  <c r="M317" i="2"/>
  <c r="H314" i="2"/>
  <c r="J314" i="2" s="1"/>
  <c r="H313" i="2"/>
  <c r="J313" i="2" s="1"/>
  <c r="P307" i="2"/>
  <c r="C307" i="3" s="1"/>
  <c r="G305" i="2"/>
  <c r="I305" i="2" s="1"/>
  <c r="I303" i="2"/>
  <c r="K303" i="2" s="1"/>
  <c r="L303" i="2" s="1"/>
  <c r="Q297" i="2"/>
  <c r="R297" i="2" s="1"/>
  <c r="P295" i="2"/>
  <c r="C295" i="3" s="1"/>
  <c r="M268" i="2"/>
  <c r="M267" i="2"/>
  <c r="P250" i="2"/>
  <c r="C250" i="3" s="1"/>
  <c r="Q249" i="2"/>
  <c r="R249" i="2" s="1"/>
  <c r="P245" i="2"/>
  <c r="C245" i="3" s="1"/>
  <c r="H241" i="2"/>
  <c r="J241" i="2" s="1"/>
  <c r="Q239" i="2"/>
  <c r="R239" i="2" s="1"/>
  <c r="H234" i="2"/>
  <c r="J234" i="2" s="1"/>
  <c r="G227" i="2"/>
  <c r="I227" i="2" s="1"/>
  <c r="M220" i="2"/>
  <c r="Q219" i="2"/>
  <c r="R219" i="2" s="1"/>
  <c r="P217" i="2"/>
  <c r="C217" i="3" s="1"/>
  <c r="G213" i="2"/>
  <c r="I213" i="2" s="1"/>
  <c r="G212" i="2"/>
  <c r="I212" i="2" s="1"/>
  <c r="G211" i="2"/>
  <c r="I211" i="2" s="1"/>
  <c r="G209" i="2"/>
  <c r="I209" i="2" s="1"/>
  <c r="M206" i="2"/>
  <c r="N206" i="2" s="1"/>
  <c r="P203" i="2"/>
  <c r="C203" i="3" s="1"/>
  <c r="Q202" i="2"/>
  <c r="R202" i="2" s="1"/>
  <c r="H201" i="2"/>
  <c r="J201" i="2" s="1"/>
  <c r="G198" i="2"/>
  <c r="I198" i="2" s="1"/>
  <c r="Q195" i="2"/>
  <c r="R195" i="2" s="1"/>
  <c r="P192" i="2"/>
  <c r="C192" i="3" s="1"/>
  <c r="H191" i="2"/>
  <c r="G188" i="2"/>
  <c r="I188" i="2" s="1"/>
  <c r="Q185" i="2"/>
  <c r="R185" i="2" s="1"/>
  <c r="P182" i="2"/>
  <c r="C182" i="3" s="1"/>
  <c r="H181" i="2"/>
  <c r="G178" i="2"/>
  <c r="I178" i="2" s="1"/>
  <c r="Q175" i="2"/>
  <c r="R175" i="2" s="1"/>
  <c r="P172" i="2"/>
  <c r="C172" i="3" s="1"/>
  <c r="H171" i="2"/>
  <c r="G168" i="2"/>
  <c r="I168" i="2" s="1"/>
  <c r="Q165" i="2"/>
  <c r="R165" i="2" s="1"/>
  <c r="P162" i="2"/>
  <c r="C162" i="3" s="1"/>
  <c r="H161" i="2"/>
  <c r="G158" i="2"/>
  <c r="I158" i="2" s="1"/>
  <c r="Q155" i="2"/>
  <c r="R155" i="2" s="1"/>
  <c r="P152" i="2"/>
  <c r="C152" i="3" s="1"/>
  <c r="H151" i="2"/>
  <c r="G148" i="2"/>
  <c r="I148" i="2" s="1"/>
  <c r="Q145" i="2"/>
  <c r="R145" i="2" s="1"/>
  <c r="P142" i="2"/>
  <c r="C142" i="3" s="1"/>
  <c r="H141" i="2"/>
  <c r="G138" i="2"/>
  <c r="I138" i="2" s="1"/>
  <c r="Q135" i="2"/>
  <c r="R135" i="2" s="1"/>
  <c r="P132" i="2"/>
  <c r="C132" i="3" s="1"/>
  <c r="H131" i="2"/>
  <c r="G128" i="2"/>
  <c r="I128" i="2" s="1"/>
  <c r="Q125" i="2"/>
  <c r="R125" i="2" s="1"/>
  <c r="P122" i="2"/>
  <c r="C122" i="3" s="1"/>
  <c r="H121" i="2"/>
  <c r="G118" i="2"/>
  <c r="I118" i="2" s="1"/>
  <c r="Q115" i="2"/>
  <c r="R115" i="2" s="1"/>
  <c r="P112" i="2"/>
  <c r="C112" i="3" s="1"/>
  <c r="H111" i="2"/>
  <c r="G108" i="2"/>
  <c r="I108" i="2" s="1"/>
  <c r="Q105" i="2"/>
  <c r="R105" i="2" s="1"/>
  <c r="P102" i="2"/>
  <c r="C102" i="3" s="1"/>
  <c r="H101" i="2"/>
  <c r="G98" i="2"/>
  <c r="I98" i="2" s="1"/>
  <c r="Q95" i="2"/>
  <c r="R95" i="2" s="1"/>
  <c r="P92" i="2"/>
  <c r="C92" i="3" s="1"/>
  <c r="H91" i="2"/>
  <c r="H331" i="2"/>
  <c r="J331" i="2" s="1"/>
  <c r="M330" i="2"/>
  <c r="N330" i="2" s="1"/>
  <c r="M328" i="2"/>
  <c r="H322" i="2"/>
  <c r="M319" i="2"/>
  <c r="P308" i="2"/>
  <c r="C308" i="3" s="1"/>
  <c r="M307" i="2"/>
  <c r="H304" i="2"/>
  <c r="H303" i="2"/>
  <c r="J303" i="2" s="1"/>
  <c r="P297" i="2"/>
  <c r="C297" i="3" s="1"/>
  <c r="G295" i="2"/>
  <c r="I295" i="2" s="1"/>
  <c r="I293" i="2"/>
  <c r="Q287" i="2"/>
  <c r="R287" i="2" s="1"/>
  <c r="P285" i="2"/>
  <c r="C285" i="3" s="1"/>
  <c r="G267" i="2"/>
  <c r="I267" i="2" s="1"/>
  <c r="G255" i="2"/>
  <c r="I255" i="2" s="1"/>
  <c r="H251" i="2"/>
  <c r="J251" i="2" s="1"/>
  <c r="P239" i="2"/>
  <c r="C239" i="3" s="1"/>
  <c r="H236" i="2"/>
  <c r="J236" i="2" s="1"/>
  <c r="P230" i="2"/>
  <c r="C230" i="3" s="1"/>
  <c r="H222" i="2"/>
  <c r="P219" i="2"/>
  <c r="C219" i="3" s="1"/>
  <c r="M217" i="2"/>
  <c r="H214" i="2"/>
  <c r="J214" i="2" s="1"/>
  <c r="H208" i="2"/>
  <c r="P202" i="2"/>
  <c r="C202" i="3" s="1"/>
  <c r="G201" i="2"/>
  <c r="I201" i="2" s="1"/>
  <c r="K201" i="2" s="1"/>
  <c r="L201" i="2" s="1"/>
  <c r="M199" i="2"/>
  <c r="Q198" i="2"/>
  <c r="R198" i="2" s="1"/>
  <c r="P195" i="2"/>
  <c r="C195" i="3" s="1"/>
  <c r="H194" i="2"/>
  <c r="G191" i="2"/>
  <c r="I191" i="2" s="1"/>
  <c r="M189" i="2"/>
  <c r="Q188" i="2"/>
  <c r="R188" i="2" s="1"/>
  <c r="P185" i="2"/>
  <c r="C185" i="3" s="1"/>
  <c r="H184" i="2"/>
  <c r="G181" i="2"/>
  <c r="I181" i="2" s="1"/>
  <c r="M179" i="2"/>
  <c r="Q178" i="2"/>
  <c r="R178" i="2" s="1"/>
  <c r="P175" i="2"/>
  <c r="C175" i="3" s="1"/>
  <c r="H174" i="2"/>
  <c r="J174" i="2" s="1"/>
  <c r="G171" i="2"/>
  <c r="I171" i="2" s="1"/>
  <c r="M169" i="2"/>
  <c r="Q168" i="2"/>
  <c r="R168" i="2" s="1"/>
  <c r="P165" i="2"/>
  <c r="C165" i="3" s="1"/>
  <c r="H164" i="2"/>
  <c r="G161" i="2"/>
  <c r="I161" i="2" s="1"/>
  <c r="M159" i="2"/>
  <c r="Q158" i="2"/>
  <c r="R158" i="2" s="1"/>
  <c r="P155" i="2"/>
  <c r="C155" i="3" s="1"/>
  <c r="H154" i="2"/>
  <c r="G151" i="2"/>
  <c r="I151" i="2" s="1"/>
  <c r="M149" i="2"/>
  <c r="Q148" i="2"/>
  <c r="R148" i="2" s="1"/>
  <c r="I147" i="2"/>
  <c r="P145" i="2"/>
  <c r="C145" i="3" s="1"/>
  <c r="H144" i="2"/>
  <c r="M339" i="2"/>
  <c r="M338" i="2"/>
  <c r="H333" i="2"/>
  <c r="J333" i="2" s="1"/>
  <c r="H332" i="2"/>
  <c r="J332" i="2" s="1"/>
  <c r="H321" i="2"/>
  <c r="J321" i="2" s="1"/>
  <c r="M320" i="2"/>
  <c r="N320" i="2" s="1"/>
  <c r="M318" i="2"/>
  <c r="H312" i="2"/>
  <c r="J312" i="2" s="1"/>
  <c r="M309" i="2"/>
  <c r="P298" i="2"/>
  <c r="C298" i="3" s="1"/>
  <c r="M297" i="2"/>
  <c r="H294" i="2"/>
  <c r="J294" i="2" s="1"/>
  <c r="H293" i="2"/>
  <c r="J293" i="2" s="1"/>
  <c r="P287" i="2"/>
  <c r="C287" i="3" s="1"/>
  <c r="G285" i="2"/>
  <c r="I285" i="2" s="1"/>
  <c r="Q277" i="2"/>
  <c r="R277" i="2" s="1"/>
  <c r="P275" i="2"/>
  <c r="C275" i="3" s="1"/>
  <c r="P265" i="2"/>
  <c r="C265" i="3" s="1"/>
  <c r="H262" i="2"/>
  <c r="M250" i="2"/>
  <c r="N250" i="2" s="1"/>
  <c r="M249" i="2"/>
  <c r="P248" i="2"/>
  <c r="C248" i="3" s="1"/>
  <c r="H245" i="2"/>
  <c r="J245" i="2" s="1"/>
  <c r="H243" i="2"/>
  <c r="J243" i="2" s="1"/>
  <c r="M240" i="2"/>
  <c r="P235" i="2"/>
  <c r="C235" i="3" s="1"/>
  <c r="H231" i="2"/>
  <c r="J231" i="2" s="1"/>
  <c r="Q229" i="2"/>
  <c r="R229" i="2" s="1"/>
  <c r="H224" i="2"/>
  <c r="H215" i="2"/>
  <c r="G214" i="2"/>
  <c r="I214" i="2" s="1"/>
  <c r="Q210" i="2"/>
  <c r="R210" i="2" s="1"/>
  <c r="Q209" i="2"/>
  <c r="R209" i="2" s="1"/>
  <c r="G208" i="2"/>
  <c r="I208" i="2" s="1"/>
  <c r="Q201" i="2"/>
  <c r="R201" i="2" s="1"/>
  <c r="P198" i="2"/>
  <c r="C198" i="3" s="1"/>
  <c r="H197" i="2"/>
  <c r="G194" i="2"/>
  <c r="I194" i="2" s="1"/>
  <c r="Q191" i="2"/>
  <c r="R191" i="2" s="1"/>
  <c r="P188" i="2"/>
  <c r="C188" i="3" s="1"/>
  <c r="H187" i="2"/>
  <c r="J187" i="2" s="1"/>
  <c r="G184" i="2"/>
  <c r="I184" i="2" s="1"/>
  <c r="Q181" i="2"/>
  <c r="R181" i="2" s="1"/>
  <c r="P178" i="2"/>
  <c r="C178" i="3" s="1"/>
  <c r="H177" i="2"/>
  <c r="G174" i="2"/>
  <c r="I174" i="2" s="1"/>
  <c r="Q171" i="2"/>
  <c r="R171" i="2" s="1"/>
  <c r="P168" i="2"/>
  <c r="C168" i="3" s="1"/>
  <c r="H167" i="2"/>
  <c r="G164" i="2"/>
  <c r="I164" i="2" s="1"/>
  <c r="Q161" i="2"/>
  <c r="R161" i="2" s="1"/>
  <c r="P158" i="2"/>
  <c r="C158" i="3" s="1"/>
  <c r="H157" i="2"/>
  <c r="G154" i="2"/>
  <c r="I154" i="2" s="1"/>
  <c r="Q151" i="2"/>
  <c r="R151" i="2" s="1"/>
  <c r="P148" i="2"/>
  <c r="C148" i="3" s="1"/>
  <c r="H147" i="2"/>
  <c r="G144" i="2"/>
  <c r="I144" i="2" s="1"/>
  <c r="Q141" i="2"/>
  <c r="R141" i="2" s="1"/>
  <c r="P138" i="2"/>
  <c r="C138" i="3" s="1"/>
  <c r="H137" i="2"/>
  <c r="G134" i="2"/>
  <c r="I134" i="2" s="1"/>
  <c r="P128" i="2"/>
  <c r="C128" i="3" s="1"/>
  <c r="H127" i="2"/>
  <c r="G124" i="2"/>
  <c r="I124" i="2" s="1"/>
  <c r="P118" i="2"/>
  <c r="C118" i="3" s="1"/>
  <c r="H117" i="2"/>
  <c r="G114" i="2"/>
  <c r="I114" i="2" s="1"/>
  <c r="P108" i="2"/>
  <c r="C108" i="3" s="1"/>
  <c r="H107" i="2"/>
  <c r="G104" i="2"/>
  <c r="I104" i="2" s="1"/>
  <c r="P98" i="2"/>
  <c r="C98" i="3" s="1"/>
  <c r="H97" i="2"/>
  <c r="J97" i="2" s="1"/>
  <c r="G94" i="2"/>
  <c r="I94" i="2" s="1"/>
  <c r="P88" i="2"/>
  <c r="C88" i="3" s="1"/>
  <c r="H87" i="2"/>
  <c r="G84" i="2"/>
  <c r="I84" i="2" s="1"/>
  <c r="P78" i="2"/>
  <c r="C78" i="3" s="1"/>
  <c r="H77" i="2"/>
  <c r="G74" i="2"/>
  <c r="I74" i="2" s="1"/>
  <c r="Q71" i="2"/>
  <c r="R71" i="2" s="1"/>
  <c r="H352" i="2"/>
  <c r="J352" i="2" s="1"/>
  <c r="K352" i="2" s="1"/>
  <c r="L352" i="2" s="1"/>
  <c r="M348" i="2"/>
  <c r="N348" i="2" s="1"/>
  <c r="P345" i="2"/>
  <c r="C345" i="3" s="1"/>
  <c r="H311" i="2"/>
  <c r="J311" i="2" s="1"/>
  <c r="M310" i="2"/>
  <c r="N310" i="2" s="1"/>
  <c r="M308" i="2"/>
  <c r="H302" i="2"/>
  <c r="M299" i="2"/>
  <c r="P288" i="2"/>
  <c r="C288" i="3" s="1"/>
  <c r="M287" i="2"/>
  <c r="H284" i="2"/>
  <c r="J284" i="2" s="1"/>
  <c r="H283" i="2"/>
  <c r="J283" i="2" s="1"/>
  <c r="P277" i="2"/>
  <c r="C277" i="3" s="1"/>
  <c r="G275" i="2"/>
  <c r="I275" i="2" s="1"/>
  <c r="P260" i="2"/>
  <c r="C260" i="3" s="1"/>
  <c r="Q259" i="2"/>
  <c r="R259" i="2" s="1"/>
  <c r="Q247" i="2"/>
  <c r="R247" i="2" s="1"/>
  <c r="G245" i="2"/>
  <c r="I245" i="2" s="1"/>
  <c r="M239" i="2"/>
  <c r="P229" i="2"/>
  <c r="C229" i="3" s="1"/>
  <c r="H226" i="2"/>
  <c r="M221" i="2"/>
  <c r="M219" i="2"/>
  <c r="G217" i="2"/>
  <c r="I217" i="2" s="1"/>
  <c r="G215" i="2"/>
  <c r="I215" i="2" s="1"/>
  <c r="Q213" i="2"/>
  <c r="R213" i="2" s="1"/>
  <c r="Q212" i="2"/>
  <c r="R212" i="2" s="1"/>
  <c r="Q211" i="2"/>
  <c r="R211" i="2" s="1"/>
  <c r="P210" i="2"/>
  <c r="C210" i="3" s="1"/>
  <c r="P209" i="2"/>
  <c r="C209" i="3" s="1"/>
  <c r="H207" i="2"/>
  <c r="H206" i="2"/>
  <c r="P201" i="2"/>
  <c r="C201" i="3" s="1"/>
  <c r="H200" i="2"/>
  <c r="G197" i="2"/>
  <c r="I197" i="2" s="1"/>
  <c r="M195" i="2"/>
  <c r="Q194" i="2"/>
  <c r="R194" i="2" s="1"/>
  <c r="I193" i="2"/>
  <c r="P191" i="2"/>
  <c r="C191" i="3" s="1"/>
  <c r="H190" i="2"/>
  <c r="G187" i="2"/>
  <c r="I187" i="2" s="1"/>
  <c r="M185" i="2"/>
  <c r="Q184" i="2"/>
  <c r="R184" i="2" s="1"/>
  <c r="P181" i="2"/>
  <c r="C181" i="3" s="1"/>
  <c r="H180" i="2"/>
  <c r="J180" i="2" s="1"/>
  <c r="G177" i="2"/>
  <c r="I177" i="2" s="1"/>
  <c r="M175" i="2"/>
  <c r="Q174" i="2"/>
  <c r="R174" i="2" s="1"/>
  <c r="I173" i="2"/>
  <c r="K173" i="2" s="1"/>
  <c r="L173" i="2" s="1"/>
  <c r="P171" i="2"/>
  <c r="C171" i="3" s="1"/>
  <c r="H170" i="2"/>
  <c r="G167" i="2"/>
  <c r="I167" i="2" s="1"/>
  <c r="M165" i="2"/>
  <c r="Q164" i="2"/>
  <c r="R164" i="2" s="1"/>
  <c r="P161" i="2"/>
  <c r="C161" i="3" s="1"/>
  <c r="H160" i="2"/>
  <c r="G157" i="2"/>
  <c r="I157" i="2" s="1"/>
  <c r="M155" i="2"/>
  <c r="Q154" i="2"/>
  <c r="R154" i="2" s="1"/>
  <c r="P151" i="2"/>
  <c r="C151" i="3" s="1"/>
  <c r="H150" i="2"/>
  <c r="G147" i="2"/>
  <c r="M145" i="2"/>
  <c r="Q144" i="2"/>
  <c r="R144" i="2" s="1"/>
  <c r="P141" i="2"/>
  <c r="C141" i="3" s="1"/>
  <c r="H140" i="2"/>
  <c r="J140" i="2" s="1"/>
  <c r="G137" i="2"/>
  <c r="I137" i="2" s="1"/>
  <c r="M135" i="2"/>
  <c r="Q134" i="2"/>
  <c r="R134" i="2" s="1"/>
  <c r="M340" i="2"/>
  <c r="N340" i="2" s="1"/>
  <c r="H334" i="2"/>
  <c r="J334" i="2" s="1"/>
  <c r="H301" i="2"/>
  <c r="M298" i="2"/>
  <c r="H292" i="2"/>
  <c r="J292" i="2" s="1"/>
  <c r="M289" i="2"/>
  <c r="P278" i="2"/>
  <c r="C278" i="3" s="1"/>
  <c r="M277" i="2"/>
  <c r="H274" i="2"/>
  <c r="J274" i="2" s="1"/>
  <c r="H273" i="2"/>
  <c r="G265" i="2"/>
  <c r="I265" i="2" s="1"/>
  <c r="H261" i="2"/>
  <c r="J261" i="2" s="1"/>
  <c r="H254" i="2"/>
  <c r="J254" i="2" s="1"/>
  <c r="M248" i="2"/>
  <c r="P247" i="2"/>
  <c r="C247" i="3" s="1"/>
  <c r="P238" i="2"/>
  <c r="C238" i="3" s="1"/>
  <c r="H235" i="2"/>
  <c r="H233" i="2"/>
  <c r="P225" i="2"/>
  <c r="C225" i="3" s="1"/>
  <c r="P213" i="2"/>
  <c r="C213" i="3" s="1"/>
  <c r="Q208" i="2"/>
  <c r="R208" i="2" s="1"/>
  <c r="G206" i="2"/>
  <c r="I206" i="2" s="1"/>
  <c r="H205" i="2"/>
  <c r="G200" i="2"/>
  <c r="I200" i="2" s="1"/>
  <c r="P194" i="2"/>
  <c r="C194" i="3" s="1"/>
  <c r="H193" i="2"/>
  <c r="G190" i="2"/>
  <c r="I190" i="2" s="1"/>
  <c r="P184" i="2"/>
  <c r="C184" i="3" s="1"/>
  <c r="H183" i="2"/>
  <c r="J183" i="2" s="1"/>
  <c r="G180" i="2"/>
  <c r="I180" i="2" s="1"/>
  <c r="P174" i="2"/>
  <c r="C174" i="3" s="1"/>
  <c r="H173" i="2"/>
  <c r="J173" i="2" s="1"/>
  <c r="G170" i="2"/>
  <c r="I170" i="2" s="1"/>
  <c r="P164" i="2"/>
  <c r="C164" i="3" s="1"/>
  <c r="H163" i="2"/>
  <c r="G160" i="2"/>
  <c r="I160" i="2" s="1"/>
  <c r="P154" i="2"/>
  <c r="C154" i="3" s="1"/>
  <c r="H153" i="2"/>
  <c r="G150" i="2"/>
  <c r="I150" i="2" s="1"/>
  <c r="P144" i="2"/>
  <c r="C144" i="3" s="1"/>
  <c r="H143" i="2"/>
  <c r="G140" i="2"/>
  <c r="I140" i="2" s="1"/>
  <c r="P134" i="2"/>
  <c r="C134" i="3" s="1"/>
  <c r="H133" i="2"/>
  <c r="J133" i="2" s="1"/>
  <c r="G130" i="2"/>
  <c r="I130" i="2" s="1"/>
  <c r="P124" i="2"/>
  <c r="C124" i="3" s="1"/>
  <c r="H123" i="2"/>
  <c r="J123" i="2" s="1"/>
  <c r="G120" i="2"/>
  <c r="I120" i="2" s="1"/>
  <c r="P114" i="2"/>
  <c r="C114" i="3" s="1"/>
  <c r="H113" i="2"/>
  <c r="J113" i="2" s="1"/>
  <c r="G110" i="2"/>
  <c r="I110" i="2" s="1"/>
  <c r="P104" i="2"/>
  <c r="C104" i="3" s="1"/>
  <c r="H103" i="2"/>
  <c r="G100" i="2"/>
  <c r="I100" i="2" s="1"/>
  <c r="P94" i="2"/>
  <c r="C94" i="3" s="1"/>
  <c r="H93" i="2"/>
  <c r="G90" i="2"/>
  <c r="I90" i="2" s="1"/>
  <c r="P84" i="2"/>
  <c r="C84" i="3" s="1"/>
  <c r="H83" i="2"/>
  <c r="J83" i="2" s="1"/>
  <c r="G80" i="2"/>
  <c r="I80" i="2" s="1"/>
  <c r="P74" i="2"/>
  <c r="C74" i="3" s="1"/>
  <c r="H73" i="2"/>
  <c r="G70" i="2"/>
  <c r="I70" i="2" s="1"/>
  <c r="P64" i="2"/>
  <c r="C64" i="3" s="1"/>
  <c r="H63" i="2"/>
  <c r="G60" i="2"/>
  <c r="I60" i="2" s="1"/>
  <c r="P54" i="2"/>
  <c r="C54" i="3" s="1"/>
  <c r="H53" i="2"/>
  <c r="G50" i="2"/>
  <c r="I50" i="2" s="1"/>
  <c r="P44" i="2"/>
  <c r="C44" i="3" s="1"/>
  <c r="H43" i="2"/>
  <c r="G40" i="2"/>
  <c r="I40" i="2" s="1"/>
  <c r="P157" i="2"/>
  <c r="C157" i="3" s="1"/>
  <c r="H156" i="2"/>
  <c r="P147" i="2"/>
  <c r="C147" i="3" s="1"/>
  <c r="G143" i="2"/>
  <c r="I143" i="2" s="1"/>
  <c r="M141" i="2"/>
  <c r="N141" i="2" s="1"/>
  <c r="I139" i="2"/>
  <c r="P137" i="2"/>
  <c r="C137" i="3" s="1"/>
  <c r="H136" i="2"/>
  <c r="J136" i="2" s="1"/>
  <c r="G123" i="2"/>
  <c r="I123" i="2" s="1"/>
  <c r="K123" i="2" s="1"/>
  <c r="L123" i="2" s="1"/>
  <c r="P117" i="2"/>
  <c r="C117" i="3" s="1"/>
  <c r="H116" i="2"/>
  <c r="G113" i="2"/>
  <c r="I113" i="2" s="1"/>
  <c r="M111" i="2"/>
  <c r="N111" i="2" s="1"/>
  <c r="P107" i="2"/>
  <c r="C107" i="3" s="1"/>
  <c r="H106" i="2"/>
  <c r="I99" i="2"/>
  <c r="P97" i="2"/>
  <c r="C97" i="3" s="1"/>
  <c r="G93" i="2"/>
  <c r="I93" i="2" s="1"/>
  <c r="M91" i="2"/>
  <c r="N91" i="2" s="1"/>
  <c r="P87" i="2"/>
  <c r="C87" i="3" s="1"/>
  <c r="H86" i="2"/>
  <c r="G83" i="2"/>
  <c r="M81" i="2"/>
  <c r="N81" i="2" s="1"/>
  <c r="I79" i="2"/>
  <c r="G73" i="2"/>
  <c r="I73" i="2" s="1"/>
  <c r="M71" i="2"/>
  <c r="P67" i="2"/>
  <c r="C67" i="3" s="1"/>
  <c r="H66" i="2"/>
  <c r="G63" i="2"/>
  <c r="I63" i="2" s="1"/>
  <c r="M61" i="2"/>
  <c r="N61" i="2" s="1"/>
  <c r="P57" i="2"/>
  <c r="C57" i="3" s="1"/>
  <c r="H56" i="2"/>
  <c r="P47" i="2"/>
  <c r="C47" i="3" s="1"/>
  <c r="H46" i="2"/>
  <c r="G43" i="2"/>
  <c r="I43" i="2" s="1"/>
  <c r="M41" i="2"/>
  <c r="N41" i="2" s="1"/>
  <c r="I33" i="2"/>
  <c r="K33" i="2" s="1"/>
  <c r="L33" i="2" s="1"/>
  <c r="I31" i="2"/>
  <c r="I21" i="2"/>
  <c r="I15" i="2"/>
  <c r="I13" i="2"/>
  <c r="K13" i="2" s="1"/>
  <c r="L13" i="2" s="1"/>
  <c r="I11" i="2"/>
  <c r="G69" i="2"/>
  <c r="I69" i="2" s="1"/>
  <c r="M67" i="2"/>
  <c r="N67" i="2" s="1"/>
  <c r="H341" i="2"/>
  <c r="J341" i="2" s="1"/>
  <c r="P335" i="2"/>
  <c r="C335" i="3" s="1"/>
  <c r="H291" i="2"/>
  <c r="J291" i="2" s="1"/>
  <c r="M288" i="2"/>
  <c r="H282" i="2"/>
  <c r="M279" i="2"/>
  <c r="M259" i="2"/>
  <c r="P258" i="2"/>
  <c r="C258" i="3" s="1"/>
  <c r="Q257" i="2"/>
  <c r="R257" i="2" s="1"/>
  <c r="I253" i="2"/>
  <c r="M247" i="2"/>
  <c r="Q237" i="2"/>
  <c r="R237" i="2" s="1"/>
  <c r="G235" i="2"/>
  <c r="I235" i="2" s="1"/>
  <c r="M229" i="2"/>
  <c r="I223" i="2"/>
  <c r="I219" i="2"/>
  <c r="P208" i="2"/>
  <c r="C208" i="3" s="1"/>
  <c r="G205" i="2"/>
  <c r="I205" i="2" s="1"/>
  <c r="I199" i="2"/>
  <c r="P197" i="2"/>
  <c r="C197" i="3" s="1"/>
  <c r="H196" i="2"/>
  <c r="J196" i="2" s="1"/>
  <c r="G193" i="2"/>
  <c r="P187" i="2"/>
  <c r="C187" i="3" s="1"/>
  <c r="H186" i="2"/>
  <c r="G183" i="2"/>
  <c r="I183" i="2" s="1"/>
  <c r="I179" i="2"/>
  <c r="P177" i="2"/>
  <c r="C177" i="3" s="1"/>
  <c r="H176" i="2"/>
  <c r="G173" i="2"/>
  <c r="M171" i="2"/>
  <c r="N171" i="2" s="1"/>
  <c r="P167" i="2"/>
  <c r="C167" i="3" s="1"/>
  <c r="H166" i="2"/>
  <c r="G163" i="2"/>
  <c r="I163" i="2" s="1"/>
  <c r="M161" i="2"/>
  <c r="N161" i="2" s="1"/>
  <c r="G153" i="2"/>
  <c r="I153" i="2" s="1"/>
  <c r="M151" i="2"/>
  <c r="N151" i="2" s="1"/>
  <c r="I149" i="2"/>
  <c r="H146" i="2"/>
  <c r="G133" i="2"/>
  <c r="I133" i="2" s="1"/>
  <c r="M131" i="2"/>
  <c r="N131" i="2" s="1"/>
  <c r="P127" i="2"/>
  <c r="C127" i="3" s="1"/>
  <c r="H126" i="2"/>
  <c r="M121" i="2"/>
  <c r="N121" i="2" s="1"/>
  <c r="I119" i="2"/>
  <c r="G103" i="2"/>
  <c r="I103" i="2" s="1"/>
  <c r="M101" i="2"/>
  <c r="N101" i="2" s="1"/>
  <c r="H96" i="2"/>
  <c r="P77" i="2"/>
  <c r="C77" i="3" s="1"/>
  <c r="H76" i="2"/>
  <c r="G53" i="2"/>
  <c r="M51" i="2"/>
  <c r="N51" i="2" s="1"/>
  <c r="I49" i="2"/>
  <c r="K49" i="2" s="1"/>
  <c r="L49" i="2" s="1"/>
  <c r="P73" i="2"/>
  <c r="C73" i="3" s="1"/>
  <c r="M64" i="2"/>
  <c r="N64" i="2" s="1"/>
  <c r="M57" i="2"/>
  <c r="N57" i="2" s="1"/>
  <c r="P53" i="2"/>
  <c r="C53" i="3" s="1"/>
  <c r="H342" i="2"/>
  <c r="H281" i="2"/>
  <c r="J281" i="2" s="1"/>
  <c r="M278" i="2"/>
  <c r="H272" i="2"/>
  <c r="J272" i="2" s="1"/>
  <c r="P270" i="2"/>
  <c r="C270" i="3" s="1"/>
  <c r="Q269" i="2"/>
  <c r="R269" i="2" s="1"/>
  <c r="P257" i="2"/>
  <c r="C257" i="3" s="1"/>
  <c r="H253" i="2"/>
  <c r="J253" i="2" s="1"/>
  <c r="G247" i="2"/>
  <c r="I247" i="2" s="1"/>
  <c r="M238" i="2"/>
  <c r="P237" i="2"/>
  <c r="C237" i="3" s="1"/>
  <c r="P228" i="2"/>
  <c r="C228" i="3" s="1"/>
  <c r="H225" i="2"/>
  <c r="H223" i="2"/>
  <c r="J223" i="2" s="1"/>
  <c r="H221" i="2"/>
  <c r="P218" i="2"/>
  <c r="C218" i="3" s="1"/>
  <c r="P214" i="2"/>
  <c r="C214" i="3" s="1"/>
  <c r="M213" i="2"/>
  <c r="M210" i="2"/>
  <c r="N210" i="2" s="1"/>
  <c r="P207" i="2"/>
  <c r="C207" i="3" s="1"/>
  <c r="H204" i="2"/>
  <c r="J204" i="2" s="1"/>
  <c r="H203" i="2"/>
  <c r="J203" i="2" s="1"/>
  <c r="P200" i="2"/>
  <c r="C200" i="3" s="1"/>
  <c r="H199" i="2"/>
  <c r="J199" i="2" s="1"/>
  <c r="G196" i="2"/>
  <c r="I196" i="2" s="1"/>
  <c r="P190" i="2"/>
  <c r="C190" i="3" s="1"/>
  <c r="H189" i="2"/>
  <c r="G186" i="2"/>
  <c r="I186" i="2" s="1"/>
  <c r="P180" i="2"/>
  <c r="C180" i="3" s="1"/>
  <c r="H179" i="2"/>
  <c r="G176" i="2"/>
  <c r="I176" i="2" s="1"/>
  <c r="P170" i="2"/>
  <c r="C170" i="3" s="1"/>
  <c r="H169" i="2"/>
  <c r="G166" i="2"/>
  <c r="I166" i="2" s="1"/>
  <c r="P160" i="2"/>
  <c r="C160" i="3" s="1"/>
  <c r="H159" i="2"/>
  <c r="G156" i="2"/>
  <c r="I156" i="2" s="1"/>
  <c r="P150" i="2"/>
  <c r="C150" i="3" s="1"/>
  <c r="H149" i="2"/>
  <c r="J149" i="2" s="1"/>
  <c r="G146" i="2"/>
  <c r="I146" i="2" s="1"/>
  <c r="P140" i="2"/>
  <c r="C140" i="3" s="1"/>
  <c r="H139" i="2"/>
  <c r="G136" i="2"/>
  <c r="I136" i="2" s="1"/>
  <c r="P130" i="2"/>
  <c r="C130" i="3" s="1"/>
  <c r="H129" i="2"/>
  <c r="G126" i="2"/>
  <c r="I126" i="2" s="1"/>
  <c r="P120" i="2"/>
  <c r="C120" i="3" s="1"/>
  <c r="H119" i="2"/>
  <c r="J119" i="2" s="1"/>
  <c r="G116" i="2"/>
  <c r="I116" i="2" s="1"/>
  <c r="P110" i="2"/>
  <c r="C110" i="3" s="1"/>
  <c r="H109" i="2"/>
  <c r="G106" i="2"/>
  <c r="I106" i="2" s="1"/>
  <c r="P100" i="2"/>
  <c r="C100" i="3" s="1"/>
  <c r="H99" i="2"/>
  <c r="G96" i="2"/>
  <c r="I96" i="2" s="1"/>
  <c r="P90" i="2"/>
  <c r="C90" i="3" s="1"/>
  <c r="H89" i="2"/>
  <c r="G86" i="2"/>
  <c r="I86" i="2" s="1"/>
  <c r="P80" i="2"/>
  <c r="C80" i="3" s="1"/>
  <c r="H79" i="2"/>
  <c r="J79" i="2" s="1"/>
  <c r="G76" i="2"/>
  <c r="I76" i="2" s="1"/>
  <c r="P70" i="2"/>
  <c r="C70" i="3" s="1"/>
  <c r="H69" i="2"/>
  <c r="G66" i="2"/>
  <c r="I66" i="2" s="1"/>
  <c r="P60" i="2"/>
  <c r="C60" i="3" s="1"/>
  <c r="H59" i="2"/>
  <c r="J59" i="2" s="1"/>
  <c r="G56" i="2"/>
  <c r="I56" i="2" s="1"/>
  <c r="P50" i="2"/>
  <c r="C50" i="3" s="1"/>
  <c r="H49" i="2"/>
  <c r="J49" i="2" s="1"/>
  <c r="G46" i="2"/>
  <c r="I46" i="2" s="1"/>
  <c r="P40" i="2"/>
  <c r="C40" i="3" s="1"/>
  <c r="H39" i="2"/>
  <c r="H37" i="2"/>
  <c r="H35" i="2"/>
  <c r="H33" i="2"/>
  <c r="J33" i="2" s="1"/>
  <c r="H31" i="2"/>
  <c r="H29" i="2"/>
  <c r="H27" i="2"/>
  <c r="J27" i="2" s="1"/>
  <c r="H25" i="2"/>
  <c r="H23" i="2"/>
  <c r="H21" i="2"/>
  <c r="H19" i="2"/>
  <c r="H17" i="2"/>
  <c r="H15" i="2"/>
  <c r="H13" i="2"/>
  <c r="J13" i="2" s="1"/>
  <c r="H11" i="2"/>
  <c r="H9" i="2"/>
  <c r="J9" i="2" s="1"/>
  <c r="G109" i="2"/>
  <c r="I109" i="2" s="1"/>
  <c r="M107" i="2"/>
  <c r="N107" i="2" s="1"/>
  <c r="Q106" i="2"/>
  <c r="R106" i="2" s="1"/>
  <c r="I105" i="2"/>
  <c r="P103" i="2"/>
  <c r="C103" i="3" s="1"/>
  <c r="H102" i="2"/>
  <c r="G99" i="2"/>
  <c r="M97" i="2"/>
  <c r="N97" i="2" s="1"/>
  <c r="Q96" i="2"/>
  <c r="R96" i="2" s="1"/>
  <c r="P93" i="2"/>
  <c r="C93" i="3" s="1"/>
  <c r="H92" i="2"/>
  <c r="J92" i="2" s="1"/>
  <c r="G89" i="2"/>
  <c r="I89" i="2" s="1"/>
  <c r="M87" i="2"/>
  <c r="N87" i="2" s="1"/>
  <c r="Q86" i="2"/>
  <c r="R86" i="2" s="1"/>
  <c r="P83" i="2"/>
  <c r="C83" i="3" s="1"/>
  <c r="H52" i="2"/>
  <c r="G15" i="2"/>
  <c r="H16" i="2"/>
  <c r="B20" i="3"/>
  <c r="M20" i="2"/>
  <c r="N20" i="2" s="1"/>
  <c r="P21" i="2"/>
  <c r="C21" i="3" s="1"/>
  <c r="Q22" i="2"/>
  <c r="R22" i="2" s="1"/>
  <c r="Q8" i="2"/>
  <c r="R8" i="2" s="1"/>
  <c r="B16" i="3"/>
  <c r="M16" i="2"/>
  <c r="N16" i="2" s="1"/>
  <c r="Q18" i="2"/>
  <c r="R18" i="2" s="1"/>
  <c r="B26" i="3"/>
  <c r="M26" i="2"/>
  <c r="N26" i="2" s="1"/>
  <c r="P27" i="2"/>
  <c r="C27" i="3" s="1"/>
  <c r="Q28" i="2"/>
  <c r="R28" i="2" s="1"/>
  <c r="G31" i="2"/>
  <c r="H32" i="2"/>
  <c r="J32" i="2" s="1"/>
  <c r="H45" i="2"/>
  <c r="G49" i="2"/>
  <c r="M50" i="2"/>
  <c r="N50" i="2" s="1"/>
  <c r="P51" i="2"/>
  <c r="C51" i="3" s="1"/>
  <c r="P62" i="2"/>
  <c r="C62" i="3" s="1"/>
  <c r="Q64" i="2"/>
  <c r="R64" i="2" s="1"/>
  <c r="P69" i="2"/>
  <c r="C69" i="3" s="1"/>
  <c r="B72" i="3"/>
  <c r="A73" i="3"/>
  <c r="D73" i="3" s="1"/>
  <c r="Q73" i="2"/>
  <c r="R73" i="2" s="1"/>
  <c r="H74" i="2"/>
  <c r="J74" i="2" s="1"/>
  <c r="P24" i="2"/>
  <c r="C24" i="3" s="1"/>
  <c r="P13" i="2"/>
  <c r="C13" i="3" s="1"/>
  <c r="Q24" i="2"/>
  <c r="R24" i="2" s="1"/>
  <c r="G36" i="2"/>
  <c r="I36" i="2" s="1"/>
  <c r="B10" i="3"/>
  <c r="M10" i="2"/>
  <c r="G11" i="2"/>
  <c r="H12" i="2"/>
  <c r="P17" i="2"/>
  <c r="C17" i="3" s="1"/>
  <c r="G21" i="2"/>
  <c r="H22" i="2"/>
  <c r="B36" i="3"/>
  <c r="M36" i="2"/>
  <c r="N36" i="2" s="1"/>
  <c r="P37" i="2"/>
  <c r="C37" i="3" s="1"/>
  <c r="Q38" i="2"/>
  <c r="R38" i="2" s="1"/>
  <c r="B42" i="3"/>
  <c r="P42" i="2"/>
  <c r="C42" i="3" s="1"/>
  <c r="G44" i="2"/>
  <c r="I44" i="2" s="1"/>
  <c r="B80" i="3"/>
  <c r="M85" i="2"/>
  <c r="Q88" i="2"/>
  <c r="R88" i="2" s="1"/>
  <c r="M89" i="2"/>
  <c r="H90" i="2"/>
  <c r="J90" i="2" s="1"/>
  <c r="H98" i="2"/>
  <c r="J98" i="2" s="1"/>
  <c r="H100" i="2"/>
  <c r="M109" i="2"/>
  <c r="A117" i="3"/>
  <c r="D117" i="3" s="1"/>
  <c r="Q117" i="2"/>
  <c r="R117" i="2" s="1"/>
  <c r="Q118" i="2"/>
  <c r="R118" i="2" s="1"/>
  <c r="M129" i="2"/>
  <c r="M300" i="2"/>
  <c r="N300" i="2" s="1"/>
  <c r="G10" i="2"/>
  <c r="I10" i="2" s="1"/>
  <c r="M13" i="2"/>
  <c r="P16" i="2"/>
  <c r="C16" i="3" s="1"/>
  <c r="Q17" i="2"/>
  <c r="R17" i="2" s="1"/>
  <c r="G20" i="2"/>
  <c r="M23" i="2"/>
  <c r="P26" i="2"/>
  <c r="C26" i="3" s="1"/>
  <c r="Q27" i="2"/>
  <c r="R27" i="2" s="1"/>
  <c r="G30" i="2"/>
  <c r="I30" i="2" s="1"/>
  <c r="M33" i="2"/>
  <c r="N33" i="2" s="1"/>
  <c r="P36" i="2"/>
  <c r="C36" i="3" s="1"/>
  <c r="Q37" i="2"/>
  <c r="R37" i="2" s="1"/>
  <c r="Q42" i="2"/>
  <c r="R42" i="2" s="1"/>
  <c r="H44" i="2"/>
  <c r="P46" i="2"/>
  <c r="C46" i="3" s="1"/>
  <c r="A50" i="3"/>
  <c r="D50" i="3" s="1"/>
  <c r="Q50" i="2"/>
  <c r="R50" i="2" s="1"/>
  <c r="Q51" i="2"/>
  <c r="R51" i="2" s="1"/>
  <c r="A53" i="3"/>
  <c r="D53" i="3" s="1"/>
  <c r="Q53" i="2"/>
  <c r="R53" i="2" s="1"/>
  <c r="P55" i="2"/>
  <c r="C55" i="3" s="1"/>
  <c r="G58" i="2"/>
  <c r="I58" i="2" s="1"/>
  <c r="Q62" i="2"/>
  <c r="R62" i="2" s="1"/>
  <c r="G65" i="2"/>
  <c r="I65" i="2" s="1"/>
  <c r="A69" i="3"/>
  <c r="D69" i="3" s="1"/>
  <c r="Q69" i="2"/>
  <c r="R69" i="2" s="1"/>
  <c r="B73" i="3"/>
  <c r="A77" i="3"/>
  <c r="D77" i="3" s="1"/>
  <c r="Q77" i="2"/>
  <c r="R77" i="2" s="1"/>
  <c r="G78" i="2"/>
  <c r="I78" i="2" s="1"/>
  <c r="P81" i="2"/>
  <c r="C81" i="3" s="1"/>
  <c r="M82" i="2"/>
  <c r="N82" i="2" s="1"/>
  <c r="P85" i="2"/>
  <c r="C85" i="3" s="1"/>
  <c r="M86" i="2"/>
  <c r="M99" i="2"/>
  <c r="A107" i="3"/>
  <c r="D107" i="3" s="1"/>
  <c r="Q107" i="2"/>
  <c r="R107" i="2" s="1"/>
  <c r="Q108" i="2"/>
  <c r="R108" i="2" s="1"/>
  <c r="P109" i="2"/>
  <c r="C109" i="3" s="1"/>
  <c r="G111" i="2"/>
  <c r="I111" i="2" s="1"/>
  <c r="B122" i="3"/>
  <c r="G127" i="2"/>
  <c r="I127" i="2" s="1"/>
  <c r="H134" i="2"/>
  <c r="B136" i="3"/>
  <c r="O136" i="2"/>
  <c r="Q138" i="2"/>
  <c r="R138" i="2" s="1"/>
  <c r="M11" i="2"/>
  <c r="N11" i="2" s="1"/>
  <c r="B12" i="3"/>
  <c r="M12" i="2"/>
  <c r="N12" i="2" s="1"/>
  <c r="Q14" i="2"/>
  <c r="R14" i="2" s="1"/>
  <c r="G17" i="2"/>
  <c r="I17" i="2" s="1"/>
  <c r="P33" i="2"/>
  <c r="C33" i="3" s="1"/>
  <c r="P12" i="2"/>
  <c r="C12" i="3" s="1"/>
  <c r="P22" i="2"/>
  <c r="C22" i="3" s="1"/>
  <c r="Q23" i="2"/>
  <c r="R23" i="2" s="1"/>
  <c r="M29" i="2"/>
  <c r="N29" i="2" s="1"/>
  <c r="P32" i="2"/>
  <c r="C32" i="3" s="1"/>
  <c r="Q33" i="2"/>
  <c r="R33" i="2" s="1"/>
  <c r="G42" i="2"/>
  <c r="I42" i="2" s="1"/>
  <c r="P11" i="2"/>
  <c r="C11" i="3" s="1"/>
  <c r="Q12" i="2"/>
  <c r="R12" i="2" s="1"/>
  <c r="G9" i="2"/>
  <c r="I9" i="2" s="1"/>
  <c r="H10" i="2"/>
  <c r="B14" i="3"/>
  <c r="M14" i="2"/>
  <c r="N14" i="2" s="1"/>
  <c r="P15" i="2"/>
  <c r="C15" i="3" s="1"/>
  <c r="Q16" i="2"/>
  <c r="R16" i="2" s="1"/>
  <c r="G19" i="2"/>
  <c r="I19" i="2" s="1"/>
  <c r="H20" i="2"/>
  <c r="B24" i="3"/>
  <c r="M24" i="2"/>
  <c r="N24" i="2" s="1"/>
  <c r="P25" i="2"/>
  <c r="C25" i="3" s="1"/>
  <c r="Q26" i="2"/>
  <c r="R26" i="2" s="1"/>
  <c r="G29" i="2"/>
  <c r="I29" i="2" s="1"/>
  <c r="H30" i="2"/>
  <c r="B34" i="3"/>
  <c r="M34" i="2"/>
  <c r="N34" i="2" s="1"/>
  <c r="P35" i="2"/>
  <c r="C35" i="3" s="1"/>
  <c r="Q36" i="2"/>
  <c r="R36" i="2" s="1"/>
  <c r="G39" i="2"/>
  <c r="I39" i="2" s="1"/>
  <c r="M40" i="2"/>
  <c r="N40" i="2" s="1"/>
  <c r="P41" i="2"/>
  <c r="C41" i="3" s="1"/>
  <c r="M45" i="2"/>
  <c r="Q46" i="2"/>
  <c r="R46" i="2" s="1"/>
  <c r="G52" i="2"/>
  <c r="I52" i="2" s="1"/>
  <c r="B53" i="3"/>
  <c r="O53" i="2"/>
  <c r="Q55" i="2"/>
  <c r="R55" i="2" s="1"/>
  <c r="M56" i="2"/>
  <c r="H58" i="2"/>
  <c r="A60" i="3"/>
  <c r="D60" i="3" s="1"/>
  <c r="Q60" i="2"/>
  <c r="R60" i="2" s="1"/>
  <c r="B62" i="3"/>
  <c r="M65" i="2"/>
  <c r="A67" i="3"/>
  <c r="D67" i="3" s="1"/>
  <c r="Q67" i="2"/>
  <c r="R67" i="2" s="1"/>
  <c r="G71" i="2"/>
  <c r="H78" i="2"/>
  <c r="I83" i="2"/>
  <c r="Q85" i="2"/>
  <c r="R85" i="2" s="1"/>
  <c r="P89" i="2"/>
  <c r="C89" i="3" s="1"/>
  <c r="A97" i="3"/>
  <c r="D97" i="3" s="1"/>
  <c r="Q97" i="2"/>
  <c r="R97" i="2" s="1"/>
  <c r="Q98" i="2"/>
  <c r="R98" i="2" s="1"/>
  <c r="P99" i="2"/>
  <c r="C99" i="3" s="1"/>
  <c r="G101" i="2"/>
  <c r="M112" i="2"/>
  <c r="A119" i="3"/>
  <c r="D119" i="3" s="1"/>
  <c r="Q119" i="2"/>
  <c r="R119" i="2" s="1"/>
  <c r="M126" i="2"/>
  <c r="N126" i="2" s="1"/>
  <c r="Q128" i="2"/>
  <c r="R128" i="2" s="1"/>
  <c r="I20" i="2"/>
  <c r="Q25" i="2"/>
  <c r="R25" i="2" s="1"/>
  <c r="G28" i="2"/>
  <c r="I28" i="2" s="1"/>
  <c r="M31" i="2"/>
  <c r="N31" i="2" s="1"/>
  <c r="O33" i="2"/>
  <c r="P34" i="2"/>
  <c r="C34" i="3" s="1"/>
  <c r="Q35" i="2"/>
  <c r="R35" i="2" s="1"/>
  <c r="G38" i="2"/>
  <c r="I38" i="2" s="1"/>
  <c r="A40" i="3"/>
  <c r="D40" i="3" s="1"/>
  <c r="Q40" i="2"/>
  <c r="R40" i="2" s="1"/>
  <c r="Q41" i="2"/>
  <c r="R41" i="2" s="1"/>
  <c r="G47" i="2"/>
  <c r="G48" i="2"/>
  <c r="I48" i="2" s="1"/>
  <c r="M49" i="2"/>
  <c r="M52" i="2"/>
  <c r="G54" i="2"/>
  <c r="I54" i="2" s="1"/>
  <c r="B60" i="3"/>
  <c r="O60" i="2"/>
  <c r="G61" i="2"/>
  <c r="A70" i="3"/>
  <c r="D70" i="3" s="1"/>
  <c r="Q70" i="2"/>
  <c r="R70" i="2" s="1"/>
  <c r="H71" i="2"/>
  <c r="Q74" i="2"/>
  <c r="R74" i="2" s="1"/>
  <c r="G75" i="2"/>
  <c r="P82" i="2"/>
  <c r="C82" i="3" s="1"/>
  <c r="G87" i="2"/>
  <c r="I87" i="2" s="1"/>
  <c r="A89" i="3"/>
  <c r="D89" i="3" s="1"/>
  <c r="Q89" i="2"/>
  <c r="R89" i="2" s="1"/>
  <c r="M90" i="2"/>
  <c r="N90" i="2" s="1"/>
  <c r="G91" i="2"/>
  <c r="I101" i="2"/>
  <c r="M102" i="2"/>
  <c r="A109" i="3"/>
  <c r="D109" i="3" s="1"/>
  <c r="Q109" i="2"/>
  <c r="R109" i="2" s="1"/>
  <c r="P111" i="2"/>
  <c r="C111" i="3" s="1"/>
  <c r="M125" i="2"/>
  <c r="A129" i="3"/>
  <c r="D129" i="3" s="1"/>
  <c r="Q129" i="2"/>
  <c r="R129" i="2" s="1"/>
  <c r="G141" i="2"/>
  <c r="I141" i="2" s="1"/>
  <c r="P45" i="2"/>
  <c r="C45" i="3" s="1"/>
  <c r="H47" i="2"/>
  <c r="J47" i="2" s="1"/>
  <c r="H48" i="2"/>
  <c r="H54" i="2"/>
  <c r="J54" i="2" s="1"/>
  <c r="P58" i="2"/>
  <c r="C58" i="3" s="1"/>
  <c r="H61" i="2"/>
  <c r="A63" i="3"/>
  <c r="D63" i="3" s="1"/>
  <c r="Q63" i="2"/>
  <c r="R63" i="2" s="1"/>
  <c r="P65" i="2"/>
  <c r="C65" i="3" s="1"/>
  <c r="G68" i="2"/>
  <c r="I68" i="2" s="1"/>
  <c r="B70" i="3"/>
  <c r="O70" i="2"/>
  <c r="I71" i="2"/>
  <c r="M75" i="2"/>
  <c r="Q78" i="2"/>
  <c r="R78" i="2" s="1"/>
  <c r="M79" i="2"/>
  <c r="H80" i="2"/>
  <c r="J80" i="2" s="1"/>
  <c r="Q82" i="2"/>
  <c r="R82" i="2" s="1"/>
  <c r="I91" i="2"/>
  <c r="M92" i="2"/>
  <c r="A99" i="3"/>
  <c r="D99" i="3" s="1"/>
  <c r="Q99" i="2"/>
  <c r="R99" i="2" s="1"/>
  <c r="P101" i="2"/>
  <c r="C101" i="3" s="1"/>
  <c r="Q112" i="2"/>
  <c r="R112" i="2" s="1"/>
  <c r="M113" i="2"/>
  <c r="N113" i="2" s="1"/>
  <c r="H114" i="2"/>
  <c r="J114" i="2" s="1"/>
  <c r="H124" i="2"/>
  <c r="J124" i="2" s="1"/>
  <c r="P125" i="2"/>
  <c r="C125" i="3" s="1"/>
  <c r="M242" i="2"/>
  <c r="N242" i="2" s="1"/>
  <c r="M290" i="2"/>
  <c r="N290" i="2" s="1"/>
  <c r="P14" i="2"/>
  <c r="C14" i="3" s="1"/>
  <c r="M21" i="2"/>
  <c r="N21" i="2" s="1"/>
  <c r="H8" i="2"/>
  <c r="J8" i="2" s="1"/>
  <c r="G27" i="2"/>
  <c r="I27" i="2" s="1"/>
  <c r="Q34" i="2"/>
  <c r="R34" i="2" s="1"/>
  <c r="M39" i="2"/>
  <c r="B44" i="3"/>
  <c r="O44" i="2"/>
  <c r="M44" i="2"/>
  <c r="N44" i="2" s="1"/>
  <c r="Q45" i="2"/>
  <c r="R45" i="2" s="1"/>
  <c r="I47" i="2"/>
  <c r="K47" i="2" s="1"/>
  <c r="L47" i="2" s="1"/>
  <c r="P49" i="2"/>
  <c r="C49" i="3" s="1"/>
  <c r="G51" i="2"/>
  <c r="I51" i="2" s="1"/>
  <c r="A56" i="3"/>
  <c r="D56" i="3" s="1"/>
  <c r="Q56" i="2"/>
  <c r="R56" i="2" s="1"/>
  <c r="G57" i="2"/>
  <c r="Q58" i="2"/>
  <c r="R58" i="2" s="1"/>
  <c r="I61" i="2"/>
  <c r="B63" i="3"/>
  <c r="O63" i="2"/>
  <c r="Q65" i="2"/>
  <c r="R65" i="2" s="1"/>
  <c r="M66" i="2"/>
  <c r="H68" i="2"/>
  <c r="J68" i="2" s="1"/>
  <c r="P71" i="2"/>
  <c r="C71" i="3" s="1"/>
  <c r="M72" i="2"/>
  <c r="P75" i="2"/>
  <c r="C75" i="3" s="1"/>
  <c r="M76" i="2"/>
  <c r="N76" i="2" s="1"/>
  <c r="M83" i="2"/>
  <c r="N83" i="2" s="1"/>
  <c r="A90" i="3"/>
  <c r="D90" i="3" s="1"/>
  <c r="Q90" i="2"/>
  <c r="R90" i="2" s="1"/>
  <c r="P91" i="2"/>
  <c r="C91" i="3" s="1"/>
  <c r="Q102" i="2"/>
  <c r="R102" i="2" s="1"/>
  <c r="M103" i="2"/>
  <c r="N103" i="2" s="1"/>
  <c r="H104" i="2"/>
  <c r="J104" i="2" s="1"/>
  <c r="B110" i="3"/>
  <c r="O110" i="2"/>
  <c r="G115" i="2"/>
  <c r="I115" i="2" s="1"/>
  <c r="M122" i="2"/>
  <c r="Q124" i="2"/>
  <c r="R124" i="2" s="1"/>
  <c r="M136" i="2"/>
  <c r="N136" i="2" s="1"/>
  <c r="B22" i="3"/>
  <c r="M22" i="2"/>
  <c r="N22" i="2" s="1"/>
  <c r="G25" i="2"/>
  <c r="I25" i="2" s="1"/>
  <c r="H26" i="2"/>
  <c r="J26" i="2" s="1"/>
  <c r="B30" i="3"/>
  <c r="M30" i="2"/>
  <c r="N30" i="2" s="1"/>
  <c r="P31" i="2"/>
  <c r="C31" i="3" s="1"/>
  <c r="Q32" i="2"/>
  <c r="R32" i="2" s="1"/>
  <c r="H36" i="2"/>
  <c r="M43" i="2"/>
  <c r="N43" i="2" s="1"/>
  <c r="Q44" i="2"/>
  <c r="R44" i="2" s="1"/>
  <c r="Q49" i="2"/>
  <c r="R49" i="2" s="1"/>
  <c r="H50" i="2"/>
  <c r="H51" i="2"/>
  <c r="J51" i="2" s="1"/>
  <c r="P52" i="2"/>
  <c r="C52" i="3" s="1"/>
  <c r="A83" i="3"/>
  <c r="D83" i="3" s="1"/>
  <c r="Q83" i="2"/>
  <c r="R83" i="2" s="1"/>
  <c r="H84" i="2"/>
  <c r="J84" i="2" s="1"/>
  <c r="B90" i="3"/>
  <c r="Q92" i="2"/>
  <c r="R92" i="2" s="1"/>
  <c r="M93" i="2"/>
  <c r="N93" i="2" s="1"/>
  <c r="H94" i="2"/>
  <c r="J94" i="2" s="1"/>
  <c r="B100" i="3"/>
  <c r="O100" i="2"/>
  <c r="G105" i="2"/>
  <c r="A113" i="3"/>
  <c r="D113" i="3" s="1"/>
  <c r="Q113" i="2"/>
  <c r="R113" i="2" s="1"/>
  <c r="Q114" i="2"/>
  <c r="R114" i="2" s="1"/>
  <c r="M115" i="2"/>
  <c r="M116" i="2"/>
  <c r="G117" i="2"/>
  <c r="I117" i="2" s="1"/>
  <c r="M260" i="2"/>
  <c r="N260" i="2" s="1"/>
  <c r="G8" i="2"/>
  <c r="I8" i="2" s="1"/>
  <c r="H18" i="2"/>
  <c r="M9" i="2"/>
  <c r="N9" i="2" s="1"/>
  <c r="Q13" i="2"/>
  <c r="R13" i="2" s="1"/>
  <c r="G16" i="2"/>
  <c r="I16" i="2" s="1"/>
  <c r="M19" i="2"/>
  <c r="N19" i="2" s="1"/>
  <c r="G26" i="2"/>
  <c r="I26" i="2" s="1"/>
  <c r="K26" i="2" s="1"/>
  <c r="L26" i="2" s="1"/>
  <c r="Q15" i="2"/>
  <c r="R15" i="2" s="1"/>
  <c r="G18" i="2"/>
  <c r="I18" i="2" s="1"/>
  <c r="P23" i="2"/>
  <c r="C23" i="3" s="1"/>
  <c r="H28" i="2"/>
  <c r="B32" i="3"/>
  <c r="M32" i="2"/>
  <c r="N32" i="2" s="1"/>
  <c r="H38" i="2"/>
  <c r="G35" i="2"/>
  <c r="I35" i="2" s="1"/>
  <c r="H42" i="2"/>
  <c r="A43" i="3"/>
  <c r="D43" i="3" s="1"/>
  <c r="Q43" i="2"/>
  <c r="R43" i="2" s="1"/>
  <c r="M17" i="2"/>
  <c r="N17" i="2" s="1"/>
  <c r="G24" i="2"/>
  <c r="M27" i="2"/>
  <c r="N27" i="2" s="1"/>
  <c r="P30" i="2"/>
  <c r="C30" i="3" s="1"/>
  <c r="B52" i="3"/>
  <c r="Q52" i="2"/>
  <c r="R52" i="2" s="1"/>
  <c r="Q54" i="2"/>
  <c r="R54" i="2" s="1"/>
  <c r="A79" i="3"/>
  <c r="D79" i="3" s="1"/>
  <c r="Q79" i="2"/>
  <c r="R79" i="2" s="1"/>
  <c r="G95" i="2"/>
  <c r="I95" i="2" s="1"/>
  <c r="Q104" i="2"/>
  <c r="R104" i="2" s="1"/>
  <c r="B112" i="3"/>
  <c r="P115" i="2"/>
  <c r="C115" i="3" s="1"/>
  <c r="G121" i="2"/>
  <c r="I121" i="2" s="1"/>
  <c r="A133" i="3"/>
  <c r="D133" i="3" s="1"/>
  <c r="Q133" i="2"/>
  <c r="R133" i="2" s="1"/>
  <c r="P19" i="2"/>
  <c r="C19" i="3" s="1"/>
  <c r="Q20" i="2"/>
  <c r="R20" i="2" s="1"/>
  <c r="G23" i="2"/>
  <c r="I23" i="2" s="1"/>
  <c r="B38" i="3"/>
  <c r="M38" i="2"/>
  <c r="N38" i="2" s="1"/>
  <c r="Q39" i="2"/>
  <c r="R39" i="2" s="1"/>
  <c r="H40" i="2"/>
  <c r="H41" i="2"/>
  <c r="P43" i="2"/>
  <c r="C43" i="3" s="1"/>
  <c r="M46" i="2"/>
  <c r="B47" i="3"/>
  <c r="P48" i="2"/>
  <c r="C48" i="3" s="1"/>
  <c r="G55" i="2"/>
  <c r="I55" i="2" s="1"/>
  <c r="A59" i="3"/>
  <c r="D59" i="3" s="1"/>
  <c r="Q59" i="2"/>
  <c r="R59" i="2" s="1"/>
  <c r="P59" i="2"/>
  <c r="C59" i="3" s="1"/>
  <c r="A66" i="3"/>
  <c r="D66" i="3" s="1"/>
  <c r="Q66" i="2"/>
  <c r="R66" i="2" s="1"/>
  <c r="G67" i="2"/>
  <c r="I67" i="2" s="1"/>
  <c r="Q68" i="2"/>
  <c r="R68" i="2" s="1"/>
  <c r="M69" i="2"/>
  <c r="N69" i="2" s="1"/>
  <c r="H70" i="2"/>
  <c r="J70" i="2" s="1"/>
  <c r="Q72" i="2"/>
  <c r="R72" i="2" s="1"/>
  <c r="I77" i="2"/>
  <c r="G81" i="2"/>
  <c r="I81" i="2" s="1"/>
  <c r="K81" i="2" s="1"/>
  <c r="L81" i="2" s="1"/>
  <c r="H88" i="2"/>
  <c r="J88" i="2" s="1"/>
  <c r="A93" i="3"/>
  <c r="D93" i="3" s="1"/>
  <c r="Q93" i="2"/>
  <c r="R93" i="2" s="1"/>
  <c r="Q94" i="2"/>
  <c r="R94" i="2" s="1"/>
  <c r="M95" i="2"/>
  <c r="M96" i="2"/>
  <c r="N96" i="2" s="1"/>
  <c r="G97" i="2"/>
  <c r="I97" i="2" s="1"/>
  <c r="B102" i="3"/>
  <c r="P105" i="2"/>
  <c r="C105" i="3" s="1"/>
  <c r="O106" i="2"/>
  <c r="H118" i="2"/>
  <c r="P121" i="2"/>
  <c r="C121" i="3" s="1"/>
  <c r="A123" i="3"/>
  <c r="D123" i="3" s="1"/>
  <c r="Q123" i="2"/>
  <c r="R123" i="2" s="1"/>
  <c r="H130" i="2"/>
  <c r="J130" i="2" s="1"/>
  <c r="G131" i="2"/>
  <c r="I131" i="2" s="1"/>
  <c r="M139" i="2"/>
  <c r="M232" i="2"/>
  <c r="M280" i="2"/>
  <c r="N280" i="2" s="1"/>
  <c r="G37" i="2"/>
  <c r="I37" i="2" s="1"/>
  <c r="H57" i="2"/>
  <c r="M59" i="2"/>
  <c r="P61" i="2"/>
  <c r="C61" i="3" s="1"/>
  <c r="G64" i="2"/>
  <c r="I64" i="2" s="1"/>
  <c r="Q75" i="2"/>
  <c r="R75" i="2" s="1"/>
  <c r="P79" i="2"/>
  <c r="C79" i="3" s="1"/>
  <c r="B82" i="3"/>
  <c r="P10" i="2"/>
  <c r="C10" i="3" s="1"/>
  <c r="Q11" i="2"/>
  <c r="R11" i="2" s="1"/>
  <c r="G14" i="2"/>
  <c r="I14" i="2" s="1"/>
  <c r="P20" i="2"/>
  <c r="C20" i="3" s="1"/>
  <c r="Q21" i="2"/>
  <c r="R21" i="2" s="1"/>
  <c r="O29" i="2"/>
  <c r="Q31" i="2"/>
  <c r="R31" i="2" s="1"/>
  <c r="G34" i="2"/>
  <c r="I34" i="2" s="1"/>
  <c r="M37" i="2"/>
  <c r="N37" i="2" s="1"/>
  <c r="P39" i="2"/>
  <c r="C39" i="3" s="1"/>
  <c r="G41" i="2"/>
  <c r="M42" i="2"/>
  <c r="N42" i="2" s="1"/>
  <c r="A47" i="3"/>
  <c r="D47" i="3" s="1"/>
  <c r="Q47" i="2"/>
  <c r="R47" i="2" s="1"/>
  <c r="I53" i="2"/>
  <c r="I57" i="2"/>
  <c r="H60" i="2"/>
  <c r="J60" i="2" s="1"/>
  <c r="Q61" i="2"/>
  <c r="R61" i="2" s="1"/>
  <c r="M62" i="2"/>
  <c r="N62" i="2" s="1"/>
  <c r="H64" i="2"/>
  <c r="P68" i="2"/>
  <c r="C68" i="3" s="1"/>
  <c r="P72" i="2"/>
  <c r="C72" i="3" s="1"/>
  <c r="G77" i="2"/>
  <c r="M80" i="2"/>
  <c r="N80" i="2" s="1"/>
  <c r="B83" i="3"/>
  <c r="A87" i="3"/>
  <c r="D87" i="3" s="1"/>
  <c r="Q87" i="2"/>
  <c r="R87" i="2" s="1"/>
  <c r="G88" i="2"/>
  <c r="I88" i="2" s="1"/>
  <c r="A103" i="3"/>
  <c r="D103" i="3" s="1"/>
  <c r="Q103" i="2"/>
  <c r="R103" i="2" s="1"/>
  <c r="M105" i="2"/>
  <c r="M106" i="2"/>
  <c r="N106" i="2" s="1"/>
  <c r="G107" i="2"/>
  <c r="I107" i="2" s="1"/>
  <c r="H120" i="2"/>
  <c r="B126" i="3"/>
  <c r="M230" i="2"/>
  <c r="B8" i="3"/>
  <c r="M8" i="2"/>
  <c r="N8" i="2" s="1"/>
  <c r="P9" i="2"/>
  <c r="C9" i="3" s="1"/>
  <c r="Q10" i="2"/>
  <c r="R10" i="2" s="1"/>
  <c r="G13" i="2"/>
  <c r="H14" i="2"/>
  <c r="B18" i="3"/>
  <c r="M18" i="2"/>
  <c r="N18" i="2" s="1"/>
  <c r="H24" i="2"/>
  <c r="J24" i="2" s="1"/>
  <c r="B28" i="3"/>
  <c r="M28" i="2"/>
  <c r="N28" i="2" s="1"/>
  <c r="P29" i="2"/>
  <c r="C29" i="3" s="1"/>
  <c r="Q30" i="2"/>
  <c r="R30" i="2" s="1"/>
  <c r="G33" i="2"/>
  <c r="H34" i="2"/>
  <c r="P8" i="2"/>
  <c r="C8" i="3" s="1"/>
  <c r="Q9" i="2"/>
  <c r="R9" i="2" s="1"/>
  <c r="G12" i="2"/>
  <c r="I12" i="2" s="1"/>
  <c r="M15" i="2"/>
  <c r="N15" i="2" s="1"/>
  <c r="P18" i="2"/>
  <c r="C18" i="3" s="1"/>
  <c r="Q19" i="2"/>
  <c r="R19" i="2" s="1"/>
  <c r="G22" i="2"/>
  <c r="I22" i="2" s="1"/>
  <c r="I24" i="2"/>
  <c r="M25" i="2"/>
  <c r="N25" i="2" s="1"/>
  <c r="P28" i="2"/>
  <c r="C28" i="3" s="1"/>
  <c r="Q29" i="2"/>
  <c r="R29" i="2" s="1"/>
  <c r="G32" i="2"/>
  <c r="I32" i="2" s="1"/>
  <c r="M35" i="2"/>
  <c r="N35" i="2" s="1"/>
  <c r="O37" i="2"/>
  <c r="P38" i="2"/>
  <c r="C38" i="3" s="1"/>
  <c r="I41" i="2"/>
  <c r="G45" i="2"/>
  <c r="I45" i="2" s="1"/>
  <c r="M47" i="2"/>
  <c r="N47" i="2" s="1"/>
  <c r="Q48" i="2"/>
  <c r="R48" i="2" s="1"/>
  <c r="M55" i="2"/>
  <c r="A57" i="3"/>
  <c r="D57" i="3" s="1"/>
  <c r="Q57" i="2"/>
  <c r="R57" i="2" s="1"/>
  <c r="H67" i="2"/>
  <c r="O69" i="2"/>
  <c r="M73" i="2"/>
  <c r="N73" i="2" s="1"/>
  <c r="A80" i="3"/>
  <c r="D80" i="3" s="1"/>
  <c r="Q80" i="2"/>
  <c r="R80" i="2" s="1"/>
  <c r="H81" i="2"/>
  <c r="J81" i="2" s="1"/>
  <c r="Q84" i="2"/>
  <c r="R84" i="2" s="1"/>
  <c r="G85" i="2"/>
  <c r="I85" i="2" s="1"/>
  <c r="B92" i="3"/>
  <c r="P95" i="2"/>
  <c r="C95" i="3" s="1"/>
  <c r="H108" i="2"/>
  <c r="J108" i="2" s="1"/>
  <c r="H110" i="2"/>
  <c r="J110" i="2" s="1"/>
  <c r="M119" i="2"/>
  <c r="P131" i="2"/>
  <c r="C131" i="3" s="1"/>
  <c r="P135" i="2"/>
  <c r="C135" i="3" s="1"/>
  <c r="M84" i="2"/>
  <c r="N84" i="2" s="1"/>
  <c r="M94" i="2"/>
  <c r="N94" i="2" s="1"/>
  <c r="M104" i="2"/>
  <c r="N104" i="2" s="1"/>
  <c r="O77" i="2"/>
  <c r="O87" i="2"/>
  <c r="O97" i="2"/>
  <c r="O107" i="2"/>
  <c r="Q143" i="2"/>
  <c r="R143" i="2" s="1"/>
  <c r="Q153" i="2"/>
  <c r="R153" i="2" s="1"/>
  <c r="Q163" i="2"/>
  <c r="R163" i="2" s="1"/>
  <c r="Q173" i="2"/>
  <c r="R173" i="2" s="1"/>
  <c r="Q183" i="2"/>
  <c r="R183" i="2" s="1"/>
  <c r="Q193" i="2"/>
  <c r="R193" i="2" s="1"/>
  <c r="Q206" i="2"/>
  <c r="R206" i="2" s="1"/>
  <c r="B214" i="3"/>
  <c r="O214" i="2"/>
  <c r="B222" i="3"/>
  <c r="O222" i="2"/>
  <c r="A241" i="3"/>
  <c r="D241" i="3" s="1"/>
  <c r="Q241" i="2"/>
  <c r="R241" i="2" s="1"/>
  <c r="B262" i="3"/>
  <c r="M262" i="2"/>
  <c r="N262" i="2" s="1"/>
  <c r="A268" i="3"/>
  <c r="D268" i="3" s="1"/>
  <c r="Q268" i="2"/>
  <c r="R268" i="2" s="1"/>
  <c r="A328" i="3"/>
  <c r="D328" i="3" s="1"/>
  <c r="Q328" i="2"/>
  <c r="R328" i="2" s="1"/>
  <c r="B330" i="3"/>
  <c r="O330" i="2"/>
  <c r="M48" i="2"/>
  <c r="M98" i="2"/>
  <c r="Q100" i="2"/>
  <c r="R100" i="2" s="1"/>
  <c r="M108" i="2"/>
  <c r="M118" i="2"/>
  <c r="Q120" i="2"/>
  <c r="R120" i="2" s="1"/>
  <c r="M128" i="2"/>
  <c r="Q130" i="2"/>
  <c r="R130" i="2" s="1"/>
  <c r="M148" i="2"/>
  <c r="Q150" i="2"/>
  <c r="R150" i="2" s="1"/>
  <c r="M158" i="2"/>
  <c r="Q160" i="2"/>
  <c r="R160" i="2" s="1"/>
  <c r="M168" i="2"/>
  <c r="Q170" i="2"/>
  <c r="R170" i="2" s="1"/>
  <c r="M178" i="2"/>
  <c r="Q180" i="2"/>
  <c r="R180" i="2" s="1"/>
  <c r="M181" i="2"/>
  <c r="N181" i="2" s="1"/>
  <c r="M188" i="2"/>
  <c r="Q190" i="2"/>
  <c r="R190" i="2" s="1"/>
  <c r="M191" i="2"/>
  <c r="N191" i="2" s="1"/>
  <c r="M198" i="2"/>
  <c r="Q200" i="2"/>
  <c r="R200" i="2" s="1"/>
  <c r="M201" i="2"/>
  <c r="N201" i="2" s="1"/>
  <c r="Q207" i="2"/>
  <c r="R207" i="2" s="1"/>
  <c r="B209" i="3"/>
  <c r="M209" i="2"/>
  <c r="M211" i="2"/>
  <c r="N211" i="2" s="1"/>
  <c r="A218" i="3"/>
  <c r="D218" i="3" s="1"/>
  <c r="Q218" i="2"/>
  <c r="R218" i="2" s="1"/>
  <c r="A263" i="3"/>
  <c r="D263" i="3" s="1"/>
  <c r="Q263" i="2"/>
  <c r="R263" i="2" s="1"/>
  <c r="M58" i="2"/>
  <c r="M68" i="2"/>
  <c r="M78" i="2"/>
  <c r="O84" i="2"/>
  <c r="M88" i="2"/>
  <c r="Q110" i="2"/>
  <c r="R110" i="2" s="1"/>
  <c r="M138" i="2"/>
  <c r="Q140" i="2"/>
  <c r="R140" i="2" s="1"/>
  <c r="O41" i="2"/>
  <c r="O51" i="2"/>
  <c r="O61" i="2"/>
  <c r="O91" i="2"/>
  <c r="Q127" i="2"/>
  <c r="R127" i="2" s="1"/>
  <c r="O131" i="2"/>
  <c r="Q137" i="2"/>
  <c r="R137" i="2" s="1"/>
  <c r="O141" i="2"/>
  <c r="Q147" i="2"/>
  <c r="R147" i="2" s="1"/>
  <c r="O151" i="2"/>
  <c r="Q157" i="2"/>
  <c r="R157" i="2" s="1"/>
  <c r="Q167" i="2"/>
  <c r="R167" i="2" s="1"/>
  <c r="Q177" i="2"/>
  <c r="R177" i="2" s="1"/>
  <c r="O181" i="2"/>
  <c r="Q187" i="2"/>
  <c r="R187" i="2" s="1"/>
  <c r="Q197" i="2"/>
  <c r="R197" i="2" s="1"/>
  <c r="A228" i="3"/>
  <c r="D228" i="3" s="1"/>
  <c r="Q228" i="2"/>
  <c r="R228" i="2" s="1"/>
  <c r="A232" i="3"/>
  <c r="D232" i="3" s="1"/>
  <c r="Q232" i="2"/>
  <c r="R232" i="2" s="1"/>
  <c r="A270" i="3"/>
  <c r="D270" i="3" s="1"/>
  <c r="Q270" i="2"/>
  <c r="R270" i="2" s="1"/>
  <c r="M132" i="2"/>
  <c r="M142" i="2"/>
  <c r="M152" i="2"/>
  <c r="N152" i="2" s="1"/>
  <c r="M162" i="2"/>
  <c r="M172" i="2"/>
  <c r="M182" i="2"/>
  <c r="M192" i="2"/>
  <c r="N192" i="2" s="1"/>
  <c r="B202" i="3"/>
  <c r="M202" i="2"/>
  <c r="N202" i="2" s="1"/>
  <c r="A221" i="3"/>
  <c r="D221" i="3" s="1"/>
  <c r="Q221" i="2"/>
  <c r="R221" i="2" s="1"/>
  <c r="B232" i="3"/>
  <c r="B252" i="3"/>
  <c r="M252" i="2"/>
  <c r="N252" i="2" s="1"/>
  <c r="A258" i="3"/>
  <c r="D258" i="3" s="1"/>
  <c r="Q258" i="2"/>
  <c r="R258" i="2" s="1"/>
  <c r="B270" i="3"/>
  <c r="O270" i="2"/>
  <c r="A271" i="3"/>
  <c r="D271" i="3" s="1"/>
  <c r="Q271" i="2"/>
  <c r="R271" i="2" s="1"/>
  <c r="Q81" i="2"/>
  <c r="R81" i="2" s="1"/>
  <c r="Q91" i="2"/>
  <c r="R91" i="2" s="1"/>
  <c r="Q101" i="2"/>
  <c r="R101" i="2" s="1"/>
  <c r="Q111" i="2"/>
  <c r="R111" i="2" s="1"/>
  <c r="Q121" i="2"/>
  <c r="R121" i="2" s="1"/>
  <c r="Q131" i="2"/>
  <c r="R131" i="2" s="1"/>
  <c r="M203" i="2"/>
  <c r="A204" i="3"/>
  <c r="D204" i="3" s="1"/>
  <c r="Q204" i="2"/>
  <c r="R204" i="2" s="1"/>
  <c r="M204" i="2"/>
  <c r="B216" i="3"/>
  <c r="M216" i="2"/>
  <c r="N216" i="2" s="1"/>
  <c r="A223" i="3"/>
  <c r="D223" i="3" s="1"/>
  <c r="Q223" i="2"/>
  <c r="R223" i="2" s="1"/>
  <c r="A238" i="3"/>
  <c r="D238" i="3" s="1"/>
  <c r="Q238" i="2"/>
  <c r="R238" i="2" s="1"/>
  <c r="A242" i="3"/>
  <c r="D242" i="3" s="1"/>
  <c r="Q242" i="2"/>
  <c r="R242" i="2" s="1"/>
  <c r="A253" i="3"/>
  <c r="D253" i="3" s="1"/>
  <c r="Q253" i="2"/>
  <c r="R253" i="2" s="1"/>
  <c r="A280" i="3"/>
  <c r="D280" i="3" s="1"/>
  <c r="Q280" i="2"/>
  <c r="R280" i="2" s="1"/>
  <c r="A281" i="3"/>
  <c r="D281" i="3" s="1"/>
  <c r="Q281" i="2"/>
  <c r="R281" i="2" s="1"/>
  <c r="M146" i="2"/>
  <c r="N146" i="2" s="1"/>
  <c r="M156" i="2"/>
  <c r="N156" i="2" s="1"/>
  <c r="M166" i="2"/>
  <c r="N166" i="2" s="1"/>
  <c r="M176" i="2"/>
  <c r="N176" i="2" s="1"/>
  <c r="M186" i="2"/>
  <c r="M196" i="2"/>
  <c r="N196" i="2" s="1"/>
  <c r="B242" i="3"/>
  <c r="A260" i="3"/>
  <c r="D260" i="3" s="1"/>
  <c r="Q260" i="2"/>
  <c r="R260" i="2" s="1"/>
  <c r="A278" i="3"/>
  <c r="D278" i="3" s="1"/>
  <c r="Q278" i="2"/>
  <c r="R278" i="2" s="1"/>
  <c r="B280" i="3"/>
  <c r="O280" i="2"/>
  <c r="A290" i="3"/>
  <c r="D290" i="3" s="1"/>
  <c r="Q290" i="2"/>
  <c r="R290" i="2" s="1"/>
  <c r="A291" i="3"/>
  <c r="D291" i="3" s="1"/>
  <c r="Q291" i="2"/>
  <c r="R291" i="2" s="1"/>
  <c r="B205" i="3"/>
  <c r="M205" i="2"/>
  <c r="N205" i="2" s="1"/>
  <c r="A230" i="3"/>
  <c r="D230" i="3" s="1"/>
  <c r="Q230" i="2"/>
  <c r="R230" i="2" s="1"/>
  <c r="A233" i="3"/>
  <c r="D233" i="3" s="1"/>
  <c r="Q233" i="2"/>
  <c r="R233" i="2" s="1"/>
  <c r="A248" i="3"/>
  <c r="D248" i="3" s="1"/>
  <c r="Q248" i="2"/>
  <c r="R248" i="2" s="1"/>
  <c r="B260" i="3"/>
  <c r="A261" i="3"/>
  <c r="D261" i="3" s="1"/>
  <c r="Q261" i="2"/>
  <c r="R261" i="2" s="1"/>
  <c r="A288" i="3"/>
  <c r="D288" i="3" s="1"/>
  <c r="Q288" i="2"/>
  <c r="R288" i="2" s="1"/>
  <c r="B290" i="3"/>
  <c r="O290" i="2"/>
  <c r="A300" i="3"/>
  <c r="D300" i="3" s="1"/>
  <c r="Q300" i="2"/>
  <c r="R300" i="2" s="1"/>
  <c r="A301" i="3"/>
  <c r="D301" i="3" s="1"/>
  <c r="Q301" i="2"/>
  <c r="R301" i="2" s="1"/>
  <c r="A340" i="3"/>
  <c r="D340" i="3" s="1"/>
  <c r="Q340" i="2"/>
  <c r="R340" i="2" s="1"/>
  <c r="M120" i="2"/>
  <c r="N120" i="2" s="1"/>
  <c r="M130" i="2"/>
  <c r="N130" i="2" s="1"/>
  <c r="M140" i="2"/>
  <c r="N140" i="2" s="1"/>
  <c r="M150" i="2"/>
  <c r="N150" i="2" s="1"/>
  <c r="O156" i="2"/>
  <c r="M160" i="2"/>
  <c r="N160" i="2" s="1"/>
  <c r="M170" i="2"/>
  <c r="N170" i="2" s="1"/>
  <c r="M173" i="2"/>
  <c r="N173" i="2" s="1"/>
  <c r="M180" i="2"/>
  <c r="N180" i="2" s="1"/>
  <c r="M183" i="2"/>
  <c r="N183" i="2" s="1"/>
  <c r="M190" i="2"/>
  <c r="N190" i="2" s="1"/>
  <c r="M193" i="2"/>
  <c r="N193" i="2" s="1"/>
  <c r="M200" i="2"/>
  <c r="N200" i="2" s="1"/>
  <c r="Q203" i="2"/>
  <c r="R203" i="2" s="1"/>
  <c r="B206" i="3"/>
  <c r="Q217" i="2"/>
  <c r="R217" i="2" s="1"/>
  <c r="B230" i="3"/>
  <c r="A298" i="3"/>
  <c r="D298" i="3" s="1"/>
  <c r="Q298" i="2"/>
  <c r="R298" i="2" s="1"/>
  <c r="B300" i="3"/>
  <c r="O300" i="2"/>
  <c r="A310" i="3"/>
  <c r="D310" i="3" s="1"/>
  <c r="Q310" i="2"/>
  <c r="R310" i="2" s="1"/>
  <c r="A311" i="3"/>
  <c r="D311" i="3" s="1"/>
  <c r="Q311" i="2"/>
  <c r="R311" i="2" s="1"/>
  <c r="O133" i="2"/>
  <c r="Q139" i="2"/>
  <c r="R139" i="2" s="1"/>
  <c r="O143" i="2"/>
  <c r="Q149" i="2"/>
  <c r="R149" i="2" s="1"/>
  <c r="O153" i="2"/>
  <c r="Q159" i="2"/>
  <c r="R159" i="2" s="1"/>
  <c r="O163" i="2"/>
  <c r="Q169" i="2"/>
  <c r="R169" i="2" s="1"/>
  <c r="O173" i="2"/>
  <c r="Q179" i="2"/>
  <c r="R179" i="2" s="1"/>
  <c r="Q189" i="2"/>
  <c r="R189" i="2" s="1"/>
  <c r="Q199" i="2"/>
  <c r="R199" i="2" s="1"/>
  <c r="O206" i="2"/>
  <c r="M207" i="2"/>
  <c r="M214" i="2"/>
  <c r="N214" i="2" s="1"/>
  <c r="B215" i="3"/>
  <c r="M215" i="2"/>
  <c r="M222" i="2"/>
  <c r="N222" i="2" s="1"/>
  <c r="A231" i="3"/>
  <c r="D231" i="3" s="1"/>
  <c r="Q231" i="2"/>
  <c r="R231" i="2" s="1"/>
  <c r="A240" i="3"/>
  <c r="D240" i="3" s="1"/>
  <c r="Q240" i="2"/>
  <c r="R240" i="2" s="1"/>
  <c r="A243" i="3"/>
  <c r="D243" i="3" s="1"/>
  <c r="Q243" i="2"/>
  <c r="R243" i="2" s="1"/>
  <c r="A250" i="3"/>
  <c r="D250" i="3" s="1"/>
  <c r="Q250" i="2"/>
  <c r="R250" i="2" s="1"/>
  <c r="M270" i="2"/>
  <c r="N270" i="2" s="1"/>
  <c r="A308" i="3"/>
  <c r="D308" i="3" s="1"/>
  <c r="Q308" i="2"/>
  <c r="R308" i="2" s="1"/>
  <c r="B310" i="3"/>
  <c r="O310" i="2"/>
  <c r="A320" i="3"/>
  <c r="D320" i="3" s="1"/>
  <c r="Q320" i="2"/>
  <c r="R320" i="2" s="1"/>
  <c r="A321" i="3"/>
  <c r="D321" i="3" s="1"/>
  <c r="Q321" i="2"/>
  <c r="R321" i="2" s="1"/>
  <c r="A348" i="3"/>
  <c r="D348" i="3" s="1"/>
  <c r="Q348" i="2"/>
  <c r="R348" i="2" s="1"/>
  <c r="M54" i="2"/>
  <c r="N54" i="2" s="1"/>
  <c r="M74" i="2"/>
  <c r="N74" i="2" s="1"/>
  <c r="M114" i="2"/>
  <c r="N114" i="2" s="1"/>
  <c r="M124" i="2"/>
  <c r="N124" i="2" s="1"/>
  <c r="O130" i="2"/>
  <c r="M134" i="2"/>
  <c r="N134" i="2" s="1"/>
  <c r="M144" i="2"/>
  <c r="N144" i="2" s="1"/>
  <c r="Q146" i="2"/>
  <c r="R146" i="2" s="1"/>
  <c r="M154" i="2"/>
  <c r="N154" i="2" s="1"/>
  <c r="Q156" i="2"/>
  <c r="R156" i="2" s="1"/>
  <c r="O160" i="2"/>
  <c r="M164" i="2"/>
  <c r="N164" i="2" s="1"/>
  <c r="Q166" i="2"/>
  <c r="R166" i="2" s="1"/>
  <c r="O170" i="2"/>
  <c r="M174" i="2"/>
  <c r="Q176" i="2"/>
  <c r="R176" i="2" s="1"/>
  <c r="M177" i="2"/>
  <c r="M184" i="2"/>
  <c r="Q186" i="2"/>
  <c r="R186" i="2" s="1"/>
  <c r="M187" i="2"/>
  <c r="O190" i="2"/>
  <c r="M194" i="2"/>
  <c r="Q196" i="2"/>
  <c r="R196" i="2" s="1"/>
  <c r="M197" i="2"/>
  <c r="Q205" i="2"/>
  <c r="R205" i="2" s="1"/>
  <c r="B208" i="3"/>
  <c r="M208" i="2"/>
  <c r="N208" i="2" s="1"/>
  <c r="A214" i="3"/>
  <c r="D214" i="3" s="1"/>
  <c r="Q214" i="2"/>
  <c r="R214" i="2" s="1"/>
  <c r="A220" i="3"/>
  <c r="D220" i="3" s="1"/>
  <c r="Q220" i="2"/>
  <c r="R220" i="2" s="1"/>
  <c r="A222" i="3"/>
  <c r="D222" i="3" s="1"/>
  <c r="Q222" i="2"/>
  <c r="R222" i="2" s="1"/>
  <c r="B240" i="3"/>
  <c r="B250" i="3"/>
  <c r="A251" i="3"/>
  <c r="D251" i="3" s="1"/>
  <c r="Q251" i="2"/>
  <c r="R251" i="2" s="1"/>
  <c r="A318" i="3"/>
  <c r="D318" i="3" s="1"/>
  <c r="Q318" i="2"/>
  <c r="R318" i="2" s="1"/>
  <c r="B320" i="3"/>
  <c r="O320" i="2"/>
  <c r="A330" i="3"/>
  <c r="D330" i="3" s="1"/>
  <c r="Q330" i="2"/>
  <c r="R330" i="2" s="1"/>
  <c r="A338" i="3"/>
  <c r="D338" i="3" s="1"/>
  <c r="Q338" i="2"/>
  <c r="R338" i="2" s="1"/>
  <c r="A357" i="3"/>
  <c r="D357" i="3" s="1"/>
  <c r="Q357" i="2"/>
  <c r="R357" i="2" s="1"/>
  <c r="A252" i="3"/>
  <c r="D252" i="3" s="1"/>
  <c r="Q252" i="2"/>
  <c r="R252" i="2" s="1"/>
  <c r="A262" i="3"/>
  <c r="D262" i="3" s="1"/>
  <c r="Q262" i="2"/>
  <c r="R262" i="2" s="1"/>
  <c r="A272" i="3"/>
  <c r="D272" i="3" s="1"/>
  <c r="Q272" i="2"/>
  <c r="R272" i="2" s="1"/>
  <c r="A282" i="3"/>
  <c r="D282" i="3" s="1"/>
  <c r="Q282" i="2"/>
  <c r="R282" i="2" s="1"/>
  <c r="A292" i="3"/>
  <c r="D292" i="3" s="1"/>
  <c r="Q292" i="2"/>
  <c r="R292" i="2" s="1"/>
  <c r="A302" i="3"/>
  <c r="D302" i="3" s="1"/>
  <c r="Q302" i="2"/>
  <c r="R302" i="2" s="1"/>
  <c r="A312" i="3"/>
  <c r="D312" i="3" s="1"/>
  <c r="Q312" i="2"/>
  <c r="R312" i="2" s="1"/>
  <c r="A322" i="3"/>
  <c r="D322" i="3" s="1"/>
  <c r="Q322" i="2"/>
  <c r="R322" i="2" s="1"/>
  <c r="A332" i="3"/>
  <c r="D332" i="3" s="1"/>
  <c r="Q332" i="2"/>
  <c r="R332" i="2" s="1"/>
  <c r="O340" i="2"/>
  <c r="A342" i="3"/>
  <c r="D342" i="3" s="1"/>
  <c r="Q342" i="2"/>
  <c r="R342" i="2" s="1"/>
  <c r="A352" i="3"/>
  <c r="D352" i="3" s="1"/>
  <c r="Q352" i="2"/>
  <c r="R352" i="2" s="1"/>
  <c r="A224" i="3"/>
  <c r="D224" i="3" s="1"/>
  <c r="Q224" i="2"/>
  <c r="R224" i="2" s="1"/>
  <c r="M224" i="2"/>
  <c r="N224" i="2" s="1"/>
  <c r="A234" i="3"/>
  <c r="D234" i="3" s="1"/>
  <c r="Q234" i="2"/>
  <c r="R234" i="2" s="1"/>
  <c r="A244" i="3"/>
  <c r="D244" i="3" s="1"/>
  <c r="Q244" i="2"/>
  <c r="R244" i="2" s="1"/>
  <c r="A254" i="3"/>
  <c r="D254" i="3" s="1"/>
  <c r="Q254" i="2"/>
  <c r="R254" i="2" s="1"/>
  <c r="A264" i="3"/>
  <c r="D264" i="3" s="1"/>
  <c r="Q264" i="2"/>
  <c r="R264" i="2" s="1"/>
  <c r="A274" i="3"/>
  <c r="D274" i="3" s="1"/>
  <c r="Q274" i="2"/>
  <c r="R274" i="2" s="1"/>
  <c r="A284" i="3"/>
  <c r="D284" i="3" s="1"/>
  <c r="Q284" i="2"/>
  <c r="R284" i="2" s="1"/>
  <c r="A294" i="3"/>
  <c r="D294" i="3" s="1"/>
  <c r="Q294" i="2"/>
  <c r="R294" i="2" s="1"/>
  <c r="A304" i="3"/>
  <c r="D304" i="3" s="1"/>
  <c r="Q304" i="2"/>
  <c r="R304" i="2" s="1"/>
  <c r="A314" i="3"/>
  <c r="D314" i="3" s="1"/>
  <c r="Q314" i="2"/>
  <c r="R314" i="2" s="1"/>
  <c r="A324" i="3"/>
  <c r="D324" i="3" s="1"/>
  <c r="Q324" i="2"/>
  <c r="R324" i="2" s="1"/>
  <c r="A334" i="3"/>
  <c r="D334" i="3" s="1"/>
  <c r="Q334" i="2"/>
  <c r="R334" i="2" s="1"/>
  <c r="A344" i="3"/>
  <c r="D344" i="3" s="1"/>
  <c r="Q344" i="2"/>
  <c r="R344" i="2" s="1"/>
  <c r="O352" i="2"/>
  <c r="A354" i="3"/>
  <c r="D354" i="3" s="1"/>
  <c r="Q354" i="2"/>
  <c r="R354" i="2" s="1"/>
  <c r="A355" i="3"/>
  <c r="D355" i="3" s="1"/>
  <c r="Q355" i="2"/>
  <c r="R355" i="2" s="1"/>
  <c r="Q331" i="2"/>
  <c r="R331" i="2" s="1"/>
  <c r="Q341" i="2"/>
  <c r="R341" i="2" s="1"/>
  <c r="Q351" i="2"/>
  <c r="R351" i="2" s="1"/>
  <c r="B354" i="3"/>
  <c r="M355" i="2"/>
  <c r="M212" i="2"/>
  <c r="A216" i="3"/>
  <c r="D216" i="3" s="1"/>
  <c r="Q216" i="2"/>
  <c r="R216" i="2" s="1"/>
  <c r="A226" i="3"/>
  <c r="D226" i="3" s="1"/>
  <c r="Q226" i="2"/>
  <c r="R226" i="2" s="1"/>
  <c r="A236" i="3"/>
  <c r="D236" i="3" s="1"/>
  <c r="Q236" i="2"/>
  <c r="R236" i="2" s="1"/>
  <c r="A246" i="3"/>
  <c r="D246" i="3" s="1"/>
  <c r="Q246" i="2"/>
  <c r="R246" i="2" s="1"/>
  <c r="A256" i="3"/>
  <c r="D256" i="3" s="1"/>
  <c r="Q256" i="2"/>
  <c r="R256" i="2" s="1"/>
  <c r="A266" i="3"/>
  <c r="D266" i="3" s="1"/>
  <c r="Q266" i="2"/>
  <c r="R266" i="2" s="1"/>
  <c r="A276" i="3"/>
  <c r="D276" i="3" s="1"/>
  <c r="Q276" i="2"/>
  <c r="R276" i="2" s="1"/>
  <c r="A286" i="3"/>
  <c r="D286" i="3" s="1"/>
  <c r="Q286" i="2"/>
  <c r="R286" i="2" s="1"/>
  <c r="A296" i="3"/>
  <c r="D296" i="3" s="1"/>
  <c r="Q296" i="2"/>
  <c r="R296" i="2" s="1"/>
  <c r="A306" i="3"/>
  <c r="D306" i="3" s="1"/>
  <c r="Q306" i="2"/>
  <c r="R306" i="2" s="1"/>
  <c r="A316" i="3"/>
  <c r="D316" i="3" s="1"/>
  <c r="Q316" i="2"/>
  <c r="R316" i="2" s="1"/>
  <c r="A326" i="3"/>
  <c r="D326" i="3" s="1"/>
  <c r="Q326" i="2"/>
  <c r="R326" i="2" s="1"/>
  <c r="A336" i="3"/>
  <c r="D336" i="3" s="1"/>
  <c r="Q336" i="2"/>
  <c r="R336" i="2" s="1"/>
  <c r="A346" i="3"/>
  <c r="D346" i="3" s="1"/>
  <c r="Q346" i="2"/>
  <c r="R346" i="2" s="1"/>
  <c r="Q273" i="2"/>
  <c r="R273" i="2" s="1"/>
  <c r="Q283" i="2"/>
  <c r="R283" i="2" s="1"/>
  <c r="Q293" i="2"/>
  <c r="R293" i="2" s="1"/>
  <c r="Q303" i="2"/>
  <c r="R303" i="2" s="1"/>
  <c r="Q313" i="2"/>
  <c r="R313" i="2" s="1"/>
  <c r="Q323" i="2"/>
  <c r="R323" i="2" s="1"/>
  <c r="Q333" i="2"/>
  <c r="R333" i="2" s="1"/>
  <c r="Q343" i="2"/>
  <c r="R343" i="2" s="1"/>
  <c r="Q353" i="2"/>
  <c r="R353" i="2" s="1"/>
  <c r="A358" i="3"/>
  <c r="D358" i="3" s="1"/>
  <c r="Q358" i="2"/>
  <c r="R358" i="2" s="1"/>
  <c r="Q215" i="2"/>
  <c r="R215" i="2" s="1"/>
  <c r="Q225" i="2"/>
  <c r="R225" i="2" s="1"/>
  <c r="Q235" i="2"/>
  <c r="R235" i="2" s="1"/>
  <c r="Q245" i="2"/>
  <c r="R245" i="2" s="1"/>
  <c r="Q255" i="2"/>
  <c r="R255" i="2" s="1"/>
  <c r="Q265" i="2"/>
  <c r="R265" i="2" s="1"/>
  <c r="Q275" i="2"/>
  <c r="R275" i="2" s="1"/>
  <c r="Q285" i="2"/>
  <c r="R285" i="2" s="1"/>
  <c r="Q295" i="2"/>
  <c r="R295" i="2" s="1"/>
  <c r="Q305" i="2"/>
  <c r="R305" i="2" s="1"/>
  <c r="Q315" i="2"/>
  <c r="R315" i="2" s="1"/>
  <c r="Q325" i="2"/>
  <c r="R325" i="2" s="1"/>
  <c r="Q335" i="2"/>
  <c r="R335" i="2" s="1"/>
  <c r="Q345" i="2"/>
  <c r="R345" i="2" s="1"/>
  <c r="M357" i="2"/>
  <c r="N357" i="2" s="1"/>
  <c r="A350" i="3"/>
  <c r="D350" i="3" s="1"/>
  <c r="Q350" i="2"/>
  <c r="R350" i="2" s="1"/>
  <c r="M350" i="2"/>
  <c r="N350" i="2" s="1"/>
  <c r="A359" i="3"/>
  <c r="D359" i="3" s="1"/>
  <c r="Q359" i="2"/>
  <c r="R359" i="2" s="1"/>
  <c r="M359" i="2"/>
  <c r="K345" i="2" l="1"/>
  <c r="L345" i="2" s="1"/>
  <c r="N232" i="2"/>
  <c r="O232" i="2"/>
  <c r="K97" i="2"/>
  <c r="L97" i="2" s="1"/>
  <c r="K86" i="2"/>
  <c r="L86" i="2" s="1"/>
  <c r="K119" i="2"/>
  <c r="L119" i="2" s="1"/>
  <c r="J151" i="2"/>
  <c r="K151" i="2" s="1"/>
  <c r="L151" i="2" s="1"/>
  <c r="N220" i="2"/>
  <c r="O220" i="2"/>
  <c r="N209" i="2"/>
  <c r="O209" i="2"/>
  <c r="N207" i="2"/>
  <c r="O207" i="2"/>
  <c r="N10" i="2"/>
  <c r="O10" i="2"/>
  <c r="N71" i="2"/>
  <c r="O71" i="2"/>
  <c r="N186" i="2"/>
  <c r="O186" i="2"/>
  <c r="K27" i="2"/>
  <c r="L27" i="2" s="1"/>
  <c r="K177" i="2"/>
  <c r="L177" i="2" s="1"/>
  <c r="K240" i="2"/>
  <c r="L240" i="2" s="1"/>
  <c r="K260" i="2"/>
  <c r="L260" i="2" s="1"/>
  <c r="K184" i="2"/>
  <c r="L184" i="2" s="1"/>
  <c r="O18" i="2"/>
  <c r="J45" i="2"/>
  <c r="K45" i="2" s="1"/>
  <c r="L45" i="2" s="1"/>
  <c r="K140" i="2"/>
  <c r="L140" i="2" s="1"/>
  <c r="K204" i="2"/>
  <c r="L204" i="2" s="1"/>
  <c r="O166" i="2"/>
  <c r="O81" i="2"/>
  <c r="J118" i="2"/>
  <c r="K118" i="2" s="1"/>
  <c r="L118" i="2" s="1"/>
  <c r="J18" i="2"/>
  <c r="K18" i="2" s="1"/>
  <c r="L18" i="2" s="1"/>
  <c r="O140" i="2"/>
  <c r="O27" i="2"/>
  <c r="K88" i="2"/>
  <c r="L88" i="2" s="1"/>
  <c r="K8" i="2"/>
  <c r="L8" i="2" s="1"/>
  <c r="O30" i="2"/>
  <c r="K9" i="2"/>
  <c r="L9" i="2" s="1"/>
  <c r="J134" i="2"/>
  <c r="J44" i="2"/>
  <c r="J176" i="2"/>
  <c r="K176" i="2" s="1"/>
  <c r="L176" i="2" s="1"/>
  <c r="K80" i="2"/>
  <c r="L80" i="2" s="1"/>
  <c r="K180" i="2"/>
  <c r="L180" i="2" s="1"/>
  <c r="J273" i="2"/>
  <c r="J207" i="2"/>
  <c r="J226" i="2"/>
  <c r="K226" i="2" s="1"/>
  <c r="L226" i="2" s="1"/>
  <c r="K94" i="2"/>
  <c r="L94" i="2" s="1"/>
  <c r="K98" i="2"/>
  <c r="L98" i="2" s="1"/>
  <c r="K148" i="2"/>
  <c r="L148" i="2" s="1"/>
  <c r="K135" i="2"/>
  <c r="L135" i="2" s="1"/>
  <c r="J178" i="2"/>
  <c r="K178" i="2" s="1"/>
  <c r="L178" i="2" s="1"/>
  <c r="J246" i="2"/>
  <c r="K246" i="2" s="1"/>
  <c r="L246" i="2" s="1"/>
  <c r="J323" i="2"/>
  <c r="K102" i="2"/>
  <c r="L102" i="2" s="1"/>
  <c r="J135" i="2"/>
  <c r="J62" i="2"/>
  <c r="K62" i="2" s="1"/>
  <c r="L62" i="2" s="1"/>
  <c r="J264" i="2"/>
  <c r="J229" i="2"/>
  <c r="K229" i="2" s="1"/>
  <c r="L229" i="2" s="1"/>
  <c r="J269" i="2"/>
  <c r="J289" i="2"/>
  <c r="J309" i="2"/>
  <c r="J329" i="2"/>
  <c r="K341" i="2"/>
  <c r="L341" i="2" s="1"/>
  <c r="J343" i="2"/>
  <c r="K343" i="2" s="1"/>
  <c r="L343" i="2" s="1"/>
  <c r="K244" i="2"/>
  <c r="L244" i="2" s="1"/>
  <c r="K324" i="2"/>
  <c r="L324" i="2" s="1"/>
  <c r="J129" i="2"/>
  <c r="K196" i="2"/>
  <c r="L196" i="2" s="1"/>
  <c r="J221" i="2"/>
  <c r="K221" i="2" s="1"/>
  <c r="L221" i="2" s="1"/>
  <c r="K163" i="2"/>
  <c r="L163" i="2" s="1"/>
  <c r="K60" i="2"/>
  <c r="L60" i="2" s="1"/>
  <c r="J222" i="2"/>
  <c r="K108" i="2"/>
  <c r="L108" i="2" s="1"/>
  <c r="K325" i="2"/>
  <c r="L325" i="2" s="1"/>
  <c r="K329" i="2"/>
  <c r="L329" i="2" s="1"/>
  <c r="K266" i="2"/>
  <c r="L266" i="2" s="1"/>
  <c r="K286" i="2"/>
  <c r="L286" i="2" s="1"/>
  <c r="K306" i="2"/>
  <c r="L306" i="2" s="1"/>
  <c r="K326" i="2"/>
  <c r="L326" i="2" s="1"/>
  <c r="K346" i="2"/>
  <c r="L346" i="2" s="1"/>
  <c r="J189" i="2"/>
  <c r="K189" i="2" s="1"/>
  <c r="L189" i="2" s="1"/>
  <c r="K284" i="2"/>
  <c r="L284" i="2" s="1"/>
  <c r="O12" i="2"/>
  <c r="J186" i="2"/>
  <c r="K186" i="2" s="1"/>
  <c r="L186" i="2" s="1"/>
  <c r="J56" i="2"/>
  <c r="K56" i="2" s="1"/>
  <c r="L56" i="2" s="1"/>
  <c r="K289" i="2"/>
  <c r="L289" i="2" s="1"/>
  <c r="J219" i="2"/>
  <c r="K219" i="2" s="1"/>
  <c r="L219" i="2" s="1"/>
  <c r="J239" i="2"/>
  <c r="J279" i="2"/>
  <c r="J319" i="2"/>
  <c r="K319" i="2" s="1"/>
  <c r="L319" i="2" s="1"/>
  <c r="J339" i="2"/>
  <c r="K228" i="2"/>
  <c r="L228" i="2" s="1"/>
  <c r="K248" i="2"/>
  <c r="L248" i="2" s="1"/>
  <c r="K268" i="2"/>
  <c r="L268" i="2" s="1"/>
  <c r="K288" i="2"/>
  <c r="L288" i="2" s="1"/>
  <c r="K308" i="2"/>
  <c r="L308" i="2" s="1"/>
  <c r="K328" i="2"/>
  <c r="L328" i="2" s="1"/>
  <c r="K348" i="2"/>
  <c r="L348" i="2" s="1"/>
  <c r="J233" i="2"/>
  <c r="K233" i="2" s="1"/>
  <c r="L233" i="2" s="1"/>
  <c r="J120" i="2"/>
  <c r="K120" i="2" s="1"/>
  <c r="L120" i="2" s="1"/>
  <c r="K104" i="2"/>
  <c r="L104" i="2" s="1"/>
  <c r="J137" i="2"/>
  <c r="K137" i="2" s="1"/>
  <c r="L137" i="2" s="1"/>
  <c r="J322" i="2"/>
  <c r="K264" i="2"/>
  <c r="L264" i="2" s="1"/>
  <c r="K74" i="2"/>
  <c r="L74" i="2" s="1"/>
  <c r="K164" i="2"/>
  <c r="L164" i="2" s="1"/>
  <c r="K214" i="2"/>
  <c r="L214" i="2" s="1"/>
  <c r="O123" i="2"/>
  <c r="O262" i="2"/>
  <c r="J38" i="2"/>
  <c r="K38" i="2" s="1"/>
  <c r="L38" i="2" s="1"/>
  <c r="O90" i="2"/>
  <c r="K166" i="2"/>
  <c r="L166" i="2" s="1"/>
  <c r="J166" i="2"/>
  <c r="J282" i="2"/>
  <c r="K130" i="2"/>
  <c r="L130" i="2" s="1"/>
  <c r="J163" i="2"/>
  <c r="J167" i="2"/>
  <c r="K167" i="2" s="1"/>
  <c r="L167" i="2" s="1"/>
  <c r="K209" i="2"/>
  <c r="L209" i="2" s="1"/>
  <c r="K145" i="2"/>
  <c r="L145" i="2" s="1"/>
  <c r="O113" i="2"/>
  <c r="O111" i="2"/>
  <c r="O57" i="2"/>
  <c r="J102" i="2"/>
  <c r="K136" i="2"/>
  <c r="L136" i="2" s="1"/>
  <c r="J169" i="2"/>
  <c r="J225" i="2"/>
  <c r="J76" i="2"/>
  <c r="K76" i="2" s="1"/>
  <c r="L76" i="2" s="1"/>
  <c r="J86" i="2"/>
  <c r="K113" i="2"/>
  <c r="L113" i="2" s="1"/>
  <c r="J156" i="2"/>
  <c r="K156" i="2" s="1"/>
  <c r="L156" i="2" s="1"/>
  <c r="J302" i="2"/>
  <c r="K114" i="2"/>
  <c r="L114" i="2" s="1"/>
  <c r="J224" i="2"/>
  <c r="K224" i="2" s="1"/>
  <c r="L224" i="2" s="1"/>
  <c r="J262" i="2"/>
  <c r="J148" i="2"/>
  <c r="J168" i="2"/>
  <c r="J172" i="2"/>
  <c r="K172" i="2" s="1"/>
  <c r="L172" i="2" s="1"/>
  <c r="J257" i="2"/>
  <c r="J358" i="2"/>
  <c r="K358" i="2" s="1"/>
  <c r="L358" i="2" s="1"/>
  <c r="K339" i="2"/>
  <c r="L339" i="2" s="1"/>
  <c r="J220" i="2"/>
  <c r="K220" i="2" s="1"/>
  <c r="L220" i="2" s="1"/>
  <c r="J240" i="2"/>
  <c r="J260" i="2"/>
  <c r="J280" i="2"/>
  <c r="K280" i="2" s="1"/>
  <c r="L280" i="2" s="1"/>
  <c r="J300" i="2"/>
  <c r="K300" i="2" s="1"/>
  <c r="L300" i="2" s="1"/>
  <c r="J320" i="2"/>
  <c r="K320" i="2" s="1"/>
  <c r="L320" i="2" s="1"/>
  <c r="J340" i="2"/>
  <c r="K340" i="2" s="1"/>
  <c r="L340" i="2" s="1"/>
  <c r="K231" i="2"/>
  <c r="L231" i="2" s="1"/>
  <c r="K321" i="2"/>
  <c r="L321" i="2" s="1"/>
  <c r="K230" i="2"/>
  <c r="L230" i="2" s="1"/>
  <c r="K250" i="2"/>
  <c r="L250" i="2" s="1"/>
  <c r="K270" i="2"/>
  <c r="L270" i="2" s="1"/>
  <c r="K290" i="2"/>
  <c r="L290" i="2" s="1"/>
  <c r="K310" i="2"/>
  <c r="L310" i="2" s="1"/>
  <c r="K330" i="2"/>
  <c r="L330" i="2" s="1"/>
  <c r="K350" i="2"/>
  <c r="L350" i="2" s="1"/>
  <c r="K24" i="2"/>
  <c r="L24" i="2" s="1"/>
  <c r="K279" i="2"/>
  <c r="L279" i="2" s="1"/>
  <c r="K54" i="2"/>
  <c r="L54" i="2" s="1"/>
  <c r="J159" i="2"/>
  <c r="K159" i="2" s="1"/>
  <c r="L159" i="2" s="1"/>
  <c r="J126" i="2"/>
  <c r="K126" i="2" s="1"/>
  <c r="L126" i="2" s="1"/>
  <c r="K239" i="2"/>
  <c r="L239" i="2" s="1"/>
  <c r="K261" i="2"/>
  <c r="L261" i="2" s="1"/>
  <c r="K304" i="2"/>
  <c r="L304" i="2" s="1"/>
  <c r="K311" i="2"/>
  <c r="L311" i="2" s="1"/>
  <c r="O224" i="2"/>
  <c r="O202" i="2"/>
  <c r="O171" i="2"/>
  <c r="O121" i="2"/>
  <c r="O34" i="2"/>
  <c r="J15" i="2"/>
  <c r="J35" i="2"/>
  <c r="K35" i="2" s="1"/>
  <c r="L35" i="2" s="1"/>
  <c r="J99" i="2"/>
  <c r="O54" i="2"/>
  <c r="O73" i="2"/>
  <c r="O180" i="2"/>
  <c r="O150" i="2"/>
  <c r="O93" i="2"/>
  <c r="O161" i="2"/>
  <c r="O101" i="2"/>
  <c r="O94" i="2"/>
  <c r="K32" i="2"/>
  <c r="L32" i="2" s="1"/>
  <c r="O17" i="2"/>
  <c r="J41" i="2"/>
  <c r="O32" i="2"/>
  <c r="O11" i="2"/>
  <c r="K68" i="2"/>
  <c r="L68" i="2" s="1"/>
  <c r="O40" i="2"/>
  <c r="O16" i="2"/>
  <c r="J139" i="2"/>
  <c r="K133" i="2"/>
  <c r="L133" i="2" s="1"/>
  <c r="K70" i="2"/>
  <c r="L70" i="2" s="1"/>
  <c r="J103" i="2"/>
  <c r="K103" i="2" s="1"/>
  <c r="L103" i="2" s="1"/>
  <c r="J205" i="2"/>
  <c r="K205" i="2" s="1"/>
  <c r="L205" i="2" s="1"/>
  <c r="J301" i="2"/>
  <c r="K217" i="2"/>
  <c r="L217" i="2" s="1"/>
  <c r="K84" i="2"/>
  <c r="L84" i="2" s="1"/>
  <c r="J147" i="2"/>
  <c r="J164" i="2"/>
  <c r="J191" i="2"/>
  <c r="K191" i="2" s="1"/>
  <c r="L191" i="2" s="1"/>
  <c r="K212" i="2"/>
  <c r="L212" i="2" s="1"/>
  <c r="K313" i="2"/>
  <c r="L313" i="2" s="1"/>
  <c r="K92" i="2"/>
  <c r="L92" i="2" s="1"/>
  <c r="J125" i="2"/>
  <c r="J244" i="2"/>
  <c r="K203" i="2"/>
  <c r="L203" i="2" s="1"/>
  <c r="J242" i="2"/>
  <c r="K242" i="2" s="1"/>
  <c r="L242" i="2" s="1"/>
  <c r="J217" i="2"/>
  <c r="K359" i="2"/>
  <c r="L359" i="2" s="1"/>
  <c r="K281" i="2"/>
  <c r="L281" i="2" s="1"/>
  <c r="K232" i="2"/>
  <c r="L232" i="2" s="1"/>
  <c r="K252" i="2"/>
  <c r="L252" i="2" s="1"/>
  <c r="K272" i="2"/>
  <c r="L272" i="2" s="1"/>
  <c r="K292" i="2"/>
  <c r="L292" i="2" s="1"/>
  <c r="K312" i="2"/>
  <c r="L312" i="2" s="1"/>
  <c r="K241" i="2"/>
  <c r="L241" i="2" s="1"/>
  <c r="K331" i="2"/>
  <c r="L331" i="2" s="1"/>
  <c r="K234" i="2"/>
  <c r="L234" i="2" s="1"/>
  <c r="K254" i="2"/>
  <c r="L254" i="2" s="1"/>
  <c r="K274" i="2"/>
  <c r="L274" i="2" s="1"/>
  <c r="K294" i="2"/>
  <c r="L294" i="2" s="1"/>
  <c r="K314" i="2"/>
  <c r="L314" i="2" s="1"/>
  <c r="K334" i="2"/>
  <c r="L334" i="2" s="1"/>
  <c r="K354" i="2"/>
  <c r="L354" i="2" s="1"/>
  <c r="K134" i="2"/>
  <c r="L134" i="2" s="1"/>
  <c r="K90" i="2"/>
  <c r="L90" i="2" s="1"/>
  <c r="J342" i="2"/>
  <c r="K174" i="2"/>
  <c r="L174" i="2" s="1"/>
  <c r="K147" i="2"/>
  <c r="L147" i="2" s="1"/>
  <c r="J184" i="2"/>
  <c r="K168" i="2"/>
  <c r="L168" i="2" s="1"/>
  <c r="K257" i="2"/>
  <c r="L257" i="2" s="1"/>
  <c r="O28" i="2"/>
  <c r="K44" i="2"/>
  <c r="L44" i="2" s="1"/>
  <c r="J23" i="2"/>
  <c r="K23" i="2" s="1"/>
  <c r="L23" i="2" s="1"/>
  <c r="J179" i="2"/>
  <c r="K110" i="2"/>
  <c r="L110" i="2" s="1"/>
  <c r="J206" i="2"/>
  <c r="K206" i="2" s="1"/>
  <c r="L206" i="2" s="1"/>
  <c r="K124" i="2"/>
  <c r="L124" i="2" s="1"/>
  <c r="J177" i="2"/>
  <c r="J304" i="2"/>
  <c r="K263" i="2"/>
  <c r="L263" i="2" s="1"/>
  <c r="J132" i="2"/>
  <c r="K132" i="2" s="1"/>
  <c r="L132" i="2" s="1"/>
  <c r="K269" i="2"/>
  <c r="L269" i="2" s="1"/>
  <c r="K291" i="2"/>
  <c r="L291" i="2" s="1"/>
  <c r="K216" i="2"/>
  <c r="L216" i="2" s="1"/>
  <c r="K236" i="2"/>
  <c r="L236" i="2" s="1"/>
  <c r="K256" i="2"/>
  <c r="L256" i="2" s="1"/>
  <c r="K276" i="2"/>
  <c r="L276" i="2" s="1"/>
  <c r="K296" i="2"/>
  <c r="L296" i="2" s="1"/>
  <c r="K316" i="2"/>
  <c r="L316" i="2" s="1"/>
  <c r="K336" i="2"/>
  <c r="L336" i="2" s="1"/>
  <c r="N197" i="2"/>
  <c r="O197" i="2"/>
  <c r="BD8" i="3"/>
  <c r="DM8" i="3" s="1"/>
  <c r="AT8" i="3"/>
  <c r="DC8" i="3" s="1"/>
  <c r="AJ8" i="3"/>
  <c r="CS8" i="3" s="1"/>
  <c r="Z8" i="3"/>
  <c r="CI8" i="3" s="1"/>
  <c r="P8" i="3"/>
  <c r="BY8" i="3" s="1"/>
  <c r="F8" i="3"/>
  <c r="BO8" i="3" s="1"/>
  <c r="BJ8" i="3"/>
  <c r="DS8" i="3" s="1"/>
  <c r="AY8" i="3"/>
  <c r="DH8" i="3" s="1"/>
  <c r="AN8" i="3"/>
  <c r="CW8" i="3" s="1"/>
  <c r="AC8" i="3"/>
  <c r="CL8" i="3" s="1"/>
  <c r="R8" i="3"/>
  <c r="CA8" i="3" s="1"/>
  <c r="G8" i="3"/>
  <c r="BP8" i="3" s="1"/>
  <c r="BI8" i="3"/>
  <c r="DR8" i="3" s="1"/>
  <c r="AX8" i="3"/>
  <c r="DG8" i="3" s="1"/>
  <c r="AM8" i="3"/>
  <c r="CV8" i="3" s="1"/>
  <c r="AB8" i="3"/>
  <c r="CK8" i="3" s="1"/>
  <c r="Q8" i="3"/>
  <c r="BZ8" i="3" s="1"/>
  <c r="E8" i="3"/>
  <c r="BN8" i="3" s="1"/>
  <c r="BH8" i="3"/>
  <c r="DQ8" i="3" s="1"/>
  <c r="AW8" i="3"/>
  <c r="DF8" i="3" s="1"/>
  <c r="AL8" i="3"/>
  <c r="CU8" i="3" s="1"/>
  <c r="AA8" i="3"/>
  <c r="CJ8" i="3" s="1"/>
  <c r="O8" i="3"/>
  <c r="BX8" i="3" s="1"/>
  <c r="BK8" i="3"/>
  <c r="DT8" i="3" s="1"/>
  <c r="AS8" i="3"/>
  <c r="DB8" i="3" s="1"/>
  <c r="AE8" i="3"/>
  <c r="CN8" i="3" s="1"/>
  <c r="M8" i="3"/>
  <c r="BV8" i="3" s="1"/>
  <c r="BG8" i="3"/>
  <c r="DP8" i="3" s="1"/>
  <c r="AR8" i="3"/>
  <c r="DA8" i="3" s="1"/>
  <c r="AD8" i="3"/>
  <c r="CM8" i="3" s="1"/>
  <c r="L8" i="3"/>
  <c r="BU8" i="3" s="1"/>
  <c r="BF8" i="3"/>
  <c r="DO8" i="3" s="1"/>
  <c r="AQ8" i="3"/>
  <c r="CZ8" i="3" s="1"/>
  <c r="Y8" i="3"/>
  <c r="CH8" i="3" s="1"/>
  <c r="K8" i="3"/>
  <c r="BT8" i="3" s="1"/>
  <c r="BE8" i="3"/>
  <c r="DN8" i="3" s="1"/>
  <c r="AP8" i="3"/>
  <c r="CY8" i="3" s="1"/>
  <c r="X8" i="3"/>
  <c r="CG8" i="3" s="1"/>
  <c r="J8" i="3"/>
  <c r="BS8" i="3" s="1"/>
  <c r="BC8" i="3"/>
  <c r="DL8" i="3" s="1"/>
  <c r="AO8" i="3"/>
  <c r="CX8" i="3" s="1"/>
  <c r="W8" i="3"/>
  <c r="CF8" i="3" s="1"/>
  <c r="I8" i="3"/>
  <c r="BR8" i="3" s="1"/>
  <c r="BB8" i="3"/>
  <c r="DK8" i="3" s="1"/>
  <c r="AK8" i="3"/>
  <c r="CT8" i="3" s="1"/>
  <c r="V8" i="3"/>
  <c r="CE8" i="3" s="1"/>
  <c r="H8" i="3"/>
  <c r="BQ8" i="3" s="1"/>
  <c r="BA8" i="3"/>
  <c r="DJ8" i="3" s="1"/>
  <c r="AI8" i="3"/>
  <c r="CR8" i="3" s="1"/>
  <c r="U8" i="3"/>
  <c r="CD8" i="3" s="1"/>
  <c r="AZ8" i="3"/>
  <c r="DI8" i="3" s="1"/>
  <c r="AH8" i="3"/>
  <c r="CQ8" i="3" s="1"/>
  <c r="T8" i="3"/>
  <c r="CC8" i="3" s="1"/>
  <c r="AV8" i="3"/>
  <c r="DE8" i="3" s="1"/>
  <c r="AG8" i="3"/>
  <c r="CP8" i="3" s="1"/>
  <c r="S8" i="3"/>
  <c r="CB8" i="3" s="1"/>
  <c r="BL8" i="3"/>
  <c r="DU8" i="3" s="1"/>
  <c r="AU8" i="3"/>
  <c r="DD8" i="3" s="1"/>
  <c r="AF8" i="3"/>
  <c r="CO8" i="3" s="1"/>
  <c r="N8" i="3"/>
  <c r="BW8" i="3" s="1"/>
  <c r="N177" i="2"/>
  <c r="O177" i="2"/>
  <c r="N132" i="2"/>
  <c r="O132" i="2"/>
  <c r="O178" i="2"/>
  <c r="N178" i="2"/>
  <c r="O154" i="2"/>
  <c r="N55" i="2"/>
  <c r="O55" i="2"/>
  <c r="BF10" i="3"/>
  <c r="DO10" i="3" s="1"/>
  <c r="AV10" i="3"/>
  <c r="DE10" i="3" s="1"/>
  <c r="AL10" i="3"/>
  <c r="CU10" i="3" s="1"/>
  <c r="AB10" i="3"/>
  <c r="CK10" i="3" s="1"/>
  <c r="R10" i="3"/>
  <c r="CA10" i="3" s="1"/>
  <c r="H10" i="3"/>
  <c r="BQ10" i="3" s="1"/>
  <c r="BE10" i="3"/>
  <c r="DN10" i="3" s="1"/>
  <c r="AU10" i="3"/>
  <c r="DD10" i="3" s="1"/>
  <c r="AK10" i="3"/>
  <c r="CT10" i="3" s="1"/>
  <c r="AA10" i="3"/>
  <c r="CJ10" i="3" s="1"/>
  <c r="Q10" i="3"/>
  <c r="BZ10" i="3" s="1"/>
  <c r="G10" i="3"/>
  <c r="BP10" i="3" s="1"/>
  <c r="BB10" i="3"/>
  <c r="DK10" i="3" s="1"/>
  <c r="AP10" i="3"/>
  <c r="CY10" i="3" s="1"/>
  <c r="AD10" i="3"/>
  <c r="CM10" i="3" s="1"/>
  <c r="P10" i="3"/>
  <c r="BY10" i="3" s="1"/>
  <c r="BA10" i="3"/>
  <c r="DJ10" i="3" s="1"/>
  <c r="AO10" i="3"/>
  <c r="CX10" i="3" s="1"/>
  <c r="AC10" i="3"/>
  <c r="CL10" i="3" s="1"/>
  <c r="O10" i="3"/>
  <c r="BX10" i="3" s="1"/>
  <c r="BL10" i="3"/>
  <c r="DU10" i="3" s="1"/>
  <c r="AZ10" i="3"/>
  <c r="DI10" i="3" s="1"/>
  <c r="AN10" i="3"/>
  <c r="CW10" i="3" s="1"/>
  <c r="Z10" i="3"/>
  <c r="CI10" i="3" s="1"/>
  <c r="N10" i="3"/>
  <c r="BW10" i="3" s="1"/>
  <c r="BC10" i="3"/>
  <c r="DL10" i="3" s="1"/>
  <c r="AI10" i="3"/>
  <c r="CR10" i="3" s="1"/>
  <c r="T10" i="3"/>
  <c r="CC10" i="3" s="1"/>
  <c r="AY10" i="3"/>
  <c r="DH10" i="3" s="1"/>
  <c r="AH10" i="3"/>
  <c r="CQ10" i="3" s="1"/>
  <c r="S10" i="3"/>
  <c r="CB10" i="3" s="1"/>
  <c r="AX10" i="3"/>
  <c r="DG10" i="3" s="1"/>
  <c r="AG10" i="3"/>
  <c r="CP10" i="3" s="1"/>
  <c r="M10" i="3"/>
  <c r="BV10" i="3" s="1"/>
  <c r="AW10" i="3"/>
  <c r="DF10" i="3" s="1"/>
  <c r="AF10" i="3"/>
  <c r="CO10" i="3" s="1"/>
  <c r="L10" i="3"/>
  <c r="BU10" i="3" s="1"/>
  <c r="BK10" i="3"/>
  <c r="DT10" i="3" s="1"/>
  <c r="AT10" i="3"/>
  <c r="DC10" i="3" s="1"/>
  <c r="AE10" i="3"/>
  <c r="CN10" i="3" s="1"/>
  <c r="K10" i="3"/>
  <c r="BT10" i="3" s="1"/>
  <c r="BJ10" i="3"/>
  <c r="DS10" i="3" s="1"/>
  <c r="AS10" i="3"/>
  <c r="DB10" i="3" s="1"/>
  <c r="Y10" i="3"/>
  <c r="CH10" i="3" s="1"/>
  <c r="J10" i="3"/>
  <c r="BS10" i="3" s="1"/>
  <c r="BI10" i="3"/>
  <c r="DR10" i="3" s="1"/>
  <c r="AR10" i="3"/>
  <c r="DA10" i="3" s="1"/>
  <c r="X10" i="3"/>
  <c r="CG10" i="3" s="1"/>
  <c r="I10" i="3"/>
  <c r="BR10" i="3" s="1"/>
  <c r="BH10" i="3"/>
  <c r="DQ10" i="3" s="1"/>
  <c r="AQ10" i="3"/>
  <c r="CZ10" i="3" s="1"/>
  <c r="W10" i="3"/>
  <c r="CF10" i="3" s="1"/>
  <c r="F10" i="3"/>
  <c r="BO10" i="3" s="1"/>
  <c r="BG10" i="3"/>
  <c r="DP10" i="3" s="1"/>
  <c r="AM10" i="3"/>
  <c r="CV10" i="3" s="1"/>
  <c r="V10" i="3"/>
  <c r="CE10" i="3" s="1"/>
  <c r="E10" i="3"/>
  <c r="BN10" i="3" s="1"/>
  <c r="BD10" i="3"/>
  <c r="DM10" i="3" s="1"/>
  <c r="AJ10" i="3"/>
  <c r="CS10" i="3" s="1"/>
  <c r="U10" i="3"/>
  <c r="CD10" i="3" s="1"/>
  <c r="N116" i="2"/>
  <c r="O116" i="2"/>
  <c r="BL70" i="3"/>
  <c r="DU70" i="3" s="1"/>
  <c r="BB70" i="3"/>
  <c r="DK70" i="3" s="1"/>
  <c r="AR70" i="3"/>
  <c r="DA70" i="3" s="1"/>
  <c r="AH70" i="3"/>
  <c r="CQ70" i="3" s="1"/>
  <c r="X70" i="3"/>
  <c r="CG70" i="3" s="1"/>
  <c r="N70" i="3"/>
  <c r="BW70" i="3" s="1"/>
  <c r="BJ70" i="3"/>
  <c r="DS70" i="3" s="1"/>
  <c r="AY70" i="3"/>
  <c r="DH70" i="3" s="1"/>
  <c r="AN70" i="3"/>
  <c r="CW70" i="3" s="1"/>
  <c r="AC70" i="3"/>
  <c r="CL70" i="3" s="1"/>
  <c r="R70" i="3"/>
  <c r="CA70" i="3" s="1"/>
  <c r="G70" i="3"/>
  <c r="BP70" i="3" s="1"/>
  <c r="BI70" i="3"/>
  <c r="DR70" i="3" s="1"/>
  <c r="AX70" i="3"/>
  <c r="DG70" i="3" s="1"/>
  <c r="AM70" i="3"/>
  <c r="CV70" i="3" s="1"/>
  <c r="AB70" i="3"/>
  <c r="CK70" i="3" s="1"/>
  <c r="Q70" i="3"/>
  <c r="BZ70" i="3" s="1"/>
  <c r="F70" i="3"/>
  <c r="BO70" i="3" s="1"/>
  <c r="BH70" i="3"/>
  <c r="DQ70" i="3" s="1"/>
  <c r="BG70" i="3"/>
  <c r="DP70" i="3" s="1"/>
  <c r="AV70" i="3"/>
  <c r="DE70" i="3" s="1"/>
  <c r="AK70" i="3"/>
  <c r="CT70" i="3" s="1"/>
  <c r="Z70" i="3"/>
  <c r="CI70" i="3" s="1"/>
  <c r="O70" i="3"/>
  <c r="BX70" i="3" s="1"/>
  <c r="BA70" i="3"/>
  <c r="DJ70" i="3" s="1"/>
  <c r="AP70" i="3"/>
  <c r="CY70" i="3" s="1"/>
  <c r="AE70" i="3"/>
  <c r="CN70" i="3" s="1"/>
  <c r="T70" i="3"/>
  <c r="CC70" i="3" s="1"/>
  <c r="I70" i="3"/>
  <c r="BR70" i="3" s="1"/>
  <c r="BE70" i="3"/>
  <c r="DN70" i="3" s="1"/>
  <c r="AL70" i="3"/>
  <c r="CU70" i="3" s="1"/>
  <c r="U70" i="3"/>
  <c r="CD70" i="3" s="1"/>
  <c r="BD70" i="3"/>
  <c r="DM70" i="3" s="1"/>
  <c r="AJ70" i="3"/>
  <c r="CS70" i="3" s="1"/>
  <c r="S70" i="3"/>
  <c r="CB70" i="3" s="1"/>
  <c r="BC70" i="3"/>
  <c r="DL70" i="3" s="1"/>
  <c r="AI70" i="3"/>
  <c r="CR70" i="3" s="1"/>
  <c r="P70" i="3"/>
  <c r="BY70" i="3" s="1"/>
  <c r="AZ70" i="3"/>
  <c r="DI70" i="3" s="1"/>
  <c r="AG70" i="3"/>
  <c r="CP70" i="3" s="1"/>
  <c r="M70" i="3"/>
  <c r="BV70" i="3" s="1"/>
  <c r="AW70" i="3"/>
  <c r="DF70" i="3" s="1"/>
  <c r="AF70" i="3"/>
  <c r="CO70" i="3" s="1"/>
  <c r="L70" i="3"/>
  <c r="BU70" i="3" s="1"/>
  <c r="AU70" i="3"/>
  <c r="DD70" i="3" s="1"/>
  <c r="AD70" i="3"/>
  <c r="CM70" i="3" s="1"/>
  <c r="K70" i="3"/>
  <c r="BT70" i="3" s="1"/>
  <c r="AT70" i="3"/>
  <c r="DC70" i="3" s="1"/>
  <c r="AA70" i="3"/>
  <c r="CJ70" i="3" s="1"/>
  <c r="J70" i="3"/>
  <c r="BS70" i="3" s="1"/>
  <c r="AS70" i="3"/>
  <c r="DB70" i="3" s="1"/>
  <c r="Y70" i="3"/>
  <c r="CH70" i="3" s="1"/>
  <c r="H70" i="3"/>
  <c r="BQ70" i="3" s="1"/>
  <c r="BF70" i="3"/>
  <c r="DO70" i="3" s="1"/>
  <c r="AO70" i="3"/>
  <c r="CX70" i="3" s="1"/>
  <c r="V70" i="3"/>
  <c r="CE70" i="3" s="1"/>
  <c r="AQ70" i="3"/>
  <c r="CZ70" i="3" s="1"/>
  <c r="W70" i="3"/>
  <c r="CF70" i="3" s="1"/>
  <c r="E70" i="3"/>
  <c r="BN70" i="3" s="1"/>
  <c r="BK70" i="3"/>
  <c r="DT70" i="3" s="1"/>
  <c r="N259" i="2"/>
  <c r="O259" i="2"/>
  <c r="J46" i="2"/>
  <c r="K46" i="2" s="1"/>
  <c r="L46" i="2" s="1"/>
  <c r="N287" i="2"/>
  <c r="O287" i="2"/>
  <c r="N328" i="2"/>
  <c r="O328" i="2"/>
  <c r="BG132" i="3"/>
  <c r="DP132" i="3" s="1"/>
  <c r="AW132" i="3"/>
  <c r="DF132" i="3" s="1"/>
  <c r="AM132" i="3"/>
  <c r="CV132" i="3" s="1"/>
  <c r="AC132" i="3"/>
  <c r="CL132" i="3" s="1"/>
  <c r="S132" i="3"/>
  <c r="CB132" i="3" s="1"/>
  <c r="I132" i="3"/>
  <c r="BR132" i="3" s="1"/>
  <c r="BF132" i="3"/>
  <c r="DO132" i="3" s="1"/>
  <c r="AV132" i="3"/>
  <c r="DE132" i="3" s="1"/>
  <c r="AL132" i="3"/>
  <c r="CU132" i="3" s="1"/>
  <c r="AB132" i="3"/>
  <c r="CK132" i="3" s="1"/>
  <c r="R132" i="3"/>
  <c r="CA132" i="3" s="1"/>
  <c r="H132" i="3"/>
  <c r="BQ132" i="3" s="1"/>
  <c r="BI132" i="3"/>
  <c r="DR132" i="3" s="1"/>
  <c r="AY132" i="3"/>
  <c r="DH132" i="3" s="1"/>
  <c r="AO132" i="3"/>
  <c r="CX132" i="3" s="1"/>
  <c r="AE132" i="3"/>
  <c r="CN132" i="3" s="1"/>
  <c r="U132" i="3"/>
  <c r="CD132" i="3" s="1"/>
  <c r="K132" i="3"/>
  <c r="BT132" i="3" s="1"/>
  <c r="BH132" i="3"/>
  <c r="DQ132" i="3" s="1"/>
  <c r="AS132" i="3"/>
  <c r="DB132" i="3" s="1"/>
  <c r="AF132" i="3"/>
  <c r="CO132" i="3" s="1"/>
  <c r="P132" i="3"/>
  <c r="BY132" i="3" s="1"/>
  <c r="BK132" i="3"/>
  <c r="DT132" i="3" s="1"/>
  <c r="AU132" i="3"/>
  <c r="DD132" i="3" s="1"/>
  <c r="AH132" i="3"/>
  <c r="CQ132" i="3" s="1"/>
  <c r="T132" i="3"/>
  <c r="CC132" i="3" s="1"/>
  <c r="E132" i="3"/>
  <c r="BN132" i="3" s="1"/>
  <c r="BE132" i="3"/>
  <c r="DN132" i="3" s="1"/>
  <c r="AP132" i="3"/>
  <c r="CY132" i="3" s="1"/>
  <c r="X132" i="3"/>
  <c r="CG132" i="3" s="1"/>
  <c r="F132" i="3"/>
  <c r="BO132" i="3" s="1"/>
  <c r="BL132" i="3"/>
  <c r="DU132" i="3" s="1"/>
  <c r="AR132" i="3"/>
  <c r="DA132" i="3" s="1"/>
  <c r="Z132" i="3"/>
  <c r="CI132" i="3" s="1"/>
  <c r="J132" i="3"/>
  <c r="BS132" i="3" s="1"/>
  <c r="BJ132" i="3"/>
  <c r="DS132" i="3" s="1"/>
  <c r="AQ132" i="3"/>
  <c r="CZ132" i="3" s="1"/>
  <c r="Y132" i="3"/>
  <c r="CH132" i="3" s="1"/>
  <c r="G132" i="3"/>
  <c r="BP132" i="3" s="1"/>
  <c r="AZ132" i="3"/>
  <c r="DI132" i="3" s="1"/>
  <c r="W132" i="3"/>
  <c r="CF132" i="3" s="1"/>
  <c r="BD132" i="3"/>
  <c r="DM132" i="3" s="1"/>
  <c r="AI132" i="3"/>
  <c r="CR132" i="3" s="1"/>
  <c r="L132" i="3"/>
  <c r="BU132" i="3" s="1"/>
  <c r="BC132" i="3"/>
  <c r="DL132" i="3" s="1"/>
  <c r="AG132" i="3"/>
  <c r="CP132" i="3" s="1"/>
  <c r="BB132" i="3"/>
  <c r="DK132" i="3" s="1"/>
  <c r="AD132" i="3"/>
  <c r="CM132" i="3" s="1"/>
  <c r="Q132" i="3"/>
  <c r="BZ132" i="3" s="1"/>
  <c r="O132" i="3"/>
  <c r="BX132" i="3" s="1"/>
  <c r="BA132" i="3"/>
  <c r="DJ132" i="3" s="1"/>
  <c r="N132" i="3"/>
  <c r="BW132" i="3" s="1"/>
  <c r="AX132" i="3"/>
  <c r="DG132" i="3" s="1"/>
  <c r="M132" i="3"/>
  <c r="BV132" i="3" s="1"/>
  <c r="AT132" i="3"/>
  <c r="DC132" i="3" s="1"/>
  <c r="AN132" i="3"/>
  <c r="CW132" i="3" s="1"/>
  <c r="AK132" i="3"/>
  <c r="CT132" i="3" s="1"/>
  <c r="AJ132" i="3"/>
  <c r="CS132" i="3" s="1"/>
  <c r="AA132" i="3"/>
  <c r="CJ132" i="3" s="1"/>
  <c r="V132" i="3"/>
  <c r="CE132" i="3" s="1"/>
  <c r="BH182" i="3"/>
  <c r="DQ182" i="3" s="1"/>
  <c r="AX182" i="3"/>
  <c r="DG182" i="3" s="1"/>
  <c r="AN182" i="3"/>
  <c r="CW182" i="3" s="1"/>
  <c r="AD182" i="3"/>
  <c r="CM182" i="3" s="1"/>
  <c r="T182" i="3"/>
  <c r="CC182" i="3" s="1"/>
  <c r="J182" i="3"/>
  <c r="BS182" i="3" s="1"/>
  <c r="BG182" i="3"/>
  <c r="DP182" i="3" s="1"/>
  <c r="AW182" i="3"/>
  <c r="DF182" i="3" s="1"/>
  <c r="AM182" i="3"/>
  <c r="CV182" i="3" s="1"/>
  <c r="AC182" i="3"/>
  <c r="CL182" i="3" s="1"/>
  <c r="S182" i="3"/>
  <c r="CB182" i="3" s="1"/>
  <c r="I182" i="3"/>
  <c r="BR182" i="3" s="1"/>
  <c r="BJ182" i="3"/>
  <c r="DS182" i="3" s="1"/>
  <c r="AZ182" i="3"/>
  <c r="DI182" i="3" s="1"/>
  <c r="AP182" i="3"/>
  <c r="CY182" i="3" s="1"/>
  <c r="AF182" i="3"/>
  <c r="CO182" i="3" s="1"/>
  <c r="V182" i="3"/>
  <c r="CE182" i="3" s="1"/>
  <c r="L182" i="3"/>
  <c r="BU182" i="3" s="1"/>
  <c r="BL182" i="3"/>
  <c r="DU182" i="3" s="1"/>
  <c r="AV182" i="3"/>
  <c r="DE182" i="3" s="1"/>
  <c r="AI182" i="3"/>
  <c r="CR182" i="3" s="1"/>
  <c r="U182" i="3"/>
  <c r="CD182" i="3" s="1"/>
  <c r="F182" i="3"/>
  <c r="BO182" i="3" s="1"/>
  <c r="AY182" i="3"/>
  <c r="DH182" i="3" s="1"/>
  <c r="AJ182" i="3"/>
  <c r="CS182" i="3" s="1"/>
  <c r="W182" i="3"/>
  <c r="CF182" i="3" s="1"/>
  <c r="G182" i="3"/>
  <c r="BP182" i="3" s="1"/>
  <c r="BD182" i="3"/>
  <c r="DM182" i="3" s="1"/>
  <c r="AL182" i="3"/>
  <c r="CU182" i="3" s="1"/>
  <c r="R182" i="3"/>
  <c r="CA182" i="3" s="1"/>
  <c r="BC182" i="3"/>
  <c r="DL182" i="3" s="1"/>
  <c r="AK182" i="3"/>
  <c r="CT182" i="3" s="1"/>
  <c r="Q182" i="3"/>
  <c r="BZ182" i="3" s="1"/>
  <c r="BB182" i="3"/>
  <c r="DK182" i="3" s="1"/>
  <c r="AH182" i="3"/>
  <c r="CQ182" i="3" s="1"/>
  <c r="P182" i="3"/>
  <c r="BY182" i="3" s="1"/>
  <c r="BA182" i="3"/>
  <c r="DJ182" i="3" s="1"/>
  <c r="AG182" i="3"/>
  <c r="CP182" i="3" s="1"/>
  <c r="O182" i="3"/>
  <c r="BX182" i="3" s="1"/>
  <c r="AU182" i="3"/>
  <c r="DD182" i="3" s="1"/>
  <c r="AE182" i="3"/>
  <c r="CN182" i="3" s="1"/>
  <c r="N182" i="3"/>
  <c r="BW182" i="3" s="1"/>
  <c r="BF182" i="3"/>
  <c r="DO182" i="3" s="1"/>
  <c r="AQ182" i="3"/>
  <c r="CZ182" i="3" s="1"/>
  <c r="Y182" i="3"/>
  <c r="CH182" i="3" s="1"/>
  <c r="E182" i="3"/>
  <c r="BN182" i="3" s="1"/>
  <c r="BI182" i="3"/>
  <c r="DR182" i="3" s="1"/>
  <c r="M182" i="3"/>
  <c r="BV182" i="3" s="1"/>
  <c r="BE182" i="3"/>
  <c r="DN182" i="3" s="1"/>
  <c r="K182" i="3"/>
  <c r="BT182" i="3" s="1"/>
  <c r="AT182" i="3"/>
  <c r="DC182" i="3" s="1"/>
  <c r="H182" i="3"/>
  <c r="BQ182" i="3" s="1"/>
  <c r="AS182" i="3"/>
  <c r="DB182" i="3" s="1"/>
  <c r="AR182" i="3"/>
  <c r="DA182" i="3" s="1"/>
  <c r="AO182" i="3"/>
  <c r="CX182" i="3" s="1"/>
  <c r="AB182" i="3"/>
  <c r="CK182" i="3" s="1"/>
  <c r="Z182" i="3"/>
  <c r="CI182" i="3" s="1"/>
  <c r="BK182" i="3"/>
  <c r="DT182" i="3" s="1"/>
  <c r="X182" i="3"/>
  <c r="CG182" i="3" s="1"/>
  <c r="AA182" i="3"/>
  <c r="CJ182" i="3" s="1"/>
  <c r="BF295" i="3"/>
  <c r="DO295" i="3" s="1"/>
  <c r="AV295" i="3"/>
  <c r="DE295" i="3" s="1"/>
  <c r="AL295" i="3"/>
  <c r="CU295" i="3" s="1"/>
  <c r="AB295" i="3"/>
  <c r="CK295" i="3" s="1"/>
  <c r="R295" i="3"/>
  <c r="CA295" i="3" s="1"/>
  <c r="H295" i="3"/>
  <c r="BQ295" i="3" s="1"/>
  <c r="BG295" i="3"/>
  <c r="DP295" i="3" s="1"/>
  <c r="AU295" i="3"/>
  <c r="DD295" i="3" s="1"/>
  <c r="AJ295" i="3"/>
  <c r="CS295" i="3" s="1"/>
  <c r="Y295" i="3"/>
  <c r="CH295" i="3" s="1"/>
  <c r="N295" i="3"/>
  <c r="BW295" i="3" s="1"/>
  <c r="BE295" i="3"/>
  <c r="DN295" i="3" s="1"/>
  <c r="AT295" i="3"/>
  <c r="DC295" i="3" s="1"/>
  <c r="AI295" i="3"/>
  <c r="CR295" i="3" s="1"/>
  <c r="X295" i="3"/>
  <c r="CG295" i="3" s="1"/>
  <c r="M295" i="3"/>
  <c r="BV295" i="3" s="1"/>
  <c r="BD295" i="3"/>
  <c r="DM295" i="3" s="1"/>
  <c r="AQ295" i="3"/>
  <c r="CZ295" i="3" s="1"/>
  <c r="AD295" i="3"/>
  <c r="CM295" i="3" s="1"/>
  <c r="P295" i="3"/>
  <c r="BY295" i="3" s="1"/>
  <c r="BC295" i="3"/>
  <c r="DL295" i="3" s="1"/>
  <c r="AP295" i="3"/>
  <c r="CY295" i="3" s="1"/>
  <c r="AC295" i="3"/>
  <c r="CL295" i="3" s="1"/>
  <c r="O295" i="3"/>
  <c r="BX295" i="3" s="1"/>
  <c r="BB295" i="3"/>
  <c r="DK295" i="3" s="1"/>
  <c r="AO295" i="3"/>
  <c r="CX295" i="3" s="1"/>
  <c r="AA295" i="3"/>
  <c r="CJ295" i="3" s="1"/>
  <c r="L295" i="3"/>
  <c r="BU295" i="3" s="1"/>
  <c r="BI295" i="3"/>
  <c r="DR295" i="3" s="1"/>
  <c r="AS295" i="3"/>
  <c r="DB295" i="3" s="1"/>
  <c r="AF295" i="3"/>
  <c r="CO295" i="3" s="1"/>
  <c r="S295" i="3"/>
  <c r="CB295" i="3" s="1"/>
  <c r="E295" i="3"/>
  <c r="BN295" i="3" s="1"/>
  <c r="BJ295" i="3"/>
  <c r="DS295" i="3" s="1"/>
  <c r="AK295" i="3"/>
  <c r="CT295" i="3" s="1"/>
  <c r="K295" i="3"/>
  <c r="BT295" i="3" s="1"/>
  <c r="AR295" i="3"/>
  <c r="DA295" i="3" s="1"/>
  <c r="U295" i="3"/>
  <c r="CD295" i="3" s="1"/>
  <c r="BL295" i="3"/>
  <c r="DU295" i="3" s="1"/>
  <c r="AN295" i="3"/>
  <c r="CW295" i="3" s="1"/>
  <c r="T295" i="3"/>
  <c r="CC295" i="3" s="1"/>
  <c r="AH295" i="3"/>
  <c r="CQ295" i="3" s="1"/>
  <c r="F295" i="3"/>
  <c r="BO295" i="3" s="1"/>
  <c r="AG295" i="3"/>
  <c r="CP295" i="3" s="1"/>
  <c r="BK295" i="3"/>
  <c r="DT295" i="3" s="1"/>
  <c r="AE295" i="3"/>
  <c r="CN295" i="3" s="1"/>
  <c r="BH295" i="3"/>
  <c r="DQ295" i="3" s="1"/>
  <c r="Z295" i="3"/>
  <c r="CI295" i="3" s="1"/>
  <c r="BA295" i="3"/>
  <c r="DJ295" i="3" s="1"/>
  <c r="W295" i="3"/>
  <c r="CF295" i="3" s="1"/>
  <c r="AZ295" i="3"/>
  <c r="DI295" i="3" s="1"/>
  <c r="V295" i="3"/>
  <c r="CE295" i="3" s="1"/>
  <c r="AY295" i="3"/>
  <c r="DH295" i="3" s="1"/>
  <c r="Q295" i="3"/>
  <c r="BZ295" i="3" s="1"/>
  <c r="AX295" i="3"/>
  <c r="DG295" i="3" s="1"/>
  <c r="J295" i="3"/>
  <c r="BS295" i="3" s="1"/>
  <c r="AW295" i="3"/>
  <c r="DF295" i="3" s="1"/>
  <c r="I295" i="3"/>
  <c r="BR295" i="3" s="1"/>
  <c r="AM295" i="3"/>
  <c r="CV295" i="3" s="1"/>
  <c r="G295" i="3"/>
  <c r="BP295" i="3" s="1"/>
  <c r="BH66" i="3"/>
  <c r="DQ66" i="3" s="1"/>
  <c r="AX66" i="3"/>
  <c r="DG66" i="3" s="1"/>
  <c r="AN66" i="3"/>
  <c r="CW66" i="3" s="1"/>
  <c r="AD66" i="3"/>
  <c r="CM66" i="3" s="1"/>
  <c r="T66" i="3"/>
  <c r="CC66" i="3" s="1"/>
  <c r="J66" i="3"/>
  <c r="BS66" i="3" s="1"/>
  <c r="BF66" i="3"/>
  <c r="DO66" i="3" s="1"/>
  <c r="AU66" i="3"/>
  <c r="DD66" i="3" s="1"/>
  <c r="AJ66" i="3"/>
  <c r="CS66" i="3" s="1"/>
  <c r="Y66" i="3"/>
  <c r="CH66" i="3" s="1"/>
  <c r="N66" i="3"/>
  <c r="BW66" i="3" s="1"/>
  <c r="BE66" i="3"/>
  <c r="DN66" i="3" s="1"/>
  <c r="AT66" i="3"/>
  <c r="DC66" i="3" s="1"/>
  <c r="AI66" i="3"/>
  <c r="CR66" i="3" s="1"/>
  <c r="X66" i="3"/>
  <c r="CG66" i="3" s="1"/>
  <c r="M66" i="3"/>
  <c r="BV66" i="3" s="1"/>
  <c r="BI66" i="3"/>
  <c r="DR66" i="3" s="1"/>
  <c r="AW66" i="3"/>
  <c r="DF66" i="3" s="1"/>
  <c r="AL66" i="3"/>
  <c r="CU66" i="3" s="1"/>
  <c r="AA66" i="3"/>
  <c r="CJ66" i="3" s="1"/>
  <c r="P66" i="3"/>
  <c r="BY66" i="3" s="1"/>
  <c r="E66" i="3"/>
  <c r="BN66" i="3" s="1"/>
  <c r="BG66" i="3"/>
  <c r="DP66" i="3" s="1"/>
  <c r="AQ66" i="3"/>
  <c r="CZ66" i="3" s="1"/>
  <c r="AB66" i="3"/>
  <c r="CK66" i="3" s="1"/>
  <c r="K66" i="3"/>
  <c r="BT66" i="3" s="1"/>
  <c r="BD66" i="3"/>
  <c r="DM66" i="3" s="1"/>
  <c r="AP66" i="3"/>
  <c r="CY66" i="3" s="1"/>
  <c r="Z66" i="3"/>
  <c r="CI66" i="3" s="1"/>
  <c r="I66" i="3"/>
  <c r="BR66" i="3" s="1"/>
  <c r="BC66" i="3"/>
  <c r="DL66" i="3" s="1"/>
  <c r="AO66" i="3"/>
  <c r="CX66" i="3" s="1"/>
  <c r="W66" i="3"/>
  <c r="CF66" i="3" s="1"/>
  <c r="H66" i="3"/>
  <c r="BQ66" i="3" s="1"/>
  <c r="BB66" i="3"/>
  <c r="DK66" i="3" s="1"/>
  <c r="AM66" i="3"/>
  <c r="CV66" i="3" s="1"/>
  <c r="V66" i="3"/>
  <c r="CE66" i="3" s="1"/>
  <c r="G66" i="3"/>
  <c r="BP66" i="3" s="1"/>
  <c r="BA66" i="3"/>
  <c r="DJ66" i="3" s="1"/>
  <c r="AK66" i="3"/>
  <c r="CT66" i="3" s="1"/>
  <c r="U66" i="3"/>
  <c r="CD66" i="3" s="1"/>
  <c r="F66" i="3"/>
  <c r="BO66" i="3" s="1"/>
  <c r="AZ66" i="3"/>
  <c r="DI66" i="3" s="1"/>
  <c r="AH66" i="3"/>
  <c r="CQ66" i="3" s="1"/>
  <c r="S66" i="3"/>
  <c r="CB66" i="3" s="1"/>
  <c r="AY66" i="3"/>
  <c r="DH66" i="3" s="1"/>
  <c r="AG66" i="3"/>
  <c r="CP66" i="3" s="1"/>
  <c r="R66" i="3"/>
  <c r="CA66" i="3" s="1"/>
  <c r="BL66" i="3"/>
  <c r="DU66" i="3" s="1"/>
  <c r="AV66" i="3"/>
  <c r="DE66" i="3" s="1"/>
  <c r="AF66" i="3"/>
  <c r="CO66" i="3" s="1"/>
  <c r="Q66" i="3"/>
  <c r="BZ66" i="3" s="1"/>
  <c r="BJ66" i="3"/>
  <c r="DS66" i="3" s="1"/>
  <c r="AR66" i="3"/>
  <c r="DA66" i="3" s="1"/>
  <c r="AC66" i="3"/>
  <c r="CL66" i="3" s="1"/>
  <c r="L66" i="3"/>
  <c r="BU66" i="3" s="1"/>
  <c r="AS66" i="3"/>
  <c r="DB66" i="3" s="1"/>
  <c r="AE66" i="3"/>
  <c r="CN66" i="3" s="1"/>
  <c r="O66" i="3"/>
  <c r="BX66" i="3" s="1"/>
  <c r="BK66" i="3"/>
  <c r="DT66" i="3" s="1"/>
  <c r="BL166" i="3"/>
  <c r="DU166" i="3" s="1"/>
  <c r="BB166" i="3"/>
  <c r="DK166" i="3" s="1"/>
  <c r="AR166" i="3"/>
  <c r="DA166" i="3" s="1"/>
  <c r="AH166" i="3"/>
  <c r="CQ166" i="3" s="1"/>
  <c r="X166" i="3"/>
  <c r="CG166" i="3" s="1"/>
  <c r="N166" i="3"/>
  <c r="BW166" i="3" s="1"/>
  <c r="BA166" i="3"/>
  <c r="DJ166" i="3" s="1"/>
  <c r="AP166" i="3"/>
  <c r="CY166" i="3" s="1"/>
  <c r="AE166" i="3"/>
  <c r="CN166" i="3" s="1"/>
  <c r="T166" i="3"/>
  <c r="CC166" i="3" s="1"/>
  <c r="I166" i="3"/>
  <c r="BR166" i="3" s="1"/>
  <c r="BK166" i="3"/>
  <c r="DT166" i="3" s="1"/>
  <c r="AZ166" i="3"/>
  <c r="DI166" i="3" s="1"/>
  <c r="AO166" i="3"/>
  <c r="CX166" i="3" s="1"/>
  <c r="AD166" i="3"/>
  <c r="CM166" i="3" s="1"/>
  <c r="S166" i="3"/>
  <c r="CB166" i="3" s="1"/>
  <c r="H166" i="3"/>
  <c r="BQ166" i="3" s="1"/>
  <c r="BI166" i="3"/>
  <c r="DR166" i="3" s="1"/>
  <c r="AX166" i="3"/>
  <c r="DG166" i="3" s="1"/>
  <c r="AM166" i="3"/>
  <c r="CV166" i="3" s="1"/>
  <c r="AB166" i="3"/>
  <c r="CK166" i="3" s="1"/>
  <c r="BD166" i="3"/>
  <c r="DM166" i="3" s="1"/>
  <c r="AS166" i="3"/>
  <c r="DB166" i="3" s="1"/>
  <c r="AG166" i="3"/>
  <c r="CP166" i="3" s="1"/>
  <c r="V166" i="3"/>
  <c r="CE166" i="3" s="1"/>
  <c r="K166" i="3"/>
  <c r="BT166" i="3" s="1"/>
  <c r="AV166" i="3"/>
  <c r="DE166" i="3" s="1"/>
  <c r="AC166" i="3"/>
  <c r="CL166" i="3" s="1"/>
  <c r="M166" i="3"/>
  <c r="BV166" i="3" s="1"/>
  <c r="AU166" i="3"/>
  <c r="DD166" i="3" s="1"/>
  <c r="AA166" i="3"/>
  <c r="CJ166" i="3" s="1"/>
  <c r="L166" i="3"/>
  <c r="BU166" i="3" s="1"/>
  <c r="BJ166" i="3"/>
  <c r="DS166" i="3" s="1"/>
  <c r="AT166" i="3"/>
  <c r="DC166" i="3" s="1"/>
  <c r="Z166" i="3"/>
  <c r="CI166" i="3" s="1"/>
  <c r="J166" i="3"/>
  <c r="BS166" i="3" s="1"/>
  <c r="BH166" i="3"/>
  <c r="DQ166" i="3" s="1"/>
  <c r="AQ166" i="3"/>
  <c r="CZ166" i="3" s="1"/>
  <c r="Y166" i="3"/>
  <c r="CH166" i="3" s="1"/>
  <c r="G166" i="3"/>
  <c r="BP166" i="3" s="1"/>
  <c r="AY166" i="3"/>
  <c r="DH166" i="3" s="1"/>
  <c r="AI166" i="3"/>
  <c r="CR166" i="3" s="1"/>
  <c r="P166" i="3"/>
  <c r="BY166" i="3" s="1"/>
  <c r="AW166" i="3"/>
  <c r="DF166" i="3" s="1"/>
  <c r="AF166" i="3"/>
  <c r="CO166" i="3" s="1"/>
  <c r="O166" i="3"/>
  <c r="BX166" i="3" s="1"/>
  <c r="AK166" i="3"/>
  <c r="CT166" i="3" s="1"/>
  <c r="AJ166" i="3"/>
  <c r="CS166" i="3" s="1"/>
  <c r="W166" i="3"/>
  <c r="CF166" i="3" s="1"/>
  <c r="U166" i="3"/>
  <c r="CD166" i="3" s="1"/>
  <c r="BG166" i="3"/>
  <c r="DP166" i="3" s="1"/>
  <c r="R166" i="3"/>
  <c r="CA166" i="3" s="1"/>
  <c r="BF166" i="3"/>
  <c r="DO166" i="3" s="1"/>
  <c r="Q166" i="3"/>
  <c r="BZ166" i="3" s="1"/>
  <c r="BE166" i="3"/>
  <c r="DN166" i="3" s="1"/>
  <c r="F166" i="3"/>
  <c r="BO166" i="3" s="1"/>
  <c r="AN166" i="3"/>
  <c r="CW166" i="3" s="1"/>
  <c r="AL166" i="3"/>
  <c r="CU166" i="3" s="1"/>
  <c r="BC166" i="3"/>
  <c r="DL166" i="3" s="1"/>
  <c r="E166" i="3"/>
  <c r="BN166" i="3" s="1"/>
  <c r="BK327" i="3"/>
  <c r="DT327" i="3" s="1"/>
  <c r="BA327" i="3"/>
  <c r="DJ327" i="3" s="1"/>
  <c r="AQ327" i="3"/>
  <c r="CZ327" i="3" s="1"/>
  <c r="AG327" i="3"/>
  <c r="CP327" i="3" s="1"/>
  <c r="W327" i="3"/>
  <c r="CF327" i="3" s="1"/>
  <c r="M327" i="3"/>
  <c r="BV327" i="3" s="1"/>
  <c r="BJ327" i="3"/>
  <c r="DS327" i="3" s="1"/>
  <c r="AZ327" i="3"/>
  <c r="DI327" i="3" s="1"/>
  <c r="AP327" i="3"/>
  <c r="CY327" i="3" s="1"/>
  <c r="AF327" i="3"/>
  <c r="CO327" i="3" s="1"/>
  <c r="V327" i="3"/>
  <c r="CE327" i="3" s="1"/>
  <c r="L327" i="3"/>
  <c r="BU327" i="3" s="1"/>
  <c r="BC327" i="3"/>
  <c r="DL327" i="3" s="1"/>
  <c r="AS327" i="3"/>
  <c r="DB327" i="3" s="1"/>
  <c r="AI327" i="3"/>
  <c r="CR327" i="3" s="1"/>
  <c r="Y327" i="3"/>
  <c r="CH327" i="3" s="1"/>
  <c r="O327" i="3"/>
  <c r="BX327" i="3" s="1"/>
  <c r="E327" i="3"/>
  <c r="BN327" i="3" s="1"/>
  <c r="BF327" i="3"/>
  <c r="DO327" i="3" s="1"/>
  <c r="AR327" i="3"/>
  <c r="DA327" i="3" s="1"/>
  <c r="AC327" i="3"/>
  <c r="CL327" i="3" s="1"/>
  <c r="P327" i="3"/>
  <c r="BY327" i="3" s="1"/>
  <c r="BE327" i="3"/>
  <c r="DN327" i="3" s="1"/>
  <c r="AO327" i="3"/>
  <c r="CX327" i="3" s="1"/>
  <c r="AB327" i="3"/>
  <c r="CK327" i="3" s="1"/>
  <c r="N327" i="3"/>
  <c r="BW327" i="3" s="1"/>
  <c r="BH327" i="3"/>
  <c r="DQ327" i="3" s="1"/>
  <c r="AU327" i="3"/>
  <c r="DD327" i="3" s="1"/>
  <c r="AE327" i="3"/>
  <c r="CN327" i="3" s="1"/>
  <c r="R327" i="3"/>
  <c r="CA327" i="3" s="1"/>
  <c r="BI327" i="3"/>
  <c r="DR327" i="3" s="1"/>
  <c r="AM327" i="3"/>
  <c r="CV327" i="3" s="1"/>
  <c r="T327" i="3"/>
  <c r="CC327" i="3" s="1"/>
  <c r="BG327" i="3"/>
  <c r="DP327" i="3" s="1"/>
  <c r="AL327" i="3"/>
  <c r="CU327" i="3" s="1"/>
  <c r="S327" i="3"/>
  <c r="CB327" i="3" s="1"/>
  <c r="AT327" i="3"/>
  <c r="DC327" i="3" s="1"/>
  <c r="X327" i="3"/>
  <c r="CG327" i="3" s="1"/>
  <c r="F327" i="3"/>
  <c r="BO327" i="3" s="1"/>
  <c r="AX327" i="3"/>
  <c r="DG327" i="3" s="1"/>
  <c r="U327" i="3"/>
  <c r="CD327" i="3" s="1"/>
  <c r="AW327" i="3"/>
  <c r="DF327" i="3" s="1"/>
  <c r="Q327" i="3"/>
  <c r="BZ327" i="3" s="1"/>
  <c r="AV327" i="3"/>
  <c r="DE327" i="3" s="1"/>
  <c r="K327" i="3"/>
  <c r="BT327" i="3" s="1"/>
  <c r="AN327" i="3"/>
  <c r="CW327" i="3" s="1"/>
  <c r="J327" i="3"/>
  <c r="BS327" i="3" s="1"/>
  <c r="AK327" i="3"/>
  <c r="CT327" i="3" s="1"/>
  <c r="I327" i="3"/>
  <c r="BR327" i="3" s="1"/>
  <c r="AJ327" i="3"/>
  <c r="CS327" i="3" s="1"/>
  <c r="H327" i="3"/>
  <c r="BQ327" i="3" s="1"/>
  <c r="BD327" i="3"/>
  <c r="DM327" i="3" s="1"/>
  <c r="AD327" i="3"/>
  <c r="CM327" i="3" s="1"/>
  <c r="Z327" i="3"/>
  <c r="CI327" i="3" s="1"/>
  <c r="G327" i="3"/>
  <c r="BP327" i="3" s="1"/>
  <c r="BL327" i="3"/>
  <c r="DU327" i="3" s="1"/>
  <c r="BB327" i="3"/>
  <c r="DK327" i="3" s="1"/>
  <c r="AY327" i="3"/>
  <c r="DH327" i="3" s="1"/>
  <c r="AH327" i="3"/>
  <c r="CQ327" i="3" s="1"/>
  <c r="AA327" i="3"/>
  <c r="CJ327" i="3" s="1"/>
  <c r="N127" i="2"/>
  <c r="O127" i="2"/>
  <c r="BC153" i="3"/>
  <c r="DL153" i="3" s="1"/>
  <c r="AS153" i="3"/>
  <c r="DB153" i="3" s="1"/>
  <c r="AI153" i="3"/>
  <c r="CR153" i="3" s="1"/>
  <c r="Y153" i="3"/>
  <c r="CH153" i="3" s="1"/>
  <c r="O153" i="3"/>
  <c r="BX153" i="3" s="1"/>
  <c r="E153" i="3"/>
  <c r="BN153" i="3" s="1"/>
  <c r="BL153" i="3"/>
  <c r="DU153" i="3" s="1"/>
  <c r="BB153" i="3"/>
  <c r="DK153" i="3" s="1"/>
  <c r="AR153" i="3"/>
  <c r="DA153" i="3" s="1"/>
  <c r="AH153" i="3"/>
  <c r="CQ153" i="3" s="1"/>
  <c r="X153" i="3"/>
  <c r="CG153" i="3" s="1"/>
  <c r="N153" i="3"/>
  <c r="BW153" i="3" s="1"/>
  <c r="BE153" i="3"/>
  <c r="DN153" i="3" s="1"/>
  <c r="AU153" i="3"/>
  <c r="DD153" i="3" s="1"/>
  <c r="AK153" i="3"/>
  <c r="CT153" i="3" s="1"/>
  <c r="AA153" i="3"/>
  <c r="CJ153" i="3" s="1"/>
  <c r="Q153" i="3"/>
  <c r="BZ153" i="3" s="1"/>
  <c r="G153" i="3"/>
  <c r="BP153" i="3" s="1"/>
  <c r="BD153" i="3"/>
  <c r="DM153" i="3" s="1"/>
  <c r="AO153" i="3"/>
  <c r="CX153" i="3" s="1"/>
  <c r="AB153" i="3"/>
  <c r="CK153" i="3" s="1"/>
  <c r="L153" i="3"/>
  <c r="BU153" i="3" s="1"/>
  <c r="BA153" i="3"/>
  <c r="DJ153" i="3" s="1"/>
  <c r="AN153" i="3"/>
  <c r="CW153" i="3" s="1"/>
  <c r="Z153" i="3"/>
  <c r="CI153" i="3" s="1"/>
  <c r="K153" i="3"/>
  <c r="BT153" i="3" s="1"/>
  <c r="AZ153" i="3"/>
  <c r="DI153" i="3" s="1"/>
  <c r="AM153" i="3"/>
  <c r="CV153" i="3" s="1"/>
  <c r="W153" i="3"/>
  <c r="CF153" i="3" s="1"/>
  <c r="J153" i="3"/>
  <c r="BS153" i="3" s="1"/>
  <c r="BG153" i="3"/>
  <c r="DP153" i="3" s="1"/>
  <c r="AQ153" i="3"/>
  <c r="CZ153" i="3" s="1"/>
  <c r="AD153" i="3"/>
  <c r="CM153" i="3" s="1"/>
  <c r="P153" i="3"/>
  <c r="BY153" i="3" s="1"/>
  <c r="BF153" i="3"/>
  <c r="DO153" i="3" s="1"/>
  <c r="AP153" i="3"/>
  <c r="CY153" i="3" s="1"/>
  <c r="AC153" i="3"/>
  <c r="CL153" i="3" s="1"/>
  <c r="M153" i="3"/>
  <c r="BV153" i="3" s="1"/>
  <c r="AY153" i="3"/>
  <c r="DH153" i="3" s="1"/>
  <c r="V153" i="3"/>
  <c r="CE153" i="3" s="1"/>
  <c r="AX153" i="3"/>
  <c r="DG153" i="3" s="1"/>
  <c r="U153" i="3"/>
  <c r="CD153" i="3" s="1"/>
  <c r="AW153" i="3"/>
  <c r="DF153" i="3" s="1"/>
  <c r="T153" i="3"/>
  <c r="CC153" i="3" s="1"/>
  <c r="BI153" i="3"/>
  <c r="DR153" i="3" s="1"/>
  <c r="AF153" i="3"/>
  <c r="CO153" i="3" s="1"/>
  <c r="BH153" i="3"/>
  <c r="DQ153" i="3" s="1"/>
  <c r="AE153" i="3"/>
  <c r="CN153" i="3" s="1"/>
  <c r="R153" i="3"/>
  <c r="CA153" i="3" s="1"/>
  <c r="AL153" i="3"/>
  <c r="CU153" i="3" s="1"/>
  <c r="AJ153" i="3"/>
  <c r="CS153" i="3" s="1"/>
  <c r="AG153" i="3"/>
  <c r="CP153" i="3" s="1"/>
  <c r="AV153" i="3"/>
  <c r="DE153" i="3" s="1"/>
  <c r="AT153" i="3"/>
  <c r="DC153" i="3" s="1"/>
  <c r="S153" i="3"/>
  <c r="CB153" i="3" s="1"/>
  <c r="I153" i="3"/>
  <c r="BR153" i="3" s="1"/>
  <c r="H153" i="3"/>
  <c r="BQ153" i="3" s="1"/>
  <c r="F153" i="3"/>
  <c r="BO153" i="3" s="1"/>
  <c r="BK153" i="3"/>
  <c r="DT153" i="3" s="1"/>
  <c r="BJ153" i="3"/>
  <c r="DS153" i="3" s="1"/>
  <c r="J192" i="2"/>
  <c r="K192" i="2" s="1"/>
  <c r="L192" i="2" s="1"/>
  <c r="J255" i="2"/>
  <c r="K255" i="2" s="1"/>
  <c r="L255" i="2" s="1"/>
  <c r="BI357" i="3"/>
  <c r="DR357" i="3" s="1"/>
  <c r="AY357" i="3"/>
  <c r="DH357" i="3" s="1"/>
  <c r="AO357" i="3"/>
  <c r="CX357" i="3" s="1"/>
  <c r="AE357" i="3"/>
  <c r="CN357" i="3" s="1"/>
  <c r="U357" i="3"/>
  <c r="CD357" i="3" s="1"/>
  <c r="K357" i="3"/>
  <c r="BT357" i="3" s="1"/>
  <c r="BD357" i="3"/>
  <c r="DM357" i="3" s="1"/>
  <c r="AS357" i="3"/>
  <c r="DB357" i="3" s="1"/>
  <c r="AH357" i="3"/>
  <c r="CQ357" i="3" s="1"/>
  <c r="W357" i="3"/>
  <c r="CF357" i="3" s="1"/>
  <c r="L357" i="3"/>
  <c r="BU357" i="3" s="1"/>
  <c r="BC357" i="3"/>
  <c r="DL357" i="3" s="1"/>
  <c r="AR357" i="3"/>
  <c r="DA357" i="3" s="1"/>
  <c r="AG357" i="3"/>
  <c r="CP357" i="3" s="1"/>
  <c r="V357" i="3"/>
  <c r="CE357" i="3" s="1"/>
  <c r="J357" i="3"/>
  <c r="BS357" i="3" s="1"/>
  <c r="BH357" i="3"/>
  <c r="DQ357" i="3" s="1"/>
  <c r="AU357" i="3"/>
  <c r="DD357" i="3" s="1"/>
  <c r="AF357" i="3"/>
  <c r="CO357" i="3" s="1"/>
  <c r="R357" i="3"/>
  <c r="CA357" i="3" s="1"/>
  <c r="E357" i="3"/>
  <c r="BN357" i="3" s="1"/>
  <c r="BG357" i="3"/>
  <c r="DP357" i="3" s="1"/>
  <c r="AT357" i="3"/>
  <c r="DC357" i="3" s="1"/>
  <c r="AD357" i="3"/>
  <c r="CM357" i="3" s="1"/>
  <c r="Q357" i="3"/>
  <c r="BZ357" i="3" s="1"/>
  <c r="BK357" i="3"/>
  <c r="DT357" i="3" s="1"/>
  <c r="AW357" i="3"/>
  <c r="DF357" i="3" s="1"/>
  <c r="AJ357" i="3"/>
  <c r="CS357" i="3" s="1"/>
  <c r="T357" i="3"/>
  <c r="CC357" i="3" s="1"/>
  <c r="G357" i="3"/>
  <c r="BP357" i="3" s="1"/>
  <c r="BA357" i="3"/>
  <c r="DJ357" i="3" s="1"/>
  <c r="AI357" i="3"/>
  <c r="CR357" i="3" s="1"/>
  <c r="N357" i="3"/>
  <c r="BW357" i="3" s="1"/>
  <c r="AZ357" i="3"/>
  <c r="DI357" i="3" s="1"/>
  <c r="AC357" i="3"/>
  <c r="CL357" i="3" s="1"/>
  <c r="M357" i="3"/>
  <c r="BV357" i="3" s="1"/>
  <c r="AX357" i="3"/>
  <c r="DG357" i="3" s="1"/>
  <c r="AB357" i="3"/>
  <c r="CK357" i="3" s="1"/>
  <c r="I357" i="3"/>
  <c r="BR357" i="3" s="1"/>
  <c r="AV357" i="3"/>
  <c r="DE357" i="3" s="1"/>
  <c r="AA357" i="3"/>
  <c r="CJ357" i="3" s="1"/>
  <c r="H357" i="3"/>
  <c r="BQ357" i="3" s="1"/>
  <c r="BE357" i="3"/>
  <c r="DN357" i="3" s="1"/>
  <c r="AL357" i="3"/>
  <c r="CU357" i="3" s="1"/>
  <c r="P357" i="3"/>
  <c r="BY357" i="3" s="1"/>
  <c r="AQ357" i="3"/>
  <c r="CZ357" i="3" s="1"/>
  <c r="F357" i="3"/>
  <c r="BO357" i="3" s="1"/>
  <c r="AP357" i="3"/>
  <c r="CY357" i="3" s="1"/>
  <c r="BF357" i="3"/>
  <c r="DO357" i="3" s="1"/>
  <c r="S357" i="3"/>
  <c r="CB357" i="3" s="1"/>
  <c r="AN357" i="3"/>
  <c r="CW357" i="3" s="1"/>
  <c r="AM357" i="3"/>
  <c r="CV357" i="3" s="1"/>
  <c r="AK357" i="3"/>
  <c r="CT357" i="3" s="1"/>
  <c r="Z357" i="3"/>
  <c r="CI357" i="3" s="1"/>
  <c r="Y357" i="3"/>
  <c r="CH357" i="3" s="1"/>
  <c r="X357" i="3"/>
  <c r="CG357" i="3" s="1"/>
  <c r="BL357" i="3"/>
  <c r="DU357" i="3" s="1"/>
  <c r="BJ357" i="3"/>
  <c r="DS357" i="3" s="1"/>
  <c r="BB357" i="3"/>
  <c r="DK357" i="3" s="1"/>
  <c r="O357" i="3"/>
  <c r="BX357" i="3" s="1"/>
  <c r="J299" i="2"/>
  <c r="K299" i="2" s="1"/>
  <c r="L299" i="2" s="1"/>
  <c r="BG224" i="3"/>
  <c r="DP224" i="3" s="1"/>
  <c r="AW224" i="3"/>
  <c r="DF224" i="3" s="1"/>
  <c r="AM224" i="3"/>
  <c r="CV224" i="3" s="1"/>
  <c r="AC224" i="3"/>
  <c r="CL224" i="3" s="1"/>
  <c r="S224" i="3"/>
  <c r="CB224" i="3" s="1"/>
  <c r="I224" i="3"/>
  <c r="BR224" i="3" s="1"/>
  <c r="BF224" i="3"/>
  <c r="DO224" i="3" s="1"/>
  <c r="AV224" i="3"/>
  <c r="DE224" i="3" s="1"/>
  <c r="AL224" i="3"/>
  <c r="CU224" i="3" s="1"/>
  <c r="AB224" i="3"/>
  <c r="CK224" i="3" s="1"/>
  <c r="R224" i="3"/>
  <c r="CA224" i="3" s="1"/>
  <c r="H224" i="3"/>
  <c r="BQ224" i="3" s="1"/>
  <c r="BJ224" i="3"/>
  <c r="DS224" i="3" s="1"/>
  <c r="AX224" i="3"/>
  <c r="DG224" i="3" s="1"/>
  <c r="AJ224" i="3"/>
  <c r="CS224" i="3" s="1"/>
  <c r="X224" i="3"/>
  <c r="CG224" i="3" s="1"/>
  <c r="L224" i="3"/>
  <c r="BU224" i="3" s="1"/>
  <c r="BI224" i="3"/>
  <c r="DR224" i="3" s="1"/>
  <c r="AU224" i="3"/>
  <c r="DD224" i="3" s="1"/>
  <c r="AI224" i="3"/>
  <c r="CR224" i="3" s="1"/>
  <c r="W224" i="3"/>
  <c r="CF224" i="3" s="1"/>
  <c r="K224" i="3"/>
  <c r="BT224" i="3" s="1"/>
  <c r="BL224" i="3"/>
  <c r="DU224" i="3" s="1"/>
  <c r="AZ224" i="3"/>
  <c r="DI224" i="3" s="1"/>
  <c r="AN224" i="3"/>
  <c r="CW224" i="3" s="1"/>
  <c r="Z224" i="3"/>
  <c r="CI224" i="3" s="1"/>
  <c r="N224" i="3"/>
  <c r="BW224" i="3" s="1"/>
  <c r="BD224" i="3"/>
  <c r="DM224" i="3" s="1"/>
  <c r="AO224" i="3"/>
  <c r="CX224" i="3" s="1"/>
  <c r="U224" i="3"/>
  <c r="CD224" i="3" s="1"/>
  <c r="AT224" i="3"/>
  <c r="DC224" i="3" s="1"/>
  <c r="AD224" i="3"/>
  <c r="CM224" i="3" s="1"/>
  <c r="G224" i="3"/>
  <c r="BP224" i="3" s="1"/>
  <c r="AS224" i="3"/>
  <c r="DB224" i="3" s="1"/>
  <c r="AA224" i="3"/>
  <c r="CJ224" i="3" s="1"/>
  <c r="F224" i="3"/>
  <c r="BO224" i="3" s="1"/>
  <c r="AR224" i="3"/>
  <c r="DA224" i="3" s="1"/>
  <c r="Y224" i="3"/>
  <c r="CH224" i="3" s="1"/>
  <c r="E224" i="3"/>
  <c r="BN224" i="3" s="1"/>
  <c r="BK224" i="3"/>
  <c r="DT224" i="3" s="1"/>
  <c r="AQ224" i="3"/>
  <c r="CZ224" i="3" s="1"/>
  <c r="V224" i="3"/>
  <c r="CE224" i="3" s="1"/>
  <c r="BH224" i="3"/>
  <c r="DQ224" i="3" s="1"/>
  <c r="AP224" i="3"/>
  <c r="CY224" i="3" s="1"/>
  <c r="T224" i="3"/>
  <c r="CC224" i="3" s="1"/>
  <c r="BE224" i="3"/>
  <c r="DN224" i="3" s="1"/>
  <c r="AK224" i="3"/>
  <c r="CT224" i="3" s="1"/>
  <c r="Q224" i="3"/>
  <c r="BZ224" i="3" s="1"/>
  <c r="BC224" i="3"/>
  <c r="DL224" i="3" s="1"/>
  <c r="AH224" i="3"/>
  <c r="CQ224" i="3" s="1"/>
  <c r="P224" i="3"/>
  <c r="BY224" i="3" s="1"/>
  <c r="BB224" i="3"/>
  <c r="DK224" i="3" s="1"/>
  <c r="AG224" i="3"/>
  <c r="CP224" i="3" s="1"/>
  <c r="O224" i="3"/>
  <c r="BX224" i="3" s="1"/>
  <c r="BA224" i="3"/>
  <c r="DJ224" i="3" s="1"/>
  <c r="AF224" i="3"/>
  <c r="CO224" i="3" s="1"/>
  <c r="M224" i="3"/>
  <c r="BV224" i="3" s="1"/>
  <c r="AY224" i="3"/>
  <c r="DH224" i="3" s="1"/>
  <c r="AE224" i="3"/>
  <c r="CN224" i="3" s="1"/>
  <c r="J224" i="3"/>
  <c r="BS224" i="3" s="1"/>
  <c r="K259" i="2"/>
  <c r="L259" i="2" s="1"/>
  <c r="BC324" i="3"/>
  <c r="DL324" i="3" s="1"/>
  <c r="AS324" i="3"/>
  <c r="DB324" i="3" s="1"/>
  <c r="AI324" i="3"/>
  <c r="CR324" i="3" s="1"/>
  <c r="Y324" i="3"/>
  <c r="CH324" i="3" s="1"/>
  <c r="O324" i="3"/>
  <c r="BX324" i="3" s="1"/>
  <c r="E324" i="3"/>
  <c r="BN324" i="3" s="1"/>
  <c r="BL324" i="3"/>
  <c r="DU324" i="3" s="1"/>
  <c r="BB324" i="3"/>
  <c r="DK324" i="3" s="1"/>
  <c r="BG324" i="3"/>
  <c r="DP324" i="3" s="1"/>
  <c r="AU324" i="3"/>
  <c r="DD324" i="3" s="1"/>
  <c r="AJ324" i="3"/>
  <c r="CS324" i="3" s="1"/>
  <c r="X324" i="3"/>
  <c r="CG324" i="3" s="1"/>
  <c r="M324" i="3"/>
  <c r="BV324" i="3" s="1"/>
  <c r="BF324" i="3"/>
  <c r="DO324" i="3" s="1"/>
  <c r="AT324" i="3"/>
  <c r="DC324" i="3" s="1"/>
  <c r="AH324" i="3"/>
  <c r="CQ324" i="3" s="1"/>
  <c r="W324" i="3"/>
  <c r="CF324" i="3" s="1"/>
  <c r="L324" i="3"/>
  <c r="BU324" i="3" s="1"/>
  <c r="BI324" i="3"/>
  <c r="DR324" i="3" s="1"/>
  <c r="AW324" i="3"/>
  <c r="DF324" i="3" s="1"/>
  <c r="AL324" i="3"/>
  <c r="CU324" i="3" s="1"/>
  <c r="AA324" i="3"/>
  <c r="CJ324" i="3" s="1"/>
  <c r="P324" i="3"/>
  <c r="BY324" i="3" s="1"/>
  <c r="AV324" i="3"/>
  <c r="DE324" i="3" s="1"/>
  <c r="AE324" i="3"/>
  <c r="CN324" i="3" s="1"/>
  <c r="Q324" i="3"/>
  <c r="BZ324" i="3" s="1"/>
  <c r="BK324" i="3"/>
  <c r="DT324" i="3" s="1"/>
  <c r="AR324" i="3"/>
  <c r="DA324" i="3" s="1"/>
  <c r="AD324" i="3"/>
  <c r="CM324" i="3" s="1"/>
  <c r="N324" i="3"/>
  <c r="BW324" i="3" s="1"/>
  <c r="AY324" i="3"/>
  <c r="DH324" i="3" s="1"/>
  <c r="AG324" i="3"/>
  <c r="CP324" i="3" s="1"/>
  <c r="S324" i="3"/>
  <c r="CB324" i="3" s="1"/>
  <c r="AQ324" i="3"/>
  <c r="CZ324" i="3" s="1"/>
  <c r="V324" i="3"/>
  <c r="CE324" i="3" s="1"/>
  <c r="AP324" i="3"/>
  <c r="CY324" i="3" s="1"/>
  <c r="U324" i="3"/>
  <c r="CD324" i="3" s="1"/>
  <c r="AO324" i="3"/>
  <c r="CX324" i="3" s="1"/>
  <c r="T324" i="3"/>
  <c r="CC324" i="3" s="1"/>
  <c r="BJ324" i="3"/>
  <c r="DS324" i="3" s="1"/>
  <c r="AN324" i="3"/>
  <c r="CW324" i="3" s="1"/>
  <c r="R324" i="3"/>
  <c r="CA324" i="3" s="1"/>
  <c r="BH324" i="3"/>
  <c r="DQ324" i="3" s="1"/>
  <c r="AM324" i="3"/>
  <c r="CV324" i="3" s="1"/>
  <c r="K324" i="3"/>
  <c r="BT324" i="3" s="1"/>
  <c r="BA324" i="3"/>
  <c r="DJ324" i="3" s="1"/>
  <c r="AC324" i="3"/>
  <c r="CL324" i="3" s="1"/>
  <c r="H324" i="3"/>
  <c r="BQ324" i="3" s="1"/>
  <c r="BE324" i="3"/>
  <c r="DN324" i="3" s="1"/>
  <c r="G324" i="3"/>
  <c r="BP324" i="3" s="1"/>
  <c r="BD324" i="3"/>
  <c r="DM324" i="3" s="1"/>
  <c r="F324" i="3"/>
  <c r="BO324" i="3" s="1"/>
  <c r="AZ324" i="3"/>
  <c r="DI324" i="3" s="1"/>
  <c r="AX324" i="3"/>
  <c r="DG324" i="3" s="1"/>
  <c r="AK324" i="3"/>
  <c r="CT324" i="3" s="1"/>
  <c r="AF324" i="3"/>
  <c r="CO324" i="3" s="1"/>
  <c r="AB324" i="3"/>
  <c r="CK324" i="3" s="1"/>
  <c r="Z324" i="3"/>
  <c r="CI324" i="3" s="1"/>
  <c r="J324" i="3"/>
  <c r="BS324" i="3" s="1"/>
  <c r="I324" i="3"/>
  <c r="BR324" i="3" s="1"/>
  <c r="O358" i="2"/>
  <c r="N358" i="2"/>
  <c r="BD236" i="3"/>
  <c r="DM236" i="3" s="1"/>
  <c r="AT236" i="3"/>
  <c r="DC236" i="3" s="1"/>
  <c r="AJ236" i="3"/>
  <c r="CS236" i="3" s="1"/>
  <c r="Z236" i="3"/>
  <c r="CI236" i="3" s="1"/>
  <c r="P236" i="3"/>
  <c r="BY236" i="3" s="1"/>
  <c r="F236" i="3"/>
  <c r="BO236" i="3" s="1"/>
  <c r="BG236" i="3"/>
  <c r="DP236" i="3" s="1"/>
  <c r="AV236" i="3"/>
  <c r="DE236" i="3" s="1"/>
  <c r="AK236" i="3"/>
  <c r="CT236" i="3" s="1"/>
  <c r="Y236" i="3"/>
  <c r="CH236" i="3" s="1"/>
  <c r="N236" i="3"/>
  <c r="BW236" i="3" s="1"/>
  <c r="BF236" i="3"/>
  <c r="DO236" i="3" s="1"/>
  <c r="AU236" i="3"/>
  <c r="DD236" i="3" s="1"/>
  <c r="AI236" i="3"/>
  <c r="CR236" i="3" s="1"/>
  <c r="X236" i="3"/>
  <c r="CG236" i="3" s="1"/>
  <c r="M236" i="3"/>
  <c r="BV236" i="3" s="1"/>
  <c r="BI236" i="3"/>
  <c r="DR236" i="3" s="1"/>
  <c r="AX236" i="3"/>
  <c r="DG236" i="3" s="1"/>
  <c r="AM236" i="3"/>
  <c r="CV236" i="3" s="1"/>
  <c r="AB236" i="3"/>
  <c r="CK236" i="3" s="1"/>
  <c r="Q236" i="3"/>
  <c r="BZ236" i="3" s="1"/>
  <c r="E236" i="3"/>
  <c r="BN236" i="3" s="1"/>
  <c r="BH236" i="3"/>
  <c r="DQ236" i="3" s="1"/>
  <c r="AQ236" i="3"/>
  <c r="CZ236" i="3" s="1"/>
  <c r="AC236" i="3"/>
  <c r="CL236" i="3" s="1"/>
  <c r="K236" i="3"/>
  <c r="BT236" i="3" s="1"/>
  <c r="BE236" i="3"/>
  <c r="DN236" i="3" s="1"/>
  <c r="AP236" i="3"/>
  <c r="CY236" i="3" s="1"/>
  <c r="AA236" i="3"/>
  <c r="CJ236" i="3" s="1"/>
  <c r="J236" i="3"/>
  <c r="BS236" i="3" s="1"/>
  <c r="BK236" i="3"/>
  <c r="DT236" i="3" s="1"/>
  <c r="AS236" i="3"/>
  <c r="DB236" i="3" s="1"/>
  <c r="AE236" i="3"/>
  <c r="CN236" i="3" s="1"/>
  <c r="O236" i="3"/>
  <c r="BX236" i="3" s="1"/>
  <c r="BB236" i="3"/>
  <c r="DK236" i="3" s="1"/>
  <c r="AG236" i="3"/>
  <c r="CP236" i="3" s="1"/>
  <c r="I236" i="3"/>
  <c r="BR236" i="3" s="1"/>
  <c r="BA236" i="3"/>
  <c r="DJ236" i="3" s="1"/>
  <c r="AF236" i="3"/>
  <c r="CO236" i="3" s="1"/>
  <c r="H236" i="3"/>
  <c r="BQ236" i="3" s="1"/>
  <c r="AZ236" i="3"/>
  <c r="DI236" i="3" s="1"/>
  <c r="AD236" i="3"/>
  <c r="CM236" i="3" s="1"/>
  <c r="G236" i="3"/>
  <c r="BP236" i="3" s="1"/>
  <c r="AY236" i="3"/>
  <c r="DH236" i="3" s="1"/>
  <c r="T236" i="3"/>
  <c r="CC236" i="3" s="1"/>
  <c r="AW236" i="3"/>
  <c r="DF236" i="3" s="1"/>
  <c r="S236" i="3"/>
  <c r="CB236" i="3" s="1"/>
  <c r="AR236" i="3"/>
  <c r="DA236" i="3" s="1"/>
  <c r="R236" i="3"/>
  <c r="CA236" i="3" s="1"/>
  <c r="AO236" i="3"/>
  <c r="CX236" i="3" s="1"/>
  <c r="L236" i="3"/>
  <c r="BU236" i="3" s="1"/>
  <c r="AN236" i="3"/>
  <c r="CW236" i="3" s="1"/>
  <c r="AL236" i="3"/>
  <c r="CU236" i="3" s="1"/>
  <c r="AH236" i="3"/>
  <c r="CQ236" i="3" s="1"/>
  <c r="BL236" i="3"/>
  <c r="DU236" i="3" s="1"/>
  <c r="W236" i="3"/>
  <c r="CF236" i="3" s="1"/>
  <c r="BJ236" i="3"/>
  <c r="DS236" i="3" s="1"/>
  <c r="V236" i="3"/>
  <c r="CE236" i="3" s="1"/>
  <c r="BC236" i="3"/>
  <c r="DL236" i="3" s="1"/>
  <c r="U236" i="3"/>
  <c r="CD236" i="3" s="1"/>
  <c r="K271" i="2"/>
  <c r="L271" i="2" s="1"/>
  <c r="BJ336" i="3"/>
  <c r="DS336" i="3" s="1"/>
  <c r="AZ336" i="3"/>
  <c r="DI336" i="3" s="1"/>
  <c r="AP336" i="3"/>
  <c r="CY336" i="3" s="1"/>
  <c r="AF336" i="3"/>
  <c r="CO336" i="3" s="1"/>
  <c r="V336" i="3"/>
  <c r="CE336" i="3" s="1"/>
  <c r="L336" i="3"/>
  <c r="BU336" i="3" s="1"/>
  <c r="BI336" i="3"/>
  <c r="DR336" i="3" s="1"/>
  <c r="AY336" i="3"/>
  <c r="DH336" i="3" s="1"/>
  <c r="AO336" i="3"/>
  <c r="CX336" i="3" s="1"/>
  <c r="AE336" i="3"/>
  <c r="CN336" i="3" s="1"/>
  <c r="U336" i="3"/>
  <c r="CD336" i="3" s="1"/>
  <c r="K336" i="3"/>
  <c r="BT336" i="3" s="1"/>
  <c r="BK336" i="3"/>
  <c r="DT336" i="3" s="1"/>
  <c r="AW336" i="3"/>
  <c r="DF336" i="3" s="1"/>
  <c r="AK336" i="3"/>
  <c r="CT336" i="3" s="1"/>
  <c r="Y336" i="3"/>
  <c r="CH336" i="3" s="1"/>
  <c r="M336" i="3"/>
  <c r="BV336" i="3" s="1"/>
  <c r="BH336" i="3"/>
  <c r="DQ336" i="3" s="1"/>
  <c r="AV336" i="3"/>
  <c r="DE336" i="3" s="1"/>
  <c r="AJ336" i="3"/>
  <c r="CS336" i="3" s="1"/>
  <c r="X336" i="3"/>
  <c r="CG336" i="3" s="1"/>
  <c r="J336" i="3"/>
  <c r="BS336" i="3" s="1"/>
  <c r="BA336" i="3"/>
  <c r="DJ336" i="3" s="1"/>
  <c r="AM336" i="3"/>
  <c r="CV336" i="3" s="1"/>
  <c r="AA336" i="3"/>
  <c r="CJ336" i="3" s="1"/>
  <c r="O336" i="3"/>
  <c r="BX336" i="3" s="1"/>
  <c r="BD336" i="3"/>
  <c r="DM336" i="3" s="1"/>
  <c r="AL336" i="3"/>
  <c r="CU336" i="3" s="1"/>
  <c r="S336" i="3"/>
  <c r="CB336" i="3" s="1"/>
  <c r="BG336" i="3"/>
  <c r="DP336" i="3" s="1"/>
  <c r="AQ336" i="3"/>
  <c r="CZ336" i="3" s="1"/>
  <c r="T336" i="3"/>
  <c r="CC336" i="3" s="1"/>
  <c r="BF336" i="3"/>
  <c r="DO336" i="3" s="1"/>
  <c r="AN336" i="3"/>
  <c r="CW336" i="3" s="1"/>
  <c r="R336" i="3"/>
  <c r="CA336" i="3" s="1"/>
  <c r="AS336" i="3"/>
  <c r="DB336" i="3" s="1"/>
  <c r="Z336" i="3"/>
  <c r="CI336" i="3" s="1"/>
  <c r="F336" i="3"/>
  <c r="BO336" i="3" s="1"/>
  <c r="AT336" i="3"/>
  <c r="DC336" i="3" s="1"/>
  <c r="P336" i="3"/>
  <c r="BY336" i="3" s="1"/>
  <c r="AR336" i="3"/>
  <c r="DA336" i="3" s="1"/>
  <c r="N336" i="3"/>
  <c r="BW336" i="3" s="1"/>
  <c r="AI336" i="3"/>
  <c r="CR336" i="3" s="1"/>
  <c r="I336" i="3"/>
  <c r="BR336" i="3" s="1"/>
  <c r="AH336" i="3"/>
  <c r="CQ336" i="3" s="1"/>
  <c r="H336" i="3"/>
  <c r="BQ336" i="3" s="1"/>
  <c r="BL336" i="3"/>
  <c r="DU336" i="3" s="1"/>
  <c r="AG336" i="3"/>
  <c r="CP336" i="3" s="1"/>
  <c r="G336" i="3"/>
  <c r="BP336" i="3" s="1"/>
  <c r="BE336" i="3"/>
  <c r="DN336" i="3" s="1"/>
  <c r="AD336" i="3"/>
  <c r="CM336" i="3" s="1"/>
  <c r="E336" i="3"/>
  <c r="BN336" i="3" s="1"/>
  <c r="BC336" i="3"/>
  <c r="DL336" i="3" s="1"/>
  <c r="AC336" i="3"/>
  <c r="CL336" i="3" s="1"/>
  <c r="BB336" i="3"/>
  <c r="DK336" i="3" s="1"/>
  <c r="AB336" i="3"/>
  <c r="CK336" i="3" s="1"/>
  <c r="AX336" i="3"/>
  <c r="DG336" i="3" s="1"/>
  <c r="W336" i="3"/>
  <c r="CF336" i="3" s="1"/>
  <c r="AU336" i="3"/>
  <c r="DD336" i="3" s="1"/>
  <c r="Q336" i="3"/>
  <c r="BZ336" i="3" s="1"/>
  <c r="F31" i="4"/>
  <c r="D31" i="4"/>
  <c r="E31" i="4" s="1"/>
  <c r="F28" i="4"/>
  <c r="D28" i="4"/>
  <c r="E28" i="4" s="1"/>
  <c r="D149" i="4"/>
  <c r="E149" i="4" s="1"/>
  <c r="F149" i="4"/>
  <c r="F86" i="4"/>
  <c r="D86" i="4"/>
  <c r="E86" i="4" s="1"/>
  <c r="F165" i="4"/>
  <c r="D165" i="4"/>
  <c r="E165" i="4" s="1"/>
  <c r="F55" i="4"/>
  <c r="D55" i="4"/>
  <c r="E55" i="4" s="1"/>
  <c r="F223" i="4"/>
  <c r="D223" i="4"/>
  <c r="E223" i="4" s="1"/>
  <c r="D160" i="4"/>
  <c r="E160" i="4" s="1"/>
  <c r="F160" i="4"/>
  <c r="F259" i="4"/>
  <c r="D259" i="4"/>
  <c r="E259" i="4" s="1"/>
  <c r="D126" i="4"/>
  <c r="E126" i="4" s="1"/>
  <c r="F126" i="4"/>
  <c r="D174" i="4"/>
  <c r="E174" i="4" s="1"/>
  <c r="F174" i="4"/>
  <c r="F34" i="4"/>
  <c r="D34" i="4"/>
  <c r="E34" i="4" s="1"/>
  <c r="D103" i="4"/>
  <c r="E103" i="4" s="1"/>
  <c r="F103" i="4"/>
  <c r="D70" i="4"/>
  <c r="E70" i="4" s="1"/>
  <c r="F70" i="4"/>
  <c r="F236" i="4"/>
  <c r="D236" i="4"/>
  <c r="E236" i="4" s="1"/>
  <c r="D64" i="4"/>
  <c r="E64" i="4" s="1"/>
  <c r="F64" i="4"/>
  <c r="F192" i="4"/>
  <c r="D192" i="4"/>
  <c r="E192" i="4" s="1"/>
  <c r="F190" i="4"/>
  <c r="D190" i="4"/>
  <c r="E190" i="4" s="1"/>
  <c r="F197" i="4"/>
  <c r="D197" i="4"/>
  <c r="E197" i="4" s="1"/>
  <c r="F140" i="4"/>
  <c r="D140" i="4"/>
  <c r="E140" i="4" s="1"/>
  <c r="F251" i="4"/>
  <c r="D251" i="4"/>
  <c r="E251" i="4" s="1"/>
  <c r="F175" i="4"/>
  <c r="D175" i="4"/>
  <c r="E175" i="4" s="1"/>
  <c r="D102" i="4"/>
  <c r="E102" i="4" s="1"/>
  <c r="F102" i="4"/>
  <c r="F201" i="4"/>
  <c r="D201" i="4"/>
  <c r="E201" i="4" s="1"/>
  <c r="O208" i="2"/>
  <c r="N187" i="2"/>
  <c r="O187" i="2"/>
  <c r="O174" i="2"/>
  <c r="N174" i="2"/>
  <c r="O210" i="2"/>
  <c r="N68" i="2"/>
  <c r="O68" i="2"/>
  <c r="O198" i="2"/>
  <c r="N198" i="2"/>
  <c r="N128" i="2"/>
  <c r="O128" i="2"/>
  <c r="BE135" i="3"/>
  <c r="DN135" i="3" s="1"/>
  <c r="AU135" i="3"/>
  <c r="DD135" i="3" s="1"/>
  <c r="AK135" i="3"/>
  <c r="CT135" i="3" s="1"/>
  <c r="AA135" i="3"/>
  <c r="CJ135" i="3" s="1"/>
  <c r="Q135" i="3"/>
  <c r="BZ135" i="3" s="1"/>
  <c r="G135" i="3"/>
  <c r="BP135" i="3" s="1"/>
  <c r="BD135" i="3"/>
  <c r="DM135" i="3" s="1"/>
  <c r="AT135" i="3"/>
  <c r="DC135" i="3" s="1"/>
  <c r="AJ135" i="3"/>
  <c r="CS135" i="3" s="1"/>
  <c r="Z135" i="3"/>
  <c r="CI135" i="3" s="1"/>
  <c r="P135" i="3"/>
  <c r="BY135" i="3" s="1"/>
  <c r="F135" i="3"/>
  <c r="BO135" i="3" s="1"/>
  <c r="BG135" i="3"/>
  <c r="DP135" i="3" s="1"/>
  <c r="AW135" i="3"/>
  <c r="DF135" i="3" s="1"/>
  <c r="AM135" i="3"/>
  <c r="CV135" i="3" s="1"/>
  <c r="AC135" i="3"/>
  <c r="CL135" i="3" s="1"/>
  <c r="S135" i="3"/>
  <c r="CB135" i="3" s="1"/>
  <c r="I135" i="3"/>
  <c r="BR135" i="3" s="1"/>
  <c r="BH135" i="3"/>
  <c r="DQ135" i="3" s="1"/>
  <c r="AR135" i="3"/>
  <c r="DA135" i="3" s="1"/>
  <c r="AE135" i="3"/>
  <c r="CN135" i="3" s="1"/>
  <c r="O135" i="3"/>
  <c r="BX135" i="3" s="1"/>
  <c r="BJ135" i="3"/>
  <c r="DS135" i="3" s="1"/>
  <c r="AV135" i="3"/>
  <c r="DE135" i="3" s="1"/>
  <c r="AG135" i="3"/>
  <c r="CP135" i="3" s="1"/>
  <c r="T135" i="3"/>
  <c r="CC135" i="3" s="1"/>
  <c r="BK135" i="3"/>
  <c r="DT135" i="3" s="1"/>
  <c r="AQ135" i="3"/>
  <c r="CZ135" i="3" s="1"/>
  <c r="Y135" i="3"/>
  <c r="CH135" i="3" s="1"/>
  <c r="J135" i="3"/>
  <c r="BS135" i="3" s="1"/>
  <c r="BI135" i="3"/>
  <c r="DR135" i="3" s="1"/>
  <c r="AP135" i="3"/>
  <c r="CY135" i="3" s="1"/>
  <c r="X135" i="3"/>
  <c r="CG135" i="3" s="1"/>
  <c r="H135" i="3"/>
  <c r="BQ135" i="3" s="1"/>
  <c r="AX135" i="3"/>
  <c r="DG135" i="3" s="1"/>
  <c r="AD135" i="3"/>
  <c r="CM135" i="3" s="1"/>
  <c r="L135" i="3"/>
  <c r="BU135" i="3" s="1"/>
  <c r="BL135" i="3"/>
  <c r="DU135" i="3" s="1"/>
  <c r="AS135" i="3"/>
  <c r="DB135" i="3" s="1"/>
  <c r="AB135" i="3"/>
  <c r="CK135" i="3" s="1"/>
  <c r="K135" i="3"/>
  <c r="BT135" i="3" s="1"/>
  <c r="BA135" i="3"/>
  <c r="DJ135" i="3" s="1"/>
  <c r="V135" i="3"/>
  <c r="CE135" i="3" s="1"/>
  <c r="AI135" i="3"/>
  <c r="CR135" i="3" s="1"/>
  <c r="BF135" i="3"/>
  <c r="DO135" i="3" s="1"/>
  <c r="AH135" i="3"/>
  <c r="CQ135" i="3" s="1"/>
  <c r="BC135" i="3"/>
  <c r="DL135" i="3" s="1"/>
  <c r="AF135" i="3"/>
  <c r="CO135" i="3" s="1"/>
  <c r="W135" i="3"/>
  <c r="CF135" i="3" s="1"/>
  <c r="U135" i="3"/>
  <c r="CD135" i="3" s="1"/>
  <c r="R135" i="3"/>
  <c r="CA135" i="3" s="1"/>
  <c r="N135" i="3"/>
  <c r="BW135" i="3" s="1"/>
  <c r="BB135" i="3"/>
  <c r="DK135" i="3" s="1"/>
  <c r="M135" i="3"/>
  <c r="BV135" i="3" s="1"/>
  <c r="AZ135" i="3"/>
  <c r="DI135" i="3" s="1"/>
  <c r="E135" i="3"/>
  <c r="BN135" i="3" s="1"/>
  <c r="AY135" i="3"/>
  <c r="DH135" i="3" s="1"/>
  <c r="AO135" i="3"/>
  <c r="CX135" i="3" s="1"/>
  <c r="AN135" i="3"/>
  <c r="CW135" i="3" s="1"/>
  <c r="AL135" i="3"/>
  <c r="CU135" i="3" s="1"/>
  <c r="BL95" i="3"/>
  <c r="DU95" i="3" s="1"/>
  <c r="BB95" i="3"/>
  <c r="DK95" i="3" s="1"/>
  <c r="AR95" i="3"/>
  <c r="DA95" i="3" s="1"/>
  <c r="AH95" i="3"/>
  <c r="CQ95" i="3" s="1"/>
  <c r="X95" i="3"/>
  <c r="CG95" i="3" s="1"/>
  <c r="N95" i="3"/>
  <c r="BW95" i="3" s="1"/>
  <c r="BD95" i="3"/>
  <c r="DM95" i="3" s="1"/>
  <c r="AT95" i="3"/>
  <c r="DC95" i="3" s="1"/>
  <c r="AJ95" i="3"/>
  <c r="CS95" i="3" s="1"/>
  <c r="Z95" i="3"/>
  <c r="CI95" i="3" s="1"/>
  <c r="P95" i="3"/>
  <c r="BY95" i="3" s="1"/>
  <c r="F95" i="3"/>
  <c r="BO95" i="3" s="1"/>
  <c r="BC95" i="3"/>
  <c r="DL95" i="3" s="1"/>
  <c r="AS95" i="3"/>
  <c r="DB95" i="3" s="1"/>
  <c r="AI95" i="3"/>
  <c r="CR95" i="3" s="1"/>
  <c r="Y95" i="3"/>
  <c r="CH95" i="3" s="1"/>
  <c r="O95" i="3"/>
  <c r="BX95" i="3" s="1"/>
  <c r="E95" i="3"/>
  <c r="BN95" i="3" s="1"/>
  <c r="BE95" i="3"/>
  <c r="DN95" i="3" s="1"/>
  <c r="AO95" i="3"/>
  <c r="CX95" i="3" s="1"/>
  <c r="AB95" i="3"/>
  <c r="CK95" i="3" s="1"/>
  <c r="L95" i="3"/>
  <c r="BU95" i="3" s="1"/>
  <c r="BA95" i="3"/>
  <c r="DJ95" i="3" s="1"/>
  <c r="AN95" i="3"/>
  <c r="CW95" i="3" s="1"/>
  <c r="AA95" i="3"/>
  <c r="CJ95" i="3" s="1"/>
  <c r="K95" i="3"/>
  <c r="BT95" i="3" s="1"/>
  <c r="BH95" i="3"/>
  <c r="DQ95" i="3" s="1"/>
  <c r="AU95" i="3"/>
  <c r="DD95" i="3" s="1"/>
  <c r="AE95" i="3"/>
  <c r="CN95" i="3" s="1"/>
  <c r="R95" i="3"/>
  <c r="CA95" i="3" s="1"/>
  <c r="AY95" i="3"/>
  <c r="DH95" i="3" s="1"/>
  <c r="AF95" i="3"/>
  <c r="CO95" i="3" s="1"/>
  <c r="J95" i="3"/>
  <c r="BS95" i="3" s="1"/>
  <c r="AX95" i="3"/>
  <c r="DG95" i="3" s="1"/>
  <c r="AD95" i="3"/>
  <c r="CM95" i="3" s="1"/>
  <c r="I95" i="3"/>
  <c r="BR95" i="3" s="1"/>
  <c r="AW95" i="3"/>
  <c r="DF95" i="3" s="1"/>
  <c r="AC95" i="3"/>
  <c r="CL95" i="3" s="1"/>
  <c r="H95" i="3"/>
  <c r="BQ95" i="3" s="1"/>
  <c r="AV95" i="3"/>
  <c r="DE95" i="3" s="1"/>
  <c r="W95" i="3"/>
  <c r="CF95" i="3" s="1"/>
  <c r="G95" i="3"/>
  <c r="BP95" i="3" s="1"/>
  <c r="BK95" i="3"/>
  <c r="DT95" i="3" s="1"/>
  <c r="AQ95" i="3"/>
  <c r="CZ95" i="3" s="1"/>
  <c r="V95" i="3"/>
  <c r="CE95" i="3" s="1"/>
  <c r="BJ95" i="3"/>
  <c r="DS95" i="3" s="1"/>
  <c r="AP95" i="3"/>
  <c r="CY95" i="3" s="1"/>
  <c r="U95" i="3"/>
  <c r="CD95" i="3" s="1"/>
  <c r="BI95" i="3"/>
  <c r="DR95" i="3" s="1"/>
  <c r="AM95" i="3"/>
  <c r="CV95" i="3" s="1"/>
  <c r="T95" i="3"/>
  <c r="CC95" i="3" s="1"/>
  <c r="BG95" i="3"/>
  <c r="DP95" i="3" s="1"/>
  <c r="AL95" i="3"/>
  <c r="CU95" i="3" s="1"/>
  <c r="S95" i="3"/>
  <c r="CB95" i="3" s="1"/>
  <c r="BF95" i="3"/>
  <c r="DO95" i="3" s="1"/>
  <c r="AK95" i="3"/>
  <c r="CT95" i="3" s="1"/>
  <c r="Q95" i="3"/>
  <c r="BZ95" i="3" s="1"/>
  <c r="M95" i="3"/>
  <c r="BV95" i="3" s="1"/>
  <c r="AZ95" i="3"/>
  <c r="DI95" i="3" s="1"/>
  <c r="AG95" i="3"/>
  <c r="CP95" i="3" s="1"/>
  <c r="N105" i="2"/>
  <c r="O105" i="2"/>
  <c r="N59" i="2"/>
  <c r="O59" i="2"/>
  <c r="BC121" i="3"/>
  <c r="DL121" i="3" s="1"/>
  <c r="AS121" i="3"/>
  <c r="DB121" i="3" s="1"/>
  <c r="AI121" i="3"/>
  <c r="CR121" i="3" s="1"/>
  <c r="Y121" i="3"/>
  <c r="CH121" i="3" s="1"/>
  <c r="O121" i="3"/>
  <c r="BX121" i="3" s="1"/>
  <c r="E121" i="3"/>
  <c r="BN121" i="3" s="1"/>
  <c r="BE121" i="3"/>
  <c r="DN121" i="3" s="1"/>
  <c r="AU121" i="3"/>
  <c r="DD121" i="3" s="1"/>
  <c r="AK121" i="3"/>
  <c r="CT121" i="3" s="1"/>
  <c r="AA121" i="3"/>
  <c r="CJ121" i="3" s="1"/>
  <c r="Q121" i="3"/>
  <c r="BZ121" i="3" s="1"/>
  <c r="G121" i="3"/>
  <c r="BP121" i="3" s="1"/>
  <c r="BF121" i="3"/>
  <c r="DO121" i="3" s="1"/>
  <c r="AR121" i="3"/>
  <c r="DA121" i="3" s="1"/>
  <c r="AF121" i="3"/>
  <c r="CO121" i="3" s="1"/>
  <c r="T121" i="3"/>
  <c r="CC121" i="3" s="1"/>
  <c r="H121" i="3"/>
  <c r="BQ121" i="3" s="1"/>
  <c r="BH121" i="3"/>
  <c r="DQ121" i="3" s="1"/>
  <c r="AV121" i="3"/>
  <c r="DE121" i="3" s="1"/>
  <c r="AH121" i="3"/>
  <c r="CQ121" i="3" s="1"/>
  <c r="V121" i="3"/>
  <c r="CE121" i="3" s="1"/>
  <c r="J121" i="3"/>
  <c r="BS121" i="3" s="1"/>
  <c r="BG121" i="3"/>
  <c r="DP121" i="3" s="1"/>
  <c r="AT121" i="3"/>
  <c r="DC121" i="3" s="1"/>
  <c r="AG121" i="3"/>
  <c r="CP121" i="3" s="1"/>
  <c r="U121" i="3"/>
  <c r="CD121" i="3" s="1"/>
  <c r="I121" i="3"/>
  <c r="BR121" i="3" s="1"/>
  <c r="BI121" i="3"/>
  <c r="DR121" i="3" s="1"/>
  <c r="AO121" i="3"/>
  <c r="CX121" i="3" s="1"/>
  <c r="X121" i="3"/>
  <c r="CG121" i="3" s="1"/>
  <c r="AX121" i="3"/>
  <c r="DG121" i="3" s="1"/>
  <c r="AD121" i="3"/>
  <c r="CM121" i="3" s="1"/>
  <c r="M121" i="3"/>
  <c r="BV121" i="3" s="1"/>
  <c r="BL121" i="3"/>
  <c r="DU121" i="3" s="1"/>
  <c r="AW121" i="3"/>
  <c r="DF121" i="3" s="1"/>
  <c r="AC121" i="3"/>
  <c r="CL121" i="3" s="1"/>
  <c r="L121" i="3"/>
  <c r="BU121" i="3" s="1"/>
  <c r="BA121" i="3"/>
  <c r="DJ121" i="3" s="1"/>
  <c r="AB121" i="3"/>
  <c r="CK121" i="3" s="1"/>
  <c r="AZ121" i="3"/>
  <c r="DI121" i="3" s="1"/>
  <c r="Z121" i="3"/>
  <c r="CI121" i="3" s="1"/>
  <c r="AY121" i="3"/>
  <c r="DH121" i="3" s="1"/>
  <c r="W121" i="3"/>
  <c r="CF121" i="3" s="1"/>
  <c r="AQ121" i="3"/>
  <c r="CZ121" i="3" s="1"/>
  <c r="S121" i="3"/>
  <c r="CB121" i="3" s="1"/>
  <c r="AP121" i="3"/>
  <c r="CY121" i="3" s="1"/>
  <c r="R121" i="3"/>
  <c r="CA121" i="3" s="1"/>
  <c r="AN121" i="3"/>
  <c r="CW121" i="3" s="1"/>
  <c r="P121" i="3"/>
  <c r="BY121" i="3" s="1"/>
  <c r="BK121" i="3"/>
  <c r="DT121" i="3" s="1"/>
  <c r="AM121" i="3"/>
  <c r="CV121" i="3" s="1"/>
  <c r="N121" i="3"/>
  <c r="BW121" i="3" s="1"/>
  <c r="BJ121" i="3"/>
  <c r="DS121" i="3" s="1"/>
  <c r="AL121" i="3"/>
  <c r="CU121" i="3" s="1"/>
  <c r="K121" i="3"/>
  <c r="BT121" i="3" s="1"/>
  <c r="BD121" i="3"/>
  <c r="DM121" i="3" s="1"/>
  <c r="BB121" i="3"/>
  <c r="DK121" i="3" s="1"/>
  <c r="AJ121" i="3"/>
  <c r="CS121" i="3" s="1"/>
  <c r="AE121" i="3"/>
  <c r="CN121" i="3" s="1"/>
  <c r="F121" i="3"/>
  <c r="BO121" i="3" s="1"/>
  <c r="O52" i="2"/>
  <c r="N52" i="2"/>
  <c r="J78" i="2"/>
  <c r="K78" i="2" s="1"/>
  <c r="L78" i="2" s="1"/>
  <c r="BF35" i="3"/>
  <c r="DO35" i="3" s="1"/>
  <c r="AV35" i="3"/>
  <c r="DE35" i="3" s="1"/>
  <c r="AL35" i="3"/>
  <c r="CU35" i="3" s="1"/>
  <c r="AB35" i="3"/>
  <c r="CK35" i="3" s="1"/>
  <c r="R35" i="3"/>
  <c r="CA35" i="3" s="1"/>
  <c r="H35" i="3"/>
  <c r="BQ35" i="3" s="1"/>
  <c r="BE35" i="3"/>
  <c r="DN35" i="3" s="1"/>
  <c r="AU35" i="3"/>
  <c r="DD35" i="3" s="1"/>
  <c r="AK35" i="3"/>
  <c r="CT35" i="3" s="1"/>
  <c r="AA35" i="3"/>
  <c r="CJ35" i="3" s="1"/>
  <c r="Q35" i="3"/>
  <c r="BZ35" i="3" s="1"/>
  <c r="G35" i="3"/>
  <c r="BP35" i="3" s="1"/>
  <c r="BH35" i="3"/>
  <c r="DQ35" i="3" s="1"/>
  <c r="AX35" i="3"/>
  <c r="DG35" i="3" s="1"/>
  <c r="AN35" i="3"/>
  <c r="CW35" i="3" s="1"/>
  <c r="AD35" i="3"/>
  <c r="CM35" i="3" s="1"/>
  <c r="T35" i="3"/>
  <c r="CC35" i="3" s="1"/>
  <c r="J35" i="3"/>
  <c r="BS35" i="3" s="1"/>
  <c r="BL35" i="3"/>
  <c r="DU35" i="3" s="1"/>
  <c r="AY35" i="3"/>
  <c r="DH35" i="3" s="1"/>
  <c r="AI35" i="3"/>
  <c r="CR35" i="3" s="1"/>
  <c r="V35" i="3"/>
  <c r="CE35" i="3" s="1"/>
  <c r="F35" i="3"/>
  <c r="BO35" i="3" s="1"/>
  <c r="BK35" i="3"/>
  <c r="DT35" i="3" s="1"/>
  <c r="AW35" i="3"/>
  <c r="DF35" i="3" s="1"/>
  <c r="AH35" i="3"/>
  <c r="CQ35" i="3" s="1"/>
  <c r="U35" i="3"/>
  <c r="CD35" i="3" s="1"/>
  <c r="E35" i="3"/>
  <c r="BN35" i="3" s="1"/>
  <c r="AZ35" i="3"/>
  <c r="DI35" i="3" s="1"/>
  <c r="AF35" i="3"/>
  <c r="CO35" i="3" s="1"/>
  <c r="N35" i="3"/>
  <c r="BW35" i="3" s="1"/>
  <c r="AT35" i="3"/>
  <c r="DC35" i="3" s="1"/>
  <c r="AE35" i="3"/>
  <c r="CN35" i="3" s="1"/>
  <c r="M35" i="3"/>
  <c r="BV35" i="3" s="1"/>
  <c r="AS35" i="3"/>
  <c r="DB35" i="3" s="1"/>
  <c r="AC35" i="3"/>
  <c r="CL35" i="3" s="1"/>
  <c r="L35" i="3"/>
  <c r="BU35" i="3" s="1"/>
  <c r="BJ35" i="3"/>
  <c r="DS35" i="3" s="1"/>
  <c r="AR35" i="3"/>
  <c r="DA35" i="3" s="1"/>
  <c r="Z35" i="3"/>
  <c r="CI35" i="3" s="1"/>
  <c r="K35" i="3"/>
  <c r="BT35" i="3" s="1"/>
  <c r="BI35" i="3"/>
  <c r="DR35" i="3" s="1"/>
  <c r="AQ35" i="3"/>
  <c r="CZ35" i="3" s="1"/>
  <c r="Y35" i="3"/>
  <c r="CH35" i="3" s="1"/>
  <c r="I35" i="3"/>
  <c r="BR35" i="3" s="1"/>
  <c r="BG35" i="3"/>
  <c r="DP35" i="3" s="1"/>
  <c r="AP35" i="3"/>
  <c r="CY35" i="3" s="1"/>
  <c r="X35" i="3"/>
  <c r="CG35" i="3" s="1"/>
  <c r="BD35" i="3"/>
  <c r="DM35" i="3" s="1"/>
  <c r="AO35" i="3"/>
  <c r="CX35" i="3" s="1"/>
  <c r="W35" i="3"/>
  <c r="CF35" i="3" s="1"/>
  <c r="BC35" i="3"/>
  <c r="DL35" i="3" s="1"/>
  <c r="AM35" i="3"/>
  <c r="CV35" i="3" s="1"/>
  <c r="S35" i="3"/>
  <c r="CB35" i="3" s="1"/>
  <c r="BB35" i="3"/>
  <c r="DK35" i="3" s="1"/>
  <c r="AJ35" i="3"/>
  <c r="CS35" i="3" s="1"/>
  <c r="P35" i="3"/>
  <c r="BY35" i="3" s="1"/>
  <c r="BA35" i="3"/>
  <c r="DJ35" i="3" s="1"/>
  <c r="AG35" i="3"/>
  <c r="CP35" i="3" s="1"/>
  <c r="O35" i="3"/>
  <c r="BX35" i="3" s="1"/>
  <c r="BH22" i="3"/>
  <c r="DQ22" i="3" s="1"/>
  <c r="AX22" i="3"/>
  <c r="DG22" i="3" s="1"/>
  <c r="AN22" i="3"/>
  <c r="CW22" i="3" s="1"/>
  <c r="AD22" i="3"/>
  <c r="CM22" i="3" s="1"/>
  <c r="T22" i="3"/>
  <c r="CC22" i="3" s="1"/>
  <c r="J22" i="3"/>
  <c r="BS22" i="3" s="1"/>
  <c r="BG22" i="3"/>
  <c r="DP22" i="3" s="1"/>
  <c r="AW22" i="3"/>
  <c r="DF22" i="3" s="1"/>
  <c r="AM22" i="3"/>
  <c r="CV22" i="3" s="1"/>
  <c r="AC22" i="3"/>
  <c r="CL22" i="3" s="1"/>
  <c r="S22" i="3"/>
  <c r="CB22" i="3" s="1"/>
  <c r="I22" i="3"/>
  <c r="BR22" i="3" s="1"/>
  <c r="BA22" i="3"/>
  <c r="DJ22" i="3" s="1"/>
  <c r="AO22" i="3"/>
  <c r="CX22" i="3" s="1"/>
  <c r="AA22" i="3"/>
  <c r="CJ22" i="3" s="1"/>
  <c r="O22" i="3"/>
  <c r="BX22" i="3" s="1"/>
  <c r="BI22" i="3"/>
  <c r="DR22" i="3" s="1"/>
  <c r="AT22" i="3"/>
  <c r="DC22" i="3" s="1"/>
  <c r="AG22" i="3"/>
  <c r="CP22" i="3" s="1"/>
  <c r="R22" i="3"/>
  <c r="CA22" i="3" s="1"/>
  <c r="E22" i="3"/>
  <c r="BN22" i="3" s="1"/>
  <c r="BF22" i="3"/>
  <c r="DO22" i="3" s="1"/>
  <c r="AS22" i="3"/>
  <c r="DB22" i="3" s="1"/>
  <c r="AF22" i="3"/>
  <c r="CO22" i="3" s="1"/>
  <c r="Q22" i="3"/>
  <c r="BZ22" i="3" s="1"/>
  <c r="BE22" i="3"/>
  <c r="DN22" i="3" s="1"/>
  <c r="AR22" i="3"/>
  <c r="DA22" i="3" s="1"/>
  <c r="AE22" i="3"/>
  <c r="CN22" i="3" s="1"/>
  <c r="P22" i="3"/>
  <c r="BY22" i="3" s="1"/>
  <c r="BD22" i="3"/>
  <c r="DM22" i="3" s="1"/>
  <c r="AQ22" i="3"/>
  <c r="CZ22" i="3" s="1"/>
  <c r="AB22" i="3"/>
  <c r="CK22" i="3" s="1"/>
  <c r="N22" i="3"/>
  <c r="BW22" i="3" s="1"/>
  <c r="BC22" i="3"/>
  <c r="DL22" i="3" s="1"/>
  <c r="AP22" i="3"/>
  <c r="CY22" i="3" s="1"/>
  <c r="Z22" i="3"/>
  <c r="CI22" i="3" s="1"/>
  <c r="M22" i="3"/>
  <c r="BV22" i="3" s="1"/>
  <c r="BB22" i="3"/>
  <c r="DK22" i="3" s="1"/>
  <c r="AL22" i="3"/>
  <c r="CU22" i="3" s="1"/>
  <c r="Y22" i="3"/>
  <c r="CH22" i="3" s="1"/>
  <c r="L22" i="3"/>
  <c r="BU22" i="3" s="1"/>
  <c r="AZ22" i="3"/>
  <c r="DI22" i="3" s="1"/>
  <c r="AK22" i="3"/>
  <c r="CT22" i="3" s="1"/>
  <c r="X22" i="3"/>
  <c r="CG22" i="3" s="1"/>
  <c r="K22" i="3"/>
  <c r="BT22" i="3" s="1"/>
  <c r="BJ22" i="3"/>
  <c r="DS22" i="3" s="1"/>
  <c r="AU22" i="3"/>
  <c r="DD22" i="3" s="1"/>
  <c r="AH22" i="3"/>
  <c r="CQ22" i="3" s="1"/>
  <c r="U22" i="3"/>
  <c r="CD22" i="3" s="1"/>
  <c r="F22" i="3"/>
  <c r="BO22" i="3" s="1"/>
  <c r="BK22" i="3"/>
  <c r="DT22" i="3" s="1"/>
  <c r="AY22" i="3"/>
  <c r="DH22" i="3" s="1"/>
  <c r="AV22" i="3"/>
  <c r="DE22" i="3" s="1"/>
  <c r="AJ22" i="3"/>
  <c r="CS22" i="3" s="1"/>
  <c r="AI22" i="3"/>
  <c r="CR22" i="3" s="1"/>
  <c r="W22" i="3"/>
  <c r="CF22" i="3" s="1"/>
  <c r="V22" i="3"/>
  <c r="CE22" i="3" s="1"/>
  <c r="H22" i="3"/>
  <c r="BQ22" i="3" s="1"/>
  <c r="G22" i="3"/>
  <c r="BP22" i="3" s="1"/>
  <c r="BL22" i="3"/>
  <c r="DU22" i="3" s="1"/>
  <c r="BL85" i="3"/>
  <c r="DU85" i="3" s="1"/>
  <c r="BB85" i="3"/>
  <c r="DK85" i="3" s="1"/>
  <c r="AR85" i="3"/>
  <c r="DA85" i="3" s="1"/>
  <c r="AH85" i="3"/>
  <c r="CQ85" i="3" s="1"/>
  <c r="X85" i="3"/>
  <c r="CG85" i="3" s="1"/>
  <c r="N85" i="3"/>
  <c r="BW85" i="3" s="1"/>
  <c r="BD85" i="3"/>
  <c r="DM85" i="3" s="1"/>
  <c r="AT85" i="3"/>
  <c r="DC85" i="3" s="1"/>
  <c r="AJ85" i="3"/>
  <c r="CS85" i="3" s="1"/>
  <c r="Z85" i="3"/>
  <c r="CI85" i="3" s="1"/>
  <c r="P85" i="3"/>
  <c r="BY85" i="3" s="1"/>
  <c r="F85" i="3"/>
  <c r="BO85" i="3" s="1"/>
  <c r="AZ85" i="3"/>
  <c r="DI85" i="3" s="1"/>
  <c r="AN85" i="3"/>
  <c r="CW85" i="3" s="1"/>
  <c r="AB85" i="3"/>
  <c r="CK85" i="3" s="1"/>
  <c r="O85" i="3"/>
  <c r="BX85" i="3" s="1"/>
  <c r="BK85" i="3"/>
  <c r="DT85" i="3" s="1"/>
  <c r="AY85" i="3"/>
  <c r="DH85" i="3" s="1"/>
  <c r="AM85" i="3"/>
  <c r="CV85" i="3" s="1"/>
  <c r="AA85" i="3"/>
  <c r="CJ85" i="3" s="1"/>
  <c r="M85" i="3"/>
  <c r="BV85" i="3" s="1"/>
  <c r="BA85" i="3"/>
  <c r="DJ85" i="3" s="1"/>
  <c r="AK85" i="3"/>
  <c r="CT85" i="3" s="1"/>
  <c r="U85" i="3"/>
  <c r="CD85" i="3" s="1"/>
  <c r="G85" i="3"/>
  <c r="BP85" i="3" s="1"/>
  <c r="AX85" i="3"/>
  <c r="DG85" i="3" s="1"/>
  <c r="AI85" i="3"/>
  <c r="CR85" i="3" s="1"/>
  <c r="T85" i="3"/>
  <c r="CC85" i="3" s="1"/>
  <c r="E85" i="3"/>
  <c r="BN85" i="3" s="1"/>
  <c r="AW85" i="3"/>
  <c r="DF85" i="3" s="1"/>
  <c r="AG85" i="3"/>
  <c r="CP85" i="3" s="1"/>
  <c r="S85" i="3"/>
  <c r="CB85" i="3" s="1"/>
  <c r="BJ85" i="3"/>
  <c r="DS85" i="3" s="1"/>
  <c r="AV85" i="3"/>
  <c r="DE85" i="3" s="1"/>
  <c r="AF85" i="3"/>
  <c r="CO85" i="3" s="1"/>
  <c r="R85" i="3"/>
  <c r="CA85" i="3" s="1"/>
  <c r="BI85" i="3"/>
  <c r="DR85" i="3" s="1"/>
  <c r="AU85" i="3"/>
  <c r="DD85" i="3" s="1"/>
  <c r="AE85" i="3"/>
  <c r="CN85" i="3" s="1"/>
  <c r="Q85" i="3"/>
  <c r="BZ85" i="3" s="1"/>
  <c r="BH85" i="3"/>
  <c r="DQ85" i="3" s="1"/>
  <c r="AS85" i="3"/>
  <c r="DB85" i="3" s="1"/>
  <c r="AD85" i="3"/>
  <c r="CM85" i="3" s="1"/>
  <c r="L85" i="3"/>
  <c r="BU85" i="3" s="1"/>
  <c r="BG85" i="3"/>
  <c r="DP85" i="3" s="1"/>
  <c r="AQ85" i="3"/>
  <c r="CZ85" i="3" s="1"/>
  <c r="AC85" i="3"/>
  <c r="CL85" i="3" s="1"/>
  <c r="K85" i="3"/>
  <c r="BT85" i="3" s="1"/>
  <c r="BE85" i="3"/>
  <c r="DN85" i="3" s="1"/>
  <c r="AO85" i="3"/>
  <c r="CX85" i="3" s="1"/>
  <c r="W85" i="3"/>
  <c r="CF85" i="3" s="1"/>
  <c r="I85" i="3"/>
  <c r="BR85" i="3" s="1"/>
  <c r="BC85" i="3"/>
  <c r="DL85" i="3" s="1"/>
  <c r="AP85" i="3"/>
  <c r="CY85" i="3" s="1"/>
  <c r="AL85" i="3"/>
  <c r="CU85" i="3" s="1"/>
  <c r="Y85" i="3"/>
  <c r="CH85" i="3" s="1"/>
  <c r="V85" i="3"/>
  <c r="CE85" i="3" s="1"/>
  <c r="J85" i="3"/>
  <c r="BS85" i="3" s="1"/>
  <c r="H85" i="3"/>
  <c r="BQ85" i="3" s="1"/>
  <c r="BF85" i="3"/>
  <c r="DO85" i="3" s="1"/>
  <c r="BL26" i="3"/>
  <c r="DU26" i="3" s="1"/>
  <c r="BB26" i="3"/>
  <c r="DK26" i="3" s="1"/>
  <c r="AR26" i="3"/>
  <c r="DA26" i="3" s="1"/>
  <c r="AH26" i="3"/>
  <c r="CQ26" i="3" s="1"/>
  <c r="X26" i="3"/>
  <c r="CG26" i="3" s="1"/>
  <c r="N26" i="3"/>
  <c r="BW26" i="3" s="1"/>
  <c r="BK26" i="3"/>
  <c r="DT26" i="3" s="1"/>
  <c r="BA26" i="3"/>
  <c r="DJ26" i="3" s="1"/>
  <c r="AQ26" i="3"/>
  <c r="CZ26" i="3" s="1"/>
  <c r="AG26" i="3"/>
  <c r="CP26" i="3" s="1"/>
  <c r="W26" i="3"/>
  <c r="CF26" i="3" s="1"/>
  <c r="M26" i="3"/>
  <c r="BV26" i="3" s="1"/>
  <c r="BD26" i="3"/>
  <c r="DM26" i="3" s="1"/>
  <c r="AT26" i="3"/>
  <c r="DC26" i="3" s="1"/>
  <c r="AJ26" i="3"/>
  <c r="CS26" i="3" s="1"/>
  <c r="Z26" i="3"/>
  <c r="CI26" i="3" s="1"/>
  <c r="P26" i="3"/>
  <c r="BY26" i="3" s="1"/>
  <c r="F26" i="3"/>
  <c r="BO26" i="3" s="1"/>
  <c r="AX26" i="3"/>
  <c r="DG26" i="3" s="1"/>
  <c r="AK26" i="3"/>
  <c r="CT26" i="3" s="1"/>
  <c r="U26" i="3"/>
  <c r="CD26" i="3" s="1"/>
  <c r="H26" i="3"/>
  <c r="BQ26" i="3" s="1"/>
  <c r="AY26" i="3"/>
  <c r="DH26" i="3" s="1"/>
  <c r="AI26" i="3"/>
  <c r="CR26" i="3" s="1"/>
  <c r="S26" i="3"/>
  <c r="CB26" i="3" s="1"/>
  <c r="AW26" i="3"/>
  <c r="DF26" i="3" s="1"/>
  <c r="AF26" i="3"/>
  <c r="CO26" i="3" s="1"/>
  <c r="R26" i="3"/>
  <c r="CA26" i="3" s="1"/>
  <c r="BJ26" i="3"/>
  <c r="DS26" i="3" s="1"/>
  <c r="AV26" i="3"/>
  <c r="DE26" i="3" s="1"/>
  <c r="AE26" i="3"/>
  <c r="CN26" i="3" s="1"/>
  <c r="Q26" i="3"/>
  <c r="BZ26" i="3" s="1"/>
  <c r="BI26" i="3"/>
  <c r="DR26" i="3" s="1"/>
  <c r="AU26" i="3"/>
  <c r="DD26" i="3" s="1"/>
  <c r="AD26" i="3"/>
  <c r="CM26" i="3" s="1"/>
  <c r="O26" i="3"/>
  <c r="BX26" i="3" s="1"/>
  <c r="BH26" i="3"/>
  <c r="DQ26" i="3" s="1"/>
  <c r="AS26" i="3"/>
  <c r="DB26" i="3" s="1"/>
  <c r="AC26" i="3"/>
  <c r="CL26" i="3" s="1"/>
  <c r="L26" i="3"/>
  <c r="BU26" i="3" s="1"/>
  <c r="BG26" i="3"/>
  <c r="DP26" i="3" s="1"/>
  <c r="AP26" i="3"/>
  <c r="CY26" i="3" s="1"/>
  <c r="AB26" i="3"/>
  <c r="CK26" i="3" s="1"/>
  <c r="K26" i="3"/>
  <c r="BT26" i="3" s="1"/>
  <c r="BF26" i="3"/>
  <c r="DO26" i="3" s="1"/>
  <c r="AO26" i="3"/>
  <c r="CX26" i="3" s="1"/>
  <c r="AA26" i="3"/>
  <c r="CJ26" i="3" s="1"/>
  <c r="J26" i="3"/>
  <c r="BS26" i="3" s="1"/>
  <c r="AZ26" i="3"/>
  <c r="DI26" i="3" s="1"/>
  <c r="AL26" i="3"/>
  <c r="CU26" i="3" s="1"/>
  <c r="T26" i="3"/>
  <c r="CC26" i="3" s="1"/>
  <c r="E26" i="3"/>
  <c r="BN26" i="3" s="1"/>
  <c r="AM26" i="3"/>
  <c r="CV26" i="3" s="1"/>
  <c r="Y26" i="3"/>
  <c r="CH26" i="3" s="1"/>
  <c r="V26" i="3"/>
  <c r="CE26" i="3" s="1"/>
  <c r="I26" i="3"/>
  <c r="BR26" i="3" s="1"/>
  <c r="G26" i="3"/>
  <c r="BP26" i="3" s="1"/>
  <c r="BE26" i="3"/>
  <c r="DN26" i="3" s="1"/>
  <c r="BC26" i="3"/>
  <c r="DL26" i="3" s="1"/>
  <c r="AN26" i="3"/>
  <c r="CW26" i="3" s="1"/>
  <c r="O13" i="2"/>
  <c r="N13" i="2"/>
  <c r="BH42" i="3"/>
  <c r="DQ42" i="3" s="1"/>
  <c r="AX42" i="3"/>
  <c r="DG42" i="3" s="1"/>
  <c r="AN42" i="3"/>
  <c r="CW42" i="3" s="1"/>
  <c r="AD42" i="3"/>
  <c r="CM42" i="3" s="1"/>
  <c r="T42" i="3"/>
  <c r="CC42" i="3" s="1"/>
  <c r="J42" i="3"/>
  <c r="BS42" i="3" s="1"/>
  <c r="BG42" i="3"/>
  <c r="DP42" i="3" s="1"/>
  <c r="AW42" i="3"/>
  <c r="DF42" i="3" s="1"/>
  <c r="AM42" i="3"/>
  <c r="CV42" i="3" s="1"/>
  <c r="AC42" i="3"/>
  <c r="CL42" i="3" s="1"/>
  <c r="S42" i="3"/>
  <c r="CB42" i="3" s="1"/>
  <c r="I42" i="3"/>
  <c r="BR42" i="3" s="1"/>
  <c r="BJ42" i="3"/>
  <c r="DS42" i="3" s="1"/>
  <c r="AZ42" i="3"/>
  <c r="DI42" i="3" s="1"/>
  <c r="AP42" i="3"/>
  <c r="CY42" i="3" s="1"/>
  <c r="AF42" i="3"/>
  <c r="CO42" i="3" s="1"/>
  <c r="V42" i="3"/>
  <c r="CE42" i="3" s="1"/>
  <c r="L42" i="3"/>
  <c r="BU42" i="3" s="1"/>
  <c r="BB42" i="3"/>
  <c r="DK42" i="3" s="1"/>
  <c r="AL42" i="3"/>
  <c r="CU42" i="3" s="1"/>
  <c r="Y42" i="3"/>
  <c r="CH42" i="3" s="1"/>
  <c r="K42" i="3"/>
  <c r="BT42" i="3" s="1"/>
  <c r="BA42" i="3"/>
  <c r="DJ42" i="3" s="1"/>
  <c r="AK42" i="3"/>
  <c r="CT42" i="3" s="1"/>
  <c r="X42" i="3"/>
  <c r="CG42" i="3" s="1"/>
  <c r="H42" i="3"/>
  <c r="BQ42" i="3" s="1"/>
  <c r="AY42" i="3"/>
  <c r="DH42" i="3" s="1"/>
  <c r="AJ42" i="3"/>
  <c r="CS42" i="3" s="1"/>
  <c r="W42" i="3"/>
  <c r="CF42" i="3" s="1"/>
  <c r="G42" i="3"/>
  <c r="BP42" i="3" s="1"/>
  <c r="BC42" i="3"/>
  <c r="DL42" i="3" s="1"/>
  <c r="AO42" i="3"/>
  <c r="CX42" i="3" s="1"/>
  <c r="Z42" i="3"/>
  <c r="CI42" i="3" s="1"/>
  <c r="M42" i="3"/>
  <c r="BV42" i="3" s="1"/>
  <c r="BL42" i="3"/>
  <c r="DU42" i="3" s="1"/>
  <c r="AR42" i="3"/>
  <c r="DA42" i="3" s="1"/>
  <c r="Q42" i="3"/>
  <c r="BZ42" i="3" s="1"/>
  <c r="BK42" i="3"/>
  <c r="DT42" i="3" s="1"/>
  <c r="AQ42" i="3"/>
  <c r="CZ42" i="3" s="1"/>
  <c r="P42" i="3"/>
  <c r="BY42" i="3" s="1"/>
  <c r="BI42" i="3"/>
  <c r="DR42" i="3" s="1"/>
  <c r="AI42" i="3"/>
  <c r="CR42" i="3" s="1"/>
  <c r="O42" i="3"/>
  <c r="BX42" i="3" s="1"/>
  <c r="BF42" i="3"/>
  <c r="DO42" i="3" s="1"/>
  <c r="AH42" i="3"/>
  <c r="CQ42" i="3" s="1"/>
  <c r="N42" i="3"/>
  <c r="BW42" i="3" s="1"/>
  <c r="BE42" i="3"/>
  <c r="DN42" i="3" s="1"/>
  <c r="AG42" i="3"/>
  <c r="CP42" i="3" s="1"/>
  <c r="F42" i="3"/>
  <c r="BO42" i="3" s="1"/>
  <c r="BD42" i="3"/>
  <c r="DM42" i="3" s="1"/>
  <c r="AE42" i="3"/>
  <c r="CN42" i="3" s="1"/>
  <c r="E42" i="3"/>
  <c r="BN42" i="3" s="1"/>
  <c r="AV42" i="3"/>
  <c r="DE42" i="3" s="1"/>
  <c r="AB42" i="3"/>
  <c r="CK42" i="3" s="1"/>
  <c r="AU42" i="3"/>
  <c r="DD42" i="3" s="1"/>
  <c r="AA42" i="3"/>
  <c r="CJ42" i="3" s="1"/>
  <c r="AT42" i="3"/>
  <c r="DC42" i="3" s="1"/>
  <c r="U42" i="3"/>
  <c r="CD42" i="3" s="1"/>
  <c r="AS42" i="3"/>
  <c r="DB42" i="3" s="1"/>
  <c r="R42" i="3"/>
  <c r="CA42" i="3" s="1"/>
  <c r="J16" i="2"/>
  <c r="K16" i="2" s="1"/>
  <c r="L16" i="2" s="1"/>
  <c r="J19" i="2"/>
  <c r="K19" i="2" s="1"/>
  <c r="L19" i="2" s="1"/>
  <c r="J39" i="2"/>
  <c r="K39" i="2" s="1"/>
  <c r="L39" i="2" s="1"/>
  <c r="BF170" i="3"/>
  <c r="DO170" i="3" s="1"/>
  <c r="AV170" i="3"/>
  <c r="DE170" i="3" s="1"/>
  <c r="AL170" i="3"/>
  <c r="CU170" i="3" s="1"/>
  <c r="AB170" i="3"/>
  <c r="CK170" i="3" s="1"/>
  <c r="R170" i="3"/>
  <c r="CA170" i="3" s="1"/>
  <c r="H170" i="3"/>
  <c r="BQ170" i="3" s="1"/>
  <c r="BE170" i="3"/>
  <c r="DN170" i="3" s="1"/>
  <c r="AU170" i="3"/>
  <c r="DD170" i="3" s="1"/>
  <c r="AK170" i="3"/>
  <c r="CT170" i="3" s="1"/>
  <c r="AA170" i="3"/>
  <c r="CJ170" i="3" s="1"/>
  <c r="Q170" i="3"/>
  <c r="BZ170" i="3" s="1"/>
  <c r="G170" i="3"/>
  <c r="BP170" i="3" s="1"/>
  <c r="BB170" i="3"/>
  <c r="DK170" i="3" s="1"/>
  <c r="AP170" i="3"/>
  <c r="CY170" i="3" s="1"/>
  <c r="AD170" i="3"/>
  <c r="CM170" i="3" s="1"/>
  <c r="P170" i="3"/>
  <c r="BY170" i="3" s="1"/>
  <c r="BC170" i="3"/>
  <c r="DL170" i="3" s="1"/>
  <c r="AO170" i="3"/>
  <c r="CX170" i="3" s="1"/>
  <c r="Z170" i="3"/>
  <c r="CI170" i="3" s="1"/>
  <c r="M170" i="3"/>
  <c r="BV170" i="3" s="1"/>
  <c r="BA170" i="3"/>
  <c r="DJ170" i="3" s="1"/>
  <c r="AN170" i="3"/>
  <c r="CW170" i="3" s="1"/>
  <c r="Y170" i="3"/>
  <c r="CH170" i="3" s="1"/>
  <c r="L170" i="3"/>
  <c r="BU170" i="3" s="1"/>
  <c r="AZ170" i="3"/>
  <c r="DI170" i="3" s="1"/>
  <c r="AM170" i="3"/>
  <c r="CV170" i="3" s="1"/>
  <c r="X170" i="3"/>
  <c r="CG170" i="3" s="1"/>
  <c r="K170" i="3"/>
  <c r="BT170" i="3" s="1"/>
  <c r="BL170" i="3"/>
  <c r="DU170" i="3" s="1"/>
  <c r="AY170" i="3"/>
  <c r="DH170" i="3" s="1"/>
  <c r="AJ170" i="3"/>
  <c r="CS170" i="3" s="1"/>
  <c r="W170" i="3"/>
  <c r="CF170" i="3" s="1"/>
  <c r="J170" i="3"/>
  <c r="BS170" i="3" s="1"/>
  <c r="BG170" i="3"/>
  <c r="DP170" i="3" s="1"/>
  <c r="AR170" i="3"/>
  <c r="DA170" i="3" s="1"/>
  <c r="AE170" i="3"/>
  <c r="CN170" i="3" s="1"/>
  <c r="O170" i="3"/>
  <c r="BX170" i="3" s="1"/>
  <c r="BH170" i="3"/>
  <c r="DQ170" i="3" s="1"/>
  <c r="AF170" i="3"/>
  <c r="CO170" i="3" s="1"/>
  <c r="BD170" i="3"/>
  <c r="DM170" i="3" s="1"/>
  <c r="AC170" i="3"/>
  <c r="CL170" i="3" s="1"/>
  <c r="AX170" i="3"/>
  <c r="DG170" i="3" s="1"/>
  <c r="V170" i="3"/>
  <c r="CE170" i="3" s="1"/>
  <c r="AW170" i="3"/>
  <c r="DF170" i="3" s="1"/>
  <c r="U170" i="3"/>
  <c r="CD170" i="3" s="1"/>
  <c r="BJ170" i="3"/>
  <c r="DS170" i="3" s="1"/>
  <c r="AH170" i="3"/>
  <c r="CQ170" i="3" s="1"/>
  <c r="F170" i="3"/>
  <c r="BO170" i="3" s="1"/>
  <c r="BI170" i="3"/>
  <c r="DR170" i="3" s="1"/>
  <c r="AG170" i="3"/>
  <c r="CP170" i="3" s="1"/>
  <c r="E170" i="3"/>
  <c r="BN170" i="3" s="1"/>
  <c r="N170" i="3"/>
  <c r="BW170" i="3" s="1"/>
  <c r="I170" i="3"/>
  <c r="BR170" i="3" s="1"/>
  <c r="BK170" i="3"/>
  <c r="DT170" i="3" s="1"/>
  <c r="AT170" i="3"/>
  <c r="DC170" i="3" s="1"/>
  <c r="AS170" i="3"/>
  <c r="DB170" i="3" s="1"/>
  <c r="AQ170" i="3"/>
  <c r="CZ170" i="3" s="1"/>
  <c r="T170" i="3"/>
  <c r="CC170" i="3" s="1"/>
  <c r="S170" i="3"/>
  <c r="CB170" i="3" s="1"/>
  <c r="AI170" i="3"/>
  <c r="CR170" i="3" s="1"/>
  <c r="N278" i="2"/>
  <c r="O278" i="2"/>
  <c r="K149" i="2"/>
  <c r="L149" i="2" s="1"/>
  <c r="K225" i="2"/>
  <c r="L225" i="2" s="1"/>
  <c r="BD67" i="3"/>
  <c r="DM67" i="3" s="1"/>
  <c r="AT67" i="3"/>
  <c r="DC67" i="3" s="1"/>
  <c r="AJ67" i="3"/>
  <c r="CS67" i="3" s="1"/>
  <c r="Z67" i="3"/>
  <c r="CI67" i="3" s="1"/>
  <c r="P67" i="3"/>
  <c r="BY67" i="3" s="1"/>
  <c r="F67" i="3"/>
  <c r="BO67" i="3" s="1"/>
  <c r="BE67" i="3"/>
  <c r="DN67" i="3" s="1"/>
  <c r="AS67" i="3"/>
  <c r="DB67" i="3" s="1"/>
  <c r="AH67" i="3"/>
  <c r="CQ67" i="3" s="1"/>
  <c r="W67" i="3"/>
  <c r="CF67" i="3" s="1"/>
  <c r="L67" i="3"/>
  <c r="BU67" i="3" s="1"/>
  <c r="BC67" i="3"/>
  <c r="DL67" i="3" s="1"/>
  <c r="AR67" i="3"/>
  <c r="DA67" i="3" s="1"/>
  <c r="AG67" i="3"/>
  <c r="CP67" i="3" s="1"/>
  <c r="V67" i="3"/>
  <c r="CE67" i="3" s="1"/>
  <c r="K67" i="3"/>
  <c r="BT67" i="3" s="1"/>
  <c r="BG67" i="3"/>
  <c r="DP67" i="3" s="1"/>
  <c r="AV67" i="3"/>
  <c r="DE67" i="3" s="1"/>
  <c r="AK67" i="3"/>
  <c r="CT67" i="3" s="1"/>
  <c r="Y67" i="3"/>
  <c r="CH67" i="3" s="1"/>
  <c r="N67" i="3"/>
  <c r="BW67" i="3" s="1"/>
  <c r="BJ67" i="3"/>
  <c r="DS67" i="3" s="1"/>
  <c r="AU67" i="3"/>
  <c r="DD67" i="3" s="1"/>
  <c r="AD67" i="3"/>
  <c r="CM67" i="3" s="1"/>
  <c r="O67" i="3"/>
  <c r="BX67" i="3" s="1"/>
  <c r="BI67" i="3"/>
  <c r="DR67" i="3" s="1"/>
  <c r="AQ67" i="3"/>
  <c r="CZ67" i="3" s="1"/>
  <c r="AC67" i="3"/>
  <c r="CL67" i="3" s="1"/>
  <c r="M67" i="3"/>
  <c r="BV67" i="3" s="1"/>
  <c r="BH67" i="3"/>
  <c r="DQ67" i="3" s="1"/>
  <c r="AP67" i="3"/>
  <c r="CY67" i="3" s="1"/>
  <c r="AB67" i="3"/>
  <c r="CK67" i="3" s="1"/>
  <c r="J67" i="3"/>
  <c r="BS67" i="3" s="1"/>
  <c r="BF67" i="3"/>
  <c r="DO67" i="3" s="1"/>
  <c r="AO67" i="3"/>
  <c r="CX67" i="3" s="1"/>
  <c r="AA67" i="3"/>
  <c r="CJ67" i="3" s="1"/>
  <c r="I67" i="3"/>
  <c r="BR67" i="3" s="1"/>
  <c r="BB67" i="3"/>
  <c r="DK67" i="3" s="1"/>
  <c r="AN67" i="3"/>
  <c r="CW67" i="3" s="1"/>
  <c r="X67" i="3"/>
  <c r="CG67" i="3" s="1"/>
  <c r="H67" i="3"/>
  <c r="BQ67" i="3" s="1"/>
  <c r="BA67" i="3"/>
  <c r="DJ67" i="3" s="1"/>
  <c r="AM67" i="3"/>
  <c r="CV67" i="3" s="1"/>
  <c r="U67" i="3"/>
  <c r="CD67" i="3" s="1"/>
  <c r="G67" i="3"/>
  <c r="BP67" i="3" s="1"/>
  <c r="AZ67" i="3"/>
  <c r="DI67" i="3" s="1"/>
  <c r="AL67" i="3"/>
  <c r="CU67" i="3" s="1"/>
  <c r="T67" i="3"/>
  <c r="CC67" i="3" s="1"/>
  <c r="E67" i="3"/>
  <c r="BN67" i="3" s="1"/>
  <c r="AY67" i="3"/>
  <c r="DH67" i="3" s="1"/>
  <c r="AI67" i="3"/>
  <c r="CR67" i="3" s="1"/>
  <c r="S67" i="3"/>
  <c r="CB67" i="3" s="1"/>
  <c r="BK67" i="3"/>
  <c r="DT67" i="3" s="1"/>
  <c r="AW67" i="3"/>
  <c r="DF67" i="3" s="1"/>
  <c r="AE67" i="3"/>
  <c r="CN67" i="3" s="1"/>
  <c r="Q67" i="3"/>
  <c r="BZ67" i="3" s="1"/>
  <c r="BL67" i="3"/>
  <c r="DU67" i="3" s="1"/>
  <c r="AX67" i="3"/>
  <c r="DG67" i="3" s="1"/>
  <c r="AF67" i="3"/>
  <c r="CO67" i="3" s="1"/>
  <c r="R67" i="3"/>
  <c r="CA67" i="3" s="1"/>
  <c r="BJ54" i="3"/>
  <c r="DS54" i="3" s="1"/>
  <c r="AZ54" i="3"/>
  <c r="DI54" i="3" s="1"/>
  <c r="AP54" i="3"/>
  <c r="CY54" i="3" s="1"/>
  <c r="AF54" i="3"/>
  <c r="CO54" i="3" s="1"/>
  <c r="V54" i="3"/>
  <c r="CE54" i="3" s="1"/>
  <c r="L54" i="3"/>
  <c r="BU54" i="3" s="1"/>
  <c r="BI54" i="3"/>
  <c r="DR54" i="3" s="1"/>
  <c r="AY54" i="3"/>
  <c r="DH54" i="3" s="1"/>
  <c r="AO54" i="3"/>
  <c r="CX54" i="3" s="1"/>
  <c r="AE54" i="3"/>
  <c r="CN54" i="3" s="1"/>
  <c r="U54" i="3"/>
  <c r="CD54" i="3" s="1"/>
  <c r="K54" i="3"/>
  <c r="BT54" i="3" s="1"/>
  <c r="BL54" i="3"/>
  <c r="DU54" i="3" s="1"/>
  <c r="BB54" i="3"/>
  <c r="DK54" i="3" s="1"/>
  <c r="AR54" i="3"/>
  <c r="DA54" i="3" s="1"/>
  <c r="AH54" i="3"/>
  <c r="CQ54" i="3" s="1"/>
  <c r="X54" i="3"/>
  <c r="CG54" i="3" s="1"/>
  <c r="N54" i="3"/>
  <c r="BW54" i="3" s="1"/>
  <c r="AX54" i="3"/>
  <c r="DG54" i="3" s="1"/>
  <c r="AK54" i="3"/>
  <c r="CT54" i="3" s="1"/>
  <c r="W54" i="3"/>
  <c r="CF54" i="3" s="1"/>
  <c r="H54" i="3"/>
  <c r="BQ54" i="3" s="1"/>
  <c r="AW54" i="3"/>
  <c r="DF54" i="3" s="1"/>
  <c r="AJ54" i="3"/>
  <c r="CS54" i="3" s="1"/>
  <c r="T54" i="3"/>
  <c r="CC54" i="3" s="1"/>
  <c r="G54" i="3"/>
  <c r="BP54" i="3" s="1"/>
  <c r="BK54" i="3"/>
  <c r="DT54" i="3" s="1"/>
  <c r="AV54" i="3"/>
  <c r="DE54" i="3" s="1"/>
  <c r="AI54" i="3"/>
  <c r="CR54" i="3" s="1"/>
  <c r="S54" i="3"/>
  <c r="CB54" i="3" s="1"/>
  <c r="F54" i="3"/>
  <c r="BO54" i="3" s="1"/>
  <c r="BA54" i="3"/>
  <c r="DJ54" i="3" s="1"/>
  <c r="AL54" i="3"/>
  <c r="CU54" i="3" s="1"/>
  <c r="Y54" i="3"/>
  <c r="CH54" i="3" s="1"/>
  <c r="I54" i="3"/>
  <c r="BR54" i="3" s="1"/>
  <c r="BD54" i="3"/>
  <c r="DM54" i="3" s="1"/>
  <c r="AC54" i="3"/>
  <c r="CL54" i="3" s="1"/>
  <c r="E54" i="3"/>
  <c r="BN54" i="3" s="1"/>
  <c r="BC54" i="3"/>
  <c r="DL54" i="3" s="1"/>
  <c r="AB54" i="3"/>
  <c r="CK54" i="3" s="1"/>
  <c r="AU54" i="3"/>
  <c r="DD54" i="3" s="1"/>
  <c r="AA54" i="3"/>
  <c r="CJ54" i="3" s="1"/>
  <c r="AT54" i="3"/>
  <c r="DC54" i="3" s="1"/>
  <c r="Z54" i="3"/>
  <c r="CI54" i="3" s="1"/>
  <c r="AS54" i="3"/>
  <c r="DB54" i="3" s="1"/>
  <c r="R54" i="3"/>
  <c r="CA54" i="3" s="1"/>
  <c r="AQ54" i="3"/>
  <c r="CZ54" i="3" s="1"/>
  <c r="Q54" i="3"/>
  <c r="BZ54" i="3" s="1"/>
  <c r="BH54" i="3"/>
  <c r="DQ54" i="3" s="1"/>
  <c r="AN54" i="3"/>
  <c r="CW54" i="3" s="1"/>
  <c r="P54" i="3"/>
  <c r="BY54" i="3" s="1"/>
  <c r="BG54" i="3"/>
  <c r="DP54" i="3" s="1"/>
  <c r="AM54" i="3"/>
  <c r="CV54" i="3" s="1"/>
  <c r="O54" i="3"/>
  <c r="BX54" i="3" s="1"/>
  <c r="BF54" i="3"/>
  <c r="DO54" i="3" s="1"/>
  <c r="AG54" i="3"/>
  <c r="CP54" i="3" s="1"/>
  <c r="M54" i="3"/>
  <c r="BV54" i="3" s="1"/>
  <c r="BE54" i="3"/>
  <c r="DN54" i="3" s="1"/>
  <c r="AD54" i="3"/>
  <c r="CM54" i="3" s="1"/>
  <c r="J54" i="3"/>
  <c r="BS54" i="3" s="1"/>
  <c r="BI154" i="3"/>
  <c r="DR154" i="3" s="1"/>
  <c r="AY154" i="3"/>
  <c r="DH154" i="3" s="1"/>
  <c r="AO154" i="3"/>
  <c r="CX154" i="3" s="1"/>
  <c r="AE154" i="3"/>
  <c r="CN154" i="3" s="1"/>
  <c r="U154" i="3"/>
  <c r="CD154" i="3" s="1"/>
  <c r="K154" i="3"/>
  <c r="BT154" i="3" s="1"/>
  <c r="BH154" i="3"/>
  <c r="DQ154" i="3" s="1"/>
  <c r="AX154" i="3"/>
  <c r="DG154" i="3" s="1"/>
  <c r="AN154" i="3"/>
  <c r="CW154" i="3" s="1"/>
  <c r="AD154" i="3"/>
  <c r="CM154" i="3" s="1"/>
  <c r="T154" i="3"/>
  <c r="CC154" i="3" s="1"/>
  <c r="J154" i="3"/>
  <c r="BS154" i="3" s="1"/>
  <c r="BK154" i="3"/>
  <c r="DT154" i="3" s="1"/>
  <c r="BA154" i="3"/>
  <c r="DJ154" i="3" s="1"/>
  <c r="AQ154" i="3"/>
  <c r="CZ154" i="3" s="1"/>
  <c r="AG154" i="3"/>
  <c r="CP154" i="3" s="1"/>
  <c r="W154" i="3"/>
  <c r="CF154" i="3" s="1"/>
  <c r="M154" i="3"/>
  <c r="BV154" i="3" s="1"/>
  <c r="BG154" i="3"/>
  <c r="DP154" i="3" s="1"/>
  <c r="AT154" i="3"/>
  <c r="DC154" i="3" s="1"/>
  <c r="AF154" i="3"/>
  <c r="CO154" i="3" s="1"/>
  <c r="Q154" i="3"/>
  <c r="BZ154" i="3" s="1"/>
  <c r="BF154" i="3"/>
  <c r="DO154" i="3" s="1"/>
  <c r="AS154" i="3"/>
  <c r="DB154" i="3" s="1"/>
  <c r="AC154" i="3"/>
  <c r="CL154" i="3" s="1"/>
  <c r="P154" i="3"/>
  <c r="BY154" i="3" s="1"/>
  <c r="BE154" i="3"/>
  <c r="DN154" i="3" s="1"/>
  <c r="AR154" i="3"/>
  <c r="DA154" i="3" s="1"/>
  <c r="AB154" i="3"/>
  <c r="CK154" i="3" s="1"/>
  <c r="O154" i="3"/>
  <c r="BX154" i="3" s="1"/>
  <c r="BL154" i="3"/>
  <c r="DU154" i="3" s="1"/>
  <c r="AV154" i="3"/>
  <c r="DE154" i="3" s="1"/>
  <c r="AI154" i="3"/>
  <c r="CR154" i="3" s="1"/>
  <c r="S154" i="3"/>
  <c r="CB154" i="3" s="1"/>
  <c r="F154" i="3"/>
  <c r="BO154" i="3" s="1"/>
  <c r="BJ154" i="3"/>
  <c r="DS154" i="3" s="1"/>
  <c r="AU154" i="3"/>
  <c r="DD154" i="3" s="1"/>
  <c r="AH154" i="3"/>
  <c r="CQ154" i="3" s="1"/>
  <c r="R154" i="3"/>
  <c r="CA154" i="3" s="1"/>
  <c r="E154" i="3"/>
  <c r="BN154" i="3" s="1"/>
  <c r="AP154" i="3"/>
  <c r="CY154" i="3" s="1"/>
  <c r="N154" i="3"/>
  <c r="BW154" i="3" s="1"/>
  <c r="AM154" i="3"/>
  <c r="CV154" i="3" s="1"/>
  <c r="L154" i="3"/>
  <c r="BU154" i="3" s="1"/>
  <c r="AL154" i="3"/>
  <c r="CU154" i="3" s="1"/>
  <c r="I154" i="3"/>
  <c r="BR154" i="3" s="1"/>
  <c r="AJ154" i="3"/>
  <c r="CS154" i="3" s="1"/>
  <c r="G154" i="3"/>
  <c r="BP154" i="3" s="1"/>
  <c r="AZ154" i="3"/>
  <c r="DI154" i="3" s="1"/>
  <c r="X154" i="3"/>
  <c r="CG154" i="3" s="1"/>
  <c r="AW154" i="3"/>
  <c r="DF154" i="3" s="1"/>
  <c r="V154" i="3"/>
  <c r="CE154" i="3" s="1"/>
  <c r="Y154" i="3"/>
  <c r="CH154" i="3" s="1"/>
  <c r="BB154" i="3"/>
  <c r="DK154" i="3" s="1"/>
  <c r="AK154" i="3"/>
  <c r="CT154" i="3" s="1"/>
  <c r="AA154" i="3"/>
  <c r="CJ154" i="3" s="1"/>
  <c r="Z154" i="3"/>
  <c r="CI154" i="3" s="1"/>
  <c r="H154" i="3"/>
  <c r="BQ154" i="3" s="1"/>
  <c r="BD154" i="3"/>
  <c r="DM154" i="3" s="1"/>
  <c r="BC154" i="3"/>
  <c r="DL154" i="3" s="1"/>
  <c r="N277" i="2"/>
  <c r="O277" i="2"/>
  <c r="N135" i="2"/>
  <c r="O135" i="2"/>
  <c r="BK161" i="3"/>
  <c r="DT161" i="3" s="1"/>
  <c r="BA161" i="3"/>
  <c r="DJ161" i="3" s="1"/>
  <c r="AQ161" i="3"/>
  <c r="CZ161" i="3" s="1"/>
  <c r="AG161" i="3"/>
  <c r="CP161" i="3" s="1"/>
  <c r="W161" i="3"/>
  <c r="CF161" i="3" s="1"/>
  <c r="M161" i="3"/>
  <c r="BV161" i="3" s="1"/>
  <c r="BJ161" i="3"/>
  <c r="DS161" i="3" s="1"/>
  <c r="AZ161" i="3"/>
  <c r="DI161" i="3" s="1"/>
  <c r="AP161" i="3"/>
  <c r="CY161" i="3" s="1"/>
  <c r="AF161" i="3"/>
  <c r="CO161" i="3" s="1"/>
  <c r="V161" i="3"/>
  <c r="CE161" i="3" s="1"/>
  <c r="L161" i="3"/>
  <c r="BU161" i="3" s="1"/>
  <c r="BC161" i="3"/>
  <c r="DL161" i="3" s="1"/>
  <c r="AS161" i="3"/>
  <c r="DB161" i="3" s="1"/>
  <c r="AI161" i="3"/>
  <c r="CR161" i="3" s="1"/>
  <c r="Y161" i="3"/>
  <c r="CH161" i="3" s="1"/>
  <c r="O161" i="3"/>
  <c r="BX161" i="3" s="1"/>
  <c r="E161" i="3"/>
  <c r="BN161" i="3" s="1"/>
  <c r="BL161" i="3"/>
  <c r="DU161" i="3" s="1"/>
  <c r="AW161" i="3"/>
  <c r="DF161" i="3" s="1"/>
  <c r="AJ161" i="3"/>
  <c r="CS161" i="3" s="1"/>
  <c r="T161" i="3"/>
  <c r="CC161" i="3" s="1"/>
  <c r="G161" i="3"/>
  <c r="BP161" i="3" s="1"/>
  <c r="BI161" i="3"/>
  <c r="DR161" i="3" s="1"/>
  <c r="AV161" i="3"/>
  <c r="DE161" i="3" s="1"/>
  <c r="AH161" i="3"/>
  <c r="CQ161" i="3" s="1"/>
  <c r="S161" i="3"/>
  <c r="CB161" i="3" s="1"/>
  <c r="F161" i="3"/>
  <c r="BO161" i="3" s="1"/>
  <c r="BH161" i="3"/>
  <c r="DQ161" i="3" s="1"/>
  <c r="AU161" i="3"/>
  <c r="DD161" i="3" s="1"/>
  <c r="AE161" i="3"/>
  <c r="CN161" i="3" s="1"/>
  <c r="R161" i="3"/>
  <c r="CA161" i="3" s="1"/>
  <c r="AY161" i="3"/>
  <c r="DH161" i="3" s="1"/>
  <c r="AL161" i="3"/>
  <c r="CU161" i="3" s="1"/>
  <c r="X161" i="3"/>
  <c r="CG161" i="3" s="1"/>
  <c r="I161" i="3"/>
  <c r="BR161" i="3" s="1"/>
  <c r="AX161" i="3"/>
  <c r="DG161" i="3" s="1"/>
  <c r="AK161" i="3"/>
  <c r="CT161" i="3" s="1"/>
  <c r="U161" i="3"/>
  <c r="CD161" i="3" s="1"/>
  <c r="H161" i="3"/>
  <c r="BQ161" i="3" s="1"/>
  <c r="BG161" i="3"/>
  <c r="DP161" i="3" s="1"/>
  <c r="AD161" i="3"/>
  <c r="CM161" i="3" s="1"/>
  <c r="BF161" i="3"/>
  <c r="DO161" i="3" s="1"/>
  <c r="AC161" i="3"/>
  <c r="CL161" i="3" s="1"/>
  <c r="BE161" i="3"/>
  <c r="DN161" i="3" s="1"/>
  <c r="AB161" i="3"/>
  <c r="CK161" i="3" s="1"/>
  <c r="BD161" i="3"/>
  <c r="DM161" i="3" s="1"/>
  <c r="AA161" i="3"/>
  <c r="CJ161" i="3" s="1"/>
  <c r="BB161" i="3"/>
  <c r="DK161" i="3" s="1"/>
  <c r="Z161" i="3"/>
  <c r="CI161" i="3" s="1"/>
  <c r="AT161" i="3"/>
  <c r="DC161" i="3" s="1"/>
  <c r="Q161" i="3"/>
  <c r="BZ161" i="3" s="1"/>
  <c r="AR161" i="3"/>
  <c r="DA161" i="3" s="1"/>
  <c r="P161" i="3"/>
  <c r="BY161" i="3" s="1"/>
  <c r="AN161" i="3"/>
  <c r="CW161" i="3" s="1"/>
  <c r="K161" i="3"/>
  <c r="BT161" i="3" s="1"/>
  <c r="AM161" i="3"/>
  <c r="CV161" i="3" s="1"/>
  <c r="J161" i="3"/>
  <c r="BS161" i="3" s="1"/>
  <c r="AO161" i="3"/>
  <c r="CX161" i="3" s="1"/>
  <c r="N161" i="3"/>
  <c r="BW161" i="3" s="1"/>
  <c r="N175" i="2"/>
  <c r="O175" i="2"/>
  <c r="BL201" i="3"/>
  <c r="DU201" i="3" s="1"/>
  <c r="BB201" i="3"/>
  <c r="DK201" i="3" s="1"/>
  <c r="AR201" i="3"/>
  <c r="DA201" i="3" s="1"/>
  <c r="AH201" i="3"/>
  <c r="CQ201" i="3" s="1"/>
  <c r="X201" i="3"/>
  <c r="CG201" i="3" s="1"/>
  <c r="N201" i="3"/>
  <c r="BW201" i="3" s="1"/>
  <c r="BK201" i="3"/>
  <c r="DT201" i="3" s="1"/>
  <c r="BA201" i="3"/>
  <c r="DJ201" i="3" s="1"/>
  <c r="AQ201" i="3"/>
  <c r="CZ201" i="3" s="1"/>
  <c r="AG201" i="3"/>
  <c r="CP201" i="3" s="1"/>
  <c r="W201" i="3"/>
  <c r="CF201" i="3" s="1"/>
  <c r="M201" i="3"/>
  <c r="BV201" i="3" s="1"/>
  <c r="BD201" i="3"/>
  <c r="DM201" i="3" s="1"/>
  <c r="AT201" i="3"/>
  <c r="DC201" i="3" s="1"/>
  <c r="AJ201" i="3"/>
  <c r="CS201" i="3" s="1"/>
  <c r="Z201" i="3"/>
  <c r="CI201" i="3" s="1"/>
  <c r="P201" i="3"/>
  <c r="BY201" i="3" s="1"/>
  <c r="F201" i="3"/>
  <c r="BO201" i="3" s="1"/>
  <c r="BJ201" i="3"/>
  <c r="DS201" i="3" s="1"/>
  <c r="AW201" i="3"/>
  <c r="DF201" i="3" s="1"/>
  <c r="AI201" i="3"/>
  <c r="CR201" i="3" s="1"/>
  <c r="T201" i="3"/>
  <c r="CC201" i="3" s="1"/>
  <c r="G201" i="3"/>
  <c r="BP201" i="3" s="1"/>
  <c r="BI201" i="3"/>
  <c r="DR201" i="3" s="1"/>
  <c r="AV201" i="3"/>
  <c r="DE201" i="3" s="1"/>
  <c r="AF201" i="3"/>
  <c r="CO201" i="3" s="1"/>
  <c r="S201" i="3"/>
  <c r="CB201" i="3" s="1"/>
  <c r="E201" i="3"/>
  <c r="BN201" i="3" s="1"/>
  <c r="AY201" i="3"/>
  <c r="DH201" i="3" s="1"/>
  <c r="AL201" i="3"/>
  <c r="CU201" i="3" s="1"/>
  <c r="V201" i="3"/>
  <c r="CE201" i="3" s="1"/>
  <c r="I201" i="3"/>
  <c r="BR201" i="3" s="1"/>
  <c r="AS201" i="3"/>
  <c r="DB201" i="3" s="1"/>
  <c r="AA201" i="3"/>
  <c r="CJ201" i="3" s="1"/>
  <c r="AP201" i="3"/>
  <c r="CY201" i="3" s="1"/>
  <c r="Y201" i="3"/>
  <c r="CH201" i="3" s="1"/>
  <c r="BH201" i="3"/>
  <c r="DQ201" i="3" s="1"/>
  <c r="AO201" i="3"/>
  <c r="CX201" i="3" s="1"/>
  <c r="U201" i="3"/>
  <c r="CD201" i="3" s="1"/>
  <c r="BG201" i="3"/>
  <c r="DP201" i="3" s="1"/>
  <c r="AN201" i="3"/>
  <c r="CW201" i="3" s="1"/>
  <c r="R201" i="3"/>
  <c r="CA201" i="3" s="1"/>
  <c r="BF201" i="3"/>
  <c r="DO201" i="3" s="1"/>
  <c r="AM201" i="3"/>
  <c r="CV201" i="3" s="1"/>
  <c r="Q201" i="3"/>
  <c r="BZ201" i="3" s="1"/>
  <c r="BE201" i="3"/>
  <c r="DN201" i="3" s="1"/>
  <c r="AK201" i="3"/>
  <c r="CT201" i="3" s="1"/>
  <c r="O201" i="3"/>
  <c r="BX201" i="3" s="1"/>
  <c r="AU201" i="3"/>
  <c r="DD201" i="3" s="1"/>
  <c r="AB201" i="3"/>
  <c r="CK201" i="3" s="1"/>
  <c r="H201" i="3"/>
  <c r="BQ201" i="3" s="1"/>
  <c r="AC201" i="3"/>
  <c r="CL201" i="3" s="1"/>
  <c r="L201" i="3"/>
  <c r="BU201" i="3" s="1"/>
  <c r="K201" i="3"/>
  <c r="BT201" i="3" s="1"/>
  <c r="J201" i="3"/>
  <c r="BS201" i="3" s="1"/>
  <c r="BC201" i="3"/>
  <c r="DL201" i="3" s="1"/>
  <c r="AZ201" i="3"/>
  <c r="DI201" i="3" s="1"/>
  <c r="AE201" i="3"/>
  <c r="CN201" i="3" s="1"/>
  <c r="AX201" i="3"/>
  <c r="DG201" i="3" s="1"/>
  <c r="AD201" i="3"/>
  <c r="CM201" i="3" s="1"/>
  <c r="N149" i="2"/>
  <c r="O149" i="2"/>
  <c r="K187" i="2"/>
  <c r="L187" i="2" s="1"/>
  <c r="N199" i="2"/>
  <c r="O199" i="2"/>
  <c r="O348" i="2"/>
  <c r="O350" i="2"/>
  <c r="O183" i="2"/>
  <c r="O192" i="2"/>
  <c r="O182" i="2"/>
  <c r="N182" i="2"/>
  <c r="O64" i="2"/>
  <c r="O124" i="2"/>
  <c r="O67" i="2"/>
  <c r="BK131" i="3"/>
  <c r="DT131" i="3" s="1"/>
  <c r="BA131" i="3"/>
  <c r="DJ131" i="3" s="1"/>
  <c r="AQ131" i="3"/>
  <c r="CZ131" i="3" s="1"/>
  <c r="AG131" i="3"/>
  <c r="CP131" i="3" s="1"/>
  <c r="W131" i="3"/>
  <c r="CF131" i="3" s="1"/>
  <c r="M131" i="3"/>
  <c r="BV131" i="3" s="1"/>
  <c r="BJ131" i="3"/>
  <c r="DS131" i="3" s="1"/>
  <c r="AZ131" i="3"/>
  <c r="DI131" i="3" s="1"/>
  <c r="AP131" i="3"/>
  <c r="CY131" i="3" s="1"/>
  <c r="AF131" i="3"/>
  <c r="CO131" i="3" s="1"/>
  <c r="V131" i="3"/>
  <c r="CE131" i="3" s="1"/>
  <c r="L131" i="3"/>
  <c r="BU131" i="3" s="1"/>
  <c r="BC131" i="3"/>
  <c r="DL131" i="3" s="1"/>
  <c r="AS131" i="3"/>
  <c r="DB131" i="3" s="1"/>
  <c r="AI131" i="3"/>
  <c r="CR131" i="3" s="1"/>
  <c r="Y131" i="3"/>
  <c r="CH131" i="3" s="1"/>
  <c r="O131" i="3"/>
  <c r="BX131" i="3" s="1"/>
  <c r="BD131" i="3"/>
  <c r="DM131" i="3" s="1"/>
  <c r="AN131" i="3"/>
  <c r="CW131" i="3" s="1"/>
  <c r="AA131" i="3"/>
  <c r="CJ131" i="3" s="1"/>
  <c r="K131" i="3"/>
  <c r="BT131" i="3" s="1"/>
  <c r="BF131" i="3"/>
  <c r="DO131" i="3" s="1"/>
  <c r="AR131" i="3"/>
  <c r="DA131" i="3" s="1"/>
  <c r="AC131" i="3"/>
  <c r="CL131" i="3" s="1"/>
  <c r="P131" i="3"/>
  <c r="BY131" i="3" s="1"/>
  <c r="BG131" i="3"/>
  <c r="DP131" i="3" s="1"/>
  <c r="AM131" i="3"/>
  <c r="CV131" i="3" s="1"/>
  <c r="U131" i="3"/>
  <c r="CD131" i="3" s="1"/>
  <c r="F131" i="3"/>
  <c r="BO131" i="3" s="1"/>
  <c r="BI131" i="3"/>
  <c r="DR131" i="3" s="1"/>
  <c r="AT131" i="3"/>
  <c r="DC131" i="3" s="1"/>
  <c r="Z131" i="3"/>
  <c r="CI131" i="3" s="1"/>
  <c r="H131" i="3"/>
  <c r="BQ131" i="3" s="1"/>
  <c r="BH131" i="3"/>
  <c r="DQ131" i="3" s="1"/>
  <c r="AO131" i="3"/>
  <c r="CX131" i="3" s="1"/>
  <c r="X131" i="3"/>
  <c r="CG131" i="3" s="1"/>
  <c r="G131" i="3"/>
  <c r="BP131" i="3" s="1"/>
  <c r="AV131" i="3"/>
  <c r="DE131" i="3" s="1"/>
  <c r="S131" i="3"/>
  <c r="CB131" i="3" s="1"/>
  <c r="BB131" i="3"/>
  <c r="DK131" i="3" s="1"/>
  <c r="AE131" i="3"/>
  <c r="CN131" i="3" s="1"/>
  <c r="E131" i="3"/>
  <c r="BN131" i="3" s="1"/>
  <c r="AY131" i="3"/>
  <c r="DH131" i="3" s="1"/>
  <c r="AD131" i="3"/>
  <c r="CM131" i="3" s="1"/>
  <c r="AX131" i="3"/>
  <c r="DG131" i="3" s="1"/>
  <c r="AB131" i="3"/>
  <c r="CK131" i="3" s="1"/>
  <c r="BL131" i="3"/>
  <c r="DU131" i="3" s="1"/>
  <c r="Q131" i="3"/>
  <c r="BZ131" i="3" s="1"/>
  <c r="BE131" i="3"/>
  <c r="DN131" i="3" s="1"/>
  <c r="N131" i="3"/>
  <c r="BW131" i="3" s="1"/>
  <c r="AW131" i="3"/>
  <c r="DF131" i="3" s="1"/>
  <c r="J131" i="3"/>
  <c r="BS131" i="3" s="1"/>
  <c r="AU131" i="3"/>
  <c r="DD131" i="3" s="1"/>
  <c r="I131" i="3"/>
  <c r="BR131" i="3" s="1"/>
  <c r="AL131" i="3"/>
  <c r="CU131" i="3" s="1"/>
  <c r="AK131" i="3"/>
  <c r="CT131" i="3" s="1"/>
  <c r="AJ131" i="3"/>
  <c r="CS131" i="3" s="1"/>
  <c r="AH131" i="3"/>
  <c r="CQ131" i="3" s="1"/>
  <c r="T131" i="3"/>
  <c r="CC131" i="3" s="1"/>
  <c r="R131" i="3"/>
  <c r="CA131" i="3" s="1"/>
  <c r="BJ29" i="3"/>
  <c r="DS29" i="3" s="1"/>
  <c r="AZ29" i="3"/>
  <c r="DI29" i="3" s="1"/>
  <c r="AP29" i="3"/>
  <c r="CY29" i="3" s="1"/>
  <c r="AF29" i="3"/>
  <c r="CO29" i="3" s="1"/>
  <c r="V29" i="3"/>
  <c r="CE29" i="3" s="1"/>
  <c r="L29" i="3"/>
  <c r="BU29" i="3" s="1"/>
  <c r="BI29" i="3"/>
  <c r="DR29" i="3" s="1"/>
  <c r="AY29" i="3"/>
  <c r="DH29" i="3" s="1"/>
  <c r="AO29" i="3"/>
  <c r="CX29" i="3" s="1"/>
  <c r="AE29" i="3"/>
  <c r="CN29" i="3" s="1"/>
  <c r="U29" i="3"/>
  <c r="CD29" i="3" s="1"/>
  <c r="K29" i="3"/>
  <c r="BT29" i="3" s="1"/>
  <c r="BL29" i="3"/>
  <c r="DU29" i="3" s="1"/>
  <c r="BB29" i="3"/>
  <c r="DK29" i="3" s="1"/>
  <c r="AR29" i="3"/>
  <c r="DA29" i="3" s="1"/>
  <c r="AH29" i="3"/>
  <c r="CQ29" i="3" s="1"/>
  <c r="X29" i="3"/>
  <c r="CG29" i="3" s="1"/>
  <c r="N29" i="3"/>
  <c r="BW29" i="3" s="1"/>
  <c r="AW29" i="3"/>
  <c r="DF29" i="3" s="1"/>
  <c r="AJ29" i="3"/>
  <c r="CS29" i="3" s="1"/>
  <c r="T29" i="3"/>
  <c r="CC29" i="3" s="1"/>
  <c r="G29" i="3"/>
  <c r="BP29" i="3" s="1"/>
  <c r="BG29" i="3"/>
  <c r="DP29" i="3" s="1"/>
  <c r="AS29" i="3"/>
  <c r="DB29" i="3" s="1"/>
  <c r="AB29" i="3"/>
  <c r="CK29" i="3" s="1"/>
  <c r="M29" i="3"/>
  <c r="BV29" i="3" s="1"/>
  <c r="BF29" i="3"/>
  <c r="DO29" i="3" s="1"/>
  <c r="AQ29" i="3"/>
  <c r="CZ29" i="3" s="1"/>
  <c r="AA29" i="3"/>
  <c r="CJ29" i="3" s="1"/>
  <c r="J29" i="3"/>
  <c r="BS29" i="3" s="1"/>
  <c r="BE29" i="3"/>
  <c r="DN29" i="3" s="1"/>
  <c r="AN29" i="3"/>
  <c r="CW29" i="3" s="1"/>
  <c r="Z29" i="3"/>
  <c r="CI29" i="3" s="1"/>
  <c r="I29" i="3"/>
  <c r="BR29" i="3" s="1"/>
  <c r="BD29" i="3"/>
  <c r="DM29" i="3" s="1"/>
  <c r="AM29" i="3"/>
  <c r="CV29" i="3" s="1"/>
  <c r="Y29" i="3"/>
  <c r="CH29" i="3" s="1"/>
  <c r="H29" i="3"/>
  <c r="BQ29" i="3" s="1"/>
  <c r="BC29" i="3"/>
  <c r="DL29" i="3" s="1"/>
  <c r="AL29" i="3"/>
  <c r="CU29" i="3" s="1"/>
  <c r="W29" i="3"/>
  <c r="CF29" i="3" s="1"/>
  <c r="F29" i="3"/>
  <c r="BO29" i="3" s="1"/>
  <c r="BA29" i="3"/>
  <c r="DJ29" i="3" s="1"/>
  <c r="AK29" i="3"/>
  <c r="CT29" i="3" s="1"/>
  <c r="S29" i="3"/>
  <c r="CB29" i="3" s="1"/>
  <c r="E29" i="3"/>
  <c r="BN29" i="3" s="1"/>
  <c r="AX29" i="3"/>
  <c r="DG29" i="3" s="1"/>
  <c r="AI29" i="3"/>
  <c r="CR29" i="3" s="1"/>
  <c r="R29" i="3"/>
  <c r="CA29" i="3" s="1"/>
  <c r="AV29" i="3"/>
  <c r="DE29" i="3" s="1"/>
  <c r="AG29" i="3"/>
  <c r="CP29" i="3" s="1"/>
  <c r="Q29" i="3"/>
  <c r="BZ29" i="3" s="1"/>
  <c r="BK29" i="3"/>
  <c r="DT29" i="3" s="1"/>
  <c r="AU29" i="3"/>
  <c r="DD29" i="3" s="1"/>
  <c r="AD29" i="3"/>
  <c r="CM29" i="3" s="1"/>
  <c r="P29" i="3"/>
  <c r="BY29" i="3" s="1"/>
  <c r="BH29" i="3"/>
  <c r="DQ29" i="3" s="1"/>
  <c r="AT29" i="3"/>
  <c r="DC29" i="3" s="1"/>
  <c r="AC29" i="3"/>
  <c r="CL29" i="3" s="1"/>
  <c r="O29" i="3"/>
  <c r="BX29" i="3" s="1"/>
  <c r="O9" i="2"/>
  <c r="J57" i="2"/>
  <c r="N46" i="2"/>
  <c r="O46" i="2"/>
  <c r="BG115" i="3"/>
  <c r="DP115" i="3" s="1"/>
  <c r="AW115" i="3"/>
  <c r="DF115" i="3" s="1"/>
  <c r="AM115" i="3"/>
  <c r="CV115" i="3" s="1"/>
  <c r="AC115" i="3"/>
  <c r="CL115" i="3" s="1"/>
  <c r="S115" i="3"/>
  <c r="CB115" i="3" s="1"/>
  <c r="I115" i="3"/>
  <c r="BR115" i="3" s="1"/>
  <c r="BI115" i="3"/>
  <c r="DR115" i="3" s="1"/>
  <c r="AY115" i="3"/>
  <c r="DH115" i="3" s="1"/>
  <c r="AO115" i="3"/>
  <c r="CX115" i="3" s="1"/>
  <c r="AE115" i="3"/>
  <c r="CN115" i="3" s="1"/>
  <c r="U115" i="3"/>
  <c r="CD115" i="3" s="1"/>
  <c r="K115" i="3"/>
  <c r="BT115" i="3" s="1"/>
  <c r="BL115" i="3"/>
  <c r="DU115" i="3" s="1"/>
  <c r="AZ115" i="3"/>
  <c r="DI115" i="3" s="1"/>
  <c r="AL115" i="3"/>
  <c r="CU115" i="3" s="1"/>
  <c r="Z115" i="3"/>
  <c r="CI115" i="3" s="1"/>
  <c r="N115" i="3"/>
  <c r="BW115" i="3" s="1"/>
  <c r="BB115" i="3"/>
  <c r="DK115" i="3" s="1"/>
  <c r="AP115" i="3"/>
  <c r="CY115" i="3" s="1"/>
  <c r="AB115" i="3"/>
  <c r="CK115" i="3" s="1"/>
  <c r="P115" i="3"/>
  <c r="BY115" i="3" s="1"/>
  <c r="BA115" i="3"/>
  <c r="DJ115" i="3" s="1"/>
  <c r="AN115" i="3"/>
  <c r="CW115" i="3" s="1"/>
  <c r="AA115" i="3"/>
  <c r="CJ115" i="3" s="1"/>
  <c r="O115" i="3"/>
  <c r="BX115" i="3" s="1"/>
  <c r="BC115" i="3"/>
  <c r="DL115" i="3" s="1"/>
  <c r="AI115" i="3"/>
  <c r="CR115" i="3" s="1"/>
  <c r="R115" i="3"/>
  <c r="CA115" i="3" s="1"/>
  <c r="BH115" i="3"/>
  <c r="DQ115" i="3" s="1"/>
  <c r="AQ115" i="3"/>
  <c r="CZ115" i="3" s="1"/>
  <c r="V115" i="3"/>
  <c r="CE115" i="3" s="1"/>
  <c r="BF115" i="3"/>
  <c r="DO115" i="3" s="1"/>
  <c r="AK115" i="3"/>
  <c r="CT115" i="3" s="1"/>
  <c r="T115" i="3"/>
  <c r="CC115" i="3" s="1"/>
  <c r="BE115" i="3"/>
  <c r="DN115" i="3" s="1"/>
  <c r="AJ115" i="3"/>
  <c r="CS115" i="3" s="1"/>
  <c r="BD115" i="3"/>
  <c r="DM115" i="3" s="1"/>
  <c r="AH115" i="3"/>
  <c r="CQ115" i="3" s="1"/>
  <c r="M115" i="3"/>
  <c r="BV115" i="3" s="1"/>
  <c r="AX115" i="3"/>
  <c r="DG115" i="3" s="1"/>
  <c r="AG115" i="3"/>
  <c r="CP115" i="3" s="1"/>
  <c r="L115" i="3"/>
  <c r="BU115" i="3" s="1"/>
  <c r="AU115" i="3"/>
  <c r="DD115" i="3" s="1"/>
  <c r="AD115" i="3"/>
  <c r="CM115" i="3" s="1"/>
  <c r="H115" i="3"/>
  <c r="BQ115" i="3" s="1"/>
  <c r="AT115" i="3"/>
  <c r="DC115" i="3" s="1"/>
  <c r="Y115" i="3"/>
  <c r="CH115" i="3" s="1"/>
  <c r="G115" i="3"/>
  <c r="BP115" i="3" s="1"/>
  <c r="Q115" i="3"/>
  <c r="BZ115" i="3" s="1"/>
  <c r="J115" i="3"/>
  <c r="BS115" i="3" s="1"/>
  <c r="BK115" i="3"/>
  <c r="DT115" i="3" s="1"/>
  <c r="F115" i="3"/>
  <c r="BO115" i="3" s="1"/>
  <c r="BJ115" i="3"/>
  <c r="DS115" i="3" s="1"/>
  <c r="E115" i="3"/>
  <c r="BN115" i="3" s="1"/>
  <c r="AV115" i="3"/>
  <c r="DE115" i="3" s="1"/>
  <c r="AS115" i="3"/>
  <c r="DB115" i="3" s="1"/>
  <c r="AR115" i="3"/>
  <c r="DA115" i="3" s="1"/>
  <c r="AF115" i="3"/>
  <c r="CO115" i="3" s="1"/>
  <c r="X115" i="3"/>
  <c r="CG115" i="3" s="1"/>
  <c r="W115" i="3"/>
  <c r="CF115" i="3" s="1"/>
  <c r="N115" i="2"/>
  <c r="O115" i="2"/>
  <c r="J50" i="2"/>
  <c r="K50" i="2" s="1"/>
  <c r="L50" i="2" s="1"/>
  <c r="BJ49" i="3"/>
  <c r="DS49" i="3" s="1"/>
  <c r="AZ49" i="3"/>
  <c r="DI49" i="3" s="1"/>
  <c r="AP49" i="3"/>
  <c r="CY49" i="3" s="1"/>
  <c r="AF49" i="3"/>
  <c r="CO49" i="3" s="1"/>
  <c r="V49" i="3"/>
  <c r="CE49" i="3" s="1"/>
  <c r="L49" i="3"/>
  <c r="BU49" i="3" s="1"/>
  <c r="BI49" i="3"/>
  <c r="DR49" i="3" s="1"/>
  <c r="AY49" i="3"/>
  <c r="DH49" i="3" s="1"/>
  <c r="AO49" i="3"/>
  <c r="CX49" i="3" s="1"/>
  <c r="AE49" i="3"/>
  <c r="CN49" i="3" s="1"/>
  <c r="U49" i="3"/>
  <c r="CD49" i="3" s="1"/>
  <c r="K49" i="3"/>
  <c r="BT49" i="3" s="1"/>
  <c r="BL49" i="3"/>
  <c r="DU49" i="3" s="1"/>
  <c r="BB49" i="3"/>
  <c r="DK49" i="3" s="1"/>
  <c r="AR49" i="3"/>
  <c r="DA49" i="3" s="1"/>
  <c r="AH49" i="3"/>
  <c r="CQ49" i="3" s="1"/>
  <c r="X49" i="3"/>
  <c r="CG49" i="3" s="1"/>
  <c r="N49" i="3"/>
  <c r="BW49" i="3" s="1"/>
  <c r="BE49" i="3"/>
  <c r="DN49" i="3" s="1"/>
  <c r="AQ49" i="3"/>
  <c r="CZ49" i="3" s="1"/>
  <c r="AB49" i="3"/>
  <c r="CK49" i="3" s="1"/>
  <c r="O49" i="3"/>
  <c r="BX49" i="3" s="1"/>
  <c r="BD49" i="3"/>
  <c r="DM49" i="3" s="1"/>
  <c r="AN49" i="3"/>
  <c r="CW49" i="3" s="1"/>
  <c r="AA49" i="3"/>
  <c r="CJ49" i="3" s="1"/>
  <c r="M49" i="3"/>
  <c r="BV49" i="3" s="1"/>
  <c r="BC49" i="3"/>
  <c r="DL49" i="3" s="1"/>
  <c r="AM49" i="3"/>
  <c r="CV49" i="3" s="1"/>
  <c r="Z49" i="3"/>
  <c r="CI49" i="3" s="1"/>
  <c r="J49" i="3"/>
  <c r="BS49" i="3" s="1"/>
  <c r="BF49" i="3"/>
  <c r="DO49" i="3" s="1"/>
  <c r="AS49" i="3"/>
  <c r="DB49" i="3" s="1"/>
  <c r="AC49" i="3"/>
  <c r="CL49" i="3" s="1"/>
  <c r="P49" i="3"/>
  <c r="BY49" i="3" s="1"/>
  <c r="BA49" i="3"/>
  <c r="DJ49" i="3" s="1"/>
  <c r="AG49" i="3"/>
  <c r="CP49" i="3" s="1"/>
  <c r="G49" i="3"/>
  <c r="BP49" i="3" s="1"/>
  <c r="AX49" i="3"/>
  <c r="DG49" i="3" s="1"/>
  <c r="AD49" i="3"/>
  <c r="CM49" i="3" s="1"/>
  <c r="F49" i="3"/>
  <c r="BO49" i="3" s="1"/>
  <c r="AW49" i="3"/>
  <c r="DF49" i="3" s="1"/>
  <c r="Y49" i="3"/>
  <c r="CH49" i="3" s="1"/>
  <c r="E49" i="3"/>
  <c r="BN49" i="3" s="1"/>
  <c r="AV49" i="3"/>
  <c r="DE49" i="3" s="1"/>
  <c r="W49" i="3"/>
  <c r="CF49" i="3" s="1"/>
  <c r="AU49" i="3"/>
  <c r="DD49" i="3" s="1"/>
  <c r="T49" i="3"/>
  <c r="CC49" i="3" s="1"/>
  <c r="AT49" i="3"/>
  <c r="DC49" i="3" s="1"/>
  <c r="S49" i="3"/>
  <c r="CB49" i="3" s="1"/>
  <c r="AL49" i="3"/>
  <c r="CU49" i="3" s="1"/>
  <c r="R49" i="3"/>
  <c r="CA49" i="3" s="1"/>
  <c r="BK49" i="3"/>
  <c r="DT49" i="3" s="1"/>
  <c r="AK49" i="3"/>
  <c r="CT49" i="3" s="1"/>
  <c r="Q49" i="3"/>
  <c r="BZ49" i="3" s="1"/>
  <c r="BH49" i="3"/>
  <c r="DQ49" i="3" s="1"/>
  <c r="AJ49" i="3"/>
  <c r="CS49" i="3" s="1"/>
  <c r="I49" i="3"/>
  <c r="BR49" i="3" s="1"/>
  <c r="BG49" i="3"/>
  <c r="DP49" i="3" s="1"/>
  <c r="AI49" i="3"/>
  <c r="CR49" i="3" s="1"/>
  <c r="H49" i="3"/>
  <c r="BQ49" i="3" s="1"/>
  <c r="N75" i="2"/>
  <c r="O75" i="2"/>
  <c r="J61" i="2"/>
  <c r="BF45" i="3"/>
  <c r="DO45" i="3" s="1"/>
  <c r="AV45" i="3"/>
  <c r="DE45" i="3" s="1"/>
  <c r="AL45" i="3"/>
  <c r="CU45" i="3" s="1"/>
  <c r="AB45" i="3"/>
  <c r="CK45" i="3" s="1"/>
  <c r="R45" i="3"/>
  <c r="CA45" i="3" s="1"/>
  <c r="H45" i="3"/>
  <c r="BQ45" i="3" s="1"/>
  <c r="BE45" i="3"/>
  <c r="DN45" i="3" s="1"/>
  <c r="AU45" i="3"/>
  <c r="DD45" i="3" s="1"/>
  <c r="AK45" i="3"/>
  <c r="CT45" i="3" s="1"/>
  <c r="AA45" i="3"/>
  <c r="CJ45" i="3" s="1"/>
  <c r="Q45" i="3"/>
  <c r="BZ45" i="3" s="1"/>
  <c r="G45" i="3"/>
  <c r="BP45" i="3" s="1"/>
  <c r="BH45" i="3"/>
  <c r="DQ45" i="3" s="1"/>
  <c r="AX45" i="3"/>
  <c r="DG45" i="3" s="1"/>
  <c r="AN45" i="3"/>
  <c r="CW45" i="3" s="1"/>
  <c r="AD45" i="3"/>
  <c r="CM45" i="3" s="1"/>
  <c r="T45" i="3"/>
  <c r="CC45" i="3" s="1"/>
  <c r="J45" i="3"/>
  <c r="BS45" i="3" s="1"/>
  <c r="BA45" i="3"/>
  <c r="DJ45" i="3" s="1"/>
  <c r="AM45" i="3"/>
  <c r="CV45" i="3" s="1"/>
  <c r="X45" i="3"/>
  <c r="CG45" i="3" s="1"/>
  <c r="K45" i="3"/>
  <c r="BT45" i="3" s="1"/>
  <c r="AZ45" i="3"/>
  <c r="DI45" i="3" s="1"/>
  <c r="AJ45" i="3"/>
  <c r="CS45" i="3" s="1"/>
  <c r="W45" i="3"/>
  <c r="CF45" i="3" s="1"/>
  <c r="I45" i="3"/>
  <c r="BR45" i="3" s="1"/>
  <c r="BL45" i="3"/>
  <c r="DU45" i="3" s="1"/>
  <c r="AY45" i="3"/>
  <c r="DH45" i="3" s="1"/>
  <c r="AI45" i="3"/>
  <c r="CR45" i="3" s="1"/>
  <c r="V45" i="3"/>
  <c r="CE45" i="3" s="1"/>
  <c r="F45" i="3"/>
  <c r="BO45" i="3" s="1"/>
  <c r="BB45" i="3"/>
  <c r="DK45" i="3" s="1"/>
  <c r="AO45" i="3"/>
  <c r="CX45" i="3" s="1"/>
  <c r="Y45" i="3"/>
  <c r="CH45" i="3" s="1"/>
  <c r="L45" i="3"/>
  <c r="BU45" i="3" s="1"/>
  <c r="AW45" i="3"/>
  <c r="DF45" i="3" s="1"/>
  <c r="AC45" i="3"/>
  <c r="CL45" i="3" s="1"/>
  <c r="AT45" i="3"/>
  <c r="DC45" i="3" s="1"/>
  <c r="Z45" i="3"/>
  <c r="CI45" i="3" s="1"/>
  <c r="AS45" i="3"/>
  <c r="DB45" i="3" s="1"/>
  <c r="U45" i="3"/>
  <c r="CD45" i="3" s="1"/>
  <c r="AR45" i="3"/>
  <c r="DA45" i="3" s="1"/>
  <c r="S45" i="3"/>
  <c r="CB45" i="3" s="1"/>
  <c r="BK45" i="3"/>
  <c r="DT45" i="3" s="1"/>
  <c r="AQ45" i="3"/>
  <c r="CZ45" i="3" s="1"/>
  <c r="P45" i="3"/>
  <c r="BY45" i="3" s="1"/>
  <c r="BJ45" i="3"/>
  <c r="DS45" i="3" s="1"/>
  <c r="AP45" i="3"/>
  <c r="CY45" i="3" s="1"/>
  <c r="O45" i="3"/>
  <c r="BX45" i="3" s="1"/>
  <c r="BI45" i="3"/>
  <c r="DR45" i="3" s="1"/>
  <c r="AH45" i="3"/>
  <c r="CQ45" i="3" s="1"/>
  <c r="N45" i="3"/>
  <c r="BW45" i="3" s="1"/>
  <c r="BG45" i="3"/>
  <c r="DP45" i="3" s="1"/>
  <c r="AG45" i="3"/>
  <c r="CP45" i="3" s="1"/>
  <c r="M45" i="3"/>
  <c r="BV45" i="3" s="1"/>
  <c r="BD45" i="3"/>
  <c r="DM45" i="3" s="1"/>
  <c r="AF45" i="3"/>
  <c r="CO45" i="3" s="1"/>
  <c r="E45" i="3"/>
  <c r="BN45" i="3" s="1"/>
  <c r="BC45" i="3"/>
  <c r="DL45" i="3" s="1"/>
  <c r="AE45" i="3"/>
  <c r="CN45" i="3" s="1"/>
  <c r="J71" i="2"/>
  <c r="N49" i="2"/>
  <c r="O49" i="2"/>
  <c r="BF99" i="3"/>
  <c r="DO99" i="3" s="1"/>
  <c r="AV99" i="3"/>
  <c r="DE99" i="3" s="1"/>
  <c r="AL99" i="3"/>
  <c r="CU99" i="3" s="1"/>
  <c r="AB99" i="3"/>
  <c r="CK99" i="3" s="1"/>
  <c r="R99" i="3"/>
  <c r="CA99" i="3" s="1"/>
  <c r="H99" i="3"/>
  <c r="BQ99" i="3" s="1"/>
  <c r="BH99" i="3"/>
  <c r="DQ99" i="3" s="1"/>
  <c r="AX99" i="3"/>
  <c r="DG99" i="3" s="1"/>
  <c r="AN99" i="3"/>
  <c r="CW99" i="3" s="1"/>
  <c r="AD99" i="3"/>
  <c r="CM99" i="3" s="1"/>
  <c r="T99" i="3"/>
  <c r="CC99" i="3" s="1"/>
  <c r="J99" i="3"/>
  <c r="BS99" i="3" s="1"/>
  <c r="BG99" i="3"/>
  <c r="DP99" i="3" s="1"/>
  <c r="AW99" i="3"/>
  <c r="DF99" i="3" s="1"/>
  <c r="AM99" i="3"/>
  <c r="CV99" i="3" s="1"/>
  <c r="AC99" i="3"/>
  <c r="CL99" i="3" s="1"/>
  <c r="S99" i="3"/>
  <c r="CB99" i="3" s="1"/>
  <c r="I99" i="3"/>
  <c r="BR99" i="3" s="1"/>
  <c r="BI99" i="3"/>
  <c r="DR99" i="3" s="1"/>
  <c r="AS99" i="3"/>
  <c r="DB99" i="3" s="1"/>
  <c r="AF99" i="3"/>
  <c r="CO99" i="3" s="1"/>
  <c r="P99" i="3"/>
  <c r="BY99" i="3" s="1"/>
  <c r="BE99" i="3"/>
  <c r="DN99" i="3" s="1"/>
  <c r="AR99" i="3"/>
  <c r="DA99" i="3" s="1"/>
  <c r="AE99" i="3"/>
  <c r="CN99" i="3" s="1"/>
  <c r="O99" i="3"/>
  <c r="BX99" i="3" s="1"/>
  <c r="BL99" i="3"/>
  <c r="DU99" i="3" s="1"/>
  <c r="AY99" i="3"/>
  <c r="DH99" i="3" s="1"/>
  <c r="AI99" i="3"/>
  <c r="CR99" i="3" s="1"/>
  <c r="V99" i="3"/>
  <c r="CE99" i="3" s="1"/>
  <c r="F99" i="3"/>
  <c r="BO99" i="3" s="1"/>
  <c r="AT99" i="3"/>
  <c r="DC99" i="3" s="1"/>
  <c r="Y99" i="3"/>
  <c r="CH99" i="3" s="1"/>
  <c r="E99" i="3"/>
  <c r="BN99" i="3" s="1"/>
  <c r="AQ99" i="3"/>
  <c r="CZ99" i="3" s="1"/>
  <c r="X99" i="3"/>
  <c r="CG99" i="3" s="1"/>
  <c r="BK99" i="3"/>
  <c r="DT99" i="3" s="1"/>
  <c r="AP99" i="3"/>
  <c r="CY99" i="3" s="1"/>
  <c r="W99" i="3"/>
  <c r="CF99" i="3" s="1"/>
  <c r="BJ99" i="3"/>
  <c r="DS99" i="3" s="1"/>
  <c r="AO99" i="3"/>
  <c r="CX99" i="3" s="1"/>
  <c r="U99" i="3"/>
  <c r="CD99" i="3" s="1"/>
  <c r="BD99" i="3"/>
  <c r="DM99" i="3" s="1"/>
  <c r="AK99" i="3"/>
  <c r="CT99" i="3" s="1"/>
  <c r="Q99" i="3"/>
  <c r="BZ99" i="3" s="1"/>
  <c r="BC99" i="3"/>
  <c r="DL99" i="3" s="1"/>
  <c r="AJ99" i="3"/>
  <c r="CS99" i="3" s="1"/>
  <c r="N99" i="3"/>
  <c r="BW99" i="3" s="1"/>
  <c r="BB99" i="3"/>
  <c r="DK99" i="3" s="1"/>
  <c r="AH99" i="3"/>
  <c r="CQ99" i="3" s="1"/>
  <c r="M99" i="3"/>
  <c r="BV99" i="3" s="1"/>
  <c r="BA99" i="3"/>
  <c r="DJ99" i="3" s="1"/>
  <c r="AG99" i="3"/>
  <c r="CP99" i="3" s="1"/>
  <c r="L99" i="3"/>
  <c r="BU99" i="3" s="1"/>
  <c r="AZ99" i="3"/>
  <c r="DI99" i="3" s="1"/>
  <c r="AA99" i="3"/>
  <c r="CJ99" i="3" s="1"/>
  <c r="K99" i="3"/>
  <c r="BT99" i="3" s="1"/>
  <c r="AU99" i="3"/>
  <c r="DD99" i="3" s="1"/>
  <c r="Z99" i="3"/>
  <c r="CI99" i="3" s="1"/>
  <c r="G99" i="3"/>
  <c r="BP99" i="3" s="1"/>
  <c r="O50" i="2"/>
  <c r="J20" i="2"/>
  <c r="K20" i="2" s="1"/>
  <c r="L20" i="2" s="1"/>
  <c r="BL11" i="3"/>
  <c r="DU11" i="3" s="1"/>
  <c r="BB11" i="3"/>
  <c r="DK11" i="3" s="1"/>
  <c r="AR11" i="3"/>
  <c r="DA11" i="3" s="1"/>
  <c r="AH11" i="3"/>
  <c r="CQ11" i="3" s="1"/>
  <c r="X11" i="3"/>
  <c r="CG11" i="3" s="1"/>
  <c r="N11" i="3"/>
  <c r="BW11" i="3" s="1"/>
  <c r="BK11" i="3"/>
  <c r="DT11" i="3" s="1"/>
  <c r="BA11" i="3"/>
  <c r="DJ11" i="3" s="1"/>
  <c r="AQ11" i="3"/>
  <c r="CZ11" i="3" s="1"/>
  <c r="AG11" i="3"/>
  <c r="CP11" i="3" s="1"/>
  <c r="W11" i="3"/>
  <c r="CF11" i="3" s="1"/>
  <c r="M11" i="3"/>
  <c r="BV11" i="3" s="1"/>
  <c r="BD11" i="3"/>
  <c r="DM11" i="3" s="1"/>
  <c r="AP11" i="3"/>
  <c r="CY11" i="3" s="1"/>
  <c r="AD11" i="3"/>
  <c r="CM11" i="3" s="1"/>
  <c r="R11" i="3"/>
  <c r="CA11" i="3" s="1"/>
  <c r="F11" i="3"/>
  <c r="BO11" i="3" s="1"/>
  <c r="BC11" i="3"/>
  <c r="DL11" i="3" s="1"/>
  <c r="AO11" i="3"/>
  <c r="CX11" i="3" s="1"/>
  <c r="AC11" i="3"/>
  <c r="CL11" i="3" s="1"/>
  <c r="Q11" i="3"/>
  <c r="BZ11" i="3" s="1"/>
  <c r="E11" i="3"/>
  <c r="BN11" i="3" s="1"/>
  <c r="AZ11" i="3"/>
  <c r="DI11" i="3" s="1"/>
  <c r="AN11" i="3"/>
  <c r="CW11" i="3" s="1"/>
  <c r="AB11" i="3"/>
  <c r="CK11" i="3" s="1"/>
  <c r="P11" i="3"/>
  <c r="BY11" i="3" s="1"/>
  <c r="BE11" i="3"/>
  <c r="DN11" i="3" s="1"/>
  <c r="AK11" i="3"/>
  <c r="CT11" i="3" s="1"/>
  <c r="T11" i="3"/>
  <c r="CC11" i="3" s="1"/>
  <c r="AY11" i="3"/>
  <c r="DH11" i="3" s="1"/>
  <c r="AJ11" i="3"/>
  <c r="CS11" i="3" s="1"/>
  <c r="S11" i="3"/>
  <c r="CB11" i="3" s="1"/>
  <c r="AX11" i="3"/>
  <c r="DG11" i="3" s="1"/>
  <c r="AI11" i="3"/>
  <c r="CR11" i="3" s="1"/>
  <c r="O11" i="3"/>
  <c r="BX11" i="3" s="1"/>
  <c r="AW11" i="3"/>
  <c r="DF11" i="3" s="1"/>
  <c r="AF11" i="3"/>
  <c r="CO11" i="3" s="1"/>
  <c r="L11" i="3"/>
  <c r="BU11" i="3" s="1"/>
  <c r="AV11" i="3"/>
  <c r="DE11" i="3" s="1"/>
  <c r="AE11" i="3"/>
  <c r="CN11" i="3" s="1"/>
  <c r="K11" i="3"/>
  <c r="BT11" i="3" s="1"/>
  <c r="BJ11" i="3"/>
  <c r="DS11" i="3" s="1"/>
  <c r="AU11" i="3"/>
  <c r="DD11" i="3" s="1"/>
  <c r="AA11" i="3"/>
  <c r="CJ11" i="3" s="1"/>
  <c r="J11" i="3"/>
  <c r="BS11" i="3" s="1"/>
  <c r="BI11" i="3"/>
  <c r="DR11" i="3" s="1"/>
  <c r="AT11" i="3"/>
  <c r="DC11" i="3" s="1"/>
  <c r="Z11" i="3"/>
  <c r="CI11" i="3" s="1"/>
  <c r="I11" i="3"/>
  <c r="BR11" i="3" s="1"/>
  <c r="BH11" i="3"/>
  <c r="DQ11" i="3" s="1"/>
  <c r="AS11" i="3"/>
  <c r="DB11" i="3" s="1"/>
  <c r="Y11" i="3"/>
  <c r="CH11" i="3" s="1"/>
  <c r="H11" i="3"/>
  <c r="BQ11" i="3" s="1"/>
  <c r="BG11" i="3"/>
  <c r="DP11" i="3" s="1"/>
  <c r="AM11" i="3"/>
  <c r="CV11" i="3" s="1"/>
  <c r="V11" i="3"/>
  <c r="CE11" i="3" s="1"/>
  <c r="G11" i="3"/>
  <c r="BP11" i="3" s="1"/>
  <c r="BF11" i="3"/>
  <c r="DO11" i="3" s="1"/>
  <c r="AL11" i="3"/>
  <c r="CU11" i="3" s="1"/>
  <c r="U11" i="3"/>
  <c r="CD11" i="3" s="1"/>
  <c r="O21" i="2"/>
  <c r="BL36" i="3"/>
  <c r="DU36" i="3" s="1"/>
  <c r="BB36" i="3"/>
  <c r="DK36" i="3" s="1"/>
  <c r="AR36" i="3"/>
  <c r="DA36" i="3" s="1"/>
  <c r="AH36" i="3"/>
  <c r="CQ36" i="3" s="1"/>
  <c r="X36" i="3"/>
  <c r="CG36" i="3" s="1"/>
  <c r="N36" i="3"/>
  <c r="BW36" i="3" s="1"/>
  <c r="BK36" i="3"/>
  <c r="DT36" i="3" s="1"/>
  <c r="BA36" i="3"/>
  <c r="DJ36" i="3" s="1"/>
  <c r="AQ36" i="3"/>
  <c r="CZ36" i="3" s="1"/>
  <c r="AG36" i="3"/>
  <c r="CP36" i="3" s="1"/>
  <c r="W36" i="3"/>
  <c r="CF36" i="3" s="1"/>
  <c r="M36" i="3"/>
  <c r="BV36" i="3" s="1"/>
  <c r="BD36" i="3"/>
  <c r="DM36" i="3" s="1"/>
  <c r="AT36" i="3"/>
  <c r="DC36" i="3" s="1"/>
  <c r="AJ36" i="3"/>
  <c r="CS36" i="3" s="1"/>
  <c r="Z36" i="3"/>
  <c r="CI36" i="3" s="1"/>
  <c r="P36" i="3"/>
  <c r="BY36" i="3" s="1"/>
  <c r="F36" i="3"/>
  <c r="BO36" i="3" s="1"/>
  <c r="BC36" i="3"/>
  <c r="DL36" i="3" s="1"/>
  <c r="AN36" i="3"/>
  <c r="CW36" i="3" s="1"/>
  <c r="AA36" i="3"/>
  <c r="CJ36" i="3" s="1"/>
  <c r="K36" i="3"/>
  <c r="BT36" i="3" s="1"/>
  <c r="AZ36" i="3"/>
  <c r="DI36" i="3" s="1"/>
  <c r="AM36" i="3"/>
  <c r="CV36" i="3" s="1"/>
  <c r="Y36" i="3"/>
  <c r="CH36" i="3" s="1"/>
  <c r="J36" i="3"/>
  <c r="BS36" i="3" s="1"/>
  <c r="AX36" i="3"/>
  <c r="DG36" i="3" s="1"/>
  <c r="AF36" i="3"/>
  <c r="CO36" i="3" s="1"/>
  <c r="Q36" i="3"/>
  <c r="BZ36" i="3" s="1"/>
  <c r="AW36" i="3"/>
  <c r="DF36" i="3" s="1"/>
  <c r="AE36" i="3"/>
  <c r="CN36" i="3" s="1"/>
  <c r="O36" i="3"/>
  <c r="BX36" i="3" s="1"/>
  <c r="AV36" i="3"/>
  <c r="DE36" i="3" s="1"/>
  <c r="AD36" i="3"/>
  <c r="CM36" i="3" s="1"/>
  <c r="L36" i="3"/>
  <c r="BU36" i="3" s="1"/>
  <c r="BJ36" i="3"/>
  <c r="DS36" i="3" s="1"/>
  <c r="AU36" i="3"/>
  <c r="DD36" i="3" s="1"/>
  <c r="AC36" i="3"/>
  <c r="CL36" i="3" s="1"/>
  <c r="I36" i="3"/>
  <c r="BR36" i="3" s="1"/>
  <c r="BI36" i="3"/>
  <c r="DR36" i="3" s="1"/>
  <c r="AS36" i="3"/>
  <c r="DB36" i="3" s="1"/>
  <c r="AB36" i="3"/>
  <c r="CK36" i="3" s="1"/>
  <c r="H36" i="3"/>
  <c r="BQ36" i="3" s="1"/>
  <c r="BH36" i="3"/>
  <c r="DQ36" i="3" s="1"/>
  <c r="AP36" i="3"/>
  <c r="CY36" i="3" s="1"/>
  <c r="V36" i="3"/>
  <c r="CE36" i="3" s="1"/>
  <c r="G36" i="3"/>
  <c r="BP36" i="3" s="1"/>
  <c r="BG36" i="3"/>
  <c r="DP36" i="3" s="1"/>
  <c r="AO36" i="3"/>
  <c r="CX36" i="3" s="1"/>
  <c r="U36" i="3"/>
  <c r="CD36" i="3" s="1"/>
  <c r="E36" i="3"/>
  <c r="BN36" i="3" s="1"/>
  <c r="BF36" i="3"/>
  <c r="DO36" i="3" s="1"/>
  <c r="AL36" i="3"/>
  <c r="CU36" i="3" s="1"/>
  <c r="T36" i="3"/>
  <c r="CC36" i="3" s="1"/>
  <c r="BE36" i="3"/>
  <c r="DN36" i="3" s="1"/>
  <c r="AK36" i="3"/>
  <c r="CT36" i="3" s="1"/>
  <c r="S36" i="3"/>
  <c r="CB36" i="3" s="1"/>
  <c r="AY36" i="3"/>
  <c r="DH36" i="3" s="1"/>
  <c r="AI36" i="3"/>
  <c r="CR36" i="3" s="1"/>
  <c r="R36" i="3"/>
  <c r="CA36" i="3" s="1"/>
  <c r="O25" i="2"/>
  <c r="J22" i="2"/>
  <c r="O31" i="2"/>
  <c r="BF69" i="3"/>
  <c r="DO69" i="3" s="1"/>
  <c r="AV69" i="3"/>
  <c r="DE69" i="3" s="1"/>
  <c r="AL69" i="3"/>
  <c r="CU69" i="3" s="1"/>
  <c r="AB69" i="3"/>
  <c r="CK69" i="3" s="1"/>
  <c r="R69" i="3"/>
  <c r="CA69" i="3" s="1"/>
  <c r="H69" i="3"/>
  <c r="BQ69" i="3" s="1"/>
  <c r="BL69" i="3"/>
  <c r="DU69" i="3" s="1"/>
  <c r="BA69" i="3"/>
  <c r="DJ69" i="3" s="1"/>
  <c r="AP69" i="3"/>
  <c r="CY69" i="3" s="1"/>
  <c r="AE69" i="3"/>
  <c r="CN69" i="3" s="1"/>
  <c r="T69" i="3"/>
  <c r="CC69" i="3" s="1"/>
  <c r="I69" i="3"/>
  <c r="BR69" i="3" s="1"/>
  <c r="BK69" i="3"/>
  <c r="DT69" i="3" s="1"/>
  <c r="AZ69" i="3"/>
  <c r="DI69" i="3" s="1"/>
  <c r="AO69" i="3"/>
  <c r="CX69" i="3" s="1"/>
  <c r="AD69" i="3"/>
  <c r="CM69" i="3" s="1"/>
  <c r="S69" i="3"/>
  <c r="CB69" i="3" s="1"/>
  <c r="G69" i="3"/>
  <c r="BP69" i="3" s="1"/>
  <c r="BI69" i="3"/>
  <c r="DR69" i="3" s="1"/>
  <c r="BC69" i="3"/>
  <c r="DL69" i="3" s="1"/>
  <c r="AR69" i="3"/>
  <c r="DA69" i="3" s="1"/>
  <c r="AG69" i="3"/>
  <c r="CP69" i="3" s="1"/>
  <c r="V69" i="3"/>
  <c r="CE69" i="3" s="1"/>
  <c r="K69" i="3"/>
  <c r="BT69" i="3" s="1"/>
  <c r="AY69" i="3"/>
  <c r="DH69" i="3" s="1"/>
  <c r="AJ69" i="3"/>
  <c r="CS69" i="3" s="1"/>
  <c r="U69" i="3"/>
  <c r="CD69" i="3" s="1"/>
  <c r="AX69" i="3"/>
  <c r="DG69" i="3" s="1"/>
  <c r="AI69" i="3"/>
  <c r="CR69" i="3" s="1"/>
  <c r="Q69" i="3"/>
  <c r="BZ69" i="3" s="1"/>
  <c r="AW69" i="3"/>
  <c r="DF69" i="3" s="1"/>
  <c r="AH69" i="3"/>
  <c r="CQ69" i="3" s="1"/>
  <c r="P69" i="3"/>
  <c r="BY69" i="3" s="1"/>
  <c r="AU69" i="3"/>
  <c r="DD69" i="3" s="1"/>
  <c r="AF69" i="3"/>
  <c r="CO69" i="3" s="1"/>
  <c r="O69" i="3"/>
  <c r="BX69" i="3" s="1"/>
  <c r="BJ69" i="3"/>
  <c r="DS69" i="3" s="1"/>
  <c r="AT69" i="3"/>
  <c r="DC69" i="3" s="1"/>
  <c r="AC69" i="3"/>
  <c r="CL69" i="3" s="1"/>
  <c r="N69" i="3"/>
  <c r="BW69" i="3" s="1"/>
  <c r="BH69" i="3"/>
  <c r="DQ69" i="3" s="1"/>
  <c r="AS69" i="3"/>
  <c r="DB69" i="3" s="1"/>
  <c r="AA69" i="3"/>
  <c r="CJ69" i="3" s="1"/>
  <c r="M69" i="3"/>
  <c r="BV69" i="3" s="1"/>
  <c r="BG69" i="3"/>
  <c r="DP69" i="3" s="1"/>
  <c r="AQ69" i="3"/>
  <c r="CZ69" i="3" s="1"/>
  <c r="Z69" i="3"/>
  <c r="CI69" i="3" s="1"/>
  <c r="L69" i="3"/>
  <c r="BU69" i="3" s="1"/>
  <c r="BE69" i="3"/>
  <c r="DN69" i="3" s="1"/>
  <c r="AN69" i="3"/>
  <c r="CW69" i="3" s="1"/>
  <c r="Y69" i="3"/>
  <c r="CH69" i="3" s="1"/>
  <c r="J69" i="3"/>
  <c r="BS69" i="3" s="1"/>
  <c r="BB69" i="3"/>
  <c r="DK69" i="3" s="1"/>
  <c r="AK69" i="3"/>
  <c r="CT69" i="3" s="1"/>
  <c r="W69" i="3"/>
  <c r="CF69" i="3" s="1"/>
  <c r="E69" i="3"/>
  <c r="BN69" i="3" s="1"/>
  <c r="BD69" i="3"/>
  <c r="DM69" i="3" s="1"/>
  <c r="AM69" i="3"/>
  <c r="CV69" i="3" s="1"/>
  <c r="X69" i="3"/>
  <c r="CG69" i="3" s="1"/>
  <c r="F69" i="3"/>
  <c r="BO69" i="3" s="1"/>
  <c r="BJ93" i="3"/>
  <c r="DS93" i="3" s="1"/>
  <c r="AZ93" i="3"/>
  <c r="DI93" i="3" s="1"/>
  <c r="AP93" i="3"/>
  <c r="CY93" i="3" s="1"/>
  <c r="AF93" i="3"/>
  <c r="CO93" i="3" s="1"/>
  <c r="V93" i="3"/>
  <c r="CE93" i="3" s="1"/>
  <c r="L93" i="3"/>
  <c r="BU93" i="3" s="1"/>
  <c r="BL93" i="3"/>
  <c r="DU93" i="3" s="1"/>
  <c r="BB93" i="3"/>
  <c r="DK93" i="3" s="1"/>
  <c r="AR93" i="3"/>
  <c r="DA93" i="3" s="1"/>
  <c r="AH93" i="3"/>
  <c r="CQ93" i="3" s="1"/>
  <c r="X93" i="3"/>
  <c r="CG93" i="3" s="1"/>
  <c r="N93" i="3"/>
  <c r="BW93" i="3" s="1"/>
  <c r="BK93" i="3"/>
  <c r="DT93" i="3" s="1"/>
  <c r="BA93" i="3"/>
  <c r="DJ93" i="3" s="1"/>
  <c r="AQ93" i="3"/>
  <c r="CZ93" i="3" s="1"/>
  <c r="AG93" i="3"/>
  <c r="CP93" i="3" s="1"/>
  <c r="W93" i="3"/>
  <c r="CF93" i="3" s="1"/>
  <c r="M93" i="3"/>
  <c r="BV93" i="3" s="1"/>
  <c r="BH93" i="3"/>
  <c r="DQ93" i="3" s="1"/>
  <c r="AU93" i="3"/>
  <c r="DD93" i="3" s="1"/>
  <c r="AE93" i="3"/>
  <c r="CN93" i="3" s="1"/>
  <c r="R93" i="3"/>
  <c r="CA93" i="3" s="1"/>
  <c r="E93" i="3"/>
  <c r="BN93" i="3" s="1"/>
  <c r="BG93" i="3"/>
  <c r="DP93" i="3" s="1"/>
  <c r="AT93" i="3"/>
  <c r="DC93" i="3" s="1"/>
  <c r="AD93" i="3"/>
  <c r="CM93" i="3" s="1"/>
  <c r="Q93" i="3"/>
  <c r="BZ93" i="3" s="1"/>
  <c r="AX93" i="3"/>
  <c r="DG93" i="3" s="1"/>
  <c r="AK93" i="3"/>
  <c r="CT93" i="3" s="1"/>
  <c r="U93" i="3"/>
  <c r="CD93" i="3" s="1"/>
  <c r="H93" i="3"/>
  <c r="BQ93" i="3" s="1"/>
  <c r="BD93" i="3"/>
  <c r="DM93" i="3" s="1"/>
  <c r="AJ93" i="3"/>
  <c r="CS93" i="3" s="1"/>
  <c r="O93" i="3"/>
  <c r="BX93" i="3" s="1"/>
  <c r="BC93" i="3"/>
  <c r="DL93" i="3" s="1"/>
  <c r="AI93" i="3"/>
  <c r="CR93" i="3" s="1"/>
  <c r="K93" i="3"/>
  <c r="BT93" i="3" s="1"/>
  <c r="AY93" i="3"/>
  <c r="DH93" i="3" s="1"/>
  <c r="AC93" i="3"/>
  <c r="CL93" i="3" s="1"/>
  <c r="J93" i="3"/>
  <c r="BS93" i="3" s="1"/>
  <c r="AW93" i="3"/>
  <c r="DF93" i="3" s="1"/>
  <c r="AB93" i="3"/>
  <c r="CK93" i="3" s="1"/>
  <c r="I93" i="3"/>
  <c r="BR93" i="3" s="1"/>
  <c r="AV93" i="3"/>
  <c r="DE93" i="3" s="1"/>
  <c r="AA93" i="3"/>
  <c r="CJ93" i="3" s="1"/>
  <c r="G93" i="3"/>
  <c r="BP93" i="3" s="1"/>
  <c r="AS93" i="3"/>
  <c r="DB93" i="3" s="1"/>
  <c r="Z93" i="3"/>
  <c r="CI93" i="3" s="1"/>
  <c r="F93" i="3"/>
  <c r="BO93" i="3" s="1"/>
  <c r="AO93" i="3"/>
  <c r="CX93" i="3" s="1"/>
  <c r="Y93" i="3"/>
  <c r="CH93" i="3" s="1"/>
  <c r="BI93" i="3"/>
  <c r="DR93" i="3" s="1"/>
  <c r="AN93" i="3"/>
  <c r="CW93" i="3" s="1"/>
  <c r="T93" i="3"/>
  <c r="CC93" i="3" s="1"/>
  <c r="BF93" i="3"/>
  <c r="DO93" i="3" s="1"/>
  <c r="AM93" i="3"/>
  <c r="CV93" i="3" s="1"/>
  <c r="S93" i="3"/>
  <c r="CB93" i="3" s="1"/>
  <c r="BE93" i="3"/>
  <c r="DN93" i="3" s="1"/>
  <c r="AL93" i="3"/>
  <c r="CU93" i="3" s="1"/>
  <c r="P93" i="3"/>
  <c r="BY93" i="3" s="1"/>
  <c r="J21" i="2"/>
  <c r="K21" i="2" s="1"/>
  <c r="L21" i="2" s="1"/>
  <c r="BF40" i="3"/>
  <c r="DO40" i="3" s="1"/>
  <c r="AV40" i="3"/>
  <c r="DE40" i="3" s="1"/>
  <c r="AL40" i="3"/>
  <c r="CU40" i="3" s="1"/>
  <c r="AB40" i="3"/>
  <c r="CK40" i="3" s="1"/>
  <c r="R40" i="3"/>
  <c r="CA40" i="3" s="1"/>
  <c r="H40" i="3"/>
  <c r="BQ40" i="3" s="1"/>
  <c r="BE40" i="3"/>
  <c r="DN40" i="3" s="1"/>
  <c r="AU40" i="3"/>
  <c r="DD40" i="3" s="1"/>
  <c r="AK40" i="3"/>
  <c r="CT40" i="3" s="1"/>
  <c r="AA40" i="3"/>
  <c r="CJ40" i="3" s="1"/>
  <c r="Q40" i="3"/>
  <c r="BZ40" i="3" s="1"/>
  <c r="G40" i="3"/>
  <c r="BP40" i="3" s="1"/>
  <c r="BH40" i="3"/>
  <c r="DQ40" i="3" s="1"/>
  <c r="AX40" i="3"/>
  <c r="DG40" i="3" s="1"/>
  <c r="AN40" i="3"/>
  <c r="CW40" i="3" s="1"/>
  <c r="AD40" i="3"/>
  <c r="CM40" i="3" s="1"/>
  <c r="T40" i="3"/>
  <c r="CC40" i="3" s="1"/>
  <c r="J40" i="3"/>
  <c r="BS40" i="3" s="1"/>
  <c r="BG40" i="3"/>
  <c r="DP40" i="3" s="1"/>
  <c r="AR40" i="3"/>
  <c r="DA40" i="3" s="1"/>
  <c r="AE40" i="3"/>
  <c r="CN40" i="3" s="1"/>
  <c r="O40" i="3"/>
  <c r="BX40" i="3" s="1"/>
  <c r="BD40" i="3"/>
  <c r="DM40" i="3" s="1"/>
  <c r="AQ40" i="3"/>
  <c r="CZ40" i="3" s="1"/>
  <c r="AC40" i="3"/>
  <c r="CL40" i="3" s="1"/>
  <c r="N40" i="3"/>
  <c r="BW40" i="3" s="1"/>
  <c r="BC40" i="3"/>
  <c r="DL40" i="3" s="1"/>
  <c r="AP40" i="3"/>
  <c r="CY40" i="3" s="1"/>
  <c r="Z40" i="3"/>
  <c r="CI40" i="3" s="1"/>
  <c r="BJ40" i="3"/>
  <c r="DS40" i="3" s="1"/>
  <c r="AM40" i="3"/>
  <c r="CV40" i="3" s="1"/>
  <c r="U40" i="3"/>
  <c r="CD40" i="3" s="1"/>
  <c r="BI40" i="3"/>
  <c r="DR40" i="3" s="1"/>
  <c r="AJ40" i="3"/>
  <c r="CS40" i="3" s="1"/>
  <c r="S40" i="3"/>
  <c r="CB40" i="3" s="1"/>
  <c r="BB40" i="3"/>
  <c r="DK40" i="3" s="1"/>
  <c r="AI40" i="3"/>
  <c r="CR40" i="3" s="1"/>
  <c r="P40" i="3"/>
  <c r="BY40" i="3" s="1"/>
  <c r="BA40" i="3"/>
  <c r="DJ40" i="3" s="1"/>
  <c r="AH40" i="3"/>
  <c r="CQ40" i="3" s="1"/>
  <c r="M40" i="3"/>
  <c r="BV40" i="3" s="1"/>
  <c r="AZ40" i="3"/>
  <c r="DI40" i="3" s="1"/>
  <c r="AG40" i="3"/>
  <c r="CP40" i="3" s="1"/>
  <c r="L40" i="3"/>
  <c r="BU40" i="3" s="1"/>
  <c r="AY40" i="3"/>
  <c r="DH40" i="3" s="1"/>
  <c r="AF40" i="3"/>
  <c r="CO40" i="3" s="1"/>
  <c r="K40" i="3"/>
  <c r="BT40" i="3" s="1"/>
  <c r="AW40" i="3"/>
  <c r="DF40" i="3" s="1"/>
  <c r="Y40" i="3"/>
  <c r="CH40" i="3" s="1"/>
  <c r="I40" i="3"/>
  <c r="BR40" i="3" s="1"/>
  <c r="AT40" i="3"/>
  <c r="DC40" i="3" s="1"/>
  <c r="X40" i="3"/>
  <c r="CG40" i="3" s="1"/>
  <c r="F40" i="3"/>
  <c r="BO40" i="3" s="1"/>
  <c r="BL40" i="3"/>
  <c r="DU40" i="3" s="1"/>
  <c r="AS40" i="3"/>
  <c r="DB40" i="3" s="1"/>
  <c r="W40" i="3"/>
  <c r="CF40" i="3" s="1"/>
  <c r="E40" i="3"/>
  <c r="BN40" i="3" s="1"/>
  <c r="BK40" i="3"/>
  <c r="DT40" i="3" s="1"/>
  <c r="AO40" i="3"/>
  <c r="CX40" i="3" s="1"/>
  <c r="V40" i="3"/>
  <c r="CE40" i="3" s="1"/>
  <c r="J109" i="2"/>
  <c r="BE140" i="3"/>
  <c r="DN140" i="3" s="1"/>
  <c r="AU140" i="3"/>
  <c r="DD140" i="3" s="1"/>
  <c r="AK140" i="3"/>
  <c r="CT140" i="3" s="1"/>
  <c r="AA140" i="3"/>
  <c r="CJ140" i="3" s="1"/>
  <c r="Q140" i="3"/>
  <c r="BZ140" i="3" s="1"/>
  <c r="G140" i="3"/>
  <c r="BP140" i="3" s="1"/>
  <c r="BD140" i="3"/>
  <c r="DM140" i="3" s="1"/>
  <c r="AT140" i="3"/>
  <c r="DC140" i="3" s="1"/>
  <c r="AJ140" i="3"/>
  <c r="CS140" i="3" s="1"/>
  <c r="Z140" i="3"/>
  <c r="CI140" i="3" s="1"/>
  <c r="P140" i="3"/>
  <c r="BY140" i="3" s="1"/>
  <c r="F140" i="3"/>
  <c r="BO140" i="3" s="1"/>
  <c r="BG140" i="3"/>
  <c r="DP140" i="3" s="1"/>
  <c r="AW140" i="3"/>
  <c r="DF140" i="3" s="1"/>
  <c r="AM140" i="3"/>
  <c r="CV140" i="3" s="1"/>
  <c r="AC140" i="3"/>
  <c r="CL140" i="3" s="1"/>
  <c r="S140" i="3"/>
  <c r="CB140" i="3" s="1"/>
  <c r="I140" i="3"/>
  <c r="BR140" i="3" s="1"/>
  <c r="BA140" i="3"/>
  <c r="DJ140" i="3" s="1"/>
  <c r="AN140" i="3"/>
  <c r="CW140" i="3" s="1"/>
  <c r="X140" i="3"/>
  <c r="CG140" i="3" s="1"/>
  <c r="K140" i="3"/>
  <c r="BT140" i="3" s="1"/>
  <c r="AZ140" i="3"/>
  <c r="DI140" i="3" s="1"/>
  <c r="AL140" i="3"/>
  <c r="CU140" i="3" s="1"/>
  <c r="W140" i="3"/>
  <c r="CF140" i="3" s="1"/>
  <c r="J140" i="3"/>
  <c r="BS140" i="3" s="1"/>
  <c r="BC140" i="3"/>
  <c r="DL140" i="3" s="1"/>
  <c r="AP140" i="3"/>
  <c r="CY140" i="3" s="1"/>
  <c r="AB140" i="3"/>
  <c r="CK140" i="3" s="1"/>
  <c r="M140" i="3"/>
  <c r="BV140" i="3" s="1"/>
  <c r="BB140" i="3"/>
  <c r="DK140" i="3" s="1"/>
  <c r="AO140" i="3"/>
  <c r="CX140" i="3" s="1"/>
  <c r="Y140" i="3"/>
  <c r="CH140" i="3" s="1"/>
  <c r="L140" i="3"/>
  <c r="BU140" i="3" s="1"/>
  <c r="AV140" i="3"/>
  <c r="DE140" i="3" s="1"/>
  <c r="V140" i="3"/>
  <c r="CE140" i="3" s="1"/>
  <c r="AS140" i="3"/>
  <c r="DB140" i="3" s="1"/>
  <c r="U140" i="3"/>
  <c r="CD140" i="3" s="1"/>
  <c r="AY140" i="3"/>
  <c r="DH140" i="3" s="1"/>
  <c r="AE140" i="3"/>
  <c r="CN140" i="3" s="1"/>
  <c r="AX140" i="3"/>
  <c r="DG140" i="3" s="1"/>
  <c r="AD140" i="3"/>
  <c r="CM140" i="3" s="1"/>
  <c r="BF140" i="3"/>
  <c r="DO140" i="3" s="1"/>
  <c r="N140" i="3"/>
  <c r="BW140" i="3" s="1"/>
  <c r="BK140" i="3"/>
  <c r="DT140" i="3" s="1"/>
  <c r="AF140" i="3"/>
  <c r="CO140" i="3" s="1"/>
  <c r="BJ140" i="3"/>
  <c r="DS140" i="3" s="1"/>
  <c r="T140" i="3"/>
  <c r="CC140" i="3" s="1"/>
  <c r="BI140" i="3"/>
  <c r="DR140" i="3" s="1"/>
  <c r="R140" i="3"/>
  <c r="CA140" i="3" s="1"/>
  <c r="BH140" i="3"/>
  <c r="DQ140" i="3" s="1"/>
  <c r="AR140" i="3"/>
  <c r="DA140" i="3" s="1"/>
  <c r="AQ140" i="3"/>
  <c r="CZ140" i="3" s="1"/>
  <c r="AI140" i="3"/>
  <c r="CR140" i="3" s="1"/>
  <c r="AH140" i="3"/>
  <c r="CQ140" i="3" s="1"/>
  <c r="AG140" i="3"/>
  <c r="CP140" i="3" s="1"/>
  <c r="O140" i="3"/>
  <c r="BX140" i="3" s="1"/>
  <c r="H140" i="3"/>
  <c r="BQ140" i="3" s="1"/>
  <c r="BL140" i="3"/>
  <c r="DU140" i="3" s="1"/>
  <c r="E140" i="3"/>
  <c r="BN140" i="3" s="1"/>
  <c r="BK228" i="3"/>
  <c r="DT228" i="3" s="1"/>
  <c r="BA228" i="3"/>
  <c r="DJ228" i="3" s="1"/>
  <c r="AQ228" i="3"/>
  <c r="CZ228" i="3" s="1"/>
  <c r="AG228" i="3"/>
  <c r="CP228" i="3" s="1"/>
  <c r="W228" i="3"/>
  <c r="CF228" i="3" s="1"/>
  <c r="M228" i="3"/>
  <c r="BV228" i="3" s="1"/>
  <c r="BJ228" i="3"/>
  <c r="DS228" i="3" s="1"/>
  <c r="AZ228" i="3"/>
  <c r="DI228" i="3" s="1"/>
  <c r="AP228" i="3"/>
  <c r="CY228" i="3" s="1"/>
  <c r="AF228" i="3"/>
  <c r="CO228" i="3" s="1"/>
  <c r="V228" i="3"/>
  <c r="CE228" i="3" s="1"/>
  <c r="L228" i="3"/>
  <c r="BU228" i="3" s="1"/>
  <c r="BC228" i="3"/>
  <c r="DL228" i="3" s="1"/>
  <c r="AS228" i="3"/>
  <c r="DB228" i="3" s="1"/>
  <c r="AI228" i="3"/>
  <c r="CR228" i="3" s="1"/>
  <c r="Y228" i="3"/>
  <c r="CH228" i="3" s="1"/>
  <c r="O228" i="3"/>
  <c r="BX228" i="3" s="1"/>
  <c r="E228" i="3"/>
  <c r="BN228" i="3" s="1"/>
  <c r="BF228" i="3"/>
  <c r="DO228" i="3" s="1"/>
  <c r="AR228" i="3"/>
  <c r="DA228" i="3" s="1"/>
  <c r="AC228" i="3"/>
  <c r="CL228" i="3" s="1"/>
  <c r="P228" i="3"/>
  <c r="BY228" i="3" s="1"/>
  <c r="BE228" i="3"/>
  <c r="DN228" i="3" s="1"/>
  <c r="AO228" i="3"/>
  <c r="CX228" i="3" s="1"/>
  <c r="AB228" i="3"/>
  <c r="CK228" i="3" s="1"/>
  <c r="N228" i="3"/>
  <c r="BW228" i="3" s="1"/>
  <c r="BH228" i="3"/>
  <c r="DQ228" i="3" s="1"/>
  <c r="AU228" i="3"/>
  <c r="DD228" i="3" s="1"/>
  <c r="AE228" i="3"/>
  <c r="CN228" i="3" s="1"/>
  <c r="R228" i="3"/>
  <c r="CA228" i="3" s="1"/>
  <c r="BI228" i="3"/>
  <c r="DR228" i="3" s="1"/>
  <c r="AM228" i="3"/>
  <c r="CV228" i="3" s="1"/>
  <c r="T228" i="3"/>
  <c r="CC228" i="3" s="1"/>
  <c r="AT228" i="3"/>
  <c r="DC228" i="3" s="1"/>
  <c r="U228" i="3"/>
  <c r="CD228" i="3" s="1"/>
  <c r="AN228" i="3"/>
  <c r="CW228" i="3" s="1"/>
  <c r="S228" i="3"/>
  <c r="CB228" i="3" s="1"/>
  <c r="BL228" i="3"/>
  <c r="DU228" i="3" s="1"/>
  <c r="AL228" i="3"/>
  <c r="CU228" i="3" s="1"/>
  <c r="Q228" i="3"/>
  <c r="BZ228" i="3" s="1"/>
  <c r="BG228" i="3"/>
  <c r="DP228" i="3" s="1"/>
  <c r="AK228" i="3"/>
  <c r="CT228" i="3" s="1"/>
  <c r="K228" i="3"/>
  <c r="BT228" i="3" s="1"/>
  <c r="BD228" i="3"/>
  <c r="DM228" i="3" s="1"/>
  <c r="AJ228" i="3"/>
  <c r="CS228" i="3" s="1"/>
  <c r="J228" i="3"/>
  <c r="BS228" i="3" s="1"/>
  <c r="BB228" i="3"/>
  <c r="DK228" i="3" s="1"/>
  <c r="AH228" i="3"/>
  <c r="CQ228" i="3" s="1"/>
  <c r="I228" i="3"/>
  <c r="BR228" i="3" s="1"/>
  <c r="AY228" i="3"/>
  <c r="DH228" i="3" s="1"/>
  <c r="AD228" i="3"/>
  <c r="CM228" i="3" s="1"/>
  <c r="H228" i="3"/>
  <c r="BQ228" i="3" s="1"/>
  <c r="AX228" i="3"/>
  <c r="DG228" i="3" s="1"/>
  <c r="AA228" i="3"/>
  <c r="CJ228" i="3" s="1"/>
  <c r="G228" i="3"/>
  <c r="BP228" i="3" s="1"/>
  <c r="AW228" i="3"/>
  <c r="DF228" i="3" s="1"/>
  <c r="Z228" i="3"/>
  <c r="CI228" i="3" s="1"/>
  <c r="F228" i="3"/>
  <c r="BO228" i="3" s="1"/>
  <c r="AV228" i="3"/>
  <c r="DE228" i="3" s="1"/>
  <c r="X228" i="3"/>
  <c r="CG228" i="3" s="1"/>
  <c r="N229" i="2"/>
  <c r="O229" i="2"/>
  <c r="N279" i="2"/>
  <c r="O279" i="2"/>
  <c r="BH47" i="3"/>
  <c r="DQ47" i="3" s="1"/>
  <c r="AX47" i="3"/>
  <c r="DG47" i="3" s="1"/>
  <c r="AN47" i="3"/>
  <c r="CW47" i="3" s="1"/>
  <c r="AD47" i="3"/>
  <c r="CM47" i="3" s="1"/>
  <c r="T47" i="3"/>
  <c r="CC47" i="3" s="1"/>
  <c r="J47" i="3"/>
  <c r="BS47" i="3" s="1"/>
  <c r="BG47" i="3"/>
  <c r="DP47" i="3" s="1"/>
  <c r="AW47" i="3"/>
  <c r="DF47" i="3" s="1"/>
  <c r="AM47" i="3"/>
  <c r="CV47" i="3" s="1"/>
  <c r="AC47" i="3"/>
  <c r="CL47" i="3" s="1"/>
  <c r="S47" i="3"/>
  <c r="CB47" i="3" s="1"/>
  <c r="I47" i="3"/>
  <c r="BR47" i="3" s="1"/>
  <c r="BJ47" i="3"/>
  <c r="DS47" i="3" s="1"/>
  <c r="AZ47" i="3"/>
  <c r="DI47" i="3" s="1"/>
  <c r="AP47" i="3"/>
  <c r="CY47" i="3" s="1"/>
  <c r="AF47" i="3"/>
  <c r="CO47" i="3" s="1"/>
  <c r="V47" i="3"/>
  <c r="CE47" i="3" s="1"/>
  <c r="L47" i="3"/>
  <c r="BU47" i="3" s="1"/>
  <c r="BK47" i="3"/>
  <c r="DT47" i="3" s="1"/>
  <c r="AU47" i="3"/>
  <c r="DD47" i="3" s="1"/>
  <c r="AH47" i="3"/>
  <c r="CQ47" i="3" s="1"/>
  <c r="R47" i="3"/>
  <c r="CA47" i="3" s="1"/>
  <c r="E47" i="3"/>
  <c r="BN47" i="3" s="1"/>
  <c r="BI47" i="3"/>
  <c r="DR47" i="3" s="1"/>
  <c r="AT47" i="3"/>
  <c r="DC47" i="3" s="1"/>
  <c r="AG47" i="3"/>
  <c r="CP47" i="3" s="1"/>
  <c r="Q47" i="3"/>
  <c r="BZ47" i="3" s="1"/>
  <c r="BF47" i="3"/>
  <c r="DO47" i="3" s="1"/>
  <c r="AS47" i="3"/>
  <c r="DB47" i="3" s="1"/>
  <c r="AE47" i="3"/>
  <c r="CN47" i="3" s="1"/>
  <c r="P47" i="3"/>
  <c r="BY47" i="3" s="1"/>
  <c r="BL47" i="3"/>
  <c r="DU47" i="3" s="1"/>
  <c r="AV47" i="3"/>
  <c r="DE47" i="3" s="1"/>
  <c r="AI47" i="3"/>
  <c r="CR47" i="3" s="1"/>
  <c r="U47" i="3"/>
  <c r="CD47" i="3" s="1"/>
  <c r="F47" i="3"/>
  <c r="BO47" i="3" s="1"/>
  <c r="AO47" i="3"/>
  <c r="CX47" i="3" s="1"/>
  <c r="O47" i="3"/>
  <c r="BX47" i="3" s="1"/>
  <c r="AL47" i="3"/>
  <c r="CU47" i="3" s="1"/>
  <c r="N47" i="3"/>
  <c r="BW47" i="3" s="1"/>
  <c r="BE47" i="3"/>
  <c r="DN47" i="3" s="1"/>
  <c r="AK47" i="3"/>
  <c r="CT47" i="3" s="1"/>
  <c r="M47" i="3"/>
  <c r="BV47" i="3" s="1"/>
  <c r="BD47" i="3"/>
  <c r="DM47" i="3" s="1"/>
  <c r="AJ47" i="3"/>
  <c r="CS47" i="3" s="1"/>
  <c r="K47" i="3"/>
  <c r="BT47" i="3" s="1"/>
  <c r="BC47" i="3"/>
  <c r="DL47" i="3" s="1"/>
  <c r="AB47" i="3"/>
  <c r="CK47" i="3" s="1"/>
  <c r="H47" i="3"/>
  <c r="BQ47" i="3" s="1"/>
  <c r="BB47" i="3"/>
  <c r="DK47" i="3" s="1"/>
  <c r="AA47" i="3"/>
  <c r="CJ47" i="3" s="1"/>
  <c r="G47" i="3"/>
  <c r="BP47" i="3" s="1"/>
  <c r="BA47" i="3"/>
  <c r="DJ47" i="3" s="1"/>
  <c r="Z47" i="3"/>
  <c r="CI47" i="3" s="1"/>
  <c r="AY47" i="3"/>
  <c r="DH47" i="3" s="1"/>
  <c r="Y47" i="3"/>
  <c r="CH47" i="3" s="1"/>
  <c r="AR47" i="3"/>
  <c r="DA47" i="3" s="1"/>
  <c r="X47" i="3"/>
  <c r="CG47" i="3" s="1"/>
  <c r="AQ47" i="3"/>
  <c r="CZ47" i="3" s="1"/>
  <c r="W47" i="3"/>
  <c r="CF47" i="3" s="1"/>
  <c r="BG147" i="3"/>
  <c r="DP147" i="3" s="1"/>
  <c r="AW147" i="3"/>
  <c r="DF147" i="3" s="1"/>
  <c r="AM147" i="3"/>
  <c r="CV147" i="3" s="1"/>
  <c r="AC147" i="3"/>
  <c r="CL147" i="3" s="1"/>
  <c r="S147" i="3"/>
  <c r="CB147" i="3" s="1"/>
  <c r="I147" i="3"/>
  <c r="BR147" i="3" s="1"/>
  <c r="BF147" i="3"/>
  <c r="DO147" i="3" s="1"/>
  <c r="AV147" i="3"/>
  <c r="DE147" i="3" s="1"/>
  <c r="AL147" i="3"/>
  <c r="CU147" i="3" s="1"/>
  <c r="AB147" i="3"/>
  <c r="CK147" i="3" s="1"/>
  <c r="R147" i="3"/>
  <c r="CA147" i="3" s="1"/>
  <c r="H147" i="3"/>
  <c r="BQ147" i="3" s="1"/>
  <c r="BI147" i="3"/>
  <c r="DR147" i="3" s="1"/>
  <c r="AY147" i="3"/>
  <c r="DH147" i="3" s="1"/>
  <c r="AO147" i="3"/>
  <c r="CX147" i="3" s="1"/>
  <c r="AE147" i="3"/>
  <c r="CN147" i="3" s="1"/>
  <c r="U147" i="3"/>
  <c r="CD147" i="3" s="1"/>
  <c r="K147" i="3"/>
  <c r="BT147" i="3" s="1"/>
  <c r="BD147" i="3"/>
  <c r="DM147" i="3" s="1"/>
  <c r="AQ147" i="3"/>
  <c r="CZ147" i="3" s="1"/>
  <c r="AA147" i="3"/>
  <c r="CJ147" i="3" s="1"/>
  <c r="N147" i="3"/>
  <c r="BW147" i="3" s="1"/>
  <c r="BC147" i="3"/>
  <c r="DL147" i="3" s="1"/>
  <c r="AP147" i="3"/>
  <c r="CY147" i="3" s="1"/>
  <c r="Z147" i="3"/>
  <c r="CI147" i="3" s="1"/>
  <c r="M147" i="3"/>
  <c r="BV147" i="3" s="1"/>
  <c r="BH147" i="3"/>
  <c r="DQ147" i="3" s="1"/>
  <c r="AS147" i="3"/>
  <c r="DB147" i="3" s="1"/>
  <c r="AF147" i="3"/>
  <c r="CO147" i="3" s="1"/>
  <c r="P147" i="3"/>
  <c r="BY147" i="3" s="1"/>
  <c r="BE147" i="3"/>
  <c r="DN147" i="3" s="1"/>
  <c r="AR147" i="3"/>
  <c r="DA147" i="3" s="1"/>
  <c r="AD147" i="3"/>
  <c r="CM147" i="3" s="1"/>
  <c r="O147" i="3"/>
  <c r="BX147" i="3" s="1"/>
  <c r="BK147" i="3"/>
  <c r="DT147" i="3" s="1"/>
  <c r="AJ147" i="3"/>
  <c r="CS147" i="3" s="1"/>
  <c r="L147" i="3"/>
  <c r="BU147" i="3" s="1"/>
  <c r="BJ147" i="3"/>
  <c r="DS147" i="3" s="1"/>
  <c r="AI147" i="3"/>
  <c r="CR147" i="3" s="1"/>
  <c r="J147" i="3"/>
  <c r="BS147" i="3" s="1"/>
  <c r="BB147" i="3"/>
  <c r="DK147" i="3" s="1"/>
  <c r="AH147" i="3"/>
  <c r="CQ147" i="3" s="1"/>
  <c r="G147" i="3"/>
  <c r="BP147" i="3" s="1"/>
  <c r="AN147" i="3"/>
  <c r="CW147" i="3" s="1"/>
  <c r="T147" i="3"/>
  <c r="CC147" i="3" s="1"/>
  <c r="BL147" i="3"/>
  <c r="DU147" i="3" s="1"/>
  <c r="AK147" i="3"/>
  <c r="CT147" i="3" s="1"/>
  <c r="Q147" i="3"/>
  <c r="BZ147" i="3" s="1"/>
  <c r="Y147" i="3"/>
  <c r="CH147" i="3" s="1"/>
  <c r="AX147" i="3"/>
  <c r="DG147" i="3" s="1"/>
  <c r="AU147" i="3"/>
  <c r="DD147" i="3" s="1"/>
  <c r="AT147" i="3"/>
  <c r="DC147" i="3" s="1"/>
  <c r="F147" i="3"/>
  <c r="BO147" i="3" s="1"/>
  <c r="E147" i="3"/>
  <c r="BN147" i="3" s="1"/>
  <c r="BA147" i="3"/>
  <c r="DJ147" i="3" s="1"/>
  <c r="AZ147" i="3"/>
  <c r="DI147" i="3" s="1"/>
  <c r="AG147" i="3"/>
  <c r="CP147" i="3" s="1"/>
  <c r="X147" i="3"/>
  <c r="CG147" i="3" s="1"/>
  <c r="W147" i="3"/>
  <c r="CF147" i="3" s="1"/>
  <c r="V147" i="3"/>
  <c r="CE147" i="3" s="1"/>
  <c r="J93" i="2"/>
  <c r="K93" i="2" s="1"/>
  <c r="L93" i="2" s="1"/>
  <c r="BI124" i="3"/>
  <c r="DR124" i="3" s="1"/>
  <c r="AY124" i="3"/>
  <c r="DH124" i="3" s="1"/>
  <c r="AO124" i="3"/>
  <c r="CX124" i="3" s="1"/>
  <c r="AE124" i="3"/>
  <c r="CN124" i="3" s="1"/>
  <c r="U124" i="3"/>
  <c r="CD124" i="3" s="1"/>
  <c r="K124" i="3"/>
  <c r="BT124" i="3" s="1"/>
  <c r="BB124" i="3"/>
  <c r="DK124" i="3" s="1"/>
  <c r="AQ124" i="3"/>
  <c r="CZ124" i="3" s="1"/>
  <c r="AF124" i="3"/>
  <c r="CO124" i="3" s="1"/>
  <c r="T124" i="3"/>
  <c r="CC124" i="3" s="1"/>
  <c r="I124" i="3"/>
  <c r="BR124" i="3" s="1"/>
  <c r="BD124" i="3"/>
  <c r="DM124" i="3" s="1"/>
  <c r="AS124" i="3"/>
  <c r="DB124" i="3" s="1"/>
  <c r="AH124" i="3"/>
  <c r="CQ124" i="3" s="1"/>
  <c r="W124" i="3"/>
  <c r="CF124" i="3" s="1"/>
  <c r="L124" i="3"/>
  <c r="BU124" i="3" s="1"/>
  <c r="BA124" i="3"/>
  <c r="DJ124" i="3" s="1"/>
  <c r="AM124" i="3"/>
  <c r="CV124" i="3" s="1"/>
  <c r="Z124" i="3"/>
  <c r="CI124" i="3" s="1"/>
  <c r="M124" i="3"/>
  <c r="BV124" i="3" s="1"/>
  <c r="BE124" i="3"/>
  <c r="DN124" i="3" s="1"/>
  <c r="AP124" i="3"/>
  <c r="CY124" i="3" s="1"/>
  <c r="AB124" i="3"/>
  <c r="CK124" i="3" s="1"/>
  <c r="O124" i="3"/>
  <c r="BX124" i="3" s="1"/>
  <c r="BC124" i="3"/>
  <c r="DL124" i="3" s="1"/>
  <c r="AN124" i="3"/>
  <c r="CW124" i="3" s="1"/>
  <c r="AA124" i="3"/>
  <c r="CJ124" i="3" s="1"/>
  <c r="N124" i="3"/>
  <c r="BW124" i="3" s="1"/>
  <c r="BG124" i="3"/>
  <c r="DP124" i="3" s="1"/>
  <c r="AK124" i="3"/>
  <c r="CT124" i="3" s="1"/>
  <c r="R124" i="3"/>
  <c r="CA124" i="3" s="1"/>
  <c r="BL124" i="3"/>
  <c r="DU124" i="3" s="1"/>
  <c r="AU124" i="3"/>
  <c r="DD124" i="3" s="1"/>
  <c r="Y124" i="3"/>
  <c r="CH124" i="3" s="1"/>
  <c r="F124" i="3"/>
  <c r="BO124" i="3" s="1"/>
  <c r="BK124" i="3"/>
  <c r="DT124" i="3" s="1"/>
  <c r="AT124" i="3"/>
  <c r="DC124" i="3" s="1"/>
  <c r="X124" i="3"/>
  <c r="CG124" i="3" s="1"/>
  <c r="E124" i="3"/>
  <c r="BN124" i="3" s="1"/>
  <c r="BJ124" i="3"/>
  <c r="DS124" i="3" s="1"/>
  <c r="AR124" i="3"/>
  <c r="DA124" i="3" s="1"/>
  <c r="V124" i="3"/>
  <c r="CE124" i="3" s="1"/>
  <c r="AL124" i="3"/>
  <c r="CU124" i="3" s="1"/>
  <c r="H124" i="3"/>
  <c r="BQ124" i="3" s="1"/>
  <c r="AJ124" i="3"/>
  <c r="CS124" i="3" s="1"/>
  <c r="G124" i="3"/>
  <c r="BP124" i="3" s="1"/>
  <c r="AI124" i="3"/>
  <c r="CR124" i="3" s="1"/>
  <c r="AG124" i="3"/>
  <c r="CP124" i="3" s="1"/>
  <c r="BH124" i="3"/>
  <c r="DQ124" i="3" s="1"/>
  <c r="AD124" i="3"/>
  <c r="CM124" i="3" s="1"/>
  <c r="BF124" i="3"/>
  <c r="DO124" i="3" s="1"/>
  <c r="AC124" i="3"/>
  <c r="CL124" i="3" s="1"/>
  <c r="AZ124" i="3"/>
  <c r="DI124" i="3" s="1"/>
  <c r="S124" i="3"/>
  <c r="CB124" i="3" s="1"/>
  <c r="AX124" i="3"/>
  <c r="DG124" i="3" s="1"/>
  <c r="Q124" i="3"/>
  <c r="BZ124" i="3" s="1"/>
  <c r="AW124" i="3"/>
  <c r="DF124" i="3" s="1"/>
  <c r="AV124" i="3"/>
  <c r="DE124" i="3" s="1"/>
  <c r="P124" i="3"/>
  <c r="BY124" i="3" s="1"/>
  <c r="J124" i="3"/>
  <c r="BS124" i="3" s="1"/>
  <c r="J193" i="2"/>
  <c r="J235" i="2"/>
  <c r="K235" i="2" s="1"/>
  <c r="L235" i="2" s="1"/>
  <c r="BG278" i="3"/>
  <c r="DP278" i="3" s="1"/>
  <c r="AW278" i="3"/>
  <c r="DF278" i="3" s="1"/>
  <c r="AM278" i="3"/>
  <c r="CV278" i="3" s="1"/>
  <c r="AC278" i="3"/>
  <c r="CL278" i="3" s="1"/>
  <c r="S278" i="3"/>
  <c r="CB278" i="3" s="1"/>
  <c r="I278" i="3"/>
  <c r="BR278" i="3" s="1"/>
  <c r="BF278" i="3"/>
  <c r="DO278" i="3" s="1"/>
  <c r="AV278" i="3"/>
  <c r="DE278" i="3" s="1"/>
  <c r="AL278" i="3"/>
  <c r="CU278" i="3" s="1"/>
  <c r="AB278" i="3"/>
  <c r="CK278" i="3" s="1"/>
  <c r="R278" i="3"/>
  <c r="CA278" i="3" s="1"/>
  <c r="H278" i="3"/>
  <c r="BQ278" i="3" s="1"/>
  <c r="BI278" i="3"/>
  <c r="DR278" i="3" s="1"/>
  <c r="AY278" i="3"/>
  <c r="DH278" i="3" s="1"/>
  <c r="AO278" i="3"/>
  <c r="CX278" i="3" s="1"/>
  <c r="AE278" i="3"/>
  <c r="CN278" i="3" s="1"/>
  <c r="U278" i="3"/>
  <c r="CD278" i="3" s="1"/>
  <c r="K278" i="3"/>
  <c r="BT278" i="3" s="1"/>
  <c r="BH278" i="3"/>
  <c r="DQ278" i="3" s="1"/>
  <c r="AS278" i="3"/>
  <c r="DB278" i="3" s="1"/>
  <c r="AF278" i="3"/>
  <c r="CO278" i="3" s="1"/>
  <c r="P278" i="3"/>
  <c r="BY278" i="3" s="1"/>
  <c r="BL278" i="3"/>
  <c r="DU278" i="3" s="1"/>
  <c r="AX278" i="3"/>
  <c r="DG278" i="3" s="1"/>
  <c r="AI278" i="3"/>
  <c r="CR278" i="3" s="1"/>
  <c r="V278" i="3"/>
  <c r="CE278" i="3" s="1"/>
  <c r="F278" i="3"/>
  <c r="BO278" i="3" s="1"/>
  <c r="AU278" i="3"/>
  <c r="DD278" i="3" s="1"/>
  <c r="AD278" i="3"/>
  <c r="CM278" i="3" s="1"/>
  <c r="M278" i="3"/>
  <c r="BV278" i="3" s="1"/>
  <c r="AT278" i="3"/>
  <c r="DC278" i="3" s="1"/>
  <c r="AA278" i="3"/>
  <c r="CJ278" i="3" s="1"/>
  <c r="L278" i="3"/>
  <c r="BU278" i="3" s="1"/>
  <c r="BK278" i="3"/>
  <c r="DT278" i="3" s="1"/>
  <c r="AR278" i="3"/>
  <c r="DA278" i="3" s="1"/>
  <c r="Z278" i="3"/>
  <c r="CI278" i="3" s="1"/>
  <c r="J278" i="3"/>
  <c r="BS278" i="3" s="1"/>
  <c r="BJ278" i="3"/>
  <c r="DS278" i="3" s="1"/>
  <c r="AQ278" i="3"/>
  <c r="CZ278" i="3" s="1"/>
  <c r="Y278" i="3"/>
  <c r="CH278" i="3" s="1"/>
  <c r="G278" i="3"/>
  <c r="BP278" i="3" s="1"/>
  <c r="BE278" i="3"/>
  <c r="DN278" i="3" s="1"/>
  <c r="AP278" i="3"/>
  <c r="CY278" i="3" s="1"/>
  <c r="X278" i="3"/>
  <c r="CG278" i="3" s="1"/>
  <c r="E278" i="3"/>
  <c r="BN278" i="3" s="1"/>
  <c r="BD278" i="3"/>
  <c r="DM278" i="3" s="1"/>
  <c r="AN278" i="3"/>
  <c r="CW278" i="3" s="1"/>
  <c r="W278" i="3"/>
  <c r="CF278" i="3" s="1"/>
  <c r="BC278" i="3"/>
  <c r="DL278" i="3" s="1"/>
  <c r="AK278" i="3"/>
  <c r="CT278" i="3" s="1"/>
  <c r="T278" i="3"/>
  <c r="CC278" i="3" s="1"/>
  <c r="BB278" i="3"/>
  <c r="DK278" i="3" s="1"/>
  <c r="AJ278" i="3"/>
  <c r="CS278" i="3" s="1"/>
  <c r="Q278" i="3"/>
  <c r="BZ278" i="3" s="1"/>
  <c r="BA278" i="3"/>
  <c r="DJ278" i="3" s="1"/>
  <c r="AH278" i="3"/>
  <c r="CQ278" i="3" s="1"/>
  <c r="O278" i="3"/>
  <c r="BX278" i="3" s="1"/>
  <c r="AZ278" i="3"/>
  <c r="DI278" i="3" s="1"/>
  <c r="AG278" i="3"/>
  <c r="CP278" i="3" s="1"/>
  <c r="N278" i="3"/>
  <c r="BW278" i="3" s="1"/>
  <c r="J150" i="2"/>
  <c r="K150" i="2" s="1"/>
  <c r="L150" i="2" s="1"/>
  <c r="J190" i="2"/>
  <c r="K190" i="2" s="1"/>
  <c r="L190" i="2" s="1"/>
  <c r="BK288" i="3"/>
  <c r="DT288" i="3" s="1"/>
  <c r="BA288" i="3"/>
  <c r="DJ288" i="3" s="1"/>
  <c r="AQ288" i="3"/>
  <c r="CZ288" i="3" s="1"/>
  <c r="AG288" i="3"/>
  <c r="CP288" i="3" s="1"/>
  <c r="W288" i="3"/>
  <c r="CF288" i="3" s="1"/>
  <c r="M288" i="3"/>
  <c r="BV288" i="3" s="1"/>
  <c r="BC288" i="3"/>
  <c r="DL288" i="3" s="1"/>
  <c r="AR288" i="3"/>
  <c r="DA288" i="3" s="1"/>
  <c r="AF288" i="3"/>
  <c r="CO288" i="3" s="1"/>
  <c r="U288" i="3"/>
  <c r="CD288" i="3" s="1"/>
  <c r="J288" i="3"/>
  <c r="BS288" i="3" s="1"/>
  <c r="BB288" i="3"/>
  <c r="DK288" i="3" s="1"/>
  <c r="AP288" i="3"/>
  <c r="CY288" i="3" s="1"/>
  <c r="AE288" i="3"/>
  <c r="CN288" i="3" s="1"/>
  <c r="T288" i="3"/>
  <c r="CC288" i="3" s="1"/>
  <c r="I288" i="3"/>
  <c r="BR288" i="3" s="1"/>
  <c r="BL288" i="3"/>
  <c r="DU288" i="3" s="1"/>
  <c r="BE288" i="3"/>
  <c r="DN288" i="3" s="1"/>
  <c r="AT288" i="3"/>
  <c r="DC288" i="3" s="1"/>
  <c r="AI288" i="3"/>
  <c r="CR288" i="3" s="1"/>
  <c r="X288" i="3"/>
  <c r="CG288" i="3" s="1"/>
  <c r="L288" i="3"/>
  <c r="BU288" i="3" s="1"/>
  <c r="BH288" i="3"/>
  <c r="DQ288" i="3" s="1"/>
  <c r="AS288" i="3"/>
  <c r="DB288" i="3" s="1"/>
  <c r="AB288" i="3"/>
  <c r="CK288" i="3" s="1"/>
  <c r="N288" i="3"/>
  <c r="BW288" i="3" s="1"/>
  <c r="AW288" i="3"/>
  <c r="DF288" i="3" s="1"/>
  <c r="AH288" i="3"/>
  <c r="CQ288" i="3" s="1"/>
  <c r="Q288" i="3"/>
  <c r="BZ288" i="3" s="1"/>
  <c r="BJ288" i="3"/>
  <c r="DS288" i="3" s="1"/>
  <c r="AV288" i="3"/>
  <c r="DE288" i="3" s="1"/>
  <c r="AD288" i="3"/>
  <c r="CM288" i="3" s="1"/>
  <c r="P288" i="3"/>
  <c r="BY288" i="3" s="1"/>
  <c r="AO288" i="3"/>
  <c r="CX288" i="3" s="1"/>
  <c r="V288" i="3"/>
  <c r="CE288" i="3" s="1"/>
  <c r="AN288" i="3"/>
  <c r="CW288" i="3" s="1"/>
  <c r="S288" i="3"/>
  <c r="CB288" i="3" s="1"/>
  <c r="BI288" i="3"/>
  <c r="DR288" i="3" s="1"/>
  <c r="AM288" i="3"/>
  <c r="CV288" i="3" s="1"/>
  <c r="R288" i="3"/>
  <c r="CA288" i="3" s="1"/>
  <c r="BG288" i="3"/>
  <c r="DP288" i="3" s="1"/>
  <c r="AL288" i="3"/>
  <c r="CU288" i="3" s="1"/>
  <c r="O288" i="3"/>
  <c r="BX288" i="3" s="1"/>
  <c r="BF288" i="3"/>
  <c r="DO288" i="3" s="1"/>
  <c r="AK288" i="3"/>
  <c r="CT288" i="3" s="1"/>
  <c r="K288" i="3"/>
  <c r="BT288" i="3" s="1"/>
  <c r="BD288" i="3"/>
  <c r="DM288" i="3" s="1"/>
  <c r="AJ288" i="3"/>
  <c r="CS288" i="3" s="1"/>
  <c r="H288" i="3"/>
  <c r="BQ288" i="3" s="1"/>
  <c r="AZ288" i="3"/>
  <c r="DI288" i="3" s="1"/>
  <c r="AC288" i="3"/>
  <c r="CL288" i="3" s="1"/>
  <c r="G288" i="3"/>
  <c r="BP288" i="3" s="1"/>
  <c r="AY288" i="3"/>
  <c r="DH288" i="3" s="1"/>
  <c r="AA288" i="3"/>
  <c r="CJ288" i="3" s="1"/>
  <c r="F288" i="3"/>
  <c r="BO288" i="3" s="1"/>
  <c r="AX288" i="3"/>
  <c r="DG288" i="3" s="1"/>
  <c r="Z288" i="3"/>
  <c r="CI288" i="3" s="1"/>
  <c r="E288" i="3"/>
  <c r="BN288" i="3" s="1"/>
  <c r="AU288" i="3"/>
  <c r="DD288" i="3" s="1"/>
  <c r="Y288" i="3"/>
  <c r="CH288" i="3" s="1"/>
  <c r="J107" i="2"/>
  <c r="K107" i="2" s="1"/>
  <c r="L107" i="2" s="1"/>
  <c r="BC138" i="3"/>
  <c r="DL138" i="3" s="1"/>
  <c r="AS138" i="3"/>
  <c r="DB138" i="3" s="1"/>
  <c r="AI138" i="3"/>
  <c r="CR138" i="3" s="1"/>
  <c r="Y138" i="3"/>
  <c r="CH138" i="3" s="1"/>
  <c r="O138" i="3"/>
  <c r="BX138" i="3" s="1"/>
  <c r="E138" i="3"/>
  <c r="BN138" i="3" s="1"/>
  <c r="BL138" i="3"/>
  <c r="DU138" i="3" s="1"/>
  <c r="BB138" i="3"/>
  <c r="DK138" i="3" s="1"/>
  <c r="AR138" i="3"/>
  <c r="DA138" i="3" s="1"/>
  <c r="AH138" i="3"/>
  <c r="CQ138" i="3" s="1"/>
  <c r="X138" i="3"/>
  <c r="CG138" i="3" s="1"/>
  <c r="N138" i="3"/>
  <c r="BW138" i="3" s="1"/>
  <c r="BE138" i="3"/>
  <c r="DN138" i="3" s="1"/>
  <c r="AU138" i="3"/>
  <c r="DD138" i="3" s="1"/>
  <c r="AK138" i="3"/>
  <c r="CT138" i="3" s="1"/>
  <c r="AA138" i="3"/>
  <c r="CJ138" i="3" s="1"/>
  <c r="Q138" i="3"/>
  <c r="BZ138" i="3" s="1"/>
  <c r="G138" i="3"/>
  <c r="BP138" i="3" s="1"/>
  <c r="BG138" i="3"/>
  <c r="DP138" i="3" s="1"/>
  <c r="AQ138" i="3"/>
  <c r="CZ138" i="3" s="1"/>
  <c r="AD138" i="3"/>
  <c r="CM138" i="3" s="1"/>
  <c r="P138" i="3"/>
  <c r="BY138" i="3" s="1"/>
  <c r="BI138" i="3"/>
  <c r="DR138" i="3" s="1"/>
  <c r="AV138" i="3"/>
  <c r="DE138" i="3" s="1"/>
  <c r="AF138" i="3"/>
  <c r="CO138" i="3" s="1"/>
  <c r="S138" i="3"/>
  <c r="CB138" i="3" s="1"/>
  <c r="BH138" i="3"/>
  <c r="DQ138" i="3" s="1"/>
  <c r="AT138" i="3"/>
  <c r="DC138" i="3" s="1"/>
  <c r="AE138" i="3"/>
  <c r="CN138" i="3" s="1"/>
  <c r="R138" i="3"/>
  <c r="CA138" i="3" s="1"/>
  <c r="BJ138" i="3"/>
  <c r="DS138" i="3" s="1"/>
  <c r="AN138" i="3"/>
  <c r="CW138" i="3" s="1"/>
  <c r="U138" i="3"/>
  <c r="CD138" i="3" s="1"/>
  <c r="BF138" i="3"/>
  <c r="DO138" i="3" s="1"/>
  <c r="AM138" i="3"/>
  <c r="CV138" i="3" s="1"/>
  <c r="T138" i="3"/>
  <c r="CC138" i="3" s="1"/>
  <c r="AP138" i="3"/>
  <c r="CY138" i="3" s="1"/>
  <c r="W138" i="3"/>
  <c r="CF138" i="3" s="1"/>
  <c r="F138" i="3"/>
  <c r="BO138" i="3" s="1"/>
  <c r="BK138" i="3"/>
  <c r="DT138" i="3" s="1"/>
  <c r="AO138" i="3"/>
  <c r="CX138" i="3" s="1"/>
  <c r="V138" i="3"/>
  <c r="CE138" i="3" s="1"/>
  <c r="AY138" i="3"/>
  <c r="DH138" i="3" s="1"/>
  <c r="L138" i="3"/>
  <c r="BU138" i="3" s="1"/>
  <c r="AC138" i="3"/>
  <c r="CL138" i="3" s="1"/>
  <c r="BD138" i="3"/>
  <c r="DM138" i="3" s="1"/>
  <c r="AB138" i="3"/>
  <c r="CK138" i="3" s="1"/>
  <c r="BA138" i="3"/>
  <c r="DJ138" i="3" s="1"/>
  <c r="Z138" i="3"/>
  <c r="CI138" i="3" s="1"/>
  <c r="J138" i="3"/>
  <c r="BS138" i="3" s="1"/>
  <c r="I138" i="3"/>
  <c r="BR138" i="3" s="1"/>
  <c r="AZ138" i="3"/>
  <c r="DI138" i="3" s="1"/>
  <c r="H138" i="3"/>
  <c r="BQ138" i="3" s="1"/>
  <c r="AX138" i="3"/>
  <c r="DG138" i="3" s="1"/>
  <c r="AW138" i="3"/>
  <c r="DF138" i="3" s="1"/>
  <c r="AL138" i="3"/>
  <c r="CU138" i="3" s="1"/>
  <c r="AJ138" i="3"/>
  <c r="CS138" i="3" s="1"/>
  <c r="AG138" i="3"/>
  <c r="CP138" i="3" s="1"/>
  <c r="M138" i="3"/>
  <c r="BV138" i="3" s="1"/>
  <c r="K138" i="3"/>
  <c r="BT138" i="3" s="1"/>
  <c r="BD188" i="3"/>
  <c r="DM188" i="3" s="1"/>
  <c r="AT188" i="3"/>
  <c r="DC188" i="3" s="1"/>
  <c r="AJ188" i="3"/>
  <c r="CS188" i="3" s="1"/>
  <c r="Z188" i="3"/>
  <c r="CI188" i="3" s="1"/>
  <c r="P188" i="3"/>
  <c r="BY188" i="3" s="1"/>
  <c r="F188" i="3"/>
  <c r="BO188" i="3" s="1"/>
  <c r="BH188" i="3"/>
  <c r="DQ188" i="3" s="1"/>
  <c r="AW188" i="3"/>
  <c r="DF188" i="3" s="1"/>
  <c r="AL188" i="3"/>
  <c r="CU188" i="3" s="1"/>
  <c r="AA188" i="3"/>
  <c r="CJ188" i="3" s="1"/>
  <c r="O188" i="3"/>
  <c r="BX188" i="3" s="1"/>
  <c r="BG188" i="3"/>
  <c r="DP188" i="3" s="1"/>
  <c r="AV188" i="3"/>
  <c r="DE188" i="3" s="1"/>
  <c r="AK188" i="3"/>
  <c r="CT188" i="3" s="1"/>
  <c r="Y188" i="3"/>
  <c r="CH188" i="3" s="1"/>
  <c r="N188" i="3"/>
  <c r="BW188" i="3" s="1"/>
  <c r="BJ188" i="3"/>
  <c r="DS188" i="3" s="1"/>
  <c r="AY188" i="3"/>
  <c r="DH188" i="3" s="1"/>
  <c r="AN188" i="3"/>
  <c r="CW188" i="3" s="1"/>
  <c r="AC188" i="3"/>
  <c r="CL188" i="3" s="1"/>
  <c r="R188" i="3"/>
  <c r="CA188" i="3" s="1"/>
  <c r="G188" i="3"/>
  <c r="BP188" i="3" s="1"/>
  <c r="BL188" i="3"/>
  <c r="DU188" i="3" s="1"/>
  <c r="AU188" i="3"/>
  <c r="DD188" i="3" s="1"/>
  <c r="AF188" i="3"/>
  <c r="CO188" i="3" s="1"/>
  <c r="Q188" i="3"/>
  <c r="BZ188" i="3" s="1"/>
  <c r="BI188" i="3"/>
  <c r="DR188" i="3" s="1"/>
  <c r="AX188" i="3"/>
  <c r="DG188" i="3" s="1"/>
  <c r="AG188" i="3"/>
  <c r="CP188" i="3" s="1"/>
  <c r="S188" i="3"/>
  <c r="CB188" i="3" s="1"/>
  <c r="BA188" i="3"/>
  <c r="DJ188" i="3" s="1"/>
  <c r="AE188" i="3"/>
  <c r="CN188" i="3" s="1"/>
  <c r="K188" i="3"/>
  <c r="BT188" i="3" s="1"/>
  <c r="AZ188" i="3"/>
  <c r="DI188" i="3" s="1"/>
  <c r="AD188" i="3"/>
  <c r="CM188" i="3" s="1"/>
  <c r="J188" i="3"/>
  <c r="BS188" i="3" s="1"/>
  <c r="AS188" i="3"/>
  <c r="DB188" i="3" s="1"/>
  <c r="AB188" i="3"/>
  <c r="CK188" i="3" s="1"/>
  <c r="I188" i="3"/>
  <c r="BR188" i="3" s="1"/>
  <c r="AR188" i="3"/>
  <c r="DA188" i="3" s="1"/>
  <c r="X188" i="3"/>
  <c r="CG188" i="3" s="1"/>
  <c r="H188" i="3"/>
  <c r="BQ188" i="3" s="1"/>
  <c r="AQ188" i="3"/>
  <c r="CZ188" i="3" s="1"/>
  <c r="W188" i="3"/>
  <c r="CF188" i="3" s="1"/>
  <c r="E188" i="3"/>
  <c r="BN188" i="3" s="1"/>
  <c r="BK188" i="3"/>
  <c r="DT188" i="3" s="1"/>
  <c r="AP188" i="3"/>
  <c r="CY188" i="3" s="1"/>
  <c r="V188" i="3"/>
  <c r="CE188" i="3" s="1"/>
  <c r="BF188" i="3"/>
  <c r="DO188" i="3" s="1"/>
  <c r="AO188" i="3"/>
  <c r="CX188" i="3" s="1"/>
  <c r="U188" i="3"/>
  <c r="CD188" i="3" s="1"/>
  <c r="BC188" i="3"/>
  <c r="DL188" i="3" s="1"/>
  <c r="AI188" i="3"/>
  <c r="CR188" i="3" s="1"/>
  <c r="M188" i="3"/>
  <c r="BV188" i="3" s="1"/>
  <c r="BB188" i="3"/>
  <c r="DK188" i="3" s="1"/>
  <c r="AM188" i="3"/>
  <c r="CV188" i="3" s="1"/>
  <c r="AH188" i="3"/>
  <c r="CQ188" i="3" s="1"/>
  <c r="T188" i="3"/>
  <c r="CC188" i="3" s="1"/>
  <c r="L188" i="3"/>
  <c r="BU188" i="3" s="1"/>
  <c r="BE188" i="3"/>
  <c r="DN188" i="3" s="1"/>
  <c r="BF248" i="3"/>
  <c r="DO248" i="3" s="1"/>
  <c r="AV248" i="3"/>
  <c r="DE248" i="3" s="1"/>
  <c r="AL248" i="3"/>
  <c r="CU248" i="3" s="1"/>
  <c r="AB248" i="3"/>
  <c r="CK248" i="3" s="1"/>
  <c r="R248" i="3"/>
  <c r="CA248" i="3" s="1"/>
  <c r="H248" i="3"/>
  <c r="BQ248" i="3" s="1"/>
  <c r="BE248" i="3"/>
  <c r="DN248" i="3" s="1"/>
  <c r="AU248" i="3"/>
  <c r="DD248" i="3" s="1"/>
  <c r="AK248" i="3"/>
  <c r="CT248" i="3" s="1"/>
  <c r="AA248" i="3"/>
  <c r="CJ248" i="3" s="1"/>
  <c r="Q248" i="3"/>
  <c r="BZ248" i="3" s="1"/>
  <c r="G248" i="3"/>
  <c r="BP248" i="3" s="1"/>
  <c r="BH248" i="3"/>
  <c r="DQ248" i="3" s="1"/>
  <c r="AT248" i="3"/>
  <c r="DC248" i="3" s="1"/>
  <c r="AH248" i="3"/>
  <c r="CQ248" i="3" s="1"/>
  <c r="V248" i="3"/>
  <c r="CE248" i="3" s="1"/>
  <c r="J248" i="3"/>
  <c r="BS248" i="3" s="1"/>
  <c r="BA248" i="3"/>
  <c r="DJ248" i="3" s="1"/>
  <c r="AN248" i="3"/>
  <c r="CW248" i="3" s="1"/>
  <c r="Y248" i="3"/>
  <c r="CH248" i="3" s="1"/>
  <c r="L248" i="3"/>
  <c r="BU248" i="3" s="1"/>
  <c r="AZ248" i="3"/>
  <c r="DI248" i="3" s="1"/>
  <c r="AM248" i="3"/>
  <c r="CV248" i="3" s="1"/>
  <c r="X248" i="3"/>
  <c r="CG248" i="3" s="1"/>
  <c r="K248" i="3"/>
  <c r="BT248" i="3" s="1"/>
  <c r="BL248" i="3"/>
  <c r="DU248" i="3" s="1"/>
  <c r="AY248" i="3"/>
  <c r="DH248" i="3" s="1"/>
  <c r="AJ248" i="3"/>
  <c r="CS248" i="3" s="1"/>
  <c r="W248" i="3"/>
  <c r="CF248" i="3" s="1"/>
  <c r="I248" i="3"/>
  <c r="BR248" i="3" s="1"/>
  <c r="BK248" i="3"/>
  <c r="DT248" i="3" s="1"/>
  <c r="AX248" i="3"/>
  <c r="DG248" i="3" s="1"/>
  <c r="AI248" i="3"/>
  <c r="CR248" i="3" s="1"/>
  <c r="U248" i="3"/>
  <c r="CD248" i="3" s="1"/>
  <c r="F248" i="3"/>
  <c r="BO248" i="3" s="1"/>
  <c r="BJ248" i="3"/>
  <c r="DS248" i="3" s="1"/>
  <c r="AW248" i="3"/>
  <c r="DF248" i="3" s="1"/>
  <c r="AG248" i="3"/>
  <c r="CP248" i="3" s="1"/>
  <c r="T248" i="3"/>
  <c r="CC248" i="3" s="1"/>
  <c r="E248" i="3"/>
  <c r="BN248" i="3" s="1"/>
  <c r="BI248" i="3"/>
  <c r="DR248" i="3" s="1"/>
  <c r="AS248" i="3"/>
  <c r="DB248" i="3" s="1"/>
  <c r="AF248" i="3"/>
  <c r="CO248" i="3" s="1"/>
  <c r="S248" i="3"/>
  <c r="CB248" i="3" s="1"/>
  <c r="BC248" i="3"/>
  <c r="DL248" i="3" s="1"/>
  <c r="AP248" i="3"/>
  <c r="CY248" i="3" s="1"/>
  <c r="AC248" i="3"/>
  <c r="CL248" i="3" s="1"/>
  <c r="N248" i="3"/>
  <c r="BW248" i="3" s="1"/>
  <c r="BB248" i="3"/>
  <c r="DK248" i="3" s="1"/>
  <c r="AR248" i="3"/>
  <c r="DA248" i="3" s="1"/>
  <c r="AQ248" i="3"/>
  <c r="CZ248" i="3" s="1"/>
  <c r="BG248" i="3"/>
  <c r="DP248" i="3" s="1"/>
  <c r="O248" i="3"/>
  <c r="BX248" i="3" s="1"/>
  <c r="Z248" i="3"/>
  <c r="CI248" i="3" s="1"/>
  <c r="P248" i="3"/>
  <c r="BY248" i="3" s="1"/>
  <c r="M248" i="3"/>
  <c r="BV248" i="3" s="1"/>
  <c r="BD248" i="3"/>
  <c r="DM248" i="3" s="1"/>
  <c r="AO248" i="3"/>
  <c r="CX248" i="3" s="1"/>
  <c r="AE248" i="3"/>
  <c r="CN248" i="3" s="1"/>
  <c r="AD248" i="3"/>
  <c r="CM248" i="3" s="1"/>
  <c r="BE287" i="3"/>
  <c r="DN287" i="3" s="1"/>
  <c r="AU287" i="3"/>
  <c r="DD287" i="3" s="1"/>
  <c r="AK287" i="3"/>
  <c r="CT287" i="3" s="1"/>
  <c r="AA287" i="3"/>
  <c r="CJ287" i="3" s="1"/>
  <c r="Q287" i="3"/>
  <c r="BZ287" i="3" s="1"/>
  <c r="G287" i="3"/>
  <c r="BP287" i="3" s="1"/>
  <c r="BD287" i="3"/>
  <c r="DM287" i="3" s="1"/>
  <c r="AS287" i="3"/>
  <c r="DB287" i="3" s="1"/>
  <c r="AH287" i="3"/>
  <c r="CQ287" i="3" s="1"/>
  <c r="W287" i="3"/>
  <c r="CF287" i="3" s="1"/>
  <c r="L287" i="3"/>
  <c r="BU287" i="3" s="1"/>
  <c r="BC287" i="3"/>
  <c r="DL287" i="3" s="1"/>
  <c r="AR287" i="3"/>
  <c r="DA287" i="3" s="1"/>
  <c r="AG287" i="3"/>
  <c r="CP287" i="3" s="1"/>
  <c r="V287" i="3"/>
  <c r="CE287" i="3" s="1"/>
  <c r="K287" i="3"/>
  <c r="BT287" i="3" s="1"/>
  <c r="BG287" i="3"/>
  <c r="DP287" i="3" s="1"/>
  <c r="AV287" i="3"/>
  <c r="DE287" i="3" s="1"/>
  <c r="AJ287" i="3"/>
  <c r="CS287" i="3" s="1"/>
  <c r="Y287" i="3"/>
  <c r="CH287" i="3" s="1"/>
  <c r="N287" i="3"/>
  <c r="BW287" i="3" s="1"/>
  <c r="BF287" i="3"/>
  <c r="DO287" i="3" s="1"/>
  <c r="AO287" i="3"/>
  <c r="CX287" i="3" s="1"/>
  <c r="Z287" i="3"/>
  <c r="CI287" i="3" s="1"/>
  <c r="I287" i="3"/>
  <c r="BR287" i="3" s="1"/>
  <c r="BJ287" i="3"/>
  <c r="DS287" i="3" s="1"/>
  <c r="AT287" i="3"/>
  <c r="DC287" i="3" s="1"/>
  <c r="AD287" i="3"/>
  <c r="CM287" i="3" s="1"/>
  <c r="O287" i="3"/>
  <c r="BX287" i="3" s="1"/>
  <c r="BI287" i="3"/>
  <c r="DR287" i="3" s="1"/>
  <c r="AQ287" i="3"/>
  <c r="CZ287" i="3" s="1"/>
  <c r="AC287" i="3"/>
  <c r="CL287" i="3" s="1"/>
  <c r="M287" i="3"/>
  <c r="BV287" i="3" s="1"/>
  <c r="BA287" i="3"/>
  <c r="DJ287" i="3" s="1"/>
  <c r="AF287" i="3"/>
  <c r="CO287" i="3" s="1"/>
  <c r="H287" i="3"/>
  <c r="BQ287" i="3" s="1"/>
  <c r="AZ287" i="3"/>
  <c r="DI287" i="3" s="1"/>
  <c r="AE287" i="3"/>
  <c r="CN287" i="3" s="1"/>
  <c r="F287" i="3"/>
  <c r="BO287" i="3" s="1"/>
  <c r="AY287" i="3"/>
  <c r="DH287" i="3" s="1"/>
  <c r="AB287" i="3"/>
  <c r="CK287" i="3" s="1"/>
  <c r="E287" i="3"/>
  <c r="BN287" i="3" s="1"/>
  <c r="AX287" i="3"/>
  <c r="DG287" i="3" s="1"/>
  <c r="X287" i="3"/>
  <c r="CG287" i="3" s="1"/>
  <c r="AW287" i="3"/>
  <c r="DF287" i="3" s="1"/>
  <c r="U287" i="3"/>
  <c r="CD287" i="3" s="1"/>
  <c r="AP287" i="3"/>
  <c r="CY287" i="3" s="1"/>
  <c r="T287" i="3"/>
  <c r="CC287" i="3" s="1"/>
  <c r="BL287" i="3"/>
  <c r="DU287" i="3" s="1"/>
  <c r="AN287" i="3"/>
  <c r="CW287" i="3" s="1"/>
  <c r="S287" i="3"/>
  <c r="CB287" i="3" s="1"/>
  <c r="BK287" i="3"/>
  <c r="DT287" i="3" s="1"/>
  <c r="AM287" i="3"/>
  <c r="CV287" i="3" s="1"/>
  <c r="R287" i="3"/>
  <c r="CA287" i="3" s="1"/>
  <c r="BH287" i="3"/>
  <c r="DQ287" i="3" s="1"/>
  <c r="AL287" i="3"/>
  <c r="CU287" i="3" s="1"/>
  <c r="P287" i="3"/>
  <c r="BY287" i="3" s="1"/>
  <c r="BB287" i="3"/>
  <c r="DK287" i="3" s="1"/>
  <c r="AI287" i="3"/>
  <c r="CR287" i="3" s="1"/>
  <c r="J287" i="3"/>
  <c r="BS287" i="3" s="1"/>
  <c r="BF175" i="3"/>
  <c r="DO175" i="3" s="1"/>
  <c r="AV175" i="3"/>
  <c r="DE175" i="3" s="1"/>
  <c r="AL175" i="3"/>
  <c r="CU175" i="3" s="1"/>
  <c r="AB175" i="3"/>
  <c r="CK175" i="3" s="1"/>
  <c r="R175" i="3"/>
  <c r="CA175" i="3" s="1"/>
  <c r="H175" i="3"/>
  <c r="BQ175" i="3" s="1"/>
  <c r="BE175" i="3"/>
  <c r="DN175" i="3" s="1"/>
  <c r="AU175" i="3"/>
  <c r="DD175" i="3" s="1"/>
  <c r="AK175" i="3"/>
  <c r="CT175" i="3" s="1"/>
  <c r="AA175" i="3"/>
  <c r="CJ175" i="3" s="1"/>
  <c r="Q175" i="3"/>
  <c r="BZ175" i="3" s="1"/>
  <c r="G175" i="3"/>
  <c r="BP175" i="3" s="1"/>
  <c r="BH175" i="3"/>
  <c r="DQ175" i="3" s="1"/>
  <c r="AT175" i="3"/>
  <c r="DC175" i="3" s="1"/>
  <c r="AH175" i="3"/>
  <c r="CQ175" i="3" s="1"/>
  <c r="V175" i="3"/>
  <c r="CE175" i="3" s="1"/>
  <c r="J175" i="3"/>
  <c r="BS175" i="3" s="1"/>
  <c r="BI175" i="3"/>
  <c r="DR175" i="3" s="1"/>
  <c r="AS175" i="3"/>
  <c r="DB175" i="3" s="1"/>
  <c r="AF175" i="3"/>
  <c r="CO175" i="3" s="1"/>
  <c r="S175" i="3"/>
  <c r="CB175" i="3" s="1"/>
  <c r="BG175" i="3"/>
  <c r="DP175" i="3" s="1"/>
  <c r="AR175" i="3"/>
  <c r="DA175" i="3" s="1"/>
  <c r="AE175" i="3"/>
  <c r="CN175" i="3" s="1"/>
  <c r="P175" i="3"/>
  <c r="BY175" i="3" s="1"/>
  <c r="BD175" i="3"/>
  <c r="DM175" i="3" s="1"/>
  <c r="AQ175" i="3"/>
  <c r="CZ175" i="3" s="1"/>
  <c r="AD175" i="3"/>
  <c r="CM175" i="3" s="1"/>
  <c r="O175" i="3"/>
  <c r="BX175" i="3" s="1"/>
  <c r="BC175" i="3"/>
  <c r="DL175" i="3" s="1"/>
  <c r="AP175" i="3"/>
  <c r="CY175" i="3" s="1"/>
  <c r="AC175" i="3"/>
  <c r="CL175" i="3" s="1"/>
  <c r="N175" i="3"/>
  <c r="BW175" i="3" s="1"/>
  <c r="BK175" i="3"/>
  <c r="DT175" i="3" s="1"/>
  <c r="AX175" i="3"/>
  <c r="DG175" i="3" s="1"/>
  <c r="AI175" i="3"/>
  <c r="CR175" i="3" s="1"/>
  <c r="U175" i="3"/>
  <c r="CD175" i="3" s="1"/>
  <c r="F175" i="3"/>
  <c r="BO175" i="3" s="1"/>
  <c r="AY175" i="3"/>
  <c r="DH175" i="3" s="1"/>
  <c r="W175" i="3"/>
  <c r="CF175" i="3" s="1"/>
  <c r="AW175" i="3"/>
  <c r="DF175" i="3" s="1"/>
  <c r="T175" i="3"/>
  <c r="CC175" i="3" s="1"/>
  <c r="AO175" i="3"/>
  <c r="CX175" i="3" s="1"/>
  <c r="M175" i="3"/>
  <c r="BV175" i="3" s="1"/>
  <c r="AN175" i="3"/>
  <c r="CW175" i="3" s="1"/>
  <c r="L175" i="3"/>
  <c r="BU175" i="3" s="1"/>
  <c r="AM175" i="3"/>
  <c r="CV175" i="3" s="1"/>
  <c r="K175" i="3"/>
  <c r="BT175" i="3" s="1"/>
  <c r="BL175" i="3"/>
  <c r="DU175" i="3" s="1"/>
  <c r="AJ175" i="3"/>
  <c r="CS175" i="3" s="1"/>
  <c r="I175" i="3"/>
  <c r="BR175" i="3" s="1"/>
  <c r="BA175" i="3"/>
  <c r="DJ175" i="3" s="1"/>
  <c r="Y175" i="3"/>
  <c r="CH175" i="3" s="1"/>
  <c r="AZ175" i="3"/>
  <c r="DI175" i="3" s="1"/>
  <c r="X175" i="3"/>
  <c r="CG175" i="3" s="1"/>
  <c r="BJ175" i="3"/>
  <c r="DS175" i="3" s="1"/>
  <c r="BB175" i="3"/>
  <c r="DK175" i="3" s="1"/>
  <c r="AG175" i="3"/>
  <c r="CP175" i="3" s="1"/>
  <c r="Z175" i="3"/>
  <c r="CI175" i="3" s="1"/>
  <c r="E175" i="3"/>
  <c r="BN175" i="3" s="1"/>
  <c r="BC230" i="3"/>
  <c r="DL230" i="3" s="1"/>
  <c r="AS230" i="3"/>
  <c r="DB230" i="3" s="1"/>
  <c r="AI230" i="3"/>
  <c r="CR230" i="3" s="1"/>
  <c r="Y230" i="3"/>
  <c r="CH230" i="3" s="1"/>
  <c r="O230" i="3"/>
  <c r="BX230" i="3" s="1"/>
  <c r="E230" i="3"/>
  <c r="BN230" i="3" s="1"/>
  <c r="BL230" i="3"/>
  <c r="DU230" i="3" s="1"/>
  <c r="BB230" i="3"/>
  <c r="DK230" i="3" s="1"/>
  <c r="AR230" i="3"/>
  <c r="DA230" i="3" s="1"/>
  <c r="AH230" i="3"/>
  <c r="CQ230" i="3" s="1"/>
  <c r="X230" i="3"/>
  <c r="CG230" i="3" s="1"/>
  <c r="N230" i="3"/>
  <c r="BW230" i="3" s="1"/>
  <c r="BE230" i="3"/>
  <c r="DN230" i="3" s="1"/>
  <c r="AU230" i="3"/>
  <c r="DD230" i="3" s="1"/>
  <c r="AK230" i="3"/>
  <c r="CT230" i="3" s="1"/>
  <c r="AA230" i="3"/>
  <c r="CJ230" i="3" s="1"/>
  <c r="Q230" i="3"/>
  <c r="BZ230" i="3" s="1"/>
  <c r="G230" i="3"/>
  <c r="BP230" i="3" s="1"/>
  <c r="AZ230" i="3"/>
  <c r="DI230" i="3" s="1"/>
  <c r="AM230" i="3"/>
  <c r="CV230" i="3" s="1"/>
  <c r="W230" i="3"/>
  <c r="CF230" i="3" s="1"/>
  <c r="J230" i="3"/>
  <c r="BS230" i="3" s="1"/>
  <c r="AY230" i="3"/>
  <c r="DH230" i="3" s="1"/>
  <c r="AL230" i="3"/>
  <c r="CU230" i="3" s="1"/>
  <c r="V230" i="3"/>
  <c r="CE230" i="3" s="1"/>
  <c r="I230" i="3"/>
  <c r="BR230" i="3" s="1"/>
  <c r="BD230" i="3"/>
  <c r="DM230" i="3" s="1"/>
  <c r="AO230" i="3"/>
  <c r="CX230" i="3" s="1"/>
  <c r="AB230" i="3"/>
  <c r="CK230" i="3" s="1"/>
  <c r="L230" i="3"/>
  <c r="BU230" i="3" s="1"/>
  <c r="BG230" i="3"/>
  <c r="DP230" i="3" s="1"/>
  <c r="AJ230" i="3"/>
  <c r="CS230" i="3" s="1"/>
  <c r="R230" i="3"/>
  <c r="CA230" i="3" s="1"/>
  <c r="BF230" i="3"/>
  <c r="DO230" i="3" s="1"/>
  <c r="AG230" i="3"/>
  <c r="CP230" i="3" s="1"/>
  <c r="BA230" i="3"/>
  <c r="DJ230" i="3" s="1"/>
  <c r="AF230" i="3"/>
  <c r="CO230" i="3" s="1"/>
  <c r="M230" i="3"/>
  <c r="BV230" i="3" s="1"/>
  <c r="BI230" i="3"/>
  <c r="DR230" i="3" s="1"/>
  <c r="AD230" i="3"/>
  <c r="CM230" i="3" s="1"/>
  <c r="BH230" i="3"/>
  <c r="DQ230" i="3" s="1"/>
  <c r="AC230" i="3"/>
  <c r="CL230" i="3" s="1"/>
  <c r="AX230" i="3"/>
  <c r="DG230" i="3" s="1"/>
  <c r="Z230" i="3"/>
  <c r="CI230" i="3" s="1"/>
  <c r="AW230" i="3"/>
  <c r="DF230" i="3" s="1"/>
  <c r="U230" i="3"/>
  <c r="CD230" i="3" s="1"/>
  <c r="AV230" i="3"/>
  <c r="DE230" i="3" s="1"/>
  <c r="T230" i="3"/>
  <c r="CC230" i="3" s="1"/>
  <c r="AT230" i="3"/>
  <c r="DC230" i="3" s="1"/>
  <c r="S230" i="3"/>
  <c r="CB230" i="3" s="1"/>
  <c r="AQ230" i="3"/>
  <c r="CZ230" i="3" s="1"/>
  <c r="P230" i="3"/>
  <c r="BY230" i="3" s="1"/>
  <c r="AP230" i="3"/>
  <c r="CY230" i="3" s="1"/>
  <c r="K230" i="3"/>
  <c r="BT230" i="3" s="1"/>
  <c r="BK230" i="3"/>
  <c r="DT230" i="3" s="1"/>
  <c r="AN230" i="3"/>
  <c r="CW230" i="3" s="1"/>
  <c r="H230" i="3"/>
  <c r="BQ230" i="3" s="1"/>
  <c r="BJ230" i="3"/>
  <c r="DS230" i="3" s="1"/>
  <c r="AE230" i="3"/>
  <c r="CN230" i="3" s="1"/>
  <c r="F230" i="3"/>
  <c r="BO230" i="3" s="1"/>
  <c r="K293" i="2"/>
  <c r="L293" i="2" s="1"/>
  <c r="J111" i="2"/>
  <c r="J161" i="2"/>
  <c r="K161" i="2" s="1"/>
  <c r="L161" i="2" s="1"/>
  <c r="BK119" i="3"/>
  <c r="DT119" i="3" s="1"/>
  <c r="BA119" i="3"/>
  <c r="DJ119" i="3" s="1"/>
  <c r="AQ119" i="3"/>
  <c r="CZ119" i="3" s="1"/>
  <c r="AG119" i="3"/>
  <c r="CP119" i="3" s="1"/>
  <c r="W119" i="3"/>
  <c r="CF119" i="3" s="1"/>
  <c r="M119" i="3"/>
  <c r="BV119" i="3" s="1"/>
  <c r="BC119" i="3"/>
  <c r="DL119" i="3" s="1"/>
  <c r="AS119" i="3"/>
  <c r="DB119" i="3" s="1"/>
  <c r="AI119" i="3"/>
  <c r="CR119" i="3" s="1"/>
  <c r="Y119" i="3"/>
  <c r="CH119" i="3" s="1"/>
  <c r="O119" i="3"/>
  <c r="BX119" i="3" s="1"/>
  <c r="E119" i="3"/>
  <c r="BN119" i="3" s="1"/>
  <c r="BD119" i="3"/>
  <c r="DM119" i="3" s="1"/>
  <c r="AP119" i="3"/>
  <c r="CY119" i="3" s="1"/>
  <c r="AD119" i="3"/>
  <c r="CM119" i="3" s="1"/>
  <c r="R119" i="3"/>
  <c r="CA119" i="3" s="1"/>
  <c r="F119" i="3"/>
  <c r="BO119" i="3" s="1"/>
  <c r="BF119" i="3"/>
  <c r="DO119" i="3" s="1"/>
  <c r="AT119" i="3"/>
  <c r="DC119" i="3" s="1"/>
  <c r="AF119" i="3"/>
  <c r="CO119" i="3" s="1"/>
  <c r="T119" i="3"/>
  <c r="CC119" i="3" s="1"/>
  <c r="H119" i="3"/>
  <c r="BQ119" i="3" s="1"/>
  <c r="BE119" i="3"/>
  <c r="DN119" i="3" s="1"/>
  <c r="AR119" i="3"/>
  <c r="DA119" i="3" s="1"/>
  <c r="AE119" i="3"/>
  <c r="CN119" i="3" s="1"/>
  <c r="S119" i="3"/>
  <c r="CB119" i="3" s="1"/>
  <c r="G119" i="3"/>
  <c r="BP119" i="3" s="1"/>
  <c r="BG119" i="3"/>
  <c r="DP119" i="3" s="1"/>
  <c r="AM119" i="3"/>
  <c r="CV119" i="3" s="1"/>
  <c r="V119" i="3"/>
  <c r="CE119" i="3" s="1"/>
  <c r="BL119" i="3"/>
  <c r="DU119" i="3" s="1"/>
  <c r="AV119" i="3"/>
  <c r="DE119" i="3" s="1"/>
  <c r="AB119" i="3"/>
  <c r="CK119" i="3" s="1"/>
  <c r="K119" i="3"/>
  <c r="BT119" i="3" s="1"/>
  <c r="AU119" i="3"/>
  <c r="DD119" i="3" s="1"/>
  <c r="X119" i="3"/>
  <c r="CG119" i="3" s="1"/>
  <c r="AO119" i="3"/>
  <c r="CX119" i="3" s="1"/>
  <c r="U119" i="3"/>
  <c r="CD119" i="3" s="1"/>
  <c r="BJ119" i="3"/>
  <c r="DS119" i="3" s="1"/>
  <c r="AN119" i="3"/>
  <c r="CW119" i="3" s="1"/>
  <c r="Q119" i="3"/>
  <c r="BZ119" i="3" s="1"/>
  <c r="BI119" i="3"/>
  <c r="DR119" i="3" s="1"/>
  <c r="AL119" i="3"/>
  <c r="CU119" i="3" s="1"/>
  <c r="P119" i="3"/>
  <c r="BY119" i="3" s="1"/>
  <c r="BH119" i="3"/>
  <c r="DQ119" i="3" s="1"/>
  <c r="AK119" i="3"/>
  <c r="CT119" i="3" s="1"/>
  <c r="N119" i="3"/>
  <c r="BW119" i="3" s="1"/>
  <c r="BB119" i="3"/>
  <c r="DK119" i="3" s="1"/>
  <c r="AJ119" i="3"/>
  <c r="CS119" i="3" s="1"/>
  <c r="L119" i="3"/>
  <c r="BU119" i="3" s="1"/>
  <c r="AZ119" i="3"/>
  <c r="DI119" i="3" s="1"/>
  <c r="AH119" i="3"/>
  <c r="CQ119" i="3" s="1"/>
  <c r="J119" i="3"/>
  <c r="BS119" i="3" s="1"/>
  <c r="AY119" i="3"/>
  <c r="DH119" i="3" s="1"/>
  <c r="AC119" i="3"/>
  <c r="CL119" i="3" s="1"/>
  <c r="I119" i="3"/>
  <c r="BR119" i="3" s="1"/>
  <c r="AX119" i="3"/>
  <c r="DG119" i="3" s="1"/>
  <c r="AW119" i="3"/>
  <c r="DF119" i="3" s="1"/>
  <c r="AA119" i="3"/>
  <c r="CJ119" i="3" s="1"/>
  <c r="Z119" i="3"/>
  <c r="CI119" i="3" s="1"/>
  <c r="BJ169" i="3"/>
  <c r="DS169" i="3" s="1"/>
  <c r="AZ169" i="3"/>
  <c r="DI169" i="3" s="1"/>
  <c r="AP169" i="3"/>
  <c r="CY169" i="3" s="1"/>
  <c r="AF169" i="3"/>
  <c r="CO169" i="3" s="1"/>
  <c r="V169" i="3"/>
  <c r="CE169" i="3" s="1"/>
  <c r="L169" i="3"/>
  <c r="BU169" i="3" s="1"/>
  <c r="BI169" i="3"/>
  <c r="DR169" i="3" s="1"/>
  <c r="AY169" i="3"/>
  <c r="DH169" i="3" s="1"/>
  <c r="AO169" i="3"/>
  <c r="CX169" i="3" s="1"/>
  <c r="AE169" i="3"/>
  <c r="CN169" i="3" s="1"/>
  <c r="U169" i="3"/>
  <c r="CD169" i="3" s="1"/>
  <c r="K169" i="3"/>
  <c r="BT169" i="3" s="1"/>
  <c r="BE169" i="3"/>
  <c r="DN169" i="3" s="1"/>
  <c r="AS169" i="3"/>
  <c r="DB169" i="3" s="1"/>
  <c r="AG169" i="3"/>
  <c r="CP169" i="3" s="1"/>
  <c r="S169" i="3"/>
  <c r="CB169" i="3" s="1"/>
  <c r="G169" i="3"/>
  <c r="BP169" i="3" s="1"/>
  <c r="BD169" i="3"/>
  <c r="DM169" i="3" s="1"/>
  <c r="AR169" i="3"/>
  <c r="DA169" i="3" s="1"/>
  <c r="AD169" i="3"/>
  <c r="CM169" i="3" s="1"/>
  <c r="R169" i="3"/>
  <c r="CA169" i="3" s="1"/>
  <c r="F169" i="3"/>
  <c r="BO169" i="3" s="1"/>
  <c r="BC169" i="3"/>
  <c r="DL169" i="3" s="1"/>
  <c r="AQ169" i="3"/>
  <c r="CZ169" i="3" s="1"/>
  <c r="AC169" i="3"/>
  <c r="CL169" i="3" s="1"/>
  <c r="Q169" i="3"/>
  <c r="BZ169" i="3" s="1"/>
  <c r="E169" i="3"/>
  <c r="BN169" i="3" s="1"/>
  <c r="BB169" i="3"/>
  <c r="DK169" i="3" s="1"/>
  <c r="AN169" i="3"/>
  <c r="CW169" i="3" s="1"/>
  <c r="AB169" i="3"/>
  <c r="CK169" i="3" s="1"/>
  <c r="P169" i="3"/>
  <c r="BY169" i="3" s="1"/>
  <c r="BG169" i="3"/>
  <c r="DP169" i="3" s="1"/>
  <c r="AU169" i="3"/>
  <c r="DD169" i="3" s="1"/>
  <c r="AI169" i="3"/>
  <c r="CR169" i="3" s="1"/>
  <c r="W169" i="3"/>
  <c r="CF169" i="3" s="1"/>
  <c r="I169" i="3"/>
  <c r="BR169" i="3" s="1"/>
  <c r="AV169" i="3"/>
  <c r="DE169" i="3" s="1"/>
  <c r="X169" i="3"/>
  <c r="CG169" i="3" s="1"/>
  <c r="AT169" i="3"/>
  <c r="DC169" i="3" s="1"/>
  <c r="T169" i="3"/>
  <c r="CC169" i="3" s="1"/>
  <c r="AM169" i="3"/>
  <c r="CV169" i="3" s="1"/>
  <c r="O169" i="3"/>
  <c r="BX169" i="3" s="1"/>
  <c r="BL169" i="3"/>
  <c r="DU169" i="3" s="1"/>
  <c r="AL169" i="3"/>
  <c r="CU169" i="3" s="1"/>
  <c r="N169" i="3"/>
  <c r="BW169" i="3" s="1"/>
  <c r="AX169" i="3"/>
  <c r="DG169" i="3" s="1"/>
  <c r="Z169" i="3"/>
  <c r="CI169" i="3" s="1"/>
  <c r="AW169" i="3"/>
  <c r="DF169" i="3" s="1"/>
  <c r="Y169" i="3"/>
  <c r="CH169" i="3" s="1"/>
  <c r="BK169" i="3"/>
  <c r="DT169" i="3" s="1"/>
  <c r="H169" i="3"/>
  <c r="BQ169" i="3" s="1"/>
  <c r="BH169" i="3"/>
  <c r="DQ169" i="3" s="1"/>
  <c r="BF169" i="3"/>
  <c r="DO169" i="3" s="1"/>
  <c r="BA169" i="3"/>
  <c r="DJ169" i="3" s="1"/>
  <c r="AK169" i="3"/>
  <c r="CT169" i="3" s="1"/>
  <c r="AJ169" i="3"/>
  <c r="CS169" i="3" s="1"/>
  <c r="AH169" i="3"/>
  <c r="CQ169" i="3" s="1"/>
  <c r="M169" i="3"/>
  <c r="BV169" i="3" s="1"/>
  <c r="J169" i="3"/>
  <c r="BS169" i="3" s="1"/>
  <c r="AA169" i="3"/>
  <c r="CJ169" i="3" s="1"/>
  <c r="J198" i="2"/>
  <c r="K198" i="2" s="1"/>
  <c r="L198" i="2" s="1"/>
  <c r="BH255" i="3"/>
  <c r="DQ255" i="3" s="1"/>
  <c r="AX255" i="3"/>
  <c r="DG255" i="3" s="1"/>
  <c r="AN255" i="3"/>
  <c r="CW255" i="3" s="1"/>
  <c r="AD255" i="3"/>
  <c r="CM255" i="3" s="1"/>
  <c r="T255" i="3"/>
  <c r="CC255" i="3" s="1"/>
  <c r="J255" i="3"/>
  <c r="BS255" i="3" s="1"/>
  <c r="BG255" i="3"/>
  <c r="DP255" i="3" s="1"/>
  <c r="AW255" i="3"/>
  <c r="DF255" i="3" s="1"/>
  <c r="AM255" i="3"/>
  <c r="CV255" i="3" s="1"/>
  <c r="AC255" i="3"/>
  <c r="CL255" i="3" s="1"/>
  <c r="S255" i="3"/>
  <c r="CB255" i="3" s="1"/>
  <c r="I255" i="3"/>
  <c r="BR255" i="3" s="1"/>
  <c r="BJ255" i="3"/>
  <c r="DS255" i="3" s="1"/>
  <c r="AZ255" i="3"/>
  <c r="DI255" i="3" s="1"/>
  <c r="AP255" i="3"/>
  <c r="CY255" i="3" s="1"/>
  <c r="AF255" i="3"/>
  <c r="CO255" i="3" s="1"/>
  <c r="V255" i="3"/>
  <c r="CE255" i="3" s="1"/>
  <c r="L255" i="3"/>
  <c r="BU255" i="3" s="1"/>
  <c r="BI255" i="3"/>
  <c r="DR255" i="3" s="1"/>
  <c r="AT255" i="3"/>
  <c r="DC255" i="3" s="1"/>
  <c r="AG255" i="3"/>
  <c r="CP255" i="3" s="1"/>
  <c r="Q255" i="3"/>
  <c r="BZ255" i="3" s="1"/>
  <c r="BF255" i="3"/>
  <c r="DO255" i="3" s="1"/>
  <c r="AS255" i="3"/>
  <c r="DB255" i="3" s="1"/>
  <c r="AE255" i="3"/>
  <c r="CN255" i="3" s="1"/>
  <c r="P255" i="3"/>
  <c r="BY255" i="3" s="1"/>
  <c r="BE255" i="3"/>
  <c r="DN255" i="3" s="1"/>
  <c r="AR255" i="3"/>
  <c r="DA255" i="3" s="1"/>
  <c r="AB255" i="3"/>
  <c r="CK255" i="3" s="1"/>
  <c r="O255" i="3"/>
  <c r="BX255" i="3" s="1"/>
  <c r="BK255" i="3"/>
  <c r="DT255" i="3" s="1"/>
  <c r="AU255" i="3"/>
  <c r="DD255" i="3" s="1"/>
  <c r="AH255" i="3"/>
  <c r="CQ255" i="3" s="1"/>
  <c r="R255" i="3"/>
  <c r="CA255" i="3" s="1"/>
  <c r="E255" i="3"/>
  <c r="BN255" i="3" s="1"/>
  <c r="BC255" i="3"/>
  <c r="DL255" i="3" s="1"/>
  <c r="AI255" i="3"/>
  <c r="CR255" i="3" s="1"/>
  <c r="H255" i="3"/>
  <c r="BQ255" i="3" s="1"/>
  <c r="BB255" i="3"/>
  <c r="DK255" i="3" s="1"/>
  <c r="AA255" i="3"/>
  <c r="CJ255" i="3" s="1"/>
  <c r="G255" i="3"/>
  <c r="BP255" i="3" s="1"/>
  <c r="BA255" i="3"/>
  <c r="DJ255" i="3" s="1"/>
  <c r="Z255" i="3"/>
  <c r="CI255" i="3" s="1"/>
  <c r="F255" i="3"/>
  <c r="BO255" i="3" s="1"/>
  <c r="AY255" i="3"/>
  <c r="DH255" i="3" s="1"/>
  <c r="Y255" i="3"/>
  <c r="CH255" i="3" s="1"/>
  <c r="AV255" i="3"/>
  <c r="DE255" i="3" s="1"/>
  <c r="X255" i="3"/>
  <c r="CG255" i="3" s="1"/>
  <c r="AQ255" i="3"/>
  <c r="CZ255" i="3" s="1"/>
  <c r="W255" i="3"/>
  <c r="CF255" i="3" s="1"/>
  <c r="BL255" i="3"/>
  <c r="DU255" i="3" s="1"/>
  <c r="AK255" i="3"/>
  <c r="CT255" i="3" s="1"/>
  <c r="M255" i="3"/>
  <c r="BV255" i="3" s="1"/>
  <c r="BD255" i="3"/>
  <c r="DM255" i="3" s="1"/>
  <c r="AO255" i="3"/>
  <c r="CX255" i="3" s="1"/>
  <c r="AL255" i="3"/>
  <c r="CU255" i="3" s="1"/>
  <c r="K255" i="3"/>
  <c r="BT255" i="3" s="1"/>
  <c r="N255" i="3"/>
  <c r="BW255" i="3" s="1"/>
  <c r="AJ255" i="3"/>
  <c r="CS255" i="3" s="1"/>
  <c r="U255" i="3"/>
  <c r="CD255" i="3" s="1"/>
  <c r="J105" i="2"/>
  <c r="K105" i="2" s="1"/>
  <c r="L105" i="2" s="1"/>
  <c r="BK136" i="3"/>
  <c r="DT136" i="3" s="1"/>
  <c r="BA136" i="3"/>
  <c r="DJ136" i="3" s="1"/>
  <c r="AQ136" i="3"/>
  <c r="CZ136" i="3" s="1"/>
  <c r="AG136" i="3"/>
  <c r="CP136" i="3" s="1"/>
  <c r="W136" i="3"/>
  <c r="CF136" i="3" s="1"/>
  <c r="M136" i="3"/>
  <c r="BV136" i="3" s="1"/>
  <c r="BJ136" i="3"/>
  <c r="DS136" i="3" s="1"/>
  <c r="AZ136" i="3"/>
  <c r="DI136" i="3" s="1"/>
  <c r="AP136" i="3"/>
  <c r="CY136" i="3" s="1"/>
  <c r="AF136" i="3"/>
  <c r="CO136" i="3" s="1"/>
  <c r="V136" i="3"/>
  <c r="CE136" i="3" s="1"/>
  <c r="L136" i="3"/>
  <c r="BU136" i="3" s="1"/>
  <c r="BC136" i="3"/>
  <c r="DL136" i="3" s="1"/>
  <c r="AS136" i="3"/>
  <c r="DB136" i="3" s="1"/>
  <c r="AI136" i="3"/>
  <c r="CR136" i="3" s="1"/>
  <c r="Y136" i="3"/>
  <c r="CH136" i="3" s="1"/>
  <c r="O136" i="3"/>
  <c r="BX136" i="3" s="1"/>
  <c r="E136" i="3"/>
  <c r="BN136" i="3" s="1"/>
  <c r="BL136" i="3"/>
  <c r="DU136" i="3" s="1"/>
  <c r="AW136" i="3"/>
  <c r="DF136" i="3" s="1"/>
  <c r="AJ136" i="3"/>
  <c r="CS136" i="3" s="1"/>
  <c r="T136" i="3"/>
  <c r="CC136" i="3" s="1"/>
  <c r="G136" i="3"/>
  <c r="BP136" i="3" s="1"/>
  <c r="AY136" i="3"/>
  <c r="DH136" i="3" s="1"/>
  <c r="AL136" i="3"/>
  <c r="CU136" i="3" s="1"/>
  <c r="X136" i="3"/>
  <c r="CG136" i="3" s="1"/>
  <c r="I136" i="3"/>
  <c r="BR136" i="3" s="1"/>
  <c r="BI136" i="3"/>
  <c r="DR136" i="3" s="1"/>
  <c r="AT136" i="3"/>
  <c r="DC136" i="3" s="1"/>
  <c r="AB136" i="3"/>
  <c r="CK136" i="3" s="1"/>
  <c r="J136" i="3"/>
  <c r="BS136" i="3" s="1"/>
  <c r="BH136" i="3"/>
  <c r="DQ136" i="3" s="1"/>
  <c r="AR136" i="3"/>
  <c r="DA136" i="3" s="1"/>
  <c r="AA136" i="3"/>
  <c r="CJ136" i="3" s="1"/>
  <c r="H136" i="3"/>
  <c r="BQ136" i="3" s="1"/>
  <c r="AV136" i="3"/>
  <c r="DE136" i="3" s="1"/>
  <c r="AD136" i="3"/>
  <c r="CM136" i="3" s="1"/>
  <c r="N136" i="3"/>
  <c r="BW136" i="3" s="1"/>
  <c r="AU136" i="3"/>
  <c r="DD136" i="3" s="1"/>
  <c r="AC136" i="3"/>
  <c r="CL136" i="3" s="1"/>
  <c r="K136" i="3"/>
  <c r="BT136" i="3" s="1"/>
  <c r="AX136" i="3"/>
  <c r="DG136" i="3" s="1"/>
  <c r="R136" i="3"/>
  <c r="CA136" i="3" s="1"/>
  <c r="BF136" i="3"/>
  <c r="DO136" i="3" s="1"/>
  <c r="AE136" i="3"/>
  <c r="CN136" i="3" s="1"/>
  <c r="BE136" i="3"/>
  <c r="DN136" i="3" s="1"/>
  <c r="Z136" i="3"/>
  <c r="CI136" i="3" s="1"/>
  <c r="BD136" i="3"/>
  <c r="DM136" i="3" s="1"/>
  <c r="U136" i="3"/>
  <c r="CD136" i="3" s="1"/>
  <c r="BB136" i="3"/>
  <c r="DK136" i="3" s="1"/>
  <c r="AO136" i="3"/>
  <c r="CX136" i="3" s="1"/>
  <c r="AN136" i="3"/>
  <c r="CW136" i="3" s="1"/>
  <c r="AM136" i="3"/>
  <c r="CV136" i="3" s="1"/>
  <c r="AK136" i="3"/>
  <c r="CT136" i="3" s="1"/>
  <c r="AH136" i="3"/>
  <c r="CQ136" i="3" s="1"/>
  <c r="S136" i="3"/>
  <c r="CB136" i="3" s="1"/>
  <c r="Q136" i="3"/>
  <c r="BZ136" i="3" s="1"/>
  <c r="BG136" i="3"/>
  <c r="DP136" i="3" s="1"/>
  <c r="P136" i="3"/>
  <c r="BY136" i="3" s="1"/>
  <c r="F136" i="3"/>
  <c r="BO136" i="3" s="1"/>
  <c r="BF205" i="3"/>
  <c r="DO205" i="3" s="1"/>
  <c r="AV205" i="3"/>
  <c r="DE205" i="3" s="1"/>
  <c r="AL205" i="3"/>
  <c r="CU205" i="3" s="1"/>
  <c r="AB205" i="3"/>
  <c r="CK205" i="3" s="1"/>
  <c r="R205" i="3"/>
  <c r="CA205" i="3" s="1"/>
  <c r="H205" i="3"/>
  <c r="BQ205" i="3" s="1"/>
  <c r="BE205" i="3"/>
  <c r="DN205" i="3" s="1"/>
  <c r="AU205" i="3"/>
  <c r="DD205" i="3" s="1"/>
  <c r="AK205" i="3"/>
  <c r="CT205" i="3" s="1"/>
  <c r="AA205" i="3"/>
  <c r="CJ205" i="3" s="1"/>
  <c r="Q205" i="3"/>
  <c r="BZ205" i="3" s="1"/>
  <c r="G205" i="3"/>
  <c r="BP205" i="3" s="1"/>
  <c r="BH205" i="3"/>
  <c r="DQ205" i="3" s="1"/>
  <c r="AX205" i="3"/>
  <c r="DG205" i="3" s="1"/>
  <c r="AN205" i="3"/>
  <c r="CW205" i="3" s="1"/>
  <c r="AD205" i="3"/>
  <c r="CM205" i="3" s="1"/>
  <c r="T205" i="3"/>
  <c r="CC205" i="3" s="1"/>
  <c r="J205" i="3"/>
  <c r="BS205" i="3" s="1"/>
  <c r="BA205" i="3"/>
  <c r="DJ205" i="3" s="1"/>
  <c r="AM205" i="3"/>
  <c r="CV205" i="3" s="1"/>
  <c r="X205" i="3"/>
  <c r="CG205" i="3" s="1"/>
  <c r="K205" i="3"/>
  <c r="BT205" i="3" s="1"/>
  <c r="AZ205" i="3"/>
  <c r="DI205" i="3" s="1"/>
  <c r="AJ205" i="3"/>
  <c r="CS205" i="3" s="1"/>
  <c r="W205" i="3"/>
  <c r="CF205" i="3" s="1"/>
  <c r="I205" i="3"/>
  <c r="BR205" i="3" s="1"/>
  <c r="BC205" i="3"/>
  <c r="DL205" i="3" s="1"/>
  <c r="AP205" i="3"/>
  <c r="CY205" i="3" s="1"/>
  <c r="Z205" i="3"/>
  <c r="CI205" i="3" s="1"/>
  <c r="M205" i="3"/>
  <c r="BV205" i="3" s="1"/>
  <c r="BI205" i="3"/>
  <c r="DR205" i="3" s="1"/>
  <c r="AO205" i="3"/>
  <c r="CX205" i="3" s="1"/>
  <c r="S205" i="3"/>
  <c r="CB205" i="3" s="1"/>
  <c r="BG205" i="3"/>
  <c r="DP205" i="3" s="1"/>
  <c r="AI205" i="3"/>
  <c r="CR205" i="3" s="1"/>
  <c r="P205" i="3"/>
  <c r="BY205" i="3" s="1"/>
  <c r="BD205" i="3"/>
  <c r="DM205" i="3" s="1"/>
  <c r="AH205" i="3"/>
  <c r="CQ205" i="3" s="1"/>
  <c r="O205" i="3"/>
  <c r="BX205" i="3" s="1"/>
  <c r="BB205" i="3"/>
  <c r="DK205" i="3" s="1"/>
  <c r="AG205" i="3"/>
  <c r="CP205" i="3" s="1"/>
  <c r="N205" i="3"/>
  <c r="BW205" i="3" s="1"/>
  <c r="AY205" i="3"/>
  <c r="DH205" i="3" s="1"/>
  <c r="AF205" i="3"/>
  <c r="CO205" i="3" s="1"/>
  <c r="L205" i="3"/>
  <c r="BU205" i="3" s="1"/>
  <c r="AW205" i="3"/>
  <c r="DF205" i="3" s="1"/>
  <c r="AE205" i="3"/>
  <c r="CN205" i="3" s="1"/>
  <c r="F205" i="3"/>
  <c r="BO205" i="3" s="1"/>
  <c r="BJ205" i="3"/>
  <c r="DS205" i="3" s="1"/>
  <c r="AQ205" i="3"/>
  <c r="CZ205" i="3" s="1"/>
  <c r="U205" i="3"/>
  <c r="CD205" i="3" s="1"/>
  <c r="BL205" i="3"/>
  <c r="DU205" i="3" s="1"/>
  <c r="BK205" i="3"/>
  <c r="DT205" i="3" s="1"/>
  <c r="AT205" i="3"/>
  <c r="DC205" i="3" s="1"/>
  <c r="AS205" i="3"/>
  <c r="DB205" i="3" s="1"/>
  <c r="AR205" i="3"/>
  <c r="DA205" i="3" s="1"/>
  <c r="AC205" i="3"/>
  <c r="CL205" i="3" s="1"/>
  <c r="Y205" i="3"/>
  <c r="CH205" i="3" s="1"/>
  <c r="V205" i="3"/>
  <c r="CE205" i="3" s="1"/>
  <c r="E205" i="3"/>
  <c r="BN205" i="3" s="1"/>
  <c r="BF337" i="3"/>
  <c r="DO337" i="3" s="1"/>
  <c r="AV337" i="3"/>
  <c r="DE337" i="3" s="1"/>
  <c r="AL337" i="3"/>
  <c r="CU337" i="3" s="1"/>
  <c r="AB337" i="3"/>
  <c r="CK337" i="3" s="1"/>
  <c r="R337" i="3"/>
  <c r="CA337" i="3" s="1"/>
  <c r="H337" i="3"/>
  <c r="BQ337" i="3" s="1"/>
  <c r="BE337" i="3"/>
  <c r="DN337" i="3" s="1"/>
  <c r="AU337" i="3"/>
  <c r="DD337" i="3" s="1"/>
  <c r="AK337" i="3"/>
  <c r="CT337" i="3" s="1"/>
  <c r="AA337" i="3"/>
  <c r="CJ337" i="3" s="1"/>
  <c r="Q337" i="3"/>
  <c r="BZ337" i="3" s="1"/>
  <c r="G337" i="3"/>
  <c r="BP337" i="3" s="1"/>
  <c r="BK337" i="3"/>
  <c r="DT337" i="3" s="1"/>
  <c r="AY337" i="3"/>
  <c r="DH337" i="3" s="1"/>
  <c r="AM337" i="3"/>
  <c r="CV337" i="3" s="1"/>
  <c r="Y337" i="3"/>
  <c r="CH337" i="3" s="1"/>
  <c r="M337" i="3"/>
  <c r="BV337" i="3" s="1"/>
  <c r="BJ337" i="3"/>
  <c r="DS337" i="3" s="1"/>
  <c r="AX337" i="3"/>
  <c r="DG337" i="3" s="1"/>
  <c r="AJ337" i="3"/>
  <c r="CS337" i="3" s="1"/>
  <c r="X337" i="3"/>
  <c r="CG337" i="3" s="1"/>
  <c r="L337" i="3"/>
  <c r="BU337" i="3" s="1"/>
  <c r="BA337" i="3"/>
  <c r="DJ337" i="3" s="1"/>
  <c r="AO337" i="3"/>
  <c r="CX337" i="3" s="1"/>
  <c r="AC337" i="3"/>
  <c r="CL337" i="3" s="1"/>
  <c r="O337" i="3"/>
  <c r="BX337" i="3" s="1"/>
  <c r="BD337" i="3"/>
  <c r="DM337" i="3" s="1"/>
  <c r="AN337" i="3"/>
  <c r="CW337" i="3" s="1"/>
  <c r="U337" i="3"/>
  <c r="CD337" i="3" s="1"/>
  <c r="BC337" i="3"/>
  <c r="DL337" i="3" s="1"/>
  <c r="AH337" i="3"/>
  <c r="CQ337" i="3" s="1"/>
  <c r="P337" i="3"/>
  <c r="BY337" i="3" s="1"/>
  <c r="BB337" i="3"/>
  <c r="DK337" i="3" s="1"/>
  <c r="AG337" i="3"/>
  <c r="CP337" i="3" s="1"/>
  <c r="N337" i="3"/>
  <c r="BW337" i="3" s="1"/>
  <c r="BH337" i="3"/>
  <c r="DQ337" i="3" s="1"/>
  <c r="AP337" i="3"/>
  <c r="CY337" i="3" s="1"/>
  <c r="T337" i="3"/>
  <c r="CC337" i="3" s="1"/>
  <c r="BL337" i="3"/>
  <c r="DU337" i="3" s="1"/>
  <c r="AF337" i="3"/>
  <c r="CO337" i="3" s="1"/>
  <c r="F337" i="3"/>
  <c r="BO337" i="3" s="1"/>
  <c r="BI337" i="3"/>
  <c r="DR337" i="3" s="1"/>
  <c r="AE337" i="3"/>
  <c r="CN337" i="3" s="1"/>
  <c r="E337" i="3"/>
  <c r="BN337" i="3" s="1"/>
  <c r="BG337" i="3"/>
  <c r="DP337" i="3" s="1"/>
  <c r="AD337" i="3"/>
  <c r="CM337" i="3" s="1"/>
  <c r="AZ337" i="3"/>
  <c r="DI337" i="3" s="1"/>
  <c r="Z337" i="3"/>
  <c r="CI337" i="3" s="1"/>
  <c r="AW337" i="3"/>
  <c r="DF337" i="3" s="1"/>
  <c r="W337" i="3"/>
  <c r="CF337" i="3" s="1"/>
  <c r="AT337" i="3"/>
  <c r="DC337" i="3" s="1"/>
  <c r="V337" i="3"/>
  <c r="CE337" i="3" s="1"/>
  <c r="AS337" i="3"/>
  <c r="DB337" i="3" s="1"/>
  <c r="S337" i="3"/>
  <c r="CB337" i="3" s="1"/>
  <c r="AR337" i="3"/>
  <c r="DA337" i="3" s="1"/>
  <c r="K337" i="3"/>
  <c r="BT337" i="3" s="1"/>
  <c r="AQ337" i="3"/>
  <c r="CZ337" i="3" s="1"/>
  <c r="J337" i="3"/>
  <c r="BS337" i="3" s="1"/>
  <c r="AI337" i="3"/>
  <c r="CR337" i="3" s="1"/>
  <c r="I337" i="3"/>
  <c r="BR337" i="3" s="1"/>
  <c r="BD193" i="3"/>
  <c r="DM193" i="3" s="1"/>
  <c r="AT193" i="3"/>
  <c r="DC193" i="3" s="1"/>
  <c r="AJ193" i="3"/>
  <c r="CS193" i="3" s="1"/>
  <c r="Z193" i="3"/>
  <c r="CI193" i="3" s="1"/>
  <c r="P193" i="3"/>
  <c r="BY193" i="3" s="1"/>
  <c r="F193" i="3"/>
  <c r="BO193" i="3" s="1"/>
  <c r="BJ193" i="3"/>
  <c r="DS193" i="3" s="1"/>
  <c r="AY193" i="3"/>
  <c r="DH193" i="3" s="1"/>
  <c r="AN193" i="3"/>
  <c r="CW193" i="3" s="1"/>
  <c r="AC193" i="3"/>
  <c r="CL193" i="3" s="1"/>
  <c r="R193" i="3"/>
  <c r="CA193" i="3" s="1"/>
  <c r="G193" i="3"/>
  <c r="BP193" i="3" s="1"/>
  <c r="BI193" i="3"/>
  <c r="DR193" i="3" s="1"/>
  <c r="AX193" i="3"/>
  <c r="DG193" i="3" s="1"/>
  <c r="AM193" i="3"/>
  <c r="CV193" i="3" s="1"/>
  <c r="AB193" i="3"/>
  <c r="CK193" i="3" s="1"/>
  <c r="Q193" i="3"/>
  <c r="BZ193" i="3" s="1"/>
  <c r="E193" i="3"/>
  <c r="BN193" i="3" s="1"/>
  <c r="BL193" i="3"/>
  <c r="DU193" i="3" s="1"/>
  <c r="BA193" i="3"/>
  <c r="DJ193" i="3" s="1"/>
  <c r="AP193" i="3"/>
  <c r="CY193" i="3" s="1"/>
  <c r="AE193" i="3"/>
  <c r="CN193" i="3" s="1"/>
  <c r="T193" i="3"/>
  <c r="CC193" i="3" s="1"/>
  <c r="I193" i="3"/>
  <c r="BR193" i="3" s="1"/>
  <c r="BK193" i="3"/>
  <c r="DT193" i="3" s="1"/>
  <c r="AU193" i="3"/>
  <c r="DD193" i="3" s="1"/>
  <c r="AF193" i="3"/>
  <c r="CO193" i="3" s="1"/>
  <c r="N193" i="3"/>
  <c r="BW193" i="3" s="1"/>
  <c r="BH193" i="3"/>
  <c r="DQ193" i="3" s="1"/>
  <c r="AS193" i="3"/>
  <c r="DB193" i="3" s="1"/>
  <c r="AD193" i="3"/>
  <c r="CM193" i="3" s="1"/>
  <c r="M193" i="3"/>
  <c r="BV193" i="3" s="1"/>
  <c r="BG193" i="3"/>
  <c r="DP193" i="3" s="1"/>
  <c r="AR193" i="3"/>
  <c r="DA193" i="3" s="1"/>
  <c r="AA193" i="3"/>
  <c r="CJ193" i="3" s="1"/>
  <c r="L193" i="3"/>
  <c r="BU193" i="3" s="1"/>
  <c r="BF193" i="3"/>
  <c r="DO193" i="3" s="1"/>
  <c r="AQ193" i="3"/>
  <c r="CZ193" i="3" s="1"/>
  <c r="Y193" i="3"/>
  <c r="CH193" i="3" s="1"/>
  <c r="K193" i="3"/>
  <c r="BT193" i="3" s="1"/>
  <c r="BE193" i="3"/>
  <c r="DN193" i="3" s="1"/>
  <c r="AO193" i="3"/>
  <c r="CX193" i="3" s="1"/>
  <c r="X193" i="3"/>
  <c r="CG193" i="3" s="1"/>
  <c r="J193" i="3"/>
  <c r="BS193" i="3" s="1"/>
  <c r="BC193" i="3"/>
  <c r="DL193" i="3" s="1"/>
  <c r="AL193" i="3"/>
  <c r="CU193" i="3" s="1"/>
  <c r="W193" i="3"/>
  <c r="CF193" i="3" s="1"/>
  <c r="H193" i="3"/>
  <c r="BQ193" i="3" s="1"/>
  <c r="AV193" i="3"/>
  <c r="DE193" i="3" s="1"/>
  <c r="AG193" i="3"/>
  <c r="CP193" i="3" s="1"/>
  <c r="O193" i="3"/>
  <c r="BX193" i="3" s="1"/>
  <c r="AW193" i="3"/>
  <c r="DF193" i="3" s="1"/>
  <c r="AK193" i="3"/>
  <c r="CT193" i="3" s="1"/>
  <c r="AI193" i="3"/>
  <c r="CR193" i="3" s="1"/>
  <c r="AH193" i="3"/>
  <c r="CQ193" i="3" s="1"/>
  <c r="V193" i="3"/>
  <c r="CE193" i="3" s="1"/>
  <c r="U193" i="3"/>
  <c r="CD193" i="3" s="1"/>
  <c r="S193" i="3"/>
  <c r="CB193" i="3" s="1"/>
  <c r="BB193" i="3"/>
  <c r="DK193" i="3" s="1"/>
  <c r="AZ193" i="3"/>
  <c r="DI193" i="3" s="1"/>
  <c r="BC279" i="3"/>
  <c r="DL279" i="3" s="1"/>
  <c r="AS279" i="3"/>
  <c r="DB279" i="3" s="1"/>
  <c r="AI279" i="3"/>
  <c r="CR279" i="3" s="1"/>
  <c r="Y279" i="3"/>
  <c r="CH279" i="3" s="1"/>
  <c r="O279" i="3"/>
  <c r="BX279" i="3" s="1"/>
  <c r="E279" i="3"/>
  <c r="BN279" i="3" s="1"/>
  <c r="BL279" i="3"/>
  <c r="DU279" i="3" s="1"/>
  <c r="BB279" i="3"/>
  <c r="DK279" i="3" s="1"/>
  <c r="AR279" i="3"/>
  <c r="DA279" i="3" s="1"/>
  <c r="AH279" i="3"/>
  <c r="CQ279" i="3" s="1"/>
  <c r="X279" i="3"/>
  <c r="CG279" i="3" s="1"/>
  <c r="N279" i="3"/>
  <c r="BW279" i="3" s="1"/>
  <c r="BE279" i="3"/>
  <c r="DN279" i="3" s="1"/>
  <c r="AU279" i="3"/>
  <c r="DD279" i="3" s="1"/>
  <c r="AK279" i="3"/>
  <c r="CT279" i="3" s="1"/>
  <c r="AA279" i="3"/>
  <c r="CJ279" i="3" s="1"/>
  <c r="Q279" i="3"/>
  <c r="BZ279" i="3" s="1"/>
  <c r="G279" i="3"/>
  <c r="BP279" i="3" s="1"/>
  <c r="BK279" i="3"/>
  <c r="DT279" i="3" s="1"/>
  <c r="AX279" i="3"/>
  <c r="DG279" i="3" s="1"/>
  <c r="AJ279" i="3"/>
  <c r="CS279" i="3" s="1"/>
  <c r="U279" i="3"/>
  <c r="CD279" i="3" s="1"/>
  <c r="H279" i="3"/>
  <c r="BQ279" i="3" s="1"/>
  <c r="BA279" i="3"/>
  <c r="DJ279" i="3" s="1"/>
  <c r="AN279" i="3"/>
  <c r="CW279" i="3" s="1"/>
  <c r="Z279" i="3"/>
  <c r="CI279" i="3" s="1"/>
  <c r="K279" i="3"/>
  <c r="BT279" i="3" s="1"/>
  <c r="AW279" i="3"/>
  <c r="DF279" i="3" s="1"/>
  <c r="AE279" i="3"/>
  <c r="CN279" i="3" s="1"/>
  <c r="M279" i="3"/>
  <c r="BV279" i="3" s="1"/>
  <c r="AV279" i="3"/>
  <c r="DE279" i="3" s="1"/>
  <c r="AD279" i="3"/>
  <c r="CM279" i="3" s="1"/>
  <c r="L279" i="3"/>
  <c r="BU279" i="3" s="1"/>
  <c r="BJ279" i="3"/>
  <c r="DS279" i="3" s="1"/>
  <c r="AT279" i="3"/>
  <c r="DC279" i="3" s="1"/>
  <c r="AC279" i="3"/>
  <c r="CL279" i="3" s="1"/>
  <c r="J279" i="3"/>
  <c r="BS279" i="3" s="1"/>
  <c r="BI279" i="3"/>
  <c r="DR279" i="3" s="1"/>
  <c r="AQ279" i="3"/>
  <c r="CZ279" i="3" s="1"/>
  <c r="AB279" i="3"/>
  <c r="CK279" i="3" s="1"/>
  <c r="I279" i="3"/>
  <c r="BR279" i="3" s="1"/>
  <c r="BH279" i="3"/>
  <c r="DQ279" i="3" s="1"/>
  <c r="AP279" i="3"/>
  <c r="CY279" i="3" s="1"/>
  <c r="W279" i="3"/>
  <c r="CF279" i="3" s="1"/>
  <c r="F279" i="3"/>
  <c r="BO279" i="3" s="1"/>
  <c r="BG279" i="3"/>
  <c r="DP279" i="3" s="1"/>
  <c r="AO279" i="3"/>
  <c r="CX279" i="3" s="1"/>
  <c r="V279" i="3"/>
  <c r="CE279" i="3" s="1"/>
  <c r="BF279" i="3"/>
  <c r="DO279" i="3" s="1"/>
  <c r="AM279" i="3"/>
  <c r="CV279" i="3" s="1"/>
  <c r="T279" i="3"/>
  <c r="CC279" i="3" s="1"/>
  <c r="BD279" i="3"/>
  <c r="DM279" i="3" s="1"/>
  <c r="AL279" i="3"/>
  <c r="CU279" i="3" s="1"/>
  <c r="S279" i="3"/>
  <c r="CB279" i="3" s="1"/>
  <c r="AZ279" i="3"/>
  <c r="DI279" i="3" s="1"/>
  <c r="AG279" i="3"/>
  <c r="CP279" i="3" s="1"/>
  <c r="R279" i="3"/>
  <c r="CA279" i="3" s="1"/>
  <c r="AY279" i="3"/>
  <c r="DH279" i="3" s="1"/>
  <c r="AF279" i="3"/>
  <c r="CO279" i="3" s="1"/>
  <c r="P279" i="3"/>
  <c r="BY279" i="3" s="1"/>
  <c r="BJ299" i="3"/>
  <c r="DS299" i="3" s="1"/>
  <c r="AZ299" i="3"/>
  <c r="DI299" i="3" s="1"/>
  <c r="AP299" i="3"/>
  <c r="CY299" i="3" s="1"/>
  <c r="AF299" i="3"/>
  <c r="CO299" i="3" s="1"/>
  <c r="V299" i="3"/>
  <c r="CE299" i="3" s="1"/>
  <c r="L299" i="3"/>
  <c r="BU299" i="3" s="1"/>
  <c r="BK299" i="3"/>
  <c r="DT299" i="3" s="1"/>
  <c r="AY299" i="3"/>
  <c r="DH299" i="3" s="1"/>
  <c r="AN299" i="3"/>
  <c r="CW299" i="3" s="1"/>
  <c r="AC299" i="3"/>
  <c r="CL299" i="3" s="1"/>
  <c r="R299" i="3"/>
  <c r="CA299" i="3" s="1"/>
  <c r="G299" i="3"/>
  <c r="BP299" i="3" s="1"/>
  <c r="BI299" i="3"/>
  <c r="DR299" i="3" s="1"/>
  <c r="AX299" i="3"/>
  <c r="DG299" i="3" s="1"/>
  <c r="AM299" i="3"/>
  <c r="CV299" i="3" s="1"/>
  <c r="AB299" i="3"/>
  <c r="CK299" i="3" s="1"/>
  <c r="Q299" i="3"/>
  <c r="BZ299" i="3" s="1"/>
  <c r="F299" i="3"/>
  <c r="BO299" i="3" s="1"/>
  <c r="BH299" i="3"/>
  <c r="DQ299" i="3" s="1"/>
  <c r="BB299" i="3"/>
  <c r="DK299" i="3" s="1"/>
  <c r="AQ299" i="3"/>
  <c r="CZ299" i="3" s="1"/>
  <c r="AE299" i="3"/>
  <c r="CN299" i="3" s="1"/>
  <c r="T299" i="3"/>
  <c r="CC299" i="3" s="1"/>
  <c r="I299" i="3"/>
  <c r="BR299" i="3" s="1"/>
  <c r="BG299" i="3"/>
  <c r="DP299" i="3" s="1"/>
  <c r="AS299" i="3"/>
  <c r="DB299" i="3" s="1"/>
  <c r="AA299" i="3"/>
  <c r="CJ299" i="3" s="1"/>
  <c r="M299" i="3"/>
  <c r="BV299" i="3" s="1"/>
  <c r="BF299" i="3"/>
  <c r="DO299" i="3" s="1"/>
  <c r="AR299" i="3"/>
  <c r="DA299" i="3" s="1"/>
  <c r="Z299" i="3"/>
  <c r="CI299" i="3" s="1"/>
  <c r="K299" i="3"/>
  <c r="BT299" i="3" s="1"/>
  <c r="BE299" i="3"/>
  <c r="DN299" i="3" s="1"/>
  <c r="AO299" i="3"/>
  <c r="CX299" i="3" s="1"/>
  <c r="Y299" i="3"/>
  <c r="CH299" i="3" s="1"/>
  <c r="J299" i="3"/>
  <c r="BS299" i="3" s="1"/>
  <c r="AU299" i="3"/>
  <c r="DD299" i="3" s="1"/>
  <c r="AG299" i="3"/>
  <c r="CP299" i="3" s="1"/>
  <c r="O299" i="3"/>
  <c r="BX299" i="3" s="1"/>
  <c r="BA299" i="3"/>
  <c r="DJ299" i="3" s="1"/>
  <c r="X299" i="3"/>
  <c r="CG299" i="3" s="1"/>
  <c r="BL299" i="3"/>
  <c r="DU299" i="3" s="1"/>
  <c r="AI299" i="3"/>
  <c r="CR299" i="3" s="1"/>
  <c r="E299" i="3"/>
  <c r="BN299" i="3" s="1"/>
  <c r="BD299" i="3"/>
  <c r="DM299" i="3" s="1"/>
  <c r="AH299" i="3"/>
  <c r="CQ299" i="3" s="1"/>
  <c r="W299" i="3"/>
  <c r="CF299" i="3" s="1"/>
  <c r="U299" i="3"/>
  <c r="CD299" i="3" s="1"/>
  <c r="BC299" i="3"/>
  <c r="DL299" i="3" s="1"/>
  <c r="S299" i="3"/>
  <c r="CB299" i="3" s="1"/>
  <c r="AW299" i="3"/>
  <c r="DF299" i="3" s="1"/>
  <c r="P299" i="3"/>
  <c r="BY299" i="3" s="1"/>
  <c r="AV299" i="3"/>
  <c r="DE299" i="3" s="1"/>
  <c r="N299" i="3"/>
  <c r="BW299" i="3" s="1"/>
  <c r="AT299" i="3"/>
  <c r="DC299" i="3" s="1"/>
  <c r="H299" i="3"/>
  <c r="BQ299" i="3" s="1"/>
  <c r="AL299" i="3"/>
  <c r="CU299" i="3" s="1"/>
  <c r="AK299" i="3"/>
  <c r="CT299" i="3" s="1"/>
  <c r="AJ299" i="3"/>
  <c r="CS299" i="3" s="1"/>
  <c r="AD299" i="3"/>
  <c r="CM299" i="3" s="1"/>
  <c r="BI319" i="3"/>
  <c r="DR319" i="3" s="1"/>
  <c r="AY319" i="3"/>
  <c r="DH319" i="3" s="1"/>
  <c r="AO319" i="3"/>
  <c r="CX319" i="3" s="1"/>
  <c r="AE319" i="3"/>
  <c r="CN319" i="3" s="1"/>
  <c r="U319" i="3"/>
  <c r="CD319" i="3" s="1"/>
  <c r="K319" i="3"/>
  <c r="BT319" i="3" s="1"/>
  <c r="BH319" i="3"/>
  <c r="DQ319" i="3" s="1"/>
  <c r="AX319" i="3"/>
  <c r="DG319" i="3" s="1"/>
  <c r="AN319" i="3"/>
  <c r="CW319" i="3" s="1"/>
  <c r="AD319" i="3"/>
  <c r="CM319" i="3" s="1"/>
  <c r="T319" i="3"/>
  <c r="CC319" i="3" s="1"/>
  <c r="J319" i="3"/>
  <c r="BS319" i="3" s="1"/>
  <c r="BK319" i="3"/>
  <c r="DT319" i="3" s="1"/>
  <c r="BA319" i="3"/>
  <c r="DJ319" i="3" s="1"/>
  <c r="AQ319" i="3"/>
  <c r="CZ319" i="3" s="1"/>
  <c r="AG319" i="3"/>
  <c r="CP319" i="3" s="1"/>
  <c r="W319" i="3"/>
  <c r="CF319" i="3" s="1"/>
  <c r="M319" i="3"/>
  <c r="BV319" i="3" s="1"/>
  <c r="AW319" i="3"/>
  <c r="DF319" i="3" s="1"/>
  <c r="AJ319" i="3"/>
  <c r="CS319" i="3" s="1"/>
  <c r="V319" i="3"/>
  <c r="CE319" i="3" s="1"/>
  <c r="G319" i="3"/>
  <c r="BP319" i="3" s="1"/>
  <c r="BL319" i="3"/>
  <c r="DU319" i="3" s="1"/>
  <c r="AV319" i="3"/>
  <c r="DE319" i="3" s="1"/>
  <c r="AI319" i="3"/>
  <c r="CR319" i="3" s="1"/>
  <c r="S319" i="3"/>
  <c r="CB319" i="3" s="1"/>
  <c r="F319" i="3"/>
  <c r="BO319" i="3" s="1"/>
  <c r="BB319" i="3"/>
  <c r="DK319" i="3" s="1"/>
  <c r="AL319" i="3"/>
  <c r="CU319" i="3" s="1"/>
  <c r="Y319" i="3"/>
  <c r="CH319" i="3" s="1"/>
  <c r="I319" i="3"/>
  <c r="BR319" i="3" s="1"/>
  <c r="AU319" i="3"/>
  <c r="DD319" i="3" s="1"/>
  <c r="AB319" i="3"/>
  <c r="CK319" i="3" s="1"/>
  <c r="H319" i="3"/>
  <c r="BQ319" i="3" s="1"/>
  <c r="AT319" i="3"/>
  <c r="DC319" i="3" s="1"/>
  <c r="AA319" i="3"/>
  <c r="CJ319" i="3" s="1"/>
  <c r="E319" i="3"/>
  <c r="BN319" i="3" s="1"/>
  <c r="AS319" i="3"/>
  <c r="DB319" i="3" s="1"/>
  <c r="Z319" i="3"/>
  <c r="CI319" i="3" s="1"/>
  <c r="BJ319" i="3"/>
  <c r="DS319" i="3" s="1"/>
  <c r="AR319" i="3"/>
  <c r="DA319" i="3" s="1"/>
  <c r="X319" i="3"/>
  <c r="CG319" i="3" s="1"/>
  <c r="BG319" i="3"/>
  <c r="DP319" i="3" s="1"/>
  <c r="AP319" i="3"/>
  <c r="CY319" i="3" s="1"/>
  <c r="R319" i="3"/>
  <c r="CA319" i="3" s="1"/>
  <c r="BD319" i="3"/>
  <c r="DM319" i="3" s="1"/>
  <c r="AH319" i="3"/>
  <c r="CQ319" i="3" s="1"/>
  <c r="O319" i="3"/>
  <c r="BX319" i="3" s="1"/>
  <c r="Q319" i="3"/>
  <c r="BZ319" i="3" s="1"/>
  <c r="P319" i="3"/>
  <c r="BY319" i="3" s="1"/>
  <c r="BF319" i="3"/>
  <c r="DO319" i="3" s="1"/>
  <c r="N319" i="3"/>
  <c r="BW319" i="3" s="1"/>
  <c r="BE319" i="3"/>
  <c r="DN319" i="3" s="1"/>
  <c r="L319" i="3"/>
  <c r="BU319" i="3" s="1"/>
  <c r="BC319" i="3"/>
  <c r="DL319" i="3" s="1"/>
  <c r="AZ319" i="3"/>
  <c r="DI319" i="3" s="1"/>
  <c r="AM319" i="3"/>
  <c r="CV319" i="3" s="1"/>
  <c r="AK319" i="3"/>
  <c r="CT319" i="3" s="1"/>
  <c r="AF319" i="3"/>
  <c r="CO319" i="3" s="1"/>
  <c r="AC319" i="3"/>
  <c r="CL319" i="3" s="1"/>
  <c r="BH339" i="3"/>
  <c r="DQ339" i="3" s="1"/>
  <c r="AX339" i="3"/>
  <c r="DG339" i="3" s="1"/>
  <c r="AN339" i="3"/>
  <c r="CW339" i="3" s="1"/>
  <c r="AD339" i="3"/>
  <c r="CM339" i="3" s="1"/>
  <c r="T339" i="3"/>
  <c r="CC339" i="3" s="1"/>
  <c r="J339" i="3"/>
  <c r="BS339" i="3" s="1"/>
  <c r="BG339" i="3"/>
  <c r="DP339" i="3" s="1"/>
  <c r="AW339" i="3"/>
  <c r="DF339" i="3" s="1"/>
  <c r="AM339" i="3"/>
  <c r="CV339" i="3" s="1"/>
  <c r="AC339" i="3"/>
  <c r="CL339" i="3" s="1"/>
  <c r="S339" i="3"/>
  <c r="CB339" i="3" s="1"/>
  <c r="I339" i="3"/>
  <c r="BR339" i="3" s="1"/>
  <c r="BA339" i="3"/>
  <c r="DJ339" i="3" s="1"/>
  <c r="AO339" i="3"/>
  <c r="CX339" i="3" s="1"/>
  <c r="AA339" i="3"/>
  <c r="CJ339" i="3" s="1"/>
  <c r="O339" i="3"/>
  <c r="BX339" i="3" s="1"/>
  <c r="BL339" i="3"/>
  <c r="DU339" i="3" s="1"/>
  <c r="AZ339" i="3"/>
  <c r="DI339" i="3" s="1"/>
  <c r="AL339" i="3"/>
  <c r="CU339" i="3" s="1"/>
  <c r="Z339" i="3"/>
  <c r="CI339" i="3" s="1"/>
  <c r="N339" i="3"/>
  <c r="BW339" i="3" s="1"/>
  <c r="BC339" i="3"/>
  <c r="DL339" i="3" s="1"/>
  <c r="AQ339" i="3"/>
  <c r="CZ339" i="3" s="1"/>
  <c r="AE339" i="3"/>
  <c r="CN339" i="3" s="1"/>
  <c r="Q339" i="3"/>
  <c r="BZ339" i="3" s="1"/>
  <c r="E339" i="3"/>
  <c r="BN339" i="3" s="1"/>
  <c r="BF339" i="3"/>
  <c r="DO339" i="3" s="1"/>
  <c r="AP339" i="3"/>
  <c r="CY339" i="3" s="1"/>
  <c r="W339" i="3"/>
  <c r="CF339" i="3" s="1"/>
  <c r="F339" i="3"/>
  <c r="BO339" i="3" s="1"/>
  <c r="BK339" i="3"/>
  <c r="DT339" i="3" s="1"/>
  <c r="AT339" i="3"/>
  <c r="DC339" i="3" s="1"/>
  <c r="Y339" i="3"/>
  <c r="CH339" i="3" s="1"/>
  <c r="G339" i="3"/>
  <c r="BP339" i="3" s="1"/>
  <c r="AS339" i="3"/>
  <c r="DB339" i="3" s="1"/>
  <c r="X339" i="3"/>
  <c r="CG339" i="3" s="1"/>
  <c r="AV339" i="3"/>
  <c r="DE339" i="3" s="1"/>
  <c r="AF339" i="3"/>
  <c r="CO339" i="3" s="1"/>
  <c r="K339" i="3"/>
  <c r="BT339" i="3" s="1"/>
  <c r="AK339" i="3"/>
  <c r="CT339" i="3" s="1"/>
  <c r="M339" i="3"/>
  <c r="BV339" i="3" s="1"/>
  <c r="AJ339" i="3"/>
  <c r="CS339" i="3" s="1"/>
  <c r="L339" i="3"/>
  <c r="BU339" i="3" s="1"/>
  <c r="BJ339" i="3"/>
  <c r="DS339" i="3" s="1"/>
  <c r="AI339" i="3"/>
  <c r="CR339" i="3" s="1"/>
  <c r="H339" i="3"/>
  <c r="BQ339" i="3" s="1"/>
  <c r="BI339" i="3"/>
  <c r="DR339" i="3" s="1"/>
  <c r="AH339" i="3"/>
  <c r="CQ339" i="3" s="1"/>
  <c r="BE339" i="3"/>
  <c r="DN339" i="3" s="1"/>
  <c r="AG339" i="3"/>
  <c r="CP339" i="3" s="1"/>
  <c r="BD339" i="3"/>
  <c r="DM339" i="3" s="1"/>
  <c r="AB339" i="3"/>
  <c r="CK339" i="3" s="1"/>
  <c r="BB339" i="3"/>
  <c r="DK339" i="3" s="1"/>
  <c r="V339" i="3"/>
  <c r="CE339" i="3" s="1"/>
  <c r="AY339" i="3"/>
  <c r="DH339" i="3" s="1"/>
  <c r="U339" i="3"/>
  <c r="CD339" i="3" s="1"/>
  <c r="AU339" i="3"/>
  <c r="DD339" i="3" s="1"/>
  <c r="R339" i="3"/>
  <c r="CA339" i="3" s="1"/>
  <c r="P339" i="3"/>
  <c r="BY339" i="3" s="1"/>
  <c r="AR339" i="3"/>
  <c r="DA339" i="3" s="1"/>
  <c r="O360" i="2"/>
  <c r="N360" i="2"/>
  <c r="BC290" i="3"/>
  <c r="DL290" i="3" s="1"/>
  <c r="AS290" i="3"/>
  <c r="DB290" i="3" s="1"/>
  <c r="AI290" i="3"/>
  <c r="CR290" i="3" s="1"/>
  <c r="Y290" i="3"/>
  <c r="CH290" i="3" s="1"/>
  <c r="O290" i="3"/>
  <c r="BX290" i="3" s="1"/>
  <c r="E290" i="3"/>
  <c r="BN290" i="3" s="1"/>
  <c r="BL290" i="3"/>
  <c r="DU290" i="3" s="1"/>
  <c r="BB290" i="3"/>
  <c r="DK290" i="3" s="1"/>
  <c r="AR290" i="3"/>
  <c r="DA290" i="3" s="1"/>
  <c r="AH290" i="3"/>
  <c r="CQ290" i="3" s="1"/>
  <c r="X290" i="3"/>
  <c r="CG290" i="3" s="1"/>
  <c r="N290" i="3"/>
  <c r="BW290" i="3" s="1"/>
  <c r="BG290" i="3"/>
  <c r="DP290" i="3" s="1"/>
  <c r="AU290" i="3"/>
  <c r="DD290" i="3" s="1"/>
  <c r="AG290" i="3"/>
  <c r="CP290" i="3" s="1"/>
  <c r="U290" i="3"/>
  <c r="CD290" i="3" s="1"/>
  <c r="I290" i="3"/>
  <c r="BR290" i="3" s="1"/>
  <c r="BF290" i="3"/>
  <c r="DO290" i="3" s="1"/>
  <c r="AT290" i="3"/>
  <c r="DC290" i="3" s="1"/>
  <c r="AF290" i="3"/>
  <c r="CO290" i="3" s="1"/>
  <c r="T290" i="3"/>
  <c r="CC290" i="3" s="1"/>
  <c r="H290" i="3"/>
  <c r="BQ290" i="3" s="1"/>
  <c r="BE290" i="3"/>
  <c r="DN290" i="3" s="1"/>
  <c r="AQ290" i="3"/>
  <c r="CZ290" i="3" s="1"/>
  <c r="AE290" i="3"/>
  <c r="CN290" i="3" s="1"/>
  <c r="S290" i="3"/>
  <c r="CB290" i="3" s="1"/>
  <c r="G290" i="3"/>
  <c r="BP290" i="3" s="1"/>
  <c r="BI290" i="3"/>
  <c r="DR290" i="3" s="1"/>
  <c r="AW290" i="3"/>
  <c r="DF290" i="3" s="1"/>
  <c r="AK290" i="3"/>
  <c r="CT290" i="3" s="1"/>
  <c r="W290" i="3"/>
  <c r="CF290" i="3" s="1"/>
  <c r="K290" i="3"/>
  <c r="BT290" i="3" s="1"/>
  <c r="AZ290" i="3"/>
  <c r="DI290" i="3" s="1"/>
  <c r="AD290" i="3"/>
  <c r="CM290" i="3" s="1"/>
  <c r="L290" i="3"/>
  <c r="BU290" i="3" s="1"/>
  <c r="BH290" i="3"/>
  <c r="DQ290" i="3" s="1"/>
  <c r="AM290" i="3"/>
  <c r="CV290" i="3" s="1"/>
  <c r="Q290" i="3"/>
  <c r="BZ290" i="3" s="1"/>
  <c r="BD290" i="3"/>
  <c r="DM290" i="3" s="1"/>
  <c r="AL290" i="3"/>
  <c r="CU290" i="3" s="1"/>
  <c r="P290" i="3"/>
  <c r="BY290" i="3" s="1"/>
  <c r="AX290" i="3"/>
  <c r="DG290" i="3" s="1"/>
  <c r="V290" i="3"/>
  <c r="CE290" i="3" s="1"/>
  <c r="AV290" i="3"/>
  <c r="DE290" i="3" s="1"/>
  <c r="R290" i="3"/>
  <c r="CA290" i="3" s="1"/>
  <c r="AP290" i="3"/>
  <c r="CY290" i="3" s="1"/>
  <c r="M290" i="3"/>
  <c r="BV290" i="3" s="1"/>
  <c r="AO290" i="3"/>
  <c r="CX290" i="3" s="1"/>
  <c r="J290" i="3"/>
  <c r="BS290" i="3" s="1"/>
  <c r="AN290" i="3"/>
  <c r="CW290" i="3" s="1"/>
  <c r="F290" i="3"/>
  <c r="BO290" i="3" s="1"/>
  <c r="AJ290" i="3"/>
  <c r="CS290" i="3" s="1"/>
  <c r="BK290" i="3"/>
  <c r="DT290" i="3" s="1"/>
  <c r="AC290" i="3"/>
  <c r="CL290" i="3" s="1"/>
  <c r="BJ290" i="3"/>
  <c r="DS290" i="3" s="1"/>
  <c r="AB290" i="3"/>
  <c r="CK290" i="3" s="1"/>
  <c r="BA290" i="3"/>
  <c r="DJ290" i="3" s="1"/>
  <c r="AA290" i="3"/>
  <c r="CJ290" i="3" s="1"/>
  <c r="AY290" i="3"/>
  <c r="DH290" i="3" s="1"/>
  <c r="Z290" i="3"/>
  <c r="CI290" i="3" s="1"/>
  <c r="BD310" i="3"/>
  <c r="DM310" i="3" s="1"/>
  <c r="AT310" i="3"/>
  <c r="DC310" i="3" s="1"/>
  <c r="AJ310" i="3"/>
  <c r="CS310" i="3" s="1"/>
  <c r="Z310" i="3"/>
  <c r="CI310" i="3" s="1"/>
  <c r="BJ310" i="3"/>
  <c r="DS310" i="3" s="1"/>
  <c r="AY310" i="3"/>
  <c r="DH310" i="3" s="1"/>
  <c r="AN310" i="3"/>
  <c r="CW310" i="3" s="1"/>
  <c r="AC310" i="3"/>
  <c r="CL310" i="3" s="1"/>
  <c r="R310" i="3"/>
  <c r="CA310" i="3" s="1"/>
  <c r="H310" i="3"/>
  <c r="BQ310" i="3" s="1"/>
  <c r="BI310" i="3"/>
  <c r="DR310" i="3" s="1"/>
  <c r="AX310" i="3"/>
  <c r="DG310" i="3" s="1"/>
  <c r="AM310" i="3"/>
  <c r="CV310" i="3" s="1"/>
  <c r="AB310" i="3"/>
  <c r="CK310" i="3" s="1"/>
  <c r="Q310" i="3"/>
  <c r="BZ310" i="3" s="1"/>
  <c r="G310" i="3"/>
  <c r="BP310" i="3" s="1"/>
  <c r="BL310" i="3"/>
  <c r="DU310" i="3" s="1"/>
  <c r="AW310" i="3"/>
  <c r="DF310" i="3" s="1"/>
  <c r="AI310" i="3"/>
  <c r="CR310" i="3" s="1"/>
  <c r="V310" i="3"/>
  <c r="CE310" i="3" s="1"/>
  <c r="J310" i="3"/>
  <c r="BS310" i="3" s="1"/>
  <c r="BH310" i="3"/>
  <c r="DQ310" i="3" s="1"/>
  <c r="AU310" i="3"/>
  <c r="DD310" i="3" s="1"/>
  <c r="AG310" i="3"/>
  <c r="CP310" i="3" s="1"/>
  <c r="T310" i="3"/>
  <c r="CC310" i="3" s="1"/>
  <c r="F310" i="3"/>
  <c r="BO310" i="3" s="1"/>
  <c r="BB310" i="3"/>
  <c r="DK310" i="3" s="1"/>
  <c r="AO310" i="3"/>
  <c r="CX310" i="3" s="1"/>
  <c r="Y310" i="3"/>
  <c r="CH310" i="3" s="1"/>
  <c r="M310" i="3"/>
  <c r="BV310" i="3" s="1"/>
  <c r="AR310" i="3"/>
  <c r="DA310" i="3" s="1"/>
  <c r="X310" i="3"/>
  <c r="CG310" i="3" s="1"/>
  <c r="E310" i="3"/>
  <c r="BN310" i="3" s="1"/>
  <c r="BK310" i="3"/>
  <c r="DT310" i="3" s="1"/>
  <c r="AQ310" i="3"/>
  <c r="CZ310" i="3" s="1"/>
  <c r="W310" i="3"/>
  <c r="CF310" i="3" s="1"/>
  <c r="BG310" i="3"/>
  <c r="DP310" i="3" s="1"/>
  <c r="AP310" i="3"/>
  <c r="CY310" i="3" s="1"/>
  <c r="U310" i="3"/>
  <c r="CD310" i="3" s="1"/>
  <c r="BF310" i="3"/>
  <c r="DO310" i="3" s="1"/>
  <c r="AL310" i="3"/>
  <c r="CU310" i="3" s="1"/>
  <c r="S310" i="3"/>
  <c r="CB310" i="3" s="1"/>
  <c r="BE310" i="3"/>
  <c r="DN310" i="3" s="1"/>
  <c r="AK310" i="3"/>
  <c r="CT310" i="3" s="1"/>
  <c r="P310" i="3"/>
  <c r="BY310" i="3" s="1"/>
  <c r="BC310" i="3"/>
  <c r="DL310" i="3" s="1"/>
  <c r="AH310" i="3"/>
  <c r="CQ310" i="3" s="1"/>
  <c r="O310" i="3"/>
  <c r="BX310" i="3" s="1"/>
  <c r="BA310" i="3"/>
  <c r="DJ310" i="3" s="1"/>
  <c r="AF310" i="3"/>
  <c r="CO310" i="3" s="1"/>
  <c r="N310" i="3"/>
  <c r="BW310" i="3" s="1"/>
  <c r="K310" i="3"/>
  <c r="BT310" i="3" s="1"/>
  <c r="I310" i="3"/>
  <c r="BR310" i="3" s="1"/>
  <c r="AZ310" i="3"/>
  <c r="DI310" i="3" s="1"/>
  <c r="AV310" i="3"/>
  <c r="DE310" i="3" s="1"/>
  <c r="AA310" i="3"/>
  <c r="CJ310" i="3" s="1"/>
  <c r="L310" i="3"/>
  <c r="BU310" i="3" s="1"/>
  <c r="AS310" i="3"/>
  <c r="DB310" i="3" s="1"/>
  <c r="AE310" i="3"/>
  <c r="CN310" i="3" s="1"/>
  <c r="AD310" i="3"/>
  <c r="CM310" i="3" s="1"/>
  <c r="BI330" i="3"/>
  <c r="DR330" i="3" s="1"/>
  <c r="AY330" i="3"/>
  <c r="DH330" i="3" s="1"/>
  <c r="AO330" i="3"/>
  <c r="CX330" i="3" s="1"/>
  <c r="AE330" i="3"/>
  <c r="CN330" i="3" s="1"/>
  <c r="U330" i="3"/>
  <c r="CD330" i="3" s="1"/>
  <c r="K330" i="3"/>
  <c r="BT330" i="3" s="1"/>
  <c r="BH330" i="3"/>
  <c r="DQ330" i="3" s="1"/>
  <c r="AX330" i="3"/>
  <c r="DG330" i="3" s="1"/>
  <c r="AN330" i="3"/>
  <c r="CW330" i="3" s="1"/>
  <c r="AD330" i="3"/>
  <c r="CM330" i="3" s="1"/>
  <c r="T330" i="3"/>
  <c r="CC330" i="3" s="1"/>
  <c r="J330" i="3"/>
  <c r="BS330" i="3" s="1"/>
  <c r="BK330" i="3"/>
  <c r="DT330" i="3" s="1"/>
  <c r="BA330" i="3"/>
  <c r="DJ330" i="3" s="1"/>
  <c r="AQ330" i="3"/>
  <c r="CZ330" i="3" s="1"/>
  <c r="AG330" i="3"/>
  <c r="CP330" i="3" s="1"/>
  <c r="W330" i="3"/>
  <c r="CF330" i="3" s="1"/>
  <c r="M330" i="3"/>
  <c r="BV330" i="3" s="1"/>
  <c r="BE330" i="3"/>
  <c r="DN330" i="3" s="1"/>
  <c r="AR330" i="3"/>
  <c r="DA330" i="3" s="1"/>
  <c r="AB330" i="3"/>
  <c r="CK330" i="3" s="1"/>
  <c r="O330" i="3"/>
  <c r="BX330" i="3" s="1"/>
  <c r="BD330" i="3"/>
  <c r="DM330" i="3" s="1"/>
  <c r="AP330" i="3"/>
  <c r="CY330" i="3" s="1"/>
  <c r="AA330" i="3"/>
  <c r="CJ330" i="3" s="1"/>
  <c r="N330" i="3"/>
  <c r="BW330" i="3" s="1"/>
  <c r="BG330" i="3"/>
  <c r="DP330" i="3" s="1"/>
  <c r="AT330" i="3"/>
  <c r="DC330" i="3" s="1"/>
  <c r="AF330" i="3"/>
  <c r="CO330" i="3" s="1"/>
  <c r="Q330" i="3"/>
  <c r="BZ330" i="3" s="1"/>
  <c r="BC330" i="3"/>
  <c r="DL330" i="3" s="1"/>
  <c r="AJ330" i="3"/>
  <c r="CS330" i="3" s="1"/>
  <c r="P330" i="3"/>
  <c r="BY330" i="3" s="1"/>
  <c r="BB330" i="3"/>
  <c r="DK330" i="3" s="1"/>
  <c r="AI330" i="3"/>
  <c r="CR330" i="3" s="1"/>
  <c r="L330" i="3"/>
  <c r="BU330" i="3" s="1"/>
  <c r="AZ330" i="3"/>
  <c r="DI330" i="3" s="1"/>
  <c r="AH330" i="3"/>
  <c r="CQ330" i="3" s="1"/>
  <c r="I330" i="3"/>
  <c r="BR330" i="3" s="1"/>
  <c r="AW330" i="3"/>
  <c r="DF330" i="3" s="1"/>
  <c r="AV330" i="3"/>
  <c r="DE330" i="3" s="1"/>
  <c r="BJ330" i="3"/>
  <c r="DS330" i="3" s="1"/>
  <c r="AL330" i="3"/>
  <c r="CU330" i="3" s="1"/>
  <c r="S330" i="3"/>
  <c r="CB330" i="3" s="1"/>
  <c r="AC330" i="3"/>
  <c r="CL330" i="3" s="1"/>
  <c r="Z330" i="3"/>
  <c r="CI330" i="3" s="1"/>
  <c r="Y330" i="3"/>
  <c r="CH330" i="3" s="1"/>
  <c r="X330" i="3"/>
  <c r="CG330" i="3" s="1"/>
  <c r="BL330" i="3"/>
  <c r="DU330" i="3" s="1"/>
  <c r="V330" i="3"/>
  <c r="CE330" i="3" s="1"/>
  <c r="BF330" i="3"/>
  <c r="DO330" i="3" s="1"/>
  <c r="R330" i="3"/>
  <c r="CA330" i="3" s="1"/>
  <c r="AS330" i="3"/>
  <c r="DB330" i="3" s="1"/>
  <c r="G330" i="3"/>
  <c r="BP330" i="3" s="1"/>
  <c r="AM330" i="3"/>
  <c r="CV330" i="3" s="1"/>
  <c r="AK330" i="3"/>
  <c r="CT330" i="3" s="1"/>
  <c r="H330" i="3"/>
  <c r="BQ330" i="3" s="1"/>
  <c r="F330" i="3"/>
  <c r="BO330" i="3" s="1"/>
  <c r="E330" i="3"/>
  <c r="BN330" i="3" s="1"/>
  <c r="AU330" i="3"/>
  <c r="DD330" i="3" s="1"/>
  <c r="BG350" i="3"/>
  <c r="DP350" i="3" s="1"/>
  <c r="BE350" i="3"/>
  <c r="DN350" i="3" s="1"/>
  <c r="AU350" i="3"/>
  <c r="DD350" i="3" s="1"/>
  <c r="AK350" i="3"/>
  <c r="CT350" i="3" s="1"/>
  <c r="AA350" i="3"/>
  <c r="CJ350" i="3" s="1"/>
  <c r="Q350" i="3"/>
  <c r="BZ350" i="3" s="1"/>
  <c r="G350" i="3"/>
  <c r="BP350" i="3" s="1"/>
  <c r="BB350" i="3"/>
  <c r="DK350" i="3" s="1"/>
  <c r="AQ350" i="3"/>
  <c r="CZ350" i="3" s="1"/>
  <c r="AF350" i="3"/>
  <c r="CO350" i="3" s="1"/>
  <c r="U350" i="3"/>
  <c r="CD350" i="3" s="1"/>
  <c r="J350" i="3"/>
  <c r="BS350" i="3" s="1"/>
  <c r="BA350" i="3"/>
  <c r="DJ350" i="3" s="1"/>
  <c r="AP350" i="3"/>
  <c r="CY350" i="3" s="1"/>
  <c r="AE350" i="3"/>
  <c r="CN350" i="3" s="1"/>
  <c r="T350" i="3"/>
  <c r="CC350" i="3" s="1"/>
  <c r="I350" i="3"/>
  <c r="BR350" i="3" s="1"/>
  <c r="BC350" i="3"/>
  <c r="DL350" i="3" s="1"/>
  <c r="AN350" i="3"/>
  <c r="CW350" i="3" s="1"/>
  <c r="Z350" i="3"/>
  <c r="CI350" i="3" s="1"/>
  <c r="M350" i="3"/>
  <c r="BV350" i="3" s="1"/>
  <c r="AZ350" i="3"/>
  <c r="DI350" i="3" s="1"/>
  <c r="AM350" i="3"/>
  <c r="CV350" i="3" s="1"/>
  <c r="Y350" i="3"/>
  <c r="CH350" i="3" s="1"/>
  <c r="L350" i="3"/>
  <c r="BU350" i="3" s="1"/>
  <c r="AY350" i="3"/>
  <c r="DH350" i="3" s="1"/>
  <c r="AL350" i="3"/>
  <c r="CU350" i="3" s="1"/>
  <c r="X350" i="3"/>
  <c r="CG350" i="3" s="1"/>
  <c r="K350" i="3"/>
  <c r="BT350" i="3" s="1"/>
  <c r="BL350" i="3"/>
  <c r="DU350" i="3" s="1"/>
  <c r="AX350" i="3"/>
  <c r="DG350" i="3" s="1"/>
  <c r="AJ350" i="3"/>
  <c r="CS350" i="3" s="1"/>
  <c r="W350" i="3"/>
  <c r="CF350" i="3" s="1"/>
  <c r="H350" i="3"/>
  <c r="BQ350" i="3" s="1"/>
  <c r="BF350" i="3"/>
  <c r="DO350" i="3" s="1"/>
  <c r="AR350" i="3"/>
  <c r="DA350" i="3" s="1"/>
  <c r="AC350" i="3"/>
  <c r="CL350" i="3" s="1"/>
  <c r="O350" i="3"/>
  <c r="BX350" i="3" s="1"/>
  <c r="BK350" i="3"/>
  <c r="DT350" i="3" s="1"/>
  <c r="AI350" i="3"/>
  <c r="CR350" i="3" s="1"/>
  <c r="F350" i="3"/>
  <c r="BO350" i="3" s="1"/>
  <c r="BJ350" i="3"/>
  <c r="DS350" i="3" s="1"/>
  <c r="AH350" i="3"/>
  <c r="CQ350" i="3" s="1"/>
  <c r="E350" i="3"/>
  <c r="BN350" i="3" s="1"/>
  <c r="AS350" i="3"/>
  <c r="DB350" i="3" s="1"/>
  <c r="P350" i="3"/>
  <c r="BY350" i="3" s="1"/>
  <c r="BD350" i="3"/>
  <c r="DM350" i="3" s="1"/>
  <c r="R350" i="3"/>
  <c r="CA350" i="3" s="1"/>
  <c r="AB350" i="3"/>
  <c r="CK350" i="3" s="1"/>
  <c r="BI350" i="3"/>
  <c r="DR350" i="3" s="1"/>
  <c r="V350" i="3"/>
  <c r="CE350" i="3" s="1"/>
  <c r="AD350" i="3"/>
  <c r="CM350" i="3" s="1"/>
  <c r="S350" i="3"/>
  <c r="CB350" i="3" s="1"/>
  <c r="AO350" i="3"/>
  <c r="CX350" i="3" s="1"/>
  <c r="BH350" i="3"/>
  <c r="DQ350" i="3" s="1"/>
  <c r="AW350" i="3"/>
  <c r="DF350" i="3" s="1"/>
  <c r="AV350" i="3"/>
  <c r="DE350" i="3" s="1"/>
  <c r="AT350" i="3"/>
  <c r="DC350" i="3" s="1"/>
  <c r="AG350" i="3"/>
  <c r="CP350" i="3" s="1"/>
  <c r="N350" i="3"/>
  <c r="BW350" i="3" s="1"/>
  <c r="BI231" i="3"/>
  <c r="DR231" i="3" s="1"/>
  <c r="AY231" i="3"/>
  <c r="DH231" i="3" s="1"/>
  <c r="AO231" i="3"/>
  <c r="CX231" i="3" s="1"/>
  <c r="AE231" i="3"/>
  <c r="CN231" i="3" s="1"/>
  <c r="U231" i="3"/>
  <c r="CD231" i="3" s="1"/>
  <c r="K231" i="3"/>
  <c r="BT231" i="3" s="1"/>
  <c r="BH231" i="3"/>
  <c r="DQ231" i="3" s="1"/>
  <c r="AX231" i="3"/>
  <c r="DG231" i="3" s="1"/>
  <c r="AN231" i="3"/>
  <c r="CW231" i="3" s="1"/>
  <c r="AD231" i="3"/>
  <c r="CM231" i="3" s="1"/>
  <c r="T231" i="3"/>
  <c r="CC231" i="3" s="1"/>
  <c r="J231" i="3"/>
  <c r="BS231" i="3" s="1"/>
  <c r="BK231" i="3"/>
  <c r="DT231" i="3" s="1"/>
  <c r="BA231" i="3"/>
  <c r="DJ231" i="3" s="1"/>
  <c r="AQ231" i="3"/>
  <c r="CZ231" i="3" s="1"/>
  <c r="AG231" i="3"/>
  <c r="CP231" i="3" s="1"/>
  <c r="W231" i="3"/>
  <c r="CF231" i="3" s="1"/>
  <c r="M231" i="3"/>
  <c r="BV231" i="3" s="1"/>
  <c r="BE231" i="3"/>
  <c r="DN231" i="3" s="1"/>
  <c r="AR231" i="3"/>
  <c r="DA231" i="3" s="1"/>
  <c r="AB231" i="3"/>
  <c r="CK231" i="3" s="1"/>
  <c r="O231" i="3"/>
  <c r="BX231" i="3" s="1"/>
  <c r="BD231" i="3"/>
  <c r="DM231" i="3" s="1"/>
  <c r="AP231" i="3"/>
  <c r="CY231" i="3" s="1"/>
  <c r="AA231" i="3"/>
  <c r="CJ231" i="3" s="1"/>
  <c r="N231" i="3"/>
  <c r="BW231" i="3" s="1"/>
  <c r="BG231" i="3"/>
  <c r="DP231" i="3" s="1"/>
  <c r="AT231" i="3"/>
  <c r="DC231" i="3" s="1"/>
  <c r="AF231" i="3"/>
  <c r="CO231" i="3" s="1"/>
  <c r="Q231" i="3"/>
  <c r="BZ231" i="3" s="1"/>
  <c r="BC231" i="3"/>
  <c r="DL231" i="3" s="1"/>
  <c r="AJ231" i="3"/>
  <c r="CS231" i="3" s="1"/>
  <c r="P231" i="3"/>
  <c r="BY231" i="3" s="1"/>
  <c r="BB231" i="3"/>
  <c r="DK231" i="3" s="1"/>
  <c r="AI231" i="3"/>
  <c r="CR231" i="3" s="1"/>
  <c r="L231" i="3"/>
  <c r="BU231" i="3" s="1"/>
  <c r="AZ231" i="3"/>
  <c r="DI231" i="3" s="1"/>
  <c r="AH231" i="3"/>
  <c r="CQ231" i="3" s="1"/>
  <c r="I231" i="3"/>
  <c r="BR231" i="3" s="1"/>
  <c r="AW231" i="3"/>
  <c r="DF231" i="3" s="1"/>
  <c r="X231" i="3"/>
  <c r="CG231" i="3" s="1"/>
  <c r="AV231" i="3"/>
  <c r="DE231" i="3" s="1"/>
  <c r="V231" i="3"/>
  <c r="CE231" i="3" s="1"/>
  <c r="AU231" i="3"/>
  <c r="DD231" i="3" s="1"/>
  <c r="S231" i="3"/>
  <c r="CB231" i="3" s="1"/>
  <c r="AS231" i="3"/>
  <c r="DB231" i="3" s="1"/>
  <c r="R231" i="3"/>
  <c r="CA231" i="3" s="1"/>
  <c r="AM231" i="3"/>
  <c r="CV231" i="3" s="1"/>
  <c r="H231" i="3"/>
  <c r="BQ231" i="3" s="1"/>
  <c r="AL231" i="3"/>
  <c r="CU231" i="3" s="1"/>
  <c r="G231" i="3"/>
  <c r="BP231" i="3" s="1"/>
  <c r="AK231" i="3"/>
  <c r="CT231" i="3" s="1"/>
  <c r="F231" i="3"/>
  <c r="BO231" i="3" s="1"/>
  <c r="BL231" i="3"/>
  <c r="DU231" i="3" s="1"/>
  <c r="AC231" i="3"/>
  <c r="CL231" i="3" s="1"/>
  <c r="E231" i="3"/>
  <c r="BN231" i="3" s="1"/>
  <c r="BJ231" i="3"/>
  <c r="DS231" i="3" s="1"/>
  <c r="Z231" i="3"/>
  <c r="CI231" i="3" s="1"/>
  <c r="BF231" i="3"/>
  <c r="DO231" i="3" s="1"/>
  <c r="Y231" i="3"/>
  <c r="CH231" i="3" s="1"/>
  <c r="BD251" i="3"/>
  <c r="DM251" i="3" s="1"/>
  <c r="AT251" i="3"/>
  <c r="DC251" i="3" s="1"/>
  <c r="AJ251" i="3"/>
  <c r="CS251" i="3" s="1"/>
  <c r="Z251" i="3"/>
  <c r="CI251" i="3" s="1"/>
  <c r="P251" i="3"/>
  <c r="BY251" i="3" s="1"/>
  <c r="F251" i="3"/>
  <c r="BO251" i="3" s="1"/>
  <c r="BC251" i="3"/>
  <c r="DL251" i="3" s="1"/>
  <c r="AS251" i="3"/>
  <c r="DB251" i="3" s="1"/>
  <c r="AI251" i="3"/>
  <c r="CR251" i="3" s="1"/>
  <c r="Y251" i="3"/>
  <c r="CH251" i="3" s="1"/>
  <c r="O251" i="3"/>
  <c r="BX251" i="3" s="1"/>
  <c r="E251" i="3"/>
  <c r="BN251" i="3" s="1"/>
  <c r="BJ251" i="3"/>
  <c r="DS251" i="3" s="1"/>
  <c r="AX251" i="3"/>
  <c r="DG251" i="3" s="1"/>
  <c r="AL251" i="3"/>
  <c r="CU251" i="3" s="1"/>
  <c r="X251" i="3"/>
  <c r="CG251" i="3" s="1"/>
  <c r="L251" i="3"/>
  <c r="BU251" i="3" s="1"/>
  <c r="BE251" i="3"/>
  <c r="DN251" i="3" s="1"/>
  <c r="AP251" i="3"/>
  <c r="CY251" i="3" s="1"/>
  <c r="AC251" i="3"/>
  <c r="CL251" i="3" s="1"/>
  <c r="N251" i="3"/>
  <c r="BW251" i="3" s="1"/>
  <c r="BB251" i="3"/>
  <c r="DK251" i="3" s="1"/>
  <c r="AO251" i="3"/>
  <c r="CX251" i="3" s="1"/>
  <c r="AB251" i="3"/>
  <c r="CK251" i="3" s="1"/>
  <c r="M251" i="3"/>
  <c r="BV251" i="3" s="1"/>
  <c r="BA251" i="3"/>
  <c r="DJ251" i="3" s="1"/>
  <c r="AN251" i="3"/>
  <c r="CW251" i="3" s="1"/>
  <c r="AA251" i="3"/>
  <c r="CJ251" i="3" s="1"/>
  <c r="K251" i="3"/>
  <c r="BT251" i="3" s="1"/>
  <c r="AZ251" i="3"/>
  <c r="DI251" i="3" s="1"/>
  <c r="AM251" i="3"/>
  <c r="CV251" i="3" s="1"/>
  <c r="W251" i="3"/>
  <c r="CF251" i="3" s="1"/>
  <c r="J251" i="3"/>
  <c r="BS251" i="3" s="1"/>
  <c r="BL251" i="3"/>
  <c r="DU251" i="3" s="1"/>
  <c r="AY251" i="3"/>
  <c r="DH251" i="3" s="1"/>
  <c r="AK251" i="3"/>
  <c r="CT251" i="3" s="1"/>
  <c r="V251" i="3"/>
  <c r="CE251" i="3" s="1"/>
  <c r="I251" i="3"/>
  <c r="BR251" i="3" s="1"/>
  <c r="BK251" i="3"/>
  <c r="DT251" i="3" s="1"/>
  <c r="AW251" i="3"/>
  <c r="DF251" i="3" s="1"/>
  <c r="AH251" i="3"/>
  <c r="CQ251" i="3" s="1"/>
  <c r="U251" i="3"/>
  <c r="CD251" i="3" s="1"/>
  <c r="H251" i="3"/>
  <c r="BQ251" i="3" s="1"/>
  <c r="BG251" i="3"/>
  <c r="DP251" i="3" s="1"/>
  <c r="AR251" i="3"/>
  <c r="DA251" i="3" s="1"/>
  <c r="AE251" i="3"/>
  <c r="CN251" i="3" s="1"/>
  <c r="R251" i="3"/>
  <c r="CA251" i="3" s="1"/>
  <c r="AV251" i="3"/>
  <c r="DE251" i="3" s="1"/>
  <c r="AU251" i="3"/>
  <c r="DD251" i="3" s="1"/>
  <c r="AQ251" i="3"/>
  <c r="CZ251" i="3" s="1"/>
  <c r="BH251" i="3"/>
  <c r="DQ251" i="3" s="1"/>
  <c r="Q251" i="3"/>
  <c r="BZ251" i="3" s="1"/>
  <c r="AF251" i="3"/>
  <c r="CO251" i="3" s="1"/>
  <c r="AD251" i="3"/>
  <c r="CM251" i="3" s="1"/>
  <c r="T251" i="3"/>
  <c r="CC251" i="3" s="1"/>
  <c r="G251" i="3"/>
  <c r="BP251" i="3" s="1"/>
  <c r="BI251" i="3"/>
  <c r="DR251" i="3" s="1"/>
  <c r="BF251" i="3"/>
  <c r="DO251" i="3" s="1"/>
  <c r="AG251" i="3"/>
  <c r="CP251" i="3" s="1"/>
  <c r="S251" i="3"/>
  <c r="CB251" i="3" s="1"/>
  <c r="BE271" i="3"/>
  <c r="DN271" i="3" s="1"/>
  <c r="AU271" i="3"/>
  <c r="DD271" i="3" s="1"/>
  <c r="AK271" i="3"/>
  <c r="CT271" i="3" s="1"/>
  <c r="AA271" i="3"/>
  <c r="CJ271" i="3" s="1"/>
  <c r="Q271" i="3"/>
  <c r="BZ271" i="3" s="1"/>
  <c r="G271" i="3"/>
  <c r="BP271" i="3" s="1"/>
  <c r="BD271" i="3"/>
  <c r="DM271" i="3" s="1"/>
  <c r="AT271" i="3"/>
  <c r="DC271" i="3" s="1"/>
  <c r="AJ271" i="3"/>
  <c r="CS271" i="3" s="1"/>
  <c r="Z271" i="3"/>
  <c r="CI271" i="3" s="1"/>
  <c r="P271" i="3"/>
  <c r="BY271" i="3" s="1"/>
  <c r="F271" i="3"/>
  <c r="BO271" i="3" s="1"/>
  <c r="BG271" i="3"/>
  <c r="DP271" i="3" s="1"/>
  <c r="AW271" i="3"/>
  <c r="DF271" i="3" s="1"/>
  <c r="AM271" i="3"/>
  <c r="CV271" i="3" s="1"/>
  <c r="AC271" i="3"/>
  <c r="CL271" i="3" s="1"/>
  <c r="S271" i="3"/>
  <c r="CB271" i="3" s="1"/>
  <c r="I271" i="3"/>
  <c r="BR271" i="3" s="1"/>
  <c r="BC271" i="3"/>
  <c r="DL271" i="3" s="1"/>
  <c r="AP271" i="3"/>
  <c r="CY271" i="3" s="1"/>
  <c r="AB271" i="3"/>
  <c r="CK271" i="3" s="1"/>
  <c r="M271" i="3"/>
  <c r="BV271" i="3" s="1"/>
  <c r="BJ271" i="3"/>
  <c r="DS271" i="3" s="1"/>
  <c r="AS271" i="3"/>
  <c r="DB271" i="3" s="1"/>
  <c r="AE271" i="3"/>
  <c r="CN271" i="3" s="1"/>
  <c r="N271" i="3"/>
  <c r="BW271" i="3" s="1"/>
  <c r="BI271" i="3"/>
  <c r="DR271" i="3" s="1"/>
  <c r="AR271" i="3"/>
  <c r="DA271" i="3" s="1"/>
  <c r="AD271" i="3"/>
  <c r="CM271" i="3" s="1"/>
  <c r="L271" i="3"/>
  <c r="BU271" i="3" s="1"/>
  <c r="BH271" i="3"/>
  <c r="DQ271" i="3" s="1"/>
  <c r="BL271" i="3"/>
  <c r="DU271" i="3" s="1"/>
  <c r="AX271" i="3"/>
  <c r="DG271" i="3" s="1"/>
  <c r="AG271" i="3"/>
  <c r="CP271" i="3" s="1"/>
  <c r="R271" i="3"/>
  <c r="CA271" i="3" s="1"/>
  <c r="AN271" i="3"/>
  <c r="CW271" i="3" s="1"/>
  <c r="T271" i="3"/>
  <c r="CC271" i="3" s="1"/>
  <c r="BK271" i="3"/>
  <c r="DT271" i="3" s="1"/>
  <c r="AL271" i="3"/>
  <c r="CU271" i="3" s="1"/>
  <c r="O271" i="3"/>
  <c r="BX271" i="3" s="1"/>
  <c r="BF271" i="3"/>
  <c r="DO271" i="3" s="1"/>
  <c r="AI271" i="3"/>
  <c r="CR271" i="3" s="1"/>
  <c r="K271" i="3"/>
  <c r="BT271" i="3" s="1"/>
  <c r="BB271" i="3"/>
  <c r="DK271" i="3" s="1"/>
  <c r="AH271" i="3"/>
  <c r="CQ271" i="3" s="1"/>
  <c r="J271" i="3"/>
  <c r="BS271" i="3" s="1"/>
  <c r="AO271" i="3"/>
  <c r="CX271" i="3" s="1"/>
  <c r="U271" i="3"/>
  <c r="CD271" i="3" s="1"/>
  <c r="W271" i="3"/>
  <c r="CF271" i="3" s="1"/>
  <c r="V271" i="3"/>
  <c r="CE271" i="3" s="1"/>
  <c r="BA271" i="3"/>
  <c r="DJ271" i="3" s="1"/>
  <c r="H271" i="3"/>
  <c r="BQ271" i="3" s="1"/>
  <c r="AZ271" i="3"/>
  <c r="DI271" i="3" s="1"/>
  <c r="E271" i="3"/>
  <c r="BN271" i="3" s="1"/>
  <c r="AY271" i="3"/>
  <c r="DH271" i="3" s="1"/>
  <c r="AV271" i="3"/>
  <c r="DE271" i="3" s="1"/>
  <c r="AQ271" i="3"/>
  <c r="CZ271" i="3" s="1"/>
  <c r="AF271" i="3"/>
  <c r="CO271" i="3" s="1"/>
  <c r="Y271" i="3"/>
  <c r="CH271" i="3" s="1"/>
  <c r="X271" i="3"/>
  <c r="CG271" i="3" s="1"/>
  <c r="BI291" i="3"/>
  <c r="DR291" i="3" s="1"/>
  <c r="AY291" i="3"/>
  <c r="DH291" i="3" s="1"/>
  <c r="AO291" i="3"/>
  <c r="CX291" i="3" s="1"/>
  <c r="AE291" i="3"/>
  <c r="CN291" i="3" s="1"/>
  <c r="U291" i="3"/>
  <c r="CD291" i="3" s="1"/>
  <c r="K291" i="3"/>
  <c r="BT291" i="3" s="1"/>
  <c r="BH291" i="3"/>
  <c r="DQ291" i="3" s="1"/>
  <c r="AX291" i="3"/>
  <c r="DG291" i="3" s="1"/>
  <c r="AN291" i="3"/>
  <c r="CW291" i="3" s="1"/>
  <c r="AD291" i="3"/>
  <c r="CM291" i="3" s="1"/>
  <c r="T291" i="3"/>
  <c r="CC291" i="3" s="1"/>
  <c r="J291" i="3"/>
  <c r="BS291" i="3" s="1"/>
  <c r="BG291" i="3"/>
  <c r="DP291" i="3" s="1"/>
  <c r="AU291" i="3"/>
  <c r="DD291" i="3" s="1"/>
  <c r="AI291" i="3"/>
  <c r="CR291" i="3" s="1"/>
  <c r="W291" i="3"/>
  <c r="CF291" i="3" s="1"/>
  <c r="I291" i="3"/>
  <c r="BR291" i="3" s="1"/>
  <c r="BF291" i="3"/>
  <c r="DO291" i="3" s="1"/>
  <c r="AT291" i="3"/>
  <c r="DC291" i="3" s="1"/>
  <c r="AH291" i="3"/>
  <c r="CQ291" i="3" s="1"/>
  <c r="V291" i="3"/>
  <c r="CE291" i="3" s="1"/>
  <c r="H291" i="3"/>
  <c r="BQ291" i="3" s="1"/>
  <c r="BE291" i="3"/>
  <c r="DN291" i="3" s="1"/>
  <c r="AS291" i="3"/>
  <c r="DB291" i="3" s="1"/>
  <c r="AG291" i="3"/>
  <c r="CP291" i="3" s="1"/>
  <c r="S291" i="3"/>
  <c r="CB291" i="3" s="1"/>
  <c r="G291" i="3"/>
  <c r="BP291" i="3" s="1"/>
  <c r="BK291" i="3"/>
  <c r="DT291" i="3" s="1"/>
  <c r="AW291" i="3"/>
  <c r="DF291" i="3" s="1"/>
  <c r="AK291" i="3"/>
  <c r="CT291" i="3" s="1"/>
  <c r="Y291" i="3"/>
  <c r="CH291" i="3" s="1"/>
  <c r="M291" i="3"/>
  <c r="BV291" i="3" s="1"/>
  <c r="BB291" i="3"/>
  <c r="DK291" i="3" s="1"/>
  <c r="AF291" i="3"/>
  <c r="CO291" i="3" s="1"/>
  <c r="N291" i="3"/>
  <c r="BW291" i="3" s="1"/>
  <c r="BJ291" i="3"/>
  <c r="DS291" i="3" s="1"/>
  <c r="AM291" i="3"/>
  <c r="CV291" i="3" s="1"/>
  <c r="Q291" i="3"/>
  <c r="BZ291" i="3" s="1"/>
  <c r="BD291" i="3"/>
  <c r="DM291" i="3" s="1"/>
  <c r="AL291" i="3"/>
  <c r="CU291" i="3" s="1"/>
  <c r="P291" i="3"/>
  <c r="BY291" i="3" s="1"/>
  <c r="AR291" i="3"/>
  <c r="DA291" i="3" s="1"/>
  <c r="O291" i="3"/>
  <c r="BX291" i="3" s="1"/>
  <c r="AQ291" i="3"/>
  <c r="CZ291" i="3" s="1"/>
  <c r="L291" i="3"/>
  <c r="BU291" i="3" s="1"/>
  <c r="AP291" i="3"/>
  <c r="CY291" i="3" s="1"/>
  <c r="F291" i="3"/>
  <c r="BO291" i="3" s="1"/>
  <c r="AJ291" i="3"/>
  <c r="CS291" i="3" s="1"/>
  <c r="E291" i="3"/>
  <c r="BN291" i="3" s="1"/>
  <c r="AC291" i="3"/>
  <c r="CL291" i="3" s="1"/>
  <c r="BL291" i="3"/>
  <c r="DU291" i="3" s="1"/>
  <c r="AB291" i="3"/>
  <c r="CK291" i="3" s="1"/>
  <c r="BC291" i="3"/>
  <c r="DL291" i="3" s="1"/>
  <c r="AA291" i="3"/>
  <c r="CJ291" i="3" s="1"/>
  <c r="BA291" i="3"/>
  <c r="DJ291" i="3" s="1"/>
  <c r="Z291" i="3"/>
  <c r="CI291" i="3" s="1"/>
  <c r="AZ291" i="3"/>
  <c r="DI291" i="3" s="1"/>
  <c r="X291" i="3"/>
  <c r="CG291" i="3" s="1"/>
  <c r="AV291" i="3"/>
  <c r="DE291" i="3" s="1"/>
  <c r="R291" i="3"/>
  <c r="CA291" i="3" s="1"/>
  <c r="BJ311" i="3"/>
  <c r="DS311" i="3" s="1"/>
  <c r="AZ311" i="3"/>
  <c r="DI311" i="3" s="1"/>
  <c r="AP311" i="3"/>
  <c r="CY311" i="3" s="1"/>
  <c r="AF311" i="3"/>
  <c r="CO311" i="3" s="1"/>
  <c r="V311" i="3"/>
  <c r="CE311" i="3" s="1"/>
  <c r="L311" i="3"/>
  <c r="BU311" i="3" s="1"/>
  <c r="BH311" i="3"/>
  <c r="DQ311" i="3" s="1"/>
  <c r="AW311" i="3"/>
  <c r="DF311" i="3" s="1"/>
  <c r="AL311" i="3"/>
  <c r="CU311" i="3" s="1"/>
  <c r="AA311" i="3"/>
  <c r="CJ311" i="3" s="1"/>
  <c r="P311" i="3"/>
  <c r="BY311" i="3" s="1"/>
  <c r="E311" i="3"/>
  <c r="BN311" i="3" s="1"/>
  <c r="BG311" i="3"/>
  <c r="DP311" i="3" s="1"/>
  <c r="AV311" i="3"/>
  <c r="DE311" i="3" s="1"/>
  <c r="AK311" i="3"/>
  <c r="CT311" i="3" s="1"/>
  <c r="Z311" i="3"/>
  <c r="CI311" i="3" s="1"/>
  <c r="O311" i="3"/>
  <c r="BX311" i="3" s="1"/>
  <c r="AY311" i="3"/>
  <c r="DH311" i="3" s="1"/>
  <c r="AJ311" i="3"/>
  <c r="CS311" i="3" s="1"/>
  <c r="W311" i="3"/>
  <c r="CF311" i="3" s="1"/>
  <c r="I311" i="3"/>
  <c r="BR311" i="3" s="1"/>
  <c r="BK311" i="3"/>
  <c r="DT311" i="3" s="1"/>
  <c r="AU311" i="3"/>
  <c r="DD311" i="3" s="1"/>
  <c r="AH311" i="3"/>
  <c r="CQ311" i="3" s="1"/>
  <c r="T311" i="3"/>
  <c r="CC311" i="3" s="1"/>
  <c r="G311" i="3"/>
  <c r="BP311" i="3" s="1"/>
  <c r="BC311" i="3"/>
  <c r="DL311" i="3" s="1"/>
  <c r="AO311" i="3"/>
  <c r="CX311" i="3" s="1"/>
  <c r="AB311" i="3"/>
  <c r="CK311" i="3" s="1"/>
  <c r="M311" i="3"/>
  <c r="BV311" i="3" s="1"/>
  <c r="BF311" i="3"/>
  <c r="DO311" i="3" s="1"/>
  <c r="AN311" i="3"/>
  <c r="CW311" i="3" s="1"/>
  <c r="S311" i="3"/>
  <c r="CB311" i="3" s="1"/>
  <c r="BE311" i="3"/>
  <c r="DN311" i="3" s="1"/>
  <c r="AM311" i="3"/>
  <c r="CV311" i="3" s="1"/>
  <c r="R311" i="3"/>
  <c r="CA311" i="3" s="1"/>
  <c r="BD311" i="3"/>
  <c r="DM311" i="3" s="1"/>
  <c r="AI311" i="3"/>
  <c r="CR311" i="3" s="1"/>
  <c r="Q311" i="3"/>
  <c r="BZ311" i="3" s="1"/>
  <c r="BB311" i="3"/>
  <c r="DK311" i="3" s="1"/>
  <c r="AG311" i="3"/>
  <c r="CP311" i="3" s="1"/>
  <c r="N311" i="3"/>
  <c r="BW311" i="3" s="1"/>
  <c r="BA311" i="3"/>
  <c r="DJ311" i="3" s="1"/>
  <c r="AE311" i="3"/>
  <c r="CN311" i="3" s="1"/>
  <c r="K311" i="3"/>
  <c r="BT311" i="3" s="1"/>
  <c r="AX311" i="3"/>
  <c r="DG311" i="3" s="1"/>
  <c r="AD311" i="3"/>
  <c r="CM311" i="3" s="1"/>
  <c r="J311" i="3"/>
  <c r="BS311" i="3" s="1"/>
  <c r="AT311" i="3"/>
  <c r="DC311" i="3" s="1"/>
  <c r="AC311" i="3"/>
  <c r="CL311" i="3" s="1"/>
  <c r="H311" i="3"/>
  <c r="BQ311" i="3" s="1"/>
  <c r="U311" i="3"/>
  <c r="CD311" i="3" s="1"/>
  <c r="F311" i="3"/>
  <c r="BO311" i="3" s="1"/>
  <c r="BL311" i="3"/>
  <c r="DU311" i="3" s="1"/>
  <c r="BI311" i="3"/>
  <c r="DR311" i="3" s="1"/>
  <c r="Y311" i="3"/>
  <c r="CH311" i="3" s="1"/>
  <c r="X311" i="3"/>
  <c r="CG311" i="3" s="1"/>
  <c r="AQ311" i="3"/>
  <c r="CZ311" i="3" s="1"/>
  <c r="AS311" i="3"/>
  <c r="DB311" i="3" s="1"/>
  <c r="AR311" i="3"/>
  <c r="DA311" i="3" s="1"/>
  <c r="BE331" i="3"/>
  <c r="DN331" i="3" s="1"/>
  <c r="AU331" i="3"/>
  <c r="DD331" i="3" s="1"/>
  <c r="AK331" i="3"/>
  <c r="CT331" i="3" s="1"/>
  <c r="AA331" i="3"/>
  <c r="CJ331" i="3" s="1"/>
  <c r="Q331" i="3"/>
  <c r="BZ331" i="3" s="1"/>
  <c r="G331" i="3"/>
  <c r="BP331" i="3" s="1"/>
  <c r="BD331" i="3"/>
  <c r="DM331" i="3" s="1"/>
  <c r="AT331" i="3"/>
  <c r="DC331" i="3" s="1"/>
  <c r="AJ331" i="3"/>
  <c r="CS331" i="3" s="1"/>
  <c r="Z331" i="3"/>
  <c r="CI331" i="3" s="1"/>
  <c r="P331" i="3"/>
  <c r="BY331" i="3" s="1"/>
  <c r="F331" i="3"/>
  <c r="BO331" i="3" s="1"/>
  <c r="BG331" i="3"/>
  <c r="DP331" i="3" s="1"/>
  <c r="AW331" i="3"/>
  <c r="DF331" i="3" s="1"/>
  <c r="AM331" i="3"/>
  <c r="CV331" i="3" s="1"/>
  <c r="AC331" i="3"/>
  <c r="CL331" i="3" s="1"/>
  <c r="S331" i="3"/>
  <c r="CB331" i="3" s="1"/>
  <c r="I331" i="3"/>
  <c r="BR331" i="3" s="1"/>
  <c r="BJ331" i="3"/>
  <c r="DS331" i="3" s="1"/>
  <c r="AV331" i="3"/>
  <c r="DE331" i="3" s="1"/>
  <c r="AG331" i="3"/>
  <c r="CP331" i="3" s="1"/>
  <c r="T331" i="3"/>
  <c r="CC331" i="3" s="1"/>
  <c r="BI331" i="3"/>
  <c r="DR331" i="3" s="1"/>
  <c r="AS331" i="3"/>
  <c r="DB331" i="3" s="1"/>
  <c r="AF331" i="3"/>
  <c r="CO331" i="3" s="1"/>
  <c r="R331" i="3"/>
  <c r="CA331" i="3" s="1"/>
  <c r="BL331" i="3"/>
  <c r="DU331" i="3" s="1"/>
  <c r="AY331" i="3"/>
  <c r="DH331" i="3" s="1"/>
  <c r="AI331" i="3"/>
  <c r="CR331" i="3" s="1"/>
  <c r="V331" i="3"/>
  <c r="CE331" i="3" s="1"/>
  <c r="H331" i="3"/>
  <c r="BQ331" i="3" s="1"/>
  <c r="BB331" i="3"/>
  <c r="DK331" i="3" s="1"/>
  <c r="AH331" i="3"/>
  <c r="CQ331" i="3" s="1"/>
  <c r="M331" i="3"/>
  <c r="BV331" i="3" s="1"/>
  <c r="BA331" i="3"/>
  <c r="DJ331" i="3" s="1"/>
  <c r="AE331" i="3"/>
  <c r="CN331" i="3" s="1"/>
  <c r="L331" i="3"/>
  <c r="BU331" i="3" s="1"/>
  <c r="AZ331" i="3"/>
  <c r="DI331" i="3" s="1"/>
  <c r="AD331" i="3"/>
  <c r="CM331" i="3" s="1"/>
  <c r="K331" i="3"/>
  <c r="BT331" i="3" s="1"/>
  <c r="AX331" i="3"/>
  <c r="DG331" i="3" s="1"/>
  <c r="AB331" i="3"/>
  <c r="CK331" i="3" s="1"/>
  <c r="J331" i="3"/>
  <c r="BS331" i="3" s="1"/>
  <c r="AR331" i="3"/>
  <c r="DA331" i="3" s="1"/>
  <c r="Y331" i="3"/>
  <c r="CH331" i="3" s="1"/>
  <c r="E331" i="3"/>
  <c r="BN331" i="3" s="1"/>
  <c r="AQ331" i="3"/>
  <c r="CZ331" i="3" s="1"/>
  <c r="X331" i="3"/>
  <c r="CG331" i="3" s="1"/>
  <c r="BK331" i="3"/>
  <c r="DT331" i="3" s="1"/>
  <c r="AP331" i="3"/>
  <c r="CY331" i="3" s="1"/>
  <c r="W331" i="3"/>
  <c r="CF331" i="3" s="1"/>
  <c r="BH331" i="3"/>
  <c r="DQ331" i="3" s="1"/>
  <c r="AO331" i="3"/>
  <c r="CX331" i="3" s="1"/>
  <c r="BF331" i="3"/>
  <c r="DO331" i="3" s="1"/>
  <c r="AN331" i="3"/>
  <c r="CW331" i="3" s="1"/>
  <c r="O331" i="3"/>
  <c r="BX331" i="3" s="1"/>
  <c r="N331" i="3"/>
  <c r="BW331" i="3" s="1"/>
  <c r="BC331" i="3"/>
  <c r="DL331" i="3" s="1"/>
  <c r="AL331" i="3"/>
  <c r="CU331" i="3" s="1"/>
  <c r="U331" i="3"/>
  <c r="CD331" i="3" s="1"/>
  <c r="BC351" i="3"/>
  <c r="DL351" i="3" s="1"/>
  <c r="AS351" i="3"/>
  <c r="DB351" i="3" s="1"/>
  <c r="AI351" i="3"/>
  <c r="CR351" i="3" s="1"/>
  <c r="Y351" i="3"/>
  <c r="CH351" i="3" s="1"/>
  <c r="O351" i="3"/>
  <c r="BX351" i="3" s="1"/>
  <c r="E351" i="3"/>
  <c r="BN351" i="3" s="1"/>
  <c r="BD351" i="3"/>
  <c r="DM351" i="3" s="1"/>
  <c r="AR351" i="3"/>
  <c r="DA351" i="3" s="1"/>
  <c r="AG351" i="3"/>
  <c r="CP351" i="3" s="1"/>
  <c r="V351" i="3"/>
  <c r="CE351" i="3" s="1"/>
  <c r="K351" i="3"/>
  <c r="BT351" i="3" s="1"/>
  <c r="BA351" i="3"/>
  <c r="DJ351" i="3" s="1"/>
  <c r="AO351" i="3"/>
  <c r="CX351" i="3" s="1"/>
  <c r="AC351" i="3"/>
  <c r="CL351" i="3" s="1"/>
  <c r="Q351" i="3"/>
  <c r="BZ351" i="3" s="1"/>
  <c r="BL351" i="3"/>
  <c r="DU351" i="3" s="1"/>
  <c r="AZ351" i="3"/>
  <c r="DI351" i="3" s="1"/>
  <c r="AN351" i="3"/>
  <c r="CW351" i="3" s="1"/>
  <c r="AB351" i="3"/>
  <c r="CK351" i="3" s="1"/>
  <c r="P351" i="3"/>
  <c r="BY351" i="3" s="1"/>
  <c r="BB351" i="3"/>
  <c r="DK351" i="3" s="1"/>
  <c r="AL351" i="3"/>
  <c r="CU351" i="3" s="1"/>
  <c r="W351" i="3"/>
  <c r="CF351" i="3" s="1"/>
  <c r="H351" i="3"/>
  <c r="BQ351" i="3" s="1"/>
  <c r="AY351" i="3"/>
  <c r="DH351" i="3" s="1"/>
  <c r="AK351" i="3"/>
  <c r="CT351" i="3" s="1"/>
  <c r="U351" i="3"/>
  <c r="CD351" i="3" s="1"/>
  <c r="G351" i="3"/>
  <c r="BP351" i="3" s="1"/>
  <c r="AX351" i="3"/>
  <c r="DG351" i="3" s="1"/>
  <c r="AJ351" i="3"/>
  <c r="CS351" i="3" s="1"/>
  <c r="T351" i="3"/>
  <c r="CC351" i="3" s="1"/>
  <c r="F351" i="3"/>
  <c r="BO351" i="3" s="1"/>
  <c r="BK351" i="3"/>
  <c r="DT351" i="3" s="1"/>
  <c r="AW351" i="3"/>
  <c r="DF351" i="3" s="1"/>
  <c r="AH351" i="3"/>
  <c r="CQ351" i="3" s="1"/>
  <c r="S351" i="3"/>
  <c r="CB351" i="3" s="1"/>
  <c r="BF351" i="3"/>
  <c r="DO351" i="3" s="1"/>
  <c r="AP351" i="3"/>
  <c r="CY351" i="3" s="1"/>
  <c r="Z351" i="3"/>
  <c r="CI351" i="3" s="1"/>
  <c r="J351" i="3"/>
  <c r="BS351" i="3" s="1"/>
  <c r="BJ351" i="3"/>
  <c r="DS351" i="3" s="1"/>
  <c r="AF351" i="3"/>
  <c r="CO351" i="3" s="1"/>
  <c r="BI351" i="3"/>
  <c r="DR351" i="3" s="1"/>
  <c r="AE351" i="3"/>
  <c r="CN351" i="3" s="1"/>
  <c r="AQ351" i="3"/>
  <c r="CZ351" i="3" s="1"/>
  <c r="L351" i="3"/>
  <c r="BU351" i="3" s="1"/>
  <c r="BH351" i="3"/>
  <c r="DQ351" i="3" s="1"/>
  <c r="R351" i="3"/>
  <c r="CA351" i="3" s="1"/>
  <c r="BG351" i="3"/>
  <c r="DP351" i="3" s="1"/>
  <c r="AD351" i="3"/>
  <c r="CM351" i="3" s="1"/>
  <c r="AA351" i="3"/>
  <c r="CJ351" i="3" s="1"/>
  <c r="X351" i="3"/>
  <c r="CG351" i="3" s="1"/>
  <c r="N351" i="3"/>
  <c r="BW351" i="3" s="1"/>
  <c r="AT351" i="3"/>
  <c r="DC351" i="3" s="1"/>
  <c r="BE351" i="3"/>
  <c r="DN351" i="3" s="1"/>
  <c r="AV351" i="3"/>
  <c r="DE351" i="3" s="1"/>
  <c r="AU351" i="3"/>
  <c r="DD351" i="3" s="1"/>
  <c r="AM351" i="3"/>
  <c r="CV351" i="3" s="1"/>
  <c r="M351" i="3"/>
  <c r="BV351" i="3" s="1"/>
  <c r="I351" i="3"/>
  <c r="BR351" i="3" s="1"/>
  <c r="BJ252" i="3"/>
  <c r="DS252" i="3" s="1"/>
  <c r="AZ252" i="3"/>
  <c r="DI252" i="3" s="1"/>
  <c r="AP252" i="3"/>
  <c r="CY252" i="3" s="1"/>
  <c r="AF252" i="3"/>
  <c r="CO252" i="3" s="1"/>
  <c r="V252" i="3"/>
  <c r="CE252" i="3" s="1"/>
  <c r="L252" i="3"/>
  <c r="BU252" i="3" s="1"/>
  <c r="BI252" i="3"/>
  <c r="DR252" i="3" s="1"/>
  <c r="AY252" i="3"/>
  <c r="DH252" i="3" s="1"/>
  <c r="AO252" i="3"/>
  <c r="CX252" i="3" s="1"/>
  <c r="AE252" i="3"/>
  <c r="CN252" i="3" s="1"/>
  <c r="U252" i="3"/>
  <c r="CD252" i="3" s="1"/>
  <c r="K252" i="3"/>
  <c r="BT252" i="3" s="1"/>
  <c r="BL252" i="3"/>
  <c r="DU252" i="3" s="1"/>
  <c r="BB252" i="3"/>
  <c r="DK252" i="3" s="1"/>
  <c r="AR252" i="3"/>
  <c r="DA252" i="3" s="1"/>
  <c r="AH252" i="3"/>
  <c r="CQ252" i="3" s="1"/>
  <c r="X252" i="3"/>
  <c r="CG252" i="3" s="1"/>
  <c r="N252" i="3"/>
  <c r="BW252" i="3" s="1"/>
  <c r="BH252" i="3"/>
  <c r="DQ252" i="3" s="1"/>
  <c r="AU252" i="3"/>
  <c r="DD252" i="3" s="1"/>
  <c r="AG252" i="3"/>
  <c r="CP252" i="3" s="1"/>
  <c r="R252" i="3"/>
  <c r="CA252" i="3" s="1"/>
  <c r="E252" i="3"/>
  <c r="BN252" i="3" s="1"/>
  <c r="BK252" i="3"/>
  <c r="DT252" i="3" s="1"/>
  <c r="BA252" i="3"/>
  <c r="DJ252" i="3" s="1"/>
  <c r="AK252" i="3"/>
  <c r="CT252" i="3" s="1"/>
  <c r="T252" i="3"/>
  <c r="CC252" i="3" s="1"/>
  <c r="F252" i="3"/>
  <c r="BO252" i="3" s="1"/>
  <c r="AX252" i="3"/>
  <c r="DG252" i="3" s="1"/>
  <c r="AJ252" i="3"/>
  <c r="CS252" i="3" s="1"/>
  <c r="S252" i="3"/>
  <c r="CB252" i="3" s="1"/>
  <c r="AW252" i="3"/>
  <c r="DF252" i="3" s="1"/>
  <c r="AI252" i="3"/>
  <c r="CR252" i="3" s="1"/>
  <c r="Q252" i="3"/>
  <c r="BZ252" i="3" s="1"/>
  <c r="AV252" i="3"/>
  <c r="DE252" i="3" s="1"/>
  <c r="AD252" i="3"/>
  <c r="CM252" i="3" s="1"/>
  <c r="P252" i="3"/>
  <c r="BY252" i="3" s="1"/>
  <c r="AT252" i="3"/>
  <c r="DC252" i="3" s="1"/>
  <c r="AC252" i="3"/>
  <c r="CL252" i="3" s="1"/>
  <c r="O252" i="3"/>
  <c r="BX252" i="3" s="1"/>
  <c r="BG252" i="3"/>
  <c r="DP252" i="3" s="1"/>
  <c r="AS252" i="3"/>
  <c r="DB252" i="3" s="1"/>
  <c r="AB252" i="3"/>
  <c r="CK252" i="3" s="1"/>
  <c r="M252" i="3"/>
  <c r="BV252" i="3" s="1"/>
  <c r="BD252" i="3"/>
  <c r="DM252" i="3" s="1"/>
  <c r="AM252" i="3"/>
  <c r="CV252" i="3" s="1"/>
  <c r="Y252" i="3"/>
  <c r="CH252" i="3" s="1"/>
  <c r="H252" i="3"/>
  <c r="BQ252" i="3" s="1"/>
  <c r="Z252" i="3"/>
  <c r="CI252" i="3" s="1"/>
  <c r="W252" i="3"/>
  <c r="CF252" i="3" s="1"/>
  <c r="J252" i="3"/>
  <c r="BS252" i="3" s="1"/>
  <c r="BF252" i="3"/>
  <c r="DO252" i="3" s="1"/>
  <c r="AL252" i="3"/>
  <c r="CU252" i="3" s="1"/>
  <c r="BE252" i="3"/>
  <c r="DN252" i="3" s="1"/>
  <c r="G252" i="3"/>
  <c r="BP252" i="3" s="1"/>
  <c r="BC252" i="3"/>
  <c r="DL252" i="3" s="1"/>
  <c r="AQ252" i="3"/>
  <c r="CZ252" i="3" s="1"/>
  <c r="AN252" i="3"/>
  <c r="CW252" i="3" s="1"/>
  <c r="AA252" i="3"/>
  <c r="CJ252" i="3" s="1"/>
  <c r="I252" i="3"/>
  <c r="BR252" i="3" s="1"/>
  <c r="BH302" i="3"/>
  <c r="DQ302" i="3" s="1"/>
  <c r="AX302" i="3"/>
  <c r="DG302" i="3" s="1"/>
  <c r="AN302" i="3"/>
  <c r="CW302" i="3" s="1"/>
  <c r="AD302" i="3"/>
  <c r="CM302" i="3" s="1"/>
  <c r="T302" i="3"/>
  <c r="CC302" i="3" s="1"/>
  <c r="J302" i="3"/>
  <c r="BS302" i="3" s="1"/>
  <c r="BI302" i="3"/>
  <c r="DR302" i="3" s="1"/>
  <c r="AW302" i="3"/>
  <c r="DF302" i="3" s="1"/>
  <c r="AL302" i="3"/>
  <c r="CU302" i="3" s="1"/>
  <c r="AA302" i="3"/>
  <c r="CJ302" i="3" s="1"/>
  <c r="P302" i="3"/>
  <c r="BY302" i="3" s="1"/>
  <c r="E302" i="3"/>
  <c r="BN302" i="3" s="1"/>
  <c r="BB302" i="3"/>
  <c r="DK302" i="3" s="1"/>
  <c r="AP302" i="3"/>
  <c r="CY302" i="3" s="1"/>
  <c r="AC302" i="3"/>
  <c r="CL302" i="3" s="1"/>
  <c r="Q302" i="3"/>
  <c r="BZ302" i="3" s="1"/>
  <c r="BE302" i="3"/>
  <c r="DN302" i="3" s="1"/>
  <c r="AR302" i="3"/>
  <c r="DA302" i="3" s="1"/>
  <c r="AE302" i="3"/>
  <c r="CN302" i="3" s="1"/>
  <c r="O302" i="3"/>
  <c r="BX302" i="3" s="1"/>
  <c r="BD302" i="3"/>
  <c r="DM302" i="3" s="1"/>
  <c r="AQ302" i="3"/>
  <c r="CZ302" i="3" s="1"/>
  <c r="AB302" i="3"/>
  <c r="CK302" i="3" s="1"/>
  <c r="N302" i="3"/>
  <c r="BW302" i="3" s="1"/>
  <c r="BC302" i="3"/>
  <c r="DL302" i="3" s="1"/>
  <c r="AO302" i="3"/>
  <c r="CX302" i="3" s="1"/>
  <c r="Z302" i="3"/>
  <c r="CI302" i="3" s="1"/>
  <c r="M302" i="3"/>
  <c r="BV302" i="3" s="1"/>
  <c r="BA302" i="3"/>
  <c r="DJ302" i="3" s="1"/>
  <c r="AM302" i="3"/>
  <c r="CV302" i="3" s="1"/>
  <c r="Y302" i="3"/>
  <c r="CH302" i="3" s="1"/>
  <c r="L302" i="3"/>
  <c r="BU302" i="3" s="1"/>
  <c r="AZ302" i="3"/>
  <c r="DI302" i="3" s="1"/>
  <c r="AK302" i="3"/>
  <c r="CT302" i="3" s="1"/>
  <c r="X302" i="3"/>
  <c r="CG302" i="3" s="1"/>
  <c r="K302" i="3"/>
  <c r="BT302" i="3" s="1"/>
  <c r="BG302" i="3"/>
  <c r="DP302" i="3" s="1"/>
  <c r="AT302" i="3"/>
  <c r="DC302" i="3" s="1"/>
  <c r="AG302" i="3"/>
  <c r="CP302" i="3" s="1"/>
  <c r="S302" i="3"/>
  <c r="CB302" i="3" s="1"/>
  <c r="F302" i="3"/>
  <c r="BO302" i="3" s="1"/>
  <c r="BF302" i="3"/>
  <c r="DO302" i="3" s="1"/>
  <c r="AS302" i="3"/>
  <c r="DB302" i="3" s="1"/>
  <c r="AF302" i="3"/>
  <c r="CO302" i="3" s="1"/>
  <c r="R302" i="3"/>
  <c r="CA302" i="3" s="1"/>
  <c r="AY302" i="3"/>
  <c r="DH302" i="3" s="1"/>
  <c r="H302" i="3"/>
  <c r="BQ302" i="3" s="1"/>
  <c r="AV302" i="3"/>
  <c r="DE302" i="3" s="1"/>
  <c r="G302" i="3"/>
  <c r="BP302" i="3" s="1"/>
  <c r="AU302" i="3"/>
  <c r="DD302" i="3" s="1"/>
  <c r="BK302" i="3"/>
  <c r="DT302" i="3" s="1"/>
  <c r="U302" i="3"/>
  <c r="CD302" i="3" s="1"/>
  <c r="W302" i="3"/>
  <c r="CF302" i="3" s="1"/>
  <c r="V302" i="3"/>
  <c r="CE302" i="3" s="1"/>
  <c r="BL302" i="3"/>
  <c r="DU302" i="3" s="1"/>
  <c r="BJ302" i="3"/>
  <c r="DS302" i="3" s="1"/>
  <c r="AJ302" i="3"/>
  <c r="CS302" i="3" s="1"/>
  <c r="AI302" i="3"/>
  <c r="CR302" i="3" s="1"/>
  <c r="AH302" i="3"/>
  <c r="CQ302" i="3" s="1"/>
  <c r="I302" i="3"/>
  <c r="BR302" i="3" s="1"/>
  <c r="BI352" i="3"/>
  <c r="DR352" i="3" s="1"/>
  <c r="AY352" i="3"/>
  <c r="DH352" i="3" s="1"/>
  <c r="AO352" i="3"/>
  <c r="CX352" i="3" s="1"/>
  <c r="AE352" i="3"/>
  <c r="CN352" i="3" s="1"/>
  <c r="U352" i="3"/>
  <c r="CD352" i="3" s="1"/>
  <c r="K352" i="3"/>
  <c r="BT352" i="3" s="1"/>
  <c r="BB352" i="3"/>
  <c r="DK352" i="3" s="1"/>
  <c r="AQ352" i="3"/>
  <c r="CZ352" i="3" s="1"/>
  <c r="AF352" i="3"/>
  <c r="CO352" i="3" s="1"/>
  <c r="T352" i="3"/>
  <c r="CC352" i="3" s="1"/>
  <c r="I352" i="3"/>
  <c r="BR352" i="3" s="1"/>
  <c r="BA352" i="3"/>
  <c r="DJ352" i="3" s="1"/>
  <c r="AN352" i="3"/>
  <c r="CW352" i="3" s="1"/>
  <c r="AB352" i="3"/>
  <c r="CK352" i="3" s="1"/>
  <c r="P352" i="3"/>
  <c r="BY352" i="3" s="1"/>
  <c r="BL352" i="3"/>
  <c r="DU352" i="3" s="1"/>
  <c r="AZ352" i="3"/>
  <c r="DI352" i="3" s="1"/>
  <c r="AM352" i="3"/>
  <c r="CV352" i="3" s="1"/>
  <c r="AA352" i="3"/>
  <c r="CJ352" i="3" s="1"/>
  <c r="O352" i="3"/>
  <c r="BX352" i="3" s="1"/>
  <c r="BD352" i="3"/>
  <c r="DM352" i="3" s="1"/>
  <c r="AR352" i="3"/>
  <c r="DA352" i="3" s="1"/>
  <c r="AD352" i="3"/>
  <c r="CM352" i="3" s="1"/>
  <c r="R352" i="3"/>
  <c r="CA352" i="3" s="1"/>
  <c r="F352" i="3"/>
  <c r="BO352" i="3" s="1"/>
  <c r="AX352" i="3"/>
  <c r="DG352" i="3" s="1"/>
  <c r="AI352" i="3"/>
  <c r="CR352" i="3" s="1"/>
  <c r="Q352" i="3"/>
  <c r="BZ352" i="3" s="1"/>
  <c r="AW352" i="3"/>
  <c r="DF352" i="3" s="1"/>
  <c r="AH352" i="3"/>
  <c r="CQ352" i="3" s="1"/>
  <c r="N352" i="3"/>
  <c r="BW352" i="3" s="1"/>
  <c r="AV352" i="3"/>
  <c r="DE352" i="3" s="1"/>
  <c r="AG352" i="3"/>
  <c r="CP352" i="3" s="1"/>
  <c r="M352" i="3"/>
  <c r="BV352" i="3" s="1"/>
  <c r="BK352" i="3"/>
  <c r="DT352" i="3" s="1"/>
  <c r="AU352" i="3"/>
  <c r="DD352" i="3" s="1"/>
  <c r="AC352" i="3"/>
  <c r="CL352" i="3" s="1"/>
  <c r="L352" i="3"/>
  <c r="BU352" i="3" s="1"/>
  <c r="BE352" i="3"/>
  <c r="DN352" i="3" s="1"/>
  <c r="AK352" i="3"/>
  <c r="CT352" i="3" s="1"/>
  <c r="V352" i="3"/>
  <c r="CE352" i="3" s="1"/>
  <c r="AT352" i="3"/>
  <c r="DC352" i="3" s="1"/>
  <c r="J352" i="3"/>
  <c r="BS352" i="3" s="1"/>
  <c r="AS352" i="3"/>
  <c r="DB352" i="3" s="1"/>
  <c r="H352" i="3"/>
  <c r="BQ352" i="3" s="1"/>
  <c r="BF352" i="3"/>
  <c r="DO352" i="3" s="1"/>
  <c r="W352" i="3"/>
  <c r="CF352" i="3" s="1"/>
  <c r="AL352" i="3"/>
  <c r="CU352" i="3" s="1"/>
  <c r="AJ352" i="3"/>
  <c r="CS352" i="3" s="1"/>
  <c r="BG352" i="3"/>
  <c r="DP352" i="3" s="1"/>
  <c r="E352" i="3"/>
  <c r="BN352" i="3" s="1"/>
  <c r="BC352" i="3"/>
  <c r="DL352" i="3" s="1"/>
  <c r="BJ352" i="3"/>
  <c r="DS352" i="3" s="1"/>
  <c r="BH352" i="3"/>
  <c r="DQ352" i="3" s="1"/>
  <c r="AP352" i="3"/>
  <c r="CY352" i="3" s="1"/>
  <c r="Z352" i="3"/>
  <c r="CI352" i="3" s="1"/>
  <c r="Y352" i="3"/>
  <c r="CH352" i="3" s="1"/>
  <c r="X352" i="3"/>
  <c r="CG352" i="3" s="1"/>
  <c r="S352" i="3"/>
  <c r="CB352" i="3" s="1"/>
  <c r="G352" i="3"/>
  <c r="BP352" i="3" s="1"/>
  <c r="BJ294" i="3"/>
  <c r="DS294" i="3" s="1"/>
  <c r="AZ294" i="3"/>
  <c r="DI294" i="3" s="1"/>
  <c r="AP294" i="3"/>
  <c r="CY294" i="3" s="1"/>
  <c r="AF294" i="3"/>
  <c r="CO294" i="3" s="1"/>
  <c r="V294" i="3"/>
  <c r="CE294" i="3" s="1"/>
  <c r="L294" i="3"/>
  <c r="BU294" i="3" s="1"/>
  <c r="BH294" i="3"/>
  <c r="DQ294" i="3" s="1"/>
  <c r="AW294" i="3"/>
  <c r="DF294" i="3" s="1"/>
  <c r="AL294" i="3"/>
  <c r="CU294" i="3" s="1"/>
  <c r="AA294" i="3"/>
  <c r="CJ294" i="3" s="1"/>
  <c r="P294" i="3"/>
  <c r="BY294" i="3" s="1"/>
  <c r="E294" i="3"/>
  <c r="BN294" i="3" s="1"/>
  <c r="BG294" i="3"/>
  <c r="DP294" i="3" s="1"/>
  <c r="AV294" i="3"/>
  <c r="DE294" i="3" s="1"/>
  <c r="AK294" i="3"/>
  <c r="CT294" i="3" s="1"/>
  <c r="Z294" i="3"/>
  <c r="CI294" i="3" s="1"/>
  <c r="O294" i="3"/>
  <c r="BX294" i="3" s="1"/>
  <c r="BD294" i="3"/>
  <c r="DM294" i="3" s="1"/>
  <c r="AQ294" i="3"/>
  <c r="CZ294" i="3" s="1"/>
  <c r="AC294" i="3"/>
  <c r="CL294" i="3" s="1"/>
  <c r="N294" i="3"/>
  <c r="BW294" i="3" s="1"/>
  <c r="BC294" i="3"/>
  <c r="DL294" i="3" s="1"/>
  <c r="AO294" i="3"/>
  <c r="CX294" i="3" s="1"/>
  <c r="AB294" i="3"/>
  <c r="CK294" i="3" s="1"/>
  <c r="M294" i="3"/>
  <c r="BV294" i="3" s="1"/>
  <c r="BB294" i="3"/>
  <c r="DK294" i="3" s="1"/>
  <c r="AN294" i="3"/>
  <c r="CW294" i="3" s="1"/>
  <c r="Y294" i="3"/>
  <c r="CH294" i="3" s="1"/>
  <c r="K294" i="3"/>
  <c r="BT294" i="3" s="1"/>
  <c r="BF294" i="3"/>
  <c r="DO294" i="3" s="1"/>
  <c r="AS294" i="3"/>
  <c r="DB294" i="3" s="1"/>
  <c r="AE294" i="3"/>
  <c r="CN294" i="3" s="1"/>
  <c r="R294" i="3"/>
  <c r="CA294" i="3" s="1"/>
  <c r="AT294" i="3"/>
  <c r="DC294" i="3" s="1"/>
  <c r="U294" i="3"/>
  <c r="CD294" i="3" s="1"/>
  <c r="AY294" i="3"/>
  <c r="DH294" i="3" s="1"/>
  <c r="AD294" i="3"/>
  <c r="CM294" i="3" s="1"/>
  <c r="G294" i="3"/>
  <c r="BP294" i="3" s="1"/>
  <c r="AX294" i="3"/>
  <c r="DG294" i="3" s="1"/>
  <c r="X294" i="3"/>
  <c r="CG294" i="3" s="1"/>
  <c r="F294" i="3"/>
  <c r="BO294" i="3" s="1"/>
  <c r="BK294" i="3"/>
  <c r="DT294" i="3" s="1"/>
  <c r="AG294" i="3"/>
  <c r="CP294" i="3" s="1"/>
  <c r="BI294" i="3"/>
  <c r="DR294" i="3" s="1"/>
  <c r="W294" i="3"/>
  <c r="CF294" i="3" s="1"/>
  <c r="BE294" i="3"/>
  <c r="DN294" i="3" s="1"/>
  <c r="T294" i="3"/>
  <c r="CC294" i="3" s="1"/>
  <c r="BA294" i="3"/>
  <c r="DJ294" i="3" s="1"/>
  <c r="S294" i="3"/>
  <c r="CB294" i="3" s="1"/>
  <c r="AU294" i="3"/>
  <c r="DD294" i="3" s="1"/>
  <c r="Q294" i="3"/>
  <c r="BZ294" i="3" s="1"/>
  <c r="AR294" i="3"/>
  <c r="DA294" i="3" s="1"/>
  <c r="J294" i="3"/>
  <c r="BS294" i="3" s="1"/>
  <c r="AM294" i="3"/>
  <c r="CV294" i="3" s="1"/>
  <c r="I294" i="3"/>
  <c r="BR294" i="3" s="1"/>
  <c r="AJ294" i="3"/>
  <c r="CS294" i="3" s="1"/>
  <c r="H294" i="3"/>
  <c r="BQ294" i="3" s="1"/>
  <c r="AI294" i="3"/>
  <c r="CR294" i="3" s="1"/>
  <c r="BL294" i="3"/>
  <c r="DU294" i="3" s="1"/>
  <c r="AH294" i="3"/>
  <c r="CQ294" i="3" s="1"/>
  <c r="BF359" i="3"/>
  <c r="DO359" i="3" s="1"/>
  <c r="AV359" i="3"/>
  <c r="DE359" i="3" s="1"/>
  <c r="AL359" i="3"/>
  <c r="CU359" i="3" s="1"/>
  <c r="AB359" i="3"/>
  <c r="CK359" i="3" s="1"/>
  <c r="R359" i="3"/>
  <c r="CA359" i="3" s="1"/>
  <c r="H359" i="3"/>
  <c r="BQ359" i="3" s="1"/>
  <c r="BE359" i="3"/>
  <c r="DN359" i="3" s="1"/>
  <c r="AU359" i="3"/>
  <c r="DD359" i="3" s="1"/>
  <c r="AK359" i="3"/>
  <c r="CT359" i="3" s="1"/>
  <c r="AA359" i="3"/>
  <c r="CJ359" i="3" s="1"/>
  <c r="Q359" i="3"/>
  <c r="BZ359" i="3" s="1"/>
  <c r="BJ359" i="3"/>
  <c r="DS359" i="3" s="1"/>
  <c r="AX359" i="3"/>
  <c r="DG359" i="3" s="1"/>
  <c r="AJ359" i="3"/>
  <c r="CS359" i="3" s="1"/>
  <c r="X359" i="3"/>
  <c r="CG359" i="3" s="1"/>
  <c r="L359" i="3"/>
  <c r="BU359" i="3" s="1"/>
  <c r="BI359" i="3"/>
  <c r="DR359" i="3" s="1"/>
  <c r="AW359" i="3"/>
  <c r="DF359" i="3" s="1"/>
  <c r="AI359" i="3"/>
  <c r="CR359" i="3" s="1"/>
  <c r="W359" i="3"/>
  <c r="CF359" i="3" s="1"/>
  <c r="K359" i="3"/>
  <c r="BT359" i="3" s="1"/>
  <c r="BA359" i="3"/>
  <c r="DJ359" i="3" s="1"/>
  <c r="AM359" i="3"/>
  <c r="CV359" i="3" s="1"/>
  <c r="U359" i="3"/>
  <c r="CD359" i="3" s="1"/>
  <c r="F359" i="3"/>
  <c r="BO359" i="3" s="1"/>
  <c r="AZ359" i="3"/>
  <c r="DI359" i="3" s="1"/>
  <c r="AH359" i="3"/>
  <c r="CQ359" i="3" s="1"/>
  <c r="T359" i="3"/>
  <c r="CC359" i="3" s="1"/>
  <c r="E359" i="3"/>
  <c r="BN359" i="3" s="1"/>
  <c r="BC359" i="3"/>
  <c r="DL359" i="3" s="1"/>
  <c r="AG359" i="3"/>
  <c r="CP359" i="3" s="1"/>
  <c r="O359" i="3"/>
  <c r="BX359" i="3" s="1"/>
  <c r="BB359" i="3"/>
  <c r="DK359" i="3" s="1"/>
  <c r="AF359" i="3"/>
  <c r="CO359" i="3" s="1"/>
  <c r="N359" i="3"/>
  <c r="BW359" i="3" s="1"/>
  <c r="BG359" i="3"/>
  <c r="DP359" i="3" s="1"/>
  <c r="AO359" i="3"/>
  <c r="CX359" i="3" s="1"/>
  <c r="S359" i="3"/>
  <c r="CB359" i="3" s="1"/>
  <c r="BH359" i="3"/>
  <c r="DQ359" i="3" s="1"/>
  <c r="AD359" i="3"/>
  <c r="CM359" i="3" s="1"/>
  <c r="BD359" i="3"/>
  <c r="DM359" i="3" s="1"/>
  <c r="AC359" i="3"/>
  <c r="CL359" i="3" s="1"/>
  <c r="AY359" i="3"/>
  <c r="DH359" i="3" s="1"/>
  <c r="Z359" i="3"/>
  <c r="CI359" i="3" s="1"/>
  <c r="AT359" i="3"/>
  <c r="DC359" i="3" s="1"/>
  <c r="Y359" i="3"/>
  <c r="CH359" i="3" s="1"/>
  <c r="BL359" i="3"/>
  <c r="DU359" i="3" s="1"/>
  <c r="AN359" i="3"/>
  <c r="CW359" i="3" s="1"/>
  <c r="I359" i="3"/>
  <c r="BR359" i="3" s="1"/>
  <c r="V359" i="3"/>
  <c r="CE359" i="3" s="1"/>
  <c r="P359" i="3"/>
  <c r="BY359" i="3" s="1"/>
  <c r="AP359" i="3"/>
  <c r="CY359" i="3" s="1"/>
  <c r="BK359" i="3"/>
  <c r="DT359" i="3" s="1"/>
  <c r="AS359" i="3"/>
  <c r="DB359" i="3" s="1"/>
  <c r="AR359" i="3"/>
  <c r="DA359" i="3" s="1"/>
  <c r="AQ359" i="3"/>
  <c r="CZ359" i="3" s="1"/>
  <c r="AE359" i="3"/>
  <c r="CN359" i="3" s="1"/>
  <c r="M359" i="3"/>
  <c r="BV359" i="3" s="1"/>
  <c r="J359" i="3"/>
  <c r="BS359" i="3" s="1"/>
  <c r="G359" i="3"/>
  <c r="BP359" i="3" s="1"/>
  <c r="BL306" i="3"/>
  <c r="DU306" i="3" s="1"/>
  <c r="BB306" i="3"/>
  <c r="DK306" i="3" s="1"/>
  <c r="AR306" i="3"/>
  <c r="DA306" i="3" s="1"/>
  <c r="AH306" i="3"/>
  <c r="CQ306" i="3" s="1"/>
  <c r="X306" i="3"/>
  <c r="CG306" i="3" s="1"/>
  <c r="N306" i="3"/>
  <c r="BW306" i="3" s="1"/>
  <c r="BK306" i="3"/>
  <c r="DT306" i="3" s="1"/>
  <c r="BA306" i="3"/>
  <c r="DJ306" i="3" s="1"/>
  <c r="AQ306" i="3"/>
  <c r="CZ306" i="3" s="1"/>
  <c r="AG306" i="3"/>
  <c r="CP306" i="3" s="1"/>
  <c r="W306" i="3"/>
  <c r="CF306" i="3" s="1"/>
  <c r="M306" i="3"/>
  <c r="BV306" i="3" s="1"/>
  <c r="BD306" i="3"/>
  <c r="DM306" i="3" s="1"/>
  <c r="AP306" i="3"/>
  <c r="CY306" i="3" s="1"/>
  <c r="AD306" i="3"/>
  <c r="CM306" i="3" s="1"/>
  <c r="R306" i="3"/>
  <c r="CA306" i="3" s="1"/>
  <c r="F306" i="3"/>
  <c r="BO306" i="3" s="1"/>
  <c r="BI306" i="3"/>
  <c r="DR306" i="3" s="1"/>
  <c r="AV306" i="3"/>
  <c r="DE306" i="3" s="1"/>
  <c r="AI306" i="3"/>
  <c r="CR306" i="3" s="1"/>
  <c r="T306" i="3"/>
  <c r="CC306" i="3" s="1"/>
  <c r="G306" i="3"/>
  <c r="BP306" i="3" s="1"/>
  <c r="BC306" i="3"/>
  <c r="DL306" i="3" s="1"/>
  <c r="AN306" i="3"/>
  <c r="CW306" i="3" s="1"/>
  <c r="AA306" i="3"/>
  <c r="CJ306" i="3" s="1"/>
  <c r="L306" i="3"/>
  <c r="BU306" i="3" s="1"/>
  <c r="AZ306" i="3"/>
  <c r="DI306" i="3" s="1"/>
  <c r="AM306" i="3"/>
  <c r="CV306" i="3" s="1"/>
  <c r="Z306" i="3"/>
  <c r="CI306" i="3" s="1"/>
  <c r="K306" i="3"/>
  <c r="BT306" i="3" s="1"/>
  <c r="AT306" i="3"/>
  <c r="DC306" i="3" s="1"/>
  <c r="Y306" i="3"/>
  <c r="CH306" i="3" s="1"/>
  <c r="E306" i="3"/>
  <c r="BN306" i="3" s="1"/>
  <c r="BJ306" i="3"/>
  <c r="DS306" i="3" s="1"/>
  <c r="AS306" i="3"/>
  <c r="DB306" i="3" s="1"/>
  <c r="V306" i="3"/>
  <c r="CE306" i="3" s="1"/>
  <c r="BH306" i="3"/>
  <c r="DQ306" i="3" s="1"/>
  <c r="AO306" i="3"/>
  <c r="CX306" i="3" s="1"/>
  <c r="U306" i="3"/>
  <c r="CD306" i="3" s="1"/>
  <c r="BG306" i="3"/>
  <c r="DP306" i="3" s="1"/>
  <c r="AL306" i="3"/>
  <c r="CU306" i="3" s="1"/>
  <c r="S306" i="3"/>
  <c r="CB306" i="3" s="1"/>
  <c r="BF306" i="3"/>
  <c r="DO306" i="3" s="1"/>
  <c r="AK306" i="3"/>
  <c r="CT306" i="3" s="1"/>
  <c r="Q306" i="3"/>
  <c r="BZ306" i="3" s="1"/>
  <c r="AW306" i="3"/>
  <c r="DF306" i="3" s="1"/>
  <c r="AC306" i="3"/>
  <c r="CL306" i="3" s="1"/>
  <c r="I306" i="3"/>
  <c r="BR306" i="3" s="1"/>
  <c r="AU306" i="3"/>
  <c r="DD306" i="3" s="1"/>
  <c r="AB306" i="3"/>
  <c r="CK306" i="3" s="1"/>
  <c r="H306" i="3"/>
  <c r="BQ306" i="3" s="1"/>
  <c r="AJ306" i="3"/>
  <c r="CS306" i="3" s="1"/>
  <c r="AF306" i="3"/>
  <c r="CO306" i="3" s="1"/>
  <c r="AE306" i="3"/>
  <c r="CN306" i="3" s="1"/>
  <c r="AY306" i="3"/>
  <c r="DH306" i="3" s="1"/>
  <c r="P306" i="3"/>
  <c r="BY306" i="3" s="1"/>
  <c r="BE306" i="3"/>
  <c r="DN306" i="3" s="1"/>
  <c r="AX306" i="3"/>
  <c r="DG306" i="3" s="1"/>
  <c r="O306" i="3"/>
  <c r="BX306" i="3" s="1"/>
  <c r="J306" i="3"/>
  <c r="BS306" i="3" s="1"/>
  <c r="K222" i="2"/>
  <c r="L222" i="2" s="1"/>
  <c r="K262" i="2"/>
  <c r="L262" i="2" s="1"/>
  <c r="K282" i="2"/>
  <c r="L282" i="2" s="1"/>
  <c r="K302" i="2"/>
  <c r="L302" i="2" s="1"/>
  <c r="K322" i="2"/>
  <c r="L322" i="2" s="1"/>
  <c r="K342" i="2"/>
  <c r="L342" i="2" s="1"/>
  <c r="F45" i="4"/>
  <c r="D45" i="4"/>
  <c r="E45" i="4" s="1"/>
  <c r="F42" i="4"/>
  <c r="D42" i="4"/>
  <c r="E42" i="4" s="1"/>
  <c r="F177" i="4"/>
  <c r="D177" i="4"/>
  <c r="E177" i="4" s="1"/>
  <c r="F94" i="4"/>
  <c r="D94" i="4"/>
  <c r="E94" i="4" s="1"/>
  <c r="F203" i="4"/>
  <c r="D203" i="4"/>
  <c r="E203" i="4" s="1"/>
  <c r="F58" i="4"/>
  <c r="D58" i="4"/>
  <c r="E58" i="4" s="1"/>
  <c r="F53" i="4"/>
  <c r="D53" i="4"/>
  <c r="E53" i="4" s="1"/>
  <c r="F205" i="4"/>
  <c r="D205" i="4"/>
  <c r="E205" i="4" s="1"/>
  <c r="F32" i="4"/>
  <c r="D32" i="4"/>
  <c r="E32" i="4" s="1"/>
  <c r="D168" i="4"/>
  <c r="E168" i="4" s="1"/>
  <c r="F168" i="4"/>
  <c r="F188" i="4"/>
  <c r="D188" i="4"/>
  <c r="E188" i="4" s="1"/>
  <c r="F39" i="4"/>
  <c r="D39" i="4"/>
  <c r="E39" i="4" s="1"/>
  <c r="F110" i="4"/>
  <c r="D110" i="4"/>
  <c r="E110" i="4" s="1"/>
  <c r="D81" i="4"/>
  <c r="E81" i="4" s="1"/>
  <c r="F81" i="4"/>
  <c r="F257" i="4"/>
  <c r="D257" i="4"/>
  <c r="E257" i="4" s="1"/>
  <c r="D75" i="4"/>
  <c r="E75" i="4" s="1"/>
  <c r="F75" i="4"/>
  <c r="F196" i="4"/>
  <c r="D196" i="4"/>
  <c r="E196" i="4" s="1"/>
  <c r="F211" i="4"/>
  <c r="D211" i="4"/>
  <c r="E211" i="4" s="1"/>
  <c r="F208" i="4"/>
  <c r="D208" i="4"/>
  <c r="E208" i="4" s="1"/>
  <c r="D148" i="4"/>
  <c r="E148" i="4" s="1"/>
  <c r="F148" i="4"/>
  <c r="F262" i="4"/>
  <c r="D262" i="4"/>
  <c r="E262" i="4" s="1"/>
  <c r="F178" i="4"/>
  <c r="D178" i="4"/>
  <c r="E178" i="4" s="1"/>
  <c r="D113" i="4"/>
  <c r="E113" i="4" s="1"/>
  <c r="F113" i="4"/>
  <c r="F204" i="4"/>
  <c r="D204" i="4"/>
  <c r="E204" i="4" s="1"/>
  <c r="N215" i="2"/>
  <c r="O215" i="2"/>
  <c r="O146" i="2"/>
  <c r="O138" i="2"/>
  <c r="N138" i="2"/>
  <c r="N58" i="2"/>
  <c r="O58" i="2"/>
  <c r="BJ9" i="3"/>
  <c r="DS9" i="3" s="1"/>
  <c r="AZ9" i="3"/>
  <c r="DI9" i="3" s="1"/>
  <c r="AP9" i="3"/>
  <c r="CY9" i="3" s="1"/>
  <c r="AF9" i="3"/>
  <c r="CO9" i="3" s="1"/>
  <c r="V9" i="3"/>
  <c r="CE9" i="3" s="1"/>
  <c r="L9" i="3"/>
  <c r="BU9" i="3" s="1"/>
  <c r="BI9" i="3"/>
  <c r="DR9" i="3" s="1"/>
  <c r="AY9" i="3"/>
  <c r="DH9" i="3" s="1"/>
  <c r="AO9" i="3"/>
  <c r="CX9" i="3" s="1"/>
  <c r="AE9" i="3"/>
  <c r="CN9" i="3" s="1"/>
  <c r="U9" i="3"/>
  <c r="CD9" i="3" s="1"/>
  <c r="BB9" i="3"/>
  <c r="DK9" i="3" s="1"/>
  <c r="AN9" i="3"/>
  <c r="CW9" i="3" s="1"/>
  <c r="AB9" i="3"/>
  <c r="CK9" i="3" s="1"/>
  <c r="P9" i="3"/>
  <c r="BY9" i="3" s="1"/>
  <c r="E9" i="3"/>
  <c r="BN9" i="3" s="1"/>
  <c r="BA9" i="3"/>
  <c r="DJ9" i="3" s="1"/>
  <c r="AM9" i="3"/>
  <c r="CV9" i="3" s="1"/>
  <c r="AA9" i="3"/>
  <c r="CJ9" i="3" s="1"/>
  <c r="O9" i="3"/>
  <c r="BX9" i="3" s="1"/>
  <c r="BL9" i="3"/>
  <c r="DU9" i="3" s="1"/>
  <c r="AX9" i="3"/>
  <c r="DG9" i="3" s="1"/>
  <c r="AL9" i="3"/>
  <c r="CU9" i="3" s="1"/>
  <c r="Z9" i="3"/>
  <c r="CI9" i="3" s="1"/>
  <c r="N9" i="3"/>
  <c r="BW9" i="3" s="1"/>
  <c r="BC9" i="3"/>
  <c r="DL9" i="3" s="1"/>
  <c r="AI9" i="3"/>
  <c r="CR9" i="3" s="1"/>
  <c r="R9" i="3"/>
  <c r="CA9" i="3" s="1"/>
  <c r="AW9" i="3"/>
  <c r="DF9" i="3" s="1"/>
  <c r="AH9" i="3"/>
  <c r="CQ9" i="3" s="1"/>
  <c r="Q9" i="3"/>
  <c r="BZ9" i="3" s="1"/>
  <c r="AV9" i="3"/>
  <c r="DE9" i="3" s="1"/>
  <c r="AG9" i="3"/>
  <c r="CP9" i="3" s="1"/>
  <c r="M9" i="3"/>
  <c r="BV9" i="3" s="1"/>
  <c r="AU9" i="3"/>
  <c r="DD9" i="3" s="1"/>
  <c r="AD9" i="3"/>
  <c r="CM9" i="3" s="1"/>
  <c r="K9" i="3"/>
  <c r="BT9" i="3" s="1"/>
  <c r="BK9" i="3"/>
  <c r="DT9" i="3" s="1"/>
  <c r="AT9" i="3"/>
  <c r="DC9" i="3" s="1"/>
  <c r="AC9" i="3"/>
  <c r="CL9" i="3" s="1"/>
  <c r="J9" i="3"/>
  <c r="BS9" i="3" s="1"/>
  <c r="BH9" i="3"/>
  <c r="DQ9" i="3" s="1"/>
  <c r="AS9" i="3"/>
  <c r="DB9" i="3" s="1"/>
  <c r="Y9" i="3"/>
  <c r="CH9" i="3" s="1"/>
  <c r="I9" i="3"/>
  <c r="BR9" i="3" s="1"/>
  <c r="BG9" i="3"/>
  <c r="DP9" i="3" s="1"/>
  <c r="AR9" i="3"/>
  <c r="DA9" i="3" s="1"/>
  <c r="X9" i="3"/>
  <c r="CG9" i="3" s="1"/>
  <c r="H9" i="3"/>
  <c r="BQ9" i="3" s="1"/>
  <c r="BF9" i="3"/>
  <c r="DO9" i="3" s="1"/>
  <c r="AQ9" i="3"/>
  <c r="CZ9" i="3" s="1"/>
  <c r="W9" i="3"/>
  <c r="CF9" i="3" s="1"/>
  <c r="G9" i="3"/>
  <c r="BP9" i="3" s="1"/>
  <c r="BE9" i="3"/>
  <c r="DN9" i="3" s="1"/>
  <c r="AK9" i="3"/>
  <c r="CT9" i="3" s="1"/>
  <c r="T9" i="3"/>
  <c r="CC9" i="3" s="1"/>
  <c r="F9" i="3"/>
  <c r="BO9" i="3" s="1"/>
  <c r="BD9" i="3"/>
  <c r="DM9" i="3" s="1"/>
  <c r="AJ9" i="3"/>
  <c r="CS9" i="3" s="1"/>
  <c r="S9" i="3"/>
  <c r="CB9" i="3" s="1"/>
  <c r="BJ59" i="3"/>
  <c r="DS59" i="3" s="1"/>
  <c r="AZ59" i="3"/>
  <c r="DI59" i="3" s="1"/>
  <c r="AP59" i="3"/>
  <c r="CY59" i="3" s="1"/>
  <c r="AF59" i="3"/>
  <c r="CO59" i="3" s="1"/>
  <c r="V59" i="3"/>
  <c r="CE59" i="3" s="1"/>
  <c r="L59" i="3"/>
  <c r="BU59" i="3" s="1"/>
  <c r="BI59" i="3"/>
  <c r="DR59" i="3" s="1"/>
  <c r="AY59" i="3"/>
  <c r="DH59" i="3" s="1"/>
  <c r="AO59" i="3"/>
  <c r="CX59" i="3" s="1"/>
  <c r="AE59" i="3"/>
  <c r="CN59" i="3" s="1"/>
  <c r="U59" i="3"/>
  <c r="CD59" i="3" s="1"/>
  <c r="K59" i="3"/>
  <c r="BT59" i="3" s="1"/>
  <c r="BL59" i="3"/>
  <c r="DU59" i="3" s="1"/>
  <c r="BB59" i="3"/>
  <c r="DK59" i="3" s="1"/>
  <c r="AR59" i="3"/>
  <c r="DA59" i="3" s="1"/>
  <c r="AH59" i="3"/>
  <c r="CQ59" i="3" s="1"/>
  <c r="X59" i="3"/>
  <c r="CG59" i="3" s="1"/>
  <c r="N59" i="3"/>
  <c r="BW59" i="3" s="1"/>
  <c r="BG59" i="3"/>
  <c r="DP59" i="3" s="1"/>
  <c r="AT59" i="3"/>
  <c r="DC59" i="3" s="1"/>
  <c r="AD59" i="3"/>
  <c r="CM59" i="3" s="1"/>
  <c r="Q59" i="3"/>
  <c r="BZ59" i="3" s="1"/>
  <c r="BF59" i="3"/>
  <c r="DO59" i="3" s="1"/>
  <c r="AS59" i="3"/>
  <c r="DB59" i="3" s="1"/>
  <c r="AC59" i="3"/>
  <c r="CL59" i="3" s="1"/>
  <c r="P59" i="3"/>
  <c r="BY59" i="3" s="1"/>
  <c r="BE59" i="3"/>
  <c r="DN59" i="3" s="1"/>
  <c r="AQ59" i="3"/>
  <c r="CZ59" i="3" s="1"/>
  <c r="AB59" i="3"/>
  <c r="CK59" i="3" s="1"/>
  <c r="O59" i="3"/>
  <c r="BX59" i="3" s="1"/>
  <c r="BH59" i="3"/>
  <c r="DQ59" i="3" s="1"/>
  <c r="AU59" i="3"/>
  <c r="DD59" i="3" s="1"/>
  <c r="AG59" i="3"/>
  <c r="CP59" i="3" s="1"/>
  <c r="R59" i="3"/>
  <c r="CA59" i="3" s="1"/>
  <c r="E59" i="3"/>
  <c r="BN59" i="3" s="1"/>
  <c r="BA59" i="3"/>
  <c r="DJ59" i="3" s="1"/>
  <c r="AA59" i="3"/>
  <c r="CJ59" i="3" s="1"/>
  <c r="G59" i="3"/>
  <c r="BP59" i="3" s="1"/>
  <c r="AX59" i="3"/>
  <c r="DG59" i="3" s="1"/>
  <c r="Z59" i="3"/>
  <c r="CI59" i="3" s="1"/>
  <c r="F59" i="3"/>
  <c r="BO59" i="3" s="1"/>
  <c r="AW59" i="3"/>
  <c r="DF59" i="3" s="1"/>
  <c r="Y59" i="3"/>
  <c r="CH59" i="3" s="1"/>
  <c r="AV59" i="3"/>
  <c r="DE59" i="3" s="1"/>
  <c r="W59" i="3"/>
  <c r="CF59" i="3" s="1"/>
  <c r="AN59" i="3"/>
  <c r="CW59" i="3" s="1"/>
  <c r="T59" i="3"/>
  <c r="CC59" i="3" s="1"/>
  <c r="AM59" i="3"/>
  <c r="CV59" i="3" s="1"/>
  <c r="S59" i="3"/>
  <c r="CB59" i="3" s="1"/>
  <c r="AL59" i="3"/>
  <c r="CU59" i="3" s="1"/>
  <c r="M59" i="3"/>
  <c r="BV59" i="3" s="1"/>
  <c r="BK59" i="3"/>
  <c r="DT59" i="3" s="1"/>
  <c r="AK59" i="3"/>
  <c r="CT59" i="3" s="1"/>
  <c r="J59" i="3"/>
  <c r="BS59" i="3" s="1"/>
  <c r="BD59" i="3"/>
  <c r="DM59" i="3" s="1"/>
  <c r="AJ59" i="3"/>
  <c r="CS59" i="3" s="1"/>
  <c r="I59" i="3"/>
  <c r="BR59" i="3" s="1"/>
  <c r="BC59" i="3"/>
  <c r="DL59" i="3" s="1"/>
  <c r="AI59" i="3"/>
  <c r="CR59" i="3" s="1"/>
  <c r="H59" i="3"/>
  <c r="BQ59" i="3" s="1"/>
  <c r="J28" i="2"/>
  <c r="K28" i="2" s="1"/>
  <c r="L28" i="2" s="1"/>
  <c r="N92" i="2"/>
  <c r="O92" i="2"/>
  <c r="BC111" i="3"/>
  <c r="DL111" i="3" s="1"/>
  <c r="AS111" i="3"/>
  <c r="DB111" i="3" s="1"/>
  <c r="AI111" i="3"/>
  <c r="CR111" i="3" s="1"/>
  <c r="Y111" i="3"/>
  <c r="CH111" i="3" s="1"/>
  <c r="O111" i="3"/>
  <c r="BX111" i="3" s="1"/>
  <c r="E111" i="3"/>
  <c r="BN111" i="3" s="1"/>
  <c r="BE111" i="3"/>
  <c r="DN111" i="3" s="1"/>
  <c r="AU111" i="3"/>
  <c r="DD111" i="3" s="1"/>
  <c r="AK111" i="3"/>
  <c r="CT111" i="3" s="1"/>
  <c r="AA111" i="3"/>
  <c r="CJ111" i="3" s="1"/>
  <c r="Q111" i="3"/>
  <c r="BZ111" i="3" s="1"/>
  <c r="G111" i="3"/>
  <c r="BP111" i="3" s="1"/>
  <c r="BH111" i="3"/>
  <c r="DQ111" i="3" s="1"/>
  <c r="AV111" i="3"/>
  <c r="DE111" i="3" s="1"/>
  <c r="AH111" i="3"/>
  <c r="CQ111" i="3" s="1"/>
  <c r="V111" i="3"/>
  <c r="CE111" i="3" s="1"/>
  <c r="J111" i="3"/>
  <c r="BS111" i="3" s="1"/>
  <c r="BJ111" i="3"/>
  <c r="DS111" i="3" s="1"/>
  <c r="AX111" i="3"/>
  <c r="DG111" i="3" s="1"/>
  <c r="AL111" i="3"/>
  <c r="CU111" i="3" s="1"/>
  <c r="X111" i="3"/>
  <c r="CG111" i="3" s="1"/>
  <c r="L111" i="3"/>
  <c r="BU111" i="3" s="1"/>
  <c r="BI111" i="3"/>
  <c r="DR111" i="3" s="1"/>
  <c r="AW111" i="3"/>
  <c r="DF111" i="3" s="1"/>
  <c r="AJ111" i="3"/>
  <c r="CS111" i="3" s="1"/>
  <c r="W111" i="3"/>
  <c r="CF111" i="3" s="1"/>
  <c r="K111" i="3"/>
  <c r="BT111" i="3" s="1"/>
  <c r="AY111" i="3"/>
  <c r="DH111" i="3" s="1"/>
  <c r="AE111" i="3"/>
  <c r="CN111" i="3" s="1"/>
  <c r="N111" i="3"/>
  <c r="BW111" i="3" s="1"/>
  <c r="BG111" i="3"/>
  <c r="DP111" i="3" s="1"/>
  <c r="AO111" i="3"/>
  <c r="CX111" i="3" s="1"/>
  <c r="T111" i="3"/>
  <c r="CC111" i="3" s="1"/>
  <c r="BF111" i="3"/>
  <c r="DO111" i="3" s="1"/>
  <c r="AN111" i="3"/>
  <c r="CW111" i="3" s="1"/>
  <c r="S111" i="3"/>
  <c r="CB111" i="3" s="1"/>
  <c r="AR111" i="3"/>
  <c r="DA111" i="3" s="1"/>
  <c r="AB111" i="3"/>
  <c r="CK111" i="3" s="1"/>
  <c r="F111" i="3"/>
  <c r="BO111" i="3" s="1"/>
  <c r="BA111" i="3"/>
  <c r="DJ111" i="3" s="1"/>
  <c r="Z111" i="3"/>
  <c r="CI111" i="3" s="1"/>
  <c r="AZ111" i="3"/>
  <c r="DI111" i="3" s="1"/>
  <c r="U111" i="3"/>
  <c r="CD111" i="3" s="1"/>
  <c r="AT111" i="3"/>
  <c r="DC111" i="3" s="1"/>
  <c r="R111" i="3"/>
  <c r="CA111" i="3" s="1"/>
  <c r="AQ111" i="3"/>
  <c r="CZ111" i="3" s="1"/>
  <c r="P111" i="3"/>
  <c r="BY111" i="3" s="1"/>
  <c r="AP111" i="3"/>
  <c r="CY111" i="3" s="1"/>
  <c r="M111" i="3"/>
  <c r="BV111" i="3" s="1"/>
  <c r="AM111" i="3"/>
  <c r="CV111" i="3" s="1"/>
  <c r="I111" i="3"/>
  <c r="BR111" i="3" s="1"/>
  <c r="BL111" i="3"/>
  <c r="DU111" i="3" s="1"/>
  <c r="AG111" i="3"/>
  <c r="CP111" i="3" s="1"/>
  <c r="H111" i="3"/>
  <c r="BQ111" i="3" s="1"/>
  <c r="BK111" i="3"/>
  <c r="DT111" i="3" s="1"/>
  <c r="AF111" i="3"/>
  <c r="CO111" i="3" s="1"/>
  <c r="BD111" i="3"/>
  <c r="DM111" i="3" s="1"/>
  <c r="AD111" i="3"/>
  <c r="CM111" i="3" s="1"/>
  <c r="BB111" i="3"/>
  <c r="DK111" i="3" s="1"/>
  <c r="AC111" i="3"/>
  <c r="CL111" i="3" s="1"/>
  <c r="BJ34" i="3"/>
  <c r="DS34" i="3" s="1"/>
  <c r="AZ34" i="3"/>
  <c r="DI34" i="3" s="1"/>
  <c r="AP34" i="3"/>
  <c r="CY34" i="3" s="1"/>
  <c r="AF34" i="3"/>
  <c r="CO34" i="3" s="1"/>
  <c r="V34" i="3"/>
  <c r="CE34" i="3" s="1"/>
  <c r="L34" i="3"/>
  <c r="BU34" i="3" s="1"/>
  <c r="BI34" i="3"/>
  <c r="DR34" i="3" s="1"/>
  <c r="AY34" i="3"/>
  <c r="DH34" i="3" s="1"/>
  <c r="AO34" i="3"/>
  <c r="CX34" i="3" s="1"/>
  <c r="AE34" i="3"/>
  <c r="CN34" i="3" s="1"/>
  <c r="U34" i="3"/>
  <c r="CD34" i="3" s="1"/>
  <c r="K34" i="3"/>
  <c r="BT34" i="3" s="1"/>
  <c r="BL34" i="3"/>
  <c r="DU34" i="3" s="1"/>
  <c r="BB34" i="3"/>
  <c r="DK34" i="3" s="1"/>
  <c r="AR34" i="3"/>
  <c r="DA34" i="3" s="1"/>
  <c r="AH34" i="3"/>
  <c r="CQ34" i="3" s="1"/>
  <c r="X34" i="3"/>
  <c r="CG34" i="3" s="1"/>
  <c r="N34" i="3"/>
  <c r="BW34" i="3" s="1"/>
  <c r="BG34" i="3"/>
  <c r="DP34" i="3" s="1"/>
  <c r="AT34" i="3"/>
  <c r="DC34" i="3" s="1"/>
  <c r="AD34" i="3"/>
  <c r="CM34" i="3" s="1"/>
  <c r="Q34" i="3"/>
  <c r="BZ34" i="3" s="1"/>
  <c r="BF34" i="3"/>
  <c r="DO34" i="3" s="1"/>
  <c r="AS34" i="3"/>
  <c r="DB34" i="3" s="1"/>
  <c r="AC34" i="3"/>
  <c r="CL34" i="3" s="1"/>
  <c r="P34" i="3"/>
  <c r="BY34" i="3" s="1"/>
  <c r="AW34" i="3"/>
  <c r="DF34" i="3" s="1"/>
  <c r="AG34" i="3"/>
  <c r="CP34" i="3" s="1"/>
  <c r="M34" i="3"/>
  <c r="BV34" i="3" s="1"/>
  <c r="AV34" i="3"/>
  <c r="DE34" i="3" s="1"/>
  <c r="AB34" i="3"/>
  <c r="CK34" i="3" s="1"/>
  <c r="J34" i="3"/>
  <c r="BS34" i="3" s="1"/>
  <c r="AU34" i="3"/>
  <c r="DD34" i="3" s="1"/>
  <c r="AA34" i="3"/>
  <c r="CJ34" i="3" s="1"/>
  <c r="I34" i="3"/>
  <c r="BR34" i="3" s="1"/>
  <c r="BK34" i="3"/>
  <c r="DT34" i="3" s="1"/>
  <c r="AQ34" i="3"/>
  <c r="CZ34" i="3" s="1"/>
  <c r="Z34" i="3"/>
  <c r="CI34" i="3" s="1"/>
  <c r="H34" i="3"/>
  <c r="BQ34" i="3" s="1"/>
  <c r="BH34" i="3"/>
  <c r="DQ34" i="3" s="1"/>
  <c r="AN34" i="3"/>
  <c r="CW34" i="3" s="1"/>
  <c r="Y34" i="3"/>
  <c r="CH34" i="3" s="1"/>
  <c r="G34" i="3"/>
  <c r="BP34" i="3" s="1"/>
  <c r="BE34" i="3"/>
  <c r="DN34" i="3" s="1"/>
  <c r="AM34" i="3"/>
  <c r="CV34" i="3" s="1"/>
  <c r="W34" i="3"/>
  <c r="CF34" i="3" s="1"/>
  <c r="F34" i="3"/>
  <c r="BO34" i="3" s="1"/>
  <c r="BD34" i="3"/>
  <c r="DM34" i="3" s="1"/>
  <c r="AL34" i="3"/>
  <c r="CU34" i="3" s="1"/>
  <c r="T34" i="3"/>
  <c r="CC34" i="3" s="1"/>
  <c r="E34" i="3"/>
  <c r="BN34" i="3" s="1"/>
  <c r="BC34" i="3"/>
  <c r="DL34" i="3" s="1"/>
  <c r="AK34" i="3"/>
  <c r="CT34" i="3" s="1"/>
  <c r="S34" i="3"/>
  <c r="CB34" i="3" s="1"/>
  <c r="BA34" i="3"/>
  <c r="DJ34" i="3" s="1"/>
  <c r="AJ34" i="3"/>
  <c r="CS34" i="3" s="1"/>
  <c r="R34" i="3"/>
  <c r="CA34" i="3" s="1"/>
  <c r="AX34" i="3"/>
  <c r="DG34" i="3" s="1"/>
  <c r="AI34" i="3"/>
  <c r="CR34" i="3" s="1"/>
  <c r="O34" i="3"/>
  <c r="BX34" i="3" s="1"/>
  <c r="BH12" i="3"/>
  <c r="DQ12" i="3" s="1"/>
  <c r="AX12" i="3"/>
  <c r="DG12" i="3" s="1"/>
  <c r="AN12" i="3"/>
  <c r="CW12" i="3" s="1"/>
  <c r="AD12" i="3"/>
  <c r="CM12" i="3" s="1"/>
  <c r="T12" i="3"/>
  <c r="CC12" i="3" s="1"/>
  <c r="J12" i="3"/>
  <c r="BS12" i="3" s="1"/>
  <c r="BG12" i="3"/>
  <c r="DP12" i="3" s="1"/>
  <c r="AW12" i="3"/>
  <c r="DF12" i="3" s="1"/>
  <c r="AM12" i="3"/>
  <c r="CV12" i="3" s="1"/>
  <c r="AC12" i="3"/>
  <c r="CL12" i="3" s="1"/>
  <c r="S12" i="3"/>
  <c r="CB12" i="3" s="1"/>
  <c r="I12" i="3"/>
  <c r="BR12" i="3" s="1"/>
  <c r="BD12" i="3"/>
  <c r="DM12" i="3" s="1"/>
  <c r="AR12" i="3"/>
  <c r="DA12" i="3" s="1"/>
  <c r="AF12" i="3"/>
  <c r="CO12" i="3" s="1"/>
  <c r="R12" i="3"/>
  <c r="CA12" i="3" s="1"/>
  <c r="F12" i="3"/>
  <c r="BO12" i="3" s="1"/>
  <c r="BC12" i="3"/>
  <c r="DL12" i="3" s="1"/>
  <c r="AQ12" i="3"/>
  <c r="CZ12" i="3" s="1"/>
  <c r="AE12" i="3"/>
  <c r="CN12" i="3" s="1"/>
  <c r="Q12" i="3"/>
  <c r="BZ12" i="3" s="1"/>
  <c r="E12" i="3"/>
  <c r="BN12" i="3" s="1"/>
  <c r="BB12" i="3"/>
  <c r="DK12" i="3" s="1"/>
  <c r="AP12" i="3"/>
  <c r="CY12" i="3" s="1"/>
  <c r="AB12" i="3"/>
  <c r="CK12" i="3" s="1"/>
  <c r="P12" i="3"/>
  <c r="BY12" i="3" s="1"/>
  <c r="BE12" i="3"/>
  <c r="DN12" i="3" s="1"/>
  <c r="AK12" i="3"/>
  <c r="CT12" i="3" s="1"/>
  <c r="V12" i="3"/>
  <c r="CE12" i="3" s="1"/>
  <c r="BA12" i="3"/>
  <c r="DJ12" i="3" s="1"/>
  <c r="AJ12" i="3"/>
  <c r="CS12" i="3" s="1"/>
  <c r="U12" i="3"/>
  <c r="CD12" i="3" s="1"/>
  <c r="AZ12" i="3"/>
  <c r="DI12" i="3" s="1"/>
  <c r="AI12" i="3"/>
  <c r="CR12" i="3" s="1"/>
  <c r="O12" i="3"/>
  <c r="BX12" i="3" s="1"/>
  <c r="AY12" i="3"/>
  <c r="DH12" i="3" s="1"/>
  <c r="AH12" i="3"/>
  <c r="CQ12" i="3" s="1"/>
  <c r="N12" i="3"/>
  <c r="BW12" i="3" s="1"/>
  <c r="AV12" i="3"/>
  <c r="DE12" i="3" s="1"/>
  <c r="AG12" i="3"/>
  <c r="CP12" i="3" s="1"/>
  <c r="M12" i="3"/>
  <c r="BV12" i="3" s="1"/>
  <c r="BL12" i="3"/>
  <c r="DU12" i="3" s="1"/>
  <c r="AU12" i="3"/>
  <c r="DD12" i="3" s="1"/>
  <c r="AA12" i="3"/>
  <c r="CJ12" i="3" s="1"/>
  <c r="L12" i="3"/>
  <c r="BU12" i="3" s="1"/>
  <c r="BK12" i="3"/>
  <c r="DT12" i="3" s="1"/>
  <c r="AT12" i="3"/>
  <c r="DC12" i="3" s="1"/>
  <c r="Z12" i="3"/>
  <c r="CI12" i="3" s="1"/>
  <c r="K12" i="3"/>
  <c r="BT12" i="3" s="1"/>
  <c r="BJ12" i="3"/>
  <c r="DS12" i="3" s="1"/>
  <c r="AS12" i="3"/>
  <c r="DB12" i="3" s="1"/>
  <c r="Y12" i="3"/>
  <c r="CH12" i="3" s="1"/>
  <c r="H12" i="3"/>
  <c r="BQ12" i="3" s="1"/>
  <c r="BI12" i="3"/>
  <c r="DR12" i="3" s="1"/>
  <c r="AO12" i="3"/>
  <c r="CX12" i="3" s="1"/>
  <c r="X12" i="3"/>
  <c r="CG12" i="3" s="1"/>
  <c r="G12" i="3"/>
  <c r="BP12" i="3" s="1"/>
  <c r="BF12" i="3"/>
  <c r="DO12" i="3" s="1"/>
  <c r="AL12" i="3"/>
  <c r="CU12" i="3" s="1"/>
  <c r="W12" i="3"/>
  <c r="CF12" i="3" s="1"/>
  <c r="BK109" i="3"/>
  <c r="DT109" i="3" s="1"/>
  <c r="BA109" i="3"/>
  <c r="DJ109" i="3" s="1"/>
  <c r="AQ109" i="3"/>
  <c r="CZ109" i="3" s="1"/>
  <c r="AG109" i="3"/>
  <c r="CP109" i="3" s="1"/>
  <c r="W109" i="3"/>
  <c r="CF109" i="3" s="1"/>
  <c r="M109" i="3"/>
  <c r="BV109" i="3" s="1"/>
  <c r="BC109" i="3"/>
  <c r="DL109" i="3" s="1"/>
  <c r="AS109" i="3"/>
  <c r="DB109" i="3" s="1"/>
  <c r="AI109" i="3"/>
  <c r="CR109" i="3" s="1"/>
  <c r="Y109" i="3"/>
  <c r="CH109" i="3" s="1"/>
  <c r="O109" i="3"/>
  <c r="BX109" i="3" s="1"/>
  <c r="E109" i="3"/>
  <c r="BN109" i="3" s="1"/>
  <c r="BF109" i="3"/>
  <c r="DO109" i="3" s="1"/>
  <c r="AT109" i="3"/>
  <c r="DC109" i="3" s="1"/>
  <c r="AF109" i="3"/>
  <c r="CO109" i="3" s="1"/>
  <c r="T109" i="3"/>
  <c r="CC109" i="3" s="1"/>
  <c r="H109" i="3"/>
  <c r="BQ109" i="3" s="1"/>
  <c r="BH109" i="3"/>
  <c r="DQ109" i="3" s="1"/>
  <c r="AV109" i="3"/>
  <c r="DE109" i="3" s="1"/>
  <c r="AJ109" i="3"/>
  <c r="CS109" i="3" s="1"/>
  <c r="V109" i="3"/>
  <c r="CE109" i="3" s="1"/>
  <c r="J109" i="3"/>
  <c r="BS109" i="3" s="1"/>
  <c r="BG109" i="3"/>
  <c r="DP109" i="3" s="1"/>
  <c r="AU109" i="3"/>
  <c r="DD109" i="3" s="1"/>
  <c r="AH109" i="3"/>
  <c r="CQ109" i="3" s="1"/>
  <c r="U109" i="3"/>
  <c r="CD109" i="3" s="1"/>
  <c r="I109" i="3"/>
  <c r="BR109" i="3" s="1"/>
  <c r="AW109" i="3"/>
  <c r="DF109" i="3" s="1"/>
  <c r="AC109" i="3"/>
  <c r="CL109" i="3" s="1"/>
  <c r="L109" i="3"/>
  <c r="BU109" i="3" s="1"/>
  <c r="AY109" i="3"/>
  <c r="DH109" i="3" s="1"/>
  <c r="AD109" i="3"/>
  <c r="CM109" i="3" s="1"/>
  <c r="K109" i="3"/>
  <c r="BT109" i="3" s="1"/>
  <c r="AX109" i="3"/>
  <c r="DG109" i="3" s="1"/>
  <c r="AB109" i="3"/>
  <c r="CK109" i="3" s="1"/>
  <c r="G109" i="3"/>
  <c r="BP109" i="3" s="1"/>
  <c r="BD109" i="3"/>
  <c r="DM109" i="3" s="1"/>
  <c r="AL109" i="3"/>
  <c r="CU109" i="3" s="1"/>
  <c r="Q109" i="3"/>
  <c r="BZ109" i="3" s="1"/>
  <c r="AP109" i="3"/>
  <c r="CY109" i="3" s="1"/>
  <c r="R109" i="3"/>
  <c r="CA109" i="3" s="1"/>
  <c r="AO109" i="3"/>
  <c r="CX109" i="3" s="1"/>
  <c r="P109" i="3"/>
  <c r="BY109" i="3" s="1"/>
  <c r="AN109" i="3"/>
  <c r="CW109" i="3" s="1"/>
  <c r="N109" i="3"/>
  <c r="BW109" i="3" s="1"/>
  <c r="BL109" i="3"/>
  <c r="DU109" i="3" s="1"/>
  <c r="AM109" i="3"/>
  <c r="CV109" i="3" s="1"/>
  <c r="F109" i="3"/>
  <c r="BO109" i="3" s="1"/>
  <c r="BJ109" i="3"/>
  <c r="DS109" i="3" s="1"/>
  <c r="AK109" i="3"/>
  <c r="CT109" i="3" s="1"/>
  <c r="BI109" i="3"/>
  <c r="DR109" i="3" s="1"/>
  <c r="AE109" i="3"/>
  <c r="CN109" i="3" s="1"/>
  <c r="BE109" i="3"/>
  <c r="DN109" i="3" s="1"/>
  <c r="AA109" i="3"/>
  <c r="CJ109" i="3" s="1"/>
  <c r="BB109" i="3"/>
  <c r="DK109" i="3" s="1"/>
  <c r="Z109" i="3"/>
  <c r="CI109" i="3" s="1"/>
  <c r="AZ109" i="3"/>
  <c r="DI109" i="3" s="1"/>
  <c r="X109" i="3"/>
  <c r="CG109" i="3" s="1"/>
  <c r="AR109" i="3"/>
  <c r="DA109" i="3" s="1"/>
  <c r="S109" i="3"/>
  <c r="CB109" i="3" s="1"/>
  <c r="BH81" i="3"/>
  <c r="DQ81" i="3" s="1"/>
  <c r="AX81" i="3"/>
  <c r="DG81" i="3" s="1"/>
  <c r="AN81" i="3"/>
  <c r="CW81" i="3" s="1"/>
  <c r="AD81" i="3"/>
  <c r="CM81" i="3" s="1"/>
  <c r="T81" i="3"/>
  <c r="CC81" i="3" s="1"/>
  <c r="J81" i="3"/>
  <c r="BS81" i="3" s="1"/>
  <c r="BJ81" i="3"/>
  <c r="DS81" i="3" s="1"/>
  <c r="AZ81" i="3"/>
  <c r="DI81" i="3" s="1"/>
  <c r="AP81" i="3"/>
  <c r="CY81" i="3" s="1"/>
  <c r="AF81" i="3"/>
  <c r="CO81" i="3" s="1"/>
  <c r="V81" i="3"/>
  <c r="CE81" i="3" s="1"/>
  <c r="L81" i="3"/>
  <c r="BU81" i="3" s="1"/>
  <c r="BI81" i="3"/>
  <c r="DR81" i="3" s="1"/>
  <c r="AV81" i="3"/>
  <c r="DE81" i="3" s="1"/>
  <c r="AJ81" i="3"/>
  <c r="CS81" i="3" s="1"/>
  <c r="X81" i="3"/>
  <c r="CG81" i="3" s="1"/>
  <c r="K81" i="3"/>
  <c r="BT81" i="3" s="1"/>
  <c r="BG81" i="3"/>
  <c r="DP81" i="3" s="1"/>
  <c r="AU81" i="3"/>
  <c r="DD81" i="3" s="1"/>
  <c r="AI81" i="3"/>
  <c r="CR81" i="3" s="1"/>
  <c r="W81" i="3"/>
  <c r="CF81" i="3" s="1"/>
  <c r="I81" i="3"/>
  <c r="BR81" i="3" s="1"/>
  <c r="AW81" i="3"/>
  <c r="DF81" i="3" s="1"/>
  <c r="AG81" i="3"/>
  <c r="CP81" i="3" s="1"/>
  <c r="Q81" i="3"/>
  <c r="BZ81" i="3" s="1"/>
  <c r="BL81" i="3"/>
  <c r="DU81" i="3" s="1"/>
  <c r="AT81" i="3"/>
  <c r="DC81" i="3" s="1"/>
  <c r="AE81" i="3"/>
  <c r="CN81" i="3" s="1"/>
  <c r="P81" i="3"/>
  <c r="BY81" i="3" s="1"/>
  <c r="BK81" i="3"/>
  <c r="DT81" i="3" s="1"/>
  <c r="AS81" i="3"/>
  <c r="DB81" i="3" s="1"/>
  <c r="AC81" i="3"/>
  <c r="CL81" i="3" s="1"/>
  <c r="O81" i="3"/>
  <c r="BX81" i="3" s="1"/>
  <c r="BF81" i="3"/>
  <c r="DO81" i="3" s="1"/>
  <c r="AR81" i="3"/>
  <c r="DA81" i="3" s="1"/>
  <c r="AB81" i="3"/>
  <c r="CK81" i="3" s="1"/>
  <c r="N81" i="3"/>
  <c r="BW81" i="3" s="1"/>
  <c r="BE81" i="3"/>
  <c r="DN81" i="3" s="1"/>
  <c r="AQ81" i="3"/>
  <c r="CZ81" i="3" s="1"/>
  <c r="AA81" i="3"/>
  <c r="CJ81" i="3" s="1"/>
  <c r="M81" i="3"/>
  <c r="BV81" i="3" s="1"/>
  <c r="BA81" i="3"/>
  <c r="DJ81" i="3" s="1"/>
  <c r="AK81" i="3"/>
  <c r="CT81" i="3" s="1"/>
  <c r="S81" i="3"/>
  <c r="CB81" i="3" s="1"/>
  <c r="E81" i="3"/>
  <c r="BN81" i="3" s="1"/>
  <c r="BC81" i="3"/>
  <c r="DL81" i="3" s="1"/>
  <c r="R81" i="3"/>
  <c r="CA81" i="3" s="1"/>
  <c r="BB81" i="3"/>
  <c r="DK81" i="3" s="1"/>
  <c r="H81" i="3"/>
  <c r="BQ81" i="3" s="1"/>
  <c r="AY81" i="3"/>
  <c r="DH81" i="3" s="1"/>
  <c r="G81" i="3"/>
  <c r="BP81" i="3" s="1"/>
  <c r="AO81" i="3"/>
  <c r="CX81" i="3" s="1"/>
  <c r="F81" i="3"/>
  <c r="BO81" i="3" s="1"/>
  <c r="AM81" i="3"/>
  <c r="CV81" i="3" s="1"/>
  <c r="AL81" i="3"/>
  <c r="CU81" i="3" s="1"/>
  <c r="AH81" i="3"/>
  <c r="CQ81" i="3" s="1"/>
  <c r="Z81" i="3"/>
  <c r="CI81" i="3" s="1"/>
  <c r="Y81" i="3"/>
  <c r="CH81" i="3" s="1"/>
  <c r="BD81" i="3"/>
  <c r="DM81" i="3" s="1"/>
  <c r="U81" i="3"/>
  <c r="CD81" i="3" s="1"/>
  <c r="O35" i="2"/>
  <c r="O23" i="2"/>
  <c r="N23" i="2"/>
  <c r="J52" i="2"/>
  <c r="K52" i="2" s="1"/>
  <c r="L52" i="2" s="1"/>
  <c r="BG110" i="3"/>
  <c r="DP110" i="3" s="1"/>
  <c r="AW110" i="3"/>
  <c r="DF110" i="3" s="1"/>
  <c r="AM110" i="3"/>
  <c r="CV110" i="3" s="1"/>
  <c r="AC110" i="3"/>
  <c r="CL110" i="3" s="1"/>
  <c r="S110" i="3"/>
  <c r="CB110" i="3" s="1"/>
  <c r="I110" i="3"/>
  <c r="BR110" i="3" s="1"/>
  <c r="BI110" i="3"/>
  <c r="DR110" i="3" s="1"/>
  <c r="AY110" i="3"/>
  <c r="DH110" i="3" s="1"/>
  <c r="AO110" i="3"/>
  <c r="CX110" i="3" s="1"/>
  <c r="AE110" i="3"/>
  <c r="CN110" i="3" s="1"/>
  <c r="U110" i="3"/>
  <c r="CD110" i="3" s="1"/>
  <c r="K110" i="3"/>
  <c r="BT110" i="3" s="1"/>
  <c r="BF110" i="3"/>
  <c r="DO110" i="3" s="1"/>
  <c r="AT110" i="3"/>
  <c r="DC110" i="3" s="1"/>
  <c r="AH110" i="3"/>
  <c r="CQ110" i="3" s="1"/>
  <c r="V110" i="3"/>
  <c r="CE110" i="3" s="1"/>
  <c r="H110" i="3"/>
  <c r="BQ110" i="3" s="1"/>
  <c r="BJ110" i="3"/>
  <c r="DS110" i="3" s="1"/>
  <c r="AV110" i="3"/>
  <c r="DE110" i="3" s="1"/>
  <c r="AJ110" i="3"/>
  <c r="CS110" i="3" s="1"/>
  <c r="X110" i="3"/>
  <c r="CG110" i="3" s="1"/>
  <c r="L110" i="3"/>
  <c r="BU110" i="3" s="1"/>
  <c r="BH110" i="3"/>
  <c r="DQ110" i="3" s="1"/>
  <c r="AU110" i="3"/>
  <c r="DD110" i="3" s="1"/>
  <c r="AI110" i="3"/>
  <c r="CR110" i="3" s="1"/>
  <c r="W110" i="3"/>
  <c r="CF110" i="3" s="1"/>
  <c r="J110" i="3"/>
  <c r="BS110" i="3" s="1"/>
  <c r="AX110" i="3"/>
  <c r="DG110" i="3" s="1"/>
  <c r="AD110" i="3"/>
  <c r="CM110" i="3" s="1"/>
  <c r="N110" i="3"/>
  <c r="BW110" i="3" s="1"/>
  <c r="AR110" i="3"/>
  <c r="DA110" i="3" s="1"/>
  <c r="Z110" i="3"/>
  <c r="CI110" i="3" s="1"/>
  <c r="E110" i="3"/>
  <c r="BN110" i="3" s="1"/>
  <c r="BL110" i="3"/>
  <c r="DU110" i="3" s="1"/>
  <c r="AQ110" i="3"/>
  <c r="CZ110" i="3" s="1"/>
  <c r="Y110" i="3"/>
  <c r="CH110" i="3" s="1"/>
  <c r="BA110" i="3"/>
  <c r="DJ110" i="3" s="1"/>
  <c r="AF110" i="3"/>
  <c r="CO110" i="3" s="1"/>
  <c r="M110" i="3"/>
  <c r="BV110" i="3" s="1"/>
  <c r="BK110" i="3"/>
  <c r="DT110" i="3" s="1"/>
  <c r="AK110" i="3"/>
  <c r="CT110" i="3" s="1"/>
  <c r="F110" i="3"/>
  <c r="BO110" i="3" s="1"/>
  <c r="BE110" i="3"/>
  <c r="DN110" i="3" s="1"/>
  <c r="AG110" i="3"/>
  <c r="CP110" i="3" s="1"/>
  <c r="BD110" i="3"/>
  <c r="DM110" i="3" s="1"/>
  <c r="AB110" i="3"/>
  <c r="CK110" i="3" s="1"/>
  <c r="BC110" i="3"/>
  <c r="DL110" i="3" s="1"/>
  <c r="AA110" i="3"/>
  <c r="CJ110" i="3" s="1"/>
  <c r="BB110" i="3"/>
  <c r="DK110" i="3" s="1"/>
  <c r="T110" i="3"/>
  <c r="CC110" i="3" s="1"/>
  <c r="AZ110" i="3"/>
  <c r="DI110" i="3" s="1"/>
  <c r="R110" i="3"/>
  <c r="CA110" i="3" s="1"/>
  <c r="AS110" i="3"/>
  <c r="DB110" i="3" s="1"/>
  <c r="Q110" i="3"/>
  <c r="BZ110" i="3" s="1"/>
  <c r="AP110" i="3"/>
  <c r="CY110" i="3" s="1"/>
  <c r="P110" i="3"/>
  <c r="BY110" i="3" s="1"/>
  <c r="AN110" i="3"/>
  <c r="CW110" i="3" s="1"/>
  <c r="O110" i="3"/>
  <c r="BX110" i="3" s="1"/>
  <c r="AL110" i="3"/>
  <c r="CU110" i="3" s="1"/>
  <c r="G110" i="3"/>
  <c r="BP110" i="3" s="1"/>
  <c r="BH207" i="3"/>
  <c r="DQ207" i="3" s="1"/>
  <c r="AX207" i="3"/>
  <c r="DG207" i="3" s="1"/>
  <c r="AN207" i="3"/>
  <c r="CW207" i="3" s="1"/>
  <c r="AD207" i="3"/>
  <c r="CM207" i="3" s="1"/>
  <c r="T207" i="3"/>
  <c r="CC207" i="3" s="1"/>
  <c r="J207" i="3"/>
  <c r="BS207" i="3" s="1"/>
  <c r="BG207" i="3"/>
  <c r="DP207" i="3" s="1"/>
  <c r="AW207" i="3"/>
  <c r="DF207" i="3" s="1"/>
  <c r="AM207" i="3"/>
  <c r="CV207" i="3" s="1"/>
  <c r="AC207" i="3"/>
  <c r="CL207" i="3" s="1"/>
  <c r="S207" i="3"/>
  <c r="CB207" i="3" s="1"/>
  <c r="I207" i="3"/>
  <c r="BR207" i="3" s="1"/>
  <c r="BJ207" i="3"/>
  <c r="DS207" i="3" s="1"/>
  <c r="AZ207" i="3"/>
  <c r="DI207" i="3" s="1"/>
  <c r="AP207" i="3"/>
  <c r="CY207" i="3" s="1"/>
  <c r="AF207" i="3"/>
  <c r="CO207" i="3" s="1"/>
  <c r="V207" i="3"/>
  <c r="CE207" i="3" s="1"/>
  <c r="L207" i="3"/>
  <c r="BU207" i="3" s="1"/>
  <c r="BK207" i="3"/>
  <c r="DT207" i="3" s="1"/>
  <c r="AU207" i="3"/>
  <c r="DD207" i="3" s="1"/>
  <c r="AH207" i="3"/>
  <c r="CQ207" i="3" s="1"/>
  <c r="R207" i="3"/>
  <c r="CA207" i="3" s="1"/>
  <c r="E207" i="3"/>
  <c r="BN207" i="3" s="1"/>
  <c r="BI207" i="3"/>
  <c r="DR207" i="3" s="1"/>
  <c r="AT207" i="3"/>
  <c r="DC207" i="3" s="1"/>
  <c r="AG207" i="3"/>
  <c r="CP207" i="3" s="1"/>
  <c r="Q207" i="3"/>
  <c r="BZ207" i="3" s="1"/>
  <c r="AY207" i="3"/>
  <c r="DH207" i="3" s="1"/>
  <c r="AJ207" i="3"/>
  <c r="CS207" i="3" s="1"/>
  <c r="W207" i="3"/>
  <c r="CF207" i="3" s="1"/>
  <c r="G207" i="3"/>
  <c r="BP207" i="3" s="1"/>
  <c r="BD207" i="3"/>
  <c r="DM207" i="3" s="1"/>
  <c r="AK207" i="3"/>
  <c r="CT207" i="3" s="1"/>
  <c r="O207" i="3"/>
  <c r="BX207" i="3" s="1"/>
  <c r="BC207" i="3"/>
  <c r="DL207" i="3" s="1"/>
  <c r="AI207" i="3"/>
  <c r="CR207" i="3" s="1"/>
  <c r="N207" i="3"/>
  <c r="BW207" i="3" s="1"/>
  <c r="BB207" i="3"/>
  <c r="DK207" i="3" s="1"/>
  <c r="AE207" i="3"/>
  <c r="CN207" i="3" s="1"/>
  <c r="M207" i="3"/>
  <c r="BV207" i="3" s="1"/>
  <c r="BA207" i="3"/>
  <c r="DJ207" i="3" s="1"/>
  <c r="AB207" i="3"/>
  <c r="CK207" i="3" s="1"/>
  <c r="K207" i="3"/>
  <c r="BT207" i="3" s="1"/>
  <c r="AV207" i="3"/>
  <c r="DE207" i="3" s="1"/>
  <c r="AA207" i="3"/>
  <c r="CJ207" i="3" s="1"/>
  <c r="H207" i="3"/>
  <c r="BQ207" i="3" s="1"/>
  <c r="AS207" i="3"/>
  <c r="DB207" i="3" s="1"/>
  <c r="Z207" i="3"/>
  <c r="CI207" i="3" s="1"/>
  <c r="F207" i="3"/>
  <c r="BO207" i="3" s="1"/>
  <c r="BE207" i="3"/>
  <c r="DN207" i="3" s="1"/>
  <c r="AL207" i="3"/>
  <c r="CU207" i="3" s="1"/>
  <c r="P207" i="3"/>
  <c r="BY207" i="3" s="1"/>
  <c r="Y207" i="3"/>
  <c r="CH207" i="3" s="1"/>
  <c r="X207" i="3"/>
  <c r="CG207" i="3" s="1"/>
  <c r="U207" i="3"/>
  <c r="CD207" i="3" s="1"/>
  <c r="BL207" i="3"/>
  <c r="DU207" i="3" s="1"/>
  <c r="BF207" i="3"/>
  <c r="DO207" i="3" s="1"/>
  <c r="AR207" i="3"/>
  <c r="DA207" i="3" s="1"/>
  <c r="AQ207" i="3"/>
  <c r="CZ207" i="3" s="1"/>
  <c r="AO207" i="3"/>
  <c r="CX207" i="3" s="1"/>
  <c r="BJ237" i="3"/>
  <c r="DS237" i="3" s="1"/>
  <c r="AZ237" i="3"/>
  <c r="DI237" i="3" s="1"/>
  <c r="AP237" i="3"/>
  <c r="CY237" i="3" s="1"/>
  <c r="AF237" i="3"/>
  <c r="CO237" i="3" s="1"/>
  <c r="V237" i="3"/>
  <c r="CE237" i="3" s="1"/>
  <c r="L237" i="3"/>
  <c r="BU237" i="3" s="1"/>
  <c r="BE237" i="3"/>
  <c r="DN237" i="3" s="1"/>
  <c r="AT237" i="3"/>
  <c r="DC237" i="3" s="1"/>
  <c r="AI237" i="3"/>
  <c r="CR237" i="3" s="1"/>
  <c r="X237" i="3"/>
  <c r="CG237" i="3" s="1"/>
  <c r="M237" i="3"/>
  <c r="BV237" i="3" s="1"/>
  <c r="BD237" i="3"/>
  <c r="DM237" i="3" s="1"/>
  <c r="AS237" i="3"/>
  <c r="DB237" i="3" s="1"/>
  <c r="AH237" i="3"/>
  <c r="CQ237" i="3" s="1"/>
  <c r="W237" i="3"/>
  <c r="CF237" i="3" s="1"/>
  <c r="K237" i="3"/>
  <c r="BT237" i="3" s="1"/>
  <c r="BG237" i="3"/>
  <c r="DP237" i="3" s="1"/>
  <c r="AV237" i="3"/>
  <c r="DE237" i="3" s="1"/>
  <c r="AK237" i="3"/>
  <c r="CT237" i="3" s="1"/>
  <c r="Z237" i="3"/>
  <c r="CI237" i="3" s="1"/>
  <c r="O237" i="3"/>
  <c r="BX237" i="3" s="1"/>
  <c r="BK237" i="3"/>
  <c r="DT237" i="3" s="1"/>
  <c r="AU237" i="3"/>
  <c r="DD237" i="3" s="1"/>
  <c r="AD237" i="3"/>
  <c r="CM237" i="3" s="1"/>
  <c r="P237" i="3"/>
  <c r="BY237" i="3" s="1"/>
  <c r="BI237" i="3"/>
  <c r="DR237" i="3" s="1"/>
  <c r="AR237" i="3"/>
  <c r="DA237" i="3" s="1"/>
  <c r="AC237" i="3"/>
  <c r="CL237" i="3" s="1"/>
  <c r="N237" i="3"/>
  <c r="BW237" i="3" s="1"/>
  <c r="AX237" i="3"/>
  <c r="DG237" i="3" s="1"/>
  <c r="AG237" i="3"/>
  <c r="CP237" i="3" s="1"/>
  <c r="R237" i="3"/>
  <c r="CA237" i="3" s="1"/>
  <c r="AQ237" i="3"/>
  <c r="CZ237" i="3" s="1"/>
  <c r="U237" i="3"/>
  <c r="CD237" i="3" s="1"/>
  <c r="AO237" i="3"/>
  <c r="CX237" i="3" s="1"/>
  <c r="T237" i="3"/>
  <c r="CC237" i="3" s="1"/>
  <c r="BL237" i="3"/>
  <c r="DU237" i="3" s="1"/>
  <c r="AN237" i="3"/>
  <c r="CW237" i="3" s="1"/>
  <c r="S237" i="3"/>
  <c r="CB237" i="3" s="1"/>
  <c r="BC237" i="3"/>
  <c r="DL237" i="3" s="1"/>
  <c r="AA237" i="3"/>
  <c r="CJ237" i="3" s="1"/>
  <c r="BB237" i="3"/>
  <c r="DK237" i="3" s="1"/>
  <c r="Y237" i="3"/>
  <c r="CH237" i="3" s="1"/>
  <c r="BA237" i="3"/>
  <c r="DJ237" i="3" s="1"/>
  <c r="Q237" i="3"/>
  <c r="BZ237" i="3" s="1"/>
  <c r="AY237" i="3"/>
  <c r="DH237" i="3" s="1"/>
  <c r="J237" i="3"/>
  <c r="BS237" i="3" s="1"/>
  <c r="AW237" i="3"/>
  <c r="DF237" i="3" s="1"/>
  <c r="I237" i="3"/>
  <c r="BR237" i="3" s="1"/>
  <c r="AM237" i="3"/>
  <c r="CV237" i="3" s="1"/>
  <c r="H237" i="3"/>
  <c r="BQ237" i="3" s="1"/>
  <c r="AL237" i="3"/>
  <c r="CU237" i="3" s="1"/>
  <c r="G237" i="3"/>
  <c r="BP237" i="3" s="1"/>
  <c r="AJ237" i="3"/>
  <c r="CS237" i="3" s="1"/>
  <c r="F237" i="3"/>
  <c r="BO237" i="3" s="1"/>
  <c r="BH237" i="3"/>
  <c r="DQ237" i="3" s="1"/>
  <c r="AE237" i="3"/>
  <c r="CN237" i="3" s="1"/>
  <c r="E237" i="3"/>
  <c r="BN237" i="3" s="1"/>
  <c r="BF237" i="3"/>
  <c r="DO237" i="3" s="1"/>
  <c r="AB237" i="3"/>
  <c r="CK237" i="3" s="1"/>
  <c r="J116" i="2"/>
  <c r="K116" i="2" s="1"/>
  <c r="L116" i="2" s="1"/>
  <c r="J63" i="2"/>
  <c r="K63" i="2" s="1"/>
  <c r="L63" i="2" s="1"/>
  <c r="BF94" i="3"/>
  <c r="DO94" i="3" s="1"/>
  <c r="AV94" i="3"/>
  <c r="DE94" i="3" s="1"/>
  <c r="AL94" i="3"/>
  <c r="CU94" i="3" s="1"/>
  <c r="AB94" i="3"/>
  <c r="CK94" i="3" s="1"/>
  <c r="R94" i="3"/>
  <c r="CA94" i="3" s="1"/>
  <c r="H94" i="3"/>
  <c r="BQ94" i="3" s="1"/>
  <c r="BH94" i="3"/>
  <c r="DQ94" i="3" s="1"/>
  <c r="AX94" i="3"/>
  <c r="DG94" i="3" s="1"/>
  <c r="AN94" i="3"/>
  <c r="CW94" i="3" s="1"/>
  <c r="AD94" i="3"/>
  <c r="CM94" i="3" s="1"/>
  <c r="T94" i="3"/>
  <c r="CC94" i="3" s="1"/>
  <c r="J94" i="3"/>
  <c r="BS94" i="3" s="1"/>
  <c r="BG94" i="3"/>
  <c r="DP94" i="3" s="1"/>
  <c r="AW94" i="3"/>
  <c r="DF94" i="3" s="1"/>
  <c r="AM94" i="3"/>
  <c r="CV94" i="3" s="1"/>
  <c r="AC94" i="3"/>
  <c r="CL94" i="3" s="1"/>
  <c r="S94" i="3"/>
  <c r="CB94" i="3" s="1"/>
  <c r="I94" i="3"/>
  <c r="BR94" i="3" s="1"/>
  <c r="AZ94" i="3"/>
  <c r="DI94" i="3" s="1"/>
  <c r="AJ94" i="3"/>
  <c r="CS94" i="3" s="1"/>
  <c r="W94" i="3"/>
  <c r="CF94" i="3" s="1"/>
  <c r="G94" i="3"/>
  <c r="BP94" i="3" s="1"/>
  <c r="BL94" i="3"/>
  <c r="DU94" i="3" s="1"/>
  <c r="AY94" i="3"/>
  <c r="DH94" i="3" s="1"/>
  <c r="AI94" i="3"/>
  <c r="CR94" i="3" s="1"/>
  <c r="V94" i="3"/>
  <c r="CE94" i="3" s="1"/>
  <c r="F94" i="3"/>
  <c r="BO94" i="3" s="1"/>
  <c r="BC94" i="3"/>
  <c r="DL94" i="3" s="1"/>
  <c r="AP94" i="3"/>
  <c r="CY94" i="3" s="1"/>
  <c r="Z94" i="3"/>
  <c r="CI94" i="3" s="1"/>
  <c r="M94" i="3"/>
  <c r="BV94" i="3" s="1"/>
  <c r="BB94" i="3"/>
  <c r="DK94" i="3" s="1"/>
  <c r="AG94" i="3"/>
  <c r="CP94" i="3" s="1"/>
  <c r="N94" i="3"/>
  <c r="BW94" i="3" s="1"/>
  <c r="BA94" i="3"/>
  <c r="DJ94" i="3" s="1"/>
  <c r="AF94" i="3"/>
  <c r="CO94" i="3" s="1"/>
  <c r="L94" i="3"/>
  <c r="BU94" i="3" s="1"/>
  <c r="AU94" i="3"/>
  <c r="DD94" i="3" s="1"/>
  <c r="AE94" i="3"/>
  <c r="CN94" i="3" s="1"/>
  <c r="K94" i="3"/>
  <c r="BT94" i="3" s="1"/>
  <c r="AT94" i="3"/>
  <c r="DC94" i="3" s="1"/>
  <c r="AA94" i="3"/>
  <c r="CJ94" i="3" s="1"/>
  <c r="E94" i="3"/>
  <c r="BN94" i="3" s="1"/>
  <c r="AS94" i="3"/>
  <c r="DB94" i="3" s="1"/>
  <c r="Y94" i="3"/>
  <c r="CH94" i="3" s="1"/>
  <c r="BK94" i="3"/>
  <c r="DT94" i="3" s="1"/>
  <c r="AR94" i="3"/>
  <c r="DA94" i="3" s="1"/>
  <c r="X94" i="3"/>
  <c r="CG94" i="3" s="1"/>
  <c r="BJ94" i="3"/>
  <c r="DS94" i="3" s="1"/>
  <c r="AQ94" i="3"/>
  <c r="CZ94" i="3" s="1"/>
  <c r="U94" i="3"/>
  <c r="CD94" i="3" s="1"/>
  <c r="BI94" i="3"/>
  <c r="DR94" i="3" s="1"/>
  <c r="AO94" i="3"/>
  <c r="CX94" i="3" s="1"/>
  <c r="Q94" i="3"/>
  <c r="BZ94" i="3" s="1"/>
  <c r="BE94" i="3"/>
  <c r="DN94" i="3" s="1"/>
  <c r="AK94" i="3"/>
  <c r="CT94" i="3" s="1"/>
  <c r="P94" i="3"/>
  <c r="BY94" i="3" s="1"/>
  <c r="BD94" i="3"/>
  <c r="DM94" i="3" s="1"/>
  <c r="AH94" i="3"/>
  <c r="CQ94" i="3" s="1"/>
  <c r="O94" i="3"/>
  <c r="BX94" i="3" s="1"/>
  <c r="BJ194" i="3"/>
  <c r="DS194" i="3" s="1"/>
  <c r="AZ194" i="3"/>
  <c r="DI194" i="3" s="1"/>
  <c r="AP194" i="3"/>
  <c r="CY194" i="3" s="1"/>
  <c r="AF194" i="3"/>
  <c r="CO194" i="3" s="1"/>
  <c r="V194" i="3"/>
  <c r="CE194" i="3" s="1"/>
  <c r="L194" i="3"/>
  <c r="BU194" i="3" s="1"/>
  <c r="BH194" i="3"/>
  <c r="DQ194" i="3" s="1"/>
  <c r="AW194" i="3"/>
  <c r="DF194" i="3" s="1"/>
  <c r="AL194" i="3"/>
  <c r="CU194" i="3" s="1"/>
  <c r="AA194" i="3"/>
  <c r="CJ194" i="3" s="1"/>
  <c r="P194" i="3"/>
  <c r="BY194" i="3" s="1"/>
  <c r="E194" i="3"/>
  <c r="BN194" i="3" s="1"/>
  <c r="BG194" i="3"/>
  <c r="DP194" i="3" s="1"/>
  <c r="AV194" i="3"/>
  <c r="DE194" i="3" s="1"/>
  <c r="AK194" i="3"/>
  <c r="CT194" i="3" s="1"/>
  <c r="Z194" i="3"/>
  <c r="CI194" i="3" s="1"/>
  <c r="O194" i="3"/>
  <c r="BX194" i="3" s="1"/>
  <c r="BK194" i="3"/>
  <c r="DT194" i="3" s="1"/>
  <c r="AY194" i="3"/>
  <c r="DH194" i="3" s="1"/>
  <c r="AN194" i="3"/>
  <c r="CW194" i="3" s="1"/>
  <c r="AC194" i="3"/>
  <c r="CL194" i="3" s="1"/>
  <c r="R194" i="3"/>
  <c r="CA194" i="3" s="1"/>
  <c r="G194" i="3"/>
  <c r="BP194" i="3" s="1"/>
  <c r="AX194" i="3"/>
  <c r="DG194" i="3" s="1"/>
  <c r="AH194" i="3"/>
  <c r="CQ194" i="3" s="1"/>
  <c r="S194" i="3"/>
  <c r="CB194" i="3" s="1"/>
  <c r="AU194" i="3"/>
  <c r="DD194" i="3" s="1"/>
  <c r="AG194" i="3"/>
  <c r="CP194" i="3" s="1"/>
  <c r="Q194" i="3"/>
  <c r="BZ194" i="3" s="1"/>
  <c r="BL194" i="3"/>
  <c r="DU194" i="3" s="1"/>
  <c r="AT194" i="3"/>
  <c r="DC194" i="3" s="1"/>
  <c r="AE194" i="3"/>
  <c r="CN194" i="3" s="1"/>
  <c r="N194" i="3"/>
  <c r="BW194" i="3" s="1"/>
  <c r="BI194" i="3"/>
  <c r="DR194" i="3" s="1"/>
  <c r="AS194" i="3"/>
  <c r="DB194" i="3" s="1"/>
  <c r="AD194" i="3"/>
  <c r="CM194" i="3" s="1"/>
  <c r="M194" i="3"/>
  <c r="BV194" i="3" s="1"/>
  <c r="BF194" i="3"/>
  <c r="DO194" i="3" s="1"/>
  <c r="AR194" i="3"/>
  <c r="DA194" i="3" s="1"/>
  <c r="AB194" i="3"/>
  <c r="CK194" i="3" s="1"/>
  <c r="K194" i="3"/>
  <c r="BT194" i="3" s="1"/>
  <c r="BE194" i="3"/>
  <c r="DN194" i="3" s="1"/>
  <c r="AQ194" i="3"/>
  <c r="CZ194" i="3" s="1"/>
  <c r="Y194" i="3"/>
  <c r="CH194" i="3" s="1"/>
  <c r="J194" i="3"/>
  <c r="BS194" i="3" s="1"/>
  <c r="BA194" i="3"/>
  <c r="DJ194" i="3" s="1"/>
  <c r="AI194" i="3"/>
  <c r="CR194" i="3" s="1"/>
  <c r="T194" i="3"/>
  <c r="CC194" i="3" s="1"/>
  <c r="X194" i="3"/>
  <c r="CG194" i="3" s="1"/>
  <c r="W194" i="3"/>
  <c r="CF194" i="3" s="1"/>
  <c r="U194" i="3"/>
  <c r="CD194" i="3" s="1"/>
  <c r="I194" i="3"/>
  <c r="BR194" i="3" s="1"/>
  <c r="BD194" i="3"/>
  <c r="DM194" i="3" s="1"/>
  <c r="H194" i="3"/>
  <c r="BQ194" i="3" s="1"/>
  <c r="BC194" i="3"/>
  <c r="DL194" i="3" s="1"/>
  <c r="F194" i="3"/>
  <c r="BO194" i="3" s="1"/>
  <c r="BB194" i="3"/>
  <c r="DK194" i="3" s="1"/>
  <c r="AM194" i="3"/>
  <c r="CV194" i="3" s="1"/>
  <c r="AO194" i="3"/>
  <c r="CX194" i="3" s="1"/>
  <c r="AJ194" i="3"/>
  <c r="CS194" i="3" s="1"/>
  <c r="BF238" i="3"/>
  <c r="DO238" i="3" s="1"/>
  <c r="AV238" i="3"/>
  <c r="DE238" i="3" s="1"/>
  <c r="AL238" i="3"/>
  <c r="CU238" i="3" s="1"/>
  <c r="AB238" i="3"/>
  <c r="CK238" i="3" s="1"/>
  <c r="R238" i="3"/>
  <c r="CA238" i="3" s="1"/>
  <c r="H238" i="3"/>
  <c r="BQ238" i="3" s="1"/>
  <c r="BC238" i="3"/>
  <c r="DL238" i="3" s="1"/>
  <c r="AR238" i="3"/>
  <c r="DA238" i="3" s="1"/>
  <c r="AG238" i="3"/>
  <c r="CP238" i="3" s="1"/>
  <c r="V238" i="3"/>
  <c r="CE238" i="3" s="1"/>
  <c r="K238" i="3"/>
  <c r="BT238" i="3" s="1"/>
  <c r="BB238" i="3"/>
  <c r="DK238" i="3" s="1"/>
  <c r="AQ238" i="3"/>
  <c r="CZ238" i="3" s="1"/>
  <c r="AF238" i="3"/>
  <c r="CO238" i="3" s="1"/>
  <c r="U238" i="3"/>
  <c r="CD238" i="3" s="1"/>
  <c r="J238" i="3"/>
  <c r="BS238" i="3" s="1"/>
  <c r="BE238" i="3"/>
  <c r="DN238" i="3" s="1"/>
  <c r="AT238" i="3"/>
  <c r="DC238" i="3" s="1"/>
  <c r="AI238" i="3"/>
  <c r="CR238" i="3" s="1"/>
  <c r="X238" i="3"/>
  <c r="CG238" i="3" s="1"/>
  <c r="M238" i="3"/>
  <c r="BV238" i="3" s="1"/>
  <c r="BL238" i="3"/>
  <c r="DU238" i="3" s="1"/>
  <c r="AX238" i="3"/>
  <c r="DG238" i="3" s="1"/>
  <c r="AH238" i="3"/>
  <c r="CQ238" i="3" s="1"/>
  <c r="Q238" i="3"/>
  <c r="BZ238" i="3" s="1"/>
  <c r="BK238" i="3"/>
  <c r="DT238" i="3" s="1"/>
  <c r="AW238" i="3"/>
  <c r="DF238" i="3" s="1"/>
  <c r="AE238" i="3"/>
  <c r="CN238" i="3" s="1"/>
  <c r="P238" i="3"/>
  <c r="BY238" i="3" s="1"/>
  <c r="AZ238" i="3"/>
  <c r="DI238" i="3" s="1"/>
  <c r="AK238" i="3"/>
  <c r="CT238" i="3" s="1"/>
  <c r="T238" i="3"/>
  <c r="CC238" i="3" s="1"/>
  <c r="E238" i="3"/>
  <c r="BN238" i="3" s="1"/>
  <c r="BG238" i="3"/>
  <c r="DP238" i="3" s="1"/>
  <c r="AJ238" i="3"/>
  <c r="CS238" i="3" s="1"/>
  <c r="L238" i="3"/>
  <c r="BU238" i="3" s="1"/>
  <c r="BD238" i="3"/>
  <c r="DM238" i="3" s="1"/>
  <c r="AD238" i="3"/>
  <c r="CM238" i="3" s="1"/>
  <c r="I238" i="3"/>
  <c r="BR238" i="3" s="1"/>
  <c r="BA238" i="3"/>
  <c r="DJ238" i="3" s="1"/>
  <c r="AC238" i="3"/>
  <c r="CL238" i="3" s="1"/>
  <c r="G238" i="3"/>
  <c r="BP238" i="3" s="1"/>
  <c r="BJ238" i="3"/>
  <c r="DS238" i="3" s="1"/>
  <c r="AA238" i="3"/>
  <c r="CJ238" i="3" s="1"/>
  <c r="BI238" i="3"/>
  <c r="DR238" i="3" s="1"/>
  <c r="Z238" i="3"/>
  <c r="CI238" i="3" s="1"/>
  <c r="BH238" i="3"/>
  <c r="DQ238" i="3" s="1"/>
  <c r="Y238" i="3"/>
  <c r="CH238" i="3" s="1"/>
  <c r="AY238" i="3"/>
  <c r="DH238" i="3" s="1"/>
  <c r="W238" i="3"/>
  <c r="CF238" i="3" s="1"/>
  <c r="AU238" i="3"/>
  <c r="DD238" i="3" s="1"/>
  <c r="S238" i="3"/>
  <c r="CB238" i="3" s="1"/>
  <c r="AS238" i="3"/>
  <c r="DB238" i="3" s="1"/>
  <c r="O238" i="3"/>
  <c r="BX238" i="3" s="1"/>
  <c r="AP238" i="3"/>
  <c r="CY238" i="3" s="1"/>
  <c r="N238" i="3"/>
  <c r="BW238" i="3" s="1"/>
  <c r="AO238" i="3"/>
  <c r="CX238" i="3" s="1"/>
  <c r="F238" i="3"/>
  <c r="BO238" i="3" s="1"/>
  <c r="AN238" i="3"/>
  <c r="CW238" i="3" s="1"/>
  <c r="AM238" i="3"/>
  <c r="CV238" i="3" s="1"/>
  <c r="N289" i="2"/>
  <c r="O289" i="2"/>
  <c r="BK151" i="3"/>
  <c r="DT151" i="3" s="1"/>
  <c r="BA151" i="3"/>
  <c r="DJ151" i="3" s="1"/>
  <c r="AQ151" i="3"/>
  <c r="CZ151" i="3" s="1"/>
  <c r="AG151" i="3"/>
  <c r="CP151" i="3" s="1"/>
  <c r="W151" i="3"/>
  <c r="CF151" i="3" s="1"/>
  <c r="M151" i="3"/>
  <c r="BV151" i="3" s="1"/>
  <c r="BJ151" i="3"/>
  <c r="DS151" i="3" s="1"/>
  <c r="AZ151" i="3"/>
  <c r="DI151" i="3" s="1"/>
  <c r="AP151" i="3"/>
  <c r="CY151" i="3" s="1"/>
  <c r="AF151" i="3"/>
  <c r="CO151" i="3" s="1"/>
  <c r="V151" i="3"/>
  <c r="CE151" i="3" s="1"/>
  <c r="L151" i="3"/>
  <c r="BU151" i="3" s="1"/>
  <c r="BC151" i="3"/>
  <c r="DL151" i="3" s="1"/>
  <c r="AS151" i="3"/>
  <c r="DB151" i="3" s="1"/>
  <c r="AI151" i="3"/>
  <c r="CR151" i="3" s="1"/>
  <c r="Y151" i="3"/>
  <c r="CH151" i="3" s="1"/>
  <c r="O151" i="3"/>
  <c r="BX151" i="3" s="1"/>
  <c r="E151" i="3"/>
  <c r="BN151" i="3" s="1"/>
  <c r="BH151" i="3"/>
  <c r="DQ151" i="3" s="1"/>
  <c r="AU151" i="3"/>
  <c r="DD151" i="3" s="1"/>
  <c r="AE151" i="3"/>
  <c r="CN151" i="3" s="1"/>
  <c r="R151" i="3"/>
  <c r="CA151" i="3" s="1"/>
  <c r="BG151" i="3"/>
  <c r="DP151" i="3" s="1"/>
  <c r="AT151" i="3"/>
  <c r="DC151" i="3" s="1"/>
  <c r="AD151" i="3"/>
  <c r="CM151" i="3" s="1"/>
  <c r="Q151" i="3"/>
  <c r="BZ151" i="3" s="1"/>
  <c r="BF151" i="3"/>
  <c r="DO151" i="3" s="1"/>
  <c r="AR151" i="3"/>
  <c r="DA151" i="3" s="1"/>
  <c r="AC151" i="3"/>
  <c r="CL151" i="3" s="1"/>
  <c r="P151" i="3"/>
  <c r="BY151" i="3" s="1"/>
  <c r="BL151" i="3"/>
  <c r="DU151" i="3" s="1"/>
  <c r="AW151" i="3"/>
  <c r="DF151" i="3" s="1"/>
  <c r="AJ151" i="3"/>
  <c r="CS151" i="3" s="1"/>
  <c r="T151" i="3"/>
  <c r="CC151" i="3" s="1"/>
  <c r="G151" i="3"/>
  <c r="BP151" i="3" s="1"/>
  <c r="BI151" i="3"/>
  <c r="DR151" i="3" s="1"/>
  <c r="AV151" i="3"/>
  <c r="DE151" i="3" s="1"/>
  <c r="AH151" i="3"/>
  <c r="CQ151" i="3" s="1"/>
  <c r="S151" i="3"/>
  <c r="CB151" i="3" s="1"/>
  <c r="F151" i="3"/>
  <c r="BO151" i="3" s="1"/>
  <c r="AO151" i="3"/>
  <c r="CX151" i="3" s="1"/>
  <c r="N151" i="3"/>
  <c r="BW151" i="3" s="1"/>
  <c r="AN151" i="3"/>
  <c r="CW151" i="3" s="1"/>
  <c r="K151" i="3"/>
  <c r="BT151" i="3" s="1"/>
  <c r="AM151" i="3"/>
  <c r="CV151" i="3" s="1"/>
  <c r="J151" i="3"/>
  <c r="BS151" i="3" s="1"/>
  <c r="AY151" i="3"/>
  <c r="DH151" i="3" s="1"/>
  <c r="X151" i="3"/>
  <c r="CG151" i="3" s="1"/>
  <c r="AX151" i="3"/>
  <c r="DG151" i="3" s="1"/>
  <c r="U151" i="3"/>
  <c r="CD151" i="3" s="1"/>
  <c r="AK151" i="3"/>
  <c r="CT151" i="3" s="1"/>
  <c r="BE151" i="3"/>
  <c r="DN151" i="3" s="1"/>
  <c r="BD151" i="3"/>
  <c r="DM151" i="3" s="1"/>
  <c r="BB151" i="3"/>
  <c r="DK151" i="3" s="1"/>
  <c r="I151" i="3"/>
  <c r="BR151" i="3" s="1"/>
  <c r="H151" i="3"/>
  <c r="BQ151" i="3" s="1"/>
  <c r="AL151" i="3"/>
  <c r="CU151" i="3" s="1"/>
  <c r="AB151" i="3"/>
  <c r="CK151" i="3" s="1"/>
  <c r="AA151" i="3"/>
  <c r="CJ151" i="3" s="1"/>
  <c r="Z151" i="3"/>
  <c r="CI151" i="3" s="1"/>
  <c r="BL191" i="3"/>
  <c r="DU191" i="3" s="1"/>
  <c r="BB191" i="3"/>
  <c r="DK191" i="3" s="1"/>
  <c r="AR191" i="3"/>
  <c r="DA191" i="3" s="1"/>
  <c r="AH191" i="3"/>
  <c r="CQ191" i="3" s="1"/>
  <c r="X191" i="3"/>
  <c r="CG191" i="3" s="1"/>
  <c r="N191" i="3"/>
  <c r="BW191" i="3" s="1"/>
  <c r="BC191" i="3"/>
  <c r="DL191" i="3" s="1"/>
  <c r="AQ191" i="3"/>
  <c r="CZ191" i="3" s="1"/>
  <c r="AF191" i="3"/>
  <c r="CO191" i="3" s="1"/>
  <c r="U191" i="3"/>
  <c r="CD191" i="3" s="1"/>
  <c r="J191" i="3"/>
  <c r="BS191" i="3" s="1"/>
  <c r="BA191" i="3"/>
  <c r="DJ191" i="3" s="1"/>
  <c r="AP191" i="3"/>
  <c r="CY191" i="3" s="1"/>
  <c r="AE191" i="3"/>
  <c r="CN191" i="3" s="1"/>
  <c r="T191" i="3"/>
  <c r="CC191" i="3" s="1"/>
  <c r="I191" i="3"/>
  <c r="BR191" i="3" s="1"/>
  <c r="BE191" i="3"/>
  <c r="DN191" i="3" s="1"/>
  <c r="AT191" i="3"/>
  <c r="DC191" i="3" s="1"/>
  <c r="AI191" i="3"/>
  <c r="CR191" i="3" s="1"/>
  <c r="W191" i="3"/>
  <c r="CF191" i="3" s="1"/>
  <c r="L191" i="3"/>
  <c r="BU191" i="3" s="1"/>
  <c r="BF191" i="3"/>
  <c r="DO191" i="3" s="1"/>
  <c r="AN191" i="3"/>
  <c r="CW191" i="3" s="1"/>
  <c r="Z191" i="3"/>
  <c r="CI191" i="3" s="1"/>
  <c r="H191" i="3"/>
  <c r="BQ191" i="3" s="1"/>
  <c r="BD191" i="3"/>
  <c r="DM191" i="3" s="1"/>
  <c r="AM191" i="3"/>
  <c r="CV191" i="3" s="1"/>
  <c r="Y191" i="3"/>
  <c r="CH191" i="3" s="1"/>
  <c r="G191" i="3"/>
  <c r="BP191" i="3" s="1"/>
  <c r="AZ191" i="3"/>
  <c r="DI191" i="3" s="1"/>
  <c r="AL191" i="3"/>
  <c r="CU191" i="3" s="1"/>
  <c r="V191" i="3"/>
  <c r="CE191" i="3" s="1"/>
  <c r="F191" i="3"/>
  <c r="BO191" i="3" s="1"/>
  <c r="BG191" i="3"/>
  <c r="DP191" i="3" s="1"/>
  <c r="AO191" i="3"/>
  <c r="CX191" i="3" s="1"/>
  <c r="AA191" i="3"/>
  <c r="CJ191" i="3" s="1"/>
  <c r="K191" i="3"/>
  <c r="BT191" i="3" s="1"/>
  <c r="BK191" i="3"/>
  <c r="DT191" i="3" s="1"/>
  <c r="AK191" i="3"/>
  <c r="CT191" i="3" s="1"/>
  <c r="O191" i="3"/>
  <c r="BX191" i="3" s="1"/>
  <c r="BJ191" i="3"/>
  <c r="DS191" i="3" s="1"/>
  <c r="AJ191" i="3"/>
  <c r="CS191" i="3" s="1"/>
  <c r="M191" i="3"/>
  <c r="BV191" i="3" s="1"/>
  <c r="BI191" i="3"/>
  <c r="DR191" i="3" s="1"/>
  <c r="AG191" i="3"/>
  <c r="CP191" i="3" s="1"/>
  <c r="E191" i="3"/>
  <c r="BN191" i="3" s="1"/>
  <c r="BH191" i="3"/>
  <c r="DQ191" i="3" s="1"/>
  <c r="AD191" i="3"/>
  <c r="CM191" i="3" s="1"/>
  <c r="AY191" i="3"/>
  <c r="DH191" i="3" s="1"/>
  <c r="AC191" i="3"/>
  <c r="CL191" i="3" s="1"/>
  <c r="AX191" i="3"/>
  <c r="DG191" i="3" s="1"/>
  <c r="AB191" i="3"/>
  <c r="CK191" i="3" s="1"/>
  <c r="AW191" i="3"/>
  <c r="DF191" i="3" s="1"/>
  <c r="S191" i="3"/>
  <c r="CB191" i="3" s="1"/>
  <c r="AU191" i="3"/>
  <c r="DD191" i="3" s="1"/>
  <c r="Q191" i="3"/>
  <c r="BZ191" i="3" s="1"/>
  <c r="AV191" i="3"/>
  <c r="DE191" i="3" s="1"/>
  <c r="AS191" i="3"/>
  <c r="DB191" i="3" s="1"/>
  <c r="R191" i="3"/>
  <c r="CA191" i="3" s="1"/>
  <c r="P191" i="3"/>
  <c r="BY191" i="3" s="1"/>
  <c r="N219" i="2"/>
  <c r="O219" i="2"/>
  <c r="N299" i="2"/>
  <c r="O299" i="2"/>
  <c r="J77" i="2"/>
  <c r="K77" i="2" s="1"/>
  <c r="L77" i="2" s="1"/>
  <c r="BE108" i="3"/>
  <c r="DN108" i="3" s="1"/>
  <c r="AU108" i="3"/>
  <c r="DD108" i="3" s="1"/>
  <c r="AK108" i="3"/>
  <c r="CT108" i="3" s="1"/>
  <c r="AA108" i="3"/>
  <c r="CJ108" i="3" s="1"/>
  <c r="Q108" i="3"/>
  <c r="BZ108" i="3" s="1"/>
  <c r="G108" i="3"/>
  <c r="BP108" i="3" s="1"/>
  <c r="BJ108" i="3"/>
  <c r="DS108" i="3" s="1"/>
  <c r="AY108" i="3"/>
  <c r="DH108" i="3" s="1"/>
  <c r="AN108" i="3"/>
  <c r="CW108" i="3" s="1"/>
  <c r="AC108" i="3"/>
  <c r="CL108" i="3" s="1"/>
  <c r="R108" i="3"/>
  <c r="CA108" i="3" s="1"/>
  <c r="F108" i="3"/>
  <c r="BO108" i="3" s="1"/>
  <c r="BL108" i="3"/>
  <c r="DU108" i="3" s="1"/>
  <c r="BA108" i="3"/>
  <c r="DJ108" i="3" s="1"/>
  <c r="AP108" i="3"/>
  <c r="CY108" i="3" s="1"/>
  <c r="AE108" i="3"/>
  <c r="CN108" i="3" s="1"/>
  <c r="T108" i="3"/>
  <c r="CC108" i="3" s="1"/>
  <c r="I108" i="3"/>
  <c r="BR108" i="3" s="1"/>
  <c r="BK108" i="3"/>
  <c r="DT108" i="3" s="1"/>
  <c r="AZ108" i="3"/>
  <c r="DI108" i="3" s="1"/>
  <c r="AO108" i="3"/>
  <c r="CX108" i="3" s="1"/>
  <c r="AD108" i="3"/>
  <c r="CM108" i="3" s="1"/>
  <c r="S108" i="3"/>
  <c r="CB108" i="3" s="1"/>
  <c r="H108" i="3"/>
  <c r="BQ108" i="3" s="1"/>
  <c r="BB108" i="3"/>
  <c r="DK108" i="3" s="1"/>
  <c r="AJ108" i="3"/>
  <c r="CS108" i="3" s="1"/>
  <c r="V108" i="3"/>
  <c r="CE108" i="3" s="1"/>
  <c r="BH108" i="3"/>
  <c r="DQ108" i="3" s="1"/>
  <c r="AR108" i="3"/>
  <c r="DA108" i="3" s="1"/>
  <c r="Y108" i="3"/>
  <c r="CH108" i="3" s="1"/>
  <c r="J108" i="3"/>
  <c r="BS108" i="3" s="1"/>
  <c r="BG108" i="3"/>
  <c r="DP108" i="3" s="1"/>
  <c r="AQ108" i="3"/>
  <c r="CZ108" i="3" s="1"/>
  <c r="X108" i="3"/>
  <c r="CG108" i="3" s="1"/>
  <c r="E108" i="3"/>
  <c r="BN108" i="3" s="1"/>
  <c r="AV108" i="3"/>
  <c r="DE108" i="3" s="1"/>
  <c r="AF108" i="3"/>
  <c r="CO108" i="3" s="1"/>
  <c r="M108" i="3"/>
  <c r="BV108" i="3" s="1"/>
  <c r="BI108" i="3"/>
  <c r="DR108" i="3" s="1"/>
  <c r="AI108" i="3"/>
  <c r="CR108" i="3" s="1"/>
  <c r="L108" i="3"/>
  <c r="BU108" i="3" s="1"/>
  <c r="BF108" i="3"/>
  <c r="DO108" i="3" s="1"/>
  <c r="AH108" i="3"/>
  <c r="CQ108" i="3" s="1"/>
  <c r="K108" i="3"/>
  <c r="BT108" i="3" s="1"/>
  <c r="BD108" i="3"/>
  <c r="DM108" i="3" s="1"/>
  <c r="AG108" i="3"/>
  <c r="CP108" i="3" s="1"/>
  <c r="BC108" i="3"/>
  <c r="DL108" i="3" s="1"/>
  <c r="AB108" i="3"/>
  <c r="CK108" i="3" s="1"/>
  <c r="AX108" i="3"/>
  <c r="DG108" i="3" s="1"/>
  <c r="Z108" i="3"/>
  <c r="CI108" i="3" s="1"/>
  <c r="AW108" i="3"/>
  <c r="DF108" i="3" s="1"/>
  <c r="W108" i="3"/>
  <c r="CF108" i="3" s="1"/>
  <c r="AT108" i="3"/>
  <c r="DC108" i="3" s="1"/>
  <c r="U108" i="3"/>
  <c r="CD108" i="3" s="1"/>
  <c r="AS108" i="3"/>
  <c r="DB108" i="3" s="1"/>
  <c r="P108" i="3"/>
  <c r="BY108" i="3" s="1"/>
  <c r="AM108" i="3"/>
  <c r="CV108" i="3" s="1"/>
  <c r="O108" i="3"/>
  <c r="BX108" i="3" s="1"/>
  <c r="AL108" i="3"/>
  <c r="CU108" i="3" s="1"/>
  <c r="N108" i="3"/>
  <c r="BW108" i="3" s="1"/>
  <c r="J215" i="2"/>
  <c r="K215" i="2" s="1"/>
  <c r="L215" i="2" s="1"/>
  <c r="N249" i="2"/>
  <c r="O249" i="2"/>
  <c r="N189" i="2"/>
  <c r="O189" i="2"/>
  <c r="BI112" i="3"/>
  <c r="DR112" i="3" s="1"/>
  <c r="AY112" i="3"/>
  <c r="DH112" i="3" s="1"/>
  <c r="AO112" i="3"/>
  <c r="CX112" i="3" s="1"/>
  <c r="AE112" i="3"/>
  <c r="CN112" i="3" s="1"/>
  <c r="U112" i="3"/>
  <c r="CD112" i="3" s="1"/>
  <c r="K112" i="3"/>
  <c r="BT112" i="3" s="1"/>
  <c r="BK112" i="3"/>
  <c r="DT112" i="3" s="1"/>
  <c r="BA112" i="3"/>
  <c r="DJ112" i="3" s="1"/>
  <c r="AQ112" i="3"/>
  <c r="CZ112" i="3" s="1"/>
  <c r="AG112" i="3"/>
  <c r="CP112" i="3" s="1"/>
  <c r="W112" i="3"/>
  <c r="CF112" i="3" s="1"/>
  <c r="M112" i="3"/>
  <c r="BV112" i="3" s="1"/>
  <c r="BH112" i="3"/>
  <c r="DQ112" i="3" s="1"/>
  <c r="AV112" i="3"/>
  <c r="DE112" i="3" s="1"/>
  <c r="AJ112" i="3"/>
  <c r="CS112" i="3" s="1"/>
  <c r="X112" i="3"/>
  <c r="CG112" i="3" s="1"/>
  <c r="J112" i="3"/>
  <c r="BS112" i="3" s="1"/>
  <c r="BL112" i="3"/>
  <c r="DU112" i="3" s="1"/>
  <c r="AX112" i="3"/>
  <c r="DG112" i="3" s="1"/>
  <c r="AL112" i="3"/>
  <c r="CU112" i="3" s="1"/>
  <c r="Z112" i="3"/>
  <c r="CI112" i="3" s="1"/>
  <c r="N112" i="3"/>
  <c r="BW112" i="3" s="1"/>
  <c r="BJ112" i="3"/>
  <c r="DS112" i="3" s="1"/>
  <c r="AW112" i="3"/>
  <c r="DF112" i="3" s="1"/>
  <c r="AK112" i="3"/>
  <c r="CT112" i="3" s="1"/>
  <c r="Y112" i="3"/>
  <c r="CH112" i="3" s="1"/>
  <c r="L112" i="3"/>
  <c r="BU112" i="3" s="1"/>
  <c r="AZ112" i="3"/>
  <c r="DI112" i="3" s="1"/>
  <c r="AF112" i="3"/>
  <c r="CO112" i="3" s="1"/>
  <c r="P112" i="3"/>
  <c r="BY112" i="3" s="1"/>
  <c r="BD112" i="3"/>
  <c r="DM112" i="3" s="1"/>
  <c r="AI112" i="3"/>
  <c r="CR112" i="3" s="1"/>
  <c r="Q112" i="3"/>
  <c r="BZ112" i="3" s="1"/>
  <c r="BC112" i="3"/>
  <c r="DL112" i="3" s="1"/>
  <c r="AH112" i="3"/>
  <c r="CQ112" i="3" s="1"/>
  <c r="O112" i="3"/>
  <c r="BX112" i="3" s="1"/>
  <c r="BG112" i="3"/>
  <c r="DP112" i="3" s="1"/>
  <c r="AP112" i="3"/>
  <c r="CY112" i="3" s="1"/>
  <c r="T112" i="3"/>
  <c r="CC112" i="3" s="1"/>
  <c r="AR112" i="3"/>
  <c r="DA112" i="3" s="1"/>
  <c r="I112" i="3"/>
  <c r="BR112" i="3" s="1"/>
  <c r="AN112" i="3"/>
  <c r="CW112" i="3" s="1"/>
  <c r="H112" i="3"/>
  <c r="BQ112" i="3" s="1"/>
  <c r="AM112" i="3"/>
  <c r="CV112" i="3" s="1"/>
  <c r="G112" i="3"/>
  <c r="BP112" i="3" s="1"/>
  <c r="AD112" i="3"/>
  <c r="CM112" i="3" s="1"/>
  <c r="F112" i="3"/>
  <c r="BO112" i="3" s="1"/>
  <c r="BF112" i="3"/>
  <c r="DO112" i="3" s="1"/>
  <c r="AC112" i="3"/>
  <c r="CL112" i="3" s="1"/>
  <c r="E112" i="3"/>
  <c r="BN112" i="3" s="1"/>
  <c r="BE112" i="3"/>
  <c r="DN112" i="3" s="1"/>
  <c r="AB112" i="3"/>
  <c r="CK112" i="3" s="1"/>
  <c r="BB112" i="3"/>
  <c r="DK112" i="3" s="1"/>
  <c r="AA112" i="3"/>
  <c r="CJ112" i="3" s="1"/>
  <c r="AU112" i="3"/>
  <c r="DD112" i="3" s="1"/>
  <c r="V112" i="3"/>
  <c r="CE112" i="3" s="1"/>
  <c r="AT112" i="3"/>
  <c r="DC112" i="3" s="1"/>
  <c r="S112" i="3"/>
  <c r="CB112" i="3" s="1"/>
  <c r="AS112" i="3"/>
  <c r="DB112" i="3" s="1"/>
  <c r="R112" i="3"/>
  <c r="CA112" i="3" s="1"/>
  <c r="BG162" i="3"/>
  <c r="DP162" i="3" s="1"/>
  <c r="AW162" i="3"/>
  <c r="DF162" i="3" s="1"/>
  <c r="AM162" i="3"/>
  <c r="CV162" i="3" s="1"/>
  <c r="AC162" i="3"/>
  <c r="CL162" i="3" s="1"/>
  <c r="S162" i="3"/>
  <c r="CB162" i="3" s="1"/>
  <c r="I162" i="3"/>
  <c r="BR162" i="3" s="1"/>
  <c r="BF162" i="3"/>
  <c r="DO162" i="3" s="1"/>
  <c r="AV162" i="3"/>
  <c r="DE162" i="3" s="1"/>
  <c r="AL162" i="3"/>
  <c r="CU162" i="3" s="1"/>
  <c r="AB162" i="3"/>
  <c r="CK162" i="3" s="1"/>
  <c r="R162" i="3"/>
  <c r="CA162" i="3" s="1"/>
  <c r="H162" i="3"/>
  <c r="BQ162" i="3" s="1"/>
  <c r="BI162" i="3"/>
  <c r="DR162" i="3" s="1"/>
  <c r="AY162" i="3"/>
  <c r="DH162" i="3" s="1"/>
  <c r="AO162" i="3"/>
  <c r="CX162" i="3" s="1"/>
  <c r="AE162" i="3"/>
  <c r="CN162" i="3" s="1"/>
  <c r="U162" i="3"/>
  <c r="CD162" i="3" s="1"/>
  <c r="K162" i="3"/>
  <c r="BT162" i="3" s="1"/>
  <c r="BB162" i="3"/>
  <c r="DK162" i="3" s="1"/>
  <c r="AN162" i="3"/>
  <c r="CW162" i="3" s="1"/>
  <c r="Y162" i="3"/>
  <c r="CH162" i="3" s="1"/>
  <c r="L162" i="3"/>
  <c r="BU162" i="3" s="1"/>
  <c r="BA162" i="3"/>
  <c r="DJ162" i="3" s="1"/>
  <c r="AK162" i="3"/>
  <c r="CT162" i="3" s="1"/>
  <c r="X162" i="3"/>
  <c r="CG162" i="3" s="1"/>
  <c r="J162" i="3"/>
  <c r="BS162" i="3" s="1"/>
  <c r="AZ162" i="3"/>
  <c r="DI162" i="3" s="1"/>
  <c r="AJ162" i="3"/>
  <c r="CS162" i="3" s="1"/>
  <c r="W162" i="3"/>
  <c r="CF162" i="3" s="1"/>
  <c r="G162" i="3"/>
  <c r="BP162" i="3" s="1"/>
  <c r="BD162" i="3"/>
  <c r="DM162" i="3" s="1"/>
  <c r="AQ162" i="3"/>
  <c r="CZ162" i="3" s="1"/>
  <c r="AA162" i="3"/>
  <c r="CJ162" i="3" s="1"/>
  <c r="N162" i="3"/>
  <c r="BW162" i="3" s="1"/>
  <c r="BC162" i="3"/>
  <c r="DL162" i="3" s="1"/>
  <c r="AP162" i="3"/>
  <c r="CY162" i="3" s="1"/>
  <c r="Z162" i="3"/>
  <c r="CI162" i="3" s="1"/>
  <c r="M162" i="3"/>
  <c r="BV162" i="3" s="1"/>
  <c r="AX162" i="3"/>
  <c r="DG162" i="3" s="1"/>
  <c r="V162" i="3"/>
  <c r="CE162" i="3" s="1"/>
  <c r="AU162" i="3"/>
  <c r="DD162" i="3" s="1"/>
  <c r="T162" i="3"/>
  <c r="CC162" i="3" s="1"/>
  <c r="AT162" i="3"/>
  <c r="DC162" i="3" s="1"/>
  <c r="Q162" i="3"/>
  <c r="BZ162" i="3" s="1"/>
  <c r="AS162" i="3"/>
  <c r="DB162" i="3" s="1"/>
  <c r="P162" i="3"/>
  <c r="BY162" i="3" s="1"/>
  <c r="AR162" i="3"/>
  <c r="DA162" i="3" s="1"/>
  <c r="O162" i="3"/>
  <c r="BX162" i="3" s="1"/>
  <c r="BL162" i="3"/>
  <c r="DU162" i="3" s="1"/>
  <c r="AI162" i="3"/>
  <c r="CR162" i="3" s="1"/>
  <c r="F162" i="3"/>
  <c r="BO162" i="3" s="1"/>
  <c r="BK162" i="3"/>
  <c r="DT162" i="3" s="1"/>
  <c r="AH162" i="3"/>
  <c r="CQ162" i="3" s="1"/>
  <c r="E162" i="3"/>
  <c r="BN162" i="3" s="1"/>
  <c r="BH162" i="3"/>
  <c r="DQ162" i="3" s="1"/>
  <c r="AF162" i="3"/>
  <c r="CO162" i="3" s="1"/>
  <c r="BE162" i="3"/>
  <c r="DN162" i="3" s="1"/>
  <c r="AD162" i="3"/>
  <c r="CM162" i="3" s="1"/>
  <c r="BJ162" i="3"/>
  <c r="DS162" i="3" s="1"/>
  <c r="AG162" i="3"/>
  <c r="CP162" i="3" s="1"/>
  <c r="J158" i="2"/>
  <c r="K158" i="2" s="1"/>
  <c r="L158" i="2" s="1"/>
  <c r="BJ199" i="3"/>
  <c r="DS199" i="3" s="1"/>
  <c r="AZ199" i="3"/>
  <c r="DI199" i="3" s="1"/>
  <c r="AP199" i="3"/>
  <c r="CY199" i="3" s="1"/>
  <c r="AF199" i="3"/>
  <c r="CO199" i="3" s="1"/>
  <c r="V199" i="3"/>
  <c r="CE199" i="3" s="1"/>
  <c r="L199" i="3"/>
  <c r="BU199" i="3" s="1"/>
  <c r="BK199" i="3"/>
  <c r="DT199" i="3" s="1"/>
  <c r="AY199" i="3"/>
  <c r="DH199" i="3" s="1"/>
  <c r="AN199" i="3"/>
  <c r="CW199" i="3" s="1"/>
  <c r="AC199" i="3"/>
  <c r="CL199" i="3" s="1"/>
  <c r="R199" i="3"/>
  <c r="CA199" i="3" s="1"/>
  <c r="G199" i="3"/>
  <c r="BP199" i="3" s="1"/>
  <c r="BI199" i="3"/>
  <c r="DR199" i="3" s="1"/>
  <c r="AX199" i="3"/>
  <c r="DG199" i="3" s="1"/>
  <c r="AM199" i="3"/>
  <c r="CV199" i="3" s="1"/>
  <c r="AB199" i="3"/>
  <c r="CK199" i="3" s="1"/>
  <c r="Q199" i="3"/>
  <c r="BZ199" i="3" s="1"/>
  <c r="F199" i="3"/>
  <c r="BO199" i="3" s="1"/>
  <c r="BB199" i="3"/>
  <c r="DK199" i="3" s="1"/>
  <c r="AQ199" i="3"/>
  <c r="CZ199" i="3" s="1"/>
  <c r="AE199" i="3"/>
  <c r="CN199" i="3" s="1"/>
  <c r="T199" i="3"/>
  <c r="CC199" i="3" s="1"/>
  <c r="I199" i="3"/>
  <c r="BR199" i="3" s="1"/>
  <c r="AV199" i="3"/>
  <c r="DE199" i="3" s="1"/>
  <c r="AH199" i="3"/>
  <c r="CQ199" i="3" s="1"/>
  <c r="P199" i="3"/>
  <c r="BY199" i="3" s="1"/>
  <c r="BL199" i="3"/>
  <c r="DU199" i="3" s="1"/>
  <c r="AU199" i="3"/>
  <c r="DD199" i="3" s="1"/>
  <c r="AG199" i="3"/>
  <c r="CP199" i="3" s="1"/>
  <c r="O199" i="3"/>
  <c r="BX199" i="3" s="1"/>
  <c r="BH199" i="3"/>
  <c r="DQ199" i="3" s="1"/>
  <c r="AT199" i="3"/>
  <c r="DC199" i="3" s="1"/>
  <c r="AD199" i="3"/>
  <c r="CM199" i="3" s="1"/>
  <c r="N199" i="3"/>
  <c r="BW199" i="3" s="1"/>
  <c r="BG199" i="3"/>
  <c r="DP199" i="3" s="1"/>
  <c r="AS199" i="3"/>
  <c r="DB199" i="3" s="1"/>
  <c r="AA199" i="3"/>
  <c r="CJ199" i="3" s="1"/>
  <c r="M199" i="3"/>
  <c r="BV199" i="3" s="1"/>
  <c r="BF199" i="3"/>
  <c r="DO199" i="3" s="1"/>
  <c r="AR199" i="3"/>
  <c r="DA199" i="3" s="1"/>
  <c r="Z199" i="3"/>
  <c r="CI199" i="3" s="1"/>
  <c r="K199" i="3"/>
  <c r="BT199" i="3" s="1"/>
  <c r="BE199" i="3"/>
  <c r="DN199" i="3" s="1"/>
  <c r="AO199" i="3"/>
  <c r="CX199" i="3" s="1"/>
  <c r="Y199" i="3"/>
  <c r="CH199" i="3" s="1"/>
  <c r="J199" i="3"/>
  <c r="BS199" i="3" s="1"/>
  <c r="AW199" i="3"/>
  <c r="DF199" i="3" s="1"/>
  <c r="AI199" i="3"/>
  <c r="CR199" i="3" s="1"/>
  <c r="S199" i="3"/>
  <c r="CB199" i="3" s="1"/>
  <c r="AL199" i="3"/>
  <c r="CU199" i="3" s="1"/>
  <c r="AK199" i="3"/>
  <c r="CT199" i="3" s="1"/>
  <c r="AJ199" i="3"/>
  <c r="CS199" i="3" s="1"/>
  <c r="X199" i="3"/>
  <c r="CG199" i="3" s="1"/>
  <c r="W199" i="3"/>
  <c r="CF199" i="3" s="1"/>
  <c r="U199" i="3"/>
  <c r="CD199" i="3" s="1"/>
  <c r="H199" i="3"/>
  <c r="BQ199" i="3" s="1"/>
  <c r="BC199" i="3"/>
  <c r="DL199" i="3" s="1"/>
  <c r="BA199" i="3"/>
  <c r="DJ199" i="3" s="1"/>
  <c r="E199" i="3"/>
  <c r="BN199" i="3" s="1"/>
  <c r="BD199" i="3"/>
  <c r="DM199" i="3" s="1"/>
  <c r="J213" i="2"/>
  <c r="K213" i="2" s="1"/>
  <c r="L213" i="2" s="1"/>
  <c r="N327" i="2"/>
  <c r="O327" i="2"/>
  <c r="J75" i="2"/>
  <c r="K75" i="2" s="1"/>
  <c r="L75" i="2" s="1"/>
  <c r="BC106" i="3"/>
  <c r="DL106" i="3" s="1"/>
  <c r="AS106" i="3"/>
  <c r="DB106" i="3" s="1"/>
  <c r="AI106" i="3"/>
  <c r="CR106" i="3" s="1"/>
  <c r="Y106" i="3"/>
  <c r="CH106" i="3" s="1"/>
  <c r="O106" i="3"/>
  <c r="BX106" i="3" s="1"/>
  <c r="E106" i="3"/>
  <c r="BN106" i="3" s="1"/>
  <c r="BB106" i="3"/>
  <c r="DK106" i="3" s="1"/>
  <c r="AQ106" i="3"/>
  <c r="CZ106" i="3" s="1"/>
  <c r="AF106" i="3"/>
  <c r="CO106" i="3" s="1"/>
  <c r="U106" i="3"/>
  <c r="CD106" i="3" s="1"/>
  <c r="J106" i="3"/>
  <c r="BS106" i="3" s="1"/>
  <c r="BE106" i="3"/>
  <c r="DN106" i="3" s="1"/>
  <c r="AT106" i="3"/>
  <c r="DC106" i="3" s="1"/>
  <c r="AH106" i="3"/>
  <c r="CQ106" i="3" s="1"/>
  <c r="W106" i="3"/>
  <c r="CF106" i="3" s="1"/>
  <c r="L106" i="3"/>
  <c r="BU106" i="3" s="1"/>
  <c r="BD106" i="3"/>
  <c r="DM106" i="3" s="1"/>
  <c r="AR106" i="3"/>
  <c r="DA106" i="3" s="1"/>
  <c r="AG106" i="3"/>
  <c r="CP106" i="3" s="1"/>
  <c r="V106" i="3"/>
  <c r="CE106" i="3" s="1"/>
  <c r="K106" i="3"/>
  <c r="BT106" i="3" s="1"/>
  <c r="BJ106" i="3"/>
  <c r="DS106" i="3" s="1"/>
  <c r="AV106" i="3"/>
  <c r="DE106" i="3" s="1"/>
  <c r="AD106" i="3"/>
  <c r="CM106" i="3" s="1"/>
  <c r="P106" i="3"/>
  <c r="BY106" i="3" s="1"/>
  <c r="BI106" i="3"/>
  <c r="DR106" i="3" s="1"/>
  <c r="AU106" i="3"/>
  <c r="DD106" i="3" s="1"/>
  <c r="AC106" i="3"/>
  <c r="CL106" i="3" s="1"/>
  <c r="N106" i="3"/>
  <c r="BW106" i="3" s="1"/>
  <c r="AY106" i="3"/>
  <c r="DH106" i="3" s="1"/>
  <c r="AK106" i="3"/>
  <c r="CT106" i="3" s="1"/>
  <c r="S106" i="3"/>
  <c r="CB106" i="3" s="1"/>
  <c r="BG106" i="3"/>
  <c r="DP106" i="3" s="1"/>
  <c r="AL106" i="3"/>
  <c r="CU106" i="3" s="1"/>
  <c r="M106" i="3"/>
  <c r="BV106" i="3" s="1"/>
  <c r="BF106" i="3"/>
  <c r="DO106" i="3" s="1"/>
  <c r="AJ106" i="3"/>
  <c r="CS106" i="3" s="1"/>
  <c r="I106" i="3"/>
  <c r="BR106" i="3" s="1"/>
  <c r="BA106" i="3"/>
  <c r="DJ106" i="3" s="1"/>
  <c r="AE106" i="3"/>
  <c r="CN106" i="3" s="1"/>
  <c r="H106" i="3"/>
  <c r="BQ106" i="3" s="1"/>
  <c r="AZ106" i="3"/>
  <c r="DI106" i="3" s="1"/>
  <c r="AB106" i="3"/>
  <c r="CK106" i="3" s="1"/>
  <c r="G106" i="3"/>
  <c r="BP106" i="3" s="1"/>
  <c r="AX106" i="3"/>
  <c r="DG106" i="3" s="1"/>
  <c r="AA106" i="3"/>
  <c r="CJ106" i="3" s="1"/>
  <c r="F106" i="3"/>
  <c r="BO106" i="3" s="1"/>
  <c r="AW106" i="3"/>
  <c r="DF106" i="3" s="1"/>
  <c r="Z106" i="3"/>
  <c r="CI106" i="3" s="1"/>
  <c r="AP106" i="3"/>
  <c r="CY106" i="3" s="1"/>
  <c r="X106" i="3"/>
  <c r="CG106" i="3" s="1"/>
  <c r="BL106" i="3"/>
  <c r="DU106" i="3" s="1"/>
  <c r="AO106" i="3"/>
  <c r="CX106" i="3" s="1"/>
  <c r="T106" i="3"/>
  <c r="CC106" i="3" s="1"/>
  <c r="BK106" i="3"/>
  <c r="DT106" i="3" s="1"/>
  <c r="AN106" i="3"/>
  <c r="CW106" i="3" s="1"/>
  <c r="R106" i="3"/>
  <c r="CA106" i="3" s="1"/>
  <c r="BH106" i="3"/>
  <c r="DQ106" i="3" s="1"/>
  <c r="AM106" i="3"/>
  <c r="CV106" i="3" s="1"/>
  <c r="Q106" i="3"/>
  <c r="BZ106" i="3" s="1"/>
  <c r="J175" i="2"/>
  <c r="K175" i="2" s="1"/>
  <c r="L175" i="2" s="1"/>
  <c r="N117" i="2"/>
  <c r="O117" i="2"/>
  <c r="J142" i="2"/>
  <c r="K142" i="2" s="1"/>
  <c r="L142" i="2" s="1"/>
  <c r="N157" i="2"/>
  <c r="O157" i="2"/>
  <c r="K195" i="2"/>
  <c r="L195" i="2" s="1"/>
  <c r="BI325" i="3"/>
  <c r="DR325" i="3" s="1"/>
  <c r="AY325" i="3"/>
  <c r="DH325" i="3" s="1"/>
  <c r="AO325" i="3"/>
  <c r="CX325" i="3" s="1"/>
  <c r="AE325" i="3"/>
  <c r="CN325" i="3" s="1"/>
  <c r="U325" i="3"/>
  <c r="CD325" i="3" s="1"/>
  <c r="K325" i="3"/>
  <c r="BT325" i="3" s="1"/>
  <c r="BH325" i="3"/>
  <c r="DQ325" i="3" s="1"/>
  <c r="AX325" i="3"/>
  <c r="DG325" i="3" s="1"/>
  <c r="AN325" i="3"/>
  <c r="CW325" i="3" s="1"/>
  <c r="AD325" i="3"/>
  <c r="CM325" i="3" s="1"/>
  <c r="T325" i="3"/>
  <c r="CC325" i="3" s="1"/>
  <c r="J325" i="3"/>
  <c r="BS325" i="3" s="1"/>
  <c r="BK325" i="3"/>
  <c r="DT325" i="3" s="1"/>
  <c r="BA325" i="3"/>
  <c r="DJ325" i="3" s="1"/>
  <c r="AQ325" i="3"/>
  <c r="CZ325" i="3" s="1"/>
  <c r="AG325" i="3"/>
  <c r="CP325" i="3" s="1"/>
  <c r="W325" i="3"/>
  <c r="CF325" i="3" s="1"/>
  <c r="M325" i="3"/>
  <c r="BV325" i="3" s="1"/>
  <c r="BL325" i="3"/>
  <c r="DU325" i="3" s="1"/>
  <c r="AV325" i="3"/>
  <c r="DE325" i="3" s="1"/>
  <c r="AI325" i="3"/>
  <c r="CR325" i="3" s="1"/>
  <c r="S325" i="3"/>
  <c r="CB325" i="3" s="1"/>
  <c r="F325" i="3"/>
  <c r="BO325" i="3" s="1"/>
  <c r="BJ325" i="3"/>
  <c r="DS325" i="3" s="1"/>
  <c r="AU325" i="3"/>
  <c r="DD325" i="3" s="1"/>
  <c r="AH325" i="3"/>
  <c r="CQ325" i="3" s="1"/>
  <c r="R325" i="3"/>
  <c r="CA325" i="3" s="1"/>
  <c r="E325" i="3"/>
  <c r="BN325" i="3" s="1"/>
  <c r="AZ325" i="3"/>
  <c r="DI325" i="3" s="1"/>
  <c r="AK325" i="3"/>
  <c r="CT325" i="3" s="1"/>
  <c r="X325" i="3"/>
  <c r="CG325" i="3" s="1"/>
  <c r="H325" i="3"/>
  <c r="BQ325" i="3" s="1"/>
  <c r="AR325" i="3"/>
  <c r="DA325" i="3" s="1"/>
  <c r="Y325" i="3"/>
  <c r="CH325" i="3" s="1"/>
  <c r="BG325" i="3"/>
  <c r="DP325" i="3" s="1"/>
  <c r="AP325" i="3"/>
  <c r="CY325" i="3" s="1"/>
  <c r="V325" i="3"/>
  <c r="CE325" i="3" s="1"/>
  <c r="AT325" i="3"/>
  <c r="DC325" i="3" s="1"/>
  <c r="AA325" i="3"/>
  <c r="CJ325" i="3" s="1"/>
  <c r="G325" i="3"/>
  <c r="BP325" i="3" s="1"/>
  <c r="AJ325" i="3"/>
  <c r="CS325" i="3" s="1"/>
  <c r="I325" i="3"/>
  <c r="BR325" i="3" s="1"/>
  <c r="BF325" i="3"/>
  <c r="DO325" i="3" s="1"/>
  <c r="AF325" i="3"/>
  <c r="CO325" i="3" s="1"/>
  <c r="BE325" i="3"/>
  <c r="DN325" i="3" s="1"/>
  <c r="AC325" i="3"/>
  <c r="CL325" i="3" s="1"/>
  <c r="BD325" i="3"/>
  <c r="DM325" i="3" s="1"/>
  <c r="AB325" i="3"/>
  <c r="CK325" i="3" s="1"/>
  <c r="BC325" i="3"/>
  <c r="DL325" i="3" s="1"/>
  <c r="Z325" i="3"/>
  <c r="CI325" i="3" s="1"/>
  <c r="AS325" i="3"/>
  <c r="DB325" i="3" s="1"/>
  <c r="O325" i="3"/>
  <c r="BX325" i="3" s="1"/>
  <c r="N325" i="3"/>
  <c r="BW325" i="3" s="1"/>
  <c r="L325" i="3"/>
  <c r="BU325" i="3" s="1"/>
  <c r="BB325" i="3"/>
  <c r="DK325" i="3" s="1"/>
  <c r="AW325" i="3"/>
  <c r="DF325" i="3" s="1"/>
  <c r="AM325" i="3"/>
  <c r="CV325" i="3" s="1"/>
  <c r="AL325" i="3"/>
  <c r="CU325" i="3" s="1"/>
  <c r="Q325" i="3"/>
  <c r="BZ325" i="3" s="1"/>
  <c r="P325" i="3"/>
  <c r="BY325" i="3" s="1"/>
  <c r="BL259" i="3"/>
  <c r="DU259" i="3" s="1"/>
  <c r="BB259" i="3"/>
  <c r="DK259" i="3" s="1"/>
  <c r="AR259" i="3"/>
  <c r="DA259" i="3" s="1"/>
  <c r="AH259" i="3"/>
  <c r="CQ259" i="3" s="1"/>
  <c r="X259" i="3"/>
  <c r="CG259" i="3" s="1"/>
  <c r="N259" i="3"/>
  <c r="BW259" i="3" s="1"/>
  <c r="BK259" i="3"/>
  <c r="DT259" i="3" s="1"/>
  <c r="BA259" i="3"/>
  <c r="DJ259" i="3" s="1"/>
  <c r="AQ259" i="3"/>
  <c r="CZ259" i="3" s="1"/>
  <c r="AG259" i="3"/>
  <c r="CP259" i="3" s="1"/>
  <c r="W259" i="3"/>
  <c r="CF259" i="3" s="1"/>
  <c r="M259" i="3"/>
  <c r="BV259" i="3" s="1"/>
  <c r="BD259" i="3"/>
  <c r="DM259" i="3" s="1"/>
  <c r="AT259" i="3"/>
  <c r="DC259" i="3" s="1"/>
  <c r="AJ259" i="3"/>
  <c r="CS259" i="3" s="1"/>
  <c r="Z259" i="3"/>
  <c r="CI259" i="3" s="1"/>
  <c r="P259" i="3"/>
  <c r="BY259" i="3" s="1"/>
  <c r="F259" i="3"/>
  <c r="BO259" i="3" s="1"/>
  <c r="AX259" i="3"/>
  <c r="DG259" i="3" s="1"/>
  <c r="AK259" i="3"/>
  <c r="CT259" i="3" s="1"/>
  <c r="U259" i="3"/>
  <c r="CD259" i="3" s="1"/>
  <c r="H259" i="3"/>
  <c r="BQ259" i="3" s="1"/>
  <c r="BJ259" i="3"/>
  <c r="DS259" i="3" s="1"/>
  <c r="AW259" i="3"/>
  <c r="DF259" i="3" s="1"/>
  <c r="AI259" i="3"/>
  <c r="CR259" i="3" s="1"/>
  <c r="T259" i="3"/>
  <c r="CC259" i="3" s="1"/>
  <c r="G259" i="3"/>
  <c r="BP259" i="3" s="1"/>
  <c r="BI259" i="3"/>
  <c r="DR259" i="3" s="1"/>
  <c r="AV259" i="3"/>
  <c r="DE259" i="3" s="1"/>
  <c r="AF259" i="3"/>
  <c r="CO259" i="3" s="1"/>
  <c r="S259" i="3"/>
  <c r="CB259" i="3" s="1"/>
  <c r="E259" i="3"/>
  <c r="BN259" i="3" s="1"/>
  <c r="AY259" i="3"/>
  <c r="DH259" i="3" s="1"/>
  <c r="AL259" i="3"/>
  <c r="CU259" i="3" s="1"/>
  <c r="V259" i="3"/>
  <c r="CE259" i="3" s="1"/>
  <c r="I259" i="3"/>
  <c r="BR259" i="3" s="1"/>
  <c r="BG259" i="3"/>
  <c r="DP259" i="3" s="1"/>
  <c r="AM259" i="3"/>
  <c r="CV259" i="3" s="1"/>
  <c r="L259" i="3"/>
  <c r="BU259" i="3" s="1"/>
  <c r="BF259" i="3"/>
  <c r="DO259" i="3" s="1"/>
  <c r="AE259" i="3"/>
  <c r="CN259" i="3" s="1"/>
  <c r="K259" i="3"/>
  <c r="BT259" i="3" s="1"/>
  <c r="BE259" i="3"/>
  <c r="DN259" i="3" s="1"/>
  <c r="AD259" i="3"/>
  <c r="CM259" i="3" s="1"/>
  <c r="J259" i="3"/>
  <c r="BS259" i="3" s="1"/>
  <c r="BC259" i="3"/>
  <c r="DL259" i="3" s="1"/>
  <c r="AC259" i="3"/>
  <c r="CL259" i="3" s="1"/>
  <c r="AZ259" i="3"/>
  <c r="DI259" i="3" s="1"/>
  <c r="AB259" i="3"/>
  <c r="CK259" i="3" s="1"/>
  <c r="AU259" i="3"/>
  <c r="DD259" i="3" s="1"/>
  <c r="AA259" i="3"/>
  <c r="CJ259" i="3" s="1"/>
  <c r="AO259" i="3"/>
  <c r="CX259" i="3" s="1"/>
  <c r="Q259" i="3"/>
  <c r="BZ259" i="3" s="1"/>
  <c r="AP259" i="3"/>
  <c r="CY259" i="3" s="1"/>
  <c r="AN259" i="3"/>
  <c r="CW259" i="3" s="1"/>
  <c r="Y259" i="3"/>
  <c r="CH259" i="3" s="1"/>
  <c r="R259" i="3"/>
  <c r="CA259" i="3" s="1"/>
  <c r="BH259" i="3"/>
  <c r="DQ259" i="3" s="1"/>
  <c r="AS259" i="3"/>
  <c r="DB259" i="3" s="1"/>
  <c r="O259" i="3"/>
  <c r="BX259" i="3" s="1"/>
  <c r="N281" i="2"/>
  <c r="O281" i="2"/>
  <c r="N301" i="2"/>
  <c r="O301" i="2"/>
  <c r="N321" i="2"/>
  <c r="O321" i="2"/>
  <c r="N341" i="2"/>
  <c r="O341" i="2"/>
  <c r="N233" i="2"/>
  <c r="O233" i="2"/>
  <c r="N253" i="2"/>
  <c r="O253" i="2"/>
  <c r="N273" i="2"/>
  <c r="O273" i="2"/>
  <c r="N293" i="2"/>
  <c r="O293" i="2"/>
  <c r="N313" i="2"/>
  <c r="O313" i="2"/>
  <c r="N333" i="2"/>
  <c r="O333" i="2"/>
  <c r="N353" i="2"/>
  <c r="O353" i="2"/>
  <c r="BC356" i="3"/>
  <c r="DL356" i="3" s="1"/>
  <c r="AS356" i="3"/>
  <c r="DB356" i="3" s="1"/>
  <c r="AI356" i="3"/>
  <c r="CR356" i="3" s="1"/>
  <c r="Y356" i="3"/>
  <c r="CH356" i="3" s="1"/>
  <c r="O356" i="3"/>
  <c r="BX356" i="3" s="1"/>
  <c r="E356" i="3"/>
  <c r="BN356" i="3" s="1"/>
  <c r="BF356" i="3"/>
  <c r="DO356" i="3" s="1"/>
  <c r="AU356" i="3"/>
  <c r="DD356" i="3" s="1"/>
  <c r="AJ356" i="3"/>
  <c r="CS356" i="3" s="1"/>
  <c r="X356" i="3"/>
  <c r="CG356" i="3" s="1"/>
  <c r="M356" i="3"/>
  <c r="BV356" i="3" s="1"/>
  <c r="BE356" i="3"/>
  <c r="DN356" i="3" s="1"/>
  <c r="AT356" i="3"/>
  <c r="DC356" i="3" s="1"/>
  <c r="AH356" i="3"/>
  <c r="CQ356" i="3" s="1"/>
  <c r="W356" i="3"/>
  <c r="CF356" i="3" s="1"/>
  <c r="L356" i="3"/>
  <c r="BU356" i="3" s="1"/>
  <c r="BH356" i="3"/>
  <c r="DQ356" i="3" s="1"/>
  <c r="AR356" i="3"/>
  <c r="DA356" i="3" s="1"/>
  <c r="AE356" i="3"/>
  <c r="CN356" i="3" s="1"/>
  <c r="R356" i="3"/>
  <c r="CA356" i="3" s="1"/>
  <c r="BG356" i="3"/>
  <c r="DP356" i="3" s="1"/>
  <c r="AQ356" i="3"/>
  <c r="CZ356" i="3" s="1"/>
  <c r="AD356" i="3"/>
  <c r="CM356" i="3" s="1"/>
  <c r="Q356" i="3"/>
  <c r="BZ356" i="3" s="1"/>
  <c r="BJ356" i="3"/>
  <c r="DS356" i="3" s="1"/>
  <c r="AW356" i="3"/>
  <c r="DF356" i="3" s="1"/>
  <c r="AG356" i="3"/>
  <c r="CP356" i="3" s="1"/>
  <c r="T356" i="3"/>
  <c r="CC356" i="3" s="1"/>
  <c r="G356" i="3"/>
  <c r="BP356" i="3" s="1"/>
  <c r="BD356" i="3"/>
  <c r="DM356" i="3" s="1"/>
  <c r="AM356" i="3"/>
  <c r="CV356" i="3" s="1"/>
  <c r="S356" i="3"/>
  <c r="CB356" i="3" s="1"/>
  <c r="BB356" i="3"/>
  <c r="DK356" i="3" s="1"/>
  <c r="AL356" i="3"/>
  <c r="CU356" i="3" s="1"/>
  <c r="P356" i="3"/>
  <c r="BY356" i="3" s="1"/>
  <c r="BA356" i="3"/>
  <c r="DJ356" i="3" s="1"/>
  <c r="AK356" i="3"/>
  <c r="CT356" i="3" s="1"/>
  <c r="N356" i="3"/>
  <c r="BW356" i="3" s="1"/>
  <c r="AZ356" i="3"/>
  <c r="DI356" i="3" s="1"/>
  <c r="AF356" i="3"/>
  <c r="CO356" i="3" s="1"/>
  <c r="K356" i="3"/>
  <c r="BT356" i="3" s="1"/>
  <c r="BK356" i="3"/>
  <c r="DT356" i="3" s="1"/>
  <c r="AO356" i="3"/>
  <c r="CX356" i="3" s="1"/>
  <c r="V356" i="3"/>
  <c r="CE356" i="3" s="1"/>
  <c r="AY356" i="3"/>
  <c r="DH356" i="3" s="1"/>
  <c r="J356" i="3"/>
  <c r="BS356" i="3" s="1"/>
  <c r="AX356" i="3"/>
  <c r="DG356" i="3" s="1"/>
  <c r="I356" i="3"/>
  <c r="BR356" i="3" s="1"/>
  <c r="BL356" i="3"/>
  <c r="DU356" i="3" s="1"/>
  <c r="Z356" i="3"/>
  <c r="CI356" i="3" s="1"/>
  <c r="BI356" i="3"/>
  <c r="DR356" i="3" s="1"/>
  <c r="AV356" i="3"/>
  <c r="DE356" i="3" s="1"/>
  <c r="AP356" i="3"/>
  <c r="CY356" i="3" s="1"/>
  <c r="U356" i="3"/>
  <c r="CD356" i="3" s="1"/>
  <c r="H356" i="3"/>
  <c r="BQ356" i="3" s="1"/>
  <c r="AA356" i="3"/>
  <c r="CJ356" i="3" s="1"/>
  <c r="F356" i="3"/>
  <c r="BO356" i="3" s="1"/>
  <c r="AC356" i="3"/>
  <c r="CL356" i="3" s="1"/>
  <c r="AN356" i="3"/>
  <c r="CW356" i="3" s="1"/>
  <c r="AB356" i="3"/>
  <c r="CK356" i="3" s="1"/>
  <c r="BK223" i="3"/>
  <c r="DT223" i="3" s="1"/>
  <c r="BA223" i="3"/>
  <c r="DJ223" i="3" s="1"/>
  <c r="AQ223" i="3"/>
  <c r="CZ223" i="3" s="1"/>
  <c r="AG223" i="3"/>
  <c r="CP223" i="3" s="1"/>
  <c r="W223" i="3"/>
  <c r="CF223" i="3" s="1"/>
  <c r="M223" i="3"/>
  <c r="BV223" i="3" s="1"/>
  <c r="BJ223" i="3"/>
  <c r="DS223" i="3" s="1"/>
  <c r="AZ223" i="3"/>
  <c r="DI223" i="3" s="1"/>
  <c r="AP223" i="3"/>
  <c r="CY223" i="3" s="1"/>
  <c r="AF223" i="3"/>
  <c r="CO223" i="3" s="1"/>
  <c r="V223" i="3"/>
  <c r="CE223" i="3" s="1"/>
  <c r="L223" i="3"/>
  <c r="BU223" i="3" s="1"/>
  <c r="BH223" i="3"/>
  <c r="DQ223" i="3" s="1"/>
  <c r="AV223" i="3"/>
  <c r="DE223" i="3" s="1"/>
  <c r="AJ223" i="3"/>
  <c r="CS223" i="3" s="1"/>
  <c r="X223" i="3"/>
  <c r="CG223" i="3" s="1"/>
  <c r="J223" i="3"/>
  <c r="BS223" i="3" s="1"/>
  <c r="BG223" i="3"/>
  <c r="DP223" i="3" s="1"/>
  <c r="AU223" i="3"/>
  <c r="DD223" i="3" s="1"/>
  <c r="AI223" i="3"/>
  <c r="CR223" i="3" s="1"/>
  <c r="U223" i="3"/>
  <c r="CD223" i="3" s="1"/>
  <c r="I223" i="3"/>
  <c r="BR223" i="3" s="1"/>
  <c r="BL223" i="3"/>
  <c r="DU223" i="3" s="1"/>
  <c r="AX223" i="3"/>
  <c r="DG223" i="3" s="1"/>
  <c r="AL223" i="3"/>
  <c r="CU223" i="3" s="1"/>
  <c r="Z223" i="3"/>
  <c r="CI223" i="3" s="1"/>
  <c r="N223" i="3"/>
  <c r="BW223" i="3" s="1"/>
  <c r="BD223" i="3"/>
  <c r="DM223" i="3" s="1"/>
  <c r="AM223" i="3"/>
  <c r="CV223" i="3" s="1"/>
  <c r="S223" i="3"/>
  <c r="CB223" i="3" s="1"/>
  <c r="BB223" i="3"/>
  <c r="DK223" i="3" s="1"/>
  <c r="AE223" i="3"/>
  <c r="CN223" i="3" s="1"/>
  <c r="O223" i="3"/>
  <c r="BX223" i="3" s="1"/>
  <c r="AY223" i="3"/>
  <c r="DH223" i="3" s="1"/>
  <c r="AD223" i="3"/>
  <c r="CM223" i="3" s="1"/>
  <c r="K223" i="3"/>
  <c r="BT223" i="3" s="1"/>
  <c r="AW223" i="3"/>
  <c r="DF223" i="3" s="1"/>
  <c r="AC223" i="3"/>
  <c r="CL223" i="3" s="1"/>
  <c r="H223" i="3"/>
  <c r="BQ223" i="3" s="1"/>
  <c r="AT223" i="3"/>
  <c r="DC223" i="3" s="1"/>
  <c r="AB223" i="3"/>
  <c r="CK223" i="3" s="1"/>
  <c r="G223" i="3"/>
  <c r="BP223" i="3" s="1"/>
  <c r="AS223" i="3"/>
  <c r="DB223" i="3" s="1"/>
  <c r="AA223" i="3"/>
  <c r="CJ223" i="3" s="1"/>
  <c r="F223" i="3"/>
  <c r="BO223" i="3" s="1"/>
  <c r="AR223" i="3"/>
  <c r="DA223" i="3" s="1"/>
  <c r="Y223" i="3"/>
  <c r="CH223" i="3" s="1"/>
  <c r="E223" i="3"/>
  <c r="BN223" i="3" s="1"/>
  <c r="BI223" i="3"/>
  <c r="DR223" i="3" s="1"/>
  <c r="AO223" i="3"/>
  <c r="CX223" i="3" s="1"/>
  <c r="T223" i="3"/>
  <c r="CC223" i="3" s="1"/>
  <c r="BF223" i="3"/>
  <c r="DO223" i="3" s="1"/>
  <c r="AN223" i="3"/>
  <c r="CW223" i="3" s="1"/>
  <c r="R223" i="3"/>
  <c r="CA223" i="3" s="1"/>
  <c r="BE223" i="3"/>
  <c r="DN223" i="3" s="1"/>
  <c r="AK223" i="3"/>
  <c r="CT223" i="3" s="1"/>
  <c r="Q223" i="3"/>
  <c r="BZ223" i="3" s="1"/>
  <c r="BC223" i="3"/>
  <c r="DL223" i="3" s="1"/>
  <c r="AH223" i="3"/>
  <c r="CQ223" i="3" s="1"/>
  <c r="P223" i="3"/>
  <c r="BY223" i="3" s="1"/>
  <c r="BF243" i="3"/>
  <c r="DO243" i="3" s="1"/>
  <c r="AV243" i="3"/>
  <c r="DE243" i="3" s="1"/>
  <c r="AL243" i="3"/>
  <c r="CU243" i="3" s="1"/>
  <c r="AB243" i="3"/>
  <c r="CK243" i="3" s="1"/>
  <c r="R243" i="3"/>
  <c r="CA243" i="3" s="1"/>
  <c r="H243" i="3"/>
  <c r="BQ243" i="3" s="1"/>
  <c r="BE243" i="3"/>
  <c r="DN243" i="3" s="1"/>
  <c r="AU243" i="3"/>
  <c r="DD243" i="3" s="1"/>
  <c r="AK243" i="3"/>
  <c r="CT243" i="3" s="1"/>
  <c r="AA243" i="3"/>
  <c r="CJ243" i="3" s="1"/>
  <c r="Q243" i="3"/>
  <c r="BZ243" i="3" s="1"/>
  <c r="G243" i="3"/>
  <c r="BP243" i="3" s="1"/>
  <c r="BB243" i="3"/>
  <c r="DK243" i="3" s="1"/>
  <c r="AP243" i="3"/>
  <c r="CY243" i="3" s="1"/>
  <c r="AD243" i="3"/>
  <c r="CM243" i="3" s="1"/>
  <c r="P243" i="3"/>
  <c r="BY243" i="3" s="1"/>
  <c r="BJ243" i="3"/>
  <c r="DS243" i="3" s="1"/>
  <c r="AW243" i="3"/>
  <c r="DF243" i="3" s="1"/>
  <c r="AH243" i="3"/>
  <c r="CQ243" i="3" s="1"/>
  <c r="U243" i="3"/>
  <c r="CD243" i="3" s="1"/>
  <c r="F243" i="3"/>
  <c r="BO243" i="3" s="1"/>
  <c r="BI243" i="3"/>
  <c r="DR243" i="3" s="1"/>
  <c r="AT243" i="3"/>
  <c r="DC243" i="3" s="1"/>
  <c r="AG243" i="3"/>
  <c r="CP243" i="3" s="1"/>
  <c r="T243" i="3"/>
  <c r="CC243" i="3" s="1"/>
  <c r="E243" i="3"/>
  <c r="BN243" i="3" s="1"/>
  <c r="BL243" i="3"/>
  <c r="DU243" i="3" s="1"/>
  <c r="AY243" i="3"/>
  <c r="DH243" i="3" s="1"/>
  <c r="AJ243" i="3"/>
  <c r="CS243" i="3" s="1"/>
  <c r="W243" i="3"/>
  <c r="CF243" i="3" s="1"/>
  <c r="J243" i="3"/>
  <c r="BS243" i="3" s="1"/>
  <c r="AS243" i="3"/>
  <c r="DB243" i="3" s="1"/>
  <c r="Z243" i="3"/>
  <c r="CI243" i="3" s="1"/>
  <c r="I243" i="3"/>
  <c r="BR243" i="3" s="1"/>
  <c r="AR243" i="3"/>
  <c r="DA243" i="3" s="1"/>
  <c r="Y243" i="3"/>
  <c r="CH243" i="3" s="1"/>
  <c r="AZ243" i="3"/>
  <c r="DI243" i="3" s="1"/>
  <c r="AE243" i="3"/>
  <c r="CN243" i="3" s="1"/>
  <c r="L243" i="3"/>
  <c r="BU243" i="3" s="1"/>
  <c r="BA243" i="3"/>
  <c r="DJ243" i="3" s="1"/>
  <c r="V243" i="3"/>
  <c r="CE243" i="3" s="1"/>
  <c r="AX243" i="3"/>
  <c r="DG243" i="3" s="1"/>
  <c r="S243" i="3"/>
  <c r="CB243" i="3" s="1"/>
  <c r="AQ243" i="3"/>
  <c r="CZ243" i="3" s="1"/>
  <c r="O243" i="3"/>
  <c r="BX243" i="3" s="1"/>
  <c r="AM243" i="3"/>
  <c r="CV243" i="3" s="1"/>
  <c r="AI243" i="3"/>
  <c r="CR243" i="3" s="1"/>
  <c r="AF243" i="3"/>
  <c r="CO243" i="3" s="1"/>
  <c r="BK243" i="3"/>
  <c r="DT243" i="3" s="1"/>
  <c r="AC243" i="3"/>
  <c r="CL243" i="3" s="1"/>
  <c r="BH243" i="3"/>
  <c r="DQ243" i="3" s="1"/>
  <c r="X243" i="3"/>
  <c r="CG243" i="3" s="1"/>
  <c r="BG243" i="3"/>
  <c r="DP243" i="3" s="1"/>
  <c r="N243" i="3"/>
  <c r="BW243" i="3" s="1"/>
  <c r="BD243" i="3"/>
  <c r="DM243" i="3" s="1"/>
  <c r="M243" i="3"/>
  <c r="BV243" i="3" s="1"/>
  <c r="BC243" i="3"/>
  <c r="DL243" i="3" s="1"/>
  <c r="K243" i="3"/>
  <c r="BT243" i="3" s="1"/>
  <c r="AO243" i="3"/>
  <c r="CX243" i="3" s="1"/>
  <c r="AN243" i="3"/>
  <c r="CW243" i="3" s="1"/>
  <c r="BF263" i="3"/>
  <c r="DO263" i="3" s="1"/>
  <c r="AV263" i="3"/>
  <c r="DE263" i="3" s="1"/>
  <c r="AL263" i="3"/>
  <c r="CU263" i="3" s="1"/>
  <c r="AB263" i="3"/>
  <c r="CK263" i="3" s="1"/>
  <c r="R263" i="3"/>
  <c r="CA263" i="3" s="1"/>
  <c r="H263" i="3"/>
  <c r="BQ263" i="3" s="1"/>
  <c r="BE263" i="3"/>
  <c r="DN263" i="3" s="1"/>
  <c r="AU263" i="3"/>
  <c r="DD263" i="3" s="1"/>
  <c r="AK263" i="3"/>
  <c r="CT263" i="3" s="1"/>
  <c r="AA263" i="3"/>
  <c r="CJ263" i="3" s="1"/>
  <c r="Q263" i="3"/>
  <c r="BZ263" i="3" s="1"/>
  <c r="G263" i="3"/>
  <c r="BP263" i="3" s="1"/>
  <c r="BH263" i="3"/>
  <c r="DQ263" i="3" s="1"/>
  <c r="AX263" i="3"/>
  <c r="DG263" i="3" s="1"/>
  <c r="AN263" i="3"/>
  <c r="CW263" i="3" s="1"/>
  <c r="AD263" i="3"/>
  <c r="CM263" i="3" s="1"/>
  <c r="T263" i="3"/>
  <c r="CC263" i="3" s="1"/>
  <c r="J263" i="3"/>
  <c r="BS263" i="3" s="1"/>
  <c r="BB263" i="3"/>
  <c r="DK263" i="3" s="1"/>
  <c r="AO263" i="3"/>
  <c r="CX263" i="3" s="1"/>
  <c r="Y263" i="3"/>
  <c r="CH263" i="3" s="1"/>
  <c r="L263" i="3"/>
  <c r="BU263" i="3" s="1"/>
  <c r="BA263" i="3"/>
  <c r="DJ263" i="3" s="1"/>
  <c r="AM263" i="3"/>
  <c r="CV263" i="3" s="1"/>
  <c r="X263" i="3"/>
  <c r="CG263" i="3" s="1"/>
  <c r="K263" i="3"/>
  <c r="BT263" i="3" s="1"/>
  <c r="AZ263" i="3"/>
  <c r="DI263" i="3" s="1"/>
  <c r="AJ263" i="3"/>
  <c r="CS263" i="3" s="1"/>
  <c r="W263" i="3"/>
  <c r="CF263" i="3" s="1"/>
  <c r="I263" i="3"/>
  <c r="BR263" i="3" s="1"/>
  <c r="BC263" i="3"/>
  <c r="DL263" i="3" s="1"/>
  <c r="AP263" i="3"/>
  <c r="CY263" i="3" s="1"/>
  <c r="Z263" i="3"/>
  <c r="CI263" i="3" s="1"/>
  <c r="M263" i="3"/>
  <c r="BV263" i="3" s="1"/>
  <c r="BK263" i="3"/>
  <c r="DT263" i="3" s="1"/>
  <c r="AQ263" i="3"/>
  <c r="CZ263" i="3" s="1"/>
  <c r="P263" i="3"/>
  <c r="BY263" i="3" s="1"/>
  <c r="BJ263" i="3"/>
  <c r="DS263" i="3" s="1"/>
  <c r="AI263" i="3"/>
  <c r="CR263" i="3" s="1"/>
  <c r="O263" i="3"/>
  <c r="BX263" i="3" s="1"/>
  <c r="BI263" i="3"/>
  <c r="DR263" i="3" s="1"/>
  <c r="AH263" i="3"/>
  <c r="CQ263" i="3" s="1"/>
  <c r="N263" i="3"/>
  <c r="BW263" i="3" s="1"/>
  <c r="BG263" i="3"/>
  <c r="DP263" i="3" s="1"/>
  <c r="AG263" i="3"/>
  <c r="CP263" i="3" s="1"/>
  <c r="F263" i="3"/>
  <c r="BO263" i="3" s="1"/>
  <c r="BD263" i="3"/>
  <c r="DM263" i="3" s="1"/>
  <c r="AF263" i="3"/>
  <c r="CO263" i="3" s="1"/>
  <c r="E263" i="3"/>
  <c r="BN263" i="3" s="1"/>
  <c r="AY263" i="3"/>
  <c r="DH263" i="3" s="1"/>
  <c r="AE263" i="3"/>
  <c r="CN263" i="3" s="1"/>
  <c r="AW263" i="3"/>
  <c r="DF263" i="3" s="1"/>
  <c r="AC263" i="3"/>
  <c r="CL263" i="3" s="1"/>
  <c r="AS263" i="3"/>
  <c r="DB263" i="3" s="1"/>
  <c r="U263" i="3"/>
  <c r="CD263" i="3" s="1"/>
  <c r="AT263" i="3"/>
  <c r="DC263" i="3" s="1"/>
  <c r="AR263" i="3"/>
  <c r="DA263" i="3" s="1"/>
  <c r="V263" i="3"/>
  <c r="CE263" i="3" s="1"/>
  <c r="S263" i="3"/>
  <c r="CB263" i="3" s="1"/>
  <c r="BL263" i="3"/>
  <c r="DU263" i="3" s="1"/>
  <c r="BG283" i="3"/>
  <c r="DP283" i="3" s="1"/>
  <c r="AW283" i="3"/>
  <c r="DF283" i="3" s="1"/>
  <c r="AM283" i="3"/>
  <c r="CV283" i="3" s="1"/>
  <c r="AC283" i="3"/>
  <c r="CL283" i="3" s="1"/>
  <c r="S283" i="3"/>
  <c r="CB283" i="3" s="1"/>
  <c r="I283" i="3"/>
  <c r="BR283" i="3" s="1"/>
  <c r="BF283" i="3"/>
  <c r="DO283" i="3" s="1"/>
  <c r="AV283" i="3"/>
  <c r="DE283" i="3" s="1"/>
  <c r="AL283" i="3"/>
  <c r="CU283" i="3" s="1"/>
  <c r="AB283" i="3"/>
  <c r="CK283" i="3" s="1"/>
  <c r="R283" i="3"/>
  <c r="CA283" i="3" s="1"/>
  <c r="H283" i="3"/>
  <c r="BQ283" i="3" s="1"/>
  <c r="BI283" i="3"/>
  <c r="DR283" i="3" s="1"/>
  <c r="AY283" i="3"/>
  <c r="DH283" i="3" s="1"/>
  <c r="AO283" i="3"/>
  <c r="CX283" i="3" s="1"/>
  <c r="AE283" i="3"/>
  <c r="CN283" i="3" s="1"/>
  <c r="U283" i="3"/>
  <c r="CD283" i="3" s="1"/>
  <c r="K283" i="3"/>
  <c r="BT283" i="3" s="1"/>
  <c r="BB283" i="3"/>
  <c r="DK283" i="3" s="1"/>
  <c r="AN283" i="3"/>
  <c r="CW283" i="3" s="1"/>
  <c r="Y283" i="3"/>
  <c r="CH283" i="3" s="1"/>
  <c r="L283" i="3"/>
  <c r="BU283" i="3" s="1"/>
  <c r="BE283" i="3"/>
  <c r="DN283" i="3" s="1"/>
  <c r="AR283" i="3"/>
  <c r="DA283" i="3" s="1"/>
  <c r="AD283" i="3"/>
  <c r="CM283" i="3" s="1"/>
  <c r="O283" i="3"/>
  <c r="BX283" i="3" s="1"/>
  <c r="BD283" i="3"/>
  <c r="DM283" i="3" s="1"/>
  <c r="AQ283" i="3"/>
  <c r="CZ283" i="3" s="1"/>
  <c r="AA283" i="3"/>
  <c r="CJ283" i="3" s="1"/>
  <c r="N283" i="3"/>
  <c r="BW283" i="3" s="1"/>
  <c r="AU283" i="3"/>
  <c r="DD283" i="3" s="1"/>
  <c r="Z283" i="3"/>
  <c r="CI283" i="3" s="1"/>
  <c r="F283" i="3"/>
  <c r="BO283" i="3" s="1"/>
  <c r="AT283" i="3"/>
  <c r="DC283" i="3" s="1"/>
  <c r="X283" i="3"/>
  <c r="CG283" i="3" s="1"/>
  <c r="E283" i="3"/>
  <c r="BN283" i="3" s="1"/>
  <c r="BL283" i="3"/>
  <c r="DU283" i="3" s="1"/>
  <c r="AS283" i="3"/>
  <c r="DB283" i="3" s="1"/>
  <c r="W283" i="3"/>
  <c r="CF283" i="3" s="1"/>
  <c r="BK283" i="3"/>
  <c r="DT283" i="3" s="1"/>
  <c r="AP283" i="3"/>
  <c r="CY283" i="3" s="1"/>
  <c r="V283" i="3"/>
  <c r="CE283" i="3" s="1"/>
  <c r="BJ283" i="3"/>
  <c r="DS283" i="3" s="1"/>
  <c r="AK283" i="3"/>
  <c r="CT283" i="3" s="1"/>
  <c r="T283" i="3"/>
  <c r="CC283" i="3" s="1"/>
  <c r="BH283" i="3"/>
  <c r="DQ283" i="3" s="1"/>
  <c r="AJ283" i="3"/>
  <c r="CS283" i="3" s="1"/>
  <c r="Q283" i="3"/>
  <c r="BZ283" i="3" s="1"/>
  <c r="BC283" i="3"/>
  <c r="DL283" i="3" s="1"/>
  <c r="AI283" i="3"/>
  <c r="CR283" i="3" s="1"/>
  <c r="P283" i="3"/>
  <c r="BY283" i="3" s="1"/>
  <c r="BA283" i="3"/>
  <c r="DJ283" i="3" s="1"/>
  <c r="AH283" i="3"/>
  <c r="CQ283" i="3" s="1"/>
  <c r="M283" i="3"/>
  <c r="BV283" i="3" s="1"/>
  <c r="AZ283" i="3"/>
  <c r="DI283" i="3" s="1"/>
  <c r="AG283" i="3"/>
  <c r="CP283" i="3" s="1"/>
  <c r="J283" i="3"/>
  <c r="BS283" i="3" s="1"/>
  <c r="AX283" i="3"/>
  <c r="DG283" i="3" s="1"/>
  <c r="AF283" i="3"/>
  <c r="CO283" i="3" s="1"/>
  <c r="G283" i="3"/>
  <c r="BP283" i="3" s="1"/>
  <c r="BD303" i="3"/>
  <c r="DM303" i="3" s="1"/>
  <c r="AT303" i="3"/>
  <c r="DC303" i="3" s="1"/>
  <c r="AJ303" i="3"/>
  <c r="CS303" i="3" s="1"/>
  <c r="Z303" i="3"/>
  <c r="CI303" i="3" s="1"/>
  <c r="P303" i="3"/>
  <c r="BY303" i="3" s="1"/>
  <c r="F303" i="3"/>
  <c r="BO303" i="3" s="1"/>
  <c r="BC303" i="3"/>
  <c r="DL303" i="3" s="1"/>
  <c r="AS303" i="3"/>
  <c r="DB303" i="3" s="1"/>
  <c r="AI303" i="3"/>
  <c r="CR303" i="3" s="1"/>
  <c r="Y303" i="3"/>
  <c r="CH303" i="3" s="1"/>
  <c r="O303" i="3"/>
  <c r="BX303" i="3" s="1"/>
  <c r="BL303" i="3"/>
  <c r="DU303" i="3" s="1"/>
  <c r="AZ303" i="3"/>
  <c r="DI303" i="3" s="1"/>
  <c r="AN303" i="3"/>
  <c r="CW303" i="3" s="1"/>
  <c r="AB303" i="3"/>
  <c r="CK303" i="3" s="1"/>
  <c r="N303" i="3"/>
  <c r="BW303" i="3" s="1"/>
  <c r="BG303" i="3"/>
  <c r="DP303" i="3" s="1"/>
  <c r="AR303" i="3"/>
  <c r="DA303" i="3" s="1"/>
  <c r="AE303" i="3"/>
  <c r="CN303" i="3" s="1"/>
  <c r="R303" i="3"/>
  <c r="CA303" i="3" s="1"/>
  <c r="BJ303" i="3"/>
  <c r="DS303" i="3" s="1"/>
  <c r="AV303" i="3"/>
  <c r="DE303" i="3" s="1"/>
  <c r="AF303" i="3"/>
  <c r="CO303" i="3" s="1"/>
  <c r="Q303" i="3"/>
  <c r="BZ303" i="3" s="1"/>
  <c r="BI303" i="3"/>
  <c r="DR303" i="3" s="1"/>
  <c r="AU303" i="3"/>
  <c r="DD303" i="3" s="1"/>
  <c r="AD303" i="3"/>
  <c r="CM303" i="3" s="1"/>
  <c r="M303" i="3"/>
  <c r="BV303" i="3" s="1"/>
  <c r="BH303" i="3"/>
  <c r="DQ303" i="3" s="1"/>
  <c r="AQ303" i="3"/>
  <c r="CZ303" i="3" s="1"/>
  <c r="AC303" i="3"/>
  <c r="CL303" i="3" s="1"/>
  <c r="L303" i="3"/>
  <c r="BU303" i="3" s="1"/>
  <c r="BF303" i="3"/>
  <c r="DO303" i="3" s="1"/>
  <c r="AP303" i="3"/>
  <c r="CY303" i="3" s="1"/>
  <c r="AA303" i="3"/>
  <c r="CJ303" i="3" s="1"/>
  <c r="K303" i="3"/>
  <c r="BT303" i="3" s="1"/>
  <c r="BE303" i="3"/>
  <c r="DN303" i="3" s="1"/>
  <c r="AO303" i="3"/>
  <c r="CX303" i="3" s="1"/>
  <c r="X303" i="3"/>
  <c r="CG303" i="3" s="1"/>
  <c r="J303" i="3"/>
  <c r="BS303" i="3" s="1"/>
  <c r="AX303" i="3"/>
  <c r="DG303" i="3" s="1"/>
  <c r="AH303" i="3"/>
  <c r="CQ303" i="3" s="1"/>
  <c r="T303" i="3"/>
  <c r="CC303" i="3" s="1"/>
  <c r="E303" i="3"/>
  <c r="BN303" i="3" s="1"/>
  <c r="BK303" i="3"/>
  <c r="DT303" i="3" s="1"/>
  <c r="AW303" i="3"/>
  <c r="DF303" i="3" s="1"/>
  <c r="AG303" i="3"/>
  <c r="CP303" i="3" s="1"/>
  <c r="S303" i="3"/>
  <c r="CB303" i="3" s="1"/>
  <c r="V303" i="3"/>
  <c r="CE303" i="3" s="1"/>
  <c r="U303" i="3"/>
  <c r="CD303" i="3" s="1"/>
  <c r="I303" i="3"/>
  <c r="BR303" i="3" s="1"/>
  <c r="AK303" i="3"/>
  <c r="CT303" i="3" s="1"/>
  <c r="AL303" i="3"/>
  <c r="CU303" i="3" s="1"/>
  <c r="BA303" i="3"/>
  <c r="DJ303" i="3" s="1"/>
  <c r="AY303" i="3"/>
  <c r="DH303" i="3" s="1"/>
  <c r="BB303" i="3"/>
  <c r="DK303" i="3" s="1"/>
  <c r="AM303" i="3"/>
  <c r="CV303" i="3" s="1"/>
  <c r="W303" i="3"/>
  <c r="CF303" i="3" s="1"/>
  <c r="H303" i="3"/>
  <c r="BQ303" i="3" s="1"/>
  <c r="G303" i="3"/>
  <c r="BP303" i="3" s="1"/>
  <c r="BG323" i="3"/>
  <c r="DP323" i="3" s="1"/>
  <c r="AW323" i="3"/>
  <c r="DF323" i="3" s="1"/>
  <c r="AM323" i="3"/>
  <c r="CV323" i="3" s="1"/>
  <c r="AC323" i="3"/>
  <c r="CL323" i="3" s="1"/>
  <c r="S323" i="3"/>
  <c r="CB323" i="3" s="1"/>
  <c r="I323" i="3"/>
  <c r="BR323" i="3" s="1"/>
  <c r="BH323" i="3"/>
  <c r="DQ323" i="3" s="1"/>
  <c r="AV323" i="3"/>
  <c r="DE323" i="3" s="1"/>
  <c r="AK323" i="3"/>
  <c r="CT323" i="3" s="1"/>
  <c r="Z323" i="3"/>
  <c r="CI323" i="3" s="1"/>
  <c r="O323" i="3"/>
  <c r="BX323" i="3" s="1"/>
  <c r="BF323" i="3"/>
  <c r="DO323" i="3" s="1"/>
  <c r="AU323" i="3"/>
  <c r="DD323" i="3" s="1"/>
  <c r="AJ323" i="3"/>
  <c r="CS323" i="3" s="1"/>
  <c r="Y323" i="3"/>
  <c r="CH323" i="3" s="1"/>
  <c r="N323" i="3"/>
  <c r="BW323" i="3" s="1"/>
  <c r="BJ323" i="3"/>
  <c r="DS323" i="3" s="1"/>
  <c r="AY323" i="3"/>
  <c r="DH323" i="3" s="1"/>
  <c r="AN323" i="3"/>
  <c r="CW323" i="3" s="1"/>
  <c r="AB323" i="3"/>
  <c r="CK323" i="3" s="1"/>
  <c r="Q323" i="3"/>
  <c r="BZ323" i="3" s="1"/>
  <c r="F323" i="3"/>
  <c r="BO323" i="3" s="1"/>
  <c r="BI323" i="3"/>
  <c r="DR323" i="3" s="1"/>
  <c r="AR323" i="3"/>
  <c r="DA323" i="3" s="1"/>
  <c r="AD323" i="3"/>
  <c r="CM323" i="3" s="1"/>
  <c r="L323" i="3"/>
  <c r="BU323" i="3" s="1"/>
  <c r="BE323" i="3"/>
  <c r="DN323" i="3" s="1"/>
  <c r="AQ323" i="3"/>
  <c r="CZ323" i="3" s="1"/>
  <c r="AA323" i="3"/>
  <c r="CJ323" i="3" s="1"/>
  <c r="K323" i="3"/>
  <c r="BT323" i="3" s="1"/>
  <c r="BL323" i="3"/>
  <c r="DU323" i="3" s="1"/>
  <c r="AT323" i="3"/>
  <c r="DC323" i="3" s="1"/>
  <c r="AF323" i="3"/>
  <c r="CO323" i="3" s="1"/>
  <c r="P323" i="3"/>
  <c r="BY323" i="3" s="1"/>
  <c r="BC323" i="3"/>
  <c r="DL323" i="3" s="1"/>
  <c r="AH323" i="3"/>
  <c r="CQ323" i="3" s="1"/>
  <c r="J323" i="3"/>
  <c r="BS323" i="3" s="1"/>
  <c r="BB323" i="3"/>
  <c r="DK323" i="3" s="1"/>
  <c r="AG323" i="3"/>
  <c r="CP323" i="3" s="1"/>
  <c r="H323" i="3"/>
  <c r="BQ323" i="3" s="1"/>
  <c r="BA323" i="3"/>
  <c r="DJ323" i="3" s="1"/>
  <c r="AE323" i="3"/>
  <c r="CN323" i="3" s="1"/>
  <c r="G323" i="3"/>
  <c r="BP323" i="3" s="1"/>
  <c r="AZ323" i="3"/>
  <c r="DI323" i="3" s="1"/>
  <c r="X323" i="3"/>
  <c r="CG323" i="3" s="1"/>
  <c r="E323" i="3"/>
  <c r="BN323" i="3" s="1"/>
  <c r="AX323" i="3"/>
  <c r="DG323" i="3" s="1"/>
  <c r="W323" i="3"/>
  <c r="CF323" i="3" s="1"/>
  <c r="AO323" i="3"/>
  <c r="CX323" i="3" s="1"/>
  <c r="T323" i="3"/>
  <c r="CC323" i="3" s="1"/>
  <c r="R323" i="3"/>
  <c r="CA323" i="3" s="1"/>
  <c r="M323" i="3"/>
  <c r="BV323" i="3" s="1"/>
  <c r="BK323" i="3"/>
  <c r="DT323" i="3" s="1"/>
  <c r="BD323" i="3"/>
  <c r="DM323" i="3" s="1"/>
  <c r="AS323" i="3"/>
  <c r="DB323" i="3" s="1"/>
  <c r="AP323" i="3"/>
  <c r="CY323" i="3" s="1"/>
  <c r="AL323" i="3"/>
  <c r="CU323" i="3" s="1"/>
  <c r="AI323" i="3"/>
  <c r="CR323" i="3" s="1"/>
  <c r="V323" i="3"/>
  <c r="CE323" i="3" s="1"/>
  <c r="U323" i="3"/>
  <c r="CD323" i="3" s="1"/>
  <c r="BL343" i="3"/>
  <c r="DU343" i="3" s="1"/>
  <c r="BB343" i="3"/>
  <c r="DK343" i="3" s="1"/>
  <c r="AR343" i="3"/>
  <c r="DA343" i="3" s="1"/>
  <c r="AH343" i="3"/>
  <c r="CQ343" i="3" s="1"/>
  <c r="X343" i="3"/>
  <c r="CG343" i="3" s="1"/>
  <c r="N343" i="3"/>
  <c r="BW343" i="3" s="1"/>
  <c r="BK343" i="3"/>
  <c r="DT343" i="3" s="1"/>
  <c r="BA343" i="3"/>
  <c r="DJ343" i="3" s="1"/>
  <c r="AQ343" i="3"/>
  <c r="CZ343" i="3" s="1"/>
  <c r="AG343" i="3"/>
  <c r="CP343" i="3" s="1"/>
  <c r="W343" i="3"/>
  <c r="CF343" i="3" s="1"/>
  <c r="M343" i="3"/>
  <c r="BV343" i="3" s="1"/>
  <c r="BD343" i="3"/>
  <c r="DM343" i="3" s="1"/>
  <c r="AT343" i="3"/>
  <c r="DC343" i="3" s="1"/>
  <c r="AJ343" i="3"/>
  <c r="CS343" i="3" s="1"/>
  <c r="Z343" i="3"/>
  <c r="CI343" i="3" s="1"/>
  <c r="P343" i="3"/>
  <c r="BY343" i="3" s="1"/>
  <c r="F343" i="3"/>
  <c r="BO343" i="3" s="1"/>
  <c r="AZ343" i="3"/>
  <c r="DI343" i="3" s="1"/>
  <c r="AM343" i="3"/>
  <c r="CV343" i="3" s="1"/>
  <c r="Y343" i="3"/>
  <c r="CH343" i="3" s="1"/>
  <c r="J343" i="3"/>
  <c r="BS343" i="3" s="1"/>
  <c r="AY343" i="3"/>
  <c r="DH343" i="3" s="1"/>
  <c r="AL343" i="3"/>
  <c r="CU343" i="3" s="1"/>
  <c r="V343" i="3"/>
  <c r="CE343" i="3" s="1"/>
  <c r="I343" i="3"/>
  <c r="BR343" i="3" s="1"/>
  <c r="BE343" i="3"/>
  <c r="DN343" i="3" s="1"/>
  <c r="AO343" i="3"/>
  <c r="CX343" i="3" s="1"/>
  <c r="AB343" i="3"/>
  <c r="CK343" i="3" s="1"/>
  <c r="L343" i="3"/>
  <c r="BU343" i="3" s="1"/>
  <c r="BI343" i="3"/>
  <c r="DR343" i="3" s="1"/>
  <c r="AP343" i="3"/>
  <c r="CY343" i="3" s="1"/>
  <c r="T343" i="3"/>
  <c r="CC343" i="3" s="1"/>
  <c r="AV343" i="3"/>
  <c r="DE343" i="3" s="1"/>
  <c r="AC343" i="3"/>
  <c r="CL343" i="3" s="1"/>
  <c r="G343" i="3"/>
  <c r="BP343" i="3" s="1"/>
  <c r="AU343" i="3"/>
  <c r="DD343" i="3" s="1"/>
  <c r="AA343" i="3"/>
  <c r="CJ343" i="3" s="1"/>
  <c r="E343" i="3"/>
  <c r="BN343" i="3" s="1"/>
  <c r="BH343" i="3"/>
  <c r="DQ343" i="3" s="1"/>
  <c r="AF343" i="3"/>
  <c r="CO343" i="3" s="1"/>
  <c r="BG343" i="3"/>
  <c r="DP343" i="3" s="1"/>
  <c r="AE343" i="3"/>
  <c r="CN343" i="3" s="1"/>
  <c r="AK343" i="3"/>
  <c r="CT343" i="3" s="1"/>
  <c r="K343" i="3"/>
  <c r="BT343" i="3" s="1"/>
  <c r="AS343" i="3"/>
  <c r="DB343" i="3" s="1"/>
  <c r="AN343" i="3"/>
  <c r="CW343" i="3" s="1"/>
  <c r="AI343" i="3"/>
  <c r="CR343" i="3" s="1"/>
  <c r="AD343" i="3"/>
  <c r="CM343" i="3" s="1"/>
  <c r="U343" i="3"/>
  <c r="CD343" i="3" s="1"/>
  <c r="BJ343" i="3"/>
  <c r="DS343" i="3" s="1"/>
  <c r="S343" i="3"/>
  <c r="CB343" i="3" s="1"/>
  <c r="BF343" i="3"/>
  <c r="DO343" i="3" s="1"/>
  <c r="R343" i="3"/>
  <c r="CA343" i="3" s="1"/>
  <c r="BC343" i="3"/>
  <c r="DL343" i="3" s="1"/>
  <c r="Q343" i="3"/>
  <c r="BZ343" i="3" s="1"/>
  <c r="AX343" i="3"/>
  <c r="DG343" i="3" s="1"/>
  <c r="O343" i="3"/>
  <c r="BX343" i="3" s="1"/>
  <c r="H343" i="3"/>
  <c r="BQ343" i="3" s="1"/>
  <c r="AW343" i="3"/>
  <c r="DF343" i="3" s="1"/>
  <c r="BC264" i="3"/>
  <c r="DL264" i="3" s="1"/>
  <c r="AS264" i="3"/>
  <c r="DB264" i="3" s="1"/>
  <c r="AI264" i="3"/>
  <c r="CR264" i="3" s="1"/>
  <c r="Y264" i="3"/>
  <c r="CH264" i="3" s="1"/>
  <c r="O264" i="3"/>
  <c r="BX264" i="3" s="1"/>
  <c r="E264" i="3"/>
  <c r="BN264" i="3" s="1"/>
  <c r="BI264" i="3"/>
  <c r="DR264" i="3" s="1"/>
  <c r="AX264" i="3"/>
  <c r="DG264" i="3" s="1"/>
  <c r="AM264" i="3"/>
  <c r="CV264" i="3" s="1"/>
  <c r="AB264" i="3"/>
  <c r="CK264" i="3" s="1"/>
  <c r="Q264" i="3"/>
  <c r="BZ264" i="3" s="1"/>
  <c r="F264" i="3"/>
  <c r="BO264" i="3" s="1"/>
  <c r="BH264" i="3"/>
  <c r="DQ264" i="3" s="1"/>
  <c r="AW264" i="3"/>
  <c r="DF264" i="3" s="1"/>
  <c r="AL264" i="3"/>
  <c r="CU264" i="3" s="1"/>
  <c r="AA264" i="3"/>
  <c r="CJ264" i="3" s="1"/>
  <c r="P264" i="3"/>
  <c r="BY264" i="3" s="1"/>
  <c r="BK264" i="3"/>
  <c r="DT264" i="3" s="1"/>
  <c r="AZ264" i="3"/>
  <c r="DI264" i="3" s="1"/>
  <c r="AO264" i="3"/>
  <c r="CX264" i="3" s="1"/>
  <c r="AD264" i="3"/>
  <c r="CM264" i="3" s="1"/>
  <c r="S264" i="3"/>
  <c r="CB264" i="3" s="1"/>
  <c r="H264" i="3"/>
  <c r="BQ264" i="3" s="1"/>
  <c r="AY264" i="3"/>
  <c r="DH264" i="3" s="1"/>
  <c r="AH264" i="3"/>
  <c r="CQ264" i="3" s="1"/>
  <c r="T264" i="3"/>
  <c r="CC264" i="3" s="1"/>
  <c r="AV264" i="3"/>
  <c r="DE264" i="3" s="1"/>
  <c r="AG264" i="3"/>
  <c r="CP264" i="3" s="1"/>
  <c r="R264" i="3"/>
  <c r="CA264" i="3" s="1"/>
  <c r="BL264" i="3"/>
  <c r="DU264" i="3" s="1"/>
  <c r="AU264" i="3"/>
  <c r="DD264" i="3" s="1"/>
  <c r="AF264" i="3"/>
  <c r="CO264" i="3" s="1"/>
  <c r="N264" i="3"/>
  <c r="BW264" i="3" s="1"/>
  <c r="BJ264" i="3"/>
  <c r="DS264" i="3" s="1"/>
  <c r="BA264" i="3"/>
  <c r="DJ264" i="3" s="1"/>
  <c r="AJ264" i="3"/>
  <c r="CS264" i="3" s="1"/>
  <c r="U264" i="3"/>
  <c r="CD264" i="3" s="1"/>
  <c r="AP264" i="3"/>
  <c r="CY264" i="3" s="1"/>
  <c r="L264" i="3"/>
  <c r="BU264" i="3" s="1"/>
  <c r="AN264" i="3"/>
  <c r="CW264" i="3" s="1"/>
  <c r="K264" i="3"/>
  <c r="BT264" i="3" s="1"/>
  <c r="BG264" i="3"/>
  <c r="DP264" i="3" s="1"/>
  <c r="AK264" i="3"/>
  <c r="CT264" i="3" s="1"/>
  <c r="J264" i="3"/>
  <c r="BS264" i="3" s="1"/>
  <c r="BF264" i="3"/>
  <c r="DO264" i="3" s="1"/>
  <c r="AE264" i="3"/>
  <c r="CN264" i="3" s="1"/>
  <c r="I264" i="3"/>
  <c r="BR264" i="3" s="1"/>
  <c r="BE264" i="3"/>
  <c r="DN264" i="3" s="1"/>
  <c r="AC264" i="3"/>
  <c r="CL264" i="3" s="1"/>
  <c r="G264" i="3"/>
  <c r="BP264" i="3" s="1"/>
  <c r="BD264" i="3"/>
  <c r="DM264" i="3" s="1"/>
  <c r="Z264" i="3"/>
  <c r="CI264" i="3" s="1"/>
  <c r="BB264" i="3"/>
  <c r="DK264" i="3" s="1"/>
  <c r="X264" i="3"/>
  <c r="CG264" i="3" s="1"/>
  <c r="AT264" i="3"/>
  <c r="DC264" i="3" s="1"/>
  <c r="W264" i="3"/>
  <c r="CF264" i="3" s="1"/>
  <c r="AR264" i="3"/>
  <c r="DA264" i="3" s="1"/>
  <c r="V264" i="3"/>
  <c r="CE264" i="3" s="1"/>
  <c r="AQ264" i="3"/>
  <c r="CZ264" i="3" s="1"/>
  <c r="M264" i="3"/>
  <c r="BV264" i="3" s="1"/>
  <c r="J211" i="2"/>
  <c r="K211" i="2" s="1"/>
  <c r="L211" i="2" s="1"/>
  <c r="BE276" i="3"/>
  <c r="DN276" i="3" s="1"/>
  <c r="AU276" i="3"/>
  <c r="DD276" i="3" s="1"/>
  <c r="AK276" i="3"/>
  <c r="CT276" i="3" s="1"/>
  <c r="AA276" i="3"/>
  <c r="CJ276" i="3" s="1"/>
  <c r="Q276" i="3"/>
  <c r="BZ276" i="3" s="1"/>
  <c r="G276" i="3"/>
  <c r="BP276" i="3" s="1"/>
  <c r="BD276" i="3"/>
  <c r="DM276" i="3" s="1"/>
  <c r="AT276" i="3"/>
  <c r="DC276" i="3" s="1"/>
  <c r="AJ276" i="3"/>
  <c r="CS276" i="3" s="1"/>
  <c r="Z276" i="3"/>
  <c r="CI276" i="3" s="1"/>
  <c r="P276" i="3"/>
  <c r="BY276" i="3" s="1"/>
  <c r="F276" i="3"/>
  <c r="BO276" i="3" s="1"/>
  <c r="BG276" i="3"/>
  <c r="DP276" i="3" s="1"/>
  <c r="AW276" i="3"/>
  <c r="DF276" i="3" s="1"/>
  <c r="AM276" i="3"/>
  <c r="CV276" i="3" s="1"/>
  <c r="AC276" i="3"/>
  <c r="CL276" i="3" s="1"/>
  <c r="S276" i="3"/>
  <c r="CB276" i="3" s="1"/>
  <c r="I276" i="3"/>
  <c r="BR276" i="3" s="1"/>
  <c r="BL276" i="3"/>
  <c r="DU276" i="3" s="1"/>
  <c r="AY276" i="3"/>
  <c r="DH276" i="3" s="1"/>
  <c r="AI276" i="3"/>
  <c r="CR276" i="3" s="1"/>
  <c r="V276" i="3"/>
  <c r="CE276" i="3" s="1"/>
  <c r="H276" i="3"/>
  <c r="BQ276" i="3" s="1"/>
  <c r="BI276" i="3"/>
  <c r="DR276" i="3" s="1"/>
  <c r="AR276" i="3"/>
  <c r="DA276" i="3" s="1"/>
  <c r="AD276" i="3"/>
  <c r="CM276" i="3" s="1"/>
  <c r="M276" i="3"/>
  <c r="BV276" i="3" s="1"/>
  <c r="BH276" i="3"/>
  <c r="DQ276" i="3" s="1"/>
  <c r="AQ276" i="3"/>
  <c r="CZ276" i="3" s="1"/>
  <c r="AB276" i="3"/>
  <c r="CK276" i="3" s="1"/>
  <c r="L276" i="3"/>
  <c r="BU276" i="3" s="1"/>
  <c r="BF276" i="3"/>
  <c r="DO276" i="3" s="1"/>
  <c r="AP276" i="3"/>
  <c r="CY276" i="3" s="1"/>
  <c r="Y276" i="3"/>
  <c r="CH276" i="3" s="1"/>
  <c r="K276" i="3"/>
  <c r="BT276" i="3" s="1"/>
  <c r="BC276" i="3"/>
  <c r="DL276" i="3" s="1"/>
  <c r="AO276" i="3"/>
  <c r="CX276" i="3" s="1"/>
  <c r="X276" i="3"/>
  <c r="CG276" i="3" s="1"/>
  <c r="J276" i="3"/>
  <c r="BS276" i="3" s="1"/>
  <c r="BB276" i="3"/>
  <c r="DK276" i="3" s="1"/>
  <c r="AN276" i="3"/>
  <c r="CW276" i="3" s="1"/>
  <c r="W276" i="3"/>
  <c r="CF276" i="3" s="1"/>
  <c r="E276" i="3"/>
  <c r="BN276" i="3" s="1"/>
  <c r="BA276" i="3"/>
  <c r="DJ276" i="3" s="1"/>
  <c r="AL276" i="3"/>
  <c r="CU276" i="3" s="1"/>
  <c r="U276" i="3"/>
  <c r="CD276" i="3" s="1"/>
  <c r="AZ276" i="3"/>
  <c r="DI276" i="3" s="1"/>
  <c r="AH276" i="3"/>
  <c r="CQ276" i="3" s="1"/>
  <c r="T276" i="3"/>
  <c r="CC276" i="3" s="1"/>
  <c r="AX276" i="3"/>
  <c r="DG276" i="3" s="1"/>
  <c r="AG276" i="3"/>
  <c r="CP276" i="3" s="1"/>
  <c r="R276" i="3"/>
  <c r="CA276" i="3" s="1"/>
  <c r="BK276" i="3"/>
  <c r="DT276" i="3" s="1"/>
  <c r="AV276" i="3"/>
  <c r="DE276" i="3" s="1"/>
  <c r="AF276" i="3"/>
  <c r="CO276" i="3" s="1"/>
  <c r="O276" i="3"/>
  <c r="BX276" i="3" s="1"/>
  <c r="BJ276" i="3"/>
  <c r="DS276" i="3" s="1"/>
  <c r="AS276" i="3"/>
  <c r="DB276" i="3" s="1"/>
  <c r="AE276" i="3"/>
  <c r="CN276" i="3" s="1"/>
  <c r="N276" i="3"/>
  <c r="BW276" i="3" s="1"/>
  <c r="J355" i="2"/>
  <c r="D97" i="4"/>
  <c r="E97" i="4" s="1"/>
  <c r="F97" i="4"/>
  <c r="F46" i="4"/>
  <c r="D46" i="4"/>
  <c r="E46" i="4" s="1"/>
  <c r="F248" i="4"/>
  <c r="D248" i="4"/>
  <c r="E248" i="4" s="1"/>
  <c r="F182" i="4"/>
  <c r="D182" i="4"/>
  <c r="E182" i="4" s="1"/>
  <c r="F225" i="4"/>
  <c r="D225" i="4"/>
  <c r="E225" i="4" s="1"/>
  <c r="F61" i="4"/>
  <c r="D61" i="4"/>
  <c r="E61" i="4" s="1"/>
  <c r="F56" i="4"/>
  <c r="D56" i="4"/>
  <c r="E56" i="4" s="1"/>
  <c r="F216" i="4"/>
  <c r="D216" i="4"/>
  <c r="E216" i="4" s="1"/>
  <c r="F35" i="4"/>
  <c r="D35" i="4"/>
  <c r="E35" i="4" s="1"/>
  <c r="F246" i="4"/>
  <c r="D246" i="4"/>
  <c r="E246" i="4" s="1"/>
  <c r="F209" i="4"/>
  <c r="D209" i="4"/>
  <c r="E209" i="4" s="1"/>
  <c r="F44" i="4"/>
  <c r="D44" i="4"/>
  <c r="E44" i="4" s="1"/>
  <c r="D131" i="4"/>
  <c r="E131" i="4" s="1"/>
  <c r="F131" i="4"/>
  <c r="D84" i="4"/>
  <c r="E84" i="4" s="1"/>
  <c r="F84" i="4"/>
  <c r="F152" i="4"/>
  <c r="D152" i="4"/>
  <c r="E152" i="4" s="1"/>
  <c r="D89" i="4"/>
  <c r="E89" i="4" s="1"/>
  <c r="F89" i="4"/>
  <c r="F217" i="4"/>
  <c r="D217" i="4"/>
  <c r="E217" i="4" s="1"/>
  <c r="F222" i="4"/>
  <c r="D222" i="4"/>
  <c r="E222" i="4" s="1"/>
  <c r="F229" i="4"/>
  <c r="D229" i="4"/>
  <c r="E229" i="4" s="1"/>
  <c r="F151" i="4"/>
  <c r="D151" i="4"/>
  <c r="E151" i="4" s="1"/>
  <c r="F266" i="4"/>
  <c r="D266" i="4"/>
  <c r="E266" i="4" s="1"/>
  <c r="F195" i="4"/>
  <c r="D195" i="4"/>
  <c r="E195" i="4" s="1"/>
  <c r="D122" i="4"/>
  <c r="E122" i="4" s="1"/>
  <c r="F122" i="4"/>
  <c r="F221" i="4"/>
  <c r="D221" i="4"/>
  <c r="E221" i="4" s="1"/>
  <c r="N118" i="2"/>
  <c r="O118" i="2"/>
  <c r="BJ39" i="3"/>
  <c r="DS39" i="3" s="1"/>
  <c r="AZ39" i="3"/>
  <c r="DI39" i="3" s="1"/>
  <c r="AP39" i="3"/>
  <c r="CY39" i="3" s="1"/>
  <c r="AF39" i="3"/>
  <c r="CO39" i="3" s="1"/>
  <c r="V39" i="3"/>
  <c r="CE39" i="3" s="1"/>
  <c r="L39" i="3"/>
  <c r="BU39" i="3" s="1"/>
  <c r="BI39" i="3"/>
  <c r="DR39" i="3" s="1"/>
  <c r="AY39" i="3"/>
  <c r="DH39" i="3" s="1"/>
  <c r="AO39" i="3"/>
  <c r="CX39" i="3" s="1"/>
  <c r="AE39" i="3"/>
  <c r="CN39" i="3" s="1"/>
  <c r="U39" i="3"/>
  <c r="CD39" i="3" s="1"/>
  <c r="K39" i="3"/>
  <c r="BT39" i="3" s="1"/>
  <c r="BL39" i="3"/>
  <c r="DU39" i="3" s="1"/>
  <c r="BB39" i="3"/>
  <c r="DK39" i="3" s="1"/>
  <c r="AR39" i="3"/>
  <c r="DA39" i="3" s="1"/>
  <c r="AH39" i="3"/>
  <c r="CQ39" i="3" s="1"/>
  <c r="X39" i="3"/>
  <c r="CG39" i="3" s="1"/>
  <c r="N39" i="3"/>
  <c r="BW39" i="3" s="1"/>
  <c r="BC39" i="3"/>
  <c r="DL39" i="3" s="1"/>
  <c r="AM39" i="3"/>
  <c r="CV39" i="3" s="1"/>
  <c r="Z39" i="3"/>
  <c r="CI39" i="3" s="1"/>
  <c r="J39" i="3"/>
  <c r="BS39" i="3" s="1"/>
  <c r="BA39" i="3"/>
  <c r="DJ39" i="3" s="1"/>
  <c r="AL39" i="3"/>
  <c r="CU39" i="3" s="1"/>
  <c r="Y39" i="3"/>
  <c r="CH39" i="3" s="1"/>
  <c r="I39" i="3"/>
  <c r="BR39" i="3" s="1"/>
  <c r="BD39" i="3"/>
  <c r="DM39" i="3" s="1"/>
  <c r="AJ39" i="3"/>
  <c r="CS39" i="3" s="1"/>
  <c r="R39" i="3"/>
  <c r="CA39" i="3" s="1"/>
  <c r="AX39" i="3"/>
  <c r="DG39" i="3" s="1"/>
  <c r="AI39" i="3"/>
  <c r="CR39" i="3" s="1"/>
  <c r="Q39" i="3"/>
  <c r="BZ39" i="3" s="1"/>
  <c r="AW39" i="3"/>
  <c r="DF39" i="3" s="1"/>
  <c r="AG39" i="3"/>
  <c r="CP39" i="3" s="1"/>
  <c r="P39" i="3"/>
  <c r="BY39" i="3" s="1"/>
  <c r="AV39" i="3"/>
  <c r="DE39" i="3" s="1"/>
  <c r="AD39" i="3"/>
  <c r="CM39" i="3" s="1"/>
  <c r="O39" i="3"/>
  <c r="BX39" i="3" s="1"/>
  <c r="AU39" i="3"/>
  <c r="DD39" i="3" s="1"/>
  <c r="AC39" i="3"/>
  <c r="CL39" i="3" s="1"/>
  <c r="M39" i="3"/>
  <c r="BV39" i="3" s="1"/>
  <c r="BK39" i="3"/>
  <c r="DT39" i="3" s="1"/>
  <c r="AT39" i="3"/>
  <c r="DC39" i="3" s="1"/>
  <c r="AB39" i="3"/>
  <c r="CK39" i="3" s="1"/>
  <c r="H39" i="3"/>
  <c r="BQ39" i="3" s="1"/>
  <c r="BH39" i="3"/>
  <c r="DQ39" i="3" s="1"/>
  <c r="AS39" i="3"/>
  <c r="DB39" i="3" s="1"/>
  <c r="AA39" i="3"/>
  <c r="CJ39" i="3" s="1"/>
  <c r="G39" i="3"/>
  <c r="BP39" i="3" s="1"/>
  <c r="BG39" i="3"/>
  <c r="DP39" i="3" s="1"/>
  <c r="AQ39" i="3"/>
  <c r="CZ39" i="3" s="1"/>
  <c r="W39" i="3"/>
  <c r="CF39" i="3" s="1"/>
  <c r="F39" i="3"/>
  <c r="BO39" i="3" s="1"/>
  <c r="BF39" i="3"/>
  <c r="DO39" i="3" s="1"/>
  <c r="AN39" i="3"/>
  <c r="CW39" i="3" s="1"/>
  <c r="T39" i="3"/>
  <c r="CC39" i="3" s="1"/>
  <c r="E39" i="3"/>
  <c r="BN39" i="3" s="1"/>
  <c r="BE39" i="3"/>
  <c r="DN39" i="3" s="1"/>
  <c r="AK39" i="3"/>
  <c r="CT39" i="3" s="1"/>
  <c r="S39" i="3"/>
  <c r="CB39" i="3" s="1"/>
  <c r="BD43" i="3"/>
  <c r="DM43" i="3" s="1"/>
  <c r="AT43" i="3"/>
  <c r="DC43" i="3" s="1"/>
  <c r="AJ43" i="3"/>
  <c r="CS43" i="3" s="1"/>
  <c r="Z43" i="3"/>
  <c r="CI43" i="3" s="1"/>
  <c r="P43" i="3"/>
  <c r="BY43" i="3" s="1"/>
  <c r="F43" i="3"/>
  <c r="BO43" i="3" s="1"/>
  <c r="BC43" i="3"/>
  <c r="DL43" i="3" s="1"/>
  <c r="AS43" i="3"/>
  <c r="DB43" i="3" s="1"/>
  <c r="AI43" i="3"/>
  <c r="CR43" i="3" s="1"/>
  <c r="Y43" i="3"/>
  <c r="CH43" i="3" s="1"/>
  <c r="O43" i="3"/>
  <c r="BX43" i="3" s="1"/>
  <c r="E43" i="3"/>
  <c r="BN43" i="3" s="1"/>
  <c r="BF43" i="3"/>
  <c r="DO43" i="3" s="1"/>
  <c r="AV43" i="3"/>
  <c r="DE43" i="3" s="1"/>
  <c r="AL43" i="3"/>
  <c r="CU43" i="3" s="1"/>
  <c r="AB43" i="3"/>
  <c r="CK43" i="3" s="1"/>
  <c r="R43" i="3"/>
  <c r="CA43" i="3" s="1"/>
  <c r="H43" i="3"/>
  <c r="BQ43" i="3" s="1"/>
  <c r="BG43" i="3"/>
  <c r="DP43" i="3" s="1"/>
  <c r="AQ43" i="3"/>
  <c r="CZ43" i="3" s="1"/>
  <c r="AD43" i="3"/>
  <c r="CM43" i="3" s="1"/>
  <c r="N43" i="3"/>
  <c r="BW43" i="3" s="1"/>
  <c r="BE43" i="3"/>
  <c r="DN43" i="3" s="1"/>
  <c r="AP43" i="3"/>
  <c r="CY43" i="3" s="1"/>
  <c r="AC43" i="3"/>
  <c r="CL43" i="3" s="1"/>
  <c r="M43" i="3"/>
  <c r="BV43" i="3" s="1"/>
  <c r="BB43" i="3"/>
  <c r="DK43" i="3" s="1"/>
  <c r="AO43" i="3"/>
  <c r="CX43" i="3" s="1"/>
  <c r="AA43" i="3"/>
  <c r="CJ43" i="3" s="1"/>
  <c r="L43" i="3"/>
  <c r="BU43" i="3" s="1"/>
  <c r="BH43" i="3"/>
  <c r="DQ43" i="3" s="1"/>
  <c r="AR43" i="3"/>
  <c r="DA43" i="3" s="1"/>
  <c r="AE43" i="3"/>
  <c r="CN43" i="3" s="1"/>
  <c r="Q43" i="3"/>
  <c r="BZ43" i="3" s="1"/>
  <c r="BJ43" i="3"/>
  <c r="DS43" i="3" s="1"/>
  <c r="AK43" i="3"/>
  <c r="CT43" i="3" s="1"/>
  <c r="K43" i="3"/>
  <c r="BT43" i="3" s="1"/>
  <c r="BI43" i="3"/>
  <c r="DR43" i="3" s="1"/>
  <c r="AH43" i="3"/>
  <c r="CQ43" i="3" s="1"/>
  <c r="J43" i="3"/>
  <c r="BS43" i="3" s="1"/>
  <c r="BA43" i="3"/>
  <c r="DJ43" i="3" s="1"/>
  <c r="AG43" i="3"/>
  <c r="CP43" i="3" s="1"/>
  <c r="I43" i="3"/>
  <c r="BR43" i="3" s="1"/>
  <c r="AZ43" i="3"/>
  <c r="DI43" i="3" s="1"/>
  <c r="AF43" i="3"/>
  <c r="CO43" i="3" s="1"/>
  <c r="G43" i="3"/>
  <c r="BP43" i="3" s="1"/>
  <c r="AY43" i="3"/>
  <c r="DH43" i="3" s="1"/>
  <c r="X43" i="3"/>
  <c r="CG43" i="3" s="1"/>
  <c r="AX43" i="3"/>
  <c r="DG43" i="3" s="1"/>
  <c r="W43" i="3"/>
  <c r="CF43" i="3" s="1"/>
  <c r="AW43" i="3"/>
  <c r="DF43" i="3" s="1"/>
  <c r="V43" i="3"/>
  <c r="CE43" i="3" s="1"/>
  <c r="AU43" i="3"/>
  <c r="DD43" i="3" s="1"/>
  <c r="U43" i="3"/>
  <c r="CD43" i="3" s="1"/>
  <c r="BL43" i="3"/>
  <c r="DU43" i="3" s="1"/>
  <c r="AN43" i="3"/>
  <c r="CW43" i="3" s="1"/>
  <c r="T43" i="3"/>
  <c r="CC43" i="3" s="1"/>
  <c r="BK43" i="3"/>
  <c r="DT43" i="3" s="1"/>
  <c r="AM43" i="3"/>
  <c r="CV43" i="3" s="1"/>
  <c r="S43" i="3"/>
  <c r="CB43" i="3" s="1"/>
  <c r="K71" i="2"/>
  <c r="L71" i="2" s="1"/>
  <c r="BD58" i="3"/>
  <c r="DM58" i="3" s="1"/>
  <c r="AT58" i="3"/>
  <c r="DC58" i="3" s="1"/>
  <c r="AJ58" i="3"/>
  <c r="CS58" i="3" s="1"/>
  <c r="Z58" i="3"/>
  <c r="CI58" i="3" s="1"/>
  <c r="P58" i="3"/>
  <c r="BY58" i="3" s="1"/>
  <c r="F58" i="3"/>
  <c r="BO58" i="3" s="1"/>
  <c r="BC58" i="3"/>
  <c r="DL58" i="3" s="1"/>
  <c r="AS58" i="3"/>
  <c r="DB58" i="3" s="1"/>
  <c r="AI58" i="3"/>
  <c r="CR58" i="3" s="1"/>
  <c r="Y58" i="3"/>
  <c r="CH58" i="3" s="1"/>
  <c r="O58" i="3"/>
  <c r="BX58" i="3" s="1"/>
  <c r="E58" i="3"/>
  <c r="BN58" i="3" s="1"/>
  <c r="BF58" i="3"/>
  <c r="DO58" i="3" s="1"/>
  <c r="AV58" i="3"/>
  <c r="DE58" i="3" s="1"/>
  <c r="AL58" i="3"/>
  <c r="CU58" i="3" s="1"/>
  <c r="AB58" i="3"/>
  <c r="CK58" i="3" s="1"/>
  <c r="R58" i="3"/>
  <c r="CA58" i="3" s="1"/>
  <c r="H58" i="3"/>
  <c r="BQ58" i="3" s="1"/>
  <c r="BB58" i="3"/>
  <c r="DK58" i="3" s="1"/>
  <c r="AO58" i="3"/>
  <c r="CX58" i="3" s="1"/>
  <c r="AA58" i="3"/>
  <c r="CJ58" i="3" s="1"/>
  <c r="L58" i="3"/>
  <c r="BU58" i="3" s="1"/>
  <c r="BA58" i="3"/>
  <c r="DJ58" i="3" s="1"/>
  <c r="AN58" i="3"/>
  <c r="CW58" i="3" s="1"/>
  <c r="X58" i="3"/>
  <c r="CG58" i="3" s="1"/>
  <c r="K58" i="3"/>
  <c r="BT58" i="3" s="1"/>
  <c r="AZ58" i="3"/>
  <c r="DI58" i="3" s="1"/>
  <c r="AM58" i="3"/>
  <c r="CV58" i="3" s="1"/>
  <c r="W58" i="3"/>
  <c r="CF58" i="3" s="1"/>
  <c r="J58" i="3"/>
  <c r="BS58" i="3" s="1"/>
  <c r="BE58" i="3"/>
  <c r="DN58" i="3" s="1"/>
  <c r="AP58" i="3"/>
  <c r="CY58" i="3" s="1"/>
  <c r="AC58" i="3"/>
  <c r="CL58" i="3" s="1"/>
  <c r="M58" i="3"/>
  <c r="BV58" i="3" s="1"/>
  <c r="BH58" i="3"/>
  <c r="DQ58" i="3" s="1"/>
  <c r="AG58" i="3"/>
  <c r="CP58" i="3" s="1"/>
  <c r="I58" i="3"/>
  <c r="BR58" i="3" s="1"/>
  <c r="BG58" i="3"/>
  <c r="DP58" i="3" s="1"/>
  <c r="AF58" i="3"/>
  <c r="CO58" i="3" s="1"/>
  <c r="G58" i="3"/>
  <c r="BP58" i="3" s="1"/>
  <c r="AY58" i="3"/>
  <c r="DH58" i="3" s="1"/>
  <c r="AE58" i="3"/>
  <c r="CN58" i="3" s="1"/>
  <c r="AX58" i="3"/>
  <c r="DG58" i="3" s="1"/>
  <c r="AD58" i="3"/>
  <c r="CM58" i="3" s="1"/>
  <c r="AW58" i="3"/>
  <c r="DF58" i="3" s="1"/>
  <c r="V58" i="3"/>
  <c r="CE58" i="3" s="1"/>
  <c r="AU58" i="3"/>
  <c r="DD58" i="3" s="1"/>
  <c r="U58" i="3"/>
  <c r="CD58" i="3" s="1"/>
  <c r="BL58" i="3"/>
  <c r="DU58" i="3" s="1"/>
  <c r="AR58" i="3"/>
  <c r="DA58" i="3" s="1"/>
  <c r="T58" i="3"/>
  <c r="CC58" i="3" s="1"/>
  <c r="BK58" i="3"/>
  <c r="DT58" i="3" s="1"/>
  <c r="AQ58" i="3"/>
  <c r="CZ58" i="3" s="1"/>
  <c r="S58" i="3"/>
  <c r="CB58" i="3" s="1"/>
  <c r="BJ58" i="3"/>
  <c r="DS58" i="3" s="1"/>
  <c r="AK58" i="3"/>
  <c r="CT58" i="3" s="1"/>
  <c r="Q58" i="3"/>
  <c r="BZ58" i="3" s="1"/>
  <c r="BI58" i="3"/>
  <c r="DR58" i="3" s="1"/>
  <c r="AH58" i="3"/>
  <c r="CQ58" i="3" s="1"/>
  <c r="N58" i="3"/>
  <c r="BW58" i="3" s="1"/>
  <c r="N85" i="2"/>
  <c r="O85" i="2"/>
  <c r="BD13" i="3"/>
  <c r="DM13" i="3" s="1"/>
  <c r="AT13" i="3"/>
  <c r="DC13" i="3" s="1"/>
  <c r="AJ13" i="3"/>
  <c r="CS13" i="3" s="1"/>
  <c r="Z13" i="3"/>
  <c r="CI13" i="3" s="1"/>
  <c r="P13" i="3"/>
  <c r="BY13" i="3" s="1"/>
  <c r="F13" i="3"/>
  <c r="BO13" i="3" s="1"/>
  <c r="BC13" i="3"/>
  <c r="DL13" i="3" s="1"/>
  <c r="AS13" i="3"/>
  <c r="DB13" i="3" s="1"/>
  <c r="AI13" i="3"/>
  <c r="CR13" i="3" s="1"/>
  <c r="Y13" i="3"/>
  <c r="CH13" i="3" s="1"/>
  <c r="O13" i="3"/>
  <c r="BX13" i="3" s="1"/>
  <c r="E13" i="3"/>
  <c r="BN13" i="3" s="1"/>
  <c r="BF13" i="3"/>
  <c r="DO13" i="3" s="1"/>
  <c r="AR13" i="3"/>
  <c r="DA13" i="3" s="1"/>
  <c r="AF13" i="3"/>
  <c r="CO13" i="3" s="1"/>
  <c r="T13" i="3"/>
  <c r="CC13" i="3" s="1"/>
  <c r="H13" i="3"/>
  <c r="BQ13" i="3" s="1"/>
  <c r="BE13" i="3"/>
  <c r="DN13" i="3" s="1"/>
  <c r="AQ13" i="3"/>
  <c r="CZ13" i="3" s="1"/>
  <c r="AE13" i="3"/>
  <c r="CN13" i="3" s="1"/>
  <c r="S13" i="3"/>
  <c r="CB13" i="3" s="1"/>
  <c r="G13" i="3"/>
  <c r="BP13" i="3" s="1"/>
  <c r="BB13" i="3"/>
  <c r="DK13" i="3" s="1"/>
  <c r="AP13" i="3"/>
  <c r="CY13" i="3" s="1"/>
  <c r="AD13" i="3"/>
  <c r="CM13" i="3" s="1"/>
  <c r="R13" i="3"/>
  <c r="CA13" i="3" s="1"/>
  <c r="BG13" i="3"/>
  <c r="DP13" i="3" s="1"/>
  <c r="AM13" i="3"/>
  <c r="CV13" i="3" s="1"/>
  <c r="V13" i="3"/>
  <c r="CE13" i="3" s="1"/>
  <c r="BA13" i="3"/>
  <c r="DJ13" i="3" s="1"/>
  <c r="AL13" i="3"/>
  <c r="CU13" i="3" s="1"/>
  <c r="U13" i="3"/>
  <c r="CD13" i="3" s="1"/>
  <c r="AZ13" i="3"/>
  <c r="DI13" i="3" s="1"/>
  <c r="AK13" i="3"/>
  <c r="CT13" i="3" s="1"/>
  <c r="Q13" i="3"/>
  <c r="BZ13" i="3" s="1"/>
  <c r="AY13" i="3"/>
  <c r="DH13" i="3" s="1"/>
  <c r="AH13" i="3"/>
  <c r="CQ13" i="3" s="1"/>
  <c r="N13" i="3"/>
  <c r="BW13" i="3" s="1"/>
  <c r="AX13" i="3"/>
  <c r="DG13" i="3" s="1"/>
  <c r="AG13" i="3"/>
  <c r="CP13" i="3" s="1"/>
  <c r="M13" i="3"/>
  <c r="BV13" i="3" s="1"/>
  <c r="BL13" i="3"/>
  <c r="DU13" i="3" s="1"/>
  <c r="AW13" i="3"/>
  <c r="DF13" i="3" s="1"/>
  <c r="AC13" i="3"/>
  <c r="CL13" i="3" s="1"/>
  <c r="L13" i="3"/>
  <c r="BU13" i="3" s="1"/>
  <c r="BK13" i="3"/>
  <c r="DT13" i="3" s="1"/>
  <c r="AV13" i="3"/>
  <c r="DE13" i="3" s="1"/>
  <c r="AB13" i="3"/>
  <c r="CK13" i="3" s="1"/>
  <c r="K13" i="3"/>
  <c r="BT13" i="3" s="1"/>
  <c r="BJ13" i="3"/>
  <c r="DS13" i="3" s="1"/>
  <c r="AU13" i="3"/>
  <c r="DD13" i="3" s="1"/>
  <c r="AA13" i="3"/>
  <c r="CJ13" i="3" s="1"/>
  <c r="J13" i="3"/>
  <c r="BS13" i="3" s="1"/>
  <c r="BI13" i="3"/>
  <c r="DR13" i="3" s="1"/>
  <c r="AO13" i="3"/>
  <c r="CX13" i="3" s="1"/>
  <c r="X13" i="3"/>
  <c r="CG13" i="3" s="1"/>
  <c r="I13" i="3"/>
  <c r="BR13" i="3" s="1"/>
  <c r="BH13" i="3"/>
  <c r="DQ13" i="3" s="1"/>
  <c r="AN13" i="3"/>
  <c r="CW13" i="3" s="1"/>
  <c r="W13" i="3"/>
  <c r="CF13" i="3" s="1"/>
  <c r="BJ83" i="3"/>
  <c r="DS83" i="3" s="1"/>
  <c r="AZ83" i="3"/>
  <c r="DI83" i="3" s="1"/>
  <c r="AP83" i="3"/>
  <c r="CY83" i="3" s="1"/>
  <c r="AF83" i="3"/>
  <c r="CO83" i="3" s="1"/>
  <c r="V83" i="3"/>
  <c r="CE83" i="3" s="1"/>
  <c r="L83" i="3"/>
  <c r="BU83" i="3" s="1"/>
  <c r="BL83" i="3"/>
  <c r="DU83" i="3" s="1"/>
  <c r="BB83" i="3"/>
  <c r="DK83" i="3" s="1"/>
  <c r="AR83" i="3"/>
  <c r="DA83" i="3" s="1"/>
  <c r="AH83" i="3"/>
  <c r="CQ83" i="3" s="1"/>
  <c r="X83" i="3"/>
  <c r="CG83" i="3" s="1"/>
  <c r="N83" i="3"/>
  <c r="BW83" i="3" s="1"/>
  <c r="BK83" i="3"/>
  <c r="DT83" i="3" s="1"/>
  <c r="AX83" i="3"/>
  <c r="DG83" i="3" s="1"/>
  <c r="AL83" i="3"/>
  <c r="CU83" i="3" s="1"/>
  <c r="Z83" i="3"/>
  <c r="CI83" i="3" s="1"/>
  <c r="M83" i="3"/>
  <c r="BV83" i="3" s="1"/>
  <c r="BI83" i="3"/>
  <c r="DR83" i="3" s="1"/>
  <c r="AW83" i="3"/>
  <c r="DF83" i="3" s="1"/>
  <c r="AK83" i="3"/>
  <c r="CT83" i="3" s="1"/>
  <c r="Y83" i="3"/>
  <c r="CH83" i="3" s="1"/>
  <c r="K83" i="3"/>
  <c r="BT83" i="3" s="1"/>
  <c r="AY83" i="3"/>
  <c r="DH83" i="3" s="1"/>
  <c r="AI83" i="3"/>
  <c r="CR83" i="3" s="1"/>
  <c r="S83" i="3"/>
  <c r="CB83" i="3" s="1"/>
  <c r="E83" i="3"/>
  <c r="BN83" i="3" s="1"/>
  <c r="AV83" i="3"/>
  <c r="DE83" i="3" s="1"/>
  <c r="AG83" i="3"/>
  <c r="CP83" i="3" s="1"/>
  <c r="R83" i="3"/>
  <c r="CA83" i="3" s="1"/>
  <c r="AU83" i="3"/>
  <c r="DD83" i="3" s="1"/>
  <c r="AE83" i="3"/>
  <c r="CN83" i="3" s="1"/>
  <c r="Q83" i="3"/>
  <c r="BZ83" i="3" s="1"/>
  <c r="BH83" i="3"/>
  <c r="DQ83" i="3" s="1"/>
  <c r="AT83" i="3"/>
  <c r="DC83" i="3" s="1"/>
  <c r="AD83" i="3"/>
  <c r="CM83" i="3" s="1"/>
  <c r="P83" i="3"/>
  <c r="BY83" i="3" s="1"/>
  <c r="BG83" i="3"/>
  <c r="DP83" i="3" s="1"/>
  <c r="AS83" i="3"/>
  <c r="DB83" i="3" s="1"/>
  <c r="AC83" i="3"/>
  <c r="CL83" i="3" s="1"/>
  <c r="O83" i="3"/>
  <c r="BX83" i="3" s="1"/>
  <c r="BC83" i="3"/>
  <c r="DL83" i="3" s="1"/>
  <c r="AM83" i="3"/>
  <c r="CV83" i="3" s="1"/>
  <c r="U83" i="3"/>
  <c r="CD83" i="3" s="1"/>
  <c r="G83" i="3"/>
  <c r="BP83" i="3" s="1"/>
  <c r="AO83" i="3"/>
  <c r="CX83" i="3" s="1"/>
  <c r="F83" i="3"/>
  <c r="BO83" i="3" s="1"/>
  <c r="AN83" i="3"/>
  <c r="CW83" i="3" s="1"/>
  <c r="AJ83" i="3"/>
  <c r="CS83" i="3" s="1"/>
  <c r="AB83" i="3"/>
  <c r="CK83" i="3" s="1"/>
  <c r="AA83" i="3"/>
  <c r="CJ83" i="3" s="1"/>
  <c r="BF83" i="3"/>
  <c r="DO83" i="3" s="1"/>
  <c r="W83" i="3"/>
  <c r="CF83" i="3" s="1"/>
  <c r="BE83" i="3"/>
  <c r="DN83" i="3" s="1"/>
  <c r="T83" i="3"/>
  <c r="CC83" i="3" s="1"/>
  <c r="BD83" i="3"/>
  <c r="DM83" i="3" s="1"/>
  <c r="J83" i="3"/>
  <c r="BS83" i="3" s="1"/>
  <c r="BA83" i="3"/>
  <c r="DJ83" i="3" s="1"/>
  <c r="I83" i="3"/>
  <c r="BR83" i="3" s="1"/>
  <c r="AQ83" i="3"/>
  <c r="CZ83" i="3" s="1"/>
  <c r="H83" i="3"/>
  <c r="BQ83" i="3" s="1"/>
  <c r="BL80" i="3"/>
  <c r="DU80" i="3" s="1"/>
  <c r="BB80" i="3"/>
  <c r="DK80" i="3" s="1"/>
  <c r="AR80" i="3"/>
  <c r="DA80" i="3" s="1"/>
  <c r="AH80" i="3"/>
  <c r="CQ80" i="3" s="1"/>
  <c r="X80" i="3"/>
  <c r="CG80" i="3" s="1"/>
  <c r="N80" i="3"/>
  <c r="BW80" i="3" s="1"/>
  <c r="BD80" i="3"/>
  <c r="DM80" i="3" s="1"/>
  <c r="AT80" i="3"/>
  <c r="DC80" i="3" s="1"/>
  <c r="AJ80" i="3"/>
  <c r="CS80" i="3" s="1"/>
  <c r="Z80" i="3"/>
  <c r="CI80" i="3" s="1"/>
  <c r="P80" i="3"/>
  <c r="BY80" i="3" s="1"/>
  <c r="F80" i="3"/>
  <c r="BO80" i="3" s="1"/>
  <c r="BH80" i="3"/>
  <c r="DQ80" i="3" s="1"/>
  <c r="AV80" i="3"/>
  <c r="DE80" i="3" s="1"/>
  <c r="AI80" i="3"/>
  <c r="CR80" i="3" s="1"/>
  <c r="V80" i="3"/>
  <c r="CE80" i="3" s="1"/>
  <c r="J80" i="3"/>
  <c r="BS80" i="3" s="1"/>
  <c r="BG80" i="3"/>
  <c r="DP80" i="3" s="1"/>
  <c r="AU80" i="3"/>
  <c r="DD80" i="3" s="1"/>
  <c r="AG80" i="3"/>
  <c r="CP80" i="3" s="1"/>
  <c r="U80" i="3"/>
  <c r="CD80" i="3" s="1"/>
  <c r="I80" i="3"/>
  <c r="BR80" i="3" s="1"/>
  <c r="BK80" i="3"/>
  <c r="DT80" i="3" s="1"/>
  <c r="AW80" i="3"/>
  <c r="DF80" i="3" s="1"/>
  <c r="AE80" i="3"/>
  <c r="CN80" i="3" s="1"/>
  <c r="Q80" i="3"/>
  <c r="BZ80" i="3" s="1"/>
  <c r="BJ80" i="3"/>
  <c r="DS80" i="3" s="1"/>
  <c r="AS80" i="3"/>
  <c r="DB80" i="3" s="1"/>
  <c r="AD80" i="3"/>
  <c r="CM80" i="3" s="1"/>
  <c r="O80" i="3"/>
  <c r="BX80" i="3" s="1"/>
  <c r="BI80" i="3"/>
  <c r="DR80" i="3" s="1"/>
  <c r="AQ80" i="3"/>
  <c r="CZ80" i="3" s="1"/>
  <c r="AC80" i="3"/>
  <c r="CL80" i="3" s="1"/>
  <c r="M80" i="3"/>
  <c r="BV80" i="3" s="1"/>
  <c r="BF80" i="3"/>
  <c r="DO80" i="3" s="1"/>
  <c r="AP80" i="3"/>
  <c r="CY80" i="3" s="1"/>
  <c r="AB80" i="3"/>
  <c r="CK80" i="3" s="1"/>
  <c r="L80" i="3"/>
  <c r="BU80" i="3" s="1"/>
  <c r="BE80" i="3"/>
  <c r="DN80" i="3" s="1"/>
  <c r="AO80" i="3"/>
  <c r="CX80" i="3" s="1"/>
  <c r="AY80" i="3"/>
  <c r="DH80" i="3" s="1"/>
  <c r="AK80" i="3"/>
  <c r="CT80" i="3" s="1"/>
  <c r="S80" i="3"/>
  <c r="CB80" i="3" s="1"/>
  <c r="Y80" i="3"/>
  <c r="CH80" i="3" s="1"/>
  <c r="BC80" i="3"/>
  <c r="DL80" i="3" s="1"/>
  <c r="W80" i="3"/>
  <c r="CF80" i="3" s="1"/>
  <c r="BA80" i="3"/>
  <c r="DJ80" i="3" s="1"/>
  <c r="T80" i="3"/>
  <c r="CC80" i="3" s="1"/>
  <c r="AZ80" i="3"/>
  <c r="DI80" i="3" s="1"/>
  <c r="R80" i="3"/>
  <c r="CA80" i="3" s="1"/>
  <c r="AX80" i="3"/>
  <c r="DG80" i="3" s="1"/>
  <c r="K80" i="3"/>
  <c r="BT80" i="3" s="1"/>
  <c r="AN80" i="3"/>
  <c r="CW80" i="3" s="1"/>
  <c r="H80" i="3"/>
  <c r="BQ80" i="3" s="1"/>
  <c r="AM80" i="3"/>
  <c r="CV80" i="3" s="1"/>
  <c r="G80" i="3"/>
  <c r="BP80" i="3" s="1"/>
  <c r="AL80" i="3"/>
  <c r="CU80" i="3" s="1"/>
  <c r="E80" i="3"/>
  <c r="BN80" i="3" s="1"/>
  <c r="AF80" i="3"/>
  <c r="CO80" i="3" s="1"/>
  <c r="AA80" i="3"/>
  <c r="CJ80" i="3" s="1"/>
  <c r="BF180" i="3"/>
  <c r="DO180" i="3" s="1"/>
  <c r="AV180" i="3"/>
  <c r="DE180" i="3" s="1"/>
  <c r="AL180" i="3"/>
  <c r="CU180" i="3" s="1"/>
  <c r="AB180" i="3"/>
  <c r="CK180" i="3" s="1"/>
  <c r="R180" i="3"/>
  <c r="CA180" i="3" s="1"/>
  <c r="H180" i="3"/>
  <c r="BQ180" i="3" s="1"/>
  <c r="BE180" i="3"/>
  <c r="DN180" i="3" s="1"/>
  <c r="AU180" i="3"/>
  <c r="DD180" i="3" s="1"/>
  <c r="AK180" i="3"/>
  <c r="CT180" i="3" s="1"/>
  <c r="AA180" i="3"/>
  <c r="CJ180" i="3" s="1"/>
  <c r="Q180" i="3"/>
  <c r="BZ180" i="3" s="1"/>
  <c r="G180" i="3"/>
  <c r="BP180" i="3" s="1"/>
  <c r="BH180" i="3"/>
  <c r="DQ180" i="3" s="1"/>
  <c r="AX180" i="3"/>
  <c r="DG180" i="3" s="1"/>
  <c r="AN180" i="3"/>
  <c r="CW180" i="3" s="1"/>
  <c r="AD180" i="3"/>
  <c r="CM180" i="3" s="1"/>
  <c r="T180" i="3"/>
  <c r="CC180" i="3" s="1"/>
  <c r="J180" i="3"/>
  <c r="BS180" i="3" s="1"/>
  <c r="BB180" i="3"/>
  <c r="DK180" i="3" s="1"/>
  <c r="AO180" i="3"/>
  <c r="CX180" i="3" s="1"/>
  <c r="Y180" i="3"/>
  <c r="CH180" i="3" s="1"/>
  <c r="L180" i="3"/>
  <c r="BU180" i="3" s="1"/>
  <c r="BL180" i="3"/>
  <c r="DU180" i="3" s="1"/>
  <c r="AW180" i="3"/>
  <c r="DF180" i="3" s="1"/>
  <c r="AG180" i="3"/>
  <c r="CP180" i="3" s="1"/>
  <c r="P180" i="3"/>
  <c r="BY180" i="3" s="1"/>
  <c r="BK180" i="3"/>
  <c r="DT180" i="3" s="1"/>
  <c r="AT180" i="3"/>
  <c r="DC180" i="3" s="1"/>
  <c r="AF180" i="3"/>
  <c r="CO180" i="3" s="1"/>
  <c r="O180" i="3"/>
  <c r="BX180" i="3" s="1"/>
  <c r="BJ180" i="3"/>
  <c r="DS180" i="3" s="1"/>
  <c r="AS180" i="3"/>
  <c r="DB180" i="3" s="1"/>
  <c r="AE180" i="3"/>
  <c r="CN180" i="3" s="1"/>
  <c r="N180" i="3"/>
  <c r="BW180" i="3" s="1"/>
  <c r="BI180" i="3"/>
  <c r="DR180" i="3" s="1"/>
  <c r="AR180" i="3"/>
  <c r="DA180" i="3" s="1"/>
  <c r="AC180" i="3"/>
  <c r="CL180" i="3" s="1"/>
  <c r="M180" i="3"/>
  <c r="BV180" i="3" s="1"/>
  <c r="BG180" i="3"/>
  <c r="DP180" i="3" s="1"/>
  <c r="AZ180" i="3"/>
  <c r="DI180" i="3" s="1"/>
  <c r="AI180" i="3"/>
  <c r="CR180" i="3" s="1"/>
  <c r="U180" i="3"/>
  <c r="CD180" i="3" s="1"/>
  <c r="BA180" i="3"/>
  <c r="DJ180" i="3" s="1"/>
  <c r="V180" i="3"/>
  <c r="CE180" i="3" s="1"/>
  <c r="AY180" i="3"/>
  <c r="DH180" i="3" s="1"/>
  <c r="S180" i="3"/>
  <c r="CB180" i="3" s="1"/>
  <c r="AQ180" i="3"/>
  <c r="CZ180" i="3" s="1"/>
  <c r="K180" i="3"/>
  <c r="BT180" i="3" s="1"/>
  <c r="AP180" i="3"/>
  <c r="CY180" i="3" s="1"/>
  <c r="I180" i="3"/>
  <c r="BR180" i="3" s="1"/>
  <c r="AM180" i="3"/>
  <c r="CV180" i="3" s="1"/>
  <c r="F180" i="3"/>
  <c r="BO180" i="3" s="1"/>
  <c r="AJ180" i="3"/>
  <c r="CS180" i="3" s="1"/>
  <c r="E180" i="3"/>
  <c r="BN180" i="3" s="1"/>
  <c r="AH180" i="3"/>
  <c r="CQ180" i="3" s="1"/>
  <c r="BD180" i="3"/>
  <c r="DM180" i="3" s="1"/>
  <c r="X180" i="3"/>
  <c r="CG180" i="3" s="1"/>
  <c r="BC180" i="3"/>
  <c r="DL180" i="3" s="1"/>
  <c r="W180" i="3"/>
  <c r="CF180" i="3" s="1"/>
  <c r="Z180" i="3"/>
  <c r="CI180" i="3" s="1"/>
  <c r="N288" i="2"/>
  <c r="O288" i="2"/>
  <c r="BD97" i="3"/>
  <c r="DM97" i="3" s="1"/>
  <c r="AT97" i="3"/>
  <c r="DC97" i="3" s="1"/>
  <c r="AJ97" i="3"/>
  <c r="CS97" i="3" s="1"/>
  <c r="Z97" i="3"/>
  <c r="CI97" i="3" s="1"/>
  <c r="P97" i="3"/>
  <c r="BY97" i="3" s="1"/>
  <c r="F97" i="3"/>
  <c r="BO97" i="3" s="1"/>
  <c r="BF97" i="3"/>
  <c r="DO97" i="3" s="1"/>
  <c r="AV97" i="3"/>
  <c r="DE97" i="3" s="1"/>
  <c r="AL97" i="3"/>
  <c r="CU97" i="3" s="1"/>
  <c r="AB97" i="3"/>
  <c r="CK97" i="3" s="1"/>
  <c r="R97" i="3"/>
  <c r="CA97" i="3" s="1"/>
  <c r="H97" i="3"/>
  <c r="BQ97" i="3" s="1"/>
  <c r="BE97" i="3"/>
  <c r="DN97" i="3" s="1"/>
  <c r="AU97" i="3"/>
  <c r="DD97" i="3" s="1"/>
  <c r="AK97" i="3"/>
  <c r="CT97" i="3" s="1"/>
  <c r="AA97" i="3"/>
  <c r="CJ97" i="3" s="1"/>
  <c r="Q97" i="3"/>
  <c r="BZ97" i="3" s="1"/>
  <c r="G97" i="3"/>
  <c r="BP97" i="3" s="1"/>
  <c r="BL97" i="3"/>
  <c r="DU97" i="3" s="1"/>
  <c r="AY97" i="3"/>
  <c r="DH97" i="3" s="1"/>
  <c r="AI97" i="3"/>
  <c r="CR97" i="3" s="1"/>
  <c r="V97" i="3"/>
  <c r="CE97" i="3" s="1"/>
  <c r="I97" i="3"/>
  <c r="BR97" i="3" s="1"/>
  <c r="BK97" i="3"/>
  <c r="DT97" i="3" s="1"/>
  <c r="AX97" i="3"/>
  <c r="DG97" i="3" s="1"/>
  <c r="AH97" i="3"/>
  <c r="CQ97" i="3" s="1"/>
  <c r="U97" i="3"/>
  <c r="CD97" i="3" s="1"/>
  <c r="E97" i="3"/>
  <c r="BN97" i="3" s="1"/>
  <c r="BB97" i="3"/>
  <c r="DK97" i="3" s="1"/>
  <c r="AO97" i="3"/>
  <c r="CX97" i="3" s="1"/>
  <c r="Y97" i="3"/>
  <c r="CH97" i="3" s="1"/>
  <c r="L97" i="3"/>
  <c r="BU97" i="3" s="1"/>
  <c r="AW97" i="3"/>
  <c r="DF97" i="3" s="1"/>
  <c r="AD97" i="3"/>
  <c r="CM97" i="3" s="1"/>
  <c r="J97" i="3"/>
  <c r="BS97" i="3" s="1"/>
  <c r="AS97" i="3"/>
  <c r="DB97" i="3" s="1"/>
  <c r="AC97" i="3"/>
  <c r="CL97" i="3" s="1"/>
  <c r="AR97" i="3"/>
  <c r="DA97" i="3" s="1"/>
  <c r="X97" i="3"/>
  <c r="CG97" i="3" s="1"/>
  <c r="BJ97" i="3"/>
  <c r="DS97" i="3" s="1"/>
  <c r="AQ97" i="3"/>
  <c r="CZ97" i="3" s="1"/>
  <c r="W97" i="3"/>
  <c r="CF97" i="3" s="1"/>
  <c r="BI97" i="3"/>
  <c r="DR97" i="3" s="1"/>
  <c r="AP97" i="3"/>
  <c r="CY97" i="3" s="1"/>
  <c r="T97" i="3"/>
  <c r="CC97" i="3" s="1"/>
  <c r="BH97" i="3"/>
  <c r="DQ97" i="3" s="1"/>
  <c r="AN97" i="3"/>
  <c r="CW97" i="3" s="1"/>
  <c r="S97" i="3"/>
  <c r="CB97" i="3" s="1"/>
  <c r="BG97" i="3"/>
  <c r="DP97" i="3" s="1"/>
  <c r="AM97" i="3"/>
  <c r="CV97" i="3" s="1"/>
  <c r="O97" i="3"/>
  <c r="BX97" i="3" s="1"/>
  <c r="BC97" i="3"/>
  <c r="DL97" i="3" s="1"/>
  <c r="AG97" i="3"/>
  <c r="CP97" i="3" s="1"/>
  <c r="N97" i="3"/>
  <c r="BW97" i="3" s="1"/>
  <c r="BA97" i="3"/>
  <c r="DJ97" i="3" s="1"/>
  <c r="AF97" i="3"/>
  <c r="CO97" i="3" s="1"/>
  <c r="M97" i="3"/>
  <c r="BV97" i="3" s="1"/>
  <c r="AZ97" i="3"/>
  <c r="DI97" i="3" s="1"/>
  <c r="AE97" i="3"/>
  <c r="CN97" i="3" s="1"/>
  <c r="K97" i="3"/>
  <c r="BT97" i="3" s="1"/>
  <c r="BI117" i="3"/>
  <c r="DR117" i="3" s="1"/>
  <c r="AY117" i="3"/>
  <c r="DH117" i="3" s="1"/>
  <c r="AO117" i="3"/>
  <c r="CX117" i="3" s="1"/>
  <c r="AE117" i="3"/>
  <c r="CN117" i="3" s="1"/>
  <c r="U117" i="3"/>
  <c r="CD117" i="3" s="1"/>
  <c r="K117" i="3"/>
  <c r="BT117" i="3" s="1"/>
  <c r="BK117" i="3"/>
  <c r="DT117" i="3" s="1"/>
  <c r="BA117" i="3"/>
  <c r="DJ117" i="3" s="1"/>
  <c r="AQ117" i="3"/>
  <c r="CZ117" i="3" s="1"/>
  <c r="AG117" i="3"/>
  <c r="CP117" i="3" s="1"/>
  <c r="W117" i="3"/>
  <c r="CF117" i="3" s="1"/>
  <c r="M117" i="3"/>
  <c r="BV117" i="3" s="1"/>
  <c r="BB117" i="3"/>
  <c r="DK117" i="3" s="1"/>
  <c r="AN117" i="3"/>
  <c r="CW117" i="3" s="1"/>
  <c r="AB117" i="3"/>
  <c r="CK117" i="3" s="1"/>
  <c r="P117" i="3"/>
  <c r="BY117" i="3" s="1"/>
  <c r="BD117" i="3"/>
  <c r="DM117" i="3" s="1"/>
  <c r="AR117" i="3"/>
  <c r="DA117" i="3" s="1"/>
  <c r="AD117" i="3"/>
  <c r="CM117" i="3" s="1"/>
  <c r="R117" i="3"/>
  <c r="CA117" i="3" s="1"/>
  <c r="F117" i="3"/>
  <c r="BO117" i="3" s="1"/>
  <c r="BC117" i="3"/>
  <c r="DL117" i="3" s="1"/>
  <c r="AP117" i="3"/>
  <c r="CY117" i="3" s="1"/>
  <c r="AC117" i="3"/>
  <c r="CL117" i="3" s="1"/>
  <c r="Q117" i="3"/>
  <c r="BZ117" i="3" s="1"/>
  <c r="E117" i="3"/>
  <c r="BN117" i="3" s="1"/>
  <c r="BE117" i="3"/>
  <c r="DN117" i="3" s="1"/>
  <c r="AK117" i="3"/>
  <c r="CT117" i="3" s="1"/>
  <c r="T117" i="3"/>
  <c r="CC117" i="3" s="1"/>
  <c r="AW117" i="3"/>
  <c r="DF117" i="3" s="1"/>
  <c r="AF117" i="3"/>
  <c r="CO117" i="3" s="1"/>
  <c r="J117" i="3"/>
  <c r="BS117" i="3" s="1"/>
  <c r="AV117" i="3"/>
  <c r="DE117" i="3" s="1"/>
  <c r="AA117" i="3"/>
  <c r="CJ117" i="3" s="1"/>
  <c r="I117" i="3"/>
  <c r="BR117" i="3" s="1"/>
  <c r="AU117" i="3"/>
  <c r="DD117" i="3" s="1"/>
  <c r="Z117" i="3"/>
  <c r="CI117" i="3" s="1"/>
  <c r="H117" i="3"/>
  <c r="BQ117" i="3" s="1"/>
  <c r="BL117" i="3"/>
  <c r="DU117" i="3" s="1"/>
  <c r="AT117" i="3"/>
  <c r="DC117" i="3" s="1"/>
  <c r="Y117" i="3"/>
  <c r="CH117" i="3" s="1"/>
  <c r="G117" i="3"/>
  <c r="BP117" i="3" s="1"/>
  <c r="BJ117" i="3"/>
  <c r="DS117" i="3" s="1"/>
  <c r="AS117" i="3"/>
  <c r="DB117" i="3" s="1"/>
  <c r="X117" i="3"/>
  <c r="CG117" i="3" s="1"/>
  <c r="BH117" i="3"/>
  <c r="DQ117" i="3" s="1"/>
  <c r="AM117" i="3"/>
  <c r="CV117" i="3" s="1"/>
  <c r="V117" i="3"/>
  <c r="CE117" i="3" s="1"/>
  <c r="BG117" i="3"/>
  <c r="DP117" i="3" s="1"/>
  <c r="AL117" i="3"/>
  <c r="CU117" i="3" s="1"/>
  <c r="S117" i="3"/>
  <c r="CB117" i="3" s="1"/>
  <c r="BF117" i="3"/>
  <c r="DO117" i="3" s="1"/>
  <c r="AJ117" i="3"/>
  <c r="CS117" i="3" s="1"/>
  <c r="O117" i="3"/>
  <c r="BX117" i="3" s="1"/>
  <c r="AI117" i="3"/>
  <c r="CR117" i="3" s="1"/>
  <c r="AH117" i="3"/>
  <c r="CQ117" i="3" s="1"/>
  <c r="N117" i="3"/>
  <c r="BW117" i="3" s="1"/>
  <c r="L117" i="3"/>
  <c r="BU117" i="3" s="1"/>
  <c r="AZ117" i="3"/>
  <c r="DI117" i="3" s="1"/>
  <c r="AX117" i="3"/>
  <c r="DG117" i="3" s="1"/>
  <c r="BJ64" i="3"/>
  <c r="DS64" i="3" s="1"/>
  <c r="AZ64" i="3"/>
  <c r="DI64" i="3" s="1"/>
  <c r="AP64" i="3"/>
  <c r="CY64" i="3" s="1"/>
  <c r="AF64" i="3"/>
  <c r="CO64" i="3" s="1"/>
  <c r="V64" i="3"/>
  <c r="CE64" i="3" s="1"/>
  <c r="L64" i="3"/>
  <c r="BU64" i="3" s="1"/>
  <c r="BI64" i="3"/>
  <c r="DR64" i="3" s="1"/>
  <c r="AY64" i="3"/>
  <c r="DH64" i="3" s="1"/>
  <c r="AO64" i="3"/>
  <c r="CX64" i="3" s="1"/>
  <c r="AE64" i="3"/>
  <c r="CN64" i="3" s="1"/>
  <c r="U64" i="3"/>
  <c r="CD64" i="3" s="1"/>
  <c r="K64" i="3"/>
  <c r="BT64" i="3" s="1"/>
  <c r="BL64" i="3"/>
  <c r="DU64" i="3" s="1"/>
  <c r="BB64" i="3"/>
  <c r="DK64" i="3" s="1"/>
  <c r="AR64" i="3"/>
  <c r="DA64" i="3" s="1"/>
  <c r="AH64" i="3"/>
  <c r="CQ64" i="3" s="1"/>
  <c r="X64" i="3"/>
  <c r="CG64" i="3" s="1"/>
  <c r="N64" i="3"/>
  <c r="BW64" i="3" s="1"/>
  <c r="BC64" i="3"/>
  <c r="DL64" i="3" s="1"/>
  <c r="AM64" i="3"/>
  <c r="CV64" i="3" s="1"/>
  <c r="Z64" i="3"/>
  <c r="CI64" i="3" s="1"/>
  <c r="J64" i="3"/>
  <c r="BS64" i="3" s="1"/>
  <c r="BA64" i="3"/>
  <c r="DJ64" i="3" s="1"/>
  <c r="AL64" i="3"/>
  <c r="CU64" i="3" s="1"/>
  <c r="Y64" i="3"/>
  <c r="CH64" i="3" s="1"/>
  <c r="I64" i="3"/>
  <c r="BR64" i="3" s="1"/>
  <c r="AX64" i="3"/>
  <c r="DG64" i="3" s="1"/>
  <c r="AK64" i="3"/>
  <c r="CT64" i="3" s="1"/>
  <c r="W64" i="3"/>
  <c r="CF64" i="3" s="1"/>
  <c r="H64" i="3"/>
  <c r="BQ64" i="3" s="1"/>
  <c r="AW64" i="3"/>
  <c r="DF64" i="3" s="1"/>
  <c r="AJ64" i="3"/>
  <c r="CS64" i="3" s="1"/>
  <c r="T64" i="3"/>
  <c r="CC64" i="3" s="1"/>
  <c r="G64" i="3"/>
  <c r="BP64" i="3" s="1"/>
  <c r="BK64" i="3"/>
  <c r="DT64" i="3" s="1"/>
  <c r="AV64" i="3"/>
  <c r="DE64" i="3" s="1"/>
  <c r="AI64" i="3"/>
  <c r="CR64" i="3" s="1"/>
  <c r="S64" i="3"/>
  <c r="CB64" i="3" s="1"/>
  <c r="F64" i="3"/>
  <c r="BO64" i="3" s="1"/>
  <c r="BH64" i="3"/>
  <c r="DQ64" i="3" s="1"/>
  <c r="AU64" i="3"/>
  <c r="DD64" i="3" s="1"/>
  <c r="AG64" i="3"/>
  <c r="CP64" i="3" s="1"/>
  <c r="R64" i="3"/>
  <c r="CA64" i="3" s="1"/>
  <c r="E64" i="3"/>
  <c r="BN64" i="3" s="1"/>
  <c r="BG64" i="3"/>
  <c r="DP64" i="3" s="1"/>
  <c r="AT64" i="3"/>
  <c r="DC64" i="3" s="1"/>
  <c r="AD64" i="3"/>
  <c r="CM64" i="3" s="1"/>
  <c r="Q64" i="3"/>
  <c r="BZ64" i="3" s="1"/>
  <c r="BF64" i="3"/>
  <c r="DO64" i="3" s="1"/>
  <c r="AS64" i="3"/>
  <c r="DB64" i="3" s="1"/>
  <c r="AC64" i="3"/>
  <c r="CL64" i="3" s="1"/>
  <c r="P64" i="3"/>
  <c r="BY64" i="3" s="1"/>
  <c r="BD64" i="3"/>
  <c r="DM64" i="3" s="1"/>
  <c r="AN64" i="3"/>
  <c r="CW64" i="3" s="1"/>
  <c r="AA64" i="3"/>
  <c r="CJ64" i="3" s="1"/>
  <c r="M64" i="3"/>
  <c r="BV64" i="3" s="1"/>
  <c r="BE64" i="3"/>
  <c r="DN64" i="3" s="1"/>
  <c r="AQ64" i="3"/>
  <c r="CZ64" i="3" s="1"/>
  <c r="AB64" i="3"/>
  <c r="CK64" i="3" s="1"/>
  <c r="O64" i="3"/>
  <c r="BX64" i="3" s="1"/>
  <c r="BJ164" i="3"/>
  <c r="DS164" i="3" s="1"/>
  <c r="AZ164" i="3"/>
  <c r="DI164" i="3" s="1"/>
  <c r="AP164" i="3"/>
  <c r="CY164" i="3" s="1"/>
  <c r="AF164" i="3"/>
  <c r="CO164" i="3" s="1"/>
  <c r="V164" i="3"/>
  <c r="CE164" i="3" s="1"/>
  <c r="L164" i="3"/>
  <c r="BU164" i="3" s="1"/>
  <c r="BE164" i="3"/>
  <c r="DN164" i="3" s="1"/>
  <c r="AT164" i="3"/>
  <c r="DC164" i="3" s="1"/>
  <c r="AI164" i="3"/>
  <c r="CR164" i="3" s="1"/>
  <c r="X164" i="3"/>
  <c r="CG164" i="3" s="1"/>
  <c r="M164" i="3"/>
  <c r="BV164" i="3" s="1"/>
  <c r="BD164" i="3"/>
  <c r="DM164" i="3" s="1"/>
  <c r="AS164" i="3"/>
  <c r="DB164" i="3" s="1"/>
  <c r="AH164" i="3"/>
  <c r="CQ164" i="3" s="1"/>
  <c r="W164" i="3"/>
  <c r="CF164" i="3" s="1"/>
  <c r="K164" i="3"/>
  <c r="BT164" i="3" s="1"/>
  <c r="BG164" i="3"/>
  <c r="DP164" i="3" s="1"/>
  <c r="AV164" i="3"/>
  <c r="DE164" i="3" s="1"/>
  <c r="AK164" i="3"/>
  <c r="CT164" i="3" s="1"/>
  <c r="Z164" i="3"/>
  <c r="CI164" i="3" s="1"/>
  <c r="O164" i="3"/>
  <c r="BX164" i="3" s="1"/>
  <c r="BB164" i="3"/>
  <c r="DK164" i="3" s="1"/>
  <c r="AM164" i="3"/>
  <c r="CV164" i="3" s="1"/>
  <c r="U164" i="3"/>
  <c r="CD164" i="3" s="1"/>
  <c r="G164" i="3"/>
  <c r="BP164" i="3" s="1"/>
  <c r="BA164" i="3"/>
  <c r="DJ164" i="3" s="1"/>
  <c r="AL164" i="3"/>
  <c r="CU164" i="3" s="1"/>
  <c r="T164" i="3"/>
  <c r="CC164" i="3" s="1"/>
  <c r="F164" i="3"/>
  <c r="BO164" i="3" s="1"/>
  <c r="AY164" i="3"/>
  <c r="DH164" i="3" s="1"/>
  <c r="AJ164" i="3"/>
  <c r="CS164" i="3" s="1"/>
  <c r="S164" i="3"/>
  <c r="CB164" i="3" s="1"/>
  <c r="E164" i="3"/>
  <c r="BN164" i="3" s="1"/>
  <c r="BF164" i="3"/>
  <c r="DO164" i="3" s="1"/>
  <c r="AO164" i="3"/>
  <c r="CX164" i="3" s="1"/>
  <c r="AA164" i="3"/>
  <c r="CJ164" i="3" s="1"/>
  <c r="I164" i="3"/>
  <c r="BR164" i="3" s="1"/>
  <c r="BC164" i="3"/>
  <c r="DL164" i="3" s="1"/>
  <c r="AN164" i="3"/>
  <c r="CW164" i="3" s="1"/>
  <c r="Y164" i="3"/>
  <c r="CH164" i="3" s="1"/>
  <c r="H164" i="3"/>
  <c r="BQ164" i="3" s="1"/>
  <c r="AG164" i="3"/>
  <c r="CP164" i="3" s="1"/>
  <c r="BL164" i="3"/>
  <c r="DU164" i="3" s="1"/>
  <c r="AE164" i="3"/>
  <c r="CN164" i="3" s="1"/>
  <c r="BK164" i="3"/>
  <c r="DT164" i="3" s="1"/>
  <c r="AD164" i="3"/>
  <c r="CM164" i="3" s="1"/>
  <c r="BI164" i="3"/>
  <c r="DR164" i="3" s="1"/>
  <c r="AC164" i="3"/>
  <c r="CL164" i="3" s="1"/>
  <c r="BH164" i="3"/>
  <c r="DQ164" i="3" s="1"/>
  <c r="AB164" i="3"/>
  <c r="CK164" i="3" s="1"/>
  <c r="AX164" i="3"/>
  <c r="DG164" i="3" s="1"/>
  <c r="R164" i="3"/>
  <c r="CA164" i="3" s="1"/>
  <c r="AW164" i="3"/>
  <c r="DF164" i="3" s="1"/>
  <c r="Q164" i="3"/>
  <c r="BZ164" i="3" s="1"/>
  <c r="AR164" i="3"/>
  <c r="DA164" i="3" s="1"/>
  <c r="N164" i="3"/>
  <c r="BW164" i="3" s="1"/>
  <c r="AQ164" i="3"/>
  <c r="CZ164" i="3" s="1"/>
  <c r="J164" i="3"/>
  <c r="BS164" i="3" s="1"/>
  <c r="AU164" i="3"/>
  <c r="DD164" i="3" s="1"/>
  <c r="P164" i="3"/>
  <c r="BY164" i="3" s="1"/>
  <c r="BJ247" i="3"/>
  <c r="DS247" i="3" s="1"/>
  <c r="AZ247" i="3"/>
  <c r="DI247" i="3" s="1"/>
  <c r="AP247" i="3"/>
  <c r="CY247" i="3" s="1"/>
  <c r="AF247" i="3"/>
  <c r="CO247" i="3" s="1"/>
  <c r="V247" i="3"/>
  <c r="CE247" i="3" s="1"/>
  <c r="L247" i="3"/>
  <c r="BU247" i="3" s="1"/>
  <c r="BI247" i="3"/>
  <c r="DR247" i="3" s="1"/>
  <c r="AY247" i="3"/>
  <c r="DH247" i="3" s="1"/>
  <c r="AO247" i="3"/>
  <c r="CX247" i="3" s="1"/>
  <c r="AE247" i="3"/>
  <c r="CN247" i="3" s="1"/>
  <c r="U247" i="3"/>
  <c r="CD247" i="3" s="1"/>
  <c r="K247" i="3"/>
  <c r="BT247" i="3" s="1"/>
  <c r="BF247" i="3"/>
  <c r="DO247" i="3" s="1"/>
  <c r="AT247" i="3"/>
  <c r="DC247" i="3" s="1"/>
  <c r="AH247" i="3"/>
  <c r="CQ247" i="3" s="1"/>
  <c r="T247" i="3"/>
  <c r="CC247" i="3" s="1"/>
  <c r="H247" i="3"/>
  <c r="BQ247" i="3" s="1"/>
  <c r="BA247" i="3"/>
  <c r="DJ247" i="3" s="1"/>
  <c r="AL247" i="3"/>
  <c r="CU247" i="3" s="1"/>
  <c r="Y247" i="3"/>
  <c r="CH247" i="3" s="1"/>
  <c r="J247" i="3"/>
  <c r="BS247" i="3" s="1"/>
  <c r="AX247" i="3"/>
  <c r="DG247" i="3" s="1"/>
  <c r="AK247" i="3"/>
  <c r="CT247" i="3" s="1"/>
  <c r="X247" i="3"/>
  <c r="CG247" i="3" s="1"/>
  <c r="I247" i="3"/>
  <c r="BR247" i="3" s="1"/>
  <c r="BL247" i="3"/>
  <c r="DU247" i="3" s="1"/>
  <c r="AW247" i="3"/>
  <c r="DF247" i="3" s="1"/>
  <c r="AJ247" i="3"/>
  <c r="CS247" i="3" s="1"/>
  <c r="W247" i="3"/>
  <c r="CF247" i="3" s="1"/>
  <c r="G247" i="3"/>
  <c r="BP247" i="3" s="1"/>
  <c r="BK247" i="3"/>
  <c r="DT247" i="3" s="1"/>
  <c r="AV247" i="3"/>
  <c r="DE247" i="3" s="1"/>
  <c r="AI247" i="3"/>
  <c r="CR247" i="3" s="1"/>
  <c r="S247" i="3"/>
  <c r="CB247" i="3" s="1"/>
  <c r="F247" i="3"/>
  <c r="BO247" i="3" s="1"/>
  <c r="BH247" i="3"/>
  <c r="DQ247" i="3" s="1"/>
  <c r="AU247" i="3"/>
  <c r="DD247" i="3" s="1"/>
  <c r="AG247" i="3"/>
  <c r="CP247" i="3" s="1"/>
  <c r="R247" i="3"/>
  <c r="CA247" i="3" s="1"/>
  <c r="E247" i="3"/>
  <c r="BN247" i="3" s="1"/>
  <c r="BG247" i="3"/>
  <c r="DP247" i="3" s="1"/>
  <c r="AS247" i="3"/>
  <c r="DB247" i="3" s="1"/>
  <c r="AD247" i="3"/>
  <c r="CM247" i="3" s="1"/>
  <c r="Q247" i="3"/>
  <c r="BZ247" i="3" s="1"/>
  <c r="BC247" i="3"/>
  <c r="DL247" i="3" s="1"/>
  <c r="AN247" i="3"/>
  <c r="CW247" i="3" s="1"/>
  <c r="AA247" i="3"/>
  <c r="CJ247" i="3" s="1"/>
  <c r="N247" i="3"/>
  <c r="BW247" i="3" s="1"/>
  <c r="AM247" i="3"/>
  <c r="CV247" i="3" s="1"/>
  <c r="AC247" i="3"/>
  <c r="CL247" i="3" s="1"/>
  <c r="AB247" i="3"/>
  <c r="CK247" i="3" s="1"/>
  <c r="AR247" i="3"/>
  <c r="DA247" i="3" s="1"/>
  <c r="BE247" i="3"/>
  <c r="DN247" i="3" s="1"/>
  <c r="BD247" i="3"/>
  <c r="DM247" i="3" s="1"/>
  <c r="BB247" i="3"/>
  <c r="DK247" i="3" s="1"/>
  <c r="AQ247" i="3"/>
  <c r="CZ247" i="3" s="1"/>
  <c r="Z247" i="3"/>
  <c r="CI247" i="3" s="1"/>
  <c r="P247" i="3"/>
  <c r="BY247" i="3" s="1"/>
  <c r="O247" i="3"/>
  <c r="BX247" i="3" s="1"/>
  <c r="M247" i="3"/>
  <c r="BV247" i="3" s="1"/>
  <c r="N165" i="2"/>
  <c r="O165" i="2"/>
  <c r="K193" i="2"/>
  <c r="L193" i="2" s="1"/>
  <c r="N221" i="2"/>
  <c r="O221" i="2"/>
  <c r="BH260" i="3"/>
  <c r="DQ260" i="3" s="1"/>
  <c r="AX260" i="3"/>
  <c r="DG260" i="3" s="1"/>
  <c r="AN260" i="3"/>
  <c r="CW260" i="3" s="1"/>
  <c r="AD260" i="3"/>
  <c r="CM260" i="3" s="1"/>
  <c r="T260" i="3"/>
  <c r="CC260" i="3" s="1"/>
  <c r="J260" i="3"/>
  <c r="BS260" i="3" s="1"/>
  <c r="BG260" i="3"/>
  <c r="DP260" i="3" s="1"/>
  <c r="AW260" i="3"/>
  <c r="DF260" i="3" s="1"/>
  <c r="AM260" i="3"/>
  <c r="CV260" i="3" s="1"/>
  <c r="AC260" i="3"/>
  <c r="CL260" i="3" s="1"/>
  <c r="S260" i="3"/>
  <c r="CB260" i="3" s="1"/>
  <c r="I260" i="3"/>
  <c r="BR260" i="3" s="1"/>
  <c r="BJ260" i="3"/>
  <c r="DS260" i="3" s="1"/>
  <c r="AZ260" i="3"/>
  <c r="DI260" i="3" s="1"/>
  <c r="AP260" i="3"/>
  <c r="CY260" i="3" s="1"/>
  <c r="AF260" i="3"/>
  <c r="CO260" i="3" s="1"/>
  <c r="V260" i="3"/>
  <c r="CE260" i="3" s="1"/>
  <c r="L260" i="3"/>
  <c r="BU260" i="3" s="1"/>
  <c r="BC260" i="3"/>
  <c r="DL260" i="3" s="1"/>
  <c r="AO260" i="3"/>
  <c r="CX260" i="3" s="1"/>
  <c r="Z260" i="3"/>
  <c r="CI260" i="3" s="1"/>
  <c r="M260" i="3"/>
  <c r="BV260" i="3" s="1"/>
  <c r="BB260" i="3"/>
  <c r="DK260" i="3" s="1"/>
  <c r="AL260" i="3"/>
  <c r="CU260" i="3" s="1"/>
  <c r="Y260" i="3"/>
  <c r="CH260" i="3" s="1"/>
  <c r="K260" i="3"/>
  <c r="BT260" i="3" s="1"/>
  <c r="BA260" i="3"/>
  <c r="DJ260" i="3" s="1"/>
  <c r="AK260" i="3"/>
  <c r="CT260" i="3" s="1"/>
  <c r="X260" i="3"/>
  <c r="CG260" i="3" s="1"/>
  <c r="H260" i="3"/>
  <c r="BQ260" i="3" s="1"/>
  <c r="BD260" i="3"/>
  <c r="DM260" i="3" s="1"/>
  <c r="AQ260" i="3"/>
  <c r="CZ260" i="3" s="1"/>
  <c r="AA260" i="3"/>
  <c r="CJ260" i="3" s="1"/>
  <c r="N260" i="3"/>
  <c r="BW260" i="3" s="1"/>
  <c r="BE260" i="3"/>
  <c r="DN260" i="3" s="1"/>
  <c r="AG260" i="3"/>
  <c r="CP260" i="3" s="1"/>
  <c r="F260" i="3"/>
  <c r="BO260" i="3" s="1"/>
  <c r="AY260" i="3"/>
  <c r="DH260" i="3" s="1"/>
  <c r="AE260" i="3"/>
  <c r="CN260" i="3" s="1"/>
  <c r="E260" i="3"/>
  <c r="BN260" i="3" s="1"/>
  <c r="AV260" i="3"/>
  <c r="DE260" i="3" s="1"/>
  <c r="AB260" i="3"/>
  <c r="CK260" i="3" s="1"/>
  <c r="AU260" i="3"/>
  <c r="DD260" i="3" s="1"/>
  <c r="W260" i="3"/>
  <c r="CF260" i="3" s="1"/>
  <c r="AT260" i="3"/>
  <c r="DC260" i="3" s="1"/>
  <c r="U260" i="3"/>
  <c r="CD260" i="3" s="1"/>
  <c r="AS260" i="3"/>
  <c r="DB260" i="3" s="1"/>
  <c r="R260" i="3"/>
  <c r="CA260" i="3" s="1"/>
  <c r="BI260" i="3"/>
  <c r="DR260" i="3" s="1"/>
  <c r="AI260" i="3"/>
  <c r="CR260" i="3" s="1"/>
  <c r="O260" i="3"/>
  <c r="BX260" i="3" s="1"/>
  <c r="BL260" i="3"/>
  <c r="DU260" i="3" s="1"/>
  <c r="BK260" i="3"/>
  <c r="DT260" i="3" s="1"/>
  <c r="BF260" i="3"/>
  <c r="DO260" i="3" s="1"/>
  <c r="P260" i="3"/>
  <c r="BY260" i="3" s="1"/>
  <c r="Q260" i="3"/>
  <c r="BZ260" i="3" s="1"/>
  <c r="G260" i="3"/>
  <c r="BP260" i="3" s="1"/>
  <c r="AR260" i="3"/>
  <c r="DA260" i="3" s="1"/>
  <c r="AJ260" i="3"/>
  <c r="CS260" i="3" s="1"/>
  <c r="AH260" i="3"/>
  <c r="CQ260" i="3" s="1"/>
  <c r="BJ78" i="3"/>
  <c r="DS78" i="3" s="1"/>
  <c r="AZ78" i="3"/>
  <c r="DI78" i="3" s="1"/>
  <c r="AP78" i="3"/>
  <c r="CY78" i="3" s="1"/>
  <c r="AF78" i="3"/>
  <c r="CO78" i="3" s="1"/>
  <c r="V78" i="3"/>
  <c r="CE78" i="3" s="1"/>
  <c r="L78" i="3"/>
  <c r="BU78" i="3" s="1"/>
  <c r="BL78" i="3"/>
  <c r="DU78" i="3" s="1"/>
  <c r="BB78" i="3"/>
  <c r="DK78" i="3" s="1"/>
  <c r="AR78" i="3"/>
  <c r="DA78" i="3" s="1"/>
  <c r="AH78" i="3"/>
  <c r="CQ78" i="3" s="1"/>
  <c r="X78" i="3"/>
  <c r="CG78" i="3" s="1"/>
  <c r="N78" i="3"/>
  <c r="BW78" i="3" s="1"/>
  <c r="BF78" i="3"/>
  <c r="DO78" i="3" s="1"/>
  <c r="AT78" i="3"/>
  <c r="DC78" i="3" s="1"/>
  <c r="AG78" i="3"/>
  <c r="CP78" i="3" s="1"/>
  <c r="T78" i="3"/>
  <c r="CC78" i="3" s="1"/>
  <c r="H78" i="3"/>
  <c r="BQ78" i="3" s="1"/>
  <c r="BK78" i="3"/>
  <c r="DT78" i="3" s="1"/>
  <c r="AW78" i="3"/>
  <c r="DF78" i="3" s="1"/>
  <c r="AJ78" i="3"/>
  <c r="CS78" i="3" s="1"/>
  <c r="U78" i="3"/>
  <c r="CD78" i="3" s="1"/>
  <c r="G78" i="3"/>
  <c r="BP78" i="3" s="1"/>
  <c r="BI78" i="3"/>
  <c r="DR78" i="3" s="1"/>
  <c r="AV78" i="3"/>
  <c r="DE78" i="3" s="1"/>
  <c r="AI78" i="3"/>
  <c r="CR78" i="3" s="1"/>
  <c r="S78" i="3"/>
  <c r="CB78" i="3" s="1"/>
  <c r="F78" i="3"/>
  <c r="BO78" i="3" s="1"/>
  <c r="BH78" i="3"/>
  <c r="DQ78" i="3" s="1"/>
  <c r="AU78" i="3"/>
  <c r="DD78" i="3" s="1"/>
  <c r="AE78" i="3"/>
  <c r="CN78" i="3" s="1"/>
  <c r="R78" i="3"/>
  <c r="CA78" i="3" s="1"/>
  <c r="E78" i="3"/>
  <c r="BN78" i="3" s="1"/>
  <c r="BG78" i="3"/>
  <c r="DP78" i="3" s="1"/>
  <c r="AS78" i="3"/>
  <c r="DB78" i="3" s="1"/>
  <c r="AD78" i="3"/>
  <c r="CM78" i="3" s="1"/>
  <c r="Q78" i="3"/>
  <c r="BZ78" i="3" s="1"/>
  <c r="AY78" i="3"/>
  <c r="DH78" i="3" s="1"/>
  <c r="AL78" i="3"/>
  <c r="CU78" i="3" s="1"/>
  <c r="Y78" i="3"/>
  <c r="CH78" i="3" s="1"/>
  <c r="J78" i="3"/>
  <c r="BS78" i="3" s="1"/>
  <c r="AO78" i="3"/>
  <c r="CX78" i="3" s="1"/>
  <c r="O78" i="3"/>
  <c r="BX78" i="3" s="1"/>
  <c r="AN78" i="3"/>
  <c r="CW78" i="3" s="1"/>
  <c r="M78" i="3"/>
  <c r="BV78" i="3" s="1"/>
  <c r="AM78" i="3"/>
  <c r="CV78" i="3" s="1"/>
  <c r="K78" i="3"/>
  <c r="BT78" i="3" s="1"/>
  <c r="AK78" i="3"/>
  <c r="CT78" i="3" s="1"/>
  <c r="I78" i="3"/>
  <c r="BR78" i="3" s="1"/>
  <c r="BE78" i="3"/>
  <c r="DN78" i="3" s="1"/>
  <c r="AC78" i="3"/>
  <c r="CL78" i="3" s="1"/>
  <c r="BD78" i="3"/>
  <c r="DM78" i="3" s="1"/>
  <c r="AB78" i="3"/>
  <c r="CK78" i="3" s="1"/>
  <c r="BC78" i="3"/>
  <c r="DL78" i="3" s="1"/>
  <c r="AA78" i="3"/>
  <c r="CJ78" i="3" s="1"/>
  <c r="BA78" i="3"/>
  <c r="DJ78" i="3" s="1"/>
  <c r="Z78" i="3"/>
  <c r="CI78" i="3" s="1"/>
  <c r="AX78" i="3"/>
  <c r="DG78" i="3" s="1"/>
  <c r="W78" i="3"/>
  <c r="CF78" i="3" s="1"/>
  <c r="AQ78" i="3"/>
  <c r="CZ78" i="3" s="1"/>
  <c r="P78" i="3"/>
  <c r="BY78" i="3" s="1"/>
  <c r="BD168" i="3"/>
  <c r="DM168" i="3" s="1"/>
  <c r="AT168" i="3"/>
  <c r="DC168" i="3" s="1"/>
  <c r="AJ168" i="3"/>
  <c r="CS168" i="3" s="1"/>
  <c r="Z168" i="3"/>
  <c r="CI168" i="3" s="1"/>
  <c r="P168" i="3"/>
  <c r="BY168" i="3" s="1"/>
  <c r="F168" i="3"/>
  <c r="BO168" i="3" s="1"/>
  <c r="BC168" i="3"/>
  <c r="DL168" i="3" s="1"/>
  <c r="AS168" i="3"/>
  <c r="DB168" i="3" s="1"/>
  <c r="AI168" i="3"/>
  <c r="CR168" i="3" s="1"/>
  <c r="Y168" i="3"/>
  <c r="CH168" i="3" s="1"/>
  <c r="O168" i="3"/>
  <c r="BX168" i="3" s="1"/>
  <c r="E168" i="3"/>
  <c r="BN168" i="3" s="1"/>
  <c r="BE168" i="3"/>
  <c r="DN168" i="3" s="1"/>
  <c r="AQ168" i="3"/>
  <c r="CZ168" i="3" s="1"/>
  <c r="AE168" i="3"/>
  <c r="CN168" i="3" s="1"/>
  <c r="S168" i="3"/>
  <c r="CB168" i="3" s="1"/>
  <c r="G168" i="3"/>
  <c r="BP168" i="3" s="1"/>
  <c r="BB168" i="3"/>
  <c r="DK168" i="3" s="1"/>
  <c r="AP168" i="3"/>
  <c r="CY168" i="3" s="1"/>
  <c r="AD168" i="3"/>
  <c r="CM168" i="3" s="1"/>
  <c r="R168" i="3"/>
  <c r="CA168" i="3" s="1"/>
  <c r="BA168" i="3"/>
  <c r="DJ168" i="3" s="1"/>
  <c r="AO168" i="3"/>
  <c r="CX168" i="3" s="1"/>
  <c r="AC168" i="3"/>
  <c r="CL168" i="3" s="1"/>
  <c r="Q168" i="3"/>
  <c r="BZ168" i="3" s="1"/>
  <c r="BL168" i="3"/>
  <c r="DU168" i="3" s="1"/>
  <c r="AZ168" i="3"/>
  <c r="DI168" i="3" s="1"/>
  <c r="AN168" i="3"/>
  <c r="CW168" i="3" s="1"/>
  <c r="AB168" i="3"/>
  <c r="CK168" i="3" s="1"/>
  <c r="N168" i="3"/>
  <c r="BW168" i="3" s="1"/>
  <c r="BG168" i="3"/>
  <c r="DP168" i="3" s="1"/>
  <c r="AU168" i="3"/>
  <c r="DD168" i="3" s="1"/>
  <c r="AG168" i="3"/>
  <c r="CP168" i="3" s="1"/>
  <c r="U168" i="3"/>
  <c r="CD168" i="3" s="1"/>
  <c r="I168" i="3"/>
  <c r="BR168" i="3" s="1"/>
  <c r="AV168" i="3"/>
  <c r="DE168" i="3" s="1"/>
  <c r="V168" i="3"/>
  <c r="CE168" i="3" s="1"/>
  <c r="AR168" i="3"/>
  <c r="DA168" i="3" s="1"/>
  <c r="T168" i="3"/>
  <c r="CC168" i="3" s="1"/>
  <c r="BK168" i="3"/>
  <c r="DT168" i="3" s="1"/>
  <c r="AM168" i="3"/>
  <c r="CV168" i="3" s="1"/>
  <c r="M168" i="3"/>
  <c r="BV168" i="3" s="1"/>
  <c r="BJ168" i="3"/>
  <c r="DS168" i="3" s="1"/>
  <c r="AL168" i="3"/>
  <c r="CU168" i="3" s="1"/>
  <c r="L168" i="3"/>
  <c r="BU168" i="3" s="1"/>
  <c r="AX168" i="3"/>
  <c r="DG168" i="3" s="1"/>
  <c r="X168" i="3"/>
  <c r="CG168" i="3" s="1"/>
  <c r="AW168" i="3"/>
  <c r="DF168" i="3" s="1"/>
  <c r="W168" i="3"/>
  <c r="CF168" i="3" s="1"/>
  <c r="BI168" i="3"/>
  <c r="DR168" i="3" s="1"/>
  <c r="H168" i="3"/>
  <c r="BQ168" i="3" s="1"/>
  <c r="BH168" i="3"/>
  <c r="DQ168" i="3" s="1"/>
  <c r="BF168" i="3"/>
  <c r="DO168" i="3" s="1"/>
  <c r="AY168" i="3"/>
  <c r="DH168" i="3" s="1"/>
  <c r="AK168" i="3"/>
  <c r="CT168" i="3" s="1"/>
  <c r="AH168" i="3"/>
  <c r="CQ168" i="3" s="1"/>
  <c r="AF168" i="3"/>
  <c r="CO168" i="3" s="1"/>
  <c r="K168" i="3"/>
  <c r="BT168" i="3" s="1"/>
  <c r="J168" i="3"/>
  <c r="BS168" i="3" s="1"/>
  <c r="AA168" i="3"/>
  <c r="CJ168" i="3" s="1"/>
  <c r="N338" i="2"/>
  <c r="O338" i="2"/>
  <c r="BF165" i="3"/>
  <c r="DO165" i="3" s="1"/>
  <c r="AV165" i="3"/>
  <c r="DE165" i="3" s="1"/>
  <c r="AL165" i="3"/>
  <c r="CU165" i="3" s="1"/>
  <c r="AB165" i="3"/>
  <c r="CK165" i="3" s="1"/>
  <c r="R165" i="3"/>
  <c r="CA165" i="3" s="1"/>
  <c r="H165" i="3"/>
  <c r="BQ165" i="3" s="1"/>
  <c r="BC165" i="3"/>
  <c r="DL165" i="3" s="1"/>
  <c r="AR165" i="3"/>
  <c r="DA165" i="3" s="1"/>
  <c r="AG165" i="3"/>
  <c r="CP165" i="3" s="1"/>
  <c r="V165" i="3"/>
  <c r="CE165" i="3" s="1"/>
  <c r="K165" i="3"/>
  <c r="BT165" i="3" s="1"/>
  <c r="BB165" i="3"/>
  <c r="DK165" i="3" s="1"/>
  <c r="AQ165" i="3"/>
  <c r="CZ165" i="3" s="1"/>
  <c r="AF165" i="3"/>
  <c r="CO165" i="3" s="1"/>
  <c r="U165" i="3"/>
  <c r="CD165" i="3" s="1"/>
  <c r="J165" i="3"/>
  <c r="BS165" i="3" s="1"/>
  <c r="BE165" i="3"/>
  <c r="DN165" i="3" s="1"/>
  <c r="AT165" i="3"/>
  <c r="DC165" i="3" s="1"/>
  <c r="AI165" i="3"/>
  <c r="CR165" i="3" s="1"/>
  <c r="X165" i="3"/>
  <c r="CG165" i="3" s="1"/>
  <c r="M165" i="3"/>
  <c r="BV165" i="3" s="1"/>
  <c r="BG165" i="3"/>
  <c r="DP165" i="3" s="1"/>
  <c r="AO165" i="3"/>
  <c r="CX165" i="3" s="1"/>
  <c r="Z165" i="3"/>
  <c r="CI165" i="3" s="1"/>
  <c r="I165" i="3"/>
  <c r="BR165" i="3" s="1"/>
  <c r="BD165" i="3"/>
  <c r="DM165" i="3" s="1"/>
  <c r="AN165" i="3"/>
  <c r="CW165" i="3" s="1"/>
  <c r="Y165" i="3"/>
  <c r="CH165" i="3" s="1"/>
  <c r="G165" i="3"/>
  <c r="BP165" i="3" s="1"/>
  <c r="BA165" i="3"/>
  <c r="DJ165" i="3" s="1"/>
  <c r="AM165" i="3"/>
  <c r="CV165" i="3" s="1"/>
  <c r="W165" i="3"/>
  <c r="CF165" i="3" s="1"/>
  <c r="F165" i="3"/>
  <c r="BO165" i="3" s="1"/>
  <c r="AZ165" i="3"/>
  <c r="DI165" i="3" s="1"/>
  <c r="BI165" i="3"/>
  <c r="DR165" i="3" s="1"/>
  <c r="AS165" i="3"/>
  <c r="DB165" i="3" s="1"/>
  <c r="AC165" i="3"/>
  <c r="CL165" i="3" s="1"/>
  <c r="N165" i="3"/>
  <c r="BW165" i="3" s="1"/>
  <c r="BH165" i="3"/>
  <c r="DQ165" i="3" s="1"/>
  <c r="AP165" i="3"/>
  <c r="CY165" i="3" s="1"/>
  <c r="AA165" i="3"/>
  <c r="CJ165" i="3" s="1"/>
  <c r="L165" i="3"/>
  <c r="BU165" i="3" s="1"/>
  <c r="AK165" i="3"/>
  <c r="CT165" i="3" s="1"/>
  <c r="E165" i="3"/>
  <c r="BN165" i="3" s="1"/>
  <c r="AJ165" i="3"/>
  <c r="CS165" i="3" s="1"/>
  <c r="AH165" i="3"/>
  <c r="CQ165" i="3" s="1"/>
  <c r="BL165" i="3"/>
  <c r="DU165" i="3" s="1"/>
  <c r="AE165" i="3"/>
  <c r="CN165" i="3" s="1"/>
  <c r="BK165" i="3"/>
  <c r="DT165" i="3" s="1"/>
  <c r="AD165" i="3"/>
  <c r="CM165" i="3" s="1"/>
  <c r="BJ165" i="3"/>
  <c r="DS165" i="3" s="1"/>
  <c r="T165" i="3"/>
  <c r="CC165" i="3" s="1"/>
  <c r="AY165" i="3"/>
  <c r="DH165" i="3" s="1"/>
  <c r="S165" i="3"/>
  <c r="CB165" i="3" s="1"/>
  <c r="AW165" i="3"/>
  <c r="DF165" i="3" s="1"/>
  <c r="P165" i="3"/>
  <c r="BY165" i="3" s="1"/>
  <c r="AU165" i="3"/>
  <c r="DD165" i="3" s="1"/>
  <c r="O165" i="3"/>
  <c r="BX165" i="3" s="1"/>
  <c r="AX165" i="3"/>
  <c r="DG165" i="3" s="1"/>
  <c r="Q165" i="3"/>
  <c r="BZ165" i="3" s="1"/>
  <c r="BH202" i="3"/>
  <c r="DQ202" i="3" s="1"/>
  <c r="AX202" i="3"/>
  <c r="DG202" i="3" s="1"/>
  <c r="AN202" i="3"/>
  <c r="CW202" i="3" s="1"/>
  <c r="AD202" i="3"/>
  <c r="CM202" i="3" s="1"/>
  <c r="T202" i="3"/>
  <c r="CC202" i="3" s="1"/>
  <c r="J202" i="3"/>
  <c r="BS202" i="3" s="1"/>
  <c r="BG202" i="3"/>
  <c r="DP202" i="3" s="1"/>
  <c r="AW202" i="3"/>
  <c r="DF202" i="3" s="1"/>
  <c r="AM202" i="3"/>
  <c r="CV202" i="3" s="1"/>
  <c r="AC202" i="3"/>
  <c r="CL202" i="3" s="1"/>
  <c r="S202" i="3"/>
  <c r="CB202" i="3" s="1"/>
  <c r="I202" i="3"/>
  <c r="BR202" i="3" s="1"/>
  <c r="BJ202" i="3"/>
  <c r="DS202" i="3" s="1"/>
  <c r="AZ202" i="3"/>
  <c r="DI202" i="3" s="1"/>
  <c r="AP202" i="3"/>
  <c r="CY202" i="3" s="1"/>
  <c r="AF202" i="3"/>
  <c r="CO202" i="3" s="1"/>
  <c r="V202" i="3"/>
  <c r="CE202" i="3" s="1"/>
  <c r="L202" i="3"/>
  <c r="BU202" i="3" s="1"/>
  <c r="BB202" i="3"/>
  <c r="DK202" i="3" s="1"/>
  <c r="AL202" i="3"/>
  <c r="CU202" i="3" s="1"/>
  <c r="Y202" i="3"/>
  <c r="CH202" i="3" s="1"/>
  <c r="K202" i="3"/>
  <c r="BT202" i="3" s="1"/>
  <c r="BA202" i="3"/>
  <c r="DJ202" i="3" s="1"/>
  <c r="AK202" i="3"/>
  <c r="CT202" i="3" s="1"/>
  <c r="X202" i="3"/>
  <c r="CG202" i="3" s="1"/>
  <c r="H202" i="3"/>
  <c r="BQ202" i="3" s="1"/>
  <c r="BD202" i="3"/>
  <c r="DM202" i="3" s="1"/>
  <c r="AQ202" i="3"/>
  <c r="CZ202" i="3" s="1"/>
  <c r="AA202" i="3"/>
  <c r="CJ202" i="3" s="1"/>
  <c r="N202" i="3"/>
  <c r="BW202" i="3" s="1"/>
  <c r="BL202" i="3"/>
  <c r="DU202" i="3" s="1"/>
  <c r="AS202" i="3"/>
  <c r="DB202" i="3" s="1"/>
  <c r="W202" i="3"/>
  <c r="CF202" i="3" s="1"/>
  <c r="BK202" i="3"/>
  <c r="DT202" i="3" s="1"/>
  <c r="AR202" i="3"/>
  <c r="DA202" i="3" s="1"/>
  <c r="U202" i="3"/>
  <c r="CD202" i="3" s="1"/>
  <c r="BI202" i="3"/>
  <c r="DR202" i="3" s="1"/>
  <c r="AO202" i="3"/>
  <c r="CX202" i="3" s="1"/>
  <c r="R202" i="3"/>
  <c r="CA202" i="3" s="1"/>
  <c r="BF202" i="3"/>
  <c r="DO202" i="3" s="1"/>
  <c r="AJ202" i="3"/>
  <c r="CS202" i="3" s="1"/>
  <c r="Q202" i="3"/>
  <c r="BZ202" i="3" s="1"/>
  <c r="BE202" i="3"/>
  <c r="DN202" i="3" s="1"/>
  <c r="AI202" i="3"/>
  <c r="CR202" i="3" s="1"/>
  <c r="P202" i="3"/>
  <c r="BY202" i="3" s="1"/>
  <c r="BC202" i="3"/>
  <c r="DL202" i="3" s="1"/>
  <c r="AH202" i="3"/>
  <c r="CQ202" i="3" s="1"/>
  <c r="O202" i="3"/>
  <c r="BX202" i="3" s="1"/>
  <c r="AT202" i="3"/>
  <c r="DC202" i="3" s="1"/>
  <c r="Z202" i="3"/>
  <c r="CI202" i="3" s="1"/>
  <c r="E202" i="3"/>
  <c r="BN202" i="3" s="1"/>
  <c r="AG202" i="3"/>
  <c r="CP202" i="3" s="1"/>
  <c r="AE202" i="3"/>
  <c r="CN202" i="3" s="1"/>
  <c r="AB202" i="3"/>
  <c r="CK202" i="3" s="1"/>
  <c r="M202" i="3"/>
  <c r="BV202" i="3" s="1"/>
  <c r="G202" i="3"/>
  <c r="BP202" i="3" s="1"/>
  <c r="F202" i="3"/>
  <c r="BO202" i="3" s="1"/>
  <c r="AV202" i="3"/>
  <c r="DE202" i="3" s="1"/>
  <c r="AU202" i="3"/>
  <c r="DD202" i="3" s="1"/>
  <c r="AY202" i="3"/>
  <c r="DH202" i="3" s="1"/>
  <c r="BL239" i="3"/>
  <c r="DU239" i="3" s="1"/>
  <c r="BB239" i="3"/>
  <c r="DK239" i="3" s="1"/>
  <c r="AR239" i="3"/>
  <c r="DA239" i="3" s="1"/>
  <c r="AH239" i="3"/>
  <c r="CQ239" i="3" s="1"/>
  <c r="X239" i="3"/>
  <c r="CG239" i="3" s="1"/>
  <c r="N239" i="3"/>
  <c r="BW239" i="3" s="1"/>
  <c r="BA239" i="3"/>
  <c r="DJ239" i="3" s="1"/>
  <c r="AP239" i="3"/>
  <c r="CY239" i="3" s="1"/>
  <c r="AE239" i="3"/>
  <c r="CN239" i="3" s="1"/>
  <c r="T239" i="3"/>
  <c r="CC239" i="3" s="1"/>
  <c r="I239" i="3"/>
  <c r="BR239" i="3" s="1"/>
  <c r="BK239" i="3"/>
  <c r="DT239" i="3" s="1"/>
  <c r="AZ239" i="3"/>
  <c r="DI239" i="3" s="1"/>
  <c r="AO239" i="3"/>
  <c r="CX239" i="3" s="1"/>
  <c r="AD239" i="3"/>
  <c r="CM239" i="3" s="1"/>
  <c r="S239" i="3"/>
  <c r="CB239" i="3" s="1"/>
  <c r="H239" i="3"/>
  <c r="BQ239" i="3" s="1"/>
  <c r="BD239" i="3"/>
  <c r="DM239" i="3" s="1"/>
  <c r="AS239" i="3"/>
  <c r="DB239" i="3" s="1"/>
  <c r="AG239" i="3"/>
  <c r="CP239" i="3" s="1"/>
  <c r="V239" i="3"/>
  <c r="CE239" i="3" s="1"/>
  <c r="K239" i="3"/>
  <c r="BT239" i="3" s="1"/>
  <c r="AY239" i="3"/>
  <c r="DH239" i="3" s="1"/>
  <c r="AK239" i="3"/>
  <c r="CT239" i="3" s="1"/>
  <c r="U239" i="3"/>
  <c r="CD239" i="3" s="1"/>
  <c r="E239" i="3"/>
  <c r="BN239" i="3" s="1"/>
  <c r="AX239" i="3"/>
  <c r="DG239" i="3" s="1"/>
  <c r="AJ239" i="3"/>
  <c r="CS239" i="3" s="1"/>
  <c r="R239" i="3"/>
  <c r="CA239" i="3" s="1"/>
  <c r="BE239" i="3"/>
  <c r="DN239" i="3" s="1"/>
  <c r="AM239" i="3"/>
  <c r="CV239" i="3" s="1"/>
  <c r="Y239" i="3"/>
  <c r="CH239" i="3" s="1"/>
  <c r="G239" i="3"/>
  <c r="BP239" i="3" s="1"/>
  <c r="AU239" i="3"/>
  <c r="DD239" i="3" s="1"/>
  <c r="Z239" i="3"/>
  <c r="CI239" i="3" s="1"/>
  <c r="AT239" i="3"/>
  <c r="DC239" i="3" s="1"/>
  <c r="W239" i="3"/>
  <c r="CF239" i="3" s="1"/>
  <c r="BJ239" i="3"/>
  <c r="DS239" i="3" s="1"/>
  <c r="AQ239" i="3"/>
  <c r="CZ239" i="3" s="1"/>
  <c r="Q239" i="3"/>
  <c r="BZ239" i="3" s="1"/>
  <c r="AI239" i="3"/>
  <c r="CR239" i="3" s="1"/>
  <c r="F239" i="3"/>
  <c r="BO239" i="3" s="1"/>
  <c r="BI239" i="3"/>
  <c r="DR239" i="3" s="1"/>
  <c r="AF239" i="3"/>
  <c r="CO239" i="3" s="1"/>
  <c r="BH239" i="3"/>
  <c r="DQ239" i="3" s="1"/>
  <c r="AC239" i="3"/>
  <c r="CL239" i="3" s="1"/>
  <c r="BG239" i="3"/>
  <c r="DP239" i="3" s="1"/>
  <c r="AB239" i="3"/>
  <c r="CK239" i="3" s="1"/>
  <c r="BF239" i="3"/>
  <c r="DO239" i="3" s="1"/>
  <c r="AA239" i="3"/>
  <c r="CJ239" i="3" s="1"/>
  <c r="BC239" i="3"/>
  <c r="DL239" i="3" s="1"/>
  <c r="P239" i="3"/>
  <c r="BY239" i="3" s="1"/>
  <c r="AW239" i="3"/>
  <c r="DF239" i="3" s="1"/>
  <c r="O239" i="3"/>
  <c r="BX239" i="3" s="1"/>
  <c r="AV239" i="3"/>
  <c r="DE239" i="3" s="1"/>
  <c r="M239" i="3"/>
  <c r="BV239" i="3" s="1"/>
  <c r="AN239" i="3"/>
  <c r="CW239" i="3" s="1"/>
  <c r="L239" i="3"/>
  <c r="BU239" i="3" s="1"/>
  <c r="AL239" i="3"/>
  <c r="CU239" i="3" s="1"/>
  <c r="J239" i="3"/>
  <c r="BS239" i="3" s="1"/>
  <c r="BH297" i="3"/>
  <c r="DQ297" i="3" s="1"/>
  <c r="AX297" i="3"/>
  <c r="DG297" i="3" s="1"/>
  <c r="AN297" i="3"/>
  <c r="CW297" i="3" s="1"/>
  <c r="AD297" i="3"/>
  <c r="CM297" i="3" s="1"/>
  <c r="T297" i="3"/>
  <c r="CC297" i="3" s="1"/>
  <c r="J297" i="3"/>
  <c r="BS297" i="3" s="1"/>
  <c r="BC297" i="3"/>
  <c r="DL297" i="3" s="1"/>
  <c r="AR297" i="3"/>
  <c r="DA297" i="3" s="1"/>
  <c r="AG297" i="3"/>
  <c r="CP297" i="3" s="1"/>
  <c r="V297" i="3"/>
  <c r="CE297" i="3" s="1"/>
  <c r="K297" i="3"/>
  <c r="BT297" i="3" s="1"/>
  <c r="BB297" i="3"/>
  <c r="DK297" i="3" s="1"/>
  <c r="AQ297" i="3"/>
  <c r="CZ297" i="3" s="1"/>
  <c r="AF297" i="3"/>
  <c r="CO297" i="3" s="1"/>
  <c r="U297" i="3"/>
  <c r="CD297" i="3" s="1"/>
  <c r="I297" i="3"/>
  <c r="BR297" i="3" s="1"/>
  <c r="BG297" i="3"/>
  <c r="DP297" i="3" s="1"/>
  <c r="AT297" i="3"/>
  <c r="DC297" i="3" s="1"/>
  <c r="AE297" i="3"/>
  <c r="CN297" i="3" s="1"/>
  <c r="Q297" i="3"/>
  <c r="BZ297" i="3" s="1"/>
  <c r="BF297" i="3"/>
  <c r="DO297" i="3" s="1"/>
  <c r="AS297" i="3"/>
  <c r="DB297" i="3" s="1"/>
  <c r="AC297" i="3"/>
  <c r="CL297" i="3" s="1"/>
  <c r="P297" i="3"/>
  <c r="BY297" i="3" s="1"/>
  <c r="BE297" i="3"/>
  <c r="DN297" i="3" s="1"/>
  <c r="AP297" i="3"/>
  <c r="CY297" i="3" s="1"/>
  <c r="AB297" i="3"/>
  <c r="CK297" i="3" s="1"/>
  <c r="O297" i="3"/>
  <c r="BX297" i="3" s="1"/>
  <c r="BJ297" i="3"/>
  <c r="DS297" i="3" s="1"/>
  <c r="AV297" i="3"/>
  <c r="DE297" i="3" s="1"/>
  <c r="AI297" i="3"/>
  <c r="CR297" i="3" s="1"/>
  <c r="S297" i="3"/>
  <c r="CB297" i="3" s="1"/>
  <c r="F297" i="3"/>
  <c r="BO297" i="3" s="1"/>
  <c r="AO297" i="3"/>
  <c r="CX297" i="3" s="1"/>
  <c r="W297" i="3"/>
  <c r="CF297" i="3" s="1"/>
  <c r="AY297" i="3"/>
  <c r="DH297" i="3" s="1"/>
  <c r="Z297" i="3"/>
  <c r="CI297" i="3" s="1"/>
  <c r="E297" i="3"/>
  <c r="BN297" i="3" s="1"/>
  <c r="AW297" i="3"/>
  <c r="DF297" i="3" s="1"/>
  <c r="Y297" i="3"/>
  <c r="CH297" i="3" s="1"/>
  <c r="BA297" i="3"/>
  <c r="DJ297" i="3" s="1"/>
  <c r="R297" i="3"/>
  <c r="CA297" i="3" s="1"/>
  <c r="AZ297" i="3"/>
  <c r="DI297" i="3" s="1"/>
  <c r="N297" i="3"/>
  <c r="BW297" i="3" s="1"/>
  <c r="AU297" i="3"/>
  <c r="DD297" i="3" s="1"/>
  <c r="M297" i="3"/>
  <c r="BV297" i="3" s="1"/>
  <c r="AM297" i="3"/>
  <c r="CV297" i="3" s="1"/>
  <c r="L297" i="3"/>
  <c r="BU297" i="3" s="1"/>
  <c r="AL297" i="3"/>
  <c r="CU297" i="3" s="1"/>
  <c r="H297" i="3"/>
  <c r="BQ297" i="3" s="1"/>
  <c r="AK297" i="3"/>
  <c r="CT297" i="3" s="1"/>
  <c r="G297" i="3"/>
  <c r="BP297" i="3" s="1"/>
  <c r="BL297" i="3"/>
  <c r="DU297" i="3" s="1"/>
  <c r="AJ297" i="3"/>
  <c r="CS297" i="3" s="1"/>
  <c r="BK297" i="3"/>
  <c r="DT297" i="3" s="1"/>
  <c r="AH297" i="3"/>
  <c r="CQ297" i="3" s="1"/>
  <c r="BI297" i="3"/>
  <c r="DR297" i="3" s="1"/>
  <c r="AA297" i="3"/>
  <c r="CJ297" i="3" s="1"/>
  <c r="BD297" i="3"/>
  <c r="DM297" i="3" s="1"/>
  <c r="X297" i="3"/>
  <c r="CG297" i="3" s="1"/>
  <c r="J91" i="2"/>
  <c r="K91" i="2" s="1"/>
  <c r="L91" i="2" s="1"/>
  <c r="J141" i="2"/>
  <c r="K141" i="2" s="1"/>
  <c r="L141" i="2" s="1"/>
  <c r="BH245" i="3"/>
  <c r="DQ245" i="3" s="1"/>
  <c r="AX245" i="3"/>
  <c r="DG245" i="3" s="1"/>
  <c r="AN245" i="3"/>
  <c r="CW245" i="3" s="1"/>
  <c r="AD245" i="3"/>
  <c r="CM245" i="3" s="1"/>
  <c r="T245" i="3"/>
  <c r="CC245" i="3" s="1"/>
  <c r="J245" i="3"/>
  <c r="BS245" i="3" s="1"/>
  <c r="BG245" i="3"/>
  <c r="DP245" i="3" s="1"/>
  <c r="AW245" i="3"/>
  <c r="DF245" i="3" s="1"/>
  <c r="AM245" i="3"/>
  <c r="CV245" i="3" s="1"/>
  <c r="AC245" i="3"/>
  <c r="CL245" i="3" s="1"/>
  <c r="S245" i="3"/>
  <c r="CB245" i="3" s="1"/>
  <c r="I245" i="3"/>
  <c r="BR245" i="3" s="1"/>
  <c r="BD245" i="3"/>
  <c r="DM245" i="3" s="1"/>
  <c r="AR245" i="3"/>
  <c r="DA245" i="3" s="1"/>
  <c r="AF245" i="3"/>
  <c r="CO245" i="3" s="1"/>
  <c r="R245" i="3"/>
  <c r="CA245" i="3" s="1"/>
  <c r="F245" i="3"/>
  <c r="BO245" i="3" s="1"/>
  <c r="BL245" i="3"/>
  <c r="DU245" i="3" s="1"/>
  <c r="AY245" i="3"/>
  <c r="DH245" i="3" s="1"/>
  <c r="AJ245" i="3"/>
  <c r="CS245" i="3" s="1"/>
  <c r="W245" i="3"/>
  <c r="CF245" i="3" s="1"/>
  <c r="H245" i="3"/>
  <c r="BQ245" i="3" s="1"/>
  <c r="BK245" i="3"/>
  <c r="DT245" i="3" s="1"/>
  <c r="AV245" i="3"/>
  <c r="DE245" i="3" s="1"/>
  <c r="AI245" i="3"/>
  <c r="CR245" i="3" s="1"/>
  <c r="V245" i="3"/>
  <c r="CE245" i="3" s="1"/>
  <c r="G245" i="3"/>
  <c r="BP245" i="3" s="1"/>
  <c r="BJ245" i="3"/>
  <c r="DS245" i="3" s="1"/>
  <c r="AU245" i="3"/>
  <c r="DD245" i="3" s="1"/>
  <c r="AH245" i="3"/>
  <c r="CQ245" i="3" s="1"/>
  <c r="U245" i="3"/>
  <c r="CD245" i="3" s="1"/>
  <c r="E245" i="3"/>
  <c r="BN245" i="3" s="1"/>
  <c r="BI245" i="3"/>
  <c r="DR245" i="3" s="1"/>
  <c r="AT245" i="3"/>
  <c r="DC245" i="3" s="1"/>
  <c r="AG245" i="3"/>
  <c r="CP245" i="3" s="1"/>
  <c r="Q245" i="3"/>
  <c r="BZ245" i="3" s="1"/>
  <c r="BF245" i="3"/>
  <c r="DO245" i="3" s="1"/>
  <c r="AS245" i="3"/>
  <c r="DB245" i="3" s="1"/>
  <c r="AE245" i="3"/>
  <c r="CN245" i="3" s="1"/>
  <c r="P245" i="3"/>
  <c r="BY245" i="3" s="1"/>
  <c r="BA245" i="3"/>
  <c r="DJ245" i="3" s="1"/>
  <c r="AL245" i="3"/>
  <c r="CU245" i="3" s="1"/>
  <c r="Y245" i="3"/>
  <c r="CH245" i="3" s="1"/>
  <c r="L245" i="3"/>
  <c r="BU245" i="3" s="1"/>
  <c r="AB245" i="3"/>
  <c r="CK245" i="3" s="1"/>
  <c r="AA245" i="3"/>
  <c r="CJ245" i="3" s="1"/>
  <c r="AO245" i="3"/>
  <c r="CX245" i="3" s="1"/>
  <c r="AP245" i="3"/>
  <c r="CY245" i="3" s="1"/>
  <c r="AK245" i="3"/>
  <c r="CT245" i="3" s="1"/>
  <c r="Z245" i="3"/>
  <c r="CI245" i="3" s="1"/>
  <c r="O245" i="3"/>
  <c r="BX245" i="3" s="1"/>
  <c r="N245" i="3"/>
  <c r="BW245" i="3" s="1"/>
  <c r="M245" i="3"/>
  <c r="BV245" i="3" s="1"/>
  <c r="K245" i="3"/>
  <c r="BT245" i="3" s="1"/>
  <c r="BE245" i="3"/>
  <c r="DN245" i="3" s="1"/>
  <c r="BC245" i="3"/>
  <c r="DL245" i="3" s="1"/>
  <c r="BB245" i="3"/>
  <c r="DK245" i="3" s="1"/>
  <c r="AZ245" i="3"/>
  <c r="DI245" i="3" s="1"/>
  <c r="AQ245" i="3"/>
  <c r="CZ245" i="3" s="1"/>
  <c r="X245" i="3"/>
  <c r="CG245" i="3" s="1"/>
  <c r="BI159" i="3"/>
  <c r="DR159" i="3" s="1"/>
  <c r="AY159" i="3"/>
  <c r="DH159" i="3" s="1"/>
  <c r="AO159" i="3"/>
  <c r="CX159" i="3" s="1"/>
  <c r="AE159" i="3"/>
  <c r="CN159" i="3" s="1"/>
  <c r="U159" i="3"/>
  <c r="CD159" i="3" s="1"/>
  <c r="K159" i="3"/>
  <c r="BT159" i="3" s="1"/>
  <c r="BH159" i="3"/>
  <c r="DQ159" i="3" s="1"/>
  <c r="AX159" i="3"/>
  <c r="DG159" i="3" s="1"/>
  <c r="AN159" i="3"/>
  <c r="CW159" i="3" s="1"/>
  <c r="AD159" i="3"/>
  <c r="CM159" i="3" s="1"/>
  <c r="T159" i="3"/>
  <c r="CC159" i="3" s="1"/>
  <c r="J159" i="3"/>
  <c r="BS159" i="3" s="1"/>
  <c r="BK159" i="3"/>
  <c r="DT159" i="3" s="1"/>
  <c r="BA159" i="3"/>
  <c r="DJ159" i="3" s="1"/>
  <c r="AQ159" i="3"/>
  <c r="CZ159" i="3" s="1"/>
  <c r="AG159" i="3"/>
  <c r="CP159" i="3" s="1"/>
  <c r="W159" i="3"/>
  <c r="CF159" i="3" s="1"/>
  <c r="M159" i="3"/>
  <c r="BV159" i="3" s="1"/>
  <c r="BC159" i="3"/>
  <c r="DL159" i="3" s="1"/>
  <c r="AM159" i="3"/>
  <c r="CV159" i="3" s="1"/>
  <c r="Z159" i="3"/>
  <c r="CI159" i="3" s="1"/>
  <c r="L159" i="3"/>
  <c r="BU159" i="3" s="1"/>
  <c r="BB159" i="3"/>
  <c r="DK159" i="3" s="1"/>
  <c r="AL159" i="3"/>
  <c r="CU159" i="3" s="1"/>
  <c r="Y159" i="3"/>
  <c r="CH159" i="3" s="1"/>
  <c r="I159" i="3"/>
  <c r="BR159" i="3" s="1"/>
  <c r="AZ159" i="3"/>
  <c r="DI159" i="3" s="1"/>
  <c r="AK159" i="3"/>
  <c r="CT159" i="3" s="1"/>
  <c r="X159" i="3"/>
  <c r="CG159" i="3" s="1"/>
  <c r="H159" i="3"/>
  <c r="BQ159" i="3" s="1"/>
  <c r="BE159" i="3"/>
  <c r="DN159" i="3" s="1"/>
  <c r="AR159" i="3"/>
  <c r="DA159" i="3" s="1"/>
  <c r="AB159" i="3"/>
  <c r="CK159" i="3" s="1"/>
  <c r="O159" i="3"/>
  <c r="BX159" i="3" s="1"/>
  <c r="BD159" i="3"/>
  <c r="DM159" i="3" s="1"/>
  <c r="AP159" i="3"/>
  <c r="CY159" i="3" s="1"/>
  <c r="AA159" i="3"/>
  <c r="CJ159" i="3" s="1"/>
  <c r="N159" i="3"/>
  <c r="BW159" i="3" s="1"/>
  <c r="AW159" i="3"/>
  <c r="DF159" i="3" s="1"/>
  <c r="V159" i="3"/>
  <c r="CE159" i="3" s="1"/>
  <c r="AV159" i="3"/>
  <c r="DE159" i="3" s="1"/>
  <c r="S159" i="3"/>
  <c r="CB159" i="3" s="1"/>
  <c r="AU159" i="3"/>
  <c r="DD159" i="3" s="1"/>
  <c r="R159" i="3"/>
  <c r="CA159" i="3" s="1"/>
  <c r="AT159" i="3"/>
  <c r="DC159" i="3" s="1"/>
  <c r="Q159" i="3"/>
  <c r="BZ159" i="3" s="1"/>
  <c r="AS159" i="3"/>
  <c r="DB159" i="3" s="1"/>
  <c r="P159" i="3"/>
  <c r="BY159" i="3" s="1"/>
  <c r="AJ159" i="3"/>
  <c r="CS159" i="3" s="1"/>
  <c r="G159" i="3"/>
  <c r="BP159" i="3" s="1"/>
  <c r="BL159" i="3"/>
  <c r="DU159" i="3" s="1"/>
  <c r="AI159" i="3"/>
  <c r="CR159" i="3" s="1"/>
  <c r="F159" i="3"/>
  <c r="BO159" i="3" s="1"/>
  <c r="BG159" i="3"/>
  <c r="DP159" i="3" s="1"/>
  <c r="AF159" i="3"/>
  <c r="CO159" i="3" s="1"/>
  <c r="BF159" i="3"/>
  <c r="DO159" i="3" s="1"/>
  <c r="AC159" i="3"/>
  <c r="CL159" i="3" s="1"/>
  <c r="BJ159" i="3"/>
  <c r="DS159" i="3" s="1"/>
  <c r="AH159" i="3"/>
  <c r="CQ159" i="3" s="1"/>
  <c r="E159" i="3"/>
  <c r="BN159" i="3" s="1"/>
  <c r="BK267" i="3"/>
  <c r="DT267" i="3" s="1"/>
  <c r="BA267" i="3"/>
  <c r="DJ267" i="3" s="1"/>
  <c r="AQ267" i="3"/>
  <c r="CZ267" i="3" s="1"/>
  <c r="AG267" i="3"/>
  <c r="CP267" i="3" s="1"/>
  <c r="W267" i="3"/>
  <c r="CF267" i="3" s="1"/>
  <c r="M267" i="3"/>
  <c r="BV267" i="3" s="1"/>
  <c r="BL267" i="3"/>
  <c r="DU267" i="3" s="1"/>
  <c r="AZ267" i="3"/>
  <c r="DI267" i="3" s="1"/>
  <c r="BE267" i="3"/>
  <c r="DN267" i="3" s="1"/>
  <c r="AS267" i="3"/>
  <c r="DB267" i="3" s="1"/>
  <c r="AH267" i="3"/>
  <c r="CQ267" i="3" s="1"/>
  <c r="V267" i="3"/>
  <c r="CE267" i="3" s="1"/>
  <c r="K267" i="3"/>
  <c r="BT267" i="3" s="1"/>
  <c r="BD267" i="3"/>
  <c r="DM267" i="3" s="1"/>
  <c r="AR267" i="3"/>
  <c r="DA267" i="3" s="1"/>
  <c r="AF267" i="3"/>
  <c r="CO267" i="3" s="1"/>
  <c r="U267" i="3"/>
  <c r="CD267" i="3" s="1"/>
  <c r="J267" i="3"/>
  <c r="BS267" i="3" s="1"/>
  <c r="BG267" i="3"/>
  <c r="DP267" i="3" s="1"/>
  <c r="AU267" i="3"/>
  <c r="DD267" i="3" s="1"/>
  <c r="AJ267" i="3"/>
  <c r="CS267" i="3" s="1"/>
  <c r="Y267" i="3"/>
  <c r="CH267" i="3" s="1"/>
  <c r="N267" i="3"/>
  <c r="BW267" i="3" s="1"/>
  <c r="BI267" i="3"/>
  <c r="DR267" i="3" s="1"/>
  <c r="AP267" i="3"/>
  <c r="CY267" i="3" s="1"/>
  <c r="AB267" i="3"/>
  <c r="CK267" i="3" s="1"/>
  <c r="L267" i="3"/>
  <c r="BU267" i="3" s="1"/>
  <c r="BH267" i="3"/>
  <c r="DQ267" i="3" s="1"/>
  <c r="AO267" i="3"/>
  <c r="CX267" i="3" s="1"/>
  <c r="AA267" i="3"/>
  <c r="CJ267" i="3" s="1"/>
  <c r="I267" i="3"/>
  <c r="BR267" i="3" s="1"/>
  <c r="BF267" i="3"/>
  <c r="DO267" i="3" s="1"/>
  <c r="AN267" i="3"/>
  <c r="CW267" i="3" s="1"/>
  <c r="Z267" i="3"/>
  <c r="CI267" i="3" s="1"/>
  <c r="H267" i="3"/>
  <c r="BQ267" i="3" s="1"/>
  <c r="BC267" i="3"/>
  <c r="DL267" i="3" s="1"/>
  <c r="AM267" i="3"/>
  <c r="CV267" i="3" s="1"/>
  <c r="X267" i="3"/>
  <c r="CG267" i="3" s="1"/>
  <c r="G267" i="3"/>
  <c r="BP267" i="3" s="1"/>
  <c r="BJ267" i="3"/>
  <c r="DS267" i="3" s="1"/>
  <c r="AT267" i="3"/>
  <c r="DC267" i="3" s="1"/>
  <c r="AC267" i="3"/>
  <c r="CL267" i="3" s="1"/>
  <c r="O267" i="3"/>
  <c r="BX267" i="3" s="1"/>
  <c r="AW267" i="3"/>
  <c r="DF267" i="3" s="1"/>
  <c r="Q267" i="3"/>
  <c r="BZ267" i="3" s="1"/>
  <c r="AV267" i="3"/>
  <c r="DE267" i="3" s="1"/>
  <c r="P267" i="3"/>
  <c r="BY267" i="3" s="1"/>
  <c r="AL267" i="3"/>
  <c r="CU267" i="3" s="1"/>
  <c r="F267" i="3"/>
  <c r="BO267" i="3" s="1"/>
  <c r="AK267" i="3"/>
  <c r="CT267" i="3" s="1"/>
  <c r="E267" i="3"/>
  <c r="BN267" i="3" s="1"/>
  <c r="AI267" i="3"/>
  <c r="CR267" i="3" s="1"/>
  <c r="AE267" i="3"/>
  <c r="CN267" i="3" s="1"/>
  <c r="AD267" i="3"/>
  <c r="CM267" i="3" s="1"/>
  <c r="BB267" i="3"/>
  <c r="DK267" i="3" s="1"/>
  <c r="T267" i="3"/>
  <c r="CC267" i="3" s="1"/>
  <c r="AY267" i="3"/>
  <c r="DH267" i="3" s="1"/>
  <c r="S267" i="3"/>
  <c r="CB267" i="3" s="1"/>
  <c r="AX267" i="3"/>
  <c r="DG267" i="3" s="1"/>
  <c r="R267" i="3"/>
  <c r="CA267" i="3" s="1"/>
  <c r="BG328" i="3"/>
  <c r="DP328" i="3" s="1"/>
  <c r="AW328" i="3"/>
  <c r="DF328" i="3" s="1"/>
  <c r="AM328" i="3"/>
  <c r="CV328" i="3" s="1"/>
  <c r="AC328" i="3"/>
  <c r="CL328" i="3" s="1"/>
  <c r="S328" i="3"/>
  <c r="CB328" i="3" s="1"/>
  <c r="I328" i="3"/>
  <c r="BR328" i="3" s="1"/>
  <c r="BF328" i="3"/>
  <c r="DO328" i="3" s="1"/>
  <c r="AV328" i="3"/>
  <c r="DE328" i="3" s="1"/>
  <c r="AL328" i="3"/>
  <c r="CU328" i="3" s="1"/>
  <c r="AB328" i="3"/>
  <c r="CK328" i="3" s="1"/>
  <c r="R328" i="3"/>
  <c r="CA328" i="3" s="1"/>
  <c r="H328" i="3"/>
  <c r="BQ328" i="3" s="1"/>
  <c r="BI328" i="3"/>
  <c r="DR328" i="3" s="1"/>
  <c r="AY328" i="3"/>
  <c r="DH328" i="3" s="1"/>
  <c r="AO328" i="3"/>
  <c r="CX328" i="3" s="1"/>
  <c r="AE328" i="3"/>
  <c r="CN328" i="3" s="1"/>
  <c r="U328" i="3"/>
  <c r="CD328" i="3" s="1"/>
  <c r="K328" i="3"/>
  <c r="BT328" i="3" s="1"/>
  <c r="BK328" i="3"/>
  <c r="DT328" i="3" s="1"/>
  <c r="AU328" i="3"/>
  <c r="DD328" i="3" s="1"/>
  <c r="AH328" i="3"/>
  <c r="CQ328" i="3" s="1"/>
  <c r="T328" i="3"/>
  <c r="CC328" i="3" s="1"/>
  <c r="E328" i="3"/>
  <c r="BN328" i="3" s="1"/>
  <c r="BJ328" i="3"/>
  <c r="DS328" i="3" s="1"/>
  <c r="AT328" i="3"/>
  <c r="DC328" i="3" s="1"/>
  <c r="AG328" i="3"/>
  <c r="CP328" i="3" s="1"/>
  <c r="Q328" i="3"/>
  <c r="BZ328" i="3" s="1"/>
  <c r="AZ328" i="3"/>
  <c r="DI328" i="3" s="1"/>
  <c r="AJ328" i="3"/>
  <c r="CS328" i="3" s="1"/>
  <c r="W328" i="3"/>
  <c r="CF328" i="3" s="1"/>
  <c r="G328" i="3"/>
  <c r="BP328" i="3" s="1"/>
  <c r="BE328" i="3"/>
  <c r="DN328" i="3" s="1"/>
  <c r="AN328" i="3"/>
  <c r="CW328" i="3" s="1"/>
  <c r="P328" i="3"/>
  <c r="BY328" i="3" s="1"/>
  <c r="BD328" i="3"/>
  <c r="DM328" i="3" s="1"/>
  <c r="AK328" i="3"/>
  <c r="CT328" i="3" s="1"/>
  <c r="O328" i="3"/>
  <c r="BX328" i="3" s="1"/>
  <c r="BL328" i="3"/>
  <c r="DU328" i="3" s="1"/>
  <c r="AQ328" i="3"/>
  <c r="CZ328" i="3" s="1"/>
  <c r="X328" i="3"/>
  <c r="CG328" i="3" s="1"/>
  <c r="AR328" i="3"/>
  <c r="DA328" i="3" s="1"/>
  <c r="M328" i="3"/>
  <c r="BV328" i="3" s="1"/>
  <c r="AP328" i="3"/>
  <c r="CY328" i="3" s="1"/>
  <c r="L328" i="3"/>
  <c r="BU328" i="3" s="1"/>
  <c r="AI328" i="3"/>
  <c r="CR328" i="3" s="1"/>
  <c r="J328" i="3"/>
  <c r="BS328" i="3" s="1"/>
  <c r="AF328" i="3"/>
  <c r="CO328" i="3" s="1"/>
  <c r="F328" i="3"/>
  <c r="BO328" i="3" s="1"/>
  <c r="BH328" i="3"/>
  <c r="DQ328" i="3" s="1"/>
  <c r="AD328" i="3"/>
  <c r="CM328" i="3" s="1"/>
  <c r="BC328" i="3"/>
  <c r="DL328" i="3" s="1"/>
  <c r="AA328" i="3"/>
  <c r="CJ328" i="3" s="1"/>
  <c r="BA328" i="3"/>
  <c r="DJ328" i="3" s="1"/>
  <c r="Y328" i="3"/>
  <c r="CH328" i="3" s="1"/>
  <c r="BB328" i="3"/>
  <c r="DK328" i="3" s="1"/>
  <c r="AX328" i="3"/>
  <c r="DG328" i="3" s="1"/>
  <c r="AS328" i="3"/>
  <c r="DB328" i="3" s="1"/>
  <c r="Z328" i="3"/>
  <c r="CI328" i="3" s="1"/>
  <c r="V328" i="3"/>
  <c r="CE328" i="3" s="1"/>
  <c r="N328" i="3"/>
  <c r="BW328" i="3" s="1"/>
  <c r="BH76" i="3"/>
  <c r="DQ76" i="3" s="1"/>
  <c r="AX76" i="3"/>
  <c r="DG76" i="3" s="1"/>
  <c r="AN76" i="3"/>
  <c r="CW76" i="3" s="1"/>
  <c r="AD76" i="3"/>
  <c r="CM76" i="3" s="1"/>
  <c r="T76" i="3"/>
  <c r="CC76" i="3" s="1"/>
  <c r="J76" i="3"/>
  <c r="BS76" i="3" s="1"/>
  <c r="BF76" i="3"/>
  <c r="DO76" i="3" s="1"/>
  <c r="AU76" i="3"/>
  <c r="DD76" i="3" s="1"/>
  <c r="AJ76" i="3"/>
  <c r="CS76" i="3" s="1"/>
  <c r="Y76" i="3"/>
  <c r="CH76" i="3" s="1"/>
  <c r="N76" i="3"/>
  <c r="BW76" i="3" s="1"/>
  <c r="BK76" i="3"/>
  <c r="DT76" i="3" s="1"/>
  <c r="AY76" i="3"/>
  <c r="DH76" i="3" s="1"/>
  <c r="AL76" i="3"/>
  <c r="CU76" i="3" s="1"/>
  <c r="Z76" i="3"/>
  <c r="CI76" i="3" s="1"/>
  <c r="M76" i="3"/>
  <c r="BV76" i="3" s="1"/>
  <c r="BJ76" i="3"/>
  <c r="DS76" i="3" s="1"/>
  <c r="AW76" i="3"/>
  <c r="DF76" i="3" s="1"/>
  <c r="AK76" i="3"/>
  <c r="CT76" i="3" s="1"/>
  <c r="X76" i="3"/>
  <c r="CG76" i="3" s="1"/>
  <c r="L76" i="3"/>
  <c r="BU76" i="3" s="1"/>
  <c r="BI76" i="3"/>
  <c r="DR76" i="3" s="1"/>
  <c r="AV76" i="3"/>
  <c r="DE76" i="3" s="1"/>
  <c r="AI76" i="3"/>
  <c r="CR76" i="3" s="1"/>
  <c r="W76" i="3"/>
  <c r="CF76" i="3" s="1"/>
  <c r="K76" i="3"/>
  <c r="BT76" i="3" s="1"/>
  <c r="BG76" i="3"/>
  <c r="DP76" i="3" s="1"/>
  <c r="AT76" i="3"/>
  <c r="DC76" i="3" s="1"/>
  <c r="AH76" i="3"/>
  <c r="CQ76" i="3" s="1"/>
  <c r="V76" i="3"/>
  <c r="CE76" i="3" s="1"/>
  <c r="I76" i="3"/>
  <c r="BR76" i="3" s="1"/>
  <c r="BA76" i="3"/>
  <c r="DJ76" i="3" s="1"/>
  <c r="AO76" i="3"/>
  <c r="CX76" i="3" s="1"/>
  <c r="AB76" i="3"/>
  <c r="CK76" i="3" s="1"/>
  <c r="P76" i="3"/>
  <c r="BY76" i="3" s="1"/>
  <c r="AR76" i="3"/>
  <c r="DA76" i="3" s="1"/>
  <c r="S76" i="3"/>
  <c r="CB76" i="3" s="1"/>
  <c r="AQ76" i="3"/>
  <c r="CZ76" i="3" s="1"/>
  <c r="R76" i="3"/>
  <c r="CA76" i="3" s="1"/>
  <c r="AP76" i="3"/>
  <c r="CY76" i="3" s="1"/>
  <c r="Q76" i="3"/>
  <c r="BZ76" i="3" s="1"/>
  <c r="BL76" i="3"/>
  <c r="DU76" i="3" s="1"/>
  <c r="AM76" i="3"/>
  <c r="CV76" i="3" s="1"/>
  <c r="O76" i="3"/>
  <c r="BX76" i="3" s="1"/>
  <c r="BE76" i="3"/>
  <c r="DN76" i="3" s="1"/>
  <c r="AG76" i="3"/>
  <c r="CP76" i="3" s="1"/>
  <c r="H76" i="3"/>
  <c r="BQ76" i="3" s="1"/>
  <c r="BD76" i="3"/>
  <c r="DM76" i="3" s="1"/>
  <c r="AF76" i="3"/>
  <c r="CO76" i="3" s="1"/>
  <c r="G76" i="3"/>
  <c r="BP76" i="3" s="1"/>
  <c r="BC76" i="3"/>
  <c r="DL76" i="3" s="1"/>
  <c r="AE76" i="3"/>
  <c r="CN76" i="3" s="1"/>
  <c r="F76" i="3"/>
  <c r="BO76" i="3" s="1"/>
  <c r="BB76" i="3"/>
  <c r="DK76" i="3" s="1"/>
  <c r="AC76" i="3"/>
  <c r="CL76" i="3" s="1"/>
  <c r="E76" i="3"/>
  <c r="BN76" i="3" s="1"/>
  <c r="AZ76" i="3"/>
  <c r="DI76" i="3" s="1"/>
  <c r="AA76" i="3"/>
  <c r="CJ76" i="3" s="1"/>
  <c r="AS76" i="3"/>
  <c r="DB76" i="3" s="1"/>
  <c r="U76" i="3"/>
  <c r="CD76" i="3" s="1"/>
  <c r="BL176" i="3"/>
  <c r="DU176" i="3" s="1"/>
  <c r="BB176" i="3"/>
  <c r="DK176" i="3" s="1"/>
  <c r="AR176" i="3"/>
  <c r="DA176" i="3" s="1"/>
  <c r="AH176" i="3"/>
  <c r="CQ176" i="3" s="1"/>
  <c r="X176" i="3"/>
  <c r="CG176" i="3" s="1"/>
  <c r="N176" i="3"/>
  <c r="BW176" i="3" s="1"/>
  <c r="BK176" i="3"/>
  <c r="DT176" i="3" s="1"/>
  <c r="BA176" i="3"/>
  <c r="DJ176" i="3" s="1"/>
  <c r="AQ176" i="3"/>
  <c r="CZ176" i="3" s="1"/>
  <c r="AG176" i="3"/>
  <c r="CP176" i="3" s="1"/>
  <c r="W176" i="3"/>
  <c r="CF176" i="3" s="1"/>
  <c r="M176" i="3"/>
  <c r="BV176" i="3" s="1"/>
  <c r="BH176" i="3"/>
  <c r="DQ176" i="3" s="1"/>
  <c r="AV176" i="3"/>
  <c r="DE176" i="3" s="1"/>
  <c r="AJ176" i="3"/>
  <c r="CS176" i="3" s="1"/>
  <c r="V176" i="3"/>
  <c r="CE176" i="3" s="1"/>
  <c r="J176" i="3"/>
  <c r="BS176" i="3" s="1"/>
  <c r="BI176" i="3"/>
  <c r="DR176" i="3" s="1"/>
  <c r="AU176" i="3"/>
  <c r="DD176" i="3" s="1"/>
  <c r="AF176" i="3"/>
  <c r="CO176" i="3" s="1"/>
  <c r="S176" i="3"/>
  <c r="CB176" i="3" s="1"/>
  <c r="F176" i="3"/>
  <c r="BO176" i="3" s="1"/>
  <c r="BG176" i="3"/>
  <c r="DP176" i="3" s="1"/>
  <c r="AT176" i="3"/>
  <c r="DC176" i="3" s="1"/>
  <c r="AE176" i="3"/>
  <c r="CN176" i="3" s="1"/>
  <c r="R176" i="3"/>
  <c r="CA176" i="3" s="1"/>
  <c r="E176" i="3"/>
  <c r="BN176" i="3" s="1"/>
  <c r="BF176" i="3"/>
  <c r="DO176" i="3" s="1"/>
  <c r="AS176" i="3"/>
  <c r="DB176" i="3" s="1"/>
  <c r="AD176" i="3"/>
  <c r="CM176" i="3" s="1"/>
  <c r="Q176" i="3"/>
  <c r="BZ176" i="3" s="1"/>
  <c r="BE176" i="3"/>
  <c r="DN176" i="3" s="1"/>
  <c r="AP176" i="3"/>
  <c r="CY176" i="3" s="1"/>
  <c r="AC176" i="3"/>
  <c r="CL176" i="3" s="1"/>
  <c r="P176" i="3"/>
  <c r="BY176" i="3" s="1"/>
  <c r="AX176" i="3"/>
  <c r="DG176" i="3" s="1"/>
  <c r="AK176" i="3"/>
  <c r="CT176" i="3" s="1"/>
  <c r="U176" i="3"/>
  <c r="CD176" i="3" s="1"/>
  <c r="H176" i="3"/>
  <c r="BQ176" i="3" s="1"/>
  <c r="AL176" i="3"/>
  <c r="CU176" i="3" s="1"/>
  <c r="I176" i="3"/>
  <c r="BR176" i="3" s="1"/>
  <c r="BJ176" i="3"/>
  <c r="DS176" i="3" s="1"/>
  <c r="AI176" i="3"/>
  <c r="CR176" i="3" s="1"/>
  <c r="G176" i="3"/>
  <c r="BP176" i="3" s="1"/>
  <c r="BD176" i="3"/>
  <c r="DM176" i="3" s="1"/>
  <c r="AB176" i="3"/>
  <c r="CK176" i="3" s="1"/>
  <c r="BC176" i="3"/>
  <c r="DL176" i="3" s="1"/>
  <c r="AA176" i="3"/>
  <c r="CJ176" i="3" s="1"/>
  <c r="AZ176" i="3"/>
  <c r="DI176" i="3" s="1"/>
  <c r="Z176" i="3"/>
  <c r="CI176" i="3" s="1"/>
  <c r="AY176" i="3"/>
  <c r="DH176" i="3" s="1"/>
  <c r="Y176" i="3"/>
  <c r="CH176" i="3" s="1"/>
  <c r="AW176" i="3"/>
  <c r="DF176" i="3" s="1"/>
  <c r="T176" i="3"/>
  <c r="CC176" i="3" s="1"/>
  <c r="AN176" i="3"/>
  <c r="CW176" i="3" s="1"/>
  <c r="L176" i="3"/>
  <c r="BU176" i="3" s="1"/>
  <c r="AM176" i="3"/>
  <c r="CV176" i="3" s="1"/>
  <c r="K176" i="3"/>
  <c r="BT176" i="3" s="1"/>
  <c r="AO176" i="3"/>
  <c r="CX176" i="3" s="1"/>
  <c r="O176" i="3"/>
  <c r="BX176" i="3" s="1"/>
  <c r="BF215" i="3"/>
  <c r="DO215" i="3" s="1"/>
  <c r="AV215" i="3"/>
  <c r="DE215" i="3" s="1"/>
  <c r="AL215" i="3"/>
  <c r="CU215" i="3" s="1"/>
  <c r="AB215" i="3"/>
  <c r="CK215" i="3" s="1"/>
  <c r="R215" i="3"/>
  <c r="CA215" i="3" s="1"/>
  <c r="H215" i="3"/>
  <c r="BQ215" i="3" s="1"/>
  <c r="BE215" i="3"/>
  <c r="DN215" i="3" s="1"/>
  <c r="AU215" i="3"/>
  <c r="DD215" i="3" s="1"/>
  <c r="AK215" i="3"/>
  <c r="CT215" i="3" s="1"/>
  <c r="AA215" i="3"/>
  <c r="CJ215" i="3" s="1"/>
  <c r="Q215" i="3"/>
  <c r="BZ215" i="3" s="1"/>
  <c r="G215" i="3"/>
  <c r="BP215" i="3" s="1"/>
  <c r="BH215" i="3"/>
  <c r="DQ215" i="3" s="1"/>
  <c r="AX215" i="3"/>
  <c r="DG215" i="3" s="1"/>
  <c r="AN215" i="3"/>
  <c r="CW215" i="3" s="1"/>
  <c r="AD215" i="3"/>
  <c r="CM215" i="3" s="1"/>
  <c r="T215" i="3"/>
  <c r="CC215" i="3" s="1"/>
  <c r="J215" i="3"/>
  <c r="BS215" i="3" s="1"/>
  <c r="BC215" i="3"/>
  <c r="DL215" i="3" s="1"/>
  <c r="AP215" i="3"/>
  <c r="CY215" i="3" s="1"/>
  <c r="Z215" i="3"/>
  <c r="CI215" i="3" s="1"/>
  <c r="M215" i="3"/>
  <c r="BV215" i="3" s="1"/>
  <c r="BB215" i="3"/>
  <c r="DK215" i="3" s="1"/>
  <c r="AO215" i="3"/>
  <c r="CX215" i="3" s="1"/>
  <c r="Y215" i="3"/>
  <c r="CH215" i="3" s="1"/>
  <c r="L215" i="3"/>
  <c r="BU215" i="3" s="1"/>
  <c r="BA215" i="3"/>
  <c r="DJ215" i="3" s="1"/>
  <c r="AM215" i="3"/>
  <c r="CV215" i="3" s="1"/>
  <c r="X215" i="3"/>
  <c r="CG215" i="3" s="1"/>
  <c r="K215" i="3"/>
  <c r="BT215" i="3" s="1"/>
  <c r="BG215" i="3"/>
  <c r="DP215" i="3" s="1"/>
  <c r="AR215" i="3"/>
  <c r="DA215" i="3" s="1"/>
  <c r="AE215" i="3"/>
  <c r="CN215" i="3" s="1"/>
  <c r="O215" i="3"/>
  <c r="BX215" i="3" s="1"/>
  <c r="BK215" i="3"/>
  <c r="DT215" i="3" s="1"/>
  <c r="AJ215" i="3"/>
  <c r="CS215" i="3" s="1"/>
  <c r="P215" i="3"/>
  <c r="BY215" i="3" s="1"/>
  <c r="BJ215" i="3"/>
  <c r="DS215" i="3" s="1"/>
  <c r="AI215" i="3"/>
  <c r="CR215" i="3" s="1"/>
  <c r="N215" i="3"/>
  <c r="BW215" i="3" s="1"/>
  <c r="BI215" i="3"/>
  <c r="DR215" i="3" s="1"/>
  <c r="AH215" i="3"/>
  <c r="CQ215" i="3" s="1"/>
  <c r="I215" i="3"/>
  <c r="BR215" i="3" s="1"/>
  <c r="BD215" i="3"/>
  <c r="DM215" i="3" s="1"/>
  <c r="AG215" i="3"/>
  <c r="CP215" i="3" s="1"/>
  <c r="F215" i="3"/>
  <c r="BO215" i="3" s="1"/>
  <c r="AZ215" i="3"/>
  <c r="DI215" i="3" s="1"/>
  <c r="AF215" i="3"/>
  <c r="CO215" i="3" s="1"/>
  <c r="E215" i="3"/>
  <c r="BN215" i="3" s="1"/>
  <c r="AY215" i="3"/>
  <c r="DH215" i="3" s="1"/>
  <c r="AC215" i="3"/>
  <c r="CL215" i="3" s="1"/>
  <c r="AW215" i="3"/>
  <c r="DF215" i="3" s="1"/>
  <c r="W215" i="3"/>
  <c r="CF215" i="3" s="1"/>
  <c r="BL215" i="3"/>
  <c r="DU215" i="3" s="1"/>
  <c r="AQ215" i="3"/>
  <c r="CZ215" i="3" s="1"/>
  <c r="S215" i="3"/>
  <c r="CB215" i="3" s="1"/>
  <c r="U215" i="3"/>
  <c r="CD215" i="3" s="1"/>
  <c r="AT215" i="3"/>
  <c r="DC215" i="3" s="1"/>
  <c r="AS215" i="3"/>
  <c r="DB215" i="3" s="1"/>
  <c r="V215" i="3"/>
  <c r="CE215" i="3" s="1"/>
  <c r="BG268" i="3"/>
  <c r="DP268" i="3" s="1"/>
  <c r="AW268" i="3"/>
  <c r="DF268" i="3" s="1"/>
  <c r="AM268" i="3"/>
  <c r="CV268" i="3" s="1"/>
  <c r="AC268" i="3"/>
  <c r="CL268" i="3" s="1"/>
  <c r="S268" i="3"/>
  <c r="CB268" i="3" s="1"/>
  <c r="I268" i="3"/>
  <c r="BR268" i="3" s="1"/>
  <c r="BF268" i="3"/>
  <c r="DO268" i="3" s="1"/>
  <c r="AV268" i="3"/>
  <c r="DE268" i="3" s="1"/>
  <c r="AL268" i="3"/>
  <c r="CU268" i="3" s="1"/>
  <c r="AB268" i="3"/>
  <c r="CK268" i="3" s="1"/>
  <c r="R268" i="3"/>
  <c r="CA268" i="3" s="1"/>
  <c r="H268" i="3"/>
  <c r="BQ268" i="3" s="1"/>
  <c r="BE268" i="3"/>
  <c r="DN268" i="3" s="1"/>
  <c r="AS268" i="3"/>
  <c r="DB268" i="3" s="1"/>
  <c r="AG268" i="3"/>
  <c r="CP268" i="3" s="1"/>
  <c r="U268" i="3"/>
  <c r="CD268" i="3" s="1"/>
  <c r="G268" i="3"/>
  <c r="BP268" i="3" s="1"/>
  <c r="BL268" i="3"/>
  <c r="DU268" i="3" s="1"/>
  <c r="AY268" i="3"/>
  <c r="DH268" i="3" s="1"/>
  <c r="AJ268" i="3"/>
  <c r="CS268" i="3" s="1"/>
  <c r="W268" i="3"/>
  <c r="CF268" i="3" s="1"/>
  <c r="J268" i="3"/>
  <c r="BS268" i="3" s="1"/>
  <c r="BK268" i="3"/>
  <c r="DT268" i="3" s="1"/>
  <c r="AX268" i="3"/>
  <c r="DG268" i="3" s="1"/>
  <c r="AI268" i="3"/>
  <c r="CR268" i="3" s="1"/>
  <c r="V268" i="3"/>
  <c r="CE268" i="3" s="1"/>
  <c r="F268" i="3"/>
  <c r="BO268" i="3" s="1"/>
  <c r="BA268" i="3"/>
  <c r="DJ268" i="3" s="1"/>
  <c r="AN268" i="3"/>
  <c r="CW268" i="3" s="1"/>
  <c r="Y268" i="3"/>
  <c r="CH268" i="3" s="1"/>
  <c r="L268" i="3"/>
  <c r="BU268" i="3" s="1"/>
  <c r="AU268" i="3"/>
  <c r="DD268" i="3" s="1"/>
  <c r="AD268" i="3"/>
  <c r="CM268" i="3" s="1"/>
  <c r="K268" i="3"/>
  <c r="BT268" i="3" s="1"/>
  <c r="AT268" i="3"/>
  <c r="DC268" i="3" s="1"/>
  <c r="AA268" i="3"/>
  <c r="CJ268" i="3" s="1"/>
  <c r="E268" i="3"/>
  <c r="BN268" i="3" s="1"/>
  <c r="AR268" i="3"/>
  <c r="DA268" i="3" s="1"/>
  <c r="Z268" i="3"/>
  <c r="CI268" i="3" s="1"/>
  <c r="BJ268" i="3"/>
  <c r="DS268" i="3" s="1"/>
  <c r="AQ268" i="3"/>
  <c r="CZ268" i="3" s="1"/>
  <c r="X268" i="3"/>
  <c r="CG268" i="3" s="1"/>
  <c r="AZ268" i="3"/>
  <c r="DI268" i="3" s="1"/>
  <c r="AE268" i="3"/>
  <c r="CN268" i="3" s="1"/>
  <c r="M268" i="3"/>
  <c r="BV268" i="3" s="1"/>
  <c r="AH268" i="3"/>
  <c r="CQ268" i="3" s="1"/>
  <c r="AF268" i="3"/>
  <c r="CO268" i="3" s="1"/>
  <c r="BI268" i="3"/>
  <c r="DR268" i="3" s="1"/>
  <c r="T268" i="3"/>
  <c r="CC268" i="3" s="1"/>
  <c r="BH268" i="3"/>
  <c r="DQ268" i="3" s="1"/>
  <c r="Q268" i="3"/>
  <c r="BZ268" i="3" s="1"/>
  <c r="BD268" i="3"/>
  <c r="DM268" i="3" s="1"/>
  <c r="P268" i="3"/>
  <c r="BY268" i="3" s="1"/>
  <c r="BC268" i="3"/>
  <c r="DL268" i="3" s="1"/>
  <c r="O268" i="3"/>
  <c r="BX268" i="3" s="1"/>
  <c r="BB268" i="3"/>
  <c r="DK268" i="3" s="1"/>
  <c r="N268" i="3"/>
  <c r="BW268" i="3" s="1"/>
  <c r="AP268" i="3"/>
  <c r="CY268" i="3" s="1"/>
  <c r="AO268" i="3"/>
  <c r="CX268" i="3" s="1"/>
  <c r="AK268" i="3"/>
  <c r="CT268" i="3" s="1"/>
  <c r="BC143" i="3"/>
  <c r="DL143" i="3" s="1"/>
  <c r="AS143" i="3"/>
  <c r="DB143" i="3" s="1"/>
  <c r="AI143" i="3"/>
  <c r="CR143" i="3" s="1"/>
  <c r="Y143" i="3"/>
  <c r="CH143" i="3" s="1"/>
  <c r="O143" i="3"/>
  <c r="BX143" i="3" s="1"/>
  <c r="E143" i="3"/>
  <c r="BN143" i="3" s="1"/>
  <c r="BL143" i="3"/>
  <c r="DU143" i="3" s="1"/>
  <c r="BB143" i="3"/>
  <c r="DK143" i="3" s="1"/>
  <c r="AR143" i="3"/>
  <c r="DA143" i="3" s="1"/>
  <c r="AH143" i="3"/>
  <c r="CQ143" i="3" s="1"/>
  <c r="X143" i="3"/>
  <c r="CG143" i="3" s="1"/>
  <c r="N143" i="3"/>
  <c r="BW143" i="3" s="1"/>
  <c r="BE143" i="3"/>
  <c r="DN143" i="3" s="1"/>
  <c r="AU143" i="3"/>
  <c r="DD143" i="3" s="1"/>
  <c r="AK143" i="3"/>
  <c r="CT143" i="3" s="1"/>
  <c r="AA143" i="3"/>
  <c r="CJ143" i="3" s="1"/>
  <c r="Q143" i="3"/>
  <c r="BZ143" i="3" s="1"/>
  <c r="G143" i="3"/>
  <c r="BP143" i="3" s="1"/>
  <c r="AZ143" i="3"/>
  <c r="DI143" i="3" s="1"/>
  <c r="AM143" i="3"/>
  <c r="CV143" i="3" s="1"/>
  <c r="W143" i="3"/>
  <c r="CF143" i="3" s="1"/>
  <c r="J143" i="3"/>
  <c r="BS143" i="3" s="1"/>
  <c r="AY143" i="3"/>
  <c r="DH143" i="3" s="1"/>
  <c r="AL143" i="3"/>
  <c r="CU143" i="3" s="1"/>
  <c r="V143" i="3"/>
  <c r="CE143" i="3" s="1"/>
  <c r="I143" i="3"/>
  <c r="BR143" i="3" s="1"/>
  <c r="BD143" i="3"/>
  <c r="DM143" i="3" s="1"/>
  <c r="AO143" i="3"/>
  <c r="CX143" i="3" s="1"/>
  <c r="AB143" i="3"/>
  <c r="CK143" i="3" s="1"/>
  <c r="L143" i="3"/>
  <c r="BU143" i="3" s="1"/>
  <c r="BA143" i="3"/>
  <c r="DJ143" i="3" s="1"/>
  <c r="AN143" i="3"/>
  <c r="CW143" i="3" s="1"/>
  <c r="Z143" i="3"/>
  <c r="CI143" i="3" s="1"/>
  <c r="K143" i="3"/>
  <c r="BT143" i="3" s="1"/>
  <c r="BG143" i="3"/>
  <c r="DP143" i="3" s="1"/>
  <c r="AF143" i="3"/>
  <c r="CO143" i="3" s="1"/>
  <c r="H143" i="3"/>
  <c r="BQ143" i="3" s="1"/>
  <c r="BF143" i="3"/>
  <c r="DO143" i="3" s="1"/>
  <c r="AE143" i="3"/>
  <c r="CN143" i="3" s="1"/>
  <c r="F143" i="3"/>
  <c r="BO143" i="3" s="1"/>
  <c r="AX143" i="3"/>
  <c r="DG143" i="3" s="1"/>
  <c r="AD143" i="3"/>
  <c r="CM143" i="3" s="1"/>
  <c r="BI143" i="3"/>
  <c r="DR143" i="3" s="1"/>
  <c r="AJ143" i="3"/>
  <c r="CS143" i="3" s="1"/>
  <c r="P143" i="3"/>
  <c r="BY143" i="3" s="1"/>
  <c r="BH143" i="3"/>
  <c r="DQ143" i="3" s="1"/>
  <c r="AG143" i="3"/>
  <c r="CP143" i="3" s="1"/>
  <c r="M143" i="3"/>
  <c r="BV143" i="3" s="1"/>
  <c r="AV143" i="3"/>
  <c r="DE143" i="3" s="1"/>
  <c r="T143" i="3"/>
  <c r="CC143" i="3" s="1"/>
  <c r="BK143" i="3"/>
  <c r="DT143" i="3" s="1"/>
  <c r="S143" i="3"/>
  <c r="CB143" i="3" s="1"/>
  <c r="BJ143" i="3"/>
  <c r="DS143" i="3" s="1"/>
  <c r="R143" i="3"/>
  <c r="CA143" i="3" s="1"/>
  <c r="AC143" i="3"/>
  <c r="CL143" i="3" s="1"/>
  <c r="U143" i="3"/>
  <c r="CD143" i="3" s="1"/>
  <c r="AW143" i="3"/>
  <c r="DF143" i="3" s="1"/>
  <c r="AT143" i="3"/>
  <c r="DC143" i="3" s="1"/>
  <c r="AQ143" i="3"/>
  <c r="CZ143" i="3" s="1"/>
  <c r="AP143" i="3"/>
  <c r="CY143" i="3" s="1"/>
  <c r="BD173" i="3"/>
  <c r="DM173" i="3" s="1"/>
  <c r="AT173" i="3"/>
  <c r="DC173" i="3" s="1"/>
  <c r="AJ173" i="3"/>
  <c r="CS173" i="3" s="1"/>
  <c r="Z173" i="3"/>
  <c r="CI173" i="3" s="1"/>
  <c r="P173" i="3"/>
  <c r="BY173" i="3" s="1"/>
  <c r="F173" i="3"/>
  <c r="BO173" i="3" s="1"/>
  <c r="BC173" i="3"/>
  <c r="DL173" i="3" s="1"/>
  <c r="AS173" i="3"/>
  <c r="DB173" i="3" s="1"/>
  <c r="AI173" i="3"/>
  <c r="CR173" i="3" s="1"/>
  <c r="Y173" i="3"/>
  <c r="CH173" i="3" s="1"/>
  <c r="O173" i="3"/>
  <c r="BX173" i="3" s="1"/>
  <c r="E173" i="3"/>
  <c r="BN173" i="3" s="1"/>
  <c r="BF173" i="3"/>
  <c r="DO173" i="3" s="1"/>
  <c r="AR173" i="3"/>
  <c r="DA173" i="3" s="1"/>
  <c r="AF173" i="3"/>
  <c r="CO173" i="3" s="1"/>
  <c r="T173" i="3"/>
  <c r="CC173" i="3" s="1"/>
  <c r="H173" i="3"/>
  <c r="BQ173" i="3" s="1"/>
  <c r="BG173" i="3"/>
  <c r="DP173" i="3" s="1"/>
  <c r="AQ173" i="3"/>
  <c r="CZ173" i="3" s="1"/>
  <c r="AD173" i="3"/>
  <c r="CM173" i="3" s="1"/>
  <c r="Q173" i="3"/>
  <c r="BZ173" i="3" s="1"/>
  <c r="BE173" i="3"/>
  <c r="DN173" i="3" s="1"/>
  <c r="AP173" i="3"/>
  <c r="CY173" i="3" s="1"/>
  <c r="AC173" i="3"/>
  <c r="CL173" i="3" s="1"/>
  <c r="N173" i="3"/>
  <c r="BW173" i="3" s="1"/>
  <c r="BB173" i="3"/>
  <c r="DK173" i="3" s="1"/>
  <c r="AO173" i="3"/>
  <c r="CX173" i="3" s="1"/>
  <c r="AB173" i="3"/>
  <c r="CK173" i="3" s="1"/>
  <c r="M173" i="3"/>
  <c r="BV173" i="3" s="1"/>
  <c r="BA173" i="3"/>
  <c r="DJ173" i="3" s="1"/>
  <c r="AN173" i="3"/>
  <c r="CW173" i="3" s="1"/>
  <c r="AA173" i="3"/>
  <c r="CJ173" i="3" s="1"/>
  <c r="L173" i="3"/>
  <c r="BU173" i="3" s="1"/>
  <c r="BI173" i="3"/>
  <c r="DR173" i="3" s="1"/>
  <c r="AV173" i="3"/>
  <c r="DE173" i="3" s="1"/>
  <c r="AG173" i="3"/>
  <c r="CP173" i="3" s="1"/>
  <c r="S173" i="3"/>
  <c r="CB173" i="3" s="1"/>
  <c r="AW173" i="3"/>
  <c r="DF173" i="3" s="1"/>
  <c r="U173" i="3"/>
  <c r="CD173" i="3" s="1"/>
  <c r="AU173" i="3"/>
  <c r="DD173" i="3" s="1"/>
  <c r="R173" i="3"/>
  <c r="CA173" i="3" s="1"/>
  <c r="AM173" i="3"/>
  <c r="CV173" i="3" s="1"/>
  <c r="K173" i="3"/>
  <c r="BT173" i="3" s="1"/>
  <c r="BL173" i="3"/>
  <c r="DU173" i="3" s="1"/>
  <c r="AL173" i="3"/>
  <c r="CU173" i="3" s="1"/>
  <c r="J173" i="3"/>
  <c r="BS173" i="3" s="1"/>
  <c r="AY173" i="3"/>
  <c r="DH173" i="3" s="1"/>
  <c r="W173" i="3"/>
  <c r="CF173" i="3" s="1"/>
  <c r="AX173" i="3"/>
  <c r="DG173" i="3" s="1"/>
  <c r="V173" i="3"/>
  <c r="CE173" i="3" s="1"/>
  <c r="BH173" i="3"/>
  <c r="DQ173" i="3" s="1"/>
  <c r="AZ173" i="3"/>
  <c r="DI173" i="3" s="1"/>
  <c r="AK173" i="3"/>
  <c r="CT173" i="3" s="1"/>
  <c r="AH173" i="3"/>
  <c r="CQ173" i="3" s="1"/>
  <c r="AE173" i="3"/>
  <c r="CN173" i="3" s="1"/>
  <c r="X173" i="3"/>
  <c r="CG173" i="3" s="1"/>
  <c r="I173" i="3"/>
  <c r="BR173" i="3" s="1"/>
  <c r="BK173" i="3"/>
  <c r="DT173" i="3" s="1"/>
  <c r="BJ173" i="3"/>
  <c r="DS173" i="3" s="1"/>
  <c r="G173" i="3"/>
  <c r="BP173" i="3" s="1"/>
  <c r="BC348" i="3"/>
  <c r="DL348" i="3" s="1"/>
  <c r="AS348" i="3"/>
  <c r="DB348" i="3" s="1"/>
  <c r="AI348" i="3"/>
  <c r="CR348" i="3" s="1"/>
  <c r="Y348" i="3"/>
  <c r="CH348" i="3" s="1"/>
  <c r="O348" i="3"/>
  <c r="BX348" i="3" s="1"/>
  <c r="E348" i="3"/>
  <c r="BN348" i="3" s="1"/>
  <c r="BF348" i="3"/>
  <c r="DO348" i="3" s="1"/>
  <c r="AU348" i="3"/>
  <c r="DD348" i="3" s="1"/>
  <c r="AJ348" i="3"/>
  <c r="CS348" i="3" s="1"/>
  <c r="X348" i="3"/>
  <c r="CG348" i="3" s="1"/>
  <c r="M348" i="3"/>
  <c r="BV348" i="3" s="1"/>
  <c r="BB348" i="3"/>
  <c r="DK348" i="3" s="1"/>
  <c r="AP348" i="3"/>
  <c r="CY348" i="3" s="1"/>
  <c r="AD348" i="3"/>
  <c r="CM348" i="3" s="1"/>
  <c r="R348" i="3"/>
  <c r="CA348" i="3" s="1"/>
  <c r="F348" i="3"/>
  <c r="BO348" i="3" s="1"/>
  <c r="BA348" i="3"/>
  <c r="DJ348" i="3" s="1"/>
  <c r="AO348" i="3"/>
  <c r="CX348" i="3" s="1"/>
  <c r="AC348" i="3"/>
  <c r="CL348" i="3" s="1"/>
  <c r="Q348" i="3"/>
  <c r="BZ348" i="3" s="1"/>
  <c r="BE348" i="3"/>
  <c r="DN348" i="3" s="1"/>
  <c r="AR348" i="3"/>
  <c r="DA348" i="3" s="1"/>
  <c r="AF348" i="3"/>
  <c r="CO348" i="3" s="1"/>
  <c r="T348" i="3"/>
  <c r="CC348" i="3" s="1"/>
  <c r="H348" i="3"/>
  <c r="BQ348" i="3" s="1"/>
  <c r="AX348" i="3"/>
  <c r="DG348" i="3" s="1"/>
  <c r="AG348" i="3"/>
  <c r="CP348" i="3" s="1"/>
  <c r="N348" i="3"/>
  <c r="BW348" i="3" s="1"/>
  <c r="BL348" i="3"/>
  <c r="DU348" i="3" s="1"/>
  <c r="AW348" i="3"/>
  <c r="DF348" i="3" s="1"/>
  <c r="AE348" i="3"/>
  <c r="CN348" i="3" s="1"/>
  <c r="L348" i="3"/>
  <c r="BU348" i="3" s="1"/>
  <c r="AZ348" i="3"/>
  <c r="DI348" i="3" s="1"/>
  <c r="AK348" i="3"/>
  <c r="CT348" i="3" s="1"/>
  <c r="S348" i="3"/>
  <c r="CB348" i="3" s="1"/>
  <c r="BD348" i="3"/>
  <c r="DM348" i="3" s="1"/>
  <c r="AA348" i="3"/>
  <c r="CJ348" i="3" s="1"/>
  <c r="BI348" i="3"/>
  <c r="DR348" i="3" s="1"/>
  <c r="AL348" i="3"/>
  <c r="CU348" i="3" s="1"/>
  <c r="J348" i="3"/>
  <c r="BS348" i="3" s="1"/>
  <c r="BH348" i="3"/>
  <c r="DQ348" i="3" s="1"/>
  <c r="AH348" i="3"/>
  <c r="CQ348" i="3" s="1"/>
  <c r="I348" i="3"/>
  <c r="BR348" i="3" s="1"/>
  <c r="BG348" i="3"/>
  <c r="DP348" i="3" s="1"/>
  <c r="V348" i="3"/>
  <c r="CE348" i="3" s="1"/>
  <c r="AY348" i="3"/>
  <c r="DH348" i="3" s="1"/>
  <c r="U348" i="3"/>
  <c r="CD348" i="3" s="1"/>
  <c r="BK348" i="3"/>
  <c r="DT348" i="3" s="1"/>
  <c r="Z348" i="3"/>
  <c r="CI348" i="3" s="1"/>
  <c r="P348" i="3"/>
  <c r="BY348" i="3" s="1"/>
  <c r="K348" i="3"/>
  <c r="BT348" i="3" s="1"/>
  <c r="BJ348" i="3"/>
  <c r="DS348" i="3" s="1"/>
  <c r="G348" i="3"/>
  <c r="BP348" i="3" s="1"/>
  <c r="AV348" i="3"/>
  <c r="DE348" i="3" s="1"/>
  <c r="AT348" i="3"/>
  <c r="DC348" i="3" s="1"/>
  <c r="AQ348" i="3"/>
  <c r="CZ348" i="3" s="1"/>
  <c r="AN348" i="3"/>
  <c r="CW348" i="3" s="1"/>
  <c r="AM348" i="3"/>
  <c r="CV348" i="3" s="1"/>
  <c r="AB348" i="3"/>
  <c r="CK348" i="3" s="1"/>
  <c r="W348" i="3"/>
  <c r="CF348" i="3" s="1"/>
  <c r="N261" i="2"/>
  <c r="O261" i="2"/>
  <c r="O282" i="2"/>
  <c r="N282" i="2"/>
  <c r="O302" i="2"/>
  <c r="N302" i="2"/>
  <c r="O322" i="2"/>
  <c r="N322" i="2"/>
  <c r="O342" i="2"/>
  <c r="N342" i="2"/>
  <c r="O234" i="2"/>
  <c r="N234" i="2"/>
  <c r="O254" i="2"/>
  <c r="N254" i="2"/>
  <c r="O274" i="2"/>
  <c r="N274" i="2"/>
  <c r="O294" i="2"/>
  <c r="N294" i="2"/>
  <c r="O314" i="2"/>
  <c r="N314" i="2"/>
  <c r="O334" i="2"/>
  <c r="N334" i="2"/>
  <c r="O354" i="2"/>
  <c r="N354" i="2"/>
  <c r="BE232" i="3"/>
  <c r="DN232" i="3" s="1"/>
  <c r="AU232" i="3"/>
  <c r="DD232" i="3" s="1"/>
  <c r="AK232" i="3"/>
  <c r="CT232" i="3" s="1"/>
  <c r="AA232" i="3"/>
  <c r="CJ232" i="3" s="1"/>
  <c r="Q232" i="3"/>
  <c r="BZ232" i="3" s="1"/>
  <c r="G232" i="3"/>
  <c r="BP232" i="3" s="1"/>
  <c r="BD232" i="3"/>
  <c r="DM232" i="3" s="1"/>
  <c r="AT232" i="3"/>
  <c r="DC232" i="3" s="1"/>
  <c r="AJ232" i="3"/>
  <c r="CS232" i="3" s="1"/>
  <c r="Z232" i="3"/>
  <c r="CI232" i="3" s="1"/>
  <c r="P232" i="3"/>
  <c r="BY232" i="3" s="1"/>
  <c r="F232" i="3"/>
  <c r="BO232" i="3" s="1"/>
  <c r="BG232" i="3"/>
  <c r="DP232" i="3" s="1"/>
  <c r="AW232" i="3"/>
  <c r="DF232" i="3" s="1"/>
  <c r="AM232" i="3"/>
  <c r="CV232" i="3" s="1"/>
  <c r="AC232" i="3"/>
  <c r="CL232" i="3" s="1"/>
  <c r="S232" i="3"/>
  <c r="CB232" i="3" s="1"/>
  <c r="I232" i="3"/>
  <c r="BR232" i="3" s="1"/>
  <c r="BJ232" i="3"/>
  <c r="DS232" i="3" s="1"/>
  <c r="AV232" i="3"/>
  <c r="DE232" i="3" s="1"/>
  <c r="AG232" i="3"/>
  <c r="CP232" i="3" s="1"/>
  <c r="T232" i="3"/>
  <c r="CC232" i="3" s="1"/>
  <c r="BI232" i="3"/>
  <c r="DR232" i="3" s="1"/>
  <c r="AS232" i="3"/>
  <c r="DB232" i="3" s="1"/>
  <c r="AF232" i="3"/>
  <c r="CO232" i="3" s="1"/>
  <c r="R232" i="3"/>
  <c r="CA232" i="3" s="1"/>
  <c r="BL232" i="3"/>
  <c r="DU232" i="3" s="1"/>
  <c r="AY232" i="3"/>
  <c r="DH232" i="3" s="1"/>
  <c r="AI232" i="3"/>
  <c r="CR232" i="3" s="1"/>
  <c r="V232" i="3"/>
  <c r="CE232" i="3" s="1"/>
  <c r="H232" i="3"/>
  <c r="BQ232" i="3" s="1"/>
  <c r="BB232" i="3"/>
  <c r="DK232" i="3" s="1"/>
  <c r="AH232" i="3"/>
  <c r="CQ232" i="3" s="1"/>
  <c r="M232" i="3"/>
  <c r="BV232" i="3" s="1"/>
  <c r="BA232" i="3"/>
  <c r="DJ232" i="3" s="1"/>
  <c r="AE232" i="3"/>
  <c r="CN232" i="3" s="1"/>
  <c r="L232" i="3"/>
  <c r="BU232" i="3" s="1"/>
  <c r="AZ232" i="3"/>
  <c r="DI232" i="3" s="1"/>
  <c r="AD232" i="3"/>
  <c r="CM232" i="3" s="1"/>
  <c r="K232" i="3"/>
  <c r="BT232" i="3" s="1"/>
  <c r="AQ232" i="3"/>
  <c r="CZ232" i="3" s="1"/>
  <c r="O232" i="3"/>
  <c r="BX232" i="3" s="1"/>
  <c r="AP232" i="3"/>
  <c r="CY232" i="3" s="1"/>
  <c r="N232" i="3"/>
  <c r="BW232" i="3" s="1"/>
  <c r="AO232" i="3"/>
  <c r="CX232" i="3" s="1"/>
  <c r="J232" i="3"/>
  <c r="BS232" i="3" s="1"/>
  <c r="AN232" i="3"/>
  <c r="CW232" i="3" s="1"/>
  <c r="E232" i="3"/>
  <c r="BN232" i="3" s="1"/>
  <c r="BK232" i="3"/>
  <c r="DT232" i="3" s="1"/>
  <c r="AL232" i="3"/>
  <c r="CU232" i="3" s="1"/>
  <c r="BH232" i="3"/>
  <c r="DQ232" i="3" s="1"/>
  <c r="AB232" i="3"/>
  <c r="CK232" i="3" s="1"/>
  <c r="BF232" i="3"/>
  <c r="DO232" i="3" s="1"/>
  <c r="Y232" i="3"/>
  <c r="CH232" i="3" s="1"/>
  <c r="BC232" i="3"/>
  <c r="DL232" i="3" s="1"/>
  <c r="X232" i="3"/>
  <c r="CG232" i="3" s="1"/>
  <c r="AX232" i="3"/>
  <c r="DG232" i="3" s="1"/>
  <c r="W232" i="3"/>
  <c r="CF232" i="3" s="1"/>
  <c r="AR232" i="3"/>
  <c r="DA232" i="3" s="1"/>
  <c r="U232" i="3"/>
  <c r="CD232" i="3" s="1"/>
  <c r="BK282" i="3"/>
  <c r="DT282" i="3" s="1"/>
  <c r="BA282" i="3"/>
  <c r="DJ282" i="3" s="1"/>
  <c r="AQ282" i="3"/>
  <c r="CZ282" i="3" s="1"/>
  <c r="AG282" i="3"/>
  <c r="CP282" i="3" s="1"/>
  <c r="W282" i="3"/>
  <c r="CF282" i="3" s="1"/>
  <c r="M282" i="3"/>
  <c r="BV282" i="3" s="1"/>
  <c r="BJ282" i="3"/>
  <c r="DS282" i="3" s="1"/>
  <c r="AZ282" i="3"/>
  <c r="DI282" i="3" s="1"/>
  <c r="AP282" i="3"/>
  <c r="CY282" i="3" s="1"/>
  <c r="AF282" i="3"/>
  <c r="CO282" i="3" s="1"/>
  <c r="V282" i="3"/>
  <c r="CE282" i="3" s="1"/>
  <c r="L282" i="3"/>
  <c r="BU282" i="3" s="1"/>
  <c r="BC282" i="3"/>
  <c r="DL282" i="3" s="1"/>
  <c r="AS282" i="3"/>
  <c r="DB282" i="3" s="1"/>
  <c r="AI282" i="3"/>
  <c r="CR282" i="3" s="1"/>
  <c r="Y282" i="3"/>
  <c r="CH282" i="3" s="1"/>
  <c r="O282" i="3"/>
  <c r="BX282" i="3" s="1"/>
  <c r="E282" i="3"/>
  <c r="BN282" i="3" s="1"/>
  <c r="BL282" i="3"/>
  <c r="DU282" i="3" s="1"/>
  <c r="AW282" i="3"/>
  <c r="DF282" i="3" s="1"/>
  <c r="AJ282" i="3"/>
  <c r="CS282" i="3" s="1"/>
  <c r="T282" i="3"/>
  <c r="CC282" i="3" s="1"/>
  <c r="G282" i="3"/>
  <c r="BP282" i="3" s="1"/>
  <c r="BB282" i="3"/>
  <c r="DK282" i="3" s="1"/>
  <c r="AM282" i="3"/>
  <c r="CV282" i="3" s="1"/>
  <c r="Z282" i="3"/>
  <c r="CI282" i="3" s="1"/>
  <c r="J282" i="3"/>
  <c r="BS282" i="3" s="1"/>
  <c r="AY282" i="3"/>
  <c r="DH282" i="3" s="1"/>
  <c r="AL282" i="3"/>
  <c r="CU282" i="3" s="1"/>
  <c r="X282" i="3"/>
  <c r="CG282" i="3" s="1"/>
  <c r="I282" i="3"/>
  <c r="BR282" i="3" s="1"/>
  <c r="AV282" i="3"/>
  <c r="DE282" i="3" s="1"/>
  <c r="AC282" i="3"/>
  <c r="CL282" i="3" s="1"/>
  <c r="H282" i="3"/>
  <c r="BQ282" i="3" s="1"/>
  <c r="AU282" i="3"/>
  <c r="DD282" i="3" s="1"/>
  <c r="AB282" i="3"/>
  <c r="CK282" i="3" s="1"/>
  <c r="F282" i="3"/>
  <c r="BO282" i="3" s="1"/>
  <c r="AT282" i="3"/>
  <c r="DC282" i="3" s="1"/>
  <c r="AA282" i="3"/>
  <c r="CJ282" i="3" s="1"/>
  <c r="BI282" i="3"/>
  <c r="DR282" i="3" s="1"/>
  <c r="AR282" i="3"/>
  <c r="DA282" i="3" s="1"/>
  <c r="U282" i="3"/>
  <c r="CD282" i="3" s="1"/>
  <c r="BH282" i="3"/>
  <c r="DQ282" i="3" s="1"/>
  <c r="AO282" i="3"/>
  <c r="CX282" i="3" s="1"/>
  <c r="S282" i="3"/>
  <c r="CB282" i="3" s="1"/>
  <c r="BG282" i="3"/>
  <c r="DP282" i="3" s="1"/>
  <c r="AN282" i="3"/>
  <c r="CW282" i="3" s="1"/>
  <c r="R282" i="3"/>
  <c r="CA282" i="3" s="1"/>
  <c r="BF282" i="3"/>
  <c r="DO282" i="3" s="1"/>
  <c r="AK282" i="3"/>
  <c r="CT282" i="3" s="1"/>
  <c r="Q282" i="3"/>
  <c r="BZ282" i="3" s="1"/>
  <c r="BE282" i="3"/>
  <c r="DN282" i="3" s="1"/>
  <c r="AH282" i="3"/>
  <c r="CQ282" i="3" s="1"/>
  <c r="P282" i="3"/>
  <c r="BY282" i="3" s="1"/>
  <c r="BD282" i="3"/>
  <c r="DM282" i="3" s="1"/>
  <c r="AE282" i="3"/>
  <c r="CN282" i="3" s="1"/>
  <c r="N282" i="3"/>
  <c r="BW282" i="3" s="1"/>
  <c r="AX282" i="3"/>
  <c r="DG282" i="3" s="1"/>
  <c r="AD282" i="3"/>
  <c r="CM282" i="3" s="1"/>
  <c r="K282" i="3"/>
  <c r="BT282" i="3" s="1"/>
  <c r="BF332" i="3"/>
  <c r="DO332" i="3" s="1"/>
  <c r="AV332" i="3"/>
  <c r="DE332" i="3" s="1"/>
  <c r="AL332" i="3"/>
  <c r="CU332" i="3" s="1"/>
  <c r="AB332" i="3"/>
  <c r="CK332" i="3" s="1"/>
  <c r="R332" i="3"/>
  <c r="CA332" i="3" s="1"/>
  <c r="H332" i="3"/>
  <c r="BQ332" i="3" s="1"/>
  <c r="BG332" i="3"/>
  <c r="DP332" i="3" s="1"/>
  <c r="AU332" i="3"/>
  <c r="DD332" i="3" s="1"/>
  <c r="AJ332" i="3"/>
  <c r="CS332" i="3" s="1"/>
  <c r="Y332" i="3"/>
  <c r="CH332" i="3" s="1"/>
  <c r="N332" i="3"/>
  <c r="BW332" i="3" s="1"/>
  <c r="BE332" i="3"/>
  <c r="DN332" i="3" s="1"/>
  <c r="AT332" i="3"/>
  <c r="DC332" i="3" s="1"/>
  <c r="AI332" i="3"/>
  <c r="CR332" i="3" s="1"/>
  <c r="X332" i="3"/>
  <c r="CG332" i="3" s="1"/>
  <c r="M332" i="3"/>
  <c r="BV332" i="3" s="1"/>
  <c r="BI332" i="3"/>
  <c r="DR332" i="3" s="1"/>
  <c r="AX332" i="3"/>
  <c r="DG332" i="3" s="1"/>
  <c r="AM332" i="3"/>
  <c r="CV332" i="3" s="1"/>
  <c r="AA332" i="3"/>
  <c r="CJ332" i="3" s="1"/>
  <c r="P332" i="3"/>
  <c r="BY332" i="3" s="1"/>
  <c r="E332" i="3"/>
  <c r="BN332" i="3" s="1"/>
  <c r="BD332" i="3"/>
  <c r="DM332" i="3" s="1"/>
  <c r="AP332" i="3"/>
  <c r="CY332" i="3" s="1"/>
  <c r="Z332" i="3"/>
  <c r="CI332" i="3" s="1"/>
  <c r="J332" i="3"/>
  <c r="BS332" i="3" s="1"/>
  <c r="BC332" i="3"/>
  <c r="DL332" i="3" s="1"/>
  <c r="AO332" i="3"/>
  <c r="CX332" i="3" s="1"/>
  <c r="W332" i="3"/>
  <c r="CF332" i="3" s="1"/>
  <c r="I332" i="3"/>
  <c r="BR332" i="3" s="1"/>
  <c r="BJ332" i="3"/>
  <c r="DS332" i="3" s="1"/>
  <c r="AR332" i="3"/>
  <c r="DA332" i="3" s="1"/>
  <c r="AD332" i="3"/>
  <c r="CM332" i="3" s="1"/>
  <c r="L332" i="3"/>
  <c r="BU332" i="3" s="1"/>
  <c r="BH332" i="3"/>
  <c r="DQ332" i="3" s="1"/>
  <c r="AH332" i="3"/>
  <c r="CQ332" i="3" s="1"/>
  <c r="O332" i="3"/>
  <c r="BX332" i="3" s="1"/>
  <c r="BB332" i="3"/>
  <c r="DK332" i="3" s="1"/>
  <c r="AG332" i="3"/>
  <c r="CP332" i="3" s="1"/>
  <c r="K332" i="3"/>
  <c r="BT332" i="3" s="1"/>
  <c r="BA332" i="3"/>
  <c r="DJ332" i="3" s="1"/>
  <c r="AF332" i="3"/>
  <c r="CO332" i="3" s="1"/>
  <c r="G332" i="3"/>
  <c r="BP332" i="3" s="1"/>
  <c r="AZ332" i="3"/>
  <c r="DI332" i="3" s="1"/>
  <c r="AE332" i="3"/>
  <c r="CN332" i="3" s="1"/>
  <c r="F332" i="3"/>
  <c r="BO332" i="3" s="1"/>
  <c r="AY332" i="3"/>
  <c r="DH332" i="3" s="1"/>
  <c r="AC332" i="3"/>
  <c r="CL332" i="3" s="1"/>
  <c r="AW332" i="3"/>
  <c r="DF332" i="3" s="1"/>
  <c r="V332" i="3"/>
  <c r="CE332" i="3" s="1"/>
  <c r="AS332" i="3"/>
  <c r="DB332" i="3" s="1"/>
  <c r="U332" i="3"/>
  <c r="CD332" i="3" s="1"/>
  <c r="AQ332" i="3"/>
  <c r="CZ332" i="3" s="1"/>
  <c r="T332" i="3"/>
  <c r="CC332" i="3" s="1"/>
  <c r="BL332" i="3"/>
  <c r="DU332" i="3" s="1"/>
  <c r="AN332" i="3"/>
  <c r="CW332" i="3" s="1"/>
  <c r="S332" i="3"/>
  <c r="CB332" i="3" s="1"/>
  <c r="BK332" i="3"/>
  <c r="DT332" i="3" s="1"/>
  <c r="AK332" i="3"/>
  <c r="CT332" i="3" s="1"/>
  <c r="Q332" i="3"/>
  <c r="BZ332" i="3" s="1"/>
  <c r="N225" i="2"/>
  <c r="O225" i="2"/>
  <c r="N245" i="2"/>
  <c r="O245" i="2"/>
  <c r="N265" i="2"/>
  <c r="O265" i="2"/>
  <c r="N285" i="2"/>
  <c r="O285" i="2"/>
  <c r="N305" i="2"/>
  <c r="O305" i="2"/>
  <c r="N325" i="2"/>
  <c r="O325" i="2"/>
  <c r="N345" i="2"/>
  <c r="O345" i="2"/>
  <c r="BG234" i="3"/>
  <c r="DP234" i="3" s="1"/>
  <c r="AW234" i="3"/>
  <c r="DF234" i="3" s="1"/>
  <c r="AM234" i="3"/>
  <c r="CV234" i="3" s="1"/>
  <c r="AC234" i="3"/>
  <c r="CL234" i="3" s="1"/>
  <c r="S234" i="3"/>
  <c r="CB234" i="3" s="1"/>
  <c r="I234" i="3"/>
  <c r="BR234" i="3" s="1"/>
  <c r="BF234" i="3"/>
  <c r="DO234" i="3" s="1"/>
  <c r="AV234" i="3"/>
  <c r="DE234" i="3" s="1"/>
  <c r="AL234" i="3"/>
  <c r="CU234" i="3" s="1"/>
  <c r="AB234" i="3"/>
  <c r="CK234" i="3" s="1"/>
  <c r="R234" i="3"/>
  <c r="CA234" i="3" s="1"/>
  <c r="H234" i="3"/>
  <c r="BQ234" i="3" s="1"/>
  <c r="BI234" i="3"/>
  <c r="DR234" i="3" s="1"/>
  <c r="AY234" i="3"/>
  <c r="DH234" i="3" s="1"/>
  <c r="AO234" i="3"/>
  <c r="CX234" i="3" s="1"/>
  <c r="AE234" i="3"/>
  <c r="CN234" i="3" s="1"/>
  <c r="U234" i="3"/>
  <c r="CD234" i="3" s="1"/>
  <c r="K234" i="3"/>
  <c r="BT234" i="3" s="1"/>
  <c r="BD234" i="3"/>
  <c r="DM234" i="3" s="1"/>
  <c r="AQ234" i="3"/>
  <c r="CZ234" i="3" s="1"/>
  <c r="AA234" i="3"/>
  <c r="CJ234" i="3" s="1"/>
  <c r="N234" i="3"/>
  <c r="BW234" i="3" s="1"/>
  <c r="BC234" i="3"/>
  <c r="DL234" i="3" s="1"/>
  <c r="AP234" i="3"/>
  <c r="CY234" i="3" s="1"/>
  <c r="Z234" i="3"/>
  <c r="CI234" i="3" s="1"/>
  <c r="M234" i="3"/>
  <c r="BV234" i="3" s="1"/>
  <c r="BH234" i="3"/>
  <c r="DQ234" i="3" s="1"/>
  <c r="AS234" i="3"/>
  <c r="DB234" i="3" s="1"/>
  <c r="AF234" i="3"/>
  <c r="CO234" i="3" s="1"/>
  <c r="P234" i="3"/>
  <c r="BY234" i="3" s="1"/>
  <c r="AZ234" i="3"/>
  <c r="DI234" i="3" s="1"/>
  <c r="AG234" i="3"/>
  <c r="CP234" i="3" s="1"/>
  <c r="J234" i="3"/>
  <c r="BS234" i="3" s="1"/>
  <c r="AX234" i="3"/>
  <c r="DG234" i="3" s="1"/>
  <c r="AD234" i="3"/>
  <c r="CM234" i="3" s="1"/>
  <c r="G234" i="3"/>
  <c r="BP234" i="3" s="1"/>
  <c r="AU234" i="3"/>
  <c r="DD234" i="3" s="1"/>
  <c r="Y234" i="3"/>
  <c r="CH234" i="3" s="1"/>
  <c r="F234" i="3"/>
  <c r="BO234" i="3" s="1"/>
  <c r="BJ234" i="3"/>
  <c r="DS234" i="3" s="1"/>
  <c r="AH234" i="3"/>
  <c r="CQ234" i="3" s="1"/>
  <c r="BE234" i="3"/>
  <c r="DN234" i="3" s="1"/>
  <c r="X234" i="3"/>
  <c r="CG234" i="3" s="1"/>
  <c r="BB234" i="3"/>
  <c r="DK234" i="3" s="1"/>
  <c r="W234" i="3"/>
  <c r="CF234" i="3" s="1"/>
  <c r="BA234" i="3"/>
  <c r="DJ234" i="3" s="1"/>
  <c r="V234" i="3"/>
  <c r="CE234" i="3" s="1"/>
  <c r="AT234" i="3"/>
  <c r="DC234" i="3" s="1"/>
  <c r="T234" i="3"/>
  <c r="CC234" i="3" s="1"/>
  <c r="AR234" i="3"/>
  <c r="DA234" i="3" s="1"/>
  <c r="Q234" i="3"/>
  <c r="BZ234" i="3" s="1"/>
  <c r="AN234" i="3"/>
  <c r="CW234" i="3" s="1"/>
  <c r="O234" i="3"/>
  <c r="BX234" i="3" s="1"/>
  <c r="AK234" i="3"/>
  <c r="CT234" i="3" s="1"/>
  <c r="L234" i="3"/>
  <c r="BU234" i="3" s="1"/>
  <c r="BL234" i="3"/>
  <c r="DU234" i="3" s="1"/>
  <c r="AJ234" i="3"/>
  <c r="CS234" i="3" s="1"/>
  <c r="E234" i="3"/>
  <c r="BN234" i="3" s="1"/>
  <c r="BK234" i="3"/>
  <c r="DT234" i="3" s="1"/>
  <c r="AI234" i="3"/>
  <c r="CR234" i="3" s="1"/>
  <c r="BH334" i="3"/>
  <c r="DQ334" i="3" s="1"/>
  <c r="AX334" i="3"/>
  <c r="DG334" i="3" s="1"/>
  <c r="AN334" i="3"/>
  <c r="CW334" i="3" s="1"/>
  <c r="AD334" i="3"/>
  <c r="CM334" i="3" s="1"/>
  <c r="T334" i="3"/>
  <c r="CC334" i="3" s="1"/>
  <c r="J334" i="3"/>
  <c r="BS334" i="3" s="1"/>
  <c r="BC334" i="3"/>
  <c r="DL334" i="3" s="1"/>
  <c r="AR334" i="3"/>
  <c r="DA334" i="3" s="1"/>
  <c r="AG334" i="3"/>
  <c r="CP334" i="3" s="1"/>
  <c r="V334" i="3"/>
  <c r="CE334" i="3" s="1"/>
  <c r="K334" i="3"/>
  <c r="BT334" i="3" s="1"/>
  <c r="BB334" i="3"/>
  <c r="DK334" i="3" s="1"/>
  <c r="AQ334" i="3"/>
  <c r="CZ334" i="3" s="1"/>
  <c r="AF334" i="3"/>
  <c r="CO334" i="3" s="1"/>
  <c r="U334" i="3"/>
  <c r="CD334" i="3" s="1"/>
  <c r="I334" i="3"/>
  <c r="BR334" i="3" s="1"/>
  <c r="BE334" i="3"/>
  <c r="DN334" i="3" s="1"/>
  <c r="AT334" i="3"/>
  <c r="DC334" i="3" s="1"/>
  <c r="AI334" i="3"/>
  <c r="CR334" i="3" s="1"/>
  <c r="X334" i="3"/>
  <c r="CG334" i="3" s="1"/>
  <c r="M334" i="3"/>
  <c r="BV334" i="3" s="1"/>
  <c r="BD334" i="3"/>
  <c r="DM334" i="3" s="1"/>
  <c r="AM334" i="3"/>
  <c r="CV334" i="3" s="1"/>
  <c r="Y334" i="3"/>
  <c r="CH334" i="3" s="1"/>
  <c r="G334" i="3"/>
  <c r="BP334" i="3" s="1"/>
  <c r="AY334" i="3"/>
  <c r="DH334" i="3" s="1"/>
  <c r="AH334" i="3"/>
  <c r="CQ334" i="3" s="1"/>
  <c r="P334" i="3"/>
  <c r="BY334" i="3" s="1"/>
  <c r="AW334" i="3"/>
  <c r="DF334" i="3" s="1"/>
  <c r="AE334" i="3"/>
  <c r="CN334" i="3" s="1"/>
  <c r="O334" i="3"/>
  <c r="BX334" i="3" s="1"/>
  <c r="BA334" i="3"/>
  <c r="DJ334" i="3" s="1"/>
  <c r="AK334" i="3"/>
  <c r="CT334" i="3" s="1"/>
  <c r="R334" i="3"/>
  <c r="CA334" i="3" s="1"/>
  <c r="BG334" i="3"/>
  <c r="DP334" i="3" s="1"/>
  <c r="AC334" i="3"/>
  <c r="CL334" i="3" s="1"/>
  <c r="F334" i="3"/>
  <c r="BO334" i="3" s="1"/>
  <c r="BF334" i="3"/>
  <c r="DO334" i="3" s="1"/>
  <c r="AB334" i="3"/>
  <c r="CK334" i="3" s="1"/>
  <c r="E334" i="3"/>
  <c r="BN334" i="3" s="1"/>
  <c r="AZ334" i="3"/>
  <c r="DI334" i="3" s="1"/>
  <c r="AA334" i="3"/>
  <c r="CJ334" i="3" s="1"/>
  <c r="AV334" i="3"/>
  <c r="DE334" i="3" s="1"/>
  <c r="Z334" i="3"/>
  <c r="CI334" i="3" s="1"/>
  <c r="AU334" i="3"/>
  <c r="DD334" i="3" s="1"/>
  <c r="W334" i="3"/>
  <c r="CF334" i="3" s="1"/>
  <c r="AS334" i="3"/>
  <c r="DB334" i="3" s="1"/>
  <c r="S334" i="3"/>
  <c r="CB334" i="3" s="1"/>
  <c r="BL334" i="3"/>
  <c r="DU334" i="3" s="1"/>
  <c r="AP334" i="3"/>
  <c r="CY334" i="3" s="1"/>
  <c r="Q334" i="3"/>
  <c r="BZ334" i="3" s="1"/>
  <c r="BK334" i="3"/>
  <c r="DT334" i="3" s="1"/>
  <c r="AO334" i="3"/>
  <c r="CX334" i="3" s="1"/>
  <c r="N334" i="3"/>
  <c r="BW334" i="3" s="1"/>
  <c r="BJ334" i="3"/>
  <c r="DS334" i="3" s="1"/>
  <c r="AL334" i="3"/>
  <c r="CU334" i="3" s="1"/>
  <c r="L334" i="3"/>
  <c r="BU334" i="3" s="1"/>
  <c r="BI334" i="3"/>
  <c r="DR334" i="3" s="1"/>
  <c r="AJ334" i="3"/>
  <c r="CS334" i="3" s="1"/>
  <c r="H334" i="3"/>
  <c r="BQ334" i="3" s="1"/>
  <c r="BH212" i="3"/>
  <c r="DQ212" i="3" s="1"/>
  <c r="AX212" i="3"/>
  <c r="DG212" i="3" s="1"/>
  <c r="AN212" i="3"/>
  <c r="CW212" i="3" s="1"/>
  <c r="AD212" i="3"/>
  <c r="CM212" i="3" s="1"/>
  <c r="T212" i="3"/>
  <c r="CC212" i="3" s="1"/>
  <c r="J212" i="3"/>
  <c r="BS212" i="3" s="1"/>
  <c r="BG212" i="3"/>
  <c r="DP212" i="3" s="1"/>
  <c r="AW212" i="3"/>
  <c r="DF212" i="3" s="1"/>
  <c r="AM212" i="3"/>
  <c r="CV212" i="3" s="1"/>
  <c r="AC212" i="3"/>
  <c r="CL212" i="3" s="1"/>
  <c r="S212" i="3"/>
  <c r="CB212" i="3" s="1"/>
  <c r="I212" i="3"/>
  <c r="BR212" i="3" s="1"/>
  <c r="BJ212" i="3"/>
  <c r="DS212" i="3" s="1"/>
  <c r="AZ212" i="3"/>
  <c r="DI212" i="3" s="1"/>
  <c r="AP212" i="3"/>
  <c r="CY212" i="3" s="1"/>
  <c r="AF212" i="3"/>
  <c r="CO212" i="3" s="1"/>
  <c r="V212" i="3"/>
  <c r="CE212" i="3" s="1"/>
  <c r="L212" i="3"/>
  <c r="BU212" i="3" s="1"/>
  <c r="BD212" i="3"/>
  <c r="DM212" i="3" s="1"/>
  <c r="AQ212" i="3"/>
  <c r="CZ212" i="3" s="1"/>
  <c r="AA212" i="3"/>
  <c r="CJ212" i="3" s="1"/>
  <c r="N212" i="3"/>
  <c r="BW212" i="3" s="1"/>
  <c r="BC212" i="3"/>
  <c r="DL212" i="3" s="1"/>
  <c r="AO212" i="3"/>
  <c r="CX212" i="3" s="1"/>
  <c r="Z212" i="3"/>
  <c r="CI212" i="3" s="1"/>
  <c r="M212" i="3"/>
  <c r="BV212" i="3" s="1"/>
  <c r="BB212" i="3"/>
  <c r="DK212" i="3" s="1"/>
  <c r="AL212" i="3"/>
  <c r="CU212" i="3" s="1"/>
  <c r="Y212" i="3"/>
  <c r="CH212" i="3" s="1"/>
  <c r="BF212" i="3"/>
  <c r="DO212" i="3" s="1"/>
  <c r="AS212" i="3"/>
  <c r="DB212" i="3" s="1"/>
  <c r="AE212" i="3"/>
  <c r="CN212" i="3" s="1"/>
  <c r="P212" i="3"/>
  <c r="BY212" i="3" s="1"/>
  <c r="BA212" i="3"/>
  <c r="DJ212" i="3" s="1"/>
  <c r="AG212" i="3"/>
  <c r="CP212" i="3" s="1"/>
  <c r="G212" i="3"/>
  <c r="BP212" i="3" s="1"/>
  <c r="AY212" i="3"/>
  <c r="DH212" i="3" s="1"/>
  <c r="AB212" i="3"/>
  <c r="CK212" i="3" s="1"/>
  <c r="F212" i="3"/>
  <c r="BO212" i="3" s="1"/>
  <c r="AV212" i="3"/>
  <c r="DE212" i="3" s="1"/>
  <c r="X212" i="3"/>
  <c r="CG212" i="3" s="1"/>
  <c r="E212" i="3"/>
  <c r="BN212" i="3" s="1"/>
  <c r="AU212" i="3"/>
  <c r="DD212" i="3" s="1"/>
  <c r="W212" i="3"/>
  <c r="CF212" i="3" s="1"/>
  <c r="AT212" i="3"/>
  <c r="DC212" i="3" s="1"/>
  <c r="U212" i="3"/>
  <c r="CD212" i="3" s="1"/>
  <c r="AR212" i="3"/>
  <c r="DA212" i="3" s="1"/>
  <c r="R212" i="3"/>
  <c r="CA212" i="3" s="1"/>
  <c r="BL212" i="3"/>
  <c r="DU212" i="3" s="1"/>
  <c r="AK212" i="3"/>
  <c r="CT212" i="3" s="1"/>
  <c r="Q212" i="3"/>
  <c r="BZ212" i="3" s="1"/>
  <c r="BE212" i="3"/>
  <c r="DN212" i="3" s="1"/>
  <c r="AH212" i="3"/>
  <c r="CQ212" i="3" s="1"/>
  <c r="H212" i="3"/>
  <c r="BQ212" i="3" s="1"/>
  <c r="AI212" i="3"/>
  <c r="CR212" i="3" s="1"/>
  <c r="O212" i="3"/>
  <c r="BX212" i="3" s="1"/>
  <c r="K212" i="3"/>
  <c r="BT212" i="3" s="1"/>
  <c r="BK212" i="3"/>
  <c r="DT212" i="3" s="1"/>
  <c r="BI212" i="3"/>
  <c r="DR212" i="3" s="1"/>
  <c r="AJ212" i="3"/>
  <c r="CS212" i="3" s="1"/>
  <c r="BD246" i="3"/>
  <c r="DM246" i="3" s="1"/>
  <c r="AT246" i="3"/>
  <c r="DC246" i="3" s="1"/>
  <c r="AJ246" i="3"/>
  <c r="CS246" i="3" s="1"/>
  <c r="Z246" i="3"/>
  <c r="CI246" i="3" s="1"/>
  <c r="P246" i="3"/>
  <c r="BY246" i="3" s="1"/>
  <c r="F246" i="3"/>
  <c r="BO246" i="3" s="1"/>
  <c r="BC246" i="3"/>
  <c r="DL246" i="3" s="1"/>
  <c r="AS246" i="3"/>
  <c r="DB246" i="3" s="1"/>
  <c r="AI246" i="3"/>
  <c r="CR246" i="3" s="1"/>
  <c r="Y246" i="3"/>
  <c r="CH246" i="3" s="1"/>
  <c r="O246" i="3"/>
  <c r="BX246" i="3" s="1"/>
  <c r="E246" i="3"/>
  <c r="BN246" i="3" s="1"/>
  <c r="BF246" i="3"/>
  <c r="DO246" i="3" s="1"/>
  <c r="AR246" i="3"/>
  <c r="DA246" i="3" s="1"/>
  <c r="AF246" i="3"/>
  <c r="CO246" i="3" s="1"/>
  <c r="T246" i="3"/>
  <c r="CC246" i="3" s="1"/>
  <c r="H246" i="3"/>
  <c r="BQ246" i="3" s="1"/>
  <c r="BL246" i="3"/>
  <c r="DU246" i="3" s="1"/>
  <c r="AY246" i="3"/>
  <c r="DH246" i="3" s="1"/>
  <c r="AL246" i="3"/>
  <c r="CU246" i="3" s="1"/>
  <c r="W246" i="3"/>
  <c r="CF246" i="3" s="1"/>
  <c r="J246" i="3"/>
  <c r="BS246" i="3" s="1"/>
  <c r="BK246" i="3"/>
  <c r="DT246" i="3" s="1"/>
  <c r="AX246" i="3"/>
  <c r="DG246" i="3" s="1"/>
  <c r="AK246" i="3"/>
  <c r="CT246" i="3" s="1"/>
  <c r="V246" i="3"/>
  <c r="CE246" i="3" s="1"/>
  <c r="I246" i="3"/>
  <c r="BR246" i="3" s="1"/>
  <c r="BJ246" i="3"/>
  <c r="DS246" i="3" s="1"/>
  <c r="AW246" i="3"/>
  <c r="DF246" i="3" s="1"/>
  <c r="AH246" i="3"/>
  <c r="CQ246" i="3" s="1"/>
  <c r="U246" i="3"/>
  <c r="CD246" i="3" s="1"/>
  <c r="G246" i="3"/>
  <c r="BP246" i="3" s="1"/>
  <c r="BI246" i="3"/>
  <c r="DR246" i="3" s="1"/>
  <c r="AV246" i="3"/>
  <c r="DE246" i="3" s="1"/>
  <c r="AG246" i="3"/>
  <c r="CP246" i="3" s="1"/>
  <c r="S246" i="3"/>
  <c r="CB246" i="3" s="1"/>
  <c r="BH246" i="3"/>
  <c r="DQ246" i="3" s="1"/>
  <c r="AU246" i="3"/>
  <c r="DD246" i="3" s="1"/>
  <c r="AE246" i="3"/>
  <c r="CN246" i="3" s="1"/>
  <c r="R246" i="3"/>
  <c r="CA246" i="3" s="1"/>
  <c r="BG246" i="3"/>
  <c r="DP246" i="3" s="1"/>
  <c r="AQ246" i="3"/>
  <c r="CZ246" i="3" s="1"/>
  <c r="AD246" i="3"/>
  <c r="CM246" i="3" s="1"/>
  <c r="Q246" i="3"/>
  <c r="BZ246" i="3" s="1"/>
  <c r="BA246" i="3"/>
  <c r="DJ246" i="3" s="1"/>
  <c r="AN246" i="3"/>
  <c r="CW246" i="3" s="1"/>
  <c r="AA246" i="3"/>
  <c r="CJ246" i="3" s="1"/>
  <c r="L246" i="3"/>
  <c r="BU246" i="3" s="1"/>
  <c r="X246" i="3"/>
  <c r="CG246" i="3" s="1"/>
  <c r="N246" i="3"/>
  <c r="BW246" i="3" s="1"/>
  <c r="BE246" i="3"/>
  <c r="DN246" i="3" s="1"/>
  <c r="M246" i="3"/>
  <c r="BV246" i="3" s="1"/>
  <c r="AC246" i="3"/>
  <c r="CL246" i="3" s="1"/>
  <c r="AO246" i="3"/>
  <c r="CX246" i="3" s="1"/>
  <c r="AM246" i="3"/>
  <c r="CV246" i="3" s="1"/>
  <c r="AB246" i="3"/>
  <c r="CK246" i="3" s="1"/>
  <c r="BB246" i="3"/>
  <c r="DK246" i="3" s="1"/>
  <c r="AZ246" i="3"/>
  <c r="DI246" i="3" s="1"/>
  <c r="AP246" i="3"/>
  <c r="CY246" i="3" s="1"/>
  <c r="K246" i="3"/>
  <c r="BT246" i="3" s="1"/>
  <c r="BC346" i="3"/>
  <c r="DL346" i="3" s="1"/>
  <c r="AS346" i="3"/>
  <c r="DB346" i="3" s="1"/>
  <c r="AI346" i="3"/>
  <c r="CR346" i="3" s="1"/>
  <c r="Y346" i="3"/>
  <c r="CH346" i="3" s="1"/>
  <c r="O346" i="3"/>
  <c r="BX346" i="3" s="1"/>
  <c r="E346" i="3"/>
  <c r="BN346" i="3" s="1"/>
  <c r="BG346" i="3"/>
  <c r="DP346" i="3" s="1"/>
  <c r="AV346" i="3"/>
  <c r="DE346" i="3" s="1"/>
  <c r="AK346" i="3"/>
  <c r="CT346" i="3" s="1"/>
  <c r="Z346" i="3"/>
  <c r="CI346" i="3" s="1"/>
  <c r="N346" i="3"/>
  <c r="BW346" i="3" s="1"/>
  <c r="BF346" i="3"/>
  <c r="DO346" i="3" s="1"/>
  <c r="AU346" i="3"/>
  <c r="DD346" i="3" s="1"/>
  <c r="AJ346" i="3"/>
  <c r="CS346" i="3" s="1"/>
  <c r="X346" i="3"/>
  <c r="CG346" i="3" s="1"/>
  <c r="M346" i="3"/>
  <c r="BV346" i="3" s="1"/>
  <c r="BI346" i="3"/>
  <c r="DR346" i="3" s="1"/>
  <c r="AX346" i="3"/>
  <c r="DG346" i="3" s="1"/>
  <c r="AM346" i="3"/>
  <c r="CV346" i="3" s="1"/>
  <c r="AB346" i="3"/>
  <c r="CK346" i="3" s="1"/>
  <c r="Q346" i="3"/>
  <c r="BZ346" i="3" s="1"/>
  <c r="F346" i="3"/>
  <c r="BO346" i="3" s="1"/>
  <c r="AY346" i="3"/>
  <c r="DH346" i="3" s="1"/>
  <c r="AG346" i="3"/>
  <c r="CP346" i="3" s="1"/>
  <c r="S346" i="3"/>
  <c r="CB346" i="3" s="1"/>
  <c r="BL346" i="3"/>
  <c r="DU346" i="3" s="1"/>
  <c r="AW346" i="3"/>
  <c r="DF346" i="3" s="1"/>
  <c r="AF346" i="3"/>
  <c r="CO346" i="3" s="1"/>
  <c r="R346" i="3"/>
  <c r="CA346" i="3" s="1"/>
  <c r="BA346" i="3"/>
  <c r="DJ346" i="3" s="1"/>
  <c r="AL346" i="3"/>
  <c r="CU346" i="3" s="1"/>
  <c r="U346" i="3"/>
  <c r="CD346" i="3" s="1"/>
  <c r="G346" i="3"/>
  <c r="BP346" i="3" s="1"/>
  <c r="BK346" i="3"/>
  <c r="DT346" i="3" s="1"/>
  <c r="AP346" i="3"/>
  <c r="CY346" i="3" s="1"/>
  <c r="T346" i="3"/>
  <c r="CC346" i="3" s="1"/>
  <c r="AT346" i="3"/>
  <c r="DC346" i="3" s="1"/>
  <c r="AA346" i="3"/>
  <c r="CJ346" i="3" s="1"/>
  <c r="AR346" i="3"/>
  <c r="DA346" i="3" s="1"/>
  <c r="W346" i="3"/>
  <c r="CF346" i="3" s="1"/>
  <c r="AH346" i="3"/>
  <c r="CQ346" i="3" s="1"/>
  <c r="H346" i="3"/>
  <c r="BQ346" i="3" s="1"/>
  <c r="BJ346" i="3"/>
  <c r="DS346" i="3" s="1"/>
  <c r="AE346" i="3"/>
  <c r="CN346" i="3" s="1"/>
  <c r="AO346" i="3"/>
  <c r="CX346" i="3" s="1"/>
  <c r="J346" i="3"/>
  <c r="BS346" i="3" s="1"/>
  <c r="AC346" i="3"/>
  <c r="CL346" i="3" s="1"/>
  <c r="V346" i="3"/>
  <c r="CE346" i="3" s="1"/>
  <c r="BH346" i="3"/>
  <c r="DQ346" i="3" s="1"/>
  <c r="P346" i="3"/>
  <c r="BY346" i="3" s="1"/>
  <c r="BE346" i="3"/>
  <c r="DN346" i="3" s="1"/>
  <c r="L346" i="3"/>
  <c r="BU346" i="3" s="1"/>
  <c r="BD346" i="3"/>
  <c r="DM346" i="3" s="1"/>
  <c r="K346" i="3"/>
  <c r="BT346" i="3" s="1"/>
  <c r="BB346" i="3"/>
  <c r="DK346" i="3" s="1"/>
  <c r="I346" i="3"/>
  <c r="BR346" i="3" s="1"/>
  <c r="AZ346" i="3"/>
  <c r="DI346" i="3" s="1"/>
  <c r="AQ346" i="3"/>
  <c r="CZ346" i="3" s="1"/>
  <c r="AN346" i="3"/>
  <c r="CW346" i="3" s="1"/>
  <c r="AD346" i="3"/>
  <c r="CM346" i="3" s="1"/>
  <c r="F40" i="4"/>
  <c r="D40" i="4"/>
  <c r="E40" i="4" s="1"/>
  <c r="F132" i="4"/>
  <c r="D132" i="4"/>
  <c r="E132" i="4" s="1"/>
  <c r="F76" i="4"/>
  <c r="D76" i="4"/>
  <c r="E76" i="4" s="1"/>
  <c r="F47" i="4"/>
  <c r="D47" i="4"/>
  <c r="E47" i="4" s="1"/>
  <c r="F202" i="4"/>
  <c r="D202" i="4"/>
  <c r="E202" i="4" s="1"/>
  <c r="F22" i="4"/>
  <c r="D22" i="4"/>
  <c r="E22" i="4" s="1"/>
  <c r="D68" i="4"/>
  <c r="E68" i="4" s="1"/>
  <c r="F68" i="4"/>
  <c r="D69" i="4"/>
  <c r="E69" i="4" s="1"/>
  <c r="F69" i="4"/>
  <c r="F66" i="4"/>
  <c r="D66" i="4"/>
  <c r="E66" i="4" s="1"/>
  <c r="F38" i="4"/>
  <c r="D38" i="4"/>
  <c r="E38" i="4" s="1"/>
  <c r="F26" i="4"/>
  <c r="D26" i="4"/>
  <c r="E26" i="4" s="1"/>
  <c r="F245" i="4"/>
  <c r="D245" i="4"/>
  <c r="E245" i="4" s="1"/>
  <c r="F49" i="4"/>
  <c r="D49" i="4"/>
  <c r="E49" i="4" s="1"/>
  <c r="F143" i="4"/>
  <c r="D143" i="4"/>
  <c r="E143" i="4" s="1"/>
  <c r="D87" i="4"/>
  <c r="E87" i="4" s="1"/>
  <c r="F87" i="4"/>
  <c r="D163" i="4"/>
  <c r="E163" i="4" s="1"/>
  <c r="F163" i="4"/>
  <c r="F105" i="4"/>
  <c r="D105" i="4"/>
  <c r="E105" i="4" s="1"/>
  <c r="F228" i="4"/>
  <c r="D228" i="4"/>
  <c r="E228" i="4" s="1"/>
  <c r="F243" i="4"/>
  <c r="D243" i="4"/>
  <c r="E243" i="4" s="1"/>
  <c r="F233" i="4"/>
  <c r="D233" i="4"/>
  <c r="E233" i="4" s="1"/>
  <c r="F159" i="4"/>
  <c r="D159" i="4"/>
  <c r="E159" i="4" s="1"/>
  <c r="F104" i="4"/>
  <c r="D104" i="4"/>
  <c r="E104" i="4" s="1"/>
  <c r="F198" i="4"/>
  <c r="D198" i="4"/>
  <c r="E198" i="4" s="1"/>
  <c r="F133" i="4"/>
  <c r="D133" i="4"/>
  <c r="E133" i="4" s="1"/>
  <c r="F224" i="4"/>
  <c r="D224" i="4"/>
  <c r="E224" i="4" s="1"/>
  <c r="O82" i="2"/>
  <c r="N119" i="2"/>
  <c r="O119" i="2"/>
  <c r="K57" i="2"/>
  <c r="L57" i="2" s="1"/>
  <c r="N109" i="2"/>
  <c r="O109" i="2"/>
  <c r="BH17" i="3"/>
  <c r="DQ17" i="3" s="1"/>
  <c r="AX17" i="3"/>
  <c r="DG17" i="3" s="1"/>
  <c r="AN17" i="3"/>
  <c r="CW17" i="3" s="1"/>
  <c r="AD17" i="3"/>
  <c r="CM17" i="3" s="1"/>
  <c r="T17" i="3"/>
  <c r="CC17" i="3" s="1"/>
  <c r="J17" i="3"/>
  <c r="BS17" i="3" s="1"/>
  <c r="BG17" i="3"/>
  <c r="DP17" i="3" s="1"/>
  <c r="AW17" i="3"/>
  <c r="DF17" i="3" s="1"/>
  <c r="AM17" i="3"/>
  <c r="CV17" i="3" s="1"/>
  <c r="AC17" i="3"/>
  <c r="CL17" i="3" s="1"/>
  <c r="S17" i="3"/>
  <c r="CB17" i="3" s="1"/>
  <c r="I17" i="3"/>
  <c r="BR17" i="3" s="1"/>
  <c r="BJ17" i="3"/>
  <c r="DS17" i="3" s="1"/>
  <c r="AV17" i="3"/>
  <c r="DE17" i="3" s="1"/>
  <c r="AJ17" i="3"/>
  <c r="CS17" i="3" s="1"/>
  <c r="X17" i="3"/>
  <c r="CG17" i="3" s="1"/>
  <c r="L17" i="3"/>
  <c r="BU17" i="3" s="1"/>
  <c r="BI17" i="3"/>
  <c r="DR17" i="3" s="1"/>
  <c r="AU17" i="3"/>
  <c r="DD17" i="3" s="1"/>
  <c r="AI17" i="3"/>
  <c r="CR17" i="3" s="1"/>
  <c r="W17" i="3"/>
  <c r="CF17" i="3" s="1"/>
  <c r="K17" i="3"/>
  <c r="BT17" i="3" s="1"/>
  <c r="BF17" i="3"/>
  <c r="DO17" i="3" s="1"/>
  <c r="AT17" i="3"/>
  <c r="DC17" i="3" s="1"/>
  <c r="AH17" i="3"/>
  <c r="CQ17" i="3" s="1"/>
  <c r="V17" i="3"/>
  <c r="CE17" i="3" s="1"/>
  <c r="H17" i="3"/>
  <c r="BQ17" i="3" s="1"/>
  <c r="BE17" i="3"/>
  <c r="DN17" i="3" s="1"/>
  <c r="AS17" i="3"/>
  <c r="DB17" i="3" s="1"/>
  <c r="AG17" i="3"/>
  <c r="CP17" i="3" s="1"/>
  <c r="U17" i="3"/>
  <c r="CD17" i="3" s="1"/>
  <c r="G17" i="3"/>
  <c r="BP17" i="3" s="1"/>
  <c r="BD17" i="3"/>
  <c r="DM17" i="3" s="1"/>
  <c r="AR17" i="3"/>
  <c r="DA17" i="3" s="1"/>
  <c r="AF17" i="3"/>
  <c r="CO17" i="3" s="1"/>
  <c r="R17" i="3"/>
  <c r="CA17" i="3" s="1"/>
  <c r="F17" i="3"/>
  <c r="BO17" i="3" s="1"/>
  <c r="BC17" i="3"/>
  <c r="DL17" i="3" s="1"/>
  <c r="AQ17" i="3"/>
  <c r="CZ17" i="3" s="1"/>
  <c r="AE17" i="3"/>
  <c r="CN17" i="3" s="1"/>
  <c r="Q17" i="3"/>
  <c r="BZ17" i="3" s="1"/>
  <c r="E17" i="3"/>
  <c r="BN17" i="3" s="1"/>
  <c r="BK17" i="3"/>
  <c r="DT17" i="3" s="1"/>
  <c r="AY17" i="3"/>
  <c r="DH17" i="3" s="1"/>
  <c r="AK17" i="3"/>
  <c r="CT17" i="3" s="1"/>
  <c r="Y17" i="3"/>
  <c r="CH17" i="3" s="1"/>
  <c r="M17" i="3"/>
  <c r="BV17" i="3" s="1"/>
  <c r="AB17" i="3"/>
  <c r="CK17" i="3" s="1"/>
  <c r="AA17" i="3"/>
  <c r="CJ17" i="3" s="1"/>
  <c r="Z17" i="3"/>
  <c r="CI17" i="3" s="1"/>
  <c r="BL17" i="3"/>
  <c r="DU17" i="3" s="1"/>
  <c r="P17" i="3"/>
  <c r="BY17" i="3" s="1"/>
  <c r="BB17" i="3"/>
  <c r="DK17" i="3" s="1"/>
  <c r="O17" i="3"/>
  <c r="BX17" i="3" s="1"/>
  <c r="BA17" i="3"/>
  <c r="DJ17" i="3" s="1"/>
  <c r="N17" i="3"/>
  <c r="BW17" i="3" s="1"/>
  <c r="AZ17" i="3"/>
  <c r="DI17" i="3" s="1"/>
  <c r="AP17" i="3"/>
  <c r="CY17" i="3" s="1"/>
  <c r="AO17" i="3"/>
  <c r="CX17" i="3" s="1"/>
  <c r="AL17" i="3"/>
  <c r="CU17" i="3" s="1"/>
  <c r="J25" i="2"/>
  <c r="K25" i="2" s="1"/>
  <c r="L25" i="2" s="1"/>
  <c r="N238" i="2"/>
  <c r="O238" i="2"/>
  <c r="O212" i="2"/>
  <c r="N212" i="2"/>
  <c r="O357" i="2"/>
  <c r="O194" i="2"/>
  <c r="N194" i="2"/>
  <c r="O103" i="2"/>
  <c r="O172" i="2"/>
  <c r="N172" i="2"/>
  <c r="O201" i="2"/>
  <c r="O104" i="2"/>
  <c r="O168" i="2"/>
  <c r="N168" i="2"/>
  <c r="O148" i="2"/>
  <c r="N148" i="2"/>
  <c r="O114" i="2"/>
  <c r="J67" i="2"/>
  <c r="K67" i="2" s="1"/>
  <c r="L67" i="2" s="1"/>
  <c r="O8" i="2"/>
  <c r="O126" i="2"/>
  <c r="N139" i="2"/>
  <c r="O139" i="2"/>
  <c r="BL75" i="3"/>
  <c r="DU75" i="3" s="1"/>
  <c r="BB75" i="3"/>
  <c r="DK75" i="3" s="1"/>
  <c r="AR75" i="3"/>
  <c r="DA75" i="3" s="1"/>
  <c r="AH75" i="3"/>
  <c r="CQ75" i="3" s="1"/>
  <c r="X75" i="3"/>
  <c r="CG75" i="3" s="1"/>
  <c r="N75" i="3"/>
  <c r="BW75" i="3" s="1"/>
  <c r="BH75" i="3"/>
  <c r="DQ75" i="3" s="1"/>
  <c r="AW75" i="3"/>
  <c r="DF75" i="3" s="1"/>
  <c r="AL75" i="3"/>
  <c r="CU75" i="3" s="1"/>
  <c r="AA75" i="3"/>
  <c r="CJ75" i="3" s="1"/>
  <c r="P75" i="3"/>
  <c r="BY75" i="3" s="1"/>
  <c r="E75" i="3"/>
  <c r="BN75" i="3" s="1"/>
  <c r="BK75" i="3"/>
  <c r="DT75" i="3" s="1"/>
  <c r="AY75" i="3"/>
  <c r="DH75" i="3" s="1"/>
  <c r="AM75" i="3"/>
  <c r="CV75" i="3" s="1"/>
  <c r="Z75" i="3"/>
  <c r="CI75" i="3" s="1"/>
  <c r="M75" i="3"/>
  <c r="BV75" i="3" s="1"/>
  <c r="BJ75" i="3"/>
  <c r="DS75" i="3" s="1"/>
  <c r="AX75" i="3"/>
  <c r="DG75" i="3" s="1"/>
  <c r="AK75" i="3"/>
  <c r="CT75" i="3" s="1"/>
  <c r="Y75" i="3"/>
  <c r="CH75" i="3" s="1"/>
  <c r="L75" i="3"/>
  <c r="BU75" i="3" s="1"/>
  <c r="BI75" i="3"/>
  <c r="DR75" i="3" s="1"/>
  <c r="AV75" i="3"/>
  <c r="DE75" i="3" s="1"/>
  <c r="AJ75" i="3"/>
  <c r="CS75" i="3" s="1"/>
  <c r="W75" i="3"/>
  <c r="CF75" i="3" s="1"/>
  <c r="K75" i="3"/>
  <c r="BT75" i="3" s="1"/>
  <c r="BG75" i="3"/>
  <c r="DP75" i="3" s="1"/>
  <c r="AU75" i="3"/>
  <c r="DD75" i="3" s="1"/>
  <c r="AI75" i="3"/>
  <c r="CR75" i="3" s="1"/>
  <c r="V75" i="3"/>
  <c r="CE75" i="3" s="1"/>
  <c r="J75" i="3"/>
  <c r="BS75" i="3" s="1"/>
  <c r="BA75" i="3"/>
  <c r="DJ75" i="3" s="1"/>
  <c r="AO75" i="3"/>
  <c r="CX75" i="3" s="1"/>
  <c r="AC75" i="3"/>
  <c r="CL75" i="3" s="1"/>
  <c r="Q75" i="3"/>
  <c r="BZ75" i="3" s="1"/>
  <c r="AS75" i="3"/>
  <c r="DB75" i="3" s="1"/>
  <c r="T75" i="3"/>
  <c r="CC75" i="3" s="1"/>
  <c r="AQ75" i="3"/>
  <c r="CZ75" i="3" s="1"/>
  <c r="S75" i="3"/>
  <c r="CB75" i="3" s="1"/>
  <c r="AP75" i="3"/>
  <c r="CY75" i="3" s="1"/>
  <c r="R75" i="3"/>
  <c r="CA75" i="3" s="1"/>
  <c r="AN75" i="3"/>
  <c r="CW75" i="3" s="1"/>
  <c r="O75" i="3"/>
  <c r="BX75" i="3" s="1"/>
  <c r="BF75" i="3"/>
  <c r="DO75" i="3" s="1"/>
  <c r="AG75" i="3"/>
  <c r="CP75" i="3" s="1"/>
  <c r="I75" i="3"/>
  <c r="BR75" i="3" s="1"/>
  <c r="BE75" i="3"/>
  <c r="DN75" i="3" s="1"/>
  <c r="AF75" i="3"/>
  <c r="CO75" i="3" s="1"/>
  <c r="H75" i="3"/>
  <c r="BQ75" i="3" s="1"/>
  <c r="BD75" i="3"/>
  <c r="DM75" i="3" s="1"/>
  <c r="AE75" i="3"/>
  <c r="CN75" i="3" s="1"/>
  <c r="G75" i="3"/>
  <c r="BP75" i="3" s="1"/>
  <c r="BC75" i="3"/>
  <c r="DL75" i="3" s="1"/>
  <c r="AD75" i="3"/>
  <c r="CM75" i="3" s="1"/>
  <c r="F75" i="3"/>
  <c r="BO75" i="3" s="1"/>
  <c r="AZ75" i="3"/>
  <c r="DI75" i="3" s="1"/>
  <c r="AB75" i="3"/>
  <c r="CK75" i="3" s="1"/>
  <c r="AT75" i="3"/>
  <c r="DC75" i="3" s="1"/>
  <c r="U75" i="3"/>
  <c r="CD75" i="3" s="1"/>
  <c r="BJ14" i="3"/>
  <c r="DS14" i="3" s="1"/>
  <c r="AZ14" i="3"/>
  <c r="DI14" i="3" s="1"/>
  <c r="AP14" i="3"/>
  <c r="CY14" i="3" s="1"/>
  <c r="AF14" i="3"/>
  <c r="CO14" i="3" s="1"/>
  <c r="V14" i="3"/>
  <c r="CE14" i="3" s="1"/>
  <c r="L14" i="3"/>
  <c r="BU14" i="3" s="1"/>
  <c r="BI14" i="3"/>
  <c r="DR14" i="3" s="1"/>
  <c r="AY14" i="3"/>
  <c r="DH14" i="3" s="1"/>
  <c r="AO14" i="3"/>
  <c r="CX14" i="3" s="1"/>
  <c r="AE14" i="3"/>
  <c r="CN14" i="3" s="1"/>
  <c r="U14" i="3"/>
  <c r="CD14" i="3" s="1"/>
  <c r="K14" i="3"/>
  <c r="BT14" i="3" s="1"/>
  <c r="BF14" i="3"/>
  <c r="DO14" i="3" s="1"/>
  <c r="AT14" i="3"/>
  <c r="DC14" i="3" s="1"/>
  <c r="AH14" i="3"/>
  <c r="CQ14" i="3" s="1"/>
  <c r="T14" i="3"/>
  <c r="CC14" i="3" s="1"/>
  <c r="H14" i="3"/>
  <c r="BQ14" i="3" s="1"/>
  <c r="BE14" i="3"/>
  <c r="DN14" i="3" s="1"/>
  <c r="AS14" i="3"/>
  <c r="DB14" i="3" s="1"/>
  <c r="AG14" i="3"/>
  <c r="CP14" i="3" s="1"/>
  <c r="S14" i="3"/>
  <c r="CB14" i="3" s="1"/>
  <c r="G14" i="3"/>
  <c r="BP14" i="3" s="1"/>
  <c r="BD14" i="3"/>
  <c r="DM14" i="3" s="1"/>
  <c r="AR14" i="3"/>
  <c r="DA14" i="3" s="1"/>
  <c r="AD14" i="3"/>
  <c r="CM14" i="3" s="1"/>
  <c r="R14" i="3"/>
  <c r="CA14" i="3" s="1"/>
  <c r="F14" i="3"/>
  <c r="BO14" i="3" s="1"/>
  <c r="BG14" i="3"/>
  <c r="DP14" i="3" s="1"/>
  <c r="AM14" i="3"/>
  <c r="CV14" i="3" s="1"/>
  <c r="X14" i="3"/>
  <c r="CG14" i="3" s="1"/>
  <c r="BC14" i="3"/>
  <c r="DL14" i="3" s="1"/>
  <c r="AL14" i="3"/>
  <c r="CU14" i="3" s="1"/>
  <c r="W14" i="3"/>
  <c r="CF14" i="3" s="1"/>
  <c r="BB14" i="3"/>
  <c r="DK14" i="3" s="1"/>
  <c r="AK14" i="3"/>
  <c r="CT14" i="3" s="1"/>
  <c r="Q14" i="3"/>
  <c r="BZ14" i="3" s="1"/>
  <c r="BA14" i="3"/>
  <c r="DJ14" i="3" s="1"/>
  <c r="AJ14" i="3"/>
  <c r="CS14" i="3" s="1"/>
  <c r="P14" i="3"/>
  <c r="BY14" i="3" s="1"/>
  <c r="AX14" i="3"/>
  <c r="DG14" i="3" s="1"/>
  <c r="AI14" i="3"/>
  <c r="CR14" i="3" s="1"/>
  <c r="O14" i="3"/>
  <c r="BX14" i="3" s="1"/>
  <c r="AW14" i="3"/>
  <c r="DF14" i="3" s="1"/>
  <c r="AC14" i="3"/>
  <c r="CL14" i="3" s="1"/>
  <c r="N14" i="3"/>
  <c r="BW14" i="3" s="1"/>
  <c r="AV14" i="3"/>
  <c r="DE14" i="3" s="1"/>
  <c r="AB14" i="3"/>
  <c r="CK14" i="3" s="1"/>
  <c r="M14" i="3"/>
  <c r="BV14" i="3" s="1"/>
  <c r="BL14" i="3"/>
  <c r="DU14" i="3" s="1"/>
  <c r="AU14" i="3"/>
  <c r="DD14" i="3" s="1"/>
  <c r="AA14" i="3"/>
  <c r="CJ14" i="3" s="1"/>
  <c r="J14" i="3"/>
  <c r="BS14" i="3" s="1"/>
  <c r="BK14" i="3"/>
  <c r="DT14" i="3" s="1"/>
  <c r="AQ14" i="3"/>
  <c r="CZ14" i="3" s="1"/>
  <c r="Z14" i="3"/>
  <c r="CI14" i="3" s="1"/>
  <c r="I14" i="3"/>
  <c r="BR14" i="3" s="1"/>
  <c r="BH14" i="3"/>
  <c r="DQ14" i="3" s="1"/>
  <c r="AN14" i="3"/>
  <c r="CW14" i="3" s="1"/>
  <c r="Y14" i="3"/>
  <c r="CH14" i="3" s="1"/>
  <c r="E14" i="3"/>
  <c r="BN14" i="3" s="1"/>
  <c r="J58" i="2"/>
  <c r="K58" i="2" s="1"/>
  <c r="L58" i="2" s="1"/>
  <c r="N45" i="2"/>
  <c r="O45" i="2"/>
  <c r="J30" i="2"/>
  <c r="K30" i="2" s="1"/>
  <c r="L30" i="2" s="1"/>
  <c r="BF15" i="3"/>
  <c r="DO15" i="3" s="1"/>
  <c r="AV15" i="3"/>
  <c r="DE15" i="3" s="1"/>
  <c r="AL15" i="3"/>
  <c r="CU15" i="3" s="1"/>
  <c r="AB15" i="3"/>
  <c r="CK15" i="3" s="1"/>
  <c r="R15" i="3"/>
  <c r="CA15" i="3" s="1"/>
  <c r="H15" i="3"/>
  <c r="BQ15" i="3" s="1"/>
  <c r="BE15" i="3"/>
  <c r="DN15" i="3" s="1"/>
  <c r="AU15" i="3"/>
  <c r="DD15" i="3" s="1"/>
  <c r="AK15" i="3"/>
  <c r="CT15" i="3" s="1"/>
  <c r="AA15" i="3"/>
  <c r="CJ15" i="3" s="1"/>
  <c r="Q15" i="3"/>
  <c r="BZ15" i="3" s="1"/>
  <c r="G15" i="3"/>
  <c r="BP15" i="3" s="1"/>
  <c r="BH15" i="3"/>
  <c r="DQ15" i="3" s="1"/>
  <c r="AT15" i="3"/>
  <c r="DC15" i="3" s="1"/>
  <c r="AH15" i="3"/>
  <c r="CQ15" i="3" s="1"/>
  <c r="V15" i="3"/>
  <c r="CE15" i="3" s="1"/>
  <c r="J15" i="3"/>
  <c r="BS15" i="3" s="1"/>
  <c r="BG15" i="3"/>
  <c r="DP15" i="3" s="1"/>
  <c r="AS15" i="3"/>
  <c r="DB15" i="3" s="1"/>
  <c r="AG15" i="3"/>
  <c r="CP15" i="3" s="1"/>
  <c r="U15" i="3"/>
  <c r="CD15" i="3" s="1"/>
  <c r="I15" i="3"/>
  <c r="BR15" i="3" s="1"/>
  <c r="BD15" i="3"/>
  <c r="DM15" i="3" s="1"/>
  <c r="AR15" i="3"/>
  <c r="DA15" i="3" s="1"/>
  <c r="AF15" i="3"/>
  <c r="CO15" i="3" s="1"/>
  <c r="T15" i="3"/>
  <c r="CC15" i="3" s="1"/>
  <c r="F15" i="3"/>
  <c r="BO15" i="3" s="1"/>
  <c r="BC15" i="3"/>
  <c r="DL15" i="3" s="1"/>
  <c r="AQ15" i="3"/>
  <c r="CZ15" i="3" s="1"/>
  <c r="AE15" i="3"/>
  <c r="CN15" i="3" s="1"/>
  <c r="S15" i="3"/>
  <c r="CB15" i="3" s="1"/>
  <c r="E15" i="3"/>
  <c r="BN15" i="3" s="1"/>
  <c r="BB15" i="3"/>
  <c r="DK15" i="3" s="1"/>
  <c r="AP15" i="3"/>
  <c r="CY15" i="3" s="1"/>
  <c r="AD15" i="3"/>
  <c r="CM15" i="3" s="1"/>
  <c r="P15" i="3"/>
  <c r="BY15" i="3" s="1"/>
  <c r="AW15" i="3"/>
  <c r="DF15" i="3" s="1"/>
  <c r="W15" i="3"/>
  <c r="CF15" i="3" s="1"/>
  <c r="AO15" i="3"/>
  <c r="CX15" i="3" s="1"/>
  <c r="O15" i="3"/>
  <c r="BX15" i="3" s="1"/>
  <c r="BL15" i="3"/>
  <c r="DU15" i="3" s="1"/>
  <c r="AN15" i="3"/>
  <c r="CW15" i="3" s="1"/>
  <c r="N15" i="3"/>
  <c r="BW15" i="3" s="1"/>
  <c r="BK15" i="3"/>
  <c r="DT15" i="3" s="1"/>
  <c r="AM15" i="3"/>
  <c r="CV15" i="3" s="1"/>
  <c r="M15" i="3"/>
  <c r="BV15" i="3" s="1"/>
  <c r="BJ15" i="3"/>
  <c r="DS15" i="3" s="1"/>
  <c r="AJ15" i="3"/>
  <c r="CS15" i="3" s="1"/>
  <c r="L15" i="3"/>
  <c r="BU15" i="3" s="1"/>
  <c r="BI15" i="3"/>
  <c r="DR15" i="3" s="1"/>
  <c r="AI15" i="3"/>
  <c r="CR15" i="3" s="1"/>
  <c r="K15" i="3"/>
  <c r="BT15" i="3" s="1"/>
  <c r="BA15" i="3"/>
  <c r="DJ15" i="3" s="1"/>
  <c r="AC15" i="3"/>
  <c r="CL15" i="3" s="1"/>
  <c r="AZ15" i="3"/>
  <c r="DI15" i="3" s="1"/>
  <c r="Z15" i="3"/>
  <c r="CI15" i="3" s="1"/>
  <c r="AY15" i="3"/>
  <c r="DH15" i="3" s="1"/>
  <c r="Y15" i="3"/>
  <c r="CH15" i="3" s="1"/>
  <c r="AX15" i="3"/>
  <c r="DG15" i="3" s="1"/>
  <c r="X15" i="3"/>
  <c r="CG15" i="3" s="1"/>
  <c r="N129" i="2"/>
  <c r="O129" i="2"/>
  <c r="J100" i="2"/>
  <c r="K100" i="2" s="1"/>
  <c r="L100" i="2" s="1"/>
  <c r="J12" i="2"/>
  <c r="K12" i="2" s="1"/>
  <c r="L12" i="2" s="1"/>
  <c r="BJ24" i="3"/>
  <c r="DS24" i="3" s="1"/>
  <c r="AZ24" i="3"/>
  <c r="DI24" i="3" s="1"/>
  <c r="AP24" i="3"/>
  <c r="CY24" i="3" s="1"/>
  <c r="AF24" i="3"/>
  <c r="CO24" i="3" s="1"/>
  <c r="V24" i="3"/>
  <c r="CE24" i="3" s="1"/>
  <c r="L24" i="3"/>
  <c r="BU24" i="3" s="1"/>
  <c r="BI24" i="3"/>
  <c r="DR24" i="3" s="1"/>
  <c r="AY24" i="3"/>
  <c r="DH24" i="3" s="1"/>
  <c r="AO24" i="3"/>
  <c r="CX24" i="3" s="1"/>
  <c r="AE24" i="3"/>
  <c r="CN24" i="3" s="1"/>
  <c r="U24" i="3"/>
  <c r="CD24" i="3" s="1"/>
  <c r="K24" i="3"/>
  <c r="BT24" i="3" s="1"/>
  <c r="BL24" i="3"/>
  <c r="DU24" i="3" s="1"/>
  <c r="BB24" i="3"/>
  <c r="DK24" i="3" s="1"/>
  <c r="AR24" i="3"/>
  <c r="DA24" i="3" s="1"/>
  <c r="AH24" i="3"/>
  <c r="CQ24" i="3" s="1"/>
  <c r="X24" i="3"/>
  <c r="CG24" i="3" s="1"/>
  <c r="N24" i="3"/>
  <c r="BW24" i="3" s="1"/>
  <c r="BD24" i="3"/>
  <c r="DM24" i="3" s="1"/>
  <c r="AN24" i="3"/>
  <c r="CW24" i="3" s="1"/>
  <c r="AA24" i="3"/>
  <c r="CJ24" i="3" s="1"/>
  <c r="M24" i="3"/>
  <c r="BV24" i="3" s="1"/>
  <c r="BH24" i="3"/>
  <c r="DQ24" i="3" s="1"/>
  <c r="AT24" i="3"/>
  <c r="DC24" i="3" s="1"/>
  <c r="AC24" i="3"/>
  <c r="CL24" i="3" s="1"/>
  <c r="O24" i="3"/>
  <c r="BX24" i="3" s="1"/>
  <c r="BG24" i="3"/>
  <c r="DP24" i="3" s="1"/>
  <c r="AS24" i="3"/>
  <c r="DB24" i="3" s="1"/>
  <c r="AB24" i="3"/>
  <c r="CK24" i="3" s="1"/>
  <c r="J24" i="3"/>
  <c r="BS24" i="3" s="1"/>
  <c r="BF24" i="3"/>
  <c r="DO24" i="3" s="1"/>
  <c r="AQ24" i="3"/>
  <c r="CZ24" i="3" s="1"/>
  <c r="Z24" i="3"/>
  <c r="CI24" i="3" s="1"/>
  <c r="I24" i="3"/>
  <c r="BR24" i="3" s="1"/>
  <c r="BE24" i="3"/>
  <c r="DN24" i="3" s="1"/>
  <c r="AM24" i="3"/>
  <c r="CV24" i="3" s="1"/>
  <c r="Y24" i="3"/>
  <c r="CH24" i="3" s="1"/>
  <c r="H24" i="3"/>
  <c r="BQ24" i="3" s="1"/>
  <c r="BC24" i="3"/>
  <c r="DL24" i="3" s="1"/>
  <c r="AL24" i="3"/>
  <c r="CU24" i="3" s="1"/>
  <c r="W24" i="3"/>
  <c r="CF24" i="3" s="1"/>
  <c r="G24" i="3"/>
  <c r="BP24" i="3" s="1"/>
  <c r="BA24" i="3"/>
  <c r="DJ24" i="3" s="1"/>
  <c r="AK24" i="3"/>
  <c r="CT24" i="3" s="1"/>
  <c r="T24" i="3"/>
  <c r="CC24" i="3" s="1"/>
  <c r="F24" i="3"/>
  <c r="BO24" i="3" s="1"/>
  <c r="AX24" i="3"/>
  <c r="DG24" i="3" s="1"/>
  <c r="AJ24" i="3"/>
  <c r="CS24" i="3" s="1"/>
  <c r="S24" i="3"/>
  <c r="CB24" i="3" s="1"/>
  <c r="E24" i="3"/>
  <c r="BN24" i="3" s="1"/>
  <c r="BK24" i="3"/>
  <c r="DT24" i="3" s="1"/>
  <c r="AU24" i="3"/>
  <c r="DD24" i="3" s="1"/>
  <c r="AD24" i="3"/>
  <c r="CM24" i="3" s="1"/>
  <c r="P24" i="3"/>
  <c r="BY24" i="3" s="1"/>
  <c r="AV24" i="3"/>
  <c r="DE24" i="3" s="1"/>
  <c r="AI24" i="3"/>
  <c r="CR24" i="3" s="1"/>
  <c r="AG24" i="3"/>
  <c r="CP24" i="3" s="1"/>
  <c r="R24" i="3"/>
  <c r="CA24" i="3" s="1"/>
  <c r="Q24" i="3"/>
  <c r="BZ24" i="3" s="1"/>
  <c r="AW24" i="3"/>
  <c r="DF24" i="3" s="1"/>
  <c r="B12" i="4"/>
  <c r="BF50" i="3"/>
  <c r="DO50" i="3" s="1"/>
  <c r="AV50" i="3"/>
  <c r="DE50" i="3" s="1"/>
  <c r="AL50" i="3"/>
  <c r="CU50" i="3" s="1"/>
  <c r="AB50" i="3"/>
  <c r="CK50" i="3" s="1"/>
  <c r="R50" i="3"/>
  <c r="CA50" i="3" s="1"/>
  <c r="H50" i="3"/>
  <c r="BQ50" i="3" s="1"/>
  <c r="BE50" i="3"/>
  <c r="DN50" i="3" s="1"/>
  <c r="AU50" i="3"/>
  <c r="DD50" i="3" s="1"/>
  <c r="AK50" i="3"/>
  <c r="CT50" i="3" s="1"/>
  <c r="AA50" i="3"/>
  <c r="CJ50" i="3" s="1"/>
  <c r="Q50" i="3"/>
  <c r="BZ50" i="3" s="1"/>
  <c r="G50" i="3"/>
  <c r="BP50" i="3" s="1"/>
  <c r="BH50" i="3"/>
  <c r="DQ50" i="3" s="1"/>
  <c r="AX50" i="3"/>
  <c r="DG50" i="3" s="1"/>
  <c r="AN50" i="3"/>
  <c r="CW50" i="3" s="1"/>
  <c r="AD50" i="3"/>
  <c r="CM50" i="3" s="1"/>
  <c r="T50" i="3"/>
  <c r="CC50" i="3" s="1"/>
  <c r="J50" i="3"/>
  <c r="BS50" i="3" s="1"/>
  <c r="BJ50" i="3"/>
  <c r="DS50" i="3" s="1"/>
  <c r="AT50" i="3"/>
  <c r="DC50" i="3" s="1"/>
  <c r="AG50" i="3"/>
  <c r="CP50" i="3" s="1"/>
  <c r="S50" i="3"/>
  <c r="CB50" i="3" s="1"/>
  <c r="BI50" i="3"/>
  <c r="DR50" i="3" s="1"/>
  <c r="AS50" i="3"/>
  <c r="DB50" i="3" s="1"/>
  <c r="AF50" i="3"/>
  <c r="CO50" i="3" s="1"/>
  <c r="P50" i="3"/>
  <c r="BY50" i="3" s="1"/>
  <c r="BG50" i="3"/>
  <c r="DP50" i="3" s="1"/>
  <c r="AR50" i="3"/>
  <c r="DA50" i="3" s="1"/>
  <c r="AE50" i="3"/>
  <c r="CN50" i="3" s="1"/>
  <c r="O50" i="3"/>
  <c r="BX50" i="3" s="1"/>
  <c r="BK50" i="3"/>
  <c r="DT50" i="3" s="1"/>
  <c r="AW50" i="3"/>
  <c r="DF50" i="3" s="1"/>
  <c r="AH50" i="3"/>
  <c r="CQ50" i="3" s="1"/>
  <c r="U50" i="3"/>
  <c r="CD50" i="3" s="1"/>
  <c r="E50" i="3"/>
  <c r="BN50" i="3" s="1"/>
  <c r="AZ50" i="3"/>
  <c r="DI50" i="3" s="1"/>
  <c r="Y50" i="3"/>
  <c r="CH50" i="3" s="1"/>
  <c r="AY50" i="3"/>
  <c r="DH50" i="3" s="1"/>
  <c r="X50" i="3"/>
  <c r="CG50" i="3" s="1"/>
  <c r="AQ50" i="3"/>
  <c r="CZ50" i="3" s="1"/>
  <c r="W50" i="3"/>
  <c r="CF50" i="3" s="1"/>
  <c r="AP50" i="3"/>
  <c r="CY50" i="3" s="1"/>
  <c r="V50" i="3"/>
  <c r="CE50" i="3" s="1"/>
  <c r="AO50" i="3"/>
  <c r="CX50" i="3" s="1"/>
  <c r="N50" i="3"/>
  <c r="BW50" i="3" s="1"/>
  <c r="BL50" i="3"/>
  <c r="DU50" i="3" s="1"/>
  <c r="AM50" i="3"/>
  <c r="CV50" i="3" s="1"/>
  <c r="M50" i="3"/>
  <c r="BV50" i="3" s="1"/>
  <c r="BD50" i="3"/>
  <c r="DM50" i="3" s="1"/>
  <c r="AJ50" i="3"/>
  <c r="CS50" i="3" s="1"/>
  <c r="L50" i="3"/>
  <c r="BU50" i="3" s="1"/>
  <c r="BC50" i="3"/>
  <c r="DL50" i="3" s="1"/>
  <c r="AI50" i="3"/>
  <c r="CR50" i="3" s="1"/>
  <c r="K50" i="3"/>
  <c r="BT50" i="3" s="1"/>
  <c r="BB50" i="3"/>
  <c r="DK50" i="3" s="1"/>
  <c r="AC50" i="3"/>
  <c r="CL50" i="3" s="1"/>
  <c r="I50" i="3"/>
  <c r="BR50" i="3" s="1"/>
  <c r="BA50" i="3"/>
  <c r="DJ50" i="3" s="1"/>
  <c r="Z50" i="3"/>
  <c r="CI50" i="3" s="1"/>
  <c r="F50" i="3"/>
  <c r="BO50" i="3" s="1"/>
  <c r="BE150" i="3"/>
  <c r="DN150" i="3" s="1"/>
  <c r="AU150" i="3"/>
  <c r="DD150" i="3" s="1"/>
  <c r="AK150" i="3"/>
  <c r="CT150" i="3" s="1"/>
  <c r="AA150" i="3"/>
  <c r="CJ150" i="3" s="1"/>
  <c r="Q150" i="3"/>
  <c r="BZ150" i="3" s="1"/>
  <c r="G150" i="3"/>
  <c r="BP150" i="3" s="1"/>
  <c r="BD150" i="3"/>
  <c r="DM150" i="3" s="1"/>
  <c r="AT150" i="3"/>
  <c r="DC150" i="3" s="1"/>
  <c r="AJ150" i="3"/>
  <c r="CS150" i="3" s="1"/>
  <c r="Z150" i="3"/>
  <c r="CI150" i="3" s="1"/>
  <c r="P150" i="3"/>
  <c r="BY150" i="3" s="1"/>
  <c r="F150" i="3"/>
  <c r="BO150" i="3" s="1"/>
  <c r="BG150" i="3"/>
  <c r="DP150" i="3" s="1"/>
  <c r="AW150" i="3"/>
  <c r="DF150" i="3" s="1"/>
  <c r="AM150" i="3"/>
  <c r="CV150" i="3" s="1"/>
  <c r="AC150" i="3"/>
  <c r="CL150" i="3" s="1"/>
  <c r="S150" i="3"/>
  <c r="CB150" i="3" s="1"/>
  <c r="I150" i="3"/>
  <c r="BR150" i="3" s="1"/>
  <c r="BC150" i="3"/>
  <c r="DL150" i="3" s="1"/>
  <c r="AP150" i="3"/>
  <c r="CY150" i="3" s="1"/>
  <c r="AB150" i="3"/>
  <c r="CK150" i="3" s="1"/>
  <c r="M150" i="3"/>
  <c r="BV150" i="3" s="1"/>
  <c r="BB150" i="3"/>
  <c r="DK150" i="3" s="1"/>
  <c r="AO150" i="3"/>
  <c r="CX150" i="3" s="1"/>
  <c r="Y150" i="3"/>
  <c r="CH150" i="3" s="1"/>
  <c r="L150" i="3"/>
  <c r="BU150" i="3" s="1"/>
  <c r="BA150" i="3"/>
  <c r="DJ150" i="3" s="1"/>
  <c r="AN150" i="3"/>
  <c r="CW150" i="3" s="1"/>
  <c r="X150" i="3"/>
  <c r="CG150" i="3" s="1"/>
  <c r="K150" i="3"/>
  <c r="BT150" i="3" s="1"/>
  <c r="BH150" i="3"/>
  <c r="DQ150" i="3" s="1"/>
  <c r="AR150" i="3"/>
  <c r="DA150" i="3" s="1"/>
  <c r="AE150" i="3"/>
  <c r="CN150" i="3" s="1"/>
  <c r="O150" i="3"/>
  <c r="BX150" i="3" s="1"/>
  <c r="BF150" i="3"/>
  <c r="DO150" i="3" s="1"/>
  <c r="AQ150" i="3"/>
  <c r="CZ150" i="3" s="1"/>
  <c r="AD150" i="3"/>
  <c r="CM150" i="3" s="1"/>
  <c r="N150" i="3"/>
  <c r="BW150" i="3" s="1"/>
  <c r="AZ150" i="3"/>
  <c r="DI150" i="3" s="1"/>
  <c r="W150" i="3"/>
  <c r="CF150" i="3" s="1"/>
  <c r="AY150" i="3"/>
  <c r="DH150" i="3" s="1"/>
  <c r="V150" i="3"/>
  <c r="CE150" i="3" s="1"/>
  <c r="AX150" i="3"/>
  <c r="DG150" i="3" s="1"/>
  <c r="U150" i="3"/>
  <c r="CD150" i="3" s="1"/>
  <c r="BJ150" i="3"/>
  <c r="DS150" i="3" s="1"/>
  <c r="AG150" i="3"/>
  <c r="CP150" i="3" s="1"/>
  <c r="BI150" i="3"/>
  <c r="DR150" i="3" s="1"/>
  <c r="AF150" i="3"/>
  <c r="CO150" i="3" s="1"/>
  <c r="AS150" i="3"/>
  <c r="DB150" i="3" s="1"/>
  <c r="J150" i="3"/>
  <c r="BS150" i="3" s="1"/>
  <c r="BL150" i="3"/>
  <c r="DU150" i="3" s="1"/>
  <c r="H150" i="3"/>
  <c r="BQ150" i="3" s="1"/>
  <c r="BK150" i="3"/>
  <c r="DT150" i="3" s="1"/>
  <c r="E150" i="3"/>
  <c r="BN150" i="3" s="1"/>
  <c r="AI150" i="3"/>
  <c r="CR150" i="3" s="1"/>
  <c r="AH150" i="3"/>
  <c r="CQ150" i="3" s="1"/>
  <c r="T150" i="3"/>
  <c r="CC150" i="3" s="1"/>
  <c r="R150" i="3"/>
  <c r="CA150" i="3" s="1"/>
  <c r="AV150" i="3"/>
  <c r="DE150" i="3" s="1"/>
  <c r="AL150" i="3"/>
  <c r="CU150" i="3" s="1"/>
  <c r="N213" i="2"/>
  <c r="O213" i="2"/>
  <c r="BD53" i="3"/>
  <c r="DM53" i="3" s="1"/>
  <c r="AT53" i="3"/>
  <c r="DC53" i="3" s="1"/>
  <c r="AJ53" i="3"/>
  <c r="CS53" i="3" s="1"/>
  <c r="Z53" i="3"/>
  <c r="CI53" i="3" s="1"/>
  <c r="P53" i="3"/>
  <c r="BY53" i="3" s="1"/>
  <c r="F53" i="3"/>
  <c r="BO53" i="3" s="1"/>
  <c r="BC53" i="3"/>
  <c r="DL53" i="3" s="1"/>
  <c r="AS53" i="3"/>
  <c r="DB53" i="3" s="1"/>
  <c r="AI53" i="3"/>
  <c r="CR53" i="3" s="1"/>
  <c r="Y53" i="3"/>
  <c r="CH53" i="3" s="1"/>
  <c r="O53" i="3"/>
  <c r="BX53" i="3" s="1"/>
  <c r="E53" i="3"/>
  <c r="BN53" i="3" s="1"/>
  <c r="BF53" i="3"/>
  <c r="DO53" i="3" s="1"/>
  <c r="AV53" i="3"/>
  <c r="DE53" i="3" s="1"/>
  <c r="AL53" i="3"/>
  <c r="CU53" i="3" s="1"/>
  <c r="AB53" i="3"/>
  <c r="CK53" i="3" s="1"/>
  <c r="R53" i="3"/>
  <c r="CA53" i="3" s="1"/>
  <c r="H53" i="3"/>
  <c r="BQ53" i="3" s="1"/>
  <c r="BI53" i="3"/>
  <c r="DR53" i="3" s="1"/>
  <c r="AU53" i="3"/>
  <c r="DD53" i="3" s="1"/>
  <c r="AF53" i="3"/>
  <c r="CO53" i="3" s="1"/>
  <c r="S53" i="3"/>
  <c r="CB53" i="3" s="1"/>
  <c r="BH53" i="3"/>
  <c r="DQ53" i="3" s="1"/>
  <c r="AR53" i="3"/>
  <c r="DA53" i="3" s="1"/>
  <c r="AE53" i="3"/>
  <c r="CN53" i="3" s="1"/>
  <c r="Q53" i="3"/>
  <c r="BZ53" i="3" s="1"/>
  <c r="BG53" i="3"/>
  <c r="DP53" i="3" s="1"/>
  <c r="AQ53" i="3"/>
  <c r="CZ53" i="3" s="1"/>
  <c r="AD53" i="3"/>
  <c r="CM53" i="3" s="1"/>
  <c r="N53" i="3"/>
  <c r="BW53" i="3" s="1"/>
  <c r="BJ53" i="3"/>
  <c r="DS53" i="3" s="1"/>
  <c r="AW53" i="3"/>
  <c r="DF53" i="3" s="1"/>
  <c r="AG53" i="3"/>
  <c r="CP53" i="3" s="1"/>
  <c r="T53" i="3"/>
  <c r="CC53" i="3" s="1"/>
  <c r="BE53" i="3"/>
  <c r="DN53" i="3" s="1"/>
  <c r="AK53" i="3"/>
  <c r="CT53" i="3" s="1"/>
  <c r="K53" i="3"/>
  <c r="BT53" i="3" s="1"/>
  <c r="BB53" i="3"/>
  <c r="DK53" i="3" s="1"/>
  <c r="AH53" i="3"/>
  <c r="CQ53" i="3" s="1"/>
  <c r="J53" i="3"/>
  <c r="BS53" i="3" s="1"/>
  <c r="BA53" i="3"/>
  <c r="DJ53" i="3" s="1"/>
  <c r="AC53" i="3"/>
  <c r="CL53" i="3" s="1"/>
  <c r="I53" i="3"/>
  <c r="BR53" i="3" s="1"/>
  <c r="AZ53" i="3"/>
  <c r="DI53" i="3" s="1"/>
  <c r="AA53" i="3"/>
  <c r="CJ53" i="3" s="1"/>
  <c r="G53" i="3"/>
  <c r="BP53" i="3" s="1"/>
  <c r="AY53" i="3"/>
  <c r="DH53" i="3" s="1"/>
  <c r="X53" i="3"/>
  <c r="CG53" i="3" s="1"/>
  <c r="AX53" i="3"/>
  <c r="DG53" i="3" s="1"/>
  <c r="W53" i="3"/>
  <c r="CF53" i="3" s="1"/>
  <c r="AP53" i="3"/>
  <c r="CY53" i="3" s="1"/>
  <c r="V53" i="3"/>
  <c r="CE53" i="3" s="1"/>
  <c r="AO53" i="3"/>
  <c r="CX53" i="3" s="1"/>
  <c r="U53" i="3"/>
  <c r="CD53" i="3" s="1"/>
  <c r="BL53" i="3"/>
  <c r="DU53" i="3" s="1"/>
  <c r="AN53" i="3"/>
  <c r="CW53" i="3" s="1"/>
  <c r="M53" i="3"/>
  <c r="BV53" i="3" s="1"/>
  <c r="BK53" i="3"/>
  <c r="DT53" i="3" s="1"/>
  <c r="AM53" i="3"/>
  <c r="CV53" i="3" s="1"/>
  <c r="L53" i="3"/>
  <c r="BU53" i="3" s="1"/>
  <c r="BG127" i="3"/>
  <c r="DP127" i="3" s="1"/>
  <c r="AW127" i="3"/>
  <c r="DF127" i="3" s="1"/>
  <c r="AM127" i="3"/>
  <c r="CV127" i="3" s="1"/>
  <c r="AC127" i="3"/>
  <c r="CL127" i="3" s="1"/>
  <c r="S127" i="3"/>
  <c r="CB127" i="3" s="1"/>
  <c r="I127" i="3"/>
  <c r="BR127" i="3" s="1"/>
  <c r="BH127" i="3"/>
  <c r="DQ127" i="3" s="1"/>
  <c r="AV127" i="3"/>
  <c r="DE127" i="3" s="1"/>
  <c r="AK127" i="3"/>
  <c r="CT127" i="3" s="1"/>
  <c r="Z127" i="3"/>
  <c r="CI127" i="3" s="1"/>
  <c r="O127" i="3"/>
  <c r="BX127" i="3" s="1"/>
  <c r="BJ127" i="3"/>
  <c r="DS127" i="3" s="1"/>
  <c r="AY127" i="3"/>
  <c r="DH127" i="3" s="1"/>
  <c r="AN127" i="3"/>
  <c r="CW127" i="3" s="1"/>
  <c r="AB127" i="3"/>
  <c r="CK127" i="3" s="1"/>
  <c r="Q127" i="3"/>
  <c r="BZ127" i="3" s="1"/>
  <c r="F127" i="3"/>
  <c r="BO127" i="3" s="1"/>
  <c r="BD127" i="3"/>
  <c r="DM127" i="3" s="1"/>
  <c r="AQ127" i="3"/>
  <c r="CZ127" i="3" s="1"/>
  <c r="AD127" i="3"/>
  <c r="CM127" i="3" s="1"/>
  <c r="N127" i="3"/>
  <c r="BW127" i="3" s="1"/>
  <c r="BF127" i="3"/>
  <c r="DO127" i="3" s="1"/>
  <c r="AS127" i="3"/>
  <c r="DB127" i="3" s="1"/>
  <c r="AF127" i="3"/>
  <c r="CO127" i="3" s="1"/>
  <c r="R127" i="3"/>
  <c r="CA127" i="3" s="1"/>
  <c r="BE127" i="3"/>
  <c r="DN127" i="3" s="1"/>
  <c r="AR127" i="3"/>
  <c r="DA127" i="3" s="1"/>
  <c r="AE127" i="3"/>
  <c r="CN127" i="3" s="1"/>
  <c r="P127" i="3"/>
  <c r="BY127" i="3" s="1"/>
  <c r="BL127" i="3"/>
  <c r="DU127" i="3" s="1"/>
  <c r="AP127" i="3"/>
  <c r="CY127" i="3" s="1"/>
  <c r="W127" i="3"/>
  <c r="CF127" i="3" s="1"/>
  <c r="E127" i="3"/>
  <c r="BN127" i="3" s="1"/>
  <c r="AZ127" i="3"/>
  <c r="DI127" i="3" s="1"/>
  <c r="AG127" i="3"/>
  <c r="CP127" i="3" s="1"/>
  <c r="K127" i="3"/>
  <c r="BT127" i="3" s="1"/>
  <c r="AX127" i="3"/>
  <c r="DG127" i="3" s="1"/>
  <c r="AA127" i="3"/>
  <c r="CJ127" i="3" s="1"/>
  <c r="J127" i="3"/>
  <c r="BS127" i="3" s="1"/>
  <c r="AU127" i="3"/>
  <c r="DD127" i="3" s="1"/>
  <c r="Y127" i="3"/>
  <c r="CH127" i="3" s="1"/>
  <c r="H127" i="3"/>
  <c r="BQ127" i="3" s="1"/>
  <c r="AI127" i="3"/>
  <c r="CR127" i="3" s="1"/>
  <c r="BK127" i="3"/>
  <c r="DT127" i="3" s="1"/>
  <c r="AH127" i="3"/>
  <c r="CQ127" i="3" s="1"/>
  <c r="BI127" i="3"/>
  <c r="DR127" i="3" s="1"/>
  <c r="X127" i="3"/>
  <c r="CG127" i="3" s="1"/>
  <c r="BC127" i="3"/>
  <c r="DL127" i="3" s="1"/>
  <c r="V127" i="3"/>
  <c r="CE127" i="3" s="1"/>
  <c r="BB127" i="3"/>
  <c r="DK127" i="3" s="1"/>
  <c r="U127" i="3"/>
  <c r="CD127" i="3" s="1"/>
  <c r="BA127" i="3"/>
  <c r="DJ127" i="3" s="1"/>
  <c r="T127" i="3"/>
  <c r="CC127" i="3" s="1"/>
  <c r="AT127" i="3"/>
  <c r="DC127" i="3" s="1"/>
  <c r="M127" i="3"/>
  <c r="BV127" i="3" s="1"/>
  <c r="AO127" i="3"/>
  <c r="CX127" i="3" s="1"/>
  <c r="L127" i="3"/>
  <c r="BU127" i="3" s="1"/>
  <c r="G127" i="3"/>
  <c r="BP127" i="3" s="1"/>
  <c r="AL127" i="3"/>
  <c r="CU127" i="3" s="1"/>
  <c r="AJ127" i="3"/>
  <c r="CS127" i="3" s="1"/>
  <c r="BH177" i="3"/>
  <c r="DQ177" i="3" s="1"/>
  <c r="AX177" i="3"/>
  <c r="DG177" i="3" s="1"/>
  <c r="AN177" i="3"/>
  <c r="CW177" i="3" s="1"/>
  <c r="AD177" i="3"/>
  <c r="CM177" i="3" s="1"/>
  <c r="T177" i="3"/>
  <c r="CC177" i="3" s="1"/>
  <c r="J177" i="3"/>
  <c r="BS177" i="3" s="1"/>
  <c r="BG177" i="3"/>
  <c r="DP177" i="3" s="1"/>
  <c r="AW177" i="3"/>
  <c r="DF177" i="3" s="1"/>
  <c r="AM177" i="3"/>
  <c r="CV177" i="3" s="1"/>
  <c r="AC177" i="3"/>
  <c r="CL177" i="3" s="1"/>
  <c r="S177" i="3"/>
  <c r="CB177" i="3" s="1"/>
  <c r="I177" i="3"/>
  <c r="BR177" i="3" s="1"/>
  <c r="BJ177" i="3"/>
  <c r="DS177" i="3" s="1"/>
  <c r="AV177" i="3"/>
  <c r="DE177" i="3" s="1"/>
  <c r="AJ177" i="3"/>
  <c r="CS177" i="3" s="1"/>
  <c r="X177" i="3"/>
  <c r="CG177" i="3" s="1"/>
  <c r="L177" i="3"/>
  <c r="BU177" i="3" s="1"/>
  <c r="BK177" i="3"/>
  <c r="DT177" i="3" s="1"/>
  <c r="AU177" i="3"/>
  <c r="DD177" i="3" s="1"/>
  <c r="AH177" i="3"/>
  <c r="CQ177" i="3" s="1"/>
  <c r="U177" i="3"/>
  <c r="CD177" i="3" s="1"/>
  <c r="F177" i="3"/>
  <c r="BO177" i="3" s="1"/>
  <c r="BI177" i="3"/>
  <c r="DR177" i="3" s="1"/>
  <c r="AT177" i="3"/>
  <c r="DC177" i="3" s="1"/>
  <c r="AG177" i="3"/>
  <c r="CP177" i="3" s="1"/>
  <c r="R177" i="3"/>
  <c r="CA177" i="3" s="1"/>
  <c r="E177" i="3"/>
  <c r="BN177" i="3" s="1"/>
  <c r="BF177" i="3"/>
  <c r="DO177" i="3" s="1"/>
  <c r="AS177" i="3"/>
  <c r="DB177" i="3" s="1"/>
  <c r="AF177" i="3"/>
  <c r="CO177" i="3" s="1"/>
  <c r="Q177" i="3"/>
  <c r="BZ177" i="3" s="1"/>
  <c r="BE177" i="3"/>
  <c r="DN177" i="3" s="1"/>
  <c r="AR177" i="3"/>
  <c r="DA177" i="3" s="1"/>
  <c r="AE177" i="3"/>
  <c r="CN177" i="3" s="1"/>
  <c r="P177" i="3"/>
  <c r="BY177" i="3" s="1"/>
  <c r="AZ177" i="3"/>
  <c r="DI177" i="3" s="1"/>
  <c r="AK177" i="3"/>
  <c r="CT177" i="3" s="1"/>
  <c r="W177" i="3"/>
  <c r="CF177" i="3" s="1"/>
  <c r="H177" i="3"/>
  <c r="BQ177" i="3" s="1"/>
  <c r="BA177" i="3"/>
  <c r="DJ177" i="3" s="1"/>
  <c r="Y177" i="3"/>
  <c r="CH177" i="3" s="1"/>
  <c r="AY177" i="3"/>
  <c r="DH177" i="3" s="1"/>
  <c r="V177" i="3"/>
  <c r="CE177" i="3" s="1"/>
  <c r="AQ177" i="3"/>
  <c r="CZ177" i="3" s="1"/>
  <c r="O177" i="3"/>
  <c r="BX177" i="3" s="1"/>
  <c r="AP177" i="3"/>
  <c r="CY177" i="3" s="1"/>
  <c r="N177" i="3"/>
  <c r="BW177" i="3" s="1"/>
  <c r="AO177" i="3"/>
  <c r="CX177" i="3" s="1"/>
  <c r="M177" i="3"/>
  <c r="BV177" i="3" s="1"/>
  <c r="AL177" i="3"/>
  <c r="CU177" i="3" s="1"/>
  <c r="K177" i="3"/>
  <c r="BT177" i="3" s="1"/>
  <c r="BL177" i="3"/>
  <c r="DU177" i="3" s="1"/>
  <c r="AI177" i="3"/>
  <c r="CR177" i="3" s="1"/>
  <c r="G177" i="3"/>
  <c r="BP177" i="3" s="1"/>
  <c r="BC177" i="3"/>
  <c r="DL177" i="3" s="1"/>
  <c r="AA177" i="3"/>
  <c r="CJ177" i="3" s="1"/>
  <c r="BB177" i="3"/>
  <c r="DK177" i="3" s="1"/>
  <c r="Z177" i="3"/>
  <c r="CI177" i="3" s="1"/>
  <c r="BD177" i="3"/>
  <c r="DM177" i="3" s="1"/>
  <c r="AB177" i="3"/>
  <c r="CK177" i="3" s="1"/>
  <c r="BH197" i="3"/>
  <c r="DQ197" i="3" s="1"/>
  <c r="AX197" i="3"/>
  <c r="DG197" i="3" s="1"/>
  <c r="AN197" i="3"/>
  <c r="CW197" i="3" s="1"/>
  <c r="AD197" i="3"/>
  <c r="CM197" i="3" s="1"/>
  <c r="T197" i="3"/>
  <c r="CC197" i="3" s="1"/>
  <c r="J197" i="3"/>
  <c r="BS197" i="3" s="1"/>
  <c r="BC197" i="3"/>
  <c r="DL197" i="3" s="1"/>
  <c r="AR197" i="3"/>
  <c r="DA197" i="3" s="1"/>
  <c r="AG197" i="3"/>
  <c r="CP197" i="3" s="1"/>
  <c r="V197" i="3"/>
  <c r="CE197" i="3" s="1"/>
  <c r="K197" i="3"/>
  <c r="BT197" i="3" s="1"/>
  <c r="BB197" i="3"/>
  <c r="DK197" i="3" s="1"/>
  <c r="AQ197" i="3"/>
  <c r="CZ197" i="3" s="1"/>
  <c r="AF197" i="3"/>
  <c r="CO197" i="3" s="1"/>
  <c r="U197" i="3"/>
  <c r="CD197" i="3" s="1"/>
  <c r="I197" i="3"/>
  <c r="BR197" i="3" s="1"/>
  <c r="BE197" i="3"/>
  <c r="DN197" i="3" s="1"/>
  <c r="AT197" i="3"/>
  <c r="DC197" i="3" s="1"/>
  <c r="AI197" i="3"/>
  <c r="CR197" i="3" s="1"/>
  <c r="X197" i="3"/>
  <c r="CG197" i="3" s="1"/>
  <c r="M197" i="3"/>
  <c r="BV197" i="3" s="1"/>
  <c r="BG197" i="3"/>
  <c r="DP197" i="3" s="1"/>
  <c r="AP197" i="3"/>
  <c r="CY197" i="3" s="1"/>
  <c r="AA197" i="3"/>
  <c r="CJ197" i="3" s="1"/>
  <c r="L197" i="3"/>
  <c r="BU197" i="3" s="1"/>
  <c r="BF197" i="3"/>
  <c r="DO197" i="3" s="1"/>
  <c r="AO197" i="3"/>
  <c r="CX197" i="3" s="1"/>
  <c r="Z197" i="3"/>
  <c r="CI197" i="3" s="1"/>
  <c r="H197" i="3"/>
  <c r="BQ197" i="3" s="1"/>
  <c r="BD197" i="3"/>
  <c r="DM197" i="3" s="1"/>
  <c r="AM197" i="3"/>
  <c r="CV197" i="3" s="1"/>
  <c r="Y197" i="3"/>
  <c r="CH197" i="3" s="1"/>
  <c r="G197" i="3"/>
  <c r="BP197" i="3" s="1"/>
  <c r="BA197" i="3"/>
  <c r="DJ197" i="3" s="1"/>
  <c r="AL197" i="3"/>
  <c r="CU197" i="3" s="1"/>
  <c r="W197" i="3"/>
  <c r="CF197" i="3" s="1"/>
  <c r="F197" i="3"/>
  <c r="BO197" i="3" s="1"/>
  <c r="AZ197" i="3"/>
  <c r="DI197" i="3" s="1"/>
  <c r="AK197" i="3"/>
  <c r="CT197" i="3" s="1"/>
  <c r="S197" i="3"/>
  <c r="CB197" i="3" s="1"/>
  <c r="E197" i="3"/>
  <c r="BN197" i="3" s="1"/>
  <c r="AY197" i="3"/>
  <c r="DH197" i="3" s="1"/>
  <c r="AJ197" i="3"/>
  <c r="CS197" i="3" s="1"/>
  <c r="R197" i="3"/>
  <c r="CA197" i="3" s="1"/>
  <c r="BI197" i="3"/>
  <c r="DR197" i="3" s="1"/>
  <c r="AS197" i="3"/>
  <c r="DB197" i="3" s="1"/>
  <c r="AB197" i="3"/>
  <c r="CK197" i="3" s="1"/>
  <c r="N197" i="3"/>
  <c r="BW197" i="3" s="1"/>
  <c r="AC197" i="3"/>
  <c r="CL197" i="3" s="1"/>
  <c r="Q197" i="3"/>
  <c r="BZ197" i="3" s="1"/>
  <c r="BL197" i="3"/>
  <c r="DU197" i="3" s="1"/>
  <c r="P197" i="3"/>
  <c r="BY197" i="3" s="1"/>
  <c r="BK197" i="3"/>
  <c r="DT197" i="3" s="1"/>
  <c r="O197" i="3"/>
  <c r="BX197" i="3" s="1"/>
  <c r="BJ197" i="3"/>
  <c r="DS197" i="3" s="1"/>
  <c r="AW197" i="3"/>
  <c r="DF197" i="3" s="1"/>
  <c r="AV197" i="3"/>
  <c r="DE197" i="3" s="1"/>
  <c r="AH197" i="3"/>
  <c r="CQ197" i="3" s="1"/>
  <c r="AE197" i="3"/>
  <c r="CN197" i="3" s="1"/>
  <c r="AU197" i="3"/>
  <c r="DD197" i="3" s="1"/>
  <c r="K15" i="2"/>
  <c r="L15" i="2" s="1"/>
  <c r="BH57" i="3"/>
  <c r="DQ57" i="3" s="1"/>
  <c r="AX57" i="3"/>
  <c r="DG57" i="3" s="1"/>
  <c r="AN57" i="3"/>
  <c r="CW57" i="3" s="1"/>
  <c r="AD57" i="3"/>
  <c r="CM57" i="3" s="1"/>
  <c r="T57" i="3"/>
  <c r="CC57" i="3" s="1"/>
  <c r="J57" i="3"/>
  <c r="BS57" i="3" s="1"/>
  <c r="BG57" i="3"/>
  <c r="DP57" i="3" s="1"/>
  <c r="AW57" i="3"/>
  <c r="DF57" i="3" s="1"/>
  <c r="AM57" i="3"/>
  <c r="CV57" i="3" s="1"/>
  <c r="AC57" i="3"/>
  <c r="CL57" i="3" s="1"/>
  <c r="S57" i="3"/>
  <c r="CB57" i="3" s="1"/>
  <c r="I57" i="3"/>
  <c r="BR57" i="3" s="1"/>
  <c r="BJ57" i="3"/>
  <c r="DS57" i="3" s="1"/>
  <c r="AZ57" i="3"/>
  <c r="DI57" i="3" s="1"/>
  <c r="AP57" i="3"/>
  <c r="CY57" i="3" s="1"/>
  <c r="AF57" i="3"/>
  <c r="CO57" i="3" s="1"/>
  <c r="V57" i="3"/>
  <c r="CE57" i="3" s="1"/>
  <c r="L57" i="3"/>
  <c r="BU57" i="3" s="1"/>
  <c r="AY57" i="3"/>
  <c r="DH57" i="3" s="1"/>
  <c r="AJ57" i="3"/>
  <c r="CS57" i="3" s="1"/>
  <c r="W57" i="3"/>
  <c r="CF57" i="3" s="1"/>
  <c r="G57" i="3"/>
  <c r="BP57" i="3" s="1"/>
  <c r="BL57" i="3"/>
  <c r="DU57" i="3" s="1"/>
  <c r="AV57" i="3"/>
  <c r="DE57" i="3" s="1"/>
  <c r="AI57" i="3"/>
  <c r="CR57" i="3" s="1"/>
  <c r="U57" i="3"/>
  <c r="CD57" i="3" s="1"/>
  <c r="F57" i="3"/>
  <c r="BO57" i="3" s="1"/>
  <c r="BK57" i="3"/>
  <c r="DT57" i="3" s="1"/>
  <c r="AU57" i="3"/>
  <c r="DD57" i="3" s="1"/>
  <c r="AH57" i="3"/>
  <c r="CQ57" i="3" s="1"/>
  <c r="R57" i="3"/>
  <c r="CA57" i="3" s="1"/>
  <c r="E57" i="3"/>
  <c r="BN57" i="3" s="1"/>
  <c r="BA57" i="3"/>
  <c r="DJ57" i="3" s="1"/>
  <c r="AK57" i="3"/>
  <c r="CT57" i="3" s="1"/>
  <c r="X57" i="3"/>
  <c r="CG57" i="3" s="1"/>
  <c r="H57" i="3"/>
  <c r="BQ57" i="3" s="1"/>
  <c r="BI57" i="3"/>
  <c r="DR57" i="3" s="1"/>
  <c r="AO57" i="3"/>
  <c r="CX57" i="3" s="1"/>
  <c r="O57" i="3"/>
  <c r="BX57" i="3" s="1"/>
  <c r="BF57" i="3"/>
  <c r="DO57" i="3" s="1"/>
  <c r="AL57" i="3"/>
  <c r="CU57" i="3" s="1"/>
  <c r="N57" i="3"/>
  <c r="BW57" i="3" s="1"/>
  <c r="BE57" i="3"/>
  <c r="DN57" i="3" s="1"/>
  <c r="AG57" i="3"/>
  <c r="CP57" i="3" s="1"/>
  <c r="M57" i="3"/>
  <c r="BV57" i="3" s="1"/>
  <c r="BD57" i="3"/>
  <c r="DM57" i="3" s="1"/>
  <c r="AE57" i="3"/>
  <c r="CN57" i="3" s="1"/>
  <c r="K57" i="3"/>
  <c r="BT57" i="3" s="1"/>
  <c r="BC57" i="3"/>
  <c r="DL57" i="3" s="1"/>
  <c r="AB57" i="3"/>
  <c r="CK57" i="3" s="1"/>
  <c r="BB57" i="3"/>
  <c r="DK57" i="3" s="1"/>
  <c r="AA57" i="3"/>
  <c r="CJ57" i="3" s="1"/>
  <c r="AT57" i="3"/>
  <c r="DC57" i="3" s="1"/>
  <c r="Z57" i="3"/>
  <c r="CI57" i="3" s="1"/>
  <c r="AS57" i="3"/>
  <c r="DB57" i="3" s="1"/>
  <c r="Y57" i="3"/>
  <c r="CH57" i="3" s="1"/>
  <c r="AR57" i="3"/>
  <c r="DA57" i="3" s="1"/>
  <c r="Q57" i="3"/>
  <c r="BZ57" i="3" s="1"/>
  <c r="AQ57" i="3"/>
  <c r="CZ57" i="3" s="1"/>
  <c r="P57" i="3"/>
  <c r="BY57" i="3" s="1"/>
  <c r="K79" i="2"/>
  <c r="L79" i="2" s="1"/>
  <c r="K99" i="2"/>
  <c r="L99" i="2" s="1"/>
  <c r="BG157" i="3"/>
  <c r="DP157" i="3" s="1"/>
  <c r="AW157" i="3"/>
  <c r="DF157" i="3" s="1"/>
  <c r="AM157" i="3"/>
  <c r="CV157" i="3" s="1"/>
  <c r="AC157" i="3"/>
  <c r="CL157" i="3" s="1"/>
  <c r="S157" i="3"/>
  <c r="CB157" i="3" s="1"/>
  <c r="I157" i="3"/>
  <c r="BR157" i="3" s="1"/>
  <c r="BF157" i="3"/>
  <c r="DO157" i="3" s="1"/>
  <c r="AV157" i="3"/>
  <c r="DE157" i="3" s="1"/>
  <c r="AL157" i="3"/>
  <c r="CU157" i="3" s="1"/>
  <c r="AB157" i="3"/>
  <c r="CK157" i="3" s="1"/>
  <c r="R157" i="3"/>
  <c r="CA157" i="3" s="1"/>
  <c r="H157" i="3"/>
  <c r="BQ157" i="3" s="1"/>
  <c r="BI157" i="3"/>
  <c r="DR157" i="3" s="1"/>
  <c r="AY157" i="3"/>
  <c r="DH157" i="3" s="1"/>
  <c r="AO157" i="3"/>
  <c r="CX157" i="3" s="1"/>
  <c r="AE157" i="3"/>
  <c r="CN157" i="3" s="1"/>
  <c r="U157" i="3"/>
  <c r="CD157" i="3" s="1"/>
  <c r="K157" i="3"/>
  <c r="BT157" i="3" s="1"/>
  <c r="BH157" i="3"/>
  <c r="DQ157" i="3" s="1"/>
  <c r="AS157" i="3"/>
  <c r="DB157" i="3" s="1"/>
  <c r="AF157" i="3"/>
  <c r="CO157" i="3" s="1"/>
  <c r="P157" i="3"/>
  <c r="BY157" i="3" s="1"/>
  <c r="BE157" i="3"/>
  <c r="DN157" i="3" s="1"/>
  <c r="AR157" i="3"/>
  <c r="DA157" i="3" s="1"/>
  <c r="AD157" i="3"/>
  <c r="CM157" i="3" s="1"/>
  <c r="O157" i="3"/>
  <c r="BX157" i="3" s="1"/>
  <c r="BD157" i="3"/>
  <c r="DM157" i="3" s="1"/>
  <c r="AQ157" i="3"/>
  <c r="CZ157" i="3" s="1"/>
  <c r="AA157" i="3"/>
  <c r="CJ157" i="3" s="1"/>
  <c r="N157" i="3"/>
  <c r="BW157" i="3" s="1"/>
  <c r="BK157" i="3"/>
  <c r="DT157" i="3" s="1"/>
  <c r="AU157" i="3"/>
  <c r="DD157" i="3" s="1"/>
  <c r="AH157" i="3"/>
  <c r="CQ157" i="3" s="1"/>
  <c r="T157" i="3"/>
  <c r="CC157" i="3" s="1"/>
  <c r="E157" i="3"/>
  <c r="BN157" i="3" s="1"/>
  <c r="BJ157" i="3"/>
  <c r="DS157" i="3" s="1"/>
  <c r="AT157" i="3"/>
  <c r="DC157" i="3" s="1"/>
  <c r="AG157" i="3"/>
  <c r="CP157" i="3" s="1"/>
  <c r="Q157" i="3"/>
  <c r="BZ157" i="3" s="1"/>
  <c r="AP157" i="3"/>
  <c r="CY157" i="3" s="1"/>
  <c r="M157" i="3"/>
  <c r="BV157" i="3" s="1"/>
  <c r="AN157" i="3"/>
  <c r="CW157" i="3" s="1"/>
  <c r="L157" i="3"/>
  <c r="BU157" i="3" s="1"/>
  <c r="AK157" i="3"/>
  <c r="CT157" i="3" s="1"/>
  <c r="J157" i="3"/>
  <c r="BS157" i="3" s="1"/>
  <c r="AJ157" i="3"/>
  <c r="CS157" i="3" s="1"/>
  <c r="G157" i="3"/>
  <c r="BP157" i="3" s="1"/>
  <c r="BL157" i="3"/>
  <c r="DU157" i="3" s="1"/>
  <c r="AI157" i="3"/>
  <c r="CR157" i="3" s="1"/>
  <c r="F157" i="3"/>
  <c r="BO157" i="3" s="1"/>
  <c r="BC157" i="3"/>
  <c r="DL157" i="3" s="1"/>
  <c r="Z157" i="3"/>
  <c r="CI157" i="3" s="1"/>
  <c r="BB157" i="3"/>
  <c r="DK157" i="3" s="1"/>
  <c r="Y157" i="3"/>
  <c r="CH157" i="3" s="1"/>
  <c r="AZ157" i="3"/>
  <c r="DI157" i="3" s="1"/>
  <c r="W157" i="3"/>
  <c r="CF157" i="3" s="1"/>
  <c r="AX157" i="3"/>
  <c r="DG157" i="3" s="1"/>
  <c r="V157" i="3"/>
  <c r="CE157" i="3" s="1"/>
  <c r="BA157" i="3"/>
  <c r="DJ157" i="3" s="1"/>
  <c r="X157" i="3"/>
  <c r="CG157" i="3" s="1"/>
  <c r="BI134" i="3"/>
  <c r="DR134" i="3" s="1"/>
  <c r="AY134" i="3"/>
  <c r="DH134" i="3" s="1"/>
  <c r="AO134" i="3"/>
  <c r="CX134" i="3" s="1"/>
  <c r="AE134" i="3"/>
  <c r="CN134" i="3" s="1"/>
  <c r="U134" i="3"/>
  <c r="CD134" i="3" s="1"/>
  <c r="K134" i="3"/>
  <c r="BT134" i="3" s="1"/>
  <c r="BH134" i="3"/>
  <c r="DQ134" i="3" s="1"/>
  <c r="AX134" i="3"/>
  <c r="DG134" i="3" s="1"/>
  <c r="AN134" i="3"/>
  <c r="CW134" i="3" s="1"/>
  <c r="AD134" i="3"/>
  <c r="CM134" i="3" s="1"/>
  <c r="T134" i="3"/>
  <c r="CC134" i="3" s="1"/>
  <c r="J134" i="3"/>
  <c r="BS134" i="3" s="1"/>
  <c r="BK134" i="3"/>
  <c r="DT134" i="3" s="1"/>
  <c r="BA134" i="3"/>
  <c r="DJ134" i="3" s="1"/>
  <c r="AQ134" i="3"/>
  <c r="CZ134" i="3" s="1"/>
  <c r="AG134" i="3"/>
  <c r="CP134" i="3" s="1"/>
  <c r="W134" i="3"/>
  <c r="CF134" i="3" s="1"/>
  <c r="M134" i="3"/>
  <c r="BV134" i="3" s="1"/>
  <c r="BC134" i="3"/>
  <c r="DL134" i="3" s="1"/>
  <c r="AM134" i="3"/>
  <c r="CV134" i="3" s="1"/>
  <c r="Z134" i="3"/>
  <c r="CI134" i="3" s="1"/>
  <c r="L134" i="3"/>
  <c r="BU134" i="3" s="1"/>
  <c r="BE134" i="3"/>
  <c r="DN134" i="3" s="1"/>
  <c r="AR134" i="3"/>
  <c r="DA134" i="3" s="1"/>
  <c r="AB134" i="3"/>
  <c r="CK134" i="3" s="1"/>
  <c r="O134" i="3"/>
  <c r="BX134" i="3" s="1"/>
  <c r="BJ134" i="3"/>
  <c r="DS134" i="3" s="1"/>
  <c r="AS134" i="3"/>
  <c r="DB134" i="3" s="1"/>
  <c r="Y134" i="3"/>
  <c r="CH134" i="3" s="1"/>
  <c r="G134" i="3"/>
  <c r="BP134" i="3" s="1"/>
  <c r="BG134" i="3"/>
  <c r="DP134" i="3" s="1"/>
  <c r="AP134" i="3"/>
  <c r="CY134" i="3" s="1"/>
  <c r="X134" i="3"/>
  <c r="CG134" i="3" s="1"/>
  <c r="F134" i="3"/>
  <c r="BO134" i="3" s="1"/>
  <c r="AU134" i="3"/>
  <c r="DD134" i="3" s="1"/>
  <c r="AC134" i="3"/>
  <c r="CL134" i="3" s="1"/>
  <c r="I134" i="3"/>
  <c r="BR134" i="3" s="1"/>
  <c r="BL134" i="3"/>
  <c r="DU134" i="3" s="1"/>
  <c r="AT134" i="3"/>
  <c r="DC134" i="3" s="1"/>
  <c r="AA134" i="3"/>
  <c r="CJ134" i="3" s="1"/>
  <c r="H134" i="3"/>
  <c r="BQ134" i="3" s="1"/>
  <c r="BD134" i="3"/>
  <c r="DM134" i="3" s="1"/>
  <c r="AF134" i="3"/>
  <c r="CO134" i="3" s="1"/>
  <c r="AK134" i="3"/>
  <c r="CT134" i="3" s="1"/>
  <c r="N134" i="3"/>
  <c r="BW134" i="3" s="1"/>
  <c r="AJ134" i="3"/>
  <c r="CS134" i="3" s="1"/>
  <c r="E134" i="3"/>
  <c r="BN134" i="3" s="1"/>
  <c r="AI134" i="3"/>
  <c r="CR134" i="3" s="1"/>
  <c r="AZ134" i="3"/>
  <c r="DI134" i="3" s="1"/>
  <c r="AW134" i="3"/>
  <c r="DF134" i="3" s="1"/>
  <c r="AV134" i="3"/>
  <c r="DE134" i="3" s="1"/>
  <c r="AL134" i="3"/>
  <c r="CU134" i="3" s="1"/>
  <c r="AH134" i="3"/>
  <c r="CQ134" i="3" s="1"/>
  <c r="V134" i="3"/>
  <c r="CE134" i="3" s="1"/>
  <c r="S134" i="3"/>
  <c r="CB134" i="3" s="1"/>
  <c r="R134" i="3"/>
  <c r="CA134" i="3" s="1"/>
  <c r="BF134" i="3"/>
  <c r="DO134" i="3" s="1"/>
  <c r="BB134" i="3"/>
  <c r="DK134" i="3" s="1"/>
  <c r="Q134" i="3"/>
  <c r="BZ134" i="3" s="1"/>
  <c r="P134" i="3"/>
  <c r="BY134" i="3" s="1"/>
  <c r="N248" i="2"/>
  <c r="O248" i="2"/>
  <c r="N298" i="2"/>
  <c r="O298" i="2"/>
  <c r="BK141" i="3"/>
  <c r="DT141" i="3" s="1"/>
  <c r="BA141" i="3"/>
  <c r="DJ141" i="3" s="1"/>
  <c r="AQ141" i="3"/>
  <c r="CZ141" i="3" s="1"/>
  <c r="AG141" i="3"/>
  <c r="CP141" i="3" s="1"/>
  <c r="W141" i="3"/>
  <c r="CF141" i="3" s="1"/>
  <c r="M141" i="3"/>
  <c r="BV141" i="3" s="1"/>
  <c r="BJ141" i="3"/>
  <c r="DS141" i="3" s="1"/>
  <c r="AZ141" i="3"/>
  <c r="DI141" i="3" s="1"/>
  <c r="AP141" i="3"/>
  <c r="CY141" i="3" s="1"/>
  <c r="AF141" i="3"/>
  <c r="CO141" i="3" s="1"/>
  <c r="V141" i="3"/>
  <c r="CE141" i="3" s="1"/>
  <c r="L141" i="3"/>
  <c r="BU141" i="3" s="1"/>
  <c r="BC141" i="3"/>
  <c r="DL141" i="3" s="1"/>
  <c r="AS141" i="3"/>
  <c r="DB141" i="3" s="1"/>
  <c r="AI141" i="3"/>
  <c r="CR141" i="3" s="1"/>
  <c r="Y141" i="3"/>
  <c r="CH141" i="3" s="1"/>
  <c r="O141" i="3"/>
  <c r="BX141" i="3" s="1"/>
  <c r="E141" i="3"/>
  <c r="BN141" i="3" s="1"/>
  <c r="BF141" i="3"/>
  <c r="DO141" i="3" s="1"/>
  <c r="AR141" i="3"/>
  <c r="DA141" i="3" s="1"/>
  <c r="AC141" i="3"/>
  <c r="CL141" i="3" s="1"/>
  <c r="P141" i="3"/>
  <c r="BY141" i="3" s="1"/>
  <c r="BE141" i="3"/>
  <c r="DN141" i="3" s="1"/>
  <c r="AO141" i="3"/>
  <c r="CX141" i="3" s="1"/>
  <c r="AB141" i="3"/>
  <c r="CK141" i="3" s="1"/>
  <c r="N141" i="3"/>
  <c r="BW141" i="3" s="1"/>
  <c r="BH141" i="3"/>
  <c r="DQ141" i="3" s="1"/>
  <c r="AU141" i="3"/>
  <c r="DD141" i="3" s="1"/>
  <c r="AE141" i="3"/>
  <c r="CN141" i="3" s="1"/>
  <c r="R141" i="3"/>
  <c r="CA141" i="3" s="1"/>
  <c r="BG141" i="3"/>
  <c r="DP141" i="3" s="1"/>
  <c r="AT141" i="3"/>
  <c r="DC141" i="3" s="1"/>
  <c r="AD141" i="3"/>
  <c r="CM141" i="3" s="1"/>
  <c r="Q141" i="3"/>
  <c r="BZ141" i="3" s="1"/>
  <c r="AN141" i="3"/>
  <c r="CW141" i="3" s="1"/>
  <c r="T141" i="3"/>
  <c r="CC141" i="3" s="1"/>
  <c r="AM141" i="3"/>
  <c r="CV141" i="3" s="1"/>
  <c r="S141" i="3"/>
  <c r="CB141" i="3" s="1"/>
  <c r="AW141" i="3"/>
  <c r="DF141" i="3" s="1"/>
  <c r="X141" i="3"/>
  <c r="CG141" i="3" s="1"/>
  <c r="AV141" i="3"/>
  <c r="DE141" i="3" s="1"/>
  <c r="U141" i="3"/>
  <c r="CD141" i="3" s="1"/>
  <c r="AX141" i="3"/>
  <c r="DG141" i="3" s="1"/>
  <c r="H141" i="3"/>
  <c r="BQ141" i="3" s="1"/>
  <c r="BI141" i="3"/>
  <c r="DR141" i="3" s="1"/>
  <c r="Z141" i="3"/>
  <c r="CI141" i="3" s="1"/>
  <c r="BD141" i="3"/>
  <c r="DM141" i="3" s="1"/>
  <c r="K141" i="3"/>
  <c r="BT141" i="3" s="1"/>
  <c r="BB141" i="3"/>
  <c r="DK141" i="3" s="1"/>
  <c r="J141" i="3"/>
  <c r="BS141" i="3" s="1"/>
  <c r="F141" i="3"/>
  <c r="BO141" i="3" s="1"/>
  <c r="BL141" i="3"/>
  <c r="DU141" i="3" s="1"/>
  <c r="AY141" i="3"/>
  <c r="DH141" i="3" s="1"/>
  <c r="AL141" i="3"/>
  <c r="CU141" i="3" s="1"/>
  <c r="AK141" i="3"/>
  <c r="CT141" i="3" s="1"/>
  <c r="AJ141" i="3"/>
  <c r="CS141" i="3" s="1"/>
  <c r="AH141" i="3"/>
  <c r="CQ141" i="3" s="1"/>
  <c r="AA141" i="3"/>
  <c r="CJ141" i="3" s="1"/>
  <c r="I141" i="3"/>
  <c r="BR141" i="3" s="1"/>
  <c r="G141" i="3"/>
  <c r="BP141" i="3" s="1"/>
  <c r="BL181" i="3"/>
  <c r="DU181" i="3" s="1"/>
  <c r="BB181" i="3"/>
  <c r="DK181" i="3" s="1"/>
  <c r="AR181" i="3"/>
  <c r="DA181" i="3" s="1"/>
  <c r="AH181" i="3"/>
  <c r="CQ181" i="3" s="1"/>
  <c r="X181" i="3"/>
  <c r="CG181" i="3" s="1"/>
  <c r="N181" i="3"/>
  <c r="BW181" i="3" s="1"/>
  <c r="BK181" i="3"/>
  <c r="DT181" i="3" s="1"/>
  <c r="BA181" i="3"/>
  <c r="DJ181" i="3" s="1"/>
  <c r="AQ181" i="3"/>
  <c r="CZ181" i="3" s="1"/>
  <c r="AG181" i="3"/>
  <c r="CP181" i="3" s="1"/>
  <c r="W181" i="3"/>
  <c r="CF181" i="3" s="1"/>
  <c r="M181" i="3"/>
  <c r="BV181" i="3" s="1"/>
  <c r="BD181" i="3"/>
  <c r="DM181" i="3" s="1"/>
  <c r="AT181" i="3"/>
  <c r="DC181" i="3" s="1"/>
  <c r="AJ181" i="3"/>
  <c r="CS181" i="3" s="1"/>
  <c r="Z181" i="3"/>
  <c r="CI181" i="3" s="1"/>
  <c r="P181" i="3"/>
  <c r="BY181" i="3" s="1"/>
  <c r="F181" i="3"/>
  <c r="BO181" i="3" s="1"/>
  <c r="BG181" i="3"/>
  <c r="DP181" i="3" s="1"/>
  <c r="AS181" i="3"/>
  <c r="DB181" i="3" s="1"/>
  <c r="AD181" i="3"/>
  <c r="CM181" i="3" s="1"/>
  <c r="Q181" i="3"/>
  <c r="BZ181" i="3" s="1"/>
  <c r="BH181" i="3"/>
  <c r="DQ181" i="3" s="1"/>
  <c r="AU181" i="3"/>
  <c r="DD181" i="3" s="1"/>
  <c r="AE181" i="3"/>
  <c r="CN181" i="3" s="1"/>
  <c r="BC181" i="3"/>
  <c r="DL181" i="3" s="1"/>
  <c r="AL181" i="3"/>
  <c r="CU181" i="3" s="1"/>
  <c r="T181" i="3"/>
  <c r="CC181" i="3" s="1"/>
  <c r="E181" i="3"/>
  <c r="BN181" i="3" s="1"/>
  <c r="AZ181" i="3"/>
  <c r="DI181" i="3" s="1"/>
  <c r="AK181" i="3"/>
  <c r="CT181" i="3" s="1"/>
  <c r="S181" i="3"/>
  <c r="CB181" i="3" s="1"/>
  <c r="AY181" i="3"/>
  <c r="DH181" i="3" s="1"/>
  <c r="AI181" i="3"/>
  <c r="CR181" i="3" s="1"/>
  <c r="R181" i="3"/>
  <c r="CA181" i="3" s="1"/>
  <c r="AX181" i="3"/>
  <c r="DG181" i="3" s="1"/>
  <c r="AF181" i="3"/>
  <c r="CO181" i="3" s="1"/>
  <c r="O181" i="3"/>
  <c r="BX181" i="3" s="1"/>
  <c r="AW181" i="3"/>
  <c r="DF181" i="3" s="1"/>
  <c r="AC181" i="3"/>
  <c r="CL181" i="3" s="1"/>
  <c r="L181" i="3"/>
  <c r="BU181" i="3" s="1"/>
  <c r="BF181" i="3"/>
  <c r="DO181" i="3" s="1"/>
  <c r="AN181" i="3"/>
  <c r="CW181" i="3" s="1"/>
  <c r="V181" i="3"/>
  <c r="CE181" i="3" s="1"/>
  <c r="H181" i="3"/>
  <c r="BQ181" i="3" s="1"/>
  <c r="AV181" i="3"/>
  <c r="DE181" i="3" s="1"/>
  <c r="I181" i="3"/>
  <c r="BR181" i="3" s="1"/>
  <c r="AP181" i="3"/>
  <c r="CY181" i="3" s="1"/>
  <c r="G181" i="3"/>
  <c r="BP181" i="3" s="1"/>
  <c r="AO181" i="3"/>
  <c r="CX181" i="3" s="1"/>
  <c r="AM181" i="3"/>
  <c r="CV181" i="3" s="1"/>
  <c r="AB181" i="3"/>
  <c r="CK181" i="3" s="1"/>
  <c r="AA181" i="3"/>
  <c r="CJ181" i="3" s="1"/>
  <c r="Y181" i="3"/>
  <c r="CH181" i="3" s="1"/>
  <c r="BI181" i="3"/>
  <c r="DR181" i="3" s="1"/>
  <c r="K181" i="3"/>
  <c r="BT181" i="3" s="1"/>
  <c r="BE181" i="3"/>
  <c r="DN181" i="3" s="1"/>
  <c r="J181" i="3"/>
  <c r="BS181" i="3" s="1"/>
  <c r="BJ181" i="3"/>
  <c r="DS181" i="3" s="1"/>
  <c r="U181" i="3"/>
  <c r="CD181" i="3" s="1"/>
  <c r="BJ209" i="3"/>
  <c r="DS209" i="3" s="1"/>
  <c r="AZ209" i="3"/>
  <c r="DI209" i="3" s="1"/>
  <c r="AP209" i="3"/>
  <c r="CY209" i="3" s="1"/>
  <c r="AF209" i="3"/>
  <c r="CO209" i="3" s="1"/>
  <c r="V209" i="3"/>
  <c r="CE209" i="3" s="1"/>
  <c r="L209" i="3"/>
  <c r="BU209" i="3" s="1"/>
  <c r="BI209" i="3"/>
  <c r="DR209" i="3" s="1"/>
  <c r="AY209" i="3"/>
  <c r="DH209" i="3" s="1"/>
  <c r="AO209" i="3"/>
  <c r="CX209" i="3" s="1"/>
  <c r="AE209" i="3"/>
  <c r="CN209" i="3" s="1"/>
  <c r="U209" i="3"/>
  <c r="CD209" i="3" s="1"/>
  <c r="K209" i="3"/>
  <c r="BT209" i="3" s="1"/>
  <c r="BL209" i="3"/>
  <c r="DU209" i="3" s="1"/>
  <c r="BB209" i="3"/>
  <c r="DK209" i="3" s="1"/>
  <c r="AR209" i="3"/>
  <c r="DA209" i="3" s="1"/>
  <c r="AH209" i="3"/>
  <c r="CQ209" i="3" s="1"/>
  <c r="X209" i="3"/>
  <c r="CG209" i="3" s="1"/>
  <c r="N209" i="3"/>
  <c r="BW209" i="3" s="1"/>
  <c r="BE209" i="3"/>
  <c r="DN209" i="3" s="1"/>
  <c r="AQ209" i="3"/>
  <c r="CZ209" i="3" s="1"/>
  <c r="AB209" i="3"/>
  <c r="CK209" i="3" s="1"/>
  <c r="O209" i="3"/>
  <c r="BX209" i="3" s="1"/>
  <c r="BD209" i="3"/>
  <c r="DM209" i="3" s="1"/>
  <c r="AN209" i="3"/>
  <c r="CW209" i="3" s="1"/>
  <c r="AA209" i="3"/>
  <c r="CJ209" i="3" s="1"/>
  <c r="M209" i="3"/>
  <c r="BV209" i="3" s="1"/>
  <c r="BG209" i="3"/>
  <c r="DP209" i="3" s="1"/>
  <c r="AT209" i="3"/>
  <c r="DC209" i="3" s="1"/>
  <c r="AD209" i="3"/>
  <c r="CM209" i="3" s="1"/>
  <c r="Q209" i="3"/>
  <c r="BZ209" i="3" s="1"/>
  <c r="BA209" i="3"/>
  <c r="DJ209" i="3" s="1"/>
  <c r="AI209" i="3"/>
  <c r="CR209" i="3" s="1"/>
  <c r="J209" i="3"/>
  <c r="BS209" i="3" s="1"/>
  <c r="AX209" i="3"/>
  <c r="DG209" i="3" s="1"/>
  <c r="AG209" i="3"/>
  <c r="CP209" i="3" s="1"/>
  <c r="I209" i="3"/>
  <c r="BR209" i="3" s="1"/>
  <c r="AW209" i="3"/>
  <c r="DF209" i="3" s="1"/>
  <c r="AC209" i="3"/>
  <c r="CL209" i="3" s="1"/>
  <c r="H209" i="3"/>
  <c r="BQ209" i="3" s="1"/>
  <c r="AV209" i="3"/>
  <c r="DE209" i="3" s="1"/>
  <c r="Z209" i="3"/>
  <c r="CI209" i="3" s="1"/>
  <c r="G209" i="3"/>
  <c r="BP209" i="3" s="1"/>
  <c r="AU209" i="3"/>
  <c r="DD209" i="3" s="1"/>
  <c r="Y209" i="3"/>
  <c r="CH209" i="3" s="1"/>
  <c r="F209" i="3"/>
  <c r="BO209" i="3" s="1"/>
  <c r="AS209" i="3"/>
  <c r="DB209" i="3" s="1"/>
  <c r="W209" i="3"/>
  <c r="CF209" i="3" s="1"/>
  <c r="E209" i="3"/>
  <c r="BN209" i="3" s="1"/>
  <c r="BC209" i="3"/>
  <c r="DL209" i="3" s="1"/>
  <c r="AJ209" i="3"/>
  <c r="CS209" i="3" s="1"/>
  <c r="P209" i="3"/>
  <c r="BY209" i="3" s="1"/>
  <c r="BF209" i="3"/>
  <c r="DO209" i="3" s="1"/>
  <c r="AM209" i="3"/>
  <c r="CV209" i="3" s="1"/>
  <c r="AL209" i="3"/>
  <c r="CU209" i="3" s="1"/>
  <c r="AK209" i="3"/>
  <c r="CT209" i="3" s="1"/>
  <c r="T209" i="3"/>
  <c r="CC209" i="3" s="1"/>
  <c r="S209" i="3"/>
  <c r="CB209" i="3" s="1"/>
  <c r="R209" i="3"/>
  <c r="CA209" i="3" s="1"/>
  <c r="BK209" i="3"/>
  <c r="DT209" i="3" s="1"/>
  <c r="BH209" i="3"/>
  <c r="DQ209" i="3" s="1"/>
  <c r="N308" i="2"/>
  <c r="O308" i="2"/>
  <c r="J117" i="2"/>
  <c r="J197" i="2"/>
  <c r="K197" i="2" s="1"/>
  <c r="L197" i="2" s="1"/>
  <c r="N297" i="2"/>
  <c r="O297" i="2"/>
  <c r="N339" i="2"/>
  <c r="O339" i="2"/>
  <c r="J154" i="2"/>
  <c r="K154" i="2" s="1"/>
  <c r="L154" i="2" s="1"/>
  <c r="N179" i="2"/>
  <c r="O179" i="2"/>
  <c r="K243" i="2"/>
  <c r="L243" i="2" s="1"/>
  <c r="BD92" i="3"/>
  <c r="DM92" i="3" s="1"/>
  <c r="AT92" i="3"/>
  <c r="DC92" i="3" s="1"/>
  <c r="AJ92" i="3"/>
  <c r="CS92" i="3" s="1"/>
  <c r="Z92" i="3"/>
  <c r="CI92" i="3" s="1"/>
  <c r="P92" i="3"/>
  <c r="BY92" i="3" s="1"/>
  <c r="F92" i="3"/>
  <c r="BO92" i="3" s="1"/>
  <c r="BF92" i="3"/>
  <c r="DO92" i="3" s="1"/>
  <c r="AV92" i="3"/>
  <c r="DE92" i="3" s="1"/>
  <c r="AL92" i="3"/>
  <c r="CU92" i="3" s="1"/>
  <c r="AB92" i="3"/>
  <c r="CK92" i="3" s="1"/>
  <c r="R92" i="3"/>
  <c r="CA92" i="3" s="1"/>
  <c r="H92" i="3"/>
  <c r="BQ92" i="3" s="1"/>
  <c r="BE92" i="3"/>
  <c r="DN92" i="3" s="1"/>
  <c r="AU92" i="3"/>
  <c r="DD92" i="3" s="1"/>
  <c r="AK92" i="3"/>
  <c r="CT92" i="3" s="1"/>
  <c r="AA92" i="3"/>
  <c r="CJ92" i="3" s="1"/>
  <c r="Q92" i="3"/>
  <c r="BZ92" i="3" s="1"/>
  <c r="G92" i="3"/>
  <c r="BP92" i="3" s="1"/>
  <c r="BC92" i="3"/>
  <c r="DL92" i="3" s="1"/>
  <c r="AP92" i="3"/>
  <c r="CY92" i="3" s="1"/>
  <c r="AC92" i="3"/>
  <c r="CL92" i="3" s="1"/>
  <c r="M92" i="3"/>
  <c r="BV92" i="3" s="1"/>
  <c r="BB92" i="3"/>
  <c r="DK92" i="3" s="1"/>
  <c r="AO92" i="3"/>
  <c r="CX92" i="3" s="1"/>
  <c r="Y92" i="3"/>
  <c r="CH92" i="3" s="1"/>
  <c r="L92" i="3"/>
  <c r="BU92" i="3" s="1"/>
  <c r="BI92" i="3"/>
  <c r="DR92" i="3" s="1"/>
  <c r="AS92" i="3"/>
  <c r="DB92" i="3" s="1"/>
  <c r="AF92" i="3"/>
  <c r="CO92" i="3" s="1"/>
  <c r="S92" i="3"/>
  <c r="CB92" i="3" s="1"/>
  <c r="BG92" i="3"/>
  <c r="DP92" i="3" s="1"/>
  <c r="AI92" i="3"/>
  <c r="CR92" i="3" s="1"/>
  <c r="O92" i="3"/>
  <c r="BX92" i="3" s="1"/>
  <c r="BA92" i="3"/>
  <c r="DJ92" i="3" s="1"/>
  <c r="AH92" i="3"/>
  <c r="CQ92" i="3" s="1"/>
  <c r="N92" i="3"/>
  <c r="BW92" i="3" s="1"/>
  <c r="AZ92" i="3"/>
  <c r="DI92" i="3" s="1"/>
  <c r="AG92" i="3"/>
  <c r="CP92" i="3" s="1"/>
  <c r="K92" i="3"/>
  <c r="BT92" i="3" s="1"/>
  <c r="AY92" i="3"/>
  <c r="DH92" i="3" s="1"/>
  <c r="AE92" i="3"/>
  <c r="CN92" i="3" s="1"/>
  <c r="J92" i="3"/>
  <c r="BS92" i="3" s="1"/>
  <c r="AX92" i="3"/>
  <c r="DG92" i="3" s="1"/>
  <c r="AD92" i="3"/>
  <c r="CM92" i="3" s="1"/>
  <c r="I92" i="3"/>
  <c r="BR92" i="3" s="1"/>
  <c r="AW92" i="3"/>
  <c r="DF92" i="3" s="1"/>
  <c r="X92" i="3"/>
  <c r="CG92" i="3" s="1"/>
  <c r="E92" i="3"/>
  <c r="BN92" i="3" s="1"/>
  <c r="BL92" i="3"/>
  <c r="DU92" i="3" s="1"/>
  <c r="AR92" i="3"/>
  <c r="DA92" i="3" s="1"/>
  <c r="W92" i="3"/>
  <c r="CF92" i="3" s="1"/>
  <c r="BK92" i="3"/>
  <c r="DT92" i="3" s="1"/>
  <c r="AQ92" i="3"/>
  <c r="CZ92" i="3" s="1"/>
  <c r="V92" i="3"/>
  <c r="CE92" i="3" s="1"/>
  <c r="BJ92" i="3"/>
  <c r="DS92" i="3" s="1"/>
  <c r="AN92" i="3"/>
  <c r="CW92" i="3" s="1"/>
  <c r="U92" i="3"/>
  <c r="CD92" i="3" s="1"/>
  <c r="BH92" i="3"/>
  <c r="DQ92" i="3" s="1"/>
  <c r="AM92" i="3"/>
  <c r="CV92" i="3" s="1"/>
  <c r="T92" i="3"/>
  <c r="CC92" i="3" s="1"/>
  <c r="BG142" i="3"/>
  <c r="DP142" i="3" s="1"/>
  <c r="AW142" i="3"/>
  <c r="DF142" i="3" s="1"/>
  <c r="AM142" i="3"/>
  <c r="CV142" i="3" s="1"/>
  <c r="AC142" i="3"/>
  <c r="CL142" i="3" s="1"/>
  <c r="S142" i="3"/>
  <c r="CB142" i="3" s="1"/>
  <c r="I142" i="3"/>
  <c r="BR142" i="3" s="1"/>
  <c r="BF142" i="3"/>
  <c r="DO142" i="3" s="1"/>
  <c r="AV142" i="3"/>
  <c r="DE142" i="3" s="1"/>
  <c r="AL142" i="3"/>
  <c r="CU142" i="3" s="1"/>
  <c r="AB142" i="3"/>
  <c r="CK142" i="3" s="1"/>
  <c r="R142" i="3"/>
  <c r="CA142" i="3" s="1"/>
  <c r="H142" i="3"/>
  <c r="BQ142" i="3" s="1"/>
  <c r="BI142" i="3"/>
  <c r="DR142" i="3" s="1"/>
  <c r="AY142" i="3"/>
  <c r="DH142" i="3" s="1"/>
  <c r="AO142" i="3"/>
  <c r="CX142" i="3" s="1"/>
  <c r="AE142" i="3"/>
  <c r="CN142" i="3" s="1"/>
  <c r="U142" i="3"/>
  <c r="CD142" i="3" s="1"/>
  <c r="K142" i="3"/>
  <c r="BT142" i="3" s="1"/>
  <c r="BK142" i="3"/>
  <c r="DT142" i="3" s="1"/>
  <c r="AU142" i="3"/>
  <c r="DD142" i="3" s="1"/>
  <c r="AH142" i="3"/>
  <c r="CQ142" i="3" s="1"/>
  <c r="T142" i="3"/>
  <c r="CC142" i="3" s="1"/>
  <c r="E142" i="3"/>
  <c r="BN142" i="3" s="1"/>
  <c r="BJ142" i="3"/>
  <c r="DS142" i="3" s="1"/>
  <c r="AT142" i="3"/>
  <c r="DC142" i="3" s="1"/>
  <c r="AG142" i="3"/>
  <c r="CP142" i="3" s="1"/>
  <c r="Q142" i="3"/>
  <c r="BZ142" i="3" s="1"/>
  <c r="AZ142" i="3"/>
  <c r="DI142" i="3" s="1"/>
  <c r="AJ142" i="3"/>
  <c r="CS142" i="3" s="1"/>
  <c r="W142" i="3"/>
  <c r="CF142" i="3" s="1"/>
  <c r="G142" i="3"/>
  <c r="BP142" i="3" s="1"/>
  <c r="BL142" i="3"/>
  <c r="DU142" i="3" s="1"/>
  <c r="AX142" i="3"/>
  <c r="DG142" i="3" s="1"/>
  <c r="AI142" i="3"/>
  <c r="CR142" i="3" s="1"/>
  <c r="V142" i="3"/>
  <c r="CE142" i="3" s="1"/>
  <c r="F142" i="3"/>
  <c r="BO142" i="3" s="1"/>
  <c r="BH142" i="3"/>
  <c r="DQ142" i="3" s="1"/>
  <c r="AN142" i="3"/>
  <c r="CW142" i="3" s="1"/>
  <c r="N142" i="3"/>
  <c r="BW142" i="3" s="1"/>
  <c r="BE142" i="3"/>
  <c r="DN142" i="3" s="1"/>
  <c r="AK142" i="3"/>
  <c r="CT142" i="3" s="1"/>
  <c r="M142" i="3"/>
  <c r="BV142" i="3" s="1"/>
  <c r="AQ142" i="3"/>
  <c r="CZ142" i="3" s="1"/>
  <c r="P142" i="3"/>
  <c r="BY142" i="3" s="1"/>
  <c r="AP142" i="3"/>
  <c r="CY142" i="3" s="1"/>
  <c r="O142" i="3"/>
  <c r="BX142" i="3" s="1"/>
  <c r="AR142" i="3"/>
  <c r="DA142" i="3" s="1"/>
  <c r="BC142" i="3"/>
  <c r="DL142" i="3" s="1"/>
  <c r="X142" i="3"/>
  <c r="CG142" i="3" s="1"/>
  <c r="BB142" i="3"/>
  <c r="DK142" i="3" s="1"/>
  <c r="L142" i="3"/>
  <c r="BU142" i="3" s="1"/>
  <c r="BA142" i="3"/>
  <c r="DJ142" i="3" s="1"/>
  <c r="J142" i="3"/>
  <c r="BS142" i="3" s="1"/>
  <c r="BD142" i="3"/>
  <c r="DM142" i="3" s="1"/>
  <c r="AS142" i="3"/>
  <c r="DB142" i="3" s="1"/>
  <c r="AF142" i="3"/>
  <c r="CO142" i="3" s="1"/>
  <c r="AD142" i="3"/>
  <c r="CM142" i="3" s="1"/>
  <c r="AA142" i="3"/>
  <c r="CJ142" i="3" s="1"/>
  <c r="Z142" i="3"/>
  <c r="CI142" i="3" s="1"/>
  <c r="Y142" i="3"/>
  <c r="CH142" i="3" s="1"/>
  <c r="BH192" i="3"/>
  <c r="DQ192" i="3" s="1"/>
  <c r="AX192" i="3"/>
  <c r="DG192" i="3" s="1"/>
  <c r="AN192" i="3"/>
  <c r="CW192" i="3" s="1"/>
  <c r="AD192" i="3"/>
  <c r="CM192" i="3" s="1"/>
  <c r="T192" i="3"/>
  <c r="CC192" i="3" s="1"/>
  <c r="J192" i="3"/>
  <c r="BS192" i="3" s="1"/>
  <c r="BL192" i="3"/>
  <c r="DU192" i="3" s="1"/>
  <c r="BA192" i="3"/>
  <c r="DJ192" i="3" s="1"/>
  <c r="AP192" i="3"/>
  <c r="CY192" i="3" s="1"/>
  <c r="AE192" i="3"/>
  <c r="CN192" i="3" s="1"/>
  <c r="S192" i="3"/>
  <c r="CB192" i="3" s="1"/>
  <c r="H192" i="3"/>
  <c r="BQ192" i="3" s="1"/>
  <c r="BK192" i="3"/>
  <c r="DT192" i="3" s="1"/>
  <c r="AZ192" i="3"/>
  <c r="DI192" i="3" s="1"/>
  <c r="AO192" i="3"/>
  <c r="CX192" i="3" s="1"/>
  <c r="AC192" i="3"/>
  <c r="CL192" i="3" s="1"/>
  <c r="R192" i="3"/>
  <c r="CA192" i="3" s="1"/>
  <c r="G192" i="3"/>
  <c r="BP192" i="3" s="1"/>
  <c r="BC192" i="3"/>
  <c r="DL192" i="3" s="1"/>
  <c r="AR192" i="3"/>
  <c r="DA192" i="3" s="1"/>
  <c r="AG192" i="3"/>
  <c r="CP192" i="3" s="1"/>
  <c r="V192" i="3"/>
  <c r="CE192" i="3" s="1"/>
  <c r="K192" i="3"/>
  <c r="BT192" i="3" s="1"/>
  <c r="BG192" i="3"/>
  <c r="DP192" i="3" s="1"/>
  <c r="AS192" i="3"/>
  <c r="DB192" i="3" s="1"/>
  <c r="AA192" i="3"/>
  <c r="CJ192" i="3" s="1"/>
  <c r="M192" i="3"/>
  <c r="BV192" i="3" s="1"/>
  <c r="BF192" i="3"/>
  <c r="DO192" i="3" s="1"/>
  <c r="AQ192" i="3"/>
  <c r="CZ192" i="3" s="1"/>
  <c r="Z192" i="3"/>
  <c r="CI192" i="3" s="1"/>
  <c r="L192" i="3"/>
  <c r="BU192" i="3" s="1"/>
  <c r="BE192" i="3"/>
  <c r="DN192" i="3" s="1"/>
  <c r="AM192" i="3"/>
  <c r="CV192" i="3" s="1"/>
  <c r="Y192" i="3"/>
  <c r="CH192" i="3" s="1"/>
  <c r="I192" i="3"/>
  <c r="BR192" i="3" s="1"/>
  <c r="BD192" i="3"/>
  <c r="DM192" i="3" s="1"/>
  <c r="AL192" i="3"/>
  <c r="CU192" i="3" s="1"/>
  <c r="X192" i="3"/>
  <c r="CG192" i="3" s="1"/>
  <c r="F192" i="3"/>
  <c r="BO192" i="3" s="1"/>
  <c r="BB192" i="3"/>
  <c r="DK192" i="3" s="1"/>
  <c r="BI192" i="3"/>
  <c r="DR192" i="3" s="1"/>
  <c r="AT192" i="3"/>
  <c r="DC192" i="3" s="1"/>
  <c r="AB192" i="3"/>
  <c r="CK192" i="3" s="1"/>
  <c r="N192" i="3"/>
  <c r="BW192" i="3" s="1"/>
  <c r="AF192" i="3"/>
  <c r="CO192" i="3" s="1"/>
  <c r="BJ192" i="3"/>
  <c r="DS192" i="3" s="1"/>
  <c r="W192" i="3"/>
  <c r="CF192" i="3" s="1"/>
  <c r="AY192" i="3"/>
  <c r="DH192" i="3" s="1"/>
  <c r="U192" i="3"/>
  <c r="CD192" i="3" s="1"/>
  <c r="AW192" i="3"/>
  <c r="DF192" i="3" s="1"/>
  <c r="Q192" i="3"/>
  <c r="BZ192" i="3" s="1"/>
  <c r="AV192" i="3"/>
  <c r="DE192" i="3" s="1"/>
  <c r="P192" i="3"/>
  <c r="BY192" i="3" s="1"/>
  <c r="AU192" i="3"/>
  <c r="DD192" i="3" s="1"/>
  <c r="O192" i="3"/>
  <c r="BX192" i="3" s="1"/>
  <c r="AK192" i="3"/>
  <c r="CT192" i="3" s="1"/>
  <c r="E192" i="3"/>
  <c r="BN192" i="3" s="1"/>
  <c r="AI192" i="3"/>
  <c r="CR192" i="3" s="1"/>
  <c r="AJ192" i="3"/>
  <c r="CS192" i="3" s="1"/>
  <c r="AH192" i="3"/>
  <c r="CQ192" i="3" s="1"/>
  <c r="BH307" i="3"/>
  <c r="DQ307" i="3" s="1"/>
  <c r="AX307" i="3"/>
  <c r="DG307" i="3" s="1"/>
  <c r="AN307" i="3"/>
  <c r="CW307" i="3" s="1"/>
  <c r="AD307" i="3"/>
  <c r="CM307" i="3" s="1"/>
  <c r="T307" i="3"/>
  <c r="CC307" i="3" s="1"/>
  <c r="J307" i="3"/>
  <c r="BS307" i="3" s="1"/>
  <c r="BG307" i="3"/>
  <c r="DP307" i="3" s="1"/>
  <c r="AW307" i="3"/>
  <c r="DF307" i="3" s="1"/>
  <c r="AM307" i="3"/>
  <c r="CV307" i="3" s="1"/>
  <c r="AC307" i="3"/>
  <c r="CL307" i="3" s="1"/>
  <c r="S307" i="3"/>
  <c r="CB307" i="3" s="1"/>
  <c r="I307" i="3"/>
  <c r="BR307" i="3" s="1"/>
  <c r="BD307" i="3"/>
  <c r="DM307" i="3" s="1"/>
  <c r="AR307" i="3"/>
  <c r="DA307" i="3" s="1"/>
  <c r="AF307" i="3"/>
  <c r="CO307" i="3" s="1"/>
  <c r="R307" i="3"/>
  <c r="CA307" i="3" s="1"/>
  <c r="F307" i="3"/>
  <c r="BO307" i="3" s="1"/>
  <c r="BB307" i="3"/>
  <c r="DK307" i="3" s="1"/>
  <c r="AP307" i="3"/>
  <c r="CY307" i="3" s="1"/>
  <c r="AB307" i="3"/>
  <c r="CK307" i="3" s="1"/>
  <c r="P307" i="3"/>
  <c r="BY307" i="3" s="1"/>
  <c r="BK307" i="3"/>
  <c r="DT307" i="3" s="1"/>
  <c r="AU307" i="3"/>
  <c r="DD307" i="3" s="1"/>
  <c r="AG307" i="3"/>
  <c r="CP307" i="3" s="1"/>
  <c r="O307" i="3"/>
  <c r="BX307" i="3" s="1"/>
  <c r="BC307" i="3"/>
  <c r="DL307" i="3" s="1"/>
  <c r="AL307" i="3"/>
  <c r="CU307" i="3" s="1"/>
  <c r="X307" i="3"/>
  <c r="CG307" i="3" s="1"/>
  <c r="H307" i="3"/>
  <c r="BQ307" i="3" s="1"/>
  <c r="BA307" i="3"/>
  <c r="DJ307" i="3" s="1"/>
  <c r="AK307" i="3"/>
  <c r="CT307" i="3" s="1"/>
  <c r="W307" i="3"/>
  <c r="CF307" i="3" s="1"/>
  <c r="G307" i="3"/>
  <c r="BP307" i="3" s="1"/>
  <c r="AZ307" i="3"/>
  <c r="DI307" i="3" s="1"/>
  <c r="AE307" i="3"/>
  <c r="CN307" i="3" s="1"/>
  <c r="K307" i="3"/>
  <c r="BT307" i="3" s="1"/>
  <c r="AY307" i="3"/>
  <c r="DH307" i="3" s="1"/>
  <c r="AA307" i="3"/>
  <c r="CJ307" i="3" s="1"/>
  <c r="E307" i="3"/>
  <c r="BN307" i="3" s="1"/>
  <c r="AV307" i="3"/>
  <c r="DE307" i="3" s="1"/>
  <c r="Z307" i="3"/>
  <c r="CI307" i="3" s="1"/>
  <c r="AT307" i="3"/>
  <c r="DC307" i="3" s="1"/>
  <c r="Y307" i="3"/>
  <c r="CH307" i="3" s="1"/>
  <c r="AS307" i="3"/>
  <c r="DB307" i="3" s="1"/>
  <c r="V307" i="3"/>
  <c r="CE307" i="3" s="1"/>
  <c r="BF307" i="3"/>
  <c r="DO307" i="3" s="1"/>
  <c r="AI307" i="3"/>
  <c r="CR307" i="3" s="1"/>
  <c r="M307" i="3"/>
  <c r="BV307" i="3" s="1"/>
  <c r="BE307" i="3"/>
  <c r="DN307" i="3" s="1"/>
  <c r="AH307" i="3"/>
  <c r="CQ307" i="3" s="1"/>
  <c r="L307" i="3"/>
  <c r="BU307" i="3" s="1"/>
  <c r="BJ307" i="3"/>
  <c r="DS307" i="3" s="1"/>
  <c r="BI307" i="3"/>
  <c r="DR307" i="3" s="1"/>
  <c r="AQ307" i="3"/>
  <c r="CZ307" i="3" s="1"/>
  <c r="U307" i="3"/>
  <c r="CD307" i="3" s="1"/>
  <c r="BL307" i="3"/>
  <c r="DU307" i="3" s="1"/>
  <c r="AO307" i="3"/>
  <c r="CX307" i="3" s="1"/>
  <c r="N307" i="3"/>
  <c r="BW307" i="3" s="1"/>
  <c r="AJ307" i="3"/>
  <c r="CS307" i="3" s="1"/>
  <c r="Q307" i="3"/>
  <c r="BZ307" i="3" s="1"/>
  <c r="J188" i="2"/>
  <c r="K188" i="2" s="1"/>
  <c r="L188" i="2" s="1"/>
  <c r="BJ204" i="3"/>
  <c r="DS204" i="3" s="1"/>
  <c r="AZ204" i="3"/>
  <c r="DI204" i="3" s="1"/>
  <c r="AP204" i="3"/>
  <c r="CY204" i="3" s="1"/>
  <c r="AF204" i="3"/>
  <c r="CO204" i="3" s="1"/>
  <c r="V204" i="3"/>
  <c r="CE204" i="3" s="1"/>
  <c r="L204" i="3"/>
  <c r="BU204" i="3" s="1"/>
  <c r="BI204" i="3"/>
  <c r="DR204" i="3" s="1"/>
  <c r="AY204" i="3"/>
  <c r="DH204" i="3" s="1"/>
  <c r="AO204" i="3"/>
  <c r="CX204" i="3" s="1"/>
  <c r="AE204" i="3"/>
  <c r="CN204" i="3" s="1"/>
  <c r="U204" i="3"/>
  <c r="CD204" i="3" s="1"/>
  <c r="K204" i="3"/>
  <c r="BT204" i="3" s="1"/>
  <c r="BL204" i="3"/>
  <c r="DU204" i="3" s="1"/>
  <c r="BB204" i="3"/>
  <c r="DK204" i="3" s="1"/>
  <c r="AR204" i="3"/>
  <c r="DA204" i="3" s="1"/>
  <c r="AH204" i="3"/>
  <c r="CQ204" i="3" s="1"/>
  <c r="X204" i="3"/>
  <c r="CG204" i="3" s="1"/>
  <c r="N204" i="3"/>
  <c r="BW204" i="3" s="1"/>
  <c r="BK204" i="3"/>
  <c r="DT204" i="3" s="1"/>
  <c r="AV204" i="3"/>
  <c r="DE204" i="3" s="1"/>
  <c r="AI204" i="3"/>
  <c r="CR204" i="3" s="1"/>
  <c r="S204" i="3"/>
  <c r="CB204" i="3" s="1"/>
  <c r="F204" i="3"/>
  <c r="BO204" i="3" s="1"/>
  <c r="BH204" i="3"/>
  <c r="DQ204" i="3" s="1"/>
  <c r="AU204" i="3"/>
  <c r="DD204" i="3" s="1"/>
  <c r="AG204" i="3"/>
  <c r="CP204" i="3" s="1"/>
  <c r="R204" i="3"/>
  <c r="CA204" i="3" s="1"/>
  <c r="E204" i="3"/>
  <c r="BN204" i="3" s="1"/>
  <c r="AX204" i="3"/>
  <c r="DG204" i="3" s="1"/>
  <c r="AK204" i="3"/>
  <c r="CT204" i="3" s="1"/>
  <c r="W204" i="3"/>
  <c r="CF204" i="3" s="1"/>
  <c r="H204" i="3"/>
  <c r="BQ204" i="3" s="1"/>
  <c r="BG204" i="3"/>
  <c r="DP204" i="3" s="1"/>
  <c r="AN204" i="3"/>
  <c r="CW204" i="3" s="1"/>
  <c r="T204" i="3"/>
  <c r="CC204" i="3" s="1"/>
  <c r="BF204" i="3"/>
  <c r="DO204" i="3" s="1"/>
  <c r="AM204" i="3"/>
  <c r="CV204" i="3" s="1"/>
  <c r="Q204" i="3"/>
  <c r="BZ204" i="3" s="1"/>
  <c r="BE204" i="3"/>
  <c r="DN204" i="3" s="1"/>
  <c r="AL204" i="3"/>
  <c r="CU204" i="3" s="1"/>
  <c r="P204" i="3"/>
  <c r="BY204" i="3" s="1"/>
  <c r="BD204" i="3"/>
  <c r="DM204" i="3" s="1"/>
  <c r="AJ204" i="3"/>
  <c r="CS204" i="3" s="1"/>
  <c r="O204" i="3"/>
  <c r="BX204" i="3" s="1"/>
  <c r="BC204" i="3"/>
  <c r="DL204" i="3" s="1"/>
  <c r="AD204" i="3"/>
  <c r="CM204" i="3" s="1"/>
  <c r="M204" i="3"/>
  <c r="BV204" i="3" s="1"/>
  <c r="BA204" i="3"/>
  <c r="DJ204" i="3" s="1"/>
  <c r="AC204" i="3"/>
  <c r="CL204" i="3" s="1"/>
  <c r="J204" i="3"/>
  <c r="BS204" i="3" s="1"/>
  <c r="AQ204" i="3"/>
  <c r="CZ204" i="3" s="1"/>
  <c r="Y204" i="3"/>
  <c r="CH204" i="3" s="1"/>
  <c r="AW204" i="3"/>
  <c r="DF204" i="3" s="1"/>
  <c r="AT204" i="3"/>
  <c r="DC204" i="3" s="1"/>
  <c r="AS204" i="3"/>
  <c r="DB204" i="3" s="1"/>
  <c r="AB204" i="3"/>
  <c r="CK204" i="3" s="1"/>
  <c r="AA204" i="3"/>
  <c r="CJ204" i="3" s="1"/>
  <c r="Z204" i="3"/>
  <c r="CI204" i="3" s="1"/>
  <c r="I204" i="3"/>
  <c r="BR204" i="3" s="1"/>
  <c r="G204" i="3"/>
  <c r="BP204" i="3" s="1"/>
  <c r="N227" i="2"/>
  <c r="O227" i="2"/>
  <c r="N337" i="2"/>
  <c r="O337" i="2"/>
  <c r="J115" i="2"/>
  <c r="K115" i="2" s="1"/>
  <c r="L115" i="2" s="1"/>
  <c r="BK146" i="3"/>
  <c r="DT146" i="3" s="1"/>
  <c r="BA146" i="3"/>
  <c r="DJ146" i="3" s="1"/>
  <c r="AQ146" i="3"/>
  <c r="CZ146" i="3" s="1"/>
  <c r="AG146" i="3"/>
  <c r="CP146" i="3" s="1"/>
  <c r="W146" i="3"/>
  <c r="CF146" i="3" s="1"/>
  <c r="M146" i="3"/>
  <c r="BV146" i="3" s="1"/>
  <c r="BJ146" i="3"/>
  <c r="DS146" i="3" s="1"/>
  <c r="AZ146" i="3"/>
  <c r="DI146" i="3" s="1"/>
  <c r="AP146" i="3"/>
  <c r="CY146" i="3" s="1"/>
  <c r="AF146" i="3"/>
  <c r="CO146" i="3" s="1"/>
  <c r="V146" i="3"/>
  <c r="CE146" i="3" s="1"/>
  <c r="L146" i="3"/>
  <c r="BU146" i="3" s="1"/>
  <c r="BC146" i="3"/>
  <c r="DL146" i="3" s="1"/>
  <c r="AS146" i="3"/>
  <c r="DB146" i="3" s="1"/>
  <c r="AI146" i="3"/>
  <c r="CR146" i="3" s="1"/>
  <c r="Y146" i="3"/>
  <c r="CH146" i="3" s="1"/>
  <c r="O146" i="3"/>
  <c r="BX146" i="3" s="1"/>
  <c r="E146" i="3"/>
  <c r="BN146" i="3" s="1"/>
  <c r="AY146" i="3"/>
  <c r="DH146" i="3" s="1"/>
  <c r="AL146" i="3"/>
  <c r="CU146" i="3" s="1"/>
  <c r="X146" i="3"/>
  <c r="CG146" i="3" s="1"/>
  <c r="I146" i="3"/>
  <c r="BR146" i="3" s="1"/>
  <c r="AX146" i="3"/>
  <c r="DG146" i="3" s="1"/>
  <c r="AK146" i="3"/>
  <c r="CT146" i="3" s="1"/>
  <c r="U146" i="3"/>
  <c r="CD146" i="3" s="1"/>
  <c r="H146" i="3"/>
  <c r="BQ146" i="3" s="1"/>
  <c r="BD146" i="3"/>
  <c r="DM146" i="3" s="1"/>
  <c r="AN146" i="3"/>
  <c r="CW146" i="3" s="1"/>
  <c r="AA146" i="3"/>
  <c r="CJ146" i="3" s="1"/>
  <c r="K146" i="3"/>
  <c r="BT146" i="3" s="1"/>
  <c r="BB146" i="3"/>
  <c r="DK146" i="3" s="1"/>
  <c r="AM146" i="3"/>
  <c r="CV146" i="3" s="1"/>
  <c r="Z146" i="3"/>
  <c r="CI146" i="3" s="1"/>
  <c r="J146" i="3"/>
  <c r="BS146" i="3" s="1"/>
  <c r="BL146" i="3"/>
  <c r="DU146" i="3" s="1"/>
  <c r="AR146" i="3"/>
  <c r="DA146" i="3" s="1"/>
  <c r="R146" i="3"/>
  <c r="CA146" i="3" s="1"/>
  <c r="BI146" i="3"/>
  <c r="DR146" i="3" s="1"/>
  <c r="AO146" i="3"/>
  <c r="CX146" i="3" s="1"/>
  <c r="Q146" i="3"/>
  <c r="BZ146" i="3" s="1"/>
  <c r="BH146" i="3"/>
  <c r="DQ146" i="3" s="1"/>
  <c r="AJ146" i="3"/>
  <c r="CS146" i="3" s="1"/>
  <c r="P146" i="3"/>
  <c r="BY146" i="3" s="1"/>
  <c r="AU146" i="3"/>
  <c r="DD146" i="3" s="1"/>
  <c r="T146" i="3"/>
  <c r="CC146" i="3" s="1"/>
  <c r="AT146" i="3"/>
  <c r="DC146" i="3" s="1"/>
  <c r="S146" i="3"/>
  <c r="CB146" i="3" s="1"/>
  <c r="BF146" i="3"/>
  <c r="DO146" i="3" s="1"/>
  <c r="G146" i="3"/>
  <c r="BP146" i="3" s="1"/>
  <c r="AD146" i="3"/>
  <c r="CM146" i="3" s="1"/>
  <c r="AC146" i="3"/>
  <c r="CL146" i="3" s="1"/>
  <c r="AB146" i="3"/>
  <c r="CK146" i="3" s="1"/>
  <c r="AW146" i="3"/>
  <c r="DF146" i="3" s="1"/>
  <c r="AV146" i="3"/>
  <c r="DE146" i="3" s="1"/>
  <c r="AH146" i="3"/>
  <c r="CQ146" i="3" s="1"/>
  <c r="AE146" i="3"/>
  <c r="CN146" i="3" s="1"/>
  <c r="N146" i="3"/>
  <c r="BW146" i="3" s="1"/>
  <c r="F146" i="3"/>
  <c r="BO146" i="3" s="1"/>
  <c r="BG146" i="3"/>
  <c r="DP146" i="3" s="1"/>
  <c r="BE146" i="3"/>
  <c r="DN146" i="3" s="1"/>
  <c r="N218" i="2"/>
  <c r="O218" i="2"/>
  <c r="N269" i="2"/>
  <c r="O269" i="2"/>
  <c r="J202" i="2"/>
  <c r="K202" i="2" s="1"/>
  <c r="L202" i="2" s="1"/>
  <c r="N237" i="2"/>
  <c r="O237" i="2"/>
  <c r="K333" i="2"/>
  <c r="L333" i="2" s="1"/>
  <c r="K353" i="2"/>
  <c r="L353" i="2" s="1"/>
  <c r="J265" i="2"/>
  <c r="K265" i="2" s="1"/>
  <c r="L265" i="2" s="1"/>
  <c r="J285" i="2"/>
  <c r="K285" i="2" s="1"/>
  <c r="L285" i="2" s="1"/>
  <c r="J305" i="2"/>
  <c r="K305" i="2" s="1"/>
  <c r="L305" i="2" s="1"/>
  <c r="J237" i="2"/>
  <c r="K237" i="2" s="1"/>
  <c r="L237" i="2" s="1"/>
  <c r="J277" i="2"/>
  <c r="K277" i="2" s="1"/>
  <c r="L277" i="2" s="1"/>
  <c r="J297" i="2"/>
  <c r="K297" i="2" s="1"/>
  <c r="L297" i="2" s="1"/>
  <c r="J317" i="2"/>
  <c r="K317" i="2" s="1"/>
  <c r="L317" i="2" s="1"/>
  <c r="J337" i="2"/>
  <c r="K337" i="2" s="1"/>
  <c r="L337" i="2" s="1"/>
  <c r="BL360" i="3"/>
  <c r="DU360" i="3" s="1"/>
  <c r="BB360" i="3"/>
  <c r="DK360" i="3" s="1"/>
  <c r="AR360" i="3"/>
  <c r="DA360" i="3" s="1"/>
  <c r="AH360" i="3"/>
  <c r="CQ360" i="3" s="1"/>
  <c r="X360" i="3"/>
  <c r="CG360" i="3" s="1"/>
  <c r="N360" i="3"/>
  <c r="BW360" i="3" s="1"/>
  <c r="BK360" i="3"/>
  <c r="DT360" i="3" s="1"/>
  <c r="BA360" i="3"/>
  <c r="DJ360" i="3" s="1"/>
  <c r="AQ360" i="3"/>
  <c r="CZ360" i="3" s="1"/>
  <c r="AG360" i="3"/>
  <c r="CP360" i="3" s="1"/>
  <c r="W360" i="3"/>
  <c r="CF360" i="3" s="1"/>
  <c r="M360" i="3"/>
  <c r="BV360" i="3" s="1"/>
  <c r="BJ360" i="3"/>
  <c r="DS360" i="3" s="1"/>
  <c r="AX360" i="3"/>
  <c r="DG360" i="3" s="1"/>
  <c r="AL360" i="3"/>
  <c r="CU360" i="3" s="1"/>
  <c r="Z360" i="3"/>
  <c r="CI360" i="3" s="1"/>
  <c r="L360" i="3"/>
  <c r="BU360" i="3" s="1"/>
  <c r="BI360" i="3"/>
  <c r="DR360" i="3" s="1"/>
  <c r="AW360" i="3"/>
  <c r="DF360" i="3" s="1"/>
  <c r="AK360" i="3"/>
  <c r="CT360" i="3" s="1"/>
  <c r="Y360" i="3"/>
  <c r="CH360" i="3" s="1"/>
  <c r="K360" i="3"/>
  <c r="BT360" i="3" s="1"/>
  <c r="BC360" i="3"/>
  <c r="DL360" i="3" s="1"/>
  <c r="AM360" i="3"/>
  <c r="CV360" i="3" s="1"/>
  <c r="U360" i="3"/>
  <c r="CD360" i="3" s="1"/>
  <c r="G360" i="3"/>
  <c r="BP360" i="3" s="1"/>
  <c r="AZ360" i="3"/>
  <c r="DI360" i="3" s="1"/>
  <c r="AJ360" i="3"/>
  <c r="CS360" i="3" s="1"/>
  <c r="T360" i="3"/>
  <c r="CC360" i="3" s="1"/>
  <c r="F360" i="3"/>
  <c r="BO360" i="3" s="1"/>
  <c r="BH360" i="3"/>
  <c r="DQ360" i="3" s="1"/>
  <c r="BE360" i="3"/>
  <c r="DN360" i="3" s="1"/>
  <c r="AO360" i="3"/>
  <c r="CX360" i="3" s="1"/>
  <c r="AA360" i="3"/>
  <c r="CJ360" i="3" s="1"/>
  <c r="I360" i="3"/>
  <c r="BR360" i="3" s="1"/>
  <c r="AP360" i="3"/>
  <c r="CY360" i="3" s="1"/>
  <c r="R360" i="3"/>
  <c r="CA360" i="3" s="1"/>
  <c r="AN360" i="3"/>
  <c r="CW360" i="3" s="1"/>
  <c r="Q360" i="3"/>
  <c r="BZ360" i="3" s="1"/>
  <c r="AT360" i="3"/>
  <c r="DC360" i="3" s="1"/>
  <c r="V360" i="3"/>
  <c r="CE360" i="3" s="1"/>
  <c r="BG360" i="3"/>
  <c r="DP360" i="3" s="1"/>
  <c r="AD360" i="3"/>
  <c r="CM360" i="3" s="1"/>
  <c r="BF360" i="3"/>
  <c r="DO360" i="3" s="1"/>
  <c r="AC360" i="3"/>
  <c r="CL360" i="3" s="1"/>
  <c r="BD360" i="3"/>
  <c r="DM360" i="3" s="1"/>
  <c r="AB360" i="3"/>
  <c r="CK360" i="3" s="1"/>
  <c r="AY360" i="3"/>
  <c r="DH360" i="3" s="1"/>
  <c r="S360" i="3"/>
  <c r="CB360" i="3" s="1"/>
  <c r="AF360" i="3"/>
  <c r="CO360" i="3" s="1"/>
  <c r="E360" i="3"/>
  <c r="BN360" i="3" s="1"/>
  <c r="P360" i="3"/>
  <c r="BY360" i="3" s="1"/>
  <c r="O360" i="3"/>
  <c r="BX360" i="3" s="1"/>
  <c r="AI360" i="3"/>
  <c r="CR360" i="3" s="1"/>
  <c r="AE360" i="3"/>
  <c r="CN360" i="3" s="1"/>
  <c r="J360" i="3"/>
  <c r="BS360" i="3" s="1"/>
  <c r="H360" i="3"/>
  <c r="BQ360" i="3" s="1"/>
  <c r="AV360" i="3"/>
  <c r="DE360" i="3" s="1"/>
  <c r="AU360" i="3"/>
  <c r="DD360" i="3" s="1"/>
  <c r="AS360" i="3"/>
  <c r="DB360" i="3" s="1"/>
  <c r="N226" i="2"/>
  <c r="O226" i="2"/>
  <c r="N246" i="2"/>
  <c r="O246" i="2"/>
  <c r="N266" i="2"/>
  <c r="O266" i="2"/>
  <c r="N286" i="2"/>
  <c r="O286" i="2"/>
  <c r="N306" i="2"/>
  <c r="O306" i="2"/>
  <c r="N326" i="2"/>
  <c r="O326" i="2"/>
  <c r="N346" i="2"/>
  <c r="O346" i="2"/>
  <c r="BJ304" i="3"/>
  <c r="DS304" i="3" s="1"/>
  <c r="AZ304" i="3"/>
  <c r="DI304" i="3" s="1"/>
  <c r="AP304" i="3"/>
  <c r="CY304" i="3" s="1"/>
  <c r="AF304" i="3"/>
  <c r="CO304" i="3" s="1"/>
  <c r="V304" i="3"/>
  <c r="CE304" i="3" s="1"/>
  <c r="L304" i="3"/>
  <c r="BU304" i="3" s="1"/>
  <c r="BI304" i="3"/>
  <c r="DR304" i="3" s="1"/>
  <c r="AY304" i="3"/>
  <c r="DH304" i="3" s="1"/>
  <c r="AO304" i="3"/>
  <c r="CX304" i="3" s="1"/>
  <c r="AE304" i="3"/>
  <c r="CN304" i="3" s="1"/>
  <c r="U304" i="3"/>
  <c r="CD304" i="3" s="1"/>
  <c r="K304" i="3"/>
  <c r="BT304" i="3" s="1"/>
  <c r="BB304" i="3"/>
  <c r="DK304" i="3" s="1"/>
  <c r="AN304" i="3"/>
  <c r="CW304" i="3" s="1"/>
  <c r="AB304" i="3"/>
  <c r="CK304" i="3" s="1"/>
  <c r="P304" i="3"/>
  <c r="BY304" i="3" s="1"/>
  <c r="BG304" i="3"/>
  <c r="DP304" i="3" s="1"/>
  <c r="AT304" i="3"/>
  <c r="DC304" i="3" s="1"/>
  <c r="AG304" i="3"/>
  <c r="CP304" i="3" s="1"/>
  <c r="R304" i="3"/>
  <c r="CA304" i="3" s="1"/>
  <c r="E304" i="3"/>
  <c r="BN304" i="3" s="1"/>
  <c r="BK304" i="3"/>
  <c r="DT304" i="3" s="1"/>
  <c r="AU304" i="3"/>
  <c r="DD304" i="3" s="1"/>
  <c r="AD304" i="3"/>
  <c r="CM304" i="3" s="1"/>
  <c r="O304" i="3"/>
  <c r="BX304" i="3" s="1"/>
  <c r="BH304" i="3"/>
  <c r="DQ304" i="3" s="1"/>
  <c r="AS304" i="3"/>
  <c r="DB304" i="3" s="1"/>
  <c r="AC304" i="3"/>
  <c r="CL304" i="3" s="1"/>
  <c r="N304" i="3"/>
  <c r="BW304" i="3" s="1"/>
  <c r="BF304" i="3"/>
  <c r="DO304" i="3" s="1"/>
  <c r="AR304" i="3"/>
  <c r="DA304" i="3" s="1"/>
  <c r="AA304" i="3"/>
  <c r="CJ304" i="3" s="1"/>
  <c r="M304" i="3"/>
  <c r="BV304" i="3" s="1"/>
  <c r="BE304" i="3"/>
  <c r="DN304" i="3" s="1"/>
  <c r="AQ304" i="3"/>
  <c r="CZ304" i="3" s="1"/>
  <c r="Z304" i="3"/>
  <c r="CI304" i="3" s="1"/>
  <c r="J304" i="3"/>
  <c r="BS304" i="3" s="1"/>
  <c r="BD304" i="3"/>
  <c r="DM304" i="3" s="1"/>
  <c r="AM304" i="3"/>
  <c r="CV304" i="3" s="1"/>
  <c r="Y304" i="3"/>
  <c r="CH304" i="3" s="1"/>
  <c r="I304" i="3"/>
  <c r="BR304" i="3" s="1"/>
  <c r="AW304" i="3"/>
  <c r="DF304" i="3" s="1"/>
  <c r="AI304" i="3"/>
  <c r="CR304" i="3" s="1"/>
  <c r="S304" i="3"/>
  <c r="CB304" i="3" s="1"/>
  <c r="BL304" i="3"/>
  <c r="DU304" i="3" s="1"/>
  <c r="AV304" i="3"/>
  <c r="DE304" i="3" s="1"/>
  <c r="AH304" i="3"/>
  <c r="CQ304" i="3" s="1"/>
  <c r="Q304" i="3"/>
  <c r="BZ304" i="3" s="1"/>
  <c r="BA304" i="3"/>
  <c r="DJ304" i="3" s="1"/>
  <c r="F304" i="3"/>
  <c r="BO304" i="3" s="1"/>
  <c r="AX304" i="3"/>
  <c r="DG304" i="3" s="1"/>
  <c r="AL304" i="3"/>
  <c r="CU304" i="3" s="1"/>
  <c r="H304" i="3"/>
  <c r="BQ304" i="3" s="1"/>
  <c r="W304" i="3"/>
  <c r="CF304" i="3" s="1"/>
  <c r="T304" i="3"/>
  <c r="CC304" i="3" s="1"/>
  <c r="BC304" i="3"/>
  <c r="DL304" i="3" s="1"/>
  <c r="AK304" i="3"/>
  <c r="CT304" i="3" s="1"/>
  <c r="AJ304" i="3"/>
  <c r="CS304" i="3" s="1"/>
  <c r="X304" i="3"/>
  <c r="CG304" i="3" s="1"/>
  <c r="G304" i="3"/>
  <c r="BP304" i="3" s="1"/>
  <c r="BL216" i="3"/>
  <c r="DU216" i="3" s="1"/>
  <c r="BB216" i="3"/>
  <c r="DK216" i="3" s="1"/>
  <c r="AR216" i="3"/>
  <c r="DA216" i="3" s="1"/>
  <c r="AH216" i="3"/>
  <c r="CQ216" i="3" s="1"/>
  <c r="X216" i="3"/>
  <c r="CG216" i="3" s="1"/>
  <c r="N216" i="3"/>
  <c r="BW216" i="3" s="1"/>
  <c r="BK216" i="3"/>
  <c r="DT216" i="3" s="1"/>
  <c r="BA216" i="3"/>
  <c r="DJ216" i="3" s="1"/>
  <c r="AQ216" i="3"/>
  <c r="CZ216" i="3" s="1"/>
  <c r="AG216" i="3"/>
  <c r="CP216" i="3" s="1"/>
  <c r="W216" i="3"/>
  <c r="CF216" i="3" s="1"/>
  <c r="M216" i="3"/>
  <c r="BV216" i="3" s="1"/>
  <c r="BD216" i="3"/>
  <c r="DM216" i="3" s="1"/>
  <c r="AT216" i="3"/>
  <c r="DC216" i="3" s="1"/>
  <c r="AJ216" i="3"/>
  <c r="CS216" i="3" s="1"/>
  <c r="Z216" i="3"/>
  <c r="CI216" i="3" s="1"/>
  <c r="P216" i="3"/>
  <c r="BY216" i="3" s="1"/>
  <c r="F216" i="3"/>
  <c r="BO216" i="3" s="1"/>
  <c r="BH216" i="3"/>
  <c r="DQ216" i="3" s="1"/>
  <c r="AU216" i="3"/>
  <c r="DD216" i="3" s="1"/>
  <c r="AE216" i="3"/>
  <c r="CN216" i="3" s="1"/>
  <c r="R216" i="3"/>
  <c r="CA216" i="3" s="1"/>
  <c r="BG216" i="3"/>
  <c r="DP216" i="3" s="1"/>
  <c r="AS216" i="3"/>
  <c r="DB216" i="3" s="1"/>
  <c r="AD216" i="3"/>
  <c r="CM216" i="3" s="1"/>
  <c r="Q216" i="3"/>
  <c r="BZ216" i="3" s="1"/>
  <c r="BF216" i="3"/>
  <c r="DO216" i="3" s="1"/>
  <c r="AP216" i="3"/>
  <c r="CY216" i="3" s="1"/>
  <c r="AC216" i="3"/>
  <c r="CL216" i="3" s="1"/>
  <c r="O216" i="3"/>
  <c r="BX216" i="3" s="1"/>
  <c r="BJ216" i="3"/>
  <c r="DS216" i="3" s="1"/>
  <c r="AW216" i="3"/>
  <c r="DF216" i="3" s="1"/>
  <c r="AI216" i="3"/>
  <c r="CR216" i="3" s="1"/>
  <c r="T216" i="3"/>
  <c r="CC216" i="3" s="1"/>
  <c r="G216" i="3"/>
  <c r="BP216" i="3" s="1"/>
  <c r="BE216" i="3"/>
  <c r="DN216" i="3" s="1"/>
  <c r="AK216" i="3"/>
  <c r="CT216" i="3" s="1"/>
  <c r="J216" i="3"/>
  <c r="BS216" i="3" s="1"/>
  <c r="BC216" i="3"/>
  <c r="DL216" i="3" s="1"/>
  <c r="AF216" i="3"/>
  <c r="CO216" i="3" s="1"/>
  <c r="I216" i="3"/>
  <c r="BR216" i="3" s="1"/>
  <c r="AZ216" i="3"/>
  <c r="DI216" i="3" s="1"/>
  <c r="AB216" i="3"/>
  <c r="CK216" i="3" s="1"/>
  <c r="H216" i="3"/>
  <c r="BQ216" i="3" s="1"/>
  <c r="AY216" i="3"/>
  <c r="DH216" i="3" s="1"/>
  <c r="AA216" i="3"/>
  <c r="CJ216" i="3" s="1"/>
  <c r="E216" i="3"/>
  <c r="BN216" i="3" s="1"/>
  <c r="AX216" i="3"/>
  <c r="DG216" i="3" s="1"/>
  <c r="Y216" i="3"/>
  <c r="CH216" i="3" s="1"/>
  <c r="AV216" i="3"/>
  <c r="DE216" i="3" s="1"/>
  <c r="V216" i="3"/>
  <c r="CE216" i="3" s="1"/>
  <c r="AO216" i="3"/>
  <c r="CX216" i="3" s="1"/>
  <c r="U216" i="3"/>
  <c r="CD216" i="3" s="1"/>
  <c r="BI216" i="3"/>
  <c r="DR216" i="3" s="1"/>
  <c r="AL216" i="3"/>
  <c r="CU216" i="3" s="1"/>
  <c r="K216" i="3"/>
  <c r="BT216" i="3" s="1"/>
  <c r="L216" i="3"/>
  <c r="BU216" i="3" s="1"/>
  <c r="AN216" i="3"/>
  <c r="CW216" i="3" s="1"/>
  <c r="AM216" i="3"/>
  <c r="CV216" i="3" s="1"/>
  <c r="S216" i="3"/>
  <c r="CB216" i="3" s="1"/>
  <c r="K251" i="2"/>
  <c r="L251" i="2" s="1"/>
  <c r="BK316" i="3"/>
  <c r="DT316" i="3" s="1"/>
  <c r="BJ316" i="3"/>
  <c r="DS316" i="3" s="1"/>
  <c r="AZ316" i="3"/>
  <c r="DI316" i="3" s="1"/>
  <c r="AP316" i="3"/>
  <c r="CY316" i="3" s="1"/>
  <c r="AF316" i="3"/>
  <c r="CO316" i="3" s="1"/>
  <c r="V316" i="3"/>
  <c r="CE316" i="3" s="1"/>
  <c r="L316" i="3"/>
  <c r="BU316" i="3" s="1"/>
  <c r="BC316" i="3"/>
  <c r="DL316" i="3" s="1"/>
  <c r="AY316" i="3"/>
  <c r="DH316" i="3" s="1"/>
  <c r="AN316" i="3"/>
  <c r="CW316" i="3" s="1"/>
  <c r="AC316" i="3"/>
  <c r="CL316" i="3" s="1"/>
  <c r="R316" i="3"/>
  <c r="CA316" i="3" s="1"/>
  <c r="G316" i="3"/>
  <c r="BP316" i="3" s="1"/>
  <c r="BL316" i="3"/>
  <c r="DU316" i="3" s="1"/>
  <c r="AX316" i="3"/>
  <c r="DG316" i="3" s="1"/>
  <c r="AM316" i="3"/>
  <c r="CV316" i="3" s="1"/>
  <c r="AB316" i="3"/>
  <c r="CK316" i="3" s="1"/>
  <c r="Q316" i="3"/>
  <c r="BZ316" i="3" s="1"/>
  <c r="F316" i="3"/>
  <c r="BO316" i="3" s="1"/>
  <c r="BB316" i="3"/>
  <c r="DK316" i="3" s="1"/>
  <c r="AQ316" i="3"/>
  <c r="CZ316" i="3" s="1"/>
  <c r="AE316" i="3"/>
  <c r="CN316" i="3" s="1"/>
  <c r="T316" i="3"/>
  <c r="CC316" i="3" s="1"/>
  <c r="I316" i="3"/>
  <c r="BR316" i="3" s="1"/>
  <c r="BD316" i="3"/>
  <c r="DM316" i="3" s="1"/>
  <c r="AK316" i="3"/>
  <c r="CT316" i="3" s="1"/>
  <c r="W316" i="3"/>
  <c r="CF316" i="3" s="1"/>
  <c r="E316" i="3"/>
  <c r="BN316" i="3" s="1"/>
  <c r="AW316" i="3"/>
  <c r="DF316" i="3" s="1"/>
  <c r="AI316" i="3"/>
  <c r="CR316" i="3" s="1"/>
  <c r="S316" i="3"/>
  <c r="CB316" i="3" s="1"/>
  <c r="BG316" i="3"/>
  <c r="DP316" i="3" s="1"/>
  <c r="AR316" i="3"/>
  <c r="DA316" i="3" s="1"/>
  <c r="Z316" i="3"/>
  <c r="CI316" i="3" s="1"/>
  <c r="K316" i="3"/>
  <c r="BT316" i="3" s="1"/>
  <c r="AU316" i="3"/>
  <c r="DD316" i="3" s="1"/>
  <c r="Y316" i="3"/>
  <c r="CH316" i="3" s="1"/>
  <c r="AT316" i="3"/>
  <c r="DC316" i="3" s="1"/>
  <c r="X316" i="3"/>
  <c r="CG316" i="3" s="1"/>
  <c r="AS316" i="3"/>
  <c r="DB316" i="3" s="1"/>
  <c r="U316" i="3"/>
  <c r="CD316" i="3" s="1"/>
  <c r="AO316" i="3"/>
  <c r="CX316" i="3" s="1"/>
  <c r="P316" i="3"/>
  <c r="BY316" i="3" s="1"/>
  <c r="BI316" i="3"/>
  <c r="DR316" i="3" s="1"/>
  <c r="AL316" i="3"/>
  <c r="CU316" i="3" s="1"/>
  <c r="O316" i="3"/>
  <c r="BX316" i="3" s="1"/>
  <c r="BH316" i="3"/>
  <c r="DQ316" i="3" s="1"/>
  <c r="AJ316" i="3"/>
  <c r="CS316" i="3" s="1"/>
  <c r="N316" i="3"/>
  <c r="BW316" i="3" s="1"/>
  <c r="BF316" i="3"/>
  <c r="DO316" i="3" s="1"/>
  <c r="AH316" i="3"/>
  <c r="CQ316" i="3" s="1"/>
  <c r="M316" i="3"/>
  <c r="BV316" i="3" s="1"/>
  <c r="BE316" i="3"/>
  <c r="DN316" i="3" s="1"/>
  <c r="AG316" i="3"/>
  <c r="CP316" i="3" s="1"/>
  <c r="J316" i="3"/>
  <c r="BS316" i="3" s="1"/>
  <c r="BA316" i="3"/>
  <c r="DJ316" i="3" s="1"/>
  <c r="AD316" i="3"/>
  <c r="CM316" i="3" s="1"/>
  <c r="H316" i="3"/>
  <c r="BQ316" i="3" s="1"/>
  <c r="AV316" i="3"/>
  <c r="DE316" i="3" s="1"/>
  <c r="AA316" i="3"/>
  <c r="CJ316" i="3" s="1"/>
  <c r="K351" i="2"/>
  <c r="L351" i="2" s="1"/>
  <c r="F191" i="4"/>
  <c r="D191" i="4"/>
  <c r="E191" i="4" s="1"/>
  <c r="D156" i="4"/>
  <c r="E156" i="4" s="1"/>
  <c r="F156" i="4"/>
  <c r="F116" i="4"/>
  <c r="D116" i="4"/>
  <c r="E116" i="4" s="1"/>
  <c r="D71" i="4"/>
  <c r="E71" i="4" s="1"/>
  <c r="F71" i="4"/>
  <c r="F48" i="4"/>
  <c r="D48" i="4"/>
  <c r="E48" i="4" s="1"/>
  <c r="F139" i="4"/>
  <c r="D139" i="4"/>
  <c r="E139" i="4" s="1"/>
  <c r="F82" i="4"/>
  <c r="D82" i="4"/>
  <c r="E82" i="4" s="1"/>
  <c r="D73" i="4"/>
  <c r="E73" i="4" s="1"/>
  <c r="F73" i="4"/>
  <c r="F80" i="4"/>
  <c r="D80" i="4"/>
  <c r="E80" i="4" s="1"/>
  <c r="F41" i="4"/>
  <c r="D41" i="4"/>
  <c r="E41" i="4" s="1"/>
  <c r="D77" i="4"/>
  <c r="E77" i="4" s="1"/>
  <c r="F77" i="4"/>
  <c r="F252" i="4"/>
  <c r="D252" i="4"/>
  <c r="E252" i="4" s="1"/>
  <c r="F54" i="4"/>
  <c r="D54" i="4"/>
  <c r="E54" i="4" s="1"/>
  <c r="F172" i="4"/>
  <c r="D172" i="4"/>
  <c r="E172" i="4" s="1"/>
  <c r="F107" i="4"/>
  <c r="D107" i="4"/>
  <c r="E107" i="4" s="1"/>
  <c r="F199" i="4"/>
  <c r="D199" i="4"/>
  <c r="E199" i="4" s="1"/>
  <c r="F130" i="4"/>
  <c r="D130" i="4"/>
  <c r="E130" i="4" s="1"/>
  <c r="F249" i="4"/>
  <c r="D249" i="4"/>
  <c r="E249" i="4" s="1"/>
  <c r="F247" i="4"/>
  <c r="D247" i="4"/>
  <c r="E247" i="4" s="1"/>
  <c r="F240" i="4"/>
  <c r="D240" i="4"/>
  <c r="E240" i="4" s="1"/>
  <c r="F183" i="4"/>
  <c r="D183" i="4"/>
  <c r="E183" i="4" s="1"/>
  <c r="F115" i="4"/>
  <c r="D115" i="4"/>
  <c r="E115" i="4" s="1"/>
  <c r="F215" i="4"/>
  <c r="D215" i="4"/>
  <c r="E215" i="4" s="1"/>
  <c r="D142" i="4"/>
  <c r="E142" i="4" s="1"/>
  <c r="F142" i="4"/>
  <c r="F241" i="4"/>
  <c r="D241" i="4"/>
  <c r="E241" i="4" s="1"/>
  <c r="O204" i="2"/>
  <c r="N204" i="2"/>
  <c r="N359" i="2"/>
  <c r="O359" i="2"/>
  <c r="O176" i="2"/>
  <c r="O242" i="2"/>
  <c r="O188" i="2"/>
  <c r="N188" i="2"/>
  <c r="O164" i="2"/>
  <c r="J29" i="2"/>
  <c r="K29" i="2" s="1"/>
  <c r="L29" i="2" s="1"/>
  <c r="J89" i="2"/>
  <c r="K89" i="2" s="1"/>
  <c r="L89" i="2" s="1"/>
  <c r="BG120" i="3"/>
  <c r="DP120" i="3" s="1"/>
  <c r="AW120" i="3"/>
  <c r="DF120" i="3" s="1"/>
  <c r="AM120" i="3"/>
  <c r="CV120" i="3" s="1"/>
  <c r="AC120" i="3"/>
  <c r="CL120" i="3" s="1"/>
  <c r="S120" i="3"/>
  <c r="CB120" i="3" s="1"/>
  <c r="I120" i="3"/>
  <c r="BR120" i="3" s="1"/>
  <c r="BI120" i="3"/>
  <c r="DR120" i="3" s="1"/>
  <c r="AY120" i="3"/>
  <c r="DH120" i="3" s="1"/>
  <c r="AO120" i="3"/>
  <c r="CX120" i="3" s="1"/>
  <c r="AE120" i="3"/>
  <c r="CN120" i="3" s="1"/>
  <c r="U120" i="3"/>
  <c r="CD120" i="3" s="1"/>
  <c r="K120" i="3"/>
  <c r="BT120" i="3" s="1"/>
  <c r="BD120" i="3"/>
  <c r="DM120" i="3" s="1"/>
  <c r="AR120" i="3"/>
  <c r="DA120" i="3" s="1"/>
  <c r="AF120" i="3"/>
  <c r="CO120" i="3" s="1"/>
  <c r="R120" i="3"/>
  <c r="CA120" i="3" s="1"/>
  <c r="F120" i="3"/>
  <c r="BO120" i="3" s="1"/>
  <c r="BF120" i="3"/>
  <c r="DO120" i="3" s="1"/>
  <c r="AT120" i="3"/>
  <c r="DC120" i="3" s="1"/>
  <c r="AH120" i="3"/>
  <c r="CQ120" i="3" s="1"/>
  <c r="V120" i="3"/>
  <c r="CE120" i="3" s="1"/>
  <c r="H120" i="3"/>
  <c r="BQ120" i="3" s="1"/>
  <c r="BE120" i="3"/>
  <c r="DN120" i="3" s="1"/>
  <c r="AS120" i="3"/>
  <c r="DB120" i="3" s="1"/>
  <c r="AG120" i="3"/>
  <c r="CP120" i="3" s="1"/>
  <c r="T120" i="3"/>
  <c r="CC120" i="3" s="1"/>
  <c r="G120" i="3"/>
  <c r="BP120" i="3" s="1"/>
  <c r="BH120" i="3"/>
  <c r="DQ120" i="3" s="1"/>
  <c r="AN120" i="3"/>
  <c r="CW120" i="3" s="1"/>
  <c r="X120" i="3"/>
  <c r="CG120" i="3" s="1"/>
  <c r="AV120" i="3"/>
  <c r="DE120" i="3" s="1"/>
  <c r="AB120" i="3"/>
  <c r="CK120" i="3" s="1"/>
  <c r="M120" i="3"/>
  <c r="BV120" i="3" s="1"/>
  <c r="BB120" i="3"/>
  <c r="DK120" i="3" s="1"/>
  <c r="AI120" i="3"/>
  <c r="CR120" i="3" s="1"/>
  <c r="L120" i="3"/>
  <c r="BU120" i="3" s="1"/>
  <c r="BA120" i="3"/>
  <c r="DJ120" i="3" s="1"/>
  <c r="AD120" i="3"/>
  <c r="CM120" i="3" s="1"/>
  <c r="J120" i="3"/>
  <c r="BS120" i="3" s="1"/>
  <c r="AZ120" i="3"/>
  <c r="DI120" i="3" s="1"/>
  <c r="AA120" i="3"/>
  <c r="CJ120" i="3" s="1"/>
  <c r="E120" i="3"/>
  <c r="BN120" i="3" s="1"/>
  <c r="AX120" i="3"/>
  <c r="DG120" i="3" s="1"/>
  <c r="Z120" i="3"/>
  <c r="CI120" i="3" s="1"/>
  <c r="AU120" i="3"/>
  <c r="DD120" i="3" s="1"/>
  <c r="Y120" i="3"/>
  <c r="CH120" i="3" s="1"/>
  <c r="AQ120" i="3"/>
  <c r="CZ120" i="3" s="1"/>
  <c r="W120" i="3"/>
  <c r="CF120" i="3" s="1"/>
  <c r="BL120" i="3"/>
  <c r="DU120" i="3" s="1"/>
  <c r="AP120" i="3"/>
  <c r="CY120" i="3" s="1"/>
  <c r="Q120" i="3"/>
  <c r="BZ120" i="3" s="1"/>
  <c r="BK120" i="3"/>
  <c r="DT120" i="3" s="1"/>
  <c r="AL120" i="3"/>
  <c r="CU120" i="3" s="1"/>
  <c r="P120" i="3"/>
  <c r="BY120" i="3" s="1"/>
  <c r="BJ120" i="3"/>
  <c r="DS120" i="3" s="1"/>
  <c r="BC120" i="3"/>
  <c r="DL120" i="3" s="1"/>
  <c r="AK120" i="3"/>
  <c r="CT120" i="3" s="1"/>
  <c r="AJ120" i="3"/>
  <c r="CS120" i="3" s="1"/>
  <c r="O120" i="3"/>
  <c r="BX120" i="3" s="1"/>
  <c r="N120" i="3"/>
  <c r="BW120" i="3" s="1"/>
  <c r="BJ214" i="3"/>
  <c r="DS214" i="3" s="1"/>
  <c r="AZ214" i="3"/>
  <c r="DI214" i="3" s="1"/>
  <c r="AP214" i="3"/>
  <c r="CY214" i="3" s="1"/>
  <c r="AF214" i="3"/>
  <c r="CO214" i="3" s="1"/>
  <c r="V214" i="3"/>
  <c r="CE214" i="3" s="1"/>
  <c r="L214" i="3"/>
  <c r="BU214" i="3" s="1"/>
  <c r="BI214" i="3"/>
  <c r="DR214" i="3" s="1"/>
  <c r="AY214" i="3"/>
  <c r="DH214" i="3" s="1"/>
  <c r="AO214" i="3"/>
  <c r="CX214" i="3" s="1"/>
  <c r="AE214" i="3"/>
  <c r="CN214" i="3" s="1"/>
  <c r="U214" i="3"/>
  <c r="CD214" i="3" s="1"/>
  <c r="K214" i="3"/>
  <c r="BT214" i="3" s="1"/>
  <c r="BL214" i="3"/>
  <c r="DU214" i="3" s="1"/>
  <c r="BB214" i="3"/>
  <c r="DK214" i="3" s="1"/>
  <c r="AR214" i="3"/>
  <c r="DA214" i="3" s="1"/>
  <c r="AH214" i="3"/>
  <c r="CQ214" i="3" s="1"/>
  <c r="X214" i="3"/>
  <c r="CG214" i="3" s="1"/>
  <c r="N214" i="3"/>
  <c r="BW214" i="3" s="1"/>
  <c r="AX214" i="3"/>
  <c r="DG214" i="3" s="1"/>
  <c r="AK214" i="3"/>
  <c r="CT214" i="3" s="1"/>
  <c r="W214" i="3"/>
  <c r="CF214" i="3" s="1"/>
  <c r="H214" i="3"/>
  <c r="BQ214" i="3" s="1"/>
  <c r="AW214" i="3"/>
  <c r="DF214" i="3" s="1"/>
  <c r="AJ214" i="3"/>
  <c r="CS214" i="3" s="1"/>
  <c r="T214" i="3"/>
  <c r="CC214" i="3" s="1"/>
  <c r="G214" i="3"/>
  <c r="BP214" i="3" s="1"/>
  <c r="BK214" i="3"/>
  <c r="DT214" i="3" s="1"/>
  <c r="AV214" i="3"/>
  <c r="DE214" i="3" s="1"/>
  <c r="AI214" i="3"/>
  <c r="CR214" i="3" s="1"/>
  <c r="S214" i="3"/>
  <c r="CB214" i="3" s="1"/>
  <c r="F214" i="3"/>
  <c r="BO214" i="3" s="1"/>
  <c r="BC214" i="3"/>
  <c r="DL214" i="3" s="1"/>
  <c r="AM214" i="3"/>
  <c r="CV214" i="3" s="1"/>
  <c r="Z214" i="3"/>
  <c r="CI214" i="3" s="1"/>
  <c r="J214" i="3"/>
  <c r="BS214" i="3" s="1"/>
  <c r="AS214" i="3"/>
  <c r="DB214" i="3" s="1"/>
  <c r="R214" i="3"/>
  <c r="CA214" i="3" s="1"/>
  <c r="AQ214" i="3"/>
  <c r="CZ214" i="3" s="1"/>
  <c r="Q214" i="3"/>
  <c r="BZ214" i="3" s="1"/>
  <c r="BH214" i="3"/>
  <c r="DQ214" i="3" s="1"/>
  <c r="AN214" i="3"/>
  <c r="CW214" i="3" s="1"/>
  <c r="P214" i="3"/>
  <c r="BY214" i="3" s="1"/>
  <c r="BG214" i="3"/>
  <c r="DP214" i="3" s="1"/>
  <c r="AL214" i="3"/>
  <c r="CU214" i="3" s="1"/>
  <c r="O214" i="3"/>
  <c r="BX214" i="3" s="1"/>
  <c r="BF214" i="3"/>
  <c r="DO214" i="3" s="1"/>
  <c r="AG214" i="3"/>
  <c r="CP214" i="3" s="1"/>
  <c r="M214" i="3"/>
  <c r="BV214" i="3" s="1"/>
  <c r="BE214" i="3"/>
  <c r="DN214" i="3" s="1"/>
  <c r="AD214" i="3"/>
  <c r="CM214" i="3" s="1"/>
  <c r="I214" i="3"/>
  <c r="BR214" i="3" s="1"/>
  <c r="BD214" i="3"/>
  <c r="DM214" i="3" s="1"/>
  <c r="AC214" i="3"/>
  <c r="CL214" i="3" s="1"/>
  <c r="E214" i="3"/>
  <c r="BN214" i="3" s="1"/>
  <c r="AT214" i="3"/>
  <c r="DC214" i="3" s="1"/>
  <c r="Y214" i="3"/>
  <c r="CH214" i="3" s="1"/>
  <c r="AA214" i="3"/>
  <c r="CJ214" i="3" s="1"/>
  <c r="BA214" i="3"/>
  <c r="DJ214" i="3" s="1"/>
  <c r="AU214" i="3"/>
  <c r="DD214" i="3" s="1"/>
  <c r="AB214" i="3"/>
  <c r="CK214" i="3" s="1"/>
  <c r="BD77" i="3"/>
  <c r="DM77" i="3" s="1"/>
  <c r="AT77" i="3"/>
  <c r="DC77" i="3" s="1"/>
  <c r="AJ77" i="3"/>
  <c r="CS77" i="3" s="1"/>
  <c r="Z77" i="3"/>
  <c r="CI77" i="3" s="1"/>
  <c r="P77" i="3"/>
  <c r="BY77" i="3" s="1"/>
  <c r="F77" i="3"/>
  <c r="BO77" i="3" s="1"/>
  <c r="BF77" i="3"/>
  <c r="DO77" i="3" s="1"/>
  <c r="AV77" i="3"/>
  <c r="DE77" i="3" s="1"/>
  <c r="AL77" i="3"/>
  <c r="CU77" i="3" s="1"/>
  <c r="AB77" i="3"/>
  <c r="CK77" i="3" s="1"/>
  <c r="R77" i="3"/>
  <c r="CA77" i="3" s="1"/>
  <c r="H77" i="3"/>
  <c r="BQ77" i="3" s="1"/>
  <c r="BE77" i="3"/>
  <c r="DN77" i="3" s="1"/>
  <c r="AR77" i="3"/>
  <c r="DA77" i="3" s="1"/>
  <c r="AF77" i="3"/>
  <c r="CO77" i="3" s="1"/>
  <c r="T77" i="3"/>
  <c r="CC77" i="3" s="1"/>
  <c r="G77" i="3"/>
  <c r="BP77" i="3" s="1"/>
  <c r="BJ77" i="3"/>
  <c r="DS77" i="3" s="1"/>
  <c r="AW77" i="3"/>
  <c r="DF77" i="3" s="1"/>
  <c r="AH77" i="3"/>
  <c r="CQ77" i="3" s="1"/>
  <c r="U77" i="3"/>
  <c r="CD77" i="3" s="1"/>
  <c r="E77" i="3"/>
  <c r="BN77" i="3" s="1"/>
  <c r="BI77" i="3"/>
  <c r="DR77" i="3" s="1"/>
  <c r="AU77" i="3"/>
  <c r="DD77" i="3" s="1"/>
  <c r="AG77" i="3"/>
  <c r="CP77" i="3" s="1"/>
  <c r="S77" i="3"/>
  <c r="CB77" i="3" s="1"/>
  <c r="BH77" i="3"/>
  <c r="DQ77" i="3" s="1"/>
  <c r="AS77" i="3"/>
  <c r="DB77" i="3" s="1"/>
  <c r="AE77" i="3"/>
  <c r="CN77" i="3" s="1"/>
  <c r="Q77" i="3"/>
  <c r="BZ77" i="3" s="1"/>
  <c r="BG77" i="3"/>
  <c r="DP77" i="3" s="1"/>
  <c r="AQ77" i="3"/>
  <c r="CZ77" i="3" s="1"/>
  <c r="AD77" i="3"/>
  <c r="CM77" i="3" s="1"/>
  <c r="O77" i="3"/>
  <c r="BX77" i="3" s="1"/>
  <c r="BL77" i="3"/>
  <c r="DU77" i="3" s="1"/>
  <c r="AY77" i="3"/>
  <c r="DH77" i="3" s="1"/>
  <c r="AK77" i="3"/>
  <c r="CT77" i="3" s="1"/>
  <c r="W77" i="3"/>
  <c r="CF77" i="3" s="1"/>
  <c r="J77" i="3"/>
  <c r="BS77" i="3" s="1"/>
  <c r="BB77" i="3"/>
  <c r="DK77" i="3" s="1"/>
  <c r="AA77" i="3"/>
  <c r="CJ77" i="3" s="1"/>
  <c r="BA77" i="3"/>
  <c r="DJ77" i="3" s="1"/>
  <c r="Y77" i="3"/>
  <c r="CH77" i="3" s="1"/>
  <c r="AZ77" i="3"/>
  <c r="DI77" i="3" s="1"/>
  <c r="X77" i="3"/>
  <c r="CG77" i="3" s="1"/>
  <c r="AX77" i="3"/>
  <c r="DG77" i="3" s="1"/>
  <c r="V77" i="3"/>
  <c r="CE77" i="3" s="1"/>
  <c r="AP77" i="3"/>
  <c r="CY77" i="3" s="1"/>
  <c r="N77" i="3"/>
  <c r="BW77" i="3" s="1"/>
  <c r="AO77" i="3"/>
  <c r="CX77" i="3" s="1"/>
  <c r="M77" i="3"/>
  <c r="BV77" i="3" s="1"/>
  <c r="AN77" i="3"/>
  <c r="CW77" i="3" s="1"/>
  <c r="L77" i="3"/>
  <c r="BU77" i="3" s="1"/>
  <c r="AM77" i="3"/>
  <c r="CV77" i="3" s="1"/>
  <c r="K77" i="3"/>
  <c r="BT77" i="3" s="1"/>
  <c r="BK77" i="3"/>
  <c r="DT77" i="3" s="1"/>
  <c r="AI77" i="3"/>
  <c r="CR77" i="3" s="1"/>
  <c r="I77" i="3"/>
  <c r="BR77" i="3" s="1"/>
  <c r="BC77" i="3"/>
  <c r="DL77" i="3" s="1"/>
  <c r="AC77" i="3"/>
  <c r="CL77" i="3" s="1"/>
  <c r="K129" i="2"/>
  <c r="L129" i="2" s="1"/>
  <c r="K179" i="2"/>
  <c r="L179" i="2" s="1"/>
  <c r="K199" i="2"/>
  <c r="L199" i="2" s="1"/>
  <c r="N247" i="2"/>
  <c r="O247" i="2"/>
  <c r="J73" i="2"/>
  <c r="BK104" i="3"/>
  <c r="DT104" i="3" s="1"/>
  <c r="BA104" i="3"/>
  <c r="DJ104" i="3" s="1"/>
  <c r="AQ104" i="3"/>
  <c r="CZ104" i="3" s="1"/>
  <c r="AG104" i="3"/>
  <c r="CP104" i="3" s="1"/>
  <c r="W104" i="3"/>
  <c r="CF104" i="3" s="1"/>
  <c r="M104" i="3"/>
  <c r="BV104" i="3" s="1"/>
  <c r="BF104" i="3"/>
  <c r="DO104" i="3" s="1"/>
  <c r="AU104" i="3"/>
  <c r="DD104" i="3" s="1"/>
  <c r="AJ104" i="3"/>
  <c r="CS104" i="3" s="1"/>
  <c r="Y104" i="3"/>
  <c r="CH104" i="3" s="1"/>
  <c r="N104" i="3"/>
  <c r="BW104" i="3" s="1"/>
  <c r="BH104" i="3"/>
  <c r="DQ104" i="3" s="1"/>
  <c r="AW104" i="3"/>
  <c r="DF104" i="3" s="1"/>
  <c r="AL104" i="3"/>
  <c r="CU104" i="3" s="1"/>
  <c r="AA104" i="3"/>
  <c r="CJ104" i="3" s="1"/>
  <c r="P104" i="3"/>
  <c r="BY104" i="3" s="1"/>
  <c r="E104" i="3"/>
  <c r="BN104" i="3" s="1"/>
  <c r="BG104" i="3"/>
  <c r="DP104" i="3" s="1"/>
  <c r="AV104" i="3"/>
  <c r="DE104" i="3" s="1"/>
  <c r="AK104" i="3"/>
  <c r="CT104" i="3" s="1"/>
  <c r="Z104" i="3"/>
  <c r="CI104" i="3" s="1"/>
  <c r="O104" i="3"/>
  <c r="BX104" i="3" s="1"/>
  <c r="BD104" i="3"/>
  <c r="DM104" i="3" s="1"/>
  <c r="AO104" i="3"/>
  <c r="CX104" i="3" s="1"/>
  <c r="X104" i="3"/>
  <c r="CG104" i="3" s="1"/>
  <c r="I104" i="3"/>
  <c r="BR104" i="3" s="1"/>
  <c r="BC104" i="3"/>
  <c r="DL104" i="3" s="1"/>
  <c r="AN104" i="3"/>
  <c r="CW104" i="3" s="1"/>
  <c r="V104" i="3"/>
  <c r="CE104" i="3" s="1"/>
  <c r="H104" i="3"/>
  <c r="BQ104" i="3" s="1"/>
  <c r="BJ104" i="3"/>
  <c r="DS104" i="3" s="1"/>
  <c r="AS104" i="3"/>
  <c r="DB104" i="3" s="1"/>
  <c r="AD104" i="3"/>
  <c r="CM104" i="3" s="1"/>
  <c r="L104" i="3"/>
  <c r="BU104" i="3" s="1"/>
  <c r="BE104" i="3"/>
  <c r="DN104" i="3" s="1"/>
  <c r="AH104" i="3"/>
  <c r="CQ104" i="3" s="1"/>
  <c r="K104" i="3"/>
  <c r="BT104" i="3" s="1"/>
  <c r="BB104" i="3"/>
  <c r="DK104" i="3" s="1"/>
  <c r="AF104" i="3"/>
  <c r="CO104" i="3" s="1"/>
  <c r="J104" i="3"/>
  <c r="BS104" i="3" s="1"/>
  <c r="AZ104" i="3"/>
  <c r="DI104" i="3" s="1"/>
  <c r="AE104" i="3"/>
  <c r="CN104" i="3" s="1"/>
  <c r="G104" i="3"/>
  <c r="BP104" i="3" s="1"/>
  <c r="AY104" i="3"/>
  <c r="DH104" i="3" s="1"/>
  <c r="AC104" i="3"/>
  <c r="CL104" i="3" s="1"/>
  <c r="F104" i="3"/>
  <c r="BO104" i="3" s="1"/>
  <c r="AX104" i="3"/>
  <c r="DG104" i="3" s="1"/>
  <c r="AB104" i="3"/>
  <c r="CK104" i="3" s="1"/>
  <c r="AT104" i="3"/>
  <c r="DC104" i="3" s="1"/>
  <c r="U104" i="3"/>
  <c r="CD104" i="3" s="1"/>
  <c r="AR104" i="3"/>
  <c r="DA104" i="3" s="1"/>
  <c r="T104" i="3"/>
  <c r="CC104" i="3" s="1"/>
  <c r="AP104" i="3"/>
  <c r="CY104" i="3" s="1"/>
  <c r="S104" i="3"/>
  <c r="CB104" i="3" s="1"/>
  <c r="BL104" i="3"/>
  <c r="DU104" i="3" s="1"/>
  <c r="AM104" i="3"/>
  <c r="CV104" i="3" s="1"/>
  <c r="R104" i="3"/>
  <c r="CA104" i="3" s="1"/>
  <c r="BI104" i="3"/>
  <c r="DR104" i="3" s="1"/>
  <c r="AI104" i="3"/>
  <c r="CR104" i="3" s="1"/>
  <c r="Q104" i="3"/>
  <c r="BZ104" i="3" s="1"/>
  <c r="N155" i="2"/>
  <c r="O155" i="2"/>
  <c r="K183" i="2"/>
  <c r="L183" i="2" s="1"/>
  <c r="N195" i="2"/>
  <c r="O195" i="2"/>
  <c r="BF210" i="3"/>
  <c r="DO210" i="3" s="1"/>
  <c r="AV210" i="3"/>
  <c r="DE210" i="3" s="1"/>
  <c r="AL210" i="3"/>
  <c r="CU210" i="3" s="1"/>
  <c r="AB210" i="3"/>
  <c r="CK210" i="3" s="1"/>
  <c r="R210" i="3"/>
  <c r="CA210" i="3" s="1"/>
  <c r="H210" i="3"/>
  <c r="BQ210" i="3" s="1"/>
  <c r="BE210" i="3"/>
  <c r="DN210" i="3" s="1"/>
  <c r="AU210" i="3"/>
  <c r="DD210" i="3" s="1"/>
  <c r="AK210" i="3"/>
  <c r="CT210" i="3" s="1"/>
  <c r="AA210" i="3"/>
  <c r="CJ210" i="3" s="1"/>
  <c r="Q210" i="3"/>
  <c r="BZ210" i="3" s="1"/>
  <c r="G210" i="3"/>
  <c r="BP210" i="3" s="1"/>
  <c r="BH210" i="3"/>
  <c r="DQ210" i="3" s="1"/>
  <c r="AX210" i="3"/>
  <c r="DG210" i="3" s="1"/>
  <c r="AN210" i="3"/>
  <c r="CW210" i="3" s="1"/>
  <c r="AD210" i="3"/>
  <c r="CM210" i="3" s="1"/>
  <c r="T210" i="3"/>
  <c r="CC210" i="3" s="1"/>
  <c r="J210" i="3"/>
  <c r="BS210" i="3" s="1"/>
  <c r="BJ210" i="3"/>
  <c r="DS210" i="3" s="1"/>
  <c r="AT210" i="3"/>
  <c r="DC210" i="3" s="1"/>
  <c r="AG210" i="3"/>
  <c r="CP210" i="3" s="1"/>
  <c r="S210" i="3"/>
  <c r="CB210" i="3" s="1"/>
  <c r="BI210" i="3"/>
  <c r="DR210" i="3" s="1"/>
  <c r="AS210" i="3"/>
  <c r="DB210" i="3" s="1"/>
  <c r="AF210" i="3"/>
  <c r="CO210" i="3" s="1"/>
  <c r="P210" i="3"/>
  <c r="BY210" i="3" s="1"/>
  <c r="BL210" i="3"/>
  <c r="DU210" i="3" s="1"/>
  <c r="AY210" i="3"/>
  <c r="DH210" i="3" s="1"/>
  <c r="AI210" i="3"/>
  <c r="CR210" i="3" s="1"/>
  <c r="V210" i="3"/>
  <c r="CE210" i="3" s="1"/>
  <c r="F210" i="3"/>
  <c r="BO210" i="3" s="1"/>
  <c r="BA210" i="3"/>
  <c r="DJ210" i="3" s="1"/>
  <c r="AE210" i="3"/>
  <c r="CN210" i="3" s="1"/>
  <c r="L210" i="3"/>
  <c r="BU210" i="3" s="1"/>
  <c r="AZ210" i="3"/>
  <c r="DI210" i="3" s="1"/>
  <c r="AC210" i="3"/>
  <c r="CL210" i="3" s="1"/>
  <c r="K210" i="3"/>
  <c r="BT210" i="3" s="1"/>
  <c r="AW210" i="3"/>
  <c r="DF210" i="3" s="1"/>
  <c r="Z210" i="3"/>
  <c r="CI210" i="3" s="1"/>
  <c r="I210" i="3"/>
  <c r="BR210" i="3" s="1"/>
  <c r="AR210" i="3"/>
  <c r="DA210" i="3" s="1"/>
  <c r="Y210" i="3"/>
  <c r="CH210" i="3" s="1"/>
  <c r="E210" i="3"/>
  <c r="BN210" i="3" s="1"/>
  <c r="AQ210" i="3"/>
  <c r="CZ210" i="3" s="1"/>
  <c r="X210" i="3"/>
  <c r="CG210" i="3" s="1"/>
  <c r="BK210" i="3"/>
  <c r="DT210" i="3" s="1"/>
  <c r="AP210" i="3"/>
  <c r="CY210" i="3" s="1"/>
  <c r="W210" i="3"/>
  <c r="CF210" i="3" s="1"/>
  <c r="BB210" i="3"/>
  <c r="DK210" i="3" s="1"/>
  <c r="AH210" i="3"/>
  <c r="CQ210" i="3" s="1"/>
  <c r="M210" i="3"/>
  <c r="BV210" i="3" s="1"/>
  <c r="BG210" i="3"/>
  <c r="DP210" i="3" s="1"/>
  <c r="BD210" i="3"/>
  <c r="DM210" i="3" s="1"/>
  <c r="BC210" i="3"/>
  <c r="DL210" i="3" s="1"/>
  <c r="AO210" i="3"/>
  <c r="CX210" i="3" s="1"/>
  <c r="AM210" i="3"/>
  <c r="CV210" i="3" s="1"/>
  <c r="AJ210" i="3"/>
  <c r="CS210" i="3" s="1"/>
  <c r="U210" i="3"/>
  <c r="CD210" i="3" s="1"/>
  <c r="O210" i="3"/>
  <c r="BX210" i="3" s="1"/>
  <c r="N210" i="3"/>
  <c r="BW210" i="3" s="1"/>
  <c r="BG229" i="3"/>
  <c r="DP229" i="3" s="1"/>
  <c r="AW229" i="3"/>
  <c r="DF229" i="3" s="1"/>
  <c r="AM229" i="3"/>
  <c r="CV229" i="3" s="1"/>
  <c r="AC229" i="3"/>
  <c r="CL229" i="3" s="1"/>
  <c r="S229" i="3"/>
  <c r="CB229" i="3" s="1"/>
  <c r="I229" i="3"/>
  <c r="BR229" i="3" s="1"/>
  <c r="BF229" i="3"/>
  <c r="DO229" i="3" s="1"/>
  <c r="AV229" i="3"/>
  <c r="DE229" i="3" s="1"/>
  <c r="AL229" i="3"/>
  <c r="CU229" i="3" s="1"/>
  <c r="AB229" i="3"/>
  <c r="CK229" i="3" s="1"/>
  <c r="R229" i="3"/>
  <c r="CA229" i="3" s="1"/>
  <c r="H229" i="3"/>
  <c r="BQ229" i="3" s="1"/>
  <c r="BI229" i="3"/>
  <c r="DR229" i="3" s="1"/>
  <c r="AY229" i="3"/>
  <c r="DH229" i="3" s="1"/>
  <c r="AO229" i="3"/>
  <c r="CX229" i="3" s="1"/>
  <c r="AE229" i="3"/>
  <c r="CN229" i="3" s="1"/>
  <c r="U229" i="3"/>
  <c r="CD229" i="3" s="1"/>
  <c r="K229" i="3"/>
  <c r="BT229" i="3" s="1"/>
  <c r="BK229" i="3"/>
  <c r="DT229" i="3" s="1"/>
  <c r="AU229" i="3"/>
  <c r="DD229" i="3" s="1"/>
  <c r="AH229" i="3"/>
  <c r="CQ229" i="3" s="1"/>
  <c r="T229" i="3"/>
  <c r="CC229" i="3" s="1"/>
  <c r="E229" i="3"/>
  <c r="BN229" i="3" s="1"/>
  <c r="BJ229" i="3"/>
  <c r="DS229" i="3" s="1"/>
  <c r="AT229" i="3"/>
  <c r="DC229" i="3" s="1"/>
  <c r="AG229" i="3"/>
  <c r="CP229" i="3" s="1"/>
  <c r="Q229" i="3"/>
  <c r="BZ229" i="3" s="1"/>
  <c r="AZ229" i="3"/>
  <c r="DI229" i="3" s="1"/>
  <c r="AJ229" i="3"/>
  <c r="CS229" i="3" s="1"/>
  <c r="W229" i="3"/>
  <c r="CF229" i="3" s="1"/>
  <c r="G229" i="3"/>
  <c r="BP229" i="3" s="1"/>
  <c r="BE229" i="3"/>
  <c r="DN229" i="3" s="1"/>
  <c r="AN229" i="3"/>
  <c r="CW229" i="3" s="1"/>
  <c r="P229" i="3"/>
  <c r="BY229" i="3" s="1"/>
  <c r="BC229" i="3"/>
  <c r="DL229" i="3" s="1"/>
  <c r="AF229" i="3"/>
  <c r="CO229" i="3" s="1"/>
  <c r="L229" i="3"/>
  <c r="BU229" i="3" s="1"/>
  <c r="BB229" i="3"/>
  <c r="DK229" i="3" s="1"/>
  <c r="AD229" i="3"/>
  <c r="CM229" i="3" s="1"/>
  <c r="J229" i="3"/>
  <c r="BS229" i="3" s="1"/>
  <c r="BA229" i="3"/>
  <c r="DJ229" i="3" s="1"/>
  <c r="AA229" i="3"/>
  <c r="CJ229" i="3" s="1"/>
  <c r="F229" i="3"/>
  <c r="BO229" i="3" s="1"/>
  <c r="AX229" i="3"/>
  <c r="DG229" i="3" s="1"/>
  <c r="Z229" i="3"/>
  <c r="CI229" i="3" s="1"/>
  <c r="AS229" i="3"/>
  <c r="DB229" i="3" s="1"/>
  <c r="Y229" i="3"/>
  <c r="CH229" i="3" s="1"/>
  <c r="AR229" i="3"/>
  <c r="DA229" i="3" s="1"/>
  <c r="X229" i="3"/>
  <c r="CG229" i="3" s="1"/>
  <c r="AQ229" i="3"/>
  <c r="CZ229" i="3" s="1"/>
  <c r="V229" i="3"/>
  <c r="CE229" i="3" s="1"/>
  <c r="BL229" i="3"/>
  <c r="DU229" i="3" s="1"/>
  <c r="AP229" i="3"/>
  <c r="CY229" i="3" s="1"/>
  <c r="O229" i="3"/>
  <c r="BX229" i="3" s="1"/>
  <c r="BH229" i="3"/>
  <c r="DQ229" i="3" s="1"/>
  <c r="AK229" i="3"/>
  <c r="CT229" i="3" s="1"/>
  <c r="N229" i="3"/>
  <c r="BW229" i="3" s="1"/>
  <c r="BD229" i="3"/>
  <c r="DM229" i="3" s="1"/>
  <c r="AI229" i="3"/>
  <c r="CR229" i="3" s="1"/>
  <c r="M229" i="3"/>
  <c r="BV229" i="3" s="1"/>
  <c r="K273" i="2"/>
  <c r="L273" i="2" s="1"/>
  <c r="J87" i="2"/>
  <c r="K87" i="2" s="1"/>
  <c r="L87" i="2" s="1"/>
  <c r="BE118" i="3"/>
  <c r="DN118" i="3" s="1"/>
  <c r="AU118" i="3"/>
  <c r="DD118" i="3" s="1"/>
  <c r="AK118" i="3"/>
  <c r="CT118" i="3" s="1"/>
  <c r="AA118" i="3"/>
  <c r="CJ118" i="3" s="1"/>
  <c r="Q118" i="3"/>
  <c r="BZ118" i="3" s="1"/>
  <c r="G118" i="3"/>
  <c r="BP118" i="3" s="1"/>
  <c r="BG118" i="3"/>
  <c r="DP118" i="3" s="1"/>
  <c r="AW118" i="3"/>
  <c r="DF118" i="3" s="1"/>
  <c r="AM118" i="3"/>
  <c r="CV118" i="3" s="1"/>
  <c r="AC118" i="3"/>
  <c r="CL118" i="3" s="1"/>
  <c r="S118" i="3"/>
  <c r="CB118" i="3" s="1"/>
  <c r="I118" i="3"/>
  <c r="BR118" i="3" s="1"/>
  <c r="BB118" i="3"/>
  <c r="DK118" i="3" s="1"/>
  <c r="AP118" i="3"/>
  <c r="CY118" i="3" s="1"/>
  <c r="AD118" i="3"/>
  <c r="CM118" i="3" s="1"/>
  <c r="P118" i="3"/>
  <c r="BY118" i="3" s="1"/>
  <c r="BD118" i="3"/>
  <c r="DM118" i="3" s="1"/>
  <c r="AR118" i="3"/>
  <c r="DA118" i="3" s="1"/>
  <c r="AF118" i="3"/>
  <c r="CO118" i="3" s="1"/>
  <c r="T118" i="3"/>
  <c r="CC118" i="3" s="1"/>
  <c r="F118" i="3"/>
  <c r="BO118" i="3" s="1"/>
  <c r="BC118" i="3"/>
  <c r="DL118" i="3" s="1"/>
  <c r="AQ118" i="3"/>
  <c r="CZ118" i="3" s="1"/>
  <c r="AE118" i="3"/>
  <c r="CN118" i="3" s="1"/>
  <c r="R118" i="3"/>
  <c r="CA118" i="3" s="1"/>
  <c r="E118" i="3"/>
  <c r="BN118" i="3" s="1"/>
  <c r="BF118" i="3"/>
  <c r="DO118" i="3" s="1"/>
  <c r="AL118" i="3"/>
  <c r="CU118" i="3" s="1"/>
  <c r="V118" i="3"/>
  <c r="CE118" i="3" s="1"/>
  <c r="BK118" i="3"/>
  <c r="DT118" i="3" s="1"/>
  <c r="AT118" i="3"/>
  <c r="DC118" i="3" s="1"/>
  <c r="Z118" i="3"/>
  <c r="CI118" i="3" s="1"/>
  <c r="K118" i="3"/>
  <c r="BT118" i="3" s="1"/>
  <c r="BH118" i="3"/>
  <c r="DQ118" i="3" s="1"/>
  <c r="AI118" i="3"/>
  <c r="CR118" i="3" s="1"/>
  <c r="M118" i="3"/>
  <c r="BV118" i="3" s="1"/>
  <c r="BA118" i="3"/>
  <c r="DJ118" i="3" s="1"/>
  <c r="AH118" i="3"/>
  <c r="CQ118" i="3" s="1"/>
  <c r="L118" i="3"/>
  <c r="BU118" i="3" s="1"/>
  <c r="AZ118" i="3"/>
  <c r="DI118" i="3" s="1"/>
  <c r="AG118" i="3"/>
  <c r="CP118" i="3" s="1"/>
  <c r="J118" i="3"/>
  <c r="BS118" i="3" s="1"/>
  <c r="AY118" i="3"/>
  <c r="DH118" i="3" s="1"/>
  <c r="AB118" i="3"/>
  <c r="CK118" i="3" s="1"/>
  <c r="H118" i="3"/>
  <c r="BQ118" i="3" s="1"/>
  <c r="AX118" i="3"/>
  <c r="DG118" i="3" s="1"/>
  <c r="Y118" i="3"/>
  <c r="CH118" i="3" s="1"/>
  <c r="AV118" i="3"/>
  <c r="DE118" i="3" s="1"/>
  <c r="X118" i="3"/>
  <c r="CG118" i="3" s="1"/>
  <c r="AS118" i="3"/>
  <c r="DB118" i="3" s="1"/>
  <c r="W118" i="3"/>
  <c r="CF118" i="3" s="1"/>
  <c r="BL118" i="3"/>
  <c r="DU118" i="3" s="1"/>
  <c r="AO118" i="3"/>
  <c r="CX118" i="3" s="1"/>
  <c r="U118" i="3"/>
  <c r="CD118" i="3" s="1"/>
  <c r="O118" i="3"/>
  <c r="BX118" i="3" s="1"/>
  <c r="N118" i="3"/>
  <c r="BW118" i="3" s="1"/>
  <c r="BJ118" i="3"/>
  <c r="DS118" i="3" s="1"/>
  <c r="BI118" i="3"/>
  <c r="DR118" i="3" s="1"/>
  <c r="AN118" i="3"/>
  <c r="CW118" i="3" s="1"/>
  <c r="AJ118" i="3"/>
  <c r="CS118" i="3" s="1"/>
  <c r="BC148" i="3"/>
  <c r="DL148" i="3" s="1"/>
  <c r="AS148" i="3"/>
  <c r="DB148" i="3" s="1"/>
  <c r="AI148" i="3"/>
  <c r="CR148" i="3" s="1"/>
  <c r="Y148" i="3"/>
  <c r="CH148" i="3" s="1"/>
  <c r="O148" i="3"/>
  <c r="BX148" i="3" s="1"/>
  <c r="E148" i="3"/>
  <c r="BN148" i="3" s="1"/>
  <c r="BL148" i="3"/>
  <c r="DU148" i="3" s="1"/>
  <c r="BB148" i="3"/>
  <c r="DK148" i="3" s="1"/>
  <c r="AR148" i="3"/>
  <c r="DA148" i="3" s="1"/>
  <c r="AH148" i="3"/>
  <c r="CQ148" i="3" s="1"/>
  <c r="X148" i="3"/>
  <c r="CG148" i="3" s="1"/>
  <c r="N148" i="3"/>
  <c r="BW148" i="3" s="1"/>
  <c r="BE148" i="3"/>
  <c r="DN148" i="3" s="1"/>
  <c r="AU148" i="3"/>
  <c r="DD148" i="3" s="1"/>
  <c r="AK148" i="3"/>
  <c r="CT148" i="3" s="1"/>
  <c r="AA148" i="3"/>
  <c r="CJ148" i="3" s="1"/>
  <c r="Q148" i="3"/>
  <c r="BZ148" i="3" s="1"/>
  <c r="G148" i="3"/>
  <c r="BP148" i="3" s="1"/>
  <c r="BI148" i="3"/>
  <c r="DR148" i="3" s="1"/>
  <c r="AV148" i="3"/>
  <c r="DE148" i="3" s="1"/>
  <c r="AF148" i="3"/>
  <c r="CO148" i="3" s="1"/>
  <c r="S148" i="3"/>
  <c r="CB148" i="3" s="1"/>
  <c r="BH148" i="3"/>
  <c r="DQ148" i="3" s="1"/>
  <c r="AT148" i="3"/>
  <c r="DC148" i="3" s="1"/>
  <c r="AE148" i="3"/>
  <c r="CN148" i="3" s="1"/>
  <c r="R148" i="3"/>
  <c r="CA148" i="3" s="1"/>
  <c r="BK148" i="3"/>
  <c r="DT148" i="3" s="1"/>
  <c r="AX148" i="3"/>
  <c r="DG148" i="3" s="1"/>
  <c r="AJ148" i="3"/>
  <c r="CS148" i="3" s="1"/>
  <c r="U148" i="3"/>
  <c r="CD148" i="3" s="1"/>
  <c r="H148" i="3"/>
  <c r="BQ148" i="3" s="1"/>
  <c r="BJ148" i="3"/>
  <c r="DS148" i="3" s="1"/>
  <c r="AW148" i="3"/>
  <c r="DF148" i="3" s="1"/>
  <c r="AG148" i="3"/>
  <c r="CP148" i="3" s="1"/>
  <c r="T148" i="3"/>
  <c r="CC148" i="3" s="1"/>
  <c r="F148" i="3"/>
  <c r="BO148" i="3" s="1"/>
  <c r="BD148" i="3"/>
  <c r="DM148" i="3" s="1"/>
  <c r="AD148" i="3"/>
  <c r="CM148" i="3" s="1"/>
  <c r="J148" i="3"/>
  <c r="BS148" i="3" s="1"/>
  <c r="BA148" i="3"/>
  <c r="DJ148" i="3" s="1"/>
  <c r="AC148" i="3"/>
  <c r="CL148" i="3" s="1"/>
  <c r="I148" i="3"/>
  <c r="BR148" i="3" s="1"/>
  <c r="AZ148" i="3"/>
  <c r="DI148" i="3" s="1"/>
  <c r="AB148" i="3"/>
  <c r="CK148" i="3" s="1"/>
  <c r="BG148" i="3"/>
  <c r="DP148" i="3" s="1"/>
  <c r="AM148" i="3"/>
  <c r="CV148" i="3" s="1"/>
  <c r="L148" i="3"/>
  <c r="BU148" i="3" s="1"/>
  <c r="BF148" i="3"/>
  <c r="DO148" i="3" s="1"/>
  <c r="AL148" i="3"/>
  <c r="CU148" i="3" s="1"/>
  <c r="K148" i="3"/>
  <c r="BT148" i="3" s="1"/>
  <c r="AQ148" i="3"/>
  <c r="CZ148" i="3" s="1"/>
  <c r="V148" i="3"/>
  <c r="CE148" i="3" s="1"/>
  <c r="P148" i="3"/>
  <c r="BY148" i="3" s="1"/>
  <c r="M148" i="3"/>
  <c r="BV148" i="3" s="1"/>
  <c r="AO148" i="3"/>
  <c r="CX148" i="3" s="1"/>
  <c r="AN148" i="3"/>
  <c r="CW148" i="3" s="1"/>
  <c r="Z148" i="3"/>
  <c r="CI148" i="3" s="1"/>
  <c r="W148" i="3"/>
  <c r="CF148" i="3" s="1"/>
  <c r="AY148" i="3"/>
  <c r="DH148" i="3" s="1"/>
  <c r="AP148" i="3"/>
  <c r="CY148" i="3" s="1"/>
  <c r="BD198" i="3"/>
  <c r="DM198" i="3" s="1"/>
  <c r="AT198" i="3"/>
  <c r="DC198" i="3" s="1"/>
  <c r="AJ198" i="3"/>
  <c r="CS198" i="3" s="1"/>
  <c r="Z198" i="3"/>
  <c r="CI198" i="3" s="1"/>
  <c r="P198" i="3"/>
  <c r="BY198" i="3" s="1"/>
  <c r="F198" i="3"/>
  <c r="BO198" i="3" s="1"/>
  <c r="BL198" i="3"/>
  <c r="DU198" i="3" s="1"/>
  <c r="BA198" i="3"/>
  <c r="DJ198" i="3" s="1"/>
  <c r="AP198" i="3"/>
  <c r="CY198" i="3" s="1"/>
  <c r="AE198" i="3"/>
  <c r="CN198" i="3" s="1"/>
  <c r="T198" i="3"/>
  <c r="CC198" i="3" s="1"/>
  <c r="I198" i="3"/>
  <c r="BR198" i="3" s="1"/>
  <c r="BK198" i="3"/>
  <c r="DT198" i="3" s="1"/>
  <c r="AZ198" i="3"/>
  <c r="DI198" i="3" s="1"/>
  <c r="AO198" i="3"/>
  <c r="CX198" i="3" s="1"/>
  <c r="AD198" i="3"/>
  <c r="CM198" i="3" s="1"/>
  <c r="S198" i="3"/>
  <c r="CB198" i="3" s="1"/>
  <c r="H198" i="3"/>
  <c r="BQ198" i="3" s="1"/>
  <c r="BC198" i="3"/>
  <c r="DL198" i="3" s="1"/>
  <c r="AR198" i="3"/>
  <c r="DA198" i="3" s="1"/>
  <c r="AG198" i="3"/>
  <c r="CP198" i="3" s="1"/>
  <c r="V198" i="3"/>
  <c r="CE198" i="3" s="1"/>
  <c r="K198" i="3"/>
  <c r="BT198" i="3" s="1"/>
  <c r="BI198" i="3"/>
  <c r="DR198" i="3" s="1"/>
  <c r="AU198" i="3"/>
  <c r="DD198" i="3" s="1"/>
  <c r="AC198" i="3"/>
  <c r="CL198" i="3" s="1"/>
  <c r="N198" i="3"/>
  <c r="BW198" i="3" s="1"/>
  <c r="BH198" i="3"/>
  <c r="DQ198" i="3" s="1"/>
  <c r="AS198" i="3"/>
  <c r="DB198" i="3" s="1"/>
  <c r="AB198" i="3"/>
  <c r="CK198" i="3" s="1"/>
  <c r="M198" i="3"/>
  <c r="BV198" i="3" s="1"/>
  <c r="BG198" i="3"/>
  <c r="DP198" i="3" s="1"/>
  <c r="AQ198" i="3"/>
  <c r="CZ198" i="3" s="1"/>
  <c r="AA198" i="3"/>
  <c r="CJ198" i="3" s="1"/>
  <c r="L198" i="3"/>
  <c r="BU198" i="3" s="1"/>
  <c r="BF198" i="3"/>
  <c r="DO198" i="3" s="1"/>
  <c r="AN198" i="3"/>
  <c r="CW198" i="3" s="1"/>
  <c r="Y198" i="3"/>
  <c r="CH198" i="3" s="1"/>
  <c r="J198" i="3"/>
  <c r="BS198" i="3" s="1"/>
  <c r="BE198" i="3"/>
  <c r="DN198" i="3" s="1"/>
  <c r="AM198" i="3"/>
  <c r="CV198" i="3" s="1"/>
  <c r="X198" i="3"/>
  <c r="CG198" i="3" s="1"/>
  <c r="G198" i="3"/>
  <c r="BP198" i="3" s="1"/>
  <c r="BB198" i="3"/>
  <c r="DK198" i="3" s="1"/>
  <c r="AL198" i="3"/>
  <c r="CU198" i="3" s="1"/>
  <c r="W198" i="3"/>
  <c r="CF198" i="3" s="1"/>
  <c r="E198" i="3"/>
  <c r="BN198" i="3" s="1"/>
  <c r="BJ198" i="3"/>
  <c r="DS198" i="3" s="1"/>
  <c r="AV198" i="3"/>
  <c r="DE198" i="3" s="1"/>
  <c r="AF198" i="3"/>
  <c r="CO198" i="3" s="1"/>
  <c r="O198" i="3"/>
  <c r="BX198" i="3" s="1"/>
  <c r="AY198" i="3"/>
  <c r="DH198" i="3" s="1"/>
  <c r="AX198" i="3"/>
  <c r="DG198" i="3" s="1"/>
  <c r="AW198" i="3"/>
  <c r="DF198" i="3" s="1"/>
  <c r="AK198" i="3"/>
  <c r="CT198" i="3" s="1"/>
  <c r="AI198" i="3"/>
  <c r="CR198" i="3" s="1"/>
  <c r="AH198" i="3"/>
  <c r="CQ198" i="3" s="1"/>
  <c r="R198" i="3"/>
  <c r="CA198" i="3" s="1"/>
  <c r="U198" i="3"/>
  <c r="CD198" i="3" s="1"/>
  <c r="Q198" i="3"/>
  <c r="BZ198" i="3" s="1"/>
  <c r="BD298" i="3"/>
  <c r="DM298" i="3" s="1"/>
  <c r="AT298" i="3"/>
  <c r="DC298" i="3" s="1"/>
  <c r="AJ298" i="3"/>
  <c r="CS298" i="3" s="1"/>
  <c r="Z298" i="3"/>
  <c r="CI298" i="3" s="1"/>
  <c r="P298" i="3"/>
  <c r="BY298" i="3" s="1"/>
  <c r="F298" i="3"/>
  <c r="BO298" i="3" s="1"/>
  <c r="BL298" i="3"/>
  <c r="DU298" i="3" s="1"/>
  <c r="BA298" i="3"/>
  <c r="DJ298" i="3" s="1"/>
  <c r="AP298" i="3"/>
  <c r="CY298" i="3" s="1"/>
  <c r="AE298" i="3"/>
  <c r="CN298" i="3" s="1"/>
  <c r="T298" i="3"/>
  <c r="CC298" i="3" s="1"/>
  <c r="I298" i="3"/>
  <c r="BR298" i="3" s="1"/>
  <c r="BK298" i="3"/>
  <c r="DT298" i="3" s="1"/>
  <c r="AZ298" i="3"/>
  <c r="DI298" i="3" s="1"/>
  <c r="AO298" i="3"/>
  <c r="CX298" i="3" s="1"/>
  <c r="AD298" i="3"/>
  <c r="CM298" i="3" s="1"/>
  <c r="S298" i="3"/>
  <c r="CB298" i="3" s="1"/>
  <c r="H298" i="3"/>
  <c r="BQ298" i="3" s="1"/>
  <c r="BC298" i="3"/>
  <c r="DL298" i="3" s="1"/>
  <c r="AR298" i="3"/>
  <c r="DA298" i="3" s="1"/>
  <c r="AG298" i="3"/>
  <c r="CP298" i="3" s="1"/>
  <c r="V298" i="3"/>
  <c r="CE298" i="3" s="1"/>
  <c r="K298" i="3"/>
  <c r="BT298" i="3" s="1"/>
  <c r="BF298" i="3"/>
  <c r="DO298" i="3" s="1"/>
  <c r="AN298" i="3"/>
  <c r="CW298" i="3" s="1"/>
  <c r="Y298" i="3"/>
  <c r="CH298" i="3" s="1"/>
  <c r="J298" i="3"/>
  <c r="BS298" i="3" s="1"/>
  <c r="BE298" i="3"/>
  <c r="DN298" i="3" s="1"/>
  <c r="AM298" i="3"/>
  <c r="CV298" i="3" s="1"/>
  <c r="X298" i="3"/>
  <c r="CG298" i="3" s="1"/>
  <c r="G298" i="3"/>
  <c r="BP298" i="3" s="1"/>
  <c r="BB298" i="3"/>
  <c r="DK298" i="3" s="1"/>
  <c r="AL298" i="3"/>
  <c r="CU298" i="3" s="1"/>
  <c r="W298" i="3"/>
  <c r="CF298" i="3" s="1"/>
  <c r="E298" i="3"/>
  <c r="BN298" i="3" s="1"/>
  <c r="BH298" i="3"/>
  <c r="DQ298" i="3" s="1"/>
  <c r="AS298" i="3"/>
  <c r="DB298" i="3" s="1"/>
  <c r="AB298" i="3"/>
  <c r="CK298" i="3" s="1"/>
  <c r="M298" i="3"/>
  <c r="BV298" i="3" s="1"/>
  <c r="AU298" i="3"/>
  <c r="DD298" i="3" s="1"/>
  <c r="Q298" i="3"/>
  <c r="BZ298" i="3" s="1"/>
  <c r="AX298" i="3"/>
  <c r="DG298" i="3" s="1"/>
  <c r="AA298" i="3"/>
  <c r="CJ298" i="3" s="1"/>
  <c r="AW298" i="3"/>
  <c r="DF298" i="3" s="1"/>
  <c r="U298" i="3"/>
  <c r="CD298" i="3" s="1"/>
  <c r="AI298" i="3"/>
  <c r="CR298" i="3" s="1"/>
  <c r="AH298" i="3"/>
  <c r="CQ298" i="3" s="1"/>
  <c r="AF298" i="3"/>
  <c r="CO298" i="3" s="1"/>
  <c r="BJ298" i="3"/>
  <c r="DS298" i="3" s="1"/>
  <c r="AC298" i="3"/>
  <c r="CL298" i="3" s="1"/>
  <c r="BI298" i="3"/>
  <c r="DR298" i="3" s="1"/>
  <c r="R298" i="3"/>
  <c r="CA298" i="3" s="1"/>
  <c r="BG298" i="3"/>
  <c r="DP298" i="3" s="1"/>
  <c r="O298" i="3"/>
  <c r="BX298" i="3" s="1"/>
  <c r="AY298" i="3"/>
  <c r="DH298" i="3" s="1"/>
  <c r="N298" i="3"/>
  <c r="BW298" i="3" s="1"/>
  <c r="AV298" i="3"/>
  <c r="DE298" i="3" s="1"/>
  <c r="L298" i="3"/>
  <c r="BU298" i="3" s="1"/>
  <c r="AQ298" i="3"/>
  <c r="CZ298" i="3" s="1"/>
  <c r="AK298" i="3"/>
  <c r="CT298" i="3" s="1"/>
  <c r="BE155" i="3"/>
  <c r="DN155" i="3" s="1"/>
  <c r="AU155" i="3"/>
  <c r="DD155" i="3" s="1"/>
  <c r="AK155" i="3"/>
  <c r="CT155" i="3" s="1"/>
  <c r="AA155" i="3"/>
  <c r="CJ155" i="3" s="1"/>
  <c r="Q155" i="3"/>
  <c r="BZ155" i="3" s="1"/>
  <c r="G155" i="3"/>
  <c r="BP155" i="3" s="1"/>
  <c r="BD155" i="3"/>
  <c r="DM155" i="3" s="1"/>
  <c r="AT155" i="3"/>
  <c r="DC155" i="3" s="1"/>
  <c r="AJ155" i="3"/>
  <c r="CS155" i="3" s="1"/>
  <c r="Z155" i="3"/>
  <c r="CI155" i="3" s="1"/>
  <c r="P155" i="3"/>
  <c r="BY155" i="3" s="1"/>
  <c r="F155" i="3"/>
  <c r="BO155" i="3" s="1"/>
  <c r="BG155" i="3"/>
  <c r="DP155" i="3" s="1"/>
  <c r="AW155" i="3"/>
  <c r="DF155" i="3" s="1"/>
  <c r="AM155" i="3"/>
  <c r="CV155" i="3" s="1"/>
  <c r="AC155" i="3"/>
  <c r="CL155" i="3" s="1"/>
  <c r="S155" i="3"/>
  <c r="CB155" i="3" s="1"/>
  <c r="I155" i="3"/>
  <c r="BR155" i="3" s="1"/>
  <c r="BL155" i="3"/>
  <c r="DU155" i="3" s="1"/>
  <c r="AY155" i="3"/>
  <c r="DH155" i="3" s="1"/>
  <c r="AI155" i="3"/>
  <c r="CR155" i="3" s="1"/>
  <c r="V155" i="3"/>
  <c r="CE155" i="3" s="1"/>
  <c r="H155" i="3"/>
  <c r="BQ155" i="3" s="1"/>
  <c r="BK155" i="3"/>
  <c r="DT155" i="3" s="1"/>
  <c r="AX155" i="3"/>
  <c r="DG155" i="3" s="1"/>
  <c r="AH155" i="3"/>
  <c r="CQ155" i="3" s="1"/>
  <c r="U155" i="3"/>
  <c r="CD155" i="3" s="1"/>
  <c r="E155" i="3"/>
  <c r="BN155" i="3" s="1"/>
  <c r="BJ155" i="3"/>
  <c r="DS155" i="3" s="1"/>
  <c r="AV155" i="3"/>
  <c r="DE155" i="3" s="1"/>
  <c r="AG155" i="3"/>
  <c r="CP155" i="3" s="1"/>
  <c r="T155" i="3"/>
  <c r="CC155" i="3" s="1"/>
  <c r="BA155" i="3"/>
  <c r="DJ155" i="3" s="1"/>
  <c r="AN155" i="3"/>
  <c r="CW155" i="3" s="1"/>
  <c r="X155" i="3"/>
  <c r="CG155" i="3" s="1"/>
  <c r="K155" i="3"/>
  <c r="BT155" i="3" s="1"/>
  <c r="AZ155" i="3"/>
  <c r="DI155" i="3" s="1"/>
  <c r="AL155" i="3"/>
  <c r="CU155" i="3" s="1"/>
  <c r="W155" i="3"/>
  <c r="CF155" i="3" s="1"/>
  <c r="J155" i="3"/>
  <c r="BS155" i="3" s="1"/>
  <c r="BI155" i="3"/>
  <c r="DR155" i="3" s="1"/>
  <c r="AF155" i="3"/>
  <c r="CO155" i="3" s="1"/>
  <c r="BH155" i="3"/>
  <c r="DQ155" i="3" s="1"/>
  <c r="AE155" i="3"/>
  <c r="CN155" i="3" s="1"/>
  <c r="BF155" i="3"/>
  <c r="DO155" i="3" s="1"/>
  <c r="AD155" i="3"/>
  <c r="CM155" i="3" s="1"/>
  <c r="BC155" i="3"/>
  <c r="DL155" i="3" s="1"/>
  <c r="BB155" i="3"/>
  <c r="DK155" i="3" s="1"/>
  <c r="Y155" i="3"/>
  <c r="CH155" i="3" s="1"/>
  <c r="AP155" i="3"/>
  <c r="CY155" i="3" s="1"/>
  <c r="M155" i="3"/>
  <c r="BV155" i="3" s="1"/>
  <c r="AO155" i="3"/>
  <c r="CX155" i="3" s="1"/>
  <c r="L155" i="3"/>
  <c r="BU155" i="3" s="1"/>
  <c r="AQ155" i="3"/>
  <c r="CZ155" i="3" s="1"/>
  <c r="AS155" i="3"/>
  <c r="DB155" i="3" s="1"/>
  <c r="R155" i="3"/>
  <c r="CA155" i="3" s="1"/>
  <c r="O155" i="3"/>
  <c r="BX155" i="3" s="1"/>
  <c r="N155" i="3"/>
  <c r="BW155" i="3" s="1"/>
  <c r="AR155" i="3"/>
  <c r="DA155" i="3" s="1"/>
  <c r="AB155" i="3"/>
  <c r="CK155" i="3" s="1"/>
  <c r="J208" i="2"/>
  <c r="K208" i="2" s="1"/>
  <c r="L208" i="2" s="1"/>
  <c r="K245" i="2"/>
  <c r="L245" i="2" s="1"/>
  <c r="J121" i="2"/>
  <c r="K121" i="2" s="1"/>
  <c r="L121" i="2" s="1"/>
  <c r="J171" i="2"/>
  <c r="K171" i="2" s="1"/>
  <c r="L171" i="2" s="1"/>
  <c r="BH250" i="3"/>
  <c r="DQ250" i="3" s="1"/>
  <c r="AX250" i="3"/>
  <c r="DG250" i="3" s="1"/>
  <c r="AN250" i="3"/>
  <c r="CW250" i="3" s="1"/>
  <c r="AD250" i="3"/>
  <c r="CM250" i="3" s="1"/>
  <c r="T250" i="3"/>
  <c r="CC250" i="3" s="1"/>
  <c r="J250" i="3"/>
  <c r="BS250" i="3" s="1"/>
  <c r="BG250" i="3"/>
  <c r="DP250" i="3" s="1"/>
  <c r="AW250" i="3"/>
  <c r="DF250" i="3" s="1"/>
  <c r="AM250" i="3"/>
  <c r="CV250" i="3" s="1"/>
  <c r="AC250" i="3"/>
  <c r="CL250" i="3" s="1"/>
  <c r="S250" i="3"/>
  <c r="CB250" i="3" s="1"/>
  <c r="I250" i="3"/>
  <c r="BR250" i="3" s="1"/>
  <c r="BJ250" i="3"/>
  <c r="DS250" i="3" s="1"/>
  <c r="AV250" i="3"/>
  <c r="DE250" i="3" s="1"/>
  <c r="AJ250" i="3"/>
  <c r="CS250" i="3" s="1"/>
  <c r="X250" i="3"/>
  <c r="CG250" i="3" s="1"/>
  <c r="L250" i="3"/>
  <c r="BU250" i="3" s="1"/>
  <c r="BC250" i="3"/>
  <c r="DL250" i="3" s="1"/>
  <c r="AP250" i="3"/>
  <c r="CY250" i="3" s="1"/>
  <c r="AA250" i="3"/>
  <c r="CJ250" i="3" s="1"/>
  <c r="N250" i="3"/>
  <c r="BW250" i="3" s="1"/>
  <c r="BB250" i="3"/>
  <c r="DK250" i="3" s="1"/>
  <c r="AO250" i="3"/>
  <c r="CX250" i="3" s="1"/>
  <c r="Z250" i="3"/>
  <c r="CI250" i="3" s="1"/>
  <c r="M250" i="3"/>
  <c r="BV250" i="3" s="1"/>
  <c r="BA250" i="3"/>
  <c r="DJ250" i="3" s="1"/>
  <c r="AL250" i="3"/>
  <c r="CU250" i="3" s="1"/>
  <c r="Y250" i="3"/>
  <c r="CH250" i="3" s="1"/>
  <c r="K250" i="3"/>
  <c r="BT250" i="3" s="1"/>
  <c r="AZ250" i="3"/>
  <c r="DI250" i="3" s="1"/>
  <c r="AK250" i="3"/>
  <c r="CT250" i="3" s="1"/>
  <c r="W250" i="3"/>
  <c r="CF250" i="3" s="1"/>
  <c r="H250" i="3"/>
  <c r="BQ250" i="3" s="1"/>
  <c r="BL250" i="3"/>
  <c r="DU250" i="3" s="1"/>
  <c r="AY250" i="3"/>
  <c r="DH250" i="3" s="1"/>
  <c r="AI250" i="3"/>
  <c r="CR250" i="3" s="1"/>
  <c r="V250" i="3"/>
  <c r="CE250" i="3" s="1"/>
  <c r="G250" i="3"/>
  <c r="BP250" i="3" s="1"/>
  <c r="BK250" i="3"/>
  <c r="DT250" i="3" s="1"/>
  <c r="AU250" i="3"/>
  <c r="DD250" i="3" s="1"/>
  <c r="AH250" i="3"/>
  <c r="CQ250" i="3" s="1"/>
  <c r="U250" i="3"/>
  <c r="CD250" i="3" s="1"/>
  <c r="F250" i="3"/>
  <c r="BO250" i="3" s="1"/>
  <c r="BE250" i="3"/>
  <c r="DN250" i="3" s="1"/>
  <c r="AR250" i="3"/>
  <c r="DA250" i="3" s="1"/>
  <c r="AE250" i="3"/>
  <c r="CN250" i="3" s="1"/>
  <c r="P250" i="3"/>
  <c r="BY250" i="3" s="1"/>
  <c r="AG250" i="3"/>
  <c r="CP250" i="3" s="1"/>
  <c r="AF250" i="3"/>
  <c r="CO250" i="3" s="1"/>
  <c r="AB250" i="3"/>
  <c r="CK250" i="3" s="1"/>
  <c r="AS250" i="3"/>
  <c r="DB250" i="3" s="1"/>
  <c r="E250" i="3"/>
  <c r="BN250" i="3" s="1"/>
  <c r="BI250" i="3"/>
  <c r="DR250" i="3" s="1"/>
  <c r="R250" i="3"/>
  <c r="CA250" i="3" s="1"/>
  <c r="Q250" i="3"/>
  <c r="BZ250" i="3" s="1"/>
  <c r="O250" i="3"/>
  <c r="BX250" i="3" s="1"/>
  <c r="BF250" i="3"/>
  <c r="DO250" i="3" s="1"/>
  <c r="BD250" i="3"/>
  <c r="DM250" i="3" s="1"/>
  <c r="AT250" i="3"/>
  <c r="DC250" i="3" s="1"/>
  <c r="AQ250" i="3"/>
  <c r="CZ250" i="3" s="1"/>
  <c r="BI149" i="3"/>
  <c r="DR149" i="3" s="1"/>
  <c r="AY149" i="3"/>
  <c r="DH149" i="3" s="1"/>
  <c r="AO149" i="3"/>
  <c r="CX149" i="3" s="1"/>
  <c r="AE149" i="3"/>
  <c r="CN149" i="3" s="1"/>
  <c r="U149" i="3"/>
  <c r="CD149" i="3" s="1"/>
  <c r="K149" i="3"/>
  <c r="BT149" i="3" s="1"/>
  <c r="BH149" i="3"/>
  <c r="DQ149" i="3" s="1"/>
  <c r="AX149" i="3"/>
  <c r="DG149" i="3" s="1"/>
  <c r="AN149" i="3"/>
  <c r="CW149" i="3" s="1"/>
  <c r="AD149" i="3"/>
  <c r="CM149" i="3" s="1"/>
  <c r="T149" i="3"/>
  <c r="CC149" i="3" s="1"/>
  <c r="J149" i="3"/>
  <c r="BS149" i="3" s="1"/>
  <c r="BK149" i="3"/>
  <c r="DT149" i="3" s="1"/>
  <c r="BA149" i="3"/>
  <c r="DJ149" i="3" s="1"/>
  <c r="AQ149" i="3"/>
  <c r="CZ149" i="3" s="1"/>
  <c r="AG149" i="3"/>
  <c r="CP149" i="3" s="1"/>
  <c r="W149" i="3"/>
  <c r="CF149" i="3" s="1"/>
  <c r="M149" i="3"/>
  <c r="BV149" i="3" s="1"/>
  <c r="AZ149" i="3"/>
  <c r="DI149" i="3" s="1"/>
  <c r="AK149" i="3"/>
  <c r="CT149" i="3" s="1"/>
  <c r="X149" i="3"/>
  <c r="CG149" i="3" s="1"/>
  <c r="H149" i="3"/>
  <c r="BQ149" i="3" s="1"/>
  <c r="AW149" i="3"/>
  <c r="DF149" i="3" s="1"/>
  <c r="AJ149" i="3"/>
  <c r="CS149" i="3" s="1"/>
  <c r="V149" i="3"/>
  <c r="CE149" i="3" s="1"/>
  <c r="G149" i="3"/>
  <c r="BP149" i="3" s="1"/>
  <c r="BC149" i="3"/>
  <c r="DL149" i="3" s="1"/>
  <c r="AM149" i="3"/>
  <c r="CV149" i="3" s="1"/>
  <c r="Z149" i="3"/>
  <c r="CI149" i="3" s="1"/>
  <c r="L149" i="3"/>
  <c r="BU149" i="3" s="1"/>
  <c r="BB149" i="3"/>
  <c r="DK149" i="3" s="1"/>
  <c r="AL149" i="3"/>
  <c r="CU149" i="3" s="1"/>
  <c r="Y149" i="3"/>
  <c r="CH149" i="3" s="1"/>
  <c r="I149" i="3"/>
  <c r="BR149" i="3" s="1"/>
  <c r="AV149" i="3"/>
  <c r="DE149" i="3" s="1"/>
  <c r="AB149" i="3"/>
  <c r="CK149" i="3" s="1"/>
  <c r="AU149" i="3"/>
  <c r="DD149" i="3" s="1"/>
  <c r="AA149" i="3"/>
  <c r="CJ149" i="3" s="1"/>
  <c r="AT149" i="3"/>
  <c r="DC149" i="3" s="1"/>
  <c r="S149" i="3"/>
  <c r="CB149" i="3" s="1"/>
  <c r="BE149" i="3"/>
  <c r="DN149" i="3" s="1"/>
  <c r="AF149" i="3"/>
  <c r="CO149" i="3" s="1"/>
  <c r="F149" i="3"/>
  <c r="BO149" i="3" s="1"/>
  <c r="BD149" i="3"/>
  <c r="DM149" i="3" s="1"/>
  <c r="AC149" i="3"/>
  <c r="CL149" i="3" s="1"/>
  <c r="E149" i="3"/>
  <c r="BN149" i="3" s="1"/>
  <c r="BL149" i="3"/>
  <c r="DU149" i="3" s="1"/>
  <c r="Q149" i="3"/>
  <c r="BZ149" i="3" s="1"/>
  <c r="AP149" i="3"/>
  <c r="CY149" i="3" s="1"/>
  <c r="AI149" i="3"/>
  <c r="CR149" i="3" s="1"/>
  <c r="AH149" i="3"/>
  <c r="CQ149" i="3" s="1"/>
  <c r="BJ149" i="3"/>
  <c r="DS149" i="3" s="1"/>
  <c r="BG149" i="3"/>
  <c r="DP149" i="3" s="1"/>
  <c r="BF149" i="3"/>
  <c r="DO149" i="3" s="1"/>
  <c r="AS149" i="3"/>
  <c r="DB149" i="3" s="1"/>
  <c r="AR149" i="3"/>
  <c r="DA149" i="3" s="1"/>
  <c r="R149" i="3"/>
  <c r="CA149" i="3" s="1"/>
  <c r="P149" i="3"/>
  <c r="BY149" i="3" s="1"/>
  <c r="O149" i="3"/>
  <c r="BX149" i="3" s="1"/>
  <c r="N149" i="3"/>
  <c r="BW149" i="3" s="1"/>
  <c r="BJ189" i="3"/>
  <c r="DS189" i="3" s="1"/>
  <c r="AZ189" i="3"/>
  <c r="DI189" i="3" s="1"/>
  <c r="AP189" i="3"/>
  <c r="CY189" i="3" s="1"/>
  <c r="AF189" i="3"/>
  <c r="CO189" i="3" s="1"/>
  <c r="V189" i="3"/>
  <c r="CE189" i="3" s="1"/>
  <c r="L189" i="3"/>
  <c r="BU189" i="3" s="1"/>
  <c r="BF189" i="3"/>
  <c r="DO189" i="3" s="1"/>
  <c r="AU189" i="3"/>
  <c r="DD189" i="3" s="1"/>
  <c r="AJ189" i="3"/>
  <c r="CS189" i="3" s="1"/>
  <c r="Y189" i="3"/>
  <c r="CH189" i="3" s="1"/>
  <c r="N189" i="3"/>
  <c r="BW189" i="3" s="1"/>
  <c r="BE189" i="3"/>
  <c r="DN189" i="3" s="1"/>
  <c r="AT189" i="3"/>
  <c r="DC189" i="3" s="1"/>
  <c r="AI189" i="3"/>
  <c r="CR189" i="3" s="1"/>
  <c r="X189" i="3"/>
  <c r="CG189" i="3" s="1"/>
  <c r="M189" i="3"/>
  <c r="BV189" i="3" s="1"/>
  <c r="BH189" i="3"/>
  <c r="DQ189" i="3" s="1"/>
  <c r="AW189" i="3"/>
  <c r="DF189" i="3" s="1"/>
  <c r="AL189" i="3"/>
  <c r="CU189" i="3" s="1"/>
  <c r="AA189" i="3"/>
  <c r="CJ189" i="3" s="1"/>
  <c r="P189" i="3"/>
  <c r="BY189" i="3" s="1"/>
  <c r="E189" i="3"/>
  <c r="BN189" i="3" s="1"/>
  <c r="AY189" i="3"/>
  <c r="DH189" i="3" s="1"/>
  <c r="AH189" i="3"/>
  <c r="CQ189" i="3" s="1"/>
  <c r="S189" i="3"/>
  <c r="CB189" i="3" s="1"/>
  <c r="AX189" i="3"/>
  <c r="DG189" i="3" s="1"/>
  <c r="AG189" i="3"/>
  <c r="CP189" i="3" s="1"/>
  <c r="R189" i="3"/>
  <c r="CA189" i="3" s="1"/>
  <c r="BL189" i="3"/>
  <c r="DU189" i="3" s="1"/>
  <c r="AV189" i="3"/>
  <c r="DE189" i="3" s="1"/>
  <c r="AE189" i="3"/>
  <c r="CN189" i="3" s="1"/>
  <c r="Q189" i="3"/>
  <c r="BZ189" i="3" s="1"/>
  <c r="BA189" i="3"/>
  <c r="DJ189" i="3" s="1"/>
  <c r="AK189" i="3"/>
  <c r="CT189" i="3" s="1"/>
  <c r="T189" i="3"/>
  <c r="CC189" i="3" s="1"/>
  <c r="F189" i="3"/>
  <c r="BO189" i="3" s="1"/>
  <c r="AS189" i="3"/>
  <c r="DB189" i="3" s="1"/>
  <c r="W189" i="3"/>
  <c r="CF189" i="3" s="1"/>
  <c r="AR189" i="3"/>
  <c r="DA189" i="3" s="1"/>
  <c r="U189" i="3"/>
  <c r="CD189" i="3" s="1"/>
  <c r="AQ189" i="3"/>
  <c r="CZ189" i="3" s="1"/>
  <c r="O189" i="3"/>
  <c r="BX189" i="3" s="1"/>
  <c r="AO189" i="3"/>
  <c r="CX189" i="3" s="1"/>
  <c r="K189" i="3"/>
  <c r="BT189" i="3" s="1"/>
  <c r="BK189" i="3"/>
  <c r="DT189" i="3" s="1"/>
  <c r="AN189" i="3"/>
  <c r="CW189" i="3" s="1"/>
  <c r="J189" i="3"/>
  <c r="BS189" i="3" s="1"/>
  <c r="BI189" i="3"/>
  <c r="DR189" i="3" s="1"/>
  <c r="AM189" i="3"/>
  <c r="CV189" i="3" s="1"/>
  <c r="I189" i="3"/>
  <c r="BR189" i="3" s="1"/>
  <c r="BG189" i="3"/>
  <c r="DP189" i="3" s="1"/>
  <c r="AD189" i="3"/>
  <c r="CM189" i="3" s="1"/>
  <c r="H189" i="3"/>
  <c r="BQ189" i="3" s="1"/>
  <c r="BC189" i="3"/>
  <c r="DL189" i="3" s="1"/>
  <c r="AB189" i="3"/>
  <c r="CK189" i="3" s="1"/>
  <c r="BB189" i="3"/>
  <c r="DK189" i="3" s="1"/>
  <c r="AC189" i="3"/>
  <c r="CL189" i="3" s="1"/>
  <c r="Z189" i="3"/>
  <c r="CI189" i="3" s="1"/>
  <c r="G189" i="3"/>
  <c r="BP189" i="3" s="1"/>
  <c r="BD189" i="3"/>
  <c r="DM189" i="3" s="1"/>
  <c r="N231" i="2"/>
  <c r="O231" i="2"/>
  <c r="BF305" i="3"/>
  <c r="DO305" i="3" s="1"/>
  <c r="AV305" i="3"/>
  <c r="DE305" i="3" s="1"/>
  <c r="AL305" i="3"/>
  <c r="CU305" i="3" s="1"/>
  <c r="AB305" i="3"/>
  <c r="CK305" i="3" s="1"/>
  <c r="R305" i="3"/>
  <c r="CA305" i="3" s="1"/>
  <c r="H305" i="3"/>
  <c r="BQ305" i="3" s="1"/>
  <c r="BE305" i="3"/>
  <c r="DN305" i="3" s="1"/>
  <c r="AU305" i="3"/>
  <c r="DD305" i="3" s="1"/>
  <c r="AK305" i="3"/>
  <c r="CT305" i="3" s="1"/>
  <c r="AA305" i="3"/>
  <c r="CJ305" i="3" s="1"/>
  <c r="Q305" i="3"/>
  <c r="BZ305" i="3" s="1"/>
  <c r="G305" i="3"/>
  <c r="BP305" i="3" s="1"/>
  <c r="BB305" i="3"/>
  <c r="DK305" i="3" s="1"/>
  <c r="AP305" i="3"/>
  <c r="CY305" i="3" s="1"/>
  <c r="AD305" i="3"/>
  <c r="CM305" i="3" s="1"/>
  <c r="P305" i="3"/>
  <c r="BY305" i="3" s="1"/>
  <c r="BI305" i="3"/>
  <c r="DR305" i="3" s="1"/>
  <c r="AT305" i="3"/>
  <c r="DC305" i="3" s="1"/>
  <c r="AG305" i="3"/>
  <c r="CP305" i="3" s="1"/>
  <c r="T305" i="3"/>
  <c r="CC305" i="3" s="1"/>
  <c r="E305" i="3"/>
  <c r="BN305" i="3" s="1"/>
  <c r="BA305" i="3"/>
  <c r="DJ305" i="3" s="1"/>
  <c r="AN305" i="3"/>
  <c r="CW305" i="3" s="1"/>
  <c r="AZ305" i="3"/>
  <c r="DI305" i="3" s="1"/>
  <c r="AM305" i="3"/>
  <c r="CV305" i="3" s="1"/>
  <c r="AX305" i="3"/>
  <c r="DG305" i="3" s="1"/>
  <c r="AE305" i="3"/>
  <c r="CN305" i="3" s="1"/>
  <c r="N305" i="3"/>
  <c r="BW305" i="3" s="1"/>
  <c r="AW305" i="3"/>
  <c r="DF305" i="3" s="1"/>
  <c r="AC305" i="3"/>
  <c r="CL305" i="3" s="1"/>
  <c r="M305" i="3"/>
  <c r="BV305" i="3" s="1"/>
  <c r="BL305" i="3"/>
  <c r="DU305" i="3" s="1"/>
  <c r="AS305" i="3"/>
  <c r="DB305" i="3" s="1"/>
  <c r="Z305" i="3"/>
  <c r="CI305" i="3" s="1"/>
  <c r="L305" i="3"/>
  <c r="BU305" i="3" s="1"/>
  <c r="BK305" i="3"/>
  <c r="DT305" i="3" s="1"/>
  <c r="AR305" i="3"/>
  <c r="DA305" i="3" s="1"/>
  <c r="Y305" i="3"/>
  <c r="CH305" i="3" s="1"/>
  <c r="K305" i="3"/>
  <c r="BT305" i="3" s="1"/>
  <c r="BJ305" i="3"/>
  <c r="DS305" i="3" s="1"/>
  <c r="AQ305" i="3"/>
  <c r="CZ305" i="3" s="1"/>
  <c r="X305" i="3"/>
  <c r="CG305" i="3" s="1"/>
  <c r="J305" i="3"/>
  <c r="BS305" i="3" s="1"/>
  <c r="BC305" i="3"/>
  <c r="DL305" i="3" s="1"/>
  <c r="AH305" i="3"/>
  <c r="CQ305" i="3" s="1"/>
  <c r="S305" i="3"/>
  <c r="CB305" i="3" s="1"/>
  <c r="AY305" i="3"/>
  <c r="DH305" i="3" s="1"/>
  <c r="AF305" i="3"/>
  <c r="CO305" i="3" s="1"/>
  <c r="O305" i="3"/>
  <c r="BX305" i="3" s="1"/>
  <c r="AI305" i="3"/>
  <c r="CR305" i="3" s="1"/>
  <c r="W305" i="3"/>
  <c r="CF305" i="3" s="1"/>
  <c r="V305" i="3"/>
  <c r="CE305" i="3" s="1"/>
  <c r="AO305" i="3"/>
  <c r="CX305" i="3" s="1"/>
  <c r="BD305" i="3"/>
  <c r="DM305" i="3" s="1"/>
  <c r="BH305" i="3"/>
  <c r="DQ305" i="3" s="1"/>
  <c r="BG305" i="3"/>
  <c r="DP305" i="3" s="1"/>
  <c r="AJ305" i="3"/>
  <c r="CS305" i="3" s="1"/>
  <c r="U305" i="3"/>
  <c r="CD305" i="3" s="1"/>
  <c r="I305" i="3"/>
  <c r="BR305" i="3" s="1"/>
  <c r="F305" i="3"/>
  <c r="BO305" i="3" s="1"/>
  <c r="N347" i="2"/>
  <c r="O347" i="2"/>
  <c r="J85" i="2"/>
  <c r="K85" i="2" s="1"/>
  <c r="L85" i="2" s="1"/>
  <c r="BC116" i="3"/>
  <c r="DL116" i="3" s="1"/>
  <c r="AS116" i="3"/>
  <c r="DB116" i="3" s="1"/>
  <c r="AI116" i="3"/>
  <c r="CR116" i="3" s="1"/>
  <c r="Y116" i="3"/>
  <c r="CH116" i="3" s="1"/>
  <c r="O116" i="3"/>
  <c r="BX116" i="3" s="1"/>
  <c r="E116" i="3"/>
  <c r="BN116" i="3" s="1"/>
  <c r="BE116" i="3"/>
  <c r="DN116" i="3" s="1"/>
  <c r="AU116" i="3"/>
  <c r="DD116" i="3" s="1"/>
  <c r="AK116" i="3"/>
  <c r="CT116" i="3" s="1"/>
  <c r="AA116" i="3"/>
  <c r="CJ116" i="3" s="1"/>
  <c r="Q116" i="3"/>
  <c r="BZ116" i="3" s="1"/>
  <c r="G116" i="3"/>
  <c r="BP116" i="3" s="1"/>
  <c r="BL116" i="3"/>
  <c r="DU116" i="3" s="1"/>
  <c r="AZ116" i="3"/>
  <c r="DI116" i="3" s="1"/>
  <c r="AN116" i="3"/>
  <c r="CW116" i="3" s="1"/>
  <c r="AB116" i="3"/>
  <c r="CK116" i="3" s="1"/>
  <c r="N116" i="3"/>
  <c r="BW116" i="3" s="1"/>
  <c r="BB116" i="3"/>
  <c r="DK116" i="3" s="1"/>
  <c r="AP116" i="3"/>
  <c r="CY116" i="3" s="1"/>
  <c r="AD116" i="3"/>
  <c r="CM116" i="3" s="1"/>
  <c r="R116" i="3"/>
  <c r="CA116" i="3" s="1"/>
  <c r="BA116" i="3"/>
  <c r="DJ116" i="3" s="1"/>
  <c r="AO116" i="3"/>
  <c r="CX116" i="3" s="1"/>
  <c r="AC116" i="3"/>
  <c r="CL116" i="3" s="1"/>
  <c r="P116" i="3"/>
  <c r="BY116" i="3" s="1"/>
  <c r="BD116" i="3"/>
  <c r="DM116" i="3" s="1"/>
  <c r="AJ116" i="3"/>
  <c r="CS116" i="3" s="1"/>
  <c r="T116" i="3"/>
  <c r="CC116" i="3" s="1"/>
  <c r="BF116" i="3"/>
  <c r="DO116" i="3" s="1"/>
  <c r="AH116" i="3"/>
  <c r="CQ116" i="3" s="1"/>
  <c r="M116" i="3"/>
  <c r="BV116" i="3" s="1"/>
  <c r="AY116" i="3"/>
  <c r="DH116" i="3" s="1"/>
  <c r="AG116" i="3"/>
  <c r="CP116" i="3" s="1"/>
  <c r="L116" i="3"/>
  <c r="BU116" i="3" s="1"/>
  <c r="AX116" i="3"/>
  <c r="DG116" i="3" s="1"/>
  <c r="AF116" i="3"/>
  <c r="CO116" i="3" s="1"/>
  <c r="K116" i="3"/>
  <c r="BT116" i="3" s="1"/>
  <c r="AW116" i="3"/>
  <c r="DF116" i="3" s="1"/>
  <c r="AE116" i="3"/>
  <c r="CN116" i="3" s="1"/>
  <c r="J116" i="3"/>
  <c r="BS116" i="3" s="1"/>
  <c r="AV116" i="3"/>
  <c r="DE116" i="3" s="1"/>
  <c r="Z116" i="3"/>
  <c r="CI116" i="3" s="1"/>
  <c r="I116" i="3"/>
  <c r="BR116" i="3" s="1"/>
  <c r="BK116" i="3"/>
  <c r="DT116" i="3" s="1"/>
  <c r="AT116" i="3"/>
  <c r="DC116" i="3" s="1"/>
  <c r="X116" i="3"/>
  <c r="CG116" i="3" s="1"/>
  <c r="H116" i="3"/>
  <c r="BQ116" i="3" s="1"/>
  <c r="BJ116" i="3"/>
  <c r="DS116" i="3" s="1"/>
  <c r="AR116" i="3"/>
  <c r="DA116" i="3" s="1"/>
  <c r="W116" i="3"/>
  <c r="CF116" i="3" s="1"/>
  <c r="F116" i="3"/>
  <c r="BO116" i="3" s="1"/>
  <c r="BI116" i="3"/>
  <c r="DR116" i="3" s="1"/>
  <c r="AQ116" i="3"/>
  <c r="CZ116" i="3" s="1"/>
  <c r="V116" i="3"/>
  <c r="CE116" i="3" s="1"/>
  <c r="BH116" i="3"/>
  <c r="DQ116" i="3" s="1"/>
  <c r="BG116" i="3"/>
  <c r="DP116" i="3" s="1"/>
  <c r="AM116" i="3"/>
  <c r="CV116" i="3" s="1"/>
  <c r="AL116" i="3"/>
  <c r="CU116" i="3" s="1"/>
  <c r="U116" i="3"/>
  <c r="CD116" i="3" s="1"/>
  <c r="S116" i="3"/>
  <c r="CB116" i="3" s="1"/>
  <c r="J185" i="2"/>
  <c r="K185" i="2" s="1"/>
  <c r="L185" i="2" s="1"/>
  <c r="BE227" i="3"/>
  <c r="DN227" i="3" s="1"/>
  <c r="AU227" i="3"/>
  <c r="DD227" i="3" s="1"/>
  <c r="AK227" i="3"/>
  <c r="CT227" i="3" s="1"/>
  <c r="AA227" i="3"/>
  <c r="CJ227" i="3" s="1"/>
  <c r="Q227" i="3"/>
  <c r="BZ227" i="3" s="1"/>
  <c r="G227" i="3"/>
  <c r="BP227" i="3" s="1"/>
  <c r="BD227" i="3"/>
  <c r="DM227" i="3" s="1"/>
  <c r="AT227" i="3"/>
  <c r="DC227" i="3" s="1"/>
  <c r="AJ227" i="3"/>
  <c r="CS227" i="3" s="1"/>
  <c r="Z227" i="3"/>
  <c r="CI227" i="3" s="1"/>
  <c r="P227" i="3"/>
  <c r="BY227" i="3" s="1"/>
  <c r="F227" i="3"/>
  <c r="BO227" i="3" s="1"/>
  <c r="BG227" i="3"/>
  <c r="DP227" i="3" s="1"/>
  <c r="AW227" i="3"/>
  <c r="DF227" i="3" s="1"/>
  <c r="BA227" i="3"/>
  <c r="DJ227" i="3" s="1"/>
  <c r="AN227" i="3"/>
  <c r="CW227" i="3" s="1"/>
  <c r="AB227" i="3"/>
  <c r="CK227" i="3" s="1"/>
  <c r="N227" i="3"/>
  <c r="BW227" i="3" s="1"/>
  <c r="AZ227" i="3"/>
  <c r="DI227" i="3" s="1"/>
  <c r="AM227" i="3"/>
  <c r="CV227" i="3" s="1"/>
  <c r="Y227" i="3"/>
  <c r="CH227" i="3" s="1"/>
  <c r="M227" i="3"/>
  <c r="BV227" i="3" s="1"/>
  <c r="BC227" i="3"/>
  <c r="DL227" i="3" s="1"/>
  <c r="AP227" i="3"/>
  <c r="CY227" i="3" s="1"/>
  <c r="AD227" i="3"/>
  <c r="CM227" i="3" s="1"/>
  <c r="R227" i="3"/>
  <c r="CA227" i="3" s="1"/>
  <c r="BJ227" i="3"/>
  <c r="DS227" i="3" s="1"/>
  <c r="AQ227" i="3"/>
  <c r="CZ227" i="3" s="1"/>
  <c r="W227" i="3"/>
  <c r="CF227" i="3" s="1"/>
  <c r="H227" i="3"/>
  <c r="BQ227" i="3" s="1"/>
  <c r="BB227" i="3"/>
  <c r="DK227" i="3" s="1"/>
  <c r="AG227" i="3"/>
  <c r="CP227" i="3" s="1"/>
  <c r="L227" i="3"/>
  <c r="BU227" i="3" s="1"/>
  <c r="AY227" i="3"/>
  <c r="DH227" i="3" s="1"/>
  <c r="AF227" i="3"/>
  <c r="CO227" i="3" s="1"/>
  <c r="K227" i="3"/>
  <c r="BT227" i="3" s="1"/>
  <c r="AX227" i="3"/>
  <c r="DG227" i="3" s="1"/>
  <c r="AE227" i="3"/>
  <c r="CN227" i="3" s="1"/>
  <c r="J227" i="3"/>
  <c r="BS227" i="3" s="1"/>
  <c r="AV227" i="3"/>
  <c r="DE227" i="3" s="1"/>
  <c r="AC227" i="3"/>
  <c r="CL227" i="3" s="1"/>
  <c r="I227" i="3"/>
  <c r="BR227" i="3" s="1"/>
  <c r="AS227" i="3"/>
  <c r="DB227" i="3" s="1"/>
  <c r="X227" i="3"/>
  <c r="CG227" i="3" s="1"/>
  <c r="E227" i="3"/>
  <c r="BN227" i="3" s="1"/>
  <c r="BL227" i="3"/>
  <c r="DU227" i="3" s="1"/>
  <c r="AR227" i="3"/>
  <c r="DA227" i="3" s="1"/>
  <c r="V227" i="3"/>
  <c r="CE227" i="3" s="1"/>
  <c r="BK227" i="3"/>
  <c r="DT227" i="3" s="1"/>
  <c r="AO227" i="3"/>
  <c r="CX227" i="3" s="1"/>
  <c r="U227" i="3"/>
  <c r="CD227" i="3" s="1"/>
  <c r="BI227" i="3"/>
  <c r="DR227" i="3" s="1"/>
  <c r="AL227" i="3"/>
  <c r="CU227" i="3" s="1"/>
  <c r="T227" i="3"/>
  <c r="CC227" i="3" s="1"/>
  <c r="BH227" i="3"/>
  <c r="DQ227" i="3" s="1"/>
  <c r="AI227" i="3"/>
  <c r="CR227" i="3" s="1"/>
  <c r="S227" i="3"/>
  <c r="CB227" i="3" s="1"/>
  <c r="BF227" i="3"/>
  <c r="DO227" i="3" s="1"/>
  <c r="AH227" i="3"/>
  <c r="CQ227" i="3" s="1"/>
  <c r="O227" i="3"/>
  <c r="BX227" i="3" s="1"/>
  <c r="BC133" i="3"/>
  <c r="DL133" i="3" s="1"/>
  <c r="AS133" i="3"/>
  <c r="DB133" i="3" s="1"/>
  <c r="AI133" i="3"/>
  <c r="CR133" i="3" s="1"/>
  <c r="Y133" i="3"/>
  <c r="CH133" i="3" s="1"/>
  <c r="O133" i="3"/>
  <c r="BX133" i="3" s="1"/>
  <c r="E133" i="3"/>
  <c r="BN133" i="3" s="1"/>
  <c r="BL133" i="3"/>
  <c r="DU133" i="3" s="1"/>
  <c r="BB133" i="3"/>
  <c r="DK133" i="3" s="1"/>
  <c r="AR133" i="3"/>
  <c r="DA133" i="3" s="1"/>
  <c r="AH133" i="3"/>
  <c r="CQ133" i="3" s="1"/>
  <c r="X133" i="3"/>
  <c r="CG133" i="3" s="1"/>
  <c r="N133" i="3"/>
  <c r="BW133" i="3" s="1"/>
  <c r="BE133" i="3"/>
  <c r="DN133" i="3" s="1"/>
  <c r="AU133" i="3"/>
  <c r="DD133" i="3" s="1"/>
  <c r="AK133" i="3"/>
  <c r="CT133" i="3" s="1"/>
  <c r="AA133" i="3"/>
  <c r="CJ133" i="3" s="1"/>
  <c r="Q133" i="3"/>
  <c r="BZ133" i="3" s="1"/>
  <c r="G133" i="3"/>
  <c r="BP133" i="3" s="1"/>
  <c r="BK133" i="3"/>
  <c r="DT133" i="3" s="1"/>
  <c r="AX133" i="3"/>
  <c r="DG133" i="3" s="1"/>
  <c r="AJ133" i="3"/>
  <c r="CS133" i="3" s="1"/>
  <c r="U133" i="3"/>
  <c r="CD133" i="3" s="1"/>
  <c r="H133" i="3"/>
  <c r="BQ133" i="3" s="1"/>
  <c r="AZ133" i="3"/>
  <c r="DI133" i="3" s="1"/>
  <c r="AM133" i="3"/>
  <c r="CV133" i="3" s="1"/>
  <c r="W133" i="3"/>
  <c r="CF133" i="3" s="1"/>
  <c r="J133" i="3"/>
  <c r="BS133" i="3" s="1"/>
  <c r="BH133" i="3"/>
  <c r="DQ133" i="3" s="1"/>
  <c r="AP133" i="3"/>
  <c r="CY133" i="3" s="1"/>
  <c r="Z133" i="3"/>
  <c r="CI133" i="3" s="1"/>
  <c r="F133" i="3"/>
  <c r="BO133" i="3" s="1"/>
  <c r="BG133" i="3"/>
  <c r="DP133" i="3" s="1"/>
  <c r="AO133" i="3"/>
  <c r="CX133" i="3" s="1"/>
  <c r="V133" i="3"/>
  <c r="CE133" i="3" s="1"/>
  <c r="BJ133" i="3"/>
  <c r="DS133" i="3" s="1"/>
  <c r="AT133" i="3"/>
  <c r="DC133" i="3" s="1"/>
  <c r="AC133" i="3"/>
  <c r="CL133" i="3" s="1"/>
  <c r="K133" i="3"/>
  <c r="BT133" i="3" s="1"/>
  <c r="BI133" i="3"/>
  <c r="DR133" i="3" s="1"/>
  <c r="AQ133" i="3"/>
  <c r="CZ133" i="3" s="1"/>
  <c r="AB133" i="3"/>
  <c r="CK133" i="3" s="1"/>
  <c r="I133" i="3"/>
  <c r="BR133" i="3" s="1"/>
  <c r="AF133" i="3"/>
  <c r="CO133" i="3" s="1"/>
  <c r="AV133" i="3"/>
  <c r="DE133" i="3" s="1"/>
  <c r="P133" i="3"/>
  <c r="BY133" i="3" s="1"/>
  <c r="AN133" i="3"/>
  <c r="CW133" i="3" s="1"/>
  <c r="M133" i="3"/>
  <c r="BV133" i="3" s="1"/>
  <c r="AL133" i="3"/>
  <c r="CU133" i="3" s="1"/>
  <c r="L133" i="3"/>
  <c r="BU133" i="3" s="1"/>
  <c r="AD133" i="3"/>
  <c r="CM133" i="3" s="1"/>
  <c r="T133" i="3"/>
  <c r="CC133" i="3" s="1"/>
  <c r="S133" i="3"/>
  <c r="CB133" i="3" s="1"/>
  <c r="BF133" i="3"/>
  <c r="DO133" i="3" s="1"/>
  <c r="R133" i="3"/>
  <c r="CA133" i="3" s="1"/>
  <c r="BD133" i="3"/>
  <c r="DM133" i="3" s="1"/>
  <c r="BA133" i="3"/>
  <c r="DJ133" i="3" s="1"/>
  <c r="AY133" i="3"/>
  <c r="DH133" i="3" s="1"/>
  <c r="AW133" i="3"/>
  <c r="DF133" i="3" s="1"/>
  <c r="AG133" i="3"/>
  <c r="CP133" i="3" s="1"/>
  <c r="AE133" i="3"/>
  <c r="CN133" i="3" s="1"/>
  <c r="N147" i="2"/>
  <c r="O147" i="2"/>
  <c r="N241" i="2"/>
  <c r="O241" i="2"/>
  <c r="K355" i="2"/>
  <c r="L355" i="2" s="1"/>
  <c r="BJ262" i="3"/>
  <c r="DS262" i="3" s="1"/>
  <c r="AZ262" i="3"/>
  <c r="DI262" i="3" s="1"/>
  <c r="AP262" i="3"/>
  <c r="CY262" i="3" s="1"/>
  <c r="AF262" i="3"/>
  <c r="CO262" i="3" s="1"/>
  <c r="V262" i="3"/>
  <c r="CE262" i="3" s="1"/>
  <c r="L262" i="3"/>
  <c r="BU262" i="3" s="1"/>
  <c r="BI262" i="3"/>
  <c r="DR262" i="3" s="1"/>
  <c r="AY262" i="3"/>
  <c r="DH262" i="3" s="1"/>
  <c r="AO262" i="3"/>
  <c r="CX262" i="3" s="1"/>
  <c r="AE262" i="3"/>
  <c r="CN262" i="3" s="1"/>
  <c r="U262" i="3"/>
  <c r="CD262" i="3" s="1"/>
  <c r="K262" i="3"/>
  <c r="BT262" i="3" s="1"/>
  <c r="BL262" i="3"/>
  <c r="DU262" i="3" s="1"/>
  <c r="BB262" i="3"/>
  <c r="DK262" i="3" s="1"/>
  <c r="AR262" i="3"/>
  <c r="DA262" i="3" s="1"/>
  <c r="AH262" i="3"/>
  <c r="CQ262" i="3" s="1"/>
  <c r="X262" i="3"/>
  <c r="CG262" i="3" s="1"/>
  <c r="N262" i="3"/>
  <c r="BW262" i="3" s="1"/>
  <c r="AW262" i="3"/>
  <c r="DF262" i="3" s="1"/>
  <c r="AJ262" i="3"/>
  <c r="CS262" i="3" s="1"/>
  <c r="T262" i="3"/>
  <c r="CC262" i="3" s="1"/>
  <c r="G262" i="3"/>
  <c r="BP262" i="3" s="1"/>
  <c r="BK262" i="3"/>
  <c r="DT262" i="3" s="1"/>
  <c r="AV262" i="3"/>
  <c r="DE262" i="3" s="1"/>
  <c r="AI262" i="3"/>
  <c r="CR262" i="3" s="1"/>
  <c r="S262" i="3"/>
  <c r="CB262" i="3" s="1"/>
  <c r="F262" i="3"/>
  <c r="BO262" i="3" s="1"/>
  <c r="BH262" i="3"/>
  <c r="DQ262" i="3" s="1"/>
  <c r="AU262" i="3"/>
  <c r="DD262" i="3" s="1"/>
  <c r="AG262" i="3"/>
  <c r="CP262" i="3" s="1"/>
  <c r="R262" i="3"/>
  <c r="CA262" i="3" s="1"/>
  <c r="E262" i="3"/>
  <c r="BN262" i="3" s="1"/>
  <c r="AX262" i="3"/>
  <c r="DG262" i="3" s="1"/>
  <c r="AK262" i="3"/>
  <c r="CT262" i="3" s="1"/>
  <c r="W262" i="3"/>
  <c r="CF262" i="3" s="1"/>
  <c r="H262" i="3"/>
  <c r="BQ262" i="3" s="1"/>
  <c r="AS262" i="3"/>
  <c r="DB262" i="3" s="1"/>
  <c r="Y262" i="3"/>
  <c r="CH262" i="3" s="1"/>
  <c r="AQ262" i="3"/>
  <c r="CZ262" i="3" s="1"/>
  <c r="Q262" i="3"/>
  <c r="BZ262" i="3" s="1"/>
  <c r="AN262" i="3"/>
  <c r="CW262" i="3" s="1"/>
  <c r="P262" i="3"/>
  <c r="BY262" i="3" s="1"/>
  <c r="BG262" i="3"/>
  <c r="DP262" i="3" s="1"/>
  <c r="AM262" i="3"/>
  <c r="CV262" i="3" s="1"/>
  <c r="O262" i="3"/>
  <c r="BX262" i="3" s="1"/>
  <c r="BF262" i="3"/>
  <c r="DO262" i="3" s="1"/>
  <c r="AL262" i="3"/>
  <c r="CU262" i="3" s="1"/>
  <c r="M262" i="3"/>
  <c r="BV262" i="3" s="1"/>
  <c r="BE262" i="3"/>
  <c r="DN262" i="3" s="1"/>
  <c r="AD262" i="3"/>
  <c r="CM262" i="3" s="1"/>
  <c r="J262" i="3"/>
  <c r="BS262" i="3" s="1"/>
  <c r="BA262" i="3"/>
  <c r="DJ262" i="3" s="1"/>
  <c r="AA262" i="3"/>
  <c r="CJ262" i="3" s="1"/>
  <c r="BD262" i="3"/>
  <c r="DM262" i="3" s="1"/>
  <c r="BC262" i="3"/>
  <c r="DL262" i="3" s="1"/>
  <c r="AT262" i="3"/>
  <c r="DC262" i="3" s="1"/>
  <c r="AC262" i="3"/>
  <c r="CL262" i="3" s="1"/>
  <c r="Z262" i="3"/>
  <c r="CI262" i="3" s="1"/>
  <c r="I262" i="3"/>
  <c r="BR262" i="3" s="1"/>
  <c r="AB262" i="3"/>
  <c r="CK262" i="3" s="1"/>
  <c r="BF312" i="3"/>
  <c r="DO312" i="3" s="1"/>
  <c r="AV312" i="3"/>
  <c r="DE312" i="3" s="1"/>
  <c r="AL312" i="3"/>
  <c r="CU312" i="3" s="1"/>
  <c r="AB312" i="3"/>
  <c r="CK312" i="3" s="1"/>
  <c r="R312" i="3"/>
  <c r="CA312" i="3" s="1"/>
  <c r="H312" i="3"/>
  <c r="BQ312" i="3" s="1"/>
  <c r="BG312" i="3"/>
  <c r="DP312" i="3" s="1"/>
  <c r="AU312" i="3"/>
  <c r="DD312" i="3" s="1"/>
  <c r="AJ312" i="3"/>
  <c r="CS312" i="3" s="1"/>
  <c r="Y312" i="3"/>
  <c r="CH312" i="3" s="1"/>
  <c r="N312" i="3"/>
  <c r="BW312" i="3" s="1"/>
  <c r="BE312" i="3"/>
  <c r="DN312" i="3" s="1"/>
  <c r="AT312" i="3"/>
  <c r="DC312" i="3" s="1"/>
  <c r="AI312" i="3"/>
  <c r="CR312" i="3" s="1"/>
  <c r="X312" i="3"/>
  <c r="CG312" i="3" s="1"/>
  <c r="M312" i="3"/>
  <c r="BV312" i="3" s="1"/>
  <c r="AZ312" i="3"/>
  <c r="DI312" i="3" s="1"/>
  <c r="AM312" i="3"/>
  <c r="CV312" i="3" s="1"/>
  <c r="W312" i="3"/>
  <c r="CF312" i="3" s="1"/>
  <c r="J312" i="3"/>
  <c r="BS312" i="3" s="1"/>
  <c r="BK312" i="3"/>
  <c r="DT312" i="3" s="1"/>
  <c r="AX312" i="3"/>
  <c r="DG312" i="3" s="1"/>
  <c r="AH312" i="3"/>
  <c r="CQ312" i="3" s="1"/>
  <c r="U312" i="3"/>
  <c r="CD312" i="3" s="1"/>
  <c r="G312" i="3"/>
  <c r="BP312" i="3" s="1"/>
  <c r="BC312" i="3"/>
  <c r="DL312" i="3" s="1"/>
  <c r="AP312" i="3"/>
  <c r="CY312" i="3" s="1"/>
  <c r="AC312" i="3"/>
  <c r="CL312" i="3" s="1"/>
  <c r="O312" i="3"/>
  <c r="BX312" i="3" s="1"/>
  <c r="BB312" i="3"/>
  <c r="DK312" i="3" s="1"/>
  <c r="AG312" i="3"/>
  <c r="CP312" i="3" s="1"/>
  <c r="P312" i="3"/>
  <c r="BY312" i="3" s="1"/>
  <c r="BA312" i="3"/>
  <c r="DJ312" i="3" s="1"/>
  <c r="AF312" i="3"/>
  <c r="CO312" i="3" s="1"/>
  <c r="L312" i="3"/>
  <c r="BU312" i="3" s="1"/>
  <c r="AY312" i="3"/>
  <c r="DH312" i="3" s="1"/>
  <c r="AE312" i="3"/>
  <c r="CN312" i="3" s="1"/>
  <c r="K312" i="3"/>
  <c r="BT312" i="3" s="1"/>
  <c r="AW312" i="3"/>
  <c r="DF312" i="3" s="1"/>
  <c r="AD312" i="3"/>
  <c r="CM312" i="3" s="1"/>
  <c r="I312" i="3"/>
  <c r="BR312" i="3" s="1"/>
  <c r="AS312" i="3"/>
  <c r="DB312" i="3" s="1"/>
  <c r="AA312" i="3"/>
  <c r="CJ312" i="3" s="1"/>
  <c r="F312" i="3"/>
  <c r="BO312" i="3" s="1"/>
  <c r="BL312" i="3"/>
  <c r="DU312" i="3" s="1"/>
  <c r="AR312" i="3"/>
  <c r="DA312" i="3" s="1"/>
  <c r="Z312" i="3"/>
  <c r="CI312" i="3" s="1"/>
  <c r="E312" i="3"/>
  <c r="BN312" i="3" s="1"/>
  <c r="BJ312" i="3"/>
  <c r="DS312" i="3" s="1"/>
  <c r="AQ312" i="3"/>
  <c r="CZ312" i="3" s="1"/>
  <c r="V312" i="3"/>
  <c r="CE312" i="3" s="1"/>
  <c r="T312" i="3"/>
  <c r="CC312" i="3" s="1"/>
  <c r="S312" i="3"/>
  <c r="CB312" i="3" s="1"/>
  <c r="Q312" i="3"/>
  <c r="BZ312" i="3" s="1"/>
  <c r="BI312" i="3"/>
  <c r="DR312" i="3" s="1"/>
  <c r="AN312" i="3"/>
  <c r="CW312" i="3" s="1"/>
  <c r="AK312" i="3"/>
  <c r="CT312" i="3" s="1"/>
  <c r="BH312" i="3"/>
  <c r="DQ312" i="3" s="1"/>
  <c r="BD312" i="3"/>
  <c r="DM312" i="3" s="1"/>
  <c r="AO312" i="3"/>
  <c r="CX312" i="3" s="1"/>
  <c r="J249" i="2"/>
  <c r="K249" i="2" s="1"/>
  <c r="L249" i="2" s="1"/>
  <c r="J349" i="2"/>
  <c r="K349" i="2" s="1"/>
  <c r="L349" i="2" s="1"/>
  <c r="BC274" i="3"/>
  <c r="DL274" i="3" s="1"/>
  <c r="AS274" i="3"/>
  <c r="DB274" i="3" s="1"/>
  <c r="AI274" i="3"/>
  <c r="CR274" i="3" s="1"/>
  <c r="Y274" i="3"/>
  <c r="CH274" i="3" s="1"/>
  <c r="O274" i="3"/>
  <c r="BX274" i="3" s="1"/>
  <c r="E274" i="3"/>
  <c r="BN274" i="3" s="1"/>
  <c r="BL274" i="3"/>
  <c r="DU274" i="3" s="1"/>
  <c r="BB274" i="3"/>
  <c r="DK274" i="3" s="1"/>
  <c r="AR274" i="3"/>
  <c r="DA274" i="3" s="1"/>
  <c r="AH274" i="3"/>
  <c r="CQ274" i="3" s="1"/>
  <c r="X274" i="3"/>
  <c r="CG274" i="3" s="1"/>
  <c r="N274" i="3"/>
  <c r="BW274" i="3" s="1"/>
  <c r="BE274" i="3"/>
  <c r="DN274" i="3" s="1"/>
  <c r="AU274" i="3"/>
  <c r="DD274" i="3" s="1"/>
  <c r="AK274" i="3"/>
  <c r="CT274" i="3" s="1"/>
  <c r="AA274" i="3"/>
  <c r="CJ274" i="3" s="1"/>
  <c r="Q274" i="3"/>
  <c r="BZ274" i="3" s="1"/>
  <c r="G274" i="3"/>
  <c r="BP274" i="3" s="1"/>
  <c r="BD274" i="3"/>
  <c r="DM274" i="3" s="1"/>
  <c r="AO274" i="3"/>
  <c r="CX274" i="3" s="1"/>
  <c r="AB274" i="3"/>
  <c r="CK274" i="3" s="1"/>
  <c r="L274" i="3"/>
  <c r="BU274" i="3" s="1"/>
  <c r="BA274" i="3"/>
  <c r="DJ274" i="3" s="1"/>
  <c r="AM274" i="3"/>
  <c r="CV274" i="3" s="1"/>
  <c r="V274" i="3"/>
  <c r="CE274" i="3" s="1"/>
  <c r="H274" i="3"/>
  <c r="BQ274" i="3" s="1"/>
  <c r="AZ274" i="3"/>
  <c r="DI274" i="3" s="1"/>
  <c r="AL274" i="3"/>
  <c r="CU274" i="3" s="1"/>
  <c r="U274" i="3"/>
  <c r="CD274" i="3" s="1"/>
  <c r="F274" i="3"/>
  <c r="BO274" i="3" s="1"/>
  <c r="AY274" i="3"/>
  <c r="DH274" i="3" s="1"/>
  <c r="AJ274" i="3"/>
  <c r="CS274" i="3" s="1"/>
  <c r="T274" i="3"/>
  <c r="CC274" i="3" s="1"/>
  <c r="AX274" i="3"/>
  <c r="DG274" i="3" s="1"/>
  <c r="AG274" i="3"/>
  <c r="CP274" i="3" s="1"/>
  <c r="S274" i="3"/>
  <c r="CB274" i="3" s="1"/>
  <c r="BK274" i="3"/>
  <c r="DT274" i="3" s="1"/>
  <c r="AW274" i="3"/>
  <c r="DF274" i="3" s="1"/>
  <c r="AF274" i="3"/>
  <c r="CO274" i="3" s="1"/>
  <c r="R274" i="3"/>
  <c r="CA274" i="3" s="1"/>
  <c r="BJ274" i="3"/>
  <c r="DS274" i="3" s="1"/>
  <c r="AV274" i="3"/>
  <c r="DE274" i="3" s="1"/>
  <c r="AE274" i="3"/>
  <c r="CN274" i="3" s="1"/>
  <c r="BI274" i="3"/>
  <c r="DR274" i="3" s="1"/>
  <c r="BG274" i="3"/>
  <c r="DP274" i="3" s="1"/>
  <c r="AP274" i="3"/>
  <c r="CY274" i="3" s="1"/>
  <c r="Z274" i="3"/>
  <c r="CI274" i="3" s="1"/>
  <c r="J274" i="3"/>
  <c r="BS274" i="3" s="1"/>
  <c r="W274" i="3"/>
  <c r="CF274" i="3" s="1"/>
  <c r="P274" i="3"/>
  <c r="BY274" i="3" s="1"/>
  <c r="M274" i="3"/>
  <c r="BV274" i="3" s="1"/>
  <c r="BH274" i="3"/>
  <c r="DQ274" i="3" s="1"/>
  <c r="K274" i="3"/>
  <c r="BT274" i="3" s="1"/>
  <c r="AC274" i="3"/>
  <c r="CL274" i="3" s="1"/>
  <c r="BF274" i="3"/>
  <c r="DO274" i="3" s="1"/>
  <c r="AT274" i="3"/>
  <c r="DC274" i="3" s="1"/>
  <c r="AQ274" i="3"/>
  <c r="CZ274" i="3" s="1"/>
  <c r="AN274" i="3"/>
  <c r="CW274" i="3" s="1"/>
  <c r="AD274" i="3"/>
  <c r="CM274" i="3" s="1"/>
  <c r="I274" i="3"/>
  <c r="BR274" i="3" s="1"/>
  <c r="K309" i="2"/>
  <c r="L309" i="2" s="1"/>
  <c r="BI286" i="3"/>
  <c r="DR286" i="3" s="1"/>
  <c r="AY286" i="3"/>
  <c r="DH286" i="3" s="1"/>
  <c r="BF286" i="3"/>
  <c r="DO286" i="3" s="1"/>
  <c r="AU286" i="3"/>
  <c r="DD286" i="3" s="1"/>
  <c r="AK286" i="3"/>
  <c r="CT286" i="3" s="1"/>
  <c r="AA286" i="3"/>
  <c r="CJ286" i="3" s="1"/>
  <c r="Q286" i="3"/>
  <c r="BZ286" i="3" s="1"/>
  <c r="G286" i="3"/>
  <c r="BP286" i="3" s="1"/>
  <c r="BE286" i="3"/>
  <c r="DN286" i="3" s="1"/>
  <c r="AT286" i="3"/>
  <c r="DC286" i="3" s="1"/>
  <c r="AJ286" i="3"/>
  <c r="CS286" i="3" s="1"/>
  <c r="Z286" i="3"/>
  <c r="CI286" i="3" s="1"/>
  <c r="P286" i="3"/>
  <c r="BY286" i="3" s="1"/>
  <c r="F286" i="3"/>
  <c r="BO286" i="3" s="1"/>
  <c r="BH286" i="3"/>
  <c r="DQ286" i="3" s="1"/>
  <c r="AW286" i="3"/>
  <c r="DF286" i="3" s="1"/>
  <c r="AM286" i="3"/>
  <c r="CV286" i="3" s="1"/>
  <c r="AC286" i="3"/>
  <c r="CL286" i="3" s="1"/>
  <c r="S286" i="3"/>
  <c r="CB286" i="3" s="1"/>
  <c r="I286" i="3"/>
  <c r="BR286" i="3" s="1"/>
  <c r="BB286" i="3"/>
  <c r="DK286" i="3" s="1"/>
  <c r="AN286" i="3"/>
  <c r="CW286" i="3" s="1"/>
  <c r="X286" i="3"/>
  <c r="CG286" i="3" s="1"/>
  <c r="K286" i="3"/>
  <c r="BT286" i="3" s="1"/>
  <c r="BG286" i="3"/>
  <c r="DP286" i="3" s="1"/>
  <c r="AQ286" i="3"/>
  <c r="CZ286" i="3" s="1"/>
  <c r="AD286" i="3"/>
  <c r="CM286" i="3" s="1"/>
  <c r="N286" i="3"/>
  <c r="BW286" i="3" s="1"/>
  <c r="BD286" i="3"/>
  <c r="DM286" i="3" s="1"/>
  <c r="AP286" i="3"/>
  <c r="CY286" i="3" s="1"/>
  <c r="AB286" i="3"/>
  <c r="CK286" i="3" s="1"/>
  <c r="M286" i="3"/>
  <c r="BV286" i="3" s="1"/>
  <c r="AR286" i="3"/>
  <c r="DA286" i="3" s="1"/>
  <c r="V286" i="3"/>
  <c r="CE286" i="3" s="1"/>
  <c r="BL286" i="3"/>
  <c r="DU286" i="3" s="1"/>
  <c r="AO286" i="3"/>
  <c r="CX286" i="3" s="1"/>
  <c r="U286" i="3"/>
  <c r="CD286" i="3" s="1"/>
  <c r="BK286" i="3"/>
  <c r="DT286" i="3" s="1"/>
  <c r="AL286" i="3"/>
  <c r="CU286" i="3" s="1"/>
  <c r="T286" i="3"/>
  <c r="CC286" i="3" s="1"/>
  <c r="BJ286" i="3"/>
  <c r="DS286" i="3" s="1"/>
  <c r="AI286" i="3"/>
  <c r="CR286" i="3" s="1"/>
  <c r="R286" i="3"/>
  <c r="CA286" i="3" s="1"/>
  <c r="BC286" i="3"/>
  <c r="DL286" i="3" s="1"/>
  <c r="AH286" i="3"/>
  <c r="CQ286" i="3" s="1"/>
  <c r="O286" i="3"/>
  <c r="BX286" i="3" s="1"/>
  <c r="BA286" i="3"/>
  <c r="DJ286" i="3" s="1"/>
  <c r="AG286" i="3"/>
  <c r="CP286" i="3" s="1"/>
  <c r="L286" i="3"/>
  <c r="BU286" i="3" s="1"/>
  <c r="AZ286" i="3"/>
  <c r="DI286" i="3" s="1"/>
  <c r="AF286" i="3"/>
  <c r="CO286" i="3" s="1"/>
  <c r="J286" i="3"/>
  <c r="BS286" i="3" s="1"/>
  <c r="AX286" i="3"/>
  <c r="DG286" i="3" s="1"/>
  <c r="AE286" i="3"/>
  <c r="CN286" i="3" s="1"/>
  <c r="H286" i="3"/>
  <c r="BQ286" i="3" s="1"/>
  <c r="AV286" i="3"/>
  <c r="DE286" i="3" s="1"/>
  <c r="Y286" i="3"/>
  <c r="CH286" i="3" s="1"/>
  <c r="E286" i="3"/>
  <c r="BN286" i="3" s="1"/>
  <c r="AS286" i="3"/>
  <c r="DB286" i="3" s="1"/>
  <c r="W286" i="3"/>
  <c r="CF286" i="3" s="1"/>
  <c r="J357" i="2"/>
  <c r="K357" i="2" s="1"/>
  <c r="L357" i="2" s="1"/>
  <c r="F212" i="4"/>
  <c r="D212" i="4"/>
  <c r="E212" i="4" s="1"/>
  <c r="F189" i="4"/>
  <c r="D189" i="4"/>
  <c r="E189" i="4" s="1"/>
  <c r="F125" i="4"/>
  <c r="D125" i="4"/>
  <c r="E125" i="4" s="1"/>
  <c r="D85" i="4"/>
  <c r="E85" i="4" s="1"/>
  <c r="F85" i="4"/>
  <c r="F72" i="4"/>
  <c r="D72" i="4"/>
  <c r="E72" i="4" s="1"/>
  <c r="F24" i="4"/>
  <c r="D24" i="4"/>
  <c r="E24" i="4" s="1"/>
  <c r="F111" i="4"/>
  <c r="D111" i="4"/>
  <c r="E111" i="4" s="1"/>
  <c r="D83" i="4"/>
  <c r="E83" i="4" s="1"/>
  <c r="F83" i="4"/>
  <c r="D95" i="4"/>
  <c r="E95" i="4" s="1"/>
  <c r="F95" i="4"/>
  <c r="F57" i="4"/>
  <c r="D57" i="4"/>
  <c r="E57" i="4" s="1"/>
  <c r="D96" i="4"/>
  <c r="E96" i="4" s="1"/>
  <c r="F96" i="4"/>
  <c r="F227" i="4"/>
  <c r="D227" i="4"/>
  <c r="E227" i="4" s="1"/>
  <c r="F59" i="4"/>
  <c r="D59" i="4"/>
  <c r="E59" i="4" s="1"/>
  <c r="F207" i="4"/>
  <c r="D207" i="4"/>
  <c r="E207" i="4" s="1"/>
  <c r="F114" i="4"/>
  <c r="D114" i="4"/>
  <c r="E114" i="4" s="1"/>
  <c r="F206" i="4"/>
  <c r="D206" i="4"/>
  <c r="E206" i="4" s="1"/>
  <c r="F141" i="4"/>
  <c r="D141" i="4"/>
  <c r="E141" i="4" s="1"/>
  <c r="F253" i="4"/>
  <c r="D253" i="4"/>
  <c r="E253" i="4" s="1"/>
  <c r="F254" i="4"/>
  <c r="D254" i="4"/>
  <c r="E254" i="4" s="1"/>
  <c r="D65" i="4"/>
  <c r="E65" i="4" s="1"/>
  <c r="F65" i="4"/>
  <c r="F187" i="4"/>
  <c r="D187" i="4"/>
  <c r="E187" i="4" s="1"/>
  <c r="D124" i="4"/>
  <c r="E124" i="4" s="1"/>
  <c r="F124" i="4"/>
  <c r="F218" i="4"/>
  <c r="D218" i="4"/>
  <c r="E218" i="4" s="1"/>
  <c r="F153" i="4"/>
  <c r="D153" i="4"/>
  <c r="E153" i="4" s="1"/>
  <c r="F244" i="4"/>
  <c r="D244" i="4"/>
  <c r="E244" i="4" s="1"/>
  <c r="N95" i="2"/>
  <c r="O95" i="2"/>
  <c r="BJ19" i="3"/>
  <c r="DS19" i="3" s="1"/>
  <c r="AZ19" i="3"/>
  <c r="DI19" i="3" s="1"/>
  <c r="AP19" i="3"/>
  <c r="CY19" i="3" s="1"/>
  <c r="AF19" i="3"/>
  <c r="CO19" i="3" s="1"/>
  <c r="V19" i="3"/>
  <c r="CE19" i="3" s="1"/>
  <c r="L19" i="3"/>
  <c r="BU19" i="3" s="1"/>
  <c r="BI19" i="3"/>
  <c r="DR19" i="3" s="1"/>
  <c r="AY19" i="3"/>
  <c r="DH19" i="3" s="1"/>
  <c r="AO19" i="3"/>
  <c r="CX19" i="3" s="1"/>
  <c r="AE19" i="3"/>
  <c r="CN19" i="3" s="1"/>
  <c r="U19" i="3"/>
  <c r="CD19" i="3" s="1"/>
  <c r="K19" i="3"/>
  <c r="BT19" i="3" s="1"/>
  <c r="BL19" i="3"/>
  <c r="DU19" i="3" s="1"/>
  <c r="AX19" i="3"/>
  <c r="DG19" i="3" s="1"/>
  <c r="AL19" i="3"/>
  <c r="CU19" i="3" s="1"/>
  <c r="Z19" i="3"/>
  <c r="CI19" i="3" s="1"/>
  <c r="N19" i="3"/>
  <c r="BW19" i="3" s="1"/>
  <c r="BK19" i="3"/>
  <c r="DT19" i="3" s="1"/>
  <c r="AW19" i="3"/>
  <c r="DF19" i="3" s="1"/>
  <c r="AK19" i="3"/>
  <c r="CT19" i="3" s="1"/>
  <c r="Y19" i="3"/>
  <c r="CH19" i="3" s="1"/>
  <c r="M19" i="3"/>
  <c r="BV19" i="3" s="1"/>
  <c r="BH19" i="3"/>
  <c r="DQ19" i="3" s="1"/>
  <c r="AV19" i="3"/>
  <c r="DE19" i="3" s="1"/>
  <c r="AJ19" i="3"/>
  <c r="CS19" i="3" s="1"/>
  <c r="X19" i="3"/>
  <c r="CG19" i="3" s="1"/>
  <c r="J19" i="3"/>
  <c r="BS19" i="3" s="1"/>
  <c r="BG19" i="3"/>
  <c r="DP19" i="3" s="1"/>
  <c r="AU19" i="3"/>
  <c r="DD19" i="3" s="1"/>
  <c r="AI19" i="3"/>
  <c r="CR19" i="3" s="1"/>
  <c r="W19" i="3"/>
  <c r="CF19" i="3" s="1"/>
  <c r="I19" i="3"/>
  <c r="BR19" i="3" s="1"/>
  <c r="BF19" i="3"/>
  <c r="DO19" i="3" s="1"/>
  <c r="AT19" i="3"/>
  <c r="DC19" i="3" s="1"/>
  <c r="AH19" i="3"/>
  <c r="CQ19" i="3" s="1"/>
  <c r="T19" i="3"/>
  <c r="CC19" i="3" s="1"/>
  <c r="H19" i="3"/>
  <c r="BQ19" i="3" s="1"/>
  <c r="BE19" i="3"/>
  <c r="DN19" i="3" s="1"/>
  <c r="AS19" i="3"/>
  <c r="DB19" i="3" s="1"/>
  <c r="AG19" i="3"/>
  <c r="CP19" i="3" s="1"/>
  <c r="S19" i="3"/>
  <c r="CB19" i="3" s="1"/>
  <c r="G19" i="3"/>
  <c r="BP19" i="3" s="1"/>
  <c r="BA19" i="3"/>
  <c r="DJ19" i="3" s="1"/>
  <c r="AM19" i="3"/>
  <c r="CV19" i="3" s="1"/>
  <c r="AA19" i="3"/>
  <c r="CJ19" i="3" s="1"/>
  <c r="O19" i="3"/>
  <c r="BX19" i="3" s="1"/>
  <c r="AD19" i="3"/>
  <c r="CM19" i="3" s="1"/>
  <c r="AC19" i="3"/>
  <c r="CL19" i="3" s="1"/>
  <c r="AB19" i="3"/>
  <c r="CK19" i="3" s="1"/>
  <c r="R19" i="3"/>
  <c r="CA19" i="3" s="1"/>
  <c r="BD19" i="3"/>
  <c r="DM19" i="3" s="1"/>
  <c r="Q19" i="3"/>
  <c r="BZ19" i="3" s="1"/>
  <c r="BC19" i="3"/>
  <c r="DL19" i="3" s="1"/>
  <c r="P19" i="3"/>
  <c r="BY19" i="3" s="1"/>
  <c r="BB19" i="3"/>
  <c r="DK19" i="3" s="1"/>
  <c r="F19" i="3"/>
  <c r="BO19" i="3" s="1"/>
  <c r="AR19" i="3"/>
  <c r="DA19" i="3" s="1"/>
  <c r="E19" i="3"/>
  <c r="BN19" i="3" s="1"/>
  <c r="AQ19" i="3"/>
  <c r="CZ19" i="3" s="1"/>
  <c r="AN19" i="3"/>
  <c r="CW19" i="3" s="1"/>
  <c r="BD23" i="3"/>
  <c r="DM23" i="3" s="1"/>
  <c r="AT23" i="3"/>
  <c r="DC23" i="3" s="1"/>
  <c r="AJ23" i="3"/>
  <c r="CS23" i="3" s="1"/>
  <c r="Z23" i="3"/>
  <c r="CI23" i="3" s="1"/>
  <c r="P23" i="3"/>
  <c r="BY23" i="3" s="1"/>
  <c r="F23" i="3"/>
  <c r="BO23" i="3" s="1"/>
  <c r="BC23" i="3"/>
  <c r="DL23" i="3" s="1"/>
  <c r="AS23" i="3"/>
  <c r="DB23" i="3" s="1"/>
  <c r="AI23" i="3"/>
  <c r="CR23" i="3" s="1"/>
  <c r="Y23" i="3"/>
  <c r="CH23" i="3" s="1"/>
  <c r="O23" i="3"/>
  <c r="BX23" i="3" s="1"/>
  <c r="E23" i="3"/>
  <c r="BN23" i="3" s="1"/>
  <c r="BF23" i="3"/>
  <c r="DO23" i="3" s="1"/>
  <c r="AV23" i="3"/>
  <c r="DE23" i="3" s="1"/>
  <c r="AL23" i="3"/>
  <c r="CU23" i="3" s="1"/>
  <c r="AB23" i="3"/>
  <c r="CK23" i="3" s="1"/>
  <c r="R23" i="3"/>
  <c r="CA23" i="3" s="1"/>
  <c r="H23" i="3"/>
  <c r="BQ23" i="3" s="1"/>
  <c r="BL23" i="3"/>
  <c r="DU23" i="3" s="1"/>
  <c r="AY23" i="3"/>
  <c r="DH23" i="3" s="1"/>
  <c r="AK23" i="3"/>
  <c r="CT23" i="3" s="1"/>
  <c r="V23" i="3"/>
  <c r="CE23" i="3" s="1"/>
  <c r="I23" i="3"/>
  <c r="BR23" i="3" s="1"/>
  <c r="BG23" i="3"/>
  <c r="DP23" i="3" s="1"/>
  <c r="AP23" i="3"/>
  <c r="CY23" i="3" s="1"/>
  <c r="AA23" i="3"/>
  <c r="CJ23" i="3" s="1"/>
  <c r="K23" i="3"/>
  <c r="BT23" i="3" s="1"/>
  <c r="BE23" i="3"/>
  <c r="DN23" i="3" s="1"/>
  <c r="AO23" i="3"/>
  <c r="CX23" i="3" s="1"/>
  <c r="X23" i="3"/>
  <c r="CG23" i="3" s="1"/>
  <c r="J23" i="3"/>
  <c r="BS23" i="3" s="1"/>
  <c r="BB23" i="3"/>
  <c r="DK23" i="3" s="1"/>
  <c r="AN23" i="3"/>
  <c r="CW23" i="3" s="1"/>
  <c r="W23" i="3"/>
  <c r="CF23" i="3" s="1"/>
  <c r="G23" i="3"/>
  <c r="BP23" i="3" s="1"/>
  <c r="BA23" i="3"/>
  <c r="DJ23" i="3" s="1"/>
  <c r="AM23" i="3"/>
  <c r="CV23" i="3" s="1"/>
  <c r="U23" i="3"/>
  <c r="CD23" i="3" s="1"/>
  <c r="AZ23" i="3"/>
  <c r="DI23" i="3" s="1"/>
  <c r="AH23" i="3"/>
  <c r="CQ23" i="3" s="1"/>
  <c r="T23" i="3"/>
  <c r="CC23" i="3" s="1"/>
  <c r="AX23" i="3"/>
  <c r="DG23" i="3" s="1"/>
  <c r="AG23" i="3"/>
  <c r="CP23" i="3" s="1"/>
  <c r="S23" i="3"/>
  <c r="CB23" i="3" s="1"/>
  <c r="BK23" i="3"/>
  <c r="DT23" i="3" s="1"/>
  <c r="AW23" i="3"/>
  <c r="DF23" i="3" s="1"/>
  <c r="AF23" i="3"/>
  <c r="CO23" i="3" s="1"/>
  <c r="Q23" i="3"/>
  <c r="BZ23" i="3" s="1"/>
  <c r="BH23" i="3"/>
  <c r="DQ23" i="3" s="1"/>
  <c r="AQ23" i="3"/>
  <c r="CZ23" i="3" s="1"/>
  <c r="AC23" i="3"/>
  <c r="CL23" i="3" s="1"/>
  <c r="L23" i="3"/>
  <c r="BU23" i="3" s="1"/>
  <c r="M23" i="3"/>
  <c r="BV23" i="3" s="1"/>
  <c r="BJ23" i="3"/>
  <c r="DS23" i="3" s="1"/>
  <c r="BI23" i="3"/>
  <c r="DR23" i="3" s="1"/>
  <c r="AU23" i="3"/>
  <c r="DD23" i="3" s="1"/>
  <c r="AR23" i="3"/>
  <c r="DA23" i="3" s="1"/>
  <c r="AE23" i="3"/>
  <c r="CN23" i="3" s="1"/>
  <c r="AD23" i="3"/>
  <c r="CM23" i="3" s="1"/>
  <c r="N23" i="3"/>
  <c r="BW23" i="3" s="1"/>
  <c r="K61" i="2"/>
  <c r="L61" i="2" s="1"/>
  <c r="BD33" i="3"/>
  <c r="DM33" i="3" s="1"/>
  <c r="AT33" i="3"/>
  <c r="DC33" i="3" s="1"/>
  <c r="AJ33" i="3"/>
  <c r="CS33" i="3" s="1"/>
  <c r="Z33" i="3"/>
  <c r="CI33" i="3" s="1"/>
  <c r="P33" i="3"/>
  <c r="BY33" i="3" s="1"/>
  <c r="F33" i="3"/>
  <c r="BO33" i="3" s="1"/>
  <c r="BC33" i="3"/>
  <c r="DL33" i="3" s="1"/>
  <c r="AS33" i="3"/>
  <c r="DB33" i="3" s="1"/>
  <c r="AI33" i="3"/>
  <c r="CR33" i="3" s="1"/>
  <c r="Y33" i="3"/>
  <c r="CH33" i="3" s="1"/>
  <c r="O33" i="3"/>
  <c r="BX33" i="3" s="1"/>
  <c r="E33" i="3"/>
  <c r="BN33" i="3" s="1"/>
  <c r="BF33" i="3"/>
  <c r="DO33" i="3" s="1"/>
  <c r="AV33" i="3"/>
  <c r="DE33" i="3" s="1"/>
  <c r="AL33" i="3"/>
  <c r="CU33" i="3" s="1"/>
  <c r="AB33" i="3"/>
  <c r="CK33" i="3" s="1"/>
  <c r="R33" i="3"/>
  <c r="CA33" i="3" s="1"/>
  <c r="H33" i="3"/>
  <c r="BQ33" i="3" s="1"/>
  <c r="BB33" i="3"/>
  <c r="DK33" i="3" s="1"/>
  <c r="AO33" i="3"/>
  <c r="CX33" i="3" s="1"/>
  <c r="AA33" i="3"/>
  <c r="CJ33" i="3" s="1"/>
  <c r="L33" i="3"/>
  <c r="BU33" i="3" s="1"/>
  <c r="BA33" i="3"/>
  <c r="DJ33" i="3" s="1"/>
  <c r="AN33" i="3"/>
  <c r="CW33" i="3" s="1"/>
  <c r="X33" i="3"/>
  <c r="CG33" i="3" s="1"/>
  <c r="K33" i="3"/>
  <c r="BT33" i="3" s="1"/>
  <c r="BL33" i="3"/>
  <c r="DU33" i="3" s="1"/>
  <c r="AW33" i="3"/>
  <c r="DF33" i="3" s="1"/>
  <c r="AE33" i="3"/>
  <c r="CN33" i="3" s="1"/>
  <c r="M33" i="3"/>
  <c r="BV33" i="3" s="1"/>
  <c r="BK33" i="3"/>
  <c r="DT33" i="3" s="1"/>
  <c r="AU33" i="3"/>
  <c r="DD33" i="3" s="1"/>
  <c r="AD33" i="3"/>
  <c r="CM33" i="3" s="1"/>
  <c r="J33" i="3"/>
  <c r="BS33" i="3" s="1"/>
  <c r="BJ33" i="3"/>
  <c r="DS33" i="3" s="1"/>
  <c r="AR33" i="3"/>
  <c r="DA33" i="3" s="1"/>
  <c r="AC33" i="3"/>
  <c r="CL33" i="3" s="1"/>
  <c r="I33" i="3"/>
  <c r="BR33" i="3" s="1"/>
  <c r="BI33" i="3"/>
  <c r="DR33" i="3" s="1"/>
  <c r="AQ33" i="3"/>
  <c r="CZ33" i="3" s="1"/>
  <c r="W33" i="3"/>
  <c r="CF33" i="3" s="1"/>
  <c r="G33" i="3"/>
  <c r="BP33" i="3" s="1"/>
  <c r="BH33" i="3"/>
  <c r="DQ33" i="3" s="1"/>
  <c r="AP33" i="3"/>
  <c r="CY33" i="3" s="1"/>
  <c r="V33" i="3"/>
  <c r="CE33" i="3" s="1"/>
  <c r="BG33" i="3"/>
  <c r="DP33" i="3" s="1"/>
  <c r="AM33" i="3"/>
  <c r="CV33" i="3" s="1"/>
  <c r="U33" i="3"/>
  <c r="CD33" i="3" s="1"/>
  <c r="BE33" i="3"/>
  <c r="DN33" i="3" s="1"/>
  <c r="AK33" i="3"/>
  <c r="CT33" i="3" s="1"/>
  <c r="T33" i="3"/>
  <c r="CC33" i="3" s="1"/>
  <c r="AZ33" i="3"/>
  <c r="DI33" i="3" s="1"/>
  <c r="AH33" i="3"/>
  <c r="CQ33" i="3" s="1"/>
  <c r="S33" i="3"/>
  <c r="CB33" i="3" s="1"/>
  <c r="AY33" i="3"/>
  <c r="DH33" i="3" s="1"/>
  <c r="AG33" i="3"/>
  <c r="CP33" i="3" s="1"/>
  <c r="Q33" i="3"/>
  <c r="BZ33" i="3" s="1"/>
  <c r="AX33" i="3"/>
  <c r="DG33" i="3" s="1"/>
  <c r="AF33" i="3"/>
  <c r="CO33" i="3" s="1"/>
  <c r="N33" i="3"/>
  <c r="BW33" i="3" s="1"/>
  <c r="K22" i="2"/>
  <c r="L22" i="2" s="1"/>
  <c r="N355" i="2"/>
  <c r="O355" i="2"/>
  <c r="O260" i="2"/>
  <c r="N108" i="2"/>
  <c r="O108" i="2"/>
  <c r="O62" i="2"/>
  <c r="O42" i="2"/>
  <c r="O76" i="2"/>
  <c r="BF20" i="3"/>
  <c r="DO20" i="3" s="1"/>
  <c r="AV20" i="3"/>
  <c r="DE20" i="3" s="1"/>
  <c r="AL20" i="3"/>
  <c r="CU20" i="3" s="1"/>
  <c r="AB20" i="3"/>
  <c r="CK20" i="3" s="1"/>
  <c r="R20" i="3"/>
  <c r="CA20" i="3" s="1"/>
  <c r="H20" i="3"/>
  <c r="BQ20" i="3" s="1"/>
  <c r="BE20" i="3"/>
  <c r="DN20" i="3" s="1"/>
  <c r="AU20" i="3"/>
  <c r="DD20" i="3" s="1"/>
  <c r="AK20" i="3"/>
  <c r="CT20" i="3" s="1"/>
  <c r="AA20" i="3"/>
  <c r="CJ20" i="3" s="1"/>
  <c r="Q20" i="3"/>
  <c r="BZ20" i="3" s="1"/>
  <c r="G20" i="3"/>
  <c r="BP20" i="3" s="1"/>
  <c r="BL20" i="3"/>
  <c r="DU20" i="3" s="1"/>
  <c r="AZ20" i="3"/>
  <c r="DI20" i="3" s="1"/>
  <c r="AN20" i="3"/>
  <c r="CW20" i="3" s="1"/>
  <c r="Z20" i="3"/>
  <c r="CI20" i="3" s="1"/>
  <c r="N20" i="3"/>
  <c r="BW20" i="3" s="1"/>
  <c r="BK20" i="3"/>
  <c r="DT20" i="3" s="1"/>
  <c r="AY20" i="3"/>
  <c r="DH20" i="3" s="1"/>
  <c r="AM20" i="3"/>
  <c r="CV20" i="3" s="1"/>
  <c r="Y20" i="3"/>
  <c r="CH20" i="3" s="1"/>
  <c r="M20" i="3"/>
  <c r="BV20" i="3" s="1"/>
  <c r="BJ20" i="3"/>
  <c r="DS20" i="3" s="1"/>
  <c r="AX20" i="3"/>
  <c r="DG20" i="3" s="1"/>
  <c r="AJ20" i="3"/>
  <c r="CS20" i="3" s="1"/>
  <c r="X20" i="3"/>
  <c r="CG20" i="3" s="1"/>
  <c r="L20" i="3"/>
  <c r="BU20" i="3" s="1"/>
  <c r="BI20" i="3"/>
  <c r="DR20" i="3" s="1"/>
  <c r="AW20" i="3"/>
  <c r="DF20" i="3" s="1"/>
  <c r="AI20" i="3"/>
  <c r="CR20" i="3" s="1"/>
  <c r="W20" i="3"/>
  <c r="CF20" i="3" s="1"/>
  <c r="K20" i="3"/>
  <c r="BT20" i="3" s="1"/>
  <c r="BH20" i="3"/>
  <c r="DQ20" i="3" s="1"/>
  <c r="AT20" i="3"/>
  <c r="DC20" i="3" s="1"/>
  <c r="AH20" i="3"/>
  <c r="CQ20" i="3" s="1"/>
  <c r="V20" i="3"/>
  <c r="CE20" i="3" s="1"/>
  <c r="J20" i="3"/>
  <c r="BS20" i="3" s="1"/>
  <c r="BG20" i="3"/>
  <c r="DP20" i="3" s="1"/>
  <c r="AS20" i="3"/>
  <c r="DB20" i="3" s="1"/>
  <c r="AG20" i="3"/>
  <c r="CP20" i="3" s="1"/>
  <c r="U20" i="3"/>
  <c r="CD20" i="3" s="1"/>
  <c r="I20" i="3"/>
  <c r="BR20" i="3" s="1"/>
  <c r="BA20" i="3"/>
  <c r="DJ20" i="3" s="1"/>
  <c r="AO20" i="3"/>
  <c r="CX20" i="3" s="1"/>
  <c r="AC20" i="3"/>
  <c r="CL20" i="3" s="1"/>
  <c r="O20" i="3"/>
  <c r="BX20" i="3" s="1"/>
  <c r="AF20" i="3"/>
  <c r="CO20" i="3" s="1"/>
  <c r="AE20" i="3"/>
  <c r="CN20" i="3" s="1"/>
  <c r="AD20" i="3"/>
  <c r="CM20" i="3" s="1"/>
  <c r="T20" i="3"/>
  <c r="CC20" i="3" s="1"/>
  <c r="BD20" i="3"/>
  <c r="DM20" i="3" s="1"/>
  <c r="S20" i="3"/>
  <c r="CB20" i="3" s="1"/>
  <c r="BC20" i="3"/>
  <c r="DL20" i="3" s="1"/>
  <c r="P20" i="3"/>
  <c r="BY20" i="3" s="1"/>
  <c r="BB20" i="3"/>
  <c r="DK20" i="3" s="1"/>
  <c r="F20" i="3"/>
  <c r="BO20" i="3" s="1"/>
  <c r="AR20" i="3"/>
  <c r="DA20" i="3" s="1"/>
  <c r="E20" i="3"/>
  <c r="BN20" i="3" s="1"/>
  <c r="AQ20" i="3"/>
  <c r="CZ20" i="3" s="1"/>
  <c r="AP20" i="3"/>
  <c r="CY20" i="3" s="1"/>
  <c r="BF79" i="3"/>
  <c r="DO79" i="3" s="1"/>
  <c r="AV79" i="3"/>
  <c r="DE79" i="3" s="1"/>
  <c r="AL79" i="3"/>
  <c r="CU79" i="3" s="1"/>
  <c r="AB79" i="3"/>
  <c r="CK79" i="3" s="1"/>
  <c r="R79" i="3"/>
  <c r="CA79" i="3" s="1"/>
  <c r="H79" i="3"/>
  <c r="BQ79" i="3" s="1"/>
  <c r="BH79" i="3"/>
  <c r="DQ79" i="3" s="1"/>
  <c r="AX79" i="3"/>
  <c r="DG79" i="3" s="1"/>
  <c r="AN79" i="3"/>
  <c r="CW79" i="3" s="1"/>
  <c r="AD79" i="3"/>
  <c r="CM79" i="3" s="1"/>
  <c r="T79" i="3"/>
  <c r="CC79" i="3" s="1"/>
  <c r="J79" i="3"/>
  <c r="BS79" i="3" s="1"/>
  <c r="BG79" i="3"/>
  <c r="DP79" i="3" s="1"/>
  <c r="AT79" i="3"/>
  <c r="DC79" i="3" s="1"/>
  <c r="AH79" i="3"/>
  <c r="CQ79" i="3" s="1"/>
  <c r="V79" i="3"/>
  <c r="CE79" i="3" s="1"/>
  <c r="I79" i="3"/>
  <c r="BR79" i="3" s="1"/>
  <c r="BL79" i="3"/>
  <c r="DU79" i="3" s="1"/>
  <c r="AY79" i="3"/>
  <c r="DH79" i="3" s="1"/>
  <c r="AJ79" i="3"/>
  <c r="CS79" i="3" s="1"/>
  <c r="W79" i="3"/>
  <c r="CF79" i="3" s="1"/>
  <c r="G79" i="3"/>
  <c r="BP79" i="3" s="1"/>
  <c r="BK79" i="3"/>
  <c r="DT79" i="3" s="1"/>
  <c r="AW79" i="3"/>
  <c r="DF79" i="3" s="1"/>
  <c r="AI79" i="3"/>
  <c r="CR79" i="3" s="1"/>
  <c r="U79" i="3"/>
  <c r="CD79" i="3" s="1"/>
  <c r="F79" i="3"/>
  <c r="BO79" i="3" s="1"/>
  <c r="BJ79" i="3"/>
  <c r="DS79" i="3" s="1"/>
  <c r="AU79" i="3"/>
  <c r="DD79" i="3" s="1"/>
  <c r="AG79" i="3"/>
  <c r="CP79" i="3" s="1"/>
  <c r="S79" i="3"/>
  <c r="CB79" i="3" s="1"/>
  <c r="E79" i="3"/>
  <c r="BN79" i="3" s="1"/>
  <c r="BI79" i="3"/>
  <c r="DR79" i="3" s="1"/>
  <c r="AS79" i="3"/>
  <c r="DB79" i="3" s="1"/>
  <c r="AF79" i="3"/>
  <c r="CO79" i="3" s="1"/>
  <c r="Q79" i="3"/>
  <c r="BZ79" i="3" s="1"/>
  <c r="BA79" i="3"/>
  <c r="DJ79" i="3" s="1"/>
  <c r="AM79" i="3"/>
  <c r="CV79" i="3" s="1"/>
  <c r="Y79" i="3"/>
  <c r="CH79" i="3" s="1"/>
  <c r="L79" i="3"/>
  <c r="BU79" i="3" s="1"/>
  <c r="BD79" i="3"/>
  <c r="DM79" i="3" s="1"/>
  <c r="AC79" i="3"/>
  <c r="CL79" i="3" s="1"/>
  <c r="BC79" i="3"/>
  <c r="DL79" i="3" s="1"/>
  <c r="AA79" i="3"/>
  <c r="CJ79" i="3" s="1"/>
  <c r="BB79" i="3"/>
  <c r="DK79" i="3" s="1"/>
  <c r="Z79" i="3"/>
  <c r="CI79" i="3" s="1"/>
  <c r="AZ79" i="3"/>
  <c r="DI79" i="3" s="1"/>
  <c r="X79" i="3"/>
  <c r="CG79" i="3" s="1"/>
  <c r="AR79" i="3"/>
  <c r="DA79" i="3" s="1"/>
  <c r="P79" i="3"/>
  <c r="BY79" i="3" s="1"/>
  <c r="AQ79" i="3"/>
  <c r="CZ79" i="3" s="1"/>
  <c r="O79" i="3"/>
  <c r="BX79" i="3" s="1"/>
  <c r="AP79" i="3"/>
  <c r="CY79" i="3" s="1"/>
  <c r="N79" i="3"/>
  <c r="BW79" i="3" s="1"/>
  <c r="AO79" i="3"/>
  <c r="CX79" i="3" s="1"/>
  <c r="M79" i="3"/>
  <c r="BV79" i="3" s="1"/>
  <c r="AK79" i="3"/>
  <c r="CT79" i="3" s="1"/>
  <c r="K79" i="3"/>
  <c r="BT79" i="3" s="1"/>
  <c r="BE79" i="3"/>
  <c r="DN79" i="3" s="1"/>
  <c r="AE79" i="3"/>
  <c r="CN79" i="3" s="1"/>
  <c r="J42" i="2"/>
  <c r="K42" i="2" s="1"/>
  <c r="L42" i="2" s="1"/>
  <c r="N72" i="2"/>
  <c r="O72" i="2"/>
  <c r="N112" i="2"/>
  <c r="O112" i="2"/>
  <c r="O56" i="2"/>
  <c r="N56" i="2"/>
  <c r="BH32" i="3"/>
  <c r="DQ32" i="3" s="1"/>
  <c r="AX32" i="3"/>
  <c r="DG32" i="3" s="1"/>
  <c r="AN32" i="3"/>
  <c r="CW32" i="3" s="1"/>
  <c r="AD32" i="3"/>
  <c r="CM32" i="3" s="1"/>
  <c r="T32" i="3"/>
  <c r="CC32" i="3" s="1"/>
  <c r="J32" i="3"/>
  <c r="BS32" i="3" s="1"/>
  <c r="BG32" i="3"/>
  <c r="DP32" i="3" s="1"/>
  <c r="AW32" i="3"/>
  <c r="DF32" i="3" s="1"/>
  <c r="AM32" i="3"/>
  <c r="CV32" i="3" s="1"/>
  <c r="AC32" i="3"/>
  <c r="CL32" i="3" s="1"/>
  <c r="S32" i="3"/>
  <c r="CB32" i="3" s="1"/>
  <c r="I32" i="3"/>
  <c r="BR32" i="3" s="1"/>
  <c r="BJ32" i="3"/>
  <c r="DS32" i="3" s="1"/>
  <c r="AZ32" i="3"/>
  <c r="DI32" i="3" s="1"/>
  <c r="AP32" i="3"/>
  <c r="CY32" i="3" s="1"/>
  <c r="AF32" i="3"/>
  <c r="CO32" i="3" s="1"/>
  <c r="V32" i="3"/>
  <c r="CE32" i="3" s="1"/>
  <c r="L32" i="3"/>
  <c r="BU32" i="3" s="1"/>
  <c r="AY32" i="3"/>
  <c r="DH32" i="3" s="1"/>
  <c r="AJ32" i="3"/>
  <c r="CS32" i="3" s="1"/>
  <c r="W32" i="3"/>
  <c r="CF32" i="3" s="1"/>
  <c r="G32" i="3"/>
  <c r="BP32" i="3" s="1"/>
  <c r="BL32" i="3"/>
  <c r="DU32" i="3" s="1"/>
  <c r="AV32" i="3"/>
  <c r="DE32" i="3" s="1"/>
  <c r="AI32" i="3"/>
  <c r="CR32" i="3" s="1"/>
  <c r="U32" i="3"/>
  <c r="CD32" i="3" s="1"/>
  <c r="F32" i="3"/>
  <c r="BO32" i="3" s="1"/>
  <c r="AT32" i="3"/>
  <c r="DC32" i="3" s="1"/>
  <c r="AB32" i="3"/>
  <c r="CK32" i="3" s="1"/>
  <c r="M32" i="3"/>
  <c r="BV32" i="3" s="1"/>
  <c r="BK32" i="3"/>
  <c r="DT32" i="3" s="1"/>
  <c r="AS32" i="3"/>
  <c r="DB32" i="3" s="1"/>
  <c r="AA32" i="3"/>
  <c r="CJ32" i="3" s="1"/>
  <c r="K32" i="3"/>
  <c r="BT32" i="3" s="1"/>
  <c r="BI32" i="3"/>
  <c r="DR32" i="3" s="1"/>
  <c r="AR32" i="3"/>
  <c r="DA32" i="3" s="1"/>
  <c r="Z32" i="3"/>
  <c r="CI32" i="3" s="1"/>
  <c r="H32" i="3"/>
  <c r="BQ32" i="3" s="1"/>
  <c r="BF32" i="3"/>
  <c r="DO32" i="3" s="1"/>
  <c r="AQ32" i="3"/>
  <c r="CZ32" i="3" s="1"/>
  <c r="Y32" i="3"/>
  <c r="CH32" i="3" s="1"/>
  <c r="E32" i="3"/>
  <c r="BN32" i="3" s="1"/>
  <c r="BE32" i="3"/>
  <c r="DN32" i="3" s="1"/>
  <c r="AO32" i="3"/>
  <c r="CX32" i="3" s="1"/>
  <c r="X32" i="3"/>
  <c r="CG32" i="3" s="1"/>
  <c r="BD32" i="3"/>
  <c r="DM32" i="3" s="1"/>
  <c r="AL32" i="3"/>
  <c r="CU32" i="3" s="1"/>
  <c r="R32" i="3"/>
  <c r="CA32" i="3" s="1"/>
  <c r="BC32" i="3"/>
  <c r="DL32" i="3" s="1"/>
  <c r="AK32" i="3"/>
  <c r="CT32" i="3" s="1"/>
  <c r="Q32" i="3"/>
  <c r="BZ32" i="3" s="1"/>
  <c r="BB32" i="3"/>
  <c r="DK32" i="3" s="1"/>
  <c r="AH32" i="3"/>
  <c r="CQ32" i="3" s="1"/>
  <c r="P32" i="3"/>
  <c r="BY32" i="3" s="1"/>
  <c r="BA32" i="3"/>
  <c r="DJ32" i="3" s="1"/>
  <c r="AG32" i="3"/>
  <c r="CP32" i="3" s="1"/>
  <c r="O32" i="3"/>
  <c r="BX32" i="3" s="1"/>
  <c r="AU32" i="3"/>
  <c r="DD32" i="3" s="1"/>
  <c r="AE32" i="3"/>
  <c r="CN32" i="3" s="1"/>
  <c r="N32" i="3"/>
  <c r="BW32" i="3" s="1"/>
  <c r="BL46" i="3"/>
  <c r="DU46" i="3" s="1"/>
  <c r="BB46" i="3"/>
  <c r="DK46" i="3" s="1"/>
  <c r="AR46" i="3"/>
  <c r="DA46" i="3" s="1"/>
  <c r="AH46" i="3"/>
  <c r="CQ46" i="3" s="1"/>
  <c r="X46" i="3"/>
  <c r="CG46" i="3" s="1"/>
  <c r="N46" i="3"/>
  <c r="BW46" i="3" s="1"/>
  <c r="BK46" i="3"/>
  <c r="DT46" i="3" s="1"/>
  <c r="BA46" i="3"/>
  <c r="DJ46" i="3" s="1"/>
  <c r="AQ46" i="3"/>
  <c r="CZ46" i="3" s="1"/>
  <c r="AG46" i="3"/>
  <c r="CP46" i="3" s="1"/>
  <c r="W46" i="3"/>
  <c r="CF46" i="3" s="1"/>
  <c r="M46" i="3"/>
  <c r="BV46" i="3" s="1"/>
  <c r="BD46" i="3"/>
  <c r="DM46" i="3" s="1"/>
  <c r="AT46" i="3"/>
  <c r="DC46" i="3" s="1"/>
  <c r="AJ46" i="3"/>
  <c r="CS46" i="3" s="1"/>
  <c r="Z46" i="3"/>
  <c r="CI46" i="3" s="1"/>
  <c r="P46" i="3"/>
  <c r="BY46" i="3" s="1"/>
  <c r="F46" i="3"/>
  <c r="BO46" i="3" s="1"/>
  <c r="BF46" i="3"/>
  <c r="DO46" i="3" s="1"/>
  <c r="AP46" i="3"/>
  <c r="CY46" i="3" s="1"/>
  <c r="AC46" i="3"/>
  <c r="CL46" i="3" s="1"/>
  <c r="O46" i="3"/>
  <c r="BX46" i="3" s="1"/>
  <c r="BE46" i="3"/>
  <c r="DN46" i="3" s="1"/>
  <c r="AO46" i="3"/>
  <c r="CX46" i="3" s="1"/>
  <c r="AB46" i="3"/>
  <c r="CK46" i="3" s="1"/>
  <c r="L46" i="3"/>
  <c r="BU46" i="3" s="1"/>
  <c r="BC46" i="3"/>
  <c r="DL46" i="3" s="1"/>
  <c r="AN46" i="3"/>
  <c r="CW46" i="3" s="1"/>
  <c r="AA46" i="3"/>
  <c r="CJ46" i="3" s="1"/>
  <c r="K46" i="3"/>
  <c r="BT46" i="3" s="1"/>
  <c r="BG46" i="3"/>
  <c r="DP46" i="3" s="1"/>
  <c r="AS46" i="3"/>
  <c r="DB46" i="3" s="1"/>
  <c r="AD46" i="3"/>
  <c r="CM46" i="3" s="1"/>
  <c r="Q46" i="3"/>
  <c r="BZ46" i="3" s="1"/>
  <c r="AV46" i="3"/>
  <c r="DE46" i="3" s="1"/>
  <c r="U46" i="3"/>
  <c r="CD46" i="3" s="1"/>
  <c r="AU46" i="3"/>
  <c r="DD46" i="3" s="1"/>
  <c r="T46" i="3"/>
  <c r="CC46" i="3" s="1"/>
  <c r="AM46" i="3"/>
  <c r="CV46" i="3" s="1"/>
  <c r="S46" i="3"/>
  <c r="CB46" i="3" s="1"/>
  <c r="BJ46" i="3"/>
  <c r="DS46" i="3" s="1"/>
  <c r="AL46" i="3"/>
  <c r="CU46" i="3" s="1"/>
  <c r="R46" i="3"/>
  <c r="CA46" i="3" s="1"/>
  <c r="BI46" i="3"/>
  <c r="DR46" i="3" s="1"/>
  <c r="AK46" i="3"/>
  <c r="CT46" i="3" s="1"/>
  <c r="J46" i="3"/>
  <c r="BS46" i="3" s="1"/>
  <c r="BH46" i="3"/>
  <c r="DQ46" i="3" s="1"/>
  <c r="AI46" i="3"/>
  <c r="CR46" i="3" s="1"/>
  <c r="I46" i="3"/>
  <c r="BR46" i="3" s="1"/>
  <c r="AZ46" i="3"/>
  <c r="DI46" i="3" s="1"/>
  <c r="AF46" i="3"/>
  <c r="CO46" i="3" s="1"/>
  <c r="H46" i="3"/>
  <c r="BQ46" i="3" s="1"/>
  <c r="AY46" i="3"/>
  <c r="DH46" i="3" s="1"/>
  <c r="AE46" i="3"/>
  <c r="CN46" i="3" s="1"/>
  <c r="G46" i="3"/>
  <c r="BP46" i="3" s="1"/>
  <c r="AX46" i="3"/>
  <c r="DG46" i="3" s="1"/>
  <c r="Y46" i="3"/>
  <c r="CH46" i="3" s="1"/>
  <c r="E46" i="3"/>
  <c r="BN46" i="3" s="1"/>
  <c r="AW46" i="3"/>
  <c r="DF46" i="3" s="1"/>
  <c r="V46" i="3"/>
  <c r="CE46" i="3" s="1"/>
  <c r="O250" i="2"/>
  <c r="O120" i="2"/>
  <c r="O205" i="2"/>
  <c r="O152" i="2"/>
  <c r="N203" i="2"/>
  <c r="O203" i="2"/>
  <c r="O191" i="2"/>
  <c r="N88" i="2"/>
  <c r="O88" i="2"/>
  <c r="O134" i="2"/>
  <c r="K41" i="2"/>
  <c r="L41" i="2" s="1"/>
  <c r="BD72" i="3"/>
  <c r="DM72" i="3" s="1"/>
  <c r="AT72" i="3"/>
  <c r="DC72" i="3" s="1"/>
  <c r="AJ72" i="3"/>
  <c r="CS72" i="3" s="1"/>
  <c r="Z72" i="3"/>
  <c r="CI72" i="3" s="1"/>
  <c r="P72" i="3"/>
  <c r="BY72" i="3" s="1"/>
  <c r="F72" i="3"/>
  <c r="BO72" i="3" s="1"/>
  <c r="BG72" i="3"/>
  <c r="DP72" i="3" s="1"/>
  <c r="AV72" i="3"/>
  <c r="DE72" i="3" s="1"/>
  <c r="AK72" i="3"/>
  <c r="CT72" i="3" s="1"/>
  <c r="Y72" i="3"/>
  <c r="CH72" i="3" s="1"/>
  <c r="N72" i="3"/>
  <c r="BW72" i="3" s="1"/>
  <c r="BF72" i="3"/>
  <c r="DO72" i="3" s="1"/>
  <c r="AU72" i="3"/>
  <c r="DD72" i="3" s="1"/>
  <c r="AI72" i="3"/>
  <c r="CR72" i="3" s="1"/>
  <c r="X72" i="3"/>
  <c r="CG72" i="3" s="1"/>
  <c r="M72" i="3"/>
  <c r="BV72" i="3" s="1"/>
  <c r="BE72" i="3"/>
  <c r="DN72" i="3" s="1"/>
  <c r="AS72" i="3"/>
  <c r="DB72" i="3" s="1"/>
  <c r="AH72" i="3"/>
  <c r="CQ72" i="3" s="1"/>
  <c r="W72" i="3"/>
  <c r="CF72" i="3" s="1"/>
  <c r="L72" i="3"/>
  <c r="BU72" i="3" s="1"/>
  <c r="BC72" i="3"/>
  <c r="DL72" i="3" s="1"/>
  <c r="AR72" i="3"/>
  <c r="DA72" i="3" s="1"/>
  <c r="AG72" i="3"/>
  <c r="CP72" i="3" s="1"/>
  <c r="V72" i="3"/>
  <c r="CE72" i="3" s="1"/>
  <c r="K72" i="3"/>
  <c r="BT72" i="3" s="1"/>
  <c r="BI72" i="3"/>
  <c r="DR72" i="3" s="1"/>
  <c r="AX72" i="3"/>
  <c r="DG72" i="3" s="1"/>
  <c r="AM72" i="3"/>
  <c r="CV72" i="3" s="1"/>
  <c r="AB72" i="3"/>
  <c r="CK72" i="3" s="1"/>
  <c r="Q72" i="3"/>
  <c r="BZ72" i="3" s="1"/>
  <c r="E72" i="3"/>
  <c r="BN72" i="3" s="1"/>
  <c r="BA72" i="3"/>
  <c r="DJ72" i="3" s="1"/>
  <c r="AE72" i="3"/>
  <c r="CN72" i="3" s="1"/>
  <c r="I72" i="3"/>
  <c r="BR72" i="3" s="1"/>
  <c r="AZ72" i="3"/>
  <c r="DI72" i="3" s="1"/>
  <c r="AD72" i="3"/>
  <c r="CM72" i="3" s="1"/>
  <c r="H72" i="3"/>
  <c r="BQ72" i="3" s="1"/>
  <c r="AY72" i="3"/>
  <c r="DH72" i="3" s="1"/>
  <c r="AC72" i="3"/>
  <c r="CL72" i="3" s="1"/>
  <c r="G72" i="3"/>
  <c r="BP72" i="3" s="1"/>
  <c r="AW72" i="3"/>
  <c r="DF72" i="3" s="1"/>
  <c r="AA72" i="3"/>
  <c r="CJ72" i="3" s="1"/>
  <c r="AQ72" i="3"/>
  <c r="CZ72" i="3" s="1"/>
  <c r="U72" i="3"/>
  <c r="CD72" i="3" s="1"/>
  <c r="BL72" i="3"/>
  <c r="DU72" i="3" s="1"/>
  <c r="AP72" i="3"/>
  <c r="CY72" i="3" s="1"/>
  <c r="T72" i="3"/>
  <c r="CC72" i="3" s="1"/>
  <c r="BK72" i="3"/>
  <c r="DT72" i="3" s="1"/>
  <c r="AO72" i="3"/>
  <c r="CX72" i="3" s="1"/>
  <c r="S72" i="3"/>
  <c r="CB72" i="3" s="1"/>
  <c r="BJ72" i="3"/>
  <c r="DS72" i="3" s="1"/>
  <c r="AN72" i="3"/>
  <c r="CW72" i="3" s="1"/>
  <c r="R72" i="3"/>
  <c r="CA72" i="3" s="1"/>
  <c r="BB72" i="3"/>
  <c r="DK72" i="3" s="1"/>
  <c r="AF72" i="3"/>
  <c r="CO72" i="3" s="1"/>
  <c r="J72" i="3"/>
  <c r="BS72" i="3" s="1"/>
  <c r="O72" i="3"/>
  <c r="BX72" i="3" s="1"/>
  <c r="BH72" i="3"/>
  <c r="DQ72" i="3" s="1"/>
  <c r="AL72" i="3"/>
  <c r="CU72" i="3" s="1"/>
  <c r="K51" i="2"/>
  <c r="L51" i="2" s="1"/>
  <c r="O19" i="2"/>
  <c r="BG105" i="3"/>
  <c r="DP105" i="3" s="1"/>
  <c r="AW105" i="3"/>
  <c r="DF105" i="3" s="1"/>
  <c r="AM105" i="3"/>
  <c r="CV105" i="3" s="1"/>
  <c r="AC105" i="3"/>
  <c r="CL105" i="3" s="1"/>
  <c r="S105" i="3"/>
  <c r="CB105" i="3" s="1"/>
  <c r="I105" i="3"/>
  <c r="BR105" i="3" s="1"/>
  <c r="BD105" i="3"/>
  <c r="DM105" i="3" s="1"/>
  <c r="AS105" i="3"/>
  <c r="DB105" i="3" s="1"/>
  <c r="AH105" i="3"/>
  <c r="CQ105" i="3" s="1"/>
  <c r="W105" i="3"/>
  <c r="CF105" i="3" s="1"/>
  <c r="L105" i="3"/>
  <c r="BU105" i="3" s="1"/>
  <c r="BF105" i="3"/>
  <c r="DO105" i="3" s="1"/>
  <c r="AU105" i="3"/>
  <c r="DD105" i="3" s="1"/>
  <c r="AJ105" i="3"/>
  <c r="CS105" i="3" s="1"/>
  <c r="Y105" i="3"/>
  <c r="CH105" i="3" s="1"/>
  <c r="N105" i="3"/>
  <c r="BW105" i="3" s="1"/>
  <c r="BE105" i="3"/>
  <c r="DN105" i="3" s="1"/>
  <c r="AT105" i="3"/>
  <c r="DC105" i="3" s="1"/>
  <c r="AI105" i="3"/>
  <c r="CR105" i="3" s="1"/>
  <c r="X105" i="3"/>
  <c r="CG105" i="3" s="1"/>
  <c r="M105" i="3"/>
  <c r="BV105" i="3" s="1"/>
  <c r="BI105" i="3"/>
  <c r="DR105" i="3" s="1"/>
  <c r="AQ105" i="3"/>
  <c r="CZ105" i="3" s="1"/>
  <c r="AB105" i="3"/>
  <c r="CK105" i="3" s="1"/>
  <c r="K105" i="3"/>
  <c r="BT105" i="3" s="1"/>
  <c r="BH105" i="3"/>
  <c r="DQ105" i="3" s="1"/>
  <c r="AP105" i="3"/>
  <c r="CY105" i="3" s="1"/>
  <c r="AA105" i="3"/>
  <c r="CJ105" i="3" s="1"/>
  <c r="J105" i="3"/>
  <c r="BS105" i="3" s="1"/>
  <c r="BL105" i="3"/>
  <c r="DU105" i="3" s="1"/>
  <c r="AX105" i="3"/>
  <c r="DG105" i="3" s="1"/>
  <c r="AF105" i="3"/>
  <c r="CO105" i="3" s="1"/>
  <c r="Q105" i="3"/>
  <c r="BZ105" i="3" s="1"/>
  <c r="AV105" i="3"/>
  <c r="DE105" i="3" s="1"/>
  <c r="V105" i="3"/>
  <c r="CE105" i="3" s="1"/>
  <c r="AR105" i="3"/>
  <c r="DA105" i="3" s="1"/>
  <c r="U105" i="3"/>
  <c r="CD105" i="3" s="1"/>
  <c r="AO105" i="3"/>
  <c r="CX105" i="3" s="1"/>
  <c r="T105" i="3"/>
  <c r="CC105" i="3" s="1"/>
  <c r="BK105" i="3"/>
  <c r="DT105" i="3" s="1"/>
  <c r="AN105" i="3"/>
  <c r="CW105" i="3" s="1"/>
  <c r="R105" i="3"/>
  <c r="CA105" i="3" s="1"/>
  <c r="BJ105" i="3"/>
  <c r="DS105" i="3" s="1"/>
  <c r="AL105" i="3"/>
  <c r="CU105" i="3" s="1"/>
  <c r="P105" i="3"/>
  <c r="BY105" i="3" s="1"/>
  <c r="BC105" i="3"/>
  <c r="DL105" i="3" s="1"/>
  <c r="AK105" i="3"/>
  <c r="CT105" i="3" s="1"/>
  <c r="O105" i="3"/>
  <c r="BX105" i="3" s="1"/>
  <c r="BB105" i="3"/>
  <c r="DK105" i="3" s="1"/>
  <c r="AG105" i="3"/>
  <c r="CP105" i="3" s="1"/>
  <c r="H105" i="3"/>
  <c r="BQ105" i="3" s="1"/>
  <c r="BA105" i="3"/>
  <c r="DJ105" i="3" s="1"/>
  <c r="AE105" i="3"/>
  <c r="CN105" i="3" s="1"/>
  <c r="G105" i="3"/>
  <c r="BP105" i="3" s="1"/>
  <c r="AZ105" i="3"/>
  <c r="DI105" i="3" s="1"/>
  <c r="AD105" i="3"/>
  <c r="CM105" i="3" s="1"/>
  <c r="F105" i="3"/>
  <c r="BO105" i="3" s="1"/>
  <c r="AY105" i="3"/>
  <c r="DH105" i="3" s="1"/>
  <c r="Z105" i="3"/>
  <c r="CI105" i="3" s="1"/>
  <c r="E105" i="3"/>
  <c r="BN105" i="3" s="1"/>
  <c r="J40" i="2"/>
  <c r="K40" i="2" s="1"/>
  <c r="L40" i="2" s="1"/>
  <c r="J36" i="2"/>
  <c r="K36" i="2" s="1"/>
  <c r="L36" i="2" s="1"/>
  <c r="O22" i="2"/>
  <c r="N122" i="2"/>
  <c r="O122" i="2"/>
  <c r="BH71" i="3"/>
  <c r="DQ71" i="3" s="1"/>
  <c r="AX71" i="3"/>
  <c r="DG71" i="3" s="1"/>
  <c r="AN71" i="3"/>
  <c r="CW71" i="3" s="1"/>
  <c r="AD71" i="3"/>
  <c r="CM71" i="3" s="1"/>
  <c r="T71" i="3"/>
  <c r="CC71" i="3" s="1"/>
  <c r="J71" i="3"/>
  <c r="BS71" i="3" s="1"/>
  <c r="BI71" i="3"/>
  <c r="DR71" i="3" s="1"/>
  <c r="AW71" i="3"/>
  <c r="DF71" i="3" s="1"/>
  <c r="AL71" i="3"/>
  <c r="CU71" i="3" s="1"/>
  <c r="AA71" i="3"/>
  <c r="CJ71" i="3" s="1"/>
  <c r="P71" i="3"/>
  <c r="BY71" i="3" s="1"/>
  <c r="E71" i="3"/>
  <c r="BN71" i="3" s="1"/>
  <c r="BG71" i="3"/>
  <c r="DP71" i="3" s="1"/>
  <c r="AV71" i="3"/>
  <c r="DE71" i="3" s="1"/>
  <c r="AK71" i="3"/>
  <c r="CT71" i="3" s="1"/>
  <c r="Z71" i="3"/>
  <c r="CI71" i="3" s="1"/>
  <c r="O71" i="3"/>
  <c r="BX71" i="3" s="1"/>
  <c r="BF71" i="3"/>
  <c r="DO71" i="3" s="1"/>
  <c r="AU71" i="3"/>
  <c r="DD71" i="3" s="1"/>
  <c r="AJ71" i="3"/>
  <c r="CS71" i="3" s="1"/>
  <c r="Y71" i="3"/>
  <c r="CH71" i="3" s="1"/>
  <c r="N71" i="3"/>
  <c r="BW71" i="3" s="1"/>
  <c r="BE71" i="3"/>
  <c r="DN71" i="3" s="1"/>
  <c r="AT71" i="3"/>
  <c r="DC71" i="3" s="1"/>
  <c r="AI71" i="3"/>
  <c r="CR71" i="3" s="1"/>
  <c r="X71" i="3"/>
  <c r="CG71" i="3" s="1"/>
  <c r="M71" i="3"/>
  <c r="BV71" i="3" s="1"/>
  <c r="BK71" i="3"/>
  <c r="DT71" i="3" s="1"/>
  <c r="AZ71" i="3"/>
  <c r="DI71" i="3" s="1"/>
  <c r="AO71" i="3"/>
  <c r="CX71" i="3" s="1"/>
  <c r="AC71" i="3"/>
  <c r="CL71" i="3" s="1"/>
  <c r="R71" i="3"/>
  <c r="CA71" i="3" s="1"/>
  <c r="G71" i="3"/>
  <c r="BP71" i="3" s="1"/>
  <c r="AR71" i="3"/>
  <c r="DA71" i="3" s="1"/>
  <c r="V71" i="3"/>
  <c r="CE71" i="3" s="1"/>
  <c r="AQ71" i="3"/>
  <c r="CZ71" i="3" s="1"/>
  <c r="U71" i="3"/>
  <c r="CD71" i="3" s="1"/>
  <c r="BL71" i="3"/>
  <c r="DU71" i="3" s="1"/>
  <c r="AP71" i="3"/>
  <c r="CY71" i="3" s="1"/>
  <c r="S71" i="3"/>
  <c r="CB71" i="3" s="1"/>
  <c r="BJ71" i="3"/>
  <c r="DS71" i="3" s="1"/>
  <c r="AM71" i="3"/>
  <c r="CV71" i="3" s="1"/>
  <c r="Q71" i="3"/>
  <c r="BZ71" i="3" s="1"/>
  <c r="BD71" i="3"/>
  <c r="DM71" i="3" s="1"/>
  <c r="AH71" i="3"/>
  <c r="CQ71" i="3" s="1"/>
  <c r="L71" i="3"/>
  <c r="BU71" i="3" s="1"/>
  <c r="BC71" i="3"/>
  <c r="DL71" i="3" s="1"/>
  <c r="AG71" i="3"/>
  <c r="CP71" i="3" s="1"/>
  <c r="K71" i="3"/>
  <c r="BT71" i="3" s="1"/>
  <c r="BB71" i="3"/>
  <c r="DK71" i="3" s="1"/>
  <c r="AF71" i="3"/>
  <c r="CO71" i="3" s="1"/>
  <c r="I71" i="3"/>
  <c r="BR71" i="3" s="1"/>
  <c r="BA71" i="3"/>
  <c r="DJ71" i="3" s="1"/>
  <c r="AE71" i="3"/>
  <c r="CN71" i="3" s="1"/>
  <c r="H71" i="3"/>
  <c r="BQ71" i="3" s="1"/>
  <c r="AS71" i="3"/>
  <c r="DB71" i="3" s="1"/>
  <c r="W71" i="3"/>
  <c r="CF71" i="3" s="1"/>
  <c r="AY71" i="3"/>
  <c r="DH71" i="3" s="1"/>
  <c r="AB71" i="3"/>
  <c r="CK71" i="3" s="1"/>
  <c r="F71" i="3"/>
  <c r="BO71" i="3" s="1"/>
  <c r="K111" i="2"/>
  <c r="L111" i="2" s="1"/>
  <c r="BF89" i="3"/>
  <c r="DO89" i="3" s="1"/>
  <c r="AV89" i="3"/>
  <c r="DE89" i="3" s="1"/>
  <c r="AL89" i="3"/>
  <c r="CU89" i="3" s="1"/>
  <c r="AB89" i="3"/>
  <c r="CK89" i="3" s="1"/>
  <c r="R89" i="3"/>
  <c r="CA89" i="3" s="1"/>
  <c r="H89" i="3"/>
  <c r="BQ89" i="3" s="1"/>
  <c r="BH89" i="3"/>
  <c r="DQ89" i="3" s="1"/>
  <c r="AX89" i="3"/>
  <c r="DG89" i="3" s="1"/>
  <c r="AN89" i="3"/>
  <c r="CW89" i="3" s="1"/>
  <c r="AD89" i="3"/>
  <c r="CM89" i="3" s="1"/>
  <c r="T89" i="3"/>
  <c r="CC89" i="3" s="1"/>
  <c r="J89" i="3"/>
  <c r="BS89" i="3" s="1"/>
  <c r="BG89" i="3"/>
  <c r="DP89" i="3" s="1"/>
  <c r="AW89" i="3"/>
  <c r="DF89" i="3" s="1"/>
  <c r="AM89" i="3"/>
  <c r="CV89" i="3" s="1"/>
  <c r="AC89" i="3"/>
  <c r="CL89" i="3" s="1"/>
  <c r="S89" i="3"/>
  <c r="CB89" i="3" s="1"/>
  <c r="I89" i="3"/>
  <c r="BR89" i="3" s="1"/>
  <c r="BD89" i="3"/>
  <c r="DM89" i="3" s="1"/>
  <c r="AQ89" i="3"/>
  <c r="CZ89" i="3" s="1"/>
  <c r="AA89" i="3"/>
  <c r="CJ89" i="3" s="1"/>
  <c r="N89" i="3"/>
  <c r="BW89" i="3" s="1"/>
  <c r="BC89" i="3"/>
  <c r="DL89" i="3" s="1"/>
  <c r="AP89" i="3"/>
  <c r="CY89" i="3" s="1"/>
  <c r="Z89" i="3"/>
  <c r="CI89" i="3" s="1"/>
  <c r="M89" i="3"/>
  <c r="BV89" i="3" s="1"/>
  <c r="BJ89" i="3"/>
  <c r="DS89" i="3" s="1"/>
  <c r="AT89" i="3"/>
  <c r="DC89" i="3" s="1"/>
  <c r="AG89" i="3"/>
  <c r="CP89" i="3" s="1"/>
  <c r="Q89" i="3"/>
  <c r="BZ89" i="3" s="1"/>
  <c r="BK89" i="3"/>
  <c r="DT89" i="3" s="1"/>
  <c r="AO89" i="3"/>
  <c r="CX89" i="3" s="1"/>
  <c r="V89" i="3"/>
  <c r="CE89" i="3" s="1"/>
  <c r="BI89" i="3"/>
  <c r="DR89" i="3" s="1"/>
  <c r="AK89" i="3"/>
  <c r="CT89" i="3" s="1"/>
  <c r="U89" i="3"/>
  <c r="CD89" i="3" s="1"/>
  <c r="BE89" i="3"/>
  <c r="DN89" i="3" s="1"/>
  <c r="AJ89" i="3"/>
  <c r="CS89" i="3" s="1"/>
  <c r="P89" i="3"/>
  <c r="BY89" i="3" s="1"/>
  <c r="BB89" i="3"/>
  <c r="DK89" i="3" s="1"/>
  <c r="AI89" i="3"/>
  <c r="CR89" i="3" s="1"/>
  <c r="O89" i="3"/>
  <c r="BX89" i="3" s="1"/>
  <c r="BA89" i="3"/>
  <c r="DJ89" i="3" s="1"/>
  <c r="AH89" i="3"/>
  <c r="CQ89" i="3" s="1"/>
  <c r="L89" i="3"/>
  <c r="BU89" i="3" s="1"/>
  <c r="AZ89" i="3"/>
  <c r="DI89" i="3" s="1"/>
  <c r="AF89" i="3"/>
  <c r="CO89" i="3" s="1"/>
  <c r="K89" i="3"/>
  <c r="BT89" i="3" s="1"/>
  <c r="AY89" i="3"/>
  <c r="DH89" i="3" s="1"/>
  <c r="AE89" i="3"/>
  <c r="CN89" i="3" s="1"/>
  <c r="G89" i="3"/>
  <c r="BP89" i="3" s="1"/>
  <c r="AU89" i="3"/>
  <c r="DD89" i="3" s="1"/>
  <c r="Y89" i="3"/>
  <c r="CH89" i="3" s="1"/>
  <c r="F89" i="3"/>
  <c r="BO89" i="3" s="1"/>
  <c r="AS89" i="3"/>
  <c r="DB89" i="3" s="1"/>
  <c r="X89" i="3"/>
  <c r="CG89" i="3" s="1"/>
  <c r="E89" i="3"/>
  <c r="BN89" i="3" s="1"/>
  <c r="BL89" i="3"/>
  <c r="DU89" i="3" s="1"/>
  <c r="AR89" i="3"/>
  <c r="DA89" i="3" s="1"/>
  <c r="W89" i="3"/>
  <c r="CF89" i="3" s="1"/>
  <c r="N65" i="2"/>
  <c r="O65" i="2"/>
  <c r="BL41" i="3"/>
  <c r="DU41" i="3" s="1"/>
  <c r="BB41" i="3"/>
  <c r="DK41" i="3" s="1"/>
  <c r="AR41" i="3"/>
  <c r="DA41" i="3" s="1"/>
  <c r="AH41" i="3"/>
  <c r="CQ41" i="3" s="1"/>
  <c r="X41" i="3"/>
  <c r="CG41" i="3" s="1"/>
  <c r="N41" i="3"/>
  <c r="BW41" i="3" s="1"/>
  <c r="BK41" i="3"/>
  <c r="DT41" i="3" s="1"/>
  <c r="BA41" i="3"/>
  <c r="DJ41" i="3" s="1"/>
  <c r="AQ41" i="3"/>
  <c r="CZ41" i="3" s="1"/>
  <c r="AG41" i="3"/>
  <c r="CP41" i="3" s="1"/>
  <c r="W41" i="3"/>
  <c r="CF41" i="3" s="1"/>
  <c r="M41" i="3"/>
  <c r="BV41" i="3" s="1"/>
  <c r="BD41" i="3"/>
  <c r="DM41" i="3" s="1"/>
  <c r="AT41" i="3"/>
  <c r="DC41" i="3" s="1"/>
  <c r="AJ41" i="3"/>
  <c r="CS41" i="3" s="1"/>
  <c r="Z41" i="3"/>
  <c r="CI41" i="3" s="1"/>
  <c r="P41" i="3"/>
  <c r="BY41" i="3" s="1"/>
  <c r="F41" i="3"/>
  <c r="BO41" i="3" s="1"/>
  <c r="BJ41" i="3"/>
  <c r="DS41" i="3" s="1"/>
  <c r="AW41" i="3"/>
  <c r="DF41" i="3" s="1"/>
  <c r="AI41" i="3"/>
  <c r="CR41" i="3" s="1"/>
  <c r="T41" i="3"/>
  <c r="CC41" i="3" s="1"/>
  <c r="G41" i="3"/>
  <c r="BP41" i="3" s="1"/>
  <c r="BI41" i="3"/>
  <c r="DR41" i="3" s="1"/>
  <c r="AV41" i="3"/>
  <c r="DE41" i="3" s="1"/>
  <c r="AF41" i="3"/>
  <c r="CO41" i="3" s="1"/>
  <c r="S41" i="3"/>
  <c r="CB41" i="3" s="1"/>
  <c r="E41" i="3"/>
  <c r="BN41" i="3" s="1"/>
  <c r="BH41" i="3"/>
  <c r="DQ41" i="3" s="1"/>
  <c r="AU41" i="3"/>
  <c r="DD41" i="3" s="1"/>
  <c r="AE41" i="3"/>
  <c r="CN41" i="3" s="1"/>
  <c r="R41" i="3"/>
  <c r="CA41" i="3" s="1"/>
  <c r="AX41" i="3"/>
  <c r="DG41" i="3" s="1"/>
  <c r="AK41" i="3"/>
  <c r="CT41" i="3" s="1"/>
  <c r="U41" i="3"/>
  <c r="CD41" i="3" s="1"/>
  <c r="H41" i="3"/>
  <c r="BQ41" i="3" s="1"/>
  <c r="AS41" i="3"/>
  <c r="DB41" i="3" s="1"/>
  <c r="Y41" i="3"/>
  <c r="CH41" i="3" s="1"/>
  <c r="AP41" i="3"/>
  <c r="CY41" i="3" s="1"/>
  <c r="V41" i="3"/>
  <c r="CE41" i="3" s="1"/>
  <c r="AO41" i="3"/>
  <c r="CX41" i="3" s="1"/>
  <c r="Q41" i="3"/>
  <c r="BZ41" i="3" s="1"/>
  <c r="AN41" i="3"/>
  <c r="CW41" i="3" s="1"/>
  <c r="O41" i="3"/>
  <c r="BX41" i="3" s="1"/>
  <c r="BG41" i="3"/>
  <c r="DP41" i="3" s="1"/>
  <c r="AM41" i="3"/>
  <c r="CV41" i="3" s="1"/>
  <c r="L41" i="3"/>
  <c r="BU41" i="3" s="1"/>
  <c r="BF41" i="3"/>
  <c r="DO41" i="3" s="1"/>
  <c r="AL41" i="3"/>
  <c r="CU41" i="3" s="1"/>
  <c r="K41" i="3"/>
  <c r="BT41" i="3" s="1"/>
  <c r="BE41" i="3"/>
  <c r="DN41" i="3" s="1"/>
  <c r="AD41" i="3"/>
  <c r="CM41" i="3" s="1"/>
  <c r="J41" i="3"/>
  <c r="BS41" i="3" s="1"/>
  <c r="BC41" i="3"/>
  <c r="DL41" i="3" s="1"/>
  <c r="AC41" i="3"/>
  <c r="CL41" i="3" s="1"/>
  <c r="I41" i="3"/>
  <c r="BR41" i="3" s="1"/>
  <c r="AZ41" i="3"/>
  <c r="DI41" i="3" s="1"/>
  <c r="AB41" i="3"/>
  <c r="CK41" i="3" s="1"/>
  <c r="AY41" i="3"/>
  <c r="DH41" i="3" s="1"/>
  <c r="AA41" i="3"/>
  <c r="CJ41" i="3" s="1"/>
  <c r="O14" i="2"/>
  <c r="BF55" i="3"/>
  <c r="DO55" i="3" s="1"/>
  <c r="AV55" i="3"/>
  <c r="DE55" i="3" s="1"/>
  <c r="AL55" i="3"/>
  <c r="CU55" i="3" s="1"/>
  <c r="AB55" i="3"/>
  <c r="CK55" i="3" s="1"/>
  <c r="R55" i="3"/>
  <c r="CA55" i="3" s="1"/>
  <c r="H55" i="3"/>
  <c r="BQ55" i="3" s="1"/>
  <c r="BE55" i="3"/>
  <c r="DN55" i="3" s="1"/>
  <c r="AU55" i="3"/>
  <c r="DD55" i="3" s="1"/>
  <c r="AK55" i="3"/>
  <c r="CT55" i="3" s="1"/>
  <c r="AA55" i="3"/>
  <c r="CJ55" i="3" s="1"/>
  <c r="Q55" i="3"/>
  <c r="BZ55" i="3" s="1"/>
  <c r="G55" i="3"/>
  <c r="BP55" i="3" s="1"/>
  <c r="BH55" i="3"/>
  <c r="DQ55" i="3" s="1"/>
  <c r="AX55" i="3"/>
  <c r="DG55" i="3" s="1"/>
  <c r="AN55" i="3"/>
  <c r="CW55" i="3" s="1"/>
  <c r="AD55" i="3"/>
  <c r="CM55" i="3" s="1"/>
  <c r="T55" i="3"/>
  <c r="CC55" i="3" s="1"/>
  <c r="J55" i="3"/>
  <c r="BS55" i="3" s="1"/>
  <c r="BC55" i="3"/>
  <c r="DL55" i="3" s="1"/>
  <c r="AP55" i="3"/>
  <c r="CY55" i="3" s="1"/>
  <c r="Z55" i="3"/>
  <c r="CI55" i="3" s="1"/>
  <c r="M55" i="3"/>
  <c r="BV55" i="3" s="1"/>
  <c r="BB55" i="3"/>
  <c r="DK55" i="3" s="1"/>
  <c r="AO55" i="3"/>
  <c r="CX55" i="3" s="1"/>
  <c r="Y55" i="3"/>
  <c r="CH55" i="3" s="1"/>
  <c r="L55" i="3"/>
  <c r="BU55" i="3" s="1"/>
  <c r="BA55" i="3"/>
  <c r="DJ55" i="3" s="1"/>
  <c r="AM55" i="3"/>
  <c r="CV55" i="3" s="1"/>
  <c r="X55" i="3"/>
  <c r="CG55" i="3" s="1"/>
  <c r="K55" i="3"/>
  <c r="BT55" i="3" s="1"/>
  <c r="BD55" i="3"/>
  <c r="DM55" i="3" s="1"/>
  <c r="AQ55" i="3"/>
  <c r="CZ55" i="3" s="1"/>
  <c r="AC55" i="3"/>
  <c r="CL55" i="3" s="1"/>
  <c r="N55" i="3"/>
  <c r="BW55" i="3" s="1"/>
  <c r="AW55" i="3"/>
  <c r="DF55" i="3" s="1"/>
  <c r="W55" i="3"/>
  <c r="CF55" i="3" s="1"/>
  <c r="AT55" i="3"/>
  <c r="DC55" i="3" s="1"/>
  <c r="V55" i="3"/>
  <c r="CE55" i="3" s="1"/>
  <c r="AS55" i="3"/>
  <c r="DB55" i="3" s="1"/>
  <c r="U55" i="3"/>
  <c r="CD55" i="3" s="1"/>
  <c r="BL55" i="3"/>
  <c r="DU55" i="3" s="1"/>
  <c r="AR55" i="3"/>
  <c r="DA55" i="3" s="1"/>
  <c r="S55" i="3"/>
  <c r="CB55" i="3" s="1"/>
  <c r="BK55" i="3"/>
  <c r="DT55" i="3" s="1"/>
  <c r="AJ55" i="3"/>
  <c r="CS55" i="3" s="1"/>
  <c r="P55" i="3"/>
  <c r="BY55" i="3" s="1"/>
  <c r="BJ55" i="3"/>
  <c r="DS55" i="3" s="1"/>
  <c r="AI55" i="3"/>
  <c r="CR55" i="3" s="1"/>
  <c r="O55" i="3"/>
  <c r="BX55" i="3" s="1"/>
  <c r="BI55" i="3"/>
  <c r="DR55" i="3" s="1"/>
  <c r="AH55" i="3"/>
  <c r="CQ55" i="3" s="1"/>
  <c r="I55" i="3"/>
  <c r="BR55" i="3" s="1"/>
  <c r="BG55" i="3"/>
  <c r="DP55" i="3" s="1"/>
  <c r="AG55" i="3"/>
  <c r="CP55" i="3" s="1"/>
  <c r="F55" i="3"/>
  <c r="BO55" i="3" s="1"/>
  <c r="AZ55" i="3"/>
  <c r="DI55" i="3" s="1"/>
  <c r="AF55" i="3"/>
  <c r="CO55" i="3" s="1"/>
  <c r="E55" i="3"/>
  <c r="BN55" i="3" s="1"/>
  <c r="AY55" i="3"/>
  <c r="DH55" i="3" s="1"/>
  <c r="AE55" i="3"/>
  <c r="CN55" i="3" s="1"/>
  <c r="O80" i="2"/>
  <c r="BH62" i="3"/>
  <c r="DQ62" i="3" s="1"/>
  <c r="AX62" i="3"/>
  <c r="DG62" i="3" s="1"/>
  <c r="AN62" i="3"/>
  <c r="CW62" i="3" s="1"/>
  <c r="AD62" i="3"/>
  <c r="CM62" i="3" s="1"/>
  <c r="T62" i="3"/>
  <c r="CC62" i="3" s="1"/>
  <c r="J62" i="3"/>
  <c r="BS62" i="3" s="1"/>
  <c r="BG62" i="3"/>
  <c r="DP62" i="3" s="1"/>
  <c r="AW62" i="3"/>
  <c r="DF62" i="3" s="1"/>
  <c r="AM62" i="3"/>
  <c r="CV62" i="3" s="1"/>
  <c r="AC62" i="3"/>
  <c r="CL62" i="3" s="1"/>
  <c r="S62" i="3"/>
  <c r="CB62" i="3" s="1"/>
  <c r="I62" i="3"/>
  <c r="BR62" i="3" s="1"/>
  <c r="BJ62" i="3"/>
  <c r="DS62" i="3" s="1"/>
  <c r="AZ62" i="3"/>
  <c r="DI62" i="3" s="1"/>
  <c r="AP62" i="3"/>
  <c r="CY62" i="3" s="1"/>
  <c r="AF62" i="3"/>
  <c r="CO62" i="3" s="1"/>
  <c r="V62" i="3"/>
  <c r="CE62" i="3" s="1"/>
  <c r="L62" i="3"/>
  <c r="BU62" i="3" s="1"/>
  <c r="BF62" i="3"/>
  <c r="DO62" i="3" s="1"/>
  <c r="AS62" i="3"/>
  <c r="DB62" i="3" s="1"/>
  <c r="AE62" i="3"/>
  <c r="CN62" i="3" s="1"/>
  <c r="P62" i="3"/>
  <c r="BY62" i="3" s="1"/>
  <c r="BE62" i="3"/>
  <c r="DN62" i="3" s="1"/>
  <c r="AR62" i="3"/>
  <c r="DA62" i="3" s="1"/>
  <c r="AB62" i="3"/>
  <c r="CK62" i="3" s="1"/>
  <c r="O62" i="3"/>
  <c r="BX62" i="3" s="1"/>
  <c r="BD62" i="3"/>
  <c r="DM62" i="3" s="1"/>
  <c r="AQ62" i="3"/>
  <c r="CZ62" i="3" s="1"/>
  <c r="AA62" i="3"/>
  <c r="CJ62" i="3" s="1"/>
  <c r="N62" i="3"/>
  <c r="BW62" i="3" s="1"/>
  <c r="BC62" i="3"/>
  <c r="DL62" i="3" s="1"/>
  <c r="AO62" i="3"/>
  <c r="CX62" i="3" s="1"/>
  <c r="Z62" i="3"/>
  <c r="CI62" i="3" s="1"/>
  <c r="M62" i="3"/>
  <c r="BV62" i="3" s="1"/>
  <c r="BB62" i="3"/>
  <c r="DK62" i="3" s="1"/>
  <c r="AL62" i="3"/>
  <c r="CU62" i="3" s="1"/>
  <c r="Y62" i="3"/>
  <c r="CH62" i="3" s="1"/>
  <c r="K62" i="3"/>
  <c r="BT62" i="3" s="1"/>
  <c r="BA62" i="3"/>
  <c r="DJ62" i="3" s="1"/>
  <c r="AK62" i="3"/>
  <c r="CT62" i="3" s="1"/>
  <c r="X62" i="3"/>
  <c r="CG62" i="3" s="1"/>
  <c r="H62" i="3"/>
  <c r="BQ62" i="3" s="1"/>
  <c r="AY62" i="3"/>
  <c r="DH62" i="3" s="1"/>
  <c r="AJ62" i="3"/>
  <c r="CS62" i="3" s="1"/>
  <c r="W62" i="3"/>
  <c r="CF62" i="3" s="1"/>
  <c r="G62" i="3"/>
  <c r="BP62" i="3" s="1"/>
  <c r="BI62" i="3"/>
  <c r="DR62" i="3" s="1"/>
  <c r="AT62" i="3"/>
  <c r="DC62" i="3" s="1"/>
  <c r="AG62" i="3"/>
  <c r="CP62" i="3" s="1"/>
  <c r="Q62" i="3"/>
  <c r="BZ62" i="3" s="1"/>
  <c r="F62" i="3"/>
  <c r="BO62" i="3" s="1"/>
  <c r="E62" i="3"/>
  <c r="BN62" i="3" s="1"/>
  <c r="BL62" i="3"/>
  <c r="DU62" i="3" s="1"/>
  <c r="BK62" i="3"/>
  <c r="DT62" i="3" s="1"/>
  <c r="AV62" i="3"/>
  <c r="DE62" i="3" s="1"/>
  <c r="AU62" i="3"/>
  <c r="DD62" i="3" s="1"/>
  <c r="AI62" i="3"/>
  <c r="CR62" i="3" s="1"/>
  <c r="AH62" i="3"/>
  <c r="CQ62" i="3" s="1"/>
  <c r="U62" i="3"/>
  <c r="CD62" i="3" s="1"/>
  <c r="R62" i="3"/>
  <c r="CA62" i="3" s="1"/>
  <c r="BH27" i="3"/>
  <c r="DQ27" i="3" s="1"/>
  <c r="AX27" i="3"/>
  <c r="DG27" i="3" s="1"/>
  <c r="AN27" i="3"/>
  <c r="CW27" i="3" s="1"/>
  <c r="AD27" i="3"/>
  <c r="CM27" i="3" s="1"/>
  <c r="T27" i="3"/>
  <c r="CC27" i="3" s="1"/>
  <c r="J27" i="3"/>
  <c r="BS27" i="3" s="1"/>
  <c r="BG27" i="3"/>
  <c r="DP27" i="3" s="1"/>
  <c r="AW27" i="3"/>
  <c r="DF27" i="3" s="1"/>
  <c r="AM27" i="3"/>
  <c r="CV27" i="3" s="1"/>
  <c r="AC27" i="3"/>
  <c r="CL27" i="3" s="1"/>
  <c r="S27" i="3"/>
  <c r="CB27" i="3" s="1"/>
  <c r="I27" i="3"/>
  <c r="BR27" i="3" s="1"/>
  <c r="BJ27" i="3"/>
  <c r="DS27" i="3" s="1"/>
  <c r="AZ27" i="3"/>
  <c r="DI27" i="3" s="1"/>
  <c r="AP27" i="3"/>
  <c r="CY27" i="3" s="1"/>
  <c r="AF27" i="3"/>
  <c r="CO27" i="3" s="1"/>
  <c r="V27" i="3"/>
  <c r="CE27" i="3" s="1"/>
  <c r="L27" i="3"/>
  <c r="BU27" i="3" s="1"/>
  <c r="BC27" i="3"/>
  <c r="DL27" i="3" s="1"/>
  <c r="AO27" i="3"/>
  <c r="CX27" i="3" s="1"/>
  <c r="Z27" i="3"/>
  <c r="CI27" i="3" s="1"/>
  <c r="M27" i="3"/>
  <c r="BV27" i="3" s="1"/>
  <c r="BB27" i="3"/>
  <c r="DK27" i="3" s="1"/>
  <c r="AK27" i="3"/>
  <c r="CT27" i="3" s="1"/>
  <c r="W27" i="3"/>
  <c r="CF27" i="3" s="1"/>
  <c r="F27" i="3"/>
  <c r="BO27" i="3" s="1"/>
  <c r="BA27" i="3"/>
  <c r="DJ27" i="3" s="1"/>
  <c r="AJ27" i="3"/>
  <c r="CS27" i="3" s="1"/>
  <c r="U27" i="3"/>
  <c r="CD27" i="3" s="1"/>
  <c r="E27" i="3"/>
  <c r="BN27" i="3" s="1"/>
  <c r="AY27" i="3"/>
  <c r="DH27" i="3" s="1"/>
  <c r="AI27" i="3"/>
  <c r="CR27" i="3" s="1"/>
  <c r="R27" i="3"/>
  <c r="CA27" i="3" s="1"/>
  <c r="AV27" i="3"/>
  <c r="DE27" i="3" s="1"/>
  <c r="AH27" i="3"/>
  <c r="CQ27" i="3" s="1"/>
  <c r="Q27" i="3"/>
  <c r="BZ27" i="3" s="1"/>
  <c r="BL27" i="3"/>
  <c r="DU27" i="3" s="1"/>
  <c r="AU27" i="3"/>
  <c r="DD27" i="3" s="1"/>
  <c r="AG27" i="3"/>
  <c r="CP27" i="3" s="1"/>
  <c r="P27" i="3"/>
  <c r="BY27" i="3" s="1"/>
  <c r="BK27" i="3"/>
  <c r="DT27" i="3" s="1"/>
  <c r="AT27" i="3"/>
  <c r="DC27" i="3" s="1"/>
  <c r="AE27" i="3"/>
  <c r="CN27" i="3" s="1"/>
  <c r="O27" i="3"/>
  <c r="BX27" i="3" s="1"/>
  <c r="BI27" i="3"/>
  <c r="DR27" i="3" s="1"/>
  <c r="AS27" i="3"/>
  <c r="DB27" i="3" s="1"/>
  <c r="AB27" i="3"/>
  <c r="CK27" i="3" s="1"/>
  <c r="N27" i="3"/>
  <c r="BW27" i="3" s="1"/>
  <c r="BF27" i="3"/>
  <c r="DO27" i="3" s="1"/>
  <c r="AR27" i="3"/>
  <c r="DA27" i="3" s="1"/>
  <c r="BD27" i="3"/>
  <c r="DM27" i="3" s="1"/>
  <c r="AL27" i="3"/>
  <c r="CU27" i="3" s="1"/>
  <c r="X27" i="3"/>
  <c r="CG27" i="3" s="1"/>
  <c r="G27" i="3"/>
  <c r="BP27" i="3" s="1"/>
  <c r="BE27" i="3"/>
  <c r="DN27" i="3" s="1"/>
  <c r="AQ27" i="3"/>
  <c r="CZ27" i="3" s="1"/>
  <c r="AA27" i="3"/>
  <c r="CJ27" i="3" s="1"/>
  <c r="Y27" i="3"/>
  <c r="CH27" i="3" s="1"/>
  <c r="K27" i="3"/>
  <c r="BT27" i="3" s="1"/>
  <c r="H27" i="3"/>
  <c r="BQ27" i="3" s="1"/>
  <c r="BL21" i="3"/>
  <c r="DU21" i="3" s="1"/>
  <c r="BB21" i="3"/>
  <c r="DK21" i="3" s="1"/>
  <c r="AR21" i="3"/>
  <c r="DA21" i="3" s="1"/>
  <c r="AH21" i="3"/>
  <c r="CQ21" i="3" s="1"/>
  <c r="X21" i="3"/>
  <c r="CG21" i="3" s="1"/>
  <c r="N21" i="3"/>
  <c r="BW21" i="3" s="1"/>
  <c r="BK21" i="3"/>
  <c r="DT21" i="3" s="1"/>
  <c r="BA21" i="3"/>
  <c r="DJ21" i="3" s="1"/>
  <c r="AQ21" i="3"/>
  <c r="CZ21" i="3" s="1"/>
  <c r="AG21" i="3"/>
  <c r="CP21" i="3" s="1"/>
  <c r="W21" i="3"/>
  <c r="CF21" i="3" s="1"/>
  <c r="M21" i="3"/>
  <c r="BV21" i="3" s="1"/>
  <c r="AZ21" i="3"/>
  <c r="DI21" i="3" s="1"/>
  <c r="AN21" i="3"/>
  <c r="CW21" i="3" s="1"/>
  <c r="AB21" i="3"/>
  <c r="CK21" i="3" s="1"/>
  <c r="P21" i="3"/>
  <c r="BY21" i="3" s="1"/>
  <c r="AY21" i="3"/>
  <c r="DH21" i="3" s="1"/>
  <c r="AM21" i="3"/>
  <c r="CV21" i="3" s="1"/>
  <c r="AA21" i="3"/>
  <c r="CJ21" i="3" s="1"/>
  <c r="O21" i="3"/>
  <c r="BX21" i="3" s="1"/>
  <c r="BJ21" i="3"/>
  <c r="DS21" i="3" s="1"/>
  <c r="AX21" i="3"/>
  <c r="DG21" i="3" s="1"/>
  <c r="AL21" i="3"/>
  <c r="CU21" i="3" s="1"/>
  <c r="Z21" i="3"/>
  <c r="CI21" i="3" s="1"/>
  <c r="L21" i="3"/>
  <c r="BU21" i="3" s="1"/>
  <c r="BI21" i="3"/>
  <c r="DR21" i="3" s="1"/>
  <c r="AW21" i="3"/>
  <c r="DF21" i="3" s="1"/>
  <c r="AK21" i="3"/>
  <c r="CT21" i="3" s="1"/>
  <c r="Y21" i="3"/>
  <c r="CH21" i="3" s="1"/>
  <c r="K21" i="3"/>
  <c r="BT21" i="3" s="1"/>
  <c r="BH21" i="3"/>
  <c r="DQ21" i="3" s="1"/>
  <c r="AV21" i="3"/>
  <c r="DE21" i="3" s="1"/>
  <c r="AJ21" i="3"/>
  <c r="CS21" i="3" s="1"/>
  <c r="V21" i="3"/>
  <c r="CE21" i="3" s="1"/>
  <c r="J21" i="3"/>
  <c r="BS21" i="3" s="1"/>
  <c r="BG21" i="3"/>
  <c r="DP21" i="3" s="1"/>
  <c r="AU21" i="3"/>
  <c r="DD21" i="3" s="1"/>
  <c r="AI21" i="3"/>
  <c r="CR21" i="3" s="1"/>
  <c r="U21" i="3"/>
  <c r="CD21" i="3" s="1"/>
  <c r="I21" i="3"/>
  <c r="BR21" i="3" s="1"/>
  <c r="BF21" i="3"/>
  <c r="DO21" i="3" s="1"/>
  <c r="AT21" i="3"/>
  <c r="DC21" i="3" s="1"/>
  <c r="AF21" i="3"/>
  <c r="CO21" i="3" s="1"/>
  <c r="T21" i="3"/>
  <c r="CC21" i="3" s="1"/>
  <c r="H21" i="3"/>
  <c r="BQ21" i="3" s="1"/>
  <c r="BC21" i="3"/>
  <c r="DL21" i="3" s="1"/>
  <c r="AO21" i="3"/>
  <c r="CX21" i="3" s="1"/>
  <c r="AC21" i="3"/>
  <c r="CL21" i="3" s="1"/>
  <c r="Q21" i="3"/>
  <c r="BZ21" i="3" s="1"/>
  <c r="E21" i="3"/>
  <c r="BN21" i="3" s="1"/>
  <c r="BD21" i="3"/>
  <c r="DM21" i="3" s="1"/>
  <c r="AS21" i="3"/>
  <c r="DB21" i="3" s="1"/>
  <c r="AP21" i="3"/>
  <c r="CY21" i="3" s="1"/>
  <c r="AE21" i="3"/>
  <c r="CN21" i="3" s="1"/>
  <c r="AD21" i="3"/>
  <c r="CM21" i="3" s="1"/>
  <c r="S21" i="3"/>
  <c r="CB21" i="3" s="1"/>
  <c r="R21" i="3"/>
  <c r="CA21" i="3" s="1"/>
  <c r="G21" i="3"/>
  <c r="BP21" i="3" s="1"/>
  <c r="F21" i="3"/>
  <c r="BO21" i="3" s="1"/>
  <c r="BE21" i="3"/>
  <c r="DN21" i="3" s="1"/>
  <c r="J11" i="2"/>
  <c r="K11" i="2" s="1"/>
  <c r="L11" i="2" s="1"/>
  <c r="J31" i="2"/>
  <c r="K31" i="2" s="1"/>
  <c r="L31" i="2" s="1"/>
  <c r="BL90" i="3"/>
  <c r="DU90" i="3" s="1"/>
  <c r="BB90" i="3"/>
  <c r="DK90" i="3" s="1"/>
  <c r="AR90" i="3"/>
  <c r="DA90" i="3" s="1"/>
  <c r="AH90" i="3"/>
  <c r="CQ90" i="3" s="1"/>
  <c r="X90" i="3"/>
  <c r="CG90" i="3" s="1"/>
  <c r="N90" i="3"/>
  <c r="BW90" i="3" s="1"/>
  <c r="BD90" i="3"/>
  <c r="DM90" i="3" s="1"/>
  <c r="AT90" i="3"/>
  <c r="DC90" i="3" s="1"/>
  <c r="AJ90" i="3"/>
  <c r="CS90" i="3" s="1"/>
  <c r="Z90" i="3"/>
  <c r="CI90" i="3" s="1"/>
  <c r="P90" i="3"/>
  <c r="BY90" i="3" s="1"/>
  <c r="F90" i="3"/>
  <c r="BO90" i="3" s="1"/>
  <c r="BC90" i="3"/>
  <c r="DL90" i="3" s="1"/>
  <c r="AS90" i="3"/>
  <c r="DB90" i="3" s="1"/>
  <c r="AI90" i="3"/>
  <c r="CR90" i="3" s="1"/>
  <c r="Y90" i="3"/>
  <c r="CH90" i="3" s="1"/>
  <c r="O90" i="3"/>
  <c r="BX90" i="3" s="1"/>
  <c r="E90" i="3"/>
  <c r="BN90" i="3" s="1"/>
  <c r="BI90" i="3"/>
  <c r="DR90" i="3" s="1"/>
  <c r="AV90" i="3"/>
  <c r="DE90" i="3" s="1"/>
  <c r="AF90" i="3"/>
  <c r="CO90" i="3" s="1"/>
  <c r="S90" i="3"/>
  <c r="CB90" i="3" s="1"/>
  <c r="BH90" i="3"/>
  <c r="DQ90" i="3" s="1"/>
  <c r="AU90" i="3"/>
  <c r="DD90" i="3" s="1"/>
  <c r="AE90" i="3"/>
  <c r="CN90" i="3" s="1"/>
  <c r="R90" i="3"/>
  <c r="CA90" i="3" s="1"/>
  <c r="AY90" i="3"/>
  <c r="DH90" i="3" s="1"/>
  <c r="AL90" i="3"/>
  <c r="CU90" i="3" s="1"/>
  <c r="V90" i="3"/>
  <c r="CE90" i="3" s="1"/>
  <c r="I90" i="3"/>
  <c r="BR90" i="3" s="1"/>
  <c r="BG90" i="3"/>
  <c r="DP90" i="3" s="1"/>
  <c r="AN90" i="3"/>
  <c r="CW90" i="3" s="1"/>
  <c r="T90" i="3"/>
  <c r="CC90" i="3" s="1"/>
  <c r="BF90" i="3"/>
  <c r="DO90" i="3" s="1"/>
  <c r="AM90" i="3"/>
  <c r="CV90" i="3" s="1"/>
  <c r="Q90" i="3"/>
  <c r="BZ90" i="3" s="1"/>
  <c r="BE90" i="3"/>
  <c r="DN90" i="3" s="1"/>
  <c r="AK90" i="3"/>
  <c r="CT90" i="3" s="1"/>
  <c r="M90" i="3"/>
  <c r="BV90" i="3" s="1"/>
  <c r="BA90" i="3"/>
  <c r="DJ90" i="3" s="1"/>
  <c r="AG90" i="3"/>
  <c r="CP90" i="3" s="1"/>
  <c r="L90" i="3"/>
  <c r="BU90" i="3" s="1"/>
  <c r="AZ90" i="3"/>
  <c r="DI90" i="3" s="1"/>
  <c r="AD90" i="3"/>
  <c r="CM90" i="3" s="1"/>
  <c r="K90" i="3"/>
  <c r="BT90" i="3" s="1"/>
  <c r="AX90" i="3"/>
  <c r="DG90" i="3" s="1"/>
  <c r="AC90" i="3"/>
  <c r="CL90" i="3" s="1"/>
  <c r="J90" i="3"/>
  <c r="BS90" i="3" s="1"/>
  <c r="AW90" i="3"/>
  <c r="DF90" i="3" s="1"/>
  <c r="AB90" i="3"/>
  <c r="CK90" i="3" s="1"/>
  <c r="H90" i="3"/>
  <c r="BQ90" i="3" s="1"/>
  <c r="AQ90" i="3"/>
  <c r="CZ90" i="3" s="1"/>
  <c r="AA90" i="3"/>
  <c r="CJ90" i="3" s="1"/>
  <c r="G90" i="3"/>
  <c r="BP90" i="3" s="1"/>
  <c r="BK90" i="3"/>
  <c r="DT90" i="3" s="1"/>
  <c r="AP90" i="3"/>
  <c r="CY90" i="3" s="1"/>
  <c r="W90" i="3"/>
  <c r="CF90" i="3" s="1"/>
  <c r="U90" i="3"/>
  <c r="CD90" i="3" s="1"/>
  <c r="BJ90" i="3"/>
  <c r="DS90" i="3" s="1"/>
  <c r="AO90" i="3"/>
  <c r="CX90" i="3" s="1"/>
  <c r="BF190" i="3"/>
  <c r="DO190" i="3" s="1"/>
  <c r="AV190" i="3"/>
  <c r="DE190" i="3" s="1"/>
  <c r="AL190" i="3"/>
  <c r="CU190" i="3" s="1"/>
  <c r="AB190" i="3"/>
  <c r="CK190" i="3" s="1"/>
  <c r="R190" i="3"/>
  <c r="CA190" i="3" s="1"/>
  <c r="H190" i="3"/>
  <c r="BQ190" i="3" s="1"/>
  <c r="BD190" i="3"/>
  <c r="DM190" i="3" s="1"/>
  <c r="AS190" i="3"/>
  <c r="DB190" i="3" s="1"/>
  <c r="AH190" i="3"/>
  <c r="CQ190" i="3" s="1"/>
  <c r="W190" i="3"/>
  <c r="CF190" i="3" s="1"/>
  <c r="L190" i="3"/>
  <c r="BU190" i="3" s="1"/>
  <c r="BC190" i="3"/>
  <c r="DL190" i="3" s="1"/>
  <c r="AR190" i="3"/>
  <c r="DA190" i="3" s="1"/>
  <c r="AG190" i="3"/>
  <c r="CP190" i="3" s="1"/>
  <c r="V190" i="3"/>
  <c r="CE190" i="3" s="1"/>
  <c r="K190" i="3"/>
  <c r="BT190" i="3" s="1"/>
  <c r="BG190" i="3"/>
  <c r="DP190" i="3" s="1"/>
  <c r="AU190" i="3"/>
  <c r="DD190" i="3" s="1"/>
  <c r="AJ190" i="3"/>
  <c r="CS190" i="3" s="1"/>
  <c r="Y190" i="3"/>
  <c r="CH190" i="3" s="1"/>
  <c r="N190" i="3"/>
  <c r="BW190" i="3" s="1"/>
  <c r="BA190" i="3"/>
  <c r="DJ190" i="3" s="1"/>
  <c r="AM190" i="3"/>
  <c r="CV190" i="3" s="1"/>
  <c r="U190" i="3"/>
  <c r="CD190" i="3" s="1"/>
  <c r="F190" i="3"/>
  <c r="BO190" i="3" s="1"/>
  <c r="AZ190" i="3"/>
  <c r="DI190" i="3" s="1"/>
  <c r="AK190" i="3"/>
  <c r="CT190" i="3" s="1"/>
  <c r="T190" i="3"/>
  <c r="CC190" i="3" s="1"/>
  <c r="E190" i="3"/>
  <c r="BN190" i="3" s="1"/>
  <c r="AY190" i="3"/>
  <c r="DH190" i="3" s="1"/>
  <c r="AI190" i="3"/>
  <c r="CR190" i="3" s="1"/>
  <c r="S190" i="3"/>
  <c r="CB190" i="3" s="1"/>
  <c r="BB190" i="3"/>
  <c r="DK190" i="3" s="1"/>
  <c r="AN190" i="3"/>
  <c r="CW190" i="3" s="1"/>
  <c r="X190" i="3"/>
  <c r="CG190" i="3" s="1"/>
  <c r="G190" i="3"/>
  <c r="BP190" i="3" s="1"/>
  <c r="BH190" i="3"/>
  <c r="DQ190" i="3" s="1"/>
  <c r="AD190" i="3"/>
  <c r="CM190" i="3" s="1"/>
  <c r="BE190" i="3"/>
  <c r="DN190" i="3" s="1"/>
  <c r="AC190" i="3"/>
  <c r="CL190" i="3" s="1"/>
  <c r="AX190" i="3"/>
  <c r="DG190" i="3" s="1"/>
  <c r="AA190" i="3"/>
  <c r="CJ190" i="3" s="1"/>
  <c r="AW190" i="3"/>
  <c r="DF190" i="3" s="1"/>
  <c r="Z190" i="3"/>
  <c r="CI190" i="3" s="1"/>
  <c r="AT190" i="3"/>
  <c r="DC190" i="3" s="1"/>
  <c r="Q190" i="3"/>
  <c r="BZ190" i="3" s="1"/>
  <c r="AQ190" i="3"/>
  <c r="CZ190" i="3" s="1"/>
  <c r="P190" i="3"/>
  <c r="BY190" i="3" s="1"/>
  <c r="BL190" i="3"/>
  <c r="DU190" i="3" s="1"/>
  <c r="AP190" i="3"/>
  <c r="CY190" i="3" s="1"/>
  <c r="O190" i="3"/>
  <c r="BX190" i="3" s="1"/>
  <c r="BJ190" i="3"/>
  <c r="DS190" i="3" s="1"/>
  <c r="AF190" i="3"/>
  <c r="CO190" i="3" s="1"/>
  <c r="J190" i="3"/>
  <c r="BS190" i="3" s="1"/>
  <c r="BI190" i="3"/>
  <c r="DR190" i="3" s="1"/>
  <c r="AO190" i="3"/>
  <c r="CX190" i="3" s="1"/>
  <c r="AE190" i="3"/>
  <c r="CN190" i="3" s="1"/>
  <c r="M190" i="3"/>
  <c r="BV190" i="3" s="1"/>
  <c r="I190" i="3"/>
  <c r="BR190" i="3" s="1"/>
  <c r="BK190" i="3"/>
  <c r="DT190" i="3" s="1"/>
  <c r="BK218" i="3"/>
  <c r="DT218" i="3" s="1"/>
  <c r="BA218" i="3"/>
  <c r="DJ218" i="3" s="1"/>
  <c r="AQ218" i="3"/>
  <c r="CZ218" i="3" s="1"/>
  <c r="AG218" i="3"/>
  <c r="CP218" i="3" s="1"/>
  <c r="W218" i="3"/>
  <c r="CF218" i="3" s="1"/>
  <c r="M218" i="3"/>
  <c r="BV218" i="3" s="1"/>
  <c r="BF218" i="3"/>
  <c r="DO218" i="3" s="1"/>
  <c r="AU218" i="3"/>
  <c r="DD218" i="3" s="1"/>
  <c r="AJ218" i="3"/>
  <c r="CS218" i="3" s="1"/>
  <c r="Y218" i="3"/>
  <c r="CH218" i="3" s="1"/>
  <c r="N218" i="3"/>
  <c r="BW218" i="3" s="1"/>
  <c r="BE218" i="3"/>
  <c r="DN218" i="3" s="1"/>
  <c r="AT218" i="3"/>
  <c r="DC218" i="3" s="1"/>
  <c r="AI218" i="3"/>
  <c r="CR218" i="3" s="1"/>
  <c r="X218" i="3"/>
  <c r="CG218" i="3" s="1"/>
  <c r="L218" i="3"/>
  <c r="BU218" i="3" s="1"/>
  <c r="BH218" i="3"/>
  <c r="DQ218" i="3" s="1"/>
  <c r="AW218" i="3"/>
  <c r="DF218" i="3" s="1"/>
  <c r="AL218" i="3"/>
  <c r="CU218" i="3" s="1"/>
  <c r="AA218" i="3"/>
  <c r="CJ218" i="3" s="1"/>
  <c r="P218" i="3"/>
  <c r="BY218" i="3" s="1"/>
  <c r="E218" i="3"/>
  <c r="BN218" i="3" s="1"/>
  <c r="BL218" i="3"/>
  <c r="DU218" i="3" s="1"/>
  <c r="AV218" i="3"/>
  <c r="DE218" i="3" s="1"/>
  <c r="AE218" i="3"/>
  <c r="CN218" i="3" s="1"/>
  <c r="Q218" i="3"/>
  <c r="BZ218" i="3" s="1"/>
  <c r="BJ218" i="3"/>
  <c r="DS218" i="3" s="1"/>
  <c r="AS218" i="3"/>
  <c r="DB218" i="3" s="1"/>
  <c r="AD218" i="3"/>
  <c r="CM218" i="3" s="1"/>
  <c r="O218" i="3"/>
  <c r="BX218" i="3" s="1"/>
  <c r="BI218" i="3"/>
  <c r="DR218" i="3" s="1"/>
  <c r="AR218" i="3"/>
  <c r="DA218" i="3" s="1"/>
  <c r="AC218" i="3"/>
  <c r="CL218" i="3" s="1"/>
  <c r="K218" i="3"/>
  <c r="BT218" i="3" s="1"/>
  <c r="BG218" i="3"/>
  <c r="DP218" i="3" s="1"/>
  <c r="AP218" i="3"/>
  <c r="CY218" i="3" s="1"/>
  <c r="AB218" i="3"/>
  <c r="CK218" i="3" s="1"/>
  <c r="J218" i="3"/>
  <c r="BS218" i="3" s="1"/>
  <c r="AY218" i="3"/>
  <c r="DH218" i="3" s="1"/>
  <c r="AH218" i="3"/>
  <c r="CQ218" i="3" s="1"/>
  <c r="S218" i="3"/>
  <c r="CB218" i="3" s="1"/>
  <c r="AX218" i="3"/>
  <c r="DG218" i="3" s="1"/>
  <c r="AF218" i="3"/>
  <c r="CO218" i="3" s="1"/>
  <c r="R218" i="3"/>
  <c r="CA218" i="3" s="1"/>
  <c r="AN218" i="3"/>
  <c r="CW218" i="3" s="1"/>
  <c r="F218" i="3"/>
  <c r="BO218" i="3" s="1"/>
  <c r="AM218" i="3"/>
  <c r="CV218" i="3" s="1"/>
  <c r="AK218" i="3"/>
  <c r="CT218" i="3" s="1"/>
  <c r="Z218" i="3"/>
  <c r="CI218" i="3" s="1"/>
  <c r="V218" i="3"/>
  <c r="CE218" i="3" s="1"/>
  <c r="BD218" i="3"/>
  <c r="DM218" i="3" s="1"/>
  <c r="U218" i="3"/>
  <c r="CD218" i="3" s="1"/>
  <c r="BC218" i="3"/>
  <c r="DL218" i="3" s="1"/>
  <c r="T218" i="3"/>
  <c r="CC218" i="3" s="1"/>
  <c r="AO218" i="3"/>
  <c r="CX218" i="3" s="1"/>
  <c r="G218" i="3"/>
  <c r="BP218" i="3" s="1"/>
  <c r="AZ218" i="3"/>
  <c r="DI218" i="3" s="1"/>
  <c r="I218" i="3"/>
  <c r="BR218" i="3" s="1"/>
  <c r="H218" i="3"/>
  <c r="BQ218" i="3" s="1"/>
  <c r="BB218" i="3"/>
  <c r="DK218" i="3" s="1"/>
  <c r="BJ257" i="3"/>
  <c r="DS257" i="3" s="1"/>
  <c r="AZ257" i="3"/>
  <c r="DI257" i="3" s="1"/>
  <c r="AP257" i="3"/>
  <c r="CY257" i="3" s="1"/>
  <c r="AF257" i="3"/>
  <c r="CO257" i="3" s="1"/>
  <c r="V257" i="3"/>
  <c r="CE257" i="3" s="1"/>
  <c r="L257" i="3"/>
  <c r="BU257" i="3" s="1"/>
  <c r="BI257" i="3"/>
  <c r="DR257" i="3" s="1"/>
  <c r="AY257" i="3"/>
  <c r="DH257" i="3" s="1"/>
  <c r="AO257" i="3"/>
  <c r="CX257" i="3" s="1"/>
  <c r="AE257" i="3"/>
  <c r="CN257" i="3" s="1"/>
  <c r="U257" i="3"/>
  <c r="CD257" i="3" s="1"/>
  <c r="K257" i="3"/>
  <c r="BT257" i="3" s="1"/>
  <c r="BL257" i="3"/>
  <c r="DU257" i="3" s="1"/>
  <c r="BB257" i="3"/>
  <c r="DK257" i="3" s="1"/>
  <c r="AR257" i="3"/>
  <c r="DA257" i="3" s="1"/>
  <c r="AH257" i="3"/>
  <c r="CQ257" i="3" s="1"/>
  <c r="X257" i="3"/>
  <c r="CG257" i="3" s="1"/>
  <c r="N257" i="3"/>
  <c r="BW257" i="3" s="1"/>
  <c r="BD257" i="3"/>
  <c r="DM257" i="3" s="1"/>
  <c r="AN257" i="3"/>
  <c r="CW257" i="3" s="1"/>
  <c r="AA257" i="3"/>
  <c r="CJ257" i="3" s="1"/>
  <c r="M257" i="3"/>
  <c r="BV257" i="3" s="1"/>
  <c r="BC257" i="3"/>
  <c r="DL257" i="3" s="1"/>
  <c r="AM257" i="3"/>
  <c r="CV257" i="3" s="1"/>
  <c r="Z257" i="3"/>
  <c r="CI257" i="3" s="1"/>
  <c r="J257" i="3"/>
  <c r="BS257" i="3" s="1"/>
  <c r="BA257" i="3"/>
  <c r="DJ257" i="3" s="1"/>
  <c r="AL257" i="3"/>
  <c r="CU257" i="3" s="1"/>
  <c r="Y257" i="3"/>
  <c r="CH257" i="3" s="1"/>
  <c r="I257" i="3"/>
  <c r="BR257" i="3" s="1"/>
  <c r="BE257" i="3"/>
  <c r="DN257" i="3" s="1"/>
  <c r="AQ257" i="3"/>
  <c r="CZ257" i="3" s="1"/>
  <c r="AB257" i="3"/>
  <c r="CK257" i="3" s="1"/>
  <c r="O257" i="3"/>
  <c r="BX257" i="3" s="1"/>
  <c r="AU257" i="3"/>
  <c r="DD257" i="3" s="1"/>
  <c r="T257" i="3"/>
  <c r="CC257" i="3" s="1"/>
  <c r="AT257" i="3"/>
  <c r="DC257" i="3" s="1"/>
  <c r="S257" i="3"/>
  <c r="CB257" i="3" s="1"/>
  <c r="AS257" i="3"/>
  <c r="DB257" i="3" s="1"/>
  <c r="R257" i="3"/>
  <c r="CA257" i="3" s="1"/>
  <c r="BK257" i="3"/>
  <c r="DT257" i="3" s="1"/>
  <c r="AK257" i="3"/>
  <c r="CT257" i="3" s="1"/>
  <c r="Q257" i="3"/>
  <c r="BZ257" i="3" s="1"/>
  <c r="BH257" i="3"/>
  <c r="DQ257" i="3" s="1"/>
  <c r="AJ257" i="3"/>
  <c r="CS257" i="3" s="1"/>
  <c r="P257" i="3"/>
  <c r="BY257" i="3" s="1"/>
  <c r="BG257" i="3"/>
  <c r="DP257" i="3" s="1"/>
  <c r="AI257" i="3"/>
  <c r="CR257" i="3" s="1"/>
  <c r="H257" i="3"/>
  <c r="BQ257" i="3" s="1"/>
  <c r="AW257" i="3"/>
  <c r="DF257" i="3" s="1"/>
  <c r="AC257" i="3"/>
  <c r="CL257" i="3" s="1"/>
  <c r="E257" i="3"/>
  <c r="BN257" i="3" s="1"/>
  <c r="AX257" i="3"/>
  <c r="DG257" i="3" s="1"/>
  <c r="AV257" i="3"/>
  <c r="DE257" i="3" s="1"/>
  <c r="AG257" i="3"/>
  <c r="CP257" i="3" s="1"/>
  <c r="AD257" i="3"/>
  <c r="CM257" i="3" s="1"/>
  <c r="BF257" i="3"/>
  <c r="DO257" i="3" s="1"/>
  <c r="W257" i="3"/>
  <c r="CF257" i="3" s="1"/>
  <c r="G257" i="3"/>
  <c r="BP257" i="3" s="1"/>
  <c r="F257" i="3"/>
  <c r="BO257" i="3" s="1"/>
  <c r="K253" i="2"/>
  <c r="L253" i="2" s="1"/>
  <c r="BD335" i="3"/>
  <c r="DM335" i="3" s="1"/>
  <c r="AT335" i="3"/>
  <c r="DC335" i="3" s="1"/>
  <c r="AJ335" i="3"/>
  <c r="CS335" i="3" s="1"/>
  <c r="Z335" i="3"/>
  <c r="CI335" i="3" s="1"/>
  <c r="P335" i="3"/>
  <c r="BY335" i="3" s="1"/>
  <c r="F335" i="3"/>
  <c r="BO335" i="3" s="1"/>
  <c r="BL335" i="3"/>
  <c r="DU335" i="3" s="1"/>
  <c r="BA335" i="3"/>
  <c r="DJ335" i="3" s="1"/>
  <c r="AP335" i="3"/>
  <c r="CY335" i="3" s="1"/>
  <c r="AE335" i="3"/>
  <c r="CN335" i="3" s="1"/>
  <c r="T335" i="3"/>
  <c r="CC335" i="3" s="1"/>
  <c r="I335" i="3"/>
  <c r="BR335" i="3" s="1"/>
  <c r="BK335" i="3"/>
  <c r="DT335" i="3" s="1"/>
  <c r="AZ335" i="3"/>
  <c r="DI335" i="3" s="1"/>
  <c r="AO335" i="3"/>
  <c r="CX335" i="3" s="1"/>
  <c r="AD335" i="3"/>
  <c r="CM335" i="3" s="1"/>
  <c r="S335" i="3"/>
  <c r="CB335" i="3" s="1"/>
  <c r="H335" i="3"/>
  <c r="BQ335" i="3" s="1"/>
  <c r="BC335" i="3"/>
  <c r="DL335" i="3" s="1"/>
  <c r="AR335" i="3"/>
  <c r="DA335" i="3" s="1"/>
  <c r="AG335" i="3"/>
  <c r="CP335" i="3" s="1"/>
  <c r="V335" i="3"/>
  <c r="CE335" i="3" s="1"/>
  <c r="K335" i="3"/>
  <c r="BT335" i="3" s="1"/>
  <c r="BG335" i="3"/>
  <c r="DP335" i="3" s="1"/>
  <c r="AQ335" i="3"/>
  <c r="CZ335" i="3" s="1"/>
  <c r="AA335" i="3"/>
  <c r="CJ335" i="3" s="1"/>
  <c r="L335" i="3"/>
  <c r="BU335" i="3" s="1"/>
  <c r="AX335" i="3"/>
  <c r="DG335" i="3" s="1"/>
  <c r="AH335" i="3"/>
  <c r="CQ335" i="3" s="1"/>
  <c r="O335" i="3"/>
  <c r="BX335" i="3" s="1"/>
  <c r="AW335" i="3"/>
  <c r="DF335" i="3" s="1"/>
  <c r="AF335" i="3"/>
  <c r="CO335" i="3" s="1"/>
  <c r="N335" i="3"/>
  <c r="BW335" i="3" s="1"/>
  <c r="BB335" i="3"/>
  <c r="DK335" i="3" s="1"/>
  <c r="AK335" i="3"/>
  <c r="CT335" i="3" s="1"/>
  <c r="R335" i="3"/>
  <c r="CA335" i="3" s="1"/>
  <c r="BH335" i="3"/>
  <c r="DQ335" i="3" s="1"/>
  <c r="AI335" i="3"/>
  <c r="CR335" i="3" s="1"/>
  <c r="G335" i="3"/>
  <c r="BP335" i="3" s="1"/>
  <c r="BF335" i="3"/>
  <c r="DO335" i="3" s="1"/>
  <c r="AC335" i="3"/>
  <c r="CL335" i="3" s="1"/>
  <c r="E335" i="3"/>
  <c r="BN335" i="3" s="1"/>
  <c r="BE335" i="3"/>
  <c r="DN335" i="3" s="1"/>
  <c r="AB335" i="3"/>
  <c r="CK335" i="3" s="1"/>
  <c r="AY335" i="3"/>
  <c r="DH335" i="3" s="1"/>
  <c r="Y335" i="3"/>
  <c r="CH335" i="3" s="1"/>
  <c r="AV335" i="3"/>
  <c r="DE335" i="3" s="1"/>
  <c r="X335" i="3"/>
  <c r="CG335" i="3" s="1"/>
  <c r="AU335" i="3"/>
  <c r="DD335" i="3" s="1"/>
  <c r="W335" i="3"/>
  <c r="CF335" i="3" s="1"/>
  <c r="AS335" i="3"/>
  <c r="DB335" i="3" s="1"/>
  <c r="U335" i="3"/>
  <c r="CD335" i="3" s="1"/>
  <c r="AN335" i="3"/>
  <c r="CW335" i="3" s="1"/>
  <c r="Q335" i="3"/>
  <c r="BZ335" i="3" s="1"/>
  <c r="BJ335" i="3"/>
  <c r="DS335" i="3" s="1"/>
  <c r="AM335" i="3"/>
  <c r="CV335" i="3" s="1"/>
  <c r="M335" i="3"/>
  <c r="BV335" i="3" s="1"/>
  <c r="AL335" i="3"/>
  <c r="CU335" i="3" s="1"/>
  <c r="BI335" i="3"/>
  <c r="DR335" i="3" s="1"/>
  <c r="J335" i="3"/>
  <c r="BS335" i="3" s="1"/>
  <c r="J106" i="2"/>
  <c r="K106" i="2" s="1"/>
  <c r="L106" i="2" s="1"/>
  <c r="J43" i="2"/>
  <c r="K43" i="2" s="1"/>
  <c r="L43" i="2" s="1"/>
  <c r="BF74" i="3"/>
  <c r="DO74" i="3" s="1"/>
  <c r="AV74" i="3"/>
  <c r="DE74" i="3" s="1"/>
  <c r="AL74" i="3"/>
  <c r="CU74" i="3" s="1"/>
  <c r="AB74" i="3"/>
  <c r="CK74" i="3" s="1"/>
  <c r="R74" i="3"/>
  <c r="CA74" i="3" s="1"/>
  <c r="H74" i="3"/>
  <c r="BQ74" i="3" s="1"/>
  <c r="BC74" i="3"/>
  <c r="DL74" i="3" s="1"/>
  <c r="AR74" i="3"/>
  <c r="DA74" i="3" s="1"/>
  <c r="AG74" i="3"/>
  <c r="CP74" i="3" s="1"/>
  <c r="V74" i="3"/>
  <c r="CE74" i="3" s="1"/>
  <c r="K74" i="3"/>
  <c r="BT74" i="3" s="1"/>
  <c r="BB74" i="3"/>
  <c r="DK74" i="3" s="1"/>
  <c r="AQ74" i="3"/>
  <c r="CZ74" i="3" s="1"/>
  <c r="AF74" i="3"/>
  <c r="CO74" i="3" s="1"/>
  <c r="U74" i="3"/>
  <c r="CD74" i="3" s="1"/>
  <c r="J74" i="3"/>
  <c r="BS74" i="3" s="1"/>
  <c r="BL74" i="3"/>
  <c r="DU74" i="3" s="1"/>
  <c r="BA74" i="3"/>
  <c r="DJ74" i="3" s="1"/>
  <c r="AP74" i="3"/>
  <c r="CY74" i="3" s="1"/>
  <c r="AE74" i="3"/>
  <c r="CN74" i="3" s="1"/>
  <c r="T74" i="3"/>
  <c r="CC74" i="3" s="1"/>
  <c r="I74" i="3"/>
  <c r="BR74" i="3" s="1"/>
  <c r="BK74" i="3"/>
  <c r="DT74" i="3" s="1"/>
  <c r="AZ74" i="3"/>
  <c r="DI74" i="3" s="1"/>
  <c r="AO74" i="3"/>
  <c r="CX74" i="3" s="1"/>
  <c r="AD74" i="3"/>
  <c r="CM74" i="3" s="1"/>
  <c r="S74" i="3"/>
  <c r="CB74" i="3" s="1"/>
  <c r="G74" i="3"/>
  <c r="BP74" i="3" s="1"/>
  <c r="BE74" i="3"/>
  <c r="DN74" i="3" s="1"/>
  <c r="AT74" i="3"/>
  <c r="DC74" i="3" s="1"/>
  <c r="AI74" i="3"/>
  <c r="CR74" i="3" s="1"/>
  <c r="X74" i="3"/>
  <c r="CG74" i="3" s="1"/>
  <c r="M74" i="3"/>
  <c r="BV74" i="3" s="1"/>
  <c r="AX74" i="3"/>
  <c r="DG74" i="3" s="1"/>
  <c r="AA74" i="3"/>
  <c r="CJ74" i="3" s="1"/>
  <c r="E74" i="3"/>
  <c r="BN74" i="3" s="1"/>
  <c r="AW74" i="3"/>
  <c r="DF74" i="3" s="1"/>
  <c r="Z74" i="3"/>
  <c r="CI74" i="3" s="1"/>
  <c r="AU74" i="3"/>
  <c r="DD74" i="3" s="1"/>
  <c r="Y74" i="3"/>
  <c r="CH74" i="3" s="1"/>
  <c r="AS74" i="3"/>
  <c r="DB74" i="3" s="1"/>
  <c r="W74" i="3"/>
  <c r="CF74" i="3" s="1"/>
  <c r="BJ74" i="3"/>
  <c r="DS74" i="3" s="1"/>
  <c r="AN74" i="3"/>
  <c r="CW74" i="3" s="1"/>
  <c r="Q74" i="3"/>
  <c r="BZ74" i="3" s="1"/>
  <c r="BI74" i="3"/>
  <c r="DR74" i="3" s="1"/>
  <c r="AM74" i="3"/>
  <c r="CV74" i="3" s="1"/>
  <c r="P74" i="3"/>
  <c r="BY74" i="3" s="1"/>
  <c r="BH74" i="3"/>
  <c r="DQ74" i="3" s="1"/>
  <c r="AK74" i="3"/>
  <c r="CT74" i="3" s="1"/>
  <c r="O74" i="3"/>
  <c r="BX74" i="3" s="1"/>
  <c r="BG74" i="3"/>
  <c r="DP74" i="3" s="1"/>
  <c r="AJ74" i="3"/>
  <c r="CS74" i="3" s="1"/>
  <c r="N74" i="3"/>
  <c r="BW74" i="3" s="1"/>
  <c r="BD74" i="3"/>
  <c r="DM74" i="3" s="1"/>
  <c r="AH74" i="3"/>
  <c r="CQ74" i="3" s="1"/>
  <c r="L74" i="3"/>
  <c r="BU74" i="3" s="1"/>
  <c r="AY74" i="3"/>
  <c r="DH74" i="3" s="1"/>
  <c r="AC74" i="3"/>
  <c r="CL74" i="3" s="1"/>
  <c r="F74" i="3"/>
  <c r="BO74" i="3" s="1"/>
  <c r="J143" i="2"/>
  <c r="K143" i="2" s="1"/>
  <c r="L143" i="2" s="1"/>
  <c r="BJ174" i="3"/>
  <c r="DS174" i="3" s="1"/>
  <c r="AZ174" i="3"/>
  <c r="DI174" i="3" s="1"/>
  <c r="AP174" i="3"/>
  <c r="CY174" i="3" s="1"/>
  <c r="AF174" i="3"/>
  <c r="CO174" i="3" s="1"/>
  <c r="V174" i="3"/>
  <c r="CE174" i="3" s="1"/>
  <c r="L174" i="3"/>
  <c r="BU174" i="3" s="1"/>
  <c r="BI174" i="3"/>
  <c r="DR174" i="3" s="1"/>
  <c r="AY174" i="3"/>
  <c r="DH174" i="3" s="1"/>
  <c r="AO174" i="3"/>
  <c r="CX174" i="3" s="1"/>
  <c r="AE174" i="3"/>
  <c r="CN174" i="3" s="1"/>
  <c r="U174" i="3"/>
  <c r="CD174" i="3" s="1"/>
  <c r="K174" i="3"/>
  <c r="BT174" i="3" s="1"/>
  <c r="BF174" i="3"/>
  <c r="DO174" i="3" s="1"/>
  <c r="AT174" i="3"/>
  <c r="DC174" i="3" s="1"/>
  <c r="AH174" i="3"/>
  <c r="CQ174" i="3" s="1"/>
  <c r="T174" i="3"/>
  <c r="CC174" i="3" s="1"/>
  <c r="H174" i="3"/>
  <c r="BQ174" i="3" s="1"/>
  <c r="BG174" i="3"/>
  <c r="DP174" i="3" s="1"/>
  <c r="AS174" i="3"/>
  <c r="DB174" i="3" s="1"/>
  <c r="AD174" i="3"/>
  <c r="CM174" i="3" s="1"/>
  <c r="Q174" i="3"/>
  <c r="BZ174" i="3" s="1"/>
  <c r="BE174" i="3"/>
  <c r="DN174" i="3" s="1"/>
  <c r="AR174" i="3"/>
  <c r="DA174" i="3" s="1"/>
  <c r="AC174" i="3"/>
  <c r="CL174" i="3" s="1"/>
  <c r="P174" i="3"/>
  <c r="BY174" i="3" s="1"/>
  <c r="BD174" i="3"/>
  <c r="DM174" i="3" s="1"/>
  <c r="AQ174" i="3"/>
  <c r="CZ174" i="3" s="1"/>
  <c r="AB174" i="3"/>
  <c r="CK174" i="3" s="1"/>
  <c r="O174" i="3"/>
  <c r="BX174" i="3" s="1"/>
  <c r="BC174" i="3"/>
  <c r="DL174" i="3" s="1"/>
  <c r="AN174" i="3"/>
  <c r="CW174" i="3" s="1"/>
  <c r="AA174" i="3"/>
  <c r="CJ174" i="3" s="1"/>
  <c r="N174" i="3"/>
  <c r="BW174" i="3" s="1"/>
  <c r="BK174" i="3"/>
  <c r="DT174" i="3" s="1"/>
  <c r="AV174" i="3"/>
  <c r="DE174" i="3" s="1"/>
  <c r="AI174" i="3"/>
  <c r="CR174" i="3" s="1"/>
  <c r="S174" i="3"/>
  <c r="CB174" i="3" s="1"/>
  <c r="F174" i="3"/>
  <c r="BO174" i="3" s="1"/>
  <c r="BL174" i="3"/>
  <c r="DU174" i="3" s="1"/>
  <c r="AJ174" i="3"/>
  <c r="CS174" i="3" s="1"/>
  <c r="G174" i="3"/>
  <c r="BP174" i="3" s="1"/>
  <c r="BH174" i="3"/>
  <c r="DQ174" i="3" s="1"/>
  <c r="AG174" i="3"/>
  <c r="CP174" i="3" s="1"/>
  <c r="E174" i="3"/>
  <c r="BN174" i="3" s="1"/>
  <c r="BB174" i="3"/>
  <c r="DK174" i="3" s="1"/>
  <c r="Z174" i="3"/>
  <c r="CI174" i="3" s="1"/>
  <c r="BA174" i="3"/>
  <c r="DJ174" i="3" s="1"/>
  <c r="Y174" i="3"/>
  <c r="CH174" i="3" s="1"/>
  <c r="AW174" i="3"/>
  <c r="DF174" i="3" s="1"/>
  <c r="AL174" i="3"/>
  <c r="CU174" i="3" s="1"/>
  <c r="J174" i="3"/>
  <c r="BS174" i="3" s="1"/>
  <c r="AK174" i="3"/>
  <c r="CT174" i="3" s="1"/>
  <c r="I174" i="3"/>
  <c r="BR174" i="3" s="1"/>
  <c r="AX174" i="3"/>
  <c r="DG174" i="3" s="1"/>
  <c r="AU174" i="3"/>
  <c r="DD174" i="3" s="1"/>
  <c r="AM174" i="3"/>
  <c r="CV174" i="3" s="1"/>
  <c r="X174" i="3"/>
  <c r="CG174" i="3" s="1"/>
  <c r="R174" i="3"/>
  <c r="CA174" i="3" s="1"/>
  <c r="M174" i="3"/>
  <c r="BV174" i="3" s="1"/>
  <c r="W174" i="3"/>
  <c r="CF174" i="3" s="1"/>
  <c r="J170" i="2"/>
  <c r="K170" i="2" s="1"/>
  <c r="L170" i="2" s="1"/>
  <c r="BJ88" i="3"/>
  <c r="DS88" i="3" s="1"/>
  <c r="AZ88" i="3"/>
  <c r="DI88" i="3" s="1"/>
  <c r="AP88" i="3"/>
  <c r="CY88" i="3" s="1"/>
  <c r="AF88" i="3"/>
  <c r="CO88" i="3" s="1"/>
  <c r="V88" i="3"/>
  <c r="CE88" i="3" s="1"/>
  <c r="L88" i="3"/>
  <c r="BU88" i="3" s="1"/>
  <c r="BL88" i="3"/>
  <c r="DU88" i="3" s="1"/>
  <c r="BB88" i="3"/>
  <c r="DK88" i="3" s="1"/>
  <c r="AR88" i="3"/>
  <c r="DA88" i="3" s="1"/>
  <c r="AH88" i="3"/>
  <c r="CQ88" i="3" s="1"/>
  <c r="X88" i="3"/>
  <c r="CG88" i="3" s="1"/>
  <c r="N88" i="3"/>
  <c r="BW88" i="3" s="1"/>
  <c r="BK88" i="3"/>
  <c r="DT88" i="3" s="1"/>
  <c r="BA88" i="3"/>
  <c r="DJ88" i="3" s="1"/>
  <c r="AQ88" i="3"/>
  <c r="CZ88" i="3" s="1"/>
  <c r="AG88" i="3"/>
  <c r="CP88" i="3" s="1"/>
  <c r="W88" i="3"/>
  <c r="CF88" i="3" s="1"/>
  <c r="M88" i="3"/>
  <c r="BV88" i="3" s="1"/>
  <c r="AY88" i="3"/>
  <c r="DH88" i="3" s="1"/>
  <c r="AL88" i="3"/>
  <c r="CU88" i="3" s="1"/>
  <c r="Y88" i="3"/>
  <c r="CH88" i="3" s="1"/>
  <c r="I88" i="3"/>
  <c r="BR88" i="3" s="1"/>
  <c r="AX88" i="3"/>
  <c r="DG88" i="3" s="1"/>
  <c r="AK88" i="3"/>
  <c r="CT88" i="3" s="1"/>
  <c r="U88" i="3"/>
  <c r="CD88" i="3" s="1"/>
  <c r="H88" i="3"/>
  <c r="BQ88" i="3" s="1"/>
  <c r="BE88" i="3"/>
  <c r="DN88" i="3" s="1"/>
  <c r="AO88" i="3"/>
  <c r="CX88" i="3" s="1"/>
  <c r="AB88" i="3"/>
  <c r="CK88" i="3" s="1"/>
  <c r="O88" i="3"/>
  <c r="BX88" i="3" s="1"/>
  <c r="BI88" i="3"/>
  <c r="DR88" i="3" s="1"/>
  <c r="AS88" i="3"/>
  <c r="DB88" i="3" s="1"/>
  <c r="T88" i="3"/>
  <c r="CC88" i="3" s="1"/>
  <c r="BH88" i="3"/>
  <c r="DQ88" i="3" s="1"/>
  <c r="AN88" i="3"/>
  <c r="CW88" i="3" s="1"/>
  <c r="S88" i="3"/>
  <c r="CB88" i="3" s="1"/>
  <c r="BG88" i="3"/>
  <c r="DP88" i="3" s="1"/>
  <c r="AM88" i="3"/>
  <c r="CV88" i="3" s="1"/>
  <c r="R88" i="3"/>
  <c r="CA88" i="3" s="1"/>
  <c r="BF88" i="3"/>
  <c r="DO88" i="3" s="1"/>
  <c r="AJ88" i="3"/>
  <c r="CS88" i="3" s="1"/>
  <c r="Q88" i="3"/>
  <c r="BZ88" i="3" s="1"/>
  <c r="BD88" i="3"/>
  <c r="DM88" i="3" s="1"/>
  <c r="AI88" i="3"/>
  <c r="CR88" i="3" s="1"/>
  <c r="P88" i="3"/>
  <c r="BY88" i="3" s="1"/>
  <c r="BC88" i="3"/>
  <c r="DL88" i="3" s="1"/>
  <c r="AE88" i="3"/>
  <c r="CN88" i="3" s="1"/>
  <c r="K88" i="3"/>
  <c r="BT88" i="3" s="1"/>
  <c r="AW88" i="3"/>
  <c r="DF88" i="3" s="1"/>
  <c r="AD88" i="3"/>
  <c r="CM88" i="3" s="1"/>
  <c r="J88" i="3"/>
  <c r="BS88" i="3" s="1"/>
  <c r="AV88" i="3"/>
  <c r="DE88" i="3" s="1"/>
  <c r="AC88" i="3"/>
  <c r="CL88" i="3" s="1"/>
  <c r="G88" i="3"/>
  <c r="BP88" i="3" s="1"/>
  <c r="AU88" i="3"/>
  <c r="DD88" i="3" s="1"/>
  <c r="AA88" i="3"/>
  <c r="CJ88" i="3" s="1"/>
  <c r="F88" i="3"/>
  <c r="BO88" i="3" s="1"/>
  <c r="AT88" i="3"/>
  <c r="DC88" i="3" s="1"/>
  <c r="Z88" i="3"/>
  <c r="CI88" i="3" s="1"/>
  <c r="E88" i="3"/>
  <c r="BN88" i="3" s="1"/>
  <c r="BC235" i="3"/>
  <c r="DL235" i="3" s="1"/>
  <c r="AS235" i="3"/>
  <c r="DB235" i="3" s="1"/>
  <c r="AI235" i="3"/>
  <c r="CR235" i="3" s="1"/>
  <c r="Y235" i="3"/>
  <c r="CH235" i="3" s="1"/>
  <c r="O235" i="3"/>
  <c r="BX235" i="3" s="1"/>
  <c r="E235" i="3"/>
  <c r="BN235" i="3" s="1"/>
  <c r="BL235" i="3"/>
  <c r="DU235" i="3" s="1"/>
  <c r="BB235" i="3"/>
  <c r="DK235" i="3" s="1"/>
  <c r="AR235" i="3"/>
  <c r="DA235" i="3" s="1"/>
  <c r="AH235" i="3"/>
  <c r="CQ235" i="3" s="1"/>
  <c r="X235" i="3"/>
  <c r="CG235" i="3" s="1"/>
  <c r="N235" i="3"/>
  <c r="BW235" i="3" s="1"/>
  <c r="BE235" i="3"/>
  <c r="DN235" i="3" s="1"/>
  <c r="AU235" i="3"/>
  <c r="DD235" i="3" s="1"/>
  <c r="AK235" i="3"/>
  <c r="CT235" i="3" s="1"/>
  <c r="AA235" i="3"/>
  <c r="CJ235" i="3" s="1"/>
  <c r="Q235" i="3"/>
  <c r="BZ235" i="3" s="1"/>
  <c r="G235" i="3"/>
  <c r="BP235" i="3" s="1"/>
  <c r="BI235" i="3"/>
  <c r="DR235" i="3" s="1"/>
  <c r="AV235" i="3"/>
  <c r="DE235" i="3" s="1"/>
  <c r="AF235" i="3"/>
  <c r="CO235" i="3" s="1"/>
  <c r="S235" i="3"/>
  <c r="CB235" i="3" s="1"/>
  <c r="BH235" i="3"/>
  <c r="DQ235" i="3" s="1"/>
  <c r="AT235" i="3"/>
  <c r="DC235" i="3" s="1"/>
  <c r="AE235" i="3"/>
  <c r="CN235" i="3" s="1"/>
  <c r="R235" i="3"/>
  <c r="CA235" i="3" s="1"/>
  <c r="BK235" i="3"/>
  <c r="DT235" i="3" s="1"/>
  <c r="AX235" i="3"/>
  <c r="DG235" i="3" s="1"/>
  <c r="AJ235" i="3"/>
  <c r="CS235" i="3" s="1"/>
  <c r="U235" i="3"/>
  <c r="CD235" i="3" s="1"/>
  <c r="H235" i="3"/>
  <c r="BQ235" i="3" s="1"/>
  <c r="AY235" i="3"/>
  <c r="DH235" i="3" s="1"/>
  <c r="AC235" i="3"/>
  <c r="CL235" i="3" s="1"/>
  <c r="J235" i="3"/>
  <c r="BS235" i="3" s="1"/>
  <c r="AW235" i="3"/>
  <c r="DF235" i="3" s="1"/>
  <c r="AB235" i="3"/>
  <c r="CK235" i="3" s="1"/>
  <c r="I235" i="3"/>
  <c r="BR235" i="3" s="1"/>
  <c r="AQ235" i="3"/>
  <c r="CZ235" i="3" s="1"/>
  <c r="Z235" i="3"/>
  <c r="CI235" i="3" s="1"/>
  <c r="F235" i="3"/>
  <c r="BO235" i="3" s="1"/>
  <c r="BA235" i="3"/>
  <c r="DJ235" i="3" s="1"/>
  <c r="V235" i="3"/>
  <c r="CE235" i="3" s="1"/>
  <c r="AZ235" i="3"/>
  <c r="DI235" i="3" s="1"/>
  <c r="T235" i="3"/>
  <c r="CC235" i="3" s="1"/>
  <c r="AP235" i="3"/>
  <c r="CY235" i="3" s="1"/>
  <c r="P235" i="3"/>
  <c r="BY235" i="3" s="1"/>
  <c r="AO235" i="3"/>
  <c r="CX235" i="3" s="1"/>
  <c r="M235" i="3"/>
  <c r="BV235" i="3" s="1"/>
  <c r="AN235" i="3"/>
  <c r="CW235" i="3" s="1"/>
  <c r="L235" i="3"/>
  <c r="BU235" i="3" s="1"/>
  <c r="AM235" i="3"/>
  <c r="CV235" i="3" s="1"/>
  <c r="K235" i="3"/>
  <c r="BT235" i="3" s="1"/>
  <c r="BJ235" i="3"/>
  <c r="DS235" i="3" s="1"/>
  <c r="AL235" i="3"/>
  <c r="CU235" i="3" s="1"/>
  <c r="BG235" i="3"/>
  <c r="DP235" i="3" s="1"/>
  <c r="AG235" i="3"/>
  <c r="CP235" i="3" s="1"/>
  <c r="BF235" i="3"/>
  <c r="DO235" i="3" s="1"/>
  <c r="AD235" i="3"/>
  <c r="CM235" i="3" s="1"/>
  <c r="BD235" i="3"/>
  <c r="DM235" i="3" s="1"/>
  <c r="W235" i="3"/>
  <c r="CF235" i="3" s="1"/>
  <c r="BI265" i="3"/>
  <c r="DR265" i="3" s="1"/>
  <c r="AY265" i="3"/>
  <c r="DH265" i="3" s="1"/>
  <c r="AO265" i="3"/>
  <c r="CX265" i="3" s="1"/>
  <c r="AE265" i="3"/>
  <c r="CN265" i="3" s="1"/>
  <c r="U265" i="3"/>
  <c r="CD265" i="3" s="1"/>
  <c r="K265" i="3"/>
  <c r="BT265" i="3" s="1"/>
  <c r="BG265" i="3"/>
  <c r="DP265" i="3" s="1"/>
  <c r="AV265" i="3"/>
  <c r="DE265" i="3" s="1"/>
  <c r="AK265" i="3"/>
  <c r="CT265" i="3" s="1"/>
  <c r="Z265" i="3"/>
  <c r="CI265" i="3" s="1"/>
  <c r="O265" i="3"/>
  <c r="BX265" i="3" s="1"/>
  <c r="BF265" i="3"/>
  <c r="DO265" i="3" s="1"/>
  <c r="AU265" i="3"/>
  <c r="DD265" i="3" s="1"/>
  <c r="AJ265" i="3"/>
  <c r="CS265" i="3" s="1"/>
  <c r="Y265" i="3"/>
  <c r="CH265" i="3" s="1"/>
  <c r="N265" i="3"/>
  <c r="BW265" i="3" s="1"/>
  <c r="BJ265" i="3"/>
  <c r="DS265" i="3" s="1"/>
  <c r="AX265" i="3"/>
  <c r="DG265" i="3" s="1"/>
  <c r="AM265" i="3"/>
  <c r="CV265" i="3" s="1"/>
  <c r="AB265" i="3"/>
  <c r="CK265" i="3" s="1"/>
  <c r="Q265" i="3"/>
  <c r="BZ265" i="3" s="1"/>
  <c r="F265" i="3"/>
  <c r="BO265" i="3" s="1"/>
  <c r="BB265" i="3"/>
  <c r="DK265" i="3" s="1"/>
  <c r="AL265" i="3"/>
  <c r="CU265" i="3" s="1"/>
  <c r="V265" i="3"/>
  <c r="CE265" i="3" s="1"/>
  <c r="G265" i="3"/>
  <c r="BP265" i="3" s="1"/>
  <c r="BA265" i="3"/>
  <c r="DJ265" i="3" s="1"/>
  <c r="AI265" i="3"/>
  <c r="CR265" i="3" s="1"/>
  <c r="T265" i="3"/>
  <c r="CC265" i="3" s="1"/>
  <c r="E265" i="3"/>
  <c r="BN265" i="3" s="1"/>
  <c r="AZ265" i="3"/>
  <c r="DI265" i="3" s="1"/>
  <c r="AH265" i="3"/>
  <c r="CQ265" i="3" s="1"/>
  <c r="S265" i="3"/>
  <c r="CB265" i="3" s="1"/>
  <c r="AW265" i="3"/>
  <c r="DF265" i="3" s="1"/>
  <c r="AG265" i="3"/>
  <c r="CP265" i="3" s="1"/>
  <c r="R265" i="3"/>
  <c r="CA265" i="3" s="1"/>
  <c r="BC265" i="3"/>
  <c r="DL265" i="3" s="1"/>
  <c r="AN265" i="3"/>
  <c r="CW265" i="3" s="1"/>
  <c r="W265" i="3"/>
  <c r="CF265" i="3" s="1"/>
  <c r="H265" i="3"/>
  <c r="BQ265" i="3" s="1"/>
  <c r="AQ265" i="3"/>
  <c r="CZ265" i="3" s="1"/>
  <c r="J265" i="3"/>
  <c r="BS265" i="3" s="1"/>
  <c r="AP265" i="3"/>
  <c r="CY265" i="3" s="1"/>
  <c r="I265" i="3"/>
  <c r="BR265" i="3" s="1"/>
  <c r="BL265" i="3"/>
  <c r="DU265" i="3" s="1"/>
  <c r="AF265" i="3"/>
  <c r="CO265" i="3" s="1"/>
  <c r="BK265" i="3"/>
  <c r="DT265" i="3" s="1"/>
  <c r="AD265" i="3"/>
  <c r="CM265" i="3" s="1"/>
  <c r="BH265" i="3"/>
  <c r="DQ265" i="3" s="1"/>
  <c r="AC265" i="3"/>
  <c r="CL265" i="3" s="1"/>
  <c r="BE265" i="3"/>
  <c r="DN265" i="3" s="1"/>
  <c r="AA265" i="3"/>
  <c r="CJ265" i="3" s="1"/>
  <c r="BD265" i="3"/>
  <c r="DM265" i="3" s="1"/>
  <c r="X265" i="3"/>
  <c r="CG265" i="3" s="1"/>
  <c r="AT265" i="3"/>
  <c r="DC265" i="3" s="1"/>
  <c r="P265" i="3"/>
  <c r="BY265" i="3" s="1"/>
  <c r="AS265" i="3"/>
  <c r="DB265" i="3" s="1"/>
  <c r="M265" i="3"/>
  <c r="BV265" i="3" s="1"/>
  <c r="AR265" i="3"/>
  <c r="DA265" i="3" s="1"/>
  <c r="L265" i="3"/>
  <c r="BU265" i="3" s="1"/>
  <c r="N309" i="2"/>
  <c r="O309" i="2"/>
  <c r="J144" i="2"/>
  <c r="K144" i="2" s="1"/>
  <c r="L144" i="2" s="1"/>
  <c r="N169" i="2"/>
  <c r="O169" i="2"/>
  <c r="J194" i="2"/>
  <c r="K194" i="2" s="1"/>
  <c r="L194" i="2" s="1"/>
  <c r="N307" i="2"/>
  <c r="O307" i="2"/>
  <c r="BG122" i="3"/>
  <c r="DP122" i="3" s="1"/>
  <c r="AW122" i="3"/>
  <c r="DF122" i="3" s="1"/>
  <c r="AM122" i="3"/>
  <c r="CV122" i="3" s="1"/>
  <c r="AC122" i="3"/>
  <c r="CL122" i="3" s="1"/>
  <c r="S122" i="3"/>
  <c r="CB122" i="3" s="1"/>
  <c r="I122" i="3"/>
  <c r="BR122" i="3" s="1"/>
  <c r="BE122" i="3"/>
  <c r="DN122" i="3" s="1"/>
  <c r="AT122" i="3"/>
  <c r="DC122" i="3" s="1"/>
  <c r="AI122" i="3"/>
  <c r="CR122" i="3" s="1"/>
  <c r="X122" i="3"/>
  <c r="CG122" i="3" s="1"/>
  <c r="M122" i="3"/>
  <c r="BV122" i="3" s="1"/>
  <c r="BH122" i="3"/>
  <c r="DQ122" i="3" s="1"/>
  <c r="AV122" i="3"/>
  <c r="DE122" i="3" s="1"/>
  <c r="AK122" i="3"/>
  <c r="CT122" i="3" s="1"/>
  <c r="Z122" i="3"/>
  <c r="CI122" i="3" s="1"/>
  <c r="O122" i="3"/>
  <c r="BX122" i="3" s="1"/>
  <c r="AZ122" i="3"/>
  <c r="DI122" i="3" s="1"/>
  <c r="AL122" i="3"/>
  <c r="CU122" i="3" s="1"/>
  <c r="W122" i="3"/>
  <c r="CF122" i="3" s="1"/>
  <c r="J122" i="3"/>
  <c r="BS122" i="3" s="1"/>
  <c r="BB122" i="3"/>
  <c r="DK122" i="3" s="1"/>
  <c r="AO122" i="3"/>
  <c r="CX122" i="3" s="1"/>
  <c r="AA122" i="3"/>
  <c r="CJ122" i="3" s="1"/>
  <c r="L122" i="3"/>
  <c r="BU122" i="3" s="1"/>
  <c r="BA122" i="3"/>
  <c r="DJ122" i="3" s="1"/>
  <c r="AN122" i="3"/>
  <c r="CW122" i="3" s="1"/>
  <c r="Y122" i="3"/>
  <c r="CH122" i="3" s="1"/>
  <c r="K122" i="3"/>
  <c r="BT122" i="3" s="1"/>
  <c r="AU122" i="3"/>
  <c r="DD122" i="3" s="1"/>
  <c r="AD122" i="3"/>
  <c r="CM122" i="3" s="1"/>
  <c r="G122" i="3"/>
  <c r="BP122" i="3" s="1"/>
  <c r="BD122" i="3"/>
  <c r="DM122" i="3" s="1"/>
  <c r="AH122" i="3"/>
  <c r="CQ122" i="3" s="1"/>
  <c r="Q122" i="3"/>
  <c r="BZ122" i="3" s="1"/>
  <c r="BC122" i="3"/>
  <c r="DL122" i="3" s="1"/>
  <c r="AG122" i="3"/>
  <c r="CP122" i="3" s="1"/>
  <c r="P122" i="3"/>
  <c r="BY122" i="3" s="1"/>
  <c r="BK122" i="3"/>
  <c r="DT122" i="3" s="1"/>
  <c r="AJ122" i="3"/>
  <c r="CS122" i="3" s="1"/>
  <c r="F122" i="3"/>
  <c r="BO122" i="3" s="1"/>
  <c r="BJ122" i="3"/>
  <c r="DS122" i="3" s="1"/>
  <c r="AF122" i="3"/>
  <c r="CO122" i="3" s="1"/>
  <c r="E122" i="3"/>
  <c r="BN122" i="3" s="1"/>
  <c r="BI122" i="3"/>
  <c r="DR122" i="3" s="1"/>
  <c r="AE122" i="3"/>
  <c r="CN122" i="3" s="1"/>
  <c r="BF122" i="3"/>
  <c r="DO122" i="3" s="1"/>
  <c r="AB122" i="3"/>
  <c r="CK122" i="3" s="1"/>
  <c r="AY122" i="3"/>
  <c r="DH122" i="3" s="1"/>
  <c r="V122" i="3"/>
  <c r="CE122" i="3" s="1"/>
  <c r="AX122" i="3"/>
  <c r="DG122" i="3" s="1"/>
  <c r="U122" i="3"/>
  <c r="CD122" i="3" s="1"/>
  <c r="AS122" i="3"/>
  <c r="DB122" i="3" s="1"/>
  <c r="T122" i="3"/>
  <c r="CC122" i="3" s="1"/>
  <c r="AR122" i="3"/>
  <c r="DA122" i="3" s="1"/>
  <c r="R122" i="3"/>
  <c r="CA122" i="3" s="1"/>
  <c r="BL122" i="3"/>
  <c r="DU122" i="3" s="1"/>
  <c r="AQ122" i="3"/>
  <c r="CZ122" i="3" s="1"/>
  <c r="AP122" i="3"/>
  <c r="CY122" i="3" s="1"/>
  <c r="N122" i="3"/>
  <c r="BW122" i="3" s="1"/>
  <c r="H122" i="3"/>
  <c r="BQ122" i="3" s="1"/>
  <c r="BH172" i="3"/>
  <c r="DQ172" i="3" s="1"/>
  <c r="AX172" i="3"/>
  <c r="DG172" i="3" s="1"/>
  <c r="AN172" i="3"/>
  <c r="CW172" i="3" s="1"/>
  <c r="AD172" i="3"/>
  <c r="CM172" i="3" s="1"/>
  <c r="T172" i="3"/>
  <c r="CC172" i="3" s="1"/>
  <c r="J172" i="3"/>
  <c r="BS172" i="3" s="1"/>
  <c r="BG172" i="3"/>
  <c r="DP172" i="3" s="1"/>
  <c r="AW172" i="3"/>
  <c r="DF172" i="3" s="1"/>
  <c r="AM172" i="3"/>
  <c r="CV172" i="3" s="1"/>
  <c r="AC172" i="3"/>
  <c r="CL172" i="3" s="1"/>
  <c r="S172" i="3"/>
  <c r="CB172" i="3" s="1"/>
  <c r="I172" i="3"/>
  <c r="BR172" i="3" s="1"/>
  <c r="BD172" i="3"/>
  <c r="DM172" i="3" s="1"/>
  <c r="AR172" i="3"/>
  <c r="DA172" i="3" s="1"/>
  <c r="AF172" i="3"/>
  <c r="CO172" i="3" s="1"/>
  <c r="R172" i="3"/>
  <c r="CA172" i="3" s="1"/>
  <c r="F172" i="3"/>
  <c r="BO172" i="3" s="1"/>
  <c r="BE172" i="3"/>
  <c r="DN172" i="3" s="1"/>
  <c r="AQ172" i="3"/>
  <c r="CZ172" i="3" s="1"/>
  <c r="AB172" i="3"/>
  <c r="CK172" i="3" s="1"/>
  <c r="O172" i="3"/>
  <c r="BX172" i="3" s="1"/>
  <c r="BC172" i="3"/>
  <c r="DL172" i="3" s="1"/>
  <c r="AP172" i="3"/>
  <c r="CY172" i="3" s="1"/>
  <c r="AA172" i="3"/>
  <c r="CJ172" i="3" s="1"/>
  <c r="N172" i="3"/>
  <c r="BW172" i="3" s="1"/>
  <c r="BB172" i="3"/>
  <c r="DK172" i="3" s="1"/>
  <c r="AO172" i="3"/>
  <c r="CX172" i="3" s="1"/>
  <c r="Z172" i="3"/>
  <c r="CI172" i="3" s="1"/>
  <c r="M172" i="3"/>
  <c r="BV172" i="3" s="1"/>
  <c r="BA172" i="3"/>
  <c r="DJ172" i="3" s="1"/>
  <c r="AL172" i="3"/>
  <c r="CU172" i="3" s="1"/>
  <c r="Y172" i="3"/>
  <c r="CH172" i="3" s="1"/>
  <c r="L172" i="3"/>
  <c r="BU172" i="3" s="1"/>
  <c r="BI172" i="3"/>
  <c r="DR172" i="3" s="1"/>
  <c r="AT172" i="3"/>
  <c r="DC172" i="3" s="1"/>
  <c r="AG172" i="3"/>
  <c r="CP172" i="3" s="1"/>
  <c r="Q172" i="3"/>
  <c r="BZ172" i="3" s="1"/>
  <c r="BJ172" i="3"/>
  <c r="DS172" i="3" s="1"/>
  <c r="AH172" i="3"/>
  <c r="CQ172" i="3" s="1"/>
  <c r="E172" i="3"/>
  <c r="BN172" i="3" s="1"/>
  <c r="BF172" i="3"/>
  <c r="DO172" i="3" s="1"/>
  <c r="AE172" i="3"/>
  <c r="CN172" i="3" s="1"/>
  <c r="AZ172" i="3"/>
  <c r="DI172" i="3" s="1"/>
  <c r="X172" i="3"/>
  <c r="CG172" i="3" s="1"/>
  <c r="AY172" i="3"/>
  <c r="DH172" i="3" s="1"/>
  <c r="W172" i="3"/>
  <c r="CF172" i="3" s="1"/>
  <c r="BL172" i="3"/>
  <c r="DU172" i="3" s="1"/>
  <c r="AJ172" i="3"/>
  <c r="CS172" i="3" s="1"/>
  <c r="H172" i="3"/>
  <c r="BQ172" i="3" s="1"/>
  <c r="BK172" i="3"/>
  <c r="DT172" i="3" s="1"/>
  <c r="AI172" i="3"/>
  <c r="CR172" i="3" s="1"/>
  <c r="G172" i="3"/>
  <c r="BP172" i="3" s="1"/>
  <c r="AS172" i="3"/>
  <c r="DB172" i="3" s="1"/>
  <c r="AK172" i="3"/>
  <c r="CT172" i="3" s="1"/>
  <c r="V172" i="3"/>
  <c r="CE172" i="3" s="1"/>
  <c r="U172" i="3"/>
  <c r="CD172" i="3" s="1"/>
  <c r="P172" i="3"/>
  <c r="BY172" i="3" s="1"/>
  <c r="K172" i="3"/>
  <c r="BT172" i="3" s="1"/>
  <c r="AV172" i="3"/>
  <c r="DE172" i="3" s="1"/>
  <c r="AU172" i="3"/>
  <c r="DD172" i="3" s="1"/>
  <c r="BE217" i="3"/>
  <c r="DN217" i="3" s="1"/>
  <c r="AU217" i="3"/>
  <c r="DD217" i="3" s="1"/>
  <c r="AK217" i="3"/>
  <c r="CT217" i="3" s="1"/>
  <c r="AA217" i="3"/>
  <c r="CJ217" i="3" s="1"/>
  <c r="Q217" i="3"/>
  <c r="BZ217" i="3" s="1"/>
  <c r="G217" i="3"/>
  <c r="BP217" i="3" s="1"/>
  <c r="BH217" i="3"/>
  <c r="DQ217" i="3" s="1"/>
  <c r="AW217" i="3"/>
  <c r="DF217" i="3" s="1"/>
  <c r="AL217" i="3"/>
  <c r="CU217" i="3" s="1"/>
  <c r="Z217" i="3"/>
  <c r="CI217" i="3" s="1"/>
  <c r="O217" i="3"/>
  <c r="BX217" i="3" s="1"/>
  <c r="BG217" i="3"/>
  <c r="DP217" i="3" s="1"/>
  <c r="AV217" i="3"/>
  <c r="DE217" i="3" s="1"/>
  <c r="AJ217" i="3"/>
  <c r="CS217" i="3" s="1"/>
  <c r="Y217" i="3"/>
  <c r="CH217" i="3" s="1"/>
  <c r="N217" i="3"/>
  <c r="BW217" i="3" s="1"/>
  <c r="BJ217" i="3"/>
  <c r="DS217" i="3" s="1"/>
  <c r="AY217" i="3"/>
  <c r="DH217" i="3" s="1"/>
  <c r="AN217" i="3"/>
  <c r="CW217" i="3" s="1"/>
  <c r="AC217" i="3"/>
  <c r="CL217" i="3" s="1"/>
  <c r="R217" i="3"/>
  <c r="CA217" i="3" s="1"/>
  <c r="F217" i="3"/>
  <c r="BO217" i="3" s="1"/>
  <c r="BI217" i="3"/>
  <c r="DR217" i="3" s="1"/>
  <c r="AR217" i="3"/>
  <c r="DA217" i="3" s="1"/>
  <c r="AD217" i="3"/>
  <c r="CM217" i="3" s="1"/>
  <c r="L217" i="3"/>
  <c r="BU217" i="3" s="1"/>
  <c r="BF217" i="3"/>
  <c r="DO217" i="3" s="1"/>
  <c r="AQ217" i="3"/>
  <c r="CZ217" i="3" s="1"/>
  <c r="AB217" i="3"/>
  <c r="CK217" i="3" s="1"/>
  <c r="K217" i="3"/>
  <c r="BT217" i="3" s="1"/>
  <c r="BD217" i="3"/>
  <c r="DM217" i="3" s="1"/>
  <c r="AP217" i="3"/>
  <c r="CY217" i="3" s="1"/>
  <c r="X217" i="3"/>
  <c r="CG217" i="3" s="1"/>
  <c r="J217" i="3"/>
  <c r="BS217" i="3" s="1"/>
  <c r="BL217" i="3"/>
  <c r="DU217" i="3" s="1"/>
  <c r="AT217" i="3"/>
  <c r="DC217" i="3" s="1"/>
  <c r="AF217" i="3"/>
  <c r="CO217" i="3" s="1"/>
  <c r="P217" i="3"/>
  <c r="BY217" i="3" s="1"/>
  <c r="AI217" i="3"/>
  <c r="CR217" i="3" s="1"/>
  <c r="I217" i="3"/>
  <c r="BR217" i="3" s="1"/>
  <c r="BK217" i="3"/>
  <c r="DT217" i="3" s="1"/>
  <c r="AH217" i="3"/>
  <c r="CQ217" i="3" s="1"/>
  <c r="H217" i="3"/>
  <c r="BQ217" i="3" s="1"/>
  <c r="BC217" i="3"/>
  <c r="DL217" i="3" s="1"/>
  <c r="AG217" i="3"/>
  <c r="CP217" i="3" s="1"/>
  <c r="E217" i="3"/>
  <c r="BN217" i="3" s="1"/>
  <c r="BB217" i="3"/>
  <c r="DK217" i="3" s="1"/>
  <c r="AE217" i="3"/>
  <c r="CN217" i="3" s="1"/>
  <c r="BA217" i="3"/>
  <c r="DJ217" i="3" s="1"/>
  <c r="W217" i="3"/>
  <c r="CF217" i="3" s="1"/>
  <c r="AZ217" i="3"/>
  <c r="DI217" i="3" s="1"/>
  <c r="V217" i="3"/>
  <c r="CE217" i="3" s="1"/>
  <c r="AX217" i="3"/>
  <c r="DG217" i="3" s="1"/>
  <c r="U217" i="3"/>
  <c r="CD217" i="3" s="1"/>
  <c r="AM217" i="3"/>
  <c r="CV217" i="3" s="1"/>
  <c r="M217" i="3"/>
  <c r="BV217" i="3" s="1"/>
  <c r="S217" i="3"/>
  <c r="CB217" i="3" s="1"/>
  <c r="AS217" i="3"/>
  <c r="DB217" i="3" s="1"/>
  <c r="AO217" i="3"/>
  <c r="CX217" i="3" s="1"/>
  <c r="T217" i="3"/>
  <c r="CC217" i="3" s="1"/>
  <c r="J138" i="2"/>
  <c r="K138" i="2" s="1"/>
  <c r="L138" i="2" s="1"/>
  <c r="J55" i="2"/>
  <c r="K55" i="2" s="1"/>
  <c r="L55" i="2" s="1"/>
  <c r="BH86" i="3"/>
  <c r="DQ86" i="3" s="1"/>
  <c r="AX86" i="3"/>
  <c r="DG86" i="3" s="1"/>
  <c r="AN86" i="3"/>
  <c r="CW86" i="3" s="1"/>
  <c r="AD86" i="3"/>
  <c r="CM86" i="3" s="1"/>
  <c r="T86" i="3"/>
  <c r="CC86" i="3" s="1"/>
  <c r="J86" i="3"/>
  <c r="BS86" i="3" s="1"/>
  <c r="BJ86" i="3"/>
  <c r="DS86" i="3" s="1"/>
  <c r="AZ86" i="3"/>
  <c r="DI86" i="3" s="1"/>
  <c r="AP86" i="3"/>
  <c r="CY86" i="3" s="1"/>
  <c r="AF86" i="3"/>
  <c r="CO86" i="3" s="1"/>
  <c r="V86" i="3"/>
  <c r="CE86" i="3" s="1"/>
  <c r="L86" i="3"/>
  <c r="BU86" i="3" s="1"/>
  <c r="BI86" i="3"/>
  <c r="DR86" i="3" s="1"/>
  <c r="AY86" i="3"/>
  <c r="DH86" i="3" s="1"/>
  <c r="AO86" i="3"/>
  <c r="CX86" i="3" s="1"/>
  <c r="AE86" i="3"/>
  <c r="CN86" i="3" s="1"/>
  <c r="BE86" i="3"/>
  <c r="DN86" i="3" s="1"/>
  <c r="AR86" i="3"/>
  <c r="DA86" i="3" s="1"/>
  <c r="AB86" i="3"/>
  <c r="CK86" i="3" s="1"/>
  <c r="P86" i="3"/>
  <c r="BY86" i="3" s="1"/>
  <c r="BD86" i="3"/>
  <c r="DM86" i="3" s="1"/>
  <c r="AQ86" i="3"/>
  <c r="CZ86" i="3" s="1"/>
  <c r="AA86" i="3"/>
  <c r="CJ86" i="3" s="1"/>
  <c r="O86" i="3"/>
  <c r="BX86" i="3" s="1"/>
  <c r="BF86" i="3"/>
  <c r="DO86" i="3" s="1"/>
  <c r="AL86" i="3"/>
  <c r="CU86" i="3" s="1"/>
  <c r="W86" i="3"/>
  <c r="CF86" i="3" s="1"/>
  <c r="G86" i="3"/>
  <c r="BP86" i="3" s="1"/>
  <c r="BC86" i="3"/>
  <c r="DL86" i="3" s="1"/>
  <c r="AK86" i="3"/>
  <c r="CT86" i="3" s="1"/>
  <c r="U86" i="3"/>
  <c r="CD86" i="3" s="1"/>
  <c r="F86" i="3"/>
  <c r="BO86" i="3" s="1"/>
  <c r="BB86" i="3"/>
  <c r="DK86" i="3" s="1"/>
  <c r="AJ86" i="3"/>
  <c r="CS86" i="3" s="1"/>
  <c r="S86" i="3"/>
  <c r="CB86" i="3" s="1"/>
  <c r="E86" i="3"/>
  <c r="BN86" i="3" s="1"/>
  <c r="BA86" i="3"/>
  <c r="DJ86" i="3" s="1"/>
  <c r="AI86" i="3"/>
  <c r="CR86" i="3" s="1"/>
  <c r="R86" i="3"/>
  <c r="CA86" i="3" s="1"/>
  <c r="AW86" i="3"/>
  <c r="DF86" i="3" s="1"/>
  <c r="AH86" i="3"/>
  <c r="CQ86" i="3" s="1"/>
  <c r="Q86" i="3"/>
  <c r="BZ86" i="3" s="1"/>
  <c r="AV86" i="3"/>
  <c r="DE86" i="3" s="1"/>
  <c r="AG86" i="3"/>
  <c r="CP86" i="3" s="1"/>
  <c r="N86" i="3"/>
  <c r="BW86" i="3" s="1"/>
  <c r="AU86" i="3"/>
  <c r="DD86" i="3" s="1"/>
  <c r="AC86" i="3"/>
  <c r="CL86" i="3" s="1"/>
  <c r="M86" i="3"/>
  <c r="BV86" i="3" s="1"/>
  <c r="BK86" i="3"/>
  <c r="DT86" i="3" s="1"/>
  <c r="AS86" i="3"/>
  <c r="DB86" i="3" s="1"/>
  <c r="Y86" i="3"/>
  <c r="CH86" i="3" s="1"/>
  <c r="I86" i="3"/>
  <c r="BR86" i="3" s="1"/>
  <c r="H86" i="3"/>
  <c r="BQ86" i="3" s="1"/>
  <c r="BL86" i="3"/>
  <c r="DU86" i="3" s="1"/>
  <c r="BG86" i="3"/>
  <c r="DP86" i="3" s="1"/>
  <c r="AT86" i="3"/>
  <c r="DC86" i="3" s="1"/>
  <c r="AM86" i="3"/>
  <c r="CV86" i="3" s="1"/>
  <c r="Z86" i="3"/>
  <c r="CI86" i="3" s="1"/>
  <c r="X86" i="3"/>
  <c r="CG86" i="3" s="1"/>
  <c r="K86" i="3"/>
  <c r="BT86" i="3" s="1"/>
  <c r="J155" i="2"/>
  <c r="K155" i="2" s="1"/>
  <c r="L155" i="2" s="1"/>
  <c r="BL186" i="3"/>
  <c r="DU186" i="3" s="1"/>
  <c r="BB186" i="3"/>
  <c r="DK186" i="3" s="1"/>
  <c r="AR186" i="3"/>
  <c r="DA186" i="3" s="1"/>
  <c r="AH186" i="3"/>
  <c r="CQ186" i="3" s="1"/>
  <c r="X186" i="3"/>
  <c r="CG186" i="3" s="1"/>
  <c r="N186" i="3"/>
  <c r="BW186" i="3" s="1"/>
  <c r="BK186" i="3"/>
  <c r="DT186" i="3" s="1"/>
  <c r="AZ186" i="3"/>
  <c r="DI186" i="3" s="1"/>
  <c r="AO186" i="3"/>
  <c r="CX186" i="3" s="1"/>
  <c r="AD186" i="3"/>
  <c r="CM186" i="3" s="1"/>
  <c r="S186" i="3"/>
  <c r="CB186" i="3" s="1"/>
  <c r="H186" i="3"/>
  <c r="BQ186" i="3" s="1"/>
  <c r="BJ186" i="3"/>
  <c r="DS186" i="3" s="1"/>
  <c r="AY186" i="3"/>
  <c r="DH186" i="3" s="1"/>
  <c r="AN186" i="3"/>
  <c r="CW186" i="3" s="1"/>
  <c r="AC186" i="3"/>
  <c r="CL186" i="3" s="1"/>
  <c r="R186" i="3"/>
  <c r="CA186" i="3" s="1"/>
  <c r="G186" i="3"/>
  <c r="BP186" i="3" s="1"/>
  <c r="BC186" i="3"/>
  <c r="DL186" i="3" s="1"/>
  <c r="AQ186" i="3"/>
  <c r="CZ186" i="3" s="1"/>
  <c r="AF186" i="3"/>
  <c r="CO186" i="3" s="1"/>
  <c r="U186" i="3"/>
  <c r="CD186" i="3" s="1"/>
  <c r="J186" i="3"/>
  <c r="BS186" i="3" s="1"/>
  <c r="BF186" i="3"/>
  <c r="DO186" i="3" s="1"/>
  <c r="AP186" i="3"/>
  <c r="CY186" i="3" s="1"/>
  <c r="Z186" i="3"/>
  <c r="CI186" i="3" s="1"/>
  <c r="K186" i="3"/>
  <c r="BT186" i="3" s="1"/>
  <c r="BG186" i="3"/>
  <c r="DP186" i="3" s="1"/>
  <c r="AS186" i="3"/>
  <c r="DB186" i="3" s="1"/>
  <c r="AA186" i="3"/>
  <c r="CJ186" i="3" s="1"/>
  <c r="L186" i="3"/>
  <c r="BU186" i="3" s="1"/>
  <c r="BI186" i="3"/>
  <c r="DR186" i="3" s="1"/>
  <c r="AM186" i="3"/>
  <c r="CV186" i="3" s="1"/>
  <c r="V186" i="3"/>
  <c r="CE186" i="3" s="1"/>
  <c r="BH186" i="3"/>
  <c r="DQ186" i="3" s="1"/>
  <c r="AL186" i="3"/>
  <c r="CU186" i="3" s="1"/>
  <c r="T186" i="3"/>
  <c r="CC186" i="3" s="1"/>
  <c r="BE186" i="3"/>
  <c r="DN186" i="3" s="1"/>
  <c r="AK186" i="3"/>
  <c r="CT186" i="3" s="1"/>
  <c r="Q186" i="3"/>
  <c r="BZ186" i="3" s="1"/>
  <c r="BD186" i="3"/>
  <c r="DM186" i="3" s="1"/>
  <c r="AJ186" i="3"/>
  <c r="CS186" i="3" s="1"/>
  <c r="P186" i="3"/>
  <c r="BY186" i="3" s="1"/>
  <c r="BA186" i="3"/>
  <c r="DJ186" i="3" s="1"/>
  <c r="AI186" i="3"/>
  <c r="CR186" i="3" s="1"/>
  <c r="O186" i="3"/>
  <c r="BX186" i="3" s="1"/>
  <c r="AX186" i="3"/>
  <c r="DG186" i="3" s="1"/>
  <c r="AG186" i="3"/>
  <c r="CP186" i="3" s="1"/>
  <c r="M186" i="3"/>
  <c r="BV186" i="3" s="1"/>
  <c r="AU186" i="3"/>
  <c r="DD186" i="3" s="1"/>
  <c r="Y186" i="3"/>
  <c r="CH186" i="3" s="1"/>
  <c r="E186" i="3"/>
  <c r="BN186" i="3" s="1"/>
  <c r="AE186" i="3"/>
  <c r="CN186" i="3" s="1"/>
  <c r="AB186" i="3"/>
  <c r="CK186" i="3" s="1"/>
  <c r="W186" i="3"/>
  <c r="CF186" i="3" s="1"/>
  <c r="I186" i="3"/>
  <c r="BR186" i="3" s="1"/>
  <c r="F186" i="3"/>
  <c r="BO186" i="3" s="1"/>
  <c r="AV186" i="3"/>
  <c r="DE186" i="3" s="1"/>
  <c r="AT186" i="3"/>
  <c r="DC186" i="3" s="1"/>
  <c r="AW186" i="3"/>
  <c r="DF186" i="3" s="1"/>
  <c r="N228" i="2"/>
  <c r="O228" i="2"/>
  <c r="BD315" i="3"/>
  <c r="DM315" i="3" s="1"/>
  <c r="AT315" i="3"/>
  <c r="DC315" i="3" s="1"/>
  <c r="AJ315" i="3"/>
  <c r="CS315" i="3" s="1"/>
  <c r="Z315" i="3"/>
  <c r="CI315" i="3" s="1"/>
  <c r="P315" i="3"/>
  <c r="BY315" i="3" s="1"/>
  <c r="F315" i="3"/>
  <c r="BO315" i="3" s="1"/>
  <c r="BL315" i="3"/>
  <c r="DU315" i="3" s="1"/>
  <c r="BA315" i="3"/>
  <c r="DJ315" i="3" s="1"/>
  <c r="AP315" i="3"/>
  <c r="CY315" i="3" s="1"/>
  <c r="AE315" i="3"/>
  <c r="CN315" i="3" s="1"/>
  <c r="T315" i="3"/>
  <c r="CC315" i="3" s="1"/>
  <c r="I315" i="3"/>
  <c r="BR315" i="3" s="1"/>
  <c r="BK315" i="3"/>
  <c r="DT315" i="3" s="1"/>
  <c r="AZ315" i="3"/>
  <c r="DI315" i="3" s="1"/>
  <c r="AO315" i="3"/>
  <c r="CX315" i="3" s="1"/>
  <c r="AD315" i="3"/>
  <c r="CM315" i="3" s="1"/>
  <c r="S315" i="3"/>
  <c r="CB315" i="3" s="1"/>
  <c r="H315" i="3"/>
  <c r="BQ315" i="3" s="1"/>
  <c r="BC315" i="3"/>
  <c r="DL315" i="3" s="1"/>
  <c r="AR315" i="3"/>
  <c r="DA315" i="3" s="1"/>
  <c r="AG315" i="3"/>
  <c r="CP315" i="3" s="1"/>
  <c r="V315" i="3"/>
  <c r="CE315" i="3" s="1"/>
  <c r="K315" i="3"/>
  <c r="BT315" i="3" s="1"/>
  <c r="AX315" i="3"/>
  <c r="DG315" i="3" s="1"/>
  <c r="AI315" i="3"/>
  <c r="CR315" i="3" s="1"/>
  <c r="R315" i="3"/>
  <c r="CA315" i="3" s="1"/>
  <c r="BJ315" i="3"/>
  <c r="DS315" i="3" s="1"/>
  <c r="AV315" i="3"/>
  <c r="DE315" i="3" s="1"/>
  <c r="AF315" i="3"/>
  <c r="CO315" i="3" s="1"/>
  <c r="O315" i="3"/>
  <c r="BX315" i="3" s="1"/>
  <c r="BE315" i="3"/>
  <c r="DN315" i="3" s="1"/>
  <c r="AM315" i="3"/>
  <c r="CV315" i="3" s="1"/>
  <c r="X315" i="3"/>
  <c r="CG315" i="3" s="1"/>
  <c r="G315" i="3"/>
  <c r="BP315" i="3" s="1"/>
  <c r="BG315" i="3"/>
  <c r="DP315" i="3" s="1"/>
  <c r="AK315" i="3"/>
  <c r="CT315" i="3" s="1"/>
  <c r="M315" i="3"/>
  <c r="BV315" i="3" s="1"/>
  <c r="BF315" i="3"/>
  <c r="DO315" i="3" s="1"/>
  <c r="AH315" i="3"/>
  <c r="CQ315" i="3" s="1"/>
  <c r="L315" i="3"/>
  <c r="BU315" i="3" s="1"/>
  <c r="BB315" i="3"/>
  <c r="DK315" i="3" s="1"/>
  <c r="AC315" i="3"/>
  <c r="CL315" i="3" s="1"/>
  <c r="J315" i="3"/>
  <c r="BS315" i="3" s="1"/>
  <c r="AY315" i="3"/>
  <c r="DH315" i="3" s="1"/>
  <c r="AB315" i="3"/>
  <c r="CK315" i="3" s="1"/>
  <c r="E315" i="3"/>
  <c r="BN315" i="3" s="1"/>
  <c r="AW315" i="3"/>
  <c r="DF315" i="3" s="1"/>
  <c r="AA315" i="3"/>
  <c r="CJ315" i="3" s="1"/>
  <c r="AU315" i="3"/>
  <c r="DD315" i="3" s="1"/>
  <c r="Y315" i="3"/>
  <c r="CH315" i="3" s="1"/>
  <c r="AS315" i="3"/>
  <c r="DB315" i="3" s="1"/>
  <c r="W315" i="3"/>
  <c r="CF315" i="3" s="1"/>
  <c r="AQ315" i="3"/>
  <c r="CZ315" i="3" s="1"/>
  <c r="U315" i="3"/>
  <c r="CD315" i="3" s="1"/>
  <c r="BI315" i="3"/>
  <c r="DR315" i="3" s="1"/>
  <c r="AN315" i="3"/>
  <c r="CW315" i="3" s="1"/>
  <c r="Q315" i="3"/>
  <c r="BZ315" i="3" s="1"/>
  <c r="N315" i="3"/>
  <c r="BW315" i="3" s="1"/>
  <c r="BH315" i="3"/>
  <c r="DQ315" i="3" s="1"/>
  <c r="AL315" i="3"/>
  <c r="CU315" i="3" s="1"/>
  <c r="BD63" i="3"/>
  <c r="DM63" i="3" s="1"/>
  <c r="AT63" i="3"/>
  <c r="DC63" i="3" s="1"/>
  <c r="AJ63" i="3"/>
  <c r="CS63" i="3" s="1"/>
  <c r="Z63" i="3"/>
  <c r="CI63" i="3" s="1"/>
  <c r="P63" i="3"/>
  <c r="BY63" i="3" s="1"/>
  <c r="F63" i="3"/>
  <c r="BO63" i="3" s="1"/>
  <c r="BC63" i="3"/>
  <c r="DL63" i="3" s="1"/>
  <c r="AS63" i="3"/>
  <c r="DB63" i="3" s="1"/>
  <c r="AI63" i="3"/>
  <c r="CR63" i="3" s="1"/>
  <c r="Y63" i="3"/>
  <c r="CH63" i="3" s="1"/>
  <c r="O63" i="3"/>
  <c r="BX63" i="3" s="1"/>
  <c r="E63" i="3"/>
  <c r="BN63" i="3" s="1"/>
  <c r="BF63" i="3"/>
  <c r="DO63" i="3" s="1"/>
  <c r="AV63" i="3"/>
  <c r="DE63" i="3" s="1"/>
  <c r="AL63" i="3"/>
  <c r="CU63" i="3" s="1"/>
  <c r="AB63" i="3"/>
  <c r="CK63" i="3" s="1"/>
  <c r="R63" i="3"/>
  <c r="CA63" i="3" s="1"/>
  <c r="H63" i="3"/>
  <c r="BQ63" i="3" s="1"/>
  <c r="BK63" i="3"/>
  <c r="DT63" i="3" s="1"/>
  <c r="AX63" i="3"/>
  <c r="DG63" i="3" s="1"/>
  <c r="AH63" i="3"/>
  <c r="CQ63" i="3" s="1"/>
  <c r="U63" i="3"/>
  <c r="CD63" i="3" s="1"/>
  <c r="G63" i="3"/>
  <c r="BP63" i="3" s="1"/>
  <c r="BJ63" i="3"/>
  <c r="DS63" i="3" s="1"/>
  <c r="AW63" i="3"/>
  <c r="DF63" i="3" s="1"/>
  <c r="AG63" i="3"/>
  <c r="CP63" i="3" s="1"/>
  <c r="T63" i="3"/>
  <c r="CC63" i="3" s="1"/>
  <c r="BI63" i="3"/>
  <c r="DR63" i="3" s="1"/>
  <c r="AU63" i="3"/>
  <c r="DD63" i="3" s="1"/>
  <c r="AF63" i="3"/>
  <c r="CO63" i="3" s="1"/>
  <c r="S63" i="3"/>
  <c r="CB63" i="3" s="1"/>
  <c r="BH63" i="3"/>
  <c r="DQ63" i="3" s="1"/>
  <c r="AR63" i="3"/>
  <c r="DA63" i="3" s="1"/>
  <c r="AE63" i="3"/>
  <c r="CN63" i="3" s="1"/>
  <c r="Q63" i="3"/>
  <c r="BZ63" i="3" s="1"/>
  <c r="BG63" i="3"/>
  <c r="DP63" i="3" s="1"/>
  <c r="AQ63" i="3"/>
  <c r="CZ63" i="3" s="1"/>
  <c r="AD63" i="3"/>
  <c r="CM63" i="3" s="1"/>
  <c r="N63" i="3"/>
  <c r="BW63" i="3" s="1"/>
  <c r="BE63" i="3"/>
  <c r="DN63" i="3" s="1"/>
  <c r="AP63" i="3"/>
  <c r="CY63" i="3" s="1"/>
  <c r="AC63" i="3"/>
  <c r="CL63" i="3" s="1"/>
  <c r="M63" i="3"/>
  <c r="BV63" i="3" s="1"/>
  <c r="BB63" i="3"/>
  <c r="DK63" i="3" s="1"/>
  <c r="AO63" i="3"/>
  <c r="CX63" i="3" s="1"/>
  <c r="AA63" i="3"/>
  <c r="CJ63" i="3" s="1"/>
  <c r="L63" i="3"/>
  <c r="BU63" i="3" s="1"/>
  <c r="BA63" i="3"/>
  <c r="DJ63" i="3" s="1"/>
  <c r="AN63" i="3"/>
  <c r="CW63" i="3" s="1"/>
  <c r="X63" i="3"/>
  <c r="CG63" i="3" s="1"/>
  <c r="K63" i="3"/>
  <c r="BT63" i="3" s="1"/>
  <c r="BL63" i="3"/>
  <c r="DU63" i="3" s="1"/>
  <c r="AY63" i="3"/>
  <c r="DH63" i="3" s="1"/>
  <c r="AK63" i="3"/>
  <c r="CT63" i="3" s="1"/>
  <c r="V63" i="3"/>
  <c r="CE63" i="3" s="1"/>
  <c r="I63" i="3"/>
  <c r="BR63" i="3" s="1"/>
  <c r="AZ63" i="3"/>
  <c r="DI63" i="3" s="1"/>
  <c r="AM63" i="3"/>
  <c r="CV63" i="3" s="1"/>
  <c r="W63" i="3"/>
  <c r="CF63" i="3" s="1"/>
  <c r="J63" i="3"/>
  <c r="BS63" i="3" s="1"/>
  <c r="J82" i="2"/>
  <c r="K82" i="2" s="1"/>
  <c r="L82" i="2" s="1"/>
  <c r="J122" i="2"/>
  <c r="K122" i="2" s="1"/>
  <c r="L122" i="2" s="1"/>
  <c r="J162" i="2"/>
  <c r="K162" i="2" s="1"/>
  <c r="L162" i="2" s="1"/>
  <c r="J182" i="2"/>
  <c r="K182" i="2" s="1"/>
  <c r="L182" i="2" s="1"/>
  <c r="BC269" i="3"/>
  <c r="DL269" i="3" s="1"/>
  <c r="AS269" i="3"/>
  <c r="DB269" i="3" s="1"/>
  <c r="AI269" i="3"/>
  <c r="CR269" i="3" s="1"/>
  <c r="Y269" i="3"/>
  <c r="CH269" i="3" s="1"/>
  <c r="O269" i="3"/>
  <c r="BX269" i="3" s="1"/>
  <c r="E269" i="3"/>
  <c r="BN269" i="3" s="1"/>
  <c r="BL269" i="3"/>
  <c r="DU269" i="3" s="1"/>
  <c r="BB269" i="3"/>
  <c r="DK269" i="3" s="1"/>
  <c r="AR269" i="3"/>
  <c r="DA269" i="3" s="1"/>
  <c r="AH269" i="3"/>
  <c r="CQ269" i="3" s="1"/>
  <c r="X269" i="3"/>
  <c r="CG269" i="3" s="1"/>
  <c r="N269" i="3"/>
  <c r="BW269" i="3" s="1"/>
  <c r="BG269" i="3"/>
  <c r="DP269" i="3" s="1"/>
  <c r="AU269" i="3"/>
  <c r="DD269" i="3" s="1"/>
  <c r="AG269" i="3"/>
  <c r="CP269" i="3" s="1"/>
  <c r="U269" i="3"/>
  <c r="CD269" i="3" s="1"/>
  <c r="I269" i="3"/>
  <c r="BR269" i="3" s="1"/>
  <c r="AY269" i="3"/>
  <c r="DH269" i="3" s="1"/>
  <c r="AL269" i="3"/>
  <c r="CU269" i="3" s="1"/>
  <c r="W269" i="3"/>
  <c r="CF269" i="3" s="1"/>
  <c r="J269" i="3"/>
  <c r="BS269" i="3" s="1"/>
  <c r="BK269" i="3"/>
  <c r="DT269" i="3" s="1"/>
  <c r="AX269" i="3"/>
  <c r="DG269" i="3" s="1"/>
  <c r="AK269" i="3"/>
  <c r="CT269" i="3" s="1"/>
  <c r="V269" i="3"/>
  <c r="CE269" i="3" s="1"/>
  <c r="H269" i="3"/>
  <c r="BQ269" i="3" s="1"/>
  <c r="BA269" i="3"/>
  <c r="DJ269" i="3" s="1"/>
  <c r="AN269" i="3"/>
  <c r="CW269" i="3" s="1"/>
  <c r="AA269" i="3"/>
  <c r="CJ269" i="3" s="1"/>
  <c r="L269" i="3"/>
  <c r="BU269" i="3" s="1"/>
  <c r="BJ269" i="3"/>
  <c r="DS269" i="3" s="1"/>
  <c r="AQ269" i="3"/>
  <c r="CZ269" i="3" s="1"/>
  <c r="Z269" i="3"/>
  <c r="CI269" i="3" s="1"/>
  <c r="BI269" i="3"/>
  <c r="DR269" i="3" s="1"/>
  <c r="AP269" i="3"/>
  <c r="CY269" i="3" s="1"/>
  <c r="T269" i="3"/>
  <c r="CC269" i="3" s="1"/>
  <c r="BH269" i="3"/>
  <c r="DQ269" i="3" s="1"/>
  <c r="AO269" i="3"/>
  <c r="CX269" i="3" s="1"/>
  <c r="S269" i="3"/>
  <c r="CB269" i="3" s="1"/>
  <c r="BF269" i="3"/>
  <c r="DO269" i="3" s="1"/>
  <c r="AM269" i="3"/>
  <c r="CV269" i="3" s="1"/>
  <c r="R269" i="3"/>
  <c r="CA269" i="3" s="1"/>
  <c r="AT269" i="3"/>
  <c r="DC269" i="3" s="1"/>
  <c r="AB269" i="3"/>
  <c r="CK269" i="3" s="1"/>
  <c r="F269" i="3"/>
  <c r="BO269" i="3" s="1"/>
  <c r="AD269" i="3"/>
  <c r="CM269" i="3" s="1"/>
  <c r="AC269" i="3"/>
  <c r="CL269" i="3" s="1"/>
  <c r="BE269" i="3"/>
  <c r="DN269" i="3" s="1"/>
  <c r="Q269" i="3"/>
  <c r="BZ269" i="3" s="1"/>
  <c r="BD269" i="3"/>
  <c r="DM269" i="3" s="1"/>
  <c r="P269" i="3"/>
  <c r="BY269" i="3" s="1"/>
  <c r="AZ269" i="3"/>
  <c r="DI269" i="3" s="1"/>
  <c r="M269" i="3"/>
  <c r="BV269" i="3" s="1"/>
  <c r="AW269" i="3"/>
  <c r="DF269" i="3" s="1"/>
  <c r="K269" i="3"/>
  <c r="BT269" i="3" s="1"/>
  <c r="AV269" i="3"/>
  <c r="DE269" i="3" s="1"/>
  <c r="G269" i="3"/>
  <c r="BP269" i="3" s="1"/>
  <c r="AJ269" i="3"/>
  <c r="CS269" i="3" s="1"/>
  <c r="AF269" i="3"/>
  <c r="CO269" i="3" s="1"/>
  <c r="AE269" i="3"/>
  <c r="CN269" i="3" s="1"/>
  <c r="BG289" i="3"/>
  <c r="DP289" i="3" s="1"/>
  <c r="AW289" i="3"/>
  <c r="DF289" i="3" s="1"/>
  <c r="AM289" i="3"/>
  <c r="CV289" i="3" s="1"/>
  <c r="AC289" i="3"/>
  <c r="CL289" i="3" s="1"/>
  <c r="S289" i="3"/>
  <c r="CB289" i="3" s="1"/>
  <c r="I289" i="3"/>
  <c r="BR289" i="3" s="1"/>
  <c r="BF289" i="3"/>
  <c r="DO289" i="3" s="1"/>
  <c r="AV289" i="3"/>
  <c r="DE289" i="3" s="1"/>
  <c r="AL289" i="3"/>
  <c r="CU289" i="3" s="1"/>
  <c r="AB289" i="3"/>
  <c r="CK289" i="3" s="1"/>
  <c r="R289" i="3"/>
  <c r="CA289" i="3" s="1"/>
  <c r="BE289" i="3"/>
  <c r="DN289" i="3" s="1"/>
  <c r="AS289" i="3"/>
  <c r="DB289" i="3" s="1"/>
  <c r="AG289" i="3"/>
  <c r="CP289" i="3" s="1"/>
  <c r="U289" i="3"/>
  <c r="CD289" i="3" s="1"/>
  <c r="H289" i="3"/>
  <c r="BQ289" i="3" s="1"/>
  <c r="BD289" i="3"/>
  <c r="DM289" i="3" s="1"/>
  <c r="AR289" i="3"/>
  <c r="DA289" i="3" s="1"/>
  <c r="AF289" i="3"/>
  <c r="CO289" i="3" s="1"/>
  <c r="T289" i="3"/>
  <c r="CC289" i="3" s="1"/>
  <c r="G289" i="3"/>
  <c r="BP289" i="3" s="1"/>
  <c r="BC289" i="3"/>
  <c r="DL289" i="3" s="1"/>
  <c r="AQ289" i="3"/>
  <c r="CZ289" i="3" s="1"/>
  <c r="AE289" i="3"/>
  <c r="CN289" i="3" s="1"/>
  <c r="Q289" i="3"/>
  <c r="BZ289" i="3" s="1"/>
  <c r="F289" i="3"/>
  <c r="BO289" i="3" s="1"/>
  <c r="BI289" i="3"/>
  <c r="DR289" i="3" s="1"/>
  <c r="AU289" i="3"/>
  <c r="DD289" i="3" s="1"/>
  <c r="AI289" i="3"/>
  <c r="CR289" i="3" s="1"/>
  <c r="W289" i="3"/>
  <c r="CF289" i="3" s="1"/>
  <c r="K289" i="3"/>
  <c r="BT289" i="3" s="1"/>
  <c r="AZ289" i="3"/>
  <c r="DI289" i="3" s="1"/>
  <c r="AD289" i="3"/>
  <c r="CM289" i="3" s="1"/>
  <c r="L289" i="3"/>
  <c r="BU289" i="3" s="1"/>
  <c r="BH289" i="3"/>
  <c r="DQ289" i="3" s="1"/>
  <c r="AK289" i="3"/>
  <c r="CT289" i="3" s="1"/>
  <c r="O289" i="3"/>
  <c r="BX289" i="3" s="1"/>
  <c r="BB289" i="3"/>
  <c r="DK289" i="3" s="1"/>
  <c r="AJ289" i="3"/>
  <c r="CS289" i="3" s="1"/>
  <c r="N289" i="3"/>
  <c r="BW289" i="3" s="1"/>
  <c r="BA289" i="3"/>
  <c r="DJ289" i="3" s="1"/>
  <c r="Y289" i="3"/>
  <c r="CH289" i="3" s="1"/>
  <c r="AY289" i="3"/>
  <c r="DH289" i="3" s="1"/>
  <c r="X289" i="3"/>
  <c r="CG289" i="3" s="1"/>
  <c r="AX289" i="3"/>
  <c r="DG289" i="3" s="1"/>
  <c r="V289" i="3"/>
  <c r="CE289" i="3" s="1"/>
  <c r="AT289" i="3"/>
  <c r="DC289" i="3" s="1"/>
  <c r="P289" i="3"/>
  <c r="BY289" i="3" s="1"/>
  <c r="AP289" i="3"/>
  <c r="CY289" i="3" s="1"/>
  <c r="M289" i="3"/>
  <c r="BV289" i="3" s="1"/>
  <c r="AO289" i="3"/>
  <c r="CX289" i="3" s="1"/>
  <c r="J289" i="3"/>
  <c r="BS289" i="3" s="1"/>
  <c r="AN289" i="3"/>
  <c r="CW289" i="3" s="1"/>
  <c r="E289" i="3"/>
  <c r="BN289" i="3" s="1"/>
  <c r="BL289" i="3"/>
  <c r="DU289" i="3" s="1"/>
  <c r="AH289" i="3"/>
  <c r="CQ289" i="3" s="1"/>
  <c r="BK289" i="3"/>
  <c r="DT289" i="3" s="1"/>
  <c r="AA289" i="3"/>
  <c r="CJ289" i="3" s="1"/>
  <c r="BJ289" i="3"/>
  <c r="DS289" i="3" s="1"/>
  <c r="Z289" i="3"/>
  <c r="CI289" i="3" s="1"/>
  <c r="BJ309" i="3"/>
  <c r="DS309" i="3" s="1"/>
  <c r="AZ309" i="3"/>
  <c r="DI309" i="3" s="1"/>
  <c r="AP309" i="3"/>
  <c r="CY309" i="3" s="1"/>
  <c r="AF309" i="3"/>
  <c r="CO309" i="3" s="1"/>
  <c r="V309" i="3"/>
  <c r="CE309" i="3" s="1"/>
  <c r="L309" i="3"/>
  <c r="BU309" i="3" s="1"/>
  <c r="BI309" i="3"/>
  <c r="DR309" i="3" s="1"/>
  <c r="AY309" i="3"/>
  <c r="DH309" i="3" s="1"/>
  <c r="AO309" i="3"/>
  <c r="CX309" i="3" s="1"/>
  <c r="AE309" i="3"/>
  <c r="CN309" i="3" s="1"/>
  <c r="U309" i="3"/>
  <c r="CD309" i="3" s="1"/>
  <c r="K309" i="3"/>
  <c r="BT309" i="3" s="1"/>
  <c r="BF309" i="3"/>
  <c r="DO309" i="3" s="1"/>
  <c r="AT309" i="3"/>
  <c r="DC309" i="3" s="1"/>
  <c r="AH309" i="3"/>
  <c r="CQ309" i="3" s="1"/>
  <c r="T309" i="3"/>
  <c r="CC309" i="3" s="1"/>
  <c r="H309" i="3"/>
  <c r="BQ309" i="3" s="1"/>
  <c r="BD309" i="3"/>
  <c r="DM309" i="3" s="1"/>
  <c r="AR309" i="3"/>
  <c r="DA309" i="3" s="1"/>
  <c r="AD309" i="3"/>
  <c r="CM309" i="3" s="1"/>
  <c r="R309" i="3"/>
  <c r="CA309" i="3" s="1"/>
  <c r="F309" i="3"/>
  <c r="BO309" i="3" s="1"/>
  <c r="BK309" i="3"/>
  <c r="DT309" i="3" s="1"/>
  <c r="AW309" i="3"/>
  <c r="DF309" i="3" s="1"/>
  <c r="AK309" i="3"/>
  <c r="CT309" i="3" s="1"/>
  <c r="Y309" i="3"/>
  <c r="CH309" i="3" s="1"/>
  <c r="M309" i="3"/>
  <c r="BV309" i="3" s="1"/>
  <c r="BG309" i="3"/>
  <c r="DP309" i="3" s="1"/>
  <c r="AN309" i="3"/>
  <c r="CW309" i="3" s="1"/>
  <c r="X309" i="3"/>
  <c r="CG309" i="3" s="1"/>
  <c r="E309" i="3"/>
  <c r="BN309" i="3" s="1"/>
  <c r="BE309" i="3"/>
  <c r="DN309" i="3" s="1"/>
  <c r="AM309" i="3"/>
  <c r="CV309" i="3" s="1"/>
  <c r="W309" i="3"/>
  <c r="CF309" i="3" s="1"/>
  <c r="BC309" i="3"/>
  <c r="DL309" i="3" s="1"/>
  <c r="AL309" i="3"/>
  <c r="CU309" i="3" s="1"/>
  <c r="S309" i="3"/>
  <c r="CB309" i="3" s="1"/>
  <c r="BB309" i="3"/>
  <c r="DK309" i="3" s="1"/>
  <c r="AJ309" i="3"/>
  <c r="CS309" i="3" s="1"/>
  <c r="Q309" i="3"/>
  <c r="BZ309" i="3" s="1"/>
  <c r="BA309" i="3"/>
  <c r="DJ309" i="3" s="1"/>
  <c r="AI309" i="3"/>
  <c r="CR309" i="3" s="1"/>
  <c r="AX309" i="3"/>
  <c r="DG309" i="3" s="1"/>
  <c r="AG309" i="3"/>
  <c r="CP309" i="3" s="1"/>
  <c r="O309" i="3"/>
  <c r="BX309" i="3" s="1"/>
  <c r="AV309" i="3"/>
  <c r="DE309" i="3" s="1"/>
  <c r="AC309" i="3"/>
  <c r="CL309" i="3" s="1"/>
  <c r="N309" i="3"/>
  <c r="BW309" i="3" s="1"/>
  <c r="P309" i="3"/>
  <c r="BY309" i="3" s="1"/>
  <c r="J309" i="3"/>
  <c r="BS309" i="3" s="1"/>
  <c r="BL309" i="3"/>
  <c r="DU309" i="3" s="1"/>
  <c r="I309" i="3"/>
  <c r="BR309" i="3" s="1"/>
  <c r="BH309" i="3"/>
  <c r="DQ309" i="3" s="1"/>
  <c r="G309" i="3"/>
  <c r="BP309" i="3" s="1"/>
  <c r="AU309" i="3"/>
  <c r="DD309" i="3" s="1"/>
  <c r="AA309" i="3"/>
  <c r="CJ309" i="3" s="1"/>
  <c r="Z309" i="3"/>
  <c r="CI309" i="3" s="1"/>
  <c r="AB309" i="3"/>
  <c r="CK309" i="3" s="1"/>
  <c r="AS309" i="3"/>
  <c r="DB309" i="3" s="1"/>
  <c r="AQ309" i="3"/>
  <c r="CZ309" i="3" s="1"/>
  <c r="BC329" i="3"/>
  <c r="DL329" i="3" s="1"/>
  <c r="AS329" i="3"/>
  <c r="DB329" i="3" s="1"/>
  <c r="AI329" i="3"/>
  <c r="CR329" i="3" s="1"/>
  <c r="Y329" i="3"/>
  <c r="CH329" i="3" s="1"/>
  <c r="O329" i="3"/>
  <c r="BX329" i="3" s="1"/>
  <c r="E329" i="3"/>
  <c r="BN329" i="3" s="1"/>
  <c r="BL329" i="3"/>
  <c r="DU329" i="3" s="1"/>
  <c r="BB329" i="3"/>
  <c r="DK329" i="3" s="1"/>
  <c r="AR329" i="3"/>
  <c r="DA329" i="3" s="1"/>
  <c r="AH329" i="3"/>
  <c r="CQ329" i="3" s="1"/>
  <c r="X329" i="3"/>
  <c r="CG329" i="3" s="1"/>
  <c r="N329" i="3"/>
  <c r="BW329" i="3" s="1"/>
  <c r="BE329" i="3"/>
  <c r="DN329" i="3" s="1"/>
  <c r="AU329" i="3"/>
  <c r="DD329" i="3" s="1"/>
  <c r="AK329" i="3"/>
  <c r="CT329" i="3" s="1"/>
  <c r="AA329" i="3"/>
  <c r="CJ329" i="3" s="1"/>
  <c r="Q329" i="3"/>
  <c r="BZ329" i="3" s="1"/>
  <c r="G329" i="3"/>
  <c r="BP329" i="3" s="1"/>
  <c r="AZ329" i="3"/>
  <c r="DI329" i="3" s="1"/>
  <c r="AM329" i="3"/>
  <c r="CV329" i="3" s="1"/>
  <c r="W329" i="3"/>
  <c r="CF329" i="3" s="1"/>
  <c r="J329" i="3"/>
  <c r="BS329" i="3" s="1"/>
  <c r="AY329" i="3"/>
  <c r="DH329" i="3" s="1"/>
  <c r="AL329" i="3"/>
  <c r="CU329" i="3" s="1"/>
  <c r="V329" i="3"/>
  <c r="CE329" i="3" s="1"/>
  <c r="I329" i="3"/>
  <c r="BR329" i="3" s="1"/>
  <c r="BD329" i="3"/>
  <c r="DM329" i="3" s="1"/>
  <c r="AO329" i="3"/>
  <c r="CX329" i="3" s="1"/>
  <c r="AB329" i="3"/>
  <c r="CK329" i="3" s="1"/>
  <c r="L329" i="3"/>
  <c r="BU329" i="3" s="1"/>
  <c r="BG329" i="3"/>
  <c r="DP329" i="3" s="1"/>
  <c r="AJ329" i="3"/>
  <c r="CS329" i="3" s="1"/>
  <c r="R329" i="3"/>
  <c r="CA329" i="3" s="1"/>
  <c r="BF329" i="3"/>
  <c r="DO329" i="3" s="1"/>
  <c r="AG329" i="3"/>
  <c r="CP329" i="3" s="1"/>
  <c r="P329" i="3"/>
  <c r="BY329" i="3" s="1"/>
  <c r="BI329" i="3"/>
  <c r="DR329" i="3" s="1"/>
  <c r="AP329" i="3"/>
  <c r="CY329" i="3" s="1"/>
  <c r="T329" i="3"/>
  <c r="CC329" i="3" s="1"/>
  <c r="BK329" i="3"/>
  <c r="DT329" i="3" s="1"/>
  <c r="AF329" i="3"/>
  <c r="CO329" i="3" s="1"/>
  <c r="F329" i="3"/>
  <c r="BO329" i="3" s="1"/>
  <c r="BJ329" i="3"/>
  <c r="DS329" i="3" s="1"/>
  <c r="AE329" i="3"/>
  <c r="CN329" i="3" s="1"/>
  <c r="BH329" i="3"/>
  <c r="DQ329" i="3" s="1"/>
  <c r="AD329" i="3"/>
  <c r="CM329" i="3" s="1"/>
  <c r="BA329" i="3"/>
  <c r="DJ329" i="3" s="1"/>
  <c r="AC329" i="3"/>
  <c r="CL329" i="3" s="1"/>
  <c r="AX329" i="3"/>
  <c r="DG329" i="3" s="1"/>
  <c r="Z329" i="3"/>
  <c r="CI329" i="3" s="1"/>
  <c r="AW329" i="3"/>
  <c r="DF329" i="3" s="1"/>
  <c r="U329" i="3"/>
  <c r="CD329" i="3" s="1"/>
  <c r="AT329" i="3"/>
  <c r="DC329" i="3" s="1"/>
  <c r="M329" i="3"/>
  <c r="BV329" i="3" s="1"/>
  <c r="AV329" i="3"/>
  <c r="DE329" i="3" s="1"/>
  <c r="AQ329" i="3"/>
  <c r="CZ329" i="3" s="1"/>
  <c r="AN329" i="3"/>
  <c r="CW329" i="3" s="1"/>
  <c r="S329" i="3"/>
  <c r="CB329" i="3" s="1"/>
  <c r="K329" i="3"/>
  <c r="BT329" i="3" s="1"/>
  <c r="H329" i="3"/>
  <c r="BQ329" i="3" s="1"/>
  <c r="BI349" i="3"/>
  <c r="DR349" i="3" s="1"/>
  <c r="AY349" i="3"/>
  <c r="DH349" i="3" s="1"/>
  <c r="AO349" i="3"/>
  <c r="CX349" i="3" s="1"/>
  <c r="AE349" i="3"/>
  <c r="CN349" i="3" s="1"/>
  <c r="U349" i="3"/>
  <c r="CD349" i="3" s="1"/>
  <c r="K349" i="3"/>
  <c r="BT349" i="3" s="1"/>
  <c r="BD349" i="3"/>
  <c r="DM349" i="3" s="1"/>
  <c r="AS349" i="3"/>
  <c r="DB349" i="3" s="1"/>
  <c r="AH349" i="3"/>
  <c r="CQ349" i="3" s="1"/>
  <c r="W349" i="3"/>
  <c r="CF349" i="3" s="1"/>
  <c r="L349" i="3"/>
  <c r="BU349" i="3" s="1"/>
  <c r="BC349" i="3"/>
  <c r="DL349" i="3" s="1"/>
  <c r="AR349" i="3"/>
  <c r="DA349" i="3" s="1"/>
  <c r="AG349" i="3"/>
  <c r="CP349" i="3" s="1"/>
  <c r="V349" i="3"/>
  <c r="CE349" i="3" s="1"/>
  <c r="J349" i="3"/>
  <c r="BS349" i="3" s="1"/>
  <c r="BA349" i="3"/>
  <c r="DJ349" i="3" s="1"/>
  <c r="AM349" i="3"/>
  <c r="CV349" i="3" s="1"/>
  <c r="Z349" i="3"/>
  <c r="CI349" i="3" s="1"/>
  <c r="M349" i="3"/>
  <c r="BV349" i="3" s="1"/>
  <c r="AZ349" i="3"/>
  <c r="DI349" i="3" s="1"/>
  <c r="AL349" i="3"/>
  <c r="CU349" i="3" s="1"/>
  <c r="Y349" i="3"/>
  <c r="CH349" i="3" s="1"/>
  <c r="I349" i="3"/>
  <c r="BR349" i="3" s="1"/>
  <c r="BE349" i="3"/>
  <c r="DN349" i="3" s="1"/>
  <c r="AP349" i="3"/>
  <c r="CY349" i="3" s="1"/>
  <c r="AB349" i="3"/>
  <c r="CK349" i="3" s="1"/>
  <c r="O349" i="3"/>
  <c r="BX349" i="3" s="1"/>
  <c r="BJ349" i="3"/>
  <c r="DS349" i="3" s="1"/>
  <c r="AQ349" i="3"/>
  <c r="CZ349" i="3" s="1"/>
  <c r="T349" i="3"/>
  <c r="CC349" i="3" s="1"/>
  <c r="BH349" i="3"/>
  <c r="DQ349" i="3" s="1"/>
  <c r="AN349" i="3"/>
  <c r="CW349" i="3" s="1"/>
  <c r="S349" i="3"/>
  <c r="CB349" i="3" s="1"/>
  <c r="BL349" i="3"/>
  <c r="DU349" i="3" s="1"/>
  <c r="AU349" i="3"/>
  <c r="DD349" i="3" s="1"/>
  <c r="AA349" i="3"/>
  <c r="CJ349" i="3" s="1"/>
  <c r="F349" i="3"/>
  <c r="BO349" i="3" s="1"/>
  <c r="AK349" i="3"/>
  <c r="CT349" i="3" s="1"/>
  <c r="N349" i="3"/>
  <c r="BW349" i="3" s="1"/>
  <c r="AW349" i="3"/>
  <c r="DF349" i="3" s="1"/>
  <c r="R349" i="3"/>
  <c r="CA349" i="3" s="1"/>
  <c r="AV349" i="3"/>
  <c r="DE349" i="3" s="1"/>
  <c r="Q349" i="3"/>
  <c r="BZ349" i="3" s="1"/>
  <c r="BB349" i="3"/>
  <c r="DK349" i="3" s="1"/>
  <c r="H349" i="3"/>
  <c r="BQ349" i="3" s="1"/>
  <c r="AX349" i="3"/>
  <c r="DG349" i="3" s="1"/>
  <c r="G349" i="3"/>
  <c r="BP349" i="3" s="1"/>
  <c r="BG349" i="3"/>
  <c r="DP349" i="3" s="1"/>
  <c r="X349" i="3"/>
  <c r="CG349" i="3" s="1"/>
  <c r="BK349" i="3"/>
  <c r="DT349" i="3" s="1"/>
  <c r="BF349" i="3"/>
  <c r="DO349" i="3" s="1"/>
  <c r="AT349" i="3"/>
  <c r="DC349" i="3" s="1"/>
  <c r="AJ349" i="3"/>
  <c r="CS349" i="3" s="1"/>
  <c r="AI349" i="3"/>
  <c r="CR349" i="3" s="1"/>
  <c r="AF349" i="3"/>
  <c r="CO349" i="3" s="1"/>
  <c r="AD349" i="3"/>
  <c r="CM349" i="3" s="1"/>
  <c r="AC349" i="3"/>
  <c r="CL349" i="3" s="1"/>
  <c r="P349" i="3"/>
  <c r="BY349" i="3" s="1"/>
  <c r="E349" i="3"/>
  <c r="BN349" i="3" s="1"/>
  <c r="BI280" i="3"/>
  <c r="DR280" i="3" s="1"/>
  <c r="AY280" i="3"/>
  <c r="DH280" i="3" s="1"/>
  <c r="AO280" i="3"/>
  <c r="CX280" i="3" s="1"/>
  <c r="AE280" i="3"/>
  <c r="CN280" i="3" s="1"/>
  <c r="U280" i="3"/>
  <c r="CD280" i="3" s="1"/>
  <c r="K280" i="3"/>
  <c r="BT280" i="3" s="1"/>
  <c r="BH280" i="3"/>
  <c r="DQ280" i="3" s="1"/>
  <c r="AX280" i="3"/>
  <c r="DG280" i="3" s="1"/>
  <c r="AN280" i="3"/>
  <c r="CW280" i="3" s="1"/>
  <c r="AD280" i="3"/>
  <c r="CM280" i="3" s="1"/>
  <c r="T280" i="3"/>
  <c r="CC280" i="3" s="1"/>
  <c r="J280" i="3"/>
  <c r="BS280" i="3" s="1"/>
  <c r="BK280" i="3"/>
  <c r="DT280" i="3" s="1"/>
  <c r="BA280" i="3"/>
  <c r="DJ280" i="3" s="1"/>
  <c r="AQ280" i="3"/>
  <c r="CZ280" i="3" s="1"/>
  <c r="AG280" i="3"/>
  <c r="CP280" i="3" s="1"/>
  <c r="W280" i="3"/>
  <c r="CF280" i="3" s="1"/>
  <c r="M280" i="3"/>
  <c r="BV280" i="3" s="1"/>
  <c r="BC280" i="3"/>
  <c r="DL280" i="3" s="1"/>
  <c r="AM280" i="3"/>
  <c r="CV280" i="3" s="1"/>
  <c r="Z280" i="3"/>
  <c r="CI280" i="3" s="1"/>
  <c r="L280" i="3"/>
  <c r="BU280" i="3" s="1"/>
  <c r="BF280" i="3"/>
  <c r="DO280" i="3" s="1"/>
  <c r="AS280" i="3"/>
  <c r="DB280" i="3" s="1"/>
  <c r="AC280" i="3"/>
  <c r="CL280" i="3" s="1"/>
  <c r="P280" i="3"/>
  <c r="BY280" i="3" s="1"/>
  <c r="BE280" i="3"/>
  <c r="DN280" i="3" s="1"/>
  <c r="AR280" i="3"/>
  <c r="DA280" i="3" s="1"/>
  <c r="AZ280" i="3"/>
  <c r="DI280" i="3" s="1"/>
  <c r="AH280" i="3"/>
  <c r="CQ280" i="3" s="1"/>
  <c r="O280" i="3"/>
  <c r="BX280" i="3" s="1"/>
  <c r="AW280" i="3"/>
  <c r="DF280" i="3" s="1"/>
  <c r="AF280" i="3"/>
  <c r="CO280" i="3" s="1"/>
  <c r="N280" i="3"/>
  <c r="BW280" i="3" s="1"/>
  <c r="AV280" i="3"/>
  <c r="DE280" i="3" s="1"/>
  <c r="AB280" i="3"/>
  <c r="CK280" i="3" s="1"/>
  <c r="I280" i="3"/>
  <c r="BR280" i="3" s="1"/>
  <c r="AU280" i="3"/>
  <c r="DD280" i="3" s="1"/>
  <c r="AA280" i="3"/>
  <c r="CJ280" i="3" s="1"/>
  <c r="H280" i="3"/>
  <c r="BQ280" i="3" s="1"/>
  <c r="AT280" i="3"/>
  <c r="DC280" i="3" s="1"/>
  <c r="Y280" i="3"/>
  <c r="CH280" i="3" s="1"/>
  <c r="G280" i="3"/>
  <c r="BP280" i="3" s="1"/>
  <c r="BL280" i="3"/>
  <c r="DU280" i="3" s="1"/>
  <c r="AP280" i="3"/>
  <c r="CY280" i="3" s="1"/>
  <c r="X280" i="3"/>
  <c r="CG280" i="3" s="1"/>
  <c r="F280" i="3"/>
  <c r="BO280" i="3" s="1"/>
  <c r="BJ280" i="3"/>
  <c r="DS280" i="3" s="1"/>
  <c r="AL280" i="3"/>
  <c r="CU280" i="3" s="1"/>
  <c r="V280" i="3"/>
  <c r="CE280" i="3" s="1"/>
  <c r="E280" i="3"/>
  <c r="BN280" i="3" s="1"/>
  <c r="BG280" i="3"/>
  <c r="DP280" i="3" s="1"/>
  <c r="AK280" i="3"/>
  <c r="CT280" i="3" s="1"/>
  <c r="S280" i="3"/>
  <c r="CB280" i="3" s="1"/>
  <c r="BD280" i="3"/>
  <c r="DM280" i="3" s="1"/>
  <c r="AJ280" i="3"/>
  <c r="CS280" i="3" s="1"/>
  <c r="R280" i="3"/>
  <c r="CA280" i="3" s="1"/>
  <c r="Q280" i="3"/>
  <c r="BZ280" i="3" s="1"/>
  <c r="BB280" i="3"/>
  <c r="DK280" i="3" s="1"/>
  <c r="AI280" i="3"/>
  <c r="CR280" i="3" s="1"/>
  <c r="BF300" i="3"/>
  <c r="DO300" i="3" s="1"/>
  <c r="AV300" i="3"/>
  <c r="DE300" i="3" s="1"/>
  <c r="BH300" i="3"/>
  <c r="DQ300" i="3" s="1"/>
  <c r="AW300" i="3"/>
  <c r="DF300" i="3" s="1"/>
  <c r="AL300" i="3"/>
  <c r="CU300" i="3" s="1"/>
  <c r="AB300" i="3"/>
  <c r="CK300" i="3" s="1"/>
  <c r="R300" i="3"/>
  <c r="CA300" i="3" s="1"/>
  <c r="H300" i="3"/>
  <c r="BQ300" i="3" s="1"/>
  <c r="BK300" i="3"/>
  <c r="DT300" i="3" s="1"/>
  <c r="AY300" i="3"/>
  <c r="DH300" i="3" s="1"/>
  <c r="AM300" i="3"/>
  <c r="CV300" i="3" s="1"/>
  <c r="AA300" i="3"/>
  <c r="CJ300" i="3" s="1"/>
  <c r="P300" i="3"/>
  <c r="BY300" i="3" s="1"/>
  <c r="E300" i="3"/>
  <c r="BN300" i="3" s="1"/>
  <c r="BJ300" i="3"/>
  <c r="DS300" i="3" s="1"/>
  <c r="AX300" i="3"/>
  <c r="DG300" i="3" s="1"/>
  <c r="AK300" i="3"/>
  <c r="CT300" i="3" s="1"/>
  <c r="Z300" i="3"/>
  <c r="CI300" i="3" s="1"/>
  <c r="O300" i="3"/>
  <c r="BX300" i="3" s="1"/>
  <c r="BI300" i="3"/>
  <c r="DR300" i="3" s="1"/>
  <c r="AU300" i="3"/>
  <c r="DD300" i="3" s="1"/>
  <c r="AJ300" i="3"/>
  <c r="CS300" i="3" s="1"/>
  <c r="Y300" i="3"/>
  <c r="CH300" i="3" s="1"/>
  <c r="N300" i="3"/>
  <c r="BW300" i="3" s="1"/>
  <c r="BG300" i="3"/>
  <c r="DP300" i="3" s="1"/>
  <c r="AT300" i="3"/>
  <c r="DC300" i="3" s="1"/>
  <c r="AI300" i="3"/>
  <c r="CR300" i="3" s="1"/>
  <c r="X300" i="3"/>
  <c r="CG300" i="3" s="1"/>
  <c r="M300" i="3"/>
  <c r="BV300" i="3" s="1"/>
  <c r="BE300" i="3"/>
  <c r="DN300" i="3" s="1"/>
  <c r="AS300" i="3"/>
  <c r="DB300" i="3" s="1"/>
  <c r="AH300" i="3"/>
  <c r="CQ300" i="3" s="1"/>
  <c r="W300" i="3"/>
  <c r="CF300" i="3" s="1"/>
  <c r="L300" i="3"/>
  <c r="BU300" i="3" s="1"/>
  <c r="BA300" i="3"/>
  <c r="DJ300" i="3" s="1"/>
  <c r="AO300" i="3"/>
  <c r="CX300" i="3" s="1"/>
  <c r="AD300" i="3"/>
  <c r="CM300" i="3" s="1"/>
  <c r="S300" i="3"/>
  <c r="CB300" i="3" s="1"/>
  <c r="G300" i="3"/>
  <c r="BP300" i="3" s="1"/>
  <c r="BL300" i="3"/>
  <c r="DU300" i="3" s="1"/>
  <c r="AZ300" i="3"/>
  <c r="DI300" i="3" s="1"/>
  <c r="AN300" i="3"/>
  <c r="CW300" i="3" s="1"/>
  <c r="AC300" i="3"/>
  <c r="CL300" i="3" s="1"/>
  <c r="Q300" i="3"/>
  <c r="BZ300" i="3" s="1"/>
  <c r="F300" i="3"/>
  <c r="BO300" i="3" s="1"/>
  <c r="AG300" i="3"/>
  <c r="CP300" i="3" s="1"/>
  <c r="AF300" i="3"/>
  <c r="CO300" i="3" s="1"/>
  <c r="AE300" i="3"/>
  <c r="CN300" i="3" s="1"/>
  <c r="AQ300" i="3"/>
  <c r="CZ300" i="3" s="1"/>
  <c r="I300" i="3"/>
  <c r="BR300" i="3" s="1"/>
  <c r="V300" i="3"/>
  <c r="CE300" i="3" s="1"/>
  <c r="BB300" i="3"/>
  <c r="DK300" i="3" s="1"/>
  <c r="AR300" i="3"/>
  <c r="DA300" i="3" s="1"/>
  <c r="T300" i="3"/>
  <c r="CC300" i="3" s="1"/>
  <c r="K300" i="3"/>
  <c r="BT300" i="3" s="1"/>
  <c r="J300" i="3"/>
  <c r="BS300" i="3" s="1"/>
  <c r="BD300" i="3"/>
  <c r="DM300" i="3" s="1"/>
  <c r="BC300" i="3"/>
  <c r="DL300" i="3" s="1"/>
  <c r="AP300" i="3"/>
  <c r="CY300" i="3" s="1"/>
  <c r="U300" i="3"/>
  <c r="CD300" i="3" s="1"/>
  <c r="BE320" i="3"/>
  <c r="DN320" i="3" s="1"/>
  <c r="AU320" i="3"/>
  <c r="DD320" i="3" s="1"/>
  <c r="AK320" i="3"/>
  <c r="CT320" i="3" s="1"/>
  <c r="AA320" i="3"/>
  <c r="CJ320" i="3" s="1"/>
  <c r="Q320" i="3"/>
  <c r="BZ320" i="3" s="1"/>
  <c r="G320" i="3"/>
  <c r="BP320" i="3" s="1"/>
  <c r="BD320" i="3"/>
  <c r="DM320" i="3" s="1"/>
  <c r="AT320" i="3"/>
  <c r="DC320" i="3" s="1"/>
  <c r="AJ320" i="3"/>
  <c r="CS320" i="3" s="1"/>
  <c r="Z320" i="3"/>
  <c r="CI320" i="3" s="1"/>
  <c r="P320" i="3"/>
  <c r="BY320" i="3" s="1"/>
  <c r="F320" i="3"/>
  <c r="BO320" i="3" s="1"/>
  <c r="BG320" i="3"/>
  <c r="DP320" i="3" s="1"/>
  <c r="AW320" i="3"/>
  <c r="DF320" i="3" s="1"/>
  <c r="AM320" i="3"/>
  <c r="CV320" i="3" s="1"/>
  <c r="AC320" i="3"/>
  <c r="CL320" i="3" s="1"/>
  <c r="S320" i="3"/>
  <c r="CB320" i="3" s="1"/>
  <c r="I320" i="3"/>
  <c r="BR320" i="3" s="1"/>
  <c r="BB320" i="3"/>
  <c r="DK320" i="3" s="1"/>
  <c r="AO320" i="3"/>
  <c r="CX320" i="3" s="1"/>
  <c r="Y320" i="3"/>
  <c r="CH320" i="3" s="1"/>
  <c r="L320" i="3"/>
  <c r="BU320" i="3" s="1"/>
  <c r="BA320" i="3"/>
  <c r="DJ320" i="3" s="1"/>
  <c r="AN320" i="3"/>
  <c r="CW320" i="3" s="1"/>
  <c r="X320" i="3"/>
  <c r="CG320" i="3" s="1"/>
  <c r="K320" i="3"/>
  <c r="BT320" i="3" s="1"/>
  <c r="BF320" i="3"/>
  <c r="DO320" i="3" s="1"/>
  <c r="AQ320" i="3"/>
  <c r="CZ320" i="3" s="1"/>
  <c r="AD320" i="3"/>
  <c r="CM320" i="3" s="1"/>
  <c r="N320" i="3"/>
  <c r="BW320" i="3" s="1"/>
  <c r="AV320" i="3"/>
  <c r="DE320" i="3" s="1"/>
  <c r="AB320" i="3"/>
  <c r="CK320" i="3" s="1"/>
  <c r="E320" i="3"/>
  <c r="BN320" i="3" s="1"/>
  <c r="BL320" i="3"/>
  <c r="DU320" i="3" s="1"/>
  <c r="AS320" i="3"/>
  <c r="DB320" i="3" s="1"/>
  <c r="W320" i="3"/>
  <c r="CF320" i="3" s="1"/>
  <c r="BK320" i="3"/>
  <c r="DT320" i="3" s="1"/>
  <c r="AR320" i="3"/>
  <c r="DA320" i="3" s="1"/>
  <c r="V320" i="3"/>
  <c r="CE320" i="3" s="1"/>
  <c r="BJ320" i="3"/>
  <c r="DS320" i="3" s="1"/>
  <c r="AP320" i="3"/>
  <c r="CY320" i="3" s="1"/>
  <c r="U320" i="3"/>
  <c r="CD320" i="3" s="1"/>
  <c r="BI320" i="3"/>
  <c r="DR320" i="3" s="1"/>
  <c r="AL320" i="3"/>
  <c r="CU320" i="3" s="1"/>
  <c r="T320" i="3"/>
  <c r="CC320" i="3" s="1"/>
  <c r="AZ320" i="3"/>
  <c r="DI320" i="3" s="1"/>
  <c r="AG320" i="3"/>
  <c r="CP320" i="3" s="1"/>
  <c r="M320" i="3"/>
  <c r="BV320" i="3" s="1"/>
  <c r="AY320" i="3"/>
  <c r="DH320" i="3" s="1"/>
  <c r="AX320" i="3"/>
  <c r="DG320" i="3" s="1"/>
  <c r="AI320" i="3"/>
  <c r="CR320" i="3" s="1"/>
  <c r="AH320" i="3"/>
  <c r="CQ320" i="3" s="1"/>
  <c r="AF320" i="3"/>
  <c r="CO320" i="3" s="1"/>
  <c r="AE320" i="3"/>
  <c r="CN320" i="3" s="1"/>
  <c r="R320" i="3"/>
  <c r="CA320" i="3" s="1"/>
  <c r="O320" i="3"/>
  <c r="BX320" i="3" s="1"/>
  <c r="BH320" i="3"/>
  <c r="DQ320" i="3" s="1"/>
  <c r="J320" i="3"/>
  <c r="BS320" i="3" s="1"/>
  <c r="BC320" i="3"/>
  <c r="DL320" i="3" s="1"/>
  <c r="H320" i="3"/>
  <c r="BQ320" i="3" s="1"/>
  <c r="BD340" i="3"/>
  <c r="DM340" i="3" s="1"/>
  <c r="AT340" i="3"/>
  <c r="DC340" i="3" s="1"/>
  <c r="AJ340" i="3"/>
  <c r="CS340" i="3" s="1"/>
  <c r="Z340" i="3"/>
  <c r="CI340" i="3" s="1"/>
  <c r="P340" i="3"/>
  <c r="BY340" i="3" s="1"/>
  <c r="F340" i="3"/>
  <c r="BO340" i="3" s="1"/>
  <c r="BC340" i="3"/>
  <c r="DL340" i="3" s="1"/>
  <c r="AS340" i="3"/>
  <c r="DB340" i="3" s="1"/>
  <c r="AI340" i="3"/>
  <c r="CR340" i="3" s="1"/>
  <c r="Y340" i="3"/>
  <c r="CH340" i="3" s="1"/>
  <c r="O340" i="3"/>
  <c r="BX340" i="3" s="1"/>
  <c r="E340" i="3"/>
  <c r="BN340" i="3" s="1"/>
  <c r="BA340" i="3"/>
  <c r="DJ340" i="3" s="1"/>
  <c r="AO340" i="3"/>
  <c r="CX340" i="3" s="1"/>
  <c r="AC340" i="3"/>
  <c r="CL340" i="3" s="1"/>
  <c r="Q340" i="3"/>
  <c r="BZ340" i="3" s="1"/>
  <c r="BL340" i="3"/>
  <c r="DU340" i="3" s="1"/>
  <c r="AZ340" i="3"/>
  <c r="DI340" i="3" s="1"/>
  <c r="AN340" i="3"/>
  <c r="CW340" i="3" s="1"/>
  <c r="AB340" i="3"/>
  <c r="CK340" i="3" s="1"/>
  <c r="N340" i="3"/>
  <c r="BW340" i="3" s="1"/>
  <c r="BE340" i="3"/>
  <c r="DN340" i="3" s="1"/>
  <c r="AQ340" i="3"/>
  <c r="CZ340" i="3" s="1"/>
  <c r="AE340" i="3"/>
  <c r="CN340" i="3" s="1"/>
  <c r="S340" i="3"/>
  <c r="CB340" i="3" s="1"/>
  <c r="G340" i="3"/>
  <c r="BP340" i="3" s="1"/>
  <c r="BH340" i="3"/>
  <c r="DQ340" i="3" s="1"/>
  <c r="AP340" i="3"/>
  <c r="CY340" i="3" s="1"/>
  <c r="W340" i="3"/>
  <c r="CF340" i="3" s="1"/>
  <c r="H340" i="3"/>
  <c r="BQ340" i="3" s="1"/>
  <c r="BK340" i="3"/>
  <c r="DT340" i="3" s="1"/>
  <c r="AV340" i="3"/>
  <c r="DE340" i="3" s="1"/>
  <c r="AD340" i="3"/>
  <c r="CM340" i="3" s="1"/>
  <c r="K340" i="3"/>
  <c r="BT340" i="3" s="1"/>
  <c r="BJ340" i="3"/>
  <c r="DS340" i="3" s="1"/>
  <c r="AU340" i="3"/>
  <c r="DD340" i="3" s="1"/>
  <c r="AA340" i="3"/>
  <c r="CJ340" i="3" s="1"/>
  <c r="J340" i="3"/>
  <c r="BS340" i="3" s="1"/>
  <c r="AM340" i="3"/>
  <c r="CV340" i="3" s="1"/>
  <c r="R340" i="3"/>
  <c r="CA340" i="3" s="1"/>
  <c r="AL340" i="3"/>
  <c r="CU340" i="3" s="1"/>
  <c r="M340" i="3"/>
  <c r="BV340" i="3" s="1"/>
  <c r="AW340" i="3"/>
  <c r="DF340" i="3" s="1"/>
  <c r="U340" i="3"/>
  <c r="CD340" i="3" s="1"/>
  <c r="BB340" i="3"/>
  <c r="DK340" i="3" s="1"/>
  <c r="T340" i="3"/>
  <c r="CC340" i="3" s="1"/>
  <c r="AY340" i="3"/>
  <c r="DH340" i="3" s="1"/>
  <c r="L340" i="3"/>
  <c r="BU340" i="3" s="1"/>
  <c r="AX340" i="3"/>
  <c r="DG340" i="3" s="1"/>
  <c r="I340" i="3"/>
  <c r="BR340" i="3" s="1"/>
  <c r="AR340" i="3"/>
  <c r="DA340" i="3" s="1"/>
  <c r="AK340" i="3"/>
  <c r="CT340" i="3" s="1"/>
  <c r="AH340" i="3"/>
  <c r="CQ340" i="3" s="1"/>
  <c r="AG340" i="3"/>
  <c r="CP340" i="3" s="1"/>
  <c r="BI340" i="3"/>
  <c r="DR340" i="3" s="1"/>
  <c r="AF340" i="3"/>
  <c r="CO340" i="3" s="1"/>
  <c r="BG340" i="3"/>
  <c r="DP340" i="3" s="1"/>
  <c r="X340" i="3"/>
  <c r="CG340" i="3" s="1"/>
  <c r="BF340" i="3"/>
  <c r="DO340" i="3" s="1"/>
  <c r="V340" i="3"/>
  <c r="CE340" i="3" s="1"/>
  <c r="BD241" i="3"/>
  <c r="DM241" i="3" s="1"/>
  <c r="AT241" i="3"/>
  <c r="DC241" i="3" s="1"/>
  <c r="AJ241" i="3"/>
  <c r="CS241" i="3" s="1"/>
  <c r="Z241" i="3"/>
  <c r="CI241" i="3" s="1"/>
  <c r="P241" i="3"/>
  <c r="BY241" i="3" s="1"/>
  <c r="F241" i="3"/>
  <c r="BO241" i="3" s="1"/>
  <c r="BC241" i="3"/>
  <c r="DL241" i="3" s="1"/>
  <c r="AS241" i="3"/>
  <c r="DB241" i="3" s="1"/>
  <c r="AI241" i="3"/>
  <c r="CR241" i="3" s="1"/>
  <c r="Y241" i="3"/>
  <c r="CH241" i="3" s="1"/>
  <c r="BA241" i="3"/>
  <c r="DJ241" i="3" s="1"/>
  <c r="AO241" i="3"/>
  <c r="CX241" i="3" s="1"/>
  <c r="AC241" i="3"/>
  <c r="CL241" i="3" s="1"/>
  <c r="Q241" i="3"/>
  <c r="BZ241" i="3" s="1"/>
  <c r="E241" i="3"/>
  <c r="BN241" i="3" s="1"/>
  <c r="BL241" i="3"/>
  <c r="DU241" i="3" s="1"/>
  <c r="AZ241" i="3"/>
  <c r="DI241" i="3" s="1"/>
  <c r="AN241" i="3"/>
  <c r="CW241" i="3" s="1"/>
  <c r="AB241" i="3"/>
  <c r="CK241" i="3" s="1"/>
  <c r="O241" i="3"/>
  <c r="BX241" i="3" s="1"/>
  <c r="BE241" i="3"/>
  <c r="DN241" i="3" s="1"/>
  <c r="AQ241" i="3"/>
  <c r="CZ241" i="3" s="1"/>
  <c r="AE241" i="3"/>
  <c r="CN241" i="3" s="1"/>
  <c r="S241" i="3"/>
  <c r="CB241" i="3" s="1"/>
  <c r="H241" i="3"/>
  <c r="BQ241" i="3" s="1"/>
  <c r="BJ241" i="3"/>
  <c r="DS241" i="3" s="1"/>
  <c r="AU241" i="3"/>
  <c r="DD241" i="3" s="1"/>
  <c r="AA241" i="3"/>
  <c r="CJ241" i="3" s="1"/>
  <c r="K241" i="3"/>
  <c r="BT241" i="3" s="1"/>
  <c r="BI241" i="3"/>
  <c r="DR241" i="3" s="1"/>
  <c r="AR241" i="3"/>
  <c r="DA241" i="3" s="1"/>
  <c r="X241" i="3"/>
  <c r="CG241" i="3" s="1"/>
  <c r="J241" i="3"/>
  <c r="BS241" i="3" s="1"/>
  <c r="AW241" i="3"/>
  <c r="DF241" i="3" s="1"/>
  <c r="AF241" i="3"/>
  <c r="CO241" i="3" s="1"/>
  <c r="M241" i="3"/>
  <c r="BV241" i="3" s="1"/>
  <c r="AY241" i="3"/>
  <c r="DH241" i="3" s="1"/>
  <c r="W241" i="3"/>
  <c r="CF241" i="3" s="1"/>
  <c r="AX241" i="3"/>
  <c r="DG241" i="3" s="1"/>
  <c r="V241" i="3"/>
  <c r="CE241" i="3" s="1"/>
  <c r="AV241" i="3"/>
  <c r="DE241" i="3" s="1"/>
  <c r="U241" i="3"/>
  <c r="CD241" i="3" s="1"/>
  <c r="BB241" i="3"/>
  <c r="DK241" i="3" s="1"/>
  <c r="N241" i="3"/>
  <c r="BW241" i="3" s="1"/>
  <c r="AP241" i="3"/>
  <c r="CY241" i="3" s="1"/>
  <c r="L241" i="3"/>
  <c r="BU241" i="3" s="1"/>
  <c r="AM241" i="3"/>
  <c r="CV241" i="3" s="1"/>
  <c r="I241" i="3"/>
  <c r="BR241" i="3" s="1"/>
  <c r="AL241" i="3"/>
  <c r="CU241" i="3" s="1"/>
  <c r="G241" i="3"/>
  <c r="BP241" i="3" s="1"/>
  <c r="AK241" i="3"/>
  <c r="CT241" i="3" s="1"/>
  <c r="AH241" i="3"/>
  <c r="CQ241" i="3" s="1"/>
  <c r="BK241" i="3"/>
  <c r="DT241" i="3" s="1"/>
  <c r="AG241" i="3"/>
  <c r="CP241" i="3" s="1"/>
  <c r="BH241" i="3"/>
  <c r="DQ241" i="3" s="1"/>
  <c r="AD241" i="3"/>
  <c r="CM241" i="3" s="1"/>
  <c r="BG241" i="3"/>
  <c r="DP241" i="3" s="1"/>
  <c r="T241" i="3"/>
  <c r="CC241" i="3" s="1"/>
  <c r="BF241" i="3"/>
  <c r="DO241" i="3" s="1"/>
  <c r="R241" i="3"/>
  <c r="CA241" i="3" s="1"/>
  <c r="BD261" i="3"/>
  <c r="DM261" i="3" s="1"/>
  <c r="AT261" i="3"/>
  <c r="DC261" i="3" s="1"/>
  <c r="AJ261" i="3"/>
  <c r="CS261" i="3" s="1"/>
  <c r="Z261" i="3"/>
  <c r="CI261" i="3" s="1"/>
  <c r="P261" i="3"/>
  <c r="BY261" i="3" s="1"/>
  <c r="F261" i="3"/>
  <c r="BO261" i="3" s="1"/>
  <c r="BC261" i="3"/>
  <c r="DL261" i="3" s="1"/>
  <c r="AS261" i="3"/>
  <c r="DB261" i="3" s="1"/>
  <c r="AI261" i="3"/>
  <c r="CR261" i="3" s="1"/>
  <c r="Y261" i="3"/>
  <c r="CH261" i="3" s="1"/>
  <c r="O261" i="3"/>
  <c r="BX261" i="3" s="1"/>
  <c r="E261" i="3"/>
  <c r="BN261" i="3" s="1"/>
  <c r="BF261" i="3"/>
  <c r="DO261" i="3" s="1"/>
  <c r="AV261" i="3"/>
  <c r="DE261" i="3" s="1"/>
  <c r="AL261" i="3"/>
  <c r="CU261" i="3" s="1"/>
  <c r="AB261" i="3"/>
  <c r="CK261" i="3" s="1"/>
  <c r="R261" i="3"/>
  <c r="CA261" i="3" s="1"/>
  <c r="H261" i="3"/>
  <c r="BQ261" i="3" s="1"/>
  <c r="BH261" i="3"/>
  <c r="DQ261" i="3" s="1"/>
  <c r="AR261" i="3"/>
  <c r="DA261" i="3" s="1"/>
  <c r="AE261" i="3"/>
  <c r="CN261" i="3" s="1"/>
  <c r="Q261" i="3"/>
  <c r="BZ261" i="3" s="1"/>
  <c r="BG261" i="3"/>
  <c r="DP261" i="3" s="1"/>
  <c r="AQ261" i="3"/>
  <c r="CZ261" i="3" s="1"/>
  <c r="AD261" i="3"/>
  <c r="CM261" i="3" s="1"/>
  <c r="N261" i="3"/>
  <c r="BW261" i="3" s="1"/>
  <c r="BE261" i="3"/>
  <c r="DN261" i="3" s="1"/>
  <c r="AP261" i="3"/>
  <c r="CY261" i="3" s="1"/>
  <c r="AC261" i="3"/>
  <c r="CL261" i="3" s="1"/>
  <c r="M261" i="3"/>
  <c r="BV261" i="3" s="1"/>
  <c r="BI261" i="3"/>
  <c r="DR261" i="3" s="1"/>
  <c r="AU261" i="3"/>
  <c r="DD261" i="3" s="1"/>
  <c r="AF261" i="3"/>
  <c r="CO261" i="3" s="1"/>
  <c r="S261" i="3"/>
  <c r="CB261" i="3" s="1"/>
  <c r="AY261" i="3"/>
  <c r="DH261" i="3" s="1"/>
  <c r="X261" i="3"/>
  <c r="CG261" i="3" s="1"/>
  <c r="AX261" i="3"/>
  <c r="DG261" i="3" s="1"/>
  <c r="W261" i="3"/>
  <c r="CF261" i="3" s="1"/>
  <c r="AW261" i="3"/>
  <c r="DF261" i="3" s="1"/>
  <c r="V261" i="3"/>
  <c r="CE261" i="3" s="1"/>
  <c r="AO261" i="3"/>
  <c r="CX261" i="3" s="1"/>
  <c r="U261" i="3"/>
  <c r="CD261" i="3" s="1"/>
  <c r="BL261" i="3"/>
  <c r="DU261" i="3" s="1"/>
  <c r="AN261" i="3"/>
  <c r="CW261" i="3" s="1"/>
  <c r="T261" i="3"/>
  <c r="CC261" i="3" s="1"/>
  <c r="BK261" i="3"/>
  <c r="DT261" i="3" s="1"/>
  <c r="AM261" i="3"/>
  <c r="CV261" i="3" s="1"/>
  <c r="L261" i="3"/>
  <c r="BU261" i="3" s="1"/>
  <c r="BA261" i="3"/>
  <c r="DJ261" i="3" s="1"/>
  <c r="AG261" i="3"/>
  <c r="CP261" i="3" s="1"/>
  <c r="I261" i="3"/>
  <c r="BR261" i="3" s="1"/>
  <c r="AH261" i="3"/>
  <c r="CQ261" i="3" s="1"/>
  <c r="AA261" i="3"/>
  <c r="CJ261" i="3" s="1"/>
  <c r="K261" i="3"/>
  <c r="BT261" i="3" s="1"/>
  <c r="J261" i="3"/>
  <c r="BS261" i="3" s="1"/>
  <c r="AZ261" i="3"/>
  <c r="DI261" i="3" s="1"/>
  <c r="BB261" i="3"/>
  <c r="DK261" i="3" s="1"/>
  <c r="AK261" i="3"/>
  <c r="CT261" i="3" s="1"/>
  <c r="G261" i="3"/>
  <c r="BP261" i="3" s="1"/>
  <c r="BJ261" i="3"/>
  <c r="DS261" i="3" s="1"/>
  <c r="BE281" i="3"/>
  <c r="DN281" i="3" s="1"/>
  <c r="AU281" i="3"/>
  <c r="DD281" i="3" s="1"/>
  <c r="AK281" i="3"/>
  <c r="CT281" i="3" s="1"/>
  <c r="AA281" i="3"/>
  <c r="CJ281" i="3" s="1"/>
  <c r="Q281" i="3"/>
  <c r="BZ281" i="3" s="1"/>
  <c r="G281" i="3"/>
  <c r="BP281" i="3" s="1"/>
  <c r="BD281" i="3"/>
  <c r="DM281" i="3" s="1"/>
  <c r="AT281" i="3"/>
  <c r="DC281" i="3" s="1"/>
  <c r="AJ281" i="3"/>
  <c r="CS281" i="3" s="1"/>
  <c r="Z281" i="3"/>
  <c r="CI281" i="3" s="1"/>
  <c r="P281" i="3"/>
  <c r="BY281" i="3" s="1"/>
  <c r="F281" i="3"/>
  <c r="BO281" i="3" s="1"/>
  <c r="BG281" i="3"/>
  <c r="DP281" i="3" s="1"/>
  <c r="AW281" i="3"/>
  <c r="DF281" i="3" s="1"/>
  <c r="AM281" i="3"/>
  <c r="CV281" i="3" s="1"/>
  <c r="AC281" i="3"/>
  <c r="CL281" i="3" s="1"/>
  <c r="S281" i="3"/>
  <c r="CB281" i="3" s="1"/>
  <c r="I281" i="3"/>
  <c r="BR281" i="3" s="1"/>
  <c r="BH281" i="3"/>
  <c r="DQ281" i="3" s="1"/>
  <c r="AR281" i="3"/>
  <c r="DA281" i="3" s="1"/>
  <c r="AE281" i="3"/>
  <c r="CN281" i="3" s="1"/>
  <c r="O281" i="3"/>
  <c r="BX281" i="3" s="1"/>
  <c r="BK281" i="3"/>
  <c r="DT281" i="3" s="1"/>
  <c r="AX281" i="3"/>
  <c r="DG281" i="3" s="1"/>
  <c r="AH281" i="3"/>
  <c r="CQ281" i="3" s="1"/>
  <c r="U281" i="3"/>
  <c r="CD281" i="3" s="1"/>
  <c r="E281" i="3"/>
  <c r="BN281" i="3" s="1"/>
  <c r="BJ281" i="3"/>
  <c r="DS281" i="3" s="1"/>
  <c r="AV281" i="3"/>
  <c r="DE281" i="3" s="1"/>
  <c r="AG281" i="3"/>
  <c r="CP281" i="3" s="1"/>
  <c r="T281" i="3"/>
  <c r="CC281" i="3" s="1"/>
  <c r="AZ281" i="3"/>
  <c r="DI281" i="3" s="1"/>
  <c r="AD281" i="3"/>
  <c r="CM281" i="3" s="1"/>
  <c r="K281" i="3"/>
  <c r="BT281" i="3" s="1"/>
  <c r="AY281" i="3"/>
  <c r="DH281" i="3" s="1"/>
  <c r="AB281" i="3"/>
  <c r="CK281" i="3" s="1"/>
  <c r="J281" i="3"/>
  <c r="BS281" i="3" s="1"/>
  <c r="AS281" i="3"/>
  <c r="DB281" i="3" s="1"/>
  <c r="Y281" i="3"/>
  <c r="CH281" i="3" s="1"/>
  <c r="H281" i="3"/>
  <c r="BQ281" i="3" s="1"/>
  <c r="AQ281" i="3"/>
  <c r="CZ281" i="3" s="1"/>
  <c r="X281" i="3"/>
  <c r="CG281" i="3" s="1"/>
  <c r="BL281" i="3"/>
  <c r="DU281" i="3" s="1"/>
  <c r="AP281" i="3"/>
  <c r="CY281" i="3" s="1"/>
  <c r="W281" i="3"/>
  <c r="CF281" i="3" s="1"/>
  <c r="BI281" i="3"/>
  <c r="DR281" i="3" s="1"/>
  <c r="AO281" i="3"/>
  <c r="CX281" i="3" s="1"/>
  <c r="V281" i="3"/>
  <c r="CE281" i="3" s="1"/>
  <c r="BF281" i="3"/>
  <c r="DO281" i="3" s="1"/>
  <c r="AN281" i="3"/>
  <c r="CW281" i="3" s="1"/>
  <c r="R281" i="3"/>
  <c r="CA281" i="3" s="1"/>
  <c r="BC281" i="3"/>
  <c r="DL281" i="3" s="1"/>
  <c r="AL281" i="3"/>
  <c r="CU281" i="3" s="1"/>
  <c r="N281" i="3"/>
  <c r="BW281" i="3" s="1"/>
  <c r="BB281" i="3"/>
  <c r="DK281" i="3" s="1"/>
  <c r="AI281" i="3"/>
  <c r="CR281" i="3" s="1"/>
  <c r="M281" i="3"/>
  <c r="BV281" i="3" s="1"/>
  <c r="BA281" i="3"/>
  <c r="DJ281" i="3" s="1"/>
  <c r="AF281" i="3"/>
  <c r="CO281" i="3" s="1"/>
  <c r="L281" i="3"/>
  <c r="BU281" i="3" s="1"/>
  <c r="BL301" i="3"/>
  <c r="DU301" i="3" s="1"/>
  <c r="BB301" i="3"/>
  <c r="DK301" i="3" s="1"/>
  <c r="AR301" i="3"/>
  <c r="DA301" i="3" s="1"/>
  <c r="AH301" i="3"/>
  <c r="CQ301" i="3" s="1"/>
  <c r="X301" i="3"/>
  <c r="CG301" i="3" s="1"/>
  <c r="N301" i="3"/>
  <c r="BW301" i="3" s="1"/>
  <c r="BJ301" i="3"/>
  <c r="DS301" i="3" s="1"/>
  <c r="AY301" i="3"/>
  <c r="DH301" i="3" s="1"/>
  <c r="AN301" i="3"/>
  <c r="CW301" i="3" s="1"/>
  <c r="AC301" i="3"/>
  <c r="CL301" i="3" s="1"/>
  <c r="R301" i="3"/>
  <c r="CA301" i="3" s="1"/>
  <c r="G301" i="3"/>
  <c r="BP301" i="3" s="1"/>
  <c r="BC301" i="3"/>
  <c r="DL301" i="3" s="1"/>
  <c r="AP301" i="3"/>
  <c r="CY301" i="3" s="1"/>
  <c r="AD301" i="3"/>
  <c r="CM301" i="3" s="1"/>
  <c r="Q301" i="3"/>
  <c r="BZ301" i="3" s="1"/>
  <c r="E301" i="3"/>
  <c r="BN301" i="3" s="1"/>
  <c r="BF301" i="3"/>
  <c r="DO301" i="3" s="1"/>
  <c r="AS301" i="3"/>
  <c r="DB301" i="3" s="1"/>
  <c r="AE301" i="3"/>
  <c r="CN301" i="3" s="1"/>
  <c r="P301" i="3"/>
  <c r="BY301" i="3" s="1"/>
  <c r="BE301" i="3"/>
  <c r="DN301" i="3" s="1"/>
  <c r="AQ301" i="3"/>
  <c r="CZ301" i="3" s="1"/>
  <c r="AB301" i="3"/>
  <c r="CK301" i="3" s="1"/>
  <c r="O301" i="3"/>
  <c r="BX301" i="3" s="1"/>
  <c r="BD301" i="3"/>
  <c r="DM301" i="3" s="1"/>
  <c r="AO301" i="3"/>
  <c r="CX301" i="3" s="1"/>
  <c r="AA301" i="3"/>
  <c r="CJ301" i="3" s="1"/>
  <c r="M301" i="3"/>
  <c r="BV301" i="3" s="1"/>
  <c r="BA301" i="3"/>
  <c r="DJ301" i="3" s="1"/>
  <c r="AM301" i="3"/>
  <c r="CV301" i="3" s="1"/>
  <c r="Z301" i="3"/>
  <c r="CI301" i="3" s="1"/>
  <c r="L301" i="3"/>
  <c r="BU301" i="3" s="1"/>
  <c r="AZ301" i="3"/>
  <c r="DI301" i="3" s="1"/>
  <c r="AL301" i="3"/>
  <c r="CU301" i="3" s="1"/>
  <c r="Y301" i="3"/>
  <c r="CH301" i="3" s="1"/>
  <c r="K301" i="3"/>
  <c r="BT301" i="3" s="1"/>
  <c r="BH301" i="3"/>
  <c r="DQ301" i="3" s="1"/>
  <c r="AU301" i="3"/>
  <c r="DD301" i="3" s="1"/>
  <c r="AG301" i="3"/>
  <c r="CP301" i="3" s="1"/>
  <c r="T301" i="3"/>
  <c r="CC301" i="3" s="1"/>
  <c r="F301" i="3"/>
  <c r="BO301" i="3" s="1"/>
  <c r="BG301" i="3"/>
  <c r="DP301" i="3" s="1"/>
  <c r="AT301" i="3"/>
  <c r="DC301" i="3" s="1"/>
  <c r="AF301" i="3"/>
  <c r="CO301" i="3" s="1"/>
  <c r="S301" i="3"/>
  <c r="CB301" i="3" s="1"/>
  <c r="AK301" i="3"/>
  <c r="CT301" i="3" s="1"/>
  <c r="AJ301" i="3"/>
  <c r="CS301" i="3" s="1"/>
  <c r="AI301" i="3"/>
  <c r="CR301" i="3" s="1"/>
  <c r="AW301" i="3"/>
  <c r="DF301" i="3" s="1"/>
  <c r="H301" i="3"/>
  <c r="BQ301" i="3" s="1"/>
  <c r="AX301" i="3"/>
  <c r="DG301" i="3" s="1"/>
  <c r="BK301" i="3"/>
  <c r="DT301" i="3" s="1"/>
  <c r="I301" i="3"/>
  <c r="BR301" i="3" s="1"/>
  <c r="BI301" i="3"/>
  <c r="DR301" i="3" s="1"/>
  <c r="AV301" i="3"/>
  <c r="DE301" i="3" s="1"/>
  <c r="W301" i="3"/>
  <c r="CF301" i="3" s="1"/>
  <c r="V301" i="3"/>
  <c r="CE301" i="3" s="1"/>
  <c r="U301" i="3"/>
  <c r="CD301" i="3" s="1"/>
  <c r="J301" i="3"/>
  <c r="BS301" i="3" s="1"/>
  <c r="BE321" i="3"/>
  <c r="DN321" i="3" s="1"/>
  <c r="AU321" i="3"/>
  <c r="DD321" i="3" s="1"/>
  <c r="AK321" i="3"/>
  <c r="CT321" i="3" s="1"/>
  <c r="AA321" i="3"/>
  <c r="CJ321" i="3" s="1"/>
  <c r="Q321" i="3"/>
  <c r="BZ321" i="3" s="1"/>
  <c r="G321" i="3"/>
  <c r="BP321" i="3" s="1"/>
  <c r="BK321" i="3"/>
  <c r="DT321" i="3" s="1"/>
  <c r="AZ321" i="3"/>
  <c r="DI321" i="3" s="1"/>
  <c r="AO321" i="3"/>
  <c r="CX321" i="3" s="1"/>
  <c r="AD321" i="3"/>
  <c r="CM321" i="3" s="1"/>
  <c r="S321" i="3"/>
  <c r="CB321" i="3" s="1"/>
  <c r="H321" i="3"/>
  <c r="BQ321" i="3" s="1"/>
  <c r="BJ321" i="3"/>
  <c r="DS321" i="3" s="1"/>
  <c r="AY321" i="3"/>
  <c r="DH321" i="3" s="1"/>
  <c r="AN321" i="3"/>
  <c r="CW321" i="3" s="1"/>
  <c r="AC321" i="3"/>
  <c r="CL321" i="3" s="1"/>
  <c r="R321" i="3"/>
  <c r="CA321" i="3" s="1"/>
  <c r="F321" i="3"/>
  <c r="BO321" i="3" s="1"/>
  <c r="BB321" i="3"/>
  <c r="DK321" i="3" s="1"/>
  <c r="AQ321" i="3"/>
  <c r="CZ321" i="3" s="1"/>
  <c r="AF321" i="3"/>
  <c r="CO321" i="3" s="1"/>
  <c r="U321" i="3"/>
  <c r="CD321" i="3" s="1"/>
  <c r="J321" i="3"/>
  <c r="BS321" i="3" s="1"/>
  <c r="BC321" i="3"/>
  <c r="DL321" i="3" s="1"/>
  <c r="AL321" i="3"/>
  <c r="CU321" i="3" s="1"/>
  <c r="W321" i="3"/>
  <c r="CF321" i="3" s="1"/>
  <c r="E321" i="3"/>
  <c r="BN321" i="3" s="1"/>
  <c r="BA321" i="3"/>
  <c r="DJ321" i="3" s="1"/>
  <c r="AJ321" i="3"/>
  <c r="CS321" i="3" s="1"/>
  <c r="V321" i="3"/>
  <c r="CE321" i="3" s="1"/>
  <c r="BF321" i="3"/>
  <c r="DO321" i="3" s="1"/>
  <c r="AP321" i="3"/>
  <c r="CY321" i="3" s="1"/>
  <c r="Y321" i="3"/>
  <c r="CH321" i="3" s="1"/>
  <c r="K321" i="3"/>
  <c r="BT321" i="3" s="1"/>
  <c r="BD321" i="3"/>
  <c r="DM321" i="3" s="1"/>
  <c r="AG321" i="3"/>
  <c r="CP321" i="3" s="1"/>
  <c r="L321" i="3"/>
  <c r="BU321" i="3" s="1"/>
  <c r="AX321" i="3"/>
  <c r="DG321" i="3" s="1"/>
  <c r="AE321" i="3"/>
  <c r="CN321" i="3" s="1"/>
  <c r="I321" i="3"/>
  <c r="BR321" i="3" s="1"/>
  <c r="AW321" i="3"/>
  <c r="DF321" i="3" s="1"/>
  <c r="AB321" i="3"/>
  <c r="CK321" i="3" s="1"/>
  <c r="AV321" i="3"/>
  <c r="DE321" i="3" s="1"/>
  <c r="Z321" i="3"/>
  <c r="CI321" i="3" s="1"/>
  <c r="AT321" i="3"/>
  <c r="DC321" i="3" s="1"/>
  <c r="X321" i="3"/>
  <c r="CG321" i="3" s="1"/>
  <c r="BI321" i="3"/>
  <c r="DR321" i="3" s="1"/>
  <c r="AM321" i="3"/>
  <c r="CV321" i="3" s="1"/>
  <c r="O321" i="3"/>
  <c r="BX321" i="3" s="1"/>
  <c r="AI321" i="3"/>
  <c r="CR321" i="3" s="1"/>
  <c r="AH321" i="3"/>
  <c r="CQ321" i="3" s="1"/>
  <c r="T321" i="3"/>
  <c r="CC321" i="3" s="1"/>
  <c r="P321" i="3"/>
  <c r="BY321" i="3" s="1"/>
  <c r="N321" i="3"/>
  <c r="BW321" i="3" s="1"/>
  <c r="BL321" i="3"/>
  <c r="DU321" i="3" s="1"/>
  <c r="M321" i="3"/>
  <c r="BV321" i="3" s="1"/>
  <c r="BH321" i="3"/>
  <c r="DQ321" i="3" s="1"/>
  <c r="BG321" i="3"/>
  <c r="DP321" i="3" s="1"/>
  <c r="AS321" i="3"/>
  <c r="DB321" i="3" s="1"/>
  <c r="AR321" i="3"/>
  <c r="DA321" i="3" s="1"/>
  <c r="BJ341" i="3"/>
  <c r="DS341" i="3" s="1"/>
  <c r="AZ341" i="3"/>
  <c r="DI341" i="3" s="1"/>
  <c r="AP341" i="3"/>
  <c r="CY341" i="3" s="1"/>
  <c r="AF341" i="3"/>
  <c r="CO341" i="3" s="1"/>
  <c r="V341" i="3"/>
  <c r="CE341" i="3" s="1"/>
  <c r="L341" i="3"/>
  <c r="BU341" i="3" s="1"/>
  <c r="BI341" i="3"/>
  <c r="DR341" i="3" s="1"/>
  <c r="AY341" i="3"/>
  <c r="DH341" i="3" s="1"/>
  <c r="AO341" i="3"/>
  <c r="CX341" i="3" s="1"/>
  <c r="AE341" i="3"/>
  <c r="CN341" i="3" s="1"/>
  <c r="U341" i="3"/>
  <c r="CD341" i="3" s="1"/>
  <c r="K341" i="3"/>
  <c r="BT341" i="3" s="1"/>
  <c r="BL341" i="3"/>
  <c r="DU341" i="3" s="1"/>
  <c r="BB341" i="3"/>
  <c r="DK341" i="3" s="1"/>
  <c r="AR341" i="3"/>
  <c r="DA341" i="3" s="1"/>
  <c r="AH341" i="3"/>
  <c r="CQ341" i="3" s="1"/>
  <c r="BF341" i="3"/>
  <c r="DO341" i="3" s="1"/>
  <c r="AS341" i="3"/>
  <c r="DB341" i="3" s="1"/>
  <c r="AC341" i="3"/>
  <c r="CL341" i="3" s="1"/>
  <c r="Q341" i="3"/>
  <c r="BZ341" i="3" s="1"/>
  <c r="E341" i="3"/>
  <c r="BN341" i="3" s="1"/>
  <c r="BE341" i="3"/>
  <c r="DN341" i="3" s="1"/>
  <c r="AQ341" i="3"/>
  <c r="CZ341" i="3" s="1"/>
  <c r="AB341" i="3"/>
  <c r="CK341" i="3" s="1"/>
  <c r="P341" i="3"/>
  <c r="BY341" i="3" s="1"/>
  <c r="BH341" i="3"/>
  <c r="DQ341" i="3" s="1"/>
  <c r="AU341" i="3"/>
  <c r="DD341" i="3" s="1"/>
  <c r="AG341" i="3"/>
  <c r="CP341" i="3" s="1"/>
  <c r="S341" i="3"/>
  <c r="CB341" i="3" s="1"/>
  <c r="G341" i="3"/>
  <c r="BP341" i="3" s="1"/>
  <c r="AT341" i="3"/>
  <c r="DC341" i="3" s="1"/>
  <c r="Y341" i="3"/>
  <c r="CH341" i="3" s="1"/>
  <c r="H341" i="3"/>
  <c r="BQ341" i="3" s="1"/>
  <c r="AX341" i="3"/>
  <c r="DG341" i="3" s="1"/>
  <c r="AD341" i="3"/>
  <c r="CM341" i="3" s="1"/>
  <c r="M341" i="3"/>
  <c r="BV341" i="3" s="1"/>
  <c r="AW341" i="3"/>
  <c r="DF341" i="3" s="1"/>
  <c r="AA341" i="3"/>
  <c r="CJ341" i="3" s="1"/>
  <c r="J341" i="3"/>
  <c r="BS341" i="3" s="1"/>
  <c r="AV341" i="3"/>
  <c r="DE341" i="3" s="1"/>
  <c r="T341" i="3"/>
  <c r="CC341" i="3" s="1"/>
  <c r="AN341" i="3"/>
  <c r="CW341" i="3" s="1"/>
  <c r="R341" i="3"/>
  <c r="CA341" i="3" s="1"/>
  <c r="BC341" i="3"/>
  <c r="DL341" i="3" s="1"/>
  <c r="X341" i="3"/>
  <c r="CG341" i="3" s="1"/>
  <c r="AL341" i="3"/>
  <c r="CU341" i="3" s="1"/>
  <c r="AK341" i="3"/>
  <c r="CT341" i="3" s="1"/>
  <c r="AJ341" i="3"/>
  <c r="CS341" i="3" s="1"/>
  <c r="AI341" i="3"/>
  <c r="CR341" i="3" s="1"/>
  <c r="Z341" i="3"/>
  <c r="CI341" i="3" s="1"/>
  <c r="BK341" i="3"/>
  <c r="DT341" i="3" s="1"/>
  <c r="W341" i="3"/>
  <c r="CF341" i="3" s="1"/>
  <c r="BG341" i="3"/>
  <c r="DP341" i="3" s="1"/>
  <c r="O341" i="3"/>
  <c r="BX341" i="3" s="1"/>
  <c r="BD341" i="3"/>
  <c r="DM341" i="3" s="1"/>
  <c r="N341" i="3"/>
  <c r="BW341" i="3" s="1"/>
  <c r="BA341" i="3"/>
  <c r="DJ341" i="3" s="1"/>
  <c r="I341" i="3"/>
  <c r="BR341" i="3" s="1"/>
  <c r="AM341" i="3"/>
  <c r="CV341" i="3" s="1"/>
  <c r="F341" i="3"/>
  <c r="BO341" i="3" s="1"/>
  <c r="BL244" i="3"/>
  <c r="DU244" i="3" s="1"/>
  <c r="BB244" i="3"/>
  <c r="DK244" i="3" s="1"/>
  <c r="AR244" i="3"/>
  <c r="DA244" i="3" s="1"/>
  <c r="AH244" i="3"/>
  <c r="CQ244" i="3" s="1"/>
  <c r="X244" i="3"/>
  <c r="CG244" i="3" s="1"/>
  <c r="N244" i="3"/>
  <c r="BW244" i="3" s="1"/>
  <c r="BK244" i="3"/>
  <c r="DT244" i="3" s="1"/>
  <c r="BA244" i="3"/>
  <c r="DJ244" i="3" s="1"/>
  <c r="AQ244" i="3"/>
  <c r="CZ244" i="3" s="1"/>
  <c r="AG244" i="3"/>
  <c r="CP244" i="3" s="1"/>
  <c r="W244" i="3"/>
  <c r="CF244" i="3" s="1"/>
  <c r="M244" i="3"/>
  <c r="BV244" i="3" s="1"/>
  <c r="BD244" i="3"/>
  <c r="DM244" i="3" s="1"/>
  <c r="AP244" i="3"/>
  <c r="CY244" i="3" s="1"/>
  <c r="AD244" i="3"/>
  <c r="CM244" i="3" s="1"/>
  <c r="R244" i="3"/>
  <c r="CA244" i="3" s="1"/>
  <c r="F244" i="3"/>
  <c r="BO244" i="3" s="1"/>
  <c r="BJ244" i="3"/>
  <c r="DS244" i="3" s="1"/>
  <c r="AW244" i="3"/>
  <c r="DF244" i="3" s="1"/>
  <c r="AJ244" i="3"/>
  <c r="CS244" i="3" s="1"/>
  <c r="U244" i="3"/>
  <c r="CD244" i="3" s="1"/>
  <c r="H244" i="3"/>
  <c r="BQ244" i="3" s="1"/>
  <c r="BI244" i="3"/>
  <c r="DR244" i="3" s="1"/>
  <c r="AV244" i="3"/>
  <c r="DE244" i="3" s="1"/>
  <c r="AI244" i="3"/>
  <c r="CR244" i="3" s="1"/>
  <c r="T244" i="3"/>
  <c r="CC244" i="3" s="1"/>
  <c r="G244" i="3"/>
  <c r="BP244" i="3" s="1"/>
  <c r="BG244" i="3"/>
  <c r="DP244" i="3" s="1"/>
  <c r="AT244" i="3"/>
  <c r="DC244" i="3" s="1"/>
  <c r="AY244" i="3"/>
  <c r="DH244" i="3" s="1"/>
  <c r="AL244" i="3"/>
  <c r="CU244" i="3" s="1"/>
  <c r="Y244" i="3"/>
  <c r="CH244" i="3" s="1"/>
  <c r="J244" i="3"/>
  <c r="BS244" i="3" s="1"/>
  <c r="AO244" i="3"/>
  <c r="CX244" i="3" s="1"/>
  <c r="V244" i="3"/>
  <c r="CE244" i="3" s="1"/>
  <c r="AN244" i="3"/>
  <c r="CW244" i="3" s="1"/>
  <c r="S244" i="3"/>
  <c r="CB244" i="3" s="1"/>
  <c r="AU244" i="3"/>
  <c r="DD244" i="3" s="1"/>
  <c r="AA244" i="3"/>
  <c r="CJ244" i="3" s="1"/>
  <c r="E244" i="3"/>
  <c r="BN244" i="3" s="1"/>
  <c r="AM244" i="3"/>
  <c r="CV244" i="3" s="1"/>
  <c r="L244" i="3"/>
  <c r="BU244" i="3" s="1"/>
  <c r="AK244" i="3"/>
  <c r="CT244" i="3" s="1"/>
  <c r="K244" i="3"/>
  <c r="BT244" i="3" s="1"/>
  <c r="AF244" i="3"/>
  <c r="CO244" i="3" s="1"/>
  <c r="I244" i="3"/>
  <c r="BR244" i="3" s="1"/>
  <c r="AE244" i="3"/>
  <c r="CN244" i="3" s="1"/>
  <c r="AC244" i="3"/>
  <c r="CL244" i="3" s="1"/>
  <c r="AB244" i="3"/>
  <c r="CK244" i="3" s="1"/>
  <c r="BH244" i="3"/>
  <c r="DQ244" i="3" s="1"/>
  <c r="Z244" i="3"/>
  <c r="CI244" i="3" s="1"/>
  <c r="BF244" i="3"/>
  <c r="DO244" i="3" s="1"/>
  <c r="Q244" i="3"/>
  <c r="BZ244" i="3" s="1"/>
  <c r="BE244" i="3"/>
  <c r="DN244" i="3" s="1"/>
  <c r="P244" i="3"/>
  <c r="BY244" i="3" s="1"/>
  <c r="BC244" i="3"/>
  <c r="DL244" i="3" s="1"/>
  <c r="O244" i="3"/>
  <c r="BX244" i="3" s="1"/>
  <c r="AZ244" i="3"/>
  <c r="DI244" i="3" s="1"/>
  <c r="AX244" i="3"/>
  <c r="DG244" i="3" s="1"/>
  <c r="AS244" i="3"/>
  <c r="DB244" i="3" s="1"/>
  <c r="BK344" i="3"/>
  <c r="DT344" i="3" s="1"/>
  <c r="BA344" i="3"/>
  <c r="DJ344" i="3" s="1"/>
  <c r="AQ344" i="3"/>
  <c r="CZ344" i="3" s="1"/>
  <c r="BJ344" i="3"/>
  <c r="DS344" i="3" s="1"/>
  <c r="AY344" i="3"/>
  <c r="DH344" i="3" s="1"/>
  <c r="AN344" i="3"/>
  <c r="CW344" i="3" s="1"/>
  <c r="AD344" i="3"/>
  <c r="CM344" i="3" s="1"/>
  <c r="T344" i="3"/>
  <c r="CC344" i="3" s="1"/>
  <c r="J344" i="3"/>
  <c r="BS344" i="3" s="1"/>
  <c r="BI344" i="3"/>
  <c r="DR344" i="3" s="1"/>
  <c r="AX344" i="3"/>
  <c r="DG344" i="3" s="1"/>
  <c r="AM344" i="3"/>
  <c r="CV344" i="3" s="1"/>
  <c r="AC344" i="3"/>
  <c r="CL344" i="3" s="1"/>
  <c r="S344" i="3"/>
  <c r="CB344" i="3" s="1"/>
  <c r="I344" i="3"/>
  <c r="BR344" i="3" s="1"/>
  <c r="BB344" i="3"/>
  <c r="DK344" i="3" s="1"/>
  <c r="AP344" i="3"/>
  <c r="CY344" i="3" s="1"/>
  <c r="AF344" i="3"/>
  <c r="CO344" i="3" s="1"/>
  <c r="V344" i="3"/>
  <c r="CE344" i="3" s="1"/>
  <c r="L344" i="3"/>
  <c r="BU344" i="3" s="1"/>
  <c r="BG344" i="3"/>
  <c r="DP344" i="3" s="1"/>
  <c r="AS344" i="3"/>
  <c r="DB344" i="3" s="1"/>
  <c r="AB344" i="3"/>
  <c r="CK344" i="3" s="1"/>
  <c r="O344" i="3"/>
  <c r="BX344" i="3" s="1"/>
  <c r="BF344" i="3"/>
  <c r="DO344" i="3" s="1"/>
  <c r="AR344" i="3"/>
  <c r="DA344" i="3" s="1"/>
  <c r="AA344" i="3"/>
  <c r="CJ344" i="3" s="1"/>
  <c r="N344" i="3"/>
  <c r="BW344" i="3" s="1"/>
  <c r="BL344" i="3"/>
  <c r="DU344" i="3" s="1"/>
  <c r="AU344" i="3"/>
  <c r="DD344" i="3" s="1"/>
  <c r="AG344" i="3"/>
  <c r="CP344" i="3" s="1"/>
  <c r="Q344" i="3"/>
  <c r="BZ344" i="3" s="1"/>
  <c r="AL344" i="3"/>
  <c r="CU344" i="3" s="1"/>
  <c r="U344" i="3"/>
  <c r="CD344" i="3" s="1"/>
  <c r="AV344" i="3"/>
  <c r="DE344" i="3" s="1"/>
  <c r="Y344" i="3"/>
  <c r="CH344" i="3" s="1"/>
  <c r="F344" i="3"/>
  <c r="BO344" i="3" s="1"/>
  <c r="AT344" i="3"/>
  <c r="DC344" i="3" s="1"/>
  <c r="X344" i="3"/>
  <c r="CG344" i="3" s="1"/>
  <c r="E344" i="3"/>
  <c r="BN344" i="3" s="1"/>
  <c r="BD344" i="3"/>
  <c r="DM344" i="3" s="1"/>
  <c r="Z344" i="3"/>
  <c r="CI344" i="3" s="1"/>
  <c r="BC344" i="3"/>
  <c r="DL344" i="3" s="1"/>
  <c r="W344" i="3"/>
  <c r="CF344" i="3" s="1"/>
  <c r="BH344" i="3"/>
  <c r="DQ344" i="3" s="1"/>
  <c r="AH344" i="3"/>
  <c r="CQ344" i="3" s="1"/>
  <c r="AO344" i="3"/>
  <c r="CX344" i="3" s="1"/>
  <c r="G344" i="3"/>
  <c r="BP344" i="3" s="1"/>
  <c r="AK344" i="3"/>
  <c r="CT344" i="3" s="1"/>
  <c r="AJ344" i="3"/>
  <c r="CS344" i="3" s="1"/>
  <c r="AI344" i="3"/>
  <c r="CR344" i="3" s="1"/>
  <c r="AE344" i="3"/>
  <c r="CN344" i="3" s="1"/>
  <c r="R344" i="3"/>
  <c r="CA344" i="3" s="1"/>
  <c r="P344" i="3"/>
  <c r="BY344" i="3" s="1"/>
  <c r="BE344" i="3"/>
  <c r="DN344" i="3" s="1"/>
  <c r="M344" i="3"/>
  <c r="BV344" i="3" s="1"/>
  <c r="AZ344" i="3"/>
  <c r="DI344" i="3" s="1"/>
  <c r="K344" i="3"/>
  <c r="BT344" i="3" s="1"/>
  <c r="AW344" i="3"/>
  <c r="DF344" i="3" s="1"/>
  <c r="H344" i="3"/>
  <c r="BQ344" i="3" s="1"/>
  <c r="BD256" i="3"/>
  <c r="DM256" i="3" s="1"/>
  <c r="AT256" i="3"/>
  <c r="DC256" i="3" s="1"/>
  <c r="AJ256" i="3"/>
  <c r="CS256" i="3" s="1"/>
  <c r="Z256" i="3"/>
  <c r="CI256" i="3" s="1"/>
  <c r="P256" i="3"/>
  <c r="BY256" i="3" s="1"/>
  <c r="F256" i="3"/>
  <c r="BO256" i="3" s="1"/>
  <c r="BC256" i="3"/>
  <c r="DL256" i="3" s="1"/>
  <c r="AS256" i="3"/>
  <c r="DB256" i="3" s="1"/>
  <c r="AI256" i="3"/>
  <c r="CR256" i="3" s="1"/>
  <c r="Y256" i="3"/>
  <c r="CH256" i="3" s="1"/>
  <c r="O256" i="3"/>
  <c r="BX256" i="3" s="1"/>
  <c r="E256" i="3"/>
  <c r="BN256" i="3" s="1"/>
  <c r="BF256" i="3"/>
  <c r="DO256" i="3" s="1"/>
  <c r="AV256" i="3"/>
  <c r="DE256" i="3" s="1"/>
  <c r="AL256" i="3"/>
  <c r="CU256" i="3" s="1"/>
  <c r="AB256" i="3"/>
  <c r="CK256" i="3" s="1"/>
  <c r="R256" i="3"/>
  <c r="CA256" i="3" s="1"/>
  <c r="H256" i="3"/>
  <c r="BQ256" i="3" s="1"/>
  <c r="BL256" i="3"/>
  <c r="DU256" i="3" s="1"/>
  <c r="AY256" i="3"/>
  <c r="DH256" i="3" s="1"/>
  <c r="AK256" i="3"/>
  <c r="CT256" i="3" s="1"/>
  <c r="V256" i="3"/>
  <c r="CE256" i="3" s="1"/>
  <c r="I256" i="3"/>
  <c r="BR256" i="3" s="1"/>
  <c r="BK256" i="3"/>
  <c r="DT256" i="3" s="1"/>
  <c r="AX256" i="3"/>
  <c r="DG256" i="3" s="1"/>
  <c r="AH256" i="3"/>
  <c r="CQ256" i="3" s="1"/>
  <c r="U256" i="3"/>
  <c r="CD256" i="3" s="1"/>
  <c r="G256" i="3"/>
  <c r="BP256" i="3" s="1"/>
  <c r="BJ256" i="3"/>
  <c r="DS256" i="3" s="1"/>
  <c r="AW256" i="3"/>
  <c r="DF256" i="3" s="1"/>
  <c r="AG256" i="3"/>
  <c r="CP256" i="3" s="1"/>
  <c r="T256" i="3"/>
  <c r="CC256" i="3" s="1"/>
  <c r="AZ256" i="3"/>
  <c r="DI256" i="3" s="1"/>
  <c r="AM256" i="3"/>
  <c r="CV256" i="3" s="1"/>
  <c r="W256" i="3"/>
  <c r="CF256" i="3" s="1"/>
  <c r="J256" i="3"/>
  <c r="BS256" i="3" s="1"/>
  <c r="BA256" i="3"/>
  <c r="DJ256" i="3" s="1"/>
  <c r="AC256" i="3"/>
  <c r="CL256" i="3" s="1"/>
  <c r="AU256" i="3"/>
  <c r="DD256" i="3" s="1"/>
  <c r="AA256" i="3"/>
  <c r="CJ256" i="3" s="1"/>
  <c r="AR256" i="3"/>
  <c r="DA256" i="3" s="1"/>
  <c r="X256" i="3"/>
  <c r="CG256" i="3" s="1"/>
  <c r="AQ256" i="3"/>
  <c r="CZ256" i="3" s="1"/>
  <c r="S256" i="3"/>
  <c r="CB256" i="3" s="1"/>
  <c r="AP256" i="3"/>
  <c r="CY256" i="3" s="1"/>
  <c r="Q256" i="3"/>
  <c r="BZ256" i="3" s="1"/>
  <c r="BI256" i="3"/>
  <c r="DR256" i="3" s="1"/>
  <c r="AO256" i="3"/>
  <c r="CX256" i="3" s="1"/>
  <c r="N256" i="3"/>
  <c r="BW256" i="3" s="1"/>
  <c r="BE256" i="3"/>
  <c r="DN256" i="3" s="1"/>
  <c r="AE256" i="3"/>
  <c r="CN256" i="3" s="1"/>
  <c r="K256" i="3"/>
  <c r="BT256" i="3" s="1"/>
  <c r="M256" i="3"/>
  <c r="BV256" i="3" s="1"/>
  <c r="L256" i="3"/>
  <c r="BU256" i="3" s="1"/>
  <c r="AF256" i="3"/>
  <c r="CO256" i="3" s="1"/>
  <c r="AN256" i="3"/>
  <c r="CW256" i="3" s="1"/>
  <c r="AD256" i="3"/>
  <c r="CM256" i="3" s="1"/>
  <c r="BH256" i="3"/>
  <c r="DQ256" i="3" s="1"/>
  <c r="BG256" i="3"/>
  <c r="DP256" i="3" s="1"/>
  <c r="BB256" i="3"/>
  <c r="DK256" i="3" s="1"/>
  <c r="J360" i="2"/>
  <c r="K360" i="2" s="1"/>
  <c r="L360" i="2" s="1"/>
  <c r="K332" i="2"/>
  <c r="L332" i="2" s="1"/>
  <c r="D106" i="4"/>
  <c r="E106" i="4" s="1"/>
  <c r="F106" i="4"/>
  <c r="F237" i="4"/>
  <c r="D237" i="4"/>
  <c r="E237" i="4" s="1"/>
  <c r="F213" i="4"/>
  <c r="D213" i="4"/>
  <c r="E213" i="4" s="1"/>
  <c r="F127" i="4"/>
  <c r="D127" i="4"/>
  <c r="E127" i="4" s="1"/>
  <c r="D79" i="4"/>
  <c r="E79" i="4" s="1"/>
  <c r="F79" i="4"/>
  <c r="F30" i="4"/>
  <c r="D30" i="4"/>
  <c r="E30" i="4" s="1"/>
  <c r="F119" i="4"/>
  <c r="D119" i="4"/>
  <c r="E119" i="4" s="1"/>
  <c r="D91" i="4"/>
  <c r="E91" i="4" s="1"/>
  <c r="F91" i="4"/>
  <c r="F99" i="4"/>
  <c r="D99" i="4"/>
  <c r="E99" i="4" s="1"/>
  <c r="F60" i="4"/>
  <c r="D60" i="4"/>
  <c r="E60" i="4" s="1"/>
  <c r="F109" i="4"/>
  <c r="D109" i="4"/>
  <c r="E109" i="4" s="1"/>
  <c r="F234" i="4"/>
  <c r="D234" i="4"/>
  <c r="E234" i="4" s="1"/>
  <c r="D78" i="4"/>
  <c r="E78" i="4" s="1"/>
  <c r="F78" i="4"/>
  <c r="F214" i="4"/>
  <c r="D214" i="4"/>
  <c r="E214" i="4" s="1"/>
  <c r="D117" i="4"/>
  <c r="E117" i="4" s="1"/>
  <c r="F117" i="4"/>
  <c r="F210" i="4"/>
  <c r="D210" i="4"/>
  <c r="E210" i="4" s="1"/>
  <c r="F158" i="4"/>
  <c r="D158" i="4"/>
  <c r="E158" i="4" s="1"/>
  <c r="F260" i="4"/>
  <c r="D260" i="4"/>
  <c r="E260" i="4" s="1"/>
  <c r="F265" i="4"/>
  <c r="D265" i="4"/>
  <c r="E265" i="4" s="1"/>
  <c r="D74" i="4"/>
  <c r="E74" i="4" s="1"/>
  <c r="F74" i="4"/>
  <c r="F194" i="4"/>
  <c r="D194" i="4"/>
  <c r="E194" i="4" s="1"/>
  <c r="F135" i="4"/>
  <c r="D135" i="4"/>
  <c r="E135" i="4" s="1"/>
  <c r="F235" i="4"/>
  <c r="D235" i="4"/>
  <c r="E235" i="4" s="1"/>
  <c r="D162" i="4"/>
  <c r="E162" i="4" s="1"/>
  <c r="F162" i="4"/>
  <c r="F261" i="4"/>
  <c r="D261" i="4"/>
  <c r="E261" i="4" s="1"/>
  <c r="O184" i="2"/>
  <c r="N184" i="2"/>
  <c r="N98" i="2"/>
  <c r="O98" i="2"/>
  <c r="BD18" i="3"/>
  <c r="DM18" i="3" s="1"/>
  <c r="AT18" i="3"/>
  <c r="DC18" i="3" s="1"/>
  <c r="AJ18" i="3"/>
  <c r="CS18" i="3" s="1"/>
  <c r="Z18" i="3"/>
  <c r="CI18" i="3" s="1"/>
  <c r="P18" i="3"/>
  <c r="BY18" i="3" s="1"/>
  <c r="F18" i="3"/>
  <c r="BO18" i="3" s="1"/>
  <c r="BC18" i="3"/>
  <c r="DL18" i="3" s="1"/>
  <c r="AS18" i="3"/>
  <c r="DB18" i="3" s="1"/>
  <c r="AI18" i="3"/>
  <c r="CR18" i="3" s="1"/>
  <c r="Y18" i="3"/>
  <c r="CH18" i="3" s="1"/>
  <c r="O18" i="3"/>
  <c r="BX18" i="3" s="1"/>
  <c r="E18" i="3"/>
  <c r="BN18" i="3" s="1"/>
  <c r="BJ18" i="3"/>
  <c r="DS18" i="3" s="1"/>
  <c r="AX18" i="3"/>
  <c r="DG18" i="3" s="1"/>
  <c r="AL18" i="3"/>
  <c r="CU18" i="3" s="1"/>
  <c r="X18" i="3"/>
  <c r="CG18" i="3" s="1"/>
  <c r="L18" i="3"/>
  <c r="BU18" i="3" s="1"/>
  <c r="BI18" i="3"/>
  <c r="DR18" i="3" s="1"/>
  <c r="AW18" i="3"/>
  <c r="DF18" i="3" s="1"/>
  <c r="AK18" i="3"/>
  <c r="CT18" i="3" s="1"/>
  <c r="W18" i="3"/>
  <c r="CF18" i="3" s="1"/>
  <c r="K18" i="3"/>
  <c r="BT18" i="3" s="1"/>
  <c r="BH18" i="3"/>
  <c r="DQ18" i="3" s="1"/>
  <c r="AV18" i="3"/>
  <c r="DE18" i="3" s="1"/>
  <c r="AH18" i="3"/>
  <c r="CQ18" i="3" s="1"/>
  <c r="V18" i="3"/>
  <c r="CE18" i="3" s="1"/>
  <c r="J18" i="3"/>
  <c r="BS18" i="3" s="1"/>
  <c r="BG18" i="3"/>
  <c r="DP18" i="3" s="1"/>
  <c r="AU18" i="3"/>
  <c r="DD18" i="3" s="1"/>
  <c r="AG18" i="3"/>
  <c r="CP18" i="3" s="1"/>
  <c r="U18" i="3"/>
  <c r="CD18" i="3" s="1"/>
  <c r="I18" i="3"/>
  <c r="BR18" i="3" s="1"/>
  <c r="BF18" i="3"/>
  <c r="DO18" i="3" s="1"/>
  <c r="AR18" i="3"/>
  <c r="DA18" i="3" s="1"/>
  <c r="AF18" i="3"/>
  <c r="CO18" i="3" s="1"/>
  <c r="T18" i="3"/>
  <c r="CC18" i="3" s="1"/>
  <c r="H18" i="3"/>
  <c r="BQ18" i="3" s="1"/>
  <c r="BE18" i="3"/>
  <c r="DN18" i="3" s="1"/>
  <c r="AQ18" i="3"/>
  <c r="CZ18" i="3" s="1"/>
  <c r="AE18" i="3"/>
  <c r="CN18" i="3" s="1"/>
  <c r="S18" i="3"/>
  <c r="CB18" i="3" s="1"/>
  <c r="G18" i="3"/>
  <c r="BP18" i="3" s="1"/>
  <c r="BK18" i="3"/>
  <c r="DT18" i="3" s="1"/>
  <c r="AY18" i="3"/>
  <c r="DH18" i="3" s="1"/>
  <c r="AM18" i="3"/>
  <c r="CV18" i="3" s="1"/>
  <c r="AA18" i="3"/>
  <c r="CJ18" i="3" s="1"/>
  <c r="M18" i="3"/>
  <c r="BV18" i="3" s="1"/>
  <c r="AD18" i="3"/>
  <c r="CM18" i="3" s="1"/>
  <c r="AC18" i="3"/>
  <c r="CL18" i="3" s="1"/>
  <c r="AB18" i="3"/>
  <c r="CK18" i="3" s="1"/>
  <c r="BL18" i="3"/>
  <c r="DU18" i="3" s="1"/>
  <c r="R18" i="3"/>
  <c r="CA18" i="3" s="1"/>
  <c r="BB18" i="3"/>
  <c r="DK18" i="3" s="1"/>
  <c r="Q18" i="3"/>
  <c r="BZ18" i="3" s="1"/>
  <c r="BA18" i="3"/>
  <c r="DJ18" i="3" s="1"/>
  <c r="N18" i="3"/>
  <c r="BW18" i="3" s="1"/>
  <c r="AZ18" i="3"/>
  <c r="DI18" i="3" s="1"/>
  <c r="AP18" i="3"/>
  <c r="CY18" i="3" s="1"/>
  <c r="AO18" i="3"/>
  <c r="CX18" i="3" s="1"/>
  <c r="AN18" i="3"/>
  <c r="CW18" i="3" s="1"/>
  <c r="BF30" i="3"/>
  <c r="DO30" i="3" s="1"/>
  <c r="AV30" i="3"/>
  <c r="DE30" i="3" s="1"/>
  <c r="AL30" i="3"/>
  <c r="CU30" i="3" s="1"/>
  <c r="AB30" i="3"/>
  <c r="CK30" i="3" s="1"/>
  <c r="R30" i="3"/>
  <c r="CA30" i="3" s="1"/>
  <c r="H30" i="3"/>
  <c r="BQ30" i="3" s="1"/>
  <c r="BE30" i="3"/>
  <c r="DN30" i="3" s="1"/>
  <c r="AU30" i="3"/>
  <c r="DD30" i="3" s="1"/>
  <c r="AK30" i="3"/>
  <c r="CT30" i="3" s="1"/>
  <c r="AA30" i="3"/>
  <c r="CJ30" i="3" s="1"/>
  <c r="Q30" i="3"/>
  <c r="BZ30" i="3" s="1"/>
  <c r="G30" i="3"/>
  <c r="BP30" i="3" s="1"/>
  <c r="BH30" i="3"/>
  <c r="DQ30" i="3" s="1"/>
  <c r="AX30" i="3"/>
  <c r="DG30" i="3" s="1"/>
  <c r="AN30" i="3"/>
  <c r="CW30" i="3" s="1"/>
  <c r="AD30" i="3"/>
  <c r="CM30" i="3" s="1"/>
  <c r="T30" i="3"/>
  <c r="CC30" i="3" s="1"/>
  <c r="J30" i="3"/>
  <c r="BS30" i="3" s="1"/>
  <c r="BB30" i="3"/>
  <c r="DK30" i="3" s="1"/>
  <c r="AO30" i="3"/>
  <c r="CX30" i="3" s="1"/>
  <c r="Y30" i="3"/>
  <c r="CH30" i="3" s="1"/>
  <c r="L30" i="3"/>
  <c r="BU30" i="3" s="1"/>
  <c r="BK30" i="3"/>
  <c r="DT30" i="3" s="1"/>
  <c r="AT30" i="3"/>
  <c r="DC30" i="3" s="1"/>
  <c r="AF30" i="3"/>
  <c r="CO30" i="3" s="1"/>
  <c r="O30" i="3"/>
  <c r="BX30" i="3" s="1"/>
  <c r="BJ30" i="3"/>
  <c r="DS30" i="3" s="1"/>
  <c r="AS30" i="3"/>
  <c r="DB30" i="3" s="1"/>
  <c r="AE30" i="3"/>
  <c r="CN30" i="3" s="1"/>
  <c r="N30" i="3"/>
  <c r="BW30" i="3" s="1"/>
  <c r="BI30" i="3"/>
  <c r="DR30" i="3" s="1"/>
  <c r="AR30" i="3"/>
  <c r="DA30" i="3" s="1"/>
  <c r="AC30" i="3"/>
  <c r="CL30" i="3" s="1"/>
  <c r="M30" i="3"/>
  <c r="BV30" i="3" s="1"/>
  <c r="BG30" i="3"/>
  <c r="DP30" i="3" s="1"/>
  <c r="AQ30" i="3"/>
  <c r="CZ30" i="3" s="1"/>
  <c r="Z30" i="3"/>
  <c r="CI30" i="3" s="1"/>
  <c r="K30" i="3"/>
  <c r="BT30" i="3" s="1"/>
  <c r="BD30" i="3"/>
  <c r="DM30" i="3" s="1"/>
  <c r="AP30" i="3"/>
  <c r="CY30" i="3" s="1"/>
  <c r="X30" i="3"/>
  <c r="CG30" i="3" s="1"/>
  <c r="I30" i="3"/>
  <c r="BR30" i="3" s="1"/>
  <c r="BC30" i="3"/>
  <c r="DL30" i="3" s="1"/>
  <c r="AM30" i="3"/>
  <c r="CV30" i="3" s="1"/>
  <c r="W30" i="3"/>
  <c r="CF30" i="3" s="1"/>
  <c r="F30" i="3"/>
  <c r="BO30" i="3" s="1"/>
  <c r="BA30" i="3"/>
  <c r="DJ30" i="3" s="1"/>
  <c r="AJ30" i="3"/>
  <c r="CS30" i="3" s="1"/>
  <c r="V30" i="3"/>
  <c r="CE30" i="3" s="1"/>
  <c r="E30" i="3"/>
  <c r="BN30" i="3" s="1"/>
  <c r="AZ30" i="3"/>
  <c r="DI30" i="3" s="1"/>
  <c r="AI30" i="3"/>
  <c r="CR30" i="3" s="1"/>
  <c r="U30" i="3"/>
  <c r="CD30" i="3" s="1"/>
  <c r="AY30" i="3"/>
  <c r="DH30" i="3" s="1"/>
  <c r="AH30" i="3"/>
  <c r="CQ30" i="3" s="1"/>
  <c r="S30" i="3"/>
  <c r="CB30" i="3" s="1"/>
  <c r="BL30" i="3"/>
  <c r="DU30" i="3" s="1"/>
  <c r="AW30" i="3"/>
  <c r="DF30" i="3" s="1"/>
  <c r="AG30" i="3"/>
  <c r="CP30" i="3" s="1"/>
  <c r="P30" i="3"/>
  <c r="BY30" i="3" s="1"/>
  <c r="BH91" i="3"/>
  <c r="DQ91" i="3" s="1"/>
  <c r="AX91" i="3"/>
  <c r="DG91" i="3" s="1"/>
  <c r="AN91" i="3"/>
  <c r="CW91" i="3" s="1"/>
  <c r="AD91" i="3"/>
  <c r="CM91" i="3" s="1"/>
  <c r="T91" i="3"/>
  <c r="CC91" i="3" s="1"/>
  <c r="J91" i="3"/>
  <c r="BS91" i="3" s="1"/>
  <c r="BJ91" i="3"/>
  <c r="DS91" i="3" s="1"/>
  <c r="AZ91" i="3"/>
  <c r="DI91" i="3" s="1"/>
  <c r="AP91" i="3"/>
  <c r="CY91" i="3" s="1"/>
  <c r="AF91" i="3"/>
  <c r="CO91" i="3" s="1"/>
  <c r="V91" i="3"/>
  <c r="CE91" i="3" s="1"/>
  <c r="L91" i="3"/>
  <c r="BU91" i="3" s="1"/>
  <c r="BI91" i="3"/>
  <c r="DR91" i="3" s="1"/>
  <c r="AY91" i="3"/>
  <c r="DH91" i="3" s="1"/>
  <c r="AO91" i="3"/>
  <c r="CX91" i="3" s="1"/>
  <c r="AE91" i="3"/>
  <c r="CN91" i="3" s="1"/>
  <c r="U91" i="3"/>
  <c r="CD91" i="3" s="1"/>
  <c r="K91" i="3"/>
  <c r="BT91" i="3" s="1"/>
  <c r="BA91" i="3"/>
  <c r="DJ91" i="3" s="1"/>
  <c r="AK91" i="3"/>
  <c r="CT91" i="3" s="1"/>
  <c r="X91" i="3"/>
  <c r="CG91" i="3" s="1"/>
  <c r="H91" i="3"/>
  <c r="BQ91" i="3" s="1"/>
  <c r="AW91" i="3"/>
  <c r="DF91" i="3" s="1"/>
  <c r="AJ91" i="3"/>
  <c r="CS91" i="3" s="1"/>
  <c r="W91" i="3"/>
  <c r="CF91" i="3" s="1"/>
  <c r="G91" i="3"/>
  <c r="BP91" i="3" s="1"/>
  <c r="BD91" i="3"/>
  <c r="DM91" i="3" s="1"/>
  <c r="AQ91" i="3"/>
  <c r="CZ91" i="3" s="1"/>
  <c r="AA91" i="3"/>
  <c r="CJ91" i="3" s="1"/>
  <c r="N91" i="3"/>
  <c r="BW91" i="3" s="1"/>
  <c r="BF91" i="3"/>
  <c r="DO91" i="3" s="1"/>
  <c r="AL91" i="3"/>
  <c r="CU91" i="3" s="1"/>
  <c r="Q91" i="3"/>
  <c r="BZ91" i="3" s="1"/>
  <c r="BE91" i="3"/>
  <c r="DN91" i="3" s="1"/>
  <c r="AI91" i="3"/>
  <c r="CR91" i="3" s="1"/>
  <c r="P91" i="3"/>
  <c r="BY91" i="3" s="1"/>
  <c r="BC91" i="3"/>
  <c r="DL91" i="3" s="1"/>
  <c r="AH91" i="3"/>
  <c r="CQ91" i="3" s="1"/>
  <c r="O91" i="3"/>
  <c r="BX91" i="3" s="1"/>
  <c r="BB91" i="3"/>
  <c r="DK91" i="3" s="1"/>
  <c r="AG91" i="3"/>
  <c r="CP91" i="3" s="1"/>
  <c r="M91" i="3"/>
  <c r="BV91" i="3" s="1"/>
  <c r="AV91" i="3"/>
  <c r="DE91" i="3" s="1"/>
  <c r="AC91" i="3"/>
  <c r="CL91" i="3" s="1"/>
  <c r="I91" i="3"/>
  <c r="BR91" i="3" s="1"/>
  <c r="AU91" i="3"/>
  <c r="DD91" i="3" s="1"/>
  <c r="AB91" i="3"/>
  <c r="CK91" i="3" s="1"/>
  <c r="F91" i="3"/>
  <c r="BO91" i="3" s="1"/>
  <c r="AT91" i="3"/>
  <c r="DC91" i="3" s="1"/>
  <c r="Z91" i="3"/>
  <c r="CI91" i="3" s="1"/>
  <c r="E91" i="3"/>
  <c r="BN91" i="3" s="1"/>
  <c r="BL91" i="3"/>
  <c r="DU91" i="3" s="1"/>
  <c r="AS91" i="3"/>
  <c r="DB91" i="3" s="1"/>
  <c r="Y91" i="3"/>
  <c r="CH91" i="3" s="1"/>
  <c r="BK91" i="3"/>
  <c r="DT91" i="3" s="1"/>
  <c r="AR91" i="3"/>
  <c r="DA91" i="3" s="1"/>
  <c r="S91" i="3"/>
  <c r="CB91" i="3" s="1"/>
  <c r="BG91" i="3"/>
  <c r="DP91" i="3" s="1"/>
  <c r="AM91" i="3"/>
  <c r="CV91" i="3" s="1"/>
  <c r="R91" i="3"/>
  <c r="CA91" i="3" s="1"/>
  <c r="BC101" i="3"/>
  <c r="DL101" i="3" s="1"/>
  <c r="AS101" i="3"/>
  <c r="DB101" i="3" s="1"/>
  <c r="AI101" i="3"/>
  <c r="CR101" i="3" s="1"/>
  <c r="Y101" i="3"/>
  <c r="CH101" i="3" s="1"/>
  <c r="O101" i="3"/>
  <c r="BX101" i="3" s="1"/>
  <c r="E101" i="3"/>
  <c r="BN101" i="3" s="1"/>
  <c r="BK101" i="3"/>
  <c r="DT101" i="3" s="1"/>
  <c r="AZ101" i="3"/>
  <c r="DI101" i="3" s="1"/>
  <c r="AO101" i="3"/>
  <c r="CX101" i="3" s="1"/>
  <c r="AD101" i="3"/>
  <c r="CM101" i="3" s="1"/>
  <c r="S101" i="3"/>
  <c r="CB101" i="3" s="1"/>
  <c r="H101" i="3"/>
  <c r="BQ101" i="3" s="1"/>
  <c r="BB101" i="3"/>
  <c r="DK101" i="3" s="1"/>
  <c r="AQ101" i="3"/>
  <c r="CZ101" i="3" s="1"/>
  <c r="AF101" i="3"/>
  <c r="CO101" i="3" s="1"/>
  <c r="U101" i="3"/>
  <c r="CD101" i="3" s="1"/>
  <c r="J101" i="3"/>
  <c r="BS101" i="3" s="1"/>
  <c r="BL101" i="3"/>
  <c r="DU101" i="3" s="1"/>
  <c r="BA101" i="3"/>
  <c r="DJ101" i="3" s="1"/>
  <c r="AP101" i="3"/>
  <c r="CY101" i="3" s="1"/>
  <c r="AE101" i="3"/>
  <c r="CN101" i="3" s="1"/>
  <c r="T101" i="3"/>
  <c r="CC101" i="3" s="1"/>
  <c r="I101" i="3"/>
  <c r="BR101" i="3" s="1"/>
  <c r="BJ101" i="3"/>
  <c r="DS101" i="3" s="1"/>
  <c r="AV101" i="3"/>
  <c r="DE101" i="3" s="1"/>
  <c r="AG101" i="3"/>
  <c r="CP101" i="3" s="1"/>
  <c r="P101" i="3"/>
  <c r="BY101" i="3" s="1"/>
  <c r="BI101" i="3"/>
  <c r="DR101" i="3" s="1"/>
  <c r="AU101" i="3"/>
  <c r="DD101" i="3" s="1"/>
  <c r="AC101" i="3"/>
  <c r="CL101" i="3" s="1"/>
  <c r="N101" i="3"/>
  <c r="BW101" i="3" s="1"/>
  <c r="AY101" i="3"/>
  <c r="DH101" i="3" s="1"/>
  <c r="AK101" i="3"/>
  <c r="CT101" i="3" s="1"/>
  <c r="V101" i="3"/>
  <c r="CE101" i="3" s="1"/>
  <c r="AR101" i="3"/>
  <c r="DA101" i="3" s="1"/>
  <c r="W101" i="3"/>
  <c r="CF101" i="3" s="1"/>
  <c r="AN101" i="3"/>
  <c r="CW101" i="3" s="1"/>
  <c r="R101" i="3"/>
  <c r="CA101" i="3" s="1"/>
  <c r="BH101" i="3"/>
  <c r="DQ101" i="3" s="1"/>
  <c r="AM101" i="3"/>
  <c r="CV101" i="3" s="1"/>
  <c r="Q101" i="3"/>
  <c r="BZ101" i="3" s="1"/>
  <c r="BG101" i="3"/>
  <c r="DP101" i="3" s="1"/>
  <c r="AL101" i="3"/>
  <c r="CU101" i="3" s="1"/>
  <c r="M101" i="3"/>
  <c r="BV101" i="3" s="1"/>
  <c r="BF101" i="3"/>
  <c r="DO101" i="3" s="1"/>
  <c r="AJ101" i="3"/>
  <c r="CS101" i="3" s="1"/>
  <c r="L101" i="3"/>
  <c r="BU101" i="3" s="1"/>
  <c r="BE101" i="3"/>
  <c r="DN101" i="3" s="1"/>
  <c r="AH101" i="3"/>
  <c r="CQ101" i="3" s="1"/>
  <c r="K101" i="3"/>
  <c r="BT101" i="3" s="1"/>
  <c r="BD101" i="3"/>
  <c r="DM101" i="3" s="1"/>
  <c r="AB101" i="3"/>
  <c r="CK101" i="3" s="1"/>
  <c r="G101" i="3"/>
  <c r="BP101" i="3" s="1"/>
  <c r="AX101" i="3"/>
  <c r="DG101" i="3" s="1"/>
  <c r="AA101" i="3"/>
  <c r="CJ101" i="3" s="1"/>
  <c r="F101" i="3"/>
  <c r="BO101" i="3" s="1"/>
  <c r="AW101" i="3"/>
  <c r="DF101" i="3" s="1"/>
  <c r="Z101" i="3"/>
  <c r="CI101" i="3" s="1"/>
  <c r="AT101" i="3"/>
  <c r="DC101" i="3" s="1"/>
  <c r="X101" i="3"/>
  <c r="CG101" i="3" s="1"/>
  <c r="BL65" i="3"/>
  <c r="DU65" i="3" s="1"/>
  <c r="BB65" i="3"/>
  <c r="DK65" i="3" s="1"/>
  <c r="AR65" i="3"/>
  <c r="DA65" i="3" s="1"/>
  <c r="AH65" i="3"/>
  <c r="CQ65" i="3" s="1"/>
  <c r="X65" i="3"/>
  <c r="CG65" i="3" s="1"/>
  <c r="N65" i="3"/>
  <c r="BW65" i="3" s="1"/>
  <c r="BH65" i="3"/>
  <c r="DQ65" i="3" s="1"/>
  <c r="AW65" i="3"/>
  <c r="DF65" i="3" s="1"/>
  <c r="AL65" i="3"/>
  <c r="CU65" i="3" s="1"/>
  <c r="AA65" i="3"/>
  <c r="CJ65" i="3" s="1"/>
  <c r="P65" i="3"/>
  <c r="BY65" i="3" s="1"/>
  <c r="E65" i="3"/>
  <c r="BN65" i="3" s="1"/>
  <c r="BG65" i="3"/>
  <c r="DP65" i="3" s="1"/>
  <c r="AV65" i="3"/>
  <c r="DE65" i="3" s="1"/>
  <c r="AK65" i="3"/>
  <c r="CT65" i="3" s="1"/>
  <c r="Z65" i="3"/>
  <c r="CI65" i="3" s="1"/>
  <c r="O65" i="3"/>
  <c r="BX65" i="3" s="1"/>
  <c r="BJ65" i="3"/>
  <c r="DS65" i="3" s="1"/>
  <c r="AY65" i="3"/>
  <c r="DH65" i="3" s="1"/>
  <c r="AN65" i="3"/>
  <c r="CW65" i="3" s="1"/>
  <c r="AC65" i="3"/>
  <c r="CL65" i="3" s="1"/>
  <c r="R65" i="3"/>
  <c r="CA65" i="3" s="1"/>
  <c r="G65" i="3"/>
  <c r="BP65" i="3" s="1"/>
  <c r="BD65" i="3"/>
  <c r="DM65" i="3" s="1"/>
  <c r="AO65" i="3"/>
  <c r="CX65" i="3" s="1"/>
  <c r="W65" i="3"/>
  <c r="CF65" i="3" s="1"/>
  <c r="I65" i="3"/>
  <c r="BR65" i="3" s="1"/>
  <c r="BC65" i="3"/>
  <c r="DL65" i="3" s="1"/>
  <c r="AM65" i="3"/>
  <c r="CV65" i="3" s="1"/>
  <c r="V65" i="3"/>
  <c r="CE65" i="3" s="1"/>
  <c r="H65" i="3"/>
  <c r="BQ65" i="3" s="1"/>
  <c r="BA65" i="3"/>
  <c r="DJ65" i="3" s="1"/>
  <c r="AJ65" i="3"/>
  <c r="CS65" i="3" s="1"/>
  <c r="U65" i="3"/>
  <c r="CD65" i="3" s="1"/>
  <c r="F65" i="3"/>
  <c r="BO65" i="3" s="1"/>
  <c r="AZ65" i="3"/>
  <c r="DI65" i="3" s="1"/>
  <c r="AI65" i="3"/>
  <c r="CR65" i="3" s="1"/>
  <c r="T65" i="3"/>
  <c r="CC65" i="3" s="1"/>
  <c r="AX65" i="3"/>
  <c r="DG65" i="3" s="1"/>
  <c r="AG65" i="3"/>
  <c r="CP65" i="3" s="1"/>
  <c r="S65" i="3"/>
  <c r="CB65" i="3" s="1"/>
  <c r="AU65" i="3"/>
  <c r="DD65" i="3" s="1"/>
  <c r="AF65" i="3"/>
  <c r="CO65" i="3" s="1"/>
  <c r="Q65" i="3"/>
  <c r="BZ65" i="3" s="1"/>
  <c r="BK65" i="3"/>
  <c r="DT65" i="3" s="1"/>
  <c r="AT65" i="3"/>
  <c r="DC65" i="3" s="1"/>
  <c r="AE65" i="3"/>
  <c r="CN65" i="3" s="1"/>
  <c r="M65" i="3"/>
  <c r="BV65" i="3" s="1"/>
  <c r="BI65" i="3"/>
  <c r="DR65" i="3" s="1"/>
  <c r="AS65" i="3"/>
  <c r="DB65" i="3" s="1"/>
  <c r="AD65" i="3"/>
  <c r="CM65" i="3" s="1"/>
  <c r="L65" i="3"/>
  <c r="BU65" i="3" s="1"/>
  <c r="BE65" i="3"/>
  <c r="DN65" i="3" s="1"/>
  <c r="AP65" i="3"/>
  <c r="CY65" i="3" s="1"/>
  <c r="Y65" i="3"/>
  <c r="CH65" i="3" s="1"/>
  <c r="J65" i="3"/>
  <c r="BS65" i="3" s="1"/>
  <c r="K65" i="3"/>
  <c r="BT65" i="3" s="1"/>
  <c r="BF65" i="3"/>
  <c r="DO65" i="3" s="1"/>
  <c r="AQ65" i="3"/>
  <c r="CZ65" i="3" s="1"/>
  <c r="AB65" i="3"/>
  <c r="CK65" i="3" s="1"/>
  <c r="N125" i="2"/>
  <c r="O125" i="2"/>
  <c r="N102" i="2"/>
  <c r="O102" i="2"/>
  <c r="BF25" i="3"/>
  <c r="DO25" i="3" s="1"/>
  <c r="AV25" i="3"/>
  <c r="DE25" i="3" s="1"/>
  <c r="AL25" i="3"/>
  <c r="CU25" i="3" s="1"/>
  <c r="AB25" i="3"/>
  <c r="CK25" i="3" s="1"/>
  <c r="R25" i="3"/>
  <c r="CA25" i="3" s="1"/>
  <c r="H25" i="3"/>
  <c r="BQ25" i="3" s="1"/>
  <c r="BE25" i="3"/>
  <c r="DN25" i="3" s="1"/>
  <c r="AU25" i="3"/>
  <c r="DD25" i="3" s="1"/>
  <c r="AK25" i="3"/>
  <c r="CT25" i="3" s="1"/>
  <c r="AA25" i="3"/>
  <c r="CJ25" i="3" s="1"/>
  <c r="Q25" i="3"/>
  <c r="BZ25" i="3" s="1"/>
  <c r="G25" i="3"/>
  <c r="BP25" i="3" s="1"/>
  <c r="BH25" i="3"/>
  <c r="DQ25" i="3" s="1"/>
  <c r="AX25" i="3"/>
  <c r="DG25" i="3" s="1"/>
  <c r="AN25" i="3"/>
  <c r="CW25" i="3" s="1"/>
  <c r="AD25" i="3"/>
  <c r="CM25" i="3" s="1"/>
  <c r="T25" i="3"/>
  <c r="CC25" i="3" s="1"/>
  <c r="J25" i="3"/>
  <c r="BS25" i="3" s="1"/>
  <c r="BI25" i="3"/>
  <c r="DR25" i="3" s="1"/>
  <c r="AS25" i="3"/>
  <c r="DB25" i="3" s="1"/>
  <c r="AF25" i="3"/>
  <c r="CO25" i="3" s="1"/>
  <c r="P25" i="3"/>
  <c r="BY25" i="3" s="1"/>
  <c r="BL25" i="3"/>
  <c r="DU25" i="3" s="1"/>
  <c r="AW25" i="3"/>
  <c r="DF25" i="3" s="1"/>
  <c r="AG25" i="3"/>
  <c r="CP25" i="3" s="1"/>
  <c r="O25" i="3"/>
  <c r="BX25" i="3" s="1"/>
  <c r="BK25" i="3"/>
  <c r="DT25" i="3" s="1"/>
  <c r="AT25" i="3"/>
  <c r="DC25" i="3" s="1"/>
  <c r="AE25" i="3"/>
  <c r="CN25" i="3" s="1"/>
  <c r="N25" i="3"/>
  <c r="BW25" i="3" s="1"/>
  <c r="BJ25" i="3"/>
  <c r="DS25" i="3" s="1"/>
  <c r="AR25" i="3"/>
  <c r="DA25" i="3" s="1"/>
  <c r="AC25" i="3"/>
  <c r="CL25" i="3" s="1"/>
  <c r="M25" i="3"/>
  <c r="BV25" i="3" s="1"/>
  <c r="BG25" i="3"/>
  <c r="DP25" i="3" s="1"/>
  <c r="AQ25" i="3"/>
  <c r="CZ25" i="3" s="1"/>
  <c r="Z25" i="3"/>
  <c r="CI25" i="3" s="1"/>
  <c r="L25" i="3"/>
  <c r="BU25" i="3" s="1"/>
  <c r="BD25" i="3"/>
  <c r="DM25" i="3" s="1"/>
  <c r="AP25" i="3"/>
  <c r="CY25" i="3" s="1"/>
  <c r="Y25" i="3"/>
  <c r="CH25" i="3" s="1"/>
  <c r="K25" i="3"/>
  <c r="BT25" i="3" s="1"/>
  <c r="BC25" i="3"/>
  <c r="DL25" i="3" s="1"/>
  <c r="AO25" i="3"/>
  <c r="CX25" i="3" s="1"/>
  <c r="X25" i="3"/>
  <c r="CG25" i="3" s="1"/>
  <c r="I25" i="3"/>
  <c r="BR25" i="3" s="1"/>
  <c r="BB25" i="3"/>
  <c r="DK25" i="3" s="1"/>
  <c r="AM25" i="3"/>
  <c r="CV25" i="3" s="1"/>
  <c r="W25" i="3"/>
  <c r="CF25" i="3" s="1"/>
  <c r="F25" i="3"/>
  <c r="BO25" i="3" s="1"/>
  <c r="AY25" i="3"/>
  <c r="DH25" i="3" s="1"/>
  <c r="AH25" i="3"/>
  <c r="CQ25" i="3" s="1"/>
  <c r="S25" i="3"/>
  <c r="CB25" i="3" s="1"/>
  <c r="BA25" i="3"/>
  <c r="DJ25" i="3" s="1"/>
  <c r="AZ25" i="3"/>
  <c r="DI25" i="3" s="1"/>
  <c r="AJ25" i="3"/>
  <c r="CS25" i="3" s="1"/>
  <c r="AI25" i="3"/>
  <c r="CR25" i="3" s="1"/>
  <c r="V25" i="3"/>
  <c r="CE25" i="3" s="1"/>
  <c r="U25" i="3"/>
  <c r="CD25" i="3" s="1"/>
  <c r="E25" i="3"/>
  <c r="BN25" i="3" s="1"/>
  <c r="BH37" i="3"/>
  <c r="DQ37" i="3" s="1"/>
  <c r="AX37" i="3"/>
  <c r="DG37" i="3" s="1"/>
  <c r="AN37" i="3"/>
  <c r="CW37" i="3" s="1"/>
  <c r="AD37" i="3"/>
  <c r="CM37" i="3" s="1"/>
  <c r="T37" i="3"/>
  <c r="CC37" i="3" s="1"/>
  <c r="J37" i="3"/>
  <c r="BS37" i="3" s="1"/>
  <c r="BG37" i="3"/>
  <c r="DP37" i="3" s="1"/>
  <c r="AW37" i="3"/>
  <c r="DF37" i="3" s="1"/>
  <c r="AM37" i="3"/>
  <c r="CV37" i="3" s="1"/>
  <c r="AC37" i="3"/>
  <c r="CL37" i="3" s="1"/>
  <c r="S37" i="3"/>
  <c r="CB37" i="3" s="1"/>
  <c r="I37" i="3"/>
  <c r="BR37" i="3" s="1"/>
  <c r="BJ37" i="3"/>
  <c r="DS37" i="3" s="1"/>
  <c r="AZ37" i="3"/>
  <c r="DI37" i="3" s="1"/>
  <c r="AP37" i="3"/>
  <c r="CY37" i="3" s="1"/>
  <c r="AF37" i="3"/>
  <c r="CO37" i="3" s="1"/>
  <c r="V37" i="3"/>
  <c r="CE37" i="3" s="1"/>
  <c r="L37" i="3"/>
  <c r="BU37" i="3" s="1"/>
  <c r="BF37" i="3"/>
  <c r="DO37" i="3" s="1"/>
  <c r="AS37" i="3"/>
  <c r="DB37" i="3" s="1"/>
  <c r="AE37" i="3"/>
  <c r="CN37" i="3" s="1"/>
  <c r="P37" i="3"/>
  <c r="BY37" i="3" s="1"/>
  <c r="BE37" i="3"/>
  <c r="DN37" i="3" s="1"/>
  <c r="AR37" i="3"/>
  <c r="DA37" i="3" s="1"/>
  <c r="AB37" i="3"/>
  <c r="CK37" i="3" s="1"/>
  <c r="O37" i="3"/>
  <c r="BX37" i="3" s="1"/>
  <c r="BA37" i="3"/>
  <c r="DJ37" i="3" s="1"/>
  <c r="AI37" i="3"/>
  <c r="CR37" i="3" s="1"/>
  <c r="Q37" i="3"/>
  <c r="BZ37" i="3" s="1"/>
  <c r="AY37" i="3"/>
  <c r="DH37" i="3" s="1"/>
  <c r="AH37" i="3"/>
  <c r="CQ37" i="3" s="1"/>
  <c r="N37" i="3"/>
  <c r="BW37" i="3" s="1"/>
  <c r="AV37" i="3"/>
  <c r="DE37" i="3" s="1"/>
  <c r="AG37" i="3"/>
  <c r="CP37" i="3" s="1"/>
  <c r="M37" i="3"/>
  <c r="BV37" i="3" s="1"/>
  <c r="AU37" i="3"/>
  <c r="DD37" i="3" s="1"/>
  <c r="AA37" i="3"/>
  <c r="CJ37" i="3" s="1"/>
  <c r="K37" i="3"/>
  <c r="BT37" i="3" s="1"/>
  <c r="BL37" i="3"/>
  <c r="DU37" i="3" s="1"/>
  <c r="AT37" i="3"/>
  <c r="DC37" i="3" s="1"/>
  <c r="Z37" i="3"/>
  <c r="CI37" i="3" s="1"/>
  <c r="H37" i="3"/>
  <c r="BQ37" i="3" s="1"/>
  <c r="BK37" i="3"/>
  <c r="DT37" i="3" s="1"/>
  <c r="AQ37" i="3"/>
  <c r="CZ37" i="3" s="1"/>
  <c r="Y37" i="3"/>
  <c r="CH37" i="3" s="1"/>
  <c r="G37" i="3"/>
  <c r="BP37" i="3" s="1"/>
  <c r="BI37" i="3"/>
  <c r="DR37" i="3" s="1"/>
  <c r="AO37" i="3"/>
  <c r="CX37" i="3" s="1"/>
  <c r="X37" i="3"/>
  <c r="CG37" i="3" s="1"/>
  <c r="F37" i="3"/>
  <c r="BO37" i="3" s="1"/>
  <c r="BD37" i="3"/>
  <c r="DM37" i="3" s="1"/>
  <c r="AL37" i="3"/>
  <c r="CU37" i="3" s="1"/>
  <c r="W37" i="3"/>
  <c r="CF37" i="3" s="1"/>
  <c r="E37" i="3"/>
  <c r="BN37" i="3" s="1"/>
  <c r="BC37" i="3"/>
  <c r="DL37" i="3" s="1"/>
  <c r="AK37" i="3"/>
  <c r="CT37" i="3" s="1"/>
  <c r="U37" i="3"/>
  <c r="CD37" i="3" s="1"/>
  <c r="BB37" i="3"/>
  <c r="DK37" i="3" s="1"/>
  <c r="AJ37" i="3"/>
  <c r="CS37" i="3" s="1"/>
  <c r="R37" i="3"/>
  <c r="CA37" i="3" s="1"/>
  <c r="BF60" i="3"/>
  <c r="DO60" i="3" s="1"/>
  <c r="AV60" i="3"/>
  <c r="DE60" i="3" s="1"/>
  <c r="AL60" i="3"/>
  <c r="CU60" i="3" s="1"/>
  <c r="AB60" i="3"/>
  <c r="CK60" i="3" s="1"/>
  <c r="R60" i="3"/>
  <c r="CA60" i="3" s="1"/>
  <c r="H60" i="3"/>
  <c r="BQ60" i="3" s="1"/>
  <c r="BE60" i="3"/>
  <c r="DN60" i="3" s="1"/>
  <c r="AU60" i="3"/>
  <c r="DD60" i="3" s="1"/>
  <c r="AK60" i="3"/>
  <c r="CT60" i="3" s="1"/>
  <c r="AA60" i="3"/>
  <c r="CJ60" i="3" s="1"/>
  <c r="Q60" i="3"/>
  <c r="BZ60" i="3" s="1"/>
  <c r="G60" i="3"/>
  <c r="BP60" i="3" s="1"/>
  <c r="BH60" i="3"/>
  <c r="DQ60" i="3" s="1"/>
  <c r="AX60" i="3"/>
  <c r="DG60" i="3" s="1"/>
  <c r="AN60" i="3"/>
  <c r="CW60" i="3" s="1"/>
  <c r="AD60" i="3"/>
  <c r="CM60" i="3" s="1"/>
  <c r="T60" i="3"/>
  <c r="CC60" i="3" s="1"/>
  <c r="J60" i="3"/>
  <c r="BS60" i="3" s="1"/>
  <c r="BL60" i="3"/>
  <c r="DU60" i="3" s="1"/>
  <c r="AY60" i="3"/>
  <c r="DH60" i="3" s="1"/>
  <c r="AI60" i="3"/>
  <c r="CR60" i="3" s="1"/>
  <c r="V60" i="3"/>
  <c r="CE60" i="3" s="1"/>
  <c r="F60" i="3"/>
  <c r="BO60" i="3" s="1"/>
  <c r="BK60" i="3"/>
  <c r="DT60" i="3" s="1"/>
  <c r="AW60" i="3"/>
  <c r="DF60" i="3" s="1"/>
  <c r="AH60" i="3"/>
  <c r="CQ60" i="3" s="1"/>
  <c r="U60" i="3"/>
  <c r="CD60" i="3" s="1"/>
  <c r="E60" i="3"/>
  <c r="BN60" i="3" s="1"/>
  <c r="BJ60" i="3"/>
  <c r="DS60" i="3" s="1"/>
  <c r="AT60" i="3"/>
  <c r="DC60" i="3" s="1"/>
  <c r="AG60" i="3"/>
  <c r="CP60" i="3" s="1"/>
  <c r="S60" i="3"/>
  <c r="CB60" i="3" s="1"/>
  <c r="BI60" i="3"/>
  <c r="DR60" i="3" s="1"/>
  <c r="AS60" i="3"/>
  <c r="DB60" i="3" s="1"/>
  <c r="AF60" i="3"/>
  <c r="CO60" i="3" s="1"/>
  <c r="BG60" i="3"/>
  <c r="DP60" i="3" s="1"/>
  <c r="AR60" i="3"/>
  <c r="DA60" i="3" s="1"/>
  <c r="AE60" i="3"/>
  <c r="CN60" i="3" s="1"/>
  <c r="O60" i="3"/>
  <c r="BX60" i="3" s="1"/>
  <c r="BD60" i="3"/>
  <c r="DM60" i="3" s="1"/>
  <c r="AQ60" i="3"/>
  <c r="CZ60" i="3" s="1"/>
  <c r="AC60" i="3"/>
  <c r="CL60" i="3" s="1"/>
  <c r="N60" i="3"/>
  <c r="BW60" i="3" s="1"/>
  <c r="AZ60" i="3"/>
  <c r="DI60" i="3" s="1"/>
  <c r="AJ60" i="3"/>
  <c r="CS60" i="3" s="1"/>
  <c r="W60" i="3"/>
  <c r="CF60" i="3" s="1"/>
  <c r="I60" i="3"/>
  <c r="BR60" i="3" s="1"/>
  <c r="BB60" i="3"/>
  <c r="DK60" i="3" s="1"/>
  <c r="L60" i="3"/>
  <c r="BU60" i="3" s="1"/>
  <c r="BA60" i="3"/>
  <c r="DJ60" i="3" s="1"/>
  <c r="K60" i="3"/>
  <c r="BT60" i="3" s="1"/>
  <c r="AP60" i="3"/>
  <c r="CY60" i="3" s="1"/>
  <c r="AO60" i="3"/>
  <c r="CX60" i="3" s="1"/>
  <c r="AM60" i="3"/>
  <c r="CV60" i="3" s="1"/>
  <c r="Z60" i="3"/>
  <c r="CI60" i="3" s="1"/>
  <c r="Y60" i="3"/>
  <c r="CH60" i="3" s="1"/>
  <c r="X60" i="3"/>
  <c r="CG60" i="3" s="1"/>
  <c r="P60" i="3"/>
  <c r="BY60" i="3" s="1"/>
  <c r="BC60" i="3"/>
  <c r="DL60" i="3" s="1"/>
  <c r="M60" i="3"/>
  <c r="BV60" i="3" s="1"/>
  <c r="BE160" i="3"/>
  <c r="DN160" i="3" s="1"/>
  <c r="AU160" i="3"/>
  <c r="DD160" i="3" s="1"/>
  <c r="AK160" i="3"/>
  <c r="CT160" i="3" s="1"/>
  <c r="AA160" i="3"/>
  <c r="CJ160" i="3" s="1"/>
  <c r="Q160" i="3"/>
  <c r="BZ160" i="3" s="1"/>
  <c r="G160" i="3"/>
  <c r="BP160" i="3" s="1"/>
  <c r="BD160" i="3"/>
  <c r="DM160" i="3" s="1"/>
  <c r="AT160" i="3"/>
  <c r="DC160" i="3" s="1"/>
  <c r="AJ160" i="3"/>
  <c r="CS160" i="3" s="1"/>
  <c r="Z160" i="3"/>
  <c r="CI160" i="3" s="1"/>
  <c r="P160" i="3"/>
  <c r="BY160" i="3" s="1"/>
  <c r="F160" i="3"/>
  <c r="BO160" i="3" s="1"/>
  <c r="BG160" i="3"/>
  <c r="DP160" i="3" s="1"/>
  <c r="AW160" i="3"/>
  <c r="DF160" i="3" s="1"/>
  <c r="AM160" i="3"/>
  <c r="CV160" i="3" s="1"/>
  <c r="AC160" i="3"/>
  <c r="CL160" i="3" s="1"/>
  <c r="S160" i="3"/>
  <c r="CB160" i="3" s="1"/>
  <c r="I160" i="3"/>
  <c r="BR160" i="3" s="1"/>
  <c r="BH160" i="3"/>
  <c r="DQ160" i="3" s="1"/>
  <c r="AR160" i="3"/>
  <c r="DA160" i="3" s="1"/>
  <c r="AE160" i="3"/>
  <c r="CN160" i="3" s="1"/>
  <c r="O160" i="3"/>
  <c r="BX160" i="3" s="1"/>
  <c r="BF160" i="3"/>
  <c r="DO160" i="3" s="1"/>
  <c r="AQ160" i="3"/>
  <c r="CZ160" i="3" s="1"/>
  <c r="AD160" i="3"/>
  <c r="CM160" i="3" s="1"/>
  <c r="N160" i="3"/>
  <c r="BW160" i="3" s="1"/>
  <c r="BC160" i="3"/>
  <c r="DL160" i="3" s="1"/>
  <c r="AP160" i="3"/>
  <c r="CY160" i="3" s="1"/>
  <c r="AB160" i="3"/>
  <c r="CK160" i="3" s="1"/>
  <c r="M160" i="3"/>
  <c r="BV160" i="3" s="1"/>
  <c r="BJ160" i="3"/>
  <c r="DS160" i="3" s="1"/>
  <c r="AV160" i="3"/>
  <c r="DE160" i="3" s="1"/>
  <c r="AG160" i="3"/>
  <c r="CP160" i="3" s="1"/>
  <c r="T160" i="3"/>
  <c r="CC160" i="3" s="1"/>
  <c r="BI160" i="3"/>
  <c r="DR160" i="3" s="1"/>
  <c r="AS160" i="3"/>
  <c r="DB160" i="3" s="1"/>
  <c r="AF160" i="3"/>
  <c r="CO160" i="3" s="1"/>
  <c r="R160" i="3"/>
  <c r="CA160" i="3" s="1"/>
  <c r="AO160" i="3"/>
  <c r="CX160" i="3" s="1"/>
  <c r="L160" i="3"/>
  <c r="BU160" i="3" s="1"/>
  <c r="AN160" i="3"/>
  <c r="CW160" i="3" s="1"/>
  <c r="K160" i="3"/>
  <c r="BT160" i="3" s="1"/>
  <c r="AL160" i="3"/>
  <c r="CU160" i="3" s="1"/>
  <c r="J160" i="3"/>
  <c r="BS160" i="3" s="1"/>
  <c r="BL160" i="3"/>
  <c r="DU160" i="3" s="1"/>
  <c r="AI160" i="3"/>
  <c r="CR160" i="3" s="1"/>
  <c r="H160" i="3"/>
  <c r="BQ160" i="3" s="1"/>
  <c r="BK160" i="3"/>
  <c r="DT160" i="3" s="1"/>
  <c r="AH160" i="3"/>
  <c r="CQ160" i="3" s="1"/>
  <c r="E160" i="3"/>
  <c r="BN160" i="3" s="1"/>
  <c r="BB160" i="3"/>
  <c r="DK160" i="3" s="1"/>
  <c r="Y160" i="3"/>
  <c r="CH160" i="3" s="1"/>
  <c r="BA160" i="3"/>
  <c r="DJ160" i="3" s="1"/>
  <c r="X160" i="3"/>
  <c r="CG160" i="3" s="1"/>
  <c r="AY160" i="3"/>
  <c r="DH160" i="3" s="1"/>
  <c r="V160" i="3"/>
  <c r="CE160" i="3" s="1"/>
  <c r="AX160" i="3"/>
  <c r="DG160" i="3" s="1"/>
  <c r="U160" i="3"/>
  <c r="CD160" i="3" s="1"/>
  <c r="AZ160" i="3"/>
  <c r="DI160" i="3" s="1"/>
  <c r="W160" i="3"/>
  <c r="CF160" i="3" s="1"/>
  <c r="J96" i="2"/>
  <c r="K96" i="2" s="1"/>
  <c r="L96" i="2" s="1"/>
  <c r="BD208" i="3"/>
  <c r="DM208" i="3" s="1"/>
  <c r="AT208" i="3"/>
  <c r="DC208" i="3" s="1"/>
  <c r="AJ208" i="3"/>
  <c r="CS208" i="3" s="1"/>
  <c r="Z208" i="3"/>
  <c r="CI208" i="3" s="1"/>
  <c r="P208" i="3"/>
  <c r="BY208" i="3" s="1"/>
  <c r="F208" i="3"/>
  <c r="BO208" i="3" s="1"/>
  <c r="BC208" i="3"/>
  <c r="DL208" i="3" s="1"/>
  <c r="AS208" i="3"/>
  <c r="DB208" i="3" s="1"/>
  <c r="AI208" i="3"/>
  <c r="CR208" i="3" s="1"/>
  <c r="Y208" i="3"/>
  <c r="CH208" i="3" s="1"/>
  <c r="O208" i="3"/>
  <c r="BX208" i="3" s="1"/>
  <c r="E208" i="3"/>
  <c r="BN208" i="3" s="1"/>
  <c r="BF208" i="3"/>
  <c r="DO208" i="3" s="1"/>
  <c r="AV208" i="3"/>
  <c r="DE208" i="3" s="1"/>
  <c r="AL208" i="3"/>
  <c r="CU208" i="3" s="1"/>
  <c r="AB208" i="3"/>
  <c r="CK208" i="3" s="1"/>
  <c r="R208" i="3"/>
  <c r="CA208" i="3" s="1"/>
  <c r="H208" i="3"/>
  <c r="BQ208" i="3" s="1"/>
  <c r="AZ208" i="3"/>
  <c r="DI208" i="3" s="1"/>
  <c r="AM208" i="3"/>
  <c r="CV208" i="3" s="1"/>
  <c r="W208" i="3"/>
  <c r="CF208" i="3" s="1"/>
  <c r="J208" i="3"/>
  <c r="BS208" i="3" s="1"/>
  <c r="BL208" i="3"/>
  <c r="DU208" i="3" s="1"/>
  <c r="AY208" i="3"/>
  <c r="DH208" i="3" s="1"/>
  <c r="AK208" i="3"/>
  <c r="CT208" i="3" s="1"/>
  <c r="V208" i="3"/>
  <c r="CE208" i="3" s="1"/>
  <c r="I208" i="3"/>
  <c r="BR208" i="3" s="1"/>
  <c r="BB208" i="3"/>
  <c r="DK208" i="3" s="1"/>
  <c r="AO208" i="3"/>
  <c r="CX208" i="3" s="1"/>
  <c r="AA208" i="3"/>
  <c r="CJ208" i="3" s="1"/>
  <c r="L208" i="3"/>
  <c r="BU208" i="3" s="1"/>
  <c r="BE208" i="3"/>
  <c r="DN208" i="3" s="1"/>
  <c r="AG208" i="3"/>
  <c r="CP208" i="3" s="1"/>
  <c r="N208" i="3"/>
  <c r="BW208" i="3" s="1"/>
  <c r="BA208" i="3"/>
  <c r="DJ208" i="3" s="1"/>
  <c r="AF208" i="3"/>
  <c r="CO208" i="3" s="1"/>
  <c r="M208" i="3"/>
  <c r="BV208" i="3" s="1"/>
  <c r="AX208" i="3"/>
  <c r="DG208" i="3" s="1"/>
  <c r="AE208" i="3"/>
  <c r="CN208" i="3" s="1"/>
  <c r="K208" i="3"/>
  <c r="BT208" i="3" s="1"/>
  <c r="AW208" i="3"/>
  <c r="DF208" i="3" s="1"/>
  <c r="AD208" i="3"/>
  <c r="CM208" i="3" s="1"/>
  <c r="G208" i="3"/>
  <c r="BP208" i="3" s="1"/>
  <c r="AU208" i="3"/>
  <c r="DD208" i="3" s="1"/>
  <c r="AC208" i="3"/>
  <c r="CL208" i="3" s="1"/>
  <c r="BK208" i="3"/>
  <c r="DT208" i="3" s="1"/>
  <c r="AR208" i="3"/>
  <c r="DA208" i="3" s="1"/>
  <c r="X208" i="3"/>
  <c r="CG208" i="3" s="1"/>
  <c r="BG208" i="3"/>
  <c r="DP208" i="3" s="1"/>
  <c r="AH208" i="3"/>
  <c r="CQ208" i="3" s="1"/>
  <c r="Q208" i="3"/>
  <c r="BZ208" i="3" s="1"/>
  <c r="AP208" i="3"/>
  <c r="CY208" i="3" s="1"/>
  <c r="AN208" i="3"/>
  <c r="CW208" i="3" s="1"/>
  <c r="U208" i="3"/>
  <c r="CD208" i="3" s="1"/>
  <c r="T208" i="3"/>
  <c r="CC208" i="3" s="1"/>
  <c r="S208" i="3"/>
  <c r="CB208" i="3" s="1"/>
  <c r="BJ208" i="3"/>
  <c r="DS208" i="3" s="1"/>
  <c r="BI208" i="3"/>
  <c r="DR208" i="3" s="1"/>
  <c r="BH208" i="3"/>
  <c r="DQ208" i="3" s="1"/>
  <c r="AQ208" i="3"/>
  <c r="CZ208" i="3" s="1"/>
  <c r="BI107" i="3"/>
  <c r="DR107" i="3" s="1"/>
  <c r="AY107" i="3"/>
  <c r="DH107" i="3" s="1"/>
  <c r="AO107" i="3"/>
  <c r="CX107" i="3" s="1"/>
  <c r="AE107" i="3"/>
  <c r="CN107" i="3" s="1"/>
  <c r="U107" i="3"/>
  <c r="CD107" i="3" s="1"/>
  <c r="K107" i="3"/>
  <c r="BT107" i="3" s="1"/>
  <c r="BL107" i="3"/>
  <c r="DU107" i="3" s="1"/>
  <c r="BA107" i="3"/>
  <c r="DJ107" i="3" s="1"/>
  <c r="AP107" i="3"/>
  <c r="CY107" i="3" s="1"/>
  <c r="AD107" i="3"/>
  <c r="CM107" i="3" s="1"/>
  <c r="S107" i="3"/>
  <c r="CB107" i="3" s="1"/>
  <c r="H107" i="3"/>
  <c r="BQ107" i="3" s="1"/>
  <c r="BC107" i="3"/>
  <c r="DL107" i="3" s="1"/>
  <c r="AR107" i="3"/>
  <c r="DA107" i="3" s="1"/>
  <c r="AG107" i="3"/>
  <c r="CP107" i="3" s="1"/>
  <c r="V107" i="3"/>
  <c r="CE107" i="3" s="1"/>
  <c r="J107" i="3"/>
  <c r="BS107" i="3" s="1"/>
  <c r="BB107" i="3"/>
  <c r="DK107" i="3" s="1"/>
  <c r="AQ107" i="3"/>
  <c r="CZ107" i="3" s="1"/>
  <c r="AF107" i="3"/>
  <c r="CO107" i="3" s="1"/>
  <c r="T107" i="3"/>
  <c r="CC107" i="3" s="1"/>
  <c r="I107" i="3"/>
  <c r="BR107" i="3" s="1"/>
  <c r="AW107" i="3"/>
  <c r="DF107" i="3" s="1"/>
  <c r="AI107" i="3"/>
  <c r="CR107" i="3" s="1"/>
  <c r="Q107" i="3"/>
  <c r="BZ107" i="3" s="1"/>
  <c r="BH107" i="3"/>
  <c r="DQ107" i="3" s="1"/>
  <c r="AS107" i="3"/>
  <c r="DB107" i="3" s="1"/>
  <c r="Z107" i="3"/>
  <c r="CI107" i="3" s="1"/>
  <c r="G107" i="3"/>
  <c r="BP107" i="3" s="1"/>
  <c r="BG107" i="3"/>
  <c r="DP107" i="3" s="1"/>
  <c r="AN107" i="3"/>
  <c r="CW107" i="3" s="1"/>
  <c r="Y107" i="3"/>
  <c r="CH107" i="3" s="1"/>
  <c r="F107" i="3"/>
  <c r="BO107" i="3" s="1"/>
  <c r="AV107" i="3"/>
  <c r="DE107" i="3" s="1"/>
  <c r="AC107" i="3"/>
  <c r="CL107" i="3" s="1"/>
  <c r="N107" i="3"/>
  <c r="BW107" i="3" s="1"/>
  <c r="BF107" i="3"/>
  <c r="DO107" i="3" s="1"/>
  <c r="AJ107" i="3"/>
  <c r="CS107" i="3" s="1"/>
  <c r="L107" i="3"/>
  <c r="BU107" i="3" s="1"/>
  <c r="BE107" i="3"/>
  <c r="DN107" i="3" s="1"/>
  <c r="AH107" i="3"/>
  <c r="CQ107" i="3" s="1"/>
  <c r="E107" i="3"/>
  <c r="BN107" i="3" s="1"/>
  <c r="BD107" i="3"/>
  <c r="DM107" i="3" s="1"/>
  <c r="AB107" i="3"/>
  <c r="CK107" i="3" s="1"/>
  <c r="AZ107" i="3"/>
  <c r="DI107" i="3" s="1"/>
  <c r="AA107" i="3"/>
  <c r="CJ107" i="3" s="1"/>
  <c r="AX107" i="3"/>
  <c r="DG107" i="3" s="1"/>
  <c r="X107" i="3"/>
  <c r="CG107" i="3" s="1"/>
  <c r="AU107" i="3"/>
  <c r="DD107" i="3" s="1"/>
  <c r="W107" i="3"/>
  <c r="CF107" i="3" s="1"/>
  <c r="AT107" i="3"/>
  <c r="DC107" i="3" s="1"/>
  <c r="R107" i="3"/>
  <c r="CA107" i="3" s="1"/>
  <c r="AM107" i="3"/>
  <c r="CV107" i="3" s="1"/>
  <c r="P107" i="3"/>
  <c r="BY107" i="3" s="1"/>
  <c r="BK107" i="3"/>
  <c r="DT107" i="3" s="1"/>
  <c r="AL107" i="3"/>
  <c r="CU107" i="3" s="1"/>
  <c r="O107" i="3"/>
  <c r="BX107" i="3" s="1"/>
  <c r="BJ107" i="3"/>
  <c r="DS107" i="3" s="1"/>
  <c r="AK107" i="3"/>
  <c r="CT107" i="3" s="1"/>
  <c r="M107" i="3"/>
  <c r="BV107" i="3" s="1"/>
  <c r="BG137" i="3"/>
  <c r="DP137" i="3" s="1"/>
  <c r="AW137" i="3"/>
  <c r="DF137" i="3" s="1"/>
  <c r="AM137" i="3"/>
  <c r="CV137" i="3" s="1"/>
  <c r="AC137" i="3"/>
  <c r="CL137" i="3" s="1"/>
  <c r="S137" i="3"/>
  <c r="CB137" i="3" s="1"/>
  <c r="I137" i="3"/>
  <c r="BR137" i="3" s="1"/>
  <c r="BF137" i="3"/>
  <c r="DO137" i="3" s="1"/>
  <c r="AV137" i="3"/>
  <c r="DE137" i="3" s="1"/>
  <c r="AL137" i="3"/>
  <c r="CU137" i="3" s="1"/>
  <c r="AB137" i="3"/>
  <c r="CK137" i="3" s="1"/>
  <c r="R137" i="3"/>
  <c r="CA137" i="3" s="1"/>
  <c r="H137" i="3"/>
  <c r="BQ137" i="3" s="1"/>
  <c r="BI137" i="3"/>
  <c r="DR137" i="3" s="1"/>
  <c r="AY137" i="3"/>
  <c r="DH137" i="3" s="1"/>
  <c r="AO137" i="3"/>
  <c r="CX137" i="3" s="1"/>
  <c r="AE137" i="3"/>
  <c r="CN137" i="3" s="1"/>
  <c r="U137" i="3"/>
  <c r="CD137" i="3" s="1"/>
  <c r="K137" i="3"/>
  <c r="BT137" i="3" s="1"/>
  <c r="BB137" i="3"/>
  <c r="DK137" i="3" s="1"/>
  <c r="AN137" i="3"/>
  <c r="CW137" i="3" s="1"/>
  <c r="Y137" i="3"/>
  <c r="CH137" i="3" s="1"/>
  <c r="L137" i="3"/>
  <c r="BU137" i="3" s="1"/>
  <c r="BD137" i="3"/>
  <c r="DM137" i="3" s="1"/>
  <c r="AQ137" i="3"/>
  <c r="CZ137" i="3" s="1"/>
  <c r="AA137" i="3"/>
  <c r="CJ137" i="3" s="1"/>
  <c r="N137" i="3"/>
  <c r="BW137" i="3" s="1"/>
  <c r="BL137" i="3"/>
  <c r="DU137" i="3" s="1"/>
  <c r="AT137" i="3"/>
  <c r="DC137" i="3" s="1"/>
  <c r="AD137" i="3"/>
  <c r="CM137" i="3" s="1"/>
  <c r="J137" i="3"/>
  <c r="BS137" i="3" s="1"/>
  <c r="BK137" i="3"/>
  <c r="DT137" i="3" s="1"/>
  <c r="AS137" i="3"/>
  <c r="DB137" i="3" s="1"/>
  <c r="Z137" i="3"/>
  <c r="CI137" i="3" s="1"/>
  <c r="G137" i="3"/>
  <c r="BP137" i="3" s="1"/>
  <c r="AX137" i="3"/>
  <c r="DG137" i="3" s="1"/>
  <c r="AG137" i="3"/>
  <c r="CP137" i="3" s="1"/>
  <c r="O137" i="3"/>
  <c r="BX137" i="3" s="1"/>
  <c r="AU137" i="3"/>
  <c r="DD137" i="3" s="1"/>
  <c r="AF137" i="3"/>
  <c r="CO137" i="3" s="1"/>
  <c r="M137" i="3"/>
  <c r="BV137" i="3" s="1"/>
  <c r="AP137" i="3"/>
  <c r="CY137" i="3" s="1"/>
  <c r="P137" i="3"/>
  <c r="BY137" i="3" s="1"/>
  <c r="BC137" i="3"/>
  <c r="DL137" i="3" s="1"/>
  <c r="W137" i="3"/>
  <c r="CF137" i="3" s="1"/>
  <c r="BA137" i="3"/>
  <c r="DJ137" i="3" s="1"/>
  <c r="V137" i="3"/>
  <c r="CE137" i="3" s="1"/>
  <c r="AZ137" i="3"/>
  <c r="DI137" i="3" s="1"/>
  <c r="T137" i="3"/>
  <c r="CC137" i="3" s="1"/>
  <c r="AH137" i="3"/>
  <c r="CQ137" i="3" s="1"/>
  <c r="X137" i="3"/>
  <c r="CG137" i="3" s="1"/>
  <c r="Q137" i="3"/>
  <c r="BZ137" i="3" s="1"/>
  <c r="BJ137" i="3"/>
  <c r="DS137" i="3" s="1"/>
  <c r="F137" i="3"/>
  <c r="BO137" i="3" s="1"/>
  <c r="BH137" i="3"/>
  <c r="DQ137" i="3" s="1"/>
  <c r="E137" i="3"/>
  <c r="BN137" i="3" s="1"/>
  <c r="BE137" i="3"/>
  <c r="DN137" i="3" s="1"/>
  <c r="AR137" i="3"/>
  <c r="DA137" i="3" s="1"/>
  <c r="AK137" i="3"/>
  <c r="CT137" i="3" s="1"/>
  <c r="AJ137" i="3"/>
  <c r="CS137" i="3" s="1"/>
  <c r="AI137" i="3"/>
  <c r="CR137" i="3" s="1"/>
  <c r="BJ44" i="3"/>
  <c r="DS44" i="3" s="1"/>
  <c r="AZ44" i="3"/>
  <c r="DI44" i="3" s="1"/>
  <c r="AP44" i="3"/>
  <c r="CY44" i="3" s="1"/>
  <c r="AF44" i="3"/>
  <c r="CO44" i="3" s="1"/>
  <c r="V44" i="3"/>
  <c r="CE44" i="3" s="1"/>
  <c r="L44" i="3"/>
  <c r="BU44" i="3" s="1"/>
  <c r="BI44" i="3"/>
  <c r="DR44" i="3" s="1"/>
  <c r="AY44" i="3"/>
  <c r="DH44" i="3" s="1"/>
  <c r="AO44" i="3"/>
  <c r="CX44" i="3" s="1"/>
  <c r="AE44" i="3"/>
  <c r="CN44" i="3" s="1"/>
  <c r="U44" i="3"/>
  <c r="CD44" i="3" s="1"/>
  <c r="K44" i="3"/>
  <c r="BT44" i="3" s="1"/>
  <c r="BL44" i="3"/>
  <c r="DU44" i="3" s="1"/>
  <c r="BB44" i="3"/>
  <c r="DK44" i="3" s="1"/>
  <c r="AR44" i="3"/>
  <c r="DA44" i="3" s="1"/>
  <c r="AH44" i="3"/>
  <c r="CQ44" i="3" s="1"/>
  <c r="X44" i="3"/>
  <c r="CG44" i="3" s="1"/>
  <c r="N44" i="3"/>
  <c r="BW44" i="3" s="1"/>
  <c r="BK44" i="3"/>
  <c r="DT44" i="3" s="1"/>
  <c r="AV44" i="3"/>
  <c r="DE44" i="3" s="1"/>
  <c r="AI44" i="3"/>
  <c r="CR44" i="3" s="1"/>
  <c r="S44" i="3"/>
  <c r="CB44" i="3" s="1"/>
  <c r="F44" i="3"/>
  <c r="BO44" i="3" s="1"/>
  <c r="BH44" i="3"/>
  <c r="DQ44" i="3" s="1"/>
  <c r="AU44" i="3"/>
  <c r="DD44" i="3" s="1"/>
  <c r="AG44" i="3"/>
  <c r="CP44" i="3" s="1"/>
  <c r="R44" i="3"/>
  <c r="CA44" i="3" s="1"/>
  <c r="E44" i="3"/>
  <c r="BN44" i="3" s="1"/>
  <c r="BG44" i="3"/>
  <c r="DP44" i="3" s="1"/>
  <c r="AT44" i="3"/>
  <c r="DC44" i="3" s="1"/>
  <c r="AD44" i="3"/>
  <c r="CM44" i="3" s="1"/>
  <c r="Q44" i="3"/>
  <c r="BZ44" i="3" s="1"/>
  <c r="AW44" i="3"/>
  <c r="DF44" i="3" s="1"/>
  <c r="AJ44" i="3"/>
  <c r="CS44" i="3" s="1"/>
  <c r="T44" i="3"/>
  <c r="CC44" i="3" s="1"/>
  <c r="G44" i="3"/>
  <c r="BP44" i="3" s="1"/>
  <c r="BD44" i="3"/>
  <c r="DM44" i="3" s="1"/>
  <c r="AC44" i="3"/>
  <c r="CL44" i="3" s="1"/>
  <c r="I44" i="3"/>
  <c r="BR44" i="3" s="1"/>
  <c r="BC44" i="3"/>
  <c r="DL44" i="3" s="1"/>
  <c r="AB44" i="3"/>
  <c r="CK44" i="3" s="1"/>
  <c r="H44" i="3"/>
  <c r="BQ44" i="3" s="1"/>
  <c r="BA44" i="3"/>
  <c r="DJ44" i="3" s="1"/>
  <c r="AA44" i="3"/>
  <c r="CJ44" i="3" s="1"/>
  <c r="AX44" i="3"/>
  <c r="DG44" i="3" s="1"/>
  <c r="Z44" i="3"/>
  <c r="CI44" i="3" s="1"/>
  <c r="AS44" i="3"/>
  <c r="DB44" i="3" s="1"/>
  <c r="Y44" i="3"/>
  <c r="CH44" i="3" s="1"/>
  <c r="AQ44" i="3"/>
  <c r="CZ44" i="3" s="1"/>
  <c r="W44" i="3"/>
  <c r="CF44" i="3" s="1"/>
  <c r="AN44" i="3"/>
  <c r="CW44" i="3" s="1"/>
  <c r="P44" i="3"/>
  <c r="BY44" i="3" s="1"/>
  <c r="AM44" i="3"/>
  <c r="CV44" i="3" s="1"/>
  <c r="O44" i="3"/>
  <c r="BX44" i="3" s="1"/>
  <c r="BF44" i="3"/>
  <c r="DO44" i="3" s="1"/>
  <c r="AL44" i="3"/>
  <c r="CU44" i="3" s="1"/>
  <c r="M44" i="3"/>
  <c r="BV44" i="3" s="1"/>
  <c r="BE44" i="3"/>
  <c r="DN44" i="3" s="1"/>
  <c r="AK44" i="3"/>
  <c r="CT44" i="3" s="1"/>
  <c r="J44" i="3"/>
  <c r="BS44" i="3" s="1"/>
  <c r="BI144" i="3"/>
  <c r="DR144" i="3" s="1"/>
  <c r="AY144" i="3"/>
  <c r="DH144" i="3" s="1"/>
  <c r="AO144" i="3"/>
  <c r="CX144" i="3" s="1"/>
  <c r="AE144" i="3"/>
  <c r="CN144" i="3" s="1"/>
  <c r="U144" i="3"/>
  <c r="CD144" i="3" s="1"/>
  <c r="K144" i="3"/>
  <c r="BT144" i="3" s="1"/>
  <c r="BH144" i="3"/>
  <c r="DQ144" i="3" s="1"/>
  <c r="AX144" i="3"/>
  <c r="DG144" i="3" s="1"/>
  <c r="AN144" i="3"/>
  <c r="CW144" i="3" s="1"/>
  <c r="AD144" i="3"/>
  <c r="CM144" i="3" s="1"/>
  <c r="T144" i="3"/>
  <c r="CC144" i="3" s="1"/>
  <c r="J144" i="3"/>
  <c r="BS144" i="3" s="1"/>
  <c r="BK144" i="3"/>
  <c r="DT144" i="3" s="1"/>
  <c r="BA144" i="3"/>
  <c r="DJ144" i="3" s="1"/>
  <c r="AQ144" i="3"/>
  <c r="CZ144" i="3" s="1"/>
  <c r="AG144" i="3"/>
  <c r="CP144" i="3" s="1"/>
  <c r="W144" i="3"/>
  <c r="CF144" i="3" s="1"/>
  <c r="M144" i="3"/>
  <c r="BV144" i="3" s="1"/>
  <c r="BE144" i="3"/>
  <c r="DN144" i="3" s="1"/>
  <c r="AR144" i="3"/>
  <c r="DA144" i="3" s="1"/>
  <c r="AB144" i="3"/>
  <c r="CK144" i="3" s="1"/>
  <c r="O144" i="3"/>
  <c r="BX144" i="3" s="1"/>
  <c r="BD144" i="3"/>
  <c r="DM144" i="3" s="1"/>
  <c r="AP144" i="3"/>
  <c r="CY144" i="3" s="1"/>
  <c r="AA144" i="3"/>
  <c r="CJ144" i="3" s="1"/>
  <c r="N144" i="3"/>
  <c r="BW144" i="3" s="1"/>
  <c r="BG144" i="3"/>
  <c r="DP144" i="3" s="1"/>
  <c r="AT144" i="3"/>
  <c r="DC144" i="3" s="1"/>
  <c r="AF144" i="3"/>
  <c r="CO144" i="3" s="1"/>
  <c r="Q144" i="3"/>
  <c r="BZ144" i="3" s="1"/>
  <c r="BF144" i="3"/>
  <c r="DO144" i="3" s="1"/>
  <c r="AS144" i="3"/>
  <c r="DB144" i="3" s="1"/>
  <c r="AC144" i="3"/>
  <c r="CL144" i="3" s="1"/>
  <c r="P144" i="3"/>
  <c r="BY144" i="3" s="1"/>
  <c r="AZ144" i="3"/>
  <c r="DI144" i="3" s="1"/>
  <c r="Z144" i="3"/>
  <c r="CI144" i="3" s="1"/>
  <c r="F144" i="3"/>
  <c r="BO144" i="3" s="1"/>
  <c r="AW144" i="3"/>
  <c r="DF144" i="3" s="1"/>
  <c r="Y144" i="3"/>
  <c r="CH144" i="3" s="1"/>
  <c r="E144" i="3"/>
  <c r="BN144" i="3" s="1"/>
  <c r="AV144" i="3"/>
  <c r="DE144" i="3" s="1"/>
  <c r="X144" i="3"/>
  <c r="CG144" i="3" s="1"/>
  <c r="BC144" i="3"/>
  <c r="DL144" i="3" s="1"/>
  <c r="AI144" i="3"/>
  <c r="CR144" i="3" s="1"/>
  <c r="H144" i="3"/>
  <c r="BQ144" i="3" s="1"/>
  <c r="BB144" i="3"/>
  <c r="DK144" i="3" s="1"/>
  <c r="AH144" i="3"/>
  <c r="CQ144" i="3" s="1"/>
  <c r="G144" i="3"/>
  <c r="BP144" i="3" s="1"/>
  <c r="S144" i="3"/>
  <c r="CB144" i="3" s="1"/>
  <c r="AL144" i="3"/>
  <c r="CU144" i="3" s="1"/>
  <c r="AK144" i="3"/>
  <c r="CT144" i="3" s="1"/>
  <c r="AJ144" i="3"/>
  <c r="CS144" i="3" s="1"/>
  <c r="BL144" i="3"/>
  <c r="DU144" i="3" s="1"/>
  <c r="BJ144" i="3"/>
  <c r="DS144" i="3" s="1"/>
  <c r="AU144" i="3"/>
  <c r="DD144" i="3" s="1"/>
  <c r="AM144" i="3"/>
  <c r="CV144" i="3" s="1"/>
  <c r="V144" i="3"/>
  <c r="CE144" i="3" s="1"/>
  <c r="R144" i="3"/>
  <c r="CA144" i="3" s="1"/>
  <c r="L144" i="3"/>
  <c r="BU144" i="3" s="1"/>
  <c r="I144" i="3"/>
  <c r="BR144" i="3" s="1"/>
  <c r="BD213" i="3"/>
  <c r="DM213" i="3" s="1"/>
  <c r="AT213" i="3"/>
  <c r="DC213" i="3" s="1"/>
  <c r="AJ213" i="3"/>
  <c r="CS213" i="3" s="1"/>
  <c r="Z213" i="3"/>
  <c r="CI213" i="3" s="1"/>
  <c r="P213" i="3"/>
  <c r="BY213" i="3" s="1"/>
  <c r="F213" i="3"/>
  <c r="BO213" i="3" s="1"/>
  <c r="BC213" i="3"/>
  <c r="DL213" i="3" s="1"/>
  <c r="AS213" i="3"/>
  <c r="DB213" i="3" s="1"/>
  <c r="AI213" i="3"/>
  <c r="CR213" i="3" s="1"/>
  <c r="Y213" i="3"/>
  <c r="CH213" i="3" s="1"/>
  <c r="O213" i="3"/>
  <c r="BX213" i="3" s="1"/>
  <c r="E213" i="3"/>
  <c r="BN213" i="3" s="1"/>
  <c r="BF213" i="3"/>
  <c r="DO213" i="3" s="1"/>
  <c r="AV213" i="3"/>
  <c r="DE213" i="3" s="1"/>
  <c r="AL213" i="3"/>
  <c r="CU213" i="3" s="1"/>
  <c r="AB213" i="3"/>
  <c r="CK213" i="3" s="1"/>
  <c r="R213" i="3"/>
  <c r="CA213" i="3" s="1"/>
  <c r="H213" i="3"/>
  <c r="BQ213" i="3" s="1"/>
  <c r="BI213" i="3"/>
  <c r="DR213" i="3" s="1"/>
  <c r="AU213" i="3"/>
  <c r="DD213" i="3" s="1"/>
  <c r="AF213" i="3"/>
  <c r="CO213" i="3" s="1"/>
  <c r="S213" i="3"/>
  <c r="CB213" i="3" s="1"/>
  <c r="BH213" i="3"/>
  <c r="DQ213" i="3" s="1"/>
  <c r="AR213" i="3"/>
  <c r="DA213" i="3" s="1"/>
  <c r="AE213" i="3"/>
  <c r="CN213" i="3" s="1"/>
  <c r="Q213" i="3"/>
  <c r="BZ213" i="3" s="1"/>
  <c r="BG213" i="3"/>
  <c r="DP213" i="3" s="1"/>
  <c r="AQ213" i="3"/>
  <c r="CZ213" i="3" s="1"/>
  <c r="AD213" i="3"/>
  <c r="CM213" i="3" s="1"/>
  <c r="N213" i="3"/>
  <c r="BW213" i="3" s="1"/>
  <c r="BK213" i="3"/>
  <c r="DT213" i="3" s="1"/>
  <c r="AX213" i="3"/>
  <c r="DG213" i="3" s="1"/>
  <c r="AH213" i="3"/>
  <c r="CQ213" i="3" s="1"/>
  <c r="U213" i="3"/>
  <c r="CD213" i="3" s="1"/>
  <c r="G213" i="3"/>
  <c r="BP213" i="3" s="1"/>
  <c r="AY213" i="3"/>
  <c r="DH213" i="3" s="1"/>
  <c r="X213" i="3"/>
  <c r="CG213" i="3" s="1"/>
  <c r="AW213" i="3"/>
  <c r="DF213" i="3" s="1"/>
  <c r="W213" i="3"/>
  <c r="CF213" i="3" s="1"/>
  <c r="AP213" i="3"/>
  <c r="CY213" i="3" s="1"/>
  <c r="V213" i="3"/>
  <c r="CE213" i="3" s="1"/>
  <c r="AO213" i="3"/>
  <c r="CX213" i="3" s="1"/>
  <c r="T213" i="3"/>
  <c r="CC213" i="3" s="1"/>
  <c r="BL213" i="3"/>
  <c r="DU213" i="3" s="1"/>
  <c r="AN213" i="3"/>
  <c r="CW213" i="3" s="1"/>
  <c r="M213" i="3"/>
  <c r="BV213" i="3" s="1"/>
  <c r="BJ213" i="3"/>
  <c r="DS213" i="3" s="1"/>
  <c r="AM213" i="3"/>
  <c r="CV213" i="3" s="1"/>
  <c r="L213" i="3"/>
  <c r="BU213" i="3" s="1"/>
  <c r="BE213" i="3"/>
  <c r="DN213" i="3" s="1"/>
  <c r="AK213" i="3"/>
  <c r="CT213" i="3" s="1"/>
  <c r="K213" i="3"/>
  <c r="BT213" i="3" s="1"/>
  <c r="AZ213" i="3"/>
  <c r="DI213" i="3" s="1"/>
  <c r="AA213" i="3"/>
  <c r="CJ213" i="3" s="1"/>
  <c r="AC213" i="3"/>
  <c r="CL213" i="3" s="1"/>
  <c r="J213" i="3"/>
  <c r="BS213" i="3" s="1"/>
  <c r="I213" i="3"/>
  <c r="BR213" i="3" s="1"/>
  <c r="BB213" i="3"/>
  <c r="DK213" i="3" s="1"/>
  <c r="BA213" i="3"/>
  <c r="DJ213" i="3" s="1"/>
  <c r="AG213" i="3"/>
  <c r="CP213" i="3" s="1"/>
  <c r="N145" i="2"/>
  <c r="O145" i="2"/>
  <c r="BL171" i="3"/>
  <c r="DU171" i="3" s="1"/>
  <c r="BB171" i="3"/>
  <c r="DK171" i="3" s="1"/>
  <c r="AR171" i="3"/>
  <c r="DA171" i="3" s="1"/>
  <c r="AH171" i="3"/>
  <c r="CQ171" i="3" s="1"/>
  <c r="X171" i="3"/>
  <c r="CG171" i="3" s="1"/>
  <c r="N171" i="3"/>
  <c r="BW171" i="3" s="1"/>
  <c r="BK171" i="3"/>
  <c r="DT171" i="3" s="1"/>
  <c r="BA171" i="3"/>
  <c r="DJ171" i="3" s="1"/>
  <c r="AQ171" i="3"/>
  <c r="CZ171" i="3" s="1"/>
  <c r="AG171" i="3"/>
  <c r="CP171" i="3" s="1"/>
  <c r="W171" i="3"/>
  <c r="CF171" i="3" s="1"/>
  <c r="M171" i="3"/>
  <c r="BV171" i="3" s="1"/>
  <c r="BD171" i="3"/>
  <c r="DM171" i="3" s="1"/>
  <c r="AP171" i="3"/>
  <c r="CY171" i="3" s="1"/>
  <c r="AD171" i="3"/>
  <c r="CM171" i="3" s="1"/>
  <c r="R171" i="3"/>
  <c r="CA171" i="3" s="1"/>
  <c r="F171" i="3"/>
  <c r="BO171" i="3" s="1"/>
  <c r="BE171" i="3"/>
  <c r="DN171" i="3" s="1"/>
  <c r="AO171" i="3"/>
  <c r="CX171" i="3" s="1"/>
  <c r="AB171" i="3"/>
  <c r="CK171" i="3" s="1"/>
  <c r="O171" i="3"/>
  <c r="BX171" i="3" s="1"/>
  <c r="BC171" i="3"/>
  <c r="DL171" i="3" s="1"/>
  <c r="AN171" i="3"/>
  <c r="CW171" i="3" s="1"/>
  <c r="AA171" i="3"/>
  <c r="CJ171" i="3" s="1"/>
  <c r="L171" i="3"/>
  <c r="BU171" i="3" s="1"/>
  <c r="AZ171" i="3"/>
  <c r="DI171" i="3" s="1"/>
  <c r="AM171" i="3"/>
  <c r="CV171" i="3" s="1"/>
  <c r="Z171" i="3"/>
  <c r="CI171" i="3" s="1"/>
  <c r="K171" i="3"/>
  <c r="BT171" i="3" s="1"/>
  <c r="AY171" i="3"/>
  <c r="DH171" i="3" s="1"/>
  <c r="AL171" i="3"/>
  <c r="CU171" i="3" s="1"/>
  <c r="Y171" i="3"/>
  <c r="CH171" i="3" s="1"/>
  <c r="J171" i="3"/>
  <c r="BS171" i="3" s="1"/>
  <c r="BG171" i="3"/>
  <c r="DP171" i="3" s="1"/>
  <c r="AT171" i="3"/>
  <c r="DC171" i="3" s="1"/>
  <c r="AE171" i="3"/>
  <c r="CN171" i="3" s="1"/>
  <c r="Q171" i="3"/>
  <c r="BZ171" i="3" s="1"/>
  <c r="AU171" i="3"/>
  <c r="DD171" i="3" s="1"/>
  <c r="S171" i="3"/>
  <c r="CB171" i="3" s="1"/>
  <c r="AS171" i="3"/>
  <c r="DB171" i="3" s="1"/>
  <c r="P171" i="3"/>
  <c r="BY171" i="3" s="1"/>
  <c r="AK171" i="3"/>
  <c r="CT171" i="3" s="1"/>
  <c r="I171" i="3"/>
  <c r="BR171" i="3" s="1"/>
  <c r="BJ171" i="3"/>
  <c r="DS171" i="3" s="1"/>
  <c r="AJ171" i="3"/>
  <c r="CS171" i="3" s="1"/>
  <c r="H171" i="3"/>
  <c r="BQ171" i="3" s="1"/>
  <c r="AW171" i="3"/>
  <c r="DF171" i="3" s="1"/>
  <c r="U171" i="3"/>
  <c r="CD171" i="3" s="1"/>
  <c r="AV171" i="3"/>
  <c r="DE171" i="3" s="1"/>
  <c r="T171" i="3"/>
  <c r="CC171" i="3" s="1"/>
  <c r="AC171" i="3"/>
  <c r="CL171" i="3" s="1"/>
  <c r="V171" i="3"/>
  <c r="CE171" i="3" s="1"/>
  <c r="G171" i="3"/>
  <c r="BP171" i="3" s="1"/>
  <c r="E171" i="3"/>
  <c r="BN171" i="3" s="1"/>
  <c r="BI171" i="3"/>
  <c r="DR171" i="3" s="1"/>
  <c r="BH171" i="3"/>
  <c r="DQ171" i="3" s="1"/>
  <c r="BF171" i="3"/>
  <c r="DO171" i="3" s="1"/>
  <c r="AI171" i="3"/>
  <c r="CR171" i="3" s="1"/>
  <c r="AF171" i="3"/>
  <c r="CO171" i="3" s="1"/>
  <c r="AX171" i="3"/>
  <c r="DG171" i="3" s="1"/>
  <c r="N185" i="2"/>
  <c r="O185" i="2"/>
  <c r="BK277" i="3"/>
  <c r="DT277" i="3" s="1"/>
  <c r="BA277" i="3"/>
  <c r="DJ277" i="3" s="1"/>
  <c r="AQ277" i="3"/>
  <c r="CZ277" i="3" s="1"/>
  <c r="AG277" i="3"/>
  <c r="CP277" i="3" s="1"/>
  <c r="W277" i="3"/>
  <c r="CF277" i="3" s="1"/>
  <c r="M277" i="3"/>
  <c r="BV277" i="3" s="1"/>
  <c r="BJ277" i="3"/>
  <c r="DS277" i="3" s="1"/>
  <c r="AZ277" i="3"/>
  <c r="DI277" i="3" s="1"/>
  <c r="AP277" i="3"/>
  <c r="CY277" i="3" s="1"/>
  <c r="AF277" i="3"/>
  <c r="CO277" i="3" s="1"/>
  <c r="V277" i="3"/>
  <c r="CE277" i="3" s="1"/>
  <c r="L277" i="3"/>
  <c r="BU277" i="3" s="1"/>
  <c r="BC277" i="3"/>
  <c r="DL277" i="3" s="1"/>
  <c r="AS277" i="3"/>
  <c r="DB277" i="3" s="1"/>
  <c r="AI277" i="3"/>
  <c r="CR277" i="3" s="1"/>
  <c r="Y277" i="3"/>
  <c r="CH277" i="3" s="1"/>
  <c r="O277" i="3"/>
  <c r="BX277" i="3" s="1"/>
  <c r="E277" i="3"/>
  <c r="BN277" i="3" s="1"/>
  <c r="BD277" i="3"/>
  <c r="DM277" i="3" s="1"/>
  <c r="AN277" i="3"/>
  <c r="CW277" i="3" s="1"/>
  <c r="AA277" i="3"/>
  <c r="CJ277" i="3" s="1"/>
  <c r="K277" i="3"/>
  <c r="BT277" i="3" s="1"/>
  <c r="BG277" i="3"/>
  <c r="DP277" i="3" s="1"/>
  <c r="AV277" i="3"/>
  <c r="DE277" i="3" s="1"/>
  <c r="AE277" i="3"/>
  <c r="CN277" i="3" s="1"/>
  <c r="Q277" i="3"/>
  <c r="BZ277" i="3" s="1"/>
  <c r="BL277" i="3"/>
  <c r="DU277" i="3" s="1"/>
  <c r="AU277" i="3"/>
  <c r="DD277" i="3" s="1"/>
  <c r="AD277" i="3"/>
  <c r="CM277" i="3" s="1"/>
  <c r="P277" i="3"/>
  <c r="BY277" i="3" s="1"/>
  <c r="BI277" i="3"/>
  <c r="DR277" i="3" s="1"/>
  <c r="AT277" i="3"/>
  <c r="DC277" i="3" s="1"/>
  <c r="AC277" i="3"/>
  <c r="CL277" i="3" s="1"/>
  <c r="N277" i="3"/>
  <c r="BW277" i="3" s="1"/>
  <c r="BH277" i="3"/>
  <c r="DQ277" i="3" s="1"/>
  <c r="AR277" i="3"/>
  <c r="DA277" i="3" s="1"/>
  <c r="AB277" i="3"/>
  <c r="CK277" i="3" s="1"/>
  <c r="J277" i="3"/>
  <c r="BS277" i="3" s="1"/>
  <c r="BF277" i="3"/>
  <c r="DO277" i="3" s="1"/>
  <c r="AO277" i="3"/>
  <c r="CX277" i="3" s="1"/>
  <c r="Z277" i="3"/>
  <c r="CI277" i="3" s="1"/>
  <c r="I277" i="3"/>
  <c r="BR277" i="3" s="1"/>
  <c r="BE277" i="3"/>
  <c r="DN277" i="3" s="1"/>
  <c r="AM277" i="3"/>
  <c r="CV277" i="3" s="1"/>
  <c r="X277" i="3"/>
  <c r="CG277" i="3" s="1"/>
  <c r="H277" i="3"/>
  <c r="BQ277" i="3" s="1"/>
  <c r="BB277" i="3"/>
  <c r="DK277" i="3" s="1"/>
  <c r="AL277" i="3"/>
  <c r="CU277" i="3" s="1"/>
  <c r="U277" i="3"/>
  <c r="CD277" i="3" s="1"/>
  <c r="G277" i="3"/>
  <c r="BP277" i="3" s="1"/>
  <c r="AY277" i="3"/>
  <c r="DH277" i="3" s="1"/>
  <c r="AK277" i="3"/>
  <c r="CT277" i="3" s="1"/>
  <c r="T277" i="3"/>
  <c r="CC277" i="3" s="1"/>
  <c r="F277" i="3"/>
  <c r="BO277" i="3" s="1"/>
  <c r="AX277" i="3"/>
  <c r="DG277" i="3" s="1"/>
  <c r="AJ277" i="3"/>
  <c r="CS277" i="3" s="1"/>
  <c r="S277" i="3"/>
  <c r="CB277" i="3" s="1"/>
  <c r="R277" i="3"/>
  <c r="CA277" i="3" s="1"/>
  <c r="AH277" i="3"/>
  <c r="CQ277" i="3" s="1"/>
  <c r="AW277" i="3"/>
  <c r="DF277" i="3" s="1"/>
  <c r="BG345" i="3"/>
  <c r="DP345" i="3" s="1"/>
  <c r="AW345" i="3"/>
  <c r="DF345" i="3" s="1"/>
  <c r="AM345" i="3"/>
  <c r="CV345" i="3" s="1"/>
  <c r="AC345" i="3"/>
  <c r="CL345" i="3" s="1"/>
  <c r="S345" i="3"/>
  <c r="CB345" i="3" s="1"/>
  <c r="I345" i="3"/>
  <c r="BR345" i="3" s="1"/>
  <c r="BI345" i="3"/>
  <c r="DR345" i="3" s="1"/>
  <c r="AX345" i="3"/>
  <c r="DG345" i="3" s="1"/>
  <c r="AL345" i="3"/>
  <c r="CU345" i="3" s="1"/>
  <c r="AA345" i="3"/>
  <c r="CJ345" i="3" s="1"/>
  <c r="P345" i="3"/>
  <c r="BY345" i="3" s="1"/>
  <c r="E345" i="3"/>
  <c r="BN345" i="3" s="1"/>
  <c r="BH345" i="3"/>
  <c r="DQ345" i="3" s="1"/>
  <c r="AV345" i="3"/>
  <c r="DE345" i="3" s="1"/>
  <c r="AK345" i="3"/>
  <c r="CT345" i="3" s="1"/>
  <c r="Z345" i="3"/>
  <c r="CI345" i="3" s="1"/>
  <c r="O345" i="3"/>
  <c r="BX345" i="3" s="1"/>
  <c r="BK345" i="3"/>
  <c r="DT345" i="3" s="1"/>
  <c r="AZ345" i="3"/>
  <c r="DI345" i="3" s="1"/>
  <c r="AO345" i="3"/>
  <c r="CX345" i="3" s="1"/>
  <c r="AD345" i="3"/>
  <c r="CM345" i="3" s="1"/>
  <c r="R345" i="3"/>
  <c r="CA345" i="3" s="1"/>
  <c r="G345" i="3"/>
  <c r="BP345" i="3" s="1"/>
  <c r="BL345" i="3"/>
  <c r="DU345" i="3" s="1"/>
  <c r="AT345" i="3"/>
  <c r="DC345" i="3" s="1"/>
  <c r="AF345" i="3"/>
  <c r="CO345" i="3" s="1"/>
  <c r="N345" i="3"/>
  <c r="BW345" i="3" s="1"/>
  <c r="BJ345" i="3"/>
  <c r="DS345" i="3" s="1"/>
  <c r="AS345" i="3"/>
  <c r="DB345" i="3" s="1"/>
  <c r="AE345" i="3"/>
  <c r="CN345" i="3" s="1"/>
  <c r="M345" i="3"/>
  <c r="BV345" i="3" s="1"/>
  <c r="AY345" i="3"/>
  <c r="DH345" i="3" s="1"/>
  <c r="AH345" i="3"/>
  <c r="CQ345" i="3" s="1"/>
  <c r="T345" i="3"/>
  <c r="CC345" i="3" s="1"/>
  <c r="BB345" i="3"/>
  <c r="DK345" i="3" s="1"/>
  <c r="AB345" i="3"/>
  <c r="CK345" i="3" s="1"/>
  <c r="H345" i="3"/>
  <c r="BQ345" i="3" s="1"/>
  <c r="BE345" i="3"/>
  <c r="DN345" i="3" s="1"/>
  <c r="AJ345" i="3"/>
  <c r="CS345" i="3" s="1"/>
  <c r="L345" i="3"/>
  <c r="BU345" i="3" s="1"/>
  <c r="BD345" i="3"/>
  <c r="DM345" i="3" s="1"/>
  <c r="AI345" i="3"/>
  <c r="CR345" i="3" s="1"/>
  <c r="K345" i="3"/>
  <c r="BT345" i="3" s="1"/>
  <c r="Y345" i="3"/>
  <c r="CH345" i="3" s="1"/>
  <c r="BF345" i="3"/>
  <c r="DO345" i="3" s="1"/>
  <c r="X345" i="3"/>
  <c r="CG345" i="3" s="1"/>
  <c r="AN345" i="3"/>
  <c r="CW345" i="3" s="1"/>
  <c r="BC345" i="3"/>
  <c r="DL345" i="3" s="1"/>
  <c r="Q345" i="3"/>
  <c r="BZ345" i="3" s="1"/>
  <c r="BA345" i="3"/>
  <c r="DJ345" i="3" s="1"/>
  <c r="J345" i="3"/>
  <c r="BS345" i="3" s="1"/>
  <c r="AU345" i="3"/>
  <c r="DD345" i="3" s="1"/>
  <c r="F345" i="3"/>
  <c r="BO345" i="3" s="1"/>
  <c r="AR345" i="3"/>
  <c r="DA345" i="3" s="1"/>
  <c r="AQ345" i="3"/>
  <c r="CZ345" i="3" s="1"/>
  <c r="AP345" i="3"/>
  <c r="CY345" i="3" s="1"/>
  <c r="AG345" i="3"/>
  <c r="CP345" i="3" s="1"/>
  <c r="W345" i="3"/>
  <c r="CF345" i="3" s="1"/>
  <c r="V345" i="3"/>
  <c r="CE345" i="3" s="1"/>
  <c r="U345" i="3"/>
  <c r="CD345" i="3" s="1"/>
  <c r="J127" i="2"/>
  <c r="K127" i="2" s="1"/>
  <c r="L127" i="2" s="1"/>
  <c r="BD178" i="3"/>
  <c r="DM178" i="3" s="1"/>
  <c r="AT178" i="3"/>
  <c r="DC178" i="3" s="1"/>
  <c r="AJ178" i="3"/>
  <c r="CS178" i="3" s="1"/>
  <c r="Z178" i="3"/>
  <c r="CI178" i="3" s="1"/>
  <c r="P178" i="3"/>
  <c r="BY178" i="3" s="1"/>
  <c r="F178" i="3"/>
  <c r="BO178" i="3" s="1"/>
  <c r="BC178" i="3"/>
  <c r="DL178" i="3" s="1"/>
  <c r="AS178" i="3"/>
  <c r="DB178" i="3" s="1"/>
  <c r="AI178" i="3"/>
  <c r="CR178" i="3" s="1"/>
  <c r="Y178" i="3"/>
  <c r="CH178" i="3" s="1"/>
  <c r="O178" i="3"/>
  <c r="BX178" i="3" s="1"/>
  <c r="E178" i="3"/>
  <c r="BN178" i="3" s="1"/>
  <c r="BF178" i="3"/>
  <c r="DO178" i="3" s="1"/>
  <c r="AV178" i="3"/>
  <c r="DE178" i="3" s="1"/>
  <c r="AL178" i="3"/>
  <c r="CU178" i="3" s="1"/>
  <c r="AB178" i="3"/>
  <c r="CK178" i="3" s="1"/>
  <c r="R178" i="3"/>
  <c r="CA178" i="3" s="1"/>
  <c r="H178" i="3"/>
  <c r="BQ178" i="3" s="1"/>
  <c r="BH178" i="3"/>
  <c r="DQ178" i="3" s="1"/>
  <c r="AR178" i="3"/>
  <c r="DA178" i="3" s="1"/>
  <c r="AE178" i="3"/>
  <c r="CN178" i="3" s="1"/>
  <c r="Q178" i="3"/>
  <c r="BZ178" i="3" s="1"/>
  <c r="BG178" i="3"/>
  <c r="DP178" i="3" s="1"/>
  <c r="AP178" i="3"/>
  <c r="CY178" i="3" s="1"/>
  <c r="AA178" i="3"/>
  <c r="CJ178" i="3" s="1"/>
  <c r="K178" i="3"/>
  <c r="BT178" i="3" s="1"/>
  <c r="BE178" i="3"/>
  <c r="DN178" i="3" s="1"/>
  <c r="AO178" i="3"/>
  <c r="CX178" i="3" s="1"/>
  <c r="X178" i="3"/>
  <c r="CG178" i="3" s="1"/>
  <c r="J178" i="3"/>
  <c r="BS178" i="3" s="1"/>
  <c r="BB178" i="3"/>
  <c r="DK178" i="3" s="1"/>
  <c r="AN178" i="3"/>
  <c r="CW178" i="3" s="1"/>
  <c r="W178" i="3"/>
  <c r="CF178" i="3" s="1"/>
  <c r="I178" i="3"/>
  <c r="BR178" i="3" s="1"/>
  <c r="BA178" i="3"/>
  <c r="DJ178" i="3" s="1"/>
  <c r="AM178" i="3"/>
  <c r="CV178" i="3" s="1"/>
  <c r="V178" i="3"/>
  <c r="CE178" i="3" s="1"/>
  <c r="G178" i="3"/>
  <c r="BP178" i="3" s="1"/>
  <c r="BJ178" i="3"/>
  <c r="DS178" i="3" s="1"/>
  <c r="AU178" i="3"/>
  <c r="DD178" i="3" s="1"/>
  <c r="AD178" i="3"/>
  <c r="CM178" i="3" s="1"/>
  <c r="M178" i="3"/>
  <c r="BV178" i="3" s="1"/>
  <c r="AW178" i="3"/>
  <c r="DF178" i="3" s="1"/>
  <c r="N178" i="3"/>
  <c r="BW178" i="3" s="1"/>
  <c r="AQ178" i="3"/>
  <c r="CZ178" i="3" s="1"/>
  <c r="L178" i="3"/>
  <c r="BU178" i="3" s="1"/>
  <c r="AK178" i="3"/>
  <c r="CT178" i="3" s="1"/>
  <c r="AH178" i="3"/>
  <c r="CQ178" i="3" s="1"/>
  <c r="BL178" i="3"/>
  <c r="DU178" i="3" s="1"/>
  <c r="AG178" i="3"/>
  <c r="CP178" i="3" s="1"/>
  <c r="BK178" i="3"/>
  <c r="DT178" i="3" s="1"/>
  <c r="AF178" i="3"/>
  <c r="CO178" i="3" s="1"/>
  <c r="BI178" i="3"/>
  <c r="DR178" i="3" s="1"/>
  <c r="AC178" i="3"/>
  <c r="CL178" i="3" s="1"/>
  <c r="AY178" i="3"/>
  <c r="DH178" i="3" s="1"/>
  <c r="T178" i="3"/>
  <c r="CC178" i="3" s="1"/>
  <c r="AX178" i="3"/>
  <c r="DG178" i="3" s="1"/>
  <c r="S178" i="3"/>
  <c r="CB178" i="3" s="1"/>
  <c r="U178" i="3"/>
  <c r="CD178" i="3" s="1"/>
  <c r="AZ178" i="3"/>
  <c r="DI178" i="3" s="1"/>
  <c r="K207" i="2"/>
  <c r="L207" i="2" s="1"/>
  <c r="O240" i="2"/>
  <c r="N240" i="2"/>
  <c r="BI275" i="3"/>
  <c r="DR275" i="3" s="1"/>
  <c r="AY275" i="3"/>
  <c r="DH275" i="3" s="1"/>
  <c r="AO275" i="3"/>
  <c r="CX275" i="3" s="1"/>
  <c r="AE275" i="3"/>
  <c r="CN275" i="3" s="1"/>
  <c r="U275" i="3"/>
  <c r="CD275" i="3" s="1"/>
  <c r="K275" i="3"/>
  <c r="BT275" i="3" s="1"/>
  <c r="BH275" i="3"/>
  <c r="DQ275" i="3" s="1"/>
  <c r="AX275" i="3"/>
  <c r="DG275" i="3" s="1"/>
  <c r="AN275" i="3"/>
  <c r="CW275" i="3" s="1"/>
  <c r="AD275" i="3"/>
  <c r="CM275" i="3" s="1"/>
  <c r="T275" i="3"/>
  <c r="CC275" i="3" s="1"/>
  <c r="J275" i="3"/>
  <c r="BS275" i="3" s="1"/>
  <c r="BK275" i="3"/>
  <c r="DT275" i="3" s="1"/>
  <c r="BA275" i="3"/>
  <c r="DJ275" i="3" s="1"/>
  <c r="AQ275" i="3"/>
  <c r="CZ275" i="3" s="1"/>
  <c r="AG275" i="3"/>
  <c r="CP275" i="3" s="1"/>
  <c r="W275" i="3"/>
  <c r="CF275" i="3" s="1"/>
  <c r="M275" i="3"/>
  <c r="BV275" i="3" s="1"/>
  <c r="BG275" i="3"/>
  <c r="DP275" i="3" s="1"/>
  <c r="AT275" i="3"/>
  <c r="DC275" i="3" s="1"/>
  <c r="AF275" i="3"/>
  <c r="CO275" i="3" s="1"/>
  <c r="Q275" i="3"/>
  <c r="BZ275" i="3" s="1"/>
  <c r="BE275" i="3"/>
  <c r="DN275" i="3" s="1"/>
  <c r="AP275" i="3"/>
  <c r="CY275" i="3" s="1"/>
  <c r="Z275" i="3"/>
  <c r="CI275" i="3" s="1"/>
  <c r="I275" i="3"/>
  <c r="BR275" i="3" s="1"/>
  <c r="BD275" i="3"/>
  <c r="DM275" i="3" s="1"/>
  <c r="AM275" i="3"/>
  <c r="CV275" i="3" s="1"/>
  <c r="Y275" i="3"/>
  <c r="CH275" i="3" s="1"/>
  <c r="H275" i="3"/>
  <c r="BQ275" i="3" s="1"/>
  <c r="BC275" i="3"/>
  <c r="DL275" i="3" s="1"/>
  <c r="AL275" i="3"/>
  <c r="CU275" i="3" s="1"/>
  <c r="X275" i="3"/>
  <c r="CG275" i="3" s="1"/>
  <c r="G275" i="3"/>
  <c r="BP275" i="3" s="1"/>
  <c r="BB275" i="3"/>
  <c r="DK275" i="3" s="1"/>
  <c r="AK275" i="3"/>
  <c r="CT275" i="3" s="1"/>
  <c r="V275" i="3"/>
  <c r="CE275" i="3" s="1"/>
  <c r="F275" i="3"/>
  <c r="BO275" i="3" s="1"/>
  <c r="AZ275" i="3"/>
  <c r="DI275" i="3" s="1"/>
  <c r="AJ275" i="3"/>
  <c r="CS275" i="3" s="1"/>
  <c r="S275" i="3"/>
  <c r="CB275" i="3" s="1"/>
  <c r="E275" i="3"/>
  <c r="BN275" i="3" s="1"/>
  <c r="AW275" i="3"/>
  <c r="DF275" i="3" s="1"/>
  <c r="AI275" i="3"/>
  <c r="CR275" i="3" s="1"/>
  <c r="R275" i="3"/>
  <c r="CA275" i="3" s="1"/>
  <c r="AV275" i="3"/>
  <c r="DE275" i="3" s="1"/>
  <c r="AH275" i="3"/>
  <c r="CQ275" i="3" s="1"/>
  <c r="P275" i="3"/>
  <c r="BY275" i="3" s="1"/>
  <c r="BL275" i="3"/>
  <c r="DU275" i="3" s="1"/>
  <c r="AU275" i="3"/>
  <c r="DD275" i="3" s="1"/>
  <c r="AC275" i="3"/>
  <c r="CL275" i="3" s="1"/>
  <c r="O275" i="3"/>
  <c r="BX275" i="3" s="1"/>
  <c r="BJ275" i="3"/>
  <c r="DS275" i="3" s="1"/>
  <c r="AS275" i="3"/>
  <c r="DB275" i="3" s="1"/>
  <c r="AB275" i="3"/>
  <c r="CK275" i="3" s="1"/>
  <c r="N275" i="3"/>
  <c r="BW275" i="3" s="1"/>
  <c r="BF275" i="3"/>
  <c r="DO275" i="3" s="1"/>
  <c r="AR275" i="3"/>
  <c r="DA275" i="3" s="1"/>
  <c r="AA275" i="3"/>
  <c r="CJ275" i="3" s="1"/>
  <c r="L275" i="3"/>
  <c r="BU275" i="3" s="1"/>
  <c r="BE145" i="3"/>
  <c r="DN145" i="3" s="1"/>
  <c r="AU145" i="3"/>
  <c r="DD145" i="3" s="1"/>
  <c r="AK145" i="3"/>
  <c r="CT145" i="3" s="1"/>
  <c r="AA145" i="3"/>
  <c r="CJ145" i="3" s="1"/>
  <c r="Q145" i="3"/>
  <c r="BZ145" i="3" s="1"/>
  <c r="G145" i="3"/>
  <c r="BP145" i="3" s="1"/>
  <c r="BD145" i="3"/>
  <c r="DM145" i="3" s="1"/>
  <c r="AT145" i="3"/>
  <c r="DC145" i="3" s="1"/>
  <c r="AJ145" i="3"/>
  <c r="CS145" i="3" s="1"/>
  <c r="Z145" i="3"/>
  <c r="CI145" i="3" s="1"/>
  <c r="P145" i="3"/>
  <c r="BY145" i="3" s="1"/>
  <c r="F145" i="3"/>
  <c r="BO145" i="3" s="1"/>
  <c r="BG145" i="3"/>
  <c r="DP145" i="3" s="1"/>
  <c r="AW145" i="3"/>
  <c r="DF145" i="3" s="1"/>
  <c r="AM145" i="3"/>
  <c r="CV145" i="3" s="1"/>
  <c r="AC145" i="3"/>
  <c r="CL145" i="3" s="1"/>
  <c r="S145" i="3"/>
  <c r="CB145" i="3" s="1"/>
  <c r="I145" i="3"/>
  <c r="BR145" i="3" s="1"/>
  <c r="BJ145" i="3"/>
  <c r="DS145" i="3" s="1"/>
  <c r="AV145" i="3"/>
  <c r="DE145" i="3" s="1"/>
  <c r="AG145" i="3"/>
  <c r="CP145" i="3" s="1"/>
  <c r="T145" i="3"/>
  <c r="CC145" i="3" s="1"/>
  <c r="BI145" i="3"/>
  <c r="DR145" i="3" s="1"/>
  <c r="AS145" i="3"/>
  <c r="DB145" i="3" s="1"/>
  <c r="AF145" i="3"/>
  <c r="CO145" i="3" s="1"/>
  <c r="R145" i="3"/>
  <c r="CA145" i="3" s="1"/>
  <c r="BL145" i="3"/>
  <c r="DU145" i="3" s="1"/>
  <c r="AY145" i="3"/>
  <c r="DH145" i="3" s="1"/>
  <c r="AI145" i="3"/>
  <c r="CR145" i="3" s="1"/>
  <c r="V145" i="3"/>
  <c r="CE145" i="3" s="1"/>
  <c r="H145" i="3"/>
  <c r="BQ145" i="3" s="1"/>
  <c r="BK145" i="3"/>
  <c r="DT145" i="3" s="1"/>
  <c r="AX145" i="3"/>
  <c r="DG145" i="3" s="1"/>
  <c r="AH145" i="3"/>
  <c r="CQ145" i="3" s="1"/>
  <c r="U145" i="3"/>
  <c r="CD145" i="3" s="1"/>
  <c r="E145" i="3"/>
  <c r="BN145" i="3" s="1"/>
  <c r="AR145" i="3"/>
  <c r="DA145" i="3" s="1"/>
  <c r="X145" i="3"/>
  <c r="CG145" i="3" s="1"/>
  <c r="AQ145" i="3"/>
  <c r="CZ145" i="3" s="1"/>
  <c r="W145" i="3"/>
  <c r="CF145" i="3" s="1"/>
  <c r="AP145" i="3"/>
  <c r="CY145" i="3" s="1"/>
  <c r="O145" i="3"/>
  <c r="BX145" i="3" s="1"/>
  <c r="BA145" i="3"/>
  <c r="DJ145" i="3" s="1"/>
  <c r="AB145" i="3"/>
  <c r="CK145" i="3" s="1"/>
  <c r="AZ145" i="3"/>
  <c r="DI145" i="3" s="1"/>
  <c r="Y145" i="3"/>
  <c r="CH145" i="3" s="1"/>
  <c r="AN145" i="3"/>
  <c r="CW145" i="3" s="1"/>
  <c r="BF145" i="3"/>
  <c r="DO145" i="3" s="1"/>
  <c r="L145" i="3"/>
  <c r="BU145" i="3" s="1"/>
  <c r="BC145" i="3"/>
  <c r="DL145" i="3" s="1"/>
  <c r="K145" i="3"/>
  <c r="BT145" i="3" s="1"/>
  <c r="BB145" i="3"/>
  <c r="DK145" i="3" s="1"/>
  <c r="J145" i="3"/>
  <c r="BS145" i="3" s="1"/>
  <c r="N145" i="3"/>
  <c r="BW145" i="3" s="1"/>
  <c r="M145" i="3"/>
  <c r="BV145" i="3" s="1"/>
  <c r="BH145" i="3"/>
  <c r="DQ145" i="3" s="1"/>
  <c r="AO145" i="3"/>
  <c r="CX145" i="3" s="1"/>
  <c r="AL145" i="3"/>
  <c r="CU145" i="3" s="1"/>
  <c r="AE145" i="3"/>
  <c r="CN145" i="3" s="1"/>
  <c r="AD145" i="3"/>
  <c r="CM145" i="3" s="1"/>
  <c r="BF195" i="3"/>
  <c r="DO195" i="3" s="1"/>
  <c r="AV195" i="3"/>
  <c r="DE195" i="3" s="1"/>
  <c r="AL195" i="3"/>
  <c r="CU195" i="3" s="1"/>
  <c r="AB195" i="3"/>
  <c r="CK195" i="3" s="1"/>
  <c r="R195" i="3"/>
  <c r="CA195" i="3" s="1"/>
  <c r="H195" i="3"/>
  <c r="BQ195" i="3" s="1"/>
  <c r="BG195" i="3"/>
  <c r="DP195" i="3" s="1"/>
  <c r="AU195" i="3"/>
  <c r="DD195" i="3" s="1"/>
  <c r="AJ195" i="3"/>
  <c r="CS195" i="3" s="1"/>
  <c r="Y195" i="3"/>
  <c r="CH195" i="3" s="1"/>
  <c r="N195" i="3"/>
  <c r="BW195" i="3" s="1"/>
  <c r="BE195" i="3"/>
  <c r="DN195" i="3" s="1"/>
  <c r="AT195" i="3"/>
  <c r="DC195" i="3" s="1"/>
  <c r="AI195" i="3"/>
  <c r="CR195" i="3" s="1"/>
  <c r="X195" i="3"/>
  <c r="CG195" i="3" s="1"/>
  <c r="M195" i="3"/>
  <c r="BV195" i="3" s="1"/>
  <c r="BI195" i="3"/>
  <c r="DR195" i="3" s="1"/>
  <c r="AX195" i="3"/>
  <c r="DG195" i="3" s="1"/>
  <c r="AM195" i="3"/>
  <c r="CV195" i="3" s="1"/>
  <c r="AA195" i="3"/>
  <c r="CJ195" i="3" s="1"/>
  <c r="P195" i="3"/>
  <c r="BY195" i="3" s="1"/>
  <c r="E195" i="3"/>
  <c r="BN195" i="3" s="1"/>
  <c r="BA195" i="3"/>
  <c r="DJ195" i="3" s="1"/>
  <c r="AK195" i="3"/>
  <c r="CT195" i="3" s="1"/>
  <c r="U195" i="3"/>
  <c r="CD195" i="3" s="1"/>
  <c r="F195" i="3"/>
  <c r="BO195" i="3" s="1"/>
  <c r="AZ195" i="3"/>
  <c r="DI195" i="3" s="1"/>
  <c r="AH195" i="3"/>
  <c r="CQ195" i="3" s="1"/>
  <c r="T195" i="3"/>
  <c r="CC195" i="3" s="1"/>
  <c r="AY195" i="3"/>
  <c r="DH195" i="3" s="1"/>
  <c r="AG195" i="3"/>
  <c r="CP195" i="3" s="1"/>
  <c r="S195" i="3"/>
  <c r="CB195" i="3" s="1"/>
  <c r="BL195" i="3"/>
  <c r="DU195" i="3" s="1"/>
  <c r="AW195" i="3"/>
  <c r="DF195" i="3" s="1"/>
  <c r="AF195" i="3"/>
  <c r="CO195" i="3" s="1"/>
  <c r="Q195" i="3"/>
  <c r="BZ195" i="3" s="1"/>
  <c r="BK195" i="3"/>
  <c r="DT195" i="3" s="1"/>
  <c r="AS195" i="3"/>
  <c r="DB195" i="3" s="1"/>
  <c r="AE195" i="3"/>
  <c r="CN195" i="3" s="1"/>
  <c r="O195" i="3"/>
  <c r="BX195" i="3" s="1"/>
  <c r="BJ195" i="3"/>
  <c r="DS195" i="3" s="1"/>
  <c r="AR195" i="3"/>
  <c r="DA195" i="3" s="1"/>
  <c r="AD195" i="3"/>
  <c r="CM195" i="3" s="1"/>
  <c r="L195" i="3"/>
  <c r="BU195" i="3" s="1"/>
  <c r="BB195" i="3"/>
  <c r="DK195" i="3" s="1"/>
  <c r="AN195" i="3"/>
  <c r="CW195" i="3" s="1"/>
  <c r="V195" i="3"/>
  <c r="CE195" i="3" s="1"/>
  <c r="G195" i="3"/>
  <c r="BP195" i="3" s="1"/>
  <c r="BH195" i="3"/>
  <c r="DQ195" i="3" s="1"/>
  <c r="J195" i="3"/>
  <c r="BS195" i="3" s="1"/>
  <c r="BD195" i="3"/>
  <c r="DM195" i="3" s="1"/>
  <c r="I195" i="3"/>
  <c r="BR195" i="3" s="1"/>
  <c r="BC195" i="3"/>
  <c r="DL195" i="3" s="1"/>
  <c r="AQ195" i="3"/>
  <c r="CZ195" i="3" s="1"/>
  <c r="AP195" i="3"/>
  <c r="CY195" i="3" s="1"/>
  <c r="AO195" i="3"/>
  <c r="CX195" i="3" s="1"/>
  <c r="AC195" i="3"/>
  <c r="CL195" i="3" s="1"/>
  <c r="W195" i="3"/>
  <c r="CF195" i="3" s="1"/>
  <c r="K195" i="3"/>
  <c r="BT195" i="3" s="1"/>
  <c r="Z195" i="3"/>
  <c r="CI195" i="3" s="1"/>
  <c r="BD308" i="3"/>
  <c r="DM308" i="3" s="1"/>
  <c r="AT308" i="3"/>
  <c r="DC308" i="3" s="1"/>
  <c r="AJ308" i="3"/>
  <c r="CS308" i="3" s="1"/>
  <c r="Z308" i="3"/>
  <c r="CI308" i="3" s="1"/>
  <c r="P308" i="3"/>
  <c r="BY308" i="3" s="1"/>
  <c r="F308" i="3"/>
  <c r="BO308" i="3" s="1"/>
  <c r="BC308" i="3"/>
  <c r="DL308" i="3" s="1"/>
  <c r="AS308" i="3"/>
  <c r="DB308" i="3" s="1"/>
  <c r="AI308" i="3"/>
  <c r="CR308" i="3" s="1"/>
  <c r="Y308" i="3"/>
  <c r="CH308" i="3" s="1"/>
  <c r="O308" i="3"/>
  <c r="BX308" i="3" s="1"/>
  <c r="E308" i="3"/>
  <c r="BN308" i="3" s="1"/>
  <c r="BF308" i="3"/>
  <c r="DO308" i="3" s="1"/>
  <c r="AR308" i="3"/>
  <c r="DA308" i="3" s="1"/>
  <c r="AF308" i="3"/>
  <c r="CO308" i="3" s="1"/>
  <c r="T308" i="3"/>
  <c r="CC308" i="3" s="1"/>
  <c r="H308" i="3"/>
  <c r="BQ308" i="3" s="1"/>
  <c r="BB308" i="3"/>
  <c r="DK308" i="3" s="1"/>
  <c r="AP308" i="3"/>
  <c r="CY308" i="3" s="1"/>
  <c r="AD308" i="3"/>
  <c r="CM308" i="3" s="1"/>
  <c r="R308" i="3"/>
  <c r="CA308" i="3" s="1"/>
  <c r="BK308" i="3"/>
  <c r="DT308" i="3" s="1"/>
  <c r="AW308" i="3"/>
  <c r="DF308" i="3" s="1"/>
  <c r="AG308" i="3"/>
  <c r="CP308" i="3" s="1"/>
  <c r="Q308" i="3"/>
  <c r="BZ308" i="3" s="1"/>
  <c r="BI308" i="3"/>
  <c r="DR308" i="3" s="1"/>
  <c r="AU308" i="3"/>
  <c r="DD308" i="3" s="1"/>
  <c r="AC308" i="3"/>
  <c r="CL308" i="3" s="1"/>
  <c r="M308" i="3"/>
  <c r="BV308" i="3" s="1"/>
  <c r="BH308" i="3"/>
  <c r="DQ308" i="3" s="1"/>
  <c r="AQ308" i="3"/>
  <c r="CZ308" i="3" s="1"/>
  <c r="AB308" i="3"/>
  <c r="CK308" i="3" s="1"/>
  <c r="L308" i="3"/>
  <c r="BU308" i="3" s="1"/>
  <c r="BE308" i="3"/>
  <c r="DN308" i="3" s="1"/>
  <c r="AN308" i="3"/>
  <c r="CW308" i="3" s="1"/>
  <c r="X308" i="3"/>
  <c r="CG308" i="3" s="1"/>
  <c r="J308" i="3"/>
  <c r="BS308" i="3" s="1"/>
  <c r="BA308" i="3"/>
  <c r="DJ308" i="3" s="1"/>
  <c r="AM308" i="3"/>
  <c r="CV308" i="3" s="1"/>
  <c r="W308" i="3"/>
  <c r="CF308" i="3" s="1"/>
  <c r="I308" i="3"/>
  <c r="BR308" i="3" s="1"/>
  <c r="BJ308" i="3"/>
  <c r="DS308" i="3" s="1"/>
  <c r="AE308" i="3"/>
  <c r="CN308" i="3" s="1"/>
  <c r="BG308" i="3"/>
  <c r="DP308" i="3" s="1"/>
  <c r="AA308" i="3"/>
  <c r="CJ308" i="3" s="1"/>
  <c r="AZ308" i="3"/>
  <c r="DI308" i="3" s="1"/>
  <c r="V308" i="3"/>
  <c r="CE308" i="3" s="1"/>
  <c r="AY308" i="3"/>
  <c r="DH308" i="3" s="1"/>
  <c r="U308" i="3"/>
  <c r="CD308" i="3" s="1"/>
  <c r="AX308" i="3"/>
  <c r="DG308" i="3" s="1"/>
  <c r="S308" i="3"/>
  <c r="CB308" i="3" s="1"/>
  <c r="AK308" i="3"/>
  <c r="CT308" i="3" s="1"/>
  <c r="BL308" i="3"/>
  <c r="DU308" i="3" s="1"/>
  <c r="AH308" i="3"/>
  <c r="CQ308" i="3" s="1"/>
  <c r="N308" i="3"/>
  <c r="BW308" i="3" s="1"/>
  <c r="K308" i="3"/>
  <c r="BT308" i="3" s="1"/>
  <c r="G308" i="3"/>
  <c r="BP308" i="3" s="1"/>
  <c r="AO308" i="3"/>
  <c r="CX308" i="3" s="1"/>
  <c r="AV308" i="3"/>
  <c r="DE308" i="3" s="1"/>
  <c r="AL308" i="3"/>
  <c r="CU308" i="3" s="1"/>
  <c r="J101" i="2"/>
  <c r="K101" i="2" s="1"/>
  <c r="L101" i="2" s="1"/>
  <c r="N267" i="2"/>
  <c r="O267" i="2"/>
  <c r="N317" i="2"/>
  <c r="O317" i="2"/>
  <c r="BI139" i="3"/>
  <c r="DR139" i="3" s="1"/>
  <c r="AY139" i="3"/>
  <c r="DH139" i="3" s="1"/>
  <c r="AO139" i="3"/>
  <c r="CX139" i="3" s="1"/>
  <c r="AE139" i="3"/>
  <c r="CN139" i="3" s="1"/>
  <c r="U139" i="3"/>
  <c r="CD139" i="3" s="1"/>
  <c r="K139" i="3"/>
  <c r="BT139" i="3" s="1"/>
  <c r="BH139" i="3"/>
  <c r="DQ139" i="3" s="1"/>
  <c r="AX139" i="3"/>
  <c r="DG139" i="3" s="1"/>
  <c r="AN139" i="3"/>
  <c r="CW139" i="3" s="1"/>
  <c r="AD139" i="3"/>
  <c r="CM139" i="3" s="1"/>
  <c r="T139" i="3"/>
  <c r="CC139" i="3" s="1"/>
  <c r="J139" i="3"/>
  <c r="BS139" i="3" s="1"/>
  <c r="BK139" i="3"/>
  <c r="DT139" i="3" s="1"/>
  <c r="BA139" i="3"/>
  <c r="DJ139" i="3" s="1"/>
  <c r="AQ139" i="3"/>
  <c r="CZ139" i="3" s="1"/>
  <c r="AG139" i="3"/>
  <c r="CP139" i="3" s="1"/>
  <c r="W139" i="3"/>
  <c r="CF139" i="3" s="1"/>
  <c r="M139" i="3"/>
  <c r="BV139" i="3" s="1"/>
  <c r="BL139" i="3"/>
  <c r="DU139" i="3" s="1"/>
  <c r="AV139" i="3"/>
  <c r="DE139" i="3" s="1"/>
  <c r="AI139" i="3"/>
  <c r="CR139" i="3" s="1"/>
  <c r="S139" i="3"/>
  <c r="CB139" i="3" s="1"/>
  <c r="F139" i="3"/>
  <c r="BO139" i="3" s="1"/>
  <c r="AZ139" i="3"/>
  <c r="DI139" i="3" s="1"/>
  <c r="AK139" i="3"/>
  <c r="CT139" i="3" s="1"/>
  <c r="X139" i="3"/>
  <c r="CG139" i="3" s="1"/>
  <c r="H139" i="3"/>
  <c r="BQ139" i="3" s="1"/>
  <c r="AW139" i="3"/>
  <c r="DF139" i="3" s="1"/>
  <c r="AJ139" i="3"/>
  <c r="CS139" i="3" s="1"/>
  <c r="V139" i="3"/>
  <c r="CE139" i="3" s="1"/>
  <c r="G139" i="3"/>
  <c r="BP139" i="3" s="1"/>
  <c r="BF139" i="3"/>
  <c r="DO139" i="3" s="1"/>
  <c r="AM139" i="3"/>
  <c r="CV139" i="3" s="1"/>
  <c r="Q139" i="3"/>
  <c r="BZ139" i="3" s="1"/>
  <c r="BE139" i="3"/>
  <c r="DN139" i="3" s="1"/>
  <c r="AL139" i="3"/>
  <c r="CU139" i="3" s="1"/>
  <c r="P139" i="3"/>
  <c r="BY139" i="3" s="1"/>
  <c r="BJ139" i="3"/>
  <c r="DS139" i="3" s="1"/>
  <c r="AR139" i="3"/>
  <c r="DA139" i="3" s="1"/>
  <c r="Y139" i="3"/>
  <c r="CH139" i="3" s="1"/>
  <c r="BG139" i="3"/>
  <c r="DP139" i="3" s="1"/>
  <c r="AP139" i="3"/>
  <c r="CY139" i="3" s="1"/>
  <c r="R139" i="3"/>
  <c r="CA139" i="3" s="1"/>
  <c r="AB139" i="3"/>
  <c r="CK139" i="3" s="1"/>
  <c r="AS139" i="3"/>
  <c r="DB139" i="3" s="1"/>
  <c r="I139" i="3"/>
  <c r="BR139" i="3" s="1"/>
  <c r="AH139" i="3"/>
  <c r="CQ139" i="3" s="1"/>
  <c r="E139" i="3"/>
  <c r="BN139" i="3" s="1"/>
  <c r="AF139" i="3"/>
  <c r="CO139" i="3" s="1"/>
  <c r="BC139" i="3"/>
  <c r="DL139" i="3" s="1"/>
  <c r="BB139" i="3"/>
  <c r="DK139" i="3" s="1"/>
  <c r="AU139" i="3"/>
  <c r="DD139" i="3" s="1"/>
  <c r="AT139" i="3"/>
  <c r="DC139" i="3" s="1"/>
  <c r="AC139" i="3"/>
  <c r="CL139" i="3" s="1"/>
  <c r="AA139" i="3"/>
  <c r="CJ139" i="3" s="1"/>
  <c r="Z139" i="3"/>
  <c r="CI139" i="3" s="1"/>
  <c r="O139" i="3"/>
  <c r="BX139" i="3" s="1"/>
  <c r="N139" i="3"/>
  <c r="BW139" i="3" s="1"/>
  <c r="L139" i="3"/>
  <c r="BU139" i="3" s="1"/>
  <c r="BD139" i="3"/>
  <c r="DM139" i="3" s="1"/>
  <c r="BH240" i="3"/>
  <c r="DQ240" i="3" s="1"/>
  <c r="AX240" i="3"/>
  <c r="DG240" i="3" s="1"/>
  <c r="AN240" i="3"/>
  <c r="CW240" i="3" s="1"/>
  <c r="AD240" i="3"/>
  <c r="CM240" i="3" s="1"/>
  <c r="T240" i="3"/>
  <c r="CC240" i="3" s="1"/>
  <c r="J240" i="3"/>
  <c r="BS240" i="3" s="1"/>
  <c r="BK240" i="3"/>
  <c r="DT240" i="3" s="1"/>
  <c r="AZ240" i="3"/>
  <c r="DI240" i="3" s="1"/>
  <c r="AO240" i="3"/>
  <c r="CX240" i="3" s="1"/>
  <c r="AC240" i="3"/>
  <c r="CL240" i="3" s="1"/>
  <c r="R240" i="3"/>
  <c r="CA240" i="3" s="1"/>
  <c r="G240" i="3"/>
  <c r="BP240" i="3" s="1"/>
  <c r="BJ240" i="3"/>
  <c r="DS240" i="3" s="1"/>
  <c r="AY240" i="3"/>
  <c r="DH240" i="3" s="1"/>
  <c r="AM240" i="3"/>
  <c r="CV240" i="3" s="1"/>
  <c r="AB240" i="3"/>
  <c r="CK240" i="3" s="1"/>
  <c r="Q240" i="3"/>
  <c r="BZ240" i="3" s="1"/>
  <c r="F240" i="3"/>
  <c r="BO240" i="3" s="1"/>
  <c r="BB240" i="3"/>
  <c r="DK240" i="3" s="1"/>
  <c r="AQ240" i="3"/>
  <c r="CZ240" i="3" s="1"/>
  <c r="AF240" i="3"/>
  <c r="CO240" i="3" s="1"/>
  <c r="U240" i="3"/>
  <c r="CD240" i="3" s="1"/>
  <c r="I240" i="3"/>
  <c r="BR240" i="3" s="1"/>
  <c r="BD240" i="3"/>
  <c r="DM240" i="3" s="1"/>
  <c r="AL240" i="3"/>
  <c r="CU240" i="3" s="1"/>
  <c r="X240" i="3"/>
  <c r="CG240" i="3" s="1"/>
  <c r="H240" i="3"/>
  <c r="BQ240" i="3" s="1"/>
  <c r="BC240" i="3"/>
  <c r="DL240" i="3" s="1"/>
  <c r="AK240" i="3"/>
  <c r="CT240" i="3" s="1"/>
  <c r="W240" i="3"/>
  <c r="CF240" i="3" s="1"/>
  <c r="E240" i="3"/>
  <c r="BN240" i="3" s="1"/>
  <c r="BF240" i="3"/>
  <c r="DO240" i="3" s="1"/>
  <c r="AR240" i="3"/>
  <c r="DA240" i="3" s="1"/>
  <c r="Z240" i="3"/>
  <c r="CI240" i="3" s="1"/>
  <c r="L240" i="3"/>
  <c r="BU240" i="3" s="1"/>
  <c r="BG240" i="3"/>
  <c r="DP240" i="3" s="1"/>
  <c r="AI240" i="3"/>
  <c r="CR240" i="3" s="1"/>
  <c r="N240" i="3"/>
  <c r="BW240" i="3" s="1"/>
  <c r="BE240" i="3"/>
  <c r="DN240" i="3" s="1"/>
  <c r="AH240" i="3"/>
  <c r="CQ240" i="3" s="1"/>
  <c r="M240" i="3"/>
  <c r="BV240" i="3" s="1"/>
  <c r="BA240" i="3"/>
  <c r="DJ240" i="3" s="1"/>
  <c r="AG240" i="3"/>
  <c r="CP240" i="3" s="1"/>
  <c r="K240" i="3"/>
  <c r="BT240" i="3" s="1"/>
  <c r="AS240" i="3"/>
  <c r="DB240" i="3" s="1"/>
  <c r="AP240" i="3"/>
  <c r="CY240" i="3" s="1"/>
  <c r="AJ240" i="3"/>
  <c r="CS240" i="3" s="1"/>
  <c r="AE240" i="3"/>
  <c r="CN240" i="3" s="1"/>
  <c r="BL240" i="3"/>
  <c r="DU240" i="3" s="1"/>
  <c r="AA240" i="3"/>
  <c r="CJ240" i="3" s="1"/>
  <c r="BI240" i="3"/>
  <c r="DR240" i="3" s="1"/>
  <c r="Y240" i="3"/>
  <c r="CH240" i="3" s="1"/>
  <c r="AW240" i="3"/>
  <c r="DF240" i="3" s="1"/>
  <c r="V240" i="3"/>
  <c r="CE240" i="3" s="1"/>
  <c r="AV240" i="3"/>
  <c r="DE240" i="3" s="1"/>
  <c r="S240" i="3"/>
  <c r="CB240" i="3" s="1"/>
  <c r="AU240" i="3"/>
  <c r="DD240" i="3" s="1"/>
  <c r="P240" i="3"/>
  <c r="BY240" i="3" s="1"/>
  <c r="AT240" i="3"/>
  <c r="DC240" i="3" s="1"/>
  <c r="O240" i="3"/>
  <c r="BX240" i="3" s="1"/>
  <c r="BL56" i="3"/>
  <c r="DU56" i="3" s="1"/>
  <c r="BB56" i="3"/>
  <c r="DK56" i="3" s="1"/>
  <c r="AR56" i="3"/>
  <c r="DA56" i="3" s="1"/>
  <c r="AH56" i="3"/>
  <c r="CQ56" i="3" s="1"/>
  <c r="X56" i="3"/>
  <c r="CG56" i="3" s="1"/>
  <c r="N56" i="3"/>
  <c r="BW56" i="3" s="1"/>
  <c r="BK56" i="3"/>
  <c r="DT56" i="3" s="1"/>
  <c r="BA56" i="3"/>
  <c r="DJ56" i="3" s="1"/>
  <c r="AQ56" i="3"/>
  <c r="CZ56" i="3" s="1"/>
  <c r="AG56" i="3"/>
  <c r="CP56" i="3" s="1"/>
  <c r="W56" i="3"/>
  <c r="CF56" i="3" s="1"/>
  <c r="M56" i="3"/>
  <c r="BV56" i="3" s="1"/>
  <c r="BD56" i="3"/>
  <c r="DM56" i="3" s="1"/>
  <c r="AT56" i="3"/>
  <c r="DC56" i="3" s="1"/>
  <c r="AJ56" i="3"/>
  <c r="CS56" i="3" s="1"/>
  <c r="Z56" i="3"/>
  <c r="CI56" i="3" s="1"/>
  <c r="P56" i="3"/>
  <c r="BY56" i="3" s="1"/>
  <c r="F56" i="3"/>
  <c r="BO56" i="3" s="1"/>
  <c r="BH56" i="3"/>
  <c r="DQ56" i="3" s="1"/>
  <c r="AU56" i="3"/>
  <c r="DD56" i="3" s="1"/>
  <c r="AE56" i="3"/>
  <c r="CN56" i="3" s="1"/>
  <c r="R56" i="3"/>
  <c r="CA56" i="3" s="1"/>
  <c r="BG56" i="3"/>
  <c r="DP56" i="3" s="1"/>
  <c r="AS56" i="3"/>
  <c r="DB56" i="3" s="1"/>
  <c r="AD56" i="3"/>
  <c r="CM56" i="3" s="1"/>
  <c r="Q56" i="3"/>
  <c r="BZ56" i="3" s="1"/>
  <c r="BF56" i="3"/>
  <c r="DO56" i="3" s="1"/>
  <c r="AP56" i="3"/>
  <c r="CY56" i="3" s="1"/>
  <c r="AC56" i="3"/>
  <c r="CL56" i="3" s="1"/>
  <c r="O56" i="3"/>
  <c r="BX56" i="3" s="1"/>
  <c r="BI56" i="3"/>
  <c r="DR56" i="3" s="1"/>
  <c r="AV56" i="3"/>
  <c r="DE56" i="3" s="1"/>
  <c r="AF56" i="3"/>
  <c r="CO56" i="3" s="1"/>
  <c r="S56" i="3"/>
  <c r="CB56" i="3" s="1"/>
  <c r="E56" i="3"/>
  <c r="BN56" i="3" s="1"/>
  <c r="AO56" i="3"/>
  <c r="CX56" i="3" s="1"/>
  <c r="U56" i="3"/>
  <c r="CD56" i="3" s="1"/>
  <c r="AN56" i="3"/>
  <c r="CW56" i="3" s="1"/>
  <c r="T56" i="3"/>
  <c r="CC56" i="3" s="1"/>
  <c r="AM56" i="3"/>
  <c r="CV56" i="3" s="1"/>
  <c r="L56" i="3"/>
  <c r="BU56" i="3" s="1"/>
  <c r="BJ56" i="3"/>
  <c r="DS56" i="3" s="1"/>
  <c r="AL56" i="3"/>
  <c r="CU56" i="3" s="1"/>
  <c r="K56" i="3"/>
  <c r="BT56" i="3" s="1"/>
  <c r="BE56" i="3"/>
  <c r="DN56" i="3" s="1"/>
  <c r="AK56" i="3"/>
  <c r="CT56" i="3" s="1"/>
  <c r="J56" i="3"/>
  <c r="BS56" i="3" s="1"/>
  <c r="BC56" i="3"/>
  <c r="DL56" i="3" s="1"/>
  <c r="AI56" i="3"/>
  <c r="CR56" i="3" s="1"/>
  <c r="I56" i="3"/>
  <c r="BR56" i="3" s="1"/>
  <c r="AZ56" i="3"/>
  <c r="DI56" i="3" s="1"/>
  <c r="AB56" i="3"/>
  <c r="CK56" i="3" s="1"/>
  <c r="H56" i="3"/>
  <c r="BQ56" i="3" s="1"/>
  <c r="AY56" i="3"/>
  <c r="DH56" i="3" s="1"/>
  <c r="AA56" i="3"/>
  <c r="CJ56" i="3" s="1"/>
  <c r="G56" i="3"/>
  <c r="BP56" i="3" s="1"/>
  <c r="AX56" i="3"/>
  <c r="DG56" i="3" s="1"/>
  <c r="Y56" i="3"/>
  <c r="CH56" i="3" s="1"/>
  <c r="AW56" i="3"/>
  <c r="DF56" i="3" s="1"/>
  <c r="V56" i="3"/>
  <c r="CE56" i="3" s="1"/>
  <c r="BK156" i="3"/>
  <c r="DT156" i="3" s="1"/>
  <c r="BA156" i="3"/>
  <c r="DJ156" i="3" s="1"/>
  <c r="AQ156" i="3"/>
  <c r="CZ156" i="3" s="1"/>
  <c r="AG156" i="3"/>
  <c r="CP156" i="3" s="1"/>
  <c r="W156" i="3"/>
  <c r="CF156" i="3" s="1"/>
  <c r="M156" i="3"/>
  <c r="BV156" i="3" s="1"/>
  <c r="BJ156" i="3"/>
  <c r="DS156" i="3" s="1"/>
  <c r="AZ156" i="3"/>
  <c r="DI156" i="3" s="1"/>
  <c r="AP156" i="3"/>
  <c r="CY156" i="3" s="1"/>
  <c r="AF156" i="3"/>
  <c r="CO156" i="3" s="1"/>
  <c r="V156" i="3"/>
  <c r="CE156" i="3" s="1"/>
  <c r="L156" i="3"/>
  <c r="BU156" i="3" s="1"/>
  <c r="BC156" i="3"/>
  <c r="DL156" i="3" s="1"/>
  <c r="AS156" i="3"/>
  <c r="DB156" i="3" s="1"/>
  <c r="AI156" i="3"/>
  <c r="CR156" i="3" s="1"/>
  <c r="Y156" i="3"/>
  <c r="CH156" i="3" s="1"/>
  <c r="O156" i="3"/>
  <c r="BX156" i="3" s="1"/>
  <c r="E156" i="3"/>
  <c r="BN156" i="3" s="1"/>
  <c r="BD156" i="3"/>
  <c r="DM156" i="3" s="1"/>
  <c r="AN156" i="3"/>
  <c r="CW156" i="3" s="1"/>
  <c r="AA156" i="3"/>
  <c r="CJ156" i="3" s="1"/>
  <c r="K156" i="3"/>
  <c r="BT156" i="3" s="1"/>
  <c r="BB156" i="3"/>
  <c r="DK156" i="3" s="1"/>
  <c r="AM156" i="3"/>
  <c r="CV156" i="3" s="1"/>
  <c r="Z156" i="3"/>
  <c r="CI156" i="3" s="1"/>
  <c r="J156" i="3"/>
  <c r="BS156" i="3" s="1"/>
  <c r="AY156" i="3"/>
  <c r="DH156" i="3" s="1"/>
  <c r="AL156" i="3"/>
  <c r="CU156" i="3" s="1"/>
  <c r="X156" i="3"/>
  <c r="CG156" i="3" s="1"/>
  <c r="I156" i="3"/>
  <c r="BR156" i="3" s="1"/>
  <c r="BF156" i="3"/>
  <c r="DO156" i="3" s="1"/>
  <c r="AR156" i="3"/>
  <c r="DA156" i="3" s="1"/>
  <c r="AC156" i="3"/>
  <c r="CL156" i="3" s="1"/>
  <c r="P156" i="3"/>
  <c r="BY156" i="3" s="1"/>
  <c r="BE156" i="3"/>
  <c r="DN156" i="3" s="1"/>
  <c r="AO156" i="3"/>
  <c r="CX156" i="3" s="1"/>
  <c r="AB156" i="3"/>
  <c r="CK156" i="3" s="1"/>
  <c r="N156" i="3"/>
  <c r="BW156" i="3" s="1"/>
  <c r="AX156" i="3"/>
  <c r="DG156" i="3" s="1"/>
  <c r="U156" i="3"/>
  <c r="CD156" i="3" s="1"/>
  <c r="AW156" i="3"/>
  <c r="DF156" i="3" s="1"/>
  <c r="T156" i="3"/>
  <c r="CC156" i="3" s="1"/>
  <c r="AV156" i="3"/>
  <c r="DE156" i="3" s="1"/>
  <c r="S156" i="3"/>
  <c r="CB156" i="3" s="1"/>
  <c r="AU156" i="3"/>
  <c r="DD156" i="3" s="1"/>
  <c r="R156" i="3"/>
  <c r="CA156" i="3" s="1"/>
  <c r="AT156" i="3"/>
  <c r="DC156" i="3" s="1"/>
  <c r="Q156" i="3"/>
  <c r="BZ156" i="3" s="1"/>
  <c r="BH156" i="3"/>
  <c r="DQ156" i="3" s="1"/>
  <c r="AE156" i="3"/>
  <c r="CN156" i="3" s="1"/>
  <c r="BG156" i="3"/>
  <c r="DP156" i="3" s="1"/>
  <c r="AD156" i="3"/>
  <c r="CM156" i="3" s="1"/>
  <c r="G156" i="3"/>
  <c r="BP156" i="3" s="1"/>
  <c r="AK156" i="3"/>
  <c r="CT156" i="3" s="1"/>
  <c r="AJ156" i="3"/>
  <c r="CS156" i="3" s="1"/>
  <c r="AH156" i="3"/>
  <c r="CQ156" i="3" s="1"/>
  <c r="BL156" i="3"/>
  <c r="DU156" i="3" s="1"/>
  <c r="BI156" i="3"/>
  <c r="DR156" i="3" s="1"/>
  <c r="H156" i="3"/>
  <c r="BQ156" i="3" s="1"/>
  <c r="F156" i="3"/>
  <c r="BO156" i="3" s="1"/>
  <c r="BC123" i="3"/>
  <c r="DL123" i="3" s="1"/>
  <c r="AS123" i="3"/>
  <c r="DB123" i="3" s="1"/>
  <c r="AI123" i="3"/>
  <c r="CR123" i="3" s="1"/>
  <c r="Y123" i="3"/>
  <c r="CH123" i="3" s="1"/>
  <c r="O123" i="3"/>
  <c r="BX123" i="3" s="1"/>
  <c r="E123" i="3"/>
  <c r="BN123" i="3" s="1"/>
  <c r="BD123" i="3"/>
  <c r="DM123" i="3" s="1"/>
  <c r="AR123" i="3"/>
  <c r="DA123" i="3" s="1"/>
  <c r="AG123" i="3"/>
  <c r="CP123" i="3" s="1"/>
  <c r="V123" i="3"/>
  <c r="CE123" i="3" s="1"/>
  <c r="K123" i="3"/>
  <c r="BT123" i="3" s="1"/>
  <c r="BF123" i="3"/>
  <c r="DO123" i="3" s="1"/>
  <c r="AU123" i="3"/>
  <c r="DD123" i="3" s="1"/>
  <c r="AJ123" i="3"/>
  <c r="CS123" i="3" s="1"/>
  <c r="X123" i="3"/>
  <c r="CG123" i="3" s="1"/>
  <c r="M123" i="3"/>
  <c r="BV123" i="3" s="1"/>
  <c r="AZ123" i="3"/>
  <c r="DI123" i="3" s="1"/>
  <c r="AM123" i="3"/>
  <c r="CV123" i="3" s="1"/>
  <c r="Z123" i="3"/>
  <c r="CI123" i="3" s="1"/>
  <c r="J123" i="3"/>
  <c r="BS123" i="3" s="1"/>
  <c r="BB123" i="3"/>
  <c r="DK123" i="3" s="1"/>
  <c r="AO123" i="3"/>
  <c r="CX123" i="3" s="1"/>
  <c r="AB123" i="3"/>
  <c r="CK123" i="3" s="1"/>
  <c r="N123" i="3"/>
  <c r="BW123" i="3" s="1"/>
  <c r="BA123" i="3"/>
  <c r="DJ123" i="3" s="1"/>
  <c r="AN123" i="3"/>
  <c r="CW123" i="3" s="1"/>
  <c r="AA123" i="3"/>
  <c r="CJ123" i="3" s="1"/>
  <c r="L123" i="3"/>
  <c r="BU123" i="3" s="1"/>
  <c r="BJ123" i="3"/>
  <c r="DS123" i="3" s="1"/>
  <c r="AQ123" i="3"/>
  <c r="CZ123" i="3" s="1"/>
  <c r="U123" i="3"/>
  <c r="CD123" i="3" s="1"/>
  <c r="AX123" i="3"/>
  <c r="DG123" i="3" s="1"/>
  <c r="AE123" i="3"/>
  <c r="CN123" i="3" s="1"/>
  <c r="I123" i="3"/>
  <c r="BR123" i="3" s="1"/>
  <c r="AW123" i="3"/>
  <c r="DF123" i="3" s="1"/>
  <c r="AD123" i="3"/>
  <c r="CM123" i="3" s="1"/>
  <c r="H123" i="3"/>
  <c r="BQ123" i="3" s="1"/>
  <c r="BL123" i="3"/>
  <c r="DU123" i="3" s="1"/>
  <c r="AV123" i="3"/>
  <c r="DE123" i="3" s="1"/>
  <c r="AC123" i="3"/>
  <c r="CL123" i="3" s="1"/>
  <c r="G123" i="3"/>
  <c r="BP123" i="3" s="1"/>
  <c r="BK123" i="3"/>
  <c r="DT123" i="3" s="1"/>
  <c r="AH123" i="3"/>
  <c r="CQ123" i="3" s="1"/>
  <c r="BI123" i="3"/>
  <c r="DR123" i="3" s="1"/>
  <c r="AF123" i="3"/>
  <c r="CO123" i="3" s="1"/>
  <c r="BH123" i="3"/>
  <c r="DQ123" i="3" s="1"/>
  <c r="W123" i="3"/>
  <c r="CF123" i="3" s="1"/>
  <c r="BG123" i="3"/>
  <c r="DP123" i="3" s="1"/>
  <c r="T123" i="3"/>
  <c r="CC123" i="3" s="1"/>
  <c r="BE123" i="3"/>
  <c r="DN123" i="3" s="1"/>
  <c r="S123" i="3"/>
  <c r="CB123" i="3" s="1"/>
  <c r="AY123" i="3"/>
  <c r="DH123" i="3" s="1"/>
  <c r="R123" i="3"/>
  <c r="CA123" i="3" s="1"/>
  <c r="AT123" i="3"/>
  <c r="DC123" i="3" s="1"/>
  <c r="Q123" i="3"/>
  <c r="BZ123" i="3" s="1"/>
  <c r="AP123" i="3"/>
  <c r="CY123" i="3" s="1"/>
  <c r="P123" i="3"/>
  <c r="BY123" i="3" s="1"/>
  <c r="F123" i="3"/>
  <c r="BO123" i="3" s="1"/>
  <c r="AL123" i="3"/>
  <c r="CU123" i="3" s="1"/>
  <c r="AK123" i="3"/>
  <c r="CT123" i="3" s="1"/>
  <c r="BC163" i="3"/>
  <c r="DL163" i="3" s="1"/>
  <c r="AS163" i="3"/>
  <c r="DB163" i="3" s="1"/>
  <c r="AI163" i="3"/>
  <c r="CR163" i="3" s="1"/>
  <c r="Y163" i="3"/>
  <c r="CH163" i="3" s="1"/>
  <c r="O163" i="3"/>
  <c r="BX163" i="3" s="1"/>
  <c r="E163" i="3"/>
  <c r="BN163" i="3" s="1"/>
  <c r="BL163" i="3"/>
  <c r="DU163" i="3" s="1"/>
  <c r="BB163" i="3"/>
  <c r="DK163" i="3" s="1"/>
  <c r="AR163" i="3"/>
  <c r="DA163" i="3" s="1"/>
  <c r="AH163" i="3"/>
  <c r="CQ163" i="3" s="1"/>
  <c r="X163" i="3"/>
  <c r="CG163" i="3" s="1"/>
  <c r="N163" i="3"/>
  <c r="BW163" i="3" s="1"/>
  <c r="BE163" i="3"/>
  <c r="DN163" i="3" s="1"/>
  <c r="AU163" i="3"/>
  <c r="DD163" i="3" s="1"/>
  <c r="AK163" i="3"/>
  <c r="CT163" i="3" s="1"/>
  <c r="AA163" i="3"/>
  <c r="CJ163" i="3" s="1"/>
  <c r="Q163" i="3"/>
  <c r="BZ163" i="3" s="1"/>
  <c r="G163" i="3"/>
  <c r="BP163" i="3" s="1"/>
  <c r="BG163" i="3"/>
  <c r="DP163" i="3" s="1"/>
  <c r="AQ163" i="3"/>
  <c r="CZ163" i="3" s="1"/>
  <c r="AD163" i="3"/>
  <c r="CM163" i="3" s="1"/>
  <c r="P163" i="3"/>
  <c r="BY163" i="3" s="1"/>
  <c r="BF163" i="3"/>
  <c r="DO163" i="3" s="1"/>
  <c r="AP163" i="3"/>
  <c r="CY163" i="3" s="1"/>
  <c r="AC163" i="3"/>
  <c r="CL163" i="3" s="1"/>
  <c r="M163" i="3"/>
  <c r="BV163" i="3" s="1"/>
  <c r="BD163" i="3"/>
  <c r="DM163" i="3" s="1"/>
  <c r="AO163" i="3"/>
  <c r="CX163" i="3" s="1"/>
  <c r="AB163" i="3"/>
  <c r="CK163" i="3" s="1"/>
  <c r="L163" i="3"/>
  <c r="BU163" i="3" s="1"/>
  <c r="BI163" i="3"/>
  <c r="DR163" i="3" s="1"/>
  <c r="AV163" i="3"/>
  <c r="DE163" i="3" s="1"/>
  <c r="AF163" i="3"/>
  <c r="CO163" i="3" s="1"/>
  <c r="S163" i="3"/>
  <c r="CB163" i="3" s="1"/>
  <c r="BH163" i="3"/>
  <c r="DQ163" i="3" s="1"/>
  <c r="AT163" i="3"/>
  <c r="DC163" i="3" s="1"/>
  <c r="AE163" i="3"/>
  <c r="CN163" i="3" s="1"/>
  <c r="R163" i="3"/>
  <c r="CA163" i="3" s="1"/>
  <c r="AN163" i="3"/>
  <c r="CW163" i="3" s="1"/>
  <c r="K163" i="3"/>
  <c r="BT163" i="3" s="1"/>
  <c r="AM163" i="3"/>
  <c r="CV163" i="3" s="1"/>
  <c r="J163" i="3"/>
  <c r="BS163" i="3" s="1"/>
  <c r="AL163" i="3"/>
  <c r="CU163" i="3" s="1"/>
  <c r="I163" i="3"/>
  <c r="BR163" i="3" s="1"/>
  <c r="BK163" i="3"/>
  <c r="DT163" i="3" s="1"/>
  <c r="AJ163" i="3"/>
  <c r="CS163" i="3" s="1"/>
  <c r="H163" i="3"/>
  <c r="BQ163" i="3" s="1"/>
  <c r="BJ163" i="3"/>
  <c r="DS163" i="3" s="1"/>
  <c r="AG163" i="3"/>
  <c r="CP163" i="3" s="1"/>
  <c r="F163" i="3"/>
  <c r="BO163" i="3" s="1"/>
  <c r="BA163" i="3"/>
  <c r="DJ163" i="3" s="1"/>
  <c r="Z163" i="3"/>
  <c r="CI163" i="3" s="1"/>
  <c r="AZ163" i="3"/>
  <c r="DI163" i="3" s="1"/>
  <c r="W163" i="3"/>
  <c r="CF163" i="3" s="1"/>
  <c r="AX163" i="3"/>
  <c r="DG163" i="3" s="1"/>
  <c r="U163" i="3"/>
  <c r="CD163" i="3" s="1"/>
  <c r="AW163" i="3"/>
  <c r="DF163" i="3" s="1"/>
  <c r="T163" i="3"/>
  <c r="CC163" i="3" s="1"/>
  <c r="AY163" i="3"/>
  <c r="DH163" i="3" s="1"/>
  <c r="V163" i="3"/>
  <c r="CE163" i="3" s="1"/>
  <c r="BD183" i="3"/>
  <c r="DM183" i="3" s="1"/>
  <c r="AT183" i="3"/>
  <c r="DC183" i="3" s="1"/>
  <c r="AJ183" i="3"/>
  <c r="CS183" i="3" s="1"/>
  <c r="Z183" i="3"/>
  <c r="CI183" i="3" s="1"/>
  <c r="P183" i="3"/>
  <c r="BY183" i="3" s="1"/>
  <c r="F183" i="3"/>
  <c r="BO183" i="3" s="1"/>
  <c r="BC183" i="3"/>
  <c r="DL183" i="3" s="1"/>
  <c r="AS183" i="3"/>
  <c r="DB183" i="3" s="1"/>
  <c r="AI183" i="3"/>
  <c r="CR183" i="3" s="1"/>
  <c r="Y183" i="3"/>
  <c r="CH183" i="3" s="1"/>
  <c r="O183" i="3"/>
  <c r="BX183" i="3" s="1"/>
  <c r="E183" i="3"/>
  <c r="BN183" i="3" s="1"/>
  <c r="BF183" i="3"/>
  <c r="DO183" i="3" s="1"/>
  <c r="AV183" i="3"/>
  <c r="DE183" i="3" s="1"/>
  <c r="AL183" i="3"/>
  <c r="CU183" i="3" s="1"/>
  <c r="AB183" i="3"/>
  <c r="CK183" i="3" s="1"/>
  <c r="R183" i="3"/>
  <c r="CA183" i="3" s="1"/>
  <c r="H183" i="3"/>
  <c r="BQ183" i="3" s="1"/>
  <c r="BA183" i="3"/>
  <c r="DJ183" i="3" s="1"/>
  <c r="AN183" i="3"/>
  <c r="CW183" i="3" s="1"/>
  <c r="X183" i="3"/>
  <c r="CG183" i="3" s="1"/>
  <c r="K183" i="3"/>
  <c r="BT183" i="3" s="1"/>
  <c r="BB183" i="3"/>
  <c r="DK183" i="3" s="1"/>
  <c r="AO183" i="3"/>
  <c r="CX183" i="3" s="1"/>
  <c r="AA183" i="3"/>
  <c r="CJ183" i="3" s="1"/>
  <c r="L183" i="3"/>
  <c r="BU183" i="3" s="1"/>
  <c r="BG183" i="3"/>
  <c r="DP183" i="3" s="1"/>
  <c r="AM183" i="3"/>
  <c r="CV183" i="3" s="1"/>
  <c r="U183" i="3"/>
  <c r="CD183" i="3" s="1"/>
  <c r="BE183" i="3"/>
  <c r="DN183" i="3" s="1"/>
  <c r="AK183" i="3"/>
  <c r="CT183" i="3" s="1"/>
  <c r="T183" i="3"/>
  <c r="CC183" i="3" s="1"/>
  <c r="AZ183" i="3"/>
  <c r="DI183" i="3" s="1"/>
  <c r="AH183" i="3"/>
  <c r="CQ183" i="3" s="1"/>
  <c r="S183" i="3"/>
  <c r="CB183" i="3" s="1"/>
  <c r="AY183" i="3"/>
  <c r="DH183" i="3" s="1"/>
  <c r="AG183" i="3"/>
  <c r="CP183" i="3" s="1"/>
  <c r="Q183" i="3"/>
  <c r="BZ183" i="3" s="1"/>
  <c r="AX183" i="3"/>
  <c r="DG183" i="3" s="1"/>
  <c r="AF183" i="3"/>
  <c r="CO183" i="3" s="1"/>
  <c r="N183" i="3"/>
  <c r="BW183" i="3" s="1"/>
  <c r="BI183" i="3"/>
  <c r="DR183" i="3" s="1"/>
  <c r="AQ183" i="3"/>
  <c r="CZ183" i="3" s="1"/>
  <c r="W183" i="3"/>
  <c r="CF183" i="3" s="1"/>
  <c r="G183" i="3"/>
  <c r="BP183" i="3" s="1"/>
  <c r="BL183" i="3"/>
  <c r="DU183" i="3" s="1"/>
  <c r="AC183" i="3"/>
  <c r="CL183" i="3" s="1"/>
  <c r="BK183" i="3"/>
  <c r="DT183" i="3" s="1"/>
  <c r="V183" i="3"/>
  <c r="CE183" i="3" s="1"/>
  <c r="BJ183" i="3"/>
  <c r="DS183" i="3" s="1"/>
  <c r="M183" i="3"/>
  <c r="BV183" i="3" s="1"/>
  <c r="BH183" i="3"/>
  <c r="DQ183" i="3" s="1"/>
  <c r="J183" i="3"/>
  <c r="BS183" i="3" s="1"/>
  <c r="AW183" i="3"/>
  <c r="DF183" i="3" s="1"/>
  <c r="I183" i="3"/>
  <c r="BR183" i="3" s="1"/>
  <c r="AU183" i="3"/>
  <c r="DD183" i="3" s="1"/>
  <c r="AR183" i="3"/>
  <c r="DA183" i="3" s="1"/>
  <c r="AE183" i="3"/>
  <c r="CN183" i="3" s="1"/>
  <c r="AD183" i="3"/>
  <c r="CM183" i="3" s="1"/>
  <c r="AP183" i="3"/>
  <c r="CY183" i="3" s="1"/>
  <c r="BL206" i="3"/>
  <c r="DU206" i="3" s="1"/>
  <c r="BB206" i="3"/>
  <c r="DK206" i="3" s="1"/>
  <c r="AR206" i="3"/>
  <c r="DA206" i="3" s="1"/>
  <c r="AH206" i="3"/>
  <c r="CQ206" i="3" s="1"/>
  <c r="X206" i="3"/>
  <c r="CG206" i="3" s="1"/>
  <c r="N206" i="3"/>
  <c r="BW206" i="3" s="1"/>
  <c r="BK206" i="3"/>
  <c r="DT206" i="3" s="1"/>
  <c r="BA206" i="3"/>
  <c r="DJ206" i="3" s="1"/>
  <c r="AQ206" i="3"/>
  <c r="CZ206" i="3" s="1"/>
  <c r="AG206" i="3"/>
  <c r="CP206" i="3" s="1"/>
  <c r="W206" i="3"/>
  <c r="CF206" i="3" s="1"/>
  <c r="M206" i="3"/>
  <c r="BV206" i="3" s="1"/>
  <c r="BD206" i="3"/>
  <c r="DM206" i="3" s="1"/>
  <c r="AT206" i="3"/>
  <c r="DC206" i="3" s="1"/>
  <c r="AJ206" i="3"/>
  <c r="CS206" i="3" s="1"/>
  <c r="Z206" i="3"/>
  <c r="CI206" i="3" s="1"/>
  <c r="P206" i="3"/>
  <c r="BY206" i="3" s="1"/>
  <c r="F206" i="3"/>
  <c r="BO206" i="3" s="1"/>
  <c r="BF206" i="3"/>
  <c r="DO206" i="3" s="1"/>
  <c r="AP206" i="3"/>
  <c r="CY206" i="3" s="1"/>
  <c r="AC206" i="3"/>
  <c r="CL206" i="3" s="1"/>
  <c r="O206" i="3"/>
  <c r="BX206" i="3" s="1"/>
  <c r="BE206" i="3"/>
  <c r="DN206" i="3" s="1"/>
  <c r="AO206" i="3"/>
  <c r="CX206" i="3" s="1"/>
  <c r="AB206" i="3"/>
  <c r="CK206" i="3" s="1"/>
  <c r="L206" i="3"/>
  <c r="BU206" i="3" s="1"/>
  <c r="BH206" i="3"/>
  <c r="DQ206" i="3" s="1"/>
  <c r="AU206" i="3"/>
  <c r="DD206" i="3" s="1"/>
  <c r="AE206" i="3"/>
  <c r="CN206" i="3" s="1"/>
  <c r="R206" i="3"/>
  <c r="CA206" i="3" s="1"/>
  <c r="BG206" i="3"/>
  <c r="DP206" i="3" s="1"/>
  <c r="AL206" i="3"/>
  <c r="CU206" i="3" s="1"/>
  <c r="S206" i="3"/>
  <c r="CB206" i="3" s="1"/>
  <c r="BC206" i="3"/>
  <c r="DL206" i="3" s="1"/>
  <c r="AK206" i="3"/>
  <c r="CT206" i="3" s="1"/>
  <c r="Q206" i="3"/>
  <c r="BZ206" i="3" s="1"/>
  <c r="AZ206" i="3"/>
  <c r="DI206" i="3" s="1"/>
  <c r="AI206" i="3"/>
  <c r="CR206" i="3" s="1"/>
  <c r="K206" i="3"/>
  <c r="BT206" i="3" s="1"/>
  <c r="AY206" i="3"/>
  <c r="DH206" i="3" s="1"/>
  <c r="AF206" i="3"/>
  <c r="CO206" i="3" s="1"/>
  <c r="J206" i="3"/>
  <c r="BS206" i="3" s="1"/>
  <c r="AX206" i="3"/>
  <c r="DG206" i="3" s="1"/>
  <c r="AD206" i="3"/>
  <c r="CM206" i="3" s="1"/>
  <c r="I206" i="3"/>
  <c r="BR206" i="3" s="1"/>
  <c r="AW206" i="3"/>
  <c r="DF206" i="3" s="1"/>
  <c r="AA206" i="3"/>
  <c r="CJ206" i="3" s="1"/>
  <c r="H206" i="3"/>
  <c r="BQ206" i="3" s="1"/>
  <c r="BI206" i="3"/>
  <c r="DR206" i="3" s="1"/>
  <c r="AM206" i="3"/>
  <c r="CV206" i="3" s="1"/>
  <c r="T206" i="3"/>
  <c r="CC206" i="3" s="1"/>
  <c r="U206" i="3"/>
  <c r="CD206" i="3" s="1"/>
  <c r="G206" i="3"/>
  <c r="BP206" i="3" s="1"/>
  <c r="E206" i="3"/>
  <c r="BN206" i="3" s="1"/>
  <c r="BJ206" i="3"/>
  <c r="DS206" i="3" s="1"/>
  <c r="AV206" i="3"/>
  <c r="DE206" i="3" s="1"/>
  <c r="AS206" i="3"/>
  <c r="DB206" i="3" s="1"/>
  <c r="AN206" i="3"/>
  <c r="CW206" i="3" s="1"/>
  <c r="Y206" i="3"/>
  <c r="CH206" i="3" s="1"/>
  <c r="V206" i="3"/>
  <c r="CE206" i="3" s="1"/>
  <c r="N257" i="2"/>
  <c r="O257" i="2"/>
  <c r="N271" i="2"/>
  <c r="O271" i="2"/>
  <c r="N291" i="2"/>
  <c r="O291" i="2"/>
  <c r="N311" i="2"/>
  <c r="O311" i="2"/>
  <c r="N331" i="2"/>
  <c r="O331" i="2"/>
  <c r="N351" i="2"/>
  <c r="O351" i="2"/>
  <c r="BI221" i="3"/>
  <c r="DR221" i="3" s="1"/>
  <c r="AY221" i="3"/>
  <c r="DH221" i="3" s="1"/>
  <c r="AO221" i="3"/>
  <c r="CX221" i="3" s="1"/>
  <c r="AE221" i="3"/>
  <c r="CN221" i="3" s="1"/>
  <c r="U221" i="3"/>
  <c r="CD221" i="3" s="1"/>
  <c r="K221" i="3"/>
  <c r="BT221" i="3" s="1"/>
  <c r="BH221" i="3"/>
  <c r="DQ221" i="3" s="1"/>
  <c r="AX221" i="3"/>
  <c r="DG221" i="3" s="1"/>
  <c r="AN221" i="3"/>
  <c r="CW221" i="3" s="1"/>
  <c r="AD221" i="3"/>
  <c r="CM221" i="3" s="1"/>
  <c r="T221" i="3"/>
  <c r="CC221" i="3" s="1"/>
  <c r="J221" i="3"/>
  <c r="BS221" i="3" s="1"/>
  <c r="BF221" i="3"/>
  <c r="DO221" i="3" s="1"/>
  <c r="AT221" i="3"/>
  <c r="DC221" i="3" s="1"/>
  <c r="AH221" i="3"/>
  <c r="CQ221" i="3" s="1"/>
  <c r="V221" i="3"/>
  <c r="CE221" i="3" s="1"/>
  <c r="H221" i="3"/>
  <c r="BQ221" i="3" s="1"/>
  <c r="BE221" i="3"/>
  <c r="DN221" i="3" s="1"/>
  <c r="AS221" i="3"/>
  <c r="DB221" i="3" s="1"/>
  <c r="AG221" i="3"/>
  <c r="CP221" i="3" s="1"/>
  <c r="S221" i="3"/>
  <c r="CB221" i="3" s="1"/>
  <c r="G221" i="3"/>
  <c r="BP221" i="3" s="1"/>
  <c r="BJ221" i="3"/>
  <c r="DS221" i="3" s="1"/>
  <c r="AV221" i="3"/>
  <c r="DE221" i="3" s="1"/>
  <c r="AJ221" i="3"/>
  <c r="CS221" i="3" s="1"/>
  <c r="X221" i="3"/>
  <c r="CG221" i="3" s="1"/>
  <c r="L221" i="3"/>
  <c r="BU221" i="3" s="1"/>
  <c r="BB221" i="3"/>
  <c r="DK221" i="3" s="1"/>
  <c r="AK221" i="3"/>
  <c r="CT221" i="3" s="1"/>
  <c r="Q221" i="3"/>
  <c r="BZ221" i="3" s="1"/>
  <c r="BL221" i="3"/>
  <c r="DU221" i="3" s="1"/>
  <c r="AQ221" i="3"/>
  <c r="CZ221" i="3" s="1"/>
  <c r="Y221" i="3"/>
  <c r="CH221" i="3" s="1"/>
  <c r="BK221" i="3"/>
  <c r="DT221" i="3" s="1"/>
  <c r="AP221" i="3"/>
  <c r="CY221" i="3" s="1"/>
  <c r="W221" i="3"/>
  <c r="CF221" i="3" s="1"/>
  <c r="BG221" i="3"/>
  <c r="DP221" i="3" s="1"/>
  <c r="AM221" i="3"/>
  <c r="CV221" i="3" s="1"/>
  <c r="R221" i="3"/>
  <c r="CA221" i="3" s="1"/>
  <c r="BD221" i="3"/>
  <c r="DM221" i="3" s="1"/>
  <c r="AL221" i="3"/>
  <c r="CU221" i="3" s="1"/>
  <c r="P221" i="3"/>
  <c r="BY221" i="3" s="1"/>
  <c r="BC221" i="3"/>
  <c r="DL221" i="3" s="1"/>
  <c r="AI221" i="3"/>
  <c r="CR221" i="3" s="1"/>
  <c r="O221" i="3"/>
  <c r="BX221" i="3" s="1"/>
  <c r="BA221" i="3"/>
  <c r="DJ221" i="3" s="1"/>
  <c r="AF221" i="3"/>
  <c r="CO221" i="3" s="1"/>
  <c r="N221" i="3"/>
  <c r="BW221" i="3" s="1"/>
  <c r="AZ221" i="3"/>
  <c r="DI221" i="3" s="1"/>
  <c r="AC221" i="3"/>
  <c r="CL221" i="3" s="1"/>
  <c r="M221" i="3"/>
  <c r="BV221" i="3" s="1"/>
  <c r="AW221" i="3"/>
  <c r="DF221" i="3" s="1"/>
  <c r="AB221" i="3"/>
  <c r="CK221" i="3" s="1"/>
  <c r="I221" i="3"/>
  <c r="BR221" i="3" s="1"/>
  <c r="AU221" i="3"/>
  <c r="DD221" i="3" s="1"/>
  <c r="AA221" i="3"/>
  <c r="CJ221" i="3" s="1"/>
  <c r="F221" i="3"/>
  <c r="BO221" i="3" s="1"/>
  <c r="AR221" i="3"/>
  <c r="DA221" i="3" s="1"/>
  <c r="Z221" i="3"/>
  <c r="CI221" i="3" s="1"/>
  <c r="E221" i="3"/>
  <c r="BN221" i="3" s="1"/>
  <c r="N243" i="2"/>
  <c r="O243" i="2"/>
  <c r="N263" i="2"/>
  <c r="O263" i="2"/>
  <c r="N283" i="2"/>
  <c r="O283" i="2"/>
  <c r="N303" i="2"/>
  <c r="O303" i="2"/>
  <c r="N323" i="2"/>
  <c r="O323" i="2"/>
  <c r="N343" i="2"/>
  <c r="O343" i="2"/>
  <c r="BJ242" i="3"/>
  <c r="DS242" i="3" s="1"/>
  <c r="AZ242" i="3"/>
  <c r="DI242" i="3" s="1"/>
  <c r="AP242" i="3"/>
  <c r="CY242" i="3" s="1"/>
  <c r="AF242" i="3"/>
  <c r="CO242" i="3" s="1"/>
  <c r="V242" i="3"/>
  <c r="CE242" i="3" s="1"/>
  <c r="L242" i="3"/>
  <c r="BU242" i="3" s="1"/>
  <c r="BI242" i="3"/>
  <c r="DR242" i="3" s="1"/>
  <c r="AY242" i="3"/>
  <c r="DH242" i="3" s="1"/>
  <c r="AO242" i="3"/>
  <c r="CX242" i="3" s="1"/>
  <c r="AE242" i="3"/>
  <c r="CN242" i="3" s="1"/>
  <c r="U242" i="3"/>
  <c r="CD242" i="3" s="1"/>
  <c r="K242" i="3"/>
  <c r="BT242" i="3" s="1"/>
  <c r="BB242" i="3"/>
  <c r="DK242" i="3" s="1"/>
  <c r="AN242" i="3"/>
  <c r="CW242" i="3" s="1"/>
  <c r="AB242" i="3"/>
  <c r="CK242" i="3" s="1"/>
  <c r="P242" i="3"/>
  <c r="BY242" i="3" s="1"/>
  <c r="BH242" i="3"/>
  <c r="DQ242" i="3" s="1"/>
  <c r="AU242" i="3"/>
  <c r="DD242" i="3" s="1"/>
  <c r="AH242" i="3"/>
  <c r="CQ242" i="3" s="1"/>
  <c r="S242" i="3"/>
  <c r="CB242" i="3" s="1"/>
  <c r="F242" i="3"/>
  <c r="BO242" i="3" s="1"/>
  <c r="BG242" i="3"/>
  <c r="DP242" i="3" s="1"/>
  <c r="AT242" i="3"/>
  <c r="DC242" i="3" s="1"/>
  <c r="AG242" i="3"/>
  <c r="CP242" i="3" s="1"/>
  <c r="R242" i="3"/>
  <c r="CA242" i="3" s="1"/>
  <c r="E242" i="3"/>
  <c r="BN242" i="3" s="1"/>
  <c r="BL242" i="3"/>
  <c r="DU242" i="3" s="1"/>
  <c r="AW242" i="3"/>
  <c r="DF242" i="3" s="1"/>
  <c r="AJ242" i="3"/>
  <c r="CS242" i="3" s="1"/>
  <c r="W242" i="3"/>
  <c r="CF242" i="3" s="1"/>
  <c r="H242" i="3"/>
  <c r="BQ242" i="3" s="1"/>
  <c r="BA242" i="3"/>
  <c r="DJ242" i="3" s="1"/>
  <c r="AD242" i="3"/>
  <c r="CM242" i="3" s="1"/>
  <c r="M242" i="3"/>
  <c r="BV242" i="3" s="1"/>
  <c r="AX242" i="3"/>
  <c r="DG242" i="3" s="1"/>
  <c r="AC242" i="3"/>
  <c r="CL242" i="3" s="1"/>
  <c r="J242" i="3"/>
  <c r="BS242" i="3" s="1"/>
  <c r="BD242" i="3"/>
  <c r="DM242" i="3" s="1"/>
  <c r="AK242" i="3"/>
  <c r="CT242" i="3" s="1"/>
  <c r="O242" i="3"/>
  <c r="BX242" i="3" s="1"/>
  <c r="BK242" i="3"/>
  <c r="DT242" i="3" s="1"/>
  <c r="AI242" i="3"/>
  <c r="CR242" i="3" s="1"/>
  <c r="BF242" i="3"/>
  <c r="DO242" i="3" s="1"/>
  <c r="AA242" i="3"/>
  <c r="CJ242" i="3" s="1"/>
  <c r="BE242" i="3"/>
  <c r="DN242" i="3" s="1"/>
  <c r="Z242" i="3"/>
  <c r="CI242" i="3" s="1"/>
  <c r="AQ242" i="3"/>
  <c r="CZ242" i="3" s="1"/>
  <c r="AM242" i="3"/>
  <c r="CV242" i="3" s="1"/>
  <c r="AL242" i="3"/>
  <c r="CU242" i="3" s="1"/>
  <c r="Y242" i="3"/>
  <c r="CH242" i="3" s="1"/>
  <c r="X242" i="3"/>
  <c r="CG242" i="3" s="1"/>
  <c r="T242" i="3"/>
  <c r="CC242" i="3" s="1"/>
  <c r="BC242" i="3"/>
  <c r="DL242" i="3" s="1"/>
  <c r="Q242" i="3"/>
  <c r="BZ242" i="3" s="1"/>
  <c r="AV242" i="3"/>
  <c r="DE242" i="3" s="1"/>
  <c r="N242" i="3"/>
  <c r="BW242" i="3" s="1"/>
  <c r="AS242" i="3"/>
  <c r="DB242" i="3" s="1"/>
  <c r="I242" i="3"/>
  <c r="BR242" i="3" s="1"/>
  <c r="AR242" i="3"/>
  <c r="DA242" i="3" s="1"/>
  <c r="G242" i="3"/>
  <c r="BP242" i="3" s="1"/>
  <c r="BH292" i="3"/>
  <c r="DQ292" i="3" s="1"/>
  <c r="AX292" i="3"/>
  <c r="DG292" i="3" s="1"/>
  <c r="AN292" i="3"/>
  <c r="CW292" i="3" s="1"/>
  <c r="AD292" i="3"/>
  <c r="CM292" i="3" s="1"/>
  <c r="T292" i="3"/>
  <c r="CC292" i="3" s="1"/>
  <c r="J292" i="3"/>
  <c r="BS292" i="3" s="1"/>
  <c r="BL292" i="3"/>
  <c r="DU292" i="3" s="1"/>
  <c r="BA292" i="3"/>
  <c r="DJ292" i="3" s="1"/>
  <c r="AP292" i="3"/>
  <c r="CY292" i="3" s="1"/>
  <c r="AE292" i="3"/>
  <c r="CN292" i="3" s="1"/>
  <c r="S292" i="3"/>
  <c r="CB292" i="3" s="1"/>
  <c r="H292" i="3"/>
  <c r="BQ292" i="3" s="1"/>
  <c r="BK292" i="3"/>
  <c r="DT292" i="3" s="1"/>
  <c r="AZ292" i="3"/>
  <c r="DI292" i="3" s="1"/>
  <c r="AO292" i="3"/>
  <c r="CX292" i="3" s="1"/>
  <c r="AC292" i="3"/>
  <c r="CL292" i="3" s="1"/>
  <c r="R292" i="3"/>
  <c r="CA292" i="3" s="1"/>
  <c r="G292" i="3"/>
  <c r="BP292" i="3" s="1"/>
  <c r="BC292" i="3"/>
  <c r="DL292" i="3" s="1"/>
  <c r="AM292" i="3"/>
  <c r="CV292" i="3" s="1"/>
  <c r="Z292" i="3"/>
  <c r="CI292" i="3" s="1"/>
  <c r="M292" i="3"/>
  <c r="BV292" i="3" s="1"/>
  <c r="BB292" i="3"/>
  <c r="DK292" i="3" s="1"/>
  <c r="AL292" i="3"/>
  <c r="CU292" i="3" s="1"/>
  <c r="Y292" i="3"/>
  <c r="CH292" i="3" s="1"/>
  <c r="L292" i="3"/>
  <c r="BU292" i="3" s="1"/>
  <c r="AY292" i="3"/>
  <c r="DH292" i="3" s="1"/>
  <c r="AK292" i="3"/>
  <c r="CT292" i="3" s="1"/>
  <c r="X292" i="3"/>
  <c r="CG292" i="3" s="1"/>
  <c r="K292" i="3"/>
  <c r="BT292" i="3" s="1"/>
  <c r="BE292" i="3"/>
  <c r="DN292" i="3" s="1"/>
  <c r="AR292" i="3"/>
  <c r="DA292" i="3" s="1"/>
  <c r="AB292" i="3"/>
  <c r="CK292" i="3" s="1"/>
  <c r="O292" i="3"/>
  <c r="BX292" i="3" s="1"/>
  <c r="BI292" i="3"/>
  <c r="DR292" i="3" s="1"/>
  <c r="AJ292" i="3"/>
  <c r="CS292" i="3" s="1"/>
  <c r="P292" i="3"/>
  <c r="BY292" i="3" s="1"/>
  <c r="AT292" i="3"/>
  <c r="DC292" i="3" s="1"/>
  <c r="V292" i="3"/>
  <c r="CE292" i="3" s="1"/>
  <c r="AS292" i="3"/>
  <c r="DB292" i="3" s="1"/>
  <c r="U292" i="3"/>
  <c r="CD292" i="3" s="1"/>
  <c r="AU292" i="3"/>
  <c r="DD292" i="3" s="1"/>
  <c r="I292" i="3"/>
  <c r="BR292" i="3" s="1"/>
  <c r="AQ292" i="3"/>
  <c r="CZ292" i="3" s="1"/>
  <c r="F292" i="3"/>
  <c r="BO292" i="3" s="1"/>
  <c r="AI292" i="3"/>
  <c r="CR292" i="3" s="1"/>
  <c r="E292" i="3"/>
  <c r="BN292" i="3" s="1"/>
  <c r="AH292" i="3"/>
  <c r="CQ292" i="3" s="1"/>
  <c r="BJ292" i="3"/>
  <c r="DS292" i="3" s="1"/>
  <c r="AG292" i="3"/>
  <c r="CP292" i="3" s="1"/>
  <c r="BG292" i="3"/>
  <c r="DP292" i="3" s="1"/>
  <c r="AF292" i="3"/>
  <c r="CO292" i="3" s="1"/>
  <c r="BF292" i="3"/>
  <c r="DO292" i="3" s="1"/>
  <c r="AA292" i="3"/>
  <c r="CJ292" i="3" s="1"/>
  <c r="BD292" i="3"/>
  <c r="DM292" i="3" s="1"/>
  <c r="W292" i="3"/>
  <c r="CF292" i="3" s="1"/>
  <c r="AW292" i="3"/>
  <c r="DF292" i="3" s="1"/>
  <c r="Q292" i="3"/>
  <c r="BZ292" i="3" s="1"/>
  <c r="AV292" i="3"/>
  <c r="DE292" i="3" s="1"/>
  <c r="N292" i="3"/>
  <c r="BW292" i="3" s="1"/>
  <c r="BF342" i="3"/>
  <c r="DO342" i="3" s="1"/>
  <c r="AV342" i="3"/>
  <c r="DE342" i="3" s="1"/>
  <c r="AL342" i="3"/>
  <c r="CU342" i="3" s="1"/>
  <c r="AB342" i="3"/>
  <c r="CK342" i="3" s="1"/>
  <c r="R342" i="3"/>
  <c r="CA342" i="3" s="1"/>
  <c r="H342" i="3"/>
  <c r="BQ342" i="3" s="1"/>
  <c r="BE342" i="3"/>
  <c r="DN342" i="3" s="1"/>
  <c r="AU342" i="3"/>
  <c r="DD342" i="3" s="1"/>
  <c r="AK342" i="3"/>
  <c r="CT342" i="3" s="1"/>
  <c r="AA342" i="3"/>
  <c r="CJ342" i="3" s="1"/>
  <c r="Q342" i="3"/>
  <c r="BZ342" i="3" s="1"/>
  <c r="G342" i="3"/>
  <c r="BP342" i="3" s="1"/>
  <c r="BH342" i="3"/>
  <c r="DQ342" i="3" s="1"/>
  <c r="AX342" i="3"/>
  <c r="DG342" i="3" s="1"/>
  <c r="AN342" i="3"/>
  <c r="CW342" i="3" s="1"/>
  <c r="AD342" i="3"/>
  <c r="CM342" i="3" s="1"/>
  <c r="T342" i="3"/>
  <c r="CC342" i="3" s="1"/>
  <c r="J342" i="3"/>
  <c r="BS342" i="3" s="1"/>
  <c r="BK342" i="3"/>
  <c r="DT342" i="3" s="1"/>
  <c r="AW342" i="3"/>
  <c r="DF342" i="3" s="1"/>
  <c r="AH342" i="3"/>
  <c r="CQ342" i="3" s="1"/>
  <c r="U342" i="3"/>
  <c r="CD342" i="3" s="1"/>
  <c r="E342" i="3"/>
  <c r="BN342" i="3" s="1"/>
  <c r="BJ342" i="3"/>
  <c r="DS342" i="3" s="1"/>
  <c r="AT342" i="3"/>
  <c r="DC342" i="3" s="1"/>
  <c r="AG342" i="3"/>
  <c r="CP342" i="3" s="1"/>
  <c r="S342" i="3"/>
  <c r="CB342" i="3" s="1"/>
  <c r="AZ342" i="3"/>
  <c r="DI342" i="3" s="1"/>
  <c r="AJ342" i="3"/>
  <c r="CS342" i="3" s="1"/>
  <c r="W342" i="3"/>
  <c r="CF342" i="3" s="1"/>
  <c r="I342" i="3"/>
  <c r="BR342" i="3" s="1"/>
  <c r="BL342" i="3"/>
  <c r="DU342" i="3" s="1"/>
  <c r="AQ342" i="3"/>
  <c r="CZ342" i="3" s="1"/>
  <c r="X342" i="3"/>
  <c r="CG342" i="3" s="1"/>
  <c r="AY342" i="3"/>
  <c r="DH342" i="3" s="1"/>
  <c r="AC342" i="3"/>
  <c r="CL342" i="3" s="1"/>
  <c r="K342" i="3"/>
  <c r="BT342" i="3" s="1"/>
  <c r="AS342" i="3"/>
  <c r="DB342" i="3" s="1"/>
  <c r="Z342" i="3"/>
  <c r="CI342" i="3" s="1"/>
  <c r="F342" i="3"/>
  <c r="BO342" i="3" s="1"/>
  <c r="AO342" i="3"/>
  <c r="CX342" i="3" s="1"/>
  <c r="M342" i="3"/>
  <c r="BV342" i="3" s="1"/>
  <c r="AM342" i="3"/>
  <c r="CV342" i="3" s="1"/>
  <c r="L342" i="3"/>
  <c r="BU342" i="3" s="1"/>
  <c r="AR342" i="3"/>
  <c r="DA342" i="3" s="1"/>
  <c r="O342" i="3"/>
  <c r="BX342" i="3" s="1"/>
  <c r="AP342" i="3"/>
  <c r="CY342" i="3" s="1"/>
  <c r="AI342" i="3"/>
  <c r="CR342" i="3" s="1"/>
  <c r="AF342" i="3"/>
  <c r="CO342" i="3" s="1"/>
  <c r="AE342" i="3"/>
  <c r="CN342" i="3" s="1"/>
  <c r="BI342" i="3"/>
  <c r="DR342" i="3" s="1"/>
  <c r="Y342" i="3"/>
  <c r="CH342" i="3" s="1"/>
  <c r="BG342" i="3"/>
  <c r="DP342" i="3" s="1"/>
  <c r="V342" i="3"/>
  <c r="CE342" i="3" s="1"/>
  <c r="BD342" i="3"/>
  <c r="DM342" i="3" s="1"/>
  <c r="P342" i="3"/>
  <c r="BY342" i="3" s="1"/>
  <c r="BC342" i="3"/>
  <c r="DL342" i="3" s="1"/>
  <c r="N342" i="3"/>
  <c r="BW342" i="3" s="1"/>
  <c r="BB342" i="3"/>
  <c r="DK342" i="3" s="1"/>
  <c r="BA342" i="3"/>
  <c r="DJ342" i="3" s="1"/>
  <c r="J210" i="2"/>
  <c r="K210" i="2" s="1"/>
  <c r="L210" i="2" s="1"/>
  <c r="BK233" i="3"/>
  <c r="DT233" i="3" s="1"/>
  <c r="BA233" i="3"/>
  <c r="DJ233" i="3" s="1"/>
  <c r="AQ233" i="3"/>
  <c r="CZ233" i="3" s="1"/>
  <c r="AG233" i="3"/>
  <c r="CP233" i="3" s="1"/>
  <c r="W233" i="3"/>
  <c r="CF233" i="3" s="1"/>
  <c r="M233" i="3"/>
  <c r="BV233" i="3" s="1"/>
  <c r="BJ233" i="3"/>
  <c r="DS233" i="3" s="1"/>
  <c r="AZ233" i="3"/>
  <c r="DI233" i="3" s="1"/>
  <c r="AP233" i="3"/>
  <c r="CY233" i="3" s="1"/>
  <c r="AF233" i="3"/>
  <c r="CO233" i="3" s="1"/>
  <c r="V233" i="3"/>
  <c r="CE233" i="3" s="1"/>
  <c r="L233" i="3"/>
  <c r="BU233" i="3" s="1"/>
  <c r="BC233" i="3"/>
  <c r="DL233" i="3" s="1"/>
  <c r="AS233" i="3"/>
  <c r="DB233" i="3" s="1"/>
  <c r="AI233" i="3"/>
  <c r="CR233" i="3" s="1"/>
  <c r="Y233" i="3"/>
  <c r="CH233" i="3" s="1"/>
  <c r="O233" i="3"/>
  <c r="BX233" i="3" s="1"/>
  <c r="E233" i="3"/>
  <c r="BN233" i="3" s="1"/>
  <c r="AY233" i="3"/>
  <c r="DH233" i="3" s="1"/>
  <c r="AL233" i="3"/>
  <c r="CU233" i="3" s="1"/>
  <c r="X233" i="3"/>
  <c r="CG233" i="3" s="1"/>
  <c r="I233" i="3"/>
  <c r="BR233" i="3" s="1"/>
  <c r="AX233" i="3"/>
  <c r="DG233" i="3" s="1"/>
  <c r="AK233" i="3"/>
  <c r="CT233" i="3" s="1"/>
  <c r="U233" i="3"/>
  <c r="CD233" i="3" s="1"/>
  <c r="H233" i="3"/>
  <c r="BQ233" i="3" s="1"/>
  <c r="BD233" i="3"/>
  <c r="DM233" i="3" s="1"/>
  <c r="AN233" i="3"/>
  <c r="CW233" i="3" s="1"/>
  <c r="AA233" i="3"/>
  <c r="CJ233" i="3" s="1"/>
  <c r="K233" i="3"/>
  <c r="BT233" i="3" s="1"/>
  <c r="BB233" i="3"/>
  <c r="DK233" i="3" s="1"/>
  <c r="AE233" i="3"/>
  <c r="CN233" i="3" s="1"/>
  <c r="N233" i="3"/>
  <c r="BW233" i="3" s="1"/>
  <c r="AW233" i="3"/>
  <c r="DF233" i="3" s="1"/>
  <c r="AD233" i="3"/>
  <c r="CM233" i="3" s="1"/>
  <c r="J233" i="3"/>
  <c r="BS233" i="3" s="1"/>
  <c r="AV233" i="3"/>
  <c r="DE233" i="3" s="1"/>
  <c r="AC233" i="3"/>
  <c r="CL233" i="3" s="1"/>
  <c r="G233" i="3"/>
  <c r="BP233" i="3" s="1"/>
  <c r="BL233" i="3"/>
  <c r="DU233" i="3" s="1"/>
  <c r="AM233" i="3"/>
  <c r="CV233" i="3" s="1"/>
  <c r="F233" i="3"/>
  <c r="BO233" i="3" s="1"/>
  <c r="BI233" i="3"/>
  <c r="DR233" i="3" s="1"/>
  <c r="AJ233" i="3"/>
  <c r="CS233" i="3" s="1"/>
  <c r="BH233" i="3"/>
  <c r="DQ233" i="3" s="1"/>
  <c r="AH233" i="3"/>
  <c r="CQ233" i="3" s="1"/>
  <c r="BG233" i="3"/>
  <c r="DP233" i="3" s="1"/>
  <c r="AB233" i="3"/>
  <c r="CK233" i="3" s="1"/>
  <c r="BF233" i="3"/>
  <c r="DO233" i="3" s="1"/>
  <c r="Z233" i="3"/>
  <c r="CI233" i="3" s="1"/>
  <c r="BE233" i="3"/>
  <c r="DN233" i="3" s="1"/>
  <c r="T233" i="3"/>
  <c r="CC233" i="3" s="1"/>
  <c r="AU233" i="3"/>
  <c r="DD233" i="3" s="1"/>
  <c r="S233" i="3"/>
  <c r="CB233" i="3" s="1"/>
  <c r="AT233" i="3"/>
  <c r="DC233" i="3" s="1"/>
  <c r="R233" i="3"/>
  <c r="CA233" i="3" s="1"/>
  <c r="AR233" i="3"/>
  <c r="DA233" i="3" s="1"/>
  <c r="Q233" i="3"/>
  <c r="BZ233" i="3" s="1"/>
  <c r="AO233" i="3"/>
  <c r="CX233" i="3" s="1"/>
  <c r="P233" i="3"/>
  <c r="BY233" i="3" s="1"/>
  <c r="BF253" i="3"/>
  <c r="DO253" i="3" s="1"/>
  <c r="AV253" i="3"/>
  <c r="DE253" i="3" s="1"/>
  <c r="AL253" i="3"/>
  <c r="CU253" i="3" s="1"/>
  <c r="AB253" i="3"/>
  <c r="CK253" i="3" s="1"/>
  <c r="R253" i="3"/>
  <c r="CA253" i="3" s="1"/>
  <c r="H253" i="3"/>
  <c r="BQ253" i="3" s="1"/>
  <c r="BE253" i="3"/>
  <c r="DN253" i="3" s="1"/>
  <c r="AU253" i="3"/>
  <c r="DD253" i="3" s="1"/>
  <c r="AK253" i="3"/>
  <c r="CT253" i="3" s="1"/>
  <c r="AA253" i="3"/>
  <c r="CJ253" i="3" s="1"/>
  <c r="Q253" i="3"/>
  <c r="BZ253" i="3" s="1"/>
  <c r="G253" i="3"/>
  <c r="BP253" i="3" s="1"/>
  <c r="BH253" i="3"/>
  <c r="DQ253" i="3" s="1"/>
  <c r="AX253" i="3"/>
  <c r="DG253" i="3" s="1"/>
  <c r="AN253" i="3"/>
  <c r="CW253" i="3" s="1"/>
  <c r="AD253" i="3"/>
  <c r="CM253" i="3" s="1"/>
  <c r="T253" i="3"/>
  <c r="CC253" i="3" s="1"/>
  <c r="J253" i="3"/>
  <c r="BS253" i="3" s="1"/>
  <c r="AZ253" i="3"/>
  <c r="DI253" i="3" s="1"/>
  <c r="AJ253" i="3"/>
  <c r="CS253" i="3" s="1"/>
  <c r="W253" i="3"/>
  <c r="CF253" i="3" s="1"/>
  <c r="I253" i="3"/>
  <c r="BR253" i="3" s="1"/>
  <c r="BK253" i="3"/>
  <c r="DT253" i="3" s="1"/>
  <c r="AW253" i="3"/>
  <c r="DF253" i="3" s="1"/>
  <c r="AH253" i="3"/>
  <c r="CQ253" i="3" s="1"/>
  <c r="U253" i="3"/>
  <c r="CD253" i="3" s="1"/>
  <c r="E253" i="3"/>
  <c r="BN253" i="3" s="1"/>
  <c r="BA253" i="3"/>
  <c r="DJ253" i="3" s="1"/>
  <c r="AM253" i="3"/>
  <c r="CV253" i="3" s="1"/>
  <c r="X253" i="3"/>
  <c r="CG253" i="3" s="1"/>
  <c r="K253" i="3"/>
  <c r="BT253" i="3" s="1"/>
  <c r="BI253" i="3"/>
  <c r="DR253" i="3" s="1"/>
  <c r="AP253" i="3"/>
  <c r="CY253" i="3" s="1"/>
  <c r="S253" i="3"/>
  <c r="CB253" i="3" s="1"/>
  <c r="BG253" i="3"/>
  <c r="DP253" i="3" s="1"/>
  <c r="AO253" i="3"/>
  <c r="CX253" i="3" s="1"/>
  <c r="P253" i="3"/>
  <c r="BY253" i="3" s="1"/>
  <c r="BD253" i="3"/>
  <c r="DM253" i="3" s="1"/>
  <c r="AI253" i="3"/>
  <c r="CR253" i="3" s="1"/>
  <c r="O253" i="3"/>
  <c r="BX253" i="3" s="1"/>
  <c r="BC253" i="3"/>
  <c r="DL253" i="3" s="1"/>
  <c r="AG253" i="3"/>
  <c r="CP253" i="3" s="1"/>
  <c r="N253" i="3"/>
  <c r="BW253" i="3" s="1"/>
  <c r="BB253" i="3"/>
  <c r="DK253" i="3" s="1"/>
  <c r="AF253" i="3"/>
  <c r="CO253" i="3" s="1"/>
  <c r="M253" i="3"/>
  <c r="BV253" i="3" s="1"/>
  <c r="AY253" i="3"/>
  <c r="DH253" i="3" s="1"/>
  <c r="AE253" i="3"/>
  <c r="CN253" i="3" s="1"/>
  <c r="L253" i="3"/>
  <c r="BU253" i="3" s="1"/>
  <c r="BL253" i="3"/>
  <c r="DU253" i="3" s="1"/>
  <c r="AR253" i="3"/>
  <c r="DA253" i="3" s="1"/>
  <c r="Y253" i="3"/>
  <c r="CH253" i="3" s="1"/>
  <c r="V253" i="3"/>
  <c r="CE253" i="3" s="1"/>
  <c r="F253" i="3"/>
  <c r="BO253" i="3" s="1"/>
  <c r="AC253" i="3"/>
  <c r="CL253" i="3" s="1"/>
  <c r="BJ253" i="3"/>
  <c r="DS253" i="3" s="1"/>
  <c r="AQ253" i="3"/>
  <c r="CZ253" i="3" s="1"/>
  <c r="Z253" i="3"/>
  <c r="CI253" i="3" s="1"/>
  <c r="AT253" i="3"/>
  <c r="DC253" i="3" s="1"/>
  <c r="AS253" i="3"/>
  <c r="DB253" i="3" s="1"/>
  <c r="BG273" i="3"/>
  <c r="DP273" i="3" s="1"/>
  <c r="AW273" i="3"/>
  <c r="DF273" i="3" s="1"/>
  <c r="AM273" i="3"/>
  <c r="CV273" i="3" s="1"/>
  <c r="AC273" i="3"/>
  <c r="CL273" i="3" s="1"/>
  <c r="S273" i="3"/>
  <c r="CB273" i="3" s="1"/>
  <c r="I273" i="3"/>
  <c r="BR273" i="3" s="1"/>
  <c r="BF273" i="3"/>
  <c r="DO273" i="3" s="1"/>
  <c r="AV273" i="3"/>
  <c r="DE273" i="3" s="1"/>
  <c r="AL273" i="3"/>
  <c r="CU273" i="3" s="1"/>
  <c r="AB273" i="3"/>
  <c r="CK273" i="3" s="1"/>
  <c r="R273" i="3"/>
  <c r="CA273" i="3" s="1"/>
  <c r="H273" i="3"/>
  <c r="BQ273" i="3" s="1"/>
  <c r="BI273" i="3"/>
  <c r="DR273" i="3" s="1"/>
  <c r="AY273" i="3"/>
  <c r="DH273" i="3" s="1"/>
  <c r="AO273" i="3"/>
  <c r="CX273" i="3" s="1"/>
  <c r="AE273" i="3"/>
  <c r="CN273" i="3" s="1"/>
  <c r="U273" i="3"/>
  <c r="CD273" i="3" s="1"/>
  <c r="K273" i="3"/>
  <c r="BT273" i="3" s="1"/>
  <c r="AZ273" i="3"/>
  <c r="DI273" i="3" s="1"/>
  <c r="AJ273" i="3"/>
  <c r="CS273" i="3" s="1"/>
  <c r="W273" i="3"/>
  <c r="CF273" i="3" s="1"/>
  <c r="G273" i="3"/>
  <c r="BP273" i="3" s="1"/>
  <c r="BA273" i="3"/>
  <c r="DJ273" i="3" s="1"/>
  <c r="AI273" i="3"/>
  <c r="CR273" i="3" s="1"/>
  <c r="T273" i="3"/>
  <c r="CC273" i="3" s="1"/>
  <c r="AX273" i="3"/>
  <c r="DG273" i="3" s="1"/>
  <c r="AH273" i="3"/>
  <c r="CQ273" i="3" s="1"/>
  <c r="Q273" i="3"/>
  <c r="BZ273" i="3" s="1"/>
  <c r="BL273" i="3"/>
  <c r="DU273" i="3" s="1"/>
  <c r="AU273" i="3"/>
  <c r="DD273" i="3" s="1"/>
  <c r="AG273" i="3"/>
  <c r="CP273" i="3" s="1"/>
  <c r="P273" i="3"/>
  <c r="BY273" i="3" s="1"/>
  <c r="BK273" i="3"/>
  <c r="DT273" i="3" s="1"/>
  <c r="AT273" i="3"/>
  <c r="DC273" i="3" s="1"/>
  <c r="AF273" i="3"/>
  <c r="CO273" i="3" s="1"/>
  <c r="BJ273" i="3"/>
  <c r="DS273" i="3" s="1"/>
  <c r="AS273" i="3"/>
  <c r="DB273" i="3" s="1"/>
  <c r="BC273" i="3"/>
  <c r="DL273" i="3" s="1"/>
  <c r="AN273" i="3"/>
  <c r="CW273" i="3" s="1"/>
  <c r="X273" i="3"/>
  <c r="CG273" i="3" s="1"/>
  <c r="F273" i="3"/>
  <c r="BO273" i="3" s="1"/>
  <c r="AA273" i="3"/>
  <c r="CJ273" i="3" s="1"/>
  <c r="BH273" i="3"/>
  <c r="DQ273" i="3" s="1"/>
  <c r="Z273" i="3"/>
  <c r="CI273" i="3" s="1"/>
  <c r="BE273" i="3"/>
  <c r="DN273" i="3" s="1"/>
  <c r="Y273" i="3"/>
  <c r="CH273" i="3" s="1"/>
  <c r="BD273" i="3"/>
  <c r="DM273" i="3" s="1"/>
  <c r="V273" i="3"/>
  <c r="CE273" i="3" s="1"/>
  <c r="AD273" i="3"/>
  <c r="CM273" i="3" s="1"/>
  <c r="E273" i="3"/>
  <c r="BN273" i="3" s="1"/>
  <c r="AP273" i="3"/>
  <c r="CY273" i="3" s="1"/>
  <c r="AK273" i="3"/>
  <c r="CT273" i="3" s="1"/>
  <c r="O273" i="3"/>
  <c r="BX273" i="3" s="1"/>
  <c r="N273" i="3"/>
  <c r="BW273" i="3" s="1"/>
  <c r="M273" i="3"/>
  <c r="BV273" i="3" s="1"/>
  <c r="L273" i="3"/>
  <c r="BU273" i="3" s="1"/>
  <c r="J273" i="3"/>
  <c r="BS273" i="3" s="1"/>
  <c r="BB273" i="3"/>
  <c r="DK273" i="3" s="1"/>
  <c r="AR273" i="3"/>
  <c r="DA273" i="3" s="1"/>
  <c r="AQ273" i="3"/>
  <c r="CZ273" i="3" s="1"/>
  <c r="BD293" i="3"/>
  <c r="DM293" i="3" s="1"/>
  <c r="AT293" i="3"/>
  <c r="DC293" i="3" s="1"/>
  <c r="AJ293" i="3"/>
  <c r="CS293" i="3" s="1"/>
  <c r="Z293" i="3"/>
  <c r="CI293" i="3" s="1"/>
  <c r="P293" i="3"/>
  <c r="BY293" i="3" s="1"/>
  <c r="F293" i="3"/>
  <c r="BO293" i="3" s="1"/>
  <c r="BJ293" i="3"/>
  <c r="DS293" i="3" s="1"/>
  <c r="AY293" i="3"/>
  <c r="DH293" i="3" s="1"/>
  <c r="AN293" i="3"/>
  <c r="CW293" i="3" s="1"/>
  <c r="AC293" i="3"/>
  <c r="CL293" i="3" s="1"/>
  <c r="R293" i="3"/>
  <c r="CA293" i="3" s="1"/>
  <c r="G293" i="3"/>
  <c r="BP293" i="3" s="1"/>
  <c r="BI293" i="3"/>
  <c r="DR293" i="3" s="1"/>
  <c r="AX293" i="3"/>
  <c r="DG293" i="3" s="1"/>
  <c r="AM293" i="3"/>
  <c r="CV293" i="3" s="1"/>
  <c r="AB293" i="3"/>
  <c r="CK293" i="3" s="1"/>
  <c r="Q293" i="3"/>
  <c r="BZ293" i="3" s="1"/>
  <c r="E293" i="3"/>
  <c r="BN293" i="3" s="1"/>
  <c r="BC293" i="3"/>
  <c r="DL293" i="3" s="1"/>
  <c r="AP293" i="3"/>
  <c r="CY293" i="3" s="1"/>
  <c r="AA293" i="3"/>
  <c r="CJ293" i="3" s="1"/>
  <c r="M293" i="3"/>
  <c r="BV293" i="3" s="1"/>
  <c r="BB293" i="3"/>
  <c r="DK293" i="3" s="1"/>
  <c r="AO293" i="3"/>
  <c r="CX293" i="3" s="1"/>
  <c r="Y293" i="3"/>
  <c r="CH293" i="3" s="1"/>
  <c r="L293" i="3"/>
  <c r="BU293" i="3" s="1"/>
  <c r="BA293" i="3"/>
  <c r="DJ293" i="3" s="1"/>
  <c r="AL293" i="3"/>
  <c r="CU293" i="3" s="1"/>
  <c r="X293" i="3"/>
  <c r="CG293" i="3" s="1"/>
  <c r="K293" i="3"/>
  <c r="BT293" i="3" s="1"/>
  <c r="BF293" i="3"/>
  <c r="DO293" i="3" s="1"/>
  <c r="AR293" i="3"/>
  <c r="DA293" i="3" s="1"/>
  <c r="AE293" i="3"/>
  <c r="CN293" i="3" s="1"/>
  <c r="O293" i="3"/>
  <c r="BX293" i="3" s="1"/>
  <c r="AZ293" i="3"/>
  <c r="DI293" i="3" s="1"/>
  <c r="AF293" i="3"/>
  <c r="CO293" i="3" s="1"/>
  <c r="H293" i="3"/>
  <c r="BQ293" i="3" s="1"/>
  <c r="BH293" i="3"/>
  <c r="DQ293" i="3" s="1"/>
  <c r="AI293" i="3"/>
  <c r="CR293" i="3" s="1"/>
  <c r="N293" i="3"/>
  <c r="BW293" i="3" s="1"/>
  <c r="BG293" i="3"/>
  <c r="DP293" i="3" s="1"/>
  <c r="AH293" i="3"/>
  <c r="CQ293" i="3" s="1"/>
  <c r="J293" i="3"/>
  <c r="BS293" i="3" s="1"/>
  <c r="AW293" i="3"/>
  <c r="DF293" i="3" s="1"/>
  <c r="U293" i="3"/>
  <c r="CD293" i="3" s="1"/>
  <c r="AV293" i="3"/>
  <c r="DE293" i="3" s="1"/>
  <c r="T293" i="3"/>
  <c r="CC293" i="3" s="1"/>
  <c r="AU293" i="3"/>
  <c r="DD293" i="3" s="1"/>
  <c r="S293" i="3"/>
  <c r="CB293" i="3" s="1"/>
  <c r="AS293" i="3"/>
  <c r="DB293" i="3" s="1"/>
  <c r="I293" i="3"/>
  <c r="BR293" i="3" s="1"/>
  <c r="AQ293" i="3"/>
  <c r="CZ293" i="3" s="1"/>
  <c r="AK293" i="3"/>
  <c r="CT293" i="3" s="1"/>
  <c r="AG293" i="3"/>
  <c r="CP293" i="3" s="1"/>
  <c r="BL293" i="3"/>
  <c r="DU293" i="3" s="1"/>
  <c r="AD293" i="3"/>
  <c r="CM293" i="3" s="1"/>
  <c r="BK293" i="3"/>
  <c r="DT293" i="3" s="1"/>
  <c r="W293" i="3"/>
  <c r="CF293" i="3" s="1"/>
  <c r="BE293" i="3"/>
  <c r="DN293" i="3" s="1"/>
  <c r="V293" i="3"/>
  <c r="CE293" i="3" s="1"/>
  <c r="BL313" i="3"/>
  <c r="DU313" i="3" s="1"/>
  <c r="BB313" i="3"/>
  <c r="DK313" i="3" s="1"/>
  <c r="AR313" i="3"/>
  <c r="DA313" i="3" s="1"/>
  <c r="AH313" i="3"/>
  <c r="CQ313" i="3" s="1"/>
  <c r="X313" i="3"/>
  <c r="CG313" i="3" s="1"/>
  <c r="N313" i="3"/>
  <c r="BW313" i="3" s="1"/>
  <c r="BE313" i="3"/>
  <c r="DN313" i="3" s="1"/>
  <c r="AT313" i="3"/>
  <c r="DC313" i="3" s="1"/>
  <c r="AI313" i="3"/>
  <c r="CR313" i="3" s="1"/>
  <c r="W313" i="3"/>
  <c r="CF313" i="3" s="1"/>
  <c r="L313" i="3"/>
  <c r="BU313" i="3" s="1"/>
  <c r="BD313" i="3"/>
  <c r="DM313" i="3" s="1"/>
  <c r="AS313" i="3"/>
  <c r="DB313" i="3" s="1"/>
  <c r="AG313" i="3"/>
  <c r="CP313" i="3" s="1"/>
  <c r="V313" i="3"/>
  <c r="CE313" i="3" s="1"/>
  <c r="K313" i="3"/>
  <c r="BT313" i="3" s="1"/>
  <c r="BG313" i="3"/>
  <c r="DP313" i="3" s="1"/>
  <c r="AV313" i="3"/>
  <c r="DE313" i="3" s="1"/>
  <c r="AK313" i="3"/>
  <c r="CT313" i="3" s="1"/>
  <c r="Z313" i="3"/>
  <c r="CI313" i="3" s="1"/>
  <c r="O313" i="3"/>
  <c r="BX313" i="3" s="1"/>
  <c r="BI313" i="3"/>
  <c r="DR313" i="3" s="1"/>
  <c r="AQ313" i="3"/>
  <c r="CZ313" i="3" s="1"/>
  <c r="AC313" i="3"/>
  <c r="CL313" i="3" s="1"/>
  <c r="M313" i="3"/>
  <c r="BV313" i="3" s="1"/>
  <c r="BF313" i="3"/>
  <c r="DO313" i="3" s="1"/>
  <c r="AO313" i="3"/>
  <c r="CX313" i="3" s="1"/>
  <c r="AA313" i="3"/>
  <c r="CJ313" i="3" s="1"/>
  <c r="I313" i="3"/>
  <c r="BR313" i="3" s="1"/>
  <c r="AX313" i="3"/>
  <c r="DG313" i="3" s="1"/>
  <c r="AF313" i="3"/>
  <c r="CO313" i="3" s="1"/>
  <c r="R313" i="3"/>
  <c r="CA313" i="3" s="1"/>
  <c r="BC313" i="3"/>
  <c r="DL313" i="3" s="1"/>
  <c r="AJ313" i="3"/>
  <c r="CS313" i="3" s="1"/>
  <c r="J313" i="3"/>
  <c r="BS313" i="3" s="1"/>
  <c r="BA313" i="3"/>
  <c r="DJ313" i="3" s="1"/>
  <c r="AE313" i="3"/>
  <c r="CN313" i="3" s="1"/>
  <c r="H313" i="3"/>
  <c r="BQ313" i="3" s="1"/>
  <c r="AZ313" i="3"/>
  <c r="DI313" i="3" s="1"/>
  <c r="AD313" i="3"/>
  <c r="CM313" i="3" s="1"/>
  <c r="G313" i="3"/>
  <c r="BP313" i="3" s="1"/>
  <c r="AY313" i="3"/>
  <c r="DH313" i="3" s="1"/>
  <c r="AB313" i="3"/>
  <c r="CK313" i="3" s="1"/>
  <c r="F313" i="3"/>
  <c r="BO313" i="3" s="1"/>
  <c r="AW313" i="3"/>
  <c r="DF313" i="3" s="1"/>
  <c r="Y313" i="3"/>
  <c r="CH313" i="3" s="1"/>
  <c r="E313" i="3"/>
  <c r="BN313" i="3" s="1"/>
  <c r="AU313" i="3"/>
  <c r="DD313" i="3" s="1"/>
  <c r="U313" i="3"/>
  <c r="CD313" i="3" s="1"/>
  <c r="AP313" i="3"/>
  <c r="CY313" i="3" s="1"/>
  <c r="T313" i="3"/>
  <c r="CC313" i="3" s="1"/>
  <c r="BK313" i="3"/>
  <c r="DT313" i="3" s="1"/>
  <c r="AN313" i="3"/>
  <c r="CW313" i="3" s="1"/>
  <c r="S313" i="3"/>
  <c r="CB313" i="3" s="1"/>
  <c r="BJ313" i="3"/>
  <c r="DS313" i="3" s="1"/>
  <c r="BH313" i="3"/>
  <c r="DQ313" i="3" s="1"/>
  <c r="AM313" i="3"/>
  <c r="CV313" i="3" s="1"/>
  <c r="AL313" i="3"/>
  <c r="CU313" i="3" s="1"/>
  <c r="Q313" i="3"/>
  <c r="BZ313" i="3" s="1"/>
  <c r="P313" i="3"/>
  <c r="BY313" i="3" s="1"/>
  <c r="BL333" i="3"/>
  <c r="DU333" i="3" s="1"/>
  <c r="BB333" i="3"/>
  <c r="DK333" i="3" s="1"/>
  <c r="AR333" i="3"/>
  <c r="DA333" i="3" s="1"/>
  <c r="AH333" i="3"/>
  <c r="CQ333" i="3" s="1"/>
  <c r="X333" i="3"/>
  <c r="CG333" i="3" s="1"/>
  <c r="N333" i="3"/>
  <c r="BW333" i="3" s="1"/>
  <c r="BE333" i="3"/>
  <c r="DN333" i="3" s="1"/>
  <c r="AT333" i="3"/>
  <c r="DC333" i="3" s="1"/>
  <c r="AI333" i="3"/>
  <c r="CR333" i="3" s="1"/>
  <c r="W333" i="3"/>
  <c r="CF333" i="3" s="1"/>
  <c r="L333" i="3"/>
  <c r="BU333" i="3" s="1"/>
  <c r="BD333" i="3"/>
  <c r="DM333" i="3" s="1"/>
  <c r="AS333" i="3"/>
  <c r="DB333" i="3" s="1"/>
  <c r="AG333" i="3"/>
  <c r="CP333" i="3" s="1"/>
  <c r="V333" i="3"/>
  <c r="CE333" i="3" s="1"/>
  <c r="K333" i="3"/>
  <c r="BT333" i="3" s="1"/>
  <c r="BG333" i="3"/>
  <c r="DP333" i="3" s="1"/>
  <c r="AV333" i="3"/>
  <c r="DE333" i="3" s="1"/>
  <c r="AK333" i="3"/>
  <c r="CT333" i="3" s="1"/>
  <c r="Z333" i="3"/>
  <c r="CI333" i="3" s="1"/>
  <c r="O333" i="3"/>
  <c r="BX333" i="3" s="1"/>
  <c r="AZ333" i="3"/>
  <c r="DI333" i="3" s="1"/>
  <c r="AL333" i="3"/>
  <c r="CU333" i="3" s="1"/>
  <c r="T333" i="3"/>
  <c r="CC333" i="3" s="1"/>
  <c r="F333" i="3"/>
  <c r="BO333" i="3" s="1"/>
  <c r="AY333" i="3"/>
  <c r="DH333" i="3" s="1"/>
  <c r="AF333" i="3"/>
  <c r="CO333" i="3" s="1"/>
  <c r="Q333" i="3"/>
  <c r="BZ333" i="3" s="1"/>
  <c r="AX333" i="3"/>
  <c r="DG333" i="3" s="1"/>
  <c r="AE333" i="3"/>
  <c r="CN333" i="3" s="1"/>
  <c r="P333" i="3"/>
  <c r="BY333" i="3" s="1"/>
  <c r="BC333" i="3"/>
  <c r="DL333" i="3" s="1"/>
  <c r="AM333" i="3"/>
  <c r="CV333" i="3" s="1"/>
  <c r="S333" i="3"/>
  <c r="CB333" i="3" s="1"/>
  <c r="BF333" i="3"/>
  <c r="DO333" i="3" s="1"/>
  <c r="AC333" i="3"/>
  <c r="CL333" i="3" s="1"/>
  <c r="G333" i="3"/>
  <c r="BP333" i="3" s="1"/>
  <c r="BA333" i="3"/>
  <c r="DJ333" i="3" s="1"/>
  <c r="AB333" i="3"/>
  <c r="CK333" i="3" s="1"/>
  <c r="E333" i="3"/>
  <c r="BN333" i="3" s="1"/>
  <c r="AW333" i="3"/>
  <c r="DF333" i="3" s="1"/>
  <c r="AA333" i="3"/>
  <c r="CJ333" i="3" s="1"/>
  <c r="AU333" i="3"/>
  <c r="DD333" i="3" s="1"/>
  <c r="Y333" i="3"/>
  <c r="CH333" i="3" s="1"/>
  <c r="AQ333" i="3"/>
  <c r="CZ333" i="3" s="1"/>
  <c r="U333" i="3"/>
  <c r="CD333" i="3" s="1"/>
  <c r="AP333" i="3"/>
  <c r="CY333" i="3" s="1"/>
  <c r="R333" i="3"/>
  <c r="CA333" i="3" s="1"/>
  <c r="BK333" i="3"/>
  <c r="DT333" i="3" s="1"/>
  <c r="AO333" i="3"/>
  <c r="CX333" i="3" s="1"/>
  <c r="M333" i="3"/>
  <c r="BV333" i="3" s="1"/>
  <c r="BJ333" i="3"/>
  <c r="DS333" i="3" s="1"/>
  <c r="AN333" i="3"/>
  <c r="CW333" i="3" s="1"/>
  <c r="J333" i="3"/>
  <c r="BS333" i="3" s="1"/>
  <c r="BI333" i="3"/>
  <c r="DR333" i="3" s="1"/>
  <c r="AJ333" i="3"/>
  <c r="CS333" i="3" s="1"/>
  <c r="I333" i="3"/>
  <c r="BR333" i="3" s="1"/>
  <c r="AD333" i="3"/>
  <c r="CM333" i="3" s="1"/>
  <c r="BH333" i="3"/>
  <c r="DQ333" i="3" s="1"/>
  <c r="H333" i="3"/>
  <c r="BQ333" i="3" s="1"/>
  <c r="BE353" i="3"/>
  <c r="DN353" i="3" s="1"/>
  <c r="AU353" i="3"/>
  <c r="DD353" i="3" s="1"/>
  <c r="AK353" i="3"/>
  <c r="CT353" i="3" s="1"/>
  <c r="AA353" i="3"/>
  <c r="CJ353" i="3" s="1"/>
  <c r="Q353" i="3"/>
  <c r="BZ353" i="3" s="1"/>
  <c r="G353" i="3"/>
  <c r="BP353" i="3" s="1"/>
  <c r="BK353" i="3"/>
  <c r="DT353" i="3" s="1"/>
  <c r="AZ353" i="3"/>
  <c r="DI353" i="3" s="1"/>
  <c r="AO353" i="3"/>
  <c r="CX353" i="3" s="1"/>
  <c r="AD353" i="3"/>
  <c r="CM353" i="3" s="1"/>
  <c r="S353" i="3"/>
  <c r="CB353" i="3" s="1"/>
  <c r="H353" i="3"/>
  <c r="BQ353" i="3" s="1"/>
  <c r="BA353" i="3"/>
  <c r="DJ353" i="3" s="1"/>
  <c r="AN353" i="3"/>
  <c r="CW353" i="3" s="1"/>
  <c r="AB353" i="3"/>
  <c r="CK353" i="3" s="1"/>
  <c r="O353" i="3"/>
  <c r="BX353" i="3" s="1"/>
  <c r="BL353" i="3"/>
  <c r="DU353" i="3" s="1"/>
  <c r="AY353" i="3"/>
  <c r="DH353" i="3" s="1"/>
  <c r="AM353" i="3"/>
  <c r="CV353" i="3" s="1"/>
  <c r="Z353" i="3"/>
  <c r="CI353" i="3" s="1"/>
  <c r="N353" i="3"/>
  <c r="BW353" i="3" s="1"/>
  <c r="BC353" i="3"/>
  <c r="DL353" i="3" s="1"/>
  <c r="AQ353" i="3"/>
  <c r="CZ353" i="3" s="1"/>
  <c r="AE353" i="3"/>
  <c r="CN353" i="3" s="1"/>
  <c r="R353" i="3"/>
  <c r="CA353" i="3" s="1"/>
  <c r="E353" i="3"/>
  <c r="BN353" i="3" s="1"/>
  <c r="AX353" i="3"/>
  <c r="DG353" i="3" s="1"/>
  <c r="AH353" i="3"/>
  <c r="CQ353" i="3" s="1"/>
  <c r="P353" i="3"/>
  <c r="BY353" i="3" s="1"/>
  <c r="AW353" i="3"/>
  <c r="DF353" i="3" s="1"/>
  <c r="AG353" i="3"/>
  <c r="CP353" i="3" s="1"/>
  <c r="M353" i="3"/>
  <c r="BV353" i="3" s="1"/>
  <c r="AV353" i="3"/>
  <c r="DE353" i="3" s="1"/>
  <c r="AF353" i="3"/>
  <c r="CO353" i="3" s="1"/>
  <c r="L353" i="3"/>
  <c r="BU353" i="3" s="1"/>
  <c r="BJ353" i="3"/>
  <c r="DS353" i="3" s="1"/>
  <c r="AT353" i="3"/>
  <c r="DC353" i="3" s="1"/>
  <c r="AC353" i="3"/>
  <c r="CL353" i="3" s="1"/>
  <c r="K353" i="3"/>
  <c r="BT353" i="3" s="1"/>
  <c r="BD353" i="3"/>
  <c r="DM353" i="3" s="1"/>
  <c r="AJ353" i="3"/>
  <c r="CS353" i="3" s="1"/>
  <c r="U353" i="3"/>
  <c r="CD353" i="3" s="1"/>
  <c r="BI353" i="3"/>
  <c r="DR353" i="3" s="1"/>
  <c r="Y353" i="3"/>
  <c r="CH353" i="3" s="1"/>
  <c r="BH353" i="3"/>
  <c r="DQ353" i="3" s="1"/>
  <c r="X353" i="3"/>
  <c r="CG353" i="3" s="1"/>
  <c r="AL353" i="3"/>
  <c r="CU353" i="3" s="1"/>
  <c r="T353" i="3"/>
  <c r="CC353" i="3" s="1"/>
  <c r="BG353" i="3"/>
  <c r="DP353" i="3" s="1"/>
  <c r="J353" i="3"/>
  <c r="BS353" i="3" s="1"/>
  <c r="AI353" i="3"/>
  <c r="CR353" i="3" s="1"/>
  <c r="W353" i="3"/>
  <c r="CF353" i="3" s="1"/>
  <c r="V353" i="3"/>
  <c r="CE353" i="3" s="1"/>
  <c r="I353" i="3"/>
  <c r="BR353" i="3" s="1"/>
  <c r="AR353" i="3"/>
  <c r="DA353" i="3" s="1"/>
  <c r="BB353" i="3"/>
  <c r="DK353" i="3" s="1"/>
  <c r="AS353" i="3"/>
  <c r="DB353" i="3" s="1"/>
  <c r="AP353" i="3"/>
  <c r="CY353" i="3" s="1"/>
  <c r="F353" i="3"/>
  <c r="BO353" i="3" s="1"/>
  <c r="BF353" i="3"/>
  <c r="DO353" i="3" s="1"/>
  <c r="BH314" i="3"/>
  <c r="DQ314" i="3" s="1"/>
  <c r="AX314" i="3"/>
  <c r="DG314" i="3" s="1"/>
  <c r="AN314" i="3"/>
  <c r="CW314" i="3" s="1"/>
  <c r="AD314" i="3"/>
  <c r="CM314" i="3" s="1"/>
  <c r="T314" i="3"/>
  <c r="CC314" i="3" s="1"/>
  <c r="J314" i="3"/>
  <c r="BS314" i="3" s="1"/>
  <c r="BC314" i="3"/>
  <c r="DL314" i="3" s="1"/>
  <c r="AR314" i="3"/>
  <c r="DA314" i="3" s="1"/>
  <c r="AG314" i="3"/>
  <c r="CP314" i="3" s="1"/>
  <c r="V314" i="3"/>
  <c r="CE314" i="3" s="1"/>
  <c r="K314" i="3"/>
  <c r="BT314" i="3" s="1"/>
  <c r="BB314" i="3"/>
  <c r="DK314" i="3" s="1"/>
  <c r="AQ314" i="3"/>
  <c r="CZ314" i="3" s="1"/>
  <c r="AF314" i="3"/>
  <c r="CO314" i="3" s="1"/>
  <c r="U314" i="3"/>
  <c r="CD314" i="3" s="1"/>
  <c r="I314" i="3"/>
  <c r="BR314" i="3" s="1"/>
  <c r="BE314" i="3"/>
  <c r="DN314" i="3" s="1"/>
  <c r="AT314" i="3"/>
  <c r="DC314" i="3" s="1"/>
  <c r="AI314" i="3"/>
  <c r="CR314" i="3" s="1"/>
  <c r="X314" i="3"/>
  <c r="CG314" i="3" s="1"/>
  <c r="M314" i="3"/>
  <c r="BV314" i="3" s="1"/>
  <c r="BK314" i="3"/>
  <c r="DT314" i="3" s="1"/>
  <c r="AV314" i="3"/>
  <c r="DE314" i="3" s="1"/>
  <c r="AE314" i="3"/>
  <c r="CN314" i="3" s="1"/>
  <c r="P314" i="3"/>
  <c r="BY314" i="3" s="1"/>
  <c r="BI314" i="3"/>
  <c r="DR314" i="3" s="1"/>
  <c r="AS314" i="3"/>
  <c r="DB314" i="3" s="1"/>
  <c r="AB314" i="3"/>
  <c r="CK314" i="3" s="1"/>
  <c r="N314" i="3"/>
  <c r="BW314" i="3" s="1"/>
  <c r="AZ314" i="3"/>
  <c r="DI314" i="3" s="1"/>
  <c r="AK314" i="3"/>
  <c r="CT314" i="3" s="1"/>
  <c r="S314" i="3"/>
  <c r="CB314" i="3" s="1"/>
  <c r="E314" i="3"/>
  <c r="BN314" i="3" s="1"/>
  <c r="AU314" i="3"/>
  <c r="DD314" i="3" s="1"/>
  <c r="Y314" i="3"/>
  <c r="CH314" i="3" s="1"/>
  <c r="AP314" i="3"/>
  <c r="CY314" i="3" s="1"/>
  <c r="W314" i="3"/>
  <c r="CF314" i="3" s="1"/>
  <c r="BL314" i="3"/>
  <c r="DU314" i="3" s="1"/>
  <c r="AO314" i="3"/>
  <c r="CX314" i="3" s="1"/>
  <c r="R314" i="3"/>
  <c r="CA314" i="3" s="1"/>
  <c r="BJ314" i="3"/>
  <c r="DS314" i="3" s="1"/>
  <c r="AM314" i="3"/>
  <c r="CV314" i="3" s="1"/>
  <c r="Q314" i="3"/>
  <c r="BZ314" i="3" s="1"/>
  <c r="BG314" i="3"/>
  <c r="DP314" i="3" s="1"/>
  <c r="AL314" i="3"/>
  <c r="CU314" i="3" s="1"/>
  <c r="O314" i="3"/>
  <c r="BX314" i="3" s="1"/>
  <c r="BF314" i="3"/>
  <c r="DO314" i="3" s="1"/>
  <c r="AJ314" i="3"/>
  <c r="CS314" i="3" s="1"/>
  <c r="L314" i="3"/>
  <c r="BU314" i="3" s="1"/>
  <c r="BD314" i="3"/>
  <c r="DM314" i="3" s="1"/>
  <c r="AH314" i="3"/>
  <c r="CQ314" i="3" s="1"/>
  <c r="H314" i="3"/>
  <c r="BQ314" i="3" s="1"/>
  <c r="BA314" i="3"/>
  <c r="DJ314" i="3" s="1"/>
  <c r="AC314" i="3"/>
  <c r="CL314" i="3" s="1"/>
  <c r="G314" i="3"/>
  <c r="BP314" i="3" s="1"/>
  <c r="AY314" i="3"/>
  <c r="DH314" i="3" s="1"/>
  <c r="AA314" i="3"/>
  <c r="CJ314" i="3" s="1"/>
  <c r="F314" i="3"/>
  <c r="BO314" i="3" s="1"/>
  <c r="AW314" i="3"/>
  <c r="DF314" i="3" s="1"/>
  <c r="Z314" i="3"/>
  <c r="CI314" i="3" s="1"/>
  <c r="BI226" i="3"/>
  <c r="DR226" i="3" s="1"/>
  <c r="AY226" i="3"/>
  <c r="DH226" i="3" s="1"/>
  <c r="AO226" i="3"/>
  <c r="CX226" i="3" s="1"/>
  <c r="AE226" i="3"/>
  <c r="CN226" i="3" s="1"/>
  <c r="U226" i="3"/>
  <c r="CD226" i="3" s="1"/>
  <c r="K226" i="3"/>
  <c r="BT226" i="3" s="1"/>
  <c r="BH226" i="3"/>
  <c r="DQ226" i="3" s="1"/>
  <c r="AX226" i="3"/>
  <c r="DG226" i="3" s="1"/>
  <c r="AN226" i="3"/>
  <c r="CW226" i="3" s="1"/>
  <c r="AD226" i="3"/>
  <c r="CM226" i="3" s="1"/>
  <c r="T226" i="3"/>
  <c r="CC226" i="3" s="1"/>
  <c r="J226" i="3"/>
  <c r="BS226" i="3" s="1"/>
  <c r="BL226" i="3"/>
  <c r="DU226" i="3" s="1"/>
  <c r="AZ226" i="3"/>
  <c r="DI226" i="3" s="1"/>
  <c r="AL226" i="3"/>
  <c r="CU226" i="3" s="1"/>
  <c r="Z226" i="3"/>
  <c r="CI226" i="3" s="1"/>
  <c r="N226" i="3"/>
  <c r="BW226" i="3" s="1"/>
  <c r="BK226" i="3"/>
  <c r="DT226" i="3" s="1"/>
  <c r="AW226" i="3"/>
  <c r="DF226" i="3" s="1"/>
  <c r="AK226" i="3"/>
  <c r="CT226" i="3" s="1"/>
  <c r="Y226" i="3"/>
  <c r="CH226" i="3" s="1"/>
  <c r="M226" i="3"/>
  <c r="BV226" i="3" s="1"/>
  <c r="BB226" i="3"/>
  <c r="DK226" i="3" s="1"/>
  <c r="AP226" i="3"/>
  <c r="CY226" i="3" s="1"/>
  <c r="AB226" i="3"/>
  <c r="CK226" i="3" s="1"/>
  <c r="P226" i="3"/>
  <c r="BY226" i="3" s="1"/>
  <c r="BF226" i="3"/>
  <c r="DO226" i="3" s="1"/>
  <c r="AQ226" i="3"/>
  <c r="CZ226" i="3" s="1"/>
  <c r="W226" i="3"/>
  <c r="CF226" i="3" s="1"/>
  <c r="F226" i="3"/>
  <c r="BO226" i="3" s="1"/>
  <c r="BE226" i="3"/>
  <c r="DN226" i="3" s="1"/>
  <c r="AJ226" i="3"/>
  <c r="CS226" i="3" s="1"/>
  <c r="R226" i="3"/>
  <c r="CA226" i="3" s="1"/>
  <c r="BD226" i="3"/>
  <c r="DM226" i="3" s="1"/>
  <c r="AI226" i="3"/>
  <c r="CR226" i="3" s="1"/>
  <c r="Q226" i="3"/>
  <c r="BZ226" i="3" s="1"/>
  <c r="BC226" i="3"/>
  <c r="DL226" i="3" s="1"/>
  <c r="AH226" i="3"/>
  <c r="CQ226" i="3" s="1"/>
  <c r="O226" i="3"/>
  <c r="BX226" i="3" s="1"/>
  <c r="BA226" i="3"/>
  <c r="DJ226" i="3" s="1"/>
  <c r="AG226" i="3"/>
  <c r="CP226" i="3" s="1"/>
  <c r="L226" i="3"/>
  <c r="BU226" i="3" s="1"/>
  <c r="AV226" i="3"/>
  <c r="DE226" i="3" s="1"/>
  <c r="AF226" i="3"/>
  <c r="CO226" i="3" s="1"/>
  <c r="I226" i="3"/>
  <c r="BR226" i="3" s="1"/>
  <c r="AU226" i="3"/>
  <c r="DD226" i="3" s="1"/>
  <c r="AC226" i="3"/>
  <c r="CL226" i="3" s="1"/>
  <c r="H226" i="3"/>
  <c r="BQ226" i="3" s="1"/>
  <c r="AT226" i="3"/>
  <c r="DC226" i="3" s="1"/>
  <c r="AA226" i="3"/>
  <c r="CJ226" i="3" s="1"/>
  <c r="G226" i="3"/>
  <c r="BP226" i="3" s="1"/>
  <c r="AS226" i="3"/>
  <c r="DB226" i="3" s="1"/>
  <c r="X226" i="3"/>
  <c r="CG226" i="3" s="1"/>
  <c r="E226" i="3"/>
  <c r="BN226" i="3" s="1"/>
  <c r="BJ226" i="3"/>
  <c r="DS226" i="3" s="1"/>
  <c r="AR226" i="3"/>
  <c r="DA226" i="3" s="1"/>
  <c r="V226" i="3"/>
  <c r="CE226" i="3" s="1"/>
  <c r="BG226" i="3"/>
  <c r="DP226" i="3" s="1"/>
  <c r="AM226" i="3"/>
  <c r="CV226" i="3" s="1"/>
  <c r="S226" i="3"/>
  <c r="CB226" i="3" s="1"/>
  <c r="BE326" i="3"/>
  <c r="DN326" i="3" s="1"/>
  <c r="AU326" i="3"/>
  <c r="DD326" i="3" s="1"/>
  <c r="AK326" i="3"/>
  <c r="CT326" i="3" s="1"/>
  <c r="AA326" i="3"/>
  <c r="CJ326" i="3" s="1"/>
  <c r="Q326" i="3"/>
  <c r="BZ326" i="3" s="1"/>
  <c r="G326" i="3"/>
  <c r="BP326" i="3" s="1"/>
  <c r="BD326" i="3"/>
  <c r="DM326" i="3" s="1"/>
  <c r="AT326" i="3"/>
  <c r="DC326" i="3" s="1"/>
  <c r="AJ326" i="3"/>
  <c r="CS326" i="3" s="1"/>
  <c r="Z326" i="3"/>
  <c r="CI326" i="3" s="1"/>
  <c r="P326" i="3"/>
  <c r="BY326" i="3" s="1"/>
  <c r="F326" i="3"/>
  <c r="BO326" i="3" s="1"/>
  <c r="BG326" i="3"/>
  <c r="DP326" i="3" s="1"/>
  <c r="AW326" i="3"/>
  <c r="DF326" i="3" s="1"/>
  <c r="AM326" i="3"/>
  <c r="CV326" i="3" s="1"/>
  <c r="AC326" i="3"/>
  <c r="CL326" i="3" s="1"/>
  <c r="S326" i="3"/>
  <c r="CB326" i="3" s="1"/>
  <c r="I326" i="3"/>
  <c r="BR326" i="3" s="1"/>
  <c r="BA326" i="3"/>
  <c r="DJ326" i="3" s="1"/>
  <c r="AN326" i="3"/>
  <c r="CW326" i="3" s="1"/>
  <c r="X326" i="3"/>
  <c r="CG326" i="3" s="1"/>
  <c r="K326" i="3"/>
  <c r="BT326" i="3" s="1"/>
  <c r="AZ326" i="3"/>
  <c r="DI326" i="3" s="1"/>
  <c r="AL326" i="3"/>
  <c r="CU326" i="3" s="1"/>
  <c r="W326" i="3"/>
  <c r="CF326" i="3" s="1"/>
  <c r="J326" i="3"/>
  <c r="BS326" i="3" s="1"/>
  <c r="BC326" i="3"/>
  <c r="DL326" i="3" s="1"/>
  <c r="AP326" i="3"/>
  <c r="CY326" i="3" s="1"/>
  <c r="AB326" i="3"/>
  <c r="CK326" i="3" s="1"/>
  <c r="M326" i="3"/>
  <c r="BV326" i="3" s="1"/>
  <c r="BJ326" i="3"/>
  <c r="DS326" i="3" s="1"/>
  <c r="AQ326" i="3"/>
  <c r="CZ326" i="3" s="1"/>
  <c r="U326" i="3"/>
  <c r="CD326" i="3" s="1"/>
  <c r="BI326" i="3"/>
  <c r="DR326" i="3" s="1"/>
  <c r="AO326" i="3"/>
  <c r="CX326" i="3" s="1"/>
  <c r="T326" i="3"/>
  <c r="CC326" i="3" s="1"/>
  <c r="BL326" i="3"/>
  <c r="DU326" i="3" s="1"/>
  <c r="AS326" i="3"/>
  <c r="DB326" i="3" s="1"/>
  <c r="Y326" i="3"/>
  <c r="CH326" i="3" s="1"/>
  <c r="BF326" i="3"/>
  <c r="DO326" i="3" s="1"/>
  <c r="AE326" i="3"/>
  <c r="CN326" i="3" s="1"/>
  <c r="BB326" i="3"/>
  <c r="DK326" i="3" s="1"/>
  <c r="AD326" i="3"/>
  <c r="CM326" i="3" s="1"/>
  <c r="AY326" i="3"/>
  <c r="DH326" i="3" s="1"/>
  <c r="V326" i="3"/>
  <c r="CE326" i="3" s="1"/>
  <c r="AX326" i="3"/>
  <c r="DG326" i="3" s="1"/>
  <c r="R326" i="3"/>
  <c r="CA326" i="3" s="1"/>
  <c r="AV326" i="3"/>
  <c r="DE326" i="3" s="1"/>
  <c r="O326" i="3"/>
  <c r="BX326" i="3" s="1"/>
  <c r="AR326" i="3"/>
  <c r="DA326" i="3" s="1"/>
  <c r="N326" i="3"/>
  <c r="BW326" i="3" s="1"/>
  <c r="AH326" i="3"/>
  <c r="CQ326" i="3" s="1"/>
  <c r="H326" i="3"/>
  <c r="BQ326" i="3" s="1"/>
  <c r="AI326" i="3"/>
  <c r="CR326" i="3" s="1"/>
  <c r="AG326" i="3"/>
  <c r="CP326" i="3" s="1"/>
  <c r="AF326" i="3"/>
  <c r="CO326" i="3" s="1"/>
  <c r="L326" i="3"/>
  <c r="BU326" i="3" s="1"/>
  <c r="E326" i="3"/>
  <c r="BN326" i="3" s="1"/>
  <c r="BK326" i="3"/>
  <c r="DT326" i="3" s="1"/>
  <c r="BH326" i="3"/>
  <c r="DQ326" i="3" s="1"/>
  <c r="J344" i="2"/>
  <c r="K344" i="2" s="1"/>
  <c r="L344" i="2" s="1"/>
  <c r="F98" i="4"/>
  <c r="D98" i="4"/>
  <c r="E98" i="4" s="1"/>
  <c r="F37" i="4"/>
  <c r="D37" i="4"/>
  <c r="E37" i="4" s="1"/>
  <c r="F25" i="4"/>
  <c r="D25" i="4"/>
  <c r="E25" i="4" s="1"/>
  <c r="F150" i="4"/>
  <c r="D150" i="4"/>
  <c r="E150" i="4" s="1"/>
  <c r="D120" i="4"/>
  <c r="E120" i="4" s="1"/>
  <c r="F120" i="4"/>
  <c r="F33" i="4"/>
  <c r="D33" i="4"/>
  <c r="E33" i="4" s="1"/>
  <c r="D128" i="4"/>
  <c r="E128" i="4" s="1"/>
  <c r="F128" i="4"/>
  <c r="D108" i="4"/>
  <c r="E108" i="4" s="1"/>
  <c r="F108" i="4"/>
  <c r="D134" i="4"/>
  <c r="E134" i="4" s="1"/>
  <c r="F134" i="4"/>
  <c r="D63" i="4"/>
  <c r="E63" i="4" s="1"/>
  <c r="F63" i="4"/>
  <c r="F161" i="4"/>
  <c r="D161" i="4"/>
  <c r="E161" i="4" s="1"/>
  <c r="F220" i="4"/>
  <c r="D220" i="4"/>
  <c r="E220" i="4" s="1"/>
  <c r="D90" i="4"/>
  <c r="E90" i="4" s="1"/>
  <c r="F90" i="4"/>
  <c r="F250" i="4"/>
  <c r="D250" i="4"/>
  <c r="E250" i="4" s="1"/>
  <c r="D157" i="4"/>
  <c r="E157" i="4" s="1"/>
  <c r="F157" i="4"/>
  <c r="F231" i="4"/>
  <c r="D231" i="4"/>
  <c r="E231" i="4" s="1"/>
  <c r="D166" i="4"/>
  <c r="E166" i="4" s="1"/>
  <c r="F166" i="4"/>
  <c r="D167" i="4"/>
  <c r="E167" i="4" s="1"/>
  <c r="F167" i="4"/>
  <c r="F145" i="4"/>
  <c r="D145" i="4"/>
  <c r="E145" i="4" s="1"/>
  <c r="D88" i="4"/>
  <c r="E88" i="4" s="1"/>
  <c r="F88" i="4"/>
  <c r="F219" i="4"/>
  <c r="D219" i="4"/>
  <c r="E219" i="4" s="1"/>
  <c r="F144" i="4"/>
  <c r="D144" i="4"/>
  <c r="E144" i="4" s="1"/>
  <c r="F238" i="4"/>
  <c r="D238" i="4"/>
  <c r="E238" i="4" s="1"/>
  <c r="F173" i="4"/>
  <c r="D173" i="4"/>
  <c r="E173" i="4" s="1"/>
  <c r="F264" i="4"/>
  <c r="D264" i="4"/>
  <c r="E264" i="4" s="1"/>
  <c r="BD38" i="3"/>
  <c r="DM38" i="3" s="1"/>
  <c r="AT38" i="3"/>
  <c r="DC38" i="3" s="1"/>
  <c r="AJ38" i="3"/>
  <c r="CS38" i="3" s="1"/>
  <c r="Z38" i="3"/>
  <c r="CI38" i="3" s="1"/>
  <c r="P38" i="3"/>
  <c r="BY38" i="3" s="1"/>
  <c r="F38" i="3"/>
  <c r="BO38" i="3" s="1"/>
  <c r="BC38" i="3"/>
  <c r="DL38" i="3" s="1"/>
  <c r="AS38" i="3"/>
  <c r="DB38" i="3" s="1"/>
  <c r="AI38" i="3"/>
  <c r="CR38" i="3" s="1"/>
  <c r="Y38" i="3"/>
  <c r="CH38" i="3" s="1"/>
  <c r="O38" i="3"/>
  <c r="BX38" i="3" s="1"/>
  <c r="E38" i="3"/>
  <c r="BN38" i="3" s="1"/>
  <c r="BF38" i="3"/>
  <c r="DO38" i="3" s="1"/>
  <c r="AV38" i="3"/>
  <c r="DE38" i="3" s="1"/>
  <c r="AL38" i="3"/>
  <c r="CU38" i="3" s="1"/>
  <c r="AB38" i="3"/>
  <c r="CK38" i="3" s="1"/>
  <c r="R38" i="3"/>
  <c r="CA38" i="3" s="1"/>
  <c r="H38" i="3"/>
  <c r="BQ38" i="3" s="1"/>
  <c r="BK38" i="3"/>
  <c r="DT38" i="3" s="1"/>
  <c r="AX38" i="3"/>
  <c r="DG38" i="3" s="1"/>
  <c r="AH38" i="3"/>
  <c r="CQ38" i="3" s="1"/>
  <c r="U38" i="3"/>
  <c r="CD38" i="3" s="1"/>
  <c r="G38" i="3"/>
  <c r="BP38" i="3" s="1"/>
  <c r="BJ38" i="3"/>
  <c r="DS38" i="3" s="1"/>
  <c r="AW38" i="3"/>
  <c r="DF38" i="3" s="1"/>
  <c r="AG38" i="3"/>
  <c r="CP38" i="3" s="1"/>
  <c r="T38" i="3"/>
  <c r="CC38" i="3" s="1"/>
  <c r="BA38" i="3"/>
  <c r="DJ38" i="3" s="1"/>
  <c r="AK38" i="3"/>
  <c r="CT38" i="3" s="1"/>
  <c r="Q38" i="3"/>
  <c r="BZ38" i="3" s="1"/>
  <c r="AZ38" i="3"/>
  <c r="DI38" i="3" s="1"/>
  <c r="AF38" i="3"/>
  <c r="CO38" i="3" s="1"/>
  <c r="N38" i="3"/>
  <c r="BW38" i="3" s="1"/>
  <c r="AY38" i="3"/>
  <c r="DH38" i="3" s="1"/>
  <c r="AE38" i="3"/>
  <c r="CN38" i="3" s="1"/>
  <c r="M38" i="3"/>
  <c r="BV38" i="3" s="1"/>
  <c r="AU38" i="3"/>
  <c r="DD38" i="3" s="1"/>
  <c r="AD38" i="3"/>
  <c r="CM38" i="3" s="1"/>
  <c r="L38" i="3"/>
  <c r="BU38" i="3" s="1"/>
  <c r="BL38" i="3"/>
  <c r="DU38" i="3" s="1"/>
  <c r="AR38" i="3"/>
  <c r="DA38" i="3" s="1"/>
  <c r="AC38" i="3"/>
  <c r="CL38" i="3" s="1"/>
  <c r="K38" i="3"/>
  <c r="BT38" i="3" s="1"/>
  <c r="BI38" i="3"/>
  <c r="DR38" i="3" s="1"/>
  <c r="AQ38" i="3"/>
  <c r="CZ38" i="3" s="1"/>
  <c r="AA38" i="3"/>
  <c r="CJ38" i="3" s="1"/>
  <c r="J38" i="3"/>
  <c r="BS38" i="3" s="1"/>
  <c r="BH38" i="3"/>
  <c r="DQ38" i="3" s="1"/>
  <c r="AP38" i="3"/>
  <c r="CY38" i="3" s="1"/>
  <c r="X38" i="3"/>
  <c r="CG38" i="3" s="1"/>
  <c r="I38" i="3"/>
  <c r="BR38" i="3" s="1"/>
  <c r="BG38" i="3"/>
  <c r="DP38" i="3" s="1"/>
  <c r="AO38" i="3"/>
  <c r="CX38" i="3" s="1"/>
  <c r="W38" i="3"/>
  <c r="CF38" i="3" s="1"/>
  <c r="BE38" i="3"/>
  <c r="DN38" i="3" s="1"/>
  <c r="AN38" i="3"/>
  <c r="CW38" i="3" s="1"/>
  <c r="V38" i="3"/>
  <c r="CE38" i="3" s="1"/>
  <c r="BB38" i="3"/>
  <c r="DK38" i="3" s="1"/>
  <c r="AM38" i="3"/>
  <c r="CV38" i="3" s="1"/>
  <c r="S38" i="3"/>
  <c r="CB38" i="3" s="1"/>
  <c r="BD28" i="3"/>
  <c r="DM28" i="3" s="1"/>
  <c r="AT28" i="3"/>
  <c r="DC28" i="3" s="1"/>
  <c r="AJ28" i="3"/>
  <c r="CS28" i="3" s="1"/>
  <c r="Z28" i="3"/>
  <c r="CI28" i="3" s="1"/>
  <c r="P28" i="3"/>
  <c r="BY28" i="3" s="1"/>
  <c r="F28" i="3"/>
  <c r="BO28" i="3" s="1"/>
  <c r="BC28" i="3"/>
  <c r="DL28" i="3" s="1"/>
  <c r="AS28" i="3"/>
  <c r="DB28" i="3" s="1"/>
  <c r="AI28" i="3"/>
  <c r="CR28" i="3" s="1"/>
  <c r="Y28" i="3"/>
  <c r="CH28" i="3" s="1"/>
  <c r="O28" i="3"/>
  <c r="BX28" i="3" s="1"/>
  <c r="E28" i="3"/>
  <c r="BN28" i="3" s="1"/>
  <c r="BF28" i="3"/>
  <c r="DO28" i="3" s="1"/>
  <c r="AV28" i="3"/>
  <c r="DE28" i="3" s="1"/>
  <c r="AL28" i="3"/>
  <c r="CU28" i="3" s="1"/>
  <c r="AB28" i="3"/>
  <c r="CK28" i="3" s="1"/>
  <c r="R28" i="3"/>
  <c r="CA28" i="3" s="1"/>
  <c r="H28" i="3"/>
  <c r="BQ28" i="3" s="1"/>
  <c r="BH28" i="3"/>
  <c r="DQ28" i="3" s="1"/>
  <c r="AR28" i="3"/>
  <c r="DA28" i="3" s="1"/>
  <c r="AE28" i="3"/>
  <c r="CN28" i="3" s="1"/>
  <c r="Q28" i="3"/>
  <c r="BZ28" i="3" s="1"/>
  <c r="BE28" i="3"/>
  <c r="DN28" i="3" s="1"/>
  <c r="AO28" i="3"/>
  <c r="CX28" i="3" s="1"/>
  <c r="X28" i="3"/>
  <c r="CG28" i="3" s="1"/>
  <c r="J28" i="3"/>
  <c r="BS28" i="3" s="1"/>
  <c r="BB28" i="3"/>
  <c r="DK28" i="3" s="1"/>
  <c r="AN28" i="3"/>
  <c r="CW28" i="3" s="1"/>
  <c r="W28" i="3"/>
  <c r="CF28" i="3" s="1"/>
  <c r="I28" i="3"/>
  <c r="BR28" i="3" s="1"/>
  <c r="BA28" i="3"/>
  <c r="DJ28" i="3" s="1"/>
  <c r="AM28" i="3"/>
  <c r="CV28" i="3" s="1"/>
  <c r="V28" i="3"/>
  <c r="CE28" i="3" s="1"/>
  <c r="G28" i="3"/>
  <c r="BP28" i="3" s="1"/>
  <c r="AZ28" i="3"/>
  <c r="DI28" i="3" s="1"/>
  <c r="AK28" i="3"/>
  <c r="CT28" i="3" s="1"/>
  <c r="U28" i="3"/>
  <c r="CD28" i="3" s="1"/>
  <c r="AY28" i="3"/>
  <c r="DH28" i="3" s="1"/>
  <c r="AH28" i="3"/>
  <c r="CQ28" i="3" s="1"/>
  <c r="T28" i="3"/>
  <c r="CC28" i="3" s="1"/>
  <c r="BL28" i="3"/>
  <c r="DU28" i="3" s="1"/>
  <c r="AX28" i="3"/>
  <c r="DG28" i="3" s="1"/>
  <c r="AG28" i="3"/>
  <c r="CP28" i="3" s="1"/>
  <c r="S28" i="3"/>
  <c r="CB28" i="3" s="1"/>
  <c r="BK28" i="3"/>
  <c r="DT28" i="3" s="1"/>
  <c r="AW28" i="3"/>
  <c r="DF28" i="3" s="1"/>
  <c r="AF28" i="3"/>
  <c r="CO28" i="3" s="1"/>
  <c r="N28" i="3"/>
  <c r="BW28" i="3" s="1"/>
  <c r="BJ28" i="3"/>
  <c r="DS28" i="3" s="1"/>
  <c r="AU28" i="3"/>
  <c r="DD28" i="3" s="1"/>
  <c r="AD28" i="3"/>
  <c r="CM28" i="3" s="1"/>
  <c r="M28" i="3"/>
  <c r="BV28" i="3" s="1"/>
  <c r="BG28" i="3"/>
  <c r="DP28" i="3" s="1"/>
  <c r="AP28" i="3"/>
  <c r="CY28" i="3" s="1"/>
  <c r="AA28" i="3"/>
  <c r="CJ28" i="3" s="1"/>
  <c r="K28" i="3"/>
  <c r="BT28" i="3" s="1"/>
  <c r="BI28" i="3"/>
  <c r="DR28" i="3" s="1"/>
  <c r="AQ28" i="3"/>
  <c r="CZ28" i="3" s="1"/>
  <c r="AC28" i="3"/>
  <c r="CL28" i="3" s="1"/>
  <c r="L28" i="3"/>
  <c r="BU28" i="3" s="1"/>
  <c r="K117" i="2"/>
  <c r="L117" i="2" s="1"/>
  <c r="K73" i="2"/>
  <c r="L73" i="2" s="1"/>
  <c r="J34" i="2"/>
  <c r="K34" i="2" s="1"/>
  <c r="L34" i="2" s="1"/>
  <c r="BD48" i="3"/>
  <c r="DM48" i="3" s="1"/>
  <c r="AT48" i="3"/>
  <c r="DC48" i="3" s="1"/>
  <c r="AJ48" i="3"/>
  <c r="CS48" i="3" s="1"/>
  <c r="Z48" i="3"/>
  <c r="CI48" i="3" s="1"/>
  <c r="P48" i="3"/>
  <c r="BY48" i="3" s="1"/>
  <c r="F48" i="3"/>
  <c r="BO48" i="3" s="1"/>
  <c r="BC48" i="3"/>
  <c r="DL48" i="3" s="1"/>
  <c r="AS48" i="3"/>
  <c r="DB48" i="3" s="1"/>
  <c r="AI48" i="3"/>
  <c r="CR48" i="3" s="1"/>
  <c r="Y48" i="3"/>
  <c r="CH48" i="3" s="1"/>
  <c r="O48" i="3"/>
  <c r="BX48" i="3" s="1"/>
  <c r="E48" i="3"/>
  <c r="BN48" i="3" s="1"/>
  <c r="BF48" i="3"/>
  <c r="DO48" i="3" s="1"/>
  <c r="AV48" i="3"/>
  <c r="DE48" i="3" s="1"/>
  <c r="AL48" i="3"/>
  <c r="CU48" i="3" s="1"/>
  <c r="AB48" i="3"/>
  <c r="CK48" i="3" s="1"/>
  <c r="R48" i="3"/>
  <c r="CA48" i="3" s="1"/>
  <c r="H48" i="3"/>
  <c r="BQ48" i="3" s="1"/>
  <c r="AZ48" i="3"/>
  <c r="DI48" i="3" s="1"/>
  <c r="AM48" i="3"/>
  <c r="CV48" i="3" s="1"/>
  <c r="W48" i="3"/>
  <c r="CF48" i="3" s="1"/>
  <c r="J48" i="3"/>
  <c r="BS48" i="3" s="1"/>
  <c r="BL48" i="3"/>
  <c r="DU48" i="3" s="1"/>
  <c r="AY48" i="3"/>
  <c r="DH48" i="3" s="1"/>
  <c r="AK48" i="3"/>
  <c r="CT48" i="3" s="1"/>
  <c r="V48" i="3"/>
  <c r="CE48" i="3" s="1"/>
  <c r="I48" i="3"/>
  <c r="BR48" i="3" s="1"/>
  <c r="BK48" i="3"/>
  <c r="DT48" i="3" s="1"/>
  <c r="AX48" i="3"/>
  <c r="DG48" i="3" s="1"/>
  <c r="AH48" i="3"/>
  <c r="CQ48" i="3" s="1"/>
  <c r="U48" i="3"/>
  <c r="CD48" i="3" s="1"/>
  <c r="G48" i="3"/>
  <c r="BP48" i="3" s="1"/>
  <c r="BA48" i="3"/>
  <c r="DJ48" i="3" s="1"/>
  <c r="AN48" i="3"/>
  <c r="CW48" i="3" s="1"/>
  <c r="X48" i="3"/>
  <c r="CG48" i="3" s="1"/>
  <c r="K48" i="3"/>
  <c r="BT48" i="3" s="1"/>
  <c r="BH48" i="3"/>
  <c r="DQ48" i="3" s="1"/>
  <c r="AG48" i="3"/>
  <c r="CP48" i="3" s="1"/>
  <c r="M48" i="3"/>
  <c r="BV48" i="3" s="1"/>
  <c r="BG48" i="3"/>
  <c r="DP48" i="3" s="1"/>
  <c r="AF48" i="3"/>
  <c r="CO48" i="3" s="1"/>
  <c r="L48" i="3"/>
  <c r="BU48" i="3" s="1"/>
  <c r="BE48" i="3"/>
  <c r="DN48" i="3" s="1"/>
  <c r="AE48" i="3"/>
  <c r="CN48" i="3" s="1"/>
  <c r="BB48" i="3"/>
  <c r="DK48" i="3" s="1"/>
  <c r="AD48" i="3"/>
  <c r="CM48" i="3" s="1"/>
  <c r="AW48" i="3"/>
  <c r="DF48" i="3" s="1"/>
  <c r="AC48" i="3"/>
  <c r="CL48" i="3" s="1"/>
  <c r="AU48" i="3"/>
  <c r="DD48" i="3" s="1"/>
  <c r="AA48" i="3"/>
  <c r="CJ48" i="3" s="1"/>
  <c r="AR48" i="3"/>
  <c r="DA48" i="3" s="1"/>
  <c r="T48" i="3"/>
  <c r="CC48" i="3" s="1"/>
  <c r="AQ48" i="3"/>
  <c r="CZ48" i="3" s="1"/>
  <c r="S48" i="3"/>
  <c r="CB48" i="3" s="1"/>
  <c r="BJ48" i="3"/>
  <c r="DS48" i="3" s="1"/>
  <c r="AP48" i="3"/>
  <c r="CY48" i="3" s="1"/>
  <c r="Q48" i="3"/>
  <c r="BZ48" i="3" s="1"/>
  <c r="BI48" i="3"/>
  <c r="DR48" i="3" s="1"/>
  <c r="AO48" i="3"/>
  <c r="CX48" i="3" s="1"/>
  <c r="N48" i="3"/>
  <c r="BW48" i="3" s="1"/>
  <c r="O66" i="2"/>
  <c r="N66" i="2"/>
  <c r="BL16" i="3"/>
  <c r="DU16" i="3" s="1"/>
  <c r="BB16" i="3"/>
  <c r="DK16" i="3" s="1"/>
  <c r="AR16" i="3"/>
  <c r="DA16" i="3" s="1"/>
  <c r="AH16" i="3"/>
  <c r="CQ16" i="3" s="1"/>
  <c r="X16" i="3"/>
  <c r="CG16" i="3" s="1"/>
  <c r="N16" i="3"/>
  <c r="BW16" i="3" s="1"/>
  <c r="BK16" i="3"/>
  <c r="DT16" i="3" s="1"/>
  <c r="BA16" i="3"/>
  <c r="DJ16" i="3" s="1"/>
  <c r="AQ16" i="3"/>
  <c r="CZ16" i="3" s="1"/>
  <c r="AG16" i="3"/>
  <c r="CP16" i="3" s="1"/>
  <c r="W16" i="3"/>
  <c r="CF16" i="3" s="1"/>
  <c r="M16" i="3"/>
  <c r="BV16" i="3" s="1"/>
  <c r="BH16" i="3"/>
  <c r="DQ16" i="3" s="1"/>
  <c r="AV16" i="3"/>
  <c r="DE16" i="3" s="1"/>
  <c r="AJ16" i="3"/>
  <c r="CS16" i="3" s="1"/>
  <c r="V16" i="3"/>
  <c r="CE16" i="3" s="1"/>
  <c r="J16" i="3"/>
  <c r="BS16" i="3" s="1"/>
  <c r="BG16" i="3"/>
  <c r="DP16" i="3" s="1"/>
  <c r="AU16" i="3"/>
  <c r="DD16" i="3" s="1"/>
  <c r="AI16" i="3"/>
  <c r="CR16" i="3" s="1"/>
  <c r="U16" i="3"/>
  <c r="CD16" i="3" s="1"/>
  <c r="I16" i="3"/>
  <c r="BR16" i="3" s="1"/>
  <c r="BF16" i="3"/>
  <c r="DO16" i="3" s="1"/>
  <c r="AT16" i="3"/>
  <c r="DC16" i="3" s="1"/>
  <c r="AF16" i="3"/>
  <c r="CO16" i="3" s="1"/>
  <c r="T16" i="3"/>
  <c r="CC16" i="3" s="1"/>
  <c r="H16" i="3"/>
  <c r="BQ16" i="3" s="1"/>
  <c r="BE16" i="3"/>
  <c r="DN16" i="3" s="1"/>
  <c r="AS16" i="3"/>
  <c r="DB16" i="3" s="1"/>
  <c r="AE16" i="3"/>
  <c r="CN16" i="3" s="1"/>
  <c r="S16" i="3"/>
  <c r="CB16" i="3" s="1"/>
  <c r="G16" i="3"/>
  <c r="BP16" i="3" s="1"/>
  <c r="BD16" i="3"/>
  <c r="DM16" i="3" s="1"/>
  <c r="AP16" i="3"/>
  <c r="CY16" i="3" s="1"/>
  <c r="AD16" i="3"/>
  <c r="CM16" i="3" s="1"/>
  <c r="R16" i="3"/>
  <c r="CA16" i="3" s="1"/>
  <c r="F16" i="3"/>
  <c r="BO16" i="3" s="1"/>
  <c r="BC16" i="3"/>
  <c r="DL16" i="3" s="1"/>
  <c r="BI16" i="3"/>
  <c r="DR16" i="3" s="1"/>
  <c r="AW16" i="3"/>
  <c r="DF16" i="3" s="1"/>
  <c r="AK16" i="3"/>
  <c r="CT16" i="3" s="1"/>
  <c r="Y16" i="3"/>
  <c r="CH16" i="3" s="1"/>
  <c r="K16" i="3"/>
  <c r="BT16" i="3" s="1"/>
  <c r="AL16" i="3"/>
  <c r="CU16" i="3" s="1"/>
  <c r="AC16" i="3"/>
  <c r="CL16" i="3" s="1"/>
  <c r="AB16" i="3"/>
  <c r="CK16" i="3" s="1"/>
  <c r="BJ16" i="3"/>
  <c r="DS16" i="3" s="1"/>
  <c r="AA16" i="3"/>
  <c r="CJ16" i="3" s="1"/>
  <c r="AZ16" i="3"/>
  <c r="DI16" i="3" s="1"/>
  <c r="Z16" i="3"/>
  <c r="CI16" i="3" s="1"/>
  <c r="AY16" i="3"/>
  <c r="DH16" i="3" s="1"/>
  <c r="Q16" i="3"/>
  <c r="BZ16" i="3" s="1"/>
  <c r="AX16" i="3"/>
  <c r="DG16" i="3" s="1"/>
  <c r="P16" i="3"/>
  <c r="BY16" i="3" s="1"/>
  <c r="AO16" i="3"/>
  <c r="CX16" i="3" s="1"/>
  <c r="O16" i="3"/>
  <c r="BX16" i="3" s="1"/>
  <c r="AN16" i="3"/>
  <c r="CW16" i="3" s="1"/>
  <c r="L16" i="3"/>
  <c r="BU16" i="3" s="1"/>
  <c r="AM16" i="3"/>
  <c r="CV16" i="3" s="1"/>
  <c r="E16" i="3"/>
  <c r="BN16" i="3" s="1"/>
  <c r="O26" i="2"/>
  <c r="BE130" i="3"/>
  <c r="DN130" i="3" s="1"/>
  <c r="AU130" i="3"/>
  <c r="DD130" i="3" s="1"/>
  <c r="AK130" i="3"/>
  <c r="CT130" i="3" s="1"/>
  <c r="AA130" i="3"/>
  <c r="CJ130" i="3" s="1"/>
  <c r="Q130" i="3"/>
  <c r="BZ130" i="3" s="1"/>
  <c r="G130" i="3"/>
  <c r="BP130" i="3" s="1"/>
  <c r="BD130" i="3"/>
  <c r="DM130" i="3" s="1"/>
  <c r="AT130" i="3"/>
  <c r="DC130" i="3" s="1"/>
  <c r="AJ130" i="3"/>
  <c r="CS130" i="3" s="1"/>
  <c r="Z130" i="3"/>
  <c r="CI130" i="3" s="1"/>
  <c r="P130" i="3"/>
  <c r="BY130" i="3" s="1"/>
  <c r="F130" i="3"/>
  <c r="BO130" i="3" s="1"/>
  <c r="BI130" i="3"/>
  <c r="DR130" i="3" s="1"/>
  <c r="AW130" i="3"/>
  <c r="DF130" i="3" s="1"/>
  <c r="AI130" i="3"/>
  <c r="CR130" i="3" s="1"/>
  <c r="W130" i="3"/>
  <c r="CF130" i="3" s="1"/>
  <c r="K130" i="3"/>
  <c r="BT130" i="3" s="1"/>
  <c r="BK130" i="3"/>
  <c r="DT130" i="3" s="1"/>
  <c r="AY130" i="3"/>
  <c r="DH130" i="3" s="1"/>
  <c r="AM130" i="3"/>
  <c r="CV130" i="3" s="1"/>
  <c r="Y130" i="3"/>
  <c r="CH130" i="3" s="1"/>
  <c r="M130" i="3"/>
  <c r="BV130" i="3" s="1"/>
  <c r="AZ130" i="3"/>
  <c r="DI130" i="3" s="1"/>
  <c r="AH130" i="3"/>
  <c r="CQ130" i="3" s="1"/>
  <c r="T130" i="3"/>
  <c r="CC130" i="3" s="1"/>
  <c r="BB130" i="3"/>
  <c r="DK130" i="3" s="1"/>
  <c r="AN130" i="3"/>
  <c r="CW130" i="3" s="1"/>
  <c r="V130" i="3"/>
  <c r="CE130" i="3" s="1"/>
  <c r="H130" i="3"/>
  <c r="BQ130" i="3" s="1"/>
  <c r="BA130" i="3"/>
  <c r="DJ130" i="3" s="1"/>
  <c r="AL130" i="3"/>
  <c r="CU130" i="3" s="1"/>
  <c r="U130" i="3"/>
  <c r="CD130" i="3" s="1"/>
  <c r="E130" i="3"/>
  <c r="BN130" i="3" s="1"/>
  <c r="BC130" i="3"/>
  <c r="DL130" i="3" s="1"/>
  <c r="AE130" i="3"/>
  <c r="CN130" i="3" s="1"/>
  <c r="J130" i="3"/>
  <c r="BS130" i="3" s="1"/>
  <c r="BJ130" i="3"/>
  <c r="DS130" i="3" s="1"/>
  <c r="AP130" i="3"/>
  <c r="CY130" i="3" s="1"/>
  <c r="R130" i="3"/>
  <c r="CA130" i="3" s="1"/>
  <c r="BH130" i="3"/>
  <c r="DQ130" i="3" s="1"/>
  <c r="AO130" i="3"/>
  <c r="CX130" i="3" s="1"/>
  <c r="O130" i="3"/>
  <c r="BX130" i="3" s="1"/>
  <c r="BG130" i="3"/>
  <c r="DP130" i="3" s="1"/>
  <c r="AG130" i="3"/>
  <c r="CP130" i="3" s="1"/>
  <c r="N130" i="3"/>
  <c r="BW130" i="3" s="1"/>
  <c r="AC130" i="3"/>
  <c r="CL130" i="3" s="1"/>
  <c r="BL130" i="3"/>
  <c r="DU130" i="3" s="1"/>
  <c r="AB130" i="3"/>
  <c r="CK130" i="3" s="1"/>
  <c r="BF130" i="3"/>
  <c r="DO130" i="3" s="1"/>
  <c r="X130" i="3"/>
  <c r="CG130" i="3" s="1"/>
  <c r="AX130" i="3"/>
  <c r="DG130" i="3" s="1"/>
  <c r="S130" i="3"/>
  <c r="CB130" i="3" s="1"/>
  <c r="AV130" i="3"/>
  <c r="DE130" i="3" s="1"/>
  <c r="L130" i="3"/>
  <c r="BU130" i="3" s="1"/>
  <c r="AS130" i="3"/>
  <c r="DB130" i="3" s="1"/>
  <c r="I130" i="3"/>
  <c r="BR130" i="3" s="1"/>
  <c r="AR130" i="3"/>
  <c r="DA130" i="3" s="1"/>
  <c r="AQ130" i="3"/>
  <c r="CZ130" i="3" s="1"/>
  <c r="AF130" i="3"/>
  <c r="CO130" i="3" s="1"/>
  <c r="AD130" i="3"/>
  <c r="CM130" i="3" s="1"/>
  <c r="K139" i="2"/>
  <c r="L139" i="2" s="1"/>
  <c r="BK114" i="3"/>
  <c r="DT114" i="3" s="1"/>
  <c r="BA114" i="3"/>
  <c r="DJ114" i="3" s="1"/>
  <c r="AQ114" i="3"/>
  <c r="CZ114" i="3" s="1"/>
  <c r="AG114" i="3"/>
  <c r="CP114" i="3" s="1"/>
  <c r="W114" i="3"/>
  <c r="CF114" i="3" s="1"/>
  <c r="M114" i="3"/>
  <c r="BV114" i="3" s="1"/>
  <c r="BC114" i="3"/>
  <c r="DL114" i="3" s="1"/>
  <c r="AS114" i="3"/>
  <c r="DB114" i="3" s="1"/>
  <c r="AI114" i="3"/>
  <c r="CR114" i="3" s="1"/>
  <c r="Y114" i="3"/>
  <c r="CH114" i="3" s="1"/>
  <c r="O114" i="3"/>
  <c r="BX114" i="3" s="1"/>
  <c r="E114" i="3"/>
  <c r="BN114" i="3" s="1"/>
  <c r="BJ114" i="3"/>
  <c r="DS114" i="3" s="1"/>
  <c r="AX114" i="3"/>
  <c r="DG114" i="3" s="1"/>
  <c r="AL114" i="3"/>
  <c r="CU114" i="3" s="1"/>
  <c r="Z114" i="3"/>
  <c r="CI114" i="3" s="1"/>
  <c r="L114" i="3"/>
  <c r="BU114" i="3" s="1"/>
  <c r="AZ114" i="3"/>
  <c r="DI114" i="3" s="1"/>
  <c r="AN114" i="3"/>
  <c r="CW114" i="3" s="1"/>
  <c r="AB114" i="3"/>
  <c r="CK114" i="3" s="1"/>
  <c r="P114" i="3"/>
  <c r="BY114" i="3" s="1"/>
  <c r="BL114" i="3"/>
  <c r="DU114" i="3" s="1"/>
  <c r="AY114" i="3"/>
  <c r="DH114" i="3" s="1"/>
  <c r="AM114" i="3"/>
  <c r="CV114" i="3" s="1"/>
  <c r="AA114" i="3"/>
  <c r="CJ114" i="3" s="1"/>
  <c r="N114" i="3"/>
  <c r="BW114" i="3" s="1"/>
  <c r="BB114" i="3"/>
  <c r="DK114" i="3" s="1"/>
  <c r="AH114" i="3"/>
  <c r="CQ114" i="3" s="1"/>
  <c r="R114" i="3"/>
  <c r="CA114" i="3" s="1"/>
  <c r="AT114" i="3"/>
  <c r="DC114" i="3" s="1"/>
  <c r="X114" i="3"/>
  <c r="CG114" i="3" s="1"/>
  <c r="G114" i="3"/>
  <c r="BP114" i="3" s="1"/>
  <c r="BI114" i="3"/>
  <c r="DR114" i="3" s="1"/>
  <c r="AR114" i="3"/>
  <c r="DA114" i="3" s="1"/>
  <c r="V114" i="3"/>
  <c r="CE114" i="3" s="1"/>
  <c r="F114" i="3"/>
  <c r="BO114" i="3" s="1"/>
  <c r="AW114" i="3"/>
  <c r="DF114" i="3" s="1"/>
  <c r="AE114" i="3"/>
  <c r="CN114" i="3" s="1"/>
  <c r="J114" i="3"/>
  <c r="BS114" i="3" s="1"/>
  <c r="AV114" i="3"/>
  <c r="DE114" i="3" s="1"/>
  <c r="T114" i="3"/>
  <c r="CC114" i="3" s="1"/>
  <c r="AU114" i="3"/>
  <c r="DD114" i="3" s="1"/>
  <c r="S114" i="3"/>
  <c r="CB114" i="3" s="1"/>
  <c r="AP114" i="3"/>
  <c r="CY114" i="3" s="1"/>
  <c r="Q114" i="3"/>
  <c r="BZ114" i="3" s="1"/>
  <c r="AO114" i="3"/>
  <c r="CX114" i="3" s="1"/>
  <c r="K114" i="3"/>
  <c r="BT114" i="3" s="1"/>
  <c r="AK114" i="3"/>
  <c r="CT114" i="3" s="1"/>
  <c r="I114" i="3"/>
  <c r="BR114" i="3" s="1"/>
  <c r="BH114" i="3"/>
  <c r="DQ114" i="3" s="1"/>
  <c r="AJ114" i="3"/>
  <c r="CS114" i="3" s="1"/>
  <c r="H114" i="3"/>
  <c r="BQ114" i="3" s="1"/>
  <c r="BG114" i="3"/>
  <c r="DP114" i="3" s="1"/>
  <c r="AF114" i="3"/>
  <c r="CO114" i="3" s="1"/>
  <c r="BF114" i="3"/>
  <c r="DO114" i="3" s="1"/>
  <c r="AD114" i="3"/>
  <c r="CM114" i="3" s="1"/>
  <c r="BE114" i="3"/>
  <c r="DN114" i="3" s="1"/>
  <c r="AC114" i="3"/>
  <c r="CL114" i="3" s="1"/>
  <c r="U114" i="3"/>
  <c r="CD114" i="3" s="1"/>
  <c r="BD114" i="3"/>
  <c r="DM114" i="3" s="1"/>
  <c r="BC225" i="3"/>
  <c r="DL225" i="3" s="1"/>
  <c r="AS225" i="3"/>
  <c r="DB225" i="3" s="1"/>
  <c r="AI225" i="3"/>
  <c r="CR225" i="3" s="1"/>
  <c r="Y225" i="3"/>
  <c r="CH225" i="3" s="1"/>
  <c r="O225" i="3"/>
  <c r="BX225" i="3" s="1"/>
  <c r="E225" i="3"/>
  <c r="BN225" i="3" s="1"/>
  <c r="BL225" i="3"/>
  <c r="DU225" i="3" s="1"/>
  <c r="BB225" i="3"/>
  <c r="DK225" i="3" s="1"/>
  <c r="AR225" i="3"/>
  <c r="DA225" i="3" s="1"/>
  <c r="AH225" i="3"/>
  <c r="CQ225" i="3" s="1"/>
  <c r="X225" i="3"/>
  <c r="CG225" i="3" s="1"/>
  <c r="N225" i="3"/>
  <c r="BW225" i="3" s="1"/>
  <c r="BJ225" i="3"/>
  <c r="DS225" i="3" s="1"/>
  <c r="AX225" i="3"/>
  <c r="DG225" i="3" s="1"/>
  <c r="AL225" i="3"/>
  <c r="CU225" i="3" s="1"/>
  <c r="Z225" i="3"/>
  <c r="CI225" i="3" s="1"/>
  <c r="L225" i="3"/>
  <c r="BU225" i="3" s="1"/>
  <c r="BI225" i="3"/>
  <c r="DR225" i="3" s="1"/>
  <c r="AW225" i="3"/>
  <c r="DF225" i="3" s="1"/>
  <c r="AK225" i="3"/>
  <c r="CT225" i="3" s="1"/>
  <c r="W225" i="3"/>
  <c r="CF225" i="3" s="1"/>
  <c r="K225" i="3"/>
  <c r="BT225" i="3" s="1"/>
  <c r="AZ225" i="3"/>
  <c r="DI225" i="3" s="1"/>
  <c r="AN225" i="3"/>
  <c r="CW225" i="3" s="1"/>
  <c r="AB225" i="3"/>
  <c r="CK225" i="3" s="1"/>
  <c r="P225" i="3"/>
  <c r="BY225" i="3" s="1"/>
  <c r="BF225" i="3"/>
  <c r="DO225" i="3" s="1"/>
  <c r="AO225" i="3"/>
  <c r="CX225" i="3" s="1"/>
  <c r="U225" i="3"/>
  <c r="CD225" i="3" s="1"/>
  <c r="F225" i="3"/>
  <c r="BO225" i="3" s="1"/>
  <c r="BK225" i="3"/>
  <c r="DT225" i="3" s="1"/>
  <c r="AQ225" i="3"/>
  <c r="CZ225" i="3" s="1"/>
  <c r="V225" i="3"/>
  <c r="CE225" i="3" s="1"/>
  <c r="BH225" i="3"/>
  <c r="DQ225" i="3" s="1"/>
  <c r="AP225" i="3"/>
  <c r="CY225" i="3" s="1"/>
  <c r="T225" i="3"/>
  <c r="CC225" i="3" s="1"/>
  <c r="BG225" i="3"/>
  <c r="DP225" i="3" s="1"/>
  <c r="AM225" i="3"/>
  <c r="CV225" i="3" s="1"/>
  <c r="S225" i="3"/>
  <c r="CB225" i="3" s="1"/>
  <c r="BE225" i="3"/>
  <c r="DN225" i="3" s="1"/>
  <c r="AJ225" i="3"/>
  <c r="CS225" i="3" s="1"/>
  <c r="R225" i="3"/>
  <c r="CA225" i="3" s="1"/>
  <c r="BD225" i="3"/>
  <c r="DM225" i="3" s="1"/>
  <c r="AG225" i="3"/>
  <c r="CP225" i="3" s="1"/>
  <c r="Q225" i="3"/>
  <c r="BZ225" i="3" s="1"/>
  <c r="BA225" i="3"/>
  <c r="DJ225" i="3" s="1"/>
  <c r="AF225" i="3"/>
  <c r="CO225" i="3" s="1"/>
  <c r="M225" i="3"/>
  <c r="BV225" i="3" s="1"/>
  <c r="AY225" i="3"/>
  <c r="DH225" i="3" s="1"/>
  <c r="AE225" i="3"/>
  <c r="CN225" i="3" s="1"/>
  <c r="J225" i="3"/>
  <c r="BS225" i="3" s="1"/>
  <c r="AV225" i="3"/>
  <c r="DE225" i="3" s="1"/>
  <c r="AD225" i="3"/>
  <c r="CM225" i="3" s="1"/>
  <c r="I225" i="3"/>
  <c r="BR225" i="3" s="1"/>
  <c r="AU225" i="3"/>
  <c r="DD225" i="3" s="1"/>
  <c r="AC225" i="3"/>
  <c r="CL225" i="3" s="1"/>
  <c r="H225" i="3"/>
  <c r="BQ225" i="3" s="1"/>
  <c r="AT225" i="3"/>
  <c r="DC225" i="3" s="1"/>
  <c r="AA225" i="3"/>
  <c r="CJ225" i="3" s="1"/>
  <c r="G225" i="3"/>
  <c r="BP225" i="3" s="1"/>
  <c r="BC128" i="3"/>
  <c r="DL128" i="3" s="1"/>
  <c r="AS128" i="3"/>
  <c r="DB128" i="3" s="1"/>
  <c r="AI128" i="3"/>
  <c r="CR128" i="3" s="1"/>
  <c r="Y128" i="3"/>
  <c r="CH128" i="3" s="1"/>
  <c r="O128" i="3"/>
  <c r="BX128" i="3" s="1"/>
  <c r="E128" i="3"/>
  <c r="BN128" i="3" s="1"/>
  <c r="BF128" i="3"/>
  <c r="DO128" i="3" s="1"/>
  <c r="AU128" i="3"/>
  <c r="DD128" i="3" s="1"/>
  <c r="AJ128" i="3"/>
  <c r="CS128" i="3" s="1"/>
  <c r="X128" i="3"/>
  <c r="CG128" i="3" s="1"/>
  <c r="M128" i="3"/>
  <c r="BV128" i="3" s="1"/>
  <c r="BH128" i="3"/>
  <c r="DQ128" i="3" s="1"/>
  <c r="AW128" i="3"/>
  <c r="DF128" i="3" s="1"/>
  <c r="AL128" i="3"/>
  <c r="CU128" i="3" s="1"/>
  <c r="AA128" i="3"/>
  <c r="CJ128" i="3" s="1"/>
  <c r="P128" i="3"/>
  <c r="BY128" i="3" s="1"/>
  <c r="BE128" i="3"/>
  <c r="DN128" i="3" s="1"/>
  <c r="AQ128" i="3"/>
  <c r="CZ128" i="3" s="1"/>
  <c r="AD128" i="3"/>
  <c r="CM128" i="3" s="1"/>
  <c r="Q128" i="3"/>
  <c r="BZ128" i="3" s="1"/>
  <c r="BI128" i="3"/>
  <c r="DR128" i="3" s="1"/>
  <c r="AT128" i="3"/>
  <c r="DC128" i="3" s="1"/>
  <c r="AF128" i="3"/>
  <c r="CO128" i="3" s="1"/>
  <c r="S128" i="3"/>
  <c r="CB128" i="3" s="1"/>
  <c r="F128" i="3"/>
  <c r="BO128" i="3" s="1"/>
  <c r="BG128" i="3"/>
  <c r="DP128" i="3" s="1"/>
  <c r="AR128" i="3"/>
  <c r="DA128" i="3" s="1"/>
  <c r="AE128" i="3"/>
  <c r="CN128" i="3" s="1"/>
  <c r="R128" i="3"/>
  <c r="CA128" i="3" s="1"/>
  <c r="BD128" i="3"/>
  <c r="DM128" i="3" s="1"/>
  <c r="AM128" i="3"/>
  <c r="CV128" i="3" s="1"/>
  <c r="T128" i="3"/>
  <c r="CC128" i="3" s="1"/>
  <c r="AV128" i="3"/>
  <c r="DE128" i="3" s="1"/>
  <c r="Z128" i="3"/>
  <c r="CI128" i="3" s="1"/>
  <c r="H128" i="3"/>
  <c r="BQ128" i="3" s="1"/>
  <c r="BL128" i="3"/>
  <c r="DU128" i="3" s="1"/>
  <c r="AP128" i="3"/>
  <c r="CY128" i="3" s="1"/>
  <c r="W128" i="3"/>
  <c r="CF128" i="3" s="1"/>
  <c r="G128" i="3"/>
  <c r="BP128" i="3" s="1"/>
  <c r="BK128" i="3"/>
  <c r="DT128" i="3" s="1"/>
  <c r="AO128" i="3"/>
  <c r="CX128" i="3" s="1"/>
  <c r="V128" i="3"/>
  <c r="CE128" i="3" s="1"/>
  <c r="AN128" i="3"/>
  <c r="CW128" i="3" s="1"/>
  <c r="J128" i="3"/>
  <c r="BS128" i="3" s="1"/>
  <c r="AK128" i="3"/>
  <c r="CT128" i="3" s="1"/>
  <c r="I128" i="3"/>
  <c r="BR128" i="3" s="1"/>
  <c r="AH128" i="3"/>
  <c r="CQ128" i="3" s="1"/>
  <c r="AG128" i="3"/>
  <c r="CP128" i="3" s="1"/>
  <c r="BJ128" i="3"/>
  <c r="DS128" i="3" s="1"/>
  <c r="AC128" i="3"/>
  <c r="CL128" i="3" s="1"/>
  <c r="BB128" i="3"/>
  <c r="DK128" i="3" s="1"/>
  <c r="AB128" i="3"/>
  <c r="CK128" i="3" s="1"/>
  <c r="BA128" i="3"/>
  <c r="DJ128" i="3" s="1"/>
  <c r="U128" i="3"/>
  <c r="CD128" i="3" s="1"/>
  <c r="AZ128" i="3"/>
  <c r="DI128" i="3" s="1"/>
  <c r="N128" i="3"/>
  <c r="BW128" i="3" s="1"/>
  <c r="AY128" i="3"/>
  <c r="DH128" i="3" s="1"/>
  <c r="AX128" i="3"/>
  <c r="DG128" i="3" s="1"/>
  <c r="L128" i="3"/>
  <c r="BU128" i="3" s="1"/>
  <c r="K128" i="3"/>
  <c r="BT128" i="3" s="1"/>
  <c r="J157" i="2"/>
  <c r="K157" i="2" s="1"/>
  <c r="L157" i="2" s="1"/>
  <c r="N318" i="2"/>
  <c r="O318" i="2"/>
  <c r="N159" i="2"/>
  <c r="O159" i="2"/>
  <c r="N217" i="2"/>
  <c r="O217" i="2"/>
  <c r="N319" i="2"/>
  <c r="O319" i="2"/>
  <c r="BI102" i="3"/>
  <c r="DR102" i="3" s="1"/>
  <c r="AY102" i="3"/>
  <c r="DH102" i="3" s="1"/>
  <c r="AO102" i="3"/>
  <c r="CX102" i="3" s="1"/>
  <c r="AE102" i="3"/>
  <c r="CN102" i="3" s="1"/>
  <c r="U102" i="3"/>
  <c r="CD102" i="3" s="1"/>
  <c r="K102" i="3"/>
  <c r="BT102" i="3" s="1"/>
  <c r="BJ102" i="3"/>
  <c r="DS102" i="3" s="1"/>
  <c r="AX102" i="3"/>
  <c r="DG102" i="3" s="1"/>
  <c r="AM102" i="3"/>
  <c r="CV102" i="3" s="1"/>
  <c r="AB102" i="3"/>
  <c r="CK102" i="3" s="1"/>
  <c r="Q102" i="3"/>
  <c r="BZ102" i="3" s="1"/>
  <c r="F102" i="3"/>
  <c r="BO102" i="3" s="1"/>
  <c r="BL102" i="3"/>
  <c r="DU102" i="3" s="1"/>
  <c r="BA102" i="3"/>
  <c r="DJ102" i="3" s="1"/>
  <c r="AP102" i="3"/>
  <c r="CY102" i="3" s="1"/>
  <c r="AD102" i="3"/>
  <c r="CM102" i="3" s="1"/>
  <c r="S102" i="3"/>
  <c r="CB102" i="3" s="1"/>
  <c r="H102" i="3"/>
  <c r="BQ102" i="3" s="1"/>
  <c r="BK102" i="3"/>
  <c r="DT102" i="3" s="1"/>
  <c r="AZ102" i="3"/>
  <c r="DI102" i="3" s="1"/>
  <c r="AN102" i="3"/>
  <c r="CW102" i="3" s="1"/>
  <c r="AC102" i="3"/>
  <c r="CL102" i="3" s="1"/>
  <c r="R102" i="3"/>
  <c r="CA102" i="3" s="1"/>
  <c r="G102" i="3"/>
  <c r="BP102" i="3" s="1"/>
  <c r="AW102" i="3"/>
  <c r="DF102" i="3" s="1"/>
  <c r="AI102" i="3"/>
  <c r="CR102" i="3" s="1"/>
  <c r="T102" i="3"/>
  <c r="CC102" i="3" s="1"/>
  <c r="AV102" i="3"/>
  <c r="DE102" i="3" s="1"/>
  <c r="AH102" i="3"/>
  <c r="CQ102" i="3" s="1"/>
  <c r="P102" i="3"/>
  <c r="BY102" i="3" s="1"/>
  <c r="BD102" i="3"/>
  <c r="DM102" i="3" s="1"/>
  <c r="AL102" i="3"/>
  <c r="CU102" i="3" s="1"/>
  <c r="X102" i="3"/>
  <c r="CG102" i="3" s="1"/>
  <c r="I102" i="3"/>
  <c r="BR102" i="3" s="1"/>
  <c r="BE102" i="3"/>
  <c r="DN102" i="3" s="1"/>
  <c r="AG102" i="3"/>
  <c r="CP102" i="3" s="1"/>
  <c r="L102" i="3"/>
  <c r="BU102" i="3" s="1"/>
  <c r="BC102" i="3"/>
  <c r="DL102" i="3" s="1"/>
  <c r="AF102" i="3"/>
  <c r="CO102" i="3" s="1"/>
  <c r="J102" i="3"/>
  <c r="BS102" i="3" s="1"/>
  <c r="BB102" i="3"/>
  <c r="DK102" i="3" s="1"/>
  <c r="AA102" i="3"/>
  <c r="CJ102" i="3" s="1"/>
  <c r="E102" i="3"/>
  <c r="BN102" i="3" s="1"/>
  <c r="AU102" i="3"/>
  <c r="DD102" i="3" s="1"/>
  <c r="Z102" i="3"/>
  <c r="CI102" i="3" s="1"/>
  <c r="AT102" i="3"/>
  <c r="DC102" i="3" s="1"/>
  <c r="Y102" i="3"/>
  <c r="CH102" i="3" s="1"/>
  <c r="AS102" i="3"/>
  <c r="DB102" i="3" s="1"/>
  <c r="W102" i="3"/>
  <c r="CF102" i="3" s="1"/>
  <c r="AR102" i="3"/>
  <c r="DA102" i="3" s="1"/>
  <c r="V102" i="3"/>
  <c r="CE102" i="3" s="1"/>
  <c r="BH102" i="3"/>
  <c r="DQ102" i="3" s="1"/>
  <c r="AQ102" i="3"/>
  <c r="CZ102" i="3" s="1"/>
  <c r="O102" i="3"/>
  <c r="BX102" i="3" s="1"/>
  <c r="BG102" i="3"/>
  <c r="DP102" i="3" s="1"/>
  <c r="AK102" i="3"/>
  <c r="CT102" i="3" s="1"/>
  <c r="N102" i="3"/>
  <c r="BW102" i="3" s="1"/>
  <c r="BF102" i="3"/>
  <c r="DO102" i="3" s="1"/>
  <c r="AJ102" i="3"/>
  <c r="CS102" i="3" s="1"/>
  <c r="M102" i="3"/>
  <c r="BV102" i="3" s="1"/>
  <c r="BG152" i="3"/>
  <c r="DP152" i="3" s="1"/>
  <c r="AW152" i="3"/>
  <c r="DF152" i="3" s="1"/>
  <c r="AM152" i="3"/>
  <c r="CV152" i="3" s="1"/>
  <c r="AC152" i="3"/>
  <c r="CL152" i="3" s="1"/>
  <c r="S152" i="3"/>
  <c r="CB152" i="3" s="1"/>
  <c r="I152" i="3"/>
  <c r="BR152" i="3" s="1"/>
  <c r="BF152" i="3"/>
  <c r="DO152" i="3" s="1"/>
  <c r="AV152" i="3"/>
  <c r="DE152" i="3" s="1"/>
  <c r="AL152" i="3"/>
  <c r="CU152" i="3" s="1"/>
  <c r="AB152" i="3"/>
  <c r="CK152" i="3" s="1"/>
  <c r="R152" i="3"/>
  <c r="CA152" i="3" s="1"/>
  <c r="H152" i="3"/>
  <c r="BQ152" i="3" s="1"/>
  <c r="BI152" i="3"/>
  <c r="DR152" i="3" s="1"/>
  <c r="AY152" i="3"/>
  <c r="DH152" i="3" s="1"/>
  <c r="AO152" i="3"/>
  <c r="CX152" i="3" s="1"/>
  <c r="AE152" i="3"/>
  <c r="CN152" i="3" s="1"/>
  <c r="U152" i="3"/>
  <c r="CD152" i="3" s="1"/>
  <c r="K152" i="3"/>
  <c r="BT152" i="3" s="1"/>
  <c r="AZ152" i="3"/>
  <c r="DI152" i="3" s="1"/>
  <c r="AJ152" i="3"/>
  <c r="CS152" i="3" s="1"/>
  <c r="W152" i="3"/>
  <c r="CF152" i="3" s="1"/>
  <c r="G152" i="3"/>
  <c r="BP152" i="3" s="1"/>
  <c r="BL152" i="3"/>
  <c r="DU152" i="3" s="1"/>
  <c r="AX152" i="3"/>
  <c r="DG152" i="3" s="1"/>
  <c r="AI152" i="3"/>
  <c r="CR152" i="3" s="1"/>
  <c r="V152" i="3"/>
  <c r="CE152" i="3" s="1"/>
  <c r="F152" i="3"/>
  <c r="BO152" i="3" s="1"/>
  <c r="BK152" i="3"/>
  <c r="DT152" i="3" s="1"/>
  <c r="AU152" i="3"/>
  <c r="DD152" i="3" s="1"/>
  <c r="AH152" i="3"/>
  <c r="CQ152" i="3" s="1"/>
  <c r="T152" i="3"/>
  <c r="CC152" i="3" s="1"/>
  <c r="E152" i="3"/>
  <c r="BN152" i="3" s="1"/>
  <c r="BB152" i="3"/>
  <c r="DK152" i="3" s="1"/>
  <c r="AN152" i="3"/>
  <c r="CW152" i="3" s="1"/>
  <c r="Y152" i="3"/>
  <c r="CH152" i="3" s="1"/>
  <c r="L152" i="3"/>
  <c r="BU152" i="3" s="1"/>
  <c r="BA152" i="3"/>
  <c r="DJ152" i="3" s="1"/>
  <c r="AK152" i="3"/>
  <c r="CT152" i="3" s="1"/>
  <c r="X152" i="3"/>
  <c r="CG152" i="3" s="1"/>
  <c r="J152" i="3"/>
  <c r="BS152" i="3" s="1"/>
  <c r="BJ152" i="3"/>
  <c r="DS152" i="3" s="1"/>
  <c r="AG152" i="3"/>
  <c r="CP152" i="3" s="1"/>
  <c r="BH152" i="3"/>
  <c r="DQ152" i="3" s="1"/>
  <c r="AF152" i="3"/>
  <c r="CO152" i="3" s="1"/>
  <c r="BE152" i="3"/>
  <c r="DN152" i="3" s="1"/>
  <c r="AD152" i="3"/>
  <c r="CM152" i="3" s="1"/>
  <c r="AQ152" i="3"/>
  <c r="CZ152" i="3" s="1"/>
  <c r="N152" i="3"/>
  <c r="BW152" i="3" s="1"/>
  <c r="AP152" i="3"/>
  <c r="CY152" i="3" s="1"/>
  <c r="M152" i="3"/>
  <c r="BV152" i="3" s="1"/>
  <c r="Z152" i="3"/>
  <c r="CI152" i="3" s="1"/>
  <c r="AT152" i="3"/>
  <c r="DC152" i="3" s="1"/>
  <c r="AS152" i="3"/>
  <c r="DB152" i="3" s="1"/>
  <c r="AR152" i="3"/>
  <c r="DA152" i="3" s="1"/>
  <c r="BD152" i="3"/>
  <c r="DM152" i="3" s="1"/>
  <c r="BC152" i="3"/>
  <c r="DL152" i="3" s="1"/>
  <c r="AA152" i="3"/>
  <c r="CJ152" i="3" s="1"/>
  <c r="Q152" i="3"/>
  <c r="BZ152" i="3" s="1"/>
  <c r="P152" i="3"/>
  <c r="BY152" i="3" s="1"/>
  <c r="O152" i="3"/>
  <c r="BX152" i="3" s="1"/>
  <c r="N268" i="2"/>
  <c r="O268" i="2"/>
  <c r="BC318" i="3"/>
  <c r="DL318" i="3" s="1"/>
  <c r="AS318" i="3"/>
  <c r="DB318" i="3" s="1"/>
  <c r="AI318" i="3"/>
  <c r="CR318" i="3" s="1"/>
  <c r="Y318" i="3"/>
  <c r="CH318" i="3" s="1"/>
  <c r="O318" i="3"/>
  <c r="BX318" i="3" s="1"/>
  <c r="E318" i="3"/>
  <c r="BN318" i="3" s="1"/>
  <c r="BL318" i="3"/>
  <c r="DU318" i="3" s="1"/>
  <c r="BB318" i="3"/>
  <c r="DK318" i="3" s="1"/>
  <c r="AR318" i="3"/>
  <c r="DA318" i="3" s="1"/>
  <c r="AH318" i="3"/>
  <c r="CQ318" i="3" s="1"/>
  <c r="X318" i="3"/>
  <c r="CG318" i="3" s="1"/>
  <c r="N318" i="3"/>
  <c r="BW318" i="3" s="1"/>
  <c r="BE318" i="3"/>
  <c r="DN318" i="3" s="1"/>
  <c r="AU318" i="3"/>
  <c r="DD318" i="3" s="1"/>
  <c r="AK318" i="3"/>
  <c r="CT318" i="3" s="1"/>
  <c r="AA318" i="3"/>
  <c r="CJ318" i="3" s="1"/>
  <c r="Q318" i="3"/>
  <c r="BZ318" i="3" s="1"/>
  <c r="G318" i="3"/>
  <c r="BP318" i="3" s="1"/>
  <c r="BH318" i="3"/>
  <c r="DQ318" i="3" s="1"/>
  <c r="AT318" i="3"/>
  <c r="DC318" i="3" s="1"/>
  <c r="AE318" i="3"/>
  <c r="CN318" i="3" s="1"/>
  <c r="R318" i="3"/>
  <c r="CA318" i="3" s="1"/>
  <c r="BG318" i="3"/>
  <c r="DP318" i="3" s="1"/>
  <c r="AQ318" i="3"/>
  <c r="CZ318" i="3" s="1"/>
  <c r="AD318" i="3"/>
  <c r="CM318" i="3" s="1"/>
  <c r="P318" i="3"/>
  <c r="BY318" i="3" s="1"/>
  <c r="BJ318" i="3"/>
  <c r="DS318" i="3" s="1"/>
  <c r="AW318" i="3"/>
  <c r="DF318" i="3" s="1"/>
  <c r="AG318" i="3"/>
  <c r="CP318" i="3" s="1"/>
  <c r="T318" i="3"/>
  <c r="CC318" i="3" s="1"/>
  <c r="F318" i="3"/>
  <c r="BO318" i="3" s="1"/>
  <c r="AY318" i="3"/>
  <c r="DH318" i="3" s="1"/>
  <c r="AC318" i="3"/>
  <c r="CL318" i="3" s="1"/>
  <c r="J318" i="3"/>
  <c r="BS318" i="3" s="1"/>
  <c r="AX318" i="3"/>
  <c r="DG318" i="3" s="1"/>
  <c r="AB318" i="3"/>
  <c r="CK318" i="3" s="1"/>
  <c r="I318" i="3"/>
  <c r="BR318" i="3" s="1"/>
  <c r="AV318" i="3"/>
  <c r="DE318" i="3" s="1"/>
  <c r="Z318" i="3"/>
  <c r="CI318" i="3" s="1"/>
  <c r="H318" i="3"/>
  <c r="BQ318" i="3" s="1"/>
  <c r="AP318" i="3"/>
  <c r="CY318" i="3" s="1"/>
  <c r="W318" i="3"/>
  <c r="CF318" i="3" s="1"/>
  <c r="BK318" i="3"/>
  <c r="DT318" i="3" s="1"/>
  <c r="AO318" i="3"/>
  <c r="CX318" i="3" s="1"/>
  <c r="V318" i="3"/>
  <c r="CE318" i="3" s="1"/>
  <c r="BD318" i="3"/>
  <c r="DM318" i="3" s="1"/>
  <c r="AL318" i="3"/>
  <c r="CU318" i="3" s="1"/>
  <c r="M318" i="3"/>
  <c r="BV318" i="3" s="1"/>
  <c r="AN318" i="3"/>
  <c r="CW318" i="3" s="1"/>
  <c r="AM318" i="3"/>
  <c r="CV318" i="3" s="1"/>
  <c r="AJ318" i="3"/>
  <c r="CS318" i="3" s="1"/>
  <c r="AF318" i="3"/>
  <c r="CO318" i="3" s="1"/>
  <c r="U318" i="3"/>
  <c r="CD318" i="3" s="1"/>
  <c r="S318" i="3"/>
  <c r="CB318" i="3" s="1"/>
  <c r="BI318" i="3"/>
  <c r="DR318" i="3" s="1"/>
  <c r="L318" i="3"/>
  <c r="BU318" i="3" s="1"/>
  <c r="BF318" i="3"/>
  <c r="DO318" i="3" s="1"/>
  <c r="K318" i="3"/>
  <c r="BT318" i="3" s="1"/>
  <c r="BA318" i="3"/>
  <c r="DJ318" i="3" s="1"/>
  <c r="AZ318" i="3"/>
  <c r="DI318" i="3" s="1"/>
  <c r="J128" i="2"/>
  <c r="K128" i="2" s="1"/>
  <c r="L128" i="2" s="1"/>
  <c r="BJ179" i="3"/>
  <c r="DS179" i="3" s="1"/>
  <c r="AZ179" i="3"/>
  <c r="DI179" i="3" s="1"/>
  <c r="AP179" i="3"/>
  <c r="CY179" i="3" s="1"/>
  <c r="AF179" i="3"/>
  <c r="CO179" i="3" s="1"/>
  <c r="V179" i="3"/>
  <c r="CE179" i="3" s="1"/>
  <c r="L179" i="3"/>
  <c r="BU179" i="3" s="1"/>
  <c r="BI179" i="3"/>
  <c r="DR179" i="3" s="1"/>
  <c r="AY179" i="3"/>
  <c r="DH179" i="3" s="1"/>
  <c r="AO179" i="3"/>
  <c r="CX179" i="3" s="1"/>
  <c r="AE179" i="3"/>
  <c r="CN179" i="3" s="1"/>
  <c r="U179" i="3"/>
  <c r="CD179" i="3" s="1"/>
  <c r="K179" i="3"/>
  <c r="BT179" i="3" s="1"/>
  <c r="BL179" i="3"/>
  <c r="DU179" i="3" s="1"/>
  <c r="BB179" i="3"/>
  <c r="DK179" i="3" s="1"/>
  <c r="AR179" i="3"/>
  <c r="DA179" i="3" s="1"/>
  <c r="AH179" i="3"/>
  <c r="CQ179" i="3" s="1"/>
  <c r="X179" i="3"/>
  <c r="CG179" i="3" s="1"/>
  <c r="N179" i="3"/>
  <c r="BW179" i="3" s="1"/>
  <c r="AW179" i="3"/>
  <c r="DF179" i="3" s="1"/>
  <c r="AJ179" i="3"/>
  <c r="CS179" i="3" s="1"/>
  <c r="T179" i="3"/>
  <c r="CC179" i="3" s="1"/>
  <c r="G179" i="3"/>
  <c r="BP179" i="3" s="1"/>
  <c r="BH179" i="3"/>
  <c r="DQ179" i="3" s="1"/>
  <c r="AT179" i="3"/>
  <c r="DC179" i="3" s="1"/>
  <c r="AC179" i="3"/>
  <c r="CL179" i="3" s="1"/>
  <c r="O179" i="3"/>
  <c r="BX179" i="3" s="1"/>
  <c r="BG179" i="3"/>
  <c r="DP179" i="3" s="1"/>
  <c r="AS179" i="3"/>
  <c r="DB179" i="3" s="1"/>
  <c r="AB179" i="3"/>
  <c r="CK179" i="3" s="1"/>
  <c r="M179" i="3"/>
  <c r="BV179" i="3" s="1"/>
  <c r="BF179" i="3"/>
  <c r="DO179" i="3" s="1"/>
  <c r="AQ179" i="3"/>
  <c r="CZ179" i="3" s="1"/>
  <c r="AA179" i="3"/>
  <c r="CJ179" i="3" s="1"/>
  <c r="J179" i="3"/>
  <c r="BS179" i="3" s="1"/>
  <c r="BE179" i="3"/>
  <c r="DN179" i="3" s="1"/>
  <c r="AN179" i="3"/>
  <c r="CW179" i="3" s="1"/>
  <c r="Z179" i="3"/>
  <c r="CI179" i="3" s="1"/>
  <c r="I179" i="3"/>
  <c r="BR179" i="3" s="1"/>
  <c r="AV179" i="3"/>
  <c r="DE179" i="3" s="1"/>
  <c r="AG179" i="3"/>
  <c r="CP179" i="3" s="1"/>
  <c r="Q179" i="3"/>
  <c r="BZ179" i="3" s="1"/>
  <c r="AX179" i="3"/>
  <c r="DG179" i="3" s="1"/>
  <c r="R179" i="3"/>
  <c r="CA179" i="3" s="1"/>
  <c r="AU179" i="3"/>
  <c r="DD179" i="3" s="1"/>
  <c r="P179" i="3"/>
  <c r="BY179" i="3" s="1"/>
  <c r="AM179" i="3"/>
  <c r="CV179" i="3" s="1"/>
  <c r="H179" i="3"/>
  <c r="BQ179" i="3" s="1"/>
  <c r="AL179" i="3"/>
  <c r="CU179" i="3" s="1"/>
  <c r="F179" i="3"/>
  <c r="BO179" i="3" s="1"/>
  <c r="AK179" i="3"/>
  <c r="CT179" i="3" s="1"/>
  <c r="E179" i="3"/>
  <c r="BN179" i="3" s="1"/>
  <c r="AI179" i="3"/>
  <c r="CR179" i="3" s="1"/>
  <c r="BK179" i="3"/>
  <c r="DT179" i="3" s="1"/>
  <c r="AD179" i="3"/>
  <c r="CM179" i="3" s="1"/>
  <c r="BC179" i="3"/>
  <c r="DL179" i="3" s="1"/>
  <c r="W179" i="3"/>
  <c r="CF179" i="3" s="1"/>
  <c r="BA179" i="3"/>
  <c r="DJ179" i="3" s="1"/>
  <c r="S179" i="3"/>
  <c r="CB179" i="3" s="1"/>
  <c r="BD179" i="3"/>
  <c r="DM179" i="3" s="1"/>
  <c r="Y179" i="3"/>
  <c r="CH179" i="3" s="1"/>
  <c r="J95" i="2"/>
  <c r="K95" i="2" s="1"/>
  <c r="L95" i="2" s="1"/>
  <c r="BK126" i="3"/>
  <c r="DT126" i="3" s="1"/>
  <c r="BA126" i="3"/>
  <c r="DJ126" i="3" s="1"/>
  <c r="AQ126" i="3"/>
  <c r="CZ126" i="3" s="1"/>
  <c r="AG126" i="3"/>
  <c r="CP126" i="3" s="1"/>
  <c r="W126" i="3"/>
  <c r="CF126" i="3" s="1"/>
  <c r="M126" i="3"/>
  <c r="BV126" i="3" s="1"/>
  <c r="BI126" i="3"/>
  <c r="DR126" i="3" s="1"/>
  <c r="AX126" i="3"/>
  <c r="DG126" i="3" s="1"/>
  <c r="AM126" i="3"/>
  <c r="CV126" i="3" s="1"/>
  <c r="AB126" i="3"/>
  <c r="CK126" i="3" s="1"/>
  <c r="Q126" i="3"/>
  <c r="BZ126" i="3" s="1"/>
  <c r="F126" i="3"/>
  <c r="BO126" i="3" s="1"/>
  <c r="BL126" i="3"/>
  <c r="DU126" i="3" s="1"/>
  <c r="AZ126" i="3"/>
  <c r="DI126" i="3" s="1"/>
  <c r="AO126" i="3"/>
  <c r="CX126" i="3" s="1"/>
  <c r="AD126" i="3"/>
  <c r="CM126" i="3" s="1"/>
  <c r="S126" i="3"/>
  <c r="CB126" i="3" s="1"/>
  <c r="H126" i="3"/>
  <c r="BQ126" i="3" s="1"/>
  <c r="BD126" i="3"/>
  <c r="DM126" i="3" s="1"/>
  <c r="AP126" i="3"/>
  <c r="CY126" i="3" s="1"/>
  <c r="AA126" i="3"/>
  <c r="CJ126" i="3" s="1"/>
  <c r="N126" i="3"/>
  <c r="BW126" i="3" s="1"/>
  <c r="BF126" i="3"/>
  <c r="DO126" i="3" s="1"/>
  <c r="AS126" i="3"/>
  <c r="DB126" i="3" s="1"/>
  <c r="AE126" i="3"/>
  <c r="CN126" i="3" s="1"/>
  <c r="P126" i="3"/>
  <c r="BY126" i="3" s="1"/>
  <c r="BE126" i="3"/>
  <c r="DN126" i="3" s="1"/>
  <c r="AR126" i="3"/>
  <c r="DA126" i="3" s="1"/>
  <c r="AC126" i="3"/>
  <c r="CL126" i="3" s="1"/>
  <c r="O126" i="3"/>
  <c r="BX126" i="3" s="1"/>
  <c r="AV126" i="3"/>
  <c r="DE126" i="3" s="1"/>
  <c r="Z126" i="3"/>
  <c r="CI126" i="3" s="1"/>
  <c r="I126" i="3"/>
  <c r="BR126" i="3" s="1"/>
  <c r="BC126" i="3"/>
  <c r="DL126" i="3" s="1"/>
  <c r="AJ126" i="3"/>
  <c r="CS126" i="3" s="1"/>
  <c r="R126" i="3"/>
  <c r="CA126" i="3" s="1"/>
  <c r="BB126" i="3"/>
  <c r="DK126" i="3" s="1"/>
  <c r="AI126" i="3"/>
  <c r="CR126" i="3" s="1"/>
  <c r="L126" i="3"/>
  <c r="BU126" i="3" s="1"/>
  <c r="AY126" i="3"/>
  <c r="DH126" i="3" s="1"/>
  <c r="AH126" i="3"/>
  <c r="CQ126" i="3" s="1"/>
  <c r="K126" i="3"/>
  <c r="BT126" i="3" s="1"/>
  <c r="BH126" i="3"/>
  <c r="DQ126" i="3" s="1"/>
  <c r="X126" i="3"/>
  <c r="CG126" i="3" s="1"/>
  <c r="BG126" i="3"/>
  <c r="DP126" i="3" s="1"/>
  <c r="V126" i="3"/>
  <c r="CE126" i="3" s="1"/>
  <c r="AW126" i="3"/>
  <c r="DF126" i="3" s="1"/>
  <c r="U126" i="3"/>
  <c r="CD126" i="3" s="1"/>
  <c r="AU126" i="3"/>
  <c r="DD126" i="3" s="1"/>
  <c r="T126" i="3"/>
  <c r="CC126" i="3" s="1"/>
  <c r="AT126" i="3"/>
  <c r="DC126" i="3" s="1"/>
  <c r="J126" i="3"/>
  <c r="BS126" i="3" s="1"/>
  <c r="AN126" i="3"/>
  <c r="CW126" i="3" s="1"/>
  <c r="G126" i="3"/>
  <c r="BP126" i="3" s="1"/>
  <c r="AL126" i="3"/>
  <c r="CU126" i="3" s="1"/>
  <c r="E126" i="3"/>
  <c r="BN126" i="3" s="1"/>
  <c r="AK126" i="3"/>
  <c r="CT126" i="3" s="1"/>
  <c r="BJ126" i="3"/>
  <c r="DS126" i="3" s="1"/>
  <c r="AF126" i="3"/>
  <c r="CO126" i="3" s="1"/>
  <c r="Y126" i="3"/>
  <c r="CH126" i="3" s="1"/>
  <c r="K323" i="2"/>
  <c r="L323" i="2" s="1"/>
  <c r="J112" i="2"/>
  <c r="K112" i="2" s="1"/>
  <c r="L112" i="2" s="1"/>
  <c r="K125" i="2"/>
  <c r="L125" i="2" s="1"/>
  <c r="N137" i="2"/>
  <c r="O137" i="2"/>
  <c r="N258" i="2"/>
  <c r="O258" i="2"/>
  <c r="BL338" i="3"/>
  <c r="DU338" i="3" s="1"/>
  <c r="BB338" i="3"/>
  <c r="DK338" i="3" s="1"/>
  <c r="AR338" i="3"/>
  <c r="DA338" i="3" s="1"/>
  <c r="AH338" i="3"/>
  <c r="CQ338" i="3" s="1"/>
  <c r="X338" i="3"/>
  <c r="CG338" i="3" s="1"/>
  <c r="N338" i="3"/>
  <c r="BW338" i="3" s="1"/>
  <c r="BK338" i="3"/>
  <c r="DT338" i="3" s="1"/>
  <c r="BA338" i="3"/>
  <c r="DJ338" i="3" s="1"/>
  <c r="AQ338" i="3"/>
  <c r="CZ338" i="3" s="1"/>
  <c r="AG338" i="3"/>
  <c r="CP338" i="3" s="1"/>
  <c r="W338" i="3"/>
  <c r="CF338" i="3" s="1"/>
  <c r="M338" i="3"/>
  <c r="BV338" i="3" s="1"/>
  <c r="AY338" i="3"/>
  <c r="DH338" i="3" s="1"/>
  <c r="AM338" i="3"/>
  <c r="CV338" i="3" s="1"/>
  <c r="AA338" i="3"/>
  <c r="CJ338" i="3" s="1"/>
  <c r="O338" i="3"/>
  <c r="BX338" i="3" s="1"/>
  <c r="BJ338" i="3"/>
  <c r="DS338" i="3" s="1"/>
  <c r="AX338" i="3"/>
  <c r="DG338" i="3" s="1"/>
  <c r="AL338" i="3"/>
  <c r="CU338" i="3" s="1"/>
  <c r="Z338" i="3"/>
  <c r="CI338" i="3" s="1"/>
  <c r="L338" i="3"/>
  <c r="BU338" i="3" s="1"/>
  <c r="BC338" i="3"/>
  <c r="DL338" i="3" s="1"/>
  <c r="AO338" i="3"/>
  <c r="CX338" i="3" s="1"/>
  <c r="AC338" i="3"/>
  <c r="CL338" i="3" s="1"/>
  <c r="Q338" i="3"/>
  <c r="BZ338" i="3" s="1"/>
  <c r="E338" i="3"/>
  <c r="BN338" i="3" s="1"/>
  <c r="BF338" i="3"/>
  <c r="DO338" i="3" s="1"/>
  <c r="AN338" i="3"/>
  <c r="CW338" i="3" s="1"/>
  <c r="U338" i="3"/>
  <c r="CD338" i="3" s="1"/>
  <c r="F338" i="3"/>
  <c r="BO338" i="3" s="1"/>
  <c r="AW338" i="3"/>
  <c r="DF338" i="3" s="1"/>
  <c r="AE338" i="3"/>
  <c r="CN338" i="3" s="1"/>
  <c r="J338" i="3"/>
  <c r="BS338" i="3" s="1"/>
  <c r="AV338" i="3"/>
  <c r="DE338" i="3" s="1"/>
  <c r="AD338" i="3"/>
  <c r="CM338" i="3" s="1"/>
  <c r="I338" i="3"/>
  <c r="BR338" i="3" s="1"/>
  <c r="BD338" i="3"/>
  <c r="DM338" i="3" s="1"/>
  <c r="AI338" i="3"/>
  <c r="CR338" i="3" s="1"/>
  <c r="P338" i="3"/>
  <c r="BY338" i="3" s="1"/>
  <c r="AZ338" i="3"/>
  <c r="DI338" i="3" s="1"/>
  <c r="V338" i="3"/>
  <c r="CE338" i="3" s="1"/>
  <c r="AU338" i="3"/>
  <c r="DD338" i="3" s="1"/>
  <c r="T338" i="3"/>
  <c r="CC338" i="3" s="1"/>
  <c r="AT338" i="3"/>
  <c r="DC338" i="3" s="1"/>
  <c r="S338" i="3"/>
  <c r="CB338" i="3" s="1"/>
  <c r="AS338" i="3"/>
  <c r="DB338" i="3" s="1"/>
  <c r="R338" i="3"/>
  <c r="CA338" i="3" s="1"/>
  <c r="AP338" i="3"/>
  <c r="CY338" i="3" s="1"/>
  <c r="K338" i="3"/>
  <c r="BT338" i="3" s="1"/>
  <c r="AK338" i="3"/>
  <c r="CT338" i="3" s="1"/>
  <c r="H338" i="3"/>
  <c r="BQ338" i="3" s="1"/>
  <c r="BI338" i="3"/>
  <c r="DR338" i="3" s="1"/>
  <c r="AJ338" i="3"/>
  <c r="CS338" i="3" s="1"/>
  <c r="G338" i="3"/>
  <c r="BP338" i="3" s="1"/>
  <c r="BH338" i="3"/>
  <c r="DQ338" i="3" s="1"/>
  <c r="AF338" i="3"/>
  <c r="CO338" i="3" s="1"/>
  <c r="BG338" i="3"/>
  <c r="DP338" i="3" s="1"/>
  <c r="AB338" i="3"/>
  <c r="CK338" i="3" s="1"/>
  <c r="BE338" i="3"/>
  <c r="DN338" i="3" s="1"/>
  <c r="Y338" i="3"/>
  <c r="CH338" i="3" s="1"/>
  <c r="BL249" i="3"/>
  <c r="DU249" i="3" s="1"/>
  <c r="BB249" i="3"/>
  <c r="DK249" i="3" s="1"/>
  <c r="AR249" i="3"/>
  <c r="DA249" i="3" s="1"/>
  <c r="AH249" i="3"/>
  <c r="CQ249" i="3" s="1"/>
  <c r="X249" i="3"/>
  <c r="CG249" i="3" s="1"/>
  <c r="N249" i="3"/>
  <c r="BW249" i="3" s="1"/>
  <c r="BK249" i="3"/>
  <c r="DT249" i="3" s="1"/>
  <c r="BA249" i="3"/>
  <c r="DJ249" i="3" s="1"/>
  <c r="AQ249" i="3"/>
  <c r="CZ249" i="3" s="1"/>
  <c r="AG249" i="3"/>
  <c r="CP249" i="3" s="1"/>
  <c r="W249" i="3"/>
  <c r="CF249" i="3" s="1"/>
  <c r="M249" i="3"/>
  <c r="BV249" i="3" s="1"/>
  <c r="BH249" i="3"/>
  <c r="DQ249" i="3" s="1"/>
  <c r="AV249" i="3"/>
  <c r="DE249" i="3" s="1"/>
  <c r="AJ249" i="3"/>
  <c r="CS249" i="3" s="1"/>
  <c r="V249" i="3"/>
  <c r="CE249" i="3" s="1"/>
  <c r="J249" i="3"/>
  <c r="BS249" i="3" s="1"/>
  <c r="BC249" i="3"/>
  <c r="DL249" i="3" s="1"/>
  <c r="AN249" i="3"/>
  <c r="CW249" i="3" s="1"/>
  <c r="AA249" i="3"/>
  <c r="CJ249" i="3" s="1"/>
  <c r="L249" i="3"/>
  <c r="BU249" i="3" s="1"/>
  <c r="AZ249" i="3"/>
  <c r="DI249" i="3" s="1"/>
  <c r="AM249" i="3"/>
  <c r="CV249" i="3" s="1"/>
  <c r="Z249" i="3"/>
  <c r="CI249" i="3" s="1"/>
  <c r="K249" i="3"/>
  <c r="BT249" i="3" s="1"/>
  <c r="AY249" i="3"/>
  <c r="DH249" i="3" s="1"/>
  <c r="AL249" i="3"/>
  <c r="CU249" i="3" s="1"/>
  <c r="Y249" i="3"/>
  <c r="CH249" i="3" s="1"/>
  <c r="I249" i="3"/>
  <c r="BR249" i="3" s="1"/>
  <c r="AX249" i="3"/>
  <c r="DG249" i="3" s="1"/>
  <c r="AK249" i="3"/>
  <c r="CT249" i="3" s="1"/>
  <c r="U249" i="3"/>
  <c r="CD249" i="3" s="1"/>
  <c r="H249" i="3"/>
  <c r="BQ249" i="3" s="1"/>
  <c r="BJ249" i="3"/>
  <c r="DS249" i="3" s="1"/>
  <c r="AW249" i="3"/>
  <c r="DF249" i="3" s="1"/>
  <c r="AI249" i="3"/>
  <c r="CR249" i="3" s="1"/>
  <c r="T249" i="3"/>
  <c r="CC249" i="3" s="1"/>
  <c r="G249" i="3"/>
  <c r="BP249" i="3" s="1"/>
  <c r="BI249" i="3"/>
  <c r="DR249" i="3" s="1"/>
  <c r="AU249" i="3"/>
  <c r="DD249" i="3" s="1"/>
  <c r="AF249" i="3"/>
  <c r="CO249" i="3" s="1"/>
  <c r="S249" i="3"/>
  <c r="CB249" i="3" s="1"/>
  <c r="F249" i="3"/>
  <c r="BO249" i="3" s="1"/>
  <c r="BE249" i="3"/>
  <c r="DN249" i="3" s="1"/>
  <c r="AP249" i="3"/>
  <c r="CY249" i="3" s="1"/>
  <c r="AC249" i="3"/>
  <c r="CL249" i="3" s="1"/>
  <c r="P249" i="3"/>
  <c r="BY249" i="3" s="1"/>
  <c r="R249" i="3"/>
  <c r="CA249" i="3" s="1"/>
  <c r="BG249" i="3"/>
  <c r="DP249" i="3" s="1"/>
  <c r="Q249" i="3"/>
  <c r="BZ249" i="3" s="1"/>
  <c r="BF249" i="3"/>
  <c r="DO249" i="3" s="1"/>
  <c r="O249" i="3"/>
  <c r="BX249" i="3" s="1"/>
  <c r="AD249" i="3"/>
  <c r="CM249" i="3" s="1"/>
  <c r="AT249" i="3"/>
  <c r="DC249" i="3" s="1"/>
  <c r="AS249" i="3"/>
  <c r="DB249" i="3" s="1"/>
  <c r="AO249" i="3"/>
  <c r="CX249" i="3" s="1"/>
  <c r="AE249" i="3"/>
  <c r="CN249" i="3" s="1"/>
  <c r="AB249" i="3"/>
  <c r="CK249" i="3" s="1"/>
  <c r="E249" i="3"/>
  <c r="BN249" i="3" s="1"/>
  <c r="BD249" i="3"/>
  <c r="DM249" i="3" s="1"/>
  <c r="O272" i="2"/>
  <c r="N272" i="2"/>
  <c r="O292" i="2"/>
  <c r="N292" i="2"/>
  <c r="O312" i="2"/>
  <c r="N312" i="2"/>
  <c r="O332" i="2"/>
  <c r="N332" i="2"/>
  <c r="N223" i="2"/>
  <c r="O223" i="2"/>
  <c r="O244" i="2"/>
  <c r="N244" i="2"/>
  <c r="O264" i="2"/>
  <c r="N264" i="2"/>
  <c r="O284" i="2"/>
  <c r="N284" i="2"/>
  <c r="O304" i="2"/>
  <c r="N304" i="2"/>
  <c r="O324" i="2"/>
  <c r="N324" i="2"/>
  <c r="O344" i="2"/>
  <c r="N344" i="2"/>
  <c r="BL211" i="3"/>
  <c r="DU211" i="3" s="1"/>
  <c r="BB211" i="3"/>
  <c r="DK211" i="3" s="1"/>
  <c r="AR211" i="3"/>
  <c r="DA211" i="3" s="1"/>
  <c r="AH211" i="3"/>
  <c r="CQ211" i="3" s="1"/>
  <c r="X211" i="3"/>
  <c r="CG211" i="3" s="1"/>
  <c r="N211" i="3"/>
  <c r="BW211" i="3" s="1"/>
  <c r="BK211" i="3"/>
  <c r="DT211" i="3" s="1"/>
  <c r="BA211" i="3"/>
  <c r="DJ211" i="3" s="1"/>
  <c r="AQ211" i="3"/>
  <c r="CZ211" i="3" s="1"/>
  <c r="AG211" i="3"/>
  <c r="CP211" i="3" s="1"/>
  <c r="W211" i="3"/>
  <c r="CF211" i="3" s="1"/>
  <c r="M211" i="3"/>
  <c r="BV211" i="3" s="1"/>
  <c r="BD211" i="3"/>
  <c r="DM211" i="3" s="1"/>
  <c r="AT211" i="3"/>
  <c r="DC211" i="3" s="1"/>
  <c r="AJ211" i="3"/>
  <c r="CS211" i="3" s="1"/>
  <c r="Z211" i="3"/>
  <c r="CI211" i="3" s="1"/>
  <c r="P211" i="3"/>
  <c r="BY211" i="3" s="1"/>
  <c r="F211" i="3"/>
  <c r="BO211" i="3" s="1"/>
  <c r="AY211" i="3"/>
  <c r="DH211" i="3" s="1"/>
  <c r="AL211" i="3"/>
  <c r="CU211" i="3" s="1"/>
  <c r="V211" i="3"/>
  <c r="CE211" i="3" s="1"/>
  <c r="I211" i="3"/>
  <c r="BR211" i="3" s="1"/>
  <c r="AX211" i="3"/>
  <c r="DG211" i="3" s="1"/>
  <c r="AK211" i="3"/>
  <c r="CT211" i="3" s="1"/>
  <c r="U211" i="3"/>
  <c r="CD211" i="3" s="1"/>
  <c r="H211" i="3"/>
  <c r="BQ211" i="3" s="1"/>
  <c r="BC211" i="3"/>
  <c r="DL211" i="3" s="1"/>
  <c r="AN211" i="3"/>
  <c r="CW211" i="3" s="1"/>
  <c r="AA211" i="3"/>
  <c r="CJ211" i="3" s="1"/>
  <c r="K211" i="3"/>
  <c r="BT211" i="3" s="1"/>
  <c r="AW211" i="3"/>
  <c r="DF211" i="3" s="1"/>
  <c r="AD211" i="3"/>
  <c r="CM211" i="3" s="1"/>
  <c r="J211" i="3"/>
  <c r="BS211" i="3" s="1"/>
  <c r="AV211" i="3"/>
  <c r="DE211" i="3" s="1"/>
  <c r="AC211" i="3"/>
  <c r="CL211" i="3" s="1"/>
  <c r="G211" i="3"/>
  <c r="BP211" i="3" s="1"/>
  <c r="AU211" i="3"/>
  <c r="DD211" i="3" s="1"/>
  <c r="AB211" i="3"/>
  <c r="CK211" i="3" s="1"/>
  <c r="E211" i="3"/>
  <c r="BN211" i="3" s="1"/>
  <c r="BJ211" i="3"/>
  <c r="DS211" i="3" s="1"/>
  <c r="AS211" i="3"/>
  <c r="DB211" i="3" s="1"/>
  <c r="Y211" i="3"/>
  <c r="CH211" i="3" s="1"/>
  <c r="BI211" i="3"/>
  <c r="DR211" i="3" s="1"/>
  <c r="AP211" i="3"/>
  <c r="CY211" i="3" s="1"/>
  <c r="T211" i="3"/>
  <c r="CC211" i="3" s="1"/>
  <c r="BH211" i="3"/>
  <c r="DQ211" i="3" s="1"/>
  <c r="AO211" i="3"/>
  <c r="CX211" i="3" s="1"/>
  <c r="S211" i="3"/>
  <c r="CB211" i="3" s="1"/>
  <c r="AZ211" i="3"/>
  <c r="DI211" i="3" s="1"/>
  <c r="AE211" i="3"/>
  <c r="CN211" i="3" s="1"/>
  <c r="L211" i="3"/>
  <c r="BU211" i="3" s="1"/>
  <c r="O211" i="3"/>
  <c r="BX211" i="3" s="1"/>
  <c r="BG211" i="3"/>
  <c r="DP211" i="3" s="1"/>
  <c r="BF211" i="3"/>
  <c r="DO211" i="3" s="1"/>
  <c r="BE211" i="3"/>
  <c r="DN211" i="3" s="1"/>
  <c r="AM211" i="3"/>
  <c r="CV211" i="3" s="1"/>
  <c r="AI211" i="3"/>
  <c r="CR211" i="3" s="1"/>
  <c r="AF211" i="3"/>
  <c r="CO211" i="3" s="1"/>
  <c r="R211" i="3"/>
  <c r="CA211" i="3" s="1"/>
  <c r="Q211" i="3"/>
  <c r="BZ211" i="3" s="1"/>
  <c r="N235" i="2"/>
  <c r="O235" i="2"/>
  <c r="N255" i="2"/>
  <c r="O255" i="2"/>
  <c r="N275" i="2"/>
  <c r="O275" i="2"/>
  <c r="N295" i="2"/>
  <c r="O295" i="2"/>
  <c r="N315" i="2"/>
  <c r="O315" i="2"/>
  <c r="N335" i="2"/>
  <c r="O335" i="2"/>
  <c r="BC284" i="3"/>
  <c r="DL284" i="3" s="1"/>
  <c r="AS284" i="3"/>
  <c r="DB284" i="3" s="1"/>
  <c r="AI284" i="3"/>
  <c r="CR284" i="3" s="1"/>
  <c r="Y284" i="3"/>
  <c r="CH284" i="3" s="1"/>
  <c r="O284" i="3"/>
  <c r="BX284" i="3" s="1"/>
  <c r="E284" i="3"/>
  <c r="BN284" i="3" s="1"/>
  <c r="BL284" i="3"/>
  <c r="DU284" i="3" s="1"/>
  <c r="BB284" i="3"/>
  <c r="DK284" i="3" s="1"/>
  <c r="AR284" i="3"/>
  <c r="DA284" i="3" s="1"/>
  <c r="AH284" i="3"/>
  <c r="CQ284" i="3" s="1"/>
  <c r="X284" i="3"/>
  <c r="CG284" i="3" s="1"/>
  <c r="N284" i="3"/>
  <c r="BW284" i="3" s="1"/>
  <c r="BE284" i="3"/>
  <c r="DN284" i="3" s="1"/>
  <c r="AU284" i="3"/>
  <c r="DD284" i="3" s="1"/>
  <c r="AK284" i="3"/>
  <c r="CT284" i="3" s="1"/>
  <c r="AA284" i="3"/>
  <c r="CJ284" i="3" s="1"/>
  <c r="Q284" i="3"/>
  <c r="BZ284" i="3" s="1"/>
  <c r="G284" i="3"/>
  <c r="BP284" i="3" s="1"/>
  <c r="BG284" i="3"/>
  <c r="DP284" i="3" s="1"/>
  <c r="AQ284" i="3"/>
  <c r="CZ284" i="3" s="1"/>
  <c r="AD284" i="3"/>
  <c r="CM284" i="3" s="1"/>
  <c r="P284" i="3"/>
  <c r="BY284" i="3" s="1"/>
  <c r="BJ284" i="3"/>
  <c r="DS284" i="3" s="1"/>
  <c r="AW284" i="3"/>
  <c r="DF284" i="3" s="1"/>
  <c r="AG284" i="3"/>
  <c r="CP284" i="3" s="1"/>
  <c r="T284" i="3"/>
  <c r="CC284" i="3" s="1"/>
  <c r="F284" i="3"/>
  <c r="BO284" i="3" s="1"/>
  <c r="BI284" i="3"/>
  <c r="DR284" i="3" s="1"/>
  <c r="AV284" i="3"/>
  <c r="DE284" i="3" s="1"/>
  <c r="AF284" i="3"/>
  <c r="CO284" i="3" s="1"/>
  <c r="S284" i="3"/>
  <c r="CB284" i="3" s="1"/>
  <c r="AT284" i="3"/>
  <c r="DC284" i="3" s="1"/>
  <c r="Z284" i="3"/>
  <c r="CI284" i="3" s="1"/>
  <c r="H284" i="3"/>
  <c r="BQ284" i="3" s="1"/>
  <c r="AP284" i="3"/>
  <c r="CY284" i="3" s="1"/>
  <c r="W284" i="3"/>
  <c r="CF284" i="3" s="1"/>
  <c r="BK284" i="3"/>
  <c r="DT284" i="3" s="1"/>
  <c r="AO284" i="3"/>
  <c r="CX284" i="3" s="1"/>
  <c r="V284" i="3"/>
  <c r="CE284" i="3" s="1"/>
  <c r="BH284" i="3"/>
  <c r="DQ284" i="3" s="1"/>
  <c r="AN284" i="3"/>
  <c r="CW284" i="3" s="1"/>
  <c r="U284" i="3"/>
  <c r="CD284" i="3" s="1"/>
  <c r="BF284" i="3"/>
  <c r="DO284" i="3" s="1"/>
  <c r="AM284" i="3"/>
  <c r="CV284" i="3" s="1"/>
  <c r="R284" i="3"/>
  <c r="CA284" i="3" s="1"/>
  <c r="BD284" i="3"/>
  <c r="DM284" i="3" s="1"/>
  <c r="AL284" i="3"/>
  <c r="CU284" i="3" s="1"/>
  <c r="M284" i="3"/>
  <c r="BV284" i="3" s="1"/>
  <c r="BA284" i="3"/>
  <c r="DJ284" i="3" s="1"/>
  <c r="AJ284" i="3"/>
  <c r="CS284" i="3" s="1"/>
  <c r="L284" i="3"/>
  <c r="BU284" i="3" s="1"/>
  <c r="AZ284" i="3"/>
  <c r="DI284" i="3" s="1"/>
  <c r="AE284" i="3"/>
  <c r="CN284" i="3" s="1"/>
  <c r="K284" i="3"/>
  <c r="BT284" i="3" s="1"/>
  <c r="AY284" i="3"/>
  <c r="DH284" i="3" s="1"/>
  <c r="AC284" i="3"/>
  <c r="CL284" i="3" s="1"/>
  <c r="J284" i="3"/>
  <c r="BS284" i="3" s="1"/>
  <c r="AX284" i="3"/>
  <c r="DG284" i="3" s="1"/>
  <c r="AB284" i="3"/>
  <c r="CK284" i="3" s="1"/>
  <c r="I284" i="3"/>
  <c r="BR284" i="3" s="1"/>
  <c r="BL296" i="3"/>
  <c r="DU296" i="3" s="1"/>
  <c r="BB296" i="3"/>
  <c r="DK296" i="3" s="1"/>
  <c r="AR296" i="3"/>
  <c r="DA296" i="3" s="1"/>
  <c r="AH296" i="3"/>
  <c r="CQ296" i="3" s="1"/>
  <c r="X296" i="3"/>
  <c r="CG296" i="3" s="1"/>
  <c r="N296" i="3"/>
  <c r="BW296" i="3" s="1"/>
  <c r="BE296" i="3"/>
  <c r="DN296" i="3" s="1"/>
  <c r="AT296" i="3"/>
  <c r="DC296" i="3" s="1"/>
  <c r="AI296" i="3"/>
  <c r="CR296" i="3" s="1"/>
  <c r="W296" i="3"/>
  <c r="CF296" i="3" s="1"/>
  <c r="L296" i="3"/>
  <c r="BU296" i="3" s="1"/>
  <c r="BD296" i="3"/>
  <c r="DM296" i="3" s="1"/>
  <c r="AS296" i="3"/>
  <c r="DB296" i="3" s="1"/>
  <c r="AG296" i="3"/>
  <c r="CP296" i="3" s="1"/>
  <c r="V296" i="3"/>
  <c r="CE296" i="3" s="1"/>
  <c r="K296" i="3"/>
  <c r="BT296" i="3" s="1"/>
  <c r="BG296" i="3"/>
  <c r="DP296" i="3" s="1"/>
  <c r="AQ296" i="3"/>
  <c r="CZ296" i="3" s="1"/>
  <c r="AD296" i="3"/>
  <c r="CM296" i="3" s="1"/>
  <c r="Q296" i="3"/>
  <c r="BZ296" i="3" s="1"/>
  <c r="BF296" i="3"/>
  <c r="DO296" i="3" s="1"/>
  <c r="AP296" i="3"/>
  <c r="CY296" i="3" s="1"/>
  <c r="AC296" i="3"/>
  <c r="CL296" i="3" s="1"/>
  <c r="P296" i="3"/>
  <c r="BY296" i="3" s="1"/>
  <c r="BC296" i="3"/>
  <c r="DL296" i="3" s="1"/>
  <c r="AO296" i="3"/>
  <c r="CX296" i="3" s="1"/>
  <c r="AB296" i="3"/>
  <c r="CK296" i="3" s="1"/>
  <c r="O296" i="3"/>
  <c r="BX296" i="3" s="1"/>
  <c r="BI296" i="3"/>
  <c r="DR296" i="3" s="1"/>
  <c r="AV296" i="3"/>
  <c r="DE296" i="3" s="1"/>
  <c r="AF296" i="3"/>
  <c r="CO296" i="3" s="1"/>
  <c r="S296" i="3"/>
  <c r="CB296" i="3" s="1"/>
  <c r="F296" i="3"/>
  <c r="BO296" i="3" s="1"/>
  <c r="AY296" i="3"/>
  <c r="DH296" i="3" s="1"/>
  <c r="AA296" i="3"/>
  <c r="CJ296" i="3" s="1"/>
  <c r="G296" i="3"/>
  <c r="BP296" i="3" s="1"/>
  <c r="BH296" i="3"/>
  <c r="DQ296" i="3" s="1"/>
  <c r="AK296" i="3"/>
  <c r="CT296" i="3" s="1"/>
  <c r="J296" i="3"/>
  <c r="BS296" i="3" s="1"/>
  <c r="BA296" i="3"/>
  <c r="DJ296" i="3" s="1"/>
  <c r="AJ296" i="3"/>
  <c r="CS296" i="3" s="1"/>
  <c r="I296" i="3"/>
  <c r="BR296" i="3" s="1"/>
  <c r="AU296" i="3"/>
  <c r="DD296" i="3" s="1"/>
  <c r="M296" i="3"/>
  <c r="BV296" i="3" s="1"/>
  <c r="AN296" i="3"/>
  <c r="CW296" i="3" s="1"/>
  <c r="H296" i="3"/>
  <c r="BQ296" i="3" s="1"/>
  <c r="AM296" i="3"/>
  <c r="CV296" i="3" s="1"/>
  <c r="E296" i="3"/>
  <c r="BN296" i="3" s="1"/>
  <c r="AL296" i="3"/>
  <c r="CU296" i="3" s="1"/>
  <c r="AE296" i="3"/>
  <c r="CN296" i="3" s="1"/>
  <c r="BK296" i="3"/>
  <c r="DT296" i="3" s="1"/>
  <c r="Z296" i="3"/>
  <c r="CI296" i="3" s="1"/>
  <c r="BJ296" i="3"/>
  <c r="DS296" i="3" s="1"/>
  <c r="Y296" i="3"/>
  <c r="CH296" i="3" s="1"/>
  <c r="AZ296" i="3"/>
  <c r="DI296" i="3" s="1"/>
  <c r="U296" i="3"/>
  <c r="CD296" i="3" s="1"/>
  <c r="AX296" i="3"/>
  <c r="DG296" i="3" s="1"/>
  <c r="T296" i="3"/>
  <c r="CC296" i="3" s="1"/>
  <c r="AW296" i="3"/>
  <c r="DF296" i="3" s="1"/>
  <c r="R296" i="3"/>
  <c r="CA296" i="3" s="1"/>
  <c r="BI347" i="3"/>
  <c r="DR347" i="3" s="1"/>
  <c r="AY347" i="3"/>
  <c r="DH347" i="3" s="1"/>
  <c r="AO347" i="3"/>
  <c r="CX347" i="3" s="1"/>
  <c r="AE347" i="3"/>
  <c r="CN347" i="3" s="1"/>
  <c r="U347" i="3"/>
  <c r="CD347" i="3" s="1"/>
  <c r="K347" i="3"/>
  <c r="BT347" i="3" s="1"/>
  <c r="BE347" i="3"/>
  <c r="DN347" i="3" s="1"/>
  <c r="AT347" i="3"/>
  <c r="DC347" i="3" s="1"/>
  <c r="AI347" i="3"/>
  <c r="CR347" i="3" s="1"/>
  <c r="X347" i="3"/>
  <c r="CG347" i="3" s="1"/>
  <c r="M347" i="3"/>
  <c r="BV347" i="3" s="1"/>
  <c r="BD347" i="3"/>
  <c r="DM347" i="3" s="1"/>
  <c r="AS347" i="3"/>
  <c r="DB347" i="3" s="1"/>
  <c r="AH347" i="3"/>
  <c r="CQ347" i="3" s="1"/>
  <c r="W347" i="3"/>
  <c r="CF347" i="3" s="1"/>
  <c r="L347" i="3"/>
  <c r="BU347" i="3" s="1"/>
  <c r="BG347" i="3"/>
  <c r="DP347" i="3" s="1"/>
  <c r="AV347" i="3"/>
  <c r="DE347" i="3" s="1"/>
  <c r="AK347" i="3"/>
  <c r="CT347" i="3" s="1"/>
  <c r="Z347" i="3"/>
  <c r="CI347" i="3" s="1"/>
  <c r="O347" i="3"/>
  <c r="BX347" i="3" s="1"/>
  <c r="BA347" i="3"/>
  <c r="DJ347" i="3" s="1"/>
  <c r="AL347" i="3"/>
  <c r="CU347" i="3" s="1"/>
  <c r="T347" i="3"/>
  <c r="CC347" i="3" s="1"/>
  <c r="F347" i="3"/>
  <c r="BO347" i="3" s="1"/>
  <c r="AZ347" i="3"/>
  <c r="DI347" i="3" s="1"/>
  <c r="AJ347" i="3"/>
  <c r="CS347" i="3" s="1"/>
  <c r="S347" i="3"/>
  <c r="CB347" i="3" s="1"/>
  <c r="E347" i="3"/>
  <c r="BN347" i="3" s="1"/>
  <c r="BC347" i="3"/>
  <c r="DL347" i="3" s="1"/>
  <c r="AN347" i="3"/>
  <c r="CW347" i="3" s="1"/>
  <c r="Y347" i="3"/>
  <c r="CH347" i="3" s="1"/>
  <c r="H347" i="3"/>
  <c r="BQ347" i="3" s="1"/>
  <c r="BB347" i="3"/>
  <c r="DK347" i="3" s="1"/>
  <c r="AD347" i="3"/>
  <c r="CM347" i="3" s="1"/>
  <c r="I347" i="3"/>
  <c r="BR347" i="3" s="1"/>
  <c r="BJ347" i="3"/>
  <c r="DS347" i="3" s="1"/>
  <c r="AM347" i="3"/>
  <c r="CV347" i="3" s="1"/>
  <c r="P347" i="3"/>
  <c r="BY347" i="3" s="1"/>
  <c r="BH347" i="3"/>
  <c r="DQ347" i="3" s="1"/>
  <c r="AG347" i="3"/>
  <c r="CP347" i="3" s="1"/>
  <c r="N347" i="3"/>
  <c r="BW347" i="3" s="1"/>
  <c r="AQ347" i="3"/>
  <c r="CZ347" i="3" s="1"/>
  <c r="G347" i="3"/>
  <c r="BP347" i="3" s="1"/>
  <c r="AP347" i="3"/>
  <c r="CY347" i="3" s="1"/>
  <c r="AU347" i="3"/>
  <c r="DD347" i="3" s="1"/>
  <c r="Q347" i="3"/>
  <c r="BZ347" i="3" s="1"/>
  <c r="AR347" i="3"/>
  <c r="DA347" i="3" s="1"/>
  <c r="AF347" i="3"/>
  <c r="CO347" i="3" s="1"/>
  <c r="AC347" i="3"/>
  <c r="CL347" i="3" s="1"/>
  <c r="AB347" i="3"/>
  <c r="CK347" i="3" s="1"/>
  <c r="AA347" i="3"/>
  <c r="CJ347" i="3" s="1"/>
  <c r="BL347" i="3"/>
  <c r="DU347" i="3" s="1"/>
  <c r="V347" i="3"/>
  <c r="CE347" i="3" s="1"/>
  <c r="BK347" i="3"/>
  <c r="DT347" i="3" s="1"/>
  <c r="R347" i="3"/>
  <c r="CA347" i="3" s="1"/>
  <c r="BF347" i="3"/>
  <c r="DO347" i="3" s="1"/>
  <c r="J347" i="3"/>
  <c r="BS347" i="3" s="1"/>
  <c r="AX347" i="3"/>
  <c r="DG347" i="3" s="1"/>
  <c r="AW347" i="3"/>
  <c r="DF347" i="3" s="1"/>
  <c r="BJ358" i="3"/>
  <c r="DS358" i="3" s="1"/>
  <c r="AZ358" i="3"/>
  <c r="DI358" i="3" s="1"/>
  <c r="AP358" i="3"/>
  <c r="CY358" i="3" s="1"/>
  <c r="AF358" i="3"/>
  <c r="CO358" i="3" s="1"/>
  <c r="V358" i="3"/>
  <c r="CE358" i="3" s="1"/>
  <c r="L358" i="3"/>
  <c r="BU358" i="3" s="1"/>
  <c r="BE358" i="3"/>
  <c r="DN358" i="3" s="1"/>
  <c r="AT358" i="3"/>
  <c r="DC358" i="3" s="1"/>
  <c r="AI358" i="3"/>
  <c r="CR358" i="3" s="1"/>
  <c r="X358" i="3"/>
  <c r="CG358" i="3" s="1"/>
  <c r="M358" i="3"/>
  <c r="BV358" i="3" s="1"/>
  <c r="BA358" i="3"/>
  <c r="DJ358" i="3" s="1"/>
  <c r="AN358" i="3"/>
  <c r="CW358" i="3" s="1"/>
  <c r="AB358" i="3"/>
  <c r="CK358" i="3" s="1"/>
  <c r="P358" i="3"/>
  <c r="BY358" i="3" s="1"/>
  <c r="BL358" i="3"/>
  <c r="DU358" i="3" s="1"/>
  <c r="AY358" i="3"/>
  <c r="DH358" i="3" s="1"/>
  <c r="AM358" i="3"/>
  <c r="CV358" i="3" s="1"/>
  <c r="AA358" i="3"/>
  <c r="CJ358" i="3" s="1"/>
  <c r="O358" i="3"/>
  <c r="BX358" i="3" s="1"/>
  <c r="BF358" i="3"/>
  <c r="DO358" i="3" s="1"/>
  <c r="AQ358" i="3"/>
  <c r="CZ358" i="3" s="1"/>
  <c r="Z358" i="3"/>
  <c r="CI358" i="3" s="1"/>
  <c r="J358" i="3"/>
  <c r="BS358" i="3" s="1"/>
  <c r="BD358" i="3"/>
  <c r="DM358" i="3" s="1"/>
  <c r="AO358" i="3"/>
  <c r="CX358" i="3" s="1"/>
  <c r="Y358" i="3"/>
  <c r="CH358" i="3" s="1"/>
  <c r="I358" i="3"/>
  <c r="BR358" i="3" s="1"/>
  <c r="BH358" i="3"/>
  <c r="DQ358" i="3" s="1"/>
  <c r="AS358" i="3"/>
  <c r="DB358" i="3" s="1"/>
  <c r="AD358" i="3"/>
  <c r="CM358" i="3" s="1"/>
  <c r="N358" i="3"/>
  <c r="BW358" i="3" s="1"/>
  <c r="BG358" i="3"/>
  <c r="DP358" i="3" s="1"/>
  <c r="AJ358" i="3"/>
  <c r="CS358" i="3" s="1"/>
  <c r="Q358" i="3"/>
  <c r="BZ358" i="3" s="1"/>
  <c r="BC358" i="3"/>
  <c r="DL358" i="3" s="1"/>
  <c r="AH358" i="3"/>
  <c r="CQ358" i="3" s="1"/>
  <c r="K358" i="3"/>
  <c r="BT358" i="3" s="1"/>
  <c r="BB358" i="3"/>
  <c r="DK358" i="3" s="1"/>
  <c r="AG358" i="3"/>
  <c r="CP358" i="3" s="1"/>
  <c r="H358" i="3"/>
  <c r="BQ358" i="3" s="1"/>
  <c r="AX358" i="3"/>
  <c r="DG358" i="3" s="1"/>
  <c r="AE358" i="3"/>
  <c r="CN358" i="3" s="1"/>
  <c r="G358" i="3"/>
  <c r="BP358" i="3" s="1"/>
  <c r="BK358" i="3"/>
  <c r="DT358" i="3" s="1"/>
  <c r="AL358" i="3"/>
  <c r="CU358" i="3" s="1"/>
  <c r="S358" i="3"/>
  <c r="CB358" i="3" s="1"/>
  <c r="AW358" i="3"/>
  <c r="DF358" i="3" s="1"/>
  <c r="F358" i="3"/>
  <c r="BO358" i="3" s="1"/>
  <c r="AV358" i="3"/>
  <c r="DE358" i="3" s="1"/>
  <c r="E358" i="3"/>
  <c r="BN358" i="3" s="1"/>
  <c r="T358" i="3"/>
  <c r="CC358" i="3" s="1"/>
  <c r="AR358" i="3"/>
  <c r="DA358" i="3" s="1"/>
  <c r="AK358" i="3"/>
  <c r="CT358" i="3" s="1"/>
  <c r="AC358" i="3"/>
  <c r="CL358" i="3" s="1"/>
  <c r="W358" i="3"/>
  <c r="CF358" i="3" s="1"/>
  <c r="U358" i="3"/>
  <c r="CD358" i="3" s="1"/>
  <c r="R358" i="3"/>
  <c r="CA358" i="3" s="1"/>
  <c r="BI358" i="3"/>
  <c r="DR358" i="3" s="1"/>
  <c r="AU358" i="3"/>
  <c r="DD358" i="3" s="1"/>
  <c r="BG355" i="3"/>
  <c r="DP355" i="3" s="1"/>
  <c r="AW355" i="3"/>
  <c r="DF355" i="3" s="1"/>
  <c r="AM355" i="3"/>
  <c r="CV355" i="3" s="1"/>
  <c r="AC355" i="3"/>
  <c r="CL355" i="3" s="1"/>
  <c r="S355" i="3"/>
  <c r="CB355" i="3" s="1"/>
  <c r="I355" i="3"/>
  <c r="BR355" i="3" s="1"/>
  <c r="BH355" i="3"/>
  <c r="DQ355" i="3" s="1"/>
  <c r="AV355" i="3"/>
  <c r="DE355" i="3" s="1"/>
  <c r="AK355" i="3"/>
  <c r="CT355" i="3" s="1"/>
  <c r="Z355" i="3"/>
  <c r="CI355" i="3" s="1"/>
  <c r="O355" i="3"/>
  <c r="BX355" i="3" s="1"/>
  <c r="BL355" i="3"/>
  <c r="DU355" i="3" s="1"/>
  <c r="AZ355" i="3"/>
  <c r="DI355" i="3" s="1"/>
  <c r="AN355" i="3"/>
  <c r="CW355" i="3" s="1"/>
  <c r="AA355" i="3"/>
  <c r="CJ355" i="3" s="1"/>
  <c r="N355" i="3"/>
  <c r="BW355" i="3" s="1"/>
  <c r="BK355" i="3"/>
  <c r="DT355" i="3" s="1"/>
  <c r="AY355" i="3"/>
  <c r="DH355" i="3" s="1"/>
  <c r="AL355" i="3"/>
  <c r="CU355" i="3" s="1"/>
  <c r="Y355" i="3"/>
  <c r="CH355" i="3" s="1"/>
  <c r="M355" i="3"/>
  <c r="BV355" i="3" s="1"/>
  <c r="BB355" i="3"/>
  <c r="DK355" i="3" s="1"/>
  <c r="AP355" i="3"/>
  <c r="CY355" i="3" s="1"/>
  <c r="AD355" i="3"/>
  <c r="CM355" i="3" s="1"/>
  <c r="Q355" i="3"/>
  <c r="BZ355" i="3" s="1"/>
  <c r="E355" i="3"/>
  <c r="BN355" i="3" s="1"/>
  <c r="AX355" i="3"/>
  <c r="DG355" i="3" s="1"/>
  <c r="AG355" i="3"/>
  <c r="CP355" i="3" s="1"/>
  <c r="P355" i="3"/>
  <c r="BY355" i="3" s="1"/>
  <c r="AU355" i="3"/>
  <c r="DD355" i="3" s="1"/>
  <c r="AF355" i="3"/>
  <c r="CO355" i="3" s="1"/>
  <c r="L355" i="3"/>
  <c r="BU355" i="3" s="1"/>
  <c r="AT355" i="3"/>
  <c r="DC355" i="3" s="1"/>
  <c r="AE355" i="3"/>
  <c r="CN355" i="3" s="1"/>
  <c r="K355" i="3"/>
  <c r="BT355" i="3" s="1"/>
  <c r="BJ355" i="3"/>
  <c r="DS355" i="3" s="1"/>
  <c r="AS355" i="3"/>
  <c r="DB355" i="3" s="1"/>
  <c r="AB355" i="3"/>
  <c r="CK355" i="3" s="1"/>
  <c r="J355" i="3"/>
  <c r="BS355" i="3" s="1"/>
  <c r="BC355" i="3"/>
  <c r="DL355" i="3" s="1"/>
  <c r="AI355" i="3"/>
  <c r="CR355" i="3" s="1"/>
  <c r="T355" i="3"/>
  <c r="CC355" i="3" s="1"/>
  <c r="BI355" i="3"/>
  <c r="DR355" i="3" s="1"/>
  <c r="X355" i="3"/>
  <c r="CG355" i="3" s="1"/>
  <c r="BF355" i="3"/>
  <c r="DO355" i="3" s="1"/>
  <c r="W355" i="3"/>
  <c r="CF355" i="3" s="1"/>
  <c r="AJ355" i="3"/>
  <c r="CS355" i="3" s="1"/>
  <c r="U355" i="3"/>
  <c r="CD355" i="3" s="1"/>
  <c r="R355" i="3"/>
  <c r="CA355" i="3" s="1"/>
  <c r="BE355" i="3"/>
  <c r="DN355" i="3" s="1"/>
  <c r="H355" i="3"/>
  <c r="BQ355" i="3" s="1"/>
  <c r="AO355" i="3"/>
  <c r="CX355" i="3" s="1"/>
  <c r="AH355" i="3"/>
  <c r="CQ355" i="3" s="1"/>
  <c r="AQ355" i="3"/>
  <c r="CZ355" i="3" s="1"/>
  <c r="V355" i="3"/>
  <c r="CE355" i="3" s="1"/>
  <c r="BA355" i="3"/>
  <c r="DJ355" i="3" s="1"/>
  <c r="BD355" i="3"/>
  <c r="DM355" i="3" s="1"/>
  <c r="AR355" i="3"/>
  <c r="DA355" i="3" s="1"/>
  <c r="G355" i="3"/>
  <c r="BP355" i="3" s="1"/>
  <c r="F355" i="3"/>
  <c r="BO355" i="3" s="1"/>
  <c r="F239" i="4"/>
  <c r="D239" i="4"/>
  <c r="E239" i="4" s="1"/>
  <c r="F50" i="4"/>
  <c r="D50" i="4"/>
  <c r="E50" i="4" s="1"/>
  <c r="F51" i="4"/>
  <c r="D51" i="4"/>
  <c r="E51" i="4" s="1"/>
  <c r="F180" i="4"/>
  <c r="D180" i="4"/>
  <c r="E180" i="4" s="1"/>
  <c r="F129" i="4"/>
  <c r="D129" i="4"/>
  <c r="E129" i="4" s="1"/>
  <c r="F36" i="4"/>
  <c r="D36" i="4"/>
  <c r="E36" i="4" s="1"/>
  <c r="D137" i="4"/>
  <c r="E137" i="4" s="1"/>
  <c r="F137" i="4"/>
  <c r="F121" i="4"/>
  <c r="D121" i="4"/>
  <c r="E121" i="4" s="1"/>
  <c r="F147" i="4"/>
  <c r="D147" i="4"/>
  <c r="E147" i="4" s="1"/>
  <c r="F92" i="4"/>
  <c r="D92" i="4"/>
  <c r="E92" i="4" s="1"/>
  <c r="F232" i="4"/>
  <c r="D232" i="4"/>
  <c r="E232" i="4" s="1"/>
  <c r="F256" i="4"/>
  <c r="D256" i="4"/>
  <c r="E256" i="4" s="1"/>
  <c r="D93" i="4"/>
  <c r="E93" i="4" s="1"/>
  <c r="F93" i="4"/>
  <c r="F27" i="4"/>
  <c r="D27" i="4"/>
  <c r="E27" i="4" s="1"/>
  <c r="F193" i="4"/>
  <c r="D193" i="4"/>
  <c r="E193" i="4" s="1"/>
  <c r="F242" i="4"/>
  <c r="D242" i="4"/>
  <c r="E242" i="4" s="1"/>
  <c r="F169" i="4"/>
  <c r="D169" i="4"/>
  <c r="E169" i="4" s="1"/>
  <c r="F179" i="4"/>
  <c r="D179" i="4"/>
  <c r="E179" i="4" s="1"/>
  <c r="F170" i="4"/>
  <c r="D170" i="4"/>
  <c r="E170" i="4" s="1"/>
  <c r="F112" i="4"/>
  <c r="D112" i="4"/>
  <c r="E112" i="4" s="1"/>
  <c r="F226" i="4"/>
  <c r="D226" i="4"/>
  <c r="E226" i="4" s="1"/>
  <c r="D155" i="4"/>
  <c r="E155" i="4" s="1"/>
  <c r="F155" i="4"/>
  <c r="F255" i="4"/>
  <c r="D255" i="4"/>
  <c r="E255" i="4" s="1"/>
  <c r="F181" i="4"/>
  <c r="D181" i="4"/>
  <c r="E181" i="4" s="1"/>
  <c r="O162" i="2"/>
  <c r="N162" i="2"/>
  <c r="N39" i="2"/>
  <c r="O39" i="2"/>
  <c r="N78" i="2"/>
  <c r="O78" i="2"/>
  <c r="O230" i="2"/>
  <c r="N230" i="2"/>
  <c r="BJ68" i="3"/>
  <c r="DS68" i="3" s="1"/>
  <c r="AZ68" i="3"/>
  <c r="DI68" i="3" s="1"/>
  <c r="AP68" i="3"/>
  <c r="CY68" i="3" s="1"/>
  <c r="AF68" i="3"/>
  <c r="CO68" i="3" s="1"/>
  <c r="V68" i="3"/>
  <c r="CE68" i="3" s="1"/>
  <c r="L68" i="3"/>
  <c r="BU68" i="3" s="1"/>
  <c r="BC68" i="3"/>
  <c r="DL68" i="3" s="1"/>
  <c r="AR68" i="3"/>
  <c r="DA68" i="3" s="1"/>
  <c r="AG68" i="3"/>
  <c r="CP68" i="3" s="1"/>
  <c r="U68" i="3"/>
  <c r="CD68" i="3" s="1"/>
  <c r="J68" i="3"/>
  <c r="BS68" i="3" s="1"/>
  <c r="BB68" i="3"/>
  <c r="DK68" i="3" s="1"/>
  <c r="AQ68" i="3"/>
  <c r="CZ68" i="3" s="1"/>
  <c r="AE68" i="3"/>
  <c r="CN68" i="3" s="1"/>
  <c r="T68" i="3"/>
  <c r="CC68" i="3" s="1"/>
  <c r="I68" i="3"/>
  <c r="BR68" i="3" s="1"/>
  <c r="BE68" i="3"/>
  <c r="DN68" i="3" s="1"/>
  <c r="AT68" i="3"/>
  <c r="DC68" i="3" s="1"/>
  <c r="AI68" i="3"/>
  <c r="CR68" i="3" s="1"/>
  <c r="X68" i="3"/>
  <c r="CG68" i="3" s="1"/>
  <c r="M68" i="3"/>
  <c r="BV68" i="3" s="1"/>
  <c r="BL68" i="3"/>
  <c r="DU68" i="3" s="1"/>
  <c r="AW68" i="3"/>
  <c r="DF68" i="3" s="1"/>
  <c r="AH68" i="3"/>
  <c r="CQ68" i="3" s="1"/>
  <c r="Q68" i="3"/>
  <c r="BZ68" i="3" s="1"/>
  <c r="BK68" i="3"/>
  <c r="DT68" i="3" s="1"/>
  <c r="AV68" i="3"/>
  <c r="DE68" i="3" s="1"/>
  <c r="AD68" i="3"/>
  <c r="CM68" i="3" s="1"/>
  <c r="P68" i="3"/>
  <c r="BY68" i="3" s="1"/>
  <c r="BI68" i="3"/>
  <c r="DR68" i="3" s="1"/>
  <c r="AU68" i="3"/>
  <c r="DD68" i="3" s="1"/>
  <c r="AC68" i="3"/>
  <c r="CL68" i="3" s="1"/>
  <c r="O68" i="3"/>
  <c r="BX68" i="3" s="1"/>
  <c r="BH68" i="3"/>
  <c r="DQ68" i="3" s="1"/>
  <c r="AS68" i="3"/>
  <c r="DB68" i="3" s="1"/>
  <c r="AB68" i="3"/>
  <c r="CK68" i="3" s="1"/>
  <c r="N68" i="3"/>
  <c r="BW68" i="3" s="1"/>
  <c r="BG68" i="3"/>
  <c r="DP68" i="3" s="1"/>
  <c r="AO68" i="3"/>
  <c r="CX68" i="3" s="1"/>
  <c r="AA68" i="3"/>
  <c r="CJ68" i="3" s="1"/>
  <c r="K68" i="3"/>
  <c r="BT68" i="3" s="1"/>
  <c r="BF68" i="3"/>
  <c r="DO68" i="3" s="1"/>
  <c r="AN68" i="3"/>
  <c r="CW68" i="3" s="1"/>
  <c r="Z68" i="3"/>
  <c r="CI68" i="3" s="1"/>
  <c r="H68" i="3"/>
  <c r="BQ68" i="3" s="1"/>
  <c r="BD68" i="3"/>
  <c r="DM68" i="3" s="1"/>
  <c r="AM68" i="3"/>
  <c r="CV68" i="3" s="1"/>
  <c r="Y68" i="3"/>
  <c r="CH68" i="3" s="1"/>
  <c r="G68" i="3"/>
  <c r="BP68" i="3" s="1"/>
  <c r="BA68" i="3"/>
  <c r="DJ68" i="3" s="1"/>
  <c r="AL68" i="3"/>
  <c r="CU68" i="3" s="1"/>
  <c r="W68" i="3"/>
  <c r="CF68" i="3" s="1"/>
  <c r="F68" i="3"/>
  <c r="BO68" i="3" s="1"/>
  <c r="AX68" i="3"/>
  <c r="DG68" i="3" s="1"/>
  <c r="AJ68" i="3"/>
  <c r="CS68" i="3" s="1"/>
  <c r="R68" i="3"/>
  <c r="CA68" i="3" s="1"/>
  <c r="AY68" i="3"/>
  <c r="DH68" i="3" s="1"/>
  <c r="AK68" i="3"/>
  <c r="CT68" i="3" s="1"/>
  <c r="S68" i="3"/>
  <c r="CB68" i="3" s="1"/>
  <c r="E68" i="3"/>
  <c r="BN68" i="3" s="1"/>
  <c r="BL31" i="3"/>
  <c r="DU31" i="3" s="1"/>
  <c r="BB31" i="3"/>
  <c r="DK31" i="3" s="1"/>
  <c r="AR31" i="3"/>
  <c r="DA31" i="3" s="1"/>
  <c r="AH31" i="3"/>
  <c r="CQ31" i="3" s="1"/>
  <c r="X31" i="3"/>
  <c r="CG31" i="3" s="1"/>
  <c r="N31" i="3"/>
  <c r="BW31" i="3" s="1"/>
  <c r="BK31" i="3"/>
  <c r="DT31" i="3" s="1"/>
  <c r="BA31" i="3"/>
  <c r="DJ31" i="3" s="1"/>
  <c r="AQ31" i="3"/>
  <c r="CZ31" i="3" s="1"/>
  <c r="AG31" i="3"/>
  <c r="CP31" i="3" s="1"/>
  <c r="W31" i="3"/>
  <c r="CF31" i="3" s="1"/>
  <c r="M31" i="3"/>
  <c r="BV31" i="3" s="1"/>
  <c r="BD31" i="3"/>
  <c r="DM31" i="3" s="1"/>
  <c r="AT31" i="3"/>
  <c r="DC31" i="3" s="1"/>
  <c r="AJ31" i="3"/>
  <c r="CS31" i="3" s="1"/>
  <c r="Z31" i="3"/>
  <c r="CI31" i="3" s="1"/>
  <c r="P31" i="3"/>
  <c r="BY31" i="3" s="1"/>
  <c r="F31" i="3"/>
  <c r="BO31" i="3" s="1"/>
  <c r="BH31" i="3"/>
  <c r="DQ31" i="3" s="1"/>
  <c r="AU31" i="3"/>
  <c r="DD31" i="3" s="1"/>
  <c r="AE31" i="3"/>
  <c r="CN31" i="3" s="1"/>
  <c r="R31" i="3"/>
  <c r="CA31" i="3" s="1"/>
  <c r="BG31" i="3"/>
  <c r="DP31" i="3" s="1"/>
  <c r="AS31" i="3"/>
  <c r="DB31" i="3" s="1"/>
  <c r="AD31" i="3"/>
  <c r="CM31" i="3" s="1"/>
  <c r="Q31" i="3"/>
  <c r="BZ31" i="3" s="1"/>
  <c r="AV31" i="3"/>
  <c r="DE31" i="3" s="1"/>
  <c r="AB31" i="3"/>
  <c r="CK31" i="3" s="1"/>
  <c r="J31" i="3"/>
  <c r="BS31" i="3" s="1"/>
  <c r="BJ31" i="3"/>
  <c r="DS31" i="3" s="1"/>
  <c r="AP31" i="3"/>
  <c r="CY31" i="3" s="1"/>
  <c r="AA31" i="3"/>
  <c r="CJ31" i="3" s="1"/>
  <c r="I31" i="3"/>
  <c r="BR31" i="3" s="1"/>
  <c r="BI31" i="3"/>
  <c r="DR31" i="3" s="1"/>
  <c r="AO31" i="3"/>
  <c r="CX31" i="3" s="1"/>
  <c r="Y31" i="3"/>
  <c r="CH31" i="3" s="1"/>
  <c r="H31" i="3"/>
  <c r="BQ31" i="3" s="1"/>
  <c r="BF31" i="3"/>
  <c r="DO31" i="3" s="1"/>
  <c r="AN31" i="3"/>
  <c r="CW31" i="3" s="1"/>
  <c r="V31" i="3"/>
  <c r="CE31" i="3" s="1"/>
  <c r="G31" i="3"/>
  <c r="BP31" i="3" s="1"/>
  <c r="BE31" i="3"/>
  <c r="DN31" i="3" s="1"/>
  <c r="AM31" i="3"/>
  <c r="CV31" i="3" s="1"/>
  <c r="U31" i="3"/>
  <c r="CD31" i="3" s="1"/>
  <c r="E31" i="3"/>
  <c r="BN31" i="3" s="1"/>
  <c r="BC31" i="3"/>
  <c r="DL31" i="3" s="1"/>
  <c r="AL31" i="3"/>
  <c r="CU31" i="3" s="1"/>
  <c r="T31" i="3"/>
  <c r="CC31" i="3" s="1"/>
  <c r="AZ31" i="3"/>
  <c r="DI31" i="3" s="1"/>
  <c r="AK31" i="3"/>
  <c r="CT31" i="3" s="1"/>
  <c r="S31" i="3"/>
  <c r="CB31" i="3" s="1"/>
  <c r="AY31" i="3"/>
  <c r="DH31" i="3" s="1"/>
  <c r="AI31" i="3"/>
  <c r="CR31" i="3" s="1"/>
  <c r="O31" i="3"/>
  <c r="BX31" i="3" s="1"/>
  <c r="AX31" i="3"/>
  <c r="DG31" i="3" s="1"/>
  <c r="AF31" i="3"/>
  <c r="CO31" i="3" s="1"/>
  <c r="L31" i="3"/>
  <c r="BU31" i="3" s="1"/>
  <c r="AW31" i="3"/>
  <c r="DF31" i="3" s="1"/>
  <c r="AC31" i="3"/>
  <c r="CL31" i="3" s="1"/>
  <c r="K31" i="3"/>
  <c r="BT31" i="3" s="1"/>
  <c r="BE125" i="3"/>
  <c r="DN125" i="3" s="1"/>
  <c r="AU125" i="3"/>
  <c r="DD125" i="3" s="1"/>
  <c r="AK125" i="3"/>
  <c r="CT125" i="3" s="1"/>
  <c r="AA125" i="3"/>
  <c r="CJ125" i="3" s="1"/>
  <c r="Q125" i="3"/>
  <c r="BZ125" i="3" s="1"/>
  <c r="G125" i="3"/>
  <c r="BP125" i="3" s="1"/>
  <c r="BK125" i="3"/>
  <c r="DT125" i="3" s="1"/>
  <c r="AZ125" i="3"/>
  <c r="DI125" i="3" s="1"/>
  <c r="AO125" i="3"/>
  <c r="CX125" i="3" s="1"/>
  <c r="AD125" i="3"/>
  <c r="CM125" i="3" s="1"/>
  <c r="S125" i="3"/>
  <c r="CB125" i="3" s="1"/>
  <c r="H125" i="3"/>
  <c r="BQ125" i="3" s="1"/>
  <c r="BB125" i="3"/>
  <c r="DK125" i="3" s="1"/>
  <c r="AQ125" i="3"/>
  <c r="CZ125" i="3" s="1"/>
  <c r="AF125" i="3"/>
  <c r="CO125" i="3" s="1"/>
  <c r="U125" i="3"/>
  <c r="CD125" i="3" s="1"/>
  <c r="J125" i="3"/>
  <c r="BS125" i="3" s="1"/>
  <c r="BC125" i="3"/>
  <c r="DL125" i="3" s="1"/>
  <c r="AN125" i="3"/>
  <c r="CW125" i="3" s="1"/>
  <c r="Z125" i="3"/>
  <c r="CI125" i="3" s="1"/>
  <c r="M125" i="3"/>
  <c r="BV125" i="3" s="1"/>
  <c r="BF125" i="3"/>
  <c r="DO125" i="3" s="1"/>
  <c r="AR125" i="3"/>
  <c r="DA125" i="3" s="1"/>
  <c r="AC125" i="3"/>
  <c r="CL125" i="3" s="1"/>
  <c r="O125" i="3"/>
  <c r="BX125" i="3" s="1"/>
  <c r="BD125" i="3"/>
  <c r="DM125" i="3" s="1"/>
  <c r="AP125" i="3"/>
  <c r="CY125" i="3" s="1"/>
  <c r="AB125" i="3"/>
  <c r="CK125" i="3" s="1"/>
  <c r="N125" i="3"/>
  <c r="BW125" i="3" s="1"/>
  <c r="AY125" i="3"/>
  <c r="DH125" i="3" s="1"/>
  <c r="AH125" i="3"/>
  <c r="CQ125" i="3" s="1"/>
  <c r="L125" i="3"/>
  <c r="BU125" i="3" s="1"/>
  <c r="BI125" i="3"/>
  <c r="DR125" i="3" s="1"/>
  <c r="AM125" i="3"/>
  <c r="CV125" i="3" s="1"/>
  <c r="V125" i="3"/>
  <c r="CE125" i="3" s="1"/>
  <c r="BH125" i="3"/>
  <c r="DQ125" i="3" s="1"/>
  <c r="AL125" i="3"/>
  <c r="CU125" i="3" s="1"/>
  <c r="T125" i="3"/>
  <c r="CC125" i="3" s="1"/>
  <c r="BG125" i="3"/>
  <c r="DP125" i="3" s="1"/>
  <c r="AJ125" i="3"/>
  <c r="CS125" i="3" s="1"/>
  <c r="R125" i="3"/>
  <c r="CA125" i="3" s="1"/>
  <c r="AW125" i="3"/>
  <c r="DF125" i="3" s="1"/>
  <c r="P125" i="3"/>
  <c r="BY125" i="3" s="1"/>
  <c r="AV125" i="3"/>
  <c r="DE125" i="3" s="1"/>
  <c r="K125" i="3"/>
  <c r="BT125" i="3" s="1"/>
  <c r="AT125" i="3"/>
  <c r="DC125" i="3" s="1"/>
  <c r="I125" i="3"/>
  <c r="BR125" i="3" s="1"/>
  <c r="AS125" i="3"/>
  <c r="DB125" i="3" s="1"/>
  <c r="F125" i="3"/>
  <c r="BO125" i="3" s="1"/>
  <c r="AI125" i="3"/>
  <c r="CR125" i="3" s="1"/>
  <c r="E125" i="3"/>
  <c r="BN125" i="3" s="1"/>
  <c r="AG125" i="3"/>
  <c r="CP125" i="3" s="1"/>
  <c r="BL125" i="3"/>
  <c r="DU125" i="3" s="1"/>
  <c r="AE125" i="3"/>
  <c r="CN125" i="3" s="1"/>
  <c r="BJ125" i="3"/>
  <c r="DS125" i="3" s="1"/>
  <c r="Y125" i="3"/>
  <c r="CH125" i="3" s="1"/>
  <c r="BA125" i="3"/>
  <c r="DJ125" i="3" s="1"/>
  <c r="AX125" i="3"/>
  <c r="DG125" i="3" s="1"/>
  <c r="X125" i="3"/>
  <c r="CG125" i="3" s="1"/>
  <c r="W125" i="3"/>
  <c r="CF125" i="3" s="1"/>
  <c r="N79" i="2"/>
  <c r="O79" i="2"/>
  <c r="J48" i="2"/>
  <c r="K48" i="2" s="1"/>
  <c r="L48" i="2" s="1"/>
  <c r="BD82" i="3"/>
  <c r="DM82" i="3" s="1"/>
  <c r="AT82" i="3"/>
  <c r="DC82" i="3" s="1"/>
  <c r="AJ82" i="3"/>
  <c r="CS82" i="3" s="1"/>
  <c r="Z82" i="3"/>
  <c r="CI82" i="3" s="1"/>
  <c r="P82" i="3"/>
  <c r="BY82" i="3" s="1"/>
  <c r="F82" i="3"/>
  <c r="BO82" i="3" s="1"/>
  <c r="BF82" i="3"/>
  <c r="DO82" i="3" s="1"/>
  <c r="AV82" i="3"/>
  <c r="DE82" i="3" s="1"/>
  <c r="AL82" i="3"/>
  <c r="CU82" i="3" s="1"/>
  <c r="AB82" i="3"/>
  <c r="CK82" i="3" s="1"/>
  <c r="R82" i="3"/>
  <c r="CA82" i="3" s="1"/>
  <c r="H82" i="3"/>
  <c r="BQ82" i="3" s="1"/>
  <c r="BJ82" i="3"/>
  <c r="DS82" i="3" s="1"/>
  <c r="AX82" i="3"/>
  <c r="DG82" i="3" s="1"/>
  <c r="AK82" i="3"/>
  <c r="CT82" i="3" s="1"/>
  <c r="X82" i="3"/>
  <c r="CG82" i="3" s="1"/>
  <c r="L82" i="3"/>
  <c r="BU82" i="3" s="1"/>
  <c r="BI82" i="3"/>
  <c r="DR82" i="3" s="1"/>
  <c r="AW82" i="3"/>
  <c r="DF82" i="3" s="1"/>
  <c r="AI82" i="3"/>
  <c r="CR82" i="3" s="1"/>
  <c r="W82" i="3"/>
  <c r="CF82" i="3" s="1"/>
  <c r="K82" i="3"/>
  <c r="BT82" i="3" s="1"/>
  <c r="AY82" i="3"/>
  <c r="DH82" i="3" s="1"/>
  <c r="AG82" i="3"/>
  <c r="CP82" i="3" s="1"/>
  <c r="S82" i="3"/>
  <c r="CB82" i="3" s="1"/>
  <c r="BL82" i="3"/>
  <c r="DU82" i="3" s="1"/>
  <c r="AU82" i="3"/>
  <c r="DD82" i="3" s="1"/>
  <c r="AF82" i="3"/>
  <c r="CO82" i="3" s="1"/>
  <c r="Q82" i="3"/>
  <c r="BZ82" i="3" s="1"/>
  <c r="BK82" i="3"/>
  <c r="DT82" i="3" s="1"/>
  <c r="AS82" i="3"/>
  <c r="DB82" i="3" s="1"/>
  <c r="AE82" i="3"/>
  <c r="CN82" i="3" s="1"/>
  <c r="O82" i="3"/>
  <c r="BX82" i="3" s="1"/>
  <c r="BH82" i="3"/>
  <c r="DQ82" i="3" s="1"/>
  <c r="AR82" i="3"/>
  <c r="DA82" i="3" s="1"/>
  <c r="AD82" i="3"/>
  <c r="CM82" i="3" s="1"/>
  <c r="N82" i="3"/>
  <c r="BW82" i="3" s="1"/>
  <c r="BG82" i="3"/>
  <c r="DP82" i="3" s="1"/>
  <c r="AQ82" i="3"/>
  <c r="CZ82" i="3" s="1"/>
  <c r="AC82" i="3"/>
  <c r="CL82" i="3" s="1"/>
  <c r="M82" i="3"/>
  <c r="BV82" i="3" s="1"/>
  <c r="BA82" i="3"/>
  <c r="DJ82" i="3" s="1"/>
  <c r="AM82" i="3"/>
  <c r="CV82" i="3" s="1"/>
  <c r="U82" i="3"/>
  <c r="CD82" i="3" s="1"/>
  <c r="E82" i="3"/>
  <c r="BN82" i="3" s="1"/>
  <c r="AZ82" i="3"/>
  <c r="DI82" i="3" s="1"/>
  <c r="I82" i="3"/>
  <c r="BR82" i="3" s="1"/>
  <c r="AP82" i="3"/>
  <c r="CY82" i="3" s="1"/>
  <c r="G82" i="3"/>
  <c r="BP82" i="3" s="1"/>
  <c r="AO82" i="3"/>
  <c r="CX82" i="3" s="1"/>
  <c r="AN82" i="3"/>
  <c r="CW82" i="3" s="1"/>
  <c r="AH82" i="3"/>
  <c r="CQ82" i="3" s="1"/>
  <c r="AA82" i="3"/>
  <c r="CJ82" i="3" s="1"/>
  <c r="Y82" i="3"/>
  <c r="CH82" i="3" s="1"/>
  <c r="BE82" i="3"/>
  <c r="DN82" i="3" s="1"/>
  <c r="V82" i="3"/>
  <c r="CE82" i="3" s="1"/>
  <c r="BC82" i="3"/>
  <c r="DL82" i="3" s="1"/>
  <c r="T82" i="3"/>
  <c r="CC82" i="3" s="1"/>
  <c r="BB82" i="3"/>
  <c r="DK82" i="3" s="1"/>
  <c r="J82" i="3"/>
  <c r="BS82" i="3" s="1"/>
  <c r="J10" i="2"/>
  <c r="K10" i="2" s="1"/>
  <c r="L10" i="2" s="1"/>
  <c r="N99" i="2"/>
  <c r="O99" i="2"/>
  <c r="O20" i="2"/>
  <c r="BI270" i="3"/>
  <c r="DR270" i="3" s="1"/>
  <c r="AY270" i="3"/>
  <c r="DH270" i="3" s="1"/>
  <c r="AO270" i="3"/>
  <c r="CX270" i="3" s="1"/>
  <c r="AE270" i="3"/>
  <c r="CN270" i="3" s="1"/>
  <c r="U270" i="3"/>
  <c r="CD270" i="3" s="1"/>
  <c r="K270" i="3"/>
  <c r="BT270" i="3" s="1"/>
  <c r="BH270" i="3"/>
  <c r="DQ270" i="3" s="1"/>
  <c r="AX270" i="3"/>
  <c r="DG270" i="3" s="1"/>
  <c r="AN270" i="3"/>
  <c r="CW270" i="3" s="1"/>
  <c r="AD270" i="3"/>
  <c r="CM270" i="3" s="1"/>
  <c r="T270" i="3"/>
  <c r="CC270" i="3" s="1"/>
  <c r="J270" i="3"/>
  <c r="BS270" i="3" s="1"/>
  <c r="BG270" i="3"/>
  <c r="DP270" i="3" s="1"/>
  <c r="AU270" i="3"/>
  <c r="DD270" i="3" s="1"/>
  <c r="AI270" i="3"/>
  <c r="CR270" i="3" s="1"/>
  <c r="W270" i="3"/>
  <c r="CF270" i="3" s="1"/>
  <c r="I270" i="3"/>
  <c r="BR270" i="3" s="1"/>
  <c r="BA270" i="3"/>
  <c r="DJ270" i="3" s="1"/>
  <c r="AL270" i="3"/>
  <c r="CU270" i="3" s="1"/>
  <c r="Y270" i="3"/>
  <c r="CH270" i="3" s="1"/>
  <c r="L270" i="3"/>
  <c r="BU270" i="3" s="1"/>
  <c r="AZ270" i="3"/>
  <c r="DI270" i="3" s="1"/>
  <c r="AK270" i="3"/>
  <c r="CT270" i="3" s="1"/>
  <c r="X270" i="3"/>
  <c r="CG270" i="3" s="1"/>
  <c r="H270" i="3"/>
  <c r="BQ270" i="3" s="1"/>
  <c r="BC270" i="3"/>
  <c r="DL270" i="3" s="1"/>
  <c r="AP270" i="3"/>
  <c r="CY270" i="3" s="1"/>
  <c r="AA270" i="3"/>
  <c r="CJ270" i="3" s="1"/>
  <c r="N270" i="3"/>
  <c r="BW270" i="3" s="1"/>
  <c r="BF270" i="3"/>
  <c r="DO270" i="3" s="1"/>
  <c r="AM270" i="3"/>
  <c r="CV270" i="3" s="1"/>
  <c r="R270" i="3"/>
  <c r="CA270" i="3" s="1"/>
  <c r="BE270" i="3"/>
  <c r="DN270" i="3" s="1"/>
  <c r="AJ270" i="3"/>
  <c r="CS270" i="3" s="1"/>
  <c r="Q270" i="3"/>
  <c r="BZ270" i="3" s="1"/>
  <c r="BD270" i="3"/>
  <c r="DM270" i="3" s="1"/>
  <c r="AH270" i="3"/>
  <c r="CQ270" i="3" s="1"/>
  <c r="P270" i="3"/>
  <c r="BY270" i="3" s="1"/>
  <c r="BB270" i="3"/>
  <c r="DK270" i="3" s="1"/>
  <c r="AG270" i="3"/>
  <c r="CP270" i="3" s="1"/>
  <c r="O270" i="3"/>
  <c r="BX270" i="3" s="1"/>
  <c r="BJ270" i="3"/>
  <c r="DS270" i="3" s="1"/>
  <c r="AQ270" i="3"/>
  <c r="CZ270" i="3" s="1"/>
  <c r="S270" i="3"/>
  <c r="CB270" i="3" s="1"/>
  <c r="BL270" i="3"/>
  <c r="DU270" i="3" s="1"/>
  <c r="Z270" i="3"/>
  <c r="CI270" i="3" s="1"/>
  <c r="BK270" i="3"/>
  <c r="DT270" i="3" s="1"/>
  <c r="V270" i="3"/>
  <c r="CE270" i="3" s="1"/>
  <c r="AW270" i="3"/>
  <c r="DF270" i="3" s="1"/>
  <c r="M270" i="3"/>
  <c r="BV270" i="3" s="1"/>
  <c r="AV270" i="3"/>
  <c r="DE270" i="3" s="1"/>
  <c r="G270" i="3"/>
  <c r="BP270" i="3" s="1"/>
  <c r="AT270" i="3"/>
  <c r="DC270" i="3" s="1"/>
  <c r="F270" i="3"/>
  <c r="BO270" i="3" s="1"/>
  <c r="AS270" i="3"/>
  <c r="DB270" i="3" s="1"/>
  <c r="E270" i="3"/>
  <c r="BN270" i="3" s="1"/>
  <c r="AR270" i="3"/>
  <c r="DA270" i="3" s="1"/>
  <c r="AF270" i="3"/>
  <c r="CO270" i="3" s="1"/>
  <c r="AC270" i="3"/>
  <c r="CL270" i="3" s="1"/>
  <c r="AB270" i="3"/>
  <c r="CK270" i="3" s="1"/>
  <c r="BH167" i="3"/>
  <c r="DQ167" i="3" s="1"/>
  <c r="AX167" i="3"/>
  <c r="DG167" i="3" s="1"/>
  <c r="AN167" i="3"/>
  <c r="CW167" i="3" s="1"/>
  <c r="AD167" i="3"/>
  <c r="CM167" i="3" s="1"/>
  <c r="T167" i="3"/>
  <c r="CC167" i="3" s="1"/>
  <c r="J167" i="3"/>
  <c r="BS167" i="3" s="1"/>
  <c r="BK167" i="3"/>
  <c r="DT167" i="3" s="1"/>
  <c r="AZ167" i="3"/>
  <c r="DI167" i="3" s="1"/>
  <c r="AO167" i="3"/>
  <c r="CX167" i="3" s="1"/>
  <c r="AC167" i="3"/>
  <c r="CL167" i="3" s="1"/>
  <c r="R167" i="3"/>
  <c r="CA167" i="3" s="1"/>
  <c r="G167" i="3"/>
  <c r="BP167" i="3" s="1"/>
  <c r="BJ167" i="3"/>
  <c r="DS167" i="3" s="1"/>
  <c r="AY167" i="3"/>
  <c r="DH167" i="3" s="1"/>
  <c r="AM167" i="3"/>
  <c r="CV167" i="3" s="1"/>
  <c r="AB167" i="3"/>
  <c r="CK167" i="3" s="1"/>
  <c r="Q167" i="3"/>
  <c r="BZ167" i="3" s="1"/>
  <c r="F167" i="3"/>
  <c r="BO167" i="3" s="1"/>
  <c r="BI167" i="3"/>
  <c r="DR167" i="3" s="1"/>
  <c r="AW167" i="3"/>
  <c r="DF167" i="3" s="1"/>
  <c r="AL167" i="3"/>
  <c r="CU167" i="3" s="1"/>
  <c r="AA167" i="3"/>
  <c r="CJ167" i="3" s="1"/>
  <c r="P167" i="3"/>
  <c r="BY167" i="3" s="1"/>
  <c r="E167" i="3"/>
  <c r="BN167" i="3" s="1"/>
  <c r="BG167" i="3"/>
  <c r="DP167" i="3" s="1"/>
  <c r="AV167" i="3"/>
  <c r="DE167" i="3" s="1"/>
  <c r="AK167" i="3"/>
  <c r="CT167" i="3" s="1"/>
  <c r="Z167" i="3"/>
  <c r="CI167" i="3" s="1"/>
  <c r="O167" i="3"/>
  <c r="BX167" i="3" s="1"/>
  <c r="BB167" i="3"/>
  <c r="DK167" i="3" s="1"/>
  <c r="AQ167" i="3"/>
  <c r="CZ167" i="3" s="1"/>
  <c r="AF167" i="3"/>
  <c r="CO167" i="3" s="1"/>
  <c r="U167" i="3"/>
  <c r="CD167" i="3" s="1"/>
  <c r="I167" i="3"/>
  <c r="BR167" i="3" s="1"/>
  <c r="BC167" i="3"/>
  <c r="DL167" i="3" s="1"/>
  <c r="AG167" i="3"/>
  <c r="CP167" i="3" s="1"/>
  <c r="K167" i="3"/>
  <c r="BT167" i="3" s="1"/>
  <c r="BA167" i="3"/>
  <c r="DJ167" i="3" s="1"/>
  <c r="AE167" i="3"/>
  <c r="CN167" i="3" s="1"/>
  <c r="H167" i="3"/>
  <c r="BQ167" i="3" s="1"/>
  <c r="AU167" i="3"/>
  <c r="DD167" i="3" s="1"/>
  <c r="Y167" i="3"/>
  <c r="CH167" i="3" s="1"/>
  <c r="AT167" i="3"/>
  <c r="DC167" i="3" s="1"/>
  <c r="X167" i="3"/>
  <c r="CG167" i="3" s="1"/>
  <c r="BE167" i="3"/>
  <c r="DN167" i="3" s="1"/>
  <c r="AI167" i="3"/>
  <c r="CR167" i="3" s="1"/>
  <c r="M167" i="3"/>
  <c r="BV167" i="3" s="1"/>
  <c r="BD167" i="3"/>
  <c r="DM167" i="3" s="1"/>
  <c r="AH167" i="3"/>
  <c r="CQ167" i="3" s="1"/>
  <c r="L167" i="3"/>
  <c r="BU167" i="3" s="1"/>
  <c r="S167" i="3"/>
  <c r="CB167" i="3" s="1"/>
  <c r="N167" i="3"/>
  <c r="BW167" i="3" s="1"/>
  <c r="BL167" i="3"/>
  <c r="DU167" i="3" s="1"/>
  <c r="BF167" i="3"/>
  <c r="DO167" i="3" s="1"/>
  <c r="AS167" i="3"/>
  <c r="DB167" i="3" s="1"/>
  <c r="AR167" i="3"/>
  <c r="DA167" i="3" s="1"/>
  <c r="AP167" i="3"/>
  <c r="CY167" i="3" s="1"/>
  <c r="W167" i="3"/>
  <c r="CF167" i="3" s="1"/>
  <c r="V167" i="3"/>
  <c r="CE167" i="3" s="1"/>
  <c r="AJ167" i="3"/>
  <c r="CS167" i="3" s="1"/>
  <c r="K109" i="2"/>
  <c r="L109" i="2" s="1"/>
  <c r="N239" i="2"/>
  <c r="O239" i="2"/>
  <c r="O200" i="2"/>
  <c r="O193" i="2"/>
  <c r="O196" i="2"/>
  <c r="O252" i="2"/>
  <c r="N142" i="2"/>
  <c r="O142" i="2"/>
  <c r="O211" i="2"/>
  <c r="O144" i="2"/>
  <c r="O74" i="2"/>
  <c r="O158" i="2"/>
  <c r="N158" i="2"/>
  <c r="N48" i="2"/>
  <c r="O48" i="2"/>
  <c r="O96" i="2"/>
  <c r="J14" i="2"/>
  <c r="K14" i="2" s="1"/>
  <c r="L14" i="2" s="1"/>
  <c r="O216" i="2"/>
  <c r="O83" i="2"/>
  <c r="J64" i="2"/>
  <c r="K64" i="2" s="1"/>
  <c r="L64" i="2" s="1"/>
  <c r="O43" i="2"/>
  <c r="BL61" i="3"/>
  <c r="DU61" i="3" s="1"/>
  <c r="BB61" i="3"/>
  <c r="DK61" i="3" s="1"/>
  <c r="AR61" i="3"/>
  <c r="DA61" i="3" s="1"/>
  <c r="AH61" i="3"/>
  <c r="CQ61" i="3" s="1"/>
  <c r="X61" i="3"/>
  <c r="CG61" i="3" s="1"/>
  <c r="N61" i="3"/>
  <c r="BW61" i="3" s="1"/>
  <c r="BK61" i="3"/>
  <c r="DT61" i="3" s="1"/>
  <c r="BA61" i="3"/>
  <c r="DJ61" i="3" s="1"/>
  <c r="AQ61" i="3"/>
  <c r="CZ61" i="3" s="1"/>
  <c r="AG61" i="3"/>
  <c r="CP61" i="3" s="1"/>
  <c r="W61" i="3"/>
  <c r="CF61" i="3" s="1"/>
  <c r="M61" i="3"/>
  <c r="BV61" i="3" s="1"/>
  <c r="BD61" i="3"/>
  <c r="DM61" i="3" s="1"/>
  <c r="AT61" i="3"/>
  <c r="DC61" i="3" s="1"/>
  <c r="AJ61" i="3"/>
  <c r="CS61" i="3" s="1"/>
  <c r="Z61" i="3"/>
  <c r="CI61" i="3" s="1"/>
  <c r="P61" i="3"/>
  <c r="BY61" i="3" s="1"/>
  <c r="F61" i="3"/>
  <c r="BO61" i="3" s="1"/>
  <c r="BC61" i="3"/>
  <c r="DL61" i="3" s="1"/>
  <c r="AN61" i="3"/>
  <c r="CW61" i="3" s="1"/>
  <c r="AA61" i="3"/>
  <c r="CJ61" i="3" s="1"/>
  <c r="K61" i="3"/>
  <c r="BT61" i="3" s="1"/>
  <c r="AZ61" i="3"/>
  <c r="DI61" i="3" s="1"/>
  <c r="AM61" i="3"/>
  <c r="CV61" i="3" s="1"/>
  <c r="Y61" i="3"/>
  <c r="CH61" i="3" s="1"/>
  <c r="J61" i="3"/>
  <c r="BS61" i="3" s="1"/>
  <c r="AY61" i="3"/>
  <c r="DH61" i="3" s="1"/>
  <c r="AL61" i="3"/>
  <c r="CU61" i="3" s="1"/>
  <c r="V61" i="3"/>
  <c r="CE61" i="3" s="1"/>
  <c r="I61" i="3"/>
  <c r="BR61" i="3" s="1"/>
  <c r="AX61" i="3"/>
  <c r="DG61" i="3" s="1"/>
  <c r="AK61" i="3"/>
  <c r="CT61" i="3" s="1"/>
  <c r="U61" i="3"/>
  <c r="CD61" i="3" s="1"/>
  <c r="H61" i="3"/>
  <c r="BQ61" i="3" s="1"/>
  <c r="BJ61" i="3"/>
  <c r="DS61" i="3" s="1"/>
  <c r="AW61" i="3"/>
  <c r="DF61" i="3" s="1"/>
  <c r="AI61" i="3"/>
  <c r="CR61" i="3" s="1"/>
  <c r="T61" i="3"/>
  <c r="CC61" i="3" s="1"/>
  <c r="G61" i="3"/>
  <c r="BP61" i="3" s="1"/>
  <c r="BI61" i="3"/>
  <c r="DR61" i="3" s="1"/>
  <c r="AV61" i="3"/>
  <c r="DE61" i="3" s="1"/>
  <c r="AF61" i="3"/>
  <c r="CO61" i="3" s="1"/>
  <c r="S61" i="3"/>
  <c r="CB61" i="3" s="1"/>
  <c r="E61" i="3"/>
  <c r="BN61" i="3" s="1"/>
  <c r="BH61" i="3"/>
  <c r="DQ61" i="3" s="1"/>
  <c r="AU61" i="3"/>
  <c r="DD61" i="3" s="1"/>
  <c r="AE61" i="3"/>
  <c r="CN61" i="3" s="1"/>
  <c r="R61" i="3"/>
  <c r="CA61" i="3" s="1"/>
  <c r="BE61" i="3"/>
  <c r="DN61" i="3" s="1"/>
  <c r="AO61" i="3"/>
  <c r="CX61" i="3" s="1"/>
  <c r="AB61" i="3"/>
  <c r="CK61" i="3" s="1"/>
  <c r="L61" i="3"/>
  <c r="BU61" i="3" s="1"/>
  <c r="BG61" i="3"/>
  <c r="DP61" i="3" s="1"/>
  <c r="BF61" i="3"/>
  <c r="DO61" i="3" s="1"/>
  <c r="AS61" i="3"/>
  <c r="DB61" i="3" s="1"/>
  <c r="AP61" i="3"/>
  <c r="CY61" i="3" s="1"/>
  <c r="AD61" i="3"/>
  <c r="CM61" i="3" s="1"/>
  <c r="AC61" i="3"/>
  <c r="CL61" i="3" s="1"/>
  <c r="Q61" i="3"/>
  <c r="BZ61" i="3" s="1"/>
  <c r="O61" i="3"/>
  <c r="BX61" i="3" s="1"/>
  <c r="O47" i="2"/>
  <c r="O38" i="2"/>
  <c r="BH52" i="3"/>
  <c r="DQ52" i="3" s="1"/>
  <c r="AX52" i="3"/>
  <c r="DG52" i="3" s="1"/>
  <c r="AN52" i="3"/>
  <c r="CW52" i="3" s="1"/>
  <c r="AD52" i="3"/>
  <c r="CM52" i="3" s="1"/>
  <c r="T52" i="3"/>
  <c r="CC52" i="3" s="1"/>
  <c r="J52" i="3"/>
  <c r="BS52" i="3" s="1"/>
  <c r="BG52" i="3"/>
  <c r="DP52" i="3" s="1"/>
  <c r="AW52" i="3"/>
  <c r="DF52" i="3" s="1"/>
  <c r="AM52" i="3"/>
  <c r="CV52" i="3" s="1"/>
  <c r="AC52" i="3"/>
  <c r="CL52" i="3" s="1"/>
  <c r="S52" i="3"/>
  <c r="CB52" i="3" s="1"/>
  <c r="I52" i="3"/>
  <c r="BR52" i="3" s="1"/>
  <c r="BJ52" i="3"/>
  <c r="DS52" i="3" s="1"/>
  <c r="AZ52" i="3"/>
  <c r="DI52" i="3" s="1"/>
  <c r="AP52" i="3"/>
  <c r="CY52" i="3" s="1"/>
  <c r="AF52" i="3"/>
  <c r="CO52" i="3" s="1"/>
  <c r="V52" i="3"/>
  <c r="CE52" i="3" s="1"/>
  <c r="L52" i="3"/>
  <c r="BU52" i="3" s="1"/>
  <c r="BD52" i="3"/>
  <c r="DM52" i="3" s="1"/>
  <c r="AQ52" i="3"/>
  <c r="CZ52" i="3" s="1"/>
  <c r="AA52" i="3"/>
  <c r="CJ52" i="3" s="1"/>
  <c r="N52" i="3"/>
  <c r="BW52" i="3" s="1"/>
  <c r="BC52" i="3"/>
  <c r="DL52" i="3" s="1"/>
  <c r="AO52" i="3"/>
  <c r="CX52" i="3" s="1"/>
  <c r="Z52" i="3"/>
  <c r="CI52" i="3" s="1"/>
  <c r="M52" i="3"/>
  <c r="BV52" i="3" s="1"/>
  <c r="BB52" i="3"/>
  <c r="DK52" i="3" s="1"/>
  <c r="AL52" i="3"/>
  <c r="CU52" i="3" s="1"/>
  <c r="Y52" i="3"/>
  <c r="CH52" i="3" s="1"/>
  <c r="K52" i="3"/>
  <c r="BT52" i="3" s="1"/>
  <c r="BE52" i="3"/>
  <c r="DN52" i="3" s="1"/>
  <c r="AR52" i="3"/>
  <c r="DA52" i="3" s="1"/>
  <c r="AB52" i="3"/>
  <c r="CK52" i="3" s="1"/>
  <c r="O52" i="3"/>
  <c r="BX52" i="3" s="1"/>
  <c r="BL52" i="3"/>
  <c r="DU52" i="3" s="1"/>
  <c r="AK52" i="3"/>
  <c r="CT52" i="3" s="1"/>
  <c r="Q52" i="3"/>
  <c r="BZ52" i="3" s="1"/>
  <c r="BK52" i="3"/>
  <c r="DT52" i="3" s="1"/>
  <c r="AJ52" i="3"/>
  <c r="CS52" i="3" s="1"/>
  <c r="P52" i="3"/>
  <c r="BY52" i="3" s="1"/>
  <c r="BI52" i="3"/>
  <c r="DR52" i="3" s="1"/>
  <c r="AI52" i="3"/>
  <c r="CR52" i="3" s="1"/>
  <c r="H52" i="3"/>
  <c r="BQ52" i="3" s="1"/>
  <c r="BF52" i="3"/>
  <c r="DO52" i="3" s="1"/>
  <c r="AH52" i="3"/>
  <c r="CQ52" i="3" s="1"/>
  <c r="G52" i="3"/>
  <c r="BP52" i="3" s="1"/>
  <c r="BA52" i="3"/>
  <c r="DJ52" i="3" s="1"/>
  <c r="AG52" i="3"/>
  <c r="CP52" i="3" s="1"/>
  <c r="F52" i="3"/>
  <c r="BO52" i="3" s="1"/>
  <c r="AY52" i="3"/>
  <c r="DH52" i="3" s="1"/>
  <c r="AE52" i="3"/>
  <c r="CN52" i="3" s="1"/>
  <c r="E52" i="3"/>
  <c r="BN52" i="3" s="1"/>
  <c r="AV52" i="3"/>
  <c r="DE52" i="3" s="1"/>
  <c r="X52" i="3"/>
  <c r="CG52" i="3" s="1"/>
  <c r="AU52" i="3"/>
  <c r="DD52" i="3" s="1"/>
  <c r="W52" i="3"/>
  <c r="CF52" i="3" s="1"/>
  <c r="AT52" i="3"/>
  <c r="DC52" i="3" s="1"/>
  <c r="U52" i="3"/>
  <c r="CD52" i="3" s="1"/>
  <c r="AS52" i="3"/>
  <c r="DB52" i="3" s="1"/>
  <c r="R52" i="3"/>
  <c r="CA52" i="3" s="1"/>
  <c r="K83" i="2"/>
  <c r="L83" i="2" s="1"/>
  <c r="O24" i="2"/>
  <c r="O86" i="2"/>
  <c r="N86" i="2"/>
  <c r="O15" i="2"/>
  <c r="N89" i="2"/>
  <c r="O89" i="2"/>
  <c r="O36" i="2"/>
  <c r="BL51" i="3"/>
  <c r="DU51" i="3" s="1"/>
  <c r="BB51" i="3"/>
  <c r="DK51" i="3" s="1"/>
  <c r="AR51" i="3"/>
  <c r="DA51" i="3" s="1"/>
  <c r="AH51" i="3"/>
  <c r="CQ51" i="3" s="1"/>
  <c r="X51" i="3"/>
  <c r="CG51" i="3" s="1"/>
  <c r="N51" i="3"/>
  <c r="BW51" i="3" s="1"/>
  <c r="BK51" i="3"/>
  <c r="DT51" i="3" s="1"/>
  <c r="BA51" i="3"/>
  <c r="DJ51" i="3" s="1"/>
  <c r="AQ51" i="3"/>
  <c r="CZ51" i="3" s="1"/>
  <c r="AG51" i="3"/>
  <c r="CP51" i="3" s="1"/>
  <c r="W51" i="3"/>
  <c r="CF51" i="3" s="1"/>
  <c r="M51" i="3"/>
  <c r="BV51" i="3" s="1"/>
  <c r="BD51" i="3"/>
  <c r="DM51" i="3" s="1"/>
  <c r="AT51" i="3"/>
  <c r="DC51" i="3" s="1"/>
  <c r="AJ51" i="3"/>
  <c r="CS51" i="3" s="1"/>
  <c r="Z51" i="3"/>
  <c r="CI51" i="3" s="1"/>
  <c r="P51" i="3"/>
  <c r="BY51" i="3" s="1"/>
  <c r="F51" i="3"/>
  <c r="BO51" i="3" s="1"/>
  <c r="AY51" i="3"/>
  <c r="DH51" i="3" s="1"/>
  <c r="AL51" i="3"/>
  <c r="CU51" i="3" s="1"/>
  <c r="V51" i="3"/>
  <c r="CE51" i="3" s="1"/>
  <c r="I51" i="3"/>
  <c r="BR51" i="3" s="1"/>
  <c r="AX51" i="3"/>
  <c r="DG51" i="3" s="1"/>
  <c r="AK51" i="3"/>
  <c r="CT51" i="3" s="1"/>
  <c r="U51" i="3"/>
  <c r="CD51" i="3" s="1"/>
  <c r="H51" i="3"/>
  <c r="BQ51" i="3" s="1"/>
  <c r="BJ51" i="3"/>
  <c r="DS51" i="3" s="1"/>
  <c r="AW51" i="3"/>
  <c r="DF51" i="3" s="1"/>
  <c r="AI51" i="3"/>
  <c r="CR51" i="3" s="1"/>
  <c r="T51" i="3"/>
  <c r="CC51" i="3" s="1"/>
  <c r="G51" i="3"/>
  <c r="BP51" i="3" s="1"/>
  <c r="AZ51" i="3"/>
  <c r="DI51" i="3" s="1"/>
  <c r="AM51" i="3"/>
  <c r="CV51" i="3" s="1"/>
  <c r="Y51" i="3"/>
  <c r="CH51" i="3" s="1"/>
  <c r="J51" i="3"/>
  <c r="BS51" i="3" s="1"/>
  <c r="AS51" i="3"/>
  <c r="DB51" i="3" s="1"/>
  <c r="S51" i="3"/>
  <c r="CB51" i="3" s="1"/>
  <c r="AP51" i="3"/>
  <c r="CY51" i="3" s="1"/>
  <c r="R51" i="3"/>
  <c r="CA51" i="3" s="1"/>
  <c r="BI51" i="3"/>
  <c r="DR51" i="3" s="1"/>
  <c r="AO51" i="3"/>
  <c r="CX51" i="3" s="1"/>
  <c r="Q51" i="3"/>
  <c r="BZ51" i="3" s="1"/>
  <c r="BH51" i="3"/>
  <c r="DQ51" i="3" s="1"/>
  <c r="AN51" i="3"/>
  <c r="CW51" i="3" s="1"/>
  <c r="O51" i="3"/>
  <c r="BX51" i="3" s="1"/>
  <c r="BG51" i="3"/>
  <c r="DP51" i="3" s="1"/>
  <c r="AF51" i="3"/>
  <c r="CO51" i="3" s="1"/>
  <c r="L51" i="3"/>
  <c r="BU51" i="3" s="1"/>
  <c r="BF51" i="3"/>
  <c r="DO51" i="3" s="1"/>
  <c r="AE51" i="3"/>
  <c r="CN51" i="3" s="1"/>
  <c r="K51" i="3"/>
  <c r="BT51" i="3" s="1"/>
  <c r="BE51" i="3"/>
  <c r="DN51" i="3" s="1"/>
  <c r="AD51" i="3"/>
  <c r="CM51" i="3" s="1"/>
  <c r="E51" i="3"/>
  <c r="BN51" i="3" s="1"/>
  <c r="BC51" i="3"/>
  <c r="DL51" i="3" s="1"/>
  <c r="AC51" i="3"/>
  <c r="CL51" i="3" s="1"/>
  <c r="AV51" i="3"/>
  <c r="DE51" i="3" s="1"/>
  <c r="AB51" i="3"/>
  <c r="CK51" i="3" s="1"/>
  <c r="AU51" i="3"/>
  <c r="DD51" i="3" s="1"/>
  <c r="AA51" i="3"/>
  <c r="CJ51" i="3" s="1"/>
  <c r="BE103" i="3"/>
  <c r="DN103" i="3" s="1"/>
  <c r="AU103" i="3"/>
  <c r="DD103" i="3" s="1"/>
  <c r="AK103" i="3"/>
  <c r="CT103" i="3" s="1"/>
  <c r="AA103" i="3"/>
  <c r="CJ103" i="3" s="1"/>
  <c r="Q103" i="3"/>
  <c r="BZ103" i="3" s="1"/>
  <c r="G103" i="3"/>
  <c r="BP103" i="3" s="1"/>
  <c r="BH103" i="3"/>
  <c r="DQ103" i="3" s="1"/>
  <c r="AW103" i="3"/>
  <c r="DF103" i="3" s="1"/>
  <c r="AL103" i="3"/>
  <c r="CU103" i="3" s="1"/>
  <c r="Z103" i="3"/>
  <c r="CI103" i="3" s="1"/>
  <c r="O103" i="3"/>
  <c r="BX103" i="3" s="1"/>
  <c r="BJ103" i="3"/>
  <c r="DS103" i="3" s="1"/>
  <c r="AY103" i="3"/>
  <c r="DH103" i="3" s="1"/>
  <c r="AN103" i="3"/>
  <c r="CW103" i="3" s="1"/>
  <c r="AC103" i="3"/>
  <c r="CL103" i="3" s="1"/>
  <c r="R103" i="3"/>
  <c r="CA103" i="3" s="1"/>
  <c r="F103" i="3"/>
  <c r="BO103" i="3" s="1"/>
  <c r="BI103" i="3"/>
  <c r="DR103" i="3" s="1"/>
  <c r="AX103" i="3"/>
  <c r="DG103" i="3" s="1"/>
  <c r="AM103" i="3"/>
  <c r="CV103" i="3" s="1"/>
  <c r="AB103" i="3"/>
  <c r="CK103" i="3" s="1"/>
  <c r="P103" i="3"/>
  <c r="BY103" i="3" s="1"/>
  <c r="E103" i="3"/>
  <c r="BN103" i="3" s="1"/>
  <c r="BB103" i="3"/>
  <c r="DK103" i="3" s="1"/>
  <c r="AJ103" i="3"/>
  <c r="CS103" i="3" s="1"/>
  <c r="V103" i="3"/>
  <c r="CE103" i="3" s="1"/>
  <c r="H103" i="3"/>
  <c r="BQ103" i="3" s="1"/>
  <c r="BA103" i="3"/>
  <c r="DJ103" i="3" s="1"/>
  <c r="AI103" i="3"/>
  <c r="CR103" i="3" s="1"/>
  <c r="U103" i="3"/>
  <c r="CD103" i="3" s="1"/>
  <c r="BF103" i="3"/>
  <c r="DO103" i="3" s="1"/>
  <c r="AQ103" i="3"/>
  <c r="CZ103" i="3" s="1"/>
  <c r="Y103" i="3"/>
  <c r="CH103" i="3" s="1"/>
  <c r="K103" i="3"/>
  <c r="BT103" i="3" s="1"/>
  <c r="AS103" i="3"/>
  <c r="DB103" i="3" s="1"/>
  <c r="W103" i="3"/>
  <c r="CF103" i="3" s="1"/>
  <c r="AR103" i="3"/>
  <c r="DA103" i="3" s="1"/>
  <c r="T103" i="3"/>
  <c r="CC103" i="3" s="1"/>
  <c r="BL103" i="3"/>
  <c r="DU103" i="3" s="1"/>
  <c r="AP103" i="3"/>
  <c r="CY103" i="3" s="1"/>
  <c r="S103" i="3"/>
  <c r="CB103" i="3" s="1"/>
  <c r="BK103" i="3"/>
  <c r="DT103" i="3" s="1"/>
  <c r="AO103" i="3"/>
  <c r="CX103" i="3" s="1"/>
  <c r="N103" i="3"/>
  <c r="BW103" i="3" s="1"/>
  <c r="BG103" i="3"/>
  <c r="DP103" i="3" s="1"/>
  <c r="AH103" i="3"/>
  <c r="CQ103" i="3" s="1"/>
  <c r="M103" i="3"/>
  <c r="BV103" i="3" s="1"/>
  <c r="BD103" i="3"/>
  <c r="DM103" i="3" s="1"/>
  <c r="AG103" i="3"/>
  <c r="CP103" i="3" s="1"/>
  <c r="L103" i="3"/>
  <c r="BU103" i="3" s="1"/>
  <c r="BC103" i="3"/>
  <c r="DL103" i="3" s="1"/>
  <c r="AF103" i="3"/>
  <c r="CO103" i="3" s="1"/>
  <c r="J103" i="3"/>
  <c r="BS103" i="3" s="1"/>
  <c r="AZ103" i="3"/>
  <c r="DI103" i="3" s="1"/>
  <c r="AE103" i="3"/>
  <c r="CN103" i="3" s="1"/>
  <c r="I103" i="3"/>
  <c r="BR103" i="3" s="1"/>
  <c r="AV103" i="3"/>
  <c r="DE103" i="3" s="1"/>
  <c r="AD103" i="3"/>
  <c r="CM103" i="3" s="1"/>
  <c r="AT103" i="3"/>
  <c r="DC103" i="3" s="1"/>
  <c r="X103" i="3"/>
  <c r="CG103" i="3" s="1"/>
  <c r="J17" i="2"/>
  <c r="K17" i="2" s="1"/>
  <c r="L17" i="2" s="1"/>
  <c r="J37" i="2"/>
  <c r="K37" i="2" s="1"/>
  <c r="L37" i="2" s="1"/>
  <c r="J69" i="2"/>
  <c r="K69" i="2" s="1"/>
  <c r="L69" i="2" s="1"/>
  <c r="BG100" i="3"/>
  <c r="DP100" i="3" s="1"/>
  <c r="AW100" i="3"/>
  <c r="DF100" i="3" s="1"/>
  <c r="AM100" i="3"/>
  <c r="CV100" i="3" s="1"/>
  <c r="AC100" i="3"/>
  <c r="CL100" i="3" s="1"/>
  <c r="S100" i="3"/>
  <c r="CB100" i="3" s="1"/>
  <c r="I100" i="3"/>
  <c r="BR100" i="3" s="1"/>
  <c r="BB100" i="3"/>
  <c r="DK100" i="3" s="1"/>
  <c r="AQ100" i="3"/>
  <c r="CZ100" i="3" s="1"/>
  <c r="AF100" i="3"/>
  <c r="CO100" i="3" s="1"/>
  <c r="U100" i="3"/>
  <c r="CD100" i="3" s="1"/>
  <c r="J100" i="3"/>
  <c r="BS100" i="3" s="1"/>
  <c r="BD100" i="3"/>
  <c r="DM100" i="3" s="1"/>
  <c r="AS100" i="3"/>
  <c r="DB100" i="3" s="1"/>
  <c r="AH100" i="3"/>
  <c r="CQ100" i="3" s="1"/>
  <c r="W100" i="3"/>
  <c r="CF100" i="3" s="1"/>
  <c r="L100" i="3"/>
  <c r="BU100" i="3" s="1"/>
  <c r="BC100" i="3"/>
  <c r="DL100" i="3" s="1"/>
  <c r="AR100" i="3"/>
  <c r="DA100" i="3" s="1"/>
  <c r="AG100" i="3"/>
  <c r="CP100" i="3" s="1"/>
  <c r="V100" i="3"/>
  <c r="CE100" i="3" s="1"/>
  <c r="K100" i="3"/>
  <c r="BT100" i="3" s="1"/>
  <c r="BI100" i="3"/>
  <c r="DR100" i="3" s="1"/>
  <c r="AT100" i="3"/>
  <c r="DC100" i="3" s="1"/>
  <c r="AB100" i="3"/>
  <c r="CK100" i="3" s="1"/>
  <c r="N100" i="3"/>
  <c r="BW100" i="3" s="1"/>
  <c r="BH100" i="3"/>
  <c r="DQ100" i="3" s="1"/>
  <c r="AP100" i="3"/>
  <c r="CY100" i="3" s="1"/>
  <c r="AA100" i="3"/>
  <c r="CJ100" i="3" s="1"/>
  <c r="M100" i="3"/>
  <c r="BV100" i="3" s="1"/>
  <c r="BL100" i="3"/>
  <c r="DU100" i="3" s="1"/>
  <c r="AX100" i="3"/>
  <c r="DG100" i="3" s="1"/>
  <c r="AI100" i="3"/>
  <c r="CR100" i="3" s="1"/>
  <c r="Q100" i="3"/>
  <c r="BZ100" i="3" s="1"/>
  <c r="BA100" i="3"/>
  <c r="DJ100" i="3" s="1"/>
  <c r="AE100" i="3"/>
  <c r="CN100" i="3" s="1"/>
  <c r="G100" i="3"/>
  <c r="BP100" i="3" s="1"/>
  <c r="AZ100" i="3"/>
  <c r="DI100" i="3" s="1"/>
  <c r="AD100" i="3"/>
  <c r="CM100" i="3" s="1"/>
  <c r="F100" i="3"/>
  <c r="BO100" i="3" s="1"/>
  <c r="AY100" i="3"/>
  <c r="DH100" i="3" s="1"/>
  <c r="Z100" i="3"/>
  <c r="CI100" i="3" s="1"/>
  <c r="E100" i="3"/>
  <c r="BN100" i="3" s="1"/>
  <c r="AV100" i="3"/>
  <c r="DE100" i="3" s="1"/>
  <c r="Y100" i="3"/>
  <c r="CH100" i="3" s="1"/>
  <c r="AU100" i="3"/>
  <c r="DD100" i="3" s="1"/>
  <c r="X100" i="3"/>
  <c r="CG100" i="3" s="1"/>
  <c r="AO100" i="3"/>
  <c r="CX100" i="3" s="1"/>
  <c r="T100" i="3"/>
  <c r="CC100" i="3" s="1"/>
  <c r="BK100" i="3"/>
  <c r="DT100" i="3" s="1"/>
  <c r="AN100" i="3"/>
  <c r="CW100" i="3" s="1"/>
  <c r="R100" i="3"/>
  <c r="CA100" i="3" s="1"/>
  <c r="BJ100" i="3"/>
  <c r="DS100" i="3" s="1"/>
  <c r="AL100" i="3"/>
  <c r="CU100" i="3" s="1"/>
  <c r="P100" i="3"/>
  <c r="BY100" i="3" s="1"/>
  <c r="BF100" i="3"/>
  <c r="DO100" i="3" s="1"/>
  <c r="AK100" i="3"/>
  <c r="CT100" i="3" s="1"/>
  <c r="O100" i="3"/>
  <c r="BX100" i="3" s="1"/>
  <c r="H100" i="3"/>
  <c r="BQ100" i="3" s="1"/>
  <c r="BE100" i="3"/>
  <c r="DN100" i="3" s="1"/>
  <c r="AJ100" i="3"/>
  <c r="CS100" i="3" s="1"/>
  <c r="BF200" i="3"/>
  <c r="DO200" i="3" s="1"/>
  <c r="AV200" i="3"/>
  <c r="DE200" i="3" s="1"/>
  <c r="AL200" i="3"/>
  <c r="CU200" i="3" s="1"/>
  <c r="AB200" i="3"/>
  <c r="CK200" i="3" s="1"/>
  <c r="R200" i="3"/>
  <c r="CA200" i="3" s="1"/>
  <c r="H200" i="3"/>
  <c r="BQ200" i="3" s="1"/>
  <c r="BI200" i="3"/>
  <c r="DR200" i="3" s="1"/>
  <c r="AX200" i="3"/>
  <c r="DG200" i="3" s="1"/>
  <c r="AM200" i="3"/>
  <c r="CV200" i="3" s="1"/>
  <c r="AA200" i="3"/>
  <c r="CJ200" i="3" s="1"/>
  <c r="P200" i="3"/>
  <c r="BY200" i="3" s="1"/>
  <c r="E200" i="3"/>
  <c r="BN200" i="3" s="1"/>
  <c r="BH200" i="3"/>
  <c r="DQ200" i="3" s="1"/>
  <c r="AW200" i="3"/>
  <c r="DF200" i="3" s="1"/>
  <c r="AK200" i="3"/>
  <c r="CT200" i="3" s="1"/>
  <c r="Z200" i="3"/>
  <c r="CI200" i="3" s="1"/>
  <c r="O200" i="3"/>
  <c r="BX200" i="3" s="1"/>
  <c r="BK200" i="3"/>
  <c r="DT200" i="3" s="1"/>
  <c r="AZ200" i="3"/>
  <c r="DI200" i="3" s="1"/>
  <c r="AO200" i="3"/>
  <c r="CX200" i="3" s="1"/>
  <c r="AD200" i="3"/>
  <c r="CM200" i="3" s="1"/>
  <c r="S200" i="3"/>
  <c r="CB200" i="3" s="1"/>
  <c r="G200" i="3"/>
  <c r="BP200" i="3" s="1"/>
  <c r="BA200" i="3"/>
  <c r="DJ200" i="3" s="1"/>
  <c r="AI200" i="3"/>
  <c r="CR200" i="3" s="1"/>
  <c r="U200" i="3"/>
  <c r="CD200" i="3" s="1"/>
  <c r="AY200" i="3"/>
  <c r="DH200" i="3" s="1"/>
  <c r="AH200" i="3"/>
  <c r="CQ200" i="3" s="1"/>
  <c r="T200" i="3"/>
  <c r="CC200" i="3" s="1"/>
  <c r="AU200" i="3"/>
  <c r="DD200" i="3" s="1"/>
  <c r="AG200" i="3"/>
  <c r="CP200" i="3" s="1"/>
  <c r="Q200" i="3"/>
  <c r="BZ200" i="3" s="1"/>
  <c r="BL200" i="3"/>
  <c r="DU200" i="3" s="1"/>
  <c r="AT200" i="3"/>
  <c r="DC200" i="3" s="1"/>
  <c r="AF200" i="3"/>
  <c r="CO200" i="3" s="1"/>
  <c r="N200" i="3"/>
  <c r="BW200" i="3" s="1"/>
  <c r="BJ200" i="3"/>
  <c r="DS200" i="3" s="1"/>
  <c r="AS200" i="3"/>
  <c r="DB200" i="3" s="1"/>
  <c r="AE200" i="3"/>
  <c r="CN200" i="3" s="1"/>
  <c r="M200" i="3"/>
  <c r="BV200" i="3" s="1"/>
  <c r="BG200" i="3"/>
  <c r="DP200" i="3" s="1"/>
  <c r="AR200" i="3"/>
  <c r="DA200" i="3" s="1"/>
  <c r="AC200" i="3"/>
  <c r="CL200" i="3" s="1"/>
  <c r="L200" i="3"/>
  <c r="BU200" i="3" s="1"/>
  <c r="BB200" i="3"/>
  <c r="DK200" i="3" s="1"/>
  <c r="AJ200" i="3"/>
  <c r="CS200" i="3" s="1"/>
  <c r="V200" i="3"/>
  <c r="CE200" i="3" s="1"/>
  <c r="F200" i="3"/>
  <c r="BO200" i="3" s="1"/>
  <c r="X200" i="3"/>
  <c r="CG200" i="3" s="1"/>
  <c r="W200" i="3"/>
  <c r="CF200" i="3" s="1"/>
  <c r="K200" i="3"/>
  <c r="BT200" i="3" s="1"/>
  <c r="BE200" i="3"/>
  <c r="DN200" i="3" s="1"/>
  <c r="J200" i="3"/>
  <c r="BS200" i="3" s="1"/>
  <c r="BD200" i="3"/>
  <c r="DM200" i="3" s="1"/>
  <c r="I200" i="3"/>
  <c r="BR200" i="3" s="1"/>
  <c r="BC200" i="3"/>
  <c r="DL200" i="3" s="1"/>
  <c r="AQ200" i="3"/>
  <c r="CZ200" i="3" s="1"/>
  <c r="AN200" i="3"/>
  <c r="CW200" i="3" s="1"/>
  <c r="AP200" i="3"/>
  <c r="CY200" i="3" s="1"/>
  <c r="Y200" i="3"/>
  <c r="CH200" i="3" s="1"/>
  <c r="BJ73" i="3"/>
  <c r="DS73" i="3" s="1"/>
  <c r="AZ73" i="3"/>
  <c r="DI73" i="3" s="1"/>
  <c r="AP73" i="3"/>
  <c r="CY73" i="3" s="1"/>
  <c r="AF73" i="3"/>
  <c r="CO73" i="3" s="1"/>
  <c r="V73" i="3"/>
  <c r="CE73" i="3" s="1"/>
  <c r="L73" i="3"/>
  <c r="BU73" i="3" s="1"/>
  <c r="BE73" i="3"/>
  <c r="DN73" i="3" s="1"/>
  <c r="AT73" i="3"/>
  <c r="DC73" i="3" s="1"/>
  <c r="AI73" i="3"/>
  <c r="CR73" i="3" s="1"/>
  <c r="X73" i="3"/>
  <c r="CG73" i="3" s="1"/>
  <c r="M73" i="3"/>
  <c r="BV73" i="3" s="1"/>
  <c r="BD73" i="3"/>
  <c r="DM73" i="3" s="1"/>
  <c r="AS73" i="3"/>
  <c r="DB73" i="3" s="1"/>
  <c r="AH73" i="3"/>
  <c r="CQ73" i="3" s="1"/>
  <c r="W73" i="3"/>
  <c r="CF73" i="3" s="1"/>
  <c r="K73" i="3"/>
  <c r="BT73" i="3" s="1"/>
  <c r="BC73" i="3"/>
  <c r="DL73" i="3" s="1"/>
  <c r="AR73" i="3"/>
  <c r="DA73" i="3" s="1"/>
  <c r="AG73" i="3"/>
  <c r="CP73" i="3" s="1"/>
  <c r="U73" i="3"/>
  <c r="CD73" i="3" s="1"/>
  <c r="J73" i="3"/>
  <c r="BS73" i="3" s="1"/>
  <c r="BB73" i="3"/>
  <c r="DK73" i="3" s="1"/>
  <c r="AQ73" i="3"/>
  <c r="CZ73" i="3" s="1"/>
  <c r="AE73" i="3"/>
  <c r="CN73" i="3" s="1"/>
  <c r="T73" i="3"/>
  <c r="CC73" i="3" s="1"/>
  <c r="I73" i="3"/>
  <c r="BR73" i="3" s="1"/>
  <c r="BG73" i="3"/>
  <c r="DP73" i="3" s="1"/>
  <c r="AV73" i="3"/>
  <c r="DE73" i="3" s="1"/>
  <c r="AK73" i="3"/>
  <c r="CT73" i="3" s="1"/>
  <c r="Z73" i="3"/>
  <c r="CI73" i="3" s="1"/>
  <c r="O73" i="3"/>
  <c r="BX73" i="3" s="1"/>
  <c r="BK73" i="3"/>
  <c r="DT73" i="3" s="1"/>
  <c r="AN73" i="3"/>
  <c r="CW73" i="3" s="1"/>
  <c r="R73" i="3"/>
  <c r="CA73" i="3" s="1"/>
  <c r="BI73" i="3"/>
  <c r="DR73" i="3" s="1"/>
  <c r="AM73" i="3"/>
  <c r="CV73" i="3" s="1"/>
  <c r="Q73" i="3"/>
  <c r="BZ73" i="3" s="1"/>
  <c r="BH73" i="3"/>
  <c r="DQ73" i="3" s="1"/>
  <c r="AL73" i="3"/>
  <c r="CU73" i="3" s="1"/>
  <c r="P73" i="3"/>
  <c r="BY73" i="3" s="1"/>
  <c r="BF73" i="3"/>
  <c r="DO73" i="3" s="1"/>
  <c r="AJ73" i="3"/>
  <c r="CS73" i="3" s="1"/>
  <c r="N73" i="3"/>
  <c r="BW73" i="3" s="1"/>
  <c r="BA73" i="3"/>
  <c r="DJ73" i="3" s="1"/>
  <c r="AD73" i="3"/>
  <c r="CM73" i="3" s="1"/>
  <c r="H73" i="3"/>
  <c r="BQ73" i="3" s="1"/>
  <c r="AY73" i="3"/>
  <c r="DH73" i="3" s="1"/>
  <c r="AC73" i="3"/>
  <c r="CL73" i="3" s="1"/>
  <c r="G73" i="3"/>
  <c r="BP73" i="3" s="1"/>
  <c r="AX73" i="3"/>
  <c r="DG73" i="3" s="1"/>
  <c r="AB73" i="3"/>
  <c r="CK73" i="3" s="1"/>
  <c r="F73" i="3"/>
  <c r="BO73" i="3" s="1"/>
  <c r="AW73" i="3"/>
  <c r="DF73" i="3" s="1"/>
  <c r="AA73" i="3"/>
  <c r="CJ73" i="3" s="1"/>
  <c r="E73" i="3"/>
  <c r="BN73" i="3" s="1"/>
  <c r="BL73" i="3"/>
  <c r="DU73" i="3" s="1"/>
  <c r="AO73" i="3"/>
  <c r="CX73" i="3" s="1"/>
  <c r="S73" i="3"/>
  <c r="CB73" i="3" s="1"/>
  <c r="AU73" i="3"/>
  <c r="DD73" i="3" s="1"/>
  <c r="Y73" i="3"/>
  <c r="CH73" i="3" s="1"/>
  <c r="J146" i="2"/>
  <c r="K146" i="2" s="1"/>
  <c r="L146" i="2" s="1"/>
  <c r="K169" i="2"/>
  <c r="L169" i="2" s="1"/>
  <c r="BH187" i="3"/>
  <c r="DQ187" i="3" s="1"/>
  <c r="AX187" i="3"/>
  <c r="DG187" i="3" s="1"/>
  <c r="AN187" i="3"/>
  <c r="CW187" i="3" s="1"/>
  <c r="AD187" i="3"/>
  <c r="CM187" i="3" s="1"/>
  <c r="T187" i="3"/>
  <c r="CC187" i="3" s="1"/>
  <c r="J187" i="3"/>
  <c r="BS187" i="3" s="1"/>
  <c r="BJ187" i="3"/>
  <c r="DS187" i="3" s="1"/>
  <c r="AY187" i="3"/>
  <c r="DH187" i="3" s="1"/>
  <c r="AM187" i="3"/>
  <c r="CV187" i="3" s="1"/>
  <c r="AB187" i="3"/>
  <c r="CK187" i="3" s="1"/>
  <c r="Q187" i="3"/>
  <c r="BZ187" i="3" s="1"/>
  <c r="F187" i="3"/>
  <c r="BO187" i="3" s="1"/>
  <c r="BI187" i="3"/>
  <c r="DR187" i="3" s="1"/>
  <c r="AW187" i="3"/>
  <c r="DF187" i="3" s="1"/>
  <c r="AL187" i="3"/>
  <c r="CU187" i="3" s="1"/>
  <c r="AA187" i="3"/>
  <c r="CJ187" i="3" s="1"/>
  <c r="P187" i="3"/>
  <c r="BY187" i="3" s="1"/>
  <c r="E187" i="3"/>
  <c r="BN187" i="3" s="1"/>
  <c r="BL187" i="3"/>
  <c r="DU187" i="3" s="1"/>
  <c r="BA187" i="3"/>
  <c r="DJ187" i="3" s="1"/>
  <c r="AP187" i="3"/>
  <c r="CY187" i="3" s="1"/>
  <c r="AE187" i="3"/>
  <c r="CN187" i="3" s="1"/>
  <c r="S187" i="3"/>
  <c r="CB187" i="3" s="1"/>
  <c r="H187" i="3"/>
  <c r="BQ187" i="3" s="1"/>
  <c r="BG187" i="3"/>
  <c r="DP187" i="3" s="1"/>
  <c r="AS187" i="3"/>
  <c r="DB187" i="3" s="1"/>
  <c r="AC187" i="3"/>
  <c r="CL187" i="3" s="1"/>
  <c r="M187" i="3"/>
  <c r="BV187" i="3" s="1"/>
  <c r="BK187" i="3"/>
  <c r="DT187" i="3" s="1"/>
  <c r="AT187" i="3"/>
  <c r="DC187" i="3" s="1"/>
  <c r="AF187" i="3"/>
  <c r="CO187" i="3" s="1"/>
  <c r="N187" i="3"/>
  <c r="BW187" i="3" s="1"/>
  <c r="BD187" i="3"/>
  <c r="DM187" i="3" s="1"/>
  <c r="AJ187" i="3"/>
  <c r="CS187" i="3" s="1"/>
  <c r="R187" i="3"/>
  <c r="CA187" i="3" s="1"/>
  <c r="BC187" i="3"/>
  <c r="DL187" i="3" s="1"/>
  <c r="AI187" i="3"/>
  <c r="CR187" i="3" s="1"/>
  <c r="O187" i="3"/>
  <c r="BX187" i="3" s="1"/>
  <c r="BB187" i="3"/>
  <c r="DK187" i="3" s="1"/>
  <c r="AH187" i="3"/>
  <c r="CQ187" i="3" s="1"/>
  <c r="L187" i="3"/>
  <c r="BU187" i="3" s="1"/>
  <c r="AZ187" i="3"/>
  <c r="DI187" i="3" s="1"/>
  <c r="AG187" i="3"/>
  <c r="CP187" i="3" s="1"/>
  <c r="K187" i="3"/>
  <c r="BT187" i="3" s="1"/>
  <c r="AV187" i="3"/>
  <c r="DE187" i="3" s="1"/>
  <c r="Z187" i="3"/>
  <c r="CI187" i="3" s="1"/>
  <c r="I187" i="3"/>
  <c r="BR187" i="3" s="1"/>
  <c r="AU187" i="3"/>
  <c r="DD187" i="3" s="1"/>
  <c r="Y187" i="3"/>
  <c r="CH187" i="3" s="1"/>
  <c r="G187" i="3"/>
  <c r="BP187" i="3" s="1"/>
  <c r="AR187" i="3"/>
  <c r="DA187" i="3" s="1"/>
  <c r="X187" i="3"/>
  <c r="CG187" i="3" s="1"/>
  <c r="BF187" i="3"/>
  <c r="DO187" i="3" s="1"/>
  <c r="AO187" i="3"/>
  <c r="CX187" i="3" s="1"/>
  <c r="V187" i="3"/>
  <c r="CE187" i="3" s="1"/>
  <c r="BE187" i="3"/>
  <c r="DN187" i="3" s="1"/>
  <c r="AQ187" i="3"/>
  <c r="CZ187" i="3" s="1"/>
  <c r="AK187" i="3"/>
  <c r="CT187" i="3" s="1"/>
  <c r="W187" i="3"/>
  <c r="CF187" i="3" s="1"/>
  <c r="U187" i="3"/>
  <c r="CD187" i="3" s="1"/>
  <c r="K223" i="2"/>
  <c r="L223" i="2" s="1"/>
  <c r="BF258" i="3"/>
  <c r="DO258" i="3" s="1"/>
  <c r="AV258" i="3"/>
  <c r="DE258" i="3" s="1"/>
  <c r="AL258" i="3"/>
  <c r="CU258" i="3" s="1"/>
  <c r="AB258" i="3"/>
  <c r="CK258" i="3" s="1"/>
  <c r="R258" i="3"/>
  <c r="CA258" i="3" s="1"/>
  <c r="H258" i="3"/>
  <c r="BQ258" i="3" s="1"/>
  <c r="BE258" i="3"/>
  <c r="DN258" i="3" s="1"/>
  <c r="AU258" i="3"/>
  <c r="DD258" i="3" s="1"/>
  <c r="AK258" i="3"/>
  <c r="CT258" i="3" s="1"/>
  <c r="AA258" i="3"/>
  <c r="CJ258" i="3" s="1"/>
  <c r="Q258" i="3"/>
  <c r="BZ258" i="3" s="1"/>
  <c r="G258" i="3"/>
  <c r="BP258" i="3" s="1"/>
  <c r="BH258" i="3"/>
  <c r="DQ258" i="3" s="1"/>
  <c r="AX258" i="3"/>
  <c r="DG258" i="3" s="1"/>
  <c r="AN258" i="3"/>
  <c r="CW258" i="3" s="1"/>
  <c r="AD258" i="3"/>
  <c r="CM258" i="3" s="1"/>
  <c r="T258" i="3"/>
  <c r="CC258" i="3" s="1"/>
  <c r="J258" i="3"/>
  <c r="BS258" i="3" s="1"/>
  <c r="BI258" i="3"/>
  <c r="DR258" i="3" s="1"/>
  <c r="AS258" i="3"/>
  <c r="DB258" i="3" s="1"/>
  <c r="AF258" i="3"/>
  <c r="CO258" i="3" s="1"/>
  <c r="P258" i="3"/>
  <c r="BY258" i="3" s="1"/>
  <c r="BG258" i="3"/>
  <c r="DP258" i="3" s="1"/>
  <c r="AR258" i="3"/>
  <c r="DA258" i="3" s="1"/>
  <c r="AE258" i="3"/>
  <c r="CN258" i="3" s="1"/>
  <c r="O258" i="3"/>
  <c r="BX258" i="3" s="1"/>
  <c r="BD258" i="3"/>
  <c r="DM258" i="3" s="1"/>
  <c r="AQ258" i="3"/>
  <c r="CZ258" i="3" s="1"/>
  <c r="AC258" i="3"/>
  <c r="CL258" i="3" s="1"/>
  <c r="N258" i="3"/>
  <c r="BW258" i="3" s="1"/>
  <c r="BJ258" i="3"/>
  <c r="DS258" i="3" s="1"/>
  <c r="AT258" i="3"/>
  <c r="DC258" i="3" s="1"/>
  <c r="AG258" i="3"/>
  <c r="CP258" i="3" s="1"/>
  <c r="S258" i="3"/>
  <c r="CB258" i="3" s="1"/>
  <c r="AO258" i="3"/>
  <c r="CX258" i="3" s="1"/>
  <c r="U258" i="3"/>
  <c r="CD258" i="3" s="1"/>
  <c r="BL258" i="3"/>
  <c r="DU258" i="3" s="1"/>
  <c r="AM258" i="3"/>
  <c r="CV258" i="3" s="1"/>
  <c r="M258" i="3"/>
  <c r="BV258" i="3" s="1"/>
  <c r="BK258" i="3"/>
  <c r="DT258" i="3" s="1"/>
  <c r="AJ258" i="3"/>
  <c r="CS258" i="3" s="1"/>
  <c r="L258" i="3"/>
  <c r="BU258" i="3" s="1"/>
  <c r="BC258" i="3"/>
  <c r="DL258" i="3" s="1"/>
  <c r="AI258" i="3"/>
  <c r="CR258" i="3" s="1"/>
  <c r="K258" i="3"/>
  <c r="BT258" i="3" s="1"/>
  <c r="BB258" i="3"/>
  <c r="DK258" i="3" s="1"/>
  <c r="AH258" i="3"/>
  <c r="CQ258" i="3" s="1"/>
  <c r="I258" i="3"/>
  <c r="BR258" i="3" s="1"/>
  <c r="BA258" i="3"/>
  <c r="DJ258" i="3" s="1"/>
  <c r="Z258" i="3"/>
  <c r="CI258" i="3" s="1"/>
  <c r="F258" i="3"/>
  <c r="BO258" i="3" s="1"/>
  <c r="AW258" i="3"/>
  <c r="DF258" i="3" s="1"/>
  <c r="W258" i="3"/>
  <c r="CF258" i="3" s="1"/>
  <c r="E258" i="3"/>
  <c r="BN258" i="3" s="1"/>
  <c r="X258" i="3"/>
  <c r="CG258" i="3" s="1"/>
  <c r="AZ258" i="3"/>
  <c r="DI258" i="3" s="1"/>
  <c r="AY258" i="3"/>
  <c r="DH258" i="3" s="1"/>
  <c r="AP258" i="3"/>
  <c r="CY258" i="3" s="1"/>
  <c r="Y258" i="3"/>
  <c r="CH258" i="3" s="1"/>
  <c r="V258" i="3"/>
  <c r="CE258" i="3" s="1"/>
  <c r="J66" i="2"/>
  <c r="K66" i="2" s="1"/>
  <c r="L66" i="2" s="1"/>
  <c r="BD87" i="3"/>
  <c r="DM87" i="3" s="1"/>
  <c r="AT87" i="3"/>
  <c r="DC87" i="3" s="1"/>
  <c r="AJ87" i="3"/>
  <c r="CS87" i="3" s="1"/>
  <c r="Z87" i="3"/>
  <c r="CI87" i="3" s="1"/>
  <c r="P87" i="3"/>
  <c r="BY87" i="3" s="1"/>
  <c r="F87" i="3"/>
  <c r="BO87" i="3" s="1"/>
  <c r="BF87" i="3"/>
  <c r="DO87" i="3" s="1"/>
  <c r="AV87" i="3"/>
  <c r="DE87" i="3" s="1"/>
  <c r="AL87" i="3"/>
  <c r="CU87" i="3" s="1"/>
  <c r="AB87" i="3"/>
  <c r="CK87" i="3" s="1"/>
  <c r="R87" i="3"/>
  <c r="CA87" i="3" s="1"/>
  <c r="H87" i="3"/>
  <c r="BQ87" i="3" s="1"/>
  <c r="BE87" i="3"/>
  <c r="DN87" i="3" s="1"/>
  <c r="AU87" i="3"/>
  <c r="DD87" i="3" s="1"/>
  <c r="AK87" i="3"/>
  <c r="CT87" i="3" s="1"/>
  <c r="AA87" i="3"/>
  <c r="CJ87" i="3" s="1"/>
  <c r="Q87" i="3"/>
  <c r="BZ87" i="3" s="1"/>
  <c r="G87" i="3"/>
  <c r="BP87" i="3" s="1"/>
  <c r="BJ87" i="3"/>
  <c r="DS87" i="3" s="1"/>
  <c r="AW87" i="3"/>
  <c r="DF87" i="3" s="1"/>
  <c r="AG87" i="3"/>
  <c r="CP87" i="3" s="1"/>
  <c r="T87" i="3"/>
  <c r="CC87" i="3" s="1"/>
  <c r="BI87" i="3"/>
  <c r="DR87" i="3" s="1"/>
  <c r="AS87" i="3"/>
  <c r="DB87" i="3" s="1"/>
  <c r="AF87" i="3"/>
  <c r="CO87" i="3" s="1"/>
  <c r="S87" i="3"/>
  <c r="CB87" i="3" s="1"/>
  <c r="AZ87" i="3"/>
  <c r="DI87" i="3" s="1"/>
  <c r="AM87" i="3"/>
  <c r="CV87" i="3" s="1"/>
  <c r="W87" i="3"/>
  <c r="CF87" i="3" s="1"/>
  <c r="BL87" i="3"/>
  <c r="DU87" i="3" s="1"/>
  <c r="AQ87" i="3"/>
  <c r="CZ87" i="3" s="1"/>
  <c r="X87" i="3"/>
  <c r="CG87" i="3" s="1"/>
  <c r="E87" i="3"/>
  <c r="BN87" i="3" s="1"/>
  <c r="BK87" i="3"/>
  <c r="DT87" i="3" s="1"/>
  <c r="AP87" i="3"/>
  <c r="CY87" i="3" s="1"/>
  <c r="V87" i="3"/>
  <c r="CE87" i="3" s="1"/>
  <c r="BH87" i="3"/>
  <c r="DQ87" i="3" s="1"/>
  <c r="AO87" i="3"/>
  <c r="CX87" i="3" s="1"/>
  <c r="U87" i="3"/>
  <c r="CD87" i="3" s="1"/>
  <c r="BG87" i="3"/>
  <c r="DP87" i="3" s="1"/>
  <c r="AN87" i="3"/>
  <c r="CW87" i="3" s="1"/>
  <c r="O87" i="3"/>
  <c r="BX87" i="3" s="1"/>
  <c r="BC87" i="3"/>
  <c r="DL87" i="3" s="1"/>
  <c r="AI87" i="3"/>
  <c r="CR87" i="3" s="1"/>
  <c r="N87" i="3"/>
  <c r="BW87" i="3" s="1"/>
  <c r="BB87" i="3"/>
  <c r="DK87" i="3" s="1"/>
  <c r="AH87" i="3"/>
  <c r="CQ87" i="3" s="1"/>
  <c r="M87" i="3"/>
  <c r="BV87" i="3" s="1"/>
  <c r="BA87" i="3"/>
  <c r="DJ87" i="3" s="1"/>
  <c r="AE87" i="3"/>
  <c r="CN87" i="3" s="1"/>
  <c r="L87" i="3"/>
  <c r="BU87" i="3" s="1"/>
  <c r="AY87" i="3"/>
  <c r="DH87" i="3" s="1"/>
  <c r="AD87" i="3"/>
  <c r="CM87" i="3" s="1"/>
  <c r="K87" i="3"/>
  <c r="BT87" i="3" s="1"/>
  <c r="AX87" i="3"/>
  <c r="DG87" i="3" s="1"/>
  <c r="AC87" i="3"/>
  <c r="CL87" i="3" s="1"/>
  <c r="J87" i="3"/>
  <c r="BS87" i="3" s="1"/>
  <c r="AR87" i="3"/>
  <c r="DA87" i="3" s="1"/>
  <c r="Y87" i="3"/>
  <c r="CH87" i="3" s="1"/>
  <c r="I87" i="3"/>
  <c r="BR87" i="3" s="1"/>
  <c r="J53" i="2"/>
  <c r="K53" i="2" s="1"/>
  <c r="L53" i="2" s="1"/>
  <c r="BF84" i="3"/>
  <c r="DO84" i="3" s="1"/>
  <c r="AV84" i="3"/>
  <c r="DE84" i="3" s="1"/>
  <c r="AL84" i="3"/>
  <c r="CU84" i="3" s="1"/>
  <c r="AB84" i="3"/>
  <c r="CK84" i="3" s="1"/>
  <c r="R84" i="3"/>
  <c r="CA84" i="3" s="1"/>
  <c r="H84" i="3"/>
  <c r="BQ84" i="3" s="1"/>
  <c r="BH84" i="3"/>
  <c r="DQ84" i="3" s="1"/>
  <c r="AX84" i="3"/>
  <c r="DG84" i="3" s="1"/>
  <c r="AN84" i="3"/>
  <c r="CW84" i="3" s="1"/>
  <c r="AD84" i="3"/>
  <c r="CM84" i="3" s="1"/>
  <c r="T84" i="3"/>
  <c r="CC84" i="3" s="1"/>
  <c r="J84" i="3"/>
  <c r="BS84" i="3" s="1"/>
  <c r="BL84" i="3"/>
  <c r="DU84" i="3" s="1"/>
  <c r="AZ84" i="3"/>
  <c r="DI84" i="3" s="1"/>
  <c r="AM84" i="3"/>
  <c r="CV84" i="3" s="1"/>
  <c r="Z84" i="3"/>
  <c r="CI84" i="3" s="1"/>
  <c r="N84" i="3"/>
  <c r="BW84" i="3" s="1"/>
  <c r="BK84" i="3"/>
  <c r="DT84" i="3" s="1"/>
  <c r="AY84" i="3"/>
  <c r="DH84" i="3" s="1"/>
  <c r="AK84" i="3"/>
  <c r="CT84" i="3" s="1"/>
  <c r="Y84" i="3"/>
  <c r="CH84" i="3" s="1"/>
  <c r="M84" i="3"/>
  <c r="BV84" i="3" s="1"/>
  <c r="BA84" i="3"/>
  <c r="DJ84" i="3" s="1"/>
  <c r="AI84" i="3"/>
  <c r="CR84" i="3" s="1"/>
  <c r="U84" i="3"/>
  <c r="CD84" i="3" s="1"/>
  <c r="E84" i="3"/>
  <c r="BN84" i="3" s="1"/>
  <c r="AW84" i="3"/>
  <c r="DF84" i="3" s="1"/>
  <c r="AH84" i="3"/>
  <c r="CQ84" i="3" s="1"/>
  <c r="S84" i="3"/>
  <c r="CB84" i="3" s="1"/>
  <c r="AU84" i="3"/>
  <c r="DD84" i="3" s="1"/>
  <c r="AG84" i="3"/>
  <c r="CP84" i="3" s="1"/>
  <c r="Q84" i="3"/>
  <c r="BZ84" i="3" s="1"/>
  <c r="BJ84" i="3"/>
  <c r="DS84" i="3" s="1"/>
  <c r="AT84" i="3"/>
  <c r="DC84" i="3" s="1"/>
  <c r="AF84" i="3"/>
  <c r="CO84" i="3" s="1"/>
  <c r="P84" i="3"/>
  <c r="BY84" i="3" s="1"/>
  <c r="BI84" i="3"/>
  <c r="DR84" i="3" s="1"/>
  <c r="AS84" i="3"/>
  <c r="DB84" i="3" s="1"/>
  <c r="AE84" i="3"/>
  <c r="CN84" i="3" s="1"/>
  <c r="O84" i="3"/>
  <c r="BX84" i="3" s="1"/>
  <c r="BE84" i="3"/>
  <c r="DN84" i="3" s="1"/>
  <c r="AQ84" i="3"/>
  <c r="CZ84" i="3" s="1"/>
  <c r="BC84" i="3"/>
  <c r="DL84" i="3" s="1"/>
  <c r="AO84" i="3"/>
  <c r="CX84" i="3" s="1"/>
  <c r="W84" i="3"/>
  <c r="CF84" i="3" s="1"/>
  <c r="G84" i="3"/>
  <c r="BP84" i="3" s="1"/>
  <c r="AJ84" i="3"/>
  <c r="CS84" i="3" s="1"/>
  <c r="AC84" i="3"/>
  <c r="CL84" i="3" s="1"/>
  <c r="AA84" i="3"/>
  <c r="CJ84" i="3" s="1"/>
  <c r="X84" i="3"/>
  <c r="CG84" i="3" s="1"/>
  <c r="V84" i="3"/>
  <c r="CE84" i="3" s="1"/>
  <c r="BG84" i="3"/>
  <c r="DP84" i="3" s="1"/>
  <c r="L84" i="3"/>
  <c r="BU84" i="3" s="1"/>
  <c r="BD84" i="3"/>
  <c r="DM84" i="3" s="1"/>
  <c r="K84" i="3"/>
  <c r="BT84" i="3" s="1"/>
  <c r="BB84" i="3"/>
  <c r="DK84" i="3" s="1"/>
  <c r="I84" i="3"/>
  <c r="BR84" i="3" s="1"/>
  <c r="AR84" i="3"/>
  <c r="DA84" i="3" s="1"/>
  <c r="F84" i="3"/>
  <c r="BO84" i="3" s="1"/>
  <c r="AP84" i="3"/>
  <c r="CY84" i="3" s="1"/>
  <c r="J153" i="2"/>
  <c r="K153" i="2" s="1"/>
  <c r="L153" i="2" s="1"/>
  <c r="BJ184" i="3"/>
  <c r="DS184" i="3" s="1"/>
  <c r="AZ184" i="3"/>
  <c r="DI184" i="3" s="1"/>
  <c r="AP184" i="3"/>
  <c r="CY184" i="3" s="1"/>
  <c r="AF184" i="3"/>
  <c r="CO184" i="3" s="1"/>
  <c r="V184" i="3"/>
  <c r="CE184" i="3" s="1"/>
  <c r="L184" i="3"/>
  <c r="BU184" i="3" s="1"/>
  <c r="BI184" i="3"/>
  <c r="DR184" i="3" s="1"/>
  <c r="AY184" i="3"/>
  <c r="DH184" i="3" s="1"/>
  <c r="AO184" i="3"/>
  <c r="CX184" i="3" s="1"/>
  <c r="AE184" i="3"/>
  <c r="CN184" i="3" s="1"/>
  <c r="U184" i="3"/>
  <c r="CD184" i="3" s="1"/>
  <c r="K184" i="3"/>
  <c r="BT184" i="3" s="1"/>
  <c r="BL184" i="3"/>
  <c r="DU184" i="3" s="1"/>
  <c r="BB184" i="3"/>
  <c r="DK184" i="3" s="1"/>
  <c r="AR184" i="3"/>
  <c r="DA184" i="3" s="1"/>
  <c r="AH184" i="3"/>
  <c r="CQ184" i="3" s="1"/>
  <c r="X184" i="3"/>
  <c r="CG184" i="3" s="1"/>
  <c r="N184" i="3"/>
  <c r="BW184" i="3" s="1"/>
  <c r="BF184" i="3"/>
  <c r="DO184" i="3" s="1"/>
  <c r="AS184" i="3"/>
  <c r="DB184" i="3" s="1"/>
  <c r="AC184" i="3"/>
  <c r="CL184" i="3" s="1"/>
  <c r="P184" i="3"/>
  <c r="BY184" i="3" s="1"/>
  <c r="BG184" i="3"/>
  <c r="DP184" i="3" s="1"/>
  <c r="AT184" i="3"/>
  <c r="DC184" i="3" s="1"/>
  <c r="AD184" i="3"/>
  <c r="CM184" i="3" s="1"/>
  <c r="Q184" i="3"/>
  <c r="BZ184" i="3" s="1"/>
  <c r="BE184" i="3"/>
  <c r="DN184" i="3" s="1"/>
  <c r="AM184" i="3"/>
  <c r="CV184" i="3" s="1"/>
  <c r="W184" i="3"/>
  <c r="CF184" i="3" s="1"/>
  <c r="F184" i="3"/>
  <c r="BO184" i="3" s="1"/>
  <c r="BD184" i="3"/>
  <c r="DM184" i="3" s="1"/>
  <c r="AL184" i="3"/>
  <c r="CU184" i="3" s="1"/>
  <c r="T184" i="3"/>
  <c r="CC184" i="3" s="1"/>
  <c r="E184" i="3"/>
  <c r="BN184" i="3" s="1"/>
  <c r="BC184" i="3"/>
  <c r="DL184" i="3" s="1"/>
  <c r="AK184" i="3"/>
  <c r="CT184" i="3" s="1"/>
  <c r="S184" i="3"/>
  <c r="CB184" i="3" s="1"/>
  <c r="BA184" i="3"/>
  <c r="DJ184" i="3" s="1"/>
  <c r="AJ184" i="3"/>
  <c r="CS184" i="3" s="1"/>
  <c r="R184" i="3"/>
  <c r="CA184" i="3" s="1"/>
  <c r="AX184" i="3"/>
  <c r="DG184" i="3" s="1"/>
  <c r="AI184" i="3"/>
  <c r="CR184" i="3" s="1"/>
  <c r="O184" i="3"/>
  <c r="BX184" i="3" s="1"/>
  <c r="BK184" i="3"/>
  <c r="DT184" i="3" s="1"/>
  <c r="AQ184" i="3"/>
  <c r="CZ184" i="3" s="1"/>
  <c r="Z184" i="3"/>
  <c r="CI184" i="3" s="1"/>
  <c r="H184" i="3"/>
  <c r="BQ184" i="3" s="1"/>
  <c r="AG184" i="3"/>
  <c r="CP184" i="3" s="1"/>
  <c r="AB184" i="3"/>
  <c r="CK184" i="3" s="1"/>
  <c r="AA184" i="3"/>
  <c r="CJ184" i="3" s="1"/>
  <c r="Y184" i="3"/>
  <c r="CH184" i="3" s="1"/>
  <c r="M184" i="3"/>
  <c r="BV184" i="3" s="1"/>
  <c r="BH184" i="3"/>
  <c r="DQ184" i="3" s="1"/>
  <c r="J184" i="3"/>
  <c r="BS184" i="3" s="1"/>
  <c r="AW184" i="3"/>
  <c r="DF184" i="3" s="1"/>
  <c r="I184" i="3"/>
  <c r="BR184" i="3" s="1"/>
  <c r="AU184" i="3"/>
  <c r="DD184" i="3" s="1"/>
  <c r="AN184" i="3"/>
  <c r="CW184" i="3" s="1"/>
  <c r="AV184" i="3"/>
  <c r="DE184" i="3" s="1"/>
  <c r="G184" i="3"/>
  <c r="BP184" i="3" s="1"/>
  <c r="J160" i="2"/>
  <c r="K160" i="2" s="1"/>
  <c r="L160" i="2" s="1"/>
  <c r="J200" i="2"/>
  <c r="K200" i="2" s="1"/>
  <c r="L200" i="2" s="1"/>
  <c r="BJ98" i="3"/>
  <c r="DS98" i="3" s="1"/>
  <c r="AZ98" i="3"/>
  <c r="DI98" i="3" s="1"/>
  <c r="AP98" i="3"/>
  <c r="CY98" i="3" s="1"/>
  <c r="AF98" i="3"/>
  <c r="CO98" i="3" s="1"/>
  <c r="V98" i="3"/>
  <c r="CE98" i="3" s="1"/>
  <c r="L98" i="3"/>
  <c r="BU98" i="3" s="1"/>
  <c r="BL98" i="3"/>
  <c r="DU98" i="3" s="1"/>
  <c r="BB98" i="3"/>
  <c r="DK98" i="3" s="1"/>
  <c r="AR98" i="3"/>
  <c r="DA98" i="3" s="1"/>
  <c r="AH98" i="3"/>
  <c r="CQ98" i="3" s="1"/>
  <c r="X98" i="3"/>
  <c r="CG98" i="3" s="1"/>
  <c r="N98" i="3"/>
  <c r="BW98" i="3" s="1"/>
  <c r="BK98" i="3"/>
  <c r="DT98" i="3" s="1"/>
  <c r="BA98" i="3"/>
  <c r="DJ98" i="3" s="1"/>
  <c r="AQ98" i="3"/>
  <c r="CZ98" i="3" s="1"/>
  <c r="AG98" i="3"/>
  <c r="CP98" i="3" s="1"/>
  <c r="W98" i="3"/>
  <c r="CF98" i="3" s="1"/>
  <c r="M98" i="3"/>
  <c r="BV98" i="3" s="1"/>
  <c r="BD98" i="3"/>
  <c r="DM98" i="3" s="1"/>
  <c r="AN98" i="3"/>
  <c r="CW98" i="3" s="1"/>
  <c r="AA98" i="3"/>
  <c r="CJ98" i="3" s="1"/>
  <c r="K98" i="3"/>
  <c r="BT98" i="3" s="1"/>
  <c r="BC98" i="3"/>
  <c r="DL98" i="3" s="1"/>
  <c r="AM98" i="3"/>
  <c r="CV98" i="3" s="1"/>
  <c r="Z98" i="3"/>
  <c r="CI98" i="3" s="1"/>
  <c r="J98" i="3"/>
  <c r="BS98" i="3" s="1"/>
  <c r="BG98" i="3"/>
  <c r="DP98" i="3" s="1"/>
  <c r="AT98" i="3"/>
  <c r="DC98" i="3" s="1"/>
  <c r="AD98" i="3"/>
  <c r="CM98" i="3" s="1"/>
  <c r="Q98" i="3"/>
  <c r="BZ98" i="3" s="1"/>
  <c r="AV98" i="3"/>
  <c r="DE98" i="3" s="1"/>
  <c r="AB98" i="3"/>
  <c r="CK98" i="3" s="1"/>
  <c r="G98" i="3"/>
  <c r="BP98" i="3" s="1"/>
  <c r="AU98" i="3"/>
  <c r="DD98" i="3" s="1"/>
  <c r="Y98" i="3"/>
  <c r="CH98" i="3" s="1"/>
  <c r="F98" i="3"/>
  <c r="BO98" i="3" s="1"/>
  <c r="AS98" i="3"/>
  <c r="DB98" i="3" s="1"/>
  <c r="U98" i="3"/>
  <c r="CD98" i="3" s="1"/>
  <c r="E98" i="3"/>
  <c r="BN98" i="3" s="1"/>
  <c r="BI98" i="3"/>
  <c r="DR98" i="3" s="1"/>
  <c r="AO98" i="3"/>
  <c r="CX98" i="3" s="1"/>
  <c r="T98" i="3"/>
  <c r="CC98" i="3" s="1"/>
  <c r="BH98" i="3"/>
  <c r="DQ98" i="3" s="1"/>
  <c r="AL98" i="3"/>
  <c r="CU98" i="3" s="1"/>
  <c r="S98" i="3"/>
  <c r="CB98" i="3" s="1"/>
  <c r="BF98" i="3"/>
  <c r="DO98" i="3" s="1"/>
  <c r="AK98" i="3"/>
  <c r="CT98" i="3" s="1"/>
  <c r="R98" i="3"/>
  <c r="CA98" i="3" s="1"/>
  <c r="BE98" i="3"/>
  <c r="DN98" i="3" s="1"/>
  <c r="AJ98" i="3"/>
  <c r="CS98" i="3" s="1"/>
  <c r="P98" i="3"/>
  <c r="BY98" i="3" s="1"/>
  <c r="AY98" i="3"/>
  <c r="DH98" i="3" s="1"/>
  <c r="AI98" i="3"/>
  <c r="CR98" i="3" s="1"/>
  <c r="O98" i="3"/>
  <c r="BX98" i="3" s="1"/>
  <c r="AX98" i="3"/>
  <c r="DG98" i="3" s="1"/>
  <c r="AE98" i="3"/>
  <c r="CN98" i="3" s="1"/>
  <c r="I98" i="3"/>
  <c r="BR98" i="3" s="1"/>
  <c r="AW98" i="3"/>
  <c r="DF98" i="3" s="1"/>
  <c r="AC98" i="3"/>
  <c r="CL98" i="3" s="1"/>
  <c r="H98" i="3"/>
  <c r="BQ98" i="3" s="1"/>
  <c r="BC158" i="3"/>
  <c r="DL158" i="3" s="1"/>
  <c r="AS158" i="3"/>
  <c r="DB158" i="3" s="1"/>
  <c r="AI158" i="3"/>
  <c r="CR158" i="3" s="1"/>
  <c r="Y158" i="3"/>
  <c r="CH158" i="3" s="1"/>
  <c r="O158" i="3"/>
  <c r="BX158" i="3" s="1"/>
  <c r="E158" i="3"/>
  <c r="BN158" i="3" s="1"/>
  <c r="BL158" i="3"/>
  <c r="DU158" i="3" s="1"/>
  <c r="BB158" i="3"/>
  <c r="DK158" i="3" s="1"/>
  <c r="AR158" i="3"/>
  <c r="DA158" i="3" s="1"/>
  <c r="AH158" i="3"/>
  <c r="CQ158" i="3" s="1"/>
  <c r="X158" i="3"/>
  <c r="CG158" i="3" s="1"/>
  <c r="N158" i="3"/>
  <c r="BW158" i="3" s="1"/>
  <c r="BE158" i="3"/>
  <c r="DN158" i="3" s="1"/>
  <c r="AU158" i="3"/>
  <c r="DD158" i="3" s="1"/>
  <c r="AK158" i="3"/>
  <c r="CT158" i="3" s="1"/>
  <c r="AA158" i="3"/>
  <c r="CJ158" i="3" s="1"/>
  <c r="Q158" i="3"/>
  <c r="BZ158" i="3" s="1"/>
  <c r="G158" i="3"/>
  <c r="BP158" i="3" s="1"/>
  <c r="BK158" i="3"/>
  <c r="DT158" i="3" s="1"/>
  <c r="AX158" i="3"/>
  <c r="DG158" i="3" s="1"/>
  <c r="AJ158" i="3"/>
  <c r="CS158" i="3" s="1"/>
  <c r="U158" i="3"/>
  <c r="CD158" i="3" s="1"/>
  <c r="H158" i="3"/>
  <c r="BQ158" i="3" s="1"/>
  <c r="BJ158" i="3"/>
  <c r="DS158" i="3" s="1"/>
  <c r="AW158" i="3"/>
  <c r="DF158" i="3" s="1"/>
  <c r="AG158" i="3"/>
  <c r="CP158" i="3" s="1"/>
  <c r="T158" i="3"/>
  <c r="CC158" i="3" s="1"/>
  <c r="F158" i="3"/>
  <c r="BO158" i="3" s="1"/>
  <c r="BI158" i="3"/>
  <c r="DR158" i="3" s="1"/>
  <c r="AV158" i="3"/>
  <c r="DE158" i="3" s="1"/>
  <c r="AF158" i="3"/>
  <c r="CO158" i="3" s="1"/>
  <c r="S158" i="3"/>
  <c r="CB158" i="3" s="1"/>
  <c r="AZ158" i="3"/>
  <c r="DI158" i="3" s="1"/>
  <c r="AM158" i="3"/>
  <c r="CV158" i="3" s="1"/>
  <c r="W158" i="3"/>
  <c r="CF158" i="3" s="1"/>
  <c r="J158" i="3"/>
  <c r="BS158" i="3" s="1"/>
  <c r="AY158" i="3"/>
  <c r="DH158" i="3" s="1"/>
  <c r="AL158" i="3"/>
  <c r="CU158" i="3" s="1"/>
  <c r="V158" i="3"/>
  <c r="CE158" i="3" s="1"/>
  <c r="I158" i="3"/>
  <c r="BR158" i="3" s="1"/>
  <c r="BH158" i="3"/>
  <c r="DQ158" i="3" s="1"/>
  <c r="AE158" i="3"/>
  <c r="CN158" i="3" s="1"/>
  <c r="BG158" i="3"/>
  <c r="DP158" i="3" s="1"/>
  <c r="AD158" i="3"/>
  <c r="CM158" i="3" s="1"/>
  <c r="BF158" i="3"/>
  <c r="DO158" i="3" s="1"/>
  <c r="AC158" i="3"/>
  <c r="CL158" i="3" s="1"/>
  <c r="BD158" i="3"/>
  <c r="DM158" i="3" s="1"/>
  <c r="AB158" i="3"/>
  <c r="CK158" i="3" s="1"/>
  <c r="BA158" i="3"/>
  <c r="DJ158" i="3" s="1"/>
  <c r="Z158" i="3"/>
  <c r="CI158" i="3" s="1"/>
  <c r="AT158" i="3"/>
  <c r="DC158" i="3" s="1"/>
  <c r="R158" i="3"/>
  <c r="CA158" i="3" s="1"/>
  <c r="AQ158" i="3"/>
  <c r="CZ158" i="3" s="1"/>
  <c r="P158" i="3"/>
  <c r="BY158" i="3" s="1"/>
  <c r="AO158" i="3"/>
  <c r="CX158" i="3" s="1"/>
  <c r="L158" i="3"/>
  <c r="BU158" i="3" s="1"/>
  <c r="AN158" i="3"/>
  <c r="CW158" i="3" s="1"/>
  <c r="K158" i="3"/>
  <c r="BT158" i="3" s="1"/>
  <c r="AP158" i="3"/>
  <c r="CY158" i="3" s="1"/>
  <c r="M158" i="3"/>
  <c r="BV158" i="3" s="1"/>
  <c r="K283" i="2"/>
  <c r="L283" i="2" s="1"/>
  <c r="BF185" i="3"/>
  <c r="DO185" i="3" s="1"/>
  <c r="AV185" i="3"/>
  <c r="DE185" i="3" s="1"/>
  <c r="AL185" i="3"/>
  <c r="CU185" i="3" s="1"/>
  <c r="AB185" i="3"/>
  <c r="CK185" i="3" s="1"/>
  <c r="R185" i="3"/>
  <c r="CA185" i="3" s="1"/>
  <c r="H185" i="3"/>
  <c r="BQ185" i="3" s="1"/>
  <c r="BB185" i="3"/>
  <c r="DK185" i="3" s="1"/>
  <c r="AQ185" i="3"/>
  <c r="CZ185" i="3" s="1"/>
  <c r="AF185" i="3"/>
  <c r="CO185" i="3" s="1"/>
  <c r="U185" i="3"/>
  <c r="CD185" i="3" s="1"/>
  <c r="J185" i="3"/>
  <c r="BS185" i="3" s="1"/>
  <c r="BL185" i="3"/>
  <c r="DU185" i="3" s="1"/>
  <c r="BA185" i="3"/>
  <c r="DJ185" i="3" s="1"/>
  <c r="AP185" i="3"/>
  <c r="CY185" i="3" s="1"/>
  <c r="AE185" i="3"/>
  <c r="CN185" i="3" s="1"/>
  <c r="T185" i="3"/>
  <c r="CC185" i="3" s="1"/>
  <c r="I185" i="3"/>
  <c r="BR185" i="3" s="1"/>
  <c r="BD185" i="3"/>
  <c r="DM185" i="3" s="1"/>
  <c r="AS185" i="3"/>
  <c r="DB185" i="3" s="1"/>
  <c r="AH185" i="3"/>
  <c r="CQ185" i="3" s="1"/>
  <c r="W185" i="3"/>
  <c r="CF185" i="3" s="1"/>
  <c r="L185" i="3"/>
  <c r="BU185" i="3" s="1"/>
  <c r="BC185" i="3"/>
  <c r="DL185" i="3" s="1"/>
  <c r="AM185" i="3"/>
  <c r="CV185" i="3" s="1"/>
  <c r="X185" i="3"/>
  <c r="CG185" i="3" s="1"/>
  <c r="F185" i="3"/>
  <c r="BO185" i="3" s="1"/>
  <c r="BE185" i="3"/>
  <c r="DN185" i="3" s="1"/>
  <c r="AN185" i="3"/>
  <c r="CW185" i="3" s="1"/>
  <c r="Y185" i="3"/>
  <c r="CH185" i="3" s="1"/>
  <c r="G185" i="3"/>
  <c r="BP185" i="3" s="1"/>
  <c r="AU185" i="3"/>
  <c r="DD185" i="3" s="1"/>
  <c r="AA185" i="3"/>
  <c r="CJ185" i="3" s="1"/>
  <c r="E185" i="3"/>
  <c r="BN185" i="3" s="1"/>
  <c r="BK185" i="3"/>
  <c r="DT185" i="3" s="1"/>
  <c r="AT185" i="3"/>
  <c r="DC185" i="3" s="1"/>
  <c r="Z185" i="3"/>
  <c r="CI185" i="3" s="1"/>
  <c r="BJ185" i="3"/>
  <c r="DS185" i="3" s="1"/>
  <c r="AR185" i="3"/>
  <c r="DA185" i="3" s="1"/>
  <c r="V185" i="3"/>
  <c r="CE185" i="3" s="1"/>
  <c r="BI185" i="3"/>
  <c r="DR185" i="3" s="1"/>
  <c r="AO185" i="3"/>
  <c r="CX185" i="3" s="1"/>
  <c r="S185" i="3"/>
  <c r="CB185" i="3" s="1"/>
  <c r="BH185" i="3"/>
  <c r="DQ185" i="3" s="1"/>
  <c r="AK185" i="3"/>
  <c r="CT185" i="3" s="1"/>
  <c r="Q185" i="3"/>
  <c r="BZ185" i="3" s="1"/>
  <c r="AX185" i="3"/>
  <c r="DG185" i="3" s="1"/>
  <c r="AD185" i="3"/>
  <c r="CM185" i="3" s="1"/>
  <c r="M185" i="3"/>
  <c r="BV185" i="3" s="1"/>
  <c r="AY185" i="3"/>
  <c r="DH185" i="3" s="1"/>
  <c r="AW185" i="3"/>
  <c r="DF185" i="3" s="1"/>
  <c r="AJ185" i="3"/>
  <c r="CS185" i="3" s="1"/>
  <c r="AI185" i="3"/>
  <c r="CR185" i="3" s="1"/>
  <c r="AG185" i="3"/>
  <c r="CP185" i="3" s="1"/>
  <c r="AC185" i="3"/>
  <c r="CL185" i="3" s="1"/>
  <c r="P185" i="3"/>
  <c r="BY185" i="3" s="1"/>
  <c r="BG185" i="3"/>
  <c r="DP185" i="3" s="1"/>
  <c r="N185" i="3"/>
  <c r="BW185" i="3" s="1"/>
  <c r="AZ185" i="3"/>
  <c r="DI185" i="3" s="1"/>
  <c r="K185" i="3"/>
  <c r="BT185" i="3" s="1"/>
  <c r="O185" i="3"/>
  <c r="BX185" i="3" s="1"/>
  <c r="BG219" i="3"/>
  <c r="DP219" i="3" s="1"/>
  <c r="AW219" i="3"/>
  <c r="DF219" i="3" s="1"/>
  <c r="AM219" i="3"/>
  <c r="CV219" i="3" s="1"/>
  <c r="AC219" i="3"/>
  <c r="CL219" i="3" s="1"/>
  <c r="S219" i="3"/>
  <c r="CB219" i="3" s="1"/>
  <c r="I219" i="3"/>
  <c r="BR219" i="3" s="1"/>
  <c r="BF219" i="3"/>
  <c r="DO219" i="3" s="1"/>
  <c r="AV219" i="3"/>
  <c r="DE219" i="3" s="1"/>
  <c r="AL219" i="3"/>
  <c r="CU219" i="3" s="1"/>
  <c r="AB219" i="3"/>
  <c r="CK219" i="3" s="1"/>
  <c r="R219" i="3"/>
  <c r="CA219" i="3" s="1"/>
  <c r="H219" i="3"/>
  <c r="BQ219" i="3" s="1"/>
  <c r="BD219" i="3"/>
  <c r="DM219" i="3" s="1"/>
  <c r="AR219" i="3"/>
  <c r="DA219" i="3" s="1"/>
  <c r="AF219" i="3"/>
  <c r="CO219" i="3" s="1"/>
  <c r="T219" i="3"/>
  <c r="CC219" i="3" s="1"/>
  <c r="F219" i="3"/>
  <c r="BO219" i="3" s="1"/>
  <c r="BC219" i="3"/>
  <c r="DL219" i="3" s="1"/>
  <c r="AQ219" i="3"/>
  <c r="CZ219" i="3" s="1"/>
  <c r="AE219" i="3"/>
  <c r="CN219" i="3" s="1"/>
  <c r="Q219" i="3"/>
  <c r="BZ219" i="3" s="1"/>
  <c r="E219" i="3"/>
  <c r="BN219" i="3" s="1"/>
  <c r="BH219" i="3"/>
  <c r="DQ219" i="3" s="1"/>
  <c r="AT219" i="3"/>
  <c r="DC219" i="3" s="1"/>
  <c r="AH219" i="3"/>
  <c r="CQ219" i="3" s="1"/>
  <c r="V219" i="3"/>
  <c r="CE219" i="3" s="1"/>
  <c r="J219" i="3"/>
  <c r="BS219" i="3" s="1"/>
  <c r="BK219" i="3"/>
  <c r="DT219" i="3" s="1"/>
  <c r="AS219" i="3"/>
  <c r="DB219" i="3" s="1"/>
  <c r="Z219" i="3"/>
  <c r="CI219" i="3" s="1"/>
  <c r="K219" i="3"/>
  <c r="BT219" i="3" s="1"/>
  <c r="BJ219" i="3"/>
  <c r="DS219" i="3" s="1"/>
  <c r="AP219" i="3"/>
  <c r="CY219" i="3" s="1"/>
  <c r="Y219" i="3"/>
  <c r="CH219" i="3" s="1"/>
  <c r="G219" i="3"/>
  <c r="BP219" i="3" s="1"/>
  <c r="BI219" i="3"/>
  <c r="DR219" i="3" s="1"/>
  <c r="AO219" i="3"/>
  <c r="CX219" i="3" s="1"/>
  <c r="X219" i="3"/>
  <c r="CG219" i="3" s="1"/>
  <c r="BE219" i="3"/>
  <c r="DN219" i="3" s="1"/>
  <c r="AN219" i="3"/>
  <c r="CW219" i="3" s="1"/>
  <c r="W219" i="3"/>
  <c r="CF219" i="3" s="1"/>
  <c r="AX219" i="3"/>
  <c r="DG219" i="3" s="1"/>
  <c r="AD219" i="3"/>
  <c r="CM219" i="3" s="1"/>
  <c r="M219" i="3"/>
  <c r="BV219" i="3" s="1"/>
  <c r="BL219" i="3"/>
  <c r="DU219" i="3" s="1"/>
  <c r="AU219" i="3"/>
  <c r="DD219" i="3" s="1"/>
  <c r="AA219" i="3"/>
  <c r="CJ219" i="3" s="1"/>
  <c r="L219" i="3"/>
  <c r="BU219" i="3" s="1"/>
  <c r="AY219" i="3"/>
  <c r="DH219" i="3" s="1"/>
  <c r="AK219" i="3"/>
  <c r="CT219" i="3" s="1"/>
  <c r="AJ219" i="3"/>
  <c r="CS219" i="3" s="1"/>
  <c r="AI219" i="3"/>
  <c r="CR219" i="3" s="1"/>
  <c r="AG219" i="3"/>
  <c r="CP219" i="3" s="1"/>
  <c r="U219" i="3"/>
  <c r="CD219" i="3" s="1"/>
  <c r="P219" i="3"/>
  <c r="BY219" i="3" s="1"/>
  <c r="AZ219" i="3"/>
  <c r="DI219" i="3" s="1"/>
  <c r="BB219" i="3"/>
  <c r="DK219" i="3" s="1"/>
  <c r="BA219" i="3"/>
  <c r="DJ219" i="3" s="1"/>
  <c r="O219" i="3"/>
  <c r="BX219" i="3" s="1"/>
  <c r="N219" i="3"/>
  <c r="BW219" i="3" s="1"/>
  <c r="BI285" i="3"/>
  <c r="DR285" i="3" s="1"/>
  <c r="AY285" i="3"/>
  <c r="DH285" i="3" s="1"/>
  <c r="AO285" i="3"/>
  <c r="CX285" i="3" s="1"/>
  <c r="AE285" i="3"/>
  <c r="CN285" i="3" s="1"/>
  <c r="U285" i="3"/>
  <c r="CD285" i="3" s="1"/>
  <c r="K285" i="3"/>
  <c r="BT285" i="3" s="1"/>
  <c r="BH285" i="3"/>
  <c r="DQ285" i="3" s="1"/>
  <c r="AX285" i="3"/>
  <c r="DG285" i="3" s="1"/>
  <c r="AN285" i="3"/>
  <c r="CW285" i="3" s="1"/>
  <c r="AD285" i="3"/>
  <c r="CM285" i="3" s="1"/>
  <c r="T285" i="3"/>
  <c r="CC285" i="3" s="1"/>
  <c r="J285" i="3"/>
  <c r="BS285" i="3" s="1"/>
  <c r="BK285" i="3"/>
  <c r="DT285" i="3" s="1"/>
  <c r="BA285" i="3"/>
  <c r="DJ285" i="3" s="1"/>
  <c r="AQ285" i="3"/>
  <c r="CZ285" i="3" s="1"/>
  <c r="AG285" i="3"/>
  <c r="CP285" i="3" s="1"/>
  <c r="W285" i="3"/>
  <c r="CF285" i="3" s="1"/>
  <c r="M285" i="3"/>
  <c r="BV285" i="3" s="1"/>
  <c r="BL285" i="3"/>
  <c r="DU285" i="3" s="1"/>
  <c r="AV285" i="3"/>
  <c r="DE285" i="3" s="1"/>
  <c r="AI285" i="3"/>
  <c r="CR285" i="3" s="1"/>
  <c r="S285" i="3"/>
  <c r="CB285" i="3" s="1"/>
  <c r="F285" i="3"/>
  <c r="BO285" i="3" s="1"/>
  <c r="BB285" i="3"/>
  <c r="DK285" i="3" s="1"/>
  <c r="AL285" i="3"/>
  <c r="CU285" i="3" s="1"/>
  <c r="Y285" i="3"/>
  <c r="CH285" i="3" s="1"/>
  <c r="I285" i="3"/>
  <c r="BR285" i="3" s="1"/>
  <c r="AZ285" i="3"/>
  <c r="DI285" i="3" s="1"/>
  <c r="AK285" i="3"/>
  <c r="CT285" i="3" s="1"/>
  <c r="X285" i="3"/>
  <c r="CG285" i="3" s="1"/>
  <c r="H285" i="3"/>
  <c r="BQ285" i="3" s="1"/>
  <c r="AS285" i="3"/>
  <c r="DB285" i="3" s="1"/>
  <c r="Z285" i="3"/>
  <c r="CI285" i="3" s="1"/>
  <c r="BJ285" i="3"/>
  <c r="DS285" i="3" s="1"/>
  <c r="AR285" i="3"/>
  <c r="DA285" i="3" s="1"/>
  <c r="V285" i="3"/>
  <c r="CE285" i="3" s="1"/>
  <c r="BG285" i="3"/>
  <c r="DP285" i="3" s="1"/>
  <c r="AP285" i="3"/>
  <c r="CY285" i="3" s="1"/>
  <c r="R285" i="3"/>
  <c r="CA285" i="3" s="1"/>
  <c r="BF285" i="3"/>
  <c r="DO285" i="3" s="1"/>
  <c r="AM285" i="3"/>
  <c r="CV285" i="3" s="1"/>
  <c r="Q285" i="3"/>
  <c r="BZ285" i="3" s="1"/>
  <c r="BE285" i="3"/>
  <c r="DN285" i="3" s="1"/>
  <c r="AJ285" i="3"/>
  <c r="CS285" i="3" s="1"/>
  <c r="P285" i="3"/>
  <c r="BY285" i="3" s="1"/>
  <c r="BD285" i="3"/>
  <c r="DM285" i="3" s="1"/>
  <c r="AH285" i="3"/>
  <c r="CQ285" i="3" s="1"/>
  <c r="O285" i="3"/>
  <c r="BX285" i="3" s="1"/>
  <c r="BC285" i="3"/>
  <c r="DL285" i="3" s="1"/>
  <c r="AF285" i="3"/>
  <c r="CO285" i="3" s="1"/>
  <c r="N285" i="3"/>
  <c r="BW285" i="3" s="1"/>
  <c r="AW285" i="3"/>
  <c r="DF285" i="3" s="1"/>
  <c r="AC285" i="3"/>
  <c r="CL285" i="3" s="1"/>
  <c r="L285" i="3"/>
  <c r="BU285" i="3" s="1"/>
  <c r="AU285" i="3"/>
  <c r="DD285" i="3" s="1"/>
  <c r="AB285" i="3"/>
  <c r="CK285" i="3" s="1"/>
  <c r="G285" i="3"/>
  <c r="BP285" i="3" s="1"/>
  <c r="AT285" i="3"/>
  <c r="DC285" i="3" s="1"/>
  <c r="AA285" i="3"/>
  <c r="CJ285" i="3" s="1"/>
  <c r="E285" i="3"/>
  <c r="BN285" i="3" s="1"/>
  <c r="J131" i="2"/>
  <c r="K131" i="2" s="1"/>
  <c r="L131" i="2" s="1"/>
  <c r="J181" i="2"/>
  <c r="K181" i="2" s="1"/>
  <c r="L181" i="2" s="1"/>
  <c r="BD203" i="3"/>
  <c r="DM203" i="3" s="1"/>
  <c r="AT203" i="3"/>
  <c r="DC203" i="3" s="1"/>
  <c r="AJ203" i="3"/>
  <c r="CS203" i="3" s="1"/>
  <c r="Z203" i="3"/>
  <c r="CI203" i="3" s="1"/>
  <c r="P203" i="3"/>
  <c r="BY203" i="3" s="1"/>
  <c r="F203" i="3"/>
  <c r="BO203" i="3" s="1"/>
  <c r="BC203" i="3"/>
  <c r="DL203" i="3" s="1"/>
  <c r="AS203" i="3"/>
  <c r="DB203" i="3" s="1"/>
  <c r="AI203" i="3"/>
  <c r="CR203" i="3" s="1"/>
  <c r="Y203" i="3"/>
  <c r="CH203" i="3" s="1"/>
  <c r="O203" i="3"/>
  <c r="BX203" i="3" s="1"/>
  <c r="E203" i="3"/>
  <c r="BN203" i="3" s="1"/>
  <c r="BF203" i="3"/>
  <c r="DO203" i="3" s="1"/>
  <c r="AV203" i="3"/>
  <c r="DE203" i="3" s="1"/>
  <c r="AL203" i="3"/>
  <c r="CU203" i="3" s="1"/>
  <c r="AB203" i="3"/>
  <c r="CK203" i="3" s="1"/>
  <c r="R203" i="3"/>
  <c r="CA203" i="3" s="1"/>
  <c r="H203" i="3"/>
  <c r="BQ203" i="3" s="1"/>
  <c r="BG203" i="3"/>
  <c r="DP203" i="3" s="1"/>
  <c r="AQ203" i="3"/>
  <c r="CZ203" i="3" s="1"/>
  <c r="AD203" i="3"/>
  <c r="CM203" i="3" s="1"/>
  <c r="N203" i="3"/>
  <c r="BW203" i="3" s="1"/>
  <c r="BE203" i="3"/>
  <c r="DN203" i="3" s="1"/>
  <c r="AP203" i="3"/>
  <c r="CY203" i="3" s="1"/>
  <c r="AC203" i="3"/>
  <c r="CL203" i="3" s="1"/>
  <c r="M203" i="3"/>
  <c r="BV203" i="3" s="1"/>
  <c r="BI203" i="3"/>
  <c r="DR203" i="3" s="1"/>
  <c r="AU203" i="3"/>
  <c r="DD203" i="3" s="1"/>
  <c r="AF203" i="3"/>
  <c r="CO203" i="3" s="1"/>
  <c r="S203" i="3"/>
  <c r="CB203" i="3" s="1"/>
  <c r="BK203" i="3"/>
  <c r="DT203" i="3" s="1"/>
  <c r="AO203" i="3"/>
  <c r="CX203" i="3" s="1"/>
  <c r="V203" i="3"/>
  <c r="CE203" i="3" s="1"/>
  <c r="BJ203" i="3"/>
  <c r="DS203" i="3" s="1"/>
  <c r="AN203" i="3"/>
  <c r="CW203" i="3" s="1"/>
  <c r="U203" i="3"/>
  <c r="CD203" i="3" s="1"/>
  <c r="BH203" i="3"/>
  <c r="DQ203" i="3" s="1"/>
  <c r="AM203" i="3"/>
  <c r="CV203" i="3" s="1"/>
  <c r="T203" i="3"/>
  <c r="CC203" i="3" s="1"/>
  <c r="BB203" i="3"/>
  <c r="DK203" i="3" s="1"/>
  <c r="AK203" i="3"/>
  <c r="CT203" i="3" s="1"/>
  <c r="Q203" i="3"/>
  <c r="BZ203" i="3" s="1"/>
  <c r="BA203" i="3"/>
  <c r="DJ203" i="3" s="1"/>
  <c r="AH203" i="3"/>
  <c r="CQ203" i="3" s="1"/>
  <c r="L203" i="3"/>
  <c r="BU203" i="3" s="1"/>
  <c r="AZ203" i="3"/>
  <c r="DI203" i="3" s="1"/>
  <c r="AG203" i="3"/>
  <c r="CP203" i="3" s="1"/>
  <c r="K203" i="3"/>
  <c r="BT203" i="3" s="1"/>
  <c r="BL203" i="3"/>
  <c r="DU203" i="3" s="1"/>
  <c r="AR203" i="3"/>
  <c r="DA203" i="3" s="1"/>
  <c r="W203" i="3"/>
  <c r="CF203" i="3" s="1"/>
  <c r="AX203" i="3"/>
  <c r="DG203" i="3" s="1"/>
  <c r="AW203" i="3"/>
  <c r="DF203" i="3" s="1"/>
  <c r="AE203" i="3"/>
  <c r="CN203" i="3" s="1"/>
  <c r="AA203" i="3"/>
  <c r="CJ203" i="3" s="1"/>
  <c r="X203" i="3"/>
  <c r="CG203" i="3" s="1"/>
  <c r="J203" i="3"/>
  <c r="BS203" i="3" s="1"/>
  <c r="I203" i="3"/>
  <c r="BR203" i="3" s="1"/>
  <c r="AY203" i="3"/>
  <c r="DH203" i="3" s="1"/>
  <c r="G203" i="3"/>
  <c r="BP203" i="3" s="1"/>
  <c r="N329" i="2"/>
  <c r="O329" i="2"/>
  <c r="BI129" i="3"/>
  <c r="DR129" i="3" s="1"/>
  <c r="AY129" i="3"/>
  <c r="DH129" i="3" s="1"/>
  <c r="AO129" i="3"/>
  <c r="CX129" i="3" s="1"/>
  <c r="AE129" i="3"/>
  <c r="CN129" i="3" s="1"/>
  <c r="U129" i="3"/>
  <c r="CD129" i="3" s="1"/>
  <c r="K129" i="3"/>
  <c r="BT129" i="3" s="1"/>
  <c r="BD129" i="3"/>
  <c r="DM129" i="3" s="1"/>
  <c r="AS129" i="3"/>
  <c r="DB129" i="3" s="1"/>
  <c r="AH129" i="3"/>
  <c r="CQ129" i="3" s="1"/>
  <c r="W129" i="3"/>
  <c r="CF129" i="3" s="1"/>
  <c r="L129" i="3"/>
  <c r="BU129" i="3" s="1"/>
  <c r="BF129" i="3"/>
  <c r="DO129" i="3" s="1"/>
  <c r="AU129" i="3"/>
  <c r="DD129" i="3" s="1"/>
  <c r="AJ129" i="3"/>
  <c r="CS129" i="3" s="1"/>
  <c r="Y129" i="3"/>
  <c r="CH129" i="3" s="1"/>
  <c r="N129" i="3"/>
  <c r="BW129" i="3" s="1"/>
  <c r="BG129" i="3"/>
  <c r="DP129" i="3" s="1"/>
  <c r="AR129" i="3"/>
  <c r="DA129" i="3" s="1"/>
  <c r="AD129" i="3"/>
  <c r="CM129" i="3" s="1"/>
  <c r="Q129" i="3"/>
  <c r="BZ129" i="3" s="1"/>
  <c r="BJ129" i="3"/>
  <c r="DS129" i="3" s="1"/>
  <c r="AV129" i="3"/>
  <c r="DE129" i="3" s="1"/>
  <c r="AG129" i="3"/>
  <c r="CP129" i="3" s="1"/>
  <c r="S129" i="3"/>
  <c r="CB129" i="3" s="1"/>
  <c r="F129" i="3"/>
  <c r="BO129" i="3" s="1"/>
  <c r="BH129" i="3"/>
  <c r="DQ129" i="3" s="1"/>
  <c r="AT129" i="3"/>
  <c r="DC129" i="3" s="1"/>
  <c r="AF129" i="3"/>
  <c r="CO129" i="3" s="1"/>
  <c r="R129" i="3"/>
  <c r="CA129" i="3" s="1"/>
  <c r="E129" i="3"/>
  <c r="BN129" i="3" s="1"/>
  <c r="BA129" i="3"/>
  <c r="DJ129" i="3" s="1"/>
  <c r="AI129" i="3"/>
  <c r="CR129" i="3" s="1"/>
  <c r="M129" i="3"/>
  <c r="BV129" i="3" s="1"/>
  <c r="BK129" i="3"/>
  <c r="DT129" i="3" s="1"/>
  <c r="AN129" i="3"/>
  <c r="CW129" i="3" s="1"/>
  <c r="V129" i="3"/>
  <c r="CE129" i="3" s="1"/>
  <c r="BE129" i="3"/>
  <c r="DN129" i="3" s="1"/>
  <c r="AM129" i="3"/>
  <c r="CV129" i="3" s="1"/>
  <c r="T129" i="3"/>
  <c r="CC129" i="3" s="1"/>
  <c r="BC129" i="3"/>
  <c r="DL129" i="3" s="1"/>
  <c r="AL129" i="3"/>
  <c r="CU129" i="3" s="1"/>
  <c r="P129" i="3"/>
  <c r="BY129" i="3" s="1"/>
  <c r="AX129" i="3"/>
  <c r="DG129" i="3" s="1"/>
  <c r="O129" i="3"/>
  <c r="BX129" i="3" s="1"/>
  <c r="AW129" i="3"/>
  <c r="DF129" i="3" s="1"/>
  <c r="J129" i="3"/>
  <c r="BS129" i="3" s="1"/>
  <c r="AQ129" i="3"/>
  <c r="CZ129" i="3" s="1"/>
  <c r="I129" i="3"/>
  <c r="BR129" i="3" s="1"/>
  <c r="AP129" i="3"/>
  <c r="CY129" i="3" s="1"/>
  <c r="H129" i="3"/>
  <c r="BQ129" i="3" s="1"/>
  <c r="AK129" i="3"/>
  <c r="CT129" i="3" s="1"/>
  <c r="G129" i="3"/>
  <c r="BP129" i="3" s="1"/>
  <c r="AC129" i="3"/>
  <c r="CL129" i="3" s="1"/>
  <c r="AB129" i="3"/>
  <c r="CK129" i="3" s="1"/>
  <c r="BL129" i="3"/>
  <c r="DU129" i="3" s="1"/>
  <c r="AA129" i="3"/>
  <c r="CJ129" i="3" s="1"/>
  <c r="BB129" i="3"/>
  <c r="DK129" i="3" s="1"/>
  <c r="AZ129" i="3"/>
  <c r="DI129" i="3" s="1"/>
  <c r="Z129" i="3"/>
  <c r="CI129" i="3" s="1"/>
  <c r="X129" i="3"/>
  <c r="CG129" i="3" s="1"/>
  <c r="BG317" i="3"/>
  <c r="DP317" i="3" s="1"/>
  <c r="AW317" i="3"/>
  <c r="DF317" i="3" s="1"/>
  <c r="AM317" i="3"/>
  <c r="CV317" i="3" s="1"/>
  <c r="AC317" i="3"/>
  <c r="CL317" i="3" s="1"/>
  <c r="S317" i="3"/>
  <c r="CB317" i="3" s="1"/>
  <c r="I317" i="3"/>
  <c r="BR317" i="3" s="1"/>
  <c r="BF317" i="3"/>
  <c r="DO317" i="3" s="1"/>
  <c r="AV317" i="3"/>
  <c r="DE317" i="3" s="1"/>
  <c r="AL317" i="3"/>
  <c r="CU317" i="3" s="1"/>
  <c r="AB317" i="3"/>
  <c r="CK317" i="3" s="1"/>
  <c r="R317" i="3"/>
  <c r="CA317" i="3" s="1"/>
  <c r="H317" i="3"/>
  <c r="BQ317" i="3" s="1"/>
  <c r="BI317" i="3"/>
  <c r="DR317" i="3" s="1"/>
  <c r="AY317" i="3"/>
  <c r="DH317" i="3" s="1"/>
  <c r="AO317" i="3"/>
  <c r="CX317" i="3" s="1"/>
  <c r="AE317" i="3"/>
  <c r="CN317" i="3" s="1"/>
  <c r="U317" i="3"/>
  <c r="CD317" i="3" s="1"/>
  <c r="K317" i="3"/>
  <c r="BT317" i="3" s="1"/>
  <c r="BC317" i="3"/>
  <c r="DL317" i="3" s="1"/>
  <c r="AP317" i="3"/>
  <c r="CY317" i="3" s="1"/>
  <c r="Z317" i="3"/>
  <c r="CI317" i="3" s="1"/>
  <c r="M317" i="3"/>
  <c r="BV317" i="3" s="1"/>
  <c r="BB317" i="3"/>
  <c r="DK317" i="3" s="1"/>
  <c r="AN317" i="3"/>
  <c r="CW317" i="3" s="1"/>
  <c r="Y317" i="3"/>
  <c r="CH317" i="3" s="1"/>
  <c r="L317" i="3"/>
  <c r="BU317" i="3" s="1"/>
  <c r="BE317" i="3"/>
  <c r="DN317" i="3" s="1"/>
  <c r="AR317" i="3"/>
  <c r="DA317" i="3" s="1"/>
  <c r="AD317" i="3"/>
  <c r="CM317" i="3" s="1"/>
  <c r="O317" i="3"/>
  <c r="BX317" i="3" s="1"/>
  <c r="AZ317" i="3"/>
  <c r="DI317" i="3" s="1"/>
  <c r="AG317" i="3"/>
  <c r="CP317" i="3" s="1"/>
  <c r="J317" i="3"/>
  <c r="BS317" i="3" s="1"/>
  <c r="AU317" i="3"/>
  <c r="DD317" i="3" s="1"/>
  <c r="AA317" i="3"/>
  <c r="CJ317" i="3" s="1"/>
  <c r="F317" i="3"/>
  <c r="BO317" i="3" s="1"/>
  <c r="BL317" i="3"/>
  <c r="DU317" i="3" s="1"/>
  <c r="BH317" i="3"/>
  <c r="DQ317" i="3" s="1"/>
  <c r="AJ317" i="3"/>
  <c r="CS317" i="3" s="1"/>
  <c r="Q317" i="3"/>
  <c r="BZ317" i="3" s="1"/>
  <c r="AK317" i="3"/>
  <c r="CT317" i="3" s="1"/>
  <c r="G317" i="3"/>
  <c r="BP317" i="3" s="1"/>
  <c r="AI317" i="3"/>
  <c r="CR317" i="3" s="1"/>
  <c r="E317" i="3"/>
  <c r="BN317" i="3" s="1"/>
  <c r="BK317" i="3"/>
  <c r="DT317" i="3" s="1"/>
  <c r="AH317" i="3"/>
  <c r="CQ317" i="3" s="1"/>
  <c r="BJ317" i="3"/>
  <c r="DS317" i="3" s="1"/>
  <c r="AF317" i="3"/>
  <c r="CO317" i="3" s="1"/>
  <c r="BD317" i="3"/>
  <c r="DM317" i="3" s="1"/>
  <c r="X317" i="3"/>
  <c r="CG317" i="3" s="1"/>
  <c r="BA317" i="3"/>
  <c r="DJ317" i="3" s="1"/>
  <c r="W317" i="3"/>
  <c r="CF317" i="3" s="1"/>
  <c r="AX317" i="3"/>
  <c r="DG317" i="3" s="1"/>
  <c r="V317" i="3"/>
  <c r="CE317" i="3" s="1"/>
  <c r="AT317" i="3"/>
  <c r="DC317" i="3" s="1"/>
  <c r="T317" i="3"/>
  <c r="CC317" i="3" s="1"/>
  <c r="AS317" i="3"/>
  <c r="DB317" i="3" s="1"/>
  <c r="P317" i="3"/>
  <c r="BY317" i="3" s="1"/>
  <c r="N317" i="3"/>
  <c r="BW317" i="3" s="1"/>
  <c r="AQ317" i="3"/>
  <c r="CZ317" i="3" s="1"/>
  <c r="J65" i="2"/>
  <c r="K65" i="2" s="1"/>
  <c r="L65" i="2" s="1"/>
  <c r="BH96" i="3"/>
  <c r="DQ96" i="3" s="1"/>
  <c r="AX96" i="3"/>
  <c r="DG96" i="3" s="1"/>
  <c r="AN96" i="3"/>
  <c r="CW96" i="3" s="1"/>
  <c r="AD96" i="3"/>
  <c r="CM96" i="3" s="1"/>
  <c r="T96" i="3"/>
  <c r="CC96" i="3" s="1"/>
  <c r="J96" i="3"/>
  <c r="BS96" i="3" s="1"/>
  <c r="BJ96" i="3"/>
  <c r="DS96" i="3" s="1"/>
  <c r="AZ96" i="3"/>
  <c r="DI96" i="3" s="1"/>
  <c r="AP96" i="3"/>
  <c r="CY96" i="3" s="1"/>
  <c r="AF96" i="3"/>
  <c r="CO96" i="3" s="1"/>
  <c r="V96" i="3"/>
  <c r="CE96" i="3" s="1"/>
  <c r="L96" i="3"/>
  <c r="BU96" i="3" s="1"/>
  <c r="BI96" i="3"/>
  <c r="DR96" i="3" s="1"/>
  <c r="AY96" i="3"/>
  <c r="DH96" i="3" s="1"/>
  <c r="AO96" i="3"/>
  <c r="CX96" i="3" s="1"/>
  <c r="AE96" i="3"/>
  <c r="CN96" i="3" s="1"/>
  <c r="U96" i="3"/>
  <c r="CD96" i="3" s="1"/>
  <c r="K96" i="3"/>
  <c r="BT96" i="3" s="1"/>
  <c r="BG96" i="3"/>
  <c r="DP96" i="3" s="1"/>
  <c r="AT96" i="3"/>
  <c r="DC96" i="3" s="1"/>
  <c r="AG96" i="3"/>
  <c r="CP96" i="3" s="1"/>
  <c r="Q96" i="3"/>
  <c r="BZ96" i="3" s="1"/>
  <c r="BF96" i="3"/>
  <c r="DO96" i="3" s="1"/>
  <c r="AS96" i="3"/>
  <c r="DB96" i="3" s="1"/>
  <c r="AC96" i="3"/>
  <c r="CL96" i="3" s="1"/>
  <c r="P96" i="3"/>
  <c r="BY96" i="3" s="1"/>
  <c r="AW96" i="3"/>
  <c r="DF96" i="3" s="1"/>
  <c r="AJ96" i="3"/>
  <c r="CS96" i="3" s="1"/>
  <c r="W96" i="3"/>
  <c r="CF96" i="3" s="1"/>
  <c r="G96" i="3"/>
  <c r="BP96" i="3" s="1"/>
  <c r="BA96" i="3"/>
  <c r="DJ96" i="3" s="1"/>
  <c r="AB96" i="3"/>
  <c r="CK96" i="3" s="1"/>
  <c r="I96" i="3"/>
  <c r="BR96" i="3" s="1"/>
  <c r="AV96" i="3"/>
  <c r="DE96" i="3" s="1"/>
  <c r="AA96" i="3"/>
  <c r="CJ96" i="3" s="1"/>
  <c r="H96" i="3"/>
  <c r="BQ96" i="3" s="1"/>
  <c r="AU96" i="3"/>
  <c r="DD96" i="3" s="1"/>
  <c r="Z96" i="3"/>
  <c r="CI96" i="3" s="1"/>
  <c r="F96" i="3"/>
  <c r="BO96" i="3" s="1"/>
  <c r="AR96" i="3"/>
  <c r="DA96" i="3" s="1"/>
  <c r="Y96" i="3"/>
  <c r="CH96" i="3" s="1"/>
  <c r="E96" i="3"/>
  <c r="BN96" i="3" s="1"/>
  <c r="BL96" i="3"/>
  <c r="DU96" i="3" s="1"/>
  <c r="AQ96" i="3"/>
  <c r="CZ96" i="3" s="1"/>
  <c r="X96" i="3"/>
  <c r="CG96" i="3" s="1"/>
  <c r="BK96" i="3"/>
  <c r="DT96" i="3" s="1"/>
  <c r="AM96" i="3"/>
  <c r="CV96" i="3" s="1"/>
  <c r="S96" i="3"/>
  <c r="CB96" i="3" s="1"/>
  <c r="BE96" i="3"/>
  <c r="DN96" i="3" s="1"/>
  <c r="AL96" i="3"/>
  <c r="CU96" i="3" s="1"/>
  <c r="R96" i="3"/>
  <c r="CA96" i="3" s="1"/>
  <c r="BD96" i="3"/>
  <c r="DM96" i="3" s="1"/>
  <c r="AK96" i="3"/>
  <c r="CT96" i="3" s="1"/>
  <c r="O96" i="3"/>
  <c r="BX96" i="3" s="1"/>
  <c r="BC96" i="3"/>
  <c r="DL96" i="3" s="1"/>
  <c r="AI96" i="3"/>
  <c r="CR96" i="3" s="1"/>
  <c r="N96" i="3"/>
  <c r="BW96" i="3" s="1"/>
  <c r="BB96" i="3"/>
  <c r="DK96" i="3" s="1"/>
  <c r="AH96" i="3"/>
  <c r="CQ96" i="3" s="1"/>
  <c r="M96" i="3"/>
  <c r="BV96" i="3" s="1"/>
  <c r="J165" i="2"/>
  <c r="K165" i="2" s="1"/>
  <c r="L165" i="2" s="1"/>
  <c r="BL196" i="3"/>
  <c r="DU196" i="3" s="1"/>
  <c r="BB196" i="3"/>
  <c r="DK196" i="3" s="1"/>
  <c r="AR196" i="3"/>
  <c r="DA196" i="3" s="1"/>
  <c r="AH196" i="3"/>
  <c r="CQ196" i="3" s="1"/>
  <c r="X196" i="3"/>
  <c r="CG196" i="3" s="1"/>
  <c r="N196" i="3"/>
  <c r="BW196" i="3" s="1"/>
  <c r="BE196" i="3"/>
  <c r="DN196" i="3" s="1"/>
  <c r="AT196" i="3"/>
  <c r="DC196" i="3" s="1"/>
  <c r="AI196" i="3"/>
  <c r="CR196" i="3" s="1"/>
  <c r="W196" i="3"/>
  <c r="CF196" i="3" s="1"/>
  <c r="L196" i="3"/>
  <c r="BU196" i="3" s="1"/>
  <c r="BD196" i="3"/>
  <c r="DM196" i="3" s="1"/>
  <c r="AS196" i="3"/>
  <c r="DB196" i="3" s="1"/>
  <c r="AG196" i="3"/>
  <c r="CP196" i="3" s="1"/>
  <c r="V196" i="3"/>
  <c r="CE196" i="3" s="1"/>
  <c r="K196" i="3"/>
  <c r="BT196" i="3" s="1"/>
  <c r="BG196" i="3"/>
  <c r="DP196" i="3" s="1"/>
  <c r="AV196" i="3"/>
  <c r="DE196" i="3" s="1"/>
  <c r="AK196" i="3"/>
  <c r="CT196" i="3" s="1"/>
  <c r="Z196" i="3"/>
  <c r="CI196" i="3" s="1"/>
  <c r="O196" i="3"/>
  <c r="BX196" i="3" s="1"/>
  <c r="BC196" i="3"/>
  <c r="DL196" i="3" s="1"/>
  <c r="AN196" i="3"/>
  <c r="CW196" i="3" s="1"/>
  <c r="Y196" i="3"/>
  <c r="CH196" i="3" s="1"/>
  <c r="H196" i="3"/>
  <c r="BQ196" i="3" s="1"/>
  <c r="BA196" i="3"/>
  <c r="DJ196" i="3" s="1"/>
  <c r="AM196" i="3"/>
  <c r="CV196" i="3" s="1"/>
  <c r="U196" i="3"/>
  <c r="CD196" i="3" s="1"/>
  <c r="G196" i="3"/>
  <c r="BP196" i="3" s="1"/>
  <c r="AZ196" i="3"/>
  <c r="DI196" i="3" s="1"/>
  <c r="AL196" i="3"/>
  <c r="CU196" i="3" s="1"/>
  <c r="T196" i="3"/>
  <c r="CC196" i="3" s="1"/>
  <c r="F196" i="3"/>
  <c r="BO196" i="3" s="1"/>
  <c r="AY196" i="3"/>
  <c r="DH196" i="3" s="1"/>
  <c r="AJ196" i="3"/>
  <c r="CS196" i="3" s="1"/>
  <c r="S196" i="3"/>
  <c r="CB196" i="3" s="1"/>
  <c r="E196" i="3"/>
  <c r="BN196" i="3" s="1"/>
  <c r="AX196" i="3"/>
  <c r="DG196" i="3" s="1"/>
  <c r="AF196" i="3"/>
  <c r="CO196" i="3" s="1"/>
  <c r="R196" i="3"/>
  <c r="CA196" i="3" s="1"/>
  <c r="BK196" i="3"/>
  <c r="DT196" i="3" s="1"/>
  <c r="AW196" i="3"/>
  <c r="DF196" i="3" s="1"/>
  <c r="AE196" i="3"/>
  <c r="CN196" i="3" s="1"/>
  <c r="Q196" i="3"/>
  <c r="BZ196" i="3" s="1"/>
  <c r="BF196" i="3"/>
  <c r="DO196" i="3" s="1"/>
  <c r="AO196" i="3"/>
  <c r="CX196" i="3" s="1"/>
  <c r="AA196" i="3"/>
  <c r="CJ196" i="3" s="1"/>
  <c r="I196" i="3"/>
  <c r="BR196" i="3" s="1"/>
  <c r="AQ196" i="3"/>
  <c r="CZ196" i="3" s="1"/>
  <c r="AP196" i="3"/>
  <c r="CY196" i="3" s="1"/>
  <c r="AD196" i="3"/>
  <c r="CM196" i="3" s="1"/>
  <c r="AC196" i="3"/>
  <c r="CL196" i="3" s="1"/>
  <c r="AB196" i="3"/>
  <c r="CK196" i="3" s="1"/>
  <c r="P196" i="3"/>
  <c r="BY196" i="3" s="1"/>
  <c r="BJ196" i="3"/>
  <c r="DS196" i="3" s="1"/>
  <c r="M196" i="3"/>
  <c r="BV196" i="3" s="1"/>
  <c r="BH196" i="3"/>
  <c r="DQ196" i="3" s="1"/>
  <c r="BI196" i="3"/>
  <c r="DR196" i="3" s="1"/>
  <c r="AU196" i="3"/>
  <c r="DD196" i="3" s="1"/>
  <c r="J196" i="3"/>
  <c r="BS196" i="3" s="1"/>
  <c r="J72" i="2"/>
  <c r="K72" i="2" s="1"/>
  <c r="L72" i="2" s="1"/>
  <c r="BE113" i="3"/>
  <c r="DN113" i="3" s="1"/>
  <c r="AU113" i="3"/>
  <c r="DD113" i="3" s="1"/>
  <c r="AK113" i="3"/>
  <c r="CT113" i="3" s="1"/>
  <c r="AA113" i="3"/>
  <c r="CJ113" i="3" s="1"/>
  <c r="Q113" i="3"/>
  <c r="BZ113" i="3" s="1"/>
  <c r="G113" i="3"/>
  <c r="BP113" i="3" s="1"/>
  <c r="BG113" i="3"/>
  <c r="DP113" i="3" s="1"/>
  <c r="AW113" i="3"/>
  <c r="DF113" i="3" s="1"/>
  <c r="AM113" i="3"/>
  <c r="CV113" i="3" s="1"/>
  <c r="AC113" i="3"/>
  <c r="CL113" i="3" s="1"/>
  <c r="S113" i="3"/>
  <c r="CB113" i="3" s="1"/>
  <c r="I113" i="3"/>
  <c r="BR113" i="3" s="1"/>
  <c r="BJ113" i="3"/>
  <c r="DS113" i="3" s="1"/>
  <c r="AX113" i="3"/>
  <c r="DG113" i="3" s="1"/>
  <c r="AJ113" i="3"/>
  <c r="CS113" i="3" s="1"/>
  <c r="X113" i="3"/>
  <c r="CG113" i="3" s="1"/>
  <c r="L113" i="3"/>
  <c r="BU113" i="3" s="1"/>
  <c r="BL113" i="3"/>
  <c r="DU113" i="3" s="1"/>
  <c r="AZ113" i="3"/>
  <c r="DI113" i="3" s="1"/>
  <c r="AN113" i="3"/>
  <c r="CW113" i="3" s="1"/>
  <c r="Z113" i="3"/>
  <c r="CI113" i="3" s="1"/>
  <c r="N113" i="3"/>
  <c r="BW113" i="3" s="1"/>
  <c r="BK113" i="3"/>
  <c r="DT113" i="3" s="1"/>
  <c r="AY113" i="3"/>
  <c r="DH113" i="3" s="1"/>
  <c r="AL113" i="3"/>
  <c r="CU113" i="3" s="1"/>
  <c r="Y113" i="3"/>
  <c r="CH113" i="3" s="1"/>
  <c r="M113" i="3"/>
  <c r="BV113" i="3" s="1"/>
  <c r="BA113" i="3"/>
  <c r="DJ113" i="3" s="1"/>
  <c r="AG113" i="3"/>
  <c r="CP113" i="3" s="1"/>
  <c r="P113" i="3"/>
  <c r="BY113" i="3" s="1"/>
  <c r="AV113" i="3"/>
  <c r="DE113" i="3" s="1"/>
  <c r="AE113" i="3"/>
  <c r="CN113" i="3" s="1"/>
  <c r="J113" i="3"/>
  <c r="BS113" i="3" s="1"/>
  <c r="AT113" i="3"/>
  <c r="DC113" i="3" s="1"/>
  <c r="AD113" i="3"/>
  <c r="CM113" i="3" s="1"/>
  <c r="H113" i="3"/>
  <c r="BQ113" i="3" s="1"/>
  <c r="BD113" i="3"/>
  <c r="DM113" i="3" s="1"/>
  <c r="AI113" i="3"/>
  <c r="CR113" i="3" s="1"/>
  <c r="R113" i="3"/>
  <c r="CA113" i="3" s="1"/>
  <c r="BH113" i="3"/>
  <c r="DQ113" i="3" s="1"/>
  <c r="AF113" i="3"/>
  <c r="CO113" i="3" s="1"/>
  <c r="BF113" i="3"/>
  <c r="DO113" i="3" s="1"/>
  <c r="AB113" i="3"/>
  <c r="CK113" i="3" s="1"/>
  <c r="BC113" i="3"/>
  <c r="DL113" i="3" s="1"/>
  <c r="W113" i="3"/>
  <c r="CF113" i="3" s="1"/>
  <c r="BB113" i="3"/>
  <c r="DK113" i="3" s="1"/>
  <c r="V113" i="3"/>
  <c r="CE113" i="3" s="1"/>
  <c r="AS113" i="3"/>
  <c r="DB113" i="3" s="1"/>
  <c r="U113" i="3"/>
  <c r="CD113" i="3" s="1"/>
  <c r="AR113" i="3"/>
  <c r="DA113" i="3" s="1"/>
  <c r="T113" i="3"/>
  <c r="CC113" i="3" s="1"/>
  <c r="AQ113" i="3"/>
  <c r="CZ113" i="3" s="1"/>
  <c r="O113" i="3"/>
  <c r="BX113" i="3" s="1"/>
  <c r="AP113" i="3"/>
  <c r="CY113" i="3" s="1"/>
  <c r="K113" i="3"/>
  <c r="BT113" i="3" s="1"/>
  <c r="AO113" i="3"/>
  <c r="CX113" i="3" s="1"/>
  <c r="F113" i="3"/>
  <c r="BO113" i="3" s="1"/>
  <c r="BI113" i="3"/>
  <c r="DR113" i="3" s="1"/>
  <c r="AH113" i="3"/>
  <c r="CQ113" i="3" s="1"/>
  <c r="E113" i="3"/>
  <c r="BN113" i="3" s="1"/>
  <c r="J152" i="2"/>
  <c r="K152" i="2" s="1"/>
  <c r="L152" i="2" s="1"/>
  <c r="N167" i="2"/>
  <c r="O167" i="2"/>
  <c r="BC220" i="3"/>
  <c r="DL220" i="3" s="1"/>
  <c r="AS220" i="3"/>
  <c r="DB220" i="3" s="1"/>
  <c r="AI220" i="3"/>
  <c r="CR220" i="3" s="1"/>
  <c r="Y220" i="3"/>
  <c r="CH220" i="3" s="1"/>
  <c r="O220" i="3"/>
  <c r="BX220" i="3" s="1"/>
  <c r="E220" i="3"/>
  <c r="BN220" i="3" s="1"/>
  <c r="BL220" i="3"/>
  <c r="DU220" i="3" s="1"/>
  <c r="BB220" i="3"/>
  <c r="DK220" i="3" s="1"/>
  <c r="AR220" i="3"/>
  <c r="DA220" i="3" s="1"/>
  <c r="AH220" i="3"/>
  <c r="CQ220" i="3" s="1"/>
  <c r="X220" i="3"/>
  <c r="CG220" i="3" s="1"/>
  <c r="N220" i="3"/>
  <c r="BW220" i="3" s="1"/>
  <c r="BF220" i="3"/>
  <c r="DO220" i="3" s="1"/>
  <c r="AT220" i="3"/>
  <c r="DC220" i="3" s="1"/>
  <c r="AF220" i="3"/>
  <c r="CO220" i="3" s="1"/>
  <c r="T220" i="3"/>
  <c r="CC220" i="3" s="1"/>
  <c r="H220" i="3"/>
  <c r="BQ220" i="3" s="1"/>
  <c r="BE220" i="3"/>
  <c r="DN220" i="3" s="1"/>
  <c r="AQ220" i="3"/>
  <c r="CZ220" i="3" s="1"/>
  <c r="AE220" i="3"/>
  <c r="CN220" i="3" s="1"/>
  <c r="S220" i="3"/>
  <c r="CB220" i="3" s="1"/>
  <c r="G220" i="3"/>
  <c r="BP220" i="3" s="1"/>
  <c r="BH220" i="3"/>
  <c r="DQ220" i="3" s="1"/>
  <c r="AV220" i="3"/>
  <c r="DE220" i="3" s="1"/>
  <c r="AJ220" i="3"/>
  <c r="CS220" i="3" s="1"/>
  <c r="V220" i="3"/>
  <c r="CE220" i="3" s="1"/>
  <c r="J220" i="3"/>
  <c r="BS220" i="3" s="1"/>
  <c r="AZ220" i="3"/>
  <c r="DI220" i="3" s="1"/>
  <c r="AK220" i="3"/>
  <c r="CT220" i="3" s="1"/>
  <c r="AW220" i="3"/>
  <c r="DF220" i="3" s="1"/>
  <c r="AB220" i="3"/>
  <c r="CK220" i="3" s="1"/>
  <c r="K220" i="3"/>
  <c r="BT220" i="3" s="1"/>
  <c r="AU220" i="3"/>
  <c r="DD220" i="3" s="1"/>
  <c r="AA220" i="3"/>
  <c r="CJ220" i="3" s="1"/>
  <c r="I220" i="3"/>
  <c r="BR220" i="3" s="1"/>
  <c r="BK220" i="3"/>
  <c r="DT220" i="3" s="1"/>
  <c r="AP220" i="3"/>
  <c r="CY220" i="3" s="1"/>
  <c r="Z220" i="3"/>
  <c r="CI220" i="3" s="1"/>
  <c r="F220" i="3"/>
  <c r="BO220" i="3" s="1"/>
  <c r="BJ220" i="3"/>
  <c r="DS220" i="3" s="1"/>
  <c r="AO220" i="3"/>
  <c r="CX220" i="3" s="1"/>
  <c r="W220" i="3"/>
  <c r="CF220" i="3" s="1"/>
  <c r="BG220" i="3"/>
  <c r="DP220" i="3" s="1"/>
  <c r="AM220" i="3"/>
  <c r="CV220" i="3" s="1"/>
  <c r="R220" i="3"/>
  <c r="CA220" i="3" s="1"/>
  <c r="BD220" i="3"/>
  <c r="DM220" i="3" s="1"/>
  <c r="AL220" i="3"/>
  <c r="CU220" i="3" s="1"/>
  <c r="Q220" i="3"/>
  <c r="BZ220" i="3" s="1"/>
  <c r="BA220" i="3"/>
  <c r="DJ220" i="3" s="1"/>
  <c r="AG220" i="3"/>
  <c r="CP220" i="3" s="1"/>
  <c r="P220" i="3"/>
  <c r="BY220" i="3" s="1"/>
  <c r="AY220" i="3"/>
  <c r="DH220" i="3" s="1"/>
  <c r="AD220" i="3"/>
  <c r="CM220" i="3" s="1"/>
  <c r="M220" i="3"/>
  <c r="BV220" i="3" s="1"/>
  <c r="AX220" i="3"/>
  <c r="DG220" i="3" s="1"/>
  <c r="AC220" i="3"/>
  <c r="CL220" i="3" s="1"/>
  <c r="L220" i="3"/>
  <c r="BU220" i="3" s="1"/>
  <c r="BI220" i="3"/>
  <c r="DR220" i="3" s="1"/>
  <c r="AN220" i="3"/>
  <c r="CW220" i="3" s="1"/>
  <c r="U220" i="3"/>
  <c r="CD220" i="3" s="1"/>
  <c r="N251" i="2"/>
  <c r="O251" i="2"/>
  <c r="J275" i="2"/>
  <c r="K275" i="2" s="1"/>
  <c r="L275" i="2" s="1"/>
  <c r="J295" i="2"/>
  <c r="K295" i="2" s="1"/>
  <c r="L295" i="2" s="1"/>
  <c r="J315" i="2"/>
  <c r="K315" i="2" s="1"/>
  <c r="L315" i="2" s="1"/>
  <c r="J335" i="2"/>
  <c r="K335" i="2" s="1"/>
  <c r="L335" i="2" s="1"/>
  <c r="K356" i="2"/>
  <c r="L356" i="2" s="1"/>
  <c r="J227" i="2"/>
  <c r="K227" i="2" s="1"/>
  <c r="L227" i="2" s="1"/>
  <c r="J247" i="2"/>
  <c r="K247" i="2" s="1"/>
  <c r="L247" i="2" s="1"/>
  <c r="J267" i="2"/>
  <c r="K267" i="2" s="1"/>
  <c r="L267" i="2" s="1"/>
  <c r="J287" i="2"/>
  <c r="K287" i="2" s="1"/>
  <c r="L287" i="2" s="1"/>
  <c r="J307" i="2"/>
  <c r="K307" i="2" s="1"/>
  <c r="L307" i="2" s="1"/>
  <c r="J327" i="2"/>
  <c r="K327" i="2" s="1"/>
  <c r="L327" i="2" s="1"/>
  <c r="J347" i="2"/>
  <c r="K347" i="2" s="1"/>
  <c r="L347" i="2" s="1"/>
  <c r="BE222" i="3"/>
  <c r="DN222" i="3" s="1"/>
  <c r="AU222" i="3"/>
  <c r="DD222" i="3" s="1"/>
  <c r="AK222" i="3"/>
  <c r="CT222" i="3" s="1"/>
  <c r="AA222" i="3"/>
  <c r="CJ222" i="3" s="1"/>
  <c r="Q222" i="3"/>
  <c r="BZ222" i="3" s="1"/>
  <c r="G222" i="3"/>
  <c r="BP222" i="3" s="1"/>
  <c r="BD222" i="3"/>
  <c r="DM222" i="3" s="1"/>
  <c r="AT222" i="3"/>
  <c r="DC222" i="3" s="1"/>
  <c r="AJ222" i="3"/>
  <c r="CS222" i="3" s="1"/>
  <c r="Z222" i="3"/>
  <c r="CI222" i="3" s="1"/>
  <c r="P222" i="3"/>
  <c r="BY222" i="3" s="1"/>
  <c r="F222" i="3"/>
  <c r="BO222" i="3" s="1"/>
  <c r="BH222" i="3"/>
  <c r="DQ222" i="3" s="1"/>
  <c r="AV222" i="3"/>
  <c r="DE222" i="3" s="1"/>
  <c r="AH222" i="3"/>
  <c r="CQ222" i="3" s="1"/>
  <c r="V222" i="3"/>
  <c r="CE222" i="3" s="1"/>
  <c r="J222" i="3"/>
  <c r="BS222" i="3" s="1"/>
  <c r="BG222" i="3"/>
  <c r="DP222" i="3" s="1"/>
  <c r="AS222" i="3"/>
  <c r="DB222" i="3" s="1"/>
  <c r="AG222" i="3"/>
  <c r="CP222" i="3" s="1"/>
  <c r="U222" i="3"/>
  <c r="CD222" i="3" s="1"/>
  <c r="I222" i="3"/>
  <c r="BR222" i="3" s="1"/>
  <c r="BJ222" i="3"/>
  <c r="DS222" i="3" s="1"/>
  <c r="AX222" i="3"/>
  <c r="DG222" i="3" s="1"/>
  <c r="AL222" i="3"/>
  <c r="CU222" i="3" s="1"/>
  <c r="X222" i="3"/>
  <c r="CG222" i="3" s="1"/>
  <c r="L222" i="3"/>
  <c r="BU222" i="3" s="1"/>
  <c r="BB222" i="3"/>
  <c r="DK222" i="3" s="1"/>
  <c r="AM222" i="3"/>
  <c r="CV222" i="3" s="1"/>
  <c r="S222" i="3"/>
  <c r="CB222" i="3" s="1"/>
  <c r="BF222" i="3"/>
  <c r="DO222" i="3" s="1"/>
  <c r="AN222" i="3"/>
  <c r="CW222" i="3" s="1"/>
  <c r="R222" i="3"/>
  <c r="CA222" i="3" s="1"/>
  <c r="BC222" i="3"/>
  <c r="DL222" i="3" s="1"/>
  <c r="AI222" i="3"/>
  <c r="CR222" i="3" s="1"/>
  <c r="O222" i="3"/>
  <c r="BX222" i="3" s="1"/>
  <c r="BA222" i="3"/>
  <c r="DJ222" i="3" s="1"/>
  <c r="AF222" i="3"/>
  <c r="CO222" i="3" s="1"/>
  <c r="N222" i="3"/>
  <c r="BW222" i="3" s="1"/>
  <c r="AZ222" i="3"/>
  <c r="DI222" i="3" s="1"/>
  <c r="AE222" i="3"/>
  <c r="CN222" i="3" s="1"/>
  <c r="M222" i="3"/>
  <c r="BV222" i="3" s="1"/>
  <c r="AY222" i="3"/>
  <c r="DH222" i="3" s="1"/>
  <c r="AD222" i="3"/>
  <c r="CM222" i="3" s="1"/>
  <c r="K222" i="3"/>
  <c r="BT222" i="3" s="1"/>
  <c r="AW222" i="3"/>
  <c r="DF222" i="3" s="1"/>
  <c r="AC222" i="3"/>
  <c r="CL222" i="3" s="1"/>
  <c r="H222" i="3"/>
  <c r="BQ222" i="3" s="1"/>
  <c r="AR222" i="3"/>
  <c r="DA222" i="3" s="1"/>
  <c r="AB222" i="3"/>
  <c r="CK222" i="3" s="1"/>
  <c r="E222" i="3"/>
  <c r="BN222" i="3" s="1"/>
  <c r="BL222" i="3"/>
  <c r="DU222" i="3" s="1"/>
  <c r="AQ222" i="3"/>
  <c r="CZ222" i="3" s="1"/>
  <c r="Y222" i="3"/>
  <c r="CH222" i="3" s="1"/>
  <c r="BK222" i="3"/>
  <c r="DT222" i="3" s="1"/>
  <c r="AP222" i="3"/>
  <c r="CY222" i="3" s="1"/>
  <c r="W222" i="3"/>
  <c r="CF222" i="3" s="1"/>
  <c r="BI222" i="3"/>
  <c r="DR222" i="3" s="1"/>
  <c r="AO222" i="3"/>
  <c r="CX222" i="3" s="1"/>
  <c r="T222" i="3"/>
  <c r="CC222" i="3" s="1"/>
  <c r="BK272" i="3"/>
  <c r="DT272" i="3" s="1"/>
  <c r="BA272" i="3"/>
  <c r="DJ272" i="3" s="1"/>
  <c r="AQ272" i="3"/>
  <c r="CZ272" i="3" s="1"/>
  <c r="AG272" i="3"/>
  <c r="CP272" i="3" s="1"/>
  <c r="W272" i="3"/>
  <c r="CF272" i="3" s="1"/>
  <c r="M272" i="3"/>
  <c r="BV272" i="3" s="1"/>
  <c r="BJ272" i="3"/>
  <c r="DS272" i="3" s="1"/>
  <c r="AZ272" i="3"/>
  <c r="DI272" i="3" s="1"/>
  <c r="AP272" i="3"/>
  <c r="CY272" i="3" s="1"/>
  <c r="AF272" i="3"/>
  <c r="CO272" i="3" s="1"/>
  <c r="V272" i="3"/>
  <c r="CE272" i="3" s="1"/>
  <c r="L272" i="3"/>
  <c r="BU272" i="3" s="1"/>
  <c r="BC272" i="3"/>
  <c r="DL272" i="3" s="1"/>
  <c r="AS272" i="3"/>
  <c r="DB272" i="3" s="1"/>
  <c r="AI272" i="3"/>
  <c r="CR272" i="3" s="1"/>
  <c r="Y272" i="3"/>
  <c r="CH272" i="3" s="1"/>
  <c r="O272" i="3"/>
  <c r="BX272" i="3" s="1"/>
  <c r="E272" i="3"/>
  <c r="BN272" i="3" s="1"/>
  <c r="BH272" i="3"/>
  <c r="DQ272" i="3" s="1"/>
  <c r="AU272" i="3"/>
  <c r="DD272" i="3" s="1"/>
  <c r="AE272" i="3"/>
  <c r="CN272" i="3" s="1"/>
  <c r="R272" i="3"/>
  <c r="CA272" i="3" s="1"/>
  <c r="AW272" i="3"/>
  <c r="DF272" i="3" s="1"/>
  <c r="AH272" i="3"/>
  <c r="CQ272" i="3" s="1"/>
  <c r="Q272" i="3"/>
  <c r="BZ272" i="3" s="1"/>
  <c r="BL272" i="3"/>
  <c r="DU272" i="3" s="1"/>
  <c r="AV272" i="3"/>
  <c r="DE272" i="3" s="1"/>
  <c r="AD272" i="3"/>
  <c r="CM272" i="3" s="1"/>
  <c r="P272" i="3"/>
  <c r="BY272" i="3" s="1"/>
  <c r="BI272" i="3"/>
  <c r="DR272" i="3" s="1"/>
  <c r="AT272" i="3"/>
  <c r="DC272" i="3" s="1"/>
  <c r="AC272" i="3"/>
  <c r="CL272" i="3" s="1"/>
  <c r="N272" i="3"/>
  <c r="BW272" i="3" s="1"/>
  <c r="AY272" i="3"/>
  <c r="DH272" i="3" s="1"/>
  <c r="AK272" i="3"/>
  <c r="CT272" i="3" s="1"/>
  <c r="T272" i="3"/>
  <c r="CC272" i="3" s="1"/>
  <c r="F272" i="3"/>
  <c r="BO272" i="3" s="1"/>
  <c r="AR272" i="3"/>
  <c r="DA272" i="3" s="1"/>
  <c r="U272" i="3"/>
  <c r="CD272" i="3" s="1"/>
  <c r="AO272" i="3"/>
  <c r="CX272" i="3" s="1"/>
  <c r="S272" i="3"/>
  <c r="CB272" i="3" s="1"/>
  <c r="AN272" i="3"/>
  <c r="CW272" i="3" s="1"/>
  <c r="K272" i="3"/>
  <c r="BT272" i="3" s="1"/>
  <c r="AM272" i="3"/>
  <c r="CV272" i="3" s="1"/>
  <c r="J272" i="3"/>
  <c r="BS272" i="3" s="1"/>
  <c r="AX272" i="3"/>
  <c r="DG272" i="3" s="1"/>
  <c r="X272" i="3"/>
  <c r="CG272" i="3" s="1"/>
  <c r="BD272" i="3"/>
  <c r="DM272" i="3" s="1"/>
  <c r="BB272" i="3"/>
  <c r="DK272" i="3" s="1"/>
  <c r="AL272" i="3"/>
  <c r="CU272" i="3" s="1"/>
  <c r="AJ272" i="3"/>
  <c r="CS272" i="3" s="1"/>
  <c r="AB272" i="3"/>
  <c r="CK272" i="3" s="1"/>
  <c r="AA272" i="3"/>
  <c r="CJ272" i="3" s="1"/>
  <c r="Z272" i="3"/>
  <c r="CI272" i="3" s="1"/>
  <c r="BG272" i="3"/>
  <c r="DP272" i="3" s="1"/>
  <c r="I272" i="3"/>
  <c r="BR272" i="3" s="1"/>
  <c r="BF272" i="3"/>
  <c r="DO272" i="3" s="1"/>
  <c r="H272" i="3"/>
  <c r="BQ272" i="3" s="1"/>
  <c r="BE272" i="3"/>
  <c r="DN272" i="3" s="1"/>
  <c r="G272" i="3"/>
  <c r="BP272" i="3" s="1"/>
  <c r="BK322" i="3"/>
  <c r="DT322" i="3" s="1"/>
  <c r="BA322" i="3"/>
  <c r="DJ322" i="3" s="1"/>
  <c r="AQ322" i="3"/>
  <c r="CZ322" i="3" s="1"/>
  <c r="AG322" i="3"/>
  <c r="CP322" i="3" s="1"/>
  <c r="W322" i="3"/>
  <c r="CF322" i="3" s="1"/>
  <c r="M322" i="3"/>
  <c r="BV322" i="3" s="1"/>
  <c r="BI322" i="3"/>
  <c r="DR322" i="3" s="1"/>
  <c r="AX322" i="3"/>
  <c r="DG322" i="3" s="1"/>
  <c r="AM322" i="3"/>
  <c r="CV322" i="3" s="1"/>
  <c r="AB322" i="3"/>
  <c r="CK322" i="3" s="1"/>
  <c r="Q322" i="3"/>
  <c r="BZ322" i="3" s="1"/>
  <c r="F322" i="3"/>
  <c r="BO322" i="3" s="1"/>
  <c r="BH322" i="3"/>
  <c r="DQ322" i="3" s="1"/>
  <c r="AW322" i="3"/>
  <c r="DF322" i="3" s="1"/>
  <c r="AL322" i="3"/>
  <c r="CU322" i="3" s="1"/>
  <c r="AA322" i="3"/>
  <c r="CJ322" i="3" s="1"/>
  <c r="P322" i="3"/>
  <c r="BY322" i="3" s="1"/>
  <c r="E322" i="3"/>
  <c r="BN322" i="3" s="1"/>
  <c r="BL322" i="3"/>
  <c r="DU322" i="3" s="1"/>
  <c r="AZ322" i="3"/>
  <c r="DI322" i="3" s="1"/>
  <c r="AO322" i="3"/>
  <c r="CX322" i="3" s="1"/>
  <c r="AD322" i="3"/>
  <c r="CM322" i="3" s="1"/>
  <c r="S322" i="3"/>
  <c r="CB322" i="3" s="1"/>
  <c r="H322" i="3"/>
  <c r="BQ322" i="3" s="1"/>
  <c r="BE322" i="3"/>
  <c r="DN322" i="3" s="1"/>
  <c r="AP322" i="3"/>
  <c r="CY322" i="3" s="1"/>
  <c r="Y322" i="3"/>
  <c r="CH322" i="3" s="1"/>
  <c r="J322" i="3"/>
  <c r="BS322" i="3" s="1"/>
  <c r="BD322" i="3"/>
  <c r="DM322" i="3" s="1"/>
  <c r="AN322" i="3"/>
  <c r="CW322" i="3" s="1"/>
  <c r="X322" i="3"/>
  <c r="CG322" i="3" s="1"/>
  <c r="I322" i="3"/>
  <c r="BR322" i="3" s="1"/>
  <c r="BG322" i="3"/>
  <c r="DP322" i="3" s="1"/>
  <c r="AS322" i="3"/>
  <c r="DB322" i="3" s="1"/>
  <c r="AC322" i="3"/>
  <c r="CL322" i="3" s="1"/>
  <c r="L322" i="3"/>
  <c r="BU322" i="3" s="1"/>
  <c r="AT322" i="3"/>
  <c r="DC322" i="3" s="1"/>
  <c r="U322" i="3"/>
  <c r="CD322" i="3" s="1"/>
  <c r="AR322" i="3"/>
  <c r="DA322" i="3" s="1"/>
  <c r="T322" i="3"/>
  <c r="CC322" i="3" s="1"/>
  <c r="AK322" i="3"/>
  <c r="CT322" i="3" s="1"/>
  <c r="R322" i="3"/>
  <c r="CA322" i="3" s="1"/>
  <c r="BJ322" i="3"/>
  <c r="DS322" i="3" s="1"/>
  <c r="AJ322" i="3"/>
  <c r="CS322" i="3" s="1"/>
  <c r="O322" i="3"/>
  <c r="BX322" i="3" s="1"/>
  <c r="BF322" i="3"/>
  <c r="DO322" i="3" s="1"/>
  <c r="AI322" i="3"/>
  <c r="CR322" i="3" s="1"/>
  <c r="N322" i="3"/>
  <c r="BW322" i="3" s="1"/>
  <c r="AY322" i="3"/>
  <c r="DH322" i="3" s="1"/>
  <c r="AE322" i="3"/>
  <c r="CN322" i="3" s="1"/>
  <c r="Z322" i="3"/>
  <c r="CI322" i="3" s="1"/>
  <c r="V322" i="3"/>
  <c r="CE322" i="3" s="1"/>
  <c r="K322" i="3"/>
  <c r="BT322" i="3" s="1"/>
  <c r="G322" i="3"/>
  <c r="BP322" i="3" s="1"/>
  <c r="BC322" i="3"/>
  <c r="DL322" i="3" s="1"/>
  <c r="BB322" i="3"/>
  <c r="DK322" i="3" s="1"/>
  <c r="AV322" i="3"/>
  <c r="DE322" i="3" s="1"/>
  <c r="AU322" i="3"/>
  <c r="DD322" i="3" s="1"/>
  <c r="AH322" i="3"/>
  <c r="CQ322" i="3" s="1"/>
  <c r="AF322" i="3"/>
  <c r="CO322" i="3" s="1"/>
  <c r="N236" i="2"/>
  <c r="O236" i="2"/>
  <c r="N256" i="2"/>
  <c r="O256" i="2"/>
  <c r="N276" i="2"/>
  <c r="O276" i="2"/>
  <c r="N296" i="2"/>
  <c r="O296" i="2"/>
  <c r="N316" i="2"/>
  <c r="O316" i="2"/>
  <c r="N336" i="2"/>
  <c r="O336" i="2"/>
  <c r="BL254" i="3"/>
  <c r="DU254" i="3" s="1"/>
  <c r="BB254" i="3"/>
  <c r="DK254" i="3" s="1"/>
  <c r="AR254" i="3"/>
  <c r="DA254" i="3" s="1"/>
  <c r="AH254" i="3"/>
  <c r="CQ254" i="3" s="1"/>
  <c r="X254" i="3"/>
  <c r="CG254" i="3" s="1"/>
  <c r="N254" i="3"/>
  <c r="BW254" i="3" s="1"/>
  <c r="BK254" i="3"/>
  <c r="DT254" i="3" s="1"/>
  <c r="BA254" i="3"/>
  <c r="DJ254" i="3" s="1"/>
  <c r="AQ254" i="3"/>
  <c r="CZ254" i="3" s="1"/>
  <c r="AG254" i="3"/>
  <c r="CP254" i="3" s="1"/>
  <c r="W254" i="3"/>
  <c r="CF254" i="3" s="1"/>
  <c r="M254" i="3"/>
  <c r="BV254" i="3" s="1"/>
  <c r="BD254" i="3"/>
  <c r="DM254" i="3" s="1"/>
  <c r="AT254" i="3"/>
  <c r="DC254" i="3" s="1"/>
  <c r="AJ254" i="3"/>
  <c r="CS254" i="3" s="1"/>
  <c r="Z254" i="3"/>
  <c r="CI254" i="3" s="1"/>
  <c r="P254" i="3"/>
  <c r="BY254" i="3" s="1"/>
  <c r="F254" i="3"/>
  <c r="BO254" i="3" s="1"/>
  <c r="BE254" i="3"/>
  <c r="DN254" i="3" s="1"/>
  <c r="AO254" i="3"/>
  <c r="CX254" i="3" s="1"/>
  <c r="AB254" i="3"/>
  <c r="CK254" i="3" s="1"/>
  <c r="L254" i="3"/>
  <c r="BU254" i="3" s="1"/>
  <c r="BC254" i="3"/>
  <c r="DL254" i="3" s="1"/>
  <c r="AZ254" i="3"/>
  <c r="DI254" i="3" s="1"/>
  <c r="AM254" i="3"/>
  <c r="CV254" i="3" s="1"/>
  <c r="Y254" i="3"/>
  <c r="CH254" i="3" s="1"/>
  <c r="J254" i="3"/>
  <c r="BS254" i="3" s="1"/>
  <c r="BF254" i="3"/>
  <c r="DO254" i="3" s="1"/>
  <c r="AP254" i="3"/>
  <c r="CY254" i="3" s="1"/>
  <c r="AC254" i="3"/>
  <c r="CL254" i="3" s="1"/>
  <c r="O254" i="3"/>
  <c r="BX254" i="3" s="1"/>
  <c r="BI254" i="3"/>
  <c r="DR254" i="3" s="1"/>
  <c r="AL254" i="3"/>
  <c r="CU254" i="3" s="1"/>
  <c r="S254" i="3"/>
  <c r="CB254" i="3" s="1"/>
  <c r="BH254" i="3"/>
  <c r="DQ254" i="3" s="1"/>
  <c r="AK254" i="3"/>
  <c r="CT254" i="3" s="1"/>
  <c r="R254" i="3"/>
  <c r="CA254" i="3" s="1"/>
  <c r="BG254" i="3"/>
  <c r="DP254" i="3" s="1"/>
  <c r="AI254" i="3"/>
  <c r="CR254" i="3" s="1"/>
  <c r="Q254" i="3"/>
  <c r="BZ254" i="3" s="1"/>
  <c r="AY254" i="3"/>
  <c r="DH254" i="3" s="1"/>
  <c r="AF254" i="3"/>
  <c r="CO254" i="3" s="1"/>
  <c r="K254" i="3"/>
  <c r="BT254" i="3" s="1"/>
  <c r="AX254" i="3"/>
  <c r="DG254" i="3" s="1"/>
  <c r="AE254" i="3"/>
  <c r="CN254" i="3" s="1"/>
  <c r="I254" i="3"/>
  <c r="BR254" i="3" s="1"/>
  <c r="AW254" i="3"/>
  <c r="DF254" i="3" s="1"/>
  <c r="AD254" i="3"/>
  <c r="CM254" i="3" s="1"/>
  <c r="H254" i="3"/>
  <c r="BQ254" i="3" s="1"/>
  <c r="AS254" i="3"/>
  <c r="DB254" i="3" s="1"/>
  <c r="U254" i="3"/>
  <c r="CD254" i="3" s="1"/>
  <c r="AA254" i="3"/>
  <c r="CJ254" i="3" s="1"/>
  <c r="V254" i="3"/>
  <c r="CE254" i="3" s="1"/>
  <c r="T254" i="3"/>
  <c r="CC254" i="3" s="1"/>
  <c r="G254" i="3"/>
  <c r="BP254" i="3" s="1"/>
  <c r="AU254" i="3"/>
  <c r="DD254" i="3" s="1"/>
  <c r="BJ254" i="3"/>
  <c r="DS254" i="3" s="1"/>
  <c r="AV254" i="3"/>
  <c r="DE254" i="3" s="1"/>
  <c r="AN254" i="3"/>
  <c r="CW254" i="3" s="1"/>
  <c r="E254" i="3"/>
  <c r="BN254" i="3" s="1"/>
  <c r="BK354" i="3"/>
  <c r="DT354" i="3" s="1"/>
  <c r="BA354" i="3"/>
  <c r="DJ354" i="3" s="1"/>
  <c r="AQ354" i="3"/>
  <c r="CZ354" i="3" s="1"/>
  <c r="AG354" i="3"/>
  <c r="CP354" i="3" s="1"/>
  <c r="W354" i="3"/>
  <c r="CF354" i="3" s="1"/>
  <c r="M354" i="3"/>
  <c r="BV354" i="3" s="1"/>
  <c r="BI354" i="3"/>
  <c r="DR354" i="3" s="1"/>
  <c r="AX354" i="3"/>
  <c r="DG354" i="3" s="1"/>
  <c r="AM354" i="3"/>
  <c r="CV354" i="3" s="1"/>
  <c r="AB354" i="3"/>
  <c r="CK354" i="3" s="1"/>
  <c r="Q354" i="3"/>
  <c r="BZ354" i="3" s="1"/>
  <c r="F354" i="3"/>
  <c r="BO354" i="3" s="1"/>
  <c r="AZ354" i="3"/>
  <c r="DI354" i="3" s="1"/>
  <c r="AN354" i="3"/>
  <c r="CW354" i="3" s="1"/>
  <c r="AA354" i="3"/>
  <c r="CJ354" i="3" s="1"/>
  <c r="O354" i="3"/>
  <c r="BX354" i="3" s="1"/>
  <c r="BL354" i="3"/>
  <c r="DU354" i="3" s="1"/>
  <c r="AY354" i="3"/>
  <c r="DH354" i="3" s="1"/>
  <c r="AL354" i="3"/>
  <c r="CU354" i="3" s="1"/>
  <c r="Z354" i="3"/>
  <c r="CI354" i="3" s="1"/>
  <c r="N354" i="3"/>
  <c r="BW354" i="3" s="1"/>
  <c r="BC354" i="3"/>
  <c r="DL354" i="3" s="1"/>
  <c r="AP354" i="3"/>
  <c r="CY354" i="3" s="1"/>
  <c r="AD354" i="3"/>
  <c r="CM354" i="3" s="1"/>
  <c r="R354" i="3"/>
  <c r="CA354" i="3" s="1"/>
  <c r="E354" i="3"/>
  <c r="BN354" i="3" s="1"/>
  <c r="AW354" i="3"/>
  <c r="DF354" i="3" s="1"/>
  <c r="AH354" i="3"/>
  <c r="CQ354" i="3" s="1"/>
  <c r="P354" i="3"/>
  <c r="BY354" i="3" s="1"/>
  <c r="AV354" i="3"/>
  <c r="DE354" i="3" s="1"/>
  <c r="AF354" i="3"/>
  <c r="CO354" i="3" s="1"/>
  <c r="L354" i="3"/>
  <c r="BU354" i="3" s="1"/>
  <c r="AU354" i="3"/>
  <c r="DD354" i="3" s="1"/>
  <c r="AE354" i="3"/>
  <c r="CN354" i="3" s="1"/>
  <c r="K354" i="3"/>
  <c r="BT354" i="3" s="1"/>
  <c r="BJ354" i="3"/>
  <c r="DS354" i="3" s="1"/>
  <c r="AT354" i="3"/>
  <c r="DC354" i="3" s="1"/>
  <c r="AC354" i="3"/>
  <c r="CL354" i="3" s="1"/>
  <c r="J354" i="3"/>
  <c r="BS354" i="3" s="1"/>
  <c r="BD354" i="3"/>
  <c r="DM354" i="3" s="1"/>
  <c r="AJ354" i="3"/>
  <c r="CS354" i="3" s="1"/>
  <c r="T354" i="3"/>
  <c r="CC354" i="3" s="1"/>
  <c r="AS354" i="3"/>
  <c r="DB354" i="3" s="1"/>
  <c r="I354" i="3"/>
  <c r="BR354" i="3" s="1"/>
  <c r="AR354" i="3"/>
  <c r="DA354" i="3" s="1"/>
  <c r="H354" i="3"/>
  <c r="BQ354" i="3" s="1"/>
  <c r="BE354" i="3"/>
  <c r="DN354" i="3" s="1"/>
  <c r="U354" i="3"/>
  <c r="CD354" i="3" s="1"/>
  <c r="AO354" i="3"/>
  <c r="CX354" i="3" s="1"/>
  <c r="AK354" i="3"/>
  <c r="CT354" i="3" s="1"/>
  <c r="BG354" i="3"/>
  <c r="DP354" i="3" s="1"/>
  <c r="G354" i="3"/>
  <c r="BP354" i="3" s="1"/>
  <c r="BF354" i="3"/>
  <c r="DO354" i="3" s="1"/>
  <c r="BH354" i="3"/>
  <c r="DQ354" i="3" s="1"/>
  <c r="AI354" i="3"/>
  <c r="CR354" i="3" s="1"/>
  <c r="Y354" i="3"/>
  <c r="CH354" i="3" s="1"/>
  <c r="X354" i="3"/>
  <c r="CG354" i="3" s="1"/>
  <c r="V354" i="3"/>
  <c r="CE354" i="3" s="1"/>
  <c r="S354" i="3"/>
  <c r="CB354" i="3" s="1"/>
  <c r="BB354" i="3"/>
  <c r="DK354" i="3" s="1"/>
  <c r="BE266" i="3"/>
  <c r="DN266" i="3" s="1"/>
  <c r="AU266" i="3"/>
  <c r="DD266" i="3" s="1"/>
  <c r="AK266" i="3"/>
  <c r="CT266" i="3" s="1"/>
  <c r="AA266" i="3"/>
  <c r="CJ266" i="3" s="1"/>
  <c r="Q266" i="3"/>
  <c r="BZ266" i="3" s="1"/>
  <c r="G266" i="3"/>
  <c r="BP266" i="3" s="1"/>
  <c r="BF266" i="3"/>
  <c r="DO266" i="3" s="1"/>
  <c r="AT266" i="3"/>
  <c r="DC266" i="3" s="1"/>
  <c r="AI266" i="3"/>
  <c r="CR266" i="3" s="1"/>
  <c r="X266" i="3"/>
  <c r="CG266" i="3" s="1"/>
  <c r="M266" i="3"/>
  <c r="BV266" i="3" s="1"/>
  <c r="BD266" i="3"/>
  <c r="DM266" i="3" s="1"/>
  <c r="AS266" i="3"/>
  <c r="DB266" i="3" s="1"/>
  <c r="AH266" i="3"/>
  <c r="CQ266" i="3" s="1"/>
  <c r="W266" i="3"/>
  <c r="CF266" i="3" s="1"/>
  <c r="L266" i="3"/>
  <c r="BU266" i="3" s="1"/>
  <c r="BH266" i="3"/>
  <c r="DQ266" i="3" s="1"/>
  <c r="AW266" i="3"/>
  <c r="DF266" i="3" s="1"/>
  <c r="AL266" i="3"/>
  <c r="CU266" i="3" s="1"/>
  <c r="Z266" i="3"/>
  <c r="CI266" i="3" s="1"/>
  <c r="O266" i="3"/>
  <c r="BX266" i="3" s="1"/>
  <c r="BC266" i="3"/>
  <c r="DL266" i="3" s="1"/>
  <c r="AO266" i="3"/>
  <c r="CX266" i="3" s="1"/>
  <c r="Y266" i="3"/>
  <c r="CH266" i="3" s="1"/>
  <c r="I266" i="3"/>
  <c r="BR266" i="3" s="1"/>
  <c r="BB266" i="3"/>
  <c r="DK266" i="3" s="1"/>
  <c r="AN266" i="3"/>
  <c r="CW266" i="3" s="1"/>
  <c r="V266" i="3"/>
  <c r="CE266" i="3" s="1"/>
  <c r="H266" i="3"/>
  <c r="BQ266" i="3" s="1"/>
  <c r="BA266" i="3"/>
  <c r="DJ266" i="3" s="1"/>
  <c r="AM266" i="3"/>
  <c r="CV266" i="3" s="1"/>
  <c r="U266" i="3"/>
  <c r="CD266" i="3" s="1"/>
  <c r="F266" i="3"/>
  <c r="BO266" i="3" s="1"/>
  <c r="AZ266" i="3"/>
  <c r="DI266" i="3" s="1"/>
  <c r="AJ266" i="3"/>
  <c r="CS266" i="3" s="1"/>
  <c r="T266" i="3"/>
  <c r="CC266" i="3" s="1"/>
  <c r="E266" i="3"/>
  <c r="BN266" i="3" s="1"/>
  <c r="BG266" i="3"/>
  <c r="DP266" i="3" s="1"/>
  <c r="AP266" i="3"/>
  <c r="CY266" i="3" s="1"/>
  <c r="AB266" i="3"/>
  <c r="CK266" i="3" s="1"/>
  <c r="J266" i="3"/>
  <c r="BS266" i="3" s="1"/>
  <c r="AR266" i="3"/>
  <c r="DA266" i="3" s="1"/>
  <c r="N266" i="3"/>
  <c r="BW266" i="3" s="1"/>
  <c r="AQ266" i="3"/>
  <c r="CZ266" i="3" s="1"/>
  <c r="K266" i="3"/>
  <c r="BT266" i="3" s="1"/>
  <c r="AG266" i="3"/>
  <c r="CP266" i="3" s="1"/>
  <c r="BL266" i="3"/>
  <c r="DU266" i="3" s="1"/>
  <c r="AF266" i="3"/>
  <c r="CO266" i="3" s="1"/>
  <c r="BK266" i="3"/>
  <c r="DT266" i="3" s="1"/>
  <c r="AE266" i="3"/>
  <c r="CN266" i="3" s="1"/>
  <c r="BJ266" i="3"/>
  <c r="DS266" i="3" s="1"/>
  <c r="AD266" i="3"/>
  <c r="CM266" i="3" s="1"/>
  <c r="BI266" i="3"/>
  <c r="DR266" i="3" s="1"/>
  <c r="AC266" i="3"/>
  <c r="CL266" i="3" s="1"/>
  <c r="AY266" i="3"/>
  <c r="DH266" i="3" s="1"/>
  <c r="S266" i="3"/>
  <c r="CB266" i="3" s="1"/>
  <c r="AX266" i="3"/>
  <c r="DG266" i="3" s="1"/>
  <c r="R266" i="3"/>
  <c r="CA266" i="3" s="1"/>
  <c r="P266" i="3"/>
  <c r="BY266" i="3" s="1"/>
  <c r="AV266" i="3"/>
  <c r="DE266" i="3" s="1"/>
  <c r="K301" i="2"/>
  <c r="L301" i="2" s="1"/>
  <c r="N349" i="2"/>
  <c r="O349" i="2"/>
  <c r="K218" i="2"/>
  <c r="L218" i="2" s="1"/>
  <c r="K238" i="2"/>
  <c r="L238" i="2" s="1"/>
  <c r="K258" i="2"/>
  <c r="L258" i="2" s="1"/>
  <c r="K278" i="2"/>
  <c r="L278" i="2" s="1"/>
  <c r="K298" i="2"/>
  <c r="L298" i="2" s="1"/>
  <c r="K318" i="2"/>
  <c r="L318" i="2" s="1"/>
  <c r="K338" i="2"/>
  <c r="L338" i="2" s="1"/>
  <c r="O356" i="2"/>
  <c r="N356" i="2"/>
  <c r="D23" i="4"/>
  <c r="E23" i="4" s="1"/>
  <c r="F23" i="4"/>
  <c r="F62" i="4"/>
  <c r="D62" i="4"/>
  <c r="E62" i="4" s="1"/>
  <c r="F101" i="4"/>
  <c r="D101" i="4"/>
  <c r="E101" i="4" s="1"/>
  <c r="F43" i="4"/>
  <c r="D43" i="4"/>
  <c r="E43" i="4" s="1"/>
  <c r="D138" i="4"/>
  <c r="E138" i="4" s="1"/>
  <c r="F138" i="4"/>
  <c r="F52" i="4"/>
  <c r="D52" i="4"/>
  <c r="E52" i="4" s="1"/>
  <c r="F171" i="4"/>
  <c r="D171" i="4"/>
  <c r="E171" i="4" s="1"/>
  <c r="D146" i="4"/>
  <c r="E146" i="4" s="1"/>
  <c r="F146" i="4"/>
  <c r="F154" i="4"/>
  <c r="D154" i="4"/>
  <c r="E154" i="4" s="1"/>
  <c r="F118" i="4"/>
  <c r="D118" i="4"/>
  <c r="E118" i="4" s="1"/>
  <c r="F136" i="4"/>
  <c r="D136" i="4"/>
  <c r="E136" i="4" s="1"/>
  <c r="F29" i="4"/>
  <c r="D29" i="4"/>
  <c r="E29" i="4" s="1"/>
  <c r="F100" i="4"/>
  <c r="D100" i="4"/>
  <c r="E100" i="4" s="1"/>
  <c r="D67" i="4"/>
  <c r="E67" i="4" s="1"/>
  <c r="F67" i="4"/>
  <c r="F200" i="4"/>
  <c r="D200" i="4"/>
  <c r="E200" i="4" s="1"/>
  <c r="F263" i="4"/>
  <c r="D263" i="4"/>
  <c r="E263" i="4" s="1"/>
  <c r="F185" i="4"/>
  <c r="D185" i="4"/>
  <c r="E185" i="4" s="1"/>
  <c r="F186" i="4"/>
  <c r="D186" i="4"/>
  <c r="E186" i="4" s="1"/>
  <c r="F176" i="4"/>
  <c r="D176" i="4"/>
  <c r="E176" i="4" s="1"/>
  <c r="F123" i="4"/>
  <c r="D123" i="4"/>
  <c r="E123" i="4" s="1"/>
  <c r="F230" i="4"/>
  <c r="D230" i="4"/>
  <c r="E230" i="4" s="1"/>
  <c r="F164" i="4"/>
  <c r="D164" i="4"/>
  <c r="E164" i="4" s="1"/>
  <c r="F258" i="4"/>
  <c r="D258" i="4"/>
  <c r="E258" i="4" s="1"/>
  <c r="F184" i="4"/>
  <c r="D184" i="4"/>
  <c r="E184" i="4" s="1"/>
  <c r="S30" i="2" l="1"/>
  <c r="T30" i="2" s="1"/>
  <c r="S129" i="2"/>
  <c r="S203" i="2"/>
  <c r="S155" i="2"/>
  <c r="S32" i="2"/>
  <c r="S358" i="2"/>
  <c r="S196" i="2"/>
  <c r="S14" i="2"/>
  <c r="S322" i="2"/>
  <c r="T322" i="2" s="1"/>
  <c r="S270" i="2"/>
  <c r="T270" i="2" s="1"/>
  <c r="S76" i="2"/>
  <c r="T76" i="2" s="1"/>
  <c r="S42" i="2"/>
  <c r="S301" i="2"/>
  <c r="S281" i="2"/>
  <c r="X358" i="2"/>
  <c r="Y358" i="2" s="1"/>
  <c r="T358" i="2"/>
  <c r="X281" i="2"/>
  <c r="Y281" i="2" s="1"/>
  <c r="T281" i="2"/>
  <c r="S219" i="2"/>
  <c r="S347" i="2"/>
  <c r="S225" i="2"/>
  <c r="S233" i="2"/>
  <c r="S171" i="2"/>
  <c r="S25" i="2"/>
  <c r="S101" i="2"/>
  <c r="S320" i="2"/>
  <c r="S122" i="2"/>
  <c r="S218" i="2"/>
  <c r="S222" i="2"/>
  <c r="S125" i="2"/>
  <c r="S355" i="2"/>
  <c r="S284" i="2"/>
  <c r="S211" i="2"/>
  <c r="S102" i="2"/>
  <c r="S313" i="2"/>
  <c r="S253" i="2"/>
  <c r="S221" i="2"/>
  <c r="S56" i="2"/>
  <c r="S145" i="2"/>
  <c r="S137" i="2"/>
  <c r="S256" i="2"/>
  <c r="S261" i="2"/>
  <c r="S340" i="2"/>
  <c r="S315" i="2"/>
  <c r="S265" i="2"/>
  <c r="S41" i="2"/>
  <c r="S216" i="2"/>
  <c r="S360" i="2"/>
  <c r="S267" i="2"/>
  <c r="S260" i="2"/>
  <c r="S117" i="2"/>
  <c r="S80" i="2"/>
  <c r="S264" i="2"/>
  <c r="S323" i="2"/>
  <c r="S283" i="2"/>
  <c r="S243" i="2"/>
  <c r="S356" i="2"/>
  <c r="S352" i="2"/>
  <c r="S169" i="2"/>
  <c r="S138" i="2"/>
  <c r="S47" i="2"/>
  <c r="S161" i="2"/>
  <c r="X203" i="2"/>
  <c r="Y203" i="2" s="1"/>
  <c r="T203" i="2"/>
  <c r="X301" i="2"/>
  <c r="Y301" i="2" s="1"/>
  <c r="T301" i="2"/>
  <c r="S167" i="2"/>
  <c r="S273" i="2"/>
  <c r="S220" i="2"/>
  <c r="S293" i="2"/>
  <c r="S206" i="2"/>
  <c r="S139" i="2"/>
  <c r="S266" i="2"/>
  <c r="S200" i="2"/>
  <c r="S100" i="2"/>
  <c r="S68" i="2"/>
  <c r="S152" i="2"/>
  <c r="S353" i="2"/>
  <c r="S292" i="2"/>
  <c r="S183" i="2"/>
  <c r="S341" i="2"/>
  <c r="S280" i="2"/>
  <c r="S309" i="2"/>
  <c r="S62" i="2"/>
  <c r="S274" i="2"/>
  <c r="S312" i="2"/>
  <c r="S305" i="2"/>
  <c r="S146" i="2"/>
  <c r="S157" i="2"/>
  <c r="S334" i="2"/>
  <c r="S245" i="2"/>
  <c r="S239" i="2"/>
  <c r="S325" i="2"/>
  <c r="S106" i="2"/>
  <c r="S81" i="2"/>
  <c r="S337" i="2"/>
  <c r="S255" i="2"/>
  <c r="S188" i="2"/>
  <c r="S40" i="2"/>
  <c r="S357" i="2"/>
  <c r="S132" i="2"/>
  <c r="S342" i="2"/>
  <c r="S48" i="2"/>
  <c r="S326" i="2"/>
  <c r="S354" i="2"/>
  <c r="S84" i="2"/>
  <c r="S51" i="2"/>
  <c r="S82" i="2"/>
  <c r="S249" i="2"/>
  <c r="S126" i="2"/>
  <c r="S28" i="2"/>
  <c r="S38" i="2"/>
  <c r="S242" i="2"/>
  <c r="S277" i="2"/>
  <c r="S344" i="2"/>
  <c r="S244" i="2"/>
  <c r="S349" i="2"/>
  <c r="S172" i="2"/>
  <c r="S88" i="2"/>
  <c r="S74" i="2"/>
  <c r="S190" i="2"/>
  <c r="S71" i="2"/>
  <c r="S19" i="2"/>
  <c r="S133" i="2"/>
  <c r="S189" i="2"/>
  <c r="S229" i="2"/>
  <c r="S210" i="2"/>
  <c r="S214" i="2"/>
  <c r="S209" i="2"/>
  <c r="S181" i="2"/>
  <c r="S215" i="2"/>
  <c r="S159" i="2"/>
  <c r="S64" i="2"/>
  <c r="S83" i="2"/>
  <c r="S276" i="2"/>
  <c r="S303" i="2"/>
  <c r="S199" i="2"/>
  <c r="S112" i="2"/>
  <c r="S237" i="2"/>
  <c r="S359" i="2"/>
  <c r="S291" i="2"/>
  <c r="S330" i="2"/>
  <c r="S36" i="2"/>
  <c r="S49" i="2"/>
  <c r="S131" i="2"/>
  <c r="S154" i="2"/>
  <c r="S26" i="2"/>
  <c r="S182" i="2"/>
  <c r="S187" i="2"/>
  <c r="S103" i="2"/>
  <c r="S52" i="2"/>
  <c r="S61" i="2"/>
  <c r="S114" i="2"/>
  <c r="S130" i="2"/>
  <c r="S226" i="2"/>
  <c r="S308" i="2"/>
  <c r="S195" i="2"/>
  <c r="S213" i="2"/>
  <c r="S107" i="2"/>
  <c r="S208" i="2"/>
  <c r="S37" i="2"/>
  <c r="S65" i="2"/>
  <c r="S18" i="2"/>
  <c r="S86" i="2"/>
  <c r="S174" i="2"/>
  <c r="S90" i="2"/>
  <c r="S21" i="2"/>
  <c r="S27" i="2"/>
  <c r="S105" i="2"/>
  <c r="S227" i="2"/>
  <c r="S116" i="2"/>
  <c r="S250" i="2"/>
  <c r="S104" i="2"/>
  <c r="S142" i="2"/>
  <c r="S177" i="2"/>
  <c r="S234" i="2"/>
  <c r="S332" i="2"/>
  <c r="S348" i="2"/>
  <c r="S164" i="2"/>
  <c r="S43" i="2"/>
  <c r="S111" i="2"/>
  <c r="S59" i="2"/>
  <c r="S124" i="2"/>
  <c r="S67" i="2"/>
  <c r="S22" i="2"/>
  <c r="S10" i="2"/>
  <c r="S184" i="2"/>
  <c r="S98" i="2"/>
  <c r="S318" i="2"/>
  <c r="S314" i="2"/>
  <c r="S240" i="2"/>
  <c r="S275" i="2"/>
  <c r="S91" i="2"/>
  <c r="S63" i="2"/>
  <c r="S235" i="2"/>
  <c r="S89" i="2"/>
  <c r="S72" i="2"/>
  <c r="S79" i="2"/>
  <c r="S33" i="2"/>
  <c r="S77" i="2"/>
  <c r="S120" i="2"/>
  <c r="S141" i="2"/>
  <c r="S75" i="2"/>
  <c r="S268" i="2"/>
  <c r="S176" i="2"/>
  <c r="S165" i="2"/>
  <c r="S180" i="2"/>
  <c r="S108" i="2"/>
  <c r="S109" i="2"/>
  <c r="S12" i="2"/>
  <c r="S9" i="2"/>
  <c r="S287" i="2"/>
  <c r="S69" i="2"/>
  <c r="S11" i="2"/>
  <c r="S99" i="2"/>
  <c r="S45" i="2"/>
  <c r="S115" i="2"/>
  <c r="S54" i="2"/>
  <c r="S121" i="2"/>
  <c r="S338" i="2"/>
  <c r="S144" i="2"/>
  <c r="X32" i="2"/>
  <c r="Y32" i="2" s="1"/>
  <c r="T32" i="2"/>
  <c r="X14" i="2"/>
  <c r="Y14" i="2" s="1"/>
  <c r="T14" i="2"/>
  <c r="S143" i="2"/>
  <c r="S238" i="2"/>
  <c r="S94" i="2"/>
  <c r="S351" i="2"/>
  <c r="S331" i="2"/>
  <c r="S231" i="2"/>
  <c r="S290" i="2"/>
  <c r="S193" i="2"/>
  <c r="S205" i="2"/>
  <c r="S278" i="2"/>
  <c r="S170" i="2"/>
  <c r="S85" i="2"/>
  <c r="S224" i="2"/>
  <c r="S66" i="2"/>
  <c r="S295" i="2"/>
  <c r="S321" i="2"/>
  <c r="S15" i="2"/>
  <c r="S346" i="2"/>
  <c r="S87" i="2"/>
  <c r="S258" i="2"/>
  <c r="S31" i="2"/>
  <c r="S329" i="2"/>
  <c r="S269" i="2"/>
  <c r="S186" i="2"/>
  <c r="S217" i="2"/>
  <c r="S198" i="2"/>
  <c r="S304" i="2"/>
  <c r="S204" i="2"/>
  <c r="S307" i="2"/>
  <c r="S57" i="2"/>
  <c r="S202" i="2"/>
  <c r="S247" i="2"/>
  <c r="S13" i="2"/>
  <c r="S259" i="2"/>
  <c r="S194" i="2"/>
  <c r="S319" i="2"/>
  <c r="S119" i="2"/>
  <c r="S175" i="2"/>
  <c r="S248" i="2"/>
  <c r="S35" i="2"/>
  <c r="S70" i="2"/>
  <c r="X129" i="2"/>
  <c r="Y129" i="2" s="1"/>
  <c r="T129" i="2"/>
  <c r="S185" i="2"/>
  <c r="S160" i="2"/>
  <c r="S23" i="2"/>
  <c r="S118" i="2"/>
  <c r="S127" i="2"/>
  <c r="S50" i="2"/>
  <c r="S282" i="2"/>
  <c r="S232" i="2"/>
  <c r="S343" i="2"/>
  <c r="S263" i="2"/>
  <c r="S207" i="2"/>
  <c r="S110" i="2"/>
  <c r="S271" i="2"/>
  <c r="S350" i="2"/>
  <c r="S339" i="2"/>
  <c r="S279" i="2"/>
  <c r="S136" i="2"/>
  <c r="S140" i="2"/>
  <c r="S93" i="2"/>
  <c r="S95" i="2"/>
  <c r="S324" i="2"/>
  <c r="S166" i="2"/>
  <c r="S8" i="2"/>
  <c r="X196" i="2"/>
  <c r="Y196" i="2" s="1"/>
  <c r="T196" i="2"/>
  <c r="X155" i="2"/>
  <c r="Y155" i="2" s="1"/>
  <c r="T155" i="2"/>
  <c r="S158" i="2"/>
  <c r="S333" i="2"/>
  <c r="S163" i="2"/>
  <c r="S156" i="2"/>
  <c r="S178" i="2"/>
  <c r="S44" i="2"/>
  <c r="S241" i="2"/>
  <c r="S262" i="2"/>
  <c r="S148" i="2"/>
  <c r="S254" i="2"/>
  <c r="S317" i="2"/>
  <c r="S73" i="2"/>
  <c r="S296" i="2"/>
  <c r="S179" i="2"/>
  <c r="S128" i="2"/>
  <c r="S16" i="2"/>
  <c r="S123" i="2"/>
  <c r="S345" i="2"/>
  <c r="S300" i="2"/>
  <c r="S289" i="2"/>
  <c r="S335" i="2"/>
  <c r="S55" i="2"/>
  <c r="S46" i="2"/>
  <c r="S20" i="2"/>
  <c r="S286" i="2"/>
  <c r="S298" i="2"/>
  <c r="S316" i="2"/>
  <c r="S92" i="2"/>
  <c r="S53" i="2"/>
  <c r="S150" i="2"/>
  <c r="S328" i="2"/>
  <c r="S168" i="2"/>
  <c r="S78" i="2"/>
  <c r="S97" i="2"/>
  <c r="S39" i="2"/>
  <c r="S223" i="2"/>
  <c r="S162" i="2"/>
  <c r="S151" i="2"/>
  <c r="S34" i="2"/>
  <c r="S306" i="2"/>
  <c r="S252" i="2"/>
  <c r="S310" i="2"/>
  <c r="S29" i="2"/>
  <c r="S201" i="2"/>
  <c r="S336" i="2"/>
  <c r="S153" i="2"/>
  <c r="S272" i="2"/>
  <c r="S113" i="2"/>
  <c r="S96" i="2"/>
  <c r="S285" i="2"/>
  <c r="S60" i="2"/>
  <c r="S257" i="2"/>
  <c r="S149" i="2"/>
  <c r="S192" i="2"/>
  <c r="S134" i="2"/>
  <c r="S197" i="2"/>
  <c r="S24" i="2"/>
  <c r="S17" i="2"/>
  <c r="S246" i="2"/>
  <c r="S212" i="2"/>
  <c r="S173" i="2"/>
  <c r="S297" i="2"/>
  <c r="S58" i="2"/>
  <c r="S191" i="2"/>
  <c r="S294" i="2"/>
  <c r="S302" i="2"/>
  <c r="S311" i="2"/>
  <c r="S251" i="2"/>
  <c r="S299" i="2"/>
  <c r="S230" i="2"/>
  <c r="S288" i="2"/>
  <c r="S147" i="2"/>
  <c r="S228" i="2"/>
  <c r="X42" i="2"/>
  <c r="Y42" i="2" s="1"/>
  <c r="T42" i="2"/>
  <c r="S135" i="2"/>
  <c r="S236" i="2"/>
  <c r="S327" i="2"/>
  <c r="X30" i="2" l="1"/>
  <c r="Y30" i="2" s="1"/>
  <c r="X76" i="2"/>
  <c r="Y76" i="2" s="1"/>
  <c r="X322" i="2"/>
  <c r="Y322" i="2" s="1"/>
  <c r="X270" i="2"/>
  <c r="Y270" i="2" s="1"/>
  <c r="T158" i="2"/>
  <c r="X158" i="2"/>
  <c r="Y158" i="2" s="1"/>
  <c r="X12" i="2"/>
  <c r="Y12" i="2" s="1"/>
  <c r="T12" i="2"/>
  <c r="X77" i="2"/>
  <c r="Y77" i="2" s="1"/>
  <c r="T77" i="2"/>
  <c r="X74" i="2"/>
  <c r="Y74" i="2" s="1"/>
  <c r="T74" i="2"/>
  <c r="T357" i="2"/>
  <c r="X357" i="2"/>
  <c r="Y357" i="2" s="1"/>
  <c r="T334" i="2"/>
  <c r="X334" i="2"/>
  <c r="Y334" i="2" s="1"/>
  <c r="X183" i="2"/>
  <c r="Y183" i="2" s="1"/>
  <c r="T183" i="2"/>
  <c r="X293" i="2"/>
  <c r="Y293" i="2" s="1"/>
  <c r="T293" i="2"/>
  <c r="X161" i="2"/>
  <c r="Y161" i="2" s="1"/>
  <c r="T161" i="2"/>
  <c r="T80" i="2"/>
  <c r="X80" i="2"/>
  <c r="Y80" i="2" s="1"/>
  <c r="X261" i="2"/>
  <c r="Y261" i="2" s="1"/>
  <c r="T261" i="2"/>
  <c r="T284" i="2"/>
  <c r="X284" i="2"/>
  <c r="Y284" i="2" s="1"/>
  <c r="X233" i="2"/>
  <c r="Y233" i="2" s="1"/>
  <c r="T233" i="2"/>
  <c r="X230" i="2"/>
  <c r="Y230" i="2" s="1"/>
  <c r="T230" i="2"/>
  <c r="X212" i="2"/>
  <c r="Y212" i="2" s="1"/>
  <c r="T212" i="2"/>
  <c r="X285" i="2"/>
  <c r="Y285" i="2" s="1"/>
  <c r="T285" i="2"/>
  <c r="X306" i="2"/>
  <c r="Y306" i="2" s="1"/>
  <c r="T306" i="2"/>
  <c r="X150" i="2"/>
  <c r="Y150" i="2" s="1"/>
  <c r="T150" i="2"/>
  <c r="X289" i="2"/>
  <c r="Y289" i="2" s="1"/>
  <c r="T289" i="2"/>
  <c r="T254" i="2"/>
  <c r="X254" i="2"/>
  <c r="Y254" i="2" s="1"/>
  <c r="U155" i="2"/>
  <c r="V155" i="2"/>
  <c r="W155" i="2" s="1"/>
  <c r="T136" i="2"/>
  <c r="X136" i="2"/>
  <c r="Y136" i="2" s="1"/>
  <c r="T282" i="2"/>
  <c r="X282" i="2"/>
  <c r="Y282" i="2" s="1"/>
  <c r="T35" i="2"/>
  <c r="X35" i="2"/>
  <c r="Y35" i="2" s="1"/>
  <c r="X57" i="2"/>
  <c r="Y57" i="2" s="1"/>
  <c r="T57" i="2"/>
  <c r="X258" i="2"/>
  <c r="Y258" i="2" s="1"/>
  <c r="T258" i="2"/>
  <c r="X278" i="2"/>
  <c r="Y278" i="2" s="1"/>
  <c r="T278" i="2"/>
  <c r="U76" i="2"/>
  <c r="V76" i="2"/>
  <c r="W76" i="2" s="1"/>
  <c r="X121" i="2"/>
  <c r="Y121" i="2" s="1"/>
  <c r="T121" i="2"/>
  <c r="X109" i="2"/>
  <c r="Y109" i="2" s="1"/>
  <c r="T109" i="2"/>
  <c r="T33" i="2"/>
  <c r="X33" i="2"/>
  <c r="Y33" i="2" s="1"/>
  <c r="X318" i="2"/>
  <c r="Y318" i="2" s="1"/>
  <c r="T318" i="2"/>
  <c r="X164" i="2"/>
  <c r="Y164" i="2" s="1"/>
  <c r="T164" i="2"/>
  <c r="X105" i="2"/>
  <c r="Y105" i="2" s="1"/>
  <c r="T105" i="2"/>
  <c r="X107" i="2"/>
  <c r="Y107" i="2" s="1"/>
  <c r="T107" i="2"/>
  <c r="X187" i="2"/>
  <c r="Y187" i="2" s="1"/>
  <c r="T187" i="2"/>
  <c r="X237" i="2"/>
  <c r="Y237" i="2" s="1"/>
  <c r="T237" i="2"/>
  <c r="X209" i="2"/>
  <c r="Y209" i="2" s="1"/>
  <c r="T209" i="2"/>
  <c r="X88" i="2"/>
  <c r="Y88" i="2" s="1"/>
  <c r="T88" i="2"/>
  <c r="X249" i="2"/>
  <c r="Y249" i="2" s="1"/>
  <c r="T249" i="2"/>
  <c r="X40" i="2"/>
  <c r="Y40" i="2" s="1"/>
  <c r="T40" i="2"/>
  <c r="X157" i="2"/>
  <c r="Y157" i="2" s="1"/>
  <c r="T157" i="2"/>
  <c r="T292" i="2"/>
  <c r="X292" i="2"/>
  <c r="Y292" i="2" s="1"/>
  <c r="X220" i="2"/>
  <c r="Y220" i="2" s="1"/>
  <c r="T220" i="2"/>
  <c r="X47" i="2"/>
  <c r="Y47" i="2" s="1"/>
  <c r="T47" i="2"/>
  <c r="X117" i="2"/>
  <c r="Y117" i="2" s="1"/>
  <c r="T117" i="2"/>
  <c r="X256" i="2"/>
  <c r="Y256" i="2" s="1"/>
  <c r="T256" i="2"/>
  <c r="T355" i="2"/>
  <c r="X355" i="2"/>
  <c r="Y355" i="2" s="1"/>
  <c r="X225" i="2"/>
  <c r="Y225" i="2" s="1"/>
  <c r="T225" i="2"/>
  <c r="X173" i="2"/>
  <c r="Y173" i="2" s="1"/>
  <c r="T173" i="2"/>
  <c r="T31" i="2"/>
  <c r="X31" i="2"/>
  <c r="Y31" i="2" s="1"/>
  <c r="X208" i="2"/>
  <c r="Y208" i="2" s="1"/>
  <c r="T208" i="2"/>
  <c r="X50" i="2"/>
  <c r="Y50" i="2" s="1"/>
  <c r="T50" i="2"/>
  <c r="X248" i="2"/>
  <c r="Y248" i="2" s="1"/>
  <c r="T248" i="2"/>
  <c r="X307" i="2"/>
  <c r="Y307" i="2" s="1"/>
  <c r="T307" i="2"/>
  <c r="X87" i="2"/>
  <c r="Y87" i="2" s="1"/>
  <c r="T87" i="2"/>
  <c r="X205" i="2"/>
  <c r="Y205" i="2" s="1"/>
  <c r="T205" i="2"/>
  <c r="X143" i="2"/>
  <c r="Y143" i="2" s="1"/>
  <c r="T143" i="2"/>
  <c r="X54" i="2"/>
  <c r="Y54" i="2" s="1"/>
  <c r="T54" i="2"/>
  <c r="X108" i="2"/>
  <c r="Y108" i="2" s="1"/>
  <c r="T108" i="2"/>
  <c r="X79" i="2"/>
  <c r="Y79" i="2" s="1"/>
  <c r="T79" i="2"/>
  <c r="X98" i="2"/>
  <c r="Y98" i="2" s="1"/>
  <c r="T98" i="2"/>
  <c r="X348" i="2"/>
  <c r="Y348" i="2" s="1"/>
  <c r="T348" i="2"/>
  <c r="T27" i="2"/>
  <c r="X27" i="2"/>
  <c r="Y27" i="2" s="1"/>
  <c r="X213" i="2"/>
  <c r="Y213" i="2" s="1"/>
  <c r="T213" i="2"/>
  <c r="T182" i="2"/>
  <c r="X182" i="2"/>
  <c r="Y182" i="2" s="1"/>
  <c r="T112" i="2"/>
  <c r="X112" i="2"/>
  <c r="Y112" i="2" s="1"/>
  <c r="X214" i="2"/>
  <c r="Y214" i="2" s="1"/>
  <c r="T214" i="2"/>
  <c r="T172" i="2"/>
  <c r="X172" i="2"/>
  <c r="Y172" i="2" s="1"/>
  <c r="T82" i="2"/>
  <c r="X82" i="2"/>
  <c r="Y82" i="2" s="1"/>
  <c r="T188" i="2"/>
  <c r="X188" i="2"/>
  <c r="Y188" i="2" s="1"/>
  <c r="X146" i="2"/>
  <c r="Y146" i="2" s="1"/>
  <c r="T146" i="2"/>
  <c r="X353" i="2"/>
  <c r="Y353" i="2" s="1"/>
  <c r="T353" i="2"/>
  <c r="X273" i="2"/>
  <c r="Y273" i="2" s="1"/>
  <c r="T273" i="2"/>
  <c r="T138" i="2"/>
  <c r="X138" i="2"/>
  <c r="Y138" i="2" s="1"/>
  <c r="X260" i="2"/>
  <c r="Y260" i="2" s="1"/>
  <c r="T260" i="2"/>
  <c r="X137" i="2"/>
  <c r="Y137" i="2" s="1"/>
  <c r="T137" i="2"/>
  <c r="X125" i="2"/>
  <c r="Y125" i="2" s="1"/>
  <c r="T125" i="2"/>
  <c r="X347" i="2"/>
  <c r="Y347" i="2" s="1"/>
  <c r="T347" i="2"/>
  <c r="X170" i="2"/>
  <c r="Y170" i="2" s="1"/>
  <c r="T170" i="2"/>
  <c r="X103" i="2"/>
  <c r="Y103" i="2" s="1"/>
  <c r="T103" i="2"/>
  <c r="X34" i="2"/>
  <c r="Y34" i="2" s="1"/>
  <c r="T34" i="2"/>
  <c r="T262" i="2"/>
  <c r="X262" i="2"/>
  <c r="Y262" i="2" s="1"/>
  <c r="X175" i="2"/>
  <c r="Y175" i="2" s="1"/>
  <c r="T175" i="2"/>
  <c r="T204" i="2"/>
  <c r="X204" i="2"/>
  <c r="Y204" i="2" s="1"/>
  <c r="X346" i="2"/>
  <c r="Y346" i="2" s="1"/>
  <c r="T346" i="2"/>
  <c r="X193" i="2"/>
  <c r="Y193" i="2" s="1"/>
  <c r="T193" i="2"/>
  <c r="U14" i="2"/>
  <c r="V14" i="2"/>
  <c r="W14" i="2" s="1"/>
  <c r="X115" i="2"/>
  <c r="Y115" i="2" s="1"/>
  <c r="T115" i="2"/>
  <c r="X180" i="2"/>
  <c r="Y180" i="2" s="1"/>
  <c r="T180" i="2"/>
  <c r="T72" i="2"/>
  <c r="X72" i="2"/>
  <c r="Y72" i="2" s="1"/>
  <c r="X184" i="2"/>
  <c r="Y184" i="2" s="1"/>
  <c r="T184" i="2"/>
  <c r="T332" i="2"/>
  <c r="X332" i="2"/>
  <c r="Y332" i="2" s="1"/>
  <c r="T21" i="2"/>
  <c r="X21" i="2"/>
  <c r="Y21" i="2" s="1"/>
  <c r="X195" i="2"/>
  <c r="Y195" i="2" s="1"/>
  <c r="T195" i="2"/>
  <c r="X26" i="2"/>
  <c r="Y26" i="2" s="1"/>
  <c r="T26" i="2"/>
  <c r="X199" i="2"/>
  <c r="Y199" i="2" s="1"/>
  <c r="T199" i="2"/>
  <c r="T210" i="2"/>
  <c r="X210" i="2"/>
  <c r="Y210" i="2" s="1"/>
  <c r="X349" i="2"/>
  <c r="Y349" i="2" s="1"/>
  <c r="T349" i="2"/>
  <c r="X51" i="2"/>
  <c r="Y51" i="2" s="1"/>
  <c r="T51" i="2"/>
  <c r="X255" i="2"/>
  <c r="Y255" i="2" s="1"/>
  <c r="T255" i="2"/>
  <c r="X305" i="2"/>
  <c r="Y305" i="2" s="1"/>
  <c r="T305" i="2"/>
  <c r="T152" i="2"/>
  <c r="X152" i="2"/>
  <c r="Y152" i="2" s="1"/>
  <c r="X167" i="2"/>
  <c r="Y167" i="2" s="1"/>
  <c r="T167" i="2"/>
  <c r="X169" i="2"/>
  <c r="Y169" i="2" s="1"/>
  <c r="T169" i="2"/>
  <c r="X267" i="2"/>
  <c r="Y267" i="2" s="1"/>
  <c r="T267" i="2"/>
  <c r="X145" i="2"/>
  <c r="Y145" i="2" s="1"/>
  <c r="T145" i="2"/>
  <c r="T222" i="2"/>
  <c r="X222" i="2"/>
  <c r="Y222" i="2" s="1"/>
  <c r="X219" i="2"/>
  <c r="Y219" i="2" s="1"/>
  <c r="T219" i="2"/>
  <c r="X288" i="2"/>
  <c r="Y288" i="2" s="1"/>
  <c r="T288" i="2"/>
  <c r="X202" i="2"/>
  <c r="Y202" i="2" s="1"/>
  <c r="T202" i="2"/>
  <c r="X359" i="2"/>
  <c r="Y359" i="2" s="1"/>
  <c r="T359" i="2"/>
  <c r="X53" i="2"/>
  <c r="Y53" i="2" s="1"/>
  <c r="T53" i="2"/>
  <c r="X113" i="2"/>
  <c r="Y113" i="2" s="1"/>
  <c r="T113" i="2"/>
  <c r="X241" i="2"/>
  <c r="Y241" i="2" s="1"/>
  <c r="T241" i="2"/>
  <c r="X290" i="2"/>
  <c r="Y290" i="2" s="1"/>
  <c r="T290" i="2"/>
  <c r="X45" i="2"/>
  <c r="Y45" i="2" s="1"/>
  <c r="T45" i="2"/>
  <c r="X165" i="2"/>
  <c r="Y165" i="2" s="1"/>
  <c r="T165" i="2"/>
  <c r="X89" i="2"/>
  <c r="Y89" i="2" s="1"/>
  <c r="T89" i="2"/>
  <c r="X10" i="2"/>
  <c r="Y10" i="2" s="1"/>
  <c r="T10" i="2"/>
  <c r="T234" i="2"/>
  <c r="X234" i="2"/>
  <c r="Y234" i="2" s="1"/>
  <c r="X90" i="2"/>
  <c r="Y90" i="2" s="1"/>
  <c r="T90" i="2"/>
  <c r="X308" i="2"/>
  <c r="Y308" i="2" s="1"/>
  <c r="T308" i="2"/>
  <c r="X154" i="2"/>
  <c r="Y154" i="2" s="1"/>
  <c r="T154" i="2"/>
  <c r="X303" i="2"/>
  <c r="Y303" i="2" s="1"/>
  <c r="T303" i="2"/>
  <c r="X229" i="2"/>
  <c r="Y229" i="2" s="1"/>
  <c r="T229" i="2"/>
  <c r="T244" i="2"/>
  <c r="X244" i="2"/>
  <c r="Y244" i="2" s="1"/>
  <c r="X84" i="2"/>
  <c r="Y84" i="2" s="1"/>
  <c r="T84" i="2"/>
  <c r="X337" i="2"/>
  <c r="Y337" i="2" s="1"/>
  <c r="T337" i="2"/>
  <c r="T312" i="2"/>
  <c r="X312" i="2"/>
  <c r="Y312" i="2" s="1"/>
  <c r="X68" i="2"/>
  <c r="Y68" i="2" s="1"/>
  <c r="T68" i="2"/>
  <c r="U301" i="2"/>
  <c r="V301" i="2"/>
  <c r="W301" i="2" s="1"/>
  <c r="T352" i="2"/>
  <c r="X352" i="2"/>
  <c r="Y352" i="2" s="1"/>
  <c r="T360" i="2"/>
  <c r="X360" i="2"/>
  <c r="Y360" i="2" s="1"/>
  <c r="T56" i="2"/>
  <c r="X56" i="2"/>
  <c r="Y56" i="2" s="1"/>
  <c r="X218" i="2"/>
  <c r="Y218" i="2" s="1"/>
  <c r="T218" i="2"/>
  <c r="U281" i="2"/>
  <c r="V281" i="2"/>
  <c r="W281" i="2" s="1"/>
  <c r="T252" i="2"/>
  <c r="X252" i="2"/>
  <c r="Y252" i="2" s="1"/>
  <c r="X70" i="2"/>
  <c r="Y70" i="2" s="1"/>
  <c r="T70" i="2"/>
  <c r="X43" i="2"/>
  <c r="Y43" i="2" s="1"/>
  <c r="T43" i="2"/>
  <c r="X300" i="2"/>
  <c r="Y300" i="2" s="1"/>
  <c r="T300" i="2"/>
  <c r="X151" i="2"/>
  <c r="Y151" i="2" s="1"/>
  <c r="T151" i="2"/>
  <c r="X24" i="2"/>
  <c r="Y24" i="2" s="1"/>
  <c r="T24" i="2"/>
  <c r="X350" i="2"/>
  <c r="Y350" i="2" s="1"/>
  <c r="T350" i="2"/>
  <c r="X223" i="2"/>
  <c r="Y223" i="2" s="1"/>
  <c r="T223" i="2"/>
  <c r="X319" i="2"/>
  <c r="Y319" i="2" s="1"/>
  <c r="T319" i="2"/>
  <c r="X99" i="2"/>
  <c r="Y99" i="2" s="1"/>
  <c r="T99" i="2"/>
  <c r="X176" i="2"/>
  <c r="Y176" i="2" s="1"/>
  <c r="T176" i="2"/>
  <c r="X235" i="2"/>
  <c r="Y235" i="2" s="1"/>
  <c r="T235" i="2"/>
  <c r="X22" i="2"/>
  <c r="Y22" i="2" s="1"/>
  <c r="T22" i="2"/>
  <c r="X177" i="2"/>
  <c r="Y177" i="2" s="1"/>
  <c r="T177" i="2"/>
  <c r="X174" i="2"/>
  <c r="Y174" i="2" s="1"/>
  <c r="T174" i="2"/>
  <c r="X226" i="2"/>
  <c r="Y226" i="2" s="1"/>
  <c r="T226" i="2"/>
  <c r="X131" i="2"/>
  <c r="Y131" i="2" s="1"/>
  <c r="T131" i="2"/>
  <c r="X276" i="2"/>
  <c r="Y276" i="2" s="1"/>
  <c r="T276" i="2"/>
  <c r="X189" i="2"/>
  <c r="Y189" i="2" s="1"/>
  <c r="T189" i="2"/>
  <c r="T344" i="2"/>
  <c r="X344" i="2"/>
  <c r="Y344" i="2" s="1"/>
  <c r="T354" i="2"/>
  <c r="X354" i="2"/>
  <c r="Y354" i="2" s="1"/>
  <c r="X81" i="2"/>
  <c r="Y81" i="2" s="1"/>
  <c r="T81" i="2"/>
  <c r="T274" i="2"/>
  <c r="X274" i="2"/>
  <c r="Y274" i="2" s="1"/>
  <c r="X100" i="2"/>
  <c r="Y100" i="2" s="1"/>
  <c r="T100" i="2"/>
  <c r="X356" i="2"/>
  <c r="Y356" i="2" s="1"/>
  <c r="T356" i="2"/>
  <c r="X216" i="2"/>
  <c r="Y216" i="2" s="1"/>
  <c r="T216" i="2"/>
  <c r="X221" i="2"/>
  <c r="Y221" i="2" s="1"/>
  <c r="T221" i="2"/>
  <c r="T122" i="2"/>
  <c r="X122" i="2"/>
  <c r="Y122" i="2" s="1"/>
  <c r="T232" i="2"/>
  <c r="X232" i="2"/>
  <c r="Y232" i="2" s="1"/>
  <c r="X181" i="2"/>
  <c r="Y181" i="2" s="1"/>
  <c r="T181" i="2"/>
  <c r="X279" i="2"/>
  <c r="Y279" i="2" s="1"/>
  <c r="T279" i="2"/>
  <c r="X345" i="2"/>
  <c r="Y345" i="2" s="1"/>
  <c r="T345" i="2"/>
  <c r="T272" i="2"/>
  <c r="X272" i="2"/>
  <c r="Y272" i="2" s="1"/>
  <c r="X118" i="2"/>
  <c r="Y118" i="2" s="1"/>
  <c r="T118" i="2"/>
  <c r="T294" i="2"/>
  <c r="X294" i="2"/>
  <c r="Y294" i="2" s="1"/>
  <c r="X160" i="2"/>
  <c r="Y160" i="2" s="1"/>
  <c r="T160" i="2"/>
  <c r="T11" i="2"/>
  <c r="X11" i="2"/>
  <c r="Y11" i="2" s="1"/>
  <c r="X67" i="2"/>
  <c r="Y67" i="2" s="1"/>
  <c r="T67" i="2"/>
  <c r="X130" i="2"/>
  <c r="Y130" i="2" s="1"/>
  <c r="T130" i="2"/>
  <c r="X49" i="2"/>
  <c r="Y49" i="2" s="1"/>
  <c r="T49" i="2"/>
  <c r="X83" i="2"/>
  <c r="Y83" i="2" s="1"/>
  <c r="T83" i="2"/>
  <c r="X133" i="2"/>
  <c r="Y133" i="2" s="1"/>
  <c r="T133" i="2"/>
  <c r="X277" i="2"/>
  <c r="Y277" i="2" s="1"/>
  <c r="T277" i="2"/>
  <c r="X326" i="2"/>
  <c r="Y326" i="2" s="1"/>
  <c r="T326" i="2"/>
  <c r="T106" i="2"/>
  <c r="X106" i="2"/>
  <c r="Y106" i="2" s="1"/>
  <c r="T62" i="2"/>
  <c r="X62" i="2"/>
  <c r="Y62" i="2" s="1"/>
  <c r="X200" i="2"/>
  <c r="Y200" i="2" s="1"/>
  <c r="T200" i="2"/>
  <c r="U203" i="2"/>
  <c r="V203" i="2"/>
  <c r="W203" i="2" s="1"/>
  <c r="X243" i="2"/>
  <c r="Y243" i="2" s="1"/>
  <c r="T243" i="2"/>
  <c r="X41" i="2"/>
  <c r="Y41" i="2" s="1"/>
  <c r="T41" i="2"/>
  <c r="X253" i="2"/>
  <c r="Y253" i="2" s="1"/>
  <c r="T253" i="2"/>
  <c r="X320" i="2"/>
  <c r="Y320" i="2" s="1"/>
  <c r="T320" i="2"/>
  <c r="U358" i="2"/>
  <c r="V358" i="2"/>
  <c r="W358" i="2" s="1"/>
  <c r="X317" i="2"/>
  <c r="Y317" i="2" s="1"/>
  <c r="T317" i="2"/>
  <c r="X338" i="2"/>
  <c r="Y338" i="2" s="1"/>
  <c r="T338" i="2"/>
  <c r="T314" i="2"/>
  <c r="X314" i="2"/>
  <c r="Y314" i="2" s="1"/>
  <c r="X246" i="2"/>
  <c r="Y246" i="2" s="1"/>
  <c r="T246" i="2"/>
  <c r="X251" i="2"/>
  <c r="Y251" i="2" s="1"/>
  <c r="T251" i="2"/>
  <c r="X339" i="2"/>
  <c r="Y339" i="2" s="1"/>
  <c r="T339" i="2"/>
  <c r="X316" i="2"/>
  <c r="Y316" i="2" s="1"/>
  <c r="T316" i="2"/>
  <c r="T15" i="2"/>
  <c r="X15" i="2"/>
  <c r="Y15" i="2" s="1"/>
  <c r="X91" i="2"/>
  <c r="Y91" i="2" s="1"/>
  <c r="T91" i="2"/>
  <c r="T242" i="2"/>
  <c r="X242" i="2"/>
  <c r="Y242" i="2" s="1"/>
  <c r="X325" i="2"/>
  <c r="Y325" i="2" s="1"/>
  <c r="T325" i="2"/>
  <c r="X283" i="2"/>
  <c r="Y283" i="2" s="1"/>
  <c r="T283" i="2"/>
  <c r="X265" i="2"/>
  <c r="Y265" i="2" s="1"/>
  <c r="T265" i="2"/>
  <c r="X313" i="2"/>
  <c r="Y313" i="2" s="1"/>
  <c r="T313" i="2"/>
  <c r="X101" i="2"/>
  <c r="Y101" i="2" s="1"/>
  <c r="T101" i="2"/>
  <c r="X335" i="2"/>
  <c r="Y335" i="2" s="1"/>
  <c r="T335" i="2"/>
  <c r="T126" i="2"/>
  <c r="X126" i="2"/>
  <c r="Y126" i="2" s="1"/>
  <c r="T96" i="2"/>
  <c r="X96" i="2"/>
  <c r="Y96" i="2" s="1"/>
  <c r="T17" i="2"/>
  <c r="X17" i="2"/>
  <c r="Y17" i="2" s="1"/>
  <c r="U196" i="2"/>
  <c r="V196" i="2"/>
  <c r="W196" i="2" s="1"/>
  <c r="X236" i="2"/>
  <c r="Y236" i="2" s="1"/>
  <c r="T236" i="2"/>
  <c r="T162" i="2"/>
  <c r="X162" i="2"/>
  <c r="Y162" i="2" s="1"/>
  <c r="X119" i="2"/>
  <c r="Y119" i="2" s="1"/>
  <c r="T119" i="2"/>
  <c r="X135" i="2"/>
  <c r="Y135" i="2" s="1"/>
  <c r="T135" i="2"/>
  <c r="X153" i="2"/>
  <c r="Y153" i="2" s="1"/>
  <c r="T153" i="2"/>
  <c r="X16" i="2"/>
  <c r="Y16" i="2" s="1"/>
  <c r="T16" i="2"/>
  <c r="X8" i="2"/>
  <c r="Y8" i="2" s="1"/>
  <c r="T8" i="2"/>
  <c r="T23" i="2"/>
  <c r="X23" i="2"/>
  <c r="Y23" i="2" s="1"/>
  <c r="X321" i="2"/>
  <c r="Y321" i="2" s="1"/>
  <c r="T321" i="2"/>
  <c r="U32" i="2"/>
  <c r="V32" i="2"/>
  <c r="W32" i="2" s="1"/>
  <c r="X336" i="2"/>
  <c r="Y336" i="2" s="1"/>
  <c r="T336" i="2"/>
  <c r="T128" i="2"/>
  <c r="X128" i="2"/>
  <c r="Y128" i="2" s="1"/>
  <c r="X166" i="2"/>
  <c r="Y166" i="2" s="1"/>
  <c r="T166" i="2"/>
  <c r="X194" i="2"/>
  <c r="Y194" i="2" s="1"/>
  <c r="T194" i="2"/>
  <c r="X295" i="2"/>
  <c r="Y295" i="2" s="1"/>
  <c r="T295" i="2"/>
  <c r="X268" i="2"/>
  <c r="Y268" i="2" s="1"/>
  <c r="T268" i="2"/>
  <c r="T142" i="2"/>
  <c r="X142" i="2"/>
  <c r="Y142" i="2" s="1"/>
  <c r="X191" i="2"/>
  <c r="Y191" i="2" s="1"/>
  <c r="T191" i="2"/>
  <c r="X201" i="2"/>
  <c r="Y201" i="2" s="1"/>
  <c r="T201" i="2"/>
  <c r="X20" i="2"/>
  <c r="Y20" i="2" s="1"/>
  <c r="T20" i="2"/>
  <c r="X156" i="2"/>
  <c r="Y156" i="2" s="1"/>
  <c r="T156" i="2"/>
  <c r="X207" i="2"/>
  <c r="Y207" i="2" s="1"/>
  <c r="T207" i="2"/>
  <c r="X186" i="2"/>
  <c r="Y186" i="2" s="1"/>
  <c r="T186" i="2"/>
  <c r="T66" i="2"/>
  <c r="X66" i="2"/>
  <c r="Y66" i="2" s="1"/>
  <c r="U30" i="2"/>
  <c r="V30" i="2"/>
  <c r="W30" i="2" s="1"/>
  <c r="X69" i="2"/>
  <c r="Y69" i="2" s="1"/>
  <c r="T69" i="2"/>
  <c r="X124" i="2"/>
  <c r="Y124" i="2" s="1"/>
  <c r="T124" i="2"/>
  <c r="X18" i="2"/>
  <c r="Y18" i="2" s="1"/>
  <c r="T18" i="2"/>
  <c r="X64" i="2"/>
  <c r="Y64" i="2" s="1"/>
  <c r="T64" i="2"/>
  <c r="X309" i="2"/>
  <c r="Y309" i="2" s="1"/>
  <c r="T309" i="2"/>
  <c r="X228" i="2"/>
  <c r="Y228" i="2" s="1"/>
  <c r="T228" i="2"/>
  <c r="T29" i="2"/>
  <c r="X29" i="2"/>
  <c r="Y29" i="2" s="1"/>
  <c r="X296" i="2"/>
  <c r="Y296" i="2" s="1"/>
  <c r="T296" i="2"/>
  <c r="X95" i="2"/>
  <c r="Y95" i="2" s="1"/>
  <c r="T95" i="2"/>
  <c r="U129" i="2"/>
  <c r="V129" i="2"/>
  <c r="W129" i="2" s="1"/>
  <c r="X269" i="2"/>
  <c r="Y269" i="2" s="1"/>
  <c r="T269" i="2"/>
  <c r="T224" i="2"/>
  <c r="X224" i="2"/>
  <c r="Y224" i="2" s="1"/>
  <c r="X94" i="2"/>
  <c r="Y94" i="2" s="1"/>
  <c r="T94" i="2"/>
  <c r="X287" i="2"/>
  <c r="Y287" i="2" s="1"/>
  <c r="T287" i="2"/>
  <c r="X141" i="2"/>
  <c r="Y141" i="2" s="1"/>
  <c r="T141" i="2"/>
  <c r="X275" i="2"/>
  <c r="Y275" i="2" s="1"/>
  <c r="T275" i="2"/>
  <c r="X59" i="2"/>
  <c r="Y59" i="2" s="1"/>
  <c r="T59" i="2"/>
  <c r="X250" i="2"/>
  <c r="Y250" i="2" s="1"/>
  <c r="T250" i="2"/>
  <c r="X65" i="2"/>
  <c r="Y65" i="2" s="1"/>
  <c r="T65" i="2"/>
  <c r="X61" i="2"/>
  <c r="Y61" i="2" s="1"/>
  <c r="T61" i="2"/>
  <c r="X330" i="2"/>
  <c r="Y330" i="2" s="1"/>
  <c r="T330" i="2"/>
  <c r="X159" i="2"/>
  <c r="Y159" i="2" s="1"/>
  <c r="T159" i="2"/>
  <c r="X71" i="2"/>
  <c r="Y71" i="2" s="1"/>
  <c r="T71" i="2"/>
  <c r="X38" i="2"/>
  <c r="Y38" i="2" s="1"/>
  <c r="T38" i="2"/>
  <c r="T342" i="2"/>
  <c r="X342" i="2"/>
  <c r="Y342" i="2" s="1"/>
  <c r="X239" i="2"/>
  <c r="Y239" i="2" s="1"/>
  <c r="T239" i="2"/>
  <c r="X280" i="2"/>
  <c r="Y280" i="2" s="1"/>
  <c r="T280" i="2"/>
  <c r="X139" i="2"/>
  <c r="Y139" i="2" s="1"/>
  <c r="T139" i="2"/>
  <c r="X323" i="2"/>
  <c r="Y323" i="2" s="1"/>
  <c r="T323" i="2"/>
  <c r="X315" i="2"/>
  <c r="Y315" i="2" s="1"/>
  <c r="T315" i="2"/>
  <c r="T102" i="2"/>
  <c r="X102" i="2"/>
  <c r="Y102" i="2" s="1"/>
  <c r="T25" i="2"/>
  <c r="X25" i="2"/>
  <c r="Y25" i="2" s="1"/>
  <c r="U270" i="2"/>
  <c r="V270" i="2"/>
  <c r="W270" i="2" s="1"/>
  <c r="X60" i="2"/>
  <c r="Y60" i="2" s="1"/>
  <c r="T60" i="2"/>
  <c r="X328" i="2"/>
  <c r="Y328" i="2" s="1"/>
  <c r="T328" i="2"/>
  <c r="X140" i="2"/>
  <c r="Y140" i="2" s="1"/>
  <c r="T140" i="2"/>
  <c r="X227" i="2"/>
  <c r="Y227" i="2" s="1"/>
  <c r="T227" i="2"/>
  <c r="X299" i="2"/>
  <c r="Y299" i="2" s="1"/>
  <c r="T299" i="2"/>
  <c r="T148" i="2"/>
  <c r="X148" i="2"/>
  <c r="Y148" i="2" s="1"/>
  <c r="X327" i="2"/>
  <c r="Y327" i="2" s="1"/>
  <c r="T327" i="2"/>
  <c r="T92" i="2"/>
  <c r="X92" i="2"/>
  <c r="Y92" i="2" s="1"/>
  <c r="X127" i="2"/>
  <c r="Y127" i="2" s="1"/>
  <c r="T127" i="2"/>
  <c r="X311" i="2"/>
  <c r="Y311" i="2" s="1"/>
  <c r="T311" i="2"/>
  <c r="X123" i="2"/>
  <c r="Y123" i="2" s="1"/>
  <c r="T123" i="2"/>
  <c r="T304" i="2"/>
  <c r="X304" i="2"/>
  <c r="Y304" i="2" s="1"/>
  <c r="T302" i="2"/>
  <c r="X302" i="2"/>
  <c r="Y302" i="2" s="1"/>
  <c r="X197" i="2"/>
  <c r="Y197" i="2" s="1"/>
  <c r="T197" i="2"/>
  <c r="X298" i="2"/>
  <c r="Y298" i="2" s="1"/>
  <c r="T298" i="2"/>
  <c r="T44" i="2"/>
  <c r="X44" i="2"/>
  <c r="Y44" i="2" s="1"/>
  <c r="X271" i="2"/>
  <c r="Y271" i="2" s="1"/>
  <c r="T271" i="2"/>
  <c r="T198" i="2"/>
  <c r="X198" i="2"/>
  <c r="Y198" i="2" s="1"/>
  <c r="X231" i="2"/>
  <c r="Y231" i="2" s="1"/>
  <c r="T231" i="2"/>
  <c r="U42" i="2"/>
  <c r="V42" i="2"/>
  <c r="W42" i="2" s="1"/>
  <c r="X134" i="2"/>
  <c r="Y134" i="2" s="1"/>
  <c r="T134" i="2"/>
  <c r="X39" i="2"/>
  <c r="Y39" i="2" s="1"/>
  <c r="T39" i="2"/>
  <c r="X286" i="2"/>
  <c r="Y286" i="2" s="1"/>
  <c r="T286" i="2"/>
  <c r="T178" i="2"/>
  <c r="X178" i="2"/>
  <c r="Y178" i="2" s="1"/>
  <c r="X110" i="2"/>
  <c r="Y110" i="2" s="1"/>
  <c r="T110" i="2"/>
  <c r="X217" i="2"/>
  <c r="Y217" i="2" s="1"/>
  <c r="T217" i="2"/>
  <c r="X331" i="2"/>
  <c r="Y331" i="2" s="1"/>
  <c r="T331" i="2"/>
  <c r="X63" i="2"/>
  <c r="Y63" i="2" s="1"/>
  <c r="T63" i="2"/>
  <c r="T86" i="2"/>
  <c r="X86" i="2"/>
  <c r="Y86" i="2" s="1"/>
  <c r="T192" i="2"/>
  <c r="X192" i="2"/>
  <c r="Y192" i="2" s="1"/>
  <c r="X97" i="2"/>
  <c r="Y97" i="2" s="1"/>
  <c r="T97" i="2"/>
  <c r="X179" i="2"/>
  <c r="Y179" i="2" s="1"/>
  <c r="T179" i="2"/>
  <c r="T324" i="2"/>
  <c r="X324" i="2"/>
  <c r="Y324" i="2" s="1"/>
  <c r="X185" i="2"/>
  <c r="Y185" i="2" s="1"/>
  <c r="T185" i="2"/>
  <c r="X259" i="2"/>
  <c r="Y259" i="2" s="1"/>
  <c r="T259" i="2"/>
  <c r="X351" i="2"/>
  <c r="Y351" i="2" s="1"/>
  <c r="T351" i="2"/>
  <c r="X75" i="2"/>
  <c r="Y75" i="2" s="1"/>
  <c r="T75" i="2"/>
  <c r="X104" i="2"/>
  <c r="Y104" i="2" s="1"/>
  <c r="T104" i="2"/>
  <c r="X114" i="2"/>
  <c r="Y114" i="2" s="1"/>
  <c r="T114" i="2"/>
  <c r="X36" i="2"/>
  <c r="Y36" i="2" s="1"/>
  <c r="T36" i="2"/>
  <c r="T19" i="2"/>
  <c r="X19" i="2"/>
  <c r="Y19" i="2" s="1"/>
  <c r="X48" i="2"/>
  <c r="Y48" i="2" s="1"/>
  <c r="T48" i="2"/>
  <c r="X266" i="2"/>
  <c r="Y266" i="2" s="1"/>
  <c r="T266" i="2"/>
  <c r="X58" i="2"/>
  <c r="Y58" i="2" s="1"/>
  <c r="T58" i="2"/>
  <c r="X149" i="2"/>
  <c r="Y149" i="2" s="1"/>
  <c r="T149" i="2"/>
  <c r="X78" i="2"/>
  <c r="Y78" i="2" s="1"/>
  <c r="T78" i="2"/>
  <c r="T46" i="2"/>
  <c r="X46" i="2"/>
  <c r="Y46" i="2" s="1"/>
  <c r="X163" i="2"/>
  <c r="Y163" i="2" s="1"/>
  <c r="T163" i="2"/>
  <c r="X263" i="2"/>
  <c r="Y263" i="2" s="1"/>
  <c r="T263" i="2"/>
  <c r="T13" i="2"/>
  <c r="X13" i="2"/>
  <c r="Y13" i="2" s="1"/>
  <c r="X147" i="2"/>
  <c r="Y147" i="2" s="1"/>
  <c r="T147" i="2"/>
  <c r="X297" i="2"/>
  <c r="Y297" i="2" s="1"/>
  <c r="T297" i="2"/>
  <c r="X257" i="2"/>
  <c r="Y257" i="2" s="1"/>
  <c r="T257" i="2"/>
  <c r="X310" i="2"/>
  <c r="Y310" i="2" s="1"/>
  <c r="T310" i="2"/>
  <c r="T168" i="2"/>
  <c r="X168" i="2"/>
  <c r="Y168" i="2" s="1"/>
  <c r="X55" i="2"/>
  <c r="Y55" i="2" s="1"/>
  <c r="T55" i="2"/>
  <c r="X73" i="2"/>
  <c r="Y73" i="2" s="1"/>
  <c r="T73" i="2"/>
  <c r="X333" i="2"/>
  <c r="Y333" i="2" s="1"/>
  <c r="T333" i="2"/>
  <c r="X93" i="2"/>
  <c r="Y93" i="2" s="1"/>
  <c r="T93" i="2"/>
  <c r="X343" i="2"/>
  <c r="Y343" i="2" s="1"/>
  <c r="T343" i="2"/>
  <c r="X247" i="2"/>
  <c r="Y247" i="2" s="1"/>
  <c r="T247" i="2"/>
  <c r="X329" i="2"/>
  <c r="Y329" i="2" s="1"/>
  <c r="T329" i="2"/>
  <c r="X85" i="2"/>
  <c r="Y85" i="2" s="1"/>
  <c r="T85" i="2"/>
  <c r="X238" i="2"/>
  <c r="Y238" i="2" s="1"/>
  <c r="T238" i="2"/>
  <c r="X144" i="2"/>
  <c r="Y144" i="2" s="1"/>
  <c r="T144" i="2"/>
  <c r="T9" i="2"/>
  <c r="X9" i="2"/>
  <c r="Y9" i="2" s="1"/>
  <c r="X120" i="2"/>
  <c r="Y120" i="2" s="1"/>
  <c r="T120" i="2"/>
  <c r="X240" i="2"/>
  <c r="Y240" i="2" s="1"/>
  <c r="T240" i="2"/>
  <c r="X111" i="2"/>
  <c r="Y111" i="2" s="1"/>
  <c r="T111" i="2"/>
  <c r="T116" i="2"/>
  <c r="X116" i="2"/>
  <c r="Y116" i="2" s="1"/>
  <c r="T37" i="2"/>
  <c r="X37" i="2"/>
  <c r="Y37" i="2" s="1"/>
  <c r="T52" i="2"/>
  <c r="X52" i="2"/>
  <c r="Y52" i="2" s="1"/>
  <c r="X291" i="2"/>
  <c r="Y291" i="2" s="1"/>
  <c r="T291" i="2"/>
  <c r="X215" i="2"/>
  <c r="Y215" i="2" s="1"/>
  <c r="T215" i="2"/>
  <c r="X190" i="2"/>
  <c r="Y190" i="2" s="1"/>
  <c r="T190" i="2"/>
  <c r="X28" i="2"/>
  <c r="Y28" i="2" s="1"/>
  <c r="T28" i="2"/>
  <c r="T132" i="2"/>
  <c r="X132" i="2"/>
  <c r="Y132" i="2" s="1"/>
  <c r="X245" i="2"/>
  <c r="Y245" i="2" s="1"/>
  <c r="T245" i="2"/>
  <c r="X341" i="2"/>
  <c r="Y341" i="2" s="1"/>
  <c r="T341" i="2"/>
  <c r="X206" i="2"/>
  <c r="Y206" i="2" s="1"/>
  <c r="T206" i="2"/>
  <c r="U322" i="2"/>
  <c r="V322" i="2"/>
  <c r="W322" i="2" s="1"/>
  <c r="T264" i="2"/>
  <c r="X264" i="2"/>
  <c r="Y264" i="2" s="1"/>
  <c r="X340" i="2"/>
  <c r="Y340" i="2" s="1"/>
  <c r="T340" i="2"/>
  <c r="X211" i="2"/>
  <c r="Y211" i="2" s="1"/>
  <c r="T211" i="2"/>
  <c r="X171" i="2"/>
  <c r="Y171" i="2" s="1"/>
  <c r="T171" i="2"/>
  <c r="U277" i="2" l="1"/>
  <c r="V277" i="2"/>
  <c r="W277" i="2" s="1"/>
  <c r="U67" i="2"/>
  <c r="V67" i="2"/>
  <c r="W67" i="2" s="1"/>
  <c r="U276" i="2"/>
  <c r="V276" i="2"/>
  <c r="W276" i="2" s="1"/>
  <c r="U22" i="2"/>
  <c r="V22" i="2"/>
  <c r="W22" i="2" s="1"/>
  <c r="U223" i="2"/>
  <c r="V223" i="2"/>
  <c r="W223" i="2" s="1"/>
  <c r="U43" i="2"/>
  <c r="V43" i="2"/>
  <c r="W43" i="2" s="1"/>
  <c r="U303" i="2"/>
  <c r="V303" i="2"/>
  <c r="W303" i="2" s="1"/>
  <c r="U10" i="2"/>
  <c r="V10" i="2"/>
  <c r="W10" i="2" s="1"/>
  <c r="U241" i="2"/>
  <c r="V241" i="2"/>
  <c r="W241" i="2" s="1"/>
  <c r="U288" i="2"/>
  <c r="V288" i="2"/>
  <c r="W288" i="2" s="1"/>
  <c r="U169" i="2"/>
  <c r="V169" i="2"/>
  <c r="W169" i="2" s="1"/>
  <c r="U51" i="2"/>
  <c r="V51" i="2"/>
  <c r="W51" i="2" s="1"/>
  <c r="U195" i="2"/>
  <c r="V195" i="2"/>
  <c r="W195" i="2" s="1"/>
  <c r="U180" i="2"/>
  <c r="V180" i="2"/>
  <c r="W180" i="2" s="1"/>
  <c r="U170" i="2"/>
  <c r="V170" i="2"/>
  <c r="W170" i="2" s="1"/>
  <c r="U213" i="2"/>
  <c r="V213" i="2"/>
  <c r="W213" i="2" s="1"/>
  <c r="U108" i="2"/>
  <c r="V108" i="2"/>
  <c r="W108" i="2" s="1"/>
  <c r="U307" i="2"/>
  <c r="V307" i="2"/>
  <c r="W307" i="2" s="1"/>
  <c r="U173" i="2"/>
  <c r="V173" i="2"/>
  <c r="W173" i="2" s="1"/>
  <c r="U47" i="2"/>
  <c r="V47" i="2"/>
  <c r="W47" i="2" s="1"/>
  <c r="U249" i="2"/>
  <c r="V249" i="2"/>
  <c r="W249" i="2" s="1"/>
  <c r="U107" i="2"/>
  <c r="V107" i="2"/>
  <c r="W107" i="2" s="1"/>
  <c r="U109" i="2"/>
  <c r="V109" i="2"/>
  <c r="W109" i="2" s="1"/>
  <c r="U57" i="2"/>
  <c r="V57" i="2"/>
  <c r="W57" i="2" s="1"/>
  <c r="U212" i="2"/>
  <c r="V212" i="2"/>
  <c r="W212" i="2" s="1"/>
  <c r="U264" i="2"/>
  <c r="V264" i="2"/>
  <c r="W264" i="2" s="1"/>
  <c r="U132" i="2"/>
  <c r="V132" i="2"/>
  <c r="W132" i="2" s="1"/>
  <c r="U52" i="2"/>
  <c r="V52" i="2"/>
  <c r="W52" i="2" s="1"/>
  <c r="U46" i="2"/>
  <c r="V46" i="2"/>
  <c r="W46" i="2" s="1"/>
  <c r="U304" i="2"/>
  <c r="V304" i="2"/>
  <c r="W304" i="2" s="1"/>
  <c r="U342" i="2"/>
  <c r="V342" i="2"/>
  <c r="W342" i="2" s="1"/>
  <c r="U242" i="2"/>
  <c r="V242" i="2"/>
  <c r="W242" i="2" s="1"/>
  <c r="U272" i="2"/>
  <c r="V272" i="2"/>
  <c r="W272" i="2" s="1"/>
  <c r="U122" i="2"/>
  <c r="V122" i="2"/>
  <c r="W122" i="2" s="1"/>
  <c r="U274" i="2"/>
  <c r="V274" i="2"/>
  <c r="W274" i="2" s="1"/>
  <c r="U56" i="2"/>
  <c r="V56" i="2"/>
  <c r="W56" i="2" s="1"/>
  <c r="U312" i="2"/>
  <c r="V312" i="2"/>
  <c r="W312" i="2" s="1"/>
  <c r="U204" i="2"/>
  <c r="V204" i="2"/>
  <c r="W204" i="2" s="1"/>
  <c r="U138" i="2"/>
  <c r="V138" i="2"/>
  <c r="W138" i="2" s="1"/>
  <c r="U82" i="2"/>
  <c r="V82" i="2"/>
  <c r="W82" i="2" s="1"/>
  <c r="U254" i="2"/>
  <c r="V254" i="2"/>
  <c r="W254" i="2" s="1"/>
  <c r="U80" i="2"/>
  <c r="V80" i="2"/>
  <c r="W80" i="2" s="1"/>
  <c r="U357" i="2"/>
  <c r="V357" i="2"/>
  <c r="W357" i="2" s="1"/>
  <c r="U91" i="2"/>
  <c r="V91" i="2"/>
  <c r="W91" i="2" s="1"/>
  <c r="U81" i="2"/>
  <c r="V81" i="2"/>
  <c r="W81" i="2" s="1"/>
  <c r="U219" i="2"/>
  <c r="V219" i="2"/>
  <c r="W219" i="2" s="1"/>
  <c r="U225" i="2"/>
  <c r="V225" i="2"/>
  <c r="W225" i="2" s="1"/>
  <c r="U220" i="2"/>
  <c r="V220" i="2"/>
  <c r="W220" i="2" s="1"/>
  <c r="U88" i="2"/>
  <c r="V88" i="2"/>
  <c r="W88" i="2" s="1"/>
  <c r="U105" i="2"/>
  <c r="V105" i="2"/>
  <c r="W105" i="2" s="1"/>
  <c r="U121" i="2"/>
  <c r="V121" i="2"/>
  <c r="W121" i="2" s="1"/>
  <c r="U289" i="2"/>
  <c r="V289" i="2"/>
  <c r="W289" i="2" s="1"/>
  <c r="U230" i="2"/>
  <c r="V230" i="2"/>
  <c r="W230" i="2" s="1"/>
  <c r="U161" i="2"/>
  <c r="V161" i="2"/>
  <c r="W161" i="2" s="1"/>
  <c r="U74" i="2"/>
  <c r="V74" i="2"/>
  <c r="W74" i="2" s="1"/>
  <c r="U73" i="2"/>
  <c r="V73" i="2"/>
  <c r="W73" i="2" s="1"/>
  <c r="U297" i="2"/>
  <c r="V297" i="2"/>
  <c r="W297" i="2" s="1"/>
  <c r="U48" i="2"/>
  <c r="V48" i="2"/>
  <c r="W48" i="2" s="1"/>
  <c r="U179" i="2"/>
  <c r="V179" i="2"/>
  <c r="W179" i="2" s="1"/>
  <c r="U39" i="2"/>
  <c r="V39" i="2"/>
  <c r="W39" i="2" s="1"/>
  <c r="U271" i="2"/>
  <c r="V271" i="2"/>
  <c r="W271" i="2" s="1"/>
  <c r="U327" i="2"/>
  <c r="V327" i="2"/>
  <c r="W327" i="2" s="1"/>
  <c r="U315" i="2"/>
  <c r="V315" i="2"/>
  <c r="W315" i="2" s="1"/>
  <c r="U61" i="2"/>
  <c r="V61" i="2"/>
  <c r="W61" i="2" s="1"/>
  <c r="U101" i="2"/>
  <c r="V101" i="2"/>
  <c r="W101" i="2" s="1"/>
  <c r="U134" i="2"/>
  <c r="V134" i="2"/>
  <c r="W134" i="2" s="1"/>
  <c r="U323" i="2"/>
  <c r="V323" i="2"/>
  <c r="W323" i="2" s="1"/>
  <c r="U64" i="2"/>
  <c r="V64" i="2"/>
  <c r="W64" i="2" s="1"/>
  <c r="U135" i="2"/>
  <c r="V135" i="2"/>
  <c r="W135" i="2" s="1"/>
  <c r="U350" i="2"/>
  <c r="V350" i="2"/>
  <c r="W350" i="2" s="1"/>
  <c r="U89" i="2"/>
  <c r="V89" i="2"/>
  <c r="W89" i="2" s="1"/>
  <c r="U44" i="2"/>
  <c r="V44" i="2"/>
  <c r="W44" i="2" s="1"/>
  <c r="U148" i="2"/>
  <c r="V148" i="2"/>
  <c r="W148" i="2" s="1"/>
  <c r="U66" i="2"/>
  <c r="V66" i="2"/>
  <c r="W66" i="2" s="1"/>
  <c r="U17" i="2"/>
  <c r="V17" i="2"/>
  <c r="W17" i="2" s="1"/>
  <c r="U11" i="2"/>
  <c r="V11" i="2"/>
  <c r="W11" i="2" s="1"/>
  <c r="U360" i="2"/>
  <c r="V360" i="2"/>
  <c r="W360" i="2" s="1"/>
  <c r="U21" i="2"/>
  <c r="V21" i="2"/>
  <c r="W21" i="2" s="1"/>
  <c r="U172" i="2"/>
  <c r="V172" i="2"/>
  <c r="W172" i="2" s="1"/>
  <c r="U27" i="2"/>
  <c r="V27" i="2"/>
  <c r="W27" i="2" s="1"/>
  <c r="U35" i="2"/>
  <c r="V35" i="2"/>
  <c r="W35" i="2" s="1"/>
  <c r="U250" i="2"/>
  <c r="V250" i="2"/>
  <c r="W250" i="2" s="1"/>
  <c r="U296" i="2"/>
  <c r="V296" i="2"/>
  <c r="W296" i="2" s="1"/>
  <c r="U18" i="2"/>
  <c r="V18" i="2"/>
  <c r="W18" i="2" s="1"/>
  <c r="U186" i="2"/>
  <c r="V186" i="2"/>
  <c r="W186" i="2" s="1"/>
  <c r="U191" i="2"/>
  <c r="V191" i="2"/>
  <c r="W191" i="2" s="1"/>
  <c r="U166" i="2"/>
  <c r="V166" i="2"/>
  <c r="W166" i="2" s="1"/>
  <c r="U119" i="2"/>
  <c r="V119" i="2"/>
  <c r="W119" i="2" s="1"/>
  <c r="U265" i="2"/>
  <c r="V265" i="2"/>
  <c r="W265" i="2" s="1"/>
  <c r="U253" i="2"/>
  <c r="V253" i="2"/>
  <c r="W253" i="2" s="1"/>
  <c r="U83" i="2"/>
  <c r="V83" i="2"/>
  <c r="W83" i="2" s="1"/>
  <c r="U160" i="2"/>
  <c r="V160" i="2"/>
  <c r="W160" i="2" s="1"/>
  <c r="U279" i="2"/>
  <c r="V279" i="2"/>
  <c r="W279" i="2" s="1"/>
  <c r="U216" i="2"/>
  <c r="V216" i="2"/>
  <c r="W216" i="2" s="1"/>
  <c r="U226" i="2"/>
  <c r="V226" i="2"/>
  <c r="W226" i="2" s="1"/>
  <c r="U176" i="2"/>
  <c r="V176" i="2"/>
  <c r="W176" i="2" s="1"/>
  <c r="U24" i="2"/>
  <c r="V24" i="2"/>
  <c r="W24" i="2" s="1"/>
  <c r="U84" i="2"/>
  <c r="V84" i="2"/>
  <c r="W84" i="2" s="1"/>
  <c r="U308" i="2"/>
  <c r="V308" i="2"/>
  <c r="W308" i="2" s="1"/>
  <c r="U165" i="2"/>
  <c r="V165" i="2"/>
  <c r="W165" i="2" s="1"/>
  <c r="U53" i="2"/>
  <c r="V53" i="2"/>
  <c r="W53" i="2" s="1"/>
  <c r="U125" i="2"/>
  <c r="V125" i="2"/>
  <c r="W125" i="2" s="1"/>
  <c r="U353" i="2"/>
  <c r="V353" i="2"/>
  <c r="W353" i="2" s="1"/>
  <c r="U214" i="2"/>
  <c r="V214" i="2"/>
  <c r="W214" i="2" s="1"/>
  <c r="U348" i="2"/>
  <c r="V348" i="2"/>
  <c r="W348" i="2" s="1"/>
  <c r="U143" i="2"/>
  <c r="V143" i="2"/>
  <c r="W143" i="2" s="1"/>
  <c r="U50" i="2"/>
  <c r="V50" i="2"/>
  <c r="W50" i="2" s="1"/>
  <c r="U209" i="2"/>
  <c r="V209" i="2"/>
  <c r="W209" i="2" s="1"/>
  <c r="U164" i="2"/>
  <c r="V164" i="2"/>
  <c r="W164" i="2" s="1"/>
  <c r="U150" i="2"/>
  <c r="V150" i="2"/>
  <c r="W150" i="2" s="1"/>
  <c r="U233" i="2"/>
  <c r="V233" i="2"/>
  <c r="W233" i="2" s="1"/>
  <c r="U293" i="2"/>
  <c r="V293" i="2"/>
  <c r="W293" i="2" s="1"/>
  <c r="U77" i="2"/>
  <c r="V77" i="2"/>
  <c r="W77" i="2" s="1"/>
  <c r="U309" i="2"/>
  <c r="V309" i="2"/>
  <c r="W309" i="2" s="1"/>
  <c r="U295" i="2"/>
  <c r="V295" i="2"/>
  <c r="W295" i="2" s="1"/>
  <c r="U28" i="2"/>
  <c r="V28" i="2"/>
  <c r="W28" i="2" s="1"/>
  <c r="U147" i="2"/>
  <c r="V147" i="2"/>
  <c r="W147" i="2" s="1"/>
  <c r="U217" i="2"/>
  <c r="V217" i="2"/>
  <c r="W217" i="2" s="1"/>
  <c r="U60" i="2"/>
  <c r="V60" i="2"/>
  <c r="W60" i="2" s="1"/>
  <c r="U95" i="2"/>
  <c r="V95" i="2"/>
  <c r="W95" i="2" s="1"/>
  <c r="U320" i="2"/>
  <c r="V320" i="2"/>
  <c r="W320" i="2" s="1"/>
  <c r="U131" i="2"/>
  <c r="V131" i="2"/>
  <c r="W131" i="2" s="1"/>
  <c r="U337" i="2"/>
  <c r="V337" i="2"/>
  <c r="W337" i="2" s="1"/>
  <c r="U349" i="2"/>
  <c r="V349" i="2"/>
  <c r="W349" i="2" s="1"/>
  <c r="U54" i="2"/>
  <c r="V54" i="2"/>
  <c r="W54" i="2" s="1"/>
  <c r="U37" i="2"/>
  <c r="V37" i="2"/>
  <c r="W37" i="2" s="1"/>
  <c r="U259" i="2"/>
  <c r="V259" i="2"/>
  <c r="W259" i="2" s="1"/>
  <c r="U311" i="2"/>
  <c r="V311" i="2"/>
  <c r="W311" i="2" s="1"/>
  <c r="U23" i="2"/>
  <c r="V23" i="2"/>
  <c r="W23" i="2" s="1"/>
  <c r="U96" i="2"/>
  <c r="V96" i="2"/>
  <c r="W96" i="2" s="1"/>
  <c r="U15" i="2"/>
  <c r="V15" i="2"/>
  <c r="W15" i="2" s="1"/>
  <c r="U314" i="2"/>
  <c r="V314" i="2"/>
  <c r="W314" i="2" s="1"/>
  <c r="U62" i="2"/>
  <c r="V62" i="2"/>
  <c r="W62" i="2" s="1"/>
  <c r="U354" i="2"/>
  <c r="V354" i="2"/>
  <c r="W354" i="2" s="1"/>
  <c r="U252" i="2"/>
  <c r="V252" i="2"/>
  <c r="W252" i="2" s="1"/>
  <c r="U352" i="2"/>
  <c r="V352" i="2"/>
  <c r="W352" i="2" s="1"/>
  <c r="U222" i="2"/>
  <c r="V222" i="2"/>
  <c r="W222" i="2" s="1"/>
  <c r="U152" i="2"/>
  <c r="V152" i="2"/>
  <c r="W152" i="2" s="1"/>
  <c r="U210" i="2"/>
  <c r="V210" i="2"/>
  <c r="W210" i="2" s="1"/>
  <c r="U332" i="2"/>
  <c r="V332" i="2"/>
  <c r="W332" i="2" s="1"/>
  <c r="U262" i="2"/>
  <c r="V262" i="2"/>
  <c r="W262" i="2" s="1"/>
  <c r="U355" i="2"/>
  <c r="V355" i="2"/>
  <c r="W355" i="2" s="1"/>
  <c r="U292" i="2"/>
  <c r="V292" i="2"/>
  <c r="W292" i="2" s="1"/>
  <c r="U282" i="2"/>
  <c r="V282" i="2"/>
  <c r="W282" i="2" s="1"/>
  <c r="U90" i="2"/>
  <c r="V90" i="2"/>
  <c r="W90" i="2" s="1"/>
  <c r="U45" i="2"/>
  <c r="V45" i="2"/>
  <c r="W45" i="2" s="1"/>
  <c r="U359" i="2"/>
  <c r="V359" i="2"/>
  <c r="W359" i="2" s="1"/>
  <c r="U145" i="2"/>
  <c r="V145" i="2"/>
  <c r="W145" i="2" s="1"/>
  <c r="U305" i="2"/>
  <c r="V305" i="2"/>
  <c r="W305" i="2" s="1"/>
  <c r="U199" i="2"/>
  <c r="V199" i="2"/>
  <c r="W199" i="2" s="1"/>
  <c r="U184" i="2"/>
  <c r="V184" i="2"/>
  <c r="W184" i="2" s="1"/>
  <c r="U193" i="2"/>
  <c r="V193" i="2"/>
  <c r="W193" i="2" s="1"/>
  <c r="U34" i="2"/>
  <c r="V34" i="2"/>
  <c r="W34" i="2" s="1"/>
  <c r="U137" i="2"/>
  <c r="V137" i="2"/>
  <c r="W137" i="2" s="1"/>
  <c r="U146" i="2"/>
  <c r="V146" i="2"/>
  <c r="W146" i="2" s="1"/>
  <c r="U98" i="2"/>
  <c r="V98" i="2"/>
  <c r="W98" i="2" s="1"/>
  <c r="U205" i="2"/>
  <c r="V205" i="2"/>
  <c r="W205" i="2" s="1"/>
  <c r="U208" i="2"/>
  <c r="V208" i="2"/>
  <c r="W208" i="2" s="1"/>
  <c r="U256" i="2"/>
  <c r="V256" i="2"/>
  <c r="W256" i="2" s="1"/>
  <c r="U157" i="2"/>
  <c r="V157" i="2"/>
  <c r="W157" i="2" s="1"/>
  <c r="U237" i="2"/>
  <c r="V237" i="2"/>
  <c r="W237" i="2" s="1"/>
  <c r="U318" i="2"/>
  <c r="V318" i="2"/>
  <c r="W318" i="2" s="1"/>
  <c r="U278" i="2"/>
  <c r="V278" i="2"/>
  <c r="W278" i="2" s="1"/>
  <c r="U306" i="2"/>
  <c r="V306" i="2"/>
  <c r="W306" i="2" s="1"/>
  <c r="U183" i="2"/>
  <c r="V183" i="2"/>
  <c r="W183" i="2" s="1"/>
  <c r="U12" i="2"/>
  <c r="V12" i="2"/>
  <c r="W12" i="2" s="1"/>
  <c r="U120" i="2"/>
  <c r="V120" i="2"/>
  <c r="W120" i="2" s="1"/>
  <c r="U75" i="2"/>
  <c r="V75" i="2"/>
  <c r="W75" i="2" s="1"/>
  <c r="U331" i="2"/>
  <c r="V331" i="2"/>
  <c r="W331" i="2" s="1"/>
  <c r="U328" i="2"/>
  <c r="V328" i="2"/>
  <c r="W328" i="2" s="1"/>
  <c r="U141" i="2"/>
  <c r="V141" i="2"/>
  <c r="W141" i="2" s="1"/>
  <c r="U20" i="2"/>
  <c r="V20" i="2"/>
  <c r="W20" i="2" s="1"/>
  <c r="U153" i="2"/>
  <c r="V153" i="2"/>
  <c r="W153" i="2" s="1"/>
  <c r="U251" i="2"/>
  <c r="V251" i="2"/>
  <c r="W251" i="2" s="1"/>
  <c r="U247" i="2"/>
  <c r="V247" i="2"/>
  <c r="W247" i="2" s="1"/>
  <c r="U351" i="2"/>
  <c r="V351" i="2"/>
  <c r="W351" i="2" s="1"/>
  <c r="U65" i="2"/>
  <c r="V65" i="2"/>
  <c r="W65" i="2" s="1"/>
  <c r="U194" i="2"/>
  <c r="V194" i="2"/>
  <c r="W194" i="2" s="1"/>
  <c r="U313" i="2"/>
  <c r="V313" i="2"/>
  <c r="W313" i="2" s="1"/>
  <c r="U200" i="2"/>
  <c r="V200" i="2"/>
  <c r="W200" i="2" s="1"/>
  <c r="U221" i="2"/>
  <c r="V221" i="2"/>
  <c r="W221" i="2" s="1"/>
  <c r="U167" i="2"/>
  <c r="V167" i="2"/>
  <c r="W167" i="2" s="1"/>
  <c r="U71" i="2"/>
  <c r="V71" i="2"/>
  <c r="W71" i="2" s="1"/>
  <c r="U294" i="2"/>
  <c r="V294" i="2"/>
  <c r="W294" i="2" s="1"/>
  <c r="U112" i="2"/>
  <c r="V112" i="2"/>
  <c r="W112" i="2" s="1"/>
  <c r="U136" i="2"/>
  <c r="V136" i="2"/>
  <c r="W136" i="2" s="1"/>
  <c r="U284" i="2"/>
  <c r="V284" i="2"/>
  <c r="W284" i="2" s="1"/>
  <c r="U55" i="2"/>
  <c r="V55" i="2"/>
  <c r="W55" i="2" s="1"/>
  <c r="U78" i="2"/>
  <c r="V78" i="2"/>
  <c r="W78" i="2" s="1"/>
  <c r="U97" i="2"/>
  <c r="V97" i="2"/>
  <c r="W97" i="2" s="1"/>
  <c r="U123" i="2"/>
  <c r="V123" i="2"/>
  <c r="W123" i="2" s="1"/>
  <c r="U38" i="2"/>
  <c r="V38" i="2"/>
  <c r="W38" i="2" s="1"/>
  <c r="U287" i="2"/>
  <c r="V287" i="2"/>
  <c r="W287" i="2" s="1"/>
  <c r="U201" i="2"/>
  <c r="V201" i="2"/>
  <c r="W201" i="2" s="1"/>
  <c r="U321" i="2"/>
  <c r="V321" i="2"/>
  <c r="W321" i="2" s="1"/>
  <c r="U246" i="2"/>
  <c r="V246" i="2"/>
  <c r="W246" i="2" s="1"/>
  <c r="U133" i="2"/>
  <c r="V133" i="2"/>
  <c r="W133" i="2" s="1"/>
  <c r="U345" i="2"/>
  <c r="V345" i="2"/>
  <c r="W345" i="2" s="1"/>
  <c r="U235" i="2"/>
  <c r="V235" i="2"/>
  <c r="W235" i="2" s="1"/>
  <c r="U70" i="2"/>
  <c r="V70" i="2"/>
  <c r="W70" i="2" s="1"/>
  <c r="U154" i="2"/>
  <c r="V154" i="2"/>
  <c r="W154" i="2" s="1"/>
  <c r="U113" i="2"/>
  <c r="V113" i="2"/>
  <c r="W113" i="2" s="1"/>
  <c r="U115" i="2"/>
  <c r="V115" i="2"/>
  <c r="W115" i="2" s="1"/>
  <c r="U175" i="2"/>
  <c r="V175" i="2"/>
  <c r="W175" i="2" s="1"/>
  <c r="U347" i="2"/>
  <c r="V347" i="2"/>
  <c r="W347" i="2" s="1"/>
  <c r="U273" i="2"/>
  <c r="V273" i="2"/>
  <c r="W273" i="2" s="1"/>
  <c r="U248" i="2"/>
  <c r="V248" i="2"/>
  <c r="W248" i="2" s="1"/>
  <c r="U9" i="2"/>
  <c r="V9" i="2"/>
  <c r="W9" i="2" s="1"/>
  <c r="U19" i="2"/>
  <c r="V19" i="2"/>
  <c r="W19" i="2" s="1"/>
  <c r="U171" i="2"/>
  <c r="V171" i="2"/>
  <c r="W171" i="2" s="1"/>
  <c r="U206" i="2"/>
  <c r="V206" i="2"/>
  <c r="W206" i="2" s="1"/>
  <c r="U190" i="2"/>
  <c r="V190" i="2"/>
  <c r="W190" i="2" s="1"/>
  <c r="U144" i="2"/>
  <c r="V144" i="2"/>
  <c r="W144" i="2" s="1"/>
  <c r="U343" i="2"/>
  <c r="V343" i="2"/>
  <c r="W343" i="2" s="1"/>
  <c r="U149" i="2"/>
  <c r="V149" i="2"/>
  <c r="W149" i="2" s="1"/>
  <c r="U36" i="2"/>
  <c r="V36" i="2"/>
  <c r="W36" i="2" s="1"/>
  <c r="U110" i="2"/>
  <c r="V110" i="2"/>
  <c r="W110" i="2" s="1"/>
  <c r="U298" i="2"/>
  <c r="V298" i="2"/>
  <c r="W298" i="2" s="1"/>
  <c r="U299" i="2"/>
  <c r="V299" i="2"/>
  <c r="W299" i="2" s="1"/>
  <c r="U139" i="2"/>
  <c r="V139" i="2"/>
  <c r="W139" i="2" s="1"/>
  <c r="U94" i="2"/>
  <c r="V94" i="2"/>
  <c r="W94" i="2" s="1"/>
  <c r="U116" i="2"/>
  <c r="V116" i="2"/>
  <c r="W116" i="2" s="1"/>
  <c r="U168" i="2"/>
  <c r="V168" i="2"/>
  <c r="W168" i="2" s="1"/>
  <c r="U13" i="2"/>
  <c r="V13" i="2"/>
  <c r="W13" i="2" s="1"/>
  <c r="U192" i="2"/>
  <c r="V192" i="2"/>
  <c r="W192" i="2" s="1"/>
  <c r="U211" i="2"/>
  <c r="V211" i="2"/>
  <c r="W211" i="2" s="1"/>
  <c r="U341" i="2"/>
  <c r="V341" i="2"/>
  <c r="W341" i="2" s="1"/>
  <c r="U215" i="2"/>
  <c r="V215" i="2"/>
  <c r="W215" i="2" s="1"/>
  <c r="U111" i="2"/>
  <c r="V111" i="2"/>
  <c r="W111" i="2" s="1"/>
  <c r="U238" i="2"/>
  <c r="V238" i="2"/>
  <c r="W238" i="2" s="1"/>
  <c r="U93" i="2"/>
  <c r="V93" i="2"/>
  <c r="W93" i="2" s="1"/>
  <c r="U310" i="2"/>
  <c r="V310" i="2"/>
  <c r="W310" i="2" s="1"/>
  <c r="U263" i="2"/>
  <c r="V263" i="2"/>
  <c r="W263" i="2" s="1"/>
  <c r="U58" i="2"/>
  <c r="V58" i="2"/>
  <c r="W58" i="2" s="1"/>
  <c r="U114" i="2"/>
  <c r="V114" i="2"/>
  <c r="W114" i="2" s="1"/>
  <c r="U185" i="2"/>
  <c r="V185" i="2"/>
  <c r="W185" i="2" s="1"/>
  <c r="U231" i="2"/>
  <c r="V231" i="2"/>
  <c r="W231" i="2" s="1"/>
  <c r="U197" i="2"/>
  <c r="V197" i="2"/>
  <c r="W197" i="2" s="1"/>
  <c r="U127" i="2"/>
  <c r="V127" i="2"/>
  <c r="W127" i="2" s="1"/>
  <c r="U227" i="2"/>
  <c r="V227" i="2"/>
  <c r="W227" i="2" s="1"/>
  <c r="U280" i="2"/>
  <c r="V280" i="2"/>
  <c r="W280" i="2" s="1"/>
  <c r="U159" i="2"/>
  <c r="V159" i="2"/>
  <c r="W159" i="2" s="1"/>
  <c r="U59" i="2"/>
  <c r="V59" i="2"/>
  <c r="W59" i="2" s="1"/>
  <c r="U124" i="2"/>
  <c r="V124" i="2"/>
  <c r="W124" i="2" s="1"/>
  <c r="U207" i="2"/>
  <c r="V207" i="2"/>
  <c r="W207" i="2" s="1"/>
  <c r="U8" i="2"/>
  <c r="V8" i="2"/>
  <c r="W8" i="2" s="1"/>
  <c r="U283" i="2"/>
  <c r="V283" i="2"/>
  <c r="W283" i="2" s="1"/>
  <c r="U316" i="2"/>
  <c r="V316" i="2"/>
  <c r="W316" i="2" s="1"/>
  <c r="U338" i="2"/>
  <c r="V338" i="2"/>
  <c r="W338" i="2" s="1"/>
  <c r="U41" i="2"/>
  <c r="V41" i="2"/>
  <c r="W41" i="2" s="1"/>
  <c r="U49" i="2"/>
  <c r="V49" i="2"/>
  <c r="W49" i="2" s="1"/>
  <c r="U181" i="2"/>
  <c r="V181" i="2"/>
  <c r="W181" i="2" s="1"/>
  <c r="U356" i="2"/>
  <c r="V356" i="2"/>
  <c r="W356" i="2" s="1"/>
  <c r="U174" i="2"/>
  <c r="V174" i="2"/>
  <c r="W174" i="2" s="1"/>
  <c r="U99" i="2"/>
  <c r="V99" i="2"/>
  <c r="W99" i="2" s="1"/>
  <c r="U151" i="2"/>
  <c r="V151" i="2"/>
  <c r="W151" i="2" s="1"/>
  <c r="U86" i="2"/>
  <c r="V86" i="2"/>
  <c r="W86" i="2" s="1"/>
  <c r="U178" i="2"/>
  <c r="V178" i="2"/>
  <c r="W178" i="2" s="1"/>
  <c r="U224" i="2"/>
  <c r="V224" i="2"/>
  <c r="W224" i="2" s="1"/>
  <c r="U142" i="2"/>
  <c r="V142" i="2"/>
  <c r="W142" i="2" s="1"/>
  <c r="U128" i="2"/>
  <c r="V128" i="2"/>
  <c r="W128" i="2" s="1"/>
  <c r="U162" i="2"/>
  <c r="V162" i="2"/>
  <c r="W162" i="2" s="1"/>
  <c r="U244" i="2"/>
  <c r="V244" i="2"/>
  <c r="W244" i="2" s="1"/>
  <c r="U291" i="2"/>
  <c r="V291" i="2"/>
  <c r="W291" i="2" s="1"/>
  <c r="U266" i="2"/>
  <c r="V266" i="2"/>
  <c r="W266" i="2" s="1"/>
  <c r="U140" i="2"/>
  <c r="V140" i="2"/>
  <c r="W140" i="2" s="1"/>
  <c r="U239" i="2"/>
  <c r="V239" i="2"/>
  <c r="W239" i="2" s="1"/>
  <c r="U330" i="2"/>
  <c r="V330" i="2"/>
  <c r="W330" i="2" s="1"/>
  <c r="U275" i="2"/>
  <c r="V275" i="2"/>
  <c r="W275" i="2" s="1"/>
  <c r="U269" i="2"/>
  <c r="V269" i="2"/>
  <c r="W269" i="2" s="1"/>
  <c r="U228" i="2"/>
  <c r="V228" i="2"/>
  <c r="W228" i="2" s="1"/>
  <c r="U69" i="2"/>
  <c r="V69" i="2"/>
  <c r="W69" i="2" s="1"/>
  <c r="U156" i="2"/>
  <c r="V156" i="2"/>
  <c r="W156" i="2" s="1"/>
  <c r="U268" i="2"/>
  <c r="V268" i="2"/>
  <c r="W268" i="2" s="1"/>
  <c r="U336" i="2"/>
  <c r="V336" i="2"/>
  <c r="W336" i="2" s="1"/>
  <c r="U16" i="2"/>
  <c r="V16" i="2"/>
  <c r="W16" i="2" s="1"/>
  <c r="U236" i="2"/>
  <c r="V236" i="2"/>
  <c r="W236" i="2" s="1"/>
  <c r="U335" i="2"/>
  <c r="V335" i="2"/>
  <c r="W335" i="2" s="1"/>
  <c r="U325" i="2"/>
  <c r="V325" i="2"/>
  <c r="W325" i="2" s="1"/>
  <c r="U339" i="2"/>
  <c r="V339" i="2"/>
  <c r="W339" i="2" s="1"/>
  <c r="U317" i="2"/>
  <c r="V317" i="2"/>
  <c r="W317" i="2" s="1"/>
  <c r="U243" i="2"/>
  <c r="V243" i="2"/>
  <c r="W243" i="2" s="1"/>
  <c r="U326" i="2"/>
  <c r="V326" i="2"/>
  <c r="W326" i="2" s="1"/>
  <c r="U130" i="2"/>
  <c r="V130" i="2"/>
  <c r="W130" i="2" s="1"/>
  <c r="U118" i="2"/>
  <c r="V118" i="2"/>
  <c r="W118" i="2" s="1"/>
  <c r="U100" i="2"/>
  <c r="V100" i="2"/>
  <c r="W100" i="2" s="1"/>
  <c r="U189" i="2"/>
  <c r="V189" i="2"/>
  <c r="W189" i="2" s="1"/>
  <c r="U177" i="2"/>
  <c r="V177" i="2"/>
  <c r="W177" i="2" s="1"/>
  <c r="U319" i="2"/>
  <c r="V319" i="2"/>
  <c r="W319" i="2" s="1"/>
  <c r="U300" i="2"/>
  <c r="V300" i="2"/>
  <c r="W300" i="2" s="1"/>
  <c r="U218" i="2"/>
  <c r="V218" i="2"/>
  <c r="W218" i="2" s="1"/>
  <c r="U68" i="2"/>
  <c r="V68" i="2"/>
  <c r="W68" i="2" s="1"/>
  <c r="U229" i="2"/>
  <c r="V229" i="2"/>
  <c r="W229" i="2" s="1"/>
  <c r="U290" i="2"/>
  <c r="V290" i="2"/>
  <c r="W290" i="2" s="1"/>
  <c r="U202" i="2"/>
  <c r="V202" i="2"/>
  <c r="W202" i="2" s="1"/>
  <c r="U267" i="2"/>
  <c r="V267" i="2"/>
  <c r="W267" i="2" s="1"/>
  <c r="U255" i="2"/>
  <c r="V255" i="2"/>
  <c r="W255" i="2" s="1"/>
  <c r="U26" i="2"/>
  <c r="V26" i="2"/>
  <c r="W26" i="2" s="1"/>
  <c r="U346" i="2"/>
  <c r="V346" i="2"/>
  <c r="W346" i="2" s="1"/>
  <c r="U103" i="2"/>
  <c r="V103" i="2"/>
  <c r="W103" i="2" s="1"/>
  <c r="U260" i="2"/>
  <c r="V260" i="2"/>
  <c r="W260" i="2" s="1"/>
  <c r="U79" i="2"/>
  <c r="V79" i="2"/>
  <c r="W79" i="2" s="1"/>
  <c r="U87" i="2"/>
  <c r="V87" i="2"/>
  <c r="W87" i="2" s="1"/>
  <c r="U117" i="2"/>
  <c r="V117" i="2"/>
  <c r="W117" i="2" s="1"/>
  <c r="U40" i="2"/>
  <c r="V40" i="2"/>
  <c r="W40" i="2" s="1"/>
  <c r="U187" i="2"/>
  <c r="V187" i="2"/>
  <c r="W187" i="2" s="1"/>
  <c r="U258" i="2"/>
  <c r="V258" i="2"/>
  <c r="W258" i="2" s="1"/>
  <c r="U285" i="2"/>
  <c r="V285" i="2"/>
  <c r="W285" i="2" s="1"/>
  <c r="U261" i="2"/>
  <c r="V261" i="2"/>
  <c r="W261" i="2" s="1"/>
  <c r="U329" i="2"/>
  <c r="V329" i="2"/>
  <c r="W329" i="2" s="1"/>
  <c r="U25" i="2"/>
  <c r="V25" i="2"/>
  <c r="W25" i="2" s="1"/>
  <c r="U29" i="2"/>
  <c r="V29" i="2"/>
  <c r="W29" i="2" s="1"/>
  <c r="Y362" i="2"/>
  <c r="B11" i="4" s="1"/>
  <c r="U126" i="2"/>
  <c r="V126" i="2"/>
  <c r="W126" i="2" s="1"/>
  <c r="U106" i="2"/>
  <c r="V106" i="2"/>
  <c r="W106" i="2" s="1"/>
  <c r="U344" i="2"/>
  <c r="V344" i="2"/>
  <c r="W344" i="2" s="1"/>
  <c r="U340" i="2"/>
  <c r="V340" i="2"/>
  <c r="W340" i="2" s="1"/>
  <c r="U245" i="2"/>
  <c r="V245" i="2"/>
  <c r="W245" i="2" s="1"/>
  <c r="U240" i="2"/>
  <c r="V240" i="2"/>
  <c r="W240" i="2" s="1"/>
  <c r="U85" i="2"/>
  <c r="V85" i="2"/>
  <c r="W85" i="2" s="1"/>
  <c r="U333" i="2"/>
  <c r="V333" i="2"/>
  <c r="W333" i="2" s="1"/>
  <c r="U257" i="2"/>
  <c r="V257" i="2"/>
  <c r="W257" i="2" s="1"/>
  <c r="U163" i="2"/>
  <c r="V163" i="2"/>
  <c r="W163" i="2" s="1"/>
  <c r="U104" i="2"/>
  <c r="V104" i="2"/>
  <c r="W104" i="2" s="1"/>
  <c r="U63" i="2"/>
  <c r="V63" i="2"/>
  <c r="W63" i="2" s="1"/>
  <c r="U286" i="2"/>
  <c r="V286" i="2"/>
  <c r="W286" i="2" s="1"/>
  <c r="U324" i="2"/>
  <c r="V324" i="2"/>
  <c r="W324" i="2" s="1"/>
  <c r="U198" i="2"/>
  <c r="V198" i="2"/>
  <c r="W198" i="2" s="1"/>
  <c r="U302" i="2"/>
  <c r="V302" i="2"/>
  <c r="W302" i="2" s="1"/>
  <c r="U92" i="2"/>
  <c r="V92" i="2"/>
  <c r="W92" i="2" s="1"/>
  <c r="U102" i="2"/>
  <c r="V102" i="2"/>
  <c r="W102" i="2" s="1"/>
  <c r="U232" i="2"/>
  <c r="V232" i="2"/>
  <c r="W232" i="2" s="1"/>
  <c r="U234" i="2"/>
  <c r="V234" i="2"/>
  <c r="W234" i="2" s="1"/>
  <c r="U72" i="2"/>
  <c r="V72" i="2"/>
  <c r="W72" i="2" s="1"/>
  <c r="U188" i="2"/>
  <c r="V188" i="2"/>
  <c r="W188" i="2" s="1"/>
  <c r="U182" i="2"/>
  <c r="V182" i="2"/>
  <c r="W182" i="2" s="1"/>
  <c r="U31" i="2"/>
  <c r="V31" i="2"/>
  <c r="W31" i="2" s="1"/>
  <c r="U33" i="2"/>
  <c r="V33" i="2"/>
  <c r="W33" i="2" s="1"/>
  <c r="U334" i="2"/>
  <c r="V334" i="2"/>
  <c r="W334" i="2" s="1"/>
  <c r="U158" i="2"/>
  <c r="V158" i="2"/>
  <c r="W158" i="2" s="1"/>
  <c r="B16" i="4" l="1"/>
  <c r="B15" i="4"/>
  <c r="B14" i="4"/>
  <c r="B13" i="4"/>
</calcChain>
</file>

<file path=xl/sharedStrings.xml><?xml version="1.0" encoding="utf-8"?>
<sst xmlns="http://schemas.openxmlformats.org/spreadsheetml/2006/main" count="223" uniqueCount="205">
  <si>
    <t>U.S. Treasury Quotes</t>
  </si>
  <si>
    <t>Friday, September 04, 2026</t>
  </si>
  <si>
    <t>Treasury Notes &amp; Bonds (Wall Street Journal, source Tullett Prebon)</t>
  </si>
  <si>
    <t>Bid/Asked are in 32nds; the third decimal is eighths of a 32nd (e.g. 99.256 = 99 + 25 6/8 32nds).</t>
  </si>
  <si>
    <t>Maturity</t>
  </si>
  <si>
    <t>Coupon</t>
  </si>
  <si>
    <t>Bid</t>
  </si>
  <si>
    <t>Asked</t>
  </si>
  <si>
    <t>Chg</t>
  </si>
  <si>
    <t>Asked yield</t>
  </si>
  <si>
    <t>unch.</t>
  </si>
  <si>
    <t>Bond-by-bond calculations</t>
  </si>
  <si>
    <t>Quote date</t>
  </si>
  <si>
    <t>Settlement date (T+1 business day)</t>
  </si>
  <si>
    <t>Market holiday (Labor Day)</t>
  </si>
  <si>
    <t>Exclude bonds with less than this many years to maturity from the fit</t>
  </si>
  <si>
    <t>Coupon (%)</t>
  </si>
  <si>
    <t>Bid (32nds)</t>
  </si>
  <si>
    <t>Asked (32nds)</t>
  </si>
  <si>
    <t>WSJ asked yield (%)</t>
  </si>
  <si>
    <t>Asked price (decimal)</t>
  </si>
  <si>
    <t>Previous coupon</t>
  </si>
  <si>
    <t>Next coupon</t>
  </si>
  <si>
    <t>Days accrued</t>
  </si>
  <si>
    <t>Days in period</t>
  </si>
  <si>
    <t>Accrued interest</t>
  </si>
  <si>
    <t>Dirty price</t>
  </si>
  <si>
    <t>YTM (%) from YIELD()</t>
  </si>
  <si>
    <t>YTM - WSJ (bp)</t>
  </si>
  <si>
    <t>Modified duration</t>
  </si>
  <si>
    <t>Coupons left</t>
  </si>
  <si>
    <t>Years to maturity</t>
  </si>
  <si>
    <t>Use in fit (1/0)</t>
  </si>
  <si>
    <t>Model dirty price</t>
  </si>
  <si>
    <t>Model clean price</t>
  </si>
  <si>
    <t>Price error</t>
  </si>
  <si>
    <t>Model YTM (%)</t>
  </si>
  <si>
    <t>Yield error (bp)</t>
  </si>
  <si>
    <t>Approx. yield error = price error / (dirty x duration)</t>
  </si>
  <si>
    <t>Squared, if used</t>
  </si>
  <si>
    <t>Sum of squares (objective):</t>
  </si>
  <si>
    <t>Remaining cash flows of each bond and their present values off the Svensson curve</t>
  </si>
  <si>
    <t>Coupon k (k = 1..N) falls 6(k-1) months after the next coupon date; month-end bonds stay on month-ends. PV = (coupon/2 + 100 at maturity) x exp(-r(t) t), with t = (date - settlement)/365 and r(t) the Svensson zero rate using the parameters on the Curve sheet. Row sums feed Bonds!S (model dirty price).</t>
  </si>
  <si>
    <t>Payment dates</t>
  </si>
  <si>
    <t>Present values (per 100 face)</t>
  </si>
  <si>
    <t>Coupons left (N)</t>
  </si>
  <si>
    <t>Month-end? (1/0)</t>
  </si>
  <si>
    <t>Date 1</t>
  </si>
  <si>
    <t>Date 2</t>
  </si>
  <si>
    <t>Date 3</t>
  </si>
  <si>
    <t>Date 4</t>
  </si>
  <si>
    <t>Date 5</t>
  </si>
  <si>
    <t>Date 6</t>
  </si>
  <si>
    <t>Date 7</t>
  </si>
  <si>
    <t>Date 8</t>
  </si>
  <si>
    <t>Date 9</t>
  </si>
  <si>
    <t>Date 10</t>
  </si>
  <si>
    <t>Date 11</t>
  </si>
  <si>
    <t>Date 12</t>
  </si>
  <si>
    <t>Date 13</t>
  </si>
  <si>
    <t>Date 14</t>
  </si>
  <si>
    <t>Date 15</t>
  </si>
  <si>
    <t>Date 16</t>
  </si>
  <si>
    <t>Date 17</t>
  </si>
  <si>
    <t>Date 18</t>
  </si>
  <si>
    <t>Date 19</t>
  </si>
  <si>
    <t>Date 20</t>
  </si>
  <si>
    <t>Date 21</t>
  </si>
  <si>
    <t>Date 22</t>
  </si>
  <si>
    <t>Date 23</t>
  </si>
  <si>
    <t>Date 24</t>
  </si>
  <si>
    <t>Date 25</t>
  </si>
  <si>
    <t>Date 26</t>
  </si>
  <si>
    <t>Date 27</t>
  </si>
  <si>
    <t>Date 28</t>
  </si>
  <si>
    <t>Date 29</t>
  </si>
  <si>
    <t>Date 30</t>
  </si>
  <si>
    <t>Date 31</t>
  </si>
  <si>
    <t>Date 32</t>
  </si>
  <si>
    <t>Date 33</t>
  </si>
  <si>
    <t>Date 34</t>
  </si>
  <si>
    <t>Date 35</t>
  </si>
  <si>
    <t>Date 36</t>
  </si>
  <si>
    <t>Date 37</t>
  </si>
  <si>
    <t>Date 38</t>
  </si>
  <si>
    <t>Date 39</t>
  </si>
  <si>
    <t>Date 40</t>
  </si>
  <si>
    <t>Date 41</t>
  </si>
  <si>
    <t>Date 42</t>
  </si>
  <si>
    <t>Date 43</t>
  </si>
  <si>
    <t>Date 44</t>
  </si>
  <si>
    <t>Date 45</t>
  </si>
  <si>
    <t>Date 46</t>
  </si>
  <si>
    <t>Date 47</t>
  </si>
  <si>
    <t>Date 48</t>
  </si>
  <si>
    <t>Date 49</t>
  </si>
  <si>
    <t>Date 50</t>
  </si>
  <si>
    <t>Date 51</t>
  </si>
  <si>
    <t>Date 52</t>
  </si>
  <si>
    <t>Date 53</t>
  </si>
  <si>
    <t>Date 54</t>
  </si>
  <si>
    <t>Date 55</t>
  </si>
  <si>
    <t>Date 56</t>
  </si>
  <si>
    <t>Date 57</t>
  </si>
  <si>
    <t>Date 58</t>
  </si>
  <si>
    <t>Date 59</t>
  </si>
  <si>
    <t>Date 60</t>
  </si>
  <si>
    <t>PV 1</t>
  </si>
  <si>
    <t>PV 2</t>
  </si>
  <si>
    <t>PV 3</t>
  </si>
  <si>
    <t>PV 4</t>
  </si>
  <si>
    <t>PV 5</t>
  </si>
  <si>
    <t>PV 6</t>
  </si>
  <si>
    <t>PV 7</t>
  </si>
  <si>
    <t>PV 8</t>
  </si>
  <si>
    <t>PV 9</t>
  </si>
  <si>
    <t>PV 10</t>
  </si>
  <si>
    <t>PV 11</t>
  </si>
  <si>
    <t>PV 12</t>
  </si>
  <si>
    <t>PV 13</t>
  </si>
  <si>
    <t>PV 14</t>
  </si>
  <si>
    <t>PV 15</t>
  </si>
  <si>
    <t>PV 16</t>
  </si>
  <si>
    <t>PV 17</t>
  </si>
  <si>
    <t>PV 18</t>
  </si>
  <si>
    <t>PV 19</t>
  </si>
  <si>
    <t>PV 20</t>
  </si>
  <si>
    <t>PV 21</t>
  </si>
  <si>
    <t>PV 22</t>
  </si>
  <si>
    <t>PV 23</t>
  </si>
  <si>
    <t>PV 24</t>
  </si>
  <si>
    <t>PV 25</t>
  </si>
  <si>
    <t>PV 26</t>
  </si>
  <si>
    <t>PV 27</t>
  </si>
  <si>
    <t>PV 28</t>
  </si>
  <si>
    <t>PV 29</t>
  </si>
  <si>
    <t>PV 30</t>
  </si>
  <si>
    <t>PV 31</t>
  </si>
  <si>
    <t>PV 32</t>
  </si>
  <si>
    <t>PV 33</t>
  </si>
  <si>
    <t>PV 34</t>
  </si>
  <si>
    <t>PV 35</t>
  </si>
  <si>
    <t>PV 36</t>
  </si>
  <si>
    <t>PV 37</t>
  </si>
  <si>
    <t>PV 38</t>
  </si>
  <si>
    <t>PV 39</t>
  </si>
  <si>
    <t>PV 40</t>
  </si>
  <si>
    <t>PV 41</t>
  </si>
  <si>
    <t>PV 42</t>
  </si>
  <si>
    <t>PV 43</t>
  </si>
  <si>
    <t>PV 44</t>
  </si>
  <si>
    <t>PV 45</t>
  </si>
  <si>
    <t>PV 46</t>
  </si>
  <si>
    <t>PV 47</t>
  </si>
  <si>
    <t>PV 48</t>
  </si>
  <si>
    <t>PV 49</t>
  </si>
  <si>
    <t>PV 50</t>
  </si>
  <si>
    <t>PV 51</t>
  </si>
  <si>
    <t>PV 52</t>
  </si>
  <si>
    <t>PV 53</t>
  </si>
  <si>
    <t>PV 54</t>
  </si>
  <si>
    <t>PV 55</t>
  </si>
  <si>
    <t>PV 56</t>
  </si>
  <si>
    <t>PV 57</t>
  </si>
  <si>
    <t>PV 58</t>
  </si>
  <si>
    <t>PV 59</t>
  </si>
  <si>
    <t>PV 60</t>
  </si>
  <si>
    <t>Svensson zero-coupon curve: parameters, fit and results</t>
  </si>
  <si>
    <t>Parameters (continuously compounded, decimals). Run Solver on B11 or edit by hand.</t>
  </si>
  <si>
    <t>beta_0</t>
  </si>
  <si>
    <t>level: r(t) as t -&gt; infinity</t>
  </si>
  <si>
    <t>beta_1</t>
  </si>
  <si>
    <t>slope: r(0) = beta_0 + beta_1</t>
  </si>
  <si>
    <t>beta_2</t>
  </si>
  <si>
    <t>first hump (decay tau_1)</t>
  </si>
  <si>
    <t>beta_3</t>
  </si>
  <si>
    <t>second hump (decay tau_2)</t>
  </si>
  <si>
    <t>tau_1</t>
  </si>
  <si>
    <t>decay of slope / first hump, years</t>
  </si>
  <si>
    <t>tau_2</t>
  </si>
  <si>
    <t>decay of second hump, years</t>
  </si>
  <si>
    <t>Objective: sum over used bonds of ((model - market dirty price) / (dirty price x duration))^2 = sum of squared first-order yield errors</t>
  </si>
  <si>
    <t>Solver: Set Objective B11 to Min; By Changing B4:B9; Constraints B4 &gt;= 0, B8 &gt;= 0.05, B9 &gt;= 0.05; GRG Nonlinear; untick 'Make Unconstrained Variables Non-Negative'. Try a few starting values for tau_1 (1-4) and tau_2 (6-20) and keep the lowest B11.</t>
  </si>
  <si>
    <t>Bonds used in the fit</t>
  </si>
  <si>
    <t>Price RMSE (per 100 face)</t>
  </si>
  <si>
    <t>Yield RMSE (bp)</t>
  </si>
  <si>
    <t>Yield mean absolute error (bp)</t>
  </si>
  <si>
    <t>Largest absolute yield error (bp)</t>
  </si>
  <si>
    <t>r(0) = beta_0 + beta_1  (%)</t>
  </si>
  <si>
    <t>r(30 years)  (%)</t>
  </si>
  <si>
    <t>Zero rate, discount factor and instantaneous forward rate at every Treasury payment date in the sample (dates: the distinct dates on the CashFlows sheet, listed as values)</t>
  </si>
  <si>
    <t>Payment date</t>
  </si>
  <si>
    <t>Days</t>
  </si>
  <si>
    <t>t (years)</t>
  </si>
  <si>
    <t>Zero rate r(t) %</t>
  </si>
  <si>
    <t>Discount factor</t>
  </si>
  <si>
    <t>Forward f(t) %</t>
  </si>
  <si>
    <t>Miniproject 2 - Creating a ZCB Term Structure</t>
  </si>
  <si>
    <t>FRE 6103 Valuation for Financial Engineering. Methodology and results.</t>
  </si>
  <si>
    <t>Goal. Build a continuously compounded zero-coupon (ZCB) term structure from the WSJ Treasury note and bond quotes of Friday, September 04, 2026 and report the discount rate for every coupon and principal payment date in the sample.</t>
  </si>
  <si>
    <t>Data (Data sheet). 353 notes and bonds. Prices are quoted in 32nds and the third decimal is eighths of a 32nd, so 99.256 = 99 + 25.75/32 (converted in Bonds!F). We price off the asked side. Settlement is the next business day, September 08, 2026 (Monday September 07 is Labor Day). As a check, recomputing each bond's yield with YIELD() reproduces the WSJ asked yield with a median error of 0.02 bp (Bonds!N); other settlement dates give 1.8 to 4.8 bp and reading the quotes as plain decimals gives over 86 bp.</t>
  </si>
  <si>
    <t>Cash flows (Bonds, CashFlows sheets). Coupons are semi-annual on the maturity day of month (month-end maturities pay on month-ends) and principal of 100 is paid at maturity. Accrued interest = coupon/2 x days since the last coupon / days in the coupon period (actual/actual, COUPPCD and COUPNCD). Dirty price = clean price + accrued. Time to each payment is t = days/365 from settlement.</t>
  </si>
  <si>
    <t>Model. The zero rate follows the Svensson (1994) form suggested with the data: r(t) = beta_0 + beta_1 (1-e^(-t/tau_1))/(t/tau_1) + beta_2 [(1-e^(-t/tau_1))/(t/tau_1) - e^(-t/tau_1)] + beta_3 [(1-e^(-t/tau_2))/(t/tau_2) - e^(-t/tau_2)]. The discount factor is d(t) = e^(-r(t) t), and each bond's model price is the sum of its payments times their discount factors (CashFlows sheet, one column per remaining coupon; row sums feed Bonds!S). r(0) = beta_0 + beta_1, r(infinity) = beta_0, and the instantaneous forward rate is f(t) = beta_0 + beta_1 e^(-t/tau_1) + beta_2 (t/tau_1) e^(-t/tau_1) + beta_3 (t/tau_2) e^(-t/tau_2).</t>
  </si>
  <si>
    <t>Fitting (Curve sheet). Solver minimises the sum over bonds of ((model dirty price - market dirty price) / (dirty price x modified duration))^2 over the six parameters, with beta_0 &gt;= 0 and tau_1, tau_2 &gt;= 0.05. Each price error divided by price times duration is the first-order yield error, so this is the sum of squared yield errors and a 30-year bond and a 1-year note count equally. The 14 bonds with under 3 months to maturity are left out of the objective (their duration is close to zero, so a one-cent quote error is a 50 bp yield error) but are still priced off the curve as an out-of-sample check. Because the objective has several local minima in (tau_1, tau_2), Solver was run from several starting values for the two decay parameters and the lowest objective kept.</t>
  </si>
  <si>
    <t>Results. beta_0 = 0.0000 (the non-negativity constraint binds), beta_1 = 0.0363, beta_2 = 0.0447, beta_3 = 0.1622, tau_1 = 1.76, tau_2 = 15.93. The curve prices the 339 bonds with a yield RMSE of 2.9 bp (mean absolute 2.1 bp, largest 14.8 bp). The zero curve rises from 3.63% at the short end to 4.14% at 1 year, 4.49% at 5, 4.79% at 10, 5.33% at 20 and 5.31% at 30 years. The Curve sheet lists r(t), d(t) and f(t) for all 245 distinct payment dates from Sep 15, 2026 to Aug 15, 2056, with the chart. One caveat: beta_0 (the rate at infinite maturity) is not well identified by 30 years of data; fixing it anywhere between 0% and 3% worsens the fit by only about 0.3 bp RMSE and moves the curve inside the sample by about 10 bp at the two ends, so the payment-date discount factors are robust to it. The curve should not be extrapolated beyond the 30-year sample.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</si>
</sst>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5" formatCode="m/d/yyyy"/>
    <numFmt numFmtId="166" formatCode="0.000"/>
    <numFmt numFmtId="167" formatCode="0.0000"/>
    <numFmt numFmtId="168" formatCode="0.00000"/>
    <numFmt numFmtId="169" formatCode="0.0000000"/>
    <numFmt numFmtId="170" formatCode="0.000000"/>
    <numFmt numFmtId="171" formatCode="0.00000000"/>
  </numFmts>
  <fonts count="3" x14ac:knownFonts="1">
    <font>
      <sz val="11"/>
      <color theme="1"/>
      <name val="Calibri"/>
      <family val="2"/>
      <scheme val="minor"/>
    </font>
    <font>
      <b/>
      <sz val="14"/>
      <name val="Calibri"/>
      <family val="2"/>
    </font>
    <font>
      <b/>
      <sz val="11"/>
      <name val="Calibri"/>
      <family val="2"/>
    </font>
  </fonts>
  <fills count="4">
    <fill>
      <patternFill patternType="none"/>
    </fill>
    <fill>
      <patternFill patternType="gray125"/>
    </fill>
    <fill>
      <patternFill patternType="solid">
        <fgColor rgb="FFDDEBF7"/>
      </patternFill>
    </fill>
    <fill>
      <patternFill patternType="solid">
        <fgColor rgb="FFFFF2CC"/>
      </patternFill>
    </fill>
  </fills>
  <borders count="2">
    <border>
      <left/>
      <right/>
      <top/>
      <bottom/>
      <diagonal/>
    </border>
    <border>
      <left/>
      <right/>
      <top/>
      <bottom style="thin">
        <color rgb="FFBFBFBF"/>
      </bottom>
      <diagonal/>
    </border>
  </borders>
  <cellStyleXfs count="1">
    <xf numFmtId="0" fontId="0" fillId="0" borderId="0"/>
  </cellStyleXfs>
  <cellXfs count="19">
    <xf numFmtId="0" fontId="0" fillId="0" borderId="0" xfId="0"/>
    <xf numFmtId="0" fontId="1" fillId="0" borderId="0" xfId="0" applyFont="1"/>
    <xf numFmtId="0" fontId="2" fillId="2" borderId="1" xfId="0" applyFont="1" applyFill="1" applyBorder="1" applyAlignment="1">
      <alignment horizontal="center" vertical="center" wrapText="1"/>
    </xf>
    <xf numFmtId="165" fontId="0" fillId="0" borderId="0" xfId="0" applyNumberFormat="1"/>
    <xf numFmtId="166" fontId="0" fillId="0" borderId="0" xfId="0" applyNumberFormat="1"/>
    <xf numFmtId="165" fontId="0" fillId="3" borderId="0" xfId="0" applyNumberFormat="1" applyFill="1"/>
    <xf numFmtId="2" fontId="0" fillId="3" borderId="0" xfId="0" applyNumberFormat="1" applyFill="1"/>
    <xf numFmtId="167" fontId="0" fillId="0" borderId="0" xfId="0" applyNumberFormat="1"/>
    <xf numFmtId="2" fontId="0" fillId="0" borderId="0" xfId="0" applyNumberFormat="1"/>
    <xf numFmtId="168" fontId="0" fillId="0" borderId="0" xfId="0" applyNumberFormat="1"/>
    <xf numFmtId="169" fontId="0" fillId="0" borderId="0" xfId="0" applyNumberFormat="1"/>
    <xf numFmtId="0" fontId="2" fillId="0" borderId="0" xfId="0" applyFont="1"/>
    <xf numFmtId="170" fontId="2" fillId="0" borderId="0" xfId="0" applyNumberFormat="1" applyFont="1"/>
    <xf numFmtId="170" fontId="0" fillId="3" borderId="0" xfId="0" applyNumberFormat="1" applyFill="1"/>
    <xf numFmtId="171" fontId="2" fillId="0" borderId="0" xfId="0" applyNumberFormat="1" applyFont="1"/>
    <xf numFmtId="1" fontId="0" fillId="0" borderId="0" xfId="0" applyNumberFormat="1"/>
    <xf numFmtId="170" fontId="0" fillId="0" borderId="0" xfId="0" applyNumberFormat="1"/>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a:pPr>
            <a:r>
              <a:t>Treasury zero-coupon curve (continuous) vs. bond yields to maturity</a:t>
            </a:r>
          </a:p>
        </c:rich>
      </c:tx>
      <c:overlay val="1"/>
    </c:title>
    <c:autoTitleDeleted val="0"/>
    <c:plotArea>
      <c:layout/>
      <c:scatterChart>
        <c:scatterStyle val="lineMarker"/>
        <c:varyColors val="1"/>
        <c:ser>
          <c:idx val="0"/>
          <c:order val="0"/>
          <c:tx>
            <c:v>Zero rate r(t)</c:v>
          </c:tx>
          <c:spPr>
            <a:ln w="22000">
              <a:prstDash val="solid"/>
            </a:ln>
          </c:spPr>
          <c:marker>
            <c:symbol val="none"/>
          </c:marker>
          <c:xVal>
            <c:numRef>
              <c:f>Curve!$C$22:$C$266</c:f>
              <c:numCache>
                <c:formatCode>0.0000</c:formatCode>
                <c:ptCount val="245"/>
                <c:pt idx="0">
                  <c:v>1.9178082191780823E-2</c:v>
                </c:pt>
                <c:pt idx="1">
                  <c:v>6.0273972602739728E-2</c:v>
                </c:pt>
                <c:pt idx="2">
                  <c:v>0.10136986301369863</c:v>
                </c:pt>
                <c:pt idx="3">
                  <c:v>0.14520547945205478</c:v>
                </c:pt>
                <c:pt idx="4">
                  <c:v>0.18630136986301371</c:v>
                </c:pt>
                <c:pt idx="5">
                  <c:v>0.22739726027397261</c:v>
                </c:pt>
                <c:pt idx="6">
                  <c:v>0.26849315068493151</c:v>
                </c:pt>
                <c:pt idx="7">
                  <c:v>0.31232876712328766</c:v>
                </c:pt>
                <c:pt idx="8">
                  <c:v>0.35342465753424657</c:v>
                </c:pt>
                <c:pt idx="9">
                  <c:v>0.39726027397260272</c:v>
                </c:pt>
                <c:pt idx="10">
                  <c:v>0.43835616438356162</c:v>
                </c:pt>
                <c:pt idx="11">
                  <c:v>0.47397260273972602</c:v>
                </c:pt>
                <c:pt idx="12">
                  <c:v>0.51506849315068493</c:v>
                </c:pt>
                <c:pt idx="13">
                  <c:v>0.55890410958904113</c:v>
                </c:pt>
                <c:pt idx="14">
                  <c:v>0.6</c:v>
                </c:pt>
                <c:pt idx="15">
                  <c:v>0.64109589041095894</c:v>
                </c:pt>
                <c:pt idx="16">
                  <c:v>0.68219178082191778</c:v>
                </c:pt>
                <c:pt idx="17">
                  <c:v>0.72602739726027399</c:v>
                </c:pt>
                <c:pt idx="18">
                  <c:v>0.76712328767123283</c:v>
                </c:pt>
                <c:pt idx="19">
                  <c:v>0.80821917808219179</c:v>
                </c:pt>
                <c:pt idx="20">
                  <c:v>0.84931506849315064</c:v>
                </c:pt>
                <c:pt idx="21">
                  <c:v>0.89315068493150684</c:v>
                </c:pt>
                <c:pt idx="22">
                  <c:v>0.9342465753424658</c:v>
                </c:pt>
                <c:pt idx="23">
                  <c:v>0.9780821917808219</c:v>
                </c:pt>
                <c:pt idx="24">
                  <c:v>1.0191780821917809</c:v>
                </c:pt>
                <c:pt idx="25">
                  <c:v>1.0602739726027397</c:v>
                </c:pt>
                <c:pt idx="26">
                  <c:v>1.1013698630136985</c:v>
                </c:pt>
                <c:pt idx="27">
                  <c:v>1.1452054794520548</c:v>
                </c:pt>
                <c:pt idx="28">
                  <c:v>1.1863013698630136</c:v>
                </c:pt>
                <c:pt idx="29">
                  <c:v>1.2273972602739727</c:v>
                </c:pt>
                <c:pt idx="30">
                  <c:v>1.2684931506849315</c:v>
                </c:pt>
                <c:pt idx="31">
                  <c:v>1.3123287671232877</c:v>
                </c:pt>
                <c:pt idx="32">
                  <c:v>1.3534246575342466</c:v>
                </c:pt>
                <c:pt idx="33">
                  <c:v>1.3972602739726028</c:v>
                </c:pt>
                <c:pt idx="34">
                  <c:v>1.4383561643835616</c:v>
                </c:pt>
                <c:pt idx="35">
                  <c:v>1.4767123287671233</c:v>
                </c:pt>
                <c:pt idx="36">
                  <c:v>1.5178082191780822</c:v>
                </c:pt>
                <c:pt idx="37">
                  <c:v>1.5616438356164384</c:v>
                </c:pt>
                <c:pt idx="38">
                  <c:v>1.6027397260273972</c:v>
                </c:pt>
                <c:pt idx="39">
                  <c:v>1.6438356164383561</c:v>
                </c:pt>
                <c:pt idx="40">
                  <c:v>1.6849315068493151</c:v>
                </c:pt>
                <c:pt idx="41">
                  <c:v>1.7287671232876711</c:v>
                </c:pt>
                <c:pt idx="42">
                  <c:v>1.7698630136986302</c:v>
                </c:pt>
                <c:pt idx="43">
                  <c:v>1.810958904109589</c:v>
                </c:pt>
                <c:pt idx="44">
                  <c:v>1.8520547945205479</c:v>
                </c:pt>
                <c:pt idx="45">
                  <c:v>1.8958904109589041</c:v>
                </c:pt>
                <c:pt idx="46">
                  <c:v>1.9369863013698629</c:v>
                </c:pt>
                <c:pt idx="47">
                  <c:v>1.9808219178082191</c:v>
                </c:pt>
                <c:pt idx="48">
                  <c:v>2.021917808219178</c:v>
                </c:pt>
                <c:pt idx="49">
                  <c:v>2.0630136986301371</c:v>
                </c:pt>
                <c:pt idx="50">
                  <c:v>2.1041095890410957</c:v>
                </c:pt>
                <c:pt idx="51">
                  <c:v>2.1479452054794521</c:v>
                </c:pt>
                <c:pt idx="52">
                  <c:v>2.1890410958904107</c:v>
                </c:pt>
                <c:pt idx="53">
                  <c:v>2.2301369863013698</c:v>
                </c:pt>
                <c:pt idx="54">
                  <c:v>2.2712328767123289</c:v>
                </c:pt>
                <c:pt idx="55">
                  <c:v>2.3150684931506849</c:v>
                </c:pt>
                <c:pt idx="56">
                  <c:v>2.3561643835616439</c:v>
                </c:pt>
                <c:pt idx="57">
                  <c:v>2.4</c:v>
                </c:pt>
                <c:pt idx="58">
                  <c:v>2.441095890410959</c:v>
                </c:pt>
                <c:pt idx="59">
                  <c:v>2.4767123287671233</c:v>
                </c:pt>
                <c:pt idx="60">
                  <c:v>2.5178082191780824</c:v>
                </c:pt>
                <c:pt idx="61">
                  <c:v>2.5616438356164384</c:v>
                </c:pt>
                <c:pt idx="62">
                  <c:v>2.6027397260273974</c:v>
                </c:pt>
                <c:pt idx="63">
                  <c:v>2.6438356164383561</c:v>
                </c:pt>
                <c:pt idx="64">
                  <c:v>2.6849315068493151</c:v>
                </c:pt>
                <c:pt idx="65">
                  <c:v>2.7287671232876711</c:v>
                </c:pt>
                <c:pt idx="66">
                  <c:v>2.7698630136986302</c:v>
                </c:pt>
                <c:pt idx="67">
                  <c:v>2.8109589041095893</c:v>
                </c:pt>
                <c:pt idx="68">
                  <c:v>2.8520547945205479</c:v>
                </c:pt>
                <c:pt idx="69">
                  <c:v>2.8958904109589043</c:v>
                </c:pt>
                <c:pt idx="70">
                  <c:v>2.9369863013698629</c:v>
                </c:pt>
                <c:pt idx="71">
                  <c:v>2.9808219178082194</c:v>
                </c:pt>
                <c:pt idx="72">
                  <c:v>3.0630136986301371</c:v>
                </c:pt>
                <c:pt idx="73">
                  <c:v>3.1479452054794521</c:v>
                </c:pt>
                <c:pt idx="74">
                  <c:v>3.1890410958904107</c:v>
                </c:pt>
                <c:pt idx="75">
                  <c:v>3.2301369863013698</c:v>
                </c:pt>
                <c:pt idx="76">
                  <c:v>3.3150684931506849</c:v>
                </c:pt>
                <c:pt idx="77">
                  <c:v>3.4</c:v>
                </c:pt>
                <c:pt idx="78">
                  <c:v>3.441095890410959</c:v>
                </c:pt>
                <c:pt idx="79">
                  <c:v>3.4767123287671233</c:v>
                </c:pt>
                <c:pt idx="80">
                  <c:v>3.5616438356164384</c:v>
                </c:pt>
                <c:pt idx="81">
                  <c:v>3.6438356164383561</c:v>
                </c:pt>
                <c:pt idx="82">
                  <c:v>3.6849315068493151</c:v>
                </c:pt>
                <c:pt idx="83">
                  <c:v>3.7287671232876711</c:v>
                </c:pt>
                <c:pt idx="84">
                  <c:v>3.8109589041095893</c:v>
                </c:pt>
                <c:pt idx="85">
                  <c:v>3.8958904109589043</c:v>
                </c:pt>
                <c:pt idx="86">
                  <c:v>3.9369863013698629</c:v>
                </c:pt>
                <c:pt idx="87">
                  <c:v>3.9808219178082194</c:v>
                </c:pt>
                <c:pt idx="88">
                  <c:v>4.0630136986301366</c:v>
                </c:pt>
                <c:pt idx="89">
                  <c:v>4.1479452054794521</c:v>
                </c:pt>
                <c:pt idx="90">
                  <c:v>4.1890410958904107</c:v>
                </c:pt>
                <c:pt idx="91">
                  <c:v>4.2301369863013702</c:v>
                </c:pt>
                <c:pt idx="92">
                  <c:v>4.3150684931506849</c:v>
                </c:pt>
                <c:pt idx="93">
                  <c:v>4.4000000000000004</c:v>
                </c:pt>
                <c:pt idx="94">
                  <c:v>4.441095890410959</c:v>
                </c:pt>
                <c:pt idx="95">
                  <c:v>4.4767123287671229</c:v>
                </c:pt>
                <c:pt idx="96">
                  <c:v>4.5616438356164384</c:v>
                </c:pt>
                <c:pt idx="97">
                  <c:v>4.6438356164383565</c:v>
                </c:pt>
                <c:pt idx="98">
                  <c:v>4.6849315068493151</c:v>
                </c:pt>
                <c:pt idx="99">
                  <c:v>4.7287671232876711</c:v>
                </c:pt>
                <c:pt idx="100">
                  <c:v>4.8109589041095893</c:v>
                </c:pt>
                <c:pt idx="101">
                  <c:v>4.8958904109589039</c:v>
                </c:pt>
                <c:pt idx="102">
                  <c:v>4.9369863013698634</c:v>
                </c:pt>
                <c:pt idx="103">
                  <c:v>4.9808219178082194</c:v>
                </c:pt>
                <c:pt idx="104">
                  <c:v>5.0630136986301366</c:v>
                </c:pt>
                <c:pt idx="105">
                  <c:v>5.1479452054794521</c:v>
                </c:pt>
                <c:pt idx="106">
                  <c:v>5.1890410958904107</c:v>
                </c:pt>
                <c:pt idx="107">
                  <c:v>5.2301369863013702</c:v>
                </c:pt>
                <c:pt idx="108">
                  <c:v>5.3150684931506849</c:v>
                </c:pt>
                <c:pt idx="109">
                  <c:v>5.4</c:v>
                </c:pt>
                <c:pt idx="110">
                  <c:v>5.441095890410959</c:v>
                </c:pt>
                <c:pt idx="111">
                  <c:v>5.4794520547945202</c:v>
                </c:pt>
                <c:pt idx="112">
                  <c:v>5.5643835616438357</c:v>
                </c:pt>
                <c:pt idx="113">
                  <c:v>5.646575342465753</c:v>
                </c:pt>
                <c:pt idx="114">
                  <c:v>5.6876712328767125</c:v>
                </c:pt>
                <c:pt idx="115">
                  <c:v>5.7315068493150685</c:v>
                </c:pt>
                <c:pt idx="116">
                  <c:v>5.8136986301369866</c:v>
                </c:pt>
                <c:pt idx="117">
                  <c:v>5.8986301369863012</c:v>
                </c:pt>
                <c:pt idx="118">
                  <c:v>5.9397260273972599</c:v>
                </c:pt>
                <c:pt idx="119">
                  <c:v>5.9835616438356167</c:v>
                </c:pt>
                <c:pt idx="120">
                  <c:v>6.065753424657534</c:v>
                </c:pt>
                <c:pt idx="121">
                  <c:v>6.1506849315068495</c:v>
                </c:pt>
                <c:pt idx="122">
                  <c:v>6.1917808219178081</c:v>
                </c:pt>
                <c:pt idx="123">
                  <c:v>6.2328767123287667</c:v>
                </c:pt>
                <c:pt idx="124">
                  <c:v>6.3178082191780822</c:v>
                </c:pt>
                <c:pt idx="125">
                  <c:v>6.4027397260273968</c:v>
                </c:pt>
                <c:pt idx="126">
                  <c:v>6.4438356164383563</c:v>
                </c:pt>
                <c:pt idx="127">
                  <c:v>6.4794520547945202</c:v>
                </c:pt>
                <c:pt idx="128">
                  <c:v>6.5643835616438357</c:v>
                </c:pt>
                <c:pt idx="129">
                  <c:v>6.646575342465753</c:v>
                </c:pt>
                <c:pt idx="130">
                  <c:v>6.6876712328767125</c:v>
                </c:pt>
                <c:pt idx="131">
                  <c:v>6.7315068493150685</c:v>
                </c:pt>
                <c:pt idx="132">
                  <c:v>6.8136986301369866</c:v>
                </c:pt>
                <c:pt idx="133">
                  <c:v>6.8986301369863012</c:v>
                </c:pt>
                <c:pt idx="134">
                  <c:v>6.9397260273972599</c:v>
                </c:pt>
                <c:pt idx="135">
                  <c:v>6.9835616438356167</c:v>
                </c:pt>
                <c:pt idx="136">
                  <c:v>7.1917808219178081</c:v>
                </c:pt>
                <c:pt idx="137">
                  <c:v>7.2328767123287667</c:v>
                </c:pt>
                <c:pt idx="138">
                  <c:v>7.4438356164383563</c:v>
                </c:pt>
                <c:pt idx="139">
                  <c:v>7.6876712328767125</c:v>
                </c:pt>
                <c:pt idx="140">
                  <c:v>7.7315068493150685</c:v>
                </c:pt>
                <c:pt idx="141">
                  <c:v>7.9397260273972599</c:v>
                </c:pt>
                <c:pt idx="142">
                  <c:v>8.1917808219178081</c:v>
                </c:pt>
                <c:pt idx="143">
                  <c:v>8.2328767123287676</c:v>
                </c:pt>
                <c:pt idx="144">
                  <c:v>8.4438356164383563</c:v>
                </c:pt>
                <c:pt idx="145">
                  <c:v>8.6876712328767116</c:v>
                </c:pt>
                <c:pt idx="146">
                  <c:v>8.7315068493150694</c:v>
                </c:pt>
                <c:pt idx="147">
                  <c:v>8.9397260273972599</c:v>
                </c:pt>
                <c:pt idx="148">
                  <c:v>9.1917808219178081</c:v>
                </c:pt>
                <c:pt idx="149">
                  <c:v>9.2328767123287676</c:v>
                </c:pt>
                <c:pt idx="150">
                  <c:v>9.4438356164383563</c:v>
                </c:pt>
                <c:pt idx="151">
                  <c:v>9.6904109589041099</c:v>
                </c:pt>
                <c:pt idx="152">
                  <c:v>9.7342465753424658</c:v>
                </c:pt>
                <c:pt idx="153">
                  <c:v>9.9424657534246581</c:v>
                </c:pt>
                <c:pt idx="154">
                  <c:v>10.194520547945206</c:v>
                </c:pt>
                <c:pt idx="155">
                  <c:v>10.235616438356164</c:v>
                </c:pt>
                <c:pt idx="156">
                  <c:v>10.446575342465753</c:v>
                </c:pt>
                <c:pt idx="157">
                  <c:v>10.69041095890411</c:v>
                </c:pt>
                <c:pt idx="158">
                  <c:v>10.734246575342466</c:v>
                </c:pt>
                <c:pt idx="159">
                  <c:v>10.942465753424658</c:v>
                </c:pt>
                <c:pt idx="160">
                  <c:v>11.194520547945206</c:v>
                </c:pt>
                <c:pt idx="161">
                  <c:v>11.235616438356164</c:v>
                </c:pt>
                <c:pt idx="162">
                  <c:v>11.446575342465753</c:v>
                </c:pt>
                <c:pt idx="163">
                  <c:v>11.69041095890411</c:v>
                </c:pt>
                <c:pt idx="164">
                  <c:v>11.734246575342466</c:v>
                </c:pt>
                <c:pt idx="165">
                  <c:v>11.942465753424658</c:v>
                </c:pt>
                <c:pt idx="166">
                  <c:v>12.194520547945206</c:v>
                </c:pt>
                <c:pt idx="167">
                  <c:v>12.235616438356164</c:v>
                </c:pt>
                <c:pt idx="168">
                  <c:v>12.446575342465753</c:v>
                </c:pt>
                <c:pt idx="169">
                  <c:v>12.69041095890411</c:v>
                </c:pt>
                <c:pt idx="170">
                  <c:v>12.734246575342466</c:v>
                </c:pt>
                <c:pt idx="171">
                  <c:v>12.942465753424658</c:v>
                </c:pt>
                <c:pt idx="172">
                  <c:v>13.194520547945206</c:v>
                </c:pt>
                <c:pt idx="173">
                  <c:v>13.235616438356164</c:v>
                </c:pt>
                <c:pt idx="174">
                  <c:v>13.446575342465753</c:v>
                </c:pt>
                <c:pt idx="175">
                  <c:v>13.693150684931506</c:v>
                </c:pt>
                <c:pt idx="176">
                  <c:v>13.736986301369862</c:v>
                </c:pt>
                <c:pt idx="177">
                  <c:v>13.945205479452055</c:v>
                </c:pt>
                <c:pt idx="178">
                  <c:v>14.197260273972603</c:v>
                </c:pt>
                <c:pt idx="179">
                  <c:v>14.238356164383562</c:v>
                </c:pt>
                <c:pt idx="180">
                  <c:v>14.449315068493151</c:v>
                </c:pt>
                <c:pt idx="181">
                  <c:v>14.693150684931506</c:v>
                </c:pt>
                <c:pt idx="182">
                  <c:v>14.736986301369862</c:v>
                </c:pt>
                <c:pt idx="183">
                  <c:v>14.945205479452055</c:v>
                </c:pt>
                <c:pt idx="184">
                  <c:v>15.197260273972603</c:v>
                </c:pt>
                <c:pt idx="185">
                  <c:v>15.238356164383562</c:v>
                </c:pt>
                <c:pt idx="186">
                  <c:v>15.449315068493151</c:v>
                </c:pt>
                <c:pt idx="187">
                  <c:v>15.693150684931506</c:v>
                </c:pt>
                <c:pt idx="188">
                  <c:v>15.945205479452055</c:v>
                </c:pt>
                <c:pt idx="189">
                  <c:v>16.197260273972603</c:v>
                </c:pt>
                <c:pt idx="190">
                  <c:v>16.449315068493149</c:v>
                </c:pt>
                <c:pt idx="191">
                  <c:v>16.693150684931506</c:v>
                </c:pt>
                <c:pt idx="192">
                  <c:v>16.945205479452056</c:v>
                </c:pt>
                <c:pt idx="193">
                  <c:v>17.197260273972603</c:v>
                </c:pt>
                <c:pt idx="194">
                  <c:v>17.449315068493149</c:v>
                </c:pt>
                <c:pt idx="195">
                  <c:v>17.695890410958903</c:v>
                </c:pt>
                <c:pt idx="196">
                  <c:v>17.947945205479453</c:v>
                </c:pt>
                <c:pt idx="197">
                  <c:v>18.2</c:v>
                </c:pt>
                <c:pt idx="198">
                  <c:v>18.452054794520549</c:v>
                </c:pt>
                <c:pt idx="199">
                  <c:v>18.695890410958903</c:v>
                </c:pt>
                <c:pt idx="200">
                  <c:v>18.947945205479453</c:v>
                </c:pt>
                <c:pt idx="201">
                  <c:v>19.2</c:v>
                </c:pt>
                <c:pt idx="202">
                  <c:v>19.452054794520549</c:v>
                </c:pt>
                <c:pt idx="203">
                  <c:v>19.695890410958903</c:v>
                </c:pt>
                <c:pt idx="204">
                  <c:v>19.947945205479453</c:v>
                </c:pt>
                <c:pt idx="205">
                  <c:v>20.2</c:v>
                </c:pt>
                <c:pt idx="206">
                  <c:v>20.452054794520549</c:v>
                </c:pt>
                <c:pt idx="207">
                  <c:v>20.695890410958903</c:v>
                </c:pt>
                <c:pt idx="208">
                  <c:v>20.947945205479453</c:v>
                </c:pt>
                <c:pt idx="209">
                  <c:v>21.2</c:v>
                </c:pt>
                <c:pt idx="210">
                  <c:v>21.452054794520549</c:v>
                </c:pt>
                <c:pt idx="211">
                  <c:v>21.698630136986303</c:v>
                </c:pt>
                <c:pt idx="212">
                  <c:v>21.950684931506849</c:v>
                </c:pt>
                <c:pt idx="213">
                  <c:v>22.202739726027396</c:v>
                </c:pt>
                <c:pt idx="214">
                  <c:v>22.454794520547946</c:v>
                </c:pt>
                <c:pt idx="215">
                  <c:v>22.698630136986303</c:v>
                </c:pt>
                <c:pt idx="216">
                  <c:v>22.950684931506849</c:v>
                </c:pt>
                <c:pt idx="217">
                  <c:v>23.202739726027396</c:v>
                </c:pt>
                <c:pt idx="218">
                  <c:v>23.454794520547946</c:v>
                </c:pt>
                <c:pt idx="219">
                  <c:v>23.698630136986303</c:v>
                </c:pt>
                <c:pt idx="220">
                  <c:v>23.950684931506849</c:v>
                </c:pt>
                <c:pt idx="221">
                  <c:v>24.202739726027396</c:v>
                </c:pt>
                <c:pt idx="222">
                  <c:v>24.454794520547946</c:v>
                </c:pt>
                <c:pt idx="223">
                  <c:v>24.698630136986303</c:v>
                </c:pt>
                <c:pt idx="224">
                  <c:v>24.950684931506849</c:v>
                </c:pt>
                <c:pt idx="225">
                  <c:v>25.202739726027396</c:v>
                </c:pt>
                <c:pt idx="226">
                  <c:v>25.454794520547946</c:v>
                </c:pt>
                <c:pt idx="227">
                  <c:v>25.701369863013699</c:v>
                </c:pt>
                <c:pt idx="228">
                  <c:v>25.953424657534246</c:v>
                </c:pt>
                <c:pt idx="229">
                  <c:v>26.205479452054796</c:v>
                </c:pt>
                <c:pt idx="230">
                  <c:v>26.457534246575342</c:v>
                </c:pt>
                <c:pt idx="231">
                  <c:v>26.701369863013699</c:v>
                </c:pt>
                <c:pt idx="232">
                  <c:v>26.953424657534246</c:v>
                </c:pt>
                <c:pt idx="233">
                  <c:v>27.205479452054796</c:v>
                </c:pt>
                <c:pt idx="234">
                  <c:v>27.457534246575342</c:v>
                </c:pt>
                <c:pt idx="235">
                  <c:v>27.701369863013699</c:v>
                </c:pt>
                <c:pt idx="236">
                  <c:v>27.953424657534246</c:v>
                </c:pt>
                <c:pt idx="237">
                  <c:v>28.205479452054796</c:v>
                </c:pt>
                <c:pt idx="238">
                  <c:v>28.457534246575342</c:v>
                </c:pt>
                <c:pt idx="239">
                  <c:v>28.701369863013699</c:v>
                </c:pt>
                <c:pt idx="240">
                  <c:v>28.953424657534246</c:v>
                </c:pt>
                <c:pt idx="241">
                  <c:v>29.205479452054796</c:v>
                </c:pt>
                <c:pt idx="242">
                  <c:v>29.457534246575342</c:v>
                </c:pt>
                <c:pt idx="243">
                  <c:v>29.704109589041096</c:v>
                </c:pt>
                <c:pt idx="244">
                  <c:v>29.956164383561642</c:v>
                </c:pt>
              </c:numCache>
            </c:numRef>
          </c:xVal>
          <c:yVal>
            <c:numRef>
              <c:f>Curve!$D$22:$D$266</c:f>
              <c:numCache>
                <c:formatCode>0.0000</c:formatCode>
                <c:ptCount val="245"/>
                <c:pt idx="0">
                  <c:v>3.6418797879008751</c:v>
                </c:pt>
                <c:pt idx="1">
                  <c:v>3.671610089763317</c:v>
                </c:pt>
                <c:pt idx="2">
                  <c:v>3.7003505157355137</c:v>
                </c:pt>
                <c:pt idx="3">
                  <c:v>3.7299492637474625</c:v>
                </c:pt>
                <c:pt idx="4">
                  <c:v>3.7567369114712625</c:v>
                </c:pt>
                <c:pt idx="5">
                  <c:v>3.7826230239135081</c:v>
                </c:pt>
                <c:pt idx="6">
                  <c:v>3.8076348512144906</c:v>
                </c:pt>
                <c:pt idx="7">
                  <c:v>3.8333803409869951</c:v>
                </c:pt>
                <c:pt idx="8">
                  <c:v>3.8566685376523386</c:v>
                </c:pt>
                <c:pt idx="9">
                  <c:v>3.880633384352155</c:v>
                </c:pt>
                <c:pt idx="10">
                  <c:v>3.9023050076450594</c:v>
                </c:pt>
                <c:pt idx="11">
                  <c:v>3.9204831834855138</c:v>
                </c:pt>
                <c:pt idx="12">
                  <c:v>3.9407817798792264</c:v>
                </c:pt>
                <c:pt idx="13">
                  <c:v>3.961659238537798</c:v>
                </c:pt>
                <c:pt idx="14">
                  <c:v>3.9805289689900061</c:v>
                </c:pt>
                <c:pt idx="15">
                  <c:v>3.9987402136877201</c:v>
                </c:pt>
                <c:pt idx="16">
                  <c:v>4.0163136374691994</c:v>
                </c:pt>
                <c:pt idx="17">
                  <c:v>4.0343782381308024</c:v>
                </c:pt>
                <c:pt idx="18">
                  <c:v>4.0506965700125761</c:v>
                </c:pt>
                <c:pt idx="19">
                  <c:v>4.0664369876754192</c:v>
                </c:pt>
                <c:pt idx="20">
                  <c:v>4.0816179442169673</c:v>
                </c:pt>
                <c:pt idx="21">
                  <c:v>4.0972145224924805</c:v>
                </c:pt>
                <c:pt idx="22">
                  <c:v>4.1112955633059256</c:v>
                </c:pt>
                <c:pt idx="23">
                  <c:v>4.1257580322181413</c:v>
                </c:pt>
                <c:pt idx="24">
                  <c:v>4.1388114939723808</c:v>
                </c:pt>
                <c:pt idx="25">
                  <c:v>4.1513924839599872</c:v>
                </c:pt>
                <c:pt idx="26">
                  <c:v>4.1635165314464757</c:v>
                </c:pt>
                <c:pt idx="27">
                  <c:v>4.1759621967338711</c:v>
                </c:pt>
                <c:pt idx="28">
                  <c:v>4.1871892556038519</c:v>
                </c:pt>
                <c:pt idx="29">
                  <c:v>4.1980043368386966</c:v>
                </c:pt>
                <c:pt idx="30">
                  <c:v>4.2084212735407105</c:v>
                </c:pt>
                <c:pt idx="31">
                  <c:v>4.2191089681590004</c:v>
                </c:pt>
                <c:pt idx="32">
                  <c:v>4.2287452440415052</c:v>
                </c:pt>
                <c:pt idx="33">
                  <c:v>4.2386295220582131</c:v>
                </c:pt>
                <c:pt idx="34">
                  <c:v>4.2475392563804277</c:v>
                </c:pt>
                <c:pt idx="35">
                  <c:v>4.255554278722701</c:v>
                </c:pt>
                <c:pt idx="36">
                  <c:v>4.2638305612318108</c:v>
                </c:pt>
                <c:pt idx="37">
                  <c:v>4.2723161343247478</c:v>
                </c:pt>
                <c:pt idx="38">
                  <c:v>4.2799618670642765</c:v>
                </c:pt>
                <c:pt idx="39">
                  <c:v>4.2873189565068675</c:v>
                </c:pt>
                <c:pt idx="40">
                  <c:v>4.2943977196946497</c:v>
                </c:pt>
                <c:pt idx="41">
                  <c:v>4.3016529054570798</c:v>
                </c:pt>
                <c:pt idx="42">
                  <c:v>4.3081878807541729</c:v>
                </c:pt>
                <c:pt idx="43">
                  <c:v>4.314474339961583</c:v>
                </c:pt>
                <c:pt idx="44">
                  <c:v>4.3205214336349913</c:v>
                </c:pt>
                <c:pt idx="45">
                  <c:v>4.3267178360584673</c:v>
                </c:pt>
                <c:pt idx="46">
                  <c:v>4.3322980948766991</c:v>
                </c:pt>
                <c:pt idx="47">
                  <c:v>4.3380158582376058</c:v>
                </c:pt>
                <c:pt idx="48">
                  <c:v>4.343164957330341</c:v>
                </c:pt>
                <c:pt idx="49">
                  <c:v>4.3481175948203967</c:v>
                </c:pt>
                <c:pt idx="50">
                  <c:v>4.3528813848421954</c:v>
                </c:pt>
                <c:pt idx="51">
                  <c:v>4.3577629275603718</c:v>
                </c:pt>
                <c:pt idx="52">
                  <c:v>4.3621595912434286</c:v>
                </c:pt>
                <c:pt idx="53">
                  <c:v>4.3663893652589776</c:v>
                </c:pt>
                <c:pt idx="54">
                  <c:v>4.3704589759855299</c:v>
                </c:pt>
                <c:pt idx="55">
                  <c:v>4.3746307039415546</c:v>
                </c:pt>
                <c:pt idx="56">
                  <c:v>4.3783897566008969</c:v>
                </c:pt>
                <c:pt idx="57">
                  <c:v>4.382244384817751</c:v>
                </c:pt>
                <c:pt idx="58">
                  <c:v>4.3857190185671913</c:v>
                </c:pt>
                <c:pt idx="59">
                  <c:v>4.3886260406934881</c:v>
                </c:pt>
                <c:pt idx="60">
                  <c:v>4.3918648880353874</c:v>
                </c:pt>
                <c:pt idx="61">
                  <c:v>4.3951891869518125</c:v>
                </c:pt>
                <c:pt idx="62">
                  <c:v>4.3981889305363495</c:v>
                </c:pt>
                <c:pt idx="63">
                  <c:v>4.4010808367162095</c:v>
                </c:pt>
                <c:pt idx="64">
                  <c:v>4.4038698129144658</c:v>
                </c:pt>
                <c:pt idx="65">
                  <c:v>4.4067366211235459</c:v>
                </c:pt>
                <c:pt idx="66">
                  <c:v>4.409327766156335</c:v>
                </c:pt>
                <c:pt idx="67">
                  <c:v>4.4118300831173602</c:v>
                </c:pt>
                <c:pt idx="68">
                  <c:v>4.4142478755474714</c:v>
                </c:pt>
                <c:pt idx="69">
                  <c:v>4.4167383797310329</c:v>
                </c:pt>
                <c:pt idx="70">
                  <c:v>4.4189945354637077</c:v>
                </c:pt>
                <c:pt idx="71">
                  <c:v>4.4213216429696462</c:v>
                </c:pt>
                <c:pt idx="72">
                  <c:v>4.4254793966328601</c:v>
                </c:pt>
                <c:pt idx="73">
                  <c:v>4.4295195225548225</c:v>
                </c:pt>
                <c:pt idx="74">
                  <c:v>4.4313896428998429</c:v>
                </c:pt>
                <c:pt idx="75">
                  <c:v>4.4332088022738709</c:v>
                </c:pt>
                <c:pt idx="76">
                  <c:v>4.4368199247832054</c:v>
                </c:pt>
                <c:pt idx="77">
                  <c:v>4.4402519310933766</c:v>
                </c:pt>
                <c:pt idx="78">
                  <c:v>4.4418554208678147</c:v>
                </c:pt>
                <c:pt idx="79">
                  <c:v>4.4432176968076966</c:v>
                </c:pt>
                <c:pt idx="80">
                  <c:v>4.446373192511559</c:v>
                </c:pt>
                <c:pt idx="81">
                  <c:v>4.4493176227197475</c:v>
                </c:pt>
                <c:pt idx="82">
                  <c:v>4.4507550959641176</c:v>
                </c:pt>
                <c:pt idx="83">
                  <c:v>4.4522659720906974</c:v>
                </c:pt>
                <c:pt idx="84">
                  <c:v>4.4550446108221049</c:v>
                </c:pt>
                <c:pt idx="85">
                  <c:v>4.4578548256156401</c:v>
                </c:pt>
                <c:pt idx="86">
                  <c:v>4.459196846927421</c:v>
                </c:pt>
                <c:pt idx="87">
                  <c:v>4.4606180625926184</c:v>
                </c:pt>
                <c:pt idx="88">
                  <c:v>4.4632606786835618</c:v>
                </c:pt>
                <c:pt idx="89">
                  <c:v>4.4659714539179518</c:v>
                </c:pt>
                <c:pt idx="90">
                  <c:v>4.4672793792842089</c:v>
                </c:pt>
                <c:pt idx="91">
                  <c:v>4.4685866002635954</c:v>
                </c:pt>
                <c:pt idx="92">
                  <c:v>4.4712911085259845</c:v>
                </c:pt>
                <c:pt idx="93">
                  <c:v>4.4740077508376901</c:v>
                </c:pt>
                <c:pt idx="94">
                  <c:v>4.4753293622627544</c:v>
                </c:pt>
                <c:pt idx="95">
                  <c:v>4.4764795468775933</c:v>
                </c:pt>
                <c:pt idx="96">
                  <c:v>4.4792438685648346</c:v>
                </c:pt>
                <c:pt idx="97">
                  <c:v>4.4819536608640167</c:v>
                </c:pt>
                <c:pt idx="98">
                  <c:v>4.4833233434821347</c:v>
                </c:pt>
                <c:pt idx="99">
                  <c:v>4.4847963007186076</c:v>
                </c:pt>
                <c:pt idx="100">
                  <c:v>4.4875942018486104</c:v>
                </c:pt>
                <c:pt idx="101">
                  <c:v>4.4905393466431871</c:v>
                </c:pt>
                <c:pt idx="102">
                  <c:v>4.4919856047652926</c:v>
                </c:pt>
                <c:pt idx="103">
                  <c:v>4.4935443122930376</c:v>
                </c:pt>
                <c:pt idx="104">
                  <c:v>4.4965134980802546</c:v>
                </c:pt>
                <c:pt idx="105">
                  <c:v>4.4996486783791285</c:v>
                </c:pt>
                <c:pt idx="106">
                  <c:v>4.5011911849691248</c:v>
                </c:pt>
                <c:pt idx="107">
                  <c:v>4.5027507969590301</c:v>
                </c:pt>
                <c:pt idx="108">
                  <c:v>4.5060295780363457</c:v>
                </c:pt>
                <c:pt idx="109">
                  <c:v>4.5093853609162862</c:v>
                </c:pt>
                <c:pt idx="110">
                  <c:v>4.5110374308521095</c:v>
                </c:pt>
                <c:pt idx="111">
                  <c:v>4.5125962815774727</c:v>
                </c:pt>
                <c:pt idx="112">
                  <c:v>4.5161069395602862</c:v>
                </c:pt>
                <c:pt idx="113">
                  <c:v>4.5195827362673784</c:v>
                </c:pt>
                <c:pt idx="114">
                  <c:v>4.5213498896171282</c:v>
                </c:pt>
                <c:pt idx="115">
                  <c:v>4.5232565132296703</c:v>
                </c:pt>
                <c:pt idx="116">
                  <c:v>4.526892049237782</c:v>
                </c:pt>
                <c:pt idx="117">
                  <c:v>4.5307322767785099</c:v>
                </c:pt>
                <c:pt idx="118">
                  <c:v>4.5326210253451187</c:v>
                </c:pt>
                <c:pt idx="119">
                  <c:v>4.5346576974052617</c:v>
                </c:pt>
                <c:pt idx="120">
                  <c:v>4.5385376851071886</c:v>
                </c:pt>
                <c:pt idx="121">
                  <c:v>4.5426307712659444</c:v>
                </c:pt>
                <c:pt idx="122">
                  <c:v>4.5446417686002478</c:v>
                </c:pt>
                <c:pt idx="123">
                  <c:v>4.5466725681352056</c:v>
                </c:pt>
                <c:pt idx="124">
                  <c:v>4.5509320149246415</c:v>
                </c:pt>
                <c:pt idx="125">
                  <c:v>4.5552750503969923</c:v>
                </c:pt>
                <c:pt idx="126">
                  <c:v>4.5574062774661268</c:v>
                </c:pt>
                <c:pt idx="127">
                  <c:v>4.5592689251863607</c:v>
                </c:pt>
                <c:pt idx="128">
                  <c:v>4.5637685472208904</c:v>
                </c:pt>
                <c:pt idx="129">
                  <c:v>4.5681998628350176</c:v>
                </c:pt>
                <c:pt idx="130">
                  <c:v>4.5704435091645372</c:v>
                </c:pt>
                <c:pt idx="131">
                  <c:v>4.572857074310976</c:v>
                </c:pt>
                <c:pt idx="132">
                  <c:v>4.577438446460552</c:v>
                </c:pt>
                <c:pt idx="133">
                  <c:v>4.5822479795212239</c:v>
                </c:pt>
                <c:pt idx="134">
                  <c:v>4.5846022500217032</c:v>
                </c:pt>
                <c:pt idx="135">
                  <c:v>4.5871326593658051</c:v>
                </c:pt>
                <c:pt idx="136">
                  <c:v>4.5994155003153843</c:v>
                </c:pt>
                <c:pt idx="137">
                  <c:v>4.6018897285115061</c:v>
                </c:pt>
                <c:pt idx="138">
                  <c:v>4.6148378762832261</c:v>
                </c:pt>
                <c:pt idx="139">
                  <c:v>4.6302902334259892</c:v>
                </c:pt>
                <c:pt idx="140">
                  <c:v>4.6331200699703396</c:v>
                </c:pt>
                <c:pt idx="141">
                  <c:v>4.646763219920202</c:v>
                </c:pt>
                <c:pt idx="142">
                  <c:v>4.6636907440325759</c:v>
                </c:pt>
                <c:pt idx="143">
                  <c:v>4.6664900238301028</c:v>
                </c:pt>
                <c:pt idx="144">
                  <c:v>4.6810180969050448</c:v>
                </c:pt>
                <c:pt idx="145">
                  <c:v>4.6981095787954059</c:v>
                </c:pt>
                <c:pt idx="146">
                  <c:v>4.7012127086057758</c:v>
                </c:pt>
                <c:pt idx="147">
                  <c:v>4.7160651396032938</c:v>
                </c:pt>
                <c:pt idx="148">
                  <c:v>4.7342615594675523</c:v>
                </c:pt>
                <c:pt idx="149">
                  <c:v>4.7372477055059123</c:v>
                </c:pt>
                <c:pt idx="150">
                  <c:v>4.7526480587730306</c:v>
                </c:pt>
                <c:pt idx="151">
                  <c:v>4.7707718721216015</c:v>
                </c:pt>
                <c:pt idx="152">
                  <c:v>4.7740046823093856</c:v>
                </c:pt>
                <c:pt idx="153">
                  <c:v>4.7893926703959604</c:v>
                </c:pt>
                <c:pt idx="154">
                  <c:v>4.8080646791677948</c:v>
                </c:pt>
                <c:pt idx="155">
                  <c:v>4.8111109778962149</c:v>
                </c:pt>
                <c:pt idx="156">
                  <c:v>4.8267458975381627</c:v>
                </c:pt>
                <c:pt idx="157">
                  <c:v>4.8447894485092329</c:v>
                </c:pt>
                <c:pt idx="158">
                  <c:v>4.8480275928432661</c:v>
                </c:pt>
                <c:pt idx="159">
                  <c:v>4.8633755914181442</c:v>
                </c:pt>
                <c:pt idx="160">
                  <c:v>4.8818606468953609</c:v>
                </c:pt>
                <c:pt idx="161">
                  <c:v>4.8848626818168501</c:v>
                </c:pt>
                <c:pt idx="162">
                  <c:v>4.9002122164717834</c:v>
                </c:pt>
                <c:pt idx="163">
                  <c:v>4.9178100101001707</c:v>
                </c:pt>
                <c:pt idx="164">
                  <c:v>4.9209554505861677</c:v>
                </c:pt>
                <c:pt idx="165">
                  <c:v>4.9358132857492834</c:v>
                </c:pt>
                <c:pt idx="166">
                  <c:v>4.9536003173677674</c:v>
                </c:pt>
                <c:pt idx="167">
                  <c:v>4.9564782286427054</c:v>
                </c:pt>
                <c:pt idx="168">
                  <c:v>4.9711474592917257</c:v>
                </c:pt>
                <c:pt idx="169">
                  <c:v>4.9878737290101167</c:v>
                </c:pt>
                <c:pt idx="170">
                  <c:v>4.990853334959966</c:v>
                </c:pt>
                <c:pt idx="171">
                  <c:v>5.0048874820743867</c:v>
                </c:pt>
                <c:pt idx="172">
                  <c:v>5.0216025192697975</c:v>
                </c:pt>
                <c:pt idx="173">
                  <c:v>5.0242983357351756</c:v>
                </c:pt>
                <c:pt idx="174">
                  <c:v>5.0380025216958613</c:v>
                </c:pt>
                <c:pt idx="175">
                  <c:v>5.0537270269068939</c:v>
                </c:pt>
                <c:pt idx="176">
                  <c:v>5.0564884963064394</c:v>
                </c:pt>
                <c:pt idx="177">
                  <c:v>5.0694619289467404</c:v>
                </c:pt>
                <c:pt idx="178">
                  <c:v>5.0848423605993762</c:v>
                </c:pt>
                <c:pt idx="179">
                  <c:v>5.0873156975176217</c:v>
                </c:pt>
                <c:pt idx="180">
                  <c:v>5.0998578587883818</c:v>
                </c:pt>
                <c:pt idx="181">
                  <c:v>5.1140277657196185</c:v>
                </c:pt>
                <c:pt idx="182">
                  <c:v>5.1165374552067924</c:v>
                </c:pt>
                <c:pt idx="183">
                  <c:v>5.1282995177201425</c:v>
                </c:pt>
                <c:pt idx="184">
                  <c:v>5.1421823558985409</c:v>
                </c:pt>
                <c:pt idx="185">
                  <c:v>5.1444085668574004</c:v>
                </c:pt>
                <c:pt idx="186">
                  <c:v>5.1556703256539853</c:v>
                </c:pt>
                <c:pt idx="187">
                  <c:v>5.1683379910090999</c:v>
                </c:pt>
                <c:pt idx="188">
                  <c:v>5.1810353335954762</c:v>
                </c:pt>
                <c:pt idx="189">
                  <c:v>5.1933254916350968</c:v>
                </c:pt>
                <c:pt idx="190">
                  <c:v>5.2052059114836489</c:v>
                </c:pt>
                <c:pt idx="191">
                  <c:v>5.2163072705940783</c:v>
                </c:pt>
                <c:pt idx="192">
                  <c:v>5.2273768093306847</c:v>
                </c:pt>
                <c:pt idx="193">
                  <c:v>5.2380330058749118</c:v>
                </c:pt>
                <c:pt idx="194">
                  <c:v>5.2482758214718777</c:v>
                </c:pt>
                <c:pt idx="195">
                  <c:v>5.2578964260631516</c:v>
                </c:pt>
                <c:pt idx="196">
                  <c:v>5.267323336028829</c:v>
                </c:pt>
                <c:pt idx="197">
                  <c:v>5.2763396599723063</c:v>
                </c:pt>
                <c:pt idx="198">
                  <c:v>5.2849471867226221</c:v>
                </c:pt>
                <c:pt idx="199">
                  <c:v>5.292887043531703</c:v>
                </c:pt>
                <c:pt idx="200">
                  <c:v>5.3006969264590156</c:v>
                </c:pt>
                <c:pt idx="201">
                  <c:v>5.3081053786843606</c:v>
                </c:pt>
                <c:pt idx="202">
                  <c:v>5.3151154801020226</c:v>
                </c:pt>
                <c:pt idx="203">
                  <c:v>5.3215210527521997</c:v>
                </c:pt>
                <c:pt idx="204">
                  <c:v>5.3277574042181692</c:v>
                </c:pt>
                <c:pt idx="205">
                  <c:v>5.3336059695925133</c:v>
                </c:pt>
                <c:pt idx="206">
                  <c:v>5.339070716762337</c:v>
                </c:pt>
                <c:pt idx="207">
                  <c:v>5.3439959131699428</c:v>
                </c:pt>
                <c:pt idx="208">
                  <c:v>5.3487177714287641</c:v>
                </c:pt>
                <c:pt idx="209">
                  <c:v>5.3530685336901955</c:v>
                </c:pt>
                <c:pt idx="210">
                  <c:v>5.3570527521160063</c:v>
                </c:pt>
                <c:pt idx="211">
                  <c:v>5.3606001560723255</c:v>
                </c:pt>
                <c:pt idx="212">
                  <c:v>5.3638730777200685</c:v>
                </c:pt>
                <c:pt idx="213">
                  <c:v>5.3667936065938813</c:v>
                </c:pt>
                <c:pt idx="214">
                  <c:v>5.369366652491899</c:v>
                </c:pt>
                <c:pt idx="215">
                  <c:v>5.3715298021256448</c:v>
                </c:pt>
                <c:pt idx="216">
                  <c:v>5.3734337718358569</c:v>
                </c:pt>
                <c:pt idx="217">
                  <c:v>5.3750051506625374</c:v>
                </c:pt>
                <c:pt idx="218">
                  <c:v>5.3762490357781427</c:v>
                </c:pt>
                <c:pt idx="219">
                  <c:v>5.3771455325157591</c:v>
                </c:pt>
                <c:pt idx="220">
                  <c:v>5.3777600818018794</c:v>
                </c:pt>
                <c:pt idx="221">
                  <c:v>5.3780623883953895</c:v>
                </c:pt>
                <c:pt idx="222">
                  <c:v>5.3780576119902435</c:v>
                </c:pt>
                <c:pt idx="223">
                  <c:v>5.3777656223622907</c:v>
                </c:pt>
                <c:pt idx="224">
                  <c:v>5.3771717505918399</c:v>
                </c:pt>
                <c:pt idx="225">
                  <c:v>5.3762860877588894</c:v>
                </c:pt>
                <c:pt idx="226">
                  <c:v>5.3751137646528298</c:v>
                </c:pt>
                <c:pt idx="227">
                  <c:v>5.3736944574338485</c:v>
                </c:pt>
                <c:pt idx="228">
                  <c:v>5.3719700840594058</c:v>
                </c:pt>
                <c:pt idx="229">
                  <c:v>5.3699742065599825</c:v>
                </c:pt>
                <c:pt idx="230">
                  <c:v>5.3677118603414797</c:v>
                </c:pt>
                <c:pt idx="231">
                  <c:v>5.3652744194844058</c:v>
                </c:pt>
                <c:pt idx="232">
                  <c:v>5.3625023971756836</c:v>
                </c:pt>
                <c:pt idx="233">
                  <c:v>5.3594786492795308</c:v>
                </c:pt>
                <c:pt idx="234">
                  <c:v>5.3562080690079554</c:v>
                </c:pt>
                <c:pt idx="235">
                  <c:v>5.3528138149706646</c:v>
                </c:pt>
                <c:pt idx="236">
                  <c:v>5.3490717403798138</c:v>
                </c:pt>
                <c:pt idx="237">
                  <c:v>5.3450971024282801</c:v>
                </c:pt>
                <c:pt idx="238">
                  <c:v>5.3408946195765266</c:v>
                </c:pt>
                <c:pt idx="239">
                  <c:v>5.3366167494834507</c:v>
                </c:pt>
                <c:pt idx="240">
                  <c:v>5.3319795940221955</c:v>
                </c:pt>
                <c:pt idx="241">
                  <c:v>5.3271283090710249</c:v>
                </c:pt>
                <c:pt idx="242">
                  <c:v>5.3220674166843214</c:v>
                </c:pt>
                <c:pt idx="243">
                  <c:v>5.3169180161344194</c:v>
                </c:pt>
                <c:pt idx="244">
                  <c:v>5.3114555835857775</c:v>
                </c:pt>
              </c:numCache>
            </c:numRef>
          </c:yVal>
          <c:smooth val="1"/>
          <c:extLst>
            <c:ext xmlns:c16="http://schemas.microsoft.com/office/drawing/2014/chart" uri="{C3380CC4-5D6E-409C-BE32-E72D297353CC}">
              <c16:uniqueId val="{00000000-8292-4940-BFF8-E3EA4E3F0C1A}"/>
            </c:ext>
          </c:extLst>
        </c:ser>
        <c:ser>
          <c:idx val="1"/>
          <c:order val="1"/>
          <c:tx>
            <c:v>Forward rate f(t)</c:v>
          </c:tx>
          <c:spPr>
            <a:ln w="15000">
              <a:prstDash val="dash"/>
            </a:ln>
          </c:spPr>
          <c:marker>
            <c:symbol val="none"/>
          </c:marker>
          <c:xVal>
            <c:numRef>
              <c:f>Curve!$C$22:$C$266</c:f>
              <c:numCache>
                <c:formatCode>0.0000</c:formatCode>
                <c:ptCount val="245"/>
                <c:pt idx="0">
                  <c:v>1.9178082191780823E-2</c:v>
                </c:pt>
                <c:pt idx="1">
                  <c:v>6.0273972602739728E-2</c:v>
                </c:pt>
                <c:pt idx="2">
                  <c:v>0.10136986301369863</c:v>
                </c:pt>
                <c:pt idx="3">
                  <c:v>0.14520547945205478</c:v>
                </c:pt>
                <c:pt idx="4">
                  <c:v>0.18630136986301371</c:v>
                </c:pt>
                <c:pt idx="5">
                  <c:v>0.22739726027397261</c:v>
                </c:pt>
                <c:pt idx="6">
                  <c:v>0.26849315068493151</c:v>
                </c:pt>
                <c:pt idx="7">
                  <c:v>0.31232876712328766</c:v>
                </c:pt>
                <c:pt idx="8">
                  <c:v>0.35342465753424657</c:v>
                </c:pt>
                <c:pt idx="9">
                  <c:v>0.39726027397260272</c:v>
                </c:pt>
                <c:pt idx="10">
                  <c:v>0.43835616438356162</c:v>
                </c:pt>
                <c:pt idx="11">
                  <c:v>0.47397260273972602</c:v>
                </c:pt>
                <c:pt idx="12">
                  <c:v>0.51506849315068493</c:v>
                </c:pt>
                <c:pt idx="13">
                  <c:v>0.55890410958904113</c:v>
                </c:pt>
                <c:pt idx="14">
                  <c:v>0.6</c:v>
                </c:pt>
                <c:pt idx="15">
                  <c:v>0.64109589041095894</c:v>
                </c:pt>
                <c:pt idx="16">
                  <c:v>0.68219178082191778</c:v>
                </c:pt>
                <c:pt idx="17">
                  <c:v>0.72602739726027399</c:v>
                </c:pt>
                <c:pt idx="18">
                  <c:v>0.76712328767123283</c:v>
                </c:pt>
                <c:pt idx="19">
                  <c:v>0.80821917808219179</c:v>
                </c:pt>
                <c:pt idx="20">
                  <c:v>0.84931506849315064</c:v>
                </c:pt>
                <c:pt idx="21">
                  <c:v>0.89315068493150684</c:v>
                </c:pt>
                <c:pt idx="22">
                  <c:v>0.9342465753424658</c:v>
                </c:pt>
                <c:pt idx="23">
                  <c:v>0.9780821917808219</c:v>
                </c:pt>
                <c:pt idx="24">
                  <c:v>1.0191780821917809</c:v>
                </c:pt>
                <c:pt idx="25">
                  <c:v>1.0602739726027397</c:v>
                </c:pt>
                <c:pt idx="26">
                  <c:v>1.1013698630136985</c:v>
                </c:pt>
                <c:pt idx="27">
                  <c:v>1.1452054794520548</c:v>
                </c:pt>
                <c:pt idx="28">
                  <c:v>1.1863013698630136</c:v>
                </c:pt>
                <c:pt idx="29">
                  <c:v>1.2273972602739727</c:v>
                </c:pt>
                <c:pt idx="30">
                  <c:v>1.2684931506849315</c:v>
                </c:pt>
                <c:pt idx="31">
                  <c:v>1.3123287671232877</c:v>
                </c:pt>
                <c:pt idx="32">
                  <c:v>1.3534246575342466</c:v>
                </c:pt>
                <c:pt idx="33">
                  <c:v>1.3972602739726028</c:v>
                </c:pt>
                <c:pt idx="34">
                  <c:v>1.4383561643835616</c:v>
                </c:pt>
                <c:pt idx="35">
                  <c:v>1.4767123287671233</c:v>
                </c:pt>
                <c:pt idx="36">
                  <c:v>1.5178082191780822</c:v>
                </c:pt>
                <c:pt idx="37">
                  <c:v>1.5616438356164384</c:v>
                </c:pt>
                <c:pt idx="38">
                  <c:v>1.6027397260273972</c:v>
                </c:pt>
                <c:pt idx="39">
                  <c:v>1.6438356164383561</c:v>
                </c:pt>
                <c:pt idx="40">
                  <c:v>1.6849315068493151</c:v>
                </c:pt>
                <c:pt idx="41">
                  <c:v>1.7287671232876711</c:v>
                </c:pt>
                <c:pt idx="42">
                  <c:v>1.7698630136986302</c:v>
                </c:pt>
                <c:pt idx="43">
                  <c:v>1.810958904109589</c:v>
                </c:pt>
                <c:pt idx="44">
                  <c:v>1.8520547945205479</c:v>
                </c:pt>
                <c:pt idx="45">
                  <c:v>1.8958904109589041</c:v>
                </c:pt>
                <c:pt idx="46">
                  <c:v>1.9369863013698629</c:v>
                </c:pt>
                <c:pt idx="47">
                  <c:v>1.9808219178082191</c:v>
                </c:pt>
                <c:pt idx="48">
                  <c:v>2.021917808219178</c:v>
                </c:pt>
                <c:pt idx="49">
                  <c:v>2.0630136986301371</c:v>
                </c:pt>
                <c:pt idx="50">
                  <c:v>2.1041095890410957</c:v>
                </c:pt>
                <c:pt idx="51">
                  <c:v>2.1479452054794521</c:v>
                </c:pt>
                <c:pt idx="52">
                  <c:v>2.1890410958904107</c:v>
                </c:pt>
                <c:pt idx="53">
                  <c:v>2.2301369863013698</c:v>
                </c:pt>
                <c:pt idx="54">
                  <c:v>2.2712328767123289</c:v>
                </c:pt>
                <c:pt idx="55">
                  <c:v>2.3150684931506849</c:v>
                </c:pt>
                <c:pt idx="56">
                  <c:v>2.3561643835616439</c:v>
                </c:pt>
                <c:pt idx="57">
                  <c:v>2.4</c:v>
                </c:pt>
                <c:pt idx="58">
                  <c:v>2.441095890410959</c:v>
                </c:pt>
                <c:pt idx="59">
                  <c:v>2.4767123287671233</c:v>
                </c:pt>
                <c:pt idx="60">
                  <c:v>2.5178082191780824</c:v>
                </c:pt>
                <c:pt idx="61">
                  <c:v>2.5616438356164384</c:v>
                </c:pt>
                <c:pt idx="62">
                  <c:v>2.6027397260273974</c:v>
                </c:pt>
                <c:pt idx="63">
                  <c:v>2.6438356164383561</c:v>
                </c:pt>
                <c:pt idx="64">
                  <c:v>2.6849315068493151</c:v>
                </c:pt>
                <c:pt idx="65">
                  <c:v>2.7287671232876711</c:v>
                </c:pt>
                <c:pt idx="66">
                  <c:v>2.7698630136986302</c:v>
                </c:pt>
                <c:pt idx="67">
                  <c:v>2.8109589041095893</c:v>
                </c:pt>
                <c:pt idx="68">
                  <c:v>2.8520547945205479</c:v>
                </c:pt>
                <c:pt idx="69">
                  <c:v>2.8958904109589043</c:v>
                </c:pt>
                <c:pt idx="70">
                  <c:v>2.9369863013698629</c:v>
                </c:pt>
                <c:pt idx="71">
                  <c:v>2.9808219178082194</c:v>
                </c:pt>
                <c:pt idx="72">
                  <c:v>3.0630136986301371</c:v>
                </c:pt>
                <c:pt idx="73">
                  <c:v>3.1479452054794521</c:v>
                </c:pt>
                <c:pt idx="74">
                  <c:v>3.1890410958904107</c:v>
                </c:pt>
                <c:pt idx="75">
                  <c:v>3.2301369863013698</c:v>
                </c:pt>
                <c:pt idx="76">
                  <c:v>3.3150684931506849</c:v>
                </c:pt>
                <c:pt idx="77">
                  <c:v>3.4</c:v>
                </c:pt>
                <c:pt idx="78">
                  <c:v>3.441095890410959</c:v>
                </c:pt>
                <c:pt idx="79">
                  <c:v>3.4767123287671233</c:v>
                </c:pt>
                <c:pt idx="80">
                  <c:v>3.5616438356164384</c:v>
                </c:pt>
                <c:pt idx="81">
                  <c:v>3.6438356164383561</c:v>
                </c:pt>
                <c:pt idx="82">
                  <c:v>3.6849315068493151</c:v>
                </c:pt>
                <c:pt idx="83">
                  <c:v>3.7287671232876711</c:v>
                </c:pt>
                <c:pt idx="84">
                  <c:v>3.8109589041095893</c:v>
                </c:pt>
                <c:pt idx="85">
                  <c:v>3.8958904109589043</c:v>
                </c:pt>
                <c:pt idx="86">
                  <c:v>3.9369863013698629</c:v>
                </c:pt>
                <c:pt idx="87">
                  <c:v>3.9808219178082194</c:v>
                </c:pt>
                <c:pt idx="88">
                  <c:v>4.0630136986301366</c:v>
                </c:pt>
                <c:pt idx="89">
                  <c:v>4.1479452054794521</c:v>
                </c:pt>
                <c:pt idx="90">
                  <c:v>4.1890410958904107</c:v>
                </c:pt>
                <c:pt idx="91">
                  <c:v>4.2301369863013702</c:v>
                </c:pt>
                <c:pt idx="92">
                  <c:v>4.3150684931506849</c:v>
                </c:pt>
                <c:pt idx="93">
                  <c:v>4.4000000000000004</c:v>
                </c:pt>
                <c:pt idx="94">
                  <c:v>4.441095890410959</c:v>
                </c:pt>
                <c:pt idx="95">
                  <c:v>4.4767123287671229</c:v>
                </c:pt>
                <c:pt idx="96">
                  <c:v>4.5616438356164384</c:v>
                </c:pt>
                <c:pt idx="97">
                  <c:v>4.6438356164383565</c:v>
                </c:pt>
                <c:pt idx="98">
                  <c:v>4.6849315068493151</c:v>
                </c:pt>
                <c:pt idx="99">
                  <c:v>4.7287671232876711</c:v>
                </c:pt>
                <c:pt idx="100">
                  <c:v>4.8109589041095893</c:v>
                </c:pt>
                <c:pt idx="101">
                  <c:v>4.8958904109589039</c:v>
                </c:pt>
                <c:pt idx="102">
                  <c:v>4.9369863013698634</c:v>
                </c:pt>
                <c:pt idx="103">
                  <c:v>4.9808219178082194</c:v>
                </c:pt>
                <c:pt idx="104">
                  <c:v>5.0630136986301366</c:v>
                </c:pt>
                <c:pt idx="105">
                  <c:v>5.1479452054794521</c:v>
                </c:pt>
                <c:pt idx="106">
                  <c:v>5.1890410958904107</c:v>
                </c:pt>
                <c:pt idx="107">
                  <c:v>5.2301369863013702</c:v>
                </c:pt>
                <c:pt idx="108">
                  <c:v>5.3150684931506849</c:v>
                </c:pt>
                <c:pt idx="109">
                  <c:v>5.4</c:v>
                </c:pt>
                <c:pt idx="110">
                  <c:v>5.441095890410959</c:v>
                </c:pt>
                <c:pt idx="111">
                  <c:v>5.4794520547945202</c:v>
                </c:pt>
                <c:pt idx="112">
                  <c:v>5.5643835616438357</c:v>
                </c:pt>
                <c:pt idx="113">
                  <c:v>5.646575342465753</c:v>
                </c:pt>
                <c:pt idx="114">
                  <c:v>5.6876712328767125</c:v>
                </c:pt>
                <c:pt idx="115">
                  <c:v>5.7315068493150685</c:v>
                </c:pt>
                <c:pt idx="116">
                  <c:v>5.8136986301369866</c:v>
                </c:pt>
                <c:pt idx="117">
                  <c:v>5.8986301369863012</c:v>
                </c:pt>
                <c:pt idx="118">
                  <c:v>5.9397260273972599</c:v>
                </c:pt>
                <c:pt idx="119">
                  <c:v>5.9835616438356167</c:v>
                </c:pt>
                <c:pt idx="120">
                  <c:v>6.065753424657534</c:v>
                </c:pt>
                <c:pt idx="121">
                  <c:v>6.1506849315068495</c:v>
                </c:pt>
                <c:pt idx="122">
                  <c:v>6.1917808219178081</c:v>
                </c:pt>
                <c:pt idx="123">
                  <c:v>6.2328767123287667</c:v>
                </c:pt>
                <c:pt idx="124">
                  <c:v>6.3178082191780822</c:v>
                </c:pt>
                <c:pt idx="125">
                  <c:v>6.4027397260273968</c:v>
                </c:pt>
                <c:pt idx="126">
                  <c:v>6.4438356164383563</c:v>
                </c:pt>
                <c:pt idx="127">
                  <c:v>6.4794520547945202</c:v>
                </c:pt>
                <c:pt idx="128">
                  <c:v>6.5643835616438357</c:v>
                </c:pt>
                <c:pt idx="129">
                  <c:v>6.646575342465753</c:v>
                </c:pt>
                <c:pt idx="130">
                  <c:v>6.6876712328767125</c:v>
                </c:pt>
                <c:pt idx="131">
                  <c:v>6.7315068493150685</c:v>
                </c:pt>
                <c:pt idx="132">
                  <c:v>6.8136986301369866</c:v>
                </c:pt>
                <c:pt idx="133">
                  <c:v>6.8986301369863012</c:v>
                </c:pt>
                <c:pt idx="134">
                  <c:v>6.9397260273972599</c:v>
                </c:pt>
                <c:pt idx="135">
                  <c:v>6.9835616438356167</c:v>
                </c:pt>
                <c:pt idx="136">
                  <c:v>7.1917808219178081</c:v>
                </c:pt>
                <c:pt idx="137">
                  <c:v>7.2328767123287667</c:v>
                </c:pt>
                <c:pt idx="138">
                  <c:v>7.4438356164383563</c:v>
                </c:pt>
                <c:pt idx="139">
                  <c:v>7.6876712328767125</c:v>
                </c:pt>
                <c:pt idx="140">
                  <c:v>7.7315068493150685</c:v>
                </c:pt>
                <c:pt idx="141">
                  <c:v>7.9397260273972599</c:v>
                </c:pt>
                <c:pt idx="142">
                  <c:v>8.1917808219178081</c:v>
                </c:pt>
                <c:pt idx="143">
                  <c:v>8.2328767123287676</c:v>
                </c:pt>
                <c:pt idx="144">
                  <c:v>8.4438356164383563</c:v>
                </c:pt>
                <c:pt idx="145">
                  <c:v>8.6876712328767116</c:v>
                </c:pt>
                <c:pt idx="146">
                  <c:v>8.7315068493150694</c:v>
                </c:pt>
                <c:pt idx="147">
                  <c:v>8.9397260273972599</c:v>
                </c:pt>
                <c:pt idx="148">
                  <c:v>9.1917808219178081</c:v>
                </c:pt>
                <c:pt idx="149">
                  <c:v>9.2328767123287676</c:v>
                </c:pt>
                <c:pt idx="150">
                  <c:v>9.4438356164383563</c:v>
                </c:pt>
                <c:pt idx="151">
                  <c:v>9.6904109589041099</c:v>
                </c:pt>
                <c:pt idx="152">
                  <c:v>9.7342465753424658</c:v>
                </c:pt>
                <c:pt idx="153">
                  <c:v>9.9424657534246581</c:v>
                </c:pt>
                <c:pt idx="154">
                  <c:v>10.194520547945206</c:v>
                </c:pt>
                <c:pt idx="155">
                  <c:v>10.235616438356164</c:v>
                </c:pt>
                <c:pt idx="156">
                  <c:v>10.446575342465753</c:v>
                </c:pt>
                <c:pt idx="157">
                  <c:v>10.69041095890411</c:v>
                </c:pt>
                <c:pt idx="158">
                  <c:v>10.734246575342466</c:v>
                </c:pt>
                <c:pt idx="159">
                  <c:v>10.942465753424658</c:v>
                </c:pt>
                <c:pt idx="160">
                  <c:v>11.194520547945206</c:v>
                </c:pt>
                <c:pt idx="161">
                  <c:v>11.235616438356164</c:v>
                </c:pt>
                <c:pt idx="162">
                  <c:v>11.446575342465753</c:v>
                </c:pt>
                <c:pt idx="163">
                  <c:v>11.69041095890411</c:v>
                </c:pt>
                <c:pt idx="164">
                  <c:v>11.734246575342466</c:v>
                </c:pt>
                <c:pt idx="165">
                  <c:v>11.942465753424658</c:v>
                </c:pt>
                <c:pt idx="166">
                  <c:v>12.194520547945206</c:v>
                </c:pt>
                <c:pt idx="167">
                  <c:v>12.235616438356164</c:v>
                </c:pt>
                <c:pt idx="168">
                  <c:v>12.446575342465753</c:v>
                </c:pt>
                <c:pt idx="169">
                  <c:v>12.69041095890411</c:v>
                </c:pt>
                <c:pt idx="170">
                  <c:v>12.734246575342466</c:v>
                </c:pt>
                <c:pt idx="171">
                  <c:v>12.942465753424658</c:v>
                </c:pt>
                <c:pt idx="172">
                  <c:v>13.194520547945206</c:v>
                </c:pt>
                <c:pt idx="173">
                  <c:v>13.235616438356164</c:v>
                </c:pt>
                <c:pt idx="174">
                  <c:v>13.446575342465753</c:v>
                </c:pt>
                <c:pt idx="175">
                  <c:v>13.693150684931506</c:v>
                </c:pt>
                <c:pt idx="176">
                  <c:v>13.736986301369862</c:v>
                </c:pt>
                <c:pt idx="177">
                  <c:v>13.945205479452055</c:v>
                </c:pt>
                <c:pt idx="178">
                  <c:v>14.197260273972603</c:v>
                </c:pt>
                <c:pt idx="179">
                  <c:v>14.238356164383562</c:v>
                </c:pt>
                <c:pt idx="180">
                  <c:v>14.449315068493151</c:v>
                </c:pt>
                <c:pt idx="181">
                  <c:v>14.693150684931506</c:v>
                </c:pt>
                <c:pt idx="182">
                  <c:v>14.736986301369862</c:v>
                </c:pt>
                <c:pt idx="183">
                  <c:v>14.945205479452055</c:v>
                </c:pt>
                <c:pt idx="184">
                  <c:v>15.197260273972603</c:v>
                </c:pt>
                <c:pt idx="185">
                  <c:v>15.238356164383562</c:v>
                </c:pt>
                <c:pt idx="186">
                  <c:v>15.449315068493151</c:v>
                </c:pt>
                <c:pt idx="187">
                  <c:v>15.693150684931506</c:v>
                </c:pt>
                <c:pt idx="188">
                  <c:v>15.945205479452055</c:v>
                </c:pt>
                <c:pt idx="189">
                  <c:v>16.197260273972603</c:v>
                </c:pt>
                <c:pt idx="190">
                  <c:v>16.449315068493149</c:v>
                </c:pt>
                <c:pt idx="191">
                  <c:v>16.693150684931506</c:v>
                </c:pt>
                <c:pt idx="192">
                  <c:v>16.945205479452056</c:v>
                </c:pt>
                <c:pt idx="193">
                  <c:v>17.197260273972603</c:v>
                </c:pt>
                <c:pt idx="194">
                  <c:v>17.449315068493149</c:v>
                </c:pt>
                <c:pt idx="195">
                  <c:v>17.695890410958903</c:v>
                </c:pt>
                <c:pt idx="196">
                  <c:v>17.947945205479453</c:v>
                </c:pt>
                <c:pt idx="197">
                  <c:v>18.2</c:v>
                </c:pt>
                <c:pt idx="198">
                  <c:v>18.452054794520549</c:v>
                </c:pt>
                <c:pt idx="199">
                  <c:v>18.695890410958903</c:v>
                </c:pt>
                <c:pt idx="200">
                  <c:v>18.947945205479453</c:v>
                </c:pt>
                <c:pt idx="201">
                  <c:v>19.2</c:v>
                </c:pt>
                <c:pt idx="202">
                  <c:v>19.452054794520549</c:v>
                </c:pt>
                <c:pt idx="203">
                  <c:v>19.695890410958903</c:v>
                </c:pt>
                <c:pt idx="204">
                  <c:v>19.947945205479453</c:v>
                </c:pt>
                <c:pt idx="205">
                  <c:v>20.2</c:v>
                </c:pt>
                <c:pt idx="206">
                  <c:v>20.452054794520549</c:v>
                </c:pt>
                <c:pt idx="207">
                  <c:v>20.695890410958903</c:v>
                </c:pt>
                <c:pt idx="208">
                  <c:v>20.947945205479453</c:v>
                </c:pt>
                <c:pt idx="209">
                  <c:v>21.2</c:v>
                </c:pt>
                <c:pt idx="210">
                  <c:v>21.452054794520549</c:v>
                </c:pt>
                <c:pt idx="211">
                  <c:v>21.698630136986303</c:v>
                </c:pt>
                <c:pt idx="212">
                  <c:v>21.950684931506849</c:v>
                </c:pt>
                <c:pt idx="213">
                  <c:v>22.202739726027396</c:v>
                </c:pt>
                <c:pt idx="214">
                  <c:v>22.454794520547946</c:v>
                </c:pt>
                <c:pt idx="215">
                  <c:v>22.698630136986303</c:v>
                </c:pt>
                <c:pt idx="216">
                  <c:v>22.950684931506849</c:v>
                </c:pt>
                <c:pt idx="217">
                  <c:v>23.202739726027396</c:v>
                </c:pt>
                <c:pt idx="218">
                  <c:v>23.454794520547946</c:v>
                </c:pt>
                <c:pt idx="219">
                  <c:v>23.698630136986303</c:v>
                </c:pt>
                <c:pt idx="220">
                  <c:v>23.950684931506849</c:v>
                </c:pt>
                <c:pt idx="221">
                  <c:v>24.202739726027396</c:v>
                </c:pt>
                <c:pt idx="222">
                  <c:v>24.454794520547946</c:v>
                </c:pt>
                <c:pt idx="223">
                  <c:v>24.698630136986303</c:v>
                </c:pt>
                <c:pt idx="224">
                  <c:v>24.950684931506849</c:v>
                </c:pt>
                <c:pt idx="225">
                  <c:v>25.202739726027396</c:v>
                </c:pt>
                <c:pt idx="226">
                  <c:v>25.454794520547946</c:v>
                </c:pt>
                <c:pt idx="227">
                  <c:v>25.701369863013699</c:v>
                </c:pt>
                <c:pt idx="228">
                  <c:v>25.953424657534246</c:v>
                </c:pt>
                <c:pt idx="229">
                  <c:v>26.205479452054796</c:v>
                </c:pt>
                <c:pt idx="230">
                  <c:v>26.457534246575342</c:v>
                </c:pt>
                <c:pt idx="231">
                  <c:v>26.701369863013699</c:v>
                </c:pt>
                <c:pt idx="232">
                  <c:v>26.953424657534246</c:v>
                </c:pt>
                <c:pt idx="233">
                  <c:v>27.205479452054796</c:v>
                </c:pt>
                <c:pt idx="234">
                  <c:v>27.457534246575342</c:v>
                </c:pt>
                <c:pt idx="235">
                  <c:v>27.701369863013699</c:v>
                </c:pt>
                <c:pt idx="236">
                  <c:v>27.953424657534246</c:v>
                </c:pt>
                <c:pt idx="237">
                  <c:v>28.205479452054796</c:v>
                </c:pt>
                <c:pt idx="238">
                  <c:v>28.457534246575342</c:v>
                </c:pt>
                <c:pt idx="239">
                  <c:v>28.701369863013699</c:v>
                </c:pt>
                <c:pt idx="240">
                  <c:v>28.953424657534246</c:v>
                </c:pt>
                <c:pt idx="241">
                  <c:v>29.205479452054796</c:v>
                </c:pt>
                <c:pt idx="242">
                  <c:v>29.457534246575342</c:v>
                </c:pt>
                <c:pt idx="243">
                  <c:v>29.704109589041096</c:v>
                </c:pt>
                <c:pt idx="244">
                  <c:v>29.956164383561642</c:v>
                </c:pt>
              </c:numCache>
            </c:numRef>
          </c:xVal>
          <c:yVal>
            <c:numRef>
              <c:f>Curve!$F$22:$F$266</c:f>
              <c:numCache>
                <c:formatCode>0.0000</c:formatCode>
                <c:ptCount val="245"/>
                <c:pt idx="0">
                  <c:v>3.6559896015634301</c:v>
                </c:pt>
                <c:pt idx="1">
                  <c:v>3.7144812849980551</c:v>
                </c:pt>
                <c:pt idx="2">
                  <c:v>3.7700472372875895</c:v>
                </c:pt>
                <c:pt idx="3">
                  <c:v>3.8262244201659508</c:v>
                </c:pt>
                <c:pt idx="4">
                  <c:v>3.8761098976725696</c:v>
                </c:pt>
                <c:pt idx="5">
                  <c:v>3.9234158679696436</c:v>
                </c:pt>
                <c:pt idx="6">
                  <c:v>3.9682475995544615</c:v>
                </c:pt>
                <c:pt idx="7">
                  <c:v>4.0134554825185305</c:v>
                </c:pt>
                <c:pt idx="8">
                  <c:v>4.0534921989056309</c:v>
                </c:pt>
                <c:pt idx="9">
                  <c:v>4.0938049849759883</c:v>
                </c:pt>
                <c:pt idx="10">
                  <c:v>4.1294512298120489</c:v>
                </c:pt>
                <c:pt idx="11">
                  <c:v>4.1587337918131233</c:v>
                </c:pt>
                <c:pt idx="12">
                  <c:v>4.1907387369338789</c:v>
                </c:pt>
                <c:pt idx="13">
                  <c:v>4.2228609197289257</c:v>
                </c:pt>
                <c:pt idx="14">
                  <c:v>4.2511691042216135</c:v>
                </c:pt>
                <c:pt idx="15">
                  <c:v>4.2778076421903428</c:v>
                </c:pt>
                <c:pt idx="16">
                  <c:v>4.3028505445572627</c:v>
                </c:pt>
                <c:pt idx="17">
                  <c:v>4.3278846407631058</c:v>
                </c:pt>
                <c:pt idx="18">
                  <c:v>4.3498533518281306</c:v>
                </c:pt>
                <c:pt idx="19">
                  <c:v>4.3704375251973255</c:v>
                </c:pt>
                <c:pt idx="20">
                  <c:v>4.389701091948754</c:v>
                </c:pt>
                <c:pt idx="21">
                  <c:v>4.4088627095575319</c:v>
                </c:pt>
                <c:pt idx="22">
                  <c:v>4.4255898768481305</c:v>
                </c:pt>
                <c:pt idx="23">
                  <c:v>4.442178671278044</c:v>
                </c:pt>
                <c:pt idx="24">
                  <c:v>4.4566135969827103</c:v>
                </c:pt>
                <c:pt idx="25">
                  <c:v>4.4700216342898447</c:v>
                </c:pt>
                <c:pt idx="26">
                  <c:v>4.4824537800336879</c:v>
                </c:pt>
                <c:pt idx="27">
                  <c:v>4.4946943953130658</c:v>
                </c:pt>
                <c:pt idx="28">
                  <c:v>4.5052633051727726</c:v>
                </c:pt>
                <c:pt idx="29">
                  <c:v>4.5150012611402159</c:v>
                </c:pt>
                <c:pt idx="30">
                  <c:v>4.5239519900063874</c:v>
                </c:pt>
                <c:pt idx="31">
                  <c:v>4.532679118822931</c:v>
                </c:pt>
                <c:pt idx="32">
                  <c:v>4.540134470393534</c:v>
                </c:pt>
                <c:pt idx="33">
                  <c:v>4.5473568136498743</c:v>
                </c:pt>
                <c:pt idx="34">
                  <c:v>4.5534827672331133</c:v>
                </c:pt>
                <c:pt idx="35">
                  <c:v>4.5586695337086924</c:v>
                </c:pt>
                <c:pt idx="36">
                  <c:v>4.5636906707941174</c:v>
                </c:pt>
                <c:pt idx="37">
                  <c:v>4.5684717813780891</c:v>
                </c:pt>
                <c:pt idx="38">
                  <c:v>4.572448852758507</c:v>
                </c:pt>
                <c:pt idx="39">
                  <c:v>4.5759682348510102</c:v>
                </c:pt>
                <c:pt idx="40">
                  <c:v>4.5790592445567286</c:v>
                </c:pt>
                <c:pt idx="41">
                  <c:v>4.5819158450613022</c:v>
                </c:pt>
                <c:pt idx="42">
                  <c:v>4.5842094457793792</c:v>
                </c:pt>
                <c:pt idx="43">
                  <c:v>4.5861574107137804</c:v>
                </c:pt>
                <c:pt idx="44">
                  <c:v>4.5877845112144282</c:v>
                </c:pt>
                <c:pt idx="45">
                  <c:v>4.5891931577886087</c:v>
                </c:pt>
                <c:pt idx="46">
                  <c:v>4.5902312722702732</c:v>
                </c:pt>
                <c:pt idx="47">
                  <c:v>4.5910622925776519</c:v>
                </c:pt>
                <c:pt idx="48">
                  <c:v>4.5916042938987527</c:v>
                </c:pt>
                <c:pt idx="49">
                  <c:v>4.5919371819828623</c:v>
                </c:pt>
                <c:pt idx="50">
                  <c:v>4.5920799603109632</c:v>
                </c:pt>
                <c:pt idx="51">
                  <c:v>4.5920431752466611</c:v>
                </c:pt>
                <c:pt idx="52">
                  <c:v>4.5918497473902562</c:v>
                </c:pt>
                <c:pt idx="53">
                  <c:v>4.591519433042679</c:v>
                </c:pt>
                <c:pt idx="54">
                  <c:v>4.5910680341558612</c:v>
                </c:pt>
                <c:pt idx="55">
                  <c:v>4.5904700603146535</c:v>
                </c:pt>
                <c:pt idx="56">
                  <c:v>4.5898154321513518</c:v>
                </c:pt>
                <c:pt idx="57">
                  <c:v>4.5890326074018581</c:v>
                </c:pt>
                <c:pt idx="58">
                  <c:v>4.5882331788777968</c:v>
                </c:pt>
                <c:pt idx="59">
                  <c:v>4.5874988478521317</c:v>
                </c:pt>
                <c:pt idx="60">
                  <c:v>4.5866141948284342</c:v>
                </c:pt>
                <c:pt idx="61">
                  <c:v>4.5856385678813023</c:v>
                </c:pt>
                <c:pt idx="62">
                  <c:v>4.5847052084479687</c:v>
                </c:pt>
                <c:pt idx="63">
                  <c:v>4.583764107272974</c:v>
                </c:pt>
                <c:pt idx="64">
                  <c:v>4.582824875119897</c:v>
                </c:pt>
                <c:pt idx="65">
                  <c:v>4.5818353435559107</c:v>
                </c:pt>
                <c:pt idx="66">
                  <c:v>4.5809283019950264</c:v>
                </c:pt>
                <c:pt idx="67">
                  <c:v>4.5800495614666579</c:v>
                </c:pt>
                <c:pt idx="68">
                  <c:v>4.5792068099936607</c:v>
                </c:pt>
                <c:pt idx="69">
                  <c:v>4.5783557134083273</c:v>
                </c:pt>
                <c:pt idx="70">
                  <c:v>4.5776098747947813</c:v>
                </c:pt>
                <c:pt idx="71">
                  <c:v>4.5768772407527063</c:v>
                </c:pt>
                <c:pt idx="72">
                  <c:v>4.5757033007481196</c:v>
                </c:pt>
                <c:pt idx="73">
                  <c:v>4.5748026598278377</c:v>
                </c:pt>
                <c:pt idx="74">
                  <c:v>4.5744934640837229</c:v>
                </c:pt>
                <c:pt idx="75">
                  <c:v>4.5742727669022649</c:v>
                </c:pt>
                <c:pt idx="76">
                  <c:v>4.5741139274499591</c:v>
                </c:pt>
                <c:pt idx="77">
                  <c:v>4.5743812269598765</c:v>
                </c:pt>
                <c:pt idx="78">
                  <c:v>4.574671626305145</c:v>
                </c:pt>
                <c:pt idx="79">
                  <c:v>4.575011137023469</c:v>
                </c:pt>
                <c:pt idx="80">
                  <c:v>4.5761592071281747</c:v>
                </c:pt>
                <c:pt idx="81">
                  <c:v>4.5777378906329309</c:v>
                </c:pt>
                <c:pt idx="82">
                  <c:v>4.5787040804650303</c:v>
                </c:pt>
                <c:pt idx="83">
                  <c:v>4.5798667565445985</c:v>
                </c:pt>
                <c:pt idx="84">
                  <c:v>4.5824190020998135</c:v>
                </c:pt>
                <c:pt idx="85">
                  <c:v>4.5855727676218452</c:v>
                </c:pt>
                <c:pt idx="86">
                  <c:v>4.5872888993160998</c:v>
                </c:pt>
                <c:pt idx="87">
                  <c:v>4.5892567394411259</c:v>
                </c:pt>
                <c:pt idx="88">
                  <c:v>4.5933293116544522</c:v>
                </c:pt>
                <c:pt idx="89">
                  <c:v>4.5980623875161983</c:v>
                </c:pt>
                <c:pt idx="90">
                  <c:v>4.600543628482991</c:v>
                </c:pt>
                <c:pt idx="91">
                  <c:v>4.6031490102129782</c:v>
                </c:pt>
                <c:pt idx="92">
                  <c:v>4.6089247516976446</c:v>
                </c:pt>
                <c:pt idx="93">
                  <c:v>4.6152232567406068</c:v>
                </c:pt>
                <c:pt idx="94">
                  <c:v>4.6184565860906757</c:v>
                </c:pt>
                <c:pt idx="95">
                  <c:v>4.6213558114810223</c:v>
                </c:pt>
                <c:pt idx="96">
                  <c:v>4.6286289033045751</c:v>
                </c:pt>
                <c:pt idx="97">
                  <c:v>4.6361424568707745</c:v>
                </c:pt>
                <c:pt idx="98">
                  <c:v>4.6400714648250725</c:v>
                </c:pt>
                <c:pt idx="99">
                  <c:v>4.6443870646554348</c:v>
                </c:pt>
                <c:pt idx="100">
                  <c:v>4.6528200381449194</c:v>
                </c:pt>
                <c:pt idx="101">
                  <c:v>4.661991484528258</c:v>
                </c:pt>
                <c:pt idx="102">
                  <c:v>4.6665923322670366</c:v>
                </c:pt>
                <c:pt idx="103">
                  <c:v>4.6716147733541655</c:v>
                </c:pt>
                <c:pt idx="104">
                  <c:v>4.6813448405310121</c:v>
                </c:pt>
                <c:pt idx="105">
                  <c:v>4.6918163831853228</c:v>
                </c:pt>
                <c:pt idx="106">
                  <c:v>4.6970311357999481</c:v>
                </c:pt>
                <c:pt idx="107">
                  <c:v>4.70234001707035</c:v>
                </c:pt>
                <c:pt idx="108">
                  <c:v>4.7136025351266069</c:v>
                </c:pt>
                <c:pt idx="109">
                  <c:v>4.725244186604292</c:v>
                </c:pt>
                <c:pt idx="110">
                  <c:v>4.7310086859579608</c:v>
                </c:pt>
                <c:pt idx="111">
                  <c:v>4.7364640676353558</c:v>
                </c:pt>
                <c:pt idx="112">
                  <c:v>4.7487946967164909</c:v>
                </c:pt>
                <c:pt idx="113">
                  <c:v>4.7610443410063441</c:v>
                </c:pt>
                <c:pt idx="114">
                  <c:v>4.7672813958990483</c:v>
                </c:pt>
                <c:pt idx="115">
                  <c:v>4.7740140011893182</c:v>
                </c:pt>
                <c:pt idx="116">
                  <c:v>4.786851936572317</c:v>
                </c:pt>
                <c:pt idx="117">
                  <c:v>4.8003983773056236</c:v>
                </c:pt>
                <c:pt idx="118">
                  <c:v>4.8070507883504101</c:v>
                </c:pt>
                <c:pt idx="119">
                  <c:v>4.8142141689899729</c:v>
                </c:pt>
                <c:pt idx="120">
                  <c:v>4.8278257778940494</c:v>
                </c:pt>
                <c:pt idx="121">
                  <c:v>4.8421253061708924</c:v>
                </c:pt>
                <c:pt idx="122">
                  <c:v>4.8491253063209347</c:v>
                </c:pt>
                <c:pt idx="123">
                  <c:v>4.8561756720253122</c:v>
                </c:pt>
                <c:pt idx="124">
                  <c:v>4.8708985679631036</c:v>
                </c:pt>
                <c:pt idx="125">
                  <c:v>4.8858139610581279</c:v>
                </c:pt>
                <c:pt idx="126">
                  <c:v>4.8930957356245974</c:v>
                </c:pt>
                <c:pt idx="127">
                  <c:v>4.8994389311866149</c:v>
                </c:pt>
                <c:pt idx="128">
                  <c:v>4.9146795538604282</c:v>
                </c:pt>
                <c:pt idx="129">
                  <c:v>4.9295712817308264</c:v>
                </c:pt>
                <c:pt idx="130">
                  <c:v>4.9370657107000815</c:v>
                </c:pt>
                <c:pt idx="131">
                  <c:v>4.9450930821614563</c:v>
                </c:pt>
                <c:pt idx="132">
                  <c:v>4.9602305941780545</c:v>
                </c:pt>
                <c:pt idx="133">
                  <c:v>4.9759797427795345</c:v>
                </c:pt>
                <c:pt idx="134">
                  <c:v>4.9836354479340406</c:v>
                </c:pt>
                <c:pt idx="135">
                  <c:v>4.9918245462715056</c:v>
                </c:pt>
                <c:pt idx="136">
                  <c:v>5.0309938457988839</c:v>
                </c:pt>
                <c:pt idx="137">
                  <c:v>5.0387674045093114</c:v>
                </c:pt>
                <c:pt idx="138">
                  <c:v>5.078814290266811</c:v>
                </c:pt>
                <c:pt idx="139">
                  <c:v>5.1252317512810164</c:v>
                </c:pt>
                <c:pt idx="140">
                  <c:v>5.1335729024827454</c:v>
                </c:pt>
                <c:pt idx="141">
                  <c:v>5.1731077869010589</c:v>
                </c:pt>
                <c:pt idx="142">
                  <c:v>5.220629121512907</c:v>
                </c:pt>
                <c:pt idx="143">
                  <c:v>5.2283278195349769</c:v>
                </c:pt>
                <c:pt idx="144">
                  <c:v>5.2675709851114512</c:v>
                </c:pt>
                <c:pt idx="145">
                  <c:v>5.3122415653557891</c:v>
                </c:pt>
                <c:pt idx="146">
                  <c:v>5.3201820459197862</c:v>
                </c:pt>
                <c:pt idx="147">
                  <c:v>5.3574788792101504</c:v>
                </c:pt>
                <c:pt idx="148">
                  <c:v>5.4016063371505805</c:v>
                </c:pt>
                <c:pt idx="149">
                  <c:v>5.4086861579362022</c:v>
                </c:pt>
                <c:pt idx="150">
                  <c:v>5.4444868739625472</c:v>
                </c:pt>
                <c:pt idx="151">
                  <c:v>5.4851148196788184</c:v>
                </c:pt>
                <c:pt idx="152">
                  <c:v>5.4921933193338557</c:v>
                </c:pt>
                <c:pt idx="153">
                  <c:v>5.5251962887856827</c:v>
                </c:pt>
                <c:pt idx="154">
                  <c:v>5.5637274462582207</c:v>
                </c:pt>
                <c:pt idx="155">
                  <c:v>5.5698576393871662</c:v>
                </c:pt>
                <c:pt idx="156">
                  <c:v>5.6006369652206995</c:v>
                </c:pt>
                <c:pt idx="157">
                  <c:v>5.6347448631934798</c:v>
                </c:pt>
                <c:pt idx="158">
                  <c:v>5.6407065045511526</c:v>
                </c:pt>
                <c:pt idx="159">
                  <c:v>5.6683053247087081</c:v>
                </c:pt>
                <c:pt idx="160">
                  <c:v>5.7001050883009992</c:v>
                </c:pt>
                <c:pt idx="161">
                  <c:v>5.7051209726604073</c:v>
                </c:pt>
                <c:pt idx="162">
                  <c:v>5.7301179243940954</c:v>
                </c:pt>
                <c:pt idx="163">
                  <c:v>5.7574350084504253</c:v>
                </c:pt>
                <c:pt idx="164">
                  <c:v>5.7621660613974379</c:v>
                </c:pt>
                <c:pt idx="165">
                  <c:v>5.7838882465978889</c:v>
                </c:pt>
                <c:pt idx="166">
                  <c:v>5.8085241484590453</c:v>
                </c:pt>
                <c:pt idx="167">
                  <c:v>5.8123686813863964</c:v>
                </c:pt>
                <c:pt idx="168">
                  <c:v>5.831345609446843</c:v>
                </c:pt>
                <c:pt idx="169">
                  <c:v>5.8517039798962101</c:v>
                </c:pt>
                <c:pt idx="170">
                  <c:v>5.8551854980305844</c:v>
                </c:pt>
                <c:pt idx="171">
                  <c:v>5.8709842929390836</c:v>
                </c:pt>
                <c:pt idx="172">
                  <c:v>5.8884878817221935</c:v>
                </c:pt>
                <c:pt idx="173">
                  <c:v>5.891174628885496</c:v>
                </c:pt>
                <c:pt idx="174">
                  <c:v>5.9042352994539868</c:v>
                </c:pt>
                <c:pt idx="175">
                  <c:v>5.9179637677110177</c:v>
                </c:pt>
                <c:pt idx="176">
                  <c:v>5.9202326394560236</c:v>
                </c:pt>
                <c:pt idx="177">
                  <c:v>5.9303092479459956</c:v>
                </c:pt>
                <c:pt idx="178">
                  <c:v>5.9409764392207247</c:v>
                </c:pt>
                <c:pt idx="179">
                  <c:v>5.9425585870632469</c:v>
                </c:pt>
                <c:pt idx="180">
                  <c:v>5.9499957734544369</c:v>
                </c:pt>
                <c:pt idx="181">
                  <c:v>5.9571830001853927</c:v>
                </c:pt>
                <c:pt idx="182">
                  <c:v>5.9583170317263727</c:v>
                </c:pt>
                <c:pt idx="183">
                  <c:v>5.9630550646944096</c:v>
                </c:pt>
                <c:pt idx="184">
                  <c:v>5.967377875790306</c:v>
                </c:pt>
                <c:pt idx="185">
                  <c:v>5.9679381876098763</c:v>
                </c:pt>
                <c:pt idx="186">
                  <c:v>5.9701866227683151</c:v>
                </c:pt>
                <c:pt idx="187">
                  <c:v>5.9714966853465423</c:v>
                </c:pt>
                <c:pt idx="188">
                  <c:v>5.9714316795317597</c:v>
                </c:pt>
                <c:pt idx="189">
                  <c:v>5.9699601035846452</c:v>
                </c:pt>
                <c:pt idx="190">
                  <c:v>5.967118701837518</c:v>
                </c:pt>
                <c:pt idx="191">
                  <c:v>5.9631010338350432</c:v>
                </c:pt>
                <c:pt idx="192">
                  <c:v>5.9576719882580083</c:v>
                </c:pt>
                <c:pt idx="193">
                  <c:v>5.9509820319854647</c:v>
                </c:pt>
                <c:pt idx="194">
                  <c:v>5.9430675230605745</c:v>
                </c:pt>
                <c:pt idx="195">
                  <c:v>5.9341747984718936</c:v>
                </c:pt>
                <c:pt idx="196">
                  <c:v>5.9239436863718504</c:v>
                </c:pt>
                <c:pt idx="197">
                  <c:v>5.9125943078856107</c:v>
                </c:pt>
                <c:pt idx="198">
                  <c:v>5.9001615087149499</c:v>
                </c:pt>
                <c:pt idx="199">
                  <c:v>5.8871354653465104</c:v>
                </c:pt>
                <c:pt idx="200">
                  <c:v>5.8726709465679932</c:v>
                </c:pt>
                <c:pt idx="201">
                  <c:v>5.8572234063949544</c:v>
                </c:pt>
                <c:pt idx="202">
                  <c:v>5.8408255822867492</c:v>
                </c:pt>
                <c:pt idx="203">
                  <c:v>5.8240884314151309</c:v>
                </c:pt>
                <c:pt idx="204">
                  <c:v>5.8059143197431222</c:v>
                </c:pt>
                <c:pt idx="205">
                  <c:v>5.7868835811862782</c:v>
                </c:pt>
                <c:pt idx="206">
                  <c:v>5.7670265691571991</c:v>
                </c:pt>
                <c:pt idx="207">
                  <c:v>5.7470587640182913</c:v>
                </c:pt>
                <c:pt idx="208">
                  <c:v>5.7256623580583117</c:v>
                </c:pt>
                <c:pt idx="209">
                  <c:v>5.7035260963690337</c:v>
                </c:pt>
                <c:pt idx="210">
                  <c:v>5.6806778681361383</c:v>
                </c:pt>
                <c:pt idx="211">
                  <c:v>5.6576636215566207</c:v>
                </c:pt>
                <c:pt idx="212">
                  <c:v>5.6334866821269616</c:v>
                </c:pt>
                <c:pt idx="213">
                  <c:v>5.6086771866404037</c:v>
                </c:pt>
                <c:pt idx="214">
                  <c:v>5.5832605882239168</c:v>
                </c:pt>
                <c:pt idx="215">
                  <c:v>5.558118461178589</c:v>
                </c:pt>
                <c:pt idx="216">
                  <c:v>5.5315794484090404</c:v>
                </c:pt>
                <c:pt idx="217">
                  <c:v>5.5045053678441995</c:v>
                </c:pt>
                <c:pt idx="218">
                  <c:v>5.4769193426462408</c:v>
                </c:pt>
                <c:pt idx="219">
                  <c:v>5.4497669214118725</c:v>
                </c:pt>
                <c:pt idx="220">
                  <c:v>5.4212390164360036</c:v>
                </c:pt>
                <c:pt idx="221">
                  <c:v>5.3922644782129128</c:v>
                </c:pt>
                <c:pt idx="222">
                  <c:v>5.3628642327871203</c:v>
                </c:pt>
                <c:pt idx="223">
                  <c:v>5.3340367816751302</c:v>
                </c:pt>
                <c:pt idx="224">
                  <c:v>5.303858046847183</c:v>
                </c:pt>
                <c:pt idx="225">
                  <c:v>5.2733126130397716</c:v>
                </c:pt>
                <c:pt idx="226">
                  <c:v>5.2424193568402018</c:v>
                </c:pt>
                <c:pt idx="227">
                  <c:v>5.2118787930404915</c:v>
                </c:pt>
                <c:pt idx="228">
                  <c:v>5.1803511463464016</c:v>
                </c:pt>
                <c:pt idx="229">
                  <c:v>5.1485290156464396</c:v>
                </c:pt>
                <c:pt idx="230">
                  <c:v>5.1164293744871143</c:v>
                </c:pt>
                <c:pt idx="231">
                  <c:v>5.0851279289061493</c:v>
                </c:pt>
                <c:pt idx="232">
                  <c:v>5.0525301157768903</c:v>
                </c:pt>
                <c:pt idx="233">
                  <c:v>5.0197025193172813</c:v>
                </c:pt>
                <c:pt idx="234">
                  <c:v>4.9866603642168137</c:v>
                </c:pt>
                <c:pt idx="235">
                  <c:v>4.954505433007963</c:v>
                </c:pt>
                <c:pt idx="236">
                  <c:v>4.9210839928445456</c:v>
                </c:pt>
                <c:pt idx="237">
                  <c:v>4.8874907455126539</c:v>
                </c:pt>
                <c:pt idx="238">
                  <c:v>4.8537393094865831</c:v>
                </c:pt>
                <c:pt idx="239">
                  <c:v>4.8209503893225936</c:v>
                </c:pt>
                <c:pt idx="240">
                  <c:v>4.7869260150659656</c:v>
                </c:pt>
                <c:pt idx="241">
                  <c:v>4.7527816398233886</c:v>
                </c:pt>
                <c:pt idx="242">
                  <c:v>4.7185294105805475</c:v>
                </c:pt>
                <c:pt idx="243">
                  <c:v>4.6849287660470651</c:v>
                </c:pt>
                <c:pt idx="244">
                  <c:v>4.6504975947938627</c:v>
                </c:pt>
              </c:numCache>
            </c:numRef>
          </c:yVal>
          <c:smooth val="1"/>
          <c:extLst>
            <c:ext xmlns:c16="http://schemas.microsoft.com/office/drawing/2014/chart" uri="{C3380CC4-5D6E-409C-BE32-E72D297353CC}">
              <c16:uniqueId val="{00000001-8292-4940-BFF8-E3EA4E3F0C1A}"/>
            </c:ext>
          </c:extLst>
        </c:ser>
        <c:ser>
          <c:idx val="2"/>
          <c:order val="2"/>
          <c:tx>
            <c:v>Bond YTM (street)</c:v>
          </c:tx>
          <c:spPr>
            <a:ln>
              <a:noFill/>
              <a:prstDash val="solid"/>
            </a:ln>
          </c:spPr>
          <c:marker>
            <c:symbol val="circle"/>
            <c:size val="4"/>
            <c:spPr>
              <a:ln>
                <a:prstDash val="solid"/>
              </a:ln>
            </c:spPr>
          </c:marker>
          <c:xVal>
            <c:numRef>
              <c:f>Bonds!$Q$8:$Q$360</c:f>
              <c:numCache>
                <c:formatCode>0.000</c:formatCode>
                <c:ptCount val="353"/>
                <c:pt idx="0">
                  <c:v>1.9178082191780823E-2</c:v>
                </c:pt>
                <c:pt idx="1">
                  <c:v>6.0273972602739728E-2</c:v>
                </c:pt>
                <c:pt idx="2">
                  <c:v>6.0273972602739728E-2</c:v>
                </c:pt>
                <c:pt idx="3">
                  <c:v>6.0273972602739728E-2</c:v>
                </c:pt>
                <c:pt idx="4">
                  <c:v>0.10136986301369863</c:v>
                </c:pt>
                <c:pt idx="5">
                  <c:v>0.14520547945205478</c:v>
                </c:pt>
                <c:pt idx="6">
                  <c:v>0.14520547945205478</c:v>
                </c:pt>
                <c:pt idx="7">
                  <c:v>0.14520547945205478</c:v>
                </c:pt>
                <c:pt idx="8">
                  <c:v>0.18630136986301371</c:v>
                </c:pt>
                <c:pt idx="9">
                  <c:v>0.18630136986301371</c:v>
                </c:pt>
                <c:pt idx="10">
                  <c:v>0.18630136986301371</c:v>
                </c:pt>
                <c:pt idx="11">
                  <c:v>0.22739726027397261</c:v>
                </c:pt>
                <c:pt idx="12">
                  <c:v>0.22739726027397261</c:v>
                </c:pt>
                <c:pt idx="13">
                  <c:v>0.22739726027397261</c:v>
                </c:pt>
                <c:pt idx="14">
                  <c:v>0.26849315068493151</c:v>
                </c:pt>
                <c:pt idx="15">
                  <c:v>0.31232876712328766</c:v>
                </c:pt>
                <c:pt idx="16">
                  <c:v>0.31232876712328766</c:v>
                </c:pt>
                <c:pt idx="17">
                  <c:v>0.31232876712328766</c:v>
                </c:pt>
                <c:pt idx="18">
                  <c:v>0.35342465753424657</c:v>
                </c:pt>
                <c:pt idx="19">
                  <c:v>0.39726027397260272</c:v>
                </c:pt>
                <c:pt idx="20">
                  <c:v>0.39726027397260272</c:v>
                </c:pt>
                <c:pt idx="21">
                  <c:v>0.43835616438356162</c:v>
                </c:pt>
                <c:pt idx="22">
                  <c:v>0.43835616438356162</c:v>
                </c:pt>
                <c:pt idx="23">
                  <c:v>0.43835616438356162</c:v>
                </c:pt>
                <c:pt idx="24">
                  <c:v>0.47397260273972602</c:v>
                </c:pt>
                <c:pt idx="25">
                  <c:v>0.47397260273972602</c:v>
                </c:pt>
                <c:pt idx="26">
                  <c:v>0.47397260273972602</c:v>
                </c:pt>
                <c:pt idx="27">
                  <c:v>0.51506849315068493</c:v>
                </c:pt>
                <c:pt idx="28">
                  <c:v>0.55890410958904113</c:v>
                </c:pt>
                <c:pt idx="29">
                  <c:v>0.55890410958904113</c:v>
                </c:pt>
                <c:pt idx="30">
                  <c:v>0.55890410958904113</c:v>
                </c:pt>
                <c:pt idx="31">
                  <c:v>0.6</c:v>
                </c:pt>
                <c:pt idx="32">
                  <c:v>0.64109589041095894</c:v>
                </c:pt>
                <c:pt idx="33">
                  <c:v>0.64109589041095894</c:v>
                </c:pt>
                <c:pt idx="34">
                  <c:v>0.64109589041095894</c:v>
                </c:pt>
                <c:pt idx="35">
                  <c:v>0.68219178082191778</c:v>
                </c:pt>
                <c:pt idx="36">
                  <c:v>0.68219178082191778</c:v>
                </c:pt>
                <c:pt idx="37">
                  <c:v>0.72602739726027399</c:v>
                </c:pt>
                <c:pt idx="38">
                  <c:v>0.72602739726027399</c:v>
                </c:pt>
                <c:pt idx="39">
                  <c:v>0.72602739726027399</c:v>
                </c:pt>
                <c:pt idx="40">
                  <c:v>0.76712328767123283</c:v>
                </c:pt>
                <c:pt idx="41">
                  <c:v>0.80821917808219179</c:v>
                </c:pt>
                <c:pt idx="42">
                  <c:v>0.80821917808219179</c:v>
                </c:pt>
                <c:pt idx="43">
                  <c:v>0.80821917808219179</c:v>
                </c:pt>
                <c:pt idx="44">
                  <c:v>0.84931506849315064</c:v>
                </c:pt>
                <c:pt idx="45">
                  <c:v>0.89315068493150684</c:v>
                </c:pt>
                <c:pt idx="46">
                  <c:v>0.89315068493150684</c:v>
                </c:pt>
                <c:pt idx="47">
                  <c:v>0.89315068493150684</c:v>
                </c:pt>
                <c:pt idx="48">
                  <c:v>0.9342465753424658</c:v>
                </c:pt>
                <c:pt idx="49">
                  <c:v>0.9342465753424658</c:v>
                </c:pt>
                <c:pt idx="50">
                  <c:v>0.9342465753424658</c:v>
                </c:pt>
                <c:pt idx="51">
                  <c:v>0.9780821917808219</c:v>
                </c:pt>
                <c:pt idx="52">
                  <c:v>0.9780821917808219</c:v>
                </c:pt>
                <c:pt idx="53">
                  <c:v>0.9780821917808219</c:v>
                </c:pt>
                <c:pt idx="54">
                  <c:v>1.0191780821917809</c:v>
                </c:pt>
                <c:pt idx="55">
                  <c:v>1.0602739726027397</c:v>
                </c:pt>
                <c:pt idx="56">
                  <c:v>1.0602739726027397</c:v>
                </c:pt>
                <c:pt idx="57">
                  <c:v>1.0602739726027397</c:v>
                </c:pt>
                <c:pt idx="58">
                  <c:v>1.1013698630136985</c:v>
                </c:pt>
                <c:pt idx="59">
                  <c:v>1.1452054794520548</c:v>
                </c:pt>
                <c:pt idx="60">
                  <c:v>1.1452054794520548</c:v>
                </c:pt>
                <c:pt idx="61">
                  <c:v>1.1452054794520548</c:v>
                </c:pt>
                <c:pt idx="62">
                  <c:v>1.1863013698630136</c:v>
                </c:pt>
                <c:pt idx="63">
                  <c:v>1.1863013698630136</c:v>
                </c:pt>
                <c:pt idx="64">
                  <c:v>1.1863013698630136</c:v>
                </c:pt>
                <c:pt idx="65">
                  <c:v>1.2273972602739727</c:v>
                </c:pt>
                <c:pt idx="66">
                  <c:v>1.2273972602739727</c:v>
                </c:pt>
                <c:pt idx="67">
                  <c:v>1.2273972602739727</c:v>
                </c:pt>
                <c:pt idx="68">
                  <c:v>1.2684931506849315</c:v>
                </c:pt>
                <c:pt idx="69">
                  <c:v>1.3123287671232877</c:v>
                </c:pt>
                <c:pt idx="70">
                  <c:v>1.3123287671232877</c:v>
                </c:pt>
                <c:pt idx="71">
                  <c:v>1.3123287671232877</c:v>
                </c:pt>
                <c:pt idx="72">
                  <c:v>1.3534246575342466</c:v>
                </c:pt>
                <c:pt idx="73">
                  <c:v>1.3972602739726028</c:v>
                </c:pt>
                <c:pt idx="74">
                  <c:v>1.3972602739726028</c:v>
                </c:pt>
                <c:pt idx="75">
                  <c:v>1.4383561643835616</c:v>
                </c:pt>
                <c:pt idx="76">
                  <c:v>1.4383561643835616</c:v>
                </c:pt>
                <c:pt idx="77">
                  <c:v>1.4767123287671233</c:v>
                </c:pt>
                <c:pt idx="78">
                  <c:v>1.4767123287671233</c:v>
                </c:pt>
                <c:pt idx="79">
                  <c:v>1.4767123287671233</c:v>
                </c:pt>
                <c:pt idx="80">
                  <c:v>1.5178082191780822</c:v>
                </c:pt>
                <c:pt idx="81">
                  <c:v>1.5616438356164384</c:v>
                </c:pt>
                <c:pt idx="82">
                  <c:v>1.5616438356164384</c:v>
                </c:pt>
                <c:pt idx="83">
                  <c:v>1.5616438356164384</c:v>
                </c:pt>
                <c:pt idx="84">
                  <c:v>1.6027397260273972</c:v>
                </c:pt>
                <c:pt idx="85">
                  <c:v>1.6438356164383561</c:v>
                </c:pt>
                <c:pt idx="86">
                  <c:v>1.6438356164383561</c:v>
                </c:pt>
                <c:pt idx="87">
                  <c:v>1.6438356164383561</c:v>
                </c:pt>
                <c:pt idx="88">
                  <c:v>1.6849315068493151</c:v>
                </c:pt>
                <c:pt idx="89">
                  <c:v>1.6849315068493151</c:v>
                </c:pt>
                <c:pt idx="90">
                  <c:v>1.7287671232876711</c:v>
                </c:pt>
                <c:pt idx="91">
                  <c:v>1.7287671232876711</c:v>
                </c:pt>
                <c:pt idx="92">
                  <c:v>1.7287671232876711</c:v>
                </c:pt>
                <c:pt idx="93">
                  <c:v>1.7698630136986302</c:v>
                </c:pt>
                <c:pt idx="94">
                  <c:v>1.810958904109589</c:v>
                </c:pt>
                <c:pt idx="95">
                  <c:v>1.810958904109589</c:v>
                </c:pt>
                <c:pt idx="96">
                  <c:v>1.810958904109589</c:v>
                </c:pt>
                <c:pt idx="97">
                  <c:v>1.8520547945205479</c:v>
                </c:pt>
                <c:pt idx="98">
                  <c:v>1.8958904109589041</c:v>
                </c:pt>
                <c:pt idx="99">
                  <c:v>1.8958904109589041</c:v>
                </c:pt>
                <c:pt idx="100">
                  <c:v>1.8958904109589041</c:v>
                </c:pt>
                <c:pt idx="101">
                  <c:v>1.9369863013698629</c:v>
                </c:pt>
                <c:pt idx="102">
                  <c:v>1.9369863013698629</c:v>
                </c:pt>
                <c:pt idx="103">
                  <c:v>1.9369863013698629</c:v>
                </c:pt>
                <c:pt idx="104">
                  <c:v>1.9808219178082191</c:v>
                </c:pt>
                <c:pt idx="105">
                  <c:v>1.9808219178082191</c:v>
                </c:pt>
                <c:pt idx="106">
                  <c:v>1.9808219178082191</c:v>
                </c:pt>
                <c:pt idx="107">
                  <c:v>2.021917808219178</c:v>
                </c:pt>
                <c:pt idx="108">
                  <c:v>2.0630136986301371</c:v>
                </c:pt>
                <c:pt idx="109">
                  <c:v>2.0630136986301371</c:v>
                </c:pt>
                <c:pt idx="110">
                  <c:v>2.1041095890410957</c:v>
                </c:pt>
                <c:pt idx="111">
                  <c:v>2.1479452054794521</c:v>
                </c:pt>
                <c:pt idx="112">
                  <c:v>2.1479452054794521</c:v>
                </c:pt>
                <c:pt idx="113">
                  <c:v>2.1890410958904107</c:v>
                </c:pt>
                <c:pt idx="114">
                  <c:v>2.1890410958904107</c:v>
                </c:pt>
                <c:pt idx="115">
                  <c:v>2.1890410958904107</c:v>
                </c:pt>
                <c:pt idx="116">
                  <c:v>2.2301369863013698</c:v>
                </c:pt>
                <c:pt idx="117">
                  <c:v>2.2301369863013698</c:v>
                </c:pt>
                <c:pt idx="118">
                  <c:v>2.2712328767123289</c:v>
                </c:pt>
                <c:pt idx="119">
                  <c:v>2.3150684931506849</c:v>
                </c:pt>
                <c:pt idx="120">
                  <c:v>2.3150684931506849</c:v>
                </c:pt>
                <c:pt idx="121">
                  <c:v>2.3561643835616439</c:v>
                </c:pt>
                <c:pt idx="122">
                  <c:v>2.4</c:v>
                </c:pt>
                <c:pt idx="123">
                  <c:v>2.4</c:v>
                </c:pt>
                <c:pt idx="124">
                  <c:v>2.441095890410959</c:v>
                </c:pt>
                <c:pt idx="125">
                  <c:v>2.441095890410959</c:v>
                </c:pt>
                <c:pt idx="126">
                  <c:v>2.441095890410959</c:v>
                </c:pt>
                <c:pt idx="127">
                  <c:v>2.4767123287671233</c:v>
                </c:pt>
                <c:pt idx="128">
                  <c:v>2.4767123287671233</c:v>
                </c:pt>
                <c:pt idx="129">
                  <c:v>2.5178082191780824</c:v>
                </c:pt>
                <c:pt idx="130">
                  <c:v>2.5616438356164384</c:v>
                </c:pt>
                <c:pt idx="131">
                  <c:v>2.5616438356164384</c:v>
                </c:pt>
                <c:pt idx="132">
                  <c:v>2.6027397260273974</c:v>
                </c:pt>
                <c:pt idx="133">
                  <c:v>2.6438356164383561</c:v>
                </c:pt>
                <c:pt idx="134">
                  <c:v>2.6438356164383561</c:v>
                </c:pt>
                <c:pt idx="135">
                  <c:v>2.6849315068493151</c:v>
                </c:pt>
                <c:pt idx="136">
                  <c:v>2.6849315068493151</c:v>
                </c:pt>
                <c:pt idx="137">
                  <c:v>2.7287671232876711</c:v>
                </c:pt>
                <c:pt idx="138">
                  <c:v>2.7287671232876711</c:v>
                </c:pt>
                <c:pt idx="139">
                  <c:v>2.7698630136986302</c:v>
                </c:pt>
                <c:pt idx="140">
                  <c:v>2.8109589041095893</c:v>
                </c:pt>
                <c:pt idx="141">
                  <c:v>2.8109589041095893</c:v>
                </c:pt>
                <c:pt idx="142">
                  <c:v>2.8520547945205479</c:v>
                </c:pt>
                <c:pt idx="143">
                  <c:v>2.8958904109589043</c:v>
                </c:pt>
                <c:pt idx="144">
                  <c:v>2.8958904109589043</c:v>
                </c:pt>
                <c:pt idx="145">
                  <c:v>2.9369863013698629</c:v>
                </c:pt>
                <c:pt idx="146">
                  <c:v>2.9369863013698629</c:v>
                </c:pt>
                <c:pt idx="147">
                  <c:v>2.9369863013698629</c:v>
                </c:pt>
                <c:pt idx="148">
                  <c:v>2.9808219178082194</c:v>
                </c:pt>
                <c:pt idx="149">
                  <c:v>2.9808219178082194</c:v>
                </c:pt>
                <c:pt idx="150">
                  <c:v>3.0630136986301371</c:v>
                </c:pt>
                <c:pt idx="151">
                  <c:v>3.0630136986301371</c:v>
                </c:pt>
                <c:pt idx="152">
                  <c:v>3.1479452054794521</c:v>
                </c:pt>
                <c:pt idx="153">
                  <c:v>3.1479452054794521</c:v>
                </c:pt>
                <c:pt idx="154">
                  <c:v>3.1890410958904107</c:v>
                </c:pt>
                <c:pt idx="155">
                  <c:v>3.2301369863013698</c:v>
                </c:pt>
                <c:pt idx="156">
                  <c:v>3.2301369863013698</c:v>
                </c:pt>
                <c:pt idx="157">
                  <c:v>3.3150684931506849</c:v>
                </c:pt>
                <c:pt idx="158">
                  <c:v>3.3150684931506849</c:v>
                </c:pt>
                <c:pt idx="159">
                  <c:v>3.4</c:v>
                </c:pt>
                <c:pt idx="160">
                  <c:v>3.4</c:v>
                </c:pt>
                <c:pt idx="161">
                  <c:v>3.441095890410959</c:v>
                </c:pt>
                <c:pt idx="162">
                  <c:v>3.4767123287671233</c:v>
                </c:pt>
                <c:pt idx="163">
                  <c:v>3.5616438356164384</c:v>
                </c:pt>
                <c:pt idx="164">
                  <c:v>3.5616438356164384</c:v>
                </c:pt>
                <c:pt idx="165">
                  <c:v>3.6438356164383561</c:v>
                </c:pt>
                <c:pt idx="166">
                  <c:v>3.6438356164383561</c:v>
                </c:pt>
                <c:pt idx="167">
                  <c:v>3.6849315068493151</c:v>
                </c:pt>
                <c:pt idx="168">
                  <c:v>3.6849315068493151</c:v>
                </c:pt>
                <c:pt idx="169">
                  <c:v>3.7287671232876711</c:v>
                </c:pt>
                <c:pt idx="170">
                  <c:v>3.7287671232876711</c:v>
                </c:pt>
                <c:pt idx="171">
                  <c:v>3.8109589041095893</c:v>
                </c:pt>
                <c:pt idx="172">
                  <c:v>3.8109589041095893</c:v>
                </c:pt>
                <c:pt idx="173">
                  <c:v>3.8958904109589043</c:v>
                </c:pt>
                <c:pt idx="174">
                  <c:v>3.8958904109589043</c:v>
                </c:pt>
                <c:pt idx="175">
                  <c:v>3.9369863013698629</c:v>
                </c:pt>
                <c:pt idx="176">
                  <c:v>3.9808219178082194</c:v>
                </c:pt>
                <c:pt idx="177">
                  <c:v>3.9808219178082194</c:v>
                </c:pt>
                <c:pt idx="178">
                  <c:v>4.0630136986301366</c:v>
                </c:pt>
                <c:pt idx="179">
                  <c:v>4.0630136986301366</c:v>
                </c:pt>
                <c:pt idx="180">
                  <c:v>4.1479452054794521</c:v>
                </c:pt>
                <c:pt idx="181">
                  <c:v>4.1479452054794521</c:v>
                </c:pt>
                <c:pt idx="182">
                  <c:v>4.1890410958904107</c:v>
                </c:pt>
                <c:pt idx="183">
                  <c:v>4.2301369863013702</c:v>
                </c:pt>
                <c:pt idx="184">
                  <c:v>4.2301369863013702</c:v>
                </c:pt>
                <c:pt idx="185">
                  <c:v>4.3150684931506849</c:v>
                </c:pt>
                <c:pt idx="186">
                  <c:v>4.3150684931506849</c:v>
                </c:pt>
                <c:pt idx="187">
                  <c:v>4.4000000000000004</c:v>
                </c:pt>
                <c:pt idx="188">
                  <c:v>4.4000000000000004</c:v>
                </c:pt>
                <c:pt idx="189">
                  <c:v>4.441095890410959</c:v>
                </c:pt>
                <c:pt idx="190">
                  <c:v>4.441095890410959</c:v>
                </c:pt>
                <c:pt idx="191">
                  <c:v>4.4767123287671229</c:v>
                </c:pt>
                <c:pt idx="192">
                  <c:v>4.4767123287671229</c:v>
                </c:pt>
                <c:pt idx="193">
                  <c:v>4.5616438356164384</c:v>
                </c:pt>
                <c:pt idx="194">
                  <c:v>4.5616438356164384</c:v>
                </c:pt>
                <c:pt idx="195">
                  <c:v>4.6438356164383565</c:v>
                </c:pt>
                <c:pt idx="196">
                  <c:v>4.6438356164383565</c:v>
                </c:pt>
                <c:pt idx="197">
                  <c:v>4.6849315068493151</c:v>
                </c:pt>
                <c:pt idx="198">
                  <c:v>4.7287671232876711</c:v>
                </c:pt>
                <c:pt idx="199">
                  <c:v>4.7287671232876711</c:v>
                </c:pt>
                <c:pt idx="200">
                  <c:v>4.8109589041095893</c:v>
                </c:pt>
                <c:pt idx="201">
                  <c:v>4.8109589041095893</c:v>
                </c:pt>
                <c:pt idx="202">
                  <c:v>4.8958904109589039</c:v>
                </c:pt>
                <c:pt idx="203">
                  <c:v>4.8958904109589039</c:v>
                </c:pt>
                <c:pt idx="204">
                  <c:v>4.9369863013698634</c:v>
                </c:pt>
                <c:pt idx="205">
                  <c:v>4.9808219178082194</c:v>
                </c:pt>
                <c:pt idx="206">
                  <c:v>4.9808219178082194</c:v>
                </c:pt>
                <c:pt idx="207">
                  <c:v>5.0630136986301366</c:v>
                </c:pt>
                <c:pt idx="208">
                  <c:v>5.1479452054794521</c:v>
                </c:pt>
                <c:pt idx="209">
                  <c:v>5.1890410958904107</c:v>
                </c:pt>
                <c:pt idx="210">
                  <c:v>5.2301369863013702</c:v>
                </c:pt>
                <c:pt idx="211">
                  <c:v>5.3150684931506849</c:v>
                </c:pt>
                <c:pt idx="212">
                  <c:v>5.4</c:v>
                </c:pt>
                <c:pt idx="213">
                  <c:v>5.441095890410959</c:v>
                </c:pt>
                <c:pt idx="214">
                  <c:v>5.4794520547945202</c:v>
                </c:pt>
                <c:pt idx="215">
                  <c:v>5.5643835616438357</c:v>
                </c:pt>
                <c:pt idx="216">
                  <c:v>5.646575342465753</c:v>
                </c:pt>
                <c:pt idx="217">
                  <c:v>5.6876712328767125</c:v>
                </c:pt>
                <c:pt idx="218">
                  <c:v>5.7315068493150685</c:v>
                </c:pt>
                <c:pt idx="219">
                  <c:v>5.8136986301369866</c:v>
                </c:pt>
                <c:pt idx="220">
                  <c:v>5.8986301369863012</c:v>
                </c:pt>
                <c:pt idx="221">
                  <c:v>5.9397260273972599</c:v>
                </c:pt>
                <c:pt idx="222">
                  <c:v>5.9835616438356167</c:v>
                </c:pt>
                <c:pt idx="223">
                  <c:v>6.065753424657534</c:v>
                </c:pt>
                <c:pt idx="224">
                  <c:v>6.1506849315068495</c:v>
                </c:pt>
                <c:pt idx="225">
                  <c:v>6.1917808219178081</c:v>
                </c:pt>
                <c:pt idx="226">
                  <c:v>6.2328767123287667</c:v>
                </c:pt>
                <c:pt idx="227">
                  <c:v>6.3178082191780822</c:v>
                </c:pt>
                <c:pt idx="228">
                  <c:v>6.4027397260273968</c:v>
                </c:pt>
                <c:pt idx="229">
                  <c:v>6.4438356164383563</c:v>
                </c:pt>
                <c:pt idx="230">
                  <c:v>6.4794520547945202</c:v>
                </c:pt>
                <c:pt idx="231">
                  <c:v>6.5643835616438357</c:v>
                </c:pt>
                <c:pt idx="232">
                  <c:v>6.646575342465753</c:v>
                </c:pt>
                <c:pt idx="233">
                  <c:v>6.6876712328767125</c:v>
                </c:pt>
                <c:pt idx="234">
                  <c:v>6.7315068493150685</c:v>
                </c:pt>
                <c:pt idx="235">
                  <c:v>6.8136986301369866</c:v>
                </c:pt>
                <c:pt idx="236">
                  <c:v>6.8986301369863012</c:v>
                </c:pt>
                <c:pt idx="237">
                  <c:v>6.9397260273972599</c:v>
                </c:pt>
                <c:pt idx="238">
                  <c:v>6.9835616438356167</c:v>
                </c:pt>
                <c:pt idx="239">
                  <c:v>7.1917808219178081</c:v>
                </c:pt>
                <c:pt idx="240">
                  <c:v>7.4438356164383563</c:v>
                </c:pt>
                <c:pt idx="241">
                  <c:v>7.6876712328767125</c:v>
                </c:pt>
                <c:pt idx="242">
                  <c:v>7.9397260273972599</c:v>
                </c:pt>
                <c:pt idx="243">
                  <c:v>8.1917808219178081</c:v>
                </c:pt>
                <c:pt idx="244">
                  <c:v>8.4438356164383563</c:v>
                </c:pt>
                <c:pt idx="245">
                  <c:v>8.6876712328767116</c:v>
                </c:pt>
                <c:pt idx="246">
                  <c:v>8.9397260273972599</c:v>
                </c:pt>
                <c:pt idx="247">
                  <c:v>9.1917808219178081</c:v>
                </c:pt>
                <c:pt idx="248">
                  <c:v>9.4438356164383563</c:v>
                </c:pt>
                <c:pt idx="249">
                  <c:v>9.4438356164383563</c:v>
                </c:pt>
                <c:pt idx="250">
                  <c:v>9.6904109589041099</c:v>
                </c:pt>
                <c:pt idx="251">
                  <c:v>9.9424657534246581</c:v>
                </c:pt>
                <c:pt idx="252">
                  <c:v>10.446575342465753</c:v>
                </c:pt>
                <c:pt idx="253">
                  <c:v>10.69041095890411</c:v>
                </c:pt>
                <c:pt idx="254">
                  <c:v>11.446575342465753</c:v>
                </c:pt>
                <c:pt idx="255">
                  <c:v>11.69041095890411</c:v>
                </c:pt>
                <c:pt idx="256">
                  <c:v>12.446575342465753</c:v>
                </c:pt>
                <c:pt idx="257">
                  <c:v>12.69041095890411</c:v>
                </c:pt>
                <c:pt idx="258">
                  <c:v>12.942465753424658</c:v>
                </c:pt>
                <c:pt idx="259">
                  <c:v>13.194520547945206</c:v>
                </c:pt>
                <c:pt idx="260">
                  <c:v>13.446575342465753</c:v>
                </c:pt>
                <c:pt idx="261">
                  <c:v>13.693150684931506</c:v>
                </c:pt>
                <c:pt idx="262">
                  <c:v>13.693150684931506</c:v>
                </c:pt>
                <c:pt idx="263">
                  <c:v>13.945205479452055</c:v>
                </c:pt>
                <c:pt idx="264">
                  <c:v>13.945205479452055</c:v>
                </c:pt>
                <c:pt idx="265">
                  <c:v>14.197260273972603</c:v>
                </c:pt>
                <c:pt idx="266">
                  <c:v>14.197260273972603</c:v>
                </c:pt>
                <c:pt idx="267">
                  <c:v>14.449315068493151</c:v>
                </c:pt>
                <c:pt idx="268">
                  <c:v>14.449315068493151</c:v>
                </c:pt>
                <c:pt idx="269">
                  <c:v>14.693150684931506</c:v>
                </c:pt>
                <c:pt idx="270">
                  <c:v>14.693150684931506</c:v>
                </c:pt>
                <c:pt idx="271">
                  <c:v>14.945205479452055</c:v>
                </c:pt>
                <c:pt idx="272">
                  <c:v>14.945205479452055</c:v>
                </c:pt>
                <c:pt idx="273">
                  <c:v>15.197260273972603</c:v>
                </c:pt>
                <c:pt idx="274">
                  <c:v>15.238356164383562</c:v>
                </c:pt>
                <c:pt idx="275">
                  <c:v>15.449315068493151</c:v>
                </c:pt>
                <c:pt idx="276">
                  <c:v>15.449315068493151</c:v>
                </c:pt>
                <c:pt idx="277">
                  <c:v>15.693150684931506</c:v>
                </c:pt>
                <c:pt idx="278">
                  <c:v>15.693150684931506</c:v>
                </c:pt>
                <c:pt idx="279">
                  <c:v>15.945205479452055</c:v>
                </c:pt>
                <c:pt idx="280">
                  <c:v>15.945205479452055</c:v>
                </c:pt>
                <c:pt idx="281">
                  <c:v>16.197260273972603</c:v>
                </c:pt>
                <c:pt idx="282">
                  <c:v>16.197260273972603</c:v>
                </c:pt>
                <c:pt idx="283">
                  <c:v>16.449315068493149</c:v>
                </c:pt>
                <c:pt idx="284">
                  <c:v>16.449315068493149</c:v>
                </c:pt>
                <c:pt idx="285">
                  <c:v>16.693150684931506</c:v>
                </c:pt>
                <c:pt idx="286">
                  <c:v>16.693150684931506</c:v>
                </c:pt>
                <c:pt idx="287">
                  <c:v>16.945205479452056</c:v>
                </c:pt>
                <c:pt idx="288">
                  <c:v>16.945205479452056</c:v>
                </c:pt>
                <c:pt idx="289">
                  <c:v>17.197260273972603</c:v>
                </c:pt>
                <c:pt idx="290">
                  <c:v>17.197260273972603</c:v>
                </c:pt>
                <c:pt idx="291">
                  <c:v>17.449315068493149</c:v>
                </c:pt>
                <c:pt idx="292">
                  <c:v>17.449315068493149</c:v>
                </c:pt>
                <c:pt idx="293">
                  <c:v>17.695890410958903</c:v>
                </c:pt>
                <c:pt idx="294">
                  <c:v>17.695890410958903</c:v>
                </c:pt>
                <c:pt idx="295">
                  <c:v>17.947945205479453</c:v>
                </c:pt>
                <c:pt idx="296">
                  <c:v>17.947945205479453</c:v>
                </c:pt>
                <c:pt idx="297">
                  <c:v>18.2</c:v>
                </c:pt>
                <c:pt idx="298">
                  <c:v>18.2</c:v>
                </c:pt>
                <c:pt idx="299">
                  <c:v>18.452054794520549</c:v>
                </c:pt>
                <c:pt idx="300">
                  <c:v>18.452054794520549</c:v>
                </c:pt>
                <c:pt idx="301">
                  <c:v>18.695890410958903</c:v>
                </c:pt>
                <c:pt idx="302">
                  <c:v>18.695890410958903</c:v>
                </c:pt>
                <c:pt idx="303">
                  <c:v>18.947945205479453</c:v>
                </c:pt>
                <c:pt idx="304">
                  <c:v>18.947945205479453</c:v>
                </c:pt>
                <c:pt idx="305">
                  <c:v>19.2</c:v>
                </c:pt>
                <c:pt idx="306">
                  <c:v>19.2</c:v>
                </c:pt>
                <c:pt idx="307">
                  <c:v>19.452054794520549</c:v>
                </c:pt>
                <c:pt idx="308">
                  <c:v>19.452054794520549</c:v>
                </c:pt>
                <c:pt idx="309">
                  <c:v>19.695890410958903</c:v>
                </c:pt>
                <c:pt idx="310">
                  <c:v>19.695890410958903</c:v>
                </c:pt>
                <c:pt idx="311">
                  <c:v>19.947945205479453</c:v>
                </c:pt>
                <c:pt idx="312">
                  <c:v>19.947945205479453</c:v>
                </c:pt>
                <c:pt idx="313">
                  <c:v>20.2</c:v>
                </c:pt>
                <c:pt idx="314">
                  <c:v>20.452054794520549</c:v>
                </c:pt>
                <c:pt idx="315">
                  <c:v>20.695890410958903</c:v>
                </c:pt>
                <c:pt idx="316">
                  <c:v>20.947945205479453</c:v>
                </c:pt>
                <c:pt idx="317">
                  <c:v>21.2</c:v>
                </c:pt>
                <c:pt idx="318">
                  <c:v>21.452054794520549</c:v>
                </c:pt>
                <c:pt idx="319">
                  <c:v>21.698630136986303</c:v>
                </c:pt>
                <c:pt idx="320">
                  <c:v>21.950684931506849</c:v>
                </c:pt>
                <c:pt idx="321">
                  <c:v>22.202739726027396</c:v>
                </c:pt>
                <c:pt idx="322">
                  <c:v>22.454794520547946</c:v>
                </c:pt>
                <c:pt idx="323">
                  <c:v>22.698630136986303</c:v>
                </c:pt>
                <c:pt idx="324">
                  <c:v>22.950684931506849</c:v>
                </c:pt>
                <c:pt idx="325">
                  <c:v>23.202739726027396</c:v>
                </c:pt>
                <c:pt idx="326">
                  <c:v>23.454794520547946</c:v>
                </c:pt>
                <c:pt idx="327">
                  <c:v>23.698630136986303</c:v>
                </c:pt>
                <c:pt idx="328">
                  <c:v>23.950684931506849</c:v>
                </c:pt>
                <c:pt idx="329">
                  <c:v>24.202739726027396</c:v>
                </c:pt>
                <c:pt idx="330">
                  <c:v>24.454794520547946</c:v>
                </c:pt>
                <c:pt idx="331">
                  <c:v>24.698630136986303</c:v>
                </c:pt>
                <c:pt idx="332">
                  <c:v>24.950684931506849</c:v>
                </c:pt>
                <c:pt idx="333">
                  <c:v>25.202739726027396</c:v>
                </c:pt>
                <c:pt idx="334">
                  <c:v>25.454794520547946</c:v>
                </c:pt>
                <c:pt idx="335">
                  <c:v>25.701369863013699</c:v>
                </c:pt>
                <c:pt idx="336">
                  <c:v>25.953424657534246</c:v>
                </c:pt>
                <c:pt idx="337">
                  <c:v>26.205479452054796</c:v>
                </c:pt>
                <c:pt idx="338">
                  <c:v>26.457534246575342</c:v>
                </c:pt>
                <c:pt idx="339">
                  <c:v>26.701369863013699</c:v>
                </c:pt>
                <c:pt idx="340">
                  <c:v>26.953424657534246</c:v>
                </c:pt>
                <c:pt idx="341">
                  <c:v>27.205479452054796</c:v>
                </c:pt>
                <c:pt idx="342">
                  <c:v>27.457534246575342</c:v>
                </c:pt>
                <c:pt idx="343">
                  <c:v>27.701369863013699</c:v>
                </c:pt>
                <c:pt idx="344">
                  <c:v>27.953424657534246</c:v>
                </c:pt>
                <c:pt idx="345">
                  <c:v>28.205479452054796</c:v>
                </c:pt>
                <c:pt idx="346">
                  <c:v>28.457534246575342</c:v>
                </c:pt>
                <c:pt idx="347">
                  <c:v>28.701369863013699</c:v>
                </c:pt>
                <c:pt idx="348">
                  <c:v>28.953424657534246</c:v>
                </c:pt>
                <c:pt idx="349">
                  <c:v>29.205479452054796</c:v>
                </c:pt>
                <c:pt idx="350">
                  <c:v>29.457534246575342</c:v>
                </c:pt>
                <c:pt idx="351">
                  <c:v>29.704109589041096</c:v>
                </c:pt>
                <c:pt idx="352">
                  <c:v>29.956164383561642</c:v>
                </c:pt>
              </c:numCache>
            </c:numRef>
          </c:xVal>
          <c:yVal>
            <c:numRef>
              <c:f>Bonds!$M$8:$M$360</c:f>
              <c:numCache>
                <c:formatCode>0.000</c:formatCode>
                <c:ptCount val="353"/>
                <c:pt idx="0">
                  <c:v>2.9163564336515968</c:v>
                </c:pt>
                <c:pt idx="1">
                  <c:v>3.5964609174897766</c:v>
                </c:pt>
                <c:pt idx="2">
                  <c:v>3.2944272802295109</c:v>
                </c:pt>
                <c:pt idx="3">
                  <c:v>3.5752064009869051</c:v>
                </c:pt>
                <c:pt idx="4">
                  <c:v>3.5512297634287338</c:v>
                </c:pt>
                <c:pt idx="5">
                  <c:v>3.7823507896600819</c:v>
                </c:pt>
                <c:pt idx="6">
                  <c:v>3.7303531822166049</c:v>
                </c:pt>
                <c:pt idx="7">
                  <c:v>3.8502777796194128</c:v>
                </c:pt>
                <c:pt idx="8">
                  <c:v>3.7643552798544775</c:v>
                </c:pt>
                <c:pt idx="9">
                  <c:v>3.7193761817719202</c:v>
                </c:pt>
                <c:pt idx="10">
                  <c:v>4.0320983225585367</c:v>
                </c:pt>
                <c:pt idx="11">
                  <c:v>3.7735051052071413</c:v>
                </c:pt>
                <c:pt idx="12">
                  <c:v>3.7276826075400247</c:v>
                </c:pt>
                <c:pt idx="13">
                  <c:v>3.7547326464323278</c:v>
                </c:pt>
                <c:pt idx="14">
                  <c:v>3.689273615637517</c:v>
                </c:pt>
                <c:pt idx="15">
                  <c:v>3.8695246644920251</c:v>
                </c:pt>
                <c:pt idx="16">
                  <c:v>3.8553676393620728</c:v>
                </c:pt>
                <c:pt idx="17">
                  <c:v>3.861489119396329</c:v>
                </c:pt>
                <c:pt idx="18">
                  <c:v>3.7966352533520644</c:v>
                </c:pt>
                <c:pt idx="19">
                  <c:v>3.9503374224509509</c:v>
                </c:pt>
                <c:pt idx="20">
                  <c:v>3.9466594190221382</c:v>
                </c:pt>
                <c:pt idx="21">
                  <c:v>3.9072006121493823</c:v>
                </c:pt>
                <c:pt idx="22">
                  <c:v>3.9498779616721422</c:v>
                </c:pt>
                <c:pt idx="23">
                  <c:v>3.9755973563803102</c:v>
                </c:pt>
                <c:pt idx="24">
                  <c:v>3.9725125569923976</c:v>
                </c:pt>
                <c:pt idx="25">
                  <c:v>3.9218089058860301</c:v>
                </c:pt>
                <c:pt idx="26">
                  <c:v>3.9382025561462752</c:v>
                </c:pt>
                <c:pt idx="27">
                  <c:v>3.9260865544423913</c:v>
                </c:pt>
                <c:pt idx="28">
                  <c:v>3.9712509576708492</c:v>
                </c:pt>
                <c:pt idx="29">
                  <c:v>3.9644923103001593</c:v>
                </c:pt>
                <c:pt idx="30">
                  <c:v>3.9567769417019978</c:v>
                </c:pt>
                <c:pt idx="31">
                  <c:v>4.0023757248986129</c:v>
                </c:pt>
                <c:pt idx="32">
                  <c:v>4.0237048825022912</c:v>
                </c:pt>
                <c:pt idx="33">
                  <c:v>4.0612559120496678</c:v>
                </c:pt>
                <c:pt idx="34">
                  <c:v>4.0169342149696696</c:v>
                </c:pt>
                <c:pt idx="35">
                  <c:v>4.0885625208119931</c:v>
                </c:pt>
                <c:pt idx="36">
                  <c:v>4.0947295099176131</c:v>
                </c:pt>
                <c:pt idx="37">
                  <c:v>4.0690279590898175</c:v>
                </c:pt>
                <c:pt idx="38">
                  <c:v>4.0637275549969285</c:v>
                </c:pt>
                <c:pt idx="39">
                  <c:v>4.0775205447718186</c:v>
                </c:pt>
                <c:pt idx="40">
                  <c:v>4.0951947774742345</c:v>
                </c:pt>
                <c:pt idx="41">
                  <c:v>4.1258880027104778</c:v>
                </c:pt>
                <c:pt idx="42">
                  <c:v>4.1070357744845483</c:v>
                </c:pt>
                <c:pt idx="43">
                  <c:v>4.1307332952758982</c:v>
                </c:pt>
                <c:pt idx="44">
                  <c:v>4.1426989651348576</c:v>
                </c:pt>
                <c:pt idx="45">
                  <c:v>4.169787771714998</c:v>
                </c:pt>
                <c:pt idx="46">
                  <c:v>4.177275253068081</c:v>
                </c:pt>
                <c:pt idx="47">
                  <c:v>4.167939923895025</c:v>
                </c:pt>
                <c:pt idx="48">
                  <c:v>4.1681855276329616</c:v>
                </c:pt>
                <c:pt idx="49">
                  <c:v>4.1693948414090309</c:v>
                </c:pt>
                <c:pt idx="50">
                  <c:v>4.2095723138292955</c:v>
                </c:pt>
                <c:pt idx="51">
                  <c:v>4.2070940780155341</c:v>
                </c:pt>
                <c:pt idx="52">
                  <c:v>4.1951593516245591</c:v>
                </c:pt>
                <c:pt idx="53">
                  <c:v>4.1925443371446827</c:v>
                </c:pt>
                <c:pt idx="54">
                  <c:v>4.18127403945563</c:v>
                </c:pt>
                <c:pt idx="55">
                  <c:v>4.2036930700230668</c:v>
                </c:pt>
                <c:pt idx="56">
                  <c:v>4.2060579275530516</c:v>
                </c:pt>
                <c:pt idx="57">
                  <c:v>4.1989046047768541</c:v>
                </c:pt>
                <c:pt idx="58">
                  <c:v>4.2314136254978552</c:v>
                </c:pt>
                <c:pt idx="59">
                  <c:v>4.2603323405969142</c:v>
                </c:pt>
                <c:pt idx="60">
                  <c:v>4.2458341643593664</c:v>
                </c:pt>
                <c:pt idx="61">
                  <c:v>4.2482057757654585</c:v>
                </c:pt>
                <c:pt idx="62">
                  <c:v>4.2630137818938172</c:v>
                </c:pt>
                <c:pt idx="63">
                  <c:v>4.2572036966089337</c:v>
                </c:pt>
                <c:pt idx="64">
                  <c:v>4.2668832696548149</c:v>
                </c:pt>
                <c:pt idx="65">
                  <c:v>4.2630656995853178</c:v>
                </c:pt>
                <c:pt idx="66">
                  <c:v>4.2694452667812151</c:v>
                </c:pt>
                <c:pt idx="67">
                  <c:v>4.2669618371869538</c:v>
                </c:pt>
                <c:pt idx="68">
                  <c:v>4.2771454310545192</c:v>
                </c:pt>
                <c:pt idx="69">
                  <c:v>4.287071913748977</c:v>
                </c:pt>
                <c:pt idx="70">
                  <c:v>4.2888922592875272</c:v>
                </c:pt>
                <c:pt idx="71">
                  <c:v>4.2926034477589532</c:v>
                </c:pt>
                <c:pt idx="72">
                  <c:v>4.3065181192461788</c:v>
                </c:pt>
                <c:pt idx="73">
                  <c:v>4.308490345804759</c:v>
                </c:pt>
                <c:pt idx="74">
                  <c:v>4.3027873665083467</c:v>
                </c:pt>
                <c:pt idx="75">
                  <c:v>4.303269531016916</c:v>
                </c:pt>
                <c:pt idx="76">
                  <c:v>4.3048746219931431</c:v>
                </c:pt>
                <c:pt idx="77">
                  <c:v>4.3057502302258115</c:v>
                </c:pt>
                <c:pt idx="78">
                  <c:v>4.2950223362562303</c:v>
                </c:pt>
                <c:pt idx="79">
                  <c:v>4.3191529492939935</c:v>
                </c:pt>
                <c:pt idx="80">
                  <c:v>4.3147164421264872</c:v>
                </c:pt>
                <c:pt idx="81">
                  <c:v>4.3316356373190663</c:v>
                </c:pt>
                <c:pt idx="82">
                  <c:v>4.3300360599484744</c:v>
                </c:pt>
                <c:pt idx="83">
                  <c:v>4.3287658967269032</c:v>
                </c:pt>
                <c:pt idx="84">
                  <c:v>4.3347721804484465</c:v>
                </c:pt>
                <c:pt idx="85">
                  <c:v>4.3539498025289207</c:v>
                </c:pt>
                <c:pt idx="86">
                  <c:v>4.3433148696525494</c:v>
                </c:pt>
                <c:pt idx="87">
                  <c:v>4.3468899378235379</c:v>
                </c:pt>
                <c:pt idx="88">
                  <c:v>4.3499896874554533</c:v>
                </c:pt>
                <c:pt idx="89">
                  <c:v>4.3349684685351431</c:v>
                </c:pt>
                <c:pt idx="90">
                  <c:v>4.3574595022960763</c:v>
                </c:pt>
                <c:pt idx="91">
                  <c:v>4.3480929536780151</c:v>
                </c:pt>
                <c:pt idx="92">
                  <c:v>4.3431521242253979</c:v>
                </c:pt>
                <c:pt idx="93">
                  <c:v>4.3544398459438227</c:v>
                </c:pt>
                <c:pt idx="94">
                  <c:v>4.3656641860588756</c:v>
                </c:pt>
                <c:pt idx="95">
                  <c:v>4.3599492505505735</c:v>
                </c:pt>
                <c:pt idx="96">
                  <c:v>4.3623837769764942</c:v>
                </c:pt>
                <c:pt idx="97">
                  <c:v>4.369863517093834</c:v>
                </c:pt>
                <c:pt idx="98">
                  <c:v>4.3739744727045515</c:v>
                </c:pt>
                <c:pt idx="99">
                  <c:v>4.3617674348405275</c:v>
                </c:pt>
                <c:pt idx="100">
                  <c:v>4.3651223270245145</c:v>
                </c:pt>
                <c:pt idx="101">
                  <c:v>4.3631600336223579</c:v>
                </c:pt>
                <c:pt idx="102">
                  <c:v>4.372688974220944</c:v>
                </c:pt>
                <c:pt idx="103">
                  <c:v>4.3957882392569045</c:v>
                </c:pt>
                <c:pt idx="104">
                  <c:v>4.3788774546272649</c:v>
                </c:pt>
                <c:pt idx="105">
                  <c:v>4.3682071099585631</c:v>
                </c:pt>
                <c:pt idx="106">
                  <c:v>4.370303092905603</c:v>
                </c:pt>
                <c:pt idx="107">
                  <c:v>4.3796167638173138</c:v>
                </c:pt>
                <c:pt idx="108">
                  <c:v>4.3792970072901305</c:v>
                </c:pt>
                <c:pt idx="109">
                  <c:v>4.3871839625251186</c:v>
                </c:pt>
                <c:pt idx="110">
                  <c:v>4.3912712650923957</c:v>
                </c:pt>
                <c:pt idx="111">
                  <c:v>4.3871087758102236</c:v>
                </c:pt>
                <c:pt idx="112">
                  <c:v>4.3862534399635749</c:v>
                </c:pt>
                <c:pt idx="113">
                  <c:v>4.3924930185705708</c:v>
                </c:pt>
                <c:pt idx="114">
                  <c:v>4.3921185948624997</c:v>
                </c:pt>
                <c:pt idx="115">
                  <c:v>4.3941643185931269</c:v>
                </c:pt>
                <c:pt idx="116">
                  <c:v>4.3980409089904846</c:v>
                </c:pt>
                <c:pt idx="117">
                  <c:v>4.3982403712700364</c:v>
                </c:pt>
                <c:pt idx="118">
                  <c:v>4.3974969802358643</c:v>
                </c:pt>
                <c:pt idx="119">
                  <c:v>4.4042558164108261</c:v>
                </c:pt>
                <c:pt idx="120">
                  <c:v>4.401946342202141</c:v>
                </c:pt>
                <c:pt idx="121">
                  <c:v>4.4139139498314757</c:v>
                </c:pt>
                <c:pt idx="122">
                  <c:v>4.4143556033158884</c:v>
                </c:pt>
                <c:pt idx="123">
                  <c:v>4.4118525311230412</c:v>
                </c:pt>
                <c:pt idx="124">
                  <c:v>4.4161421058803132</c:v>
                </c:pt>
                <c:pt idx="125">
                  <c:v>4.4189526029979502</c:v>
                </c:pt>
                <c:pt idx="126">
                  <c:v>4.3130220052228445</c:v>
                </c:pt>
                <c:pt idx="127">
                  <c:v>4.4104368755079584</c:v>
                </c:pt>
                <c:pt idx="128">
                  <c:v>4.4076298869600326</c:v>
                </c:pt>
                <c:pt idx="129">
                  <c:v>4.4068456988645384</c:v>
                </c:pt>
                <c:pt idx="130">
                  <c:v>4.4258338944945752</c:v>
                </c:pt>
                <c:pt idx="131">
                  <c:v>4.4174908992318942</c:v>
                </c:pt>
                <c:pt idx="132">
                  <c:v>4.426198514830685</c:v>
                </c:pt>
                <c:pt idx="133">
                  <c:v>4.4270330655337222</c:v>
                </c:pt>
                <c:pt idx="134">
                  <c:v>4.4204457880118042</c:v>
                </c:pt>
                <c:pt idx="135">
                  <c:v>4.4223853713396704</c:v>
                </c:pt>
                <c:pt idx="136">
                  <c:v>4.4265244923849414</c:v>
                </c:pt>
                <c:pt idx="137">
                  <c:v>4.4327216370576421</c:v>
                </c:pt>
                <c:pt idx="138">
                  <c:v>4.4299856443973971</c:v>
                </c:pt>
                <c:pt idx="139">
                  <c:v>4.4319269586844543</c:v>
                </c:pt>
                <c:pt idx="140">
                  <c:v>4.4437500480212275</c:v>
                </c:pt>
                <c:pt idx="141">
                  <c:v>4.436146696191881</c:v>
                </c:pt>
                <c:pt idx="142">
                  <c:v>4.4416112645994614</c:v>
                </c:pt>
                <c:pt idx="143">
                  <c:v>4.443681338515634</c:v>
                </c:pt>
                <c:pt idx="144">
                  <c:v>4.4462826352780569</c:v>
                </c:pt>
                <c:pt idx="145">
                  <c:v>4.4296820953301737</c:v>
                </c:pt>
                <c:pt idx="146">
                  <c:v>4.4441107852133017</c:v>
                </c:pt>
                <c:pt idx="147">
                  <c:v>4.4480917437537713</c:v>
                </c:pt>
                <c:pt idx="148">
                  <c:v>4.4463591701916263</c:v>
                </c:pt>
                <c:pt idx="149">
                  <c:v>4.4511285470366948</c:v>
                </c:pt>
                <c:pt idx="150">
                  <c:v>4.456775436273384</c:v>
                </c:pt>
                <c:pt idx="151">
                  <c:v>4.4536352680006202</c:v>
                </c:pt>
                <c:pt idx="152">
                  <c:v>4.463965773620056</c:v>
                </c:pt>
                <c:pt idx="153">
                  <c:v>4.4624357358176532</c:v>
                </c:pt>
                <c:pt idx="154">
                  <c:v>4.4554941262388787</c:v>
                </c:pt>
                <c:pt idx="155">
                  <c:v>4.4642004451485962</c:v>
                </c:pt>
                <c:pt idx="156">
                  <c:v>4.4672029609881942</c:v>
                </c:pt>
                <c:pt idx="157">
                  <c:v>4.4763208169936304</c:v>
                </c:pt>
                <c:pt idx="158">
                  <c:v>4.4731921091442244</c:v>
                </c:pt>
                <c:pt idx="159">
                  <c:v>4.4868099728427691</c:v>
                </c:pt>
                <c:pt idx="160">
                  <c:v>4.4793744639478081</c:v>
                </c:pt>
                <c:pt idx="161">
                  <c:v>4.4719859186759541</c:v>
                </c:pt>
                <c:pt idx="162">
                  <c:v>4.4751354127462095</c:v>
                </c:pt>
                <c:pt idx="163">
                  <c:v>4.4855137209024152</c:v>
                </c:pt>
                <c:pt idx="164">
                  <c:v>4.4862403355796392</c:v>
                </c:pt>
                <c:pt idx="165">
                  <c:v>4.4920518986909279</c:v>
                </c:pt>
                <c:pt idx="166">
                  <c:v>4.484087262632432</c:v>
                </c:pt>
                <c:pt idx="167">
                  <c:v>4.49221451756938</c:v>
                </c:pt>
                <c:pt idx="168">
                  <c:v>4.4883180305457406</c:v>
                </c:pt>
                <c:pt idx="169">
                  <c:v>4.5007351476300723</c:v>
                </c:pt>
                <c:pt idx="170">
                  <c:v>4.4975495174941678</c:v>
                </c:pt>
                <c:pt idx="171">
                  <c:v>4.5038556492592505</c:v>
                </c:pt>
                <c:pt idx="172">
                  <c:v>4.4956882664910163</c:v>
                </c:pt>
                <c:pt idx="173">
                  <c:v>4.5037753107619327</c:v>
                </c:pt>
                <c:pt idx="174">
                  <c:v>4.502773715472153</c:v>
                </c:pt>
                <c:pt idx="175">
                  <c:v>4.5034802291496865</c:v>
                </c:pt>
                <c:pt idx="176">
                  <c:v>4.5112606527206385</c:v>
                </c:pt>
                <c:pt idx="177">
                  <c:v>4.5061655590184504</c:v>
                </c:pt>
                <c:pt idx="178">
                  <c:v>4.5093651454535886</c:v>
                </c:pt>
                <c:pt idx="179">
                  <c:v>4.5093822617231467</c:v>
                </c:pt>
                <c:pt idx="180">
                  <c:v>4.5177127602616434</c:v>
                </c:pt>
                <c:pt idx="181">
                  <c:v>4.5122620108024067</c:v>
                </c:pt>
                <c:pt idx="182">
                  <c:v>4.5176431822995102</c:v>
                </c:pt>
                <c:pt idx="183">
                  <c:v>4.5244597464288736</c:v>
                </c:pt>
                <c:pt idx="184">
                  <c:v>4.521102966782605</c:v>
                </c:pt>
                <c:pt idx="185">
                  <c:v>4.5247368897874516</c:v>
                </c:pt>
                <c:pt idx="186">
                  <c:v>4.5267791107534805</c:v>
                </c:pt>
                <c:pt idx="187">
                  <c:v>4.5275222993357698</c:v>
                </c:pt>
                <c:pt idx="188">
                  <c:v>4.5279014827862536</c:v>
                </c:pt>
                <c:pt idx="189">
                  <c:v>4.5011836490844548</c:v>
                </c:pt>
                <c:pt idx="190">
                  <c:v>4.5102444145829184</c:v>
                </c:pt>
                <c:pt idx="191">
                  <c:v>4.5238892079638733</c:v>
                </c:pt>
                <c:pt idx="192">
                  <c:v>4.5301522281918754</c:v>
                </c:pt>
                <c:pt idx="193">
                  <c:v>4.5275939597561443</c:v>
                </c:pt>
                <c:pt idx="194">
                  <c:v>4.534364952849657</c:v>
                </c:pt>
                <c:pt idx="195">
                  <c:v>4.5277540678595063</c:v>
                </c:pt>
                <c:pt idx="196">
                  <c:v>4.5351406141409711</c:v>
                </c:pt>
                <c:pt idx="197">
                  <c:v>4.5378699427349627</c:v>
                </c:pt>
                <c:pt idx="198">
                  <c:v>4.5373019015883571</c:v>
                </c:pt>
                <c:pt idx="199">
                  <c:v>4.5436933449661856</c:v>
                </c:pt>
                <c:pt idx="200">
                  <c:v>4.5364521807461946</c:v>
                </c:pt>
                <c:pt idx="201">
                  <c:v>4.5464332903423639</c:v>
                </c:pt>
                <c:pt idx="202">
                  <c:v>4.5504005597684749</c:v>
                </c:pt>
                <c:pt idx="203">
                  <c:v>4.5422005246484005</c:v>
                </c:pt>
                <c:pt idx="204">
                  <c:v>4.5569632628865353</c:v>
                </c:pt>
                <c:pt idx="205">
                  <c:v>4.5559946668794593</c:v>
                </c:pt>
                <c:pt idx="206">
                  <c:v>4.5412569211997198</c:v>
                </c:pt>
                <c:pt idx="207">
                  <c:v>4.5534227326108017</c:v>
                </c:pt>
                <c:pt idx="208">
                  <c:v>4.5593553809044574</c:v>
                </c:pt>
                <c:pt idx="209">
                  <c:v>4.5751209231309469</c:v>
                </c:pt>
                <c:pt idx="210">
                  <c:v>4.5649732624616428</c:v>
                </c:pt>
                <c:pt idx="211">
                  <c:v>4.5673366505622486</c:v>
                </c:pt>
                <c:pt idx="212">
                  <c:v>4.575533790194199</c:v>
                </c:pt>
                <c:pt idx="213">
                  <c:v>4.5899221548402789</c:v>
                </c:pt>
                <c:pt idx="214">
                  <c:v>4.5759066590890383</c:v>
                </c:pt>
                <c:pt idx="215">
                  <c:v>4.5810428669604617</c:v>
                </c:pt>
                <c:pt idx="216">
                  <c:v>4.5845559871868806</c:v>
                </c:pt>
                <c:pt idx="217">
                  <c:v>4.5966369730999848</c:v>
                </c:pt>
                <c:pt idx="218">
                  <c:v>4.590769564997597</c:v>
                </c:pt>
                <c:pt idx="219">
                  <c:v>4.5915669056994801</c:v>
                </c:pt>
                <c:pt idx="220">
                  <c:v>4.5999129606082674</c:v>
                </c:pt>
                <c:pt idx="221">
                  <c:v>4.6033060983091243</c:v>
                </c:pt>
                <c:pt idx="222">
                  <c:v>4.6010031148314612</c:v>
                </c:pt>
                <c:pt idx="223">
                  <c:v>4.6102759230383388</c:v>
                </c:pt>
                <c:pt idx="224">
                  <c:v>4.6149117723706468</c:v>
                </c:pt>
                <c:pt idx="225">
                  <c:v>4.6137422229106555</c:v>
                </c:pt>
                <c:pt idx="226">
                  <c:v>4.6194870133273875</c:v>
                </c:pt>
                <c:pt idx="227">
                  <c:v>4.6207683901039704</c:v>
                </c:pt>
                <c:pt idx="228">
                  <c:v>4.6264988589842799</c:v>
                </c:pt>
                <c:pt idx="229">
                  <c:v>4.6339986543479652</c:v>
                </c:pt>
                <c:pt idx="230">
                  <c:v>4.6251308333240608</c:v>
                </c:pt>
                <c:pt idx="231">
                  <c:v>4.6302519142706959</c:v>
                </c:pt>
                <c:pt idx="232">
                  <c:v>4.6388244191988832</c:v>
                </c:pt>
                <c:pt idx="233">
                  <c:v>4.6441316172738656</c:v>
                </c:pt>
                <c:pt idx="234">
                  <c:v>4.6415105158074201</c:v>
                </c:pt>
                <c:pt idx="235">
                  <c:v>4.6442825771105936</c:v>
                </c:pt>
                <c:pt idx="236">
                  <c:v>4.6498204215907313</c:v>
                </c:pt>
                <c:pt idx="237">
                  <c:v>4.6573307450449342</c:v>
                </c:pt>
                <c:pt idx="238">
                  <c:v>4.6520756247926087</c:v>
                </c:pt>
                <c:pt idx="239">
                  <c:v>4.6670060943435088</c:v>
                </c:pt>
                <c:pt idx="240">
                  <c:v>4.6830960417080885</c:v>
                </c:pt>
                <c:pt idx="241">
                  <c:v>4.6857765912532043</c:v>
                </c:pt>
                <c:pt idx="242">
                  <c:v>4.703637563658746</c:v>
                </c:pt>
                <c:pt idx="243">
                  <c:v>4.71493511481148</c:v>
                </c:pt>
                <c:pt idx="244">
                  <c:v>4.7243267587430395</c:v>
                </c:pt>
                <c:pt idx="245">
                  <c:v>4.7343034635464223</c:v>
                </c:pt>
                <c:pt idx="246">
                  <c:v>4.7478415209135729</c:v>
                </c:pt>
                <c:pt idx="247">
                  <c:v>4.7548360587269203</c:v>
                </c:pt>
                <c:pt idx="248">
                  <c:v>4.7627874429986266</c:v>
                </c:pt>
                <c:pt idx="249">
                  <c:v>4.6649028563827741</c:v>
                </c:pt>
                <c:pt idx="250">
                  <c:v>4.7723039704791654</c:v>
                </c:pt>
                <c:pt idx="251">
                  <c:v>4.7766258084364788</c:v>
                </c:pt>
                <c:pt idx="252">
                  <c:v>4.735252444583673</c:v>
                </c:pt>
                <c:pt idx="253">
                  <c:v>4.7322249089532606</c:v>
                </c:pt>
                <c:pt idx="254">
                  <c:v>4.7608266057119906</c:v>
                </c:pt>
                <c:pt idx="255">
                  <c:v>4.7980368510257243</c:v>
                </c:pt>
                <c:pt idx="256">
                  <c:v>4.8575166179495257</c:v>
                </c:pt>
                <c:pt idx="257">
                  <c:v>4.9018382744575204</c:v>
                </c:pt>
                <c:pt idx="258">
                  <c:v>4.9332162267395372</c:v>
                </c:pt>
                <c:pt idx="259">
                  <c:v>4.9573104197071105</c:v>
                </c:pt>
                <c:pt idx="260">
                  <c:v>4.9646674770364649</c:v>
                </c:pt>
                <c:pt idx="261">
                  <c:v>5.0497623558814793</c:v>
                </c:pt>
                <c:pt idx="262">
                  <c:v>4.98196910031385</c:v>
                </c:pt>
                <c:pt idx="263">
                  <c:v>5.0694335684685479</c:v>
                </c:pt>
                <c:pt idx="264">
                  <c:v>5.0049306180470179</c:v>
                </c:pt>
                <c:pt idx="265">
                  <c:v>5.0858527051183779</c:v>
                </c:pt>
                <c:pt idx="266">
                  <c:v>5.018887564495965</c:v>
                </c:pt>
                <c:pt idx="267">
                  <c:v>5.0905430355231198</c:v>
                </c:pt>
                <c:pt idx="268">
                  <c:v>5.036947648418109</c:v>
                </c:pt>
                <c:pt idx="269">
                  <c:v>5.1046777993864554</c:v>
                </c:pt>
                <c:pt idx="270">
                  <c:v>5.0554335085206574</c:v>
                </c:pt>
                <c:pt idx="271">
                  <c:v>5.1321835579181858</c:v>
                </c:pt>
                <c:pt idx="272">
                  <c:v>5.0814138345836941</c:v>
                </c:pt>
                <c:pt idx="273">
                  <c:v>5.1101502944745612</c:v>
                </c:pt>
                <c:pt idx="274">
                  <c:v>5.1396630243018926</c:v>
                </c:pt>
                <c:pt idx="275">
                  <c:v>5.1537648761613166</c:v>
                </c:pt>
                <c:pt idx="276">
                  <c:v>5.1326489902634425</c:v>
                </c:pt>
                <c:pt idx="277">
                  <c:v>5.1514833319953066</c:v>
                </c:pt>
                <c:pt idx="278">
                  <c:v>5.1501313914395528</c:v>
                </c:pt>
                <c:pt idx="279">
                  <c:v>5.1732106994318361</c:v>
                </c:pt>
                <c:pt idx="280">
                  <c:v>5.1600132880892362</c:v>
                </c:pt>
                <c:pt idx="281">
                  <c:v>5.1879782101664356</c:v>
                </c:pt>
                <c:pt idx="282">
                  <c:v>5.1680776511339861</c:v>
                </c:pt>
                <c:pt idx="283">
                  <c:v>5.194935302797492</c:v>
                </c:pt>
                <c:pt idx="284">
                  <c:v>5.1803132825640317</c:v>
                </c:pt>
                <c:pt idx="285">
                  <c:v>5.208152217018462</c:v>
                </c:pt>
                <c:pt idx="286">
                  <c:v>5.1903936551328442</c:v>
                </c:pt>
                <c:pt idx="287">
                  <c:v>5.2111012386066973</c:v>
                </c:pt>
                <c:pt idx="288">
                  <c:v>5.1941717459922216</c:v>
                </c:pt>
                <c:pt idx="289">
                  <c:v>5.2134212639508046</c:v>
                </c:pt>
                <c:pt idx="290">
                  <c:v>5.1934397154551295</c:v>
                </c:pt>
                <c:pt idx="291">
                  <c:v>5.2264104260360948</c:v>
                </c:pt>
                <c:pt idx="292">
                  <c:v>5.2105565628160644</c:v>
                </c:pt>
                <c:pt idx="293">
                  <c:v>5.2373936281133604</c:v>
                </c:pt>
                <c:pt idx="294">
                  <c:v>5.2133097612848829</c:v>
                </c:pt>
                <c:pt idx="295">
                  <c:v>5.2533056881356215</c:v>
                </c:pt>
                <c:pt idx="296">
                  <c:v>5.2319175359608838</c:v>
                </c:pt>
                <c:pt idx="297">
                  <c:v>5.2617850235687991</c:v>
                </c:pt>
                <c:pt idx="298">
                  <c:v>5.2282328086553314</c:v>
                </c:pt>
                <c:pt idx="299">
                  <c:v>5.2808136721977572</c:v>
                </c:pt>
                <c:pt idx="300">
                  <c:v>5.2323029369753868</c:v>
                </c:pt>
                <c:pt idx="301">
                  <c:v>5.2731974685717642</c:v>
                </c:pt>
                <c:pt idx="302">
                  <c:v>5.2324626972572261</c:v>
                </c:pt>
                <c:pt idx="303">
                  <c:v>5.2839082499160615</c:v>
                </c:pt>
                <c:pt idx="304">
                  <c:v>5.2411936055075836</c:v>
                </c:pt>
                <c:pt idx="305">
                  <c:v>5.281509133787698</c:v>
                </c:pt>
                <c:pt idx="306">
                  <c:v>5.2480329441689841</c:v>
                </c:pt>
                <c:pt idx="307">
                  <c:v>5.2984581199069725</c:v>
                </c:pt>
                <c:pt idx="308">
                  <c:v>5.2495461786547324</c:v>
                </c:pt>
                <c:pt idx="309">
                  <c:v>5.3017777445697902</c:v>
                </c:pt>
                <c:pt idx="310">
                  <c:v>5.2472333921437357</c:v>
                </c:pt>
                <c:pt idx="311">
                  <c:v>5.3111952119587409</c:v>
                </c:pt>
                <c:pt idx="312">
                  <c:v>5.2437139979844494</c:v>
                </c:pt>
                <c:pt idx="313">
                  <c:v>5.301034624341681</c:v>
                </c:pt>
                <c:pt idx="314">
                  <c:v>5.3010426761258884</c:v>
                </c:pt>
                <c:pt idx="315">
                  <c:v>5.30097365025145</c:v>
                </c:pt>
                <c:pt idx="316">
                  <c:v>5.3122207269103976</c:v>
                </c:pt>
                <c:pt idx="317">
                  <c:v>5.3121392156479752</c:v>
                </c:pt>
                <c:pt idx="318">
                  <c:v>5.3139641156176527</c:v>
                </c:pt>
                <c:pt idx="319">
                  <c:v>5.3114018723607046</c:v>
                </c:pt>
                <c:pt idx="320">
                  <c:v>5.3163577054429743</c:v>
                </c:pt>
                <c:pt idx="321">
                  <c:v>5.3072948439805447</c:v>
                </c:pt>
                <c:pt idx="322">
                  <c:v>5.3150780263117925</c:v>
                </c:pt>
                <c:pt idx="323">
                  <c:v>5.3219082619759677</c:v>
                </c:pt>
                <c:pt idx="324">
                  <c:v>5.3372496169973287</c:v>
                </c:pt>
                <c:pt idx="325">
                  <c:v>5.3300673150431059</c:v>
                </c:pt>
                <c:pt idx="326">
                  <c:v>5.3367754285206921</c:v>
                </c:pt>
                <c:pt idx="327">
                  <c:v>5.3390021636467093</c:v>
                </c:pt>
                <c:pt idx="328">
                  <c:v>5.3455993982398997</c:v>
                </c:pt>
                <c:pt idx="329">
                  <c:v>5.345655045678015</c:v>
                </c:pt>
                <c:pt idx="330">
                  <c:v>5.3432544588927948</c:v>
                </c:pt>
                <c:pt idx="331">
                  <c:v>5.3316556439100173</c:v>
                </c:pt>
                <c:pt idx="332">
                  <c:v>5.3393717441340343</c:v>
                </c:pt>
                <c:pt idx="333">
                  <c:v>5.3372055546845756</c:v>
                </c:pt>
                <c:pt idx="334">
                  <c:v>5.3283408751204089</c:v>
                </c:pt>
                <c:pt idx="335">
                  <c:v>5.3117852439557982</c:v>
                </c:pt>
                <c:pt idx="336">
                  <c:v>5.3112501578465237</c:v>
                </c:pt>
                <c:pt idx="337">
                  <c:v>5.2940010166588545</c:v>
                </c:pt>
                <c:pt idx="338">
                  <c:v>5.2961543453646058</c:v>
                </c:pt>
                <c:pt idx="339">
                  <c:v>5.2944713052046009</c:v>
                </c:pt>
                <c:pt idx="340">
                  <c:v>5.2846798034015414</c:v>
                </c:pt>
                <c:pt idx="341">
                  <c:v>5.2747045103145753</c:v>
                </c:pt>
                <c:pt idx="342">
                  <c:v>5.2789763635659783</c:v>
                </c:pt>
                <c:pt idx="343">
                  <c:v>5.2686304286757837</c:v>
                </c:pt>
                <c:pt idx="344">
                  <c:v>5.2715138126600598</c:v>
                </c:pt>
                <c:pt idx="345">
                  <c:v>5.26685289513531</c:v>
                </c:pt>
                <c:pt idx="346">
                  <c:v>5.2613525332129285</c:v>
                </c:pt>
                <c:pt idx="347">
                  <c:v>5.2593862972742915</c:v>
                </c:pt>
                <c:pt idx="348">
                  <c:v>5.2581932912808531</c:v>
                </c:pt>
                <c:pt idx="349">
                  <c:v>5.2551446163948796</c:v>
                </c:pt>
                <c:pt idx="350">
                  <c:v>5.2492751564568465</c:v>
                </c:pt>
                <c:pt idx="351">
                  <c:v>5.2437702435748124</c:v>
                </c:pt>
                <c:pt idx="352">
                  <c:v>5.2412244479014314</c:v>
                </c:pt>
              </c:numCache>
            </c:numRef>
          </c:yVal>
          <c:smooth val="1"/>
          <c:extLst>
            <c:ext xmlns:c16="http://schemas.microsoft.com/office/drawing/2014/chart" uri="{C3380CC4-5D6E-409C-BE32-E72D297353CC}">
              <c16:uniqueId val="{00000002-8292-4940-BFF8-E3EA4E3F0C1A}"/>
            </c:ext>
          </c:extLst>
        </c:ser>
        <c:dLbls>
          <c:showLegendKey val="0"/>
          <c:showVal val="0"/>
          <c:showCatName val="0"/>
          <c:showSerName val="0"/>
          <c:showPercent val="0"/>
          <c:showBubbleSize val="0"/>
        </c:dLbls>
        <c:axId val="10"/>
        <c:axId val="20"/>
      </c:scatterChart>
      <c:valAx>
        <c:axId val="10"/>
        <c:scaling>
          <c:orientation val="minMax"/>
          <c:max val="31"/>
          <c:min val="0"/>
        </c:scaling>
        <c:delete val="1"/>
        <c:axPos val="b"/>
        <c:majorGridlines/>
        <c:title>
          <c:tx>
            <c:rich>
              <a:bodyPr/>
              <a:lstStyle/>
              <a:p>
                <a:pPr>
                  <a:defRPr/>
                </a:pPr>
                <a:r>
                  <a:t>Years from settlement</a:t>
                </a:r>
              </a:p>
            </c:rich>
          </c:tx>
          <c:overlay val="1"/>
        </c:title>
        <c:numFmt formatCode="0.0000" sourceLinked="1"/>
        <c:majorTickMark val="none"/>
        <c:minorTickMark val="none"/>
        <c:tickLblPos val="nextTo"/>
        <c:crossAx val="20"/>
        <c:crosses val="autoZero"/>
        <c:crossBetween val="midCat"/>
        <c:majorUnit val="5"/>
      </c:valAx>
      <c:valAx>
        <c:axId val="20"/>
        <c:scaling>
          <c:orientation val="minMax"/>
          <c:max val="6"/>
          <c:min val="2.5"/>
        </c:scaling>
        <c:delete val="1"/>
        <c:axPos val="l"/>
        <c:majorGridlines/>
        <c:title>
          <c:tx>
            <c:rich>
              <a:bodyPr/>
              <a:lstStyle/>
              <a:p>
                <a:pPr>
                  <a:defRPr/>
                </a:pPr>
                <a:r>
                  <a:t>Rate (%)</a:t>
                </a:r>
              </a:p>
            </c:rich>
          </c:tx>
          <c:overlay val="1"/>
        </c:title>
        <c:numFmt formatCode="0.0000"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19</xdr:row>
      <xdr:rowOff>0</xdr:rowOff>
    </xdr:from>
    <xdr:ext cx="7200000" cy="360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59"/>
  <sheetViews>
    <sheetView tabSelected="1" workbookViewId="0">
      <pane ySplit="6" topLeftCell="A7" activePane="bottomLeft" state="frozen"/>
      <selection pane="bottomLeft"/>
    </sheetView>
  </sheetViews>
  <sheetFormatPr baseColWidth="10" defaultColWidth="8.83203125" defaultRowHeight="15" x14ac:dyDescent="0.2"/>
  <cols>
    <col min="1" max="1" width="12" customWidth="1"/>
    <col min="2" max="4" width="9" customWidth="1"/>
    <col min="5" max="5" width="8" customWidth="1"/>
    <col min="6" max="6" width="11" customWidth="1"/>
  </cols>
  <sheetData>
    <row r="1" spans="1:6" ht="19" x14ac:dyDescent="0.25">
      <c r="A1" s="1" t="s">
        <v>0</v>
      </c>
    </row>
    <row r="2" spans="1:6" x14ac:dyDescent="0.2">
      <c r="A2" t="s">
        <v>1</v>
      </c>
    </row>
    <row r="3" spans="1:6" x14ac:dyDescent="0.2">
      <c r="A3" t="s">
        <v>2</v>
      </c>
    </row>
    <row r="4" spans="1:6" x14ac:dyDescent="0.2">
      <c r="A4" t="s">
        <v>3</v>
      </c>
    </row>
    <row r="6" spans="1:6" ht="16" x14ac:dyDescent="0.2">
      <c r="A6" s="2" t="s">
        <v>4</v>
      </c>
      <c r="B6" s="2" t="s">
        <v>5</v>
      </c>
      <c r="C6" s="2" t="s">
        <v>6</v>
      </c>
      <c r="D6" s="2" t="s">
        <v>7</v>
      </c>
      <c r="E6" s="2" t="s">
        <v>8</v>
      </c>
      <c r="F6" s="2" t="s">
        <v>9</v>
      </c>
    </row>
    <row r="7" spans="1:6" x14ac:dyDescent="0.2">
      <c r="A7" s="3">
        <v>46280</v>
      </c>
      <c r="B7" s="4">
        <v>4.625</v>
      </c>
      <c r="C7" s="4">
        <v>100</v>
      </c>
      <c r="D7" s="4">
        <v>100.01</v>
      </c>
      <c r="E7">
        <v>-2E-3</v>
      </c>
      <c r="F7" s="4">
        <v>2.9369999999999998</v>
      </c>
    </row>
    <row r="8" spans="1:6" x14ac:dyDescent="0.2">
      <c r="A8" s="3">
        <v>46295</v>
      </c>
      <c r="B8" s="4">
        <v>0.875</v>
      </c>
      <c r="C8" s="4">
        <v>99.256</v>
      </c>
      <c r="D8" s="4">
        <v>99.266000000000005</v>
      </c>
      <c r="E8">
        <v>0.01</v>
      </c>
      <c r="F8" s="4">
        <v>3.625</v>
      </c>
    </row>
    <row r="9" spans="1:6" x14ac:dyDescent="0.2">
      <c r="A9" s="3">
        <v>46295</v>
      </c>
      <c r="B9" s="4">
        <v>1.625</v>
      </c>
      <c r="C9" s="4">
        <v>99.275999999999996</v>
      </c>
      <c r="D9" s="4">
        <v>99.286000000000001</v>
      </c>
      <c r="E9">
        <v>4.0000000000000001E-3</v>
      </c>
      <c r="F9" s="4">
        <v>3.3180000000000001</v>
      </c>
    </row>
    <row r="10" spans="1:6" x14ac:dyDescent="0.2">
      <c r="A10" s="3">
        <v>46295</v>
      </c>
      <c r="B10" s="4">
        <v>3.5</v>
      </c>
      <c r="C10" s="4">
        <v>99.305999999999997</v>
      </c>
      <c r="D10" s="4">
        <v>99.316000000000003</v>
      </c>
      <c r="E10">
        <v>2E-3</v>
      </c>
      <c r="F10" s="4">
        <v>3.6030000000000002</v>
      </c>
    </row>
    <row r="11" spans="1:6" x14ac:dyDescent="0.2">
      <c r="A11" s="3">
        <v>46310</v>
      </c>
      <c r="B11" s="4">
        <v>4.625</v>
      </c>
      <c r="C11" s="4">
        <v>100.02200000000001</v>
      </c>
      <c r="D11" s="4">
        <v>100.032</v>
      </c>
      <c r="E11">
        <v>-2E-3</v>
      </c>
      <c r="F11" s="4">
        <v>3.5760000000000001</v>
      </c>
    </row>
    <row r="12" spans="1:6" x14ac:dyDescent="0.2">
      <c r="A12" s="3">
        <v>46326</v>
      </c>
      <c r="B12" s="4">
        <v>1.125</v>
      </c>
      <c r="C12" s="4">
        <v>99.186000000000007</v>
      </c>
      <c r="D12" s="4">
        <v>99.195999999999998</v>
      </c>
      <c r="E12">
        <v>0.01</v>
      </c>
      <c r="F12" s="4">
        <v>3.8079999999999998</v>
      </c>
    </row>
    <row r="13" spans="1:6" x14ac:dyDescent="0.2">
      <c r="A13" s="3">
        <v>46326</v>
      </c>
      <c r="B13" s="4">
        <v>1.625</v>
      </c>
      <c r="C13" s="4">
        <v>99.212000000000003</v>
      </c>
      <c r="D13" s="4">
        <v>99.221999999999994</v>
      </c>
      <c r="E13">
        <v>8.0000000000000002E-3</v>
      </c>
      <c r="F13" s="4">
        <v>3.7549999999999999</v>
      </c>
    </row>
    <row r="14" spans="1:6" x14ac:dyDescent="0.2">
      <c r="A14" s="3">
        <v>46326</v>
      </c>
      <c r="B14" s="4">
        <v>4.125</v>
      </c>
      <c r="C14" s="4">
        <v>100</v>
      </c>
      <c r="D14" s="4">
        <v>100.01</v>
      </c>
      <c r="E14">
        <v>-6.0000000000000001E-3</v>
      </c>
      <c r="F14" s="4">
        <v>3.8769999999999998</v>
      </c>
    </row>
    <row r="15" spans="1:6" x14ac:dyDescent="0.2">
      <c r="A15" s="3">
        <v>46341</v>
      </c>
      <c r="B15" s="4">
        <v>2</v>
      </c>
      <c r="C15" s="4">
        <v>99.203999999999994</v>
      </c>
      <c r="D15" s="4">
        <v>99.213999999999999</v>
      </c>
      <c r="E15">
        <v>4.0000000000000001E-3</v>
      </c>
      <c r="F15" s="4">
        <v>3.7869999999999999</v>
      </c>
    </row>
    <row r="16" spans="1:6" x14ac:dyDescent="0.2">
      <c r="A16" s="3">
        <v>46341</v>
      </c>
      <c r="B16" s="4">
        <v>4.625</v>
      </c>
      <c r="C16" s="4">
        <v>100.04</v>
      </c>
      <c r="D16" s="4">
        <v>100.05</v>
      </c>
      <c r="E16">
        <v>-2E-3</v>
      </c>
      <c r="F16" s="4">
        <v>3.7410000000000001</v>
      </c>
    </row>
    <row r="17" spans="1:6" x14ac:dyDescent="0.2">
      <c r="A17" s="3">
        <v>46341</v>
      </c>
      <c r="B17" s="4">
        <v>6.5</v>
      </c>
      <c r="C17" s="4">
        <v>100.13</v>
      </c>
      <c r="D17" s="4">
        <v>100.14</v>
      </c>
      <c r="E17">
        <v>-1.4E-2</v>
      </c>
      <c r="F17" s="4">
        <v>4.0579999999999998</v>
      </c>
    </row>
    <row r="18" spans="1:6" x14ac:dyDescent="0.2">
      <c r="A18" s="3">
        <v>46356</v>
      </c>
      <c r="B18" s="4">
        <v>1.25</v>
      </c>
      <c r="C18" s="4">
        <v>99.126000000000005</v>
      </c>
      <c r="D18" s="4">
        <v>99.135999999999996</v>
      </c>
      <c r="E18">
        <v>6.0000000000000001E-3</v>
      </c>
      <c r="F18" s="4">
        <v>3.7930000000000001</v>
      </c>
    </row>
    <row r="19" spans="1:6" x14ac:dyDescent="0.2">
      <c r="A19" s="3">
        <v>46356</v>
      </c>
      <c r="B19" s="4">
        <v>1.625</v>
      </c>
      <c r="C19" s="4">
        <v>99.156000000000006</v>
      </c>
      <c r="D19" s="4">
        <v>99.165999999999997</v>
      </c>
      <c r="E19">
        <v>6.0000000000000001E-3</v>
      </c>
      <c r="F19" s="4">
        <v>3.7469999999999999</v>
      </c>
    </row>
    <row r="20" spans="1:6" x14ac:dyDescent="0.2">
      <c r="A20" s="3">
        <v>46356</v>
      </c>
      <c r="B20" s="4">
        <v>4.25</v>
      </c>
      <c r="C20" s="4">
        <v>100.02200000000001</v>
      </c>
      <c r="D20" s="4">
        <v>100.032</v>
      </c>
      <c r="E20">
        <v>-2E-3</v>
      </c>
      <c r="F20" s="4">
        <v>3.774</v>
      </c>
    </row>
    <row r="21" spans="1:6" x14ac:dyDescent="0.2">
      <c r="A21" s="3">
        <v>46371</v>
      </c>
      <c r="B21" s="4">
        <v>4.375</v>
      </c>
      <c r="C21" s="4">
        <v>100.044</v>
      </c>
      <c r="D21" s="4">
        <v>100.054</v>
      </c>
      <c r="E21">
        <v>-2E-3</v>
      </c>
      <c r="F21" s="4">
        <v>3.7050000000000001</v>
      </c>
    </row>
    <row r="22" spans="1:6" x14ac:dyDescent="0.2">
      <c r="A22" s="3">
        <v>46387</v>
      </c>
      <c r="B22" s="4">
        <v>1.25</v>
      </c>
      <c r="C22" s="4">
        <v>99.052000000000007</v>
      </c>
      <c r="D22" s="4">
        <v>99.061999999999998</v>
      </c>
      <c r="E22">
        <v>8.0000000000000002E-3</v>
      </c>
      <c r="F22" s="4">
        <v>3.8839999999999999</v>
      </c>
    </row>
    <row r="23" spans="1:6" x14ac:dyDescent="0.2">
      <c r="A23" s="3">
        <v>46387</v>
      </c>
      <c r="B23" s="4">
        <v>1.75</v>
      </c>
      <c r="C23" s="4">
        <v>99.102000000000004</v>
      </c>
      <c r="D23" s="4">
        <v>99.111999999999995</v>
      </c>
      <c r="E23">
        <v>8.0000000000000002E-3</v>
      </c>
      <c r="F23" s="4">
        <v>3.8690000000000002</v>
      </c>
    </row>
    <row r="24" spans="1:6" x14ac:dyDescent="0.2">
      <c r="A24" s="3">
        <v>46387</v>
      </c>
      <c r="B24" s="4">
        <v>4.25</v>
      </c>
      <c r="C24" s="4">
        <v>100.024</v>
      </c>
      <c r="D24" s="4">
        <v>100.03400000000001</v>
      </c>
      <c r="E24">
        <v>-2E-3</v>
      </c>
      <c r="F24" s="4">
        <v>3.8759999999999999</v>
      </c>
    </row>
    <row r="25" spans="1:6" x14ac:dyDescent="0.2">
      <c r="A25" s="3">
        <v>46402</v>
      </c>
      <c r="B25" s="4">
        <v>4</v>
      </c>
      <c r="C25" s="4">
        <v>100.01</v>
      </c>
      <c r="D25" s="4">
        <v>100.02</v>
      </c>
      <c r="E25" t="s">
        <v>10</v>
      </c>
      <c r="F25" s="4">
        <v>3.8069999999999999</v>
      </c>
    </row>
    <row r="26" spans="1:6" x14ac:dyDescent="0.2">
      <c r="A26" s="3">
        <v>46418</v>
      </c>
      <c r="B26" s="4">
        <v>1.5</v>
      </c>
      <c r="C26" s="4">
        <v>99.004000000000005</v>
      </c>
      <c r="D26" s="4">
        <v>99.013999999999996</v>
      </c>
      <c r="E26">
        <v>0.68799999999999994</v>
      </c>
      <c r="F26" s="4">
        <v>3.9590000000000001</v>
      </c>
    </row>
    <row r="27" spans="1:6" x14ac:dyDescent="0.2">
      <c r="A27" s="3">
        <v>46418</v>
      </c>
      <c r="B27" s="4">
        <v>4.125</v>
      </c>
      <c r="C27" s="4">
        <v>100.01</v>
      </c>
      <c r="D27" s="4">
        <v>100.02</v>
      </c>
      <c r="E27">
        <v>4.0000000000000001E-3</v>
      </c>
      <c r="F27" s="4">
        <v>3.9550000000000001</v>
      </c>
    </row>
    <row r="28" spans="1:6" x14ac:dyDescent="0.2">
      <c r="A28" s="3">
        <v>46433</v>
      </c>
      <c r="B28" s="4">
        <v>2.25</v>
      </c>
      <c r="C28" s="4">
        <v>99.081999999999994</v>
      </c>
      <c r="D28" s="4">
        <v>99.091999999999999</v>
      </c>
      <c r="E28">
        <v>6.0000000000000001E-3</v>
      </c>
      <c r="F28" s="4">
        <v>3.9119999999999999</v>
      </c>
    </row>
    <row r="29" spans="1:6" x14ac:dyDescent="0.2">
      <c r="A29" s="3">
        <v>46433</v>
      </c>
      <c r="B29" s="4">
        <v>4.125</v>
      </c>
      <c r="C29" s="4">
        <v>100.012</v>
      </c>
      <c r="D29" s="4">
        <v>100.02200000000001</v>
      </c>
      <c r="E29">
        <v>-8.0000000000000002E-3</v>
      </c>
      <c r="F29" s="4">
        <v>3.9550000000000001</v>
      </c>
    </row>
    <row r="30" spans="1:6" x14ac:dyDescent="0.2">
      <c r="A30" s="3">
        <v>46433</v>
      </c>
      <c r="B30" s="4">
        <v>6.625</v>
      </c>
      <c r="C30" s="4">
        <v>101.03</v>
      </c>
      <c r="D30" s="4">
        <v>101.04</v>
      </c>
      <c r="E30">
        <v>-0.02</v>
      </c>
      <c r="F30" s="4">
        <v>3.9809999999999999</v>
      </c>
    </row>
    <row r="31" spans="1:6" x14ac:dyDescent="0.2">
      <c r="A31" s="3">
        <v>46446</v>
      </c>
      <c r="B31" s="4">
        <v>1.125</v>
      </c>
      <c r="C31" s="4">
        <v>98.201999999999998</v>
      </c>
      <c r="D31" s="4">
        <v>98.212000000000003</v>
      </c>
      <c r="E31">
        <v>8.0000000000000002E-3</v>
      </c>
      <c r="F31" s="4">
        <v>3.9740000000000002</v>
      </c>
    </row>
    <row r="32" spans="1:6" x14ac:dyDescent="0.2">
      <c r="A32" s="3">
        <v>46446</v>
      </c>
      <c r="B32" s="4">
        <v>1.875</v>
      </c>
      <c r="C32" s="4">
        <v>99.001999999999995</v>
      </c>
      <c r="D32" s="4">
        <v>99.012</v>
      </c>
      <c r="E32">
        <v>0.68600000000000005</v>
      </c>
      <c r="F32" s="4">
        <v>3.923</v>
      </c>
    </row>
    <row r="33" spans="1:6" x14ac:dyDescent="0.2">
      <c r="A33" s="3">
        <v>46446</v>
      </c>
      <c r="B33" s="4">
        <v>4.125</v>
      </c>
      <c r="C33" s="4">
        <v>100.01600000000001</v>
      </c>
      <c r="D33" s="4">
        <v>100.026</v>
      </c>
      <c r="E33" t="s">
        <v>10</v>
      </c>
      <c r="F33" s="4">
        <v>3.94</v>
      </c>
    </row>
    <row r="34" spans="1:6" x14ac:dyDescent="0.2">
      <c r="A34" s="3">
        <v>46461</v>
      </c>
      <c r="B34" s="4">
        <v>4.25</v>
      </c>
      <c r="C34" s="4">
        <v>100.042</v>
      </c>
      <c r="D34" s="4">
        <v>100.05200000000001</v>
      </c>
      <c r="E34">
        <v>-2E-3</v>
      </c>
      <c r="F34" s="4">
        <v>3.9260000000000002</v>
      </c>
    </row>
    <row r="35" spans="1:6" x14ac:dyDescent="0.2">
      <c r="A35" s="3">
        <v>46477</v>
      </c>
      <c r="B35" s="4">
        <v>0.625</v>
      </c>
      <c r="C35" s="4">
        <v>98.042000000000002</v>
      </c>
      <c r="D35" s="4">
        <v>98.052000000000007</v>
      </c>
      <c r="E35">
        <v>0.01</v>
      </c>
      <c r="F35" s="4">
        <v>3.9710000000000001</v>
      </c>
    </row>
    <row r="36" spans="1:6" x14ac:dyDescent="0.2">
      <c r="A36" s="3">
        <v>46477</v>
      </c>
      <c r="B36" s="4">
        <v>2.5</v>
      </c>
      <c r="C36" s="4">
        <v>99.052000000000007</v>
      </c>
      <c r="D36" s="4">
        <v>99.061999999999998</v>
      </c>
      <c r="E36">
        <v>2E-3</v>
      </c>
      <c r="F36" s="4">
        <v>3.964</v>
      </c>
    </row>
    <row r="37" spans="1:6" x14ac:dyDescent="0.2">
      <c r="A37" s="3">
        <v>46477</v>
      </c>
      <c r="B37" s="4">
        <v>3.875</v>
      </c>
      <c r="C37" s="4">
        <v>99.293999999999997</v>
      </c>
      <c r="D37" s="4">
        <v>99.304000000000002</v>
      </c>
      <c r="E37">
        <v>2E-3</v>
      </c>
      <c r="F37" s="4">
        <v>3.9569999999999999</v>
      </c>
    </row>
    <row r="38" spans="1:6" x14ac:dyDescent="0.2">
      <c r="A38" s="3">
        <v>46492</v>
      </c>
      <c r="B38" s="4">
        <v>4.5</v>
      </c>
      <c r="C38" s="4">
        <v>100.08199999999999</v>
      </c>
      <c r="D38" s="4">
        <v>100.092</v>
      </c>
      <c r="E38" t="s">
        <v>10</v>
      </c>
      <c r="F38" s="4">
        <v>4.0019999999999998</v>
      </c>
    </row>
    <row r="39" spans="1:6" x14ac:dyDescent="0.2">
      <c r="A39" s="3">
        <v>46507</v>
      </c>
      <c r="B39" s="4">
        <v>0.5</v>
      </c>
      <c r="C39" s="4">
        <v>97.24</v>
      </c>
      <c r="D39" s="4">
        <v>97.25</v>
      </c>
      <c r="E39">
        <v>1.6E-2</v>
      </c>
      <c r="F39" s="4">
        <v>4.024</v>
      </c>
    </row>
    <row r="40" spans="1:6" x14ac:dyDescent="0.2">
      <c r="A40" s="3">
        <v>46507</v>
      </c>
      <c r="B40" s="4">
        <v>2.75</v>
      </c>
      <c r="C40" s="4">
        <v>99.043999999999997</v>
      </c>
      <c r="D40" s="4">
        <v>99.054000000000002</v>
      </c>
      <c r="E40" t="s">
        <v>10</v>
      </c>
      <c r="F40" s="4">
        <v>4.0609999999999999</v>
      </c>
    </row>
    <row r="41" spans="1:6" x14ac:dyDescent="0.2">
      <c r="A41" s="3">
        <v>46507</v>
      </c>
      <c r="B41" s="4">
        <v>3.75</v>
      </c>
      <c r="C41" s="4">
        <v>99.254000000000005</v>
      </c>
      <c r="D41" s="4">
        <v>99.263999999999996</v>
      </c>
      <c r="E41">
        <v>8.0000000000000002E-3</v>
      </c>
      <c r="F41" s="4">
        <v>4.0170000000000003</v>
      </c>
    </row>
    <row r="42" spans="1:6" x14ac:dyDescent="0.2">
      <c r="A42" s="3">
        <v>46522</v>
      </c>
      <c r="B42" s="4">
        <v>2.375</v>
      </c>
      <c r="C42" s="4">
        <v>98.262</v>
      </c>
      <c r="D42" s="4">
        <v>98.272000000000006</v>
      </c>
      <c r="E42">
        <v>2E-3</v>
      </c>
      <c r="F42" s="4">
        <v>4.0890000000000004</v>
      </c>
    </row>
    <row r="43" spans="1:6" x14ac:dyDescent="0.2">
      <c r="A43" s="3">
        <v>46522</v>
      </c>
      <c r="B43" s="4">
        <v>4.5</v>
      </c>
      <c r="C43" s="4">
        <v>100.074</v>
      </c>
      <c r="D43" s="4">
        <v>100.084</v>
      </c>
      <c r="E43">
        <v>-6.0000000000000001E-3</v>
      </c>
      <c r="F43" s="4">
        <v>4.0949999999999998</v>
      </c>
    </row>
    <row r="44" spans="1:6" x14ac:dyDescent="0.2">
      <c r="A44" s="3">
        <v>46538</v>
      </c>
      <c r="B44" s="4">
        <v>0.5</v>
      </c>
      <c r="C44" s="4">
        <v>97.14</v>
      </c>
      <c r="D44" s="4">
        <v>97.15</v>
      </c>
      <c r="E44">
        <v>0.01</v>
      </c>
      <c r="F44" s="4">
        <v>4.069</v>
      </c>
    </row>
    <row r="45" spans="1:6" x14ac:dyDescent="0.2">
      <c r="A45" s="3">
        <v>46538</v>
      </c>
      <c r="B45" s="4">
        <v>2.625</v>
      </c>
      <c r="C45" s="4">
        <v>98.302000000000007</v>
      </c>
      <c r="D45" s="4">
        <v>98.311999999999998</v>
      </c>
      <c r="E45">
        <v>8.0000000000000002E-3</v>
      </c>
      <c r="F45" s="4">
        <v>4.0640000000000001</v>
      </c>
    </row>
    <row r="46" spans="1:6" x14ac:dyDescent="0.2">
      <c r="A46" s="3">
        <v>46538</v>
      </c>
      <c r="B46" s="4">
        <v>3.875</v>
      </c>
      <c r="C46" s="4">
        <v>99.262</v>
      </c>
      <c r="D46" s="4">
        <v>99.272000000000006</v>
      </c>
      <c r="E46">
        <v>-2E-3</v>
      </c>
      <c r="F46" s="4">
        <v>4.0780000000000003</v>
      </c>
    </row>
    <row r="47" spans="1:6" x14ac:dyDescent="0.2">
      <c r="A47" s="3">
        <v>46553</v>
      </c>
      <c r="B47" s="4">
        <v>4.625</v>
      </c>
      <c r="C47" s="4">
        <v>100.114</v>
      </c>
      <c r="D47" s="4">
        <v>100.124</v>
      </c>
      <c r="E47">
        <v>-2E-3</v>
      </c>
      <c r="F47" s="4">
        <v>4.0949999999999998</v>
      </c>
    </row>
    <row r="48" spans="1:6" x14ac:dyDescent="0.2">
      <c r="A48" s="3">
        <v>46568</v>
      </c>
      <c r="B48" s="4">
        <v>0.5</v>
      </c>
      <c r="C48" s="4">
        <v>97.034000000000006</v>
      </c>
      <c r="D48" s="4">
        <v>97.043999999999997</v>
      </c>
      <c r="E48">
        <v>8.0000000000000002E-3</v>
      </c>
      <c r="F48" s="4">
        <v>4.1260000000000003</v>
      </c>
    </row>
    <row r="49" spans="1:6" x14ac:dyDescent="0.2">
      <c r="A49" s="3">
        <v>46568</v>
      </c>
      <c r="B49" s="4">
        <v>3.25</v>
      </c>
      <c r="C49" s="4">
        <v>99.091999999999999</v>
      </c>
      <c r="D49" s="4">
        <v>99.102000000000004</v>
      </c>
      <c r="E49" t="s">
        <v>10</v>
      </c>
      <c r="F49" s="4">
        <v>4.1070000000000002</v>
      </c>
    </row>
    <row r="50" spans="1:6" x14ac:dyDescent="0.2">
      <c r="A50" s="3">
        <v>46568</v>
      </c>
      <c r="B50" s="4">
        <v>3.75</v>
      </c>
      <c r="C50" s="4">
        <v>99.212000000000003</v>
      </c>
      <c r="D50" s="4">
        <v>99.221999999999994</v>
      </c>
      <c r="E50">
        <v>-8.0000000000000002E-3</v>
      </c>
      <c r="F50" s="4">
        <v>4.1310000000000002</v>
      </c>
    </row>
    <row r="51" spans="1:6" x14ac:dyDescent="0.2">
      <c r="A51" s="3">
        <v>46583</v>
      </c>
      <c r="B51" s="4">
        <v>4.375</v>
      </c>
      <c r="C51" s="4">
        <v>100.05</v>
      </c>
      <c r="D51" s="4">
        <v>100.06</v>
      </c>
      <c r="E51">
        <v>-0.01</v>
      </c>
      <c r="F51" s="4">
        <v>4.1429999999999998</v>
      </c>
    </row>
    <row r="52" spans="1:6" x14ac:dyDescent="0.2">
      <c r="A52" s="3">
        <v>46599</v>
      </c>
      <c r="B52" s="4">
        <v>0.375</v>
      </c>
      <c r="C52" s="4">
        <v>96.213999999999999</v>
      </c>
      <c r="D52" s="4">
        <v>96.224000000000004</v>
      </c>
      <c r="E52">
        <v>4.0000000000000001E-3</v>
      </c>
      <c r="F52" s="4">
        <v>4.17</v>
      </c>
    </row>
    <row r="53" spans="1:6" x14ac:dyDescent="0.2">
      <c r="A53" s="3">
        <v>46599</v>
      </c>
      <c r="B53" s="4">
        <v>2.75</v>
      </c>
      <c r="C53" s="4">
        <v>98.231999999999999</v>
      </c>
      <c r="D53" s="4">
        <v>98.242000000000004</v>
      </c>
      <c r="E53">
        <v>-2E-3</v>
      </c>
      <c r="F53" s="4">
        <v>4.1769999999999996</v>
      </c>
    </row>
    <row r="54" spans="1:6" x14ac:dyDescent="0.2">
      <c r="A54" s="3">
        <v>46599</v>
      </c>
      <c r="B54" s="4">
        <v>3.875</v>
      </c>
      <c r="C54" s="4">
        <v>99.225999999999999</v>
      </c>
      <c r="D54" s="4">
        <v>99.236000000000004</v>
      </c>
      <c r="E54">
        <v>-4.0000000000000001E-3</v>
      </c>
      <c r="F54" s="4">
        <v>4.1680000000000001</v>
      </c>
    </row>
    <row r="55" spans="1:6" x14ac:dyDescent="0.2">
      <c r="A55" s="3">
        <v>46614</v>
      </c>
      <c r="B55" s="4">
        <v>2.25</v>
      </c>
      <c r="C55" s="4">
        <v>98.072000000000003</v>
      </c>
      <c r="D55" s="4">
        <v>98.081999999999994</v>
      </c>
      <c r="E55">
        <v>2E-3</v>
      </c>
      <c r="F55" s="4">
        <v>4.1680000000000001</v>
      </c>
    </row>
    <row r="56" spans="1:6" x14ac:dyDescent="0.2">
      <c r="A56" s="3">
        <v>46614</v>
      </c>
      <c r="B56" s="4">
        <v>3.75</v>
      </c>
      <c r="C56" s="4">
        <v>99.186000000000007</v>
      </c>
      <c r="D56" s="4">
        <v>99.195999999999998</v>
      </c>
      <c r="E56">
        <v>-6.0000000000000001E-3</v>
      </c>
      <c r="F56" s="4">
        <v>4.1689999999999996</v>
      </c>
    </row>
    <row r="57" spans="1:6" x14ac:dyDescent="0.2">
      <c r="A57" s="3">
        <v>46614</v>
      </c>
      <c r="B57" s="4">
        <v>6.375</v>
      </c>
      <c r="C57" s="4">
        <v>101.29600000000001</v>
      </c>
      <c r="D57" s="4">
        <v>101.306</v>
      </c>
      <c r="E57">
        <v>-0.70599999999999996</v>
      </c>
      <c r="F57" s="4">
        <v>4.21</v>
      </c>
    </row>
    <row r="58" spans="1:6" x14ac:dyDescent="0.2">
      <c r="A58" s="3">
        <v>46630</v>
      </c>
      <c r="B58" s="4">
        <v>0.5</v>
      </c>
      <c r="C58" s="4">
        <v>96.144000000000005</v>
      </c>
      <c r="D58" s="4">
        <v>96.153999999999996</v>
      </c>
      <c r="E58">
        <v>-6.0000000000000001E-3</v>
      </c>
      <c r="F58" s="4">
        <v>4.2069999999999999</v>
      </c>
    </row>
    <row r="59" spans="1:6" x14ac:dyDescent="0.2">
      <c r="A59" s="3">
        <v>46630</v>
      </c>
      <c r="B59" s="4">
        <v>3.125</v>
      </c>
      <c r="C59" s="4">
        <v>98.304000000000002</v>
      </c>
      <c r="D59" s="4">
        <v>98.313999999999993</v>
      </c>
      <c r="E59">
        <v>-6.0000000000000001E-3</v>
      </c>
      <c r="F59" s="4">
        <v>4.1950000000000003</v>
      </c>
    </row>
    <row r="60" spans="1:6" x14ac:dyDescent="0.2">
      <c r="A60" s="3">
        <v>46630</v>
      </c>
      <c r="B60" s="4">
        <v>3.625</v>
      </c>
      <c r="C60" s="4">
        <v>99.135999999999996</v>
      </c>
      <c r="D60" s="4">
        <v>99.146000000000001</v>
      </c>
      <c r="E60">
        <v>-0.01</v>
      </c>
      <c r="F60" s="4">
        <v>4.1929999999999996</v>
      </c>
    </row>
    <row r="61" spans="1:6" x14ac:dyDescent="0.2">
      <c r="A61" s="3">
        <v>46645</v>
      </c>
      <c r="B61" s="4">
        <v>3.375</v>
      </c>
      <c r="C61" s="4">
        <v>99.054000000000002</v>
      </c>
      <c r="D61" s="4">
        <v>99.063999999999993</v>
      </c>
      <c r="E61">
        <v>-2E-3</v>
      </c>
      <c r="F61" s="4">
        <v>4.181</v>
      </c>
    </row>
    <row r="62" spans="1:6" x14ac:dyDescent="0.2">
      <c r="A62" s="3">
        <v>46660</v>
      </c>
      <c r="B62" s="4">
        <v>0.375</v>
      </c>
      <c r="C62" s="4">
        <v>96.012</v>
      </c>
      <c r="D62" s="4">
        <v>96.022000000000006</v>
      </c>
      <c r="E62">
        <v>6.0000000000000001E-3</v>
      </c>
      <c r="F62" s="4">
        <v>4.2039999999999997</v>
      </c>
    </row>
    <row r="63" spans="1:6" x14ac:dyDescent="0.2">
      <c r="A63" s="3">
        <v>46660</v>
      </c>
      <c r="B63" s="4">
        <v>3.5</v>
      </c>
      <c r="C63" s="4">
        <v>99.075999999999993</v>
      </c>
      <c r="D63" s="4">
        <v>99.085999999999999</v>
      </c>
      <c r="E63">
        <v>-6.0000000000000001E-3</v>
      </c>
      <c r="F63" s="4">
        <v>4.2060000000000004</v>
      </c>
    </row>
    <row r="64" spans="1:6" x14ac:dyDescent="0.2">
      <c r="A64" s="3">
        <v>46660</v>
      </c>
      <c r="B64" s="4">
        <v>4.125</v>
      </c>
      <c r="C64" s="4">
        <v>99.284000000000006</v>
      </c>
      <c r="D64" s="4">
        <v>99.293999999999997</v>
      </c>
      <c r="E64">
        <v>-8.0000000000000002E-3</v>
      </c>
      <c r="F64" s="4">
        <v>4.1989999999999998</v>
      </c>
    </row>
    <row r="65" spans="1:6" x14ac:dyDescent="0.2">
      <c r="A65" s="3">
        <v>46675</v>
      </c>
      <c r="B65" s="4">
        <v>3.875</v>
      </c>
      <c r="C65" s="4">
        <v>99.186000000000007</v>
      </c>
      <c r="D65" s="4">
        <v>99.195999999999998</v>
      </c>
      <c r="E65">
        <v>-6.0000000000000001E-3</v>
      </c>
      <c r="F65" s="4">
        <v>4.2309999999999999</v>
      </c>
    </row>
    <row r="66" spans="1:6" x14ac:dyDescent="0.2">
      <c r="A66" s="3">
        <v>46691</v>
      </c>
      <c r="B66" s="4">
        <v>0.5</v>
      </c>
      <c r="C66" s="4">
        <v>95.26</v>
      </c>
      <c r="D66" s="4">
        <v>95.27</v>
      </c>
      <c r="E66" t="s">
        <v>10</v>
      </c>
      <c r="F66" s="4">
        <v>4.26</v>
      </c>
    </row>
    <row r="67" spans="1:6" x14ac:dyDescent="0.2">
      <c r="A67" s="3">
        <v>46691</v>
      </c>
      <c r="B67" s="4">
        <v>3.5</v>
      </c>
      <c r="C67" s="4">
        <v>99.043999999999997</v>
      </c>
      <c r="D67" s="4">
        <v>99.054000000000002</v>
      </c>
      <c r="E67">
        <v>-6.0000000000000001E-3</v>
      </c>
      <c r="F67" s="4">
        <v>4.2460000000000004</v>
      </c>
    </row>
    <row r="68" spans="1:6" x14ac:dyDescent="0.2">
      <c r="A68" s="3">
        <v>46691</v>
      </c>
      <c r="B68" s="4">
        <v>4.125</v>
      </c>
      <c r="C68" s="4">
        <v>99.263999999999996</v>
      </c>
      <c r="D68" s="4">
        <v>99.274000000000001</v>
      </c>
      <c r="E68">
        <v>-0.01</v>
      </c>
      <c r="F68" s="4">
        <v>4.2480000000000002</v>
      </c>
    </row>
    <row r="69" spans="1:6" x14ac:dyDescent="0.2">
      <c r="A69" s="3">
        <v>46706</v>
      </c>
      <c r="B69" s="4">
        <v>2.25</v>
      </c>
      <c r="C69" s="4">
        <v>97.212000000000003</v>
      </c>
      <c r="D69" s="4">
        <v>97.221999999999994</v>
      </c>
      <c r="E69">
        <v>-2E-3</v>
      </c>
      <c r="F69" s="4">
        <v>4.2629999999999999</v>
      </c>
    </row>
    <row r="70" spans="1:6" x14ac:dyDescent="0.2">
      <c r="A70" s="3">
        <v>46706</v>
      </c>
      <c r="B70" s="4">
        <v>4.125</v>
      </c>
      <c r="C70" s="4">
        <v>99.26</v>
      </c>
      <c r="D70" s="4">
        <v>99.27</v>
      </c>
      <c r="E70">
        <v>-0.01</v>
      </c>
      <c r="F70" s="4">
        <v>4.2569999999999997</v>
      </c>
    </row>
    <row r="71" spans="1:6" x14ac:dyDescent="0.2">
      <c r="A71" s="3">
        <v>46706</v>
      </c>
      <c r="B71" s="4">
        <v>6.125</v>
      </c>
      <c r="C71" s="4">
        <v>102.026</v>
      </c>
      <c r="D71" s="4">
        <v>102.036</v>
      </c>
      <c r="E71">
        <v>-1.6E-2</v>
      </c>
      <c r="F71" s="4">
        <v>4.2670000000000003</v>
      </c>
    </row>
    <row r="72" spans="1:6" x14ac:dyDescent="0.2">
      <c r="A72" s="3">
        <v>46721</v>
      </c>
      <c r="B72" s="4">
        <v>0.625</v>
      </c>
      <c r="C72" s="4">
        <v>95.212000000000003</v>
      </c>
      <c r="D72" s="4">
        <v>95.221999999999994</v>
      </c>
      <c r="E72">
        <v>2E-3</v>
      </c>
      <c r="F72" s="4">
        <v>4.2629999999999999</v>
      </c>
    </row>
    <row r="73" spans="1:6" x14ac:dyDescent="0.2">
      <c r="A73" s="3">
        <v>46721</v>
      </c>
      <c r="B73" s="4">
        <v>3.375</v>
      </c>
      <c r="C73" s="4">
        <v>98.29</v>
      </c>
      <c r="D73" s="4">
        <v>98.3</v>
      </c>
      <c r="E73">
        <v>-6.0000000000000001E-3</v>
      </c>
      <c r="F73" s="4">
        <v>4.2690000000000001</v>
      </c>
    </row>
    <row r="74" spans="1:6" x14ac:dyDescent="0.2">
      <c r="A74" s="3">
        <v>46721</v>
      </c>
      <c r="B74" s="4">
        <v>3.875</v>
      </c>
      <c r="C74" s="4">
        <v>99.16</v>
      </c>
      <c r="D74" s="4">
        <v>99.17</v>
      </c>
      <c r="E74">
        <v>-0.01</v>
      </c>
      <c r="F74" s="4">
        <v>4.2670000000000003</v>
      </c>
    </row>
    <row r="75" spans="1:6" x14ac:dyDescent="0.2">
      <c r="A75" s="3">
        <v>46736</v>
      </c>
      <c r="B75" s="4">
        <v>4</v>
      </c>
      <c r="C75" s="4">
        <v>99.2</v>
      </c>
      <c r="D75" s="4">
        <v>99.21</v>
      </c>
      <c r="E75">
        <v>-1.2E-2</v>
      </c>
      <c r="F75" s="4">
        <v>4.2770000000000001</v>
      </c>
    </row>
    <row r="76" spans="1:6" x14ac:dyDescent="0.2">
      <c r="A76" s="3">
        <v>46752</v>
      </c>
      <c r="B76" s="4">
        <v>0.625</v>
      </c>
      <c r="C76" s="4">
        <v>95.111999999999995</v>
      </c>
      <c r="D76" s="4">
        <v>95.122</v>
      </c>
      <c r="E76">
        <v>-2E-3</v>
      </c>
      <c r="F76" s="4">
        <v>4.2869999999999999</v>
      </c>
    </row>
    <row r="77" spans="1:6" x14ac:dyDescent="0.2">
      <c r="A77" s="3">
        <v>46752</v>
      </c>
      <c r="B77" s="4">
        <v>3.375</v>
      </c>
      <c r="C77" s="4">
        <v>98.26</v>
      </c>
      <c r="D77" s="4">
        <v>98.27</v>
      </c>
      <c r="E77">
        <v>-1.2E-2</v>
      </c>
      <c r="F77" s="4">
        <v>4.2889999999999997</v>
      </c>
    </row>
    <row r="78" spans="1:6" x14ac:dyDescent="0.2">
      <c r="A78" s="3">
        <v>46752</v>
      </c>
      <c r="B78" s="4">
        <v>3.875</v>
      </c>
      <c r="C78" s="4">
        <v>99.14</v>
      </c>
      <c r="D78" s="4">
        <v>99.15</v>
      </c>
      <c r="E78">
        <v>-1.6E-2</v>
      </c>
      <c r="F78" s="4">
        <v>4.2930000000000001</v>
      </c>
    </row>
    <row r="79" spans="1:6" x14ac:dyDescent="0.2">
      <c r="A79" s="3">
        <v>46767</v>
      </c>
      <c r="B79" s="4">
        <v>4.25</v>
      </c>
      <c r="C79" s="4">
        <v>99.284000000000006</v>
      </c>
      <c r="D79" s="4">
        <v>99.293999999999997</v>
      </c>
      <c r="E79">
        <v>-1.2E-2</v>
      </c>
      <c r="F79" s="4">
        <v>4.3070000000000004</v>
      </c>
    </row>
    <row r="80" spans="1:6" x14ac:dyDescent="0.2">
      <c r="A80" s="3">
        <v>46783</v>
      </c>
      <c r="B80" s="4">
        <v>0.75</v>
      </c>
      <c r="C80" s="4">
        <v>95.063999999999993</v>
      </c>
      <c r="D80" s="4">
        <v>95.073999999999998</v>
      </c>
      <c r="E80">
        <v>-2E-3</v>
      </c>
      <c r="F80" s="4">
        <v>4.3079999999999998</v>
      </c>
    </row>
    <row r="81" spans="1:6" x14ac:dyDescent="0.2">
      <c r="A81" s="3">
        <v>46783</v>
      </c>
      <c r="B81" s="4">
        <v>3.5</v>
      </c>
      <c r="C81" s="4">
        <v>98.284000000000006</v>
      </c>
      <c r="D81" s="4">
        <v>98.293999999999997</v>
      </c>
      <c r="E81">
        <v>-0.01</v>
      </c>
      <c r="F81" s="4">
        <v>4.3029999999999999</v>
      </c>
    </row>
    <row r="82" spans="1:6" x14ac:dyDescent="0.2">
      <c r="A82" s="3">
        <v>46798</v>
      </c>
      <c r="B82" s="4">
        <v>2.75</v>
      </c>
      <c r="C82" s="4">
        <v>97.263999999999996</v>
      </c>
      <c r="D82" s="4">
        <v>97.274000000000001</v>
      </c>
      <c r="E82">
        <v>-8.0000000000000002E-3</v>
      </c>
      <c r="F82" s="4">
        <v>4.3029999999999999</v>
      </c>
    </row>
    <row r="83" spans="1:6" x14ac:dyDescent="0.2">
      <c r="A83" s="3">
        <v>46798</v>
      </c>
      <c r="B83" s="4">
        <v>4.25</v>
      </c>
      <c r="C83" s="4">
        <v>99.284000000000006</v>
      </c>
      <c r="D83" s="4">
        <v>99.293999999999997</v>
      </c>
      <c r="E83">
        <v>-1.2E-2</v>
      </c>
      <c r="F83" s="4">
        <v>4.3049999999999997</v>
      </c>
    </row>
    <row r="84" spans="1:6" x14ac:dyDescent="0.2">
      <c r="A84" s="3">
        <v>46812</v>
      </c>
      <c r="B84" s="4">
        <v>1.125</v>
      </c>
      <c r="C84" s="4">
        <v>95.146000000000001</v>
      </c>
      <c r="D84" s="4">
        <v>95.156000000000006</v>
      </c>
      <c r="E84">
        <v>-6.0000000000000001E-3</v>
      </c>
      <c r="F84" s="4">
        <v>4.306</v>
      </c>
    </row>
    <row r="85" spans="1:6" x14ac:dyDescent="0.2">
      <c r="A85" s="3">
        <v>46812</v>
      </c>
      <c r="B85" s="4">
        <v>3.375</v>
      </c>
      <c r="C85" s="4">
        <v>98.212000000000003</v>
      </c>
      <c r="D85" s="4">
        <v>98.221999999999994</v>
      </c>
      <c r="E85">
        <v>-0.01</v>
      </c>
      <c r="F85" s="4">
        <v>4.2949999999999999</v>
      </c>
    </row>
    <row r="86" spans="1:6" x14ac:dyDescent="0.2">
      <c r="A86" s="3">
        <v>46812</v>
      </c>
      <c r="B86" s="4">
        <v>4</v>
      </c>
      <c r="C86" s="4">
        <v>99.164000000000001</v>
      </c>
      <c r="D86" s="4">
        <v>99.174000000000007</v>
      </c>
      <c r="E86">
        <v>-1.7999999999999999E-2</v>
      </c>
      <c r="F86" s="4">
        <v>4.319</v>
      </c>
    </row>
    <row r="87" spans="1:6" x14ac:dyDescent="0.2">
      <c r="A87" s="3">
        <v>46827</v>
      </c>
      <c r="B87" s="4">
        <v>3.875</v>
      </c>
      <c r="C87" s="4">
        <v>99.103999999999999</v>
      </c>
      <c r="D87" s="4">
        <v>99.114000000000004</v>
      </c>
      <c r="E87">
        <v>-1.6E-2</v>
      </c>
      <c r="F87" s="4">
        <v>4.3150000000000004</v>
      </c>
    </row>
    <row r="88" spans="1:6" x14ac:dyDescent="0.2">
      <c r="A88" s="3">
        <v>46843</v>
      </c>
      <c r="B88" s="4">
        <v>1.25</v>
      </c>
      <c r="C88" s="4">
        <v>95.116</v>
      </c>
      <c r="D88" s="4">
        <v>95.126000000000005</v>
      </c>
      <c r="E88">
        <v>-8.0000000000000002E-3</v>
      </c>
      <c r="F88" s="4">
        <v>4.3319999999999999</v>
      </c>
    </row>
    <row r="89" spans="1:6" x14ac:dyDescent="0.2">
      <c r="A89" s="3">
        <v>46843</v>
      </c>
      <c r="B89" s="4">
        <v>3.625</v>
      </c>
      <c r="C89" s="4">
        <v>98.292000000000002</v>
      </c>
      <c r="D89" s="4">
        <v>98.302000000000007</v>
      </c>
      <c r="E89">
        <v>-1.7999999999999999E-2</v>
      </c>
      <c r="F89" s="4">
        <v>4.33</v>
      </c>
    </row>
    <row r="90" spans="1:6" x14ac:dyDescent="0.2">
      <c r="A90" s="3">
        <v>46843</v>
      </c>
      <c r="B90" s="4">
        <v>3.875</v>
      </c>
      <c r="C90" s="4">
        <v>99.091999999999999</v>
      </c>
      <c r="D90" s="4">
        <v>99.102000000000004</v>
      </c>
      <c r="E90">
        <v>-1.4E-2</v>
      </c>
      <c r="F90" s="4">
        <v>4.3289999999999997</v>
      </c>
    </row>
    <row r="91" spans="1:6" x14ac:dyDescent="0.2">
      <c r="A91" s="3">
        <v>46858</v>
      </c>
      <c r="B91" s="4">
        <v>3.75</v>
      </c>
      <c r="C91" s="4">
        <v>99.022000000000006</v>
      </c>
      <c r="D91" s="4">
        <v>99.031999999999996</v>
      </c>
      <c r="E91">
        <v>-1.4E-2</v>
      </c>
      <c r="F91" s="4">
        <v>4.335</v>
      </c>
    </row>
    <row r="92" spans="1:6" x14ac:dyDescent="0.2">
      <c r="A92" s="3">
        <v>46873</v>
      </c>
      <c r="B92" s="4">
        <v>1.25</v>
      </c>
      <c r="C92" s="4">
        <v>95.03</v>
      </c>
      <c r="D92" s="4">
        <v>95.04</v>
      </c>
      <c r="E92">
        <v>-1.4E-2</v>
      </c>
      <c r="F92" s="4">
        <v>4.3540000000000001</v>
      </c>
    </row>
    <row r="93" spans="1:6" x14ac:dyDescent="0.2">
      <c r="A93" s="3">
        <v>46873</v>
      </c>
      <c r="B93" s="4">
        <v>3.5</v>
      </c>
      <c r="C93" s="4">
        <v>98.203999999999994</v>
      </c>
      <c r="D93" s="4">
        <v>98.213999999999999</v>
      </c>
      <c r="E93">
        <v>-1.7999999999999999E-2</v>
      </c>
      <c r="F93" s="4">
        <v>4.343</v>
      </c>
    </row>
    <row r="94" spans="1:6" x14ac:dyDescent="0.2">
      <c r="A94" s="3">
        <v>46873</v>
      </c>
      <c r="B94" s="4">
        <v>3.75</v>
      </c>
      <c r="C94" s="4">
        <v>99.007000000000005</v>
      </c>
      <c r="D94" s="4">
        <v>99.016999999999996</v>
      </c>
      <c r="E94">
        <v>-1.7999999999999999E-2</v>
      </c>
      <c r="F94" s="4">
        <v>4.3470000000000004</v>
      </c>
    </row>
    <row r="95" spans="1:6" x14ac:dyDescent="0.2">
      <c r="A95" s="3">
        <v>46888</v>
      </c>
      <c r="B95" s="4">
        <v>2.875</v>
      </c>
      <c r="C95" s="4">
        <v>97.19</v>
      </c>
      <c r="D95" s="4">
        <v>97.2</v>
      </c>
      <c r="E95">
        <v>-1.4E-2</v>
      </c>
      <c r="F95" s="4">
        <v>4.3499999999999996</v>
      </c>
    </row>
    <row r="96" spans="1:6" x14ac:dyDescent="0.2">
      <c r="A96" s="3">
        <v>46888</v>
      </c>
      <c r="B96" s="4">
        <v>3.75</v>
      </c>
      <c r="C96" s="4">
        <v>99.006</v>
      </c>
      <c r="D96" s="4">
        <v>99.016000000000005</v>
      </c>
      <c r="E96">
        <v>-1.6E-2</v>
      </c>
      <c r="F96" s="4">
        <v>4.335</v>
      </c>
    </row>
    <row r="97" spans="1:6" x14ac:dyDescent="0.2">
      <c r="A97" s="3">
        <v>46904</v>
      </c>
      <c r="B97" s="4">
        <v>1.25</v>
      </c>
      <c r="C97" s="4">
        <v>94.272000000000006</v>
      </c>
      <c r="D97" s="4">
        <v>94.281999999999996</v>
      </c>
      <c r="E97">
        <v>-1.4E-2</v>
      </c>
      <c r="F97" s="4">
        <v>4.3570000000000002</v>
      </c>
    </row>
    <row r="98" spans="1:6" x14ac:dyDescent="0.2">
      <c r="A98" s="3">
        <v>46904</v>
      </c>
      <c r="B98" s="4">
        <v>3.625</v>
      </c>
      <c r="C98" s="4">
        <v>98.245999999999995</v>
      </c>
      <c r="D98" s="4">
        <v>98.256</v>
      </c>
      <c r="E98">
        <v>-1.7999999999999999E-2</v>
      </c>
      <c r="F98" s="4">
        <v>4.3479999999999999</v>
      </c>
    </row>
    <row r="99" spans="1:6" x14ac:dyDescent="0.2">
      <c r="A99" s="3">
        <v>46904</v>
      </c>
      <c r="B99" s="4">
        <v>4</v>
      </c>
      <c r="C99" s="4">
        <v>99.126000000000005</v>
      </c>
      <c r="D99" s="4">
        <v>99.135999999999996</v>
      </c>
      <c r="E99">
        <v>-0.02</v>
      </c>
      <c r="F99" s="4">
        <v>4.343</v>
      </c>
    </row>
    <row r="100" spans="1:6" x14ac:dyDescent="0.2">
      <c r="A100" s="3">
        <v>46919</v>
      </c>
      <c r="B100" s="4">
        <v>3.875</v>
      </c>
      <c r="C100" s="4">
        <v>99.05</v>
      </c>
      <c r="D100" s="4">
        <v>99.06</v>
      </c>
      <c r="E100">
        <v>-0.02</v>
      </c>
      <c r="F100" s="4">
        <v>4.3540000000000001</v>
      </c>
    </row>
    <row r="101" spans="1:6" x14ac:dyDescent="0.2">
      <c r="A101" s="3">
        <v>46934</v>
      </c>
      <c r="B101" s="4">
        <v>1.25</v>
      </c>
      <c r="C101" s="4">
        <v>94.191999999999993</v>
      </c>
      <c r="D101" s="4">
        <v>94.201999999999998</v>
      </c>
      <c r="E101">
        <v>-1.2E-2</v>
      </c>
      <c r="F101" s="4">
        <v>4.3659999999999997</v>
      </c>
    </row>
    <row r="102" spans="1:6" x14ac:dyDescent="0.2">
      <c r="A102" s="3">
        <v>46934</v>
      </c>
      <c r="B102" s="4">
        <v>4</v>
      </c>
      <c r="C102" s="4">
        <v>99.11</v>
      </c>
      <c r="D102" s="4">
        <v>99.12</v>
      </c>
      <c r="E102">
        <v>-2.4E-2</v>
      </c>
      <c r="F102" s="4">
        <v>4.3600000000000003</v>
      </c>
    </row>
    <row r="103" spans="1:6" x14ac:dyDescent="0.2">
      <c r="A103" s="3">
        <v>46934</v>
      </c>
      <c r="B103" s="4">
        <v>4.125</v>
      </c>
      <c r="C103" s="4">
        <v>99.176000000000002</v>
      </c>
      <c r="D103" s="4">
        <v>99.186000000000007</v>
      </c>
      <c r="E103">
        <v>-2.5999999999999999E-2</v>
      </c>
      <c r="F103" s="4">
        <v>4.3620000000000001</v>
      </c>
    </row>
    <row r="104" spans="1:6" x14ac:dyDescent="0.2">
      <c r="A104" s="3">
        <v>46949</v>
      </c>
      <c r="B104" s="4">
        <v>3.875</v>
      </c>
      <c r="C104" s="4">
        <v>99.03</v>
      </c>
      <c r="D104" s="4">
        <v>99.04</v>
      </c>
      <c r="E104">
        <v>-2.4E-2</v>
      </c>
      <c r="F104" s="4">
        <v>4.37</v>
      </c>
    </row>
    <row r="105" spans="1:6" x14ac:dyDescent="0.2">
      <c r="A105" s="3">
        <v>46965</v>
      </c>
      <c r="B105" s="4">
        <v>1</v>
      </c>
      <c r="C105" s="4">
        <v>93.286000000000001</v>
      </c>
      <c r="D105" s="4">
        <v>93.296000000000006</v>
      </c>
      <c r="E105">
        <v>-1.6E-2</v>
      </c>
      <c r="F105" s="4">
        <v>4.3739999999999997</v>
      </c>
    </row>
    <row r="106" spans="1:6" x14ac:dyDescent="0.2">
      <c r="A106" s="3">
        <v>46965</v>
      </c>
      <c r="B106" s="4">
        <v>4.125</v>
      </c>
      <c r="C106" s="4">
        <v>99.171999999999997</v>
      </c>
      <c r="D106" s="4">
        <v>99.182000000000002</v>
      </c>
      <c r="E106">
        <v>-2.1999999999999999E-2</v>
      </c>
      <c r="F106" s="4">
        <v>4.3620000000000001</v>
      </c>
    </row>
    <row r="107" spans="1:6" x14ac:dyDescent="0.2">
      <c r="A107" s="3">
        <v>46965</v>
      </c>
      <c r="B107" s="4">
        <v>4.25</v>
      </c>
      <c r="C107" s="4">
        <v>99.242000000000004</v>
      </c>
      <c r="D107" s="4">
        <v>99.251999999999995</v>
      </c>
      <c r="E107">
        <v>-2.3E-2</v>
      </c>
      <c r="F107" s="4">
        <v>4.3650000000000002</v>
      </c>
    </row>
    <row r="108" spans="1:6" x14ac:dyDescent="0.2">
      <c r="A108" s="3">
        <v>46980</v>
      </c>
      <c r="B108" s="4">
        <v>2.875</v>
      </c>
      <c r="C108" s="4">
        <v>97.073999999999998</v>
      </c>
      <c r="D108" s="4">
        <v>97.084000000000003</v>
      </c>
      <c r="E108">
        <v>-0.02</v>
      </c>
      <c r="F108" s="4">
        <v>4.3630000000000004</v>
      </c>
    </row>
    <row r="109" spans="1:6" x14ac:dyDescent="0.2">
      <c r="A109" s="3">
        <v>46980</v>
      </c>
      <c r="B109" s="4">
        <v>3.625</v>
      </c>
      <c r="C109" s="4">
        <v>98.19</v>
      </c>
      <c r="D109" s="4">
        <v>98.2</v>
      </c>
      <c r="E109">
        <v>-2.4E-2</v>
      </c>
      <c r="F109" s="4">
        <v>4.3730000000000002</v>
      </c>
    </row>
    <row r="110" spans="1:6" x14ac:dyDescent="0.2">
      <c r="A110" s="3">
        <v>46980</v>
      </c>
      <c r="B110" s="4">
        <v>5.5</v>
      </c>
      <c r="C110" s="4">
        <v>101.316</v>
      </c>
      <c r="D110" s="4">
        <v>102.006</v>
      </c>
      <c r="E110">
        <v>-0.71599999999999997</v>
      </c>
      <c r="F110" s="4">
        <v>4.3959999999999999</v>
      </c>
    </row>
    <row r="111" spans="1:6" x14ac:dyDescent="0.2">
      <c r="A111" s="3">
        <v>46996</v>
      </c>
      <c r="B111" s="4">
        <v>1.125</v>
      </c>
      <c r="C111" s="4">
        <v>93.275999999999996</v>
      </c>
      <c r="D111" s="4">
        <v>93.286000000000001</v>
      </c>
      <c r="E111">
        <v>-1.7999999999999999E-2</v>
      </c>
      <c r="F111" s="4">
        <v>4.3789999999999996</v>
      </c>
    </row>
    <row r="112" spans="1:6" x14ac:dyDescent="0.2">
      <c r="A112" s="3">
        <v>46996</v>
      </c>
      <c r="B112" s="4">
        <v>4.125</v>
      </c>
      <c r="C112" s="4">
        <v>99.162999999999997</v>
      </c>
      <c r="D112" s="4">
        <v>99.173000000000002</v>
      </c>
      <c r="E112">
        <v>-2.7E-2</v>
      </c>
      <c r="F112" s="4">
        <v>4.3680000000000003</v>
      </c>
    </row>
    <row r="113" spans="1:6" x14ac:dyDescent="0.2">
      <c r="A113" s="3">
        <v>46996</v>
      </c>
      <c r="B113" s="4">
        <v>4.375</v>
      </c>
      <c r="C113" s="4">
        <v>99.311999999999998</v>
      </c>
      <c r="D113" s="4">
        <v>100.002</v>
      </c>
      <c r="E113">
        <v>-0.70399999999999996</v>
      </c>
      <c r="F113" s="4">
        <v>4.37</v>
      </c>
    </row>
    <row r="114" spans="1:6" x14ac:dyDescent="0.2">
      <c r="A114" s="3">
        <v>47011</v>
      </c>
      <c r="B114" s="4">
        <v>3.375</v>
      </c>
      <c r="C114" s="4">
        <v>98.013999999999996</v>
      </c>
      <c r="D114" s="4">
        <v>98.024000000000001</v>
      </c>
      <c r="E114">
        <v>-2.5999999999999999E-2</v>
      </c>
      <c r="F114" s="4">
        <v>4.38</v>
      </c>
    </row>
    <row r="115" spans="1:6" x14ac:dyDescent="0.2">
      <c r="A115" s="3">
        <v>47026</v>
      </c>
      <c r="B115" s="4">
        <v>1.25</v>
      </c>
      <c r="C115" s="4">
        <v>93.275999999999996</v>
      </c>
      <c r="D115" s="4">
        <v>93.286000000000001</v>
      </c>
      <c r="E115">
        <v>-1.6E-2</v>
      </c>
      <c r="F115" s="4">
        <v>4.3789999999999996</v>
      </c>
    </row>
    <row r="116" spans="1:6" x14ac:dyDescent="0.2">
      <c r="A116" s="3">
        <v>47026</v>
      </c>
      <c r="B116" s="4">
        <v>4.625</v>
      </c>
      <c r="C116" s="4">
        <v>100.136</v>
      </c>
      <c r="D116" s="4">
        <v>100.146</v>
      </c>
      <c r="E116">
        <v>-0.03</v>
      </c>
      <c r="F116" s="4">
        <v>4.3869999999999996</v>
      </c>
    </row>
    <row r="117" spans="1:6" x14ac:dyDescent="0.2">
      <c r="A117" s="3">
        <v>47041</v>
      </c>
      <c r="B117" s="4">
        <v>3.5</v>
      </c>
      <c r="C117" s="4">
        <v>98.061999999999998</v>
      </c>
      <c r="D117" s="4">
        <v>98.072000000000003</v>
      </c>
      <c r="E117">
        <v>-2.8000000000000001E-2</v>
      </c>
      <c r="F117" s="4">
        <v>4.391</v>
      </c>
    </row>
    <row r="118" spans="1:6" x14ac:dyDescent="0.2">
      <c r="A118" s="3">
        <v>47057</v>
      </c>
      <c r="B118" s="4">
        <v>1.375</v>
      </c>
      <c r="C118" s="4">
        <v>93.275999999999996</v>
      </c>
      <c r="D118" s="4">
        <v>93.286000000000001</v>
      </c>
      <c r="E118">
        <v>-1.7999999999999999E-2</v>
      </c>
      <c r="F118" s="4">
        <v>4.3869999999999996</v>
      </c>
    </row>
    <row r="119" spans="1:6" x14ac:dyDescent="0.2">
      <c r="A119" s="3">
        <v>47057</v>
      </c>
      <c r="B119" s="4">
        <v>4.875</v>
      </c>
      <c r="C119" s="4">
        <v>100.304</v>
      </c>
      <c r="D119" s="4">
        <v>100.31399999999999</v>
      </c>
      <c r="E119">
        <v>-0.71199999999999997</v>
      </c>
      <c r="F119" s="4">
        <v>4.3860000000000001</v>
      </c>
    </row>
    <row r="120" spans="1:6" x14ac:dyDescent="0.2">
      <c r="A120" s="3">
        <v>47072</v>
      </c>
      <c r="B120" s="4">
        <v>3.125</v>
      </c>
      <c r="C120" s="4">
        <v>97.111999999999995</v>
      </c>
      <c r="D120" s="4">
        <v>97.122</v>
      </c>
      <c r="E120">
        <v>-2.8000000000000001E-2</v>
      </c>
      <c r="F120" s="4">
        <v>4.3920000000000003</v>
      </c>
    </row>
    <row r="121" spans="1:6" x14ac:dyDescent="0.2">
      <c r="A121" s="3">
        <v>47072</v>
      </c>
      <c r="B121" s="4">
        <v>3.5</v>
      </c>
      <c r="C121" s="4">
        <v>98.04</v>
      </c>
      <c r="D121" s="4">
        <v>98.05</v>
      </c>
      <c r="E121">
        <v>-2.5999999999999999E-2</v>
      </c>
      <c r="F121" s="4">
        <v>4.3920000000000003</v>
      </c>
    </row>
    <row r="122" spans="1:6" x14ac:dyDescent="0.2">
      <c r="A122" s="3">
        <v>47072</v>
      </c>
      <c r="B122" s="4">
        <v>5.25</v>
      </c>
      <c r="C122" s="4">
        <v>101.232</v>
      </c>
      <c r="D122" s="4">
        <v>101.242</v>
      </c>
      <c r="E122">
        <v>-3.4000000000000002E-2</v>
      </c>
      <c r="F122" s="4">
        <v>4.3940000000000001</v>
      </c>
    </row>
    <row r="123" spans="1:6" x14ac:dyDescent="0.2">
      <c r="A123" s="3">
        <v>47087</v>
      </c>
      <c r="B123" s="4">
        <v>1.5</v>
      </c>
      <c r="C123" s="4">
        <v>93.281999999999996</v>
      </c>
      <c r="D123" s="4">
        <v>93.292000000000002</v>
      </c>
      <c r="E123">
        <v>-0.02</v>
      </c>
      <c r="F123" s="4">
        <v>4.3979999999999997</v>
      </c>
    </row>
    <row r="124" spans="1:6" x14ac:dyDescent="0.2">
      <c r="A124" s="3">
        <v>47087</v>
      </c>
      <c r="B124" s="4">
        <v>4.375</v>
      </c>
      <c r="C124" s="4">
        <v>99.292000000000002</v>
      </c>
      <c r="D124" s="4">
        <v>99.302000000000007</v>
      </c>
      <c r="E124">
        <v>-0.71199999999999997</v>
      </c>
      <c r="F124" s="4">
        <v>4.3979999999999997</v>
      </c>
    </row>
    <row r="125" spans="1:6" x14ac:dyDescent="0.2">
      <c r="A125" s="3">
        <v>47102</v>
      </c>
      <c r="B125" s="4">
        <v>3.5</v>
      </c>
      <c r="C125" s="4">
        <v>98.013999999999996</v>
      </c>
      <c r="D125" s="4">
        <v>98.024000000000001</v>
      </c>
      <c r="E125">
        <v>-0.03</v>
      </c>
      <c r="F125" s="4">
        <v>4.3970000000000002</v>
      </c>
    </row>
    <row r="126" spans="1:6" x14ac:dyDescent="0.2">
      <c r="A126" s="3">
        <v>47118</v>
      </c>
      <c r="B126" s="4">
        <v>1.375</v>
      </c>
      <c r="C126" s="4">
        <v>93.122</v>
      </c>
      <c r="D126" s="4">
        <v>93.132000000000005</v>
      </c>
      <c r="E126">
        <v>-0.02</v>
      </c>
      <c r="F126" s="4">
        <v>4.4039999999999999</v>
      </c>
    </row>
    <row r="127" spans="1:6" x14ac:dyDescent="0.2">
      <c r="A127" s="3">
        <v>47118</v>
      </c>
      <c r="B127" s="4">
        <v>3.75</v>
      </c>
      <c r="C127" s="4">
        <v>98.174000000000007</v>
      </c>
      <c r="D127" s="4">
        <v>98.183999999999997</v>
      </c>
      <c r="E127">
        <v>-0.03</v>
      </c>
      <c r="F127" s="4">
        <v>4.4020000000000001</v>
      </c>
    </row>
    <row r="128" spans="1:6" x14ac:dyDescent="0.2">
      <c r="A128" s="3">
        <v>47133</v>
      </c>
      <c r="B128" s="4">
        <v>3.5</v>
      </c>
      <c r="C128" s="4">
        <v>97.302000000000007</v>
      </c>
      <c r="D128" s="4">
        <v>97.311999999999998</v>
      </c>
      <c r="E128">
        <v>-0.71</v>
      </c>
      <c r="F128" s="4">
        <v>4.4139999999999997</v>
      </c>
    </row>
    <row r="129" spans="1:6" x14ac:dyDescent="0.2">
      <c r="A129" s="3">
        <v>47149</v>
      </c>
      <c r="B129" s="4">
        <v>1.75</v>
      </c>
      <c r="C129" s="4">
        <v>93.311999999999998</v>
      </c>
      <c r="D129" s="4">
        <v>94.001999999999995</v>
      </c>
      <c r="E129">
        <v>-0.70199999999999996</v>
      </c>
      <c r="F129" s="4">
        <v>4.4139999999999997</v>
      </c>
    </row>
    <row r="130" spans="1:6" x14ac:dyDescent="0.2">
      <c r="A130" s="3">
        <v>47149</v>
      </c>
      <c r="B130" s="4">
        <v>4</v>
      </c>
      <c r="C130" s="4">
        <v>99.012</v>
      </c>
      <c r="D130" s="4">
        <v>99.022000000000006</v>
      </c>
      <c r="E130">
        <v>-3.2000000000000001E-2</v>
      </c>
      <c r="F130" s="4">
        <v>4.4119999999999999</v>
      </c>
    </row>
    <row r="131" spans="1:6" x14ac:dyDescent="0.2">
      <c r="A131" s="3">
        <v>47164</v>
      </c>
      <c r="B131" s="4">
        <v>2.625</v>
      </c>
      <c r="C131" s="4">
        <v>95.28</v>
      </c>
      <c r="D131" s="4">
        <v>95.29</v>
      </c>
      <c r="E131">
        <v>-2.4E-2</v>
      </c>
      <c r="F131" s="4">
        <v>4.4160000000000004</v>
      </c>
    </row>
    <row r="132" spans="1:6" x14ac:dyDescent="0.2">
      <c r="A132" s="3">
        <v>47164</v>
      </c>
      <c r="B132" s="4">
        <v>3.5</v>
      </c>
      <c r="C132" s="4">
        <v>97.275999999999996</v>
      </c>
      <c r="D132" s="4">
        <v>97.286000000000001</v>
      </c>
      <c r="E132">
        <v>-3.4000000000000002E-2</v>
      </c>
      <c r="F132" s="4">
        <v>4.4189999999999996</v>
      </c>
    </row>
    <row r="133" spans="1:6" x14ac:dyDescent="0.2">
      <c r="A133" s="3">
        <v>47164</v>
      </c>
      <c r="B133" s="4">
        <v>5.25</v>
      </c>
      <c r="C133" s="4">
        <v>102.03400000000001</v>
      </c>
      <c r="D133" s="4">
        <v>102.044</v>
      </c>
      <c r="E133">
        <v>-3.7999999999999999E-2</v>
      </c>
      <c r="F133" s="4">
        <v>4.3129999999999997</v>
      </c>
    </row>
    <row r="134" spans="1:6" x14ac:dyDescent="0.2">
      <c r="A134" s="3">
        <v>47177</v>
      </c>
      <c r="B134" s="4">
        <v>1.875</v>
      </c>
      <c r="C134" s="4">
        <v>94.024000000000001</v>
      </c>
      <c r="D134" s="4">
        <v>94.034000000000006</v>
      </c>
      <c r="E134">
        <v>-2.5999999999999999E-2</v>
      </c>
      <c r="F134" s="4">
        <v>4.41</v>
      </c>
    </row>
    <row r="135" spans="1:6" x14ac:dyDescent="0.2">
      <c r="A135" s="3">
        <v>47177</v>
      </c>
      <c r="B135" s="4">
        <v>4.25</v>
      </c>
      <c r="C135" s="4">
        <v>99.191999999999993</v>
      </c>
      <c r="D135" s="4">
        <v>99.201999999999998</v>
      </c>
      <c r="E135">
        <v>-3.4000000000000002E-2</v>
      </c>
      <c r="F135" s="4">
        <v>4.4080000000000004</v>
      </c>
    </row>
    <row r="136" spans="1:6" x14ac:dyDescent="0.2">
      <c r="A136" s="3">
        <v>47192</v>
      </c>
      <c r="B136" s="4">
        <v>3.5</v>
      </c>
      <c r="C136" s="4">
        <v>97.263999999999996</v>
      </c>
      <c r="D136" s="4">
        <v>97.274000000000001</v>
      </c>
      <c r="E136">
        <v>-3.2000000000000001E-2</v>
      </c>
      <c r="F136" s="4">
        <v>4.407</v>
      </c>
    </row>
    <row r="137" spans="1:6" x14ac:dyDescent="0.2">
      <c r="A137" s="3">
        <v>47208</v>
      </c>
      <c r="B137" s="4">
        <v>2.375</v>
      </c>
      <c r="C137" s="4">
        <v>95.016000000000005</v>
      </c>
      <c r="D137" s="4">
        <v>95.025999999999996</v>
      </c>
      <c r="E137">
        <v>-2.8000000000000001E-2</v>
      </c>
      <c r="F137" s="4">
        <v>4.4260000000000002</v>
      </c>
    </row>
    <row r="138" spans="1:6" x14ac:dyDescent="0.2">
      <c r="A138" s="3">
        <v>47208</v>
      </c>
      <c r="B138" s="4">
        <v>4.125</v>
      </c>
      <c r="C138" s="4">
        <v>99.084000000000003</v>
      </c>
      <c r="D138" s="4">
        <v>99.093999999999994</v>
      </c>
      <c r="E138">
        <v>-3.2000000000000001E-2</v>
      </c>
      <c r="F138" s="4">
        <v>4.4169999999999998</v>
      </c>
    </row>
    <row r="139" spans="1:6" x14ac:dyDescent="0.2">
      <c r="A139" s="3">
        <v>47223</v>
      </c>
      <c r="B139" s="4">
        <v>3.875</v>
      </c>
      <c r="C139" s="4">
        <v>98.2</v>
      </c>
      <c r="D139" s="4">
        <v>98.21</v>
      </c>
      <c r="E139">
        <v>-3.2000000000000001E-2</v>
      </c>
      <c r="F139" s="4">
        <v>4.4260000000000002</v>
      </c>
    </row>
    <row r="140" spans="1:6" x14ac:dyDescent="0.2">
      <c r="A140" s="3">
        <v>47238</v>
      </c>
      <c r="B140" s="4">
        <v>2.875</v>
      </c>
      <c r="C140" s="4">
        <v>96.042000000000002</v>
      </c>
      <c r="D140" s="4">
        <v>96.052000000000007</v>
      </c>
      <c r="E140">
        <v>-0.03</v>
      </c>
      <c r="F140" s="4">
        <v>4.4269999999999996</v>
      </c>
    </row>
    <row r="141" spans="1:6" x14ac:dyDescent="0.2">
      <c r="A141" s="3">
        <v>47238</v>
      </c>
      <c r="B141" s="4">
        <v>4.625</v>
      </c>
      <c r="C141" s="4">
        <v>100.15</v>
      </c>
      <c r="D141" s="4">
        <v>100.16</v>
      </c>
      <c r="E141">
        <v>-3.5999999999999997E-2</v>
      </c>
      <c r="F141" s="4">
        <v>4.42</v>
      </c>
    </row>
    <row r="142" spans="1:6" x14ac:dyDescent="0.2">
      <c r="A142" s="3">
        <v>47253</v>
      </c>
      <c r="B142" s="4">
        <v>2.375</v>
      </c>
      <c r="C142" s="4">
        <v>94.266000000000005</v>
      </c>
      <c r="D142" s="4">
        <v>94.275999999999996</v>
      </c>
      <c r="E142">
        <v>-2.8000000000000001E-2</v>
      </c>
      <c r="F142" s="4">
        <v>4.4219999999999997</v>
      </c>
    </row>
    <row r="143" spans="1:6" x14ac:dyDescent="0.2">
      <c r="A143" s="3">
        <v>47253</v>
      </c>
      <c r="B143" s="4">
        <v>3.875</v>
      </c>
      <c r="C143" s="4">
        <v>98.185000000000002</v>
      </c>
      <c r="D143" s="4">
        <v>98.194999999999993</v>
      </c>
      <c r="E143">
        <v>-3.5999999999999997E-2</v>
      </c>
      <c r="F143" s="4">
        <v>4.4269999999999996</v>
      </c>
    </row>
    <row r="144" spans="1:6" x14ac:dyDescent="0.2">
      <c r="A144" s="3">
        <v>47269</v>
      </c>
      <c r="B144" s="4">
        <v>2.75</v>
      </c>
      <c r="C144" s="4">
        <v>95.22</v>
      </c>
      <c r="D144" s="4">
        <v>95.23</v>
      </c>
      <c r="E144">
        <v>-0.03</v>
      </c>
      <c r="F144" s="4">
        <v>4.4329999999999998</v>
      </c>
    </row>
    <row r="145" spans="1:6" x14ac:dyDescent="0.2">
      <c r="A145" s="3">
        <v>47269</v>
      </c>
      <c r="B145" s="4">
        <v>4.5</v>
      </c>
      <c r="C145" s="4">
        <v>100.044</v>
      </c>
      <c r="D145" s="4">
        <v>100.054</v>
      </c>
      <c r="E145">
        <v>-3.7999999999999999E-2</v>
      </c>
      <c r="F145" s="4">
        <v>4.43</v>
      </c>
    </row>
    <row r="146" spans="1:6" x14ac:dyDescent="0.2">
      <c r="A146" s="3">
        <v>47284</v>
      </c>
      <c r="B146" s="4">
        <v>4.125</v>
      </c>
      <c r="C146" s="4">
        <v>99.054000000000002</v>
      </c>
      <c r="D146" s="4">
        <v>99.063999999999993</v>
      </c>
      <c r="E146">
        <v>-3.7999999999999999E-2</v>
      </c>
      <c r="F146" s="4">
        <v>4.4320000000000004</v>
      </c>
    </row>
    <row r="147" spans="1:6" x14ac:dyDescent="0.2">
      <c r="A147" s="3">
        <v>47299</v>
      </c>
      <c r="B147" s="4">
        <v>3.25</v>
      </c>
      <c r="C147" s="4">
        <v>96.27</v>
      </c>
      <c r="D147" s="4">
        <v>96.28</v>
      </c>
      <c r="E147">
        <v>-3.4000000000000002E-2</v>
      </c>
      <c r="F147" s="4">
        <v>4.444</v>
      </c>
    </row>
    <row r="148" spans="1:6" x14ac:dyDescent="0.2">
      <c r="A148" s="3">
        <v>47299</v>
      </c>
      <c r="B148" s="4">
        <v>4.25</v>
      </c>
      <c r="C148" s="4">
        <v>99.152000000000001</v>
      </c>
      <c r="D148" s="4">
        <v>99.162000000000006</v>
      </c>
      <c r="E148">
        <v>-3.7999999999999999E-2</v>
      </c>
      <c r="F148" s="4">
        <v>4.4359999999999999</v>
      </c>
    </row>
    <row r="149" spans="1:6" x14ac:dyDescent="0.2">
      <c r="A149" s="3">
        <v>47314</v>
      </c>
      <c r="B149" s="4">
        <v>4.125</v>
      </c>
      <c r="C149" s="4">
        <v>99.04</v>
      </c>
      <c r="D149" s="4">
        <v>99.05</v>
      </c>
      <c r="E149">
        <v>-3.6999999999999998E-2</v>
      </c>
      <c r="F149" s="4">
        <v>4.4420000000000002</v>
      </c>
    </row>
    <row r="150" spans="1:6" x14ac:dyDescent="0.2">
      <c r="A150" s="3">
        <v>47330</v>
      </c>
      <c r="B150" s="4">
        <v>2.625</v>
      </c>
      <c r="C150" s="4">
        <v>95.024000000000001</v>
      </c>
      <c r="D150" s="4">
        <v>95.034000000000006</v>
      </c>
      <c r="E150">
        <v>-0.03</v>
      </c>
      <c r="F150" s="4">
        <v>4.444</v>
      </c>
    </row>
    <row r="151" spans="1:6" x14ac:dyDescent="0.2">
      <c r="A151" s="3">
        <v>47330</v>
      </c>
      <c r="B151" s="4">
        <v>4</v>
      </c>
      <c r="C151" s="4">
        <v>98.244</v>
      </c>
      <c r="D151" s="4">
        <v>98.254000000000005</v>
      </c>
      <c r="E151">
        <v>-3.5999999999999997E-2</v>
      </c>
      <c r="F151" s="4">
        <v>4.4459999999999997</v>
      </c>
    </row>
    <row r="152" spans="1:6" x14ac:dyDescent="0.2">
      <c r="A152" s="3">
        <v>47345</v>
      </c>
      <c r="B152" s="4">
        <v>1.625</v>
      </c>
      <c r="C152" s="4">
        <v>92.103999999999999</v>
      </c>
      <c r="D152" s="4">
        <v>92.114000000000004</v>
      </c>
      <c r="E152">
        <v>-0.03</v>
      </c>
      <c r="F152" s="4">
        <v>4.43</v>
      </c>
    </row>
    <row r="153" spans="1:6" x14ac:dyDescent="0.2">
      <c r="A153" s="3">
        <v>47345</v>
      </c>
      <c r="B153" s="4">
        <v>4.25</v>
      </c>
      <c r="C153" s="4">
        <v>99.14</v>
      </c>
      <c r="D153" s="4">
        <v>99.15</v>
      </c>
      <c r="E153">
        <v>-3.6999999999999998E-2</v>
      </c>
      <c r="F153" s="4">
        <v>4.444</v>
      </c>
    </row>
    <row r="154" spans="1:6" x14ac:dyDescent="0.2">
      <c r="A154" s="3">
        <v>47345</v>
      </c>
      <c r="B154" s="4">
        <v>6.125</v>
      </c>
      <c r="C154" s="4">
        <v>104.17</v>
      </c>
      <c r="D154" s="4">
        <v>104.18</v>
      </c>
      <c r="E154">
        <v>-5.1999999999999998E-2</v>
      </c>
      <c r="F154" s="4">
        <v>4.4480000000000004</v>
      </c>
    </row>
    <row r="155" spans="1:6" x14ac:dyDescent="0.2">
      <c r="A155" s="3">
        <v>47361</v>
      </c>
      <c r="B155" s="4">
        <v>3.125</v>
      </c>
      <c r="C155" s="4">
        <v>96.096000000000004</v>
      </c>
      <c r="D155" s="4">
        <v>96.111999999999995</v>
      </c>
      <c r="E155">
        <v>-3.5999999999999997E-2</v>
      </c>
      <c r="F155" s="4">
        <v>4.4459999999999997</v>
      </c>
    </row>
    <row r="156" spans="1:6" x14ac:dyDescent="0.2">
      <c r="A156" s="3">
        <v>47361</v>
      </c>
      <c r="B156" s="4">
        <v>3.625</v>
      </c>
      <c r="C156" s="4">
        <v>97.213999999999999</v>
      </c>
      <c r="D156" s="4">
        <v>97.23</v>
      </c>
      <c r="E156">
        <v>-3.7999999999999999E-2</v>
      </c>
      <c r="F156" s="4">
        <v>4.4509999999999996</v>
      </c>
    </row>
    <row r="157" spans="1:6" x14ac:dyDescent="0.2">
      <c r="A157" s="3">
        <v>47391</v>
      </c>
      <c r="B157" s="4">
        <v>3.5</v>
      </c>
      <c r="C157" s="4">
        <v>97.075999999999993</v>
      </c>
      <c r="D157" s="4">
        <v>97.091999999999999</v>
      </c>
      <c r="E157">
        <v>-3.7999999999999999E-2</v>
      </c>
      <c r="F157" s="4">
        <v>4.4569999999999999</v>
      </c>
    </row>
    <row r="158" spans="1:6" x14ac:dyDescent="0.2">
      <c r="A158" s="3">
        <v>47391</v>
      </c>
      <c r="B158" s="4">
        <v>3.875</v>
      </c>
      <c r="C158" s="4">
        <v>98.1</v>
      </c>
      <c r="D158" s="4">
        <v>98.114000000000004</v>
      </c>
      <c r="E158">
        <v>-0.04</v>
      </c>
      <c r="F158" s="4">
        <v>4.4539999999999997</v>
      </c>
    </row>
    <row r="159" spans="1:6" x14ac:dyDescent="0.2">
      <c r="A159" s="3">
        <v>47422</v>
      </c>
      <c r="B159" s="4">
        <v>4</v>
      </c>
      <c r="C159" s="4">
        <v>98.191999999999993</v>
      </c>
      <c r="D159" s="4">
        <v>98.206000000000003</v>
      </c>
      <c r="E159">
        <v>-4.2000000000000003E-2</v>
      </c>
      <c r="F159" s="4">
        <v>4.4640000000000004</v>
      </c>
    </row>
    <row r="160" spans="1:6" x14ac:dyDescent="0.2">
      <c r="A160" s="3">
        <v>47422</v>
      </c>
      <c r="B160" s="4">
        <v>4.125</v>
      </c>
      <c r="C160" s="4">
        <v>98.31</v>
      </c>
      <c r="D160" s="4">
        <v>99.004000000000005</v>
      </c>
      <c r="E160">
        <v>-0.72</v>
      </c>
      <c r="F160" s="4">
        <v>4.4619999999999997</v>
      </c>
    </row>
    <row r="161" spans="1:6" x14ac:dyDescent="0.2">
      <c r="A161" s="3">
        <v>47437</v>
      </c>
      <c r="B161" s="4">
        <v>1.75</v>
      </c>
      <c r="C161" s="4">
        <v>92</v>
      </c>
      <c r="D161" s="4">
        <v>92.013999999999996</v>
      </c>
      <c r="E161">
        <v>-0.04</v>
      </c>
      <c r="F161" s="4">
        <v>4.4550000000000001</v>
      </c>
    </row>
    <row r="162" spans="1:6" x14ac:dyDescent="0.2">
      <c r="A162" s="3">
        <v>47452</v>
      </c>
      <c r="B162" s="4">
        <v>3.875</v>
      </c>
      <c r="C162" s="4">
        <v>98.061999999999998</v>
      </c>
      <c r="D162" s="4">
        <v>98.075999999999993</v>
      </c>
      <c r="E162">
        <v>-0.04</v>
      </c>
      <c r="F162" s="4">
        <v>4.4640000000000004</v>
      </c>
    </row>
    <row r="163" spans="1:6" x14ac:dyDescent="0.2">
      <c r="A163" s="3">
        <v>47452</v>
      </c>
      <c r="B163" s="4">
        <v>4.125</v>
      </c>
      <c r="C163" s="4">
        <v>98.296000000000006</v>
      </c>
      <c r="D163" s="4">
        <v>98.311999999999998</v>
      </c>
      <c r="E163">
        <v>-0.72</v>
      </c>
      <c r="F163" s="4">
        <v>4.4669999999999996</v>
      </c>
    </row>
    <row r="164" spans="1:6" x14ac:dyDescent="0.2">
      <c r="A164" s="3">
        <v>47483</v>
      </c>
      <c r="B164" s="4">
        <v>3.875</v>
      </c>
      <c r="C164" s="4">
        <v>98.036000000000001</v>
      </c>
      <c r="D164" s="4">
        <v>98.052000000000007</v>
      </c>
      <c r="E164">
        <v>-0.04</v>
      </c>
      <c r="F164" s="4">
        <v>4.476</v>
      </c>
    </row>
    <row r="165" spans="1:6" x14ac:dyDescent="0.2">
      <c r="A165" s="3">
        <v>47483</v>
      </c>
      <c r="B165" s="4">
        <v>4.375</v>
      </c>
      <c r="C165" s="4">
        <v>99.206000000000003</v>
      </c>
      <c r="D165" s="4">
        <v>99.221999999999994</v>
      </c>
      <c r="E165">
        <v>-0.05</v>
      </c>
      <c r="F165" s="4">
        <v>4.4729999999999999</v>
      </c>
    </row>
    <row r="166" spans="1:6" x14ac:dyDescent="0.2">
      <c r="A166" s="3">
        <v>47514</v>
      </c>
      <c r="B166" s="4">
        <v>3.5</v>
      </c>
      <c r="C166" s="4">
        <v>96.28</v>
      </c>
      <c r="D166" s="4">
        <v>96.293999999999997</v>
      </c>
      <c r="E166">
        <v>-0.72399999999999998</v>
      </c>
      <c r="F166" s="4">
        <v>4.4870000000000001</v>
      </c>
    </row>
    <row r="167" spans="1:6" x14ac:dyDescent="0.2">
      <c r="A167" s="3">
        <v>47514</v>
      </c>
      <c r="B167" s="4">
        <v>4.25</v>
      </c>
      <c r="C167" s="4">
        <v>99.073999999999998</v>
      </c>
      <c r="D167" s="4">
        <v>99.09</v>
      </c>
      <c r="E167">
        <v>-4.5999999999999999E-2</v>
      </c>
      <c r="F167" s="4">
        <v>4.4790000000000001</v>
      </c>
    </row>
    <row r="168" spans="1:6" x14ac:dyDescent="0.2">
      <c r="A168" s="3">
        <v>47529</v>
      </c>
      <c r="B168" s="4">
        <v>1.5</v>
      </c>
      <c r="C168" s="4">
        <v>90.186000000000007</v>
      </c>
      <c r="D168" s="4">
        <v>90.201999999999998</v>
      </c>
      <c r="E168">
        <v>-3.5999999999999997E-2</v>
      </c>
      <c r="F168" s="4">
        <v>4.4720000000000004</v>
      </c>
    </row>
    <row r="169" spans="1:6" x14ac:dyDescent="0.2">
      <c r="A169" s="3">
        <v>47542</v>
      </c>
      <c r="B169" s="4">
        <v>4</v>
      </c>
      <c r="C169" s="4">
        <v>98.14</v>
      </c>
      <c r="D169" s="4">
        <v>98.153999999999996</v>
      </c>
      <c r="E169">
        <v>-4.3999999999999997E-2</v>
      </c>
      <c r="F169" s="4">
        <v>4.4749999999999996</v>
      </c>
    </row>
    <row r="170" spans="1:6" x14ac:dyDescent="0.2">
      <c r="A170" s="3">
        <v>47573</v>
      </c>
      <c r="B170" s="4">
        <v>3.625</v>
      </c>
      <c r="C170" s="4">
        <v>97.046000000000006</v>
      </c>
      <c r="D170" s="4">
        <v>97.061999999999998</v>
      </c>
      <c r="E170">
        <v>-4.3999999999999997E-2</v>
      </c>
      <c r="F170" s="4">
        <v>4.4859999999999998</v>
      </c>
    </row>
    <row r="171" spans="1:6" x14ac:dyDescent="0.2">
      <c r="A171" s="3">
        <v>47573</v>
      </c>
      <c r="B171" s="4">
        <v>4</v>
      </c>
      <c r="C171" s="4">
        <v>98.116</v>
      </c>
      <c r="D171" s="4">
        <v>98.132000000000005</v>
      </c>
      <c r="E171">
        <v>-4.5999999999999999E-2</v>
      </c>
      <c r="F171" s="4">
        <v>4.4859999999999998</v>
      </c>
    </row>
    <row r="172" spans="1:6" x14ac:dyDescent="0.2">
      <c r="A172" s="3">
        <v>47603</v>
      </c>
      <c r="B172" s="4">
        <v>3.5</v>
      </c>
      <c r="C172" s="4">
        <v>96.206000000000003</v>
      </c>
      <c r="D172" s="4">
        <v>96.221999999999994</v>
      </c>
      <c r="E172">
        <v>-4.5999999999999999E-2</v>
      </c>
      <c r="F172" s="4">
        <v>4.492</v>
      </c>
    </row>
    <row r="173" spans="1:6" x14ac:dyDescent="0.2">
      <c r="A173" s="3">
        <v>47603</v>
      </c>
      <c r="B173" s="4">
        <v>3.875</v>
      </c>
      <c r="C173" s="4">
        <v>97.293999999999997</v>
      </c>
      <c r="D173" s="4">
        <v>97.31</v>
      </c>
      <c r="E173">
        <v>-0.72199999999999998</v>
      </c>
      <c r="F173" s="4">
        <v>4.484</v>
      </c>
    </row>
    <row r="174" spans="1:6" x14ac:dyDescent="0.2">
      <c r="A174" s="3">
        <v>47618</v>
      </c>
      <c r="B174" s="4">
        <v>0.625</v>
      </c>
      <c r="C174" s="4">
        <v>86.304000000000002</v>
      </c>
      <c r="D174" s="4">
        <v>87</v>
      </c>
      <c r="E174">
        <v>-0.71199999999999997</v>
      </c>
      <c r="F174" s="4">
        <v>4.492</v>
      </c>
    </row>
    <row r="175" spans="1:6" x14ac:dyDescent="0.2">
      <c r="A175" s="3">
        <v>47618</v>
      </c>
      <c r="B175" s="4">
        <v>6.25</v>
      </c>
      <c r="C175" s="4">
        <v>105.276</v>
      </c>
      <c r="D175" s="4">
        <v>105.292</v>
      </c>
      <c r="E175">
        <v>-0.73799999999999999</v>
      </c>
      <c r="F175" s="4">
        <v>4.4880000000000004</v>
      </c>
    </row>
    <row r="176" spans="1:6" x14ac:dyDescent="0.2">
      <c r="A176" s="3">
        <v>47634</v>
      </c>
      <c r="B176" s="4">
        <v>3.75</v>
      </c>
      <c r="C176" s="4">
        <v>97.126000000000005</v>
      </c>
      <c r="D176" s="4">
        <v>97.141999999999996</v>
      </c>
      <c r="E176">
        <v>-4.8000000000000001E-2</v>
      </c>
      <c r="F176" s="4">
        <v>4.5010000000000003</v>
      </c>
    </row>
    <row r="177" spans="1:6" x14ac:dyDescent="0.2">
      <c r="A177" s="3">
        <v>47634</v>
      </c>
      <c r="B177" s="4">
        <v>4</v>
      </c>
      <c r="C177" s="4">
        <v>98.081999999999994</v>
      </c>
      <c r="D177" s="4">
        <v>98.096000000000004</v>
      </c>
      <c r="E177">
        <v>-4.8000000000000001E-2</v>
      </c>
      <c r="F177" s="4">
        <v>4.4980000000000002</v>
      </c>
    </row>
    <row r="178" spans="1:6" x14ac:dyDescent="0.2">
      <c r="A178" s="3">
        <v>47664</v>
      </c>
      <c r="B178" s="4">
        <v>3.75</v>
      </c>
      <c r="C178" s="4">
        <v>97.105999999999995</v>
      </c>
      <c r="D178" s="4">
        <v>97.122</v>
      </c>
      <c r="E178">
        <v>-4.5999999999999999E-2</v>
      </c>
      <c r="F178" s="4">
        <v>4.5039999999999996</v>
      </c>
    </row>
    <row r="179" spans="1:6" x14ac:dyDescent="0.2">
      <c r="A179" s="3">
        <v>47664</v>
      </c>
      <c r="B179" s="4">
        <v>3.875</v>
      </c>
      <c r="C179" s="4">
        <v>97.254000000000005</v>
      </c>
      <c r="D179" s="4">
        <v>97.27</v>
      </c>
      <c r="E179">
        <v>-4.5999999999999999E-2</v>
      </c>
      <c r="F179" s="4">
        <v>4.4960000000000004</v>
      </c>
    </row>
    <row r="180" spans="1:6" x14ac:dyDescent="0.2">
      <c r="A180" s="3">
        <v>47695</v>
      </c>
      <c r="B180" s="4">
        <v>3.875</v>
      </c>
      <c r="C180" s="4">
        <v>97.231999999999999</v>
      </c>
      <c r="D180" s="4">
        <v>97.245999999999995</v>
      </c>
      <c r="E180">
        <v>-4.8000000000000001E-2</v>
      </c>
      <c r="F180" s="4">
        <v>4.5039999999999996</v>
      </c>
    </row>
    <row r="181" spans="1:6" x14ac:dyDescent="0.2">
      <c r="A181" s="3">
        <v>47695</v>
      </c>
      <c r="B181" s="4">
        <v>4</v>
      </c>
      <c r="C181" s="4">
        <v>98.054000000000002</v>
      </c>
      <c r="D181" s="4">
        <v>98.07</v>
      </c>
      <c r="E181">
        <v>-4.8000000000000001E-2</v>
      </c>
      <c r="F181" s="4">
        <v>4.5030000000000001</v>
      </c>
    </row>
    <row r="182" spans="1:6" x14ac:dyDescent="0.2">
      <c r="A182" s="3">
        <v>47710</v>
      </c>
      <c r="B182" s="4">
        <v>0.625</v>
      </c>
      <c r="C182" s="4">
        <v>86.034000000000006</v>
      </c>
      <c r="D182" s="4">
        <v>86.05</v>
      </c>
      <c r="E182">
        <v>-3.2000000000000001E-2</v>
      </c>
      <c r="F182" s="4">
        <v>4.5030000000000001</v>
      </c>
    </row>
    <row r="183" spans="1:6" x14ac:dyDescent="0.2">
      <c r="A183" s="3">
        <v>47726</v>
      </c>
      <c r="B183" s="4">
        <v>3.625</v>
      </c>
      <c r="C183" s="4">
        <v>96.242000000000004</v>
      </c>
      <c r="D183" s="4">
        <v>96.256</v>
      </c>
      <c r="E183">
        <v>-4.3999999999999997E-2</v>
      </c>
      <c r="F183" s="4">
        <v>4.5110000000000001</v>
      </c>
    </row>
    <row r="184" spans="1:6" x14ac:dyDescent="0.2">
      <c r="A184" s="3">
        <v>47726</v>
      </c>
      <c r="B184" s="4">
        <v>4.125</v>
      </c>
      <c r="C184" s="4">
        <v>98.183999999999997</v>
      </c>
      <c r="D184" s="4">
        <v>98.2</v>
      </c>
      <c r="E184">
        <v>-4.8000000000000001E-2</v>
      </c>
      <c r="F184" s="4">
        <v>4.5060000000000002</v>
      </c>
    </row>
    <row r="185" spans="1:6" x14ac:dyDescent="0.2">
      <c r="A185" s="3">
        <v>47756</v>
      </c>
      <c r="B185" s="4">
        <v>3.625</v>
      </c>
      <c r="C185" s="4">
        <v>96.224000000000004</v>
      </c>
      <c r="D185" s="4">
        <v>96.24</v>
      </c>
      <c r="E185">
        <v>-4.5999999999999999E-2</v>
      </c>
      <c r="F185" s="4">
        <v>4.5090000000000003</v>
      </c>
    </row>
    <row r="186" spans="1:6" x14ac:dyDescent="0.2">
      <c r="A186" s="3">
        <v>47756</v>
      </c>
      <c r="B186" s="4">
        <v>4.625</v>
      </c>
      <c r="C186" s="4">
        <v>100.12</v>
      </c>
      <c r="D186" s="4">
        <v>100.134</v>
      </c>
      <c r="E186">
        <v>-0.05</v>
      </c>
      <c r="F186" s="4">
        <v>4.5090000000000003</v>
      </c>
    </row>
    <row r="187" spans="1:6" x14ac:dyDescent="0.2">
      <c r="A187" s="3">
        <v>47787</v>
      </c>
      <c r="B187" s="4">
        <v>3.625</v>
      </c>
      <c r="C187" s="4">
        <v>96.194000000000003</v>
      </c>
      <c r="D187" s="4">
        <v>96.21</v>
      </c>
      <c r="E187">
        <v>-4.8000000000000001E-2</v>
      </c>
      <c r="F187" s="4">
        <v>4.5179999999999998</v>
      </c>
    </row>
    <row r="188" spans="1:6" x14ac:dyDescent="0.2">
      <c r="A188" s="3">
        <v>47787</v>
      </c>
      <c r="B188" s="4">
        <v>4.875</v>
      </c>
      <c r="C188" s="4">
        <v>101.096</v>
      </c>
      <c r="D188" s="4">
        <v>101.11199999999999</v>
      </c>
      <c r="E188">
        <v>-0.05</v>
      </c>
      <c r="F188" s="4">
        <v>4.5119999999999996</v>
      </c>
    </row>
    <row r="189" spans="1:6" x14ac:dyDescent="0.2">
      <c r="A189" s="3">
        <v>47802</v>
      </c>
      <c r="B189" s="4">
        <v>0.875</v>
      </c>
      <c r="C189" s="4">
        <v>86.063999999999993</v>
      </c>
      <c r="D189" s="4">
        <v>86.08</v>
      </c>
      <c r="E189">
        <v>-0.03</v>
      </c>
      <c r="F189" s="4">
        <v>4.5179999999999998</v>
      </c>
    </row>
    <row r="190" spans="1:6" x14ac:dyDescent="0.2">
      <c r="A190" s="3">
        <v>47817</v>
      </c>
      <c r="B190" s="4">
        <v>3.5</v>
      </c>
      <c r="C190" s="4">
        <v>96.013999999999996</v>
      </c>
      <c r="D190" s="4">
        <v>96.03</v>
      </c>
      <c r="E190">
        <v>-4.8000000000000001E-2</v>
      </c>
      <c r="F190" s="4">
        <v>4.524</v>
      </c>
    </row>
    <row r="191" spans="1:6" x14ac:dyDescent="0.2">
      <c r="A191" s="3">
        <v>47817</v>
      </c>
      <c r="B191" s="4">
        <v>4.375</v>
      </c>
      <c r="C191" s="4">
        <v>99.123999999999995</v>
      </c>
      <c r="D191" s="4">
        <v>99.14</v>
      </c>
      <c r="E191">
        <v>-0.05</v>
      </c>
      <c r="F191" s="4">
        <v>4.5209999999999999</v>
      </c>
    </row>
    <row r="192" spans="1:6" x14ac:dyDescent="0.2">
      <c r="A192" s="3">
        <v>47848</v>
      </c>
      <c r="B192" s="4">
        <v>3.625</v>
      </c>
      <c r="C192" s="4">
        <v>96.146000000000001</v>
      </c>
      <c r="D192" s="4">
        <v>96.162000000000006</v>
      </c>
      <c r="E192">
        <v>-4.8000000000000001E-2</v>
      </c>
      <c r="F192" s="4">
        <v>4.5250000000000004</v>
      </c>
    </row>
    <row r="193" spans="1:6" x14ac:dyDescent="0.2">
      <c r="A193" s="3">
        <v>47848</v>
      </c>
      <c r="B193" s="4">
        <v>3.75</v>
      </c>
      <c r="C193" s="4">
        <v>96.3</v>
      </c>
      <c r="D193" s="4">
        <v>96.313999999999993</v>
      </c>
      <c r="E193">
        <v>-0.72599999999999998</v>
      </c>
      <c r="F193" s="4">
        <v>4.5270000000000001</v>
      </c>
    </row>
    <row r="194" spans="1:6" x14ac:dyDescent="0.2">
      <c r="A194" s="3">
        <v>47879</v>
      </c>
      <c r="B194" s="4">
        <v>3.75</v>
      </c>
      <c r="C194" s="4">
        <v>96.281999999999996</v>
      </c>
      <c r="D194" s="4">
        <v>96.296000000000006</v>
      </c>
      <c r="E194">
        <v>-0.72799999999999998</v>
      </c>
      <c r="F194" s="4">
        <v>4.5279999999999996</v>
      </c>
    </row>
    <row r="195" spans="1:6" x14ac:dyDescent="0.2">
      <c r="A195" s="3">
        <v>47879</v>
      </c>
      <c r="B195" s="4">
        <v>4</v>
      </c>
      <c r="C195" s="4">
        <v>97.275999999999996</v>
      </c>
      <c r="D195" s="4">
        <v>97.292000000000002</v>
      </c>
      <c r="E195">
        <v>-0.73</v>
      </c>
      <c r="F195" s="4">
        <v>4.5279999999999996</v>
      </c>
    </row>
    <row r="196" spans="1:6" x14ac:dyDescent="0.2">
      <c r="A196" s="3">
        <v>47894</v>
      </c>
      <c r="B196" s="4">
        <v>1.125</v>
      </c>
      <c r="C196" s="4">
        <v>86.164000000000001</v>
      </c>
      <c r="D196" s="4">
        <v>86.18</v>
      </c>
      <c r="E196">
        <v>-3.7999999999999999E-2</v>
      </c>
      <c r="F196" s="4">
        <v>4.5010000000000003</v>
      </c>
    </row>
    <row r="197" spans="1:6" x14ac:dyDescent="0.2">
      <c r="A197" s="3">
        <v>47894</v>
      </c>
      <c r="B197" s="4">
        <v>5.375</v>
      </c>
      <c r="C197" s="4">
        <v>103.124</v>
      </c>
      <c r="D197" s="4">
        <v>103.14</v>
      </c>
      <c r="E197">
        <v>-0.06</v>
      </c>
      <c r="F197" s="4">
        <v>4.51</v>
      </c>
    </row>
    <row r="198" spans="1:6" x14ac:dyDescent="0.2">
      <c r="A198" s="3">
        <v>47907</v>
      </c>
      <c r="B198" s="4">
        <v>3.5</v>
      </c>
      <c r="C198" s="4">
        <v>95.27</v>
      </c>
      <c r="D198" s="4">
        <v>95.284000000000006</v>
      </c>
      <c r="E198">
        <v>-0.73</v>
      </c>
      <c r="F198" s="4">
        <v>4.524</v>
      </c>
    </row>
    <row r="199" spans="1:6" x14ac:dyDescent="0.2">
      <c r="A199" s="3">
        <v>47907</v>
      </c>
      <c r="B199" s="4">
        <v>4.25</v>
      </c>
      <c r="C199" s="4">
        <v>98.263999999999996</v>
      </c>
      <c r="D199" s="4">
        <v>98.28</v>
      </c>
      <c r="E199">
        <v>-5.1999999999999998E-2</v>
      </c>
      <c r="F199" s="4">
        <v>4.53</v>
      </c>
    </row>
    <row r="200" spans="1:6" x14ac:dyDescent="0.2">
      <c r="A200" s="3">
        <v>47938</v>
      </c>
      <c r="B200" s="4">
        <v>3.875</v>
      </c>
      <c r="C200" s="4">
        <v>97.091999999999999</v>
      </c>
      <c r="D200" s="4">
        <v>97.105999999999995</v>
      </c>
      <c r="E200">
        <v>-4.8000000000000001E-2</v>
      </c>
      <c r="F200" s="4">
        <v>4.5279999999999996</v>
      </c>
    </row>
    <row r="201" spans="1:6" x14ac:dyDescent="0.2">
      <c r="A201" s="3">
        <v>47938</v>
      </c>
      <c r="B201" s="4">
        <v>4.125</v>
      </c>
      <c r="C201" s="4">
        <v>98.09</v>
      </c>
      <c r="D201" s="4">
        <v>98.103999999999999</v>
      </c>
      <c r="E201">
        <v>-0.05</v>
      </c>
      <c r="F201" s="4">
        <v>4.5339999999999998</v>
      </c>
    </row>
    <row r="202" spans="1:6" x14ac:dyDescent="0.2">
      <c r="A202" s="3">
        <v>47968</v>
      </c>
      <c r="B202" s="4">
        <v>3.875</v>
      </c>
      <c r="C202" s="4">
        <v>97.075999999999993</v>
      </c>
      <c r="D202" s="4">
        <v>97.091999999999999</v>
      </c>
      <c r="E202">
        <v>-4.9000000000000002E-2</v>
      </c>
      <c r="F202" s="4">
        <v>4.5279999999999996</v>
      </c>
    </row>
    <row r="203" spans="1:6" x14ac:dyDescent="0.2">
      <c r="A203" s="3">
        <v>47968</v>
      </c>
      <c r="B203" s="4">
        <v>4.625</v>
      </c>
      <c r="C203" s="4">
        <v>100.102</v>
      </c>
      <c r="D203" s="4">
        <v>100.116</v>
      </c>
      <c r="E203">
        <v>-5.1999999999999998E-2</v>
      </c>
      <c r="F203" s="4">
        <v>4.5350000000000001</v>
      </c>
    </row>
    <row r="204" spans="1:6" x14ac:dyDescent="0.2">
      <c r="A204" s="3">
        <v>47983</v>
      </c>
      <c r="B204" s="4">
        <v>1.625</v>
      </c>
      <c r="C204" s="4">
        <v>87.25</v>
      </c>
      <c r="D204" s="4">
        <v>87.263999999999996</v>
      </c>
      <c r="E204">
        <v>-0.04</v>
      </c>
      <c r="F204" s="4">
        <v>4.5380000000000003</v>
      </c>
    </row>
    <row r="205" spans="1:6" x14ac:dyDescent="0.2">
      <c r="A205" s="3">
        <v>47999</v>
      </c>
      <c r="B205" s="4">
        <v>4.125</v>
      </c>
      <c r="C205" s="4">
        <v>98.066000000000003</v>
      </c>
      <c r="D205" s="4">
        <v>98.081999999999994</v>
      </c>
      <c r="E205">
        <v>-5.0999999999999997E-2</v>
      </c>
      <c r="F205" s="4">
        <v>4.5369999999999999</v>
      </c>
    </row>
    <row r="206" spans="1:6" x14ac:dyDescent="0.2">
      <c r="A206" s="3">
        <v>47999</v>
      </c>
      <c r="B206" s="4">
        <v>4.625</v>
      </c>
      <c r="C206" s="4">
        <v>100.092</v>
      </c>
      <c r="D206" s="4">
        <v>100.10599999999999</v>
      </c>
      <c r="E206">
        <v>-5.1999999999999998E-2</v>
      </c>
      <c r="F206" s="4">
        <v>4.5439999999999996</v>
      </c>
    </row>
    <row r="207" spans="1:6" x14ac:dyDescent="0.2">
      <c r="A207" s="3">
        <v>48029</v>
      </c>
      <c r="B207" s="4">
        <v>4.125</v>
      </c>
      <c r="C207" s="4">
        <v>98.06</v>
      </c>
      <c r="D207" s="4">
        <v>98.073999999999998</v>
      </c>
      <c r="E207">
        <v>-5.0999999999999997E-2</v>
      </c>
      <c r="F207" s="4">
        <v>4.5359999999999996</v>
      </c>
    </row>
    <row r="208" spans="1:6" x14ac:dyDescent="0.2">
      <c r="A208" s="3">
        <v>48029</v>
      </c>
      <c r="B208" s="4">
        <v>4.25</v>
      </c>
      <c r="C208" s="4">
        <v>98.215999999999994</v>
      </c>
      <c r="D208" s="4">
        <v>98.231999999999999</v>
      </c>
      <c r="E208">
        <v>-5.3999999999999999E-2</v>
      </c>
      <c r="F208" s="4">
        <v>4.5460000000000003</v>
      </c>
    </row>
    <row r="209" spans="1:6" x14ac:dyDescent="0.2">
      <c r="A209" s="3">
        <v>48060</v>
      </c>
      <c r="B209" s="4">
        <v>4.125</v>
      </c>
      <c r="C209" s="4">
        <v>98.031999999999996</v>
      </c>
      <c r="D209" s="4">
        <v>98.046000000000006</v>
      </c>
      <c r="E209">
        <v>-5.1999999999999998E-2</v>
      </c>
      <c r="F209" s="4">
        <v>4.55</v>
      </c>
    </row>
    <row r="210" spans="1:6" x14ac:dyDescent="0.2">
      <c r="A210" s="3">
        <v>48060</v>
      </c>
      <c r="B210" s="4">
        <v>4.375</v>
      </c>
      <c r="C210" s="4">
        <v>99.070999999999998</v>
      </c>
      <c r="D210" s="4">
        <v>99.084999999999994</v>
      </c>
      <c r="E210">
        <v>-5.1999999999999998E-2</v>
      </c>
      <c r="F210" s="4">
        <v>4.5419999999999998</v>
      </c>
    </row>
    <row r="211" spans="1:6" x14ac:dyDescent="0.2">
      <c r="A211" s="3">
        <v>48075</v>
      </c>
      <c r="B211" s="4">
        <v>1.25</v>
      </c>
      <c r="C211" s="4">
        <v>85.153999999999996</v>
      </c>
      <c r="D211" s="4">
        <v>85.17</v>
      </c>
      <c r="E211">
        <v>-3.5999999999999997E-2</v>
      </c>
      <c r="F211" s="4">
        <v>4.5570000000000004</v>
      </c>
    </row>
    <row r="212" spans="1:6" x14ac:dyDescent="0.2">
      <c r="A212" s="3">
        <v>48091</v>
      </c>
      <c r="B212" s="4">
        <v>3.75</v>
      </c>
      <c r="C212" s="4">
        <v>96.126000000000005</v>
      </c>
      <c r="D212" s="4">
        <v>96.141999999999996</v>
      </c>
      <c r="E212">
        <v>-0.05</v>
      </c>
      <c r="F212" s="4">
        <v>4.556</v>
      </c>
    </row>
    <row r="213" spans="1:6" x14ac:dyDescent="0.2">
      <c r="A213" s="3">
        <v>48091</v>
      </c>
      <c r="B213" s="4">
        <v>4.375</v>
      </c>
      <c r="C213" s="4">
        <v>99.07</v>
      </c>
      <c r="D213" s="4">
        <v>99.084000000000003</v>
      </c>
      <c r="E213">
        <v>-5.2999999999999999E-2</v>
      </c>
      <c r="F213" s="4">
        <v>4.5410000000000004</v>
      </c>
    </row>
    <row r="214" spans="1:6" x14ac:dyDescent="0.2">
      <c r="A214" s="3">
        <v>48121</v>
      </c>
      <c r="B214" s="4">
        <v>3.625</v>
      </c>
      <c r="C214" s="4">
        <v>95.254000000000005</v>
      </c>
      <c r="D214" s="4">
        <v>95.27</v>
      </c>
      <c r="E214">
        <v>-5.1999999999999998E-2</v>
      </c>
      <c r="F214" s="4">
        <v>4.5529999999999999</v>
      </c>
    </row>
    <row r="215" spans="1:6" x14ac:dyDescent="0.2">
      <c r="A215" s="3">
        <v>48152</v>
      </c>
      <c r="B215" s="4">
        <v>4.125</v>
      </c>
      <c r="C215" s="4">
        <v>97.311999999999998</v>
      </c>
      <c r="D215" s="4">
        <v>98.006</v>
      </c>
      <c r="E215">
        <v>-0.73199999999999998</v>
      </c>
      <c r="F215" s="4">
        <v>4.5590000000000002</v>
      </c>
    </row>
    <row r="216" spans="1:6" x14ac:dyDescent="0.2">
      <c r="A216" s="3">
        <v>48167</v>
      </c>
      <c r="B216" s="4">
        <v>1.375</v>
      </c>
      <c r="C216" s="4">
        <v>85.103999999999999</v>
      </c>
      <c r="D216" s="4">
        <v>85.12</v>
      </c>
      <c r="E216">
        <v>-0.04</v>
      </c>
      <c r="F216" s="4">
        <v>4.5750000000000002</v>
      </c>
    </row>
    <row r="217" spans="1:6" x14ac:dyDescent="0.2">
      <c r="A217" s="3">
        <v>48182</v>
      </c>
      <c r="B217" s="4">
        <v>4.125</v>
      </c>
      <c r="C217" s="4">
        <v>97.293999999999997</v>
      </c>
      <c r="D217" s="4">
        <v>97.31</v>
      </c>
      <c r="E217">
        <v>-0.73</v>
      </c>
      <c r="F217" s="4">
        <v>4.5650000000000004</v>
      </c>
    </row>
    <row r="218" spans="1:6" x14ac:dyDescent="0.2">
      <c r="A218" s="3">
        <v>48213</v>
      </c>
      <c r="B218" s="4">
        <v>4.5</v>
      </c>
      <c r="C218" s="4">
        <v>99.201999999999998</v>
      </c>
      <c r="D218" s="4">
        <v>99.215999999999994</v>
      </c>
      <c r="E218">
        <v>-5.1999999999999998E-2</v>
      </c>
      <c r="F218" s="4">
        <v>4.5670000000000002</v>
      </c>
    </row>
    <row r="219" spans="1:6" x14ac:dyDescent="0.2">
      <c r="A219" s="3">
        <v>48244</v>
      </c>
      <c r="B219" s="4">
        <v>4.375</v>
      </c>
      <c r="C219" s="4">
        <v>99</v>
      </c>
      <c r="D219" s="4">
        <v>99.013999999999996</v>
      </c>
      <c r="E219">
        <v>-5.3999999999999999E-2</v>
      </c>
      <c r="F219" s="4">
        <v>4.5759999999999996</v>
      </c>
    </row>
    <row r="220" spans="1:6" x14ac:dyDescent="0.2">
      <c r="A220" s="3">
        <v>48259</v>
      </c>
      <c r="B220" s="4">
        <v>1.875</v>
      </c>
      <c r="C220" s="4">
        <v>87.006</v>
      </c>
      <c r="D220" s="4">
        <v>87.022000000000006</v>
      </c>
      <c r="E220">
        <v>-4.5999999999999999E-2</v>
      </c>
      <c r="F220" s="4">
        <v>4.59</v>
      </c>
    </row>
    <row r="221" spans="1:6" x14ac:dyDescent="0.2">
      <c r="A221" s="3">
        <v>48273</v>
      </c>
      <c r="B221" s="4">
        <v>4.125</v>
      </c>
      <c r="C221" s="4">
        <v>97.251999999999995</v>
      </c>
      <c r="D221" s="4">
        <v>97.266000000000005</v>
      </c>
      <c r="E221">
        <v>-5.3999999999999999E-2</v>
      </c>
      <c r="F221" s="4">
        <v>4.5759999999999996</v>
      </c>
    </row>
    <row r="222" spans="1:6" x14ac:dyDescent="0.2">
      <c r="A222" s="3">
        <v>48304</v>
      </c>
      <c r="B222" s="4">
        <v>4.125</v>
      </c>
      <c r="C222" s="4">
        <v>97.233999999999995</v>
      </c>
      <c r="D222" s="4">
        <v>97.25</v>
      </c>
      <c r="E222">
        <v>-5.6000000000000001E-2</v>
      </c>
      <c r="F222" s="4">
        <v>4.5810000000000004</v>
      </c>
    </row>
    <row r="223" spans="1:6" x14ac:dyDescent="0.2">
      <c r="A223" s="3">
        <v>48334</v>
      </c>
      <c r="B223" s="4">
        <v>4</v>
      </c>
      <c r="C223" s="4">
        <v>97.022000000000006</v>
      </c>
      <c r="D223" s="4">
        <v>97.036000000000001</v>
      </c>
      <c r="E223">
        <v>-5.3999999999999999E-2</v>
      </c>
      <c r="F223" s="4">
        <v>4.585</v>
      </c>
    </row>
    <row r="224" spans="1:6" x14ac:dyDescent="0.2">
      <c r="A224" s="3">
        <v>48349</v>
      </c>
      <c r="B224" s="4">
        <v>2.875</v>
      </c>
      <c r="C224" s="4">
        <v>91.134</v>
      </c>
      <c r="D224" s="4">
        <v>91.15</v>
      </c>
      <c r="E224">
        <v>-5.6000000000000001E-2</v>
      </c>
      <c r="F224" s="4">
        <v>4.5970000000000004</v>
      </c>
    </row>
    <row r="225" spans="1:6" x14ac:dyDescent="0.2">
      <c r="A225" s="3">
        <v>48365</v>
      </c>
      <c r="B225" s="4">
        <v>4.125</v>
      </c>
      <c r="C225" s="4">
        <v>97.2</v>
      </c>
      <c r="D225" s="4">
        <v>97.213999999999999</v>
      </c>
      <c r="E225">
        <v>-5.3999999999999999E-2</v>
      </c>
      <c r="F225" s="4">
        <v>4.5910000000000002</v>
      </c>
    </row>
    <row r="226" spans="1:6" x14ac:dyDescent="0.2">
      <c r="A226" s="3">
        <v>48395</v>
      </c>
      <c r="B226" s="4">
        <v>4</v>
      </c>
      <c r="C226" s="4">
        <v>96.305999999999997</v>
      </c>
      <c r="D226" s="4">
        <v>97.001999999999995</v>
      </c>
      <c r="E226">
        <v>-0.73</v>
      </c>
      <c r="F226" s="4">
        <v>4.5919999999999996</v>
      </c>
    </row>
    <row r="227" spans="1:6" x14ac:dyDescent="0.2">
      <c r="A227" s="3">
        <v>48426</v>
      </c>
      <c r="B227" s="4">
        <v>4</v>
      </c>
      <c r="C227" s="4">
        <v>96.281999999999996</v>
      </c>
      <c r="D227" s="4">
        <v>96.296000000000006</v>
      </c>
      <c r="E227">
        <v>-0.73799999999999999</v>
      </c>
      <c r="F227" s="4">
        <v>4.5999999999999996</v>
      </c>
    </row>
    <row r="228" spans="1:6" x14ac:dyDescent="0.2">
      <c r="A228" s="3">
        <v>48441</v>
      </c>
      <c r="B228" s="4">
        <v>2.75</v>
      </c>
      <c r="C228" s="4">
        <v>90.134</v>
      </c>
      <c r="D228" s="4">
        <v>90.15</v>
      </c>
      <c r="E228">
        <v>-4.5999999999999999E-2</v>
      </c>
      <c r="F228" s="4">
        <v>4.6029999999999998</v>
      </c>
    </row>
    <row r="229" spans="1:6" x14ac:dyDescent="0.2">
      <c r="A229" s="3">
        <v>48457</v>
      </c>
      <c r="B229" s="4">
        <v>3.875</v>
      </c>
      <c r="C229" s="4">
        <v>96.061999999999998</v>
      </c>
      <c r="D229" s="4">
        <v>96.075999999999993</v>
      </c>
      <c r="E229">
        <v>-0.05</v>
      </c>
      <c r="F229" s="4">
        <v>4.601</v>
      </c>
    </row>
    <row r="230" spans="1:6" x14ac:dyDescent="0.2">
      <c r="A230" s="3">
        <v>48487</v>
      </c>
      <c r="B230" s="4">
        <v>3.875</v>
      </c>
      <c r="C230" s="4">
        <v>96.031999999999996</v>
      </c>
      <c r="D230" s="4">
        <v>96.046000000000006</v>
      </c>
      <c r="E230">
        <v>-5.1999999999999998E-2</v>
      </c>
      <c r="F230" s="4">
        <v>4.6100000000000003</v>
      </c>
    </row>
    <row r="231" spans="1:6" x14ac:dyDescent="0.2">
      <c r="A231" s="3">
        <v>48518</v>
      </c>
      <c r="B231" s="4">
        <v>3.75</v>
      </c>
      <c r="C231" s="4">
        <v>95.116</v>
      </c>
      <c r="D231" s="4">
        <v>95.132000000000005</v>
      </c>
      <c r="E231">
        <v>-0.05</v>
      </c>
      <c r="F231" s="4">
        <v>4.6150000000000002</v>
      </c>
    </row>
    <row r="232" spans="1:6" x14ac:dyDescent="0.2">
      <c r="A232" s="3">
        <v>48533</v>
      </c>
      <c r="B232" s="4">
        <v>4.125</v>
      </c>
      <c r="C232" s="4">
        <v>97.11</v>
      </c>
      <c r="D232" s="4">
        <v>97.123999999999995</v>
      </c>
      <c r="E232">
        <v>-5.1999999999999998E-2</v>
      </c>
      <c r="F232" s="4">
        <v>4.6139999999999999</v>
      </c>
    </row>
    <row r="233" spans="1:6" x14ac:dyDescent="0.2">
      <c r="A233" s="3">
        <v>48548</v>
      </c>
      <c r="B233" s="4">
        <v>3.75</v>
      </c>
      <c r="C233" s="4">
        <v>95.091999999999999</v>
      </c>
      <c r="D233" s="4">
        <v>95.105999999999995</v>
      </c>
      <c r="E233">
        <v>-5.1999999999999998E-2</v>
      </c>
      <c r="F233" s="4">
        <v>4.6189999999999998</v>
      </c>
    </row>
    <row r="234" spans="1:6" x14ac:dyDescent="0.2">
      <c r="A234" s="3">
        <v>48579</v>
      </c>
      <c r="B234" s="4">
        <v>3.875</v>
      </c>
      <c r="C234" s="4">
        <v>95.29</v>
      </c>
      <c r="D234" s="4">
        <v>95.304000000000002</v>
      </c>
      <c r="E234">
        <v>-0.73199999999999998</v>
      </c>
      <c r="F234" s="4">
        <v>4.6210000000000004</v>
      </c>
    </row>
    <row r="235" spans="1:6" x14ac:dyDescent="0.2">
      <c r="A235" s="3">
        <v>48610</v>
      </c>
      <c r="B235" s="4">
        <v>4</v>
      </c>
      <c r="C235" s="4">
        <v>96.164000000000001</v>
      </c>
      <c r="D235" s="4">
        <v>96.18</v>
      </c>
      <c r="E235">
        <v>-4.8000000000000001E-2</v>
      </c>
      <c r="F235" s="4">
        <v>4.6260000000000003</v>
      </c>
    </row>
    <row r="236" spans="1:6" x14ac:dyDescent="0.2">
      <c r="A236" s="3">
        <v>48625</v>
      </c>
      <c r="B236" s="4">
        <v>3.5</v>
      </c>
      <c r="C236" s="4">
        <v>93.224000000000004</v>
      </c>
      <c r="D236" s="4">
        <v>93.24</v>
      </c>
      <c r="E236">
        <v>-0.05</v>
      </c>
      <c r="F236" s="4">
        <v>4.6340000000000003</v>
      </c>
    </row>
    <row r="237" spans="1:6" x14ac:dyDescent="0.2">
      <c r="A237" s="3">
        <v>48638</v>
      </c>
      <c r="B237" s="4">
        <v>3.75</v>
      </c>
      <c r="C237" s="4">
        <v>95.031999999999996</v>
      </c>
      <c r="D237" s="4">
        <v>95.046000000000006</v>
      </c>
      <c r="E237">
        <v>-0.05</v>
      </c>
      <c r="F237" s="4">
        <v>4.625</v>
      </c>
    </row>
    <row r="238" spans="1:6" x14ac:dyDescent="0.2">
      <c r="A238" s="3">
        <v>48669</v>
      </c>
      <c r="B238" s="4">
        <v>4.25</v>
      </c>
      <c r="C238" s="4">
        <v>97.262</v>
      </c>
      <c r="D238" s="4">
        <v>97.275999999999996</v>
      </c>
      <c r="E238">
        <v>-5.1999999999999998E-2</v>
      </c>
      <c r="F238" s="4">
        <v>4.63</v>
      </c>
    </row>
    <row r="239" spans="1:6" x14ac:dyDescent="0.2">
      <c r="A239" s="3">
        <v>48699</v>
      </c>
      <c r="B239" s="4">
        <v>4.125</v>
      </c>
      <c r="C239" s="4">
        <v>97.012</v>
      </c>
      <c r="D239" s="4">
        <v>97.025999999999996</v>
      </c>
      <c r="E239">
        <v>-5.0999999999999997E-2</v>
      </c>
      <c r="F239" s="4">
        <v>4.6390000000000002</v>
      </c>
    </row>
    <row r="240" spans="1:6" x14ac:dyDescent="0.2">
      <c r="A240" s="3">
        <v>48714</v>
      </c>
      <c r="B240" s="4">
        <v>3.375</v>
      </c>
      <c r="C240" s="4">
        <v>92.231999999999999</v>
      </c>
      <c r="D240" s="4">
        <v>92.245999999999995</v>
      </c>
      <c r="E240">
        <v>-0.05</v>
      </c>
      <c r="F240" s="4">
        <v>4.6440000000000001</v>
      </c>
    </row>
    <row r="241" spans="1:6" x14ac:dyDescent="0.2">
      <c r="A241" s="3">
        <v>48730</v>
      </c>
      <c r="B241" s="4">
        <v>4.25</v>
      </c>
      <c r="C241" s="4">
        <v>97.224999999999994</v>
      </c>
      <c r="D241" s="4">
        <v>97.241</v>
      </c>
      <c r="E241">
        <v>-5.1999999999999998E-2</v>
      </c>
      <c r="F241" s="4">
        <v>4.6420000000000003</v>
      </c>
    </row>
    <row r="242" spans="1:6" x14ac:dyDescent="0.2">
      <c r="A242" s="3">
        <v>48760</v>
      </c>
      <c r="B242" s="4">
        <v>4.25</v>
      </c>
      <c r="C242" s="4">
        <v>97.212999999999994</v>
      </c>
      <c r="D242" s="4">
        <v>97.227000000000004</v>
      </c>
      <c r="E242">
        <v>-5.0999999999999997E-2</v>
      </c>
      <c r="F242" s="4">
        <v>4.6440000000000001</v>
      </c>
    </row>
    <row r="243" spans="1:6" x14ac:dyDescent="0.2">
      <c r="A243" s="3">
        <v>48791</v>
      </c>
      <c r="B243" s="4">
        <v>4.375</v>
      </c>
      <c r="C243" s="4">
        <v>98.11</v>
      </c>
      <c r="D243" s="4">
        <v>98.123999999999995</v>
      </c>
      <c r="E243">
        <v>-5.0999999999999997E-2</v>
      </c>
      <c r="F243" s="4">
        <v>4.6500000000000004</v>
      </c>
    </row>
    <row r="244" spans="1:6" x14ac:dyDescent="0.2">
      <c r="A244" s="3">
        <v>48806</v>
      </c>
      <c r="B244" s="4">
        <v>3.875</v>
      </c>
      <c r="C244" s="4">
        <v>95.114000000000004</v>
      </c>
      <c r="D244" s="4">
        <v>95.13</v>
      </c>
      <c r="E244">
        <v>-5.6000000000000001E-2</v>
      </c>
      <c r="F244" s="4">
        <v>4.657</v>
      </c>
    </row>
    <row r="245" spans="1:6" x14ac:dyDescent="0.2">
      <c r="A245" s="3">
        <v>48822</v>
      </c>
      <c r="B245" s="4">
        <v>4.5</v>
      </c>
      <c r="C245" s="4">
        <v>99.016000000000005</v>
      </c>
      <c r="D245" s="4">
        <v>99.031999999999996</v>
      </c>
      <c r="E245">
        <v>-5.5E-2</v>
      </c>
      <c r="F245" s="4">
        <v>4.6520000000000001</v>
      </c>
    </row>
    <row r="246" spans="1:6" x14ac:dyDescent="0.2">
      <c r="A246" s="3">
        <v>48898</v>
      </c>
      <c r="B246" s="4">
        <v>4.5</v>
      </c>
      <c r="C246" s="4">
        <v>98.293999999999997</v>
      </c>
      <c r="D246" s="4">
        <v>98.313999999999993</v>
      </c>
      <c r="E246">
        <v>-0.73</v>
      </c>
      <c r="F246" s="4">
        <v>4.6669999999999998</v>
      </c>
    </row>
    <row r="247" spans="1:6" x14ac:dyDescent="0.2">
      <c r="A247" s="3">
        <v>48990</v>
      </c>
      <c r="B247" s="4">
        <v>4</v>
      </c>
      <c r="C247" s="4">
        <v>95.22</v>
      </c>
      <c r="D247" s="4">
        <v>95.24</v>
      </c>
      <c r="E247">
        <v>-5.6000000000000001E-2</v>
      </c>
      <c r="F247" s="4">
        <v>4.6829999999999998</v>
      </c>
    </row>
    <row r="248" spans="1:6" x14ac:dyDescent="0.2">
      <c r="A248" s="3">
        <v>49079</v>
      </c>
      <c r="B248" s="4">
        <v>4.375</v>
      </c>
      <c r="C248" s="4">
        <v>97.302000000000007</v>
      </c>
      <c r="D248" s="4">
        <v>98.001999999999995</v>
      </c>
      <c r="E248">
        <v>-0.73</v>
      </c>
      <c r="F248" s="4">
        <v>4.6859999999999999</v>
      </c>
    </row>
    <row r="249" spans="1:6" x14ac:dyDescent="0.2">
      <c r="A249" s="3">
        <v>49171</v>
      </c>
      <c r="B249" s="4">
        <v>3.875</v>
      </c>
      <c r="C249" s="4">
        <v>94.16</v>
      </c>
      <c r="D249" s="4">
        <v>94.18</v>
      </c>
      <c r="E249">
        <v>-0.05</v>
      </c>
      <c r="F249" s="4">
        <v>4.7039999999999997</v>
      </c>
    </row>
    <row r="250" spans="1:6" x14ac:dyDescent="0.2">
      <c r="A250" s="3">
        <v>49263</v>
      </c>
      <c r="B250" s="4">
        <v>4.25</v>
      </c>
      <c r="C250" s="4">
        <v>96.256</v>
      </c>
      <c r="D250" s="4">
        <v>96.275999999999996</v>
      </c>
      <c r="E250">
        <v>-0.05</v>
      </c>
      <c r="F250" s="4">
        <v>4.7149999999999999</v>
      </c>
    </row>
    <row r="251" spans="1:6" x14ac:dyDescent="0.2">
      <c r="A251" s="3">
        <v>49355</v>
      </c>
      <c r="B251" s="4">
        <v>4.625</v>
      </c>
      <c r="C251" s="4">
        <v>99.08</v>
      </c>
      <c r="D251" s="4">
        <v>99.1</v>
      </c>
      <c r="E251">
        <v>-5.1999999999999998E-2</v>
      </c>
      <c r="F251" s="4">
        <v>4.7240000000000002</v>
      </c>
    </row>
    <row r="252" spans="1:6" x14ac:dyDescent="0.2">
      <c r="A252" s="3">
        <v>49444</v>
      </c>
      <c r="B252" s="4">
        <v>4.25</v>
      </c>
      <c r="C252" s="4">
        <v>96.164000000000001</v>
      </c>
      <c r="D252" s="4">
        <v>96.183999999999997</v>
      </c>
      <c r="E252">
        <v>-0.05</v>
      </c>
      <c r="F252" s="4">
        <v>4.734</v>
      </c>
    </row>
    <row r="253" spans="1:6" x14ac:dyDescent="0.2">
      <c r="A253" s="3">
        <v>49536</v>
      </c>
      <c r="B253" s="4">
        <v>4.25</v>
      </c>
      <c r="C253" s="4">
        <v>96.11</v>
      </c>
      <c r="D253" s="4">
        <v>96.13</v>
      </c>
      <c r="E253">
        <v>-5.1999999999999998E-2</v>
      </c>
      <c r="F253" s="4">
        <v>4.7480000000000002</v>
      </c>
    </row>
    <row r="254" spans="1:6" x14ac:dyDescent="0.2">
      <c r="A254" s="3">
        <v>49628</v>
      </c>
      <c r="B254" s="4">
        <v>4</v>
      </c>
      <c r="C254" s="4">
        <v>94.116</v>
      </c>
      <c r="D254" s="4">
        <v>94.135999999999996</v>
      </c>
      <c r="E254">
        <v>-4.8000000000000001E-2</v>
      </c>
      <c r="F254" s="4">
        <v>4.7549999999999999</v>
      </c>
    </row>
    <row r="255" spans="1:6" x14ac:dyDescent="0.2">
      <c r="A255" s="3">
        <v>49720</v>
      </c>
      <c r="B255" s="4">
        <v>4.125</v>
      </c>
      <c r="C255" s="4">
        <v>95.042000000000002</v>
      </c>
      <c r="D255" s="4">
        <v>95.061999999999998</v>
      </c>
      <c r="E255">
        <v>-4.8000000000000001E-2</v>
      </c>
      <c r="F255" s="4">
        <v>4.7629999999999999</v>
      </c>
    </row>
    <row r="256" spans="1:6" x14ac:dyDescent="0.2">
      <c r="A256" s="3">
        <v>49720</v>
      </c>
      <c r="B256" s="4">
        <v>4.5</v>
      </c>
      <c r="C256" s="4">
        <v>98.22</v>
      </c>
      <c r="D256" s="4">
        <v>98.24</v>
      </c>
      <c r="E256">
        <v>-4.3999999999999997E-2</v>
      </c>
      <c r="F256" s="4">
        <v>4.665</v>
      </c>
    </row>
    <row r="257" spans="1:6" x14ac:dyDescent="0.2">
      <c r="A257" s="3">
        <v>49810</v>
      </c>
      <c r="B257" s="4">
        <v>4.375</v>
      </c>
      <c r="C257" s="4">
        <v>96.281000000000006</v>
      </c>
      <c r="D257" s="4">
        <v>96.301000000000002</v>
      </c>
      <c r="E257">
        <v>-0.72899999999999998</v>
      </c>
      <c r="F257" s="4">
        <v>4.7720000000000002</v>
      </c>
    </row>
    <row r="258" spans="1:6" x14ac:dyDescent="0.2">
      <c r="A258" s="3">
        <v>49902</v>
      </c>
      <c r="B258" s="4">
        <v>4.625</v>
      </c>
      <c r="C258" s="4">
        <v>98.236999999999995</v>
      </c>
      <c r="D258" s="4">
        <v>98.257000000000005</v>
      </c>
      <c r="E258">
        <v>-4.7E-2</v>
      </c>
      <c r="F258" s="4">
        <v>4.7770000000000001</v>
      </c>
    </row>
    <row r="259" spans="1:6" x14ac:dyDescent="0.2">
      <c r="A259" s="3">
        <v>50086</v>
      </c>
      <c r="B259" s="4">
        <v>4.75</v>
      </c>
      <c r="C259" s="4">
        <v>100.01600000000001</v>
      </c>
      <c r="D259" s="4">
        <v>100.036</v>
      </c>
      <c r="E259">
        <v>-4.8000000000000001E-2</v>
      </c>
      <c r="F259" s="4">
        <v>4.7350000000000003</v>
      </c>
    </row>
    <row r="260" spans="1:6" x14ac:dyDescent="0.2">
      <c r="A260" s="3">
        <v>50175</v>
      </c>
      <c r="B260" s="4">
        <v>5</v>
      </c>
      <c r="C260" s="4">
        <v>102.05</v>
      </c>
      <c r="D260" s="4">
        <v>102.07</v>
      </c>
      <c r="E260">
        <v>-0.05</v>
      </c>
      <c r="F260" s="4">
        <v>4.7320000000000002</v>
      </c>
    </row>
    <row r="261" spans="1:6" x14ac:dyDescent="0.2">
      <c r="A261" s="3">
        <v>50451</v>
      </c>
      <c r="B261" s="4">
        <v>4.375</v>
      </c>
      <c r="C261" s="4">
        <v>96.18</v>
      </c>
      <c r="D261" s="4">
        <v>96.2</v>
      </c>
      <c r="E261">
        <v>-3.4000000000000002E-2</v>
      </c>
      <c r="F261" s="4">
        <v>4.7610000000000001</v>
      </c>
    </row>
    <row r="262" spans="1:6" x14ac:dyDescent="0.2">
      <c r="A262" s="3">
        <v>50540</v>
      </c>
      <c r="B262" s="4">
        <v>4.5</v>
      </c>
      <c r="C262" s="4">
        <v>97.091999999999999</v>
      </c>
      <c r="D262" s="4">
        <v>97.111999999999995</v>
      </c>
      <c r="E262">
        <v>-3.4000000000000002E-2</v>
      </c>
      <c r="F262" s="4">
        <v>4.798</v>
      </c>
    </row>
    <row r="263" spans="1:6" x14ac:dyDescent="0.2">
      <c r="A263" s="3">
        <v>50816</v>
      </c>
      <c r="B263" s="4">
        <v>3.5</v>
      </c>
      <c r="C263" s="4">
        <v>87.12</v>
      </c>
      <c r="D263" s="4">
        <v>87.14</v>
      </c>
      <c r="E263">
        <v>-0.03</v>
      </c>
      <c r="F263" s="4">
        <v>4.8579999999999997</v>
      </c>
    </row>
    <row r="264" spans="1:6" x14ac:dyDescent="0.2">
      <c r="A264" s="3">
        <v>50905</v>
      </c>
      <c r="B264" s="4">
        <v>4.25</v>
      </c>
      <c r="C264" s="4">
        <v>93.263999999999996</v>
      </c>
      <c r="D264" s="4">
        <v>93.284000000000006</v>
      </c>
      <c r="E264">
        <v>-2.8000000000000001E-2</v>
      </c>
      <c r="F264" s="4">
        <v>4.9020000000000001</v>
      </c>
    </row>
    <row r="265" spans="1:6" x14ac:dyDescent="0.2">
      <c r="A265" s="3">
        <v>50997</v>
      </c>
      <c r="B265" s="4">
        <v>4.5</v>
      </c>
      <c r="C265" s="4">
        <v>95.263999999999996</v>
      </c>
      <c r="D265" s="4">
        <v>95.284000000000006</v>
      </c>
      <c r="E265">
        <v>-2.8000000000000001E-2</v>
      </c>
      <c r="F265" s="4">
        <v>4.9329999999999998</v>
      </c>
    </row>
    <row r="266" spans="1:6" x14ac:dyDescent="0.2">
      <c r="A266" s="3">
        <v>51089</v>
      </c>
      <c r="B266" s="4">
        <v>4.375</v>
      </c>
      <c r="C266" s="4">
        <v>94.11</v>
      </c>
      <c r="D266" s="4">
        <v>94.13</v>
      </c>
      <c r="E266">
        <v>-0.03</v>
      </c>
      <c r="F266" s="4">
        <v>4.9569999999999999</v>
      </c>
    </row>
    <row r="267" spans="1:6" x14ac:dyDescent="0.2">
      <c r="A267" s="3">
        <v>51181</v>
      </c>
      <c r="B267" s="4">
        <v>4.625</v>
      </c>
      <c r="C267" s="4">
        <v>96.201999999999998</v>
      </c>
      <c r="D267" s="4">
        <v>96.221999999999994</v>
      </c>
      <c r="E267">
        <v>-0.02</v>
      </c>
      <c r="F267" s="4">
        <v>4.9649999999999999</v>
      </c>
    </row>
    <row r="268" spans="1:6" x14ac:dyDescent="0.2">
      <c r="A268" s="3">
        <v>51271</v>
      </c>
      <c r="B268" s="4">
        <v>1.125</v>
      </c>
      <c r="C268" s="4">
        <v>61.155999999999999</v>
      </c>
      <c r="D268" s="4">
        <v>61.176000000000002</v>
      </c>
      <c r="E268">
        <v>-0.01</v>
      </c>
      <c r="F268" s="4">
        <v>5.05</v>
      </c>
    </row>
    <row r="269" spans="1:6" x14ac:dyDescent="0.2">
      <c r="A269" s="3">
        <v>51271</v>
      </c>
      <c r="B269" s="4">
        <v>4.375</v>
      </c>
      <c r="C269" s="4">
        <v>93.305999999999997</v>
      </c>
      <c r="D269" s="4">
        <v>94.006</v>
      </c>
      <c r="E269">
        <v>-0.69799999999999995</v>
      </c>
      <c r="F269" s="4">
        <v>4.9820000000000002</v>
      </c>
    </row>
    <row r="270" spans="1:6" x14ac:dyDescent="0.2">
      <c r="A270" s="3">
        <v>51363</v>
      </c>
      <c r="B270" s="4">
        <v>1.125</v>
      </c>
      <c r="C270" s="4">
        <v>60.274000000000001</v>
      </c>
      <c r="D270" s="4">
        <v>60.293999999999997</v>
      </c>
      <c r="E270" t="s">
        <v>10</v>
      </c>
      <c r="F270" s="4">
        <v>5.069</v>
      </c>
    </row>
    <row r="271" spans="1:6" x14ac:dyDescent="0.2">
      <c r="A271" s="3">
        <v>51363</v>
      </c>
      <c r="B271" s="4">
        <v>3.875</v>
      </c>
      <c r="C271" s="4">
        <v>88.221999999999994</v>
      </c>
      <c r="D271" s="4">
        <v>88.242000000000004</v>
      </c>
      <c r="E271">
        <v>-1.4E-2</v>
      </c>
      <c r="F271" s="4">
        <v>5.0049999999999999</v>
      </c>
    </row>
    <row r="272" spans="1:6" x14ac:dyDescent="0.2">
      <c r="A272" s="3">
        <v>51455</v>
      </c>
      <c r="B272" s="4">
        <v>1.375</v>
      </c>
      <c r="C272" s="4">
        <v>62.241999999999997</v>
      </c>
      <c r="D272" s="4">
        <v>62.262</v>
      </c>
      <c r="E272">
        <v>-2E-3</v>
      </c>
      <c r="F272" s="4">
        <v>5.0860000000000003</v>
      </c>
    </row>
    <row r="273" spans="1:6" x14ac:dyDescent="0.2">
      <c r="A273" s="3">
        <v>51455</v>
      </c>
      <c r="B273" s="4">
        <v>4.25</v>
      </c>
      <c r="C273" s="4">
        <v>92.061999999999998</v>
      </c>
      <c r="D273" s="4">
        <v>92.081999999999994</v>
      </c>
      <c r="E273">
        <v>-1.4E-2</v>
      </c>
      <c r="F273" s="4">
        <v>5.0190000000000001</v>
      </c>
    </row>
    <row r="274" spans="1:6" x14ac:dyDescent="0.2">
      <c r="A274" s="3">
        <v>51547</v>
      </c>
      <c r="B274" s="4">
        <v>1.875</v>
      </c>
      <c r="C274" s="4">
        <v>67.11</v>
      </c>
      <c r="D274" s="4">
        <v>67.13</v>
      </c>
      <c r="E274">
        <v>6.0000000000000001E-3</v>
      </c>
      <c r="F274" s="4">
        <v>5.0910000000000002</v>
      </c>
    </row>
    <row r="275" spans="1:6" x14ac:dyDescent="0.2">
      <c r="A275" s="3">
        <v>51547</v>
      </c>
      <c r="B275" s="4">
        <v>4.75</v>
      </c>
      <c r="C275" s="4">
        <v>97.004000000000005</v>
      </c>
      <c r="D275" s="4">
        <v>97.024000000000001</v>
      </c>
      <c r="E275">
        <v>-2.1999999999999999E-2</v>
      </c>
      <c r="F275" s="4">
        <v>5.0369999999999999</v>
      </c>
    </row>
    <row r="276" spans="1:6" x14ac:dyDescent="0.2">
      <c r="A276" s="3">
        <v>51636</v>
      </c>
      <c r="B276" s="4">
        <v>2.25</v>
      </c>
      <c r="C276" s="4">
        <v>70.22</v>
      </c>
      <c r="D276" s="4">
        <v>70.239999999999995</v>
      </c>
      <c r="E276">
        <v>-6.0000000000000001E-3</v>
      </c>
      <c r="F276" s="4">
        <v>5.1050000000000004</v>
      </c>
    </row>
    <row r="277" spans="1:6" x14ac:dyDescent="0.2">
      <c r="A277" s="3">
        <v>51636</v>
      </c>
      <c r="B277" s="4">
        <v>4.375</v>
      </c>
      <c r="C277" s="4">
        <v>92.3</v>
      </c>
      <c r="D277" s="4">
        <v>93</v>
      </c>
      <c r="E277">
        <v>-0.01</v>
      </c>
      <c r="F277" s="4">
        <v>5.0549999999999997</v>
      </c>
    </row>
    <row r="278" spans="1:6" x14ac:dyDescent="0.2">
      <c r="A278" s="3">
        <v>51728</v>
      </c>
      <c r="B278" s="4">
        <v>1.75</v>
      </c>
      <c r="C278" s="4">
        <v>64.304000000000002</v>
      </c>
      <c r="D278" s="4">
        <v>65.004000000000005</v>
      </c>
      <c r="E278">
        <v>-8.0000000000000002E-3</v>
      </c>
      <c r="F278" s="4">
        <v>5.1319999999999997</v>
      </c>
    </row>
    <row r="279" spans="1:6" x14ac:dyDescent="0.2">
      <c r="A279" s="3">
        <v>51728</v>
      </c>
      <c r="B279" s="4">
        <v>3.75</v>
      </c>
      <c r="C279" s="4">
        <v>86.036000000000001</v>
      </c>
      <c r="D279" s="4">
        <v>86.055999999999997</v>
      </c>
      <c r="E279">
        <v>-1.6E-2</v>
      </c>
      <c r="F279" s="4">
        <v>5.0810000000000004</v>
      </c>
    </row>
    <row r="280" spans="1:6" x14ac:dyDescent="0.2">
      <c r="A280" s="3">
        <v>51820</v>
      </c>
      <c r="B280" s="4">
        <v>3.125</v>
      </c>
      <c r="C280" s="4">
        <v>79.043999999999997</v>
      </c>
      <c r="D280" s="4">
        <v>79.063999999999993</v>
      </c>
      <c r="E280" t="s">
        <v>10</v>
      </c>
      <c r="F280" s="4">
        <v>5.1100000000000003</v>
      </c>
    </row>
    <row r="281" spans="1:6" x14ac:dyDescent="0.2">
      <c r="A281" s="3">
        <v>51835</v>
      </c>
      <c r="B281" s="4">
        <v>2</v>
      </c>
      <c r="C281" s="4">
        <v>67.016000000000005</v>
      </c>
      <c r="D281" s="4">
        <v>67.036000000000001</v>
      </c>
      <c r="E281">
        <v>-8.0000000000000002E-3</v>
      </c>
      <c r="F281" s="4">
        <v>5.1470000000000002</v>
      </c>
    </row>
    <row r="282" spans="1:6" x14ac:dyDescent="0.2">
      <c r="A282" s="3">
        <v>51912</v>
      </c>
      <c r="B282" s="4">
        <v>2.375</v>
      </c>
      <c r="C282" s="4">
        <v>70.191999999999993</v>
      </c>
      <c r="D282" s="4">
        <v>70.212000000000003</v>
      </c>
      <c r="E282">
        <v>2E-3</v>
      </c>
      <c r="F282" s="4">
        <v>5.1539999999999999</v>
      </c>
    </row>
    <row r="283" spans="1:6" x14ac:dyDescent="0.2">
      <c r="A283" s="3">
        <v>51912</v>
      </c>
      <c r="B283" s="4">
        <v>3.125</v>
      </c>
      <c r="C283" s="4">
        <v>78.225999999999999</v>
      </c>
      <c r="D283" s="4">
        <v>78.245999999999995</v>
      </c>
      <c r="E283">
        <v>-4.0000000000000001E-3</v>
      </c>
      <c r="F283" s="4">
        <v>5.133</v>
      </c>
    </row>
    <row r="284" spans="1:6" x14ac:dyDescent="0.2">
      <c r="A284" s="3">
        <v>52001</v>
      </c>
      <c r="B284" s="4">
        <v>3</v>
      </c>
      <c r="C284" s="4">
        <v>76.311999999999998</v>
      </c>
      <c r="D284" s="4">
        <v>77.012</v>
      </c>
      <c r="E284">
        <v>-4.0000000000000001E-3</v>
      </c>
      <c r="F284" s="4">
        <v>5.1509999999999998</v>
      </c>
    </row>
    <row r="285" spans="1:6" x14ac:dyDescent="0.2">
      <c r="A285" s="3">
        <v>52001</v>
      </c>
      <c r="B285" s="4">
        <v>3.25</v>
      </c>
      <c r="C285" s="4">
        <v>79.209999999999994</v>
      </c>
      <c r="D285" s="4">
        <v>79.23</v>
      </c>
      <c r="E285">
        <v>-2E-3</v>
      </c>
      <c r="F285" s="4">
        <v>5.15</v>
      </c>
    </row>
    <row r="286" spans="1:6" x14ac:dyDescent="0.2">
      <c r="A286" s="3">
        <v>52093</v>
      </c>
      <c r="B286" s="4">
        <v>2.75</v>
      </c>
      <c r="C286" s="4">
        <v>73.272000000000006</v>
      </c>
      <c r="D286" s="4">
        <v>73.292000000000002</v>
      </c>
      <c r="E286">
        <v>-4.0000000000000001E-3</v>
      </c>
      <c r="F286" s="4">
        <v>5.173</v>
      </c>
    </row>
    <row r="287" spans="1:6" x14ac:dyDescent="0.2">
      <c r="A287" s="3">
        <v>52093</v>
      </c>
      <c r="B287" s="4">
        <v>3.375</v>
      </c>
      <c r="C287" s="4">
        <v>80.224000000000004</v>
      </c>
      <c r="D287" s="4">
        <v>80.244</v>
      </c>
      <c r="E287" t="s">
        <v>10</v>
      </c>
      <c r="F287" s="4">
        <v>5.16</v>
      </c>
    </row>
    <row r="288" spans="1:6" x14ac:dyDescent="0.2">
      <c r="A288" s="3">
        <v>52185</v>
      </c>
      <c r="B288" s="4">
        <v>2.75</v>
      </c>
      <c r="C288" s="4">
        <v>73.144000000000005</v>
      </c>
      <c r="D288" s="4">
        <v>73.164000000000001</v>
      </c>
      <c r="E288" t="s">
        <v>10</v>
      </c>
      <c r="F288" s="4">
        <v>5.1879999999999997</v>
      </c>
    </row>
    <row r="289" spans="1:6" x14ac:dyDescent="0.2">
      <c r="A289" s="3">
        <v>52185</v>
      </c>
      <c r="B289" s="4">
        <v>4</v>
      </c>
      <c r="C289" s="4">
        <v>87.072000000000003</v>
      </c>
      <c r="D289" s="4">
        <v>87.091999999999999</v>
      </c>
      <c r="E289">
        <v>-8.0000000000000002E-3</v>
      </c>
      <c r="F289" s="4">
        <v>5.1680000000000001</v>
      </c>
    </row>
    <row r="290" spans="1:6" x14ac:dyDescent="0.2">
      <c r="A290" s="3">
        <v>52277</v>
      </c>
      <c r="B290" s="4">
        <v>3.125</v>
      </c>
      <c r="C290" s="4">
        <v>77.075999999999993</v>
      </c>
      <c r="D290" s="4">
        <v>77.096000000000004</v>
      </c>
      <c r="E290">
        <v>-8.0000000000000002E-3</v>
      </c>
      <c r="F290" s="4">
        <v>5.1950000000000003</v>
      </c>
    </row>
    <row r="291" spans="1:6" x14ac:dyDescent="0.2">
      <c r="A291" s="3">
        <v>52277</v>
      </c>
      <c r="B291" s="4">
        <v>3.875</v>
      </c>
      <c r="C291" s="4">
        <v>85.194000000000003</v>
      </c>
      <c r="D291" s="4">
        <v>85.213999999999999</v>
      </c>
      <c r="E291">
        <v>-2E-3</v>
      </c>
      <c r="F291" s="4">
        <v>5.18</v>
      </c>
    </row>
    <row r="292" spans="1:6" x14ac:dyDescent="0.2">
      <c r="A292" s="3">
        <v>52366</v>
      </c>
      <c r="B292" s="4">
        <v>2.875</v>
      </c>
      <c r="C292" s="4">
        <v>74.042000000000002</v>
      </c>
      <c r="D292" s="4">
        <v>74.061999999999998</v>
      </c>
      <c r="E292">
        <v>-4.0000000000000001E-3</v>
      </c>
      <c r="F292" s="4">
        <v>5.2080000000000002</v>
      </c>
    </row>
    <row r="293" spans="1:6" x14ac:dyDescent="0.2">
      <c r="A293" s="3">
        <v>52366</v>
      </c>
      <c r="B293" s="4">
        <v>3.875</v>
      </c>
      <c r="C293" s="4">
        <v>85.116</v>
      </c>
      <c r="D293" s="4">
        <v>85.135999999999996</v>
      </c>
      <c r="E293" t="s">
        <v>10</v>
      </c>
      <c r="F293" s="4">
        <v>5.19</v>
      </c>
    </row>
    <row r="294" spans="1:6" x14ac:dyDescent="0.2">
      <c r="A294" s="3">
        <v>52458</v>
      </c>
      <c r="B294" s="4">
        <v>3.625</v>
      </c>
      <c r="C294" s="4">
        <v>82.073999999999998</v>
      </c>
      <c r="D294" s="4">
        <v>82.093999999999994</v>
      </c>
      <c r="E294">
        <v>-8.0000000000000002E-3</v>
      </c>
      <c r="F294" s="4">
        <v>5.2110000000000003</v>
      </c>
    </row>
    <row r="295" spans="1:6" x14ac:dyDescent="0.2">
      <c r="A295" s="3">
        <v>52458</v>
      </c>
      <c r="B295" s="4">
        <v>4.375</v>
      </c>
      <c r="C295" s="4">
        <v>90.25</v>
      </c>
      <c r="D295" s="4">
        <v>90.27</v>
      </c>
      <c r="E295">
        <v>-1.2E-2</v>
      </c>
      <c r="F295" s="4">
        <v>5.194</v>
      </c>
    </row>
    <row r="296" spans="1:6" x14ac:dyDescent="0.2">
      <c r="A296" s="3">
        <v>52550</v>
      </c>
      <c r="B296" s="4">
        <v>3.75</v>
      </c>
      <c r="C296" s="4">
        <v>83.144000000000005</v>
      </c>
      <c r="D296" s="4">
        <v>83.164000000000001</v>
      </c>
      <c r="E296">
        <v>-2E-3</v>
      </c>
      <c r="F296" s="4">
        <v>5.2130000000000001</v>
      </c>
    </row>
    <row r="297" spans="1:6" x14ac:dyDescent="0.2">
      <c r="A297" s="3">
        <v>52550</v>
      </c>
      <c r="B297" s="4">
        <v>4.75</v>
      </c>
      <c r="C297" s="4">
        <v>94.296000000000006</v>
      </c>
      <c r="D297" s="4">
        <v>94.316000000000003</v>
      </c>
      <c r="E297">
        <v>-8.0000000000000002E-3</v>
      </c>
      <c r="F297" s="4">
        <v>5.1929999999999996</v>
      </c>
    </row>
    <row r="298" spans="1:6" x14ac:dyDescent="0.2">
      <c r="A298" s="3">
        <v>52642</v>
      </c>
      <c r="B298" s="4">
        <v>3.625</v>
      </c>
      <c r="C298" s="4">
        <v>81.242000000000004</v>
      </c>
      <c r="D298" s="4">
        <v>81.262</v>
      </c>
      <c r="E298">
        <v>-8.0000000000000002E-3</v>
      </c>
      <c r="F298" s="4">
        <v>5.226</v>
      </c>
    </row>
    <row r="299" spans="1:6" x14ac:dyDescent="0.2">
      <c r="A299" s="3">
        <v>52642</v>
      </c>
      <c r="B299" s="4">
        <v>4.5</v>
      </c>
      <c r="C299" s="4">
        <v>91.274000000000001</v>
      </c>
      <c r="D299" s="4">
        <v>91.293999999999997</v>
      </c>
      <c r="E299">
        <v>-0.01</v>
      </c>
      <c r="F299" s="4">
        <v>5.2110000000000003</v>
      </c>
    </row>
    <row r="300" spans="1:6" x14ac:dyDescent="0.2">
      <c r="A300" s="3">
        <v>52732</v>
      </c>
      <c r="B300" s="4">
        <v>3.375</v>
      </c>
      <c r="C300" s="4">
        <v>78.2</v>
      </c>
      <c r="D300" s="4">
        <v>78.22</v>
      </c>
      <c r="E300">
        <v>-1.4E-2</v>
      </c>
      <c r="F300" s="4">
        <v>5.2370000000000001</v>
      </c>
    </row>
    <row r="301" spans="1:6" x14ac:dyDescent="0.2">
      <c r="A301" s="3">
        <v>52732</v>
      </c>
      <c r="B301" s="4">
        <v>4.625</v>
      </c>
      <c r="C301" s="4">
        <v>93.06</v>
      </c>
      <c r="D301" s="4">
        <v>93.08</v>
      </c>
      <c r="E301">
        <v>-0.01</v>
      </c>
      <c r="F301" s="4">
        <v>5.2130000000000001</v>
      </c>
    </row>
    <row r="302" spans="1:6" x14ac:dyDescent="0.2">
      <c r="A302" s="3">
        <v>52824</v>
      </c>
      <c r="B302" s="4">
        <v>3.125</v>
      </c>
      <c r="C302" s="4">
        <v>75.13</v>
      </c>
      <c r="D302" s="4">
        <v>75.150000000000006</v>
      </c>
      <c r="E302">
        <v>-1.4E-2</v>
      </c>
      <c r="F302" s="4">
        <v>5.2530000000000001</v>
      </c>
    </row>
    <row r="303" spans="1:6" x14ac:dyDescent="0.2">
      <c r="A303" s="3">
        <v>52824</v>
      </c>
      <c r="B303" s="4">
        <v>4.125</v>
      </c>
      <c r="C303" s="4">
        <v>87.05</v>
      </c>
      <c r="D303" s="4">
        <v>87.07</v>
      </c>
      <c r="E303">
        <v>-6.0000000000000001E-3</v>
      </c>
      <c r="F303" s="4">
        <v>5.2320000000000002</v>
      </c>
    </row>
    <row r="304" spans="1:6" x14ac:dyDescent="0.2">
      <c r="A304" s="3">
        <v>52916</v>
      </c>
      <c r="B304" s="4">
        <v>3</v>
      </c>
      <c r="C304" s="4">
        <v>73.212000000000003</v>
      </c>
      <c r="D304" s="4">
        <v>73.231999999999999</v>
      </c>
      <c r="E304">
        <v>-4.0000000000000001E-3</v>
      </c>
      <c r="F304" s="4">
        <v>5.2619999999999996</v>
      </c>
    </row>
    <row r="305" spans="1:6" x14ac:dyDescent="0.2">
      <c r="A305" s="3">
        <v>52916</v>
      </c>
      <c r="B305" s="4">
        <v>4.625</v>
      </c>
      <c r="C305" s="4">
        <v>92.29</v>
      </c>
      <c r="D305" s="4">
        <v>92.31</v>
      </c>
      <c r="E305">
        <v>-0.01</v>
      </c>
      <c r="F305" s="4">
        <v>5.2279999999999998</v>
      </c>
    </row>
    <row r="306" spans="1:6" x14ac:dyDescent="0.2">
      <c r="A306" s="3">
        <v>53008</v>
      </c>
      <c r="B306" s="4">
        <v>2.5</v>
      </c>
      <c r="C306" s="4">
        <v>67.134</v>
      </c>
      <c r="D306" s="4">
        <v>67.153999999999996</v>
      </c>
      <c r="E306">
        <v>-2E-3</v>
      </c>
      <c r="F306" s="4">
        <v>5.2809999999999997</v>
      </c>
    </row>
    <row r="307" spans="1:6" x14ac:dyDescent="0.2">
      <c r="A307" s="3">
        <v>53008</v>
      </c>
      <c r="B307" s="4">
        <v>4.75</v>
      </c>
      <c r="C307" s="4">
        <v>94.085999999999999</v>
      </c>
      <c r="D307" s="4">
        <v>94.105999999999995</v>
      </c>
      <c r="E307">
        <v>-0.01</v>
      </c>
      <c r="F307" s="4">
        <v>5.2320000000000002</v>
      </c>
    </row>
    <row r="308" spans="1:6" x14ac:dyDescent="0.2">
      <c r="A308" s="3">
        <v>53097</v>
      </c>
      <c r="B308" s="4">
        <v>3</v>
      </c>
      <c r="C308" s="4">
        <v>73.040000000000006</v>
      </c>
      <c r="D308" s="4">
        <v>73.06</v>
      </c>
      <c r="E308">
        <v>-4.0000000000000001E-3</v>
      </c>
      <c r="F308" s="4">
        <v>5.2729999999999997</v>
      </c>
    </row>
    <row r="309" spans="1:6" x14ac:dyDescent="0.2">
      <c r="A309" s="3">
        <v>53097</v>
      </c>
      <c r="B309" s="4">
        <v>5</v>
      </c>
      <c r="C309" s="4">
        <v>97.055999999999997</v>
      </c>
      <c r="D309" s="4">
        <v>97.075999999999993</v>
      </c>
      <c r="E309">
        <v>-0.01</v>
      </c>
      <c r="F309" s="4">
        <v>5.2320000000000002</v>
      </c>
    </row>
    <row r="310" spans="1:6" x14ac:dyDescent="0.2">
      <c r="A310" s="3">
        <v>53189</v>
      </c>
      <c r="B310" s="4">
        <v>2.875</v>
      </c>
      <c r="C310" s="4">
        <v>71.103999999999999</v>
      </c>
      <c r="D310" s="4">
        <v>71.123999999999995</v>
      </c>
      <c r="E310">
        <v>-2E-3</v>
      </c>
      <c r="F310" s="4">
        <v>5.2839999999999998</v>
      </c>
    </row>
    <row r="311" spans="1:6" x14ac:dyDescent="0.2">
      <c r="A311" s="3">
        <v>53189</v>
      </c>
      <c r="B311" s="4">
        <v>4.875</v>
      </c>
      <c r="C311" s="4">
        <v>95.182000000000002</v>
      </c>
      <c r="D311" s="4">
        <v>95.201999999999998</v>
      </c>
      <c r="E311">
        <v>-1.7999999999999999E-2</v>
      </c>
      <c r="F311" s="4">
        <v>5.2409999999999997</v>
      </c>
    </row>
    <row r="312" spans="1:6" x14ac:dyDescent="0.2">
      <c r="A312" s="3">
        <v>53281</v>
      </c>
      <c r="B312" s="4">
        <v>3</v>
      </c>
      <c r="C312" s="4">
        <v>72.2</v>
      </c>
      <c r="D312" s="4">
        <v>72.22</v>
      </c>
      <c r="E312">
        <v>-2E-3</v>
      </c>
      <c r="F312" s="4">
        <v>5.282</v>
      </c>
    </row>
    <row r="313" spans="1:6" x14ac:dyDescent="0.2">
      <c r="A313" s="3">
        <v>53281</v>
      </c>
      <c r="B313" s="4">
        <v>4.625</v>
      </c>
      <c r="C313" s="4">
        <v>92.144000000000005</v>
      </c>
      <c r="D313" s="4">
        <v>92.164000000000001</v>
      </c>
      <c r="E313">
        <v>-2.1999999999999999E-2</v>
      </c>
      <c r="F313" s="4">
        <v>5.2480000000000002</v>
      </c>
    </row>
    <row r="314" spans="1:6" x14ac:dyDescent="0.2">
      <c r="A314" s="3">
        <v>53373</v>
      </c>
      <c r="B314" s="4">
        <v>2.5</v>
      </c>
      <c r="C314" s="4">
        <v>66.073999999999998</v>
      </c>
      <c r="D314" s="4">
        <v>66.093999999999994</v>
      </c>
      <c r="E314">
        <v>-6.0000000000000001E-3</v>
      </c>
      <c r="F314" s="4">
        <v>5.298</v>
      </c>
    </row>
    <row r="315" spans="1:6" x14ac:dyDescent="0.2">
      <c r="A315" s="3">
        <v>53373</v>
      </c>
      <c r="B315" s="4">
        <v>4.625</v>
      </c>
      <c r="C315" s="4">
        <v>92.122</v>
      </c>
      <c r="D315" s="4">
        <v>92.141999999999996</v>
      </c>
      <c r="E315">
        <v>-1.2E-2</v>
      </c>
      <c r="F315" s="4">
        <v>5.25</v>
      </c>
    </row>
    <row r="316" spans="1:6" x14ac:dyDescent="0.2">
      <c r="A316" s="3">
        <v>53462</v>
      </c>
      <c r="B316" s="4">
        <v>2.5</v>
      </c>
      <c r="C316" s="4">
        <v>65.304000000000002</v>
      </c>
      <c r="D316" s="4">
        <v>66.004000000000005</v>
      </c>
      <c r="E316">
        <v>-0.01</v>
      </c>
      <c r="F316" s="4">
        <v>5.3019999999999996</v>
      </c>
    </row>
    <row r="317" spans="1:6" x14ac:dyDescent="0.2">
      <c r="A317" s="3">
        <v>53462</v>
      </c>
      <c r="B317" s="4">
        <v>5</v>
      </c>
      <c r="C317" s="4">
        <v>96.293000000000006</v>
      </c>
      <c r="D317" s="4">
        <v>96.313000000000002</v>
      </c>
      <c r="E317">
        <v>-1.2999999999999999E-2</v>
      </c>
      <c r="F317" s="4">
        <v>5.2469999999999999</v>
      </c>
    </row>
    <row r="318" spans="1:6" x14ac:dyDescent="0.2">
      <c r="A318" s="3">
        <v>53554</v>
      </c>
      <c r="B318" s="4">
        <v>2.25</v>
      </c>
      <c r="C318" s="4">
        <v>62.182000000000002</v>
      </c>
      <c r="D318" s="4">
        <v>62.201999999999998</v>
      </c>
      <c r="E318">
        <v>-4.0000000000000001E-3</v>
      </c>
      <c r="F318" s="4">
        <v>5.3109999999999999</v>
      </c>
    </row>
    <row r="319" spans="1:6" x14ac:dyDescent="0.2">
      <c r="A319" s="3">
        <v>53554</v>
      </c>
      <c r="B319" s="4">
        <v>5.125</v>
      </c>
      <c r="C319" s="4">
        <v>98.152000000000001</v>
      </c>
      <c r="D319" s="4">
        <v>98.171999999999997</v>
      </c>
      <c r="E319">
        <v>-0.01</v>
      </c>
      <c r="F319" s="4">
        <v>5.2439999999999998</v>
      </c>
    </row>
    <row r="320" spans="1:6" x14ac:dyDescent="0.2">
      <c r="A320" s="3">
        <v>53646</v>
      </c>
      <c r="B320" s="4">
        <v>2.875</v>
      </c>
      <c r="C320" s="4">
        <v>70.025999999999996</v>
      </c>
      <c r="D320" s="4">
        <v>70.046000000000006</v>
      </c>
      <c r="E320">
        <v>-6.0000000000000001E-3</v>
      </c>
      <c r="F320" s="4">
        <v>5.3010000000000002</v>
      </c>
    </row>
    <row r="321" spans="1:6" x14ac:dyDescent="0.2">
      <c r="A321" s="3">
        <v>53738</v>
      </c>
      <c r="B321" s="4">
        <v>3</v>
      </c>
      <c r="C321" s="4">
        <v>71.135999999999996</v>
      </c>
      <c r="D321" s="4">
        <v>71.156000000000006</v>
      </c>
      <c r="E321">
        <v>-0.01</v>
      </c>
      <c r="F321" s="4">
        <v>5.3010000000000002</v>
      </c>
    </row>
    <row r="322" spans="1:6" x14ac:dyDescent="0.2">
      <c r="A322" s="3">
        <v>53827</v>
      </c>
      <c r="B322" s="4">
        <v>3</v>
      </c>
      <c r="C322" s="4">
        <v>71.073999999999998</v>
      </c>
      <c r="D322" s="4">
        <v>71.093999999999994</v>
      </c>
      <c r="E322">
        <v>-8.0000000000000002E-3</v>
      </c>
      <c r="F322" s="4">
        <v>5.3010000000000002</v>
      </c>
    </row>
    <row r="323" spans="1:6" x14ac:dyDescent="0.2">
      <c r="A323" s="3">
        <v>53919</v>
      </c>
      <c r="B323" s="4">
        <v>2.75</v>
      </c>
      <c r="C323" s="4">
        <v>67.254000000000005</v>
      </c>
      <c r="D323" s="4">
        <v>67.274000000000001</v>
      </c>
      <c r="E323">
        <v>-6.0000000000000001E-3</v>
      </c>
      <c r="F323" s="4">
        <v>5.3120000000000003</v>
      </c>
    </row>
    <row r="324" spans="1:6" x14ac:dyDescent="0.2">
      <c r="A324" s="3">
        <v>54011</v>
      </c>
      <c r="B324" s="4">
        <v>2.75</v>
      </c>
      <c r="C324" s="4">
        <v>67.186000000000007</v>
      </c>
      <c r="D324" s="4">
        <v>67.206000000000003</v>
      </c>
      <c r="E324">
        <v>-4.0000000000000001E-3</v>
      </c>
      <c r="F324" s="4">
        <v>5.3120000000000003</v>
      </c>
    </row>
    <row r="325" spans="1:6" x14ac:dyDescent="0.2">
      <c r="A325" s="3">
        <v>54103</v>
      </c>
      <c r="B325" s="4">
        <v>3</v>
      </c>
      <c r="C325" s="4">
        <v>70.171999999999997</v>
      </c>
      <c r="D325" s="4">
        <v>70.191999999999993</v>
      </c>
      <c r="E325">
        <v>-8.0000000000000002E-3</v>
      </c>
      <c r="F325" s="4">
        <v>5.3140000000000001</v>
      </c>
    </row>
    <row r="326" spans="1:6" x14ac:dyDescent="0.2">
      <c r="A326" s="3">
        <v>54193</v>
      </c>
      <c r="B326" s="4">
        <v>3.125</v>
      </c>
      <c r="C326" s="4">
        <v>71.311999999999998</v>
      </c>
      <c r="D326" s="4">
        <v>72.012</v>
      </c>
      <c r="E326">
        <v>-2E-3</v>
      </c>
      <c r="F326" s="4">
        <v>5.3109999999999999</v>
      </c>
    </row>
    <row r="327" spans="1:6" x14ac:dyDescent="0.2">
      <c r="A327" s="3">
        <v>54285</v>
      </c>
      <c r="B327" s="4">
        <v>3</v>
      </c>
      <c r="C327" s="4">
        <v>70.046000000000006</v>
      </c>
      <c r="D327" s="4">
        <v>70.066000000000003</v>
      </c>
      <c r="E327">
        <v>-8.0000000000000002E-3</v>
      </c>
      <c r="F327" s="4">
        <v>5.3159999999999998</v>
      </c>
    </row>
    <row r="328" spans="1:6" x14ac:dyDescent="0.2">
      <c r="A328" s="3">
        <v>54377</v>
      </c>
      <c r="B328" s="4">
        <v>3.375</v>
      </c>
      <c r="C328" s="4">
        <v>74.292000000000002</v>
      </c>
      <c r="D328" s="4">
        <v>74.311999999999998</v>
      </c>
      <c r="E328">
        <v>-4.0000000000000001E-3</v>
      </c>
      <c r="F328" s="4">
        <v>5.3070000000000004</v>
      </c>
    </row>
    <row r="329" spans="1:6" x14ac:dyDescent="0.2">
      <c r="A329" s="3">
        <v>54469</v>
      </c>
      <c r="B329" s="4">
        <v>3</v>
      </c>
      <c r="C329" s="4">
        <v>69.256</v>
      </c>
      <c r="D329" s="4">
        <v>69.275999999999996</v>
      </c>
      <c r="E329">
        <v>2E-3</v>
      </c>
      <c r="F329" s="4">
        <v>5.3150000000000004</v>
      </c>
    </row>
    <row r="330" spans="1:6" x14ac:dyDescent="0.2">
      <c r="A330" s="3">
        <v>54558</v>
      </c>
      <c r="B330" s="4">
        <v>2.875</v>
      </c>
      <c r="C330" s="4">
        <v>67.293999999999997</v>
      </c>
      <c r="D330" s="4">
        <v>67.313999999999993</v>
      </c>
      <c r="E330">
        <v>-0.01</v>
      </c>
      <c r="F330" s="4">
        <v>5.3220000000000001</v>
      </c>
    </row>
    <row r="331" spans="1:6" x14ac:dyDescent="0.2">
      <c r="A331" s="3">
        <v>54650</v>
      </c>
      <c r="B331" s="4">
        <v>2.25</v>
      </c>
      <c r="C331" s="4">
        <v>59.12</v>
      </c>
      <c r="D331" s="4">
        <v>59.14</v>
      </c>
      <c r="E331">
        <v>-4.0000000000000001E-3</v>
      </c>
      <c r="F331" s="4">
        <v>5.3369999999999997</v>
      </c>
    </row>
    <row r="332" spans="1:6" x14ac:dyDescent="0.2">
      <c r="A332" s="3">
        <v>54742</v>
      </c>
      <c r="B332" s="4">
        <v>2.375</v>
      </c>
      <c r="C332" s="4">
        <v>60.276000000000003</v>
      </c>
      <c r="D332" s="4">
        <v>60.295999999999999</v>
      </c>
      <c r="E332">
        <v>2E-3</v>
      </c>
      <c r="F332" s="4">
        <v>5.33</v>
      </c>
    </row>
    <row r="333" spans="1:6" x14ac:dyDescent="0.2">
      <c r="A333" s="3">
        <v>54834</v>
      </c>
      <c r="B333" s="4">
        <v>2</v>
      </c>
      <c r="C333" s="4">
        <v>55.194000000000003</v>
      </c>
      <c r="D333" s="4">
        <v>55.213999999999999</v>
      </c>
      <c r="E333">
        <v>0.01</v>
      </c>
      <c r="F333" s="4">
        <v>5.3369999999999997</v>
      </c>
    </row>
    <row r="334" spans="1:6" x14ac:dyDescent="0.2">
      <c r="A334" s="3">
        <v>54923</v>
      </c>
      <c r="B334" s="4">
        <v>1.25</v>
      </c>
      <c r="C334" s="4">
        <v>45.106000000000002</v>
      </c>
      <c r="D334" s="4">
        <v>45.125999999999998</v>
      </c>
      <c r="E334">
        <v>4.0000000000000001E-3</v>
      </c>
      <c r="F334" s="4">
        <v>5.3390000000000004</v>
      </c>
    </row>
    <row r="335" spans="1:6" x14ac:dyDescent="0.2">
      <c r="A335" s="3">
        <v>55015</v>
      </c>
      <c r="B335" s="4">
        <v>1.375</v>
      </c>
      <c r="C335" s="4">
        <v>46.213999999999999</v>
      </c>
      <c r="D335" s="4">
        <v>46.234000000000002</v>
      </c>
      <c r="E335">
        <v>0.01</v>
      </c>
      <c r="F335" s="4">
        <v>5.3460000000000001</v>
      </c>
    </row>
    <row r="336" spans="1:6" x14ac:dyDescent="0.2">
      <c r="A336" s="3">
        <v>55107</v>
      </c>
      <c r="B336" s="4">
        <v>1.625</v>
      </c>
      <c r="C336" s="4">
        <v>49.244</v>
      </c>
      <c r="D336" s="4">
        <v>49.264000000000003</v>
      </c>
      <c r="E336">
        <v>8.0000000000000002E-3</v>
      </c>
      <c r="F336" s="4">
        <v>5.3460000000000001</v>
      </c>
    </row>
    <row r="337" spans="1:6" x14ac:dyDescent="0.2">
      <c r="A337" s="3">
        <v>55199</v>
      </c>
      <c r="B337" s="4">
        <v>1.875</v>
      </c>
      <c r="C337" s="4">
        <v>52.293999999999997</v>
      </c>
      <c r="D337" s="4">
        <v>52.314</v>
      </c>
      <c r="E337" t="s">
        <v>10</v>
      </c>
      <c r="F337" s="4">
        <v>5.343</v>
      </c>
    </row>
    <row r="338" spans="1:6" x14ac:dyDescent="0.2">
      <c r="A338" s="3">
        <v>55288</v>
      </c>
      <c r="B338" s="4">
        <v>2.375</v>
      </c>
      <c r="C338" s="4">
        <v>59.194000000000003</v>
      </c>
      <c r="D338" s="4">
        <v>59.213999999999999</v>
      </c>
      <c r="E338">
        <v>-6.0000000000000001E-3</v>
      </c>
      <c r="F338" s="4">
        <v>5.3319999999999999</v>
      </c>
    </row>
    <row r="339" spans="1:6" x14ac:dyDescent="0.2">
      <c r="A339" s="3">
        <v>55380</v>
      </c>
      <c r="B339" s="4">
        <v>2</v>
      </c>
      <c r="C339" s="4">
        <v>54.064</v>
      </c>
      <c r="D339" s="4">
        <v>54.084000000000003</v>
      </c>
      <c r="E339">
        <v>0.01</v>
      </c>
      <c r="F339" s="4">
        <v>5.3390000000000004</v>
      </c>
    </row>
    <row r="340" spans="1:6" x14ac:dyDescent="0.2">
      <c r="A340" s="3">
        <v>55472</v>
      </c>
      <c r="B340" s="4">
        <v>1.875</v>
      </c>
      <c r="C340" s="4">
        <v>52.09</v>
      </c>
      <c r="D340" s="4">
        <v>52.11</v>
      </c>
      <c r="E340">
        <v>1.4E-2</v>
      </c>
      <c r="F340" s="4">
        <v>5.3369999999999997</v>
      </c>
    </row>
    <row r="341" spans="1:6" x14ac:dyDescent="0.2">
      <c r="A341" s="3">
        <v>55564</v>
      </c>
      <c r="B341" s="4">
        <v>2.25</v>
      </c>
      <c r="C341" s="4">
        <v>57.103999999999999</v>
      </c>
      <c r="D341" s="4">
        <v>57.124000000000002</v>
      </c>
      <c r="E341">
        <v>8.0000000000000002E-3</v>
      </c>
      <c r="F341" s="4">
        <v>5.3280000000000003</v>
      </c>
    </row>
    <row r="342" spans="1:6" x14ac:dyDescent="0.2">
      <c r="A342" s="3">
        <v>55654</v>
      </c>
      <c r="B342" s="4">
        <v>2.875</v>
      </c>
      <c r="C342" s="4">
        <v>65.316000000000003</v>
      </c>
      <c r="D342" s="4">
        <v>66.016000000000005</v>
      </c>
      <c r="E342">
        <v>6.0000000000000001E-3</v>
      </c>
      <c r="F342" s="4">
        <v>5.3120000000000003</v>
      </c>
    </row>
    <row r="343" spans="1:6" x14ac:dyDescent="0.2">
      <c r="A343" s="3">
        <v>55746</v>
      </c>
      <c r="B343" s="4">
        <v>3</v>
      </c>
      <c r="C343" s="4">
        <v>67.19</v>
      </c>
      <c r="D343" s="4">
        <v>67.209999999999994</v>
      </c>
      <c r="E343" t="s">
        <v>10</v>
      </c>
      <c r="F343" s="4">
        <v>5.3109999999999999</v>
      </c>
    </row>
    <row r="344" spans="1:6" x14ac:dyDescent="0.2">
      <c r="A344" s="3">
        <v>55838</v>
      </c>
      <c r="B344" s="4">
        <v>4</v>
      </c>
      <c r="C344" s="4">
        <v>81.225999999999999</v>
      </c>
      <c r="D344" s="4">
        <v>81.245999999999995</v>
      </c>
      <c r="E344">
        <v>4.0000000000000001E-3</v>
      </c>
      <c r="F344" s="4">
        <v>5.2939999999999996</v>
      </c>
    </row>
    <row r="345" spans="1:6" x14ac:dyDescent="0.2">
      <c r="A345" s="3">
        <v>55930</v>
      </c>
      <c r="B345" s="4">
        <v>3.625</v>
      </c>
      <c r="C345" s="4">
        <v>76.096000000000004</v>
      </c>
      <c r="D345" s="4">
        <v>76.116</v>
      </c>
      <c r="E345">
        <v>4.0000000000000001E-3</v>
      </c>
      <c r="F345" s="4">
        <v>5.2960000000000003</v>
      </c>
    </row>
    <row r="346" spans="1:6" x14ac:dyDescent="0.2">
      <c r="A346" s="3">
        <v>56019</v>
      </c>
      <c r="B346" s="4">
        <v>3.625</v>
      </c>
      <c r="C346" s="4">
        <v>76.069999999999993</v>
      </c>
      <c r="D346" s="4">
        <v>76.09</v>
      </c>
      <c r="E346">
        <v>4.0000000000000001E-3</v>
      </c>
      <c r="F346" s="4">
        <v>5.2939999999999996</v>
      </c>
    </row>
    <row r="347" spans="1:6" x14ac:dyDescent="0.2">
      <c r="A347" s="3">
        <v>56111</v>
      </c>
      <c r="B347" s="4">
        <v>4.125</v>
      </c>
      <c r="C347" s="4">
        <v>83.12</v>
      </c>
      <c r="D347" s="4">
        <v>83.14</v>
      </c>
      <c r="E347" t="s">
        <v>10</v>
      </c>
      <c r="F347" s="4">
        <v>5.2850000000000001</v>
      </c>
    </row>
    <row r="348" spans="1:6" x14ac:dyDescent="0.2">
      <c r="A348" s="3">
        <v>56203</v>
      </c>
      <c r="B348" s="4">
        <v>4.75</v>
      </c>
      <c r="C348" s="4">
        <v>92.126000000000005</v>
      </c>
      <c r="D348" s="4">
        <v>92.146000000000001</v>
      </c>
      <c r="E348">
        <v>-4.0000000000000001E-3</v>
      </c>
      <c r="F348" s="4">
        <v>5.2750000000000004</v>
      </c>
    </row>
    <row r="349" spans="1:6" x14ac:dyDescent="0.2">
      <c r="A349" s="3">
        <v>56295</v>
      </c>
      <c r="B349" s="4">
        <v>4.25</v>
      </c>
      <c r="C349" s="4">
        <v>85.034000000000006</v>
      </c>
      <c r="D349" s="4">
        <v>85.054000000000002</v>
      </c>
      <c r="E349">
        <v>2E-3</v>
      </c>
      <c r="F349" s="4">
        <v>5.2789999999999999</v>
      </c>
    </row>
    <row r="350" spans="1:6" x14ac:dyDescent="0.2">
      <c r="A350" s="3">
        <v>56384</v>
      </c>
      <c r="B350" s="4">
        <v>4.625</v>
      </c>
      <c r="C350" s="4">
        <v>90.194000000000003</v>
      </c>
      <c r="D350" s="4">
        <v>90.213999999999999</v>
      </c>
      <c r="E350">
        <v>-6.0000000000000001E-3</v>
      </c>
      <c r="F350" s="4">
        <v>5.2690000000000001</v>
      </c>
    </row>
    <row r="351" spans="1:6" x14ac:dyDescent="0.2">
      <c r="A351" s="3">
        <v>56476</v>
      </c>
      <c r="B351" s="4">
        <v>4.25</v>
      </c>
      <c r="C351" s="4">
        <v>85.025999999999996</v>
      </c>
      <c r="D351" s="4">
        <v>85.046000000000006</v>
      </c>
      <c r="E351">
        <v>-4.0000000000000001E-3</v>
      </c>
      <c r="F351" s="4">
        <v>5.2720000000000002</v>
      </c>
    </row>
    <row r="352" spans="1:6" x14ac:dyDescent="0.2">
      <c r="A352" s="3">
        <v>56568</v>
      </c>
      <c r="B352" s="4">
        <v>4.5</v>
      </c>
      <c r="C352" s="4">
        <v>88.233999999999995</v>
      </c>
      <c r="D352" s="4">
        <v>88.254000000000005</v>
      </c>
      <c r="E352">
        <v>-2E-3</v>
      </c>
      <c r="F352" s="4">
        <v>5.2670000000000003</v>
      </c>
    </row>
    <row r="353" spans="1:6" x14ac:dyDescent="0.2">
      <c r="A353" s="3">
        <v>56660</v>
      </c>
      <c r="B353" s="4">
        <v>4.625</v>
      </c>
      <c r="C353" s="4">
        <v>90.191999999999993</v>
      </c>
      <c r="D353" s="4">
        <v>90.212000000000003</v>
      </c>
      <c r="E353">
        <v>8.0000000000000002E-3</v>
      </c>
      <c r="F353" s="4">
        <v>5.2610000000000001</v>
      </c>
    </row>
    <row r="354" spans="1:6" x14ac:dyDescent="0.2">
      <c r="A354" s="3">
        <v>56749</v>
      </c>
      <c r="B354" s="4">
        <v>4.75</v>
      </c>
      <c r="C354" s="4">
        <v>92.135999999999996</v>
      </c>
      <c r="D354" s="4">
        <v>92.156000000000006</v>
      </c>
      <c r="E354" t="s">
        <v>10</v>
      </c>
      <c r="F354" s="4">
        <v>5.2590000000000003</v>
      </c>
    </row>
    <row r="355" spans="1:6" x14ac:dyDescent="0.2">
      <c r="A355" s="3">
        <v>56841</v>
      </c>
      <c r="B355" s="4">
        <v>4.75</v>
      </c>
      <c r="C355" s="4">
        <v>92.134</v>
      </c>
      <c r="D355" s="4">
        <v>92.153999999999996</v>
      </c>
      <c r="E355">
        <v>-8.0000000000000002E-3</v>
      </c>
      <c r="F355" s="4">
        <v>5.258</v>
      </c>
    </row>
    <row r="356" spans="1:6" x14ac:dyDescent="0.2">
      <c r="A356" s="3">
        <v>56933</v>
      </c>
      <c r="B356" s="4">
        <v>4.625</v>
      </c>
      <c r="C356" s="4">
        <v>90.183999999999997</v>
      </c>
      <c r="D356" s="4">
        <v>90.203999999999994</v>
      </c>
      <c r="E356">
        <v>-0.01</v>
      </c>
      <c r="F356" s="4">
        <v>5.2549999999999999</v>
      </c>
    </row>
    <row r="357" spans="1:6" x14ac:dyDescent="0.2">
      <c r="A357" s="3">
        <v>57025</v>
      </c>
      <c r="B357" s="4">
        <v>4.75</v>
      </c>
      <c r="C357" s="4">
        <v>92.156000000000006</v>
      </c>
      <c r="D357" s="4">
        <v>92.176000000000002</v>
      </c>
      <c r="E357">
        <v>-8.0000000000000002E-3</v>
      </c>
      <c r="F357" s="4">
        <v>5.2489999999999997</v>
      </c>
    </row>
    <row r="358" spans="1:6" x14ac:dyDescent="0.2">
      <c r="A358" s="3">
        <v>57115</v>
      </c>
      <c r="B358" s="4">
        <v>5</v>
      </c>
      <c r="C358" s="4">
        <v>96.09</v>
      </c>
      <c r="D358" s="4">
        <v>96.11</v>
      </c>
      <c r="E358">
        <v>-4.0000000000000001E-3</v>
      </c>
      <c r="F358" s="4">
        <v>5.2439999999999998</v>
      </c>
    </row>
    <row r="359" spans="1:6" x14ac:dyDescent="0.2">
      <c r="A359" s="3">
        <v>57207</v>
      </c>
      <c r="B359" s="4">
        <v>5.125</v>
      </c>
      <c r="C359" s="4">
        <v>98.06</v>
      </c>
      <c r="D359" s="4">
        <v>98.08</v>
      </c>
      <c r="E359" t="s">
        <v>10</v>
      </c>
      <c r="F359" s="4">
        <v>5.2409999999999997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62"/>
  <sheetViews>
    <sheetView workbookViewId="0">
      <pane xSplit="2" ySplit="7" topLeftCell="C8" activePane="bottomRight" state="frozen"/>
      <selection pane="topRight"/>
      <selection pane="bottomLeft"/>
      <selection pane="bottomRight"/>
    </sheetView>
  </sheetViews>
  <sheetFormatPr baseColWidth="10" defaultColWidth="8.83203125" defaultRowHeight="15" x14ac:dyDescent="0.2"/>
  <cols>
    <col min="1" max="1" width="11" customWidth="1"/>
    <col min="2" max="4" width="9" customWidth="1"/>
    <col min="5" max="5" width="10" customWidth="1"/>
    <col min="6" max="8" width="11" customWidth="1"/>
    <col min="9" max="10" width="8" customWidth="1"/>
    <col min="11" max="13" width="10" customWidth="1"/>
    <col min="14" max="15" width="9" customWidth="1"/>
    <col min="16" max="16" width="8" customWidth="1"/>
    <col min="17" max="17" width="9" customWidth="1"/>
    <col min="18" max="18" width="8" customWidth="1"/>
    <col min="19" max="20" width="11" customWidth="1"/>
    <col min="21" max="22" width="10" customWidth="1"/>
    <col min="23" max="23" width="9" customWidth="1"/>
    <col min="24" max="24" width="10" customWidth="1"/>
    <col min="25" max="25" width="11" customWidth="1"/>
  </cols>
  <sheetData>
    <row r="1" spans="1:25" ht="19" x14ac:dyDescent="0.25">
      <c r="A1" s="1" t="s">
        <v>11</v>
      </c>
    </row>
    <row r="2" spans="1:25" x14ac:dyDescent="0.2">
      <c r="A2" t="s">
        <v>12</v>
      </c>
      <c r="B2" s="5">
        <v>46269</v>
      </c>
    </row>
    <row r="3" spans="1:25" x14ac:dyDescent="0.2">
      <c r="A3" t="s">
        <v>13</v>
      </c>
      <c r="B3" s="3">
        <f>WORKDAY(B2,1,B4)</f>
        <v>46273</v>
      </c>
    </row>
    <row r="4" spans="1:25" x14ac:dyDescent="0.2">
      <c r="A4" t="s">
        <v>14</v>
      </c>
      <c r="B4" s="5">
        <v>46272</v>
      </c>
    </row>
    <row r="5" spans="1:25" x14ac:dyDescent="0.2">
      <c r="A5" t="s">
        <v>15</v>
      </c>
      <c r="B5" s="6">
        <v>0.25</v>
      </c>
    </row>
    <row r="7" spans="1:25" ht="44" customHeight="1" x14ac:dyDescent="0.2">
      <c r="A7" s="2" t="s">
        <v>4</v>
      </c>
      <c r="B7" s="2" t="s">
        <v>16</v>
      </c>
      <c r="C7" s="2" t="s">
        <v>17</v>
      </c>
      <c r="D7" s="2" t="s">
        <v>18</v>
      </c>
      <c r="E7" s="2" t="s">
        <v>19</v>
      </c>
      <c r="F7" s="2" t="s">
        <v>20</v>
      </c>
      <c r="G7" s="2" t="s">
        <v>21</v>
      </c>
      <c r="H7" s="2" t="s">
        <v>22</v>
      </c>
      <c r="I7" s="2" t="s">
        <v>23</v>
      </c>
      <c r="J7" s="2" t="s">
        <v>24</v>
      </c>
      <c r="K7" s="2" t="s">
        <v>25</v>
      </c>
      <c r="L7" s="2" t="s">
        <v>26</v>
      </c>
      <c r="M7" s="2" t="s">
        <v>27</v>
      </c>
      <c r="N7" s="2" t="s">
        <v>28</v>
      </c>
      <c r="O7" s="2" t="s">
        <v>29</v>
      </c>
      <c r="P7" s="2" t="s">
        <v>30</v>
      </c>
      <c r="Q7" s="2" t="s">
        <v>31</v>
      </c>
      <c r="R7" s="2" t="s">
        <v>32</v>
      </c>
      <c r="S7" s="2" t="s">
        <v>33</v>
      </c>
      <c r="T7" s="2" t="s">
        <v>34</v>
      </c>
      <c r="U7" s="2" t="s">
        <v>35</v>
      </c>
      <c r="V7" s="2" t="s">
        <v>36</v>
      </c>
      <c r="W7" s="2" t="s">
        <v>37</v>
      </c>
      <c r="X7" s="2" t="s">
        <v>38</v>
      </c>
      <c r="Y7" s="2" t="s">
        <v>39</v>
      </c>
    </row>
    <row r="8" spans="1:25" x14ac:dyDescent="0.2">
      <c r="A8" s="3">
        <f>Data!A7</f>
        <v>46280</v>
      </c>
      <c r="B8" s="4">
        <f>Data!B7</f>
        <v>4.625</v>
      </c>
      <c r="C8" s="4">
        <f>Data!C7</f>
        <v>100</v>
      </c>
      <c r="D8" s="4">
        <f>Data!D7</f>
        <v>100.01</v>
      </c>
      <c r="E8" s="4">
        <f>Data!F7</f>
        <v>2.9369999999999998</v>
      </c>
      <c r="F8" s="7">
        <f t="shared" ref="F8:F71" si="0">INT(D8)+(INT(MOD(ROUND(D8*1000,0),1000)/10)+MOD(ROUND(D8*1000,0),10)/8)/32</f>
        <v>100.03125</v>
      </c>
      <c r="G8" s="3">
        <f t="shared" ref="G8:G71" si="1">COUPPCD(Settle,A8,2,1)</f>
        <v>46096</v>
      </c>
      <c r="H8" s="3">
        <f t="shared" ref="H8:H71" si="2">COUPNCD(Settle,A8,2,1)</f>
        <v>46280</v>
      </c>
      <c r="I8">
        <f t="shared" ref="I8:I71" si="3">Settle-G8</f>
        <v>177</v>
      </c>
      <c r="J8">
        <f t="shared" ref="J8:J71" si="4">H8-G8</f>
        <v>184</v>
      </c>
      <c r="K8" s="7">
        <f t="shared" ref="K8:K71" si="5">B8/2*I8/J8</f>
        <v>2.2245244565217392</v>
      </c>
      <c r="L8" s="7">
        <f t="shared" ref="L8:L71" si="6">F8+K8</f>
        <v>102.25577445652173</v>
      </c>
      <c r="M8" s="4">
        <f t="shared" ref="M8:M71" si="7">YIELD(Settle,A8,B8/100,F8,100,2,1)*100</f>
        <v>2.9163564336515968</v>
      </c>
      <c r="N8" s="8">
        <f t="shared" ref="N8:N71" si="8">(M8-E8)*100</f>
        <v>-2.0643566348403031</v>
      </c>
      <c r="O8" s="4">
        <f t="shared" ref="O8:O71" si="9">MDURATION(Settle,A8,B8/100,M8/100,2,1)</f>
        <v>1.8748354706097266E-2</v>
      </c>
      <c r="P8">
        <f t="shared" ref="P8:P71" si="10">COUPNUM(Settle,A8,2,1)</f>
        <v>1</v>
      </c>
      <c r="Q8" s="4">
        <f t="shared" ref="Q8:Q71" si="11">(A8-Settle)/365</f>
        <v>1.9178082191780823E-2</v>
      </c>
      <c r="R8">
        <f t="shared" ref="R8:R71" si="12">IF(Q8&gt;=MinYears,1,0)</f>
        <v>0</v>
      </c>
      <c r="S8" s="7">
        <f>SUM(CashFlows!BN8:DU8)</f>
        <v>102.24106553069922</v>
      </c>
      <c r="T8" s="7">
        <f t="shared" ref="T8:T71" si="13">S8-K8</f>
        <v>100.01654107417748</v>
      </c>
      <c r="U8" s="7">
        <f t="shared" ref="U8:U71" si="14">T8-F8</f>
        <v>-1.4708925822517926E-2</v>
      </c>
      <c r="V8" s="4">
        <f t="shared" ref="V8:V71" si="15">YIELD(Settle,A8,B8/100,T8,100,2,1)*100</f>
        <v>3.6730956205226839</v>
      </c>
      <c r="W8" s="8">
        <f t="shared" ref="W8:W71" si="16">(V8-M8)*100</f>
        <v>75.67391868710871</v>
      </c>
      <c r="X8" s="9">
        <f t="shared" ref="X8:X71" si="17">(S8-L8)/(L8*O8)</f>
        <v>-7.672377340771851E-3</v>
      </c>
      <c r="Y8" s="10">
        <f t="shared" ref="Y8:Y71" si="18">R8*X8^2</f>
        <v>0</v>
      </c>
    </row>
    <row r="9" spans="1:25" x14ac:dyDescent="0.2">
      <c r="A9" s="3">
        <f>Data!A8</f>
        <v>46295</v>
      </c>
      <c r="B9" s="4">
        <f>Data!B8</f>
        <v>0.875</v>
      </c>
      <c r="C9" s="4">
        <f>Data!C8</f>
        <v>99.256</v>
      </c>
      <c r="D9" s="4">
        <f>Data!D8</f>
        <v>99.266000000000005</v>
      </c>
      <c r="E9" s="4">
        <f>Data!F8</f>
        <v>3.625</v>
      </c>
      <c r="F9" s="7">
        <f t="shared" si="0"/>
        <v>99.8359375</v>
      </c>
      <c r="G9" s="3">
        <f t="shared" si="1"/>
        <v>46112</v>
      </c>
      <c r="H9" s="3">
        <f t="shared" si="2"/>
        <v>46295</v>
      </c>
      <c r="I9">
        <f t="shared" si="3"/>
        <v>161</v>
      </c>
      <c r="J9">
        <f t="shared" si="4"/>
        <v>183</v>
      </c>
      <c r="K9" s="7">
        <f t="shared" si="5"/>
        <v>0.38490437158469948</v>
      </c>
      <c r="L9" s="7">
        <f t="shared" si="6"/>
        <v>100.2208418715847</v>
      </c>
      <c r="M9" s="4">
        <f t="shared" si="7"/>
        <v>3.5964609174897766</v>
      </c>
      <c r="N9" s="8">
        <f t="shared" si="8"/>
        <v>-2.8539082510223412</v>
      </c>
      <c r="O9" s="4">
        <f t="shared" si="9"/>
        <v>5.9047479849707582E-2</v>
      </c>
      <c r="P9">
        <f t="shared" si="10"/>
        <v>1</v>
      </c>
      <c r="Q9" s="4">
        <f t="shared" si="11"/>
        <v>6.0273972602739728E-2</v>
      </c>
      <c r="R9">
        <f t="shared" si="12"/>
        <v>0</v>
      </c>
      <c r="S9" s="7">
        <f>SUM(CashFlows!BN9:DU9)</f>
        <v>100.21547503952706</v>
      </c>
      <c r="T9" s="7">
        <f t="shared" si="13"/>
        <v>99.830570667942368</v>
      </c>
      <c r="U9" s="7">
        <f t="shared" si="14"/>
        <v>-5.3668320576321094E-3</v>
      </c>
      <c r="V9" s="4">
        <f t="shared" si="15"/>
        <v>3.6857461158771074</v>
      </c>
      <c r="W9" s="8">
        <f t="shared" si="16"/>
        <v>8.9285198387330844</v>
      </c>
      <c r="X9" s="9">
        <f t="shared" si="17"/>
        <v>-9.0689830893234005E-4</v>
      </c>
      <c r="Y9" s="10">
        <f t="shared" si="18"/>
        <v>0</v>
      </c>
    </row>
    <row r="10" spans="1:25" x14ac:dyDescent="0.2">
      <c r="A10" s="3">
        <f>Data!A9</f>
        <v>46295</v>
      </c>
      <c r="B10" s="4">
        <f>Data!B9</f>
        <v>1.625</v>
      </c>
      <c r="C10" s="4">
        <f>Data!C9</f>
        <v>99.275999999999996</v>
      </c>
      <c r="D10" s="4">
        <f>Data!D9</f>
        <v>99.286000000000001</v>
      </c>
      <c r="E10" s="4">
        <f>Data!F9</f>
        <v>3.3180000000000001</v>
      </c>
      <c r="F10" s="7">
        <f t="shared" si="0"/>
        <v>99.8984375</v>
      </c>
      <c r="G10" s="3">
        <f t="shared" si="1"/>
        <v>46112</v>
      </c>
      <c r="H10" s="3">
        <f t="shared" si="2"/>
        <v>46295</v>
      </c>
      <c r="I10">
        <f t="shared" si="3"/>
        <v>161</v>
      </c>
      <c r="J10">
        <f t="shared" si="4"/>
        <v>183</v>
      </c>
      <c r="K10" s="7">
        <f t="shared" si="5"/>
        <v>0.71482240437158473</v>
      </c>
      <c r="L10" s="7">
        <f t="shared" si="6"/>
        <v>100.61325990437159</v>
      </c>
      <c r="M10" s="4">
        <f t="shared" si="7"/>
        <v>3.2944272802295109</v>
      </c>
      <c r="N10" s="8">
        <f t="shared" si="8"/>
        <v>-2.3572719770489137</v>
      </c>
      <c r="O10" s="4">
        <f t="shared" si="9"/>
        <v>5.9135206431044113E-2</v>
      </c>
      <c r="P10">
        <f t="shared" si="10"/>
        <v>1</v>
      </c>
      <c r="Q10" s="4">
        <f t="shared" si="11"/>
        <v>6.0273972602739728E-2</v>
      </c>
      <c r="R10">
        <f t="shared" si="12"/>
        <v>0</v>
      </c>
      <c r="S10" s="7">
        <f>SUM(CashFlows!BN10:DU10)</f>
        <v>100.58964607265536</v>
      </c>
      <c r="T10" s="7">
        <f t="shared" si="13"/>
        <v>99.874823668283767</v>
      </c>
      <c r="U10" s="7">
        <f t="shared" si="14"/>
        <v>-2.361383171623288E-2</v>
      </c>
      <c r="V10" s="4">
        <f t="shared" si="15"/>
        <v>3.6857461158769795</v>
      </c>
      <c r="W10" s="8">
        <f t="shared" si="16"/>
        <v>39.131883564746857</v>
      </c>
      <c r="X10" s="9">
        <f t="shared" si="17"/>
        <v>-3.9688540287591357E-3</v>
      </c>
      <c r="Y10" s="10">
        <f t="shared" si="18"/>
        <v>0</v>
      </c>
    </row>
    <row r="11" spans="1:25" x14ac:dyDescent="0.2">
      <c r="A11" s="3">
        <f>Data!A10</f>
        <v>46295</v>
      </c>
      <c r="B11" s="4">
        <f>Data!B10</f>
        <v>3.5</v>
      </c>
      <c r="C11" s="4">
        <f>Data!C10</f>
        <v>99.305999999999997</v>
      </c>
      <c r="D11" s="4">
        <f>Data!D10</f>
        <v>99.316000000000003</v>
      </c>
      <c r="E11" s="4">
        <f>Data!F10</f>
        <v>3.6030000000000002</v>
      </c>
      <c r="F11" s="7">
        <f t="shared" si="0"/>
        <v>99.9921875</v>
      </c>
      <c r="G11" s="3">
        <f t="shared" si="1"/>
        <v>46112</v>
      </c>
      <c r="H11" s="3">
        <f t="shared" si="2"/>
        <v>46295</v>
      </c>
      <c r="I11">
        <f t="shared" si="3"/>
        <v>161</v>
      </c>
      <c r="J11">
        <f t="shared" si="4"/>
        <v>183</v>
      </c>
      <c r="K11" s="7">
        <f t="shared" si="5"/>
        <v>1.5396174863387979</v>
      </c>
      <c r="L11" s="7">
        <f t="shared" si="6"/>
        <v>101.5318049863388</v>
      </c>
      <c r="M11" s="4">
        <f t="shared" si="7"/>
        <v>3.5752064009869051</v>
      </c>
      <c r="N11" s="8">
        <f t="shared" si="8"/>
        <v>-2.7793599013095083</v>
      </c>
      <c r="O11" s="4">
        <f t="shared" si="9"/>
        <v>5.9053644773507039E-2</v>
      </c>
      <c r="P11">
        <f t="shared" si="10"/>
        <v>1</v>
      </c>
      <c r="Q11" s="4">
        <f t="shared" si="11"/>
        <v>6.0273972602739728E-2</v>
      </c>
      <c r="R11">
        <f t="shared" si="12"/>
        <v>0</v>
      </c>
      <c r="S11" s="7">
        <f>SUM(CashFlows!BN11:DU11)</f>
        <v>101.52507365547608</v>
      </c>
      <c r="T11" s="7">
        <f t="shared" si="13"/>
        <v>99.985456169137279</v>
      </c>
      <c r="U11" s="7">
        <f t="shared" si="14"/>
        <v>-6.731330862720597E-3</v>
      </c>
      <c r="V11" s="4">
        <f t="shared" si="15"/>
        <v>3.6857461158772109</v>
      </c>
      <c r="W11" s="8">
        <f t="shared" si="16"/>
        <v>11.053971489030578</v>
      </c>
      <c r="X11" s="9">
        <f t="shared" si="17"/>
        <v>-1.1226700154544896E-3</v>
      </c>
      <c r="Y11" s="10">
        <f t="shared" si="18"/>
        <v>0</v>
      </c>
    </row>
    <row r="12" spans="1:25" x14ac:dyDescent="0.2">
      <c r="A12" s="3">
        <f>Data!A11</f>
        <v>46310</v>
      </c>
      <c r="B12" s="4">
        <f>Data!B11</f>
        <v>4.625</v>
      </c>
      <c r="C12" s="4">
        <f>Data!C11</f>
        <v>100.02200000000001</v>
      </c>
      <c r="D12" s="4">
        <f>Data!D11</f>
        <v>100.032</v>
      </c>
      <c r="E12" s="4">
        <f>Data!F11</f>
        <v>3.5760000000000001</v>
      </c>
      <c r="F12" s="7">
        <f t="shared" si="0"/>
        <v>100.1015625</v>
      </c>
      <c r="G12" s="3">
        <f t="shared" si="1"/>
        <v>46127</v>
      </c>
      <c r="H12" s="3">
        <f t="shared" si="2"/>
        <v>46310</v>
      </c>
      <c r="I12">
        <f t="shared" si="3"/>
        <v>146</v>
      </c>
      <c r="J12">
        <f t="shared" si="4"/>
        <v>183</v>
      </c>
      <c r="K12" s="7">
        <f t="shared" si="5"/>
        <v>1.8449453551912569</v>
      </c>
      <c r="L12" s="7">
        <f t="shared" si="6"/>
        <v>101.94650785519126</v>
      </c>
      <c r="M12" s="4">
        <f t="shared" si="7"/>
        <v>3.5512297634287338</v>
      </c>
      <c r="N12" s="8">
        <f t="shared" si="8"/>
        <v>-2.4770236571266313</v>
      </c>
      <c r="O12" s="4">
        <f t="shared" si="9"/>
        <v>9.9329192255291771E-2</v>
      </c>
      <c r="P12">
        <f t="shared" si="10"/>
        <v>1</v>
      </c>
      <c r="Q12" s="4">
        <f t="shared" si="11"/>
        <v>0.10136986301369863</v>
      </c>
      <c r="R12">
        <f t="shared" si="12"/>
        <v>0</v>
      </c>
      <c r="S12" s="7">
        <f>SUM(CashFlows!BN12:DU12)</f>
        <v>101.92944057934083</v>
      </c>
      <c r="T12" s="7">
        <f t="shared" si="13"/>
        <v>100.08449522414958</v>
      </c>
      <c r="U12" s="7">
        <f t="shared" si="14"/>
        <v>-1.7067275850422448E-2</v>
      </c>
      <c r="V12" s="4">
        <f t="shared" si="15"/>
        <v>3.7174562675852187</v>
      </c>
      <c r="W12" s="8">
        <f t="shared" si="16"/>
        <v>16.622650415648501</v>
      </c>
      <c r="X12" s="9">
        <f t="shared" si="17"/>
        <v>-1.6854464174565307E-3</v>
      </c>
      <c r="Y12" s="10">
        <f t="shared" si="18"/>
        <v>0</v>
      </c>
    </row>
    <row r="13" spans="1:25" x14ac:dyDescent="0.2">
      <c r="A13" s="3">
        <f>Data!A12</f>
        <v>46326</v>
      </c>
      <c r="B13" s="4">
        <f>Data!B12</f>
        <v>1.125</v>
      </c>
      <c r="C13" s="4">
        <f>Data!C12</f>
        <v>99.186000000000007</v>
      </c>
      <c r="D13" s="4">
        <f>Data!D12</f>
        <v>99.195999999999998</v>
      </c>
      <c r="E13" s="4">
        <f>Data!F12</f>
        <v>3.8079999999999998</v>
      </c>
      <c r="F13" s="7">
        <f t="shared" si="0"/>
        <v>99.6171875</v>
      </c>
      <c r="G13" s="3">
        <f t="shared" si="1"/>
        <v>46142</v>
      </c>
      <c r="H13" s="3">
        <f t="shared" si="2"/>
        <v>46326</v>
      </c>
      <c r="I13">
        <f t="shared" si="3"/>
        <v>131</v>
      </c>
      <c r="J13">
        <f t="shared" si="4"/>
        <v>184</v>
      </c>
      <c r="K13" s="7">
        <f t="shared" si="5"/>
        <v>0.40047554347826086</v>
      </c>
      <c r="L13" s="7">
        <f t="shared" si="6"/>
        <v>100.01766304347827</v>
      </c>
      <c r="M13" s="4">
        <f t="shared" si="7"/>
        <v>3.7823507896600819</v>
      </c>
      <c r="N13" s="8">
        <f t="shared" si="8"/>
        <v>-2.5649210339917961</v>
      </c>
      <c r="O13" s="4">
        <f t="shared" si="9"/>
        <v>0.14134858938700834</v>
      </c>
      <c r="P13">
        <f t="shared" si="10"/>
        <v>1</v>
      </c>
      <c r="Q13" s="4">
        <f t="shared" si="11"/>
        <v>0.14520547945205478</v>
      </c>
      <c r="R13">
        <f t="shared" si="12"/>
        <v>0</v>
      </c>
      <c r="S13" s="7">
        <f>SUM(CashFlows!BN13:DU13)</f>
        <v>100.01931667070539</v>
      </c>
      <c r="T13" s="7">
        <f t="shared" si="13"/>
        <v>99.618841127227128</v>
      </c>
      <c r="U13" s="7">
        <f t="shared" si="14"/>
        <v>1.6536272271281405E-3</v>
      </c>
      <c r="V13" s="4">
        <f t="shared" si="15"/>
        <v>3.7708086841793746</v>
      </c>
      <c r="W13" s="8">
        <f t="shared" si="16"/>
        <v>-1.1542105480707221</v>
      </c>
      <c r="X13" s="9">
        <f t="shared" si="17"/>
        <v>1.1696863795976948E-4</v>
      </c>
      <c r="Y13" s="10">
        <f t="shared" si="18"/>
        <v>0</v>
      </c>
    </row>
    <row r="14" spans="1:25" x14ac:dyDescent="0.2">
      <c r="A14" s="3">
        <f>Data!A13</f>
        <v>46326</v>
      </c>
      <c r="B14" s="4">
        <f>Data!B13</f>
        <v>1.625</v>
      </c>
      <c r="C14" s="4">
        <f>Data!C13</f>
        <v>99.212000000000003</v>
      </c>
      <c r="D14" s="4">
        <f>Data!D13</f>
        <v>99.221999999999994</v>
      </c>
      <c r="E14" s="4">
        <f>Data!F13</f>
        <v>3.7549999999999999</v>
      </c>
      <c r="F14" s="7">
        <f t="shared" si="0"/>
        <v>99.6953125</v>
      </c>
      <c r="G14" s="3">
        <f t="shared" si="1"/>
        <v>46142</v>
      </c>
      <c r="H14" s="3">
        <f t="shared" si="2"/>
        <v>46326</v>
      </c>
      <c r="I14">
        <f t="shared" si="3"/>
        <v>131</v>
      </c>
      <c r="J14">
        <f t="shared" si="4"/>
        <v>184</v>
      </c>
      <c r="K14" s="7">
        <f t="shared" si="5"/>
        <v>0.57846467391304346</v>
      </c>
      <c r="L14" s="7">
        <f t="shared" si="6"/>
        <v>100.27377717391305</v>
      </c>
      <c r="M14" s="4">
        <f t="shared" si="7"/>
        <v>3.7303531822166049</v>
      </c>
      <c r="N14" s="8">
        <f t="shared" si="8"/>
        <v>-2.4646817783394948</v>
      </c>
      <c r="O14" s="4">
        <f t="shared" si="9"/>
        <v>0.14138466544709874</v>
      </c>
      <c r="P14">
        <f t="shared" si="10"/>
        <v>1</v>
      </c>
      <c r="Q14" s="4">
        <f t="shared" si="11"/>
        <v>0.14520547945205478</v>
      </c>
      <c r="R14">
        <f t="shared" si="12"/>
        <v>0</v>
      </c>
      <c r="S14" s="7">
        <f>SUM(CashFlows!BN14:DU14)</f>
        <v>100.26796630817141</v>
      </c>
      <c r="T14" s="7">
        <f t="shared" si="13"/>
        <v>99.689501634258363</v>
      </c>
      <c r="U14" s="7">
        <f t="shared" si="14"/>
        <v>-5.8108657416369169E-3</v>
      </c>
      <c r="V14" s="4">
        <f t="shared" si="15"/>
        <v>3.7708086841792809</v>
      </c>
      <c r="W14" s="8">
        <f t="shared" si="16"/>
        <v>4.0455501962675999</v>
      </c>
      <c r="X14" s="9">
        <f t="shared" si="17"/>
        <v>-4.0987474384973551E-4</v>
      </c>
      <c r="Y14" s="10">
        <f t="shared" si="18"/>
        <v>0</v>
      </c>
    </row>
    <row r="15" spans="1:25" x14ac:dyDescent="0.2">
      <c r="A15" s="3">
        <f>Data!A14</f>
        <v>46326</v>
      </c>
      <c r="B15" s="4">
        <f>Data!B14</f>
        <v>4.125</v>
      </c>
      <c r="C15" s="4">
        <f>Data!C14</f>
        <v>100</v>
      </c>
      <c r="D15" s="4">
        <f>Data!D14</f>
        <v>100.01</v>
      </c>
      <c r="E15" s="4">
        <f>Data!F14</f>
        <v>3.8769999999999998</v>
      </c>
      <c r="F15" s="7">
        <f t="shared" si="0"/>
        <v>100.03125</v>
      </c>
      <c r="G15" s="3">
        <f t="shared" si="1"/>
        <v>46142</v>
      </c>
      <c r="H15" s="3">
        <f t="shared" si="2"/>
        <v>46326</v>
      </c>
      <c r="I15">
        <f t="shared" si="3"/>
        <v>131</v>
      </c>
      <c r="J15">
        <f t="shared" si="4"/>
        <v>184</v>
      </c>
      <c r="K15" s="7">
        <f t="shared" si="5"/>
        <v>1.4684103260869565</v>
      </c>
      <c r="L15" s="7">
        <f t="shared" si="6"/>
        <v>101.49966032608695</v>
      </c>
      <c r="M15" s="4">
        <f t="shared" si="7"/>
        <v>3.8502777796194128</v>
      </c>
      <c r="N15" s="8">
        <f t="shared" si="8"/>
        <v>-2.6722220380587025</v>
      </c>
      <c r="O15" s="4">
        <f t="shared" si="9"/>
        <v>0.14130148920977711</v>
      </c>
      <c r="P15">
        <f t="shared" si="10"/>
        <v>1</v>
      </c>
      <c r="Q15" s="4">
        <f t="shared" si="11"/>
        <v>0.14520547945205478</v>
      </c>
      <c r="R15">
        <f t="shared" si="12"/>
        <v>0</v>
      </c>
      <c r="S15" s="7">
        <f>SUM(CashFlows!BN15:DU15)</f>
        <v>101.51121449550149</v>
      </c>
      <c r="T15" s="7">
        <f t="shared" si="13"/>
        <v>100.04280416941454</v>
      </c>
      <c r="U15" s="7">
        <f t="shared" si="14"/>
        <v>1.1554169414537796E-2</v>
      </c>
      <c r="V15" s="4">
        <f t="shared" si="15"/>
        <v>3.7708086841792792</v>
      </c>
      <c r="W15" s="8">
        <f t="shared" si="16"/>
        <v>-7.9469095440133586</v>
      </c>
      <c r="X15" s="9">
        <f t="shared" si="17"/>
        <v>8.0561473918403014E-4</v>
      </c>
      <c r="Y15" s="10">
        <f t="shared" si="18"/>
        <v>0</v>
      </c>
    </row>
    <row r="16" spans="1:25" x14ac:dyDescent="0.2">
      <c r="A16" s="3">
        <f>Data!A15</f>
        <v>46341</v>
      </c>
      <c r="B16" s="4">
        <f>Data!B15</f>
        <v>2</v>
      </c>
      <c r="C16" s="4">
        <f>Data!C15</f>
        <v>99.203999999999994</v>
      </c>
      <c r="D16" s="4">
        <f>Data!D15</f>
        <v>99.213999999999999</v>
      </c>
      <c r="E16" s="4">
        <f>Data!F15</f>
        <v>3.7869999999999999</v>
      </c>
      <c r="F16" s="7">
        <f t="shared" si="0"/>
        <v>99.671875</v>
      </c>
      <c r="G16" s="3">
        <f t="shared" si="1"/>
        <v>46157</v>
      </c>
      <c r="H16" s="3">
        <f t="shared" si="2"/>
        <v>46341</v>
      </c>
      <c r="I16">
        <f t="shared" si="3"/>
        <v>116</v>
      </c>
      <c r="J16">
        <f t="shared" si="4"/>
        <v>184</v>
      </c>
      <c r="K16" s="7">
        <f t="shared" si="5"/>
        <v>0.63043478260869568</v>
      </c>
      <c r="L16" s="7">
        <f t="shared" si="6"/>
        <v>100.3023097826087</v>
      </c>
      <c r="M16" s="4">
        <f t="shared" si="7"/>
        <v>3.7643552798544775</v>
      </c>
      <c r="N16" s="8">
        <f t="shared" si="8"/>
        <v>-2.2644720145522435</v>
      </c>
      <c r="O16" s="4">
        <f t="shared" si="9"/>
        <v>0.18136892337412749</v>
      </c>
      <c r="P16">
        <f t="shared" si="10"/>
        <v>1</v>
      </c>
      <c r="Q16" s="4">
        <f t="shared" si="11"/>
        <v>0.18630136986301371</v>
      </c>
      <c r="R16">
        <f t="shared" si="12"/>
        <v>0</v>
      </c>
      <c r="S16" s="7">
        <f>SUM(CashFlows!BN16:DU16)</f>
        <v>100.29558384260189</v>
      </c>
      <c r="T16" s="7">
        <f t="shared" si="13"/>
        <v>99.665149059993183</v>
      </c>
      <c r="U16" s="7">
        <f t="shared" si="14"/>
        <v>-6.7259400068166997E-3</v>
      </c>
      <c r="V16" s="4">
        <f t="shared" si="15"/>
        <v>3.8008996536107937</v>
      </c>
      <c r="W16" s="8">
        <f t="shared" si="16"/>
        <v>3.6544373756316251</v>
      </c>
      <c r="X16" s="9">
        <f t="shared" si="17"/>
        <v>-3.6972530857891123E-4</v>
      </c>
      <c r="Y16" s="10">
        <f t="shared" si="18"/>
        <v>0</v>
      </c>
    </row>
    <row r="17" spans="1:25" x14ac:dyDescent="0.2">
      <c r="A17" s="3">
        <f>Data!A16</f>
        <v>46341</v>
      </c>
      <c r="B17" s="4">
        <f>Data!B16</f>
        <v>4.625</v>
      </c>
      <c r="C17" s="4">
        <f>Data!C16</f>
        <v>100.04</v>
      </c>
      <c r="D17" s="4">
        <f>Data!D16</f>
        <v>100.05</v>
      </c>
      <c r="E17" s="4">
        <f>Data!F16</f>
        <v>3.7410000000000001</v>
      </c>
      <c r="F17" s="7">
        <f t="shared" si="0"/>
        <v>100.15625</v>
      </c>
      <c r="G17" s="3">
        <f t="shared" si="1"/>
        <v>46157</v>
      </c>
      <c r="H17" s="3">
        <f t="shared" si="2"/>
        <v>46341</v>
      </c>
      <c r="I17">
        <f t="shared" si="3"/>
        <v>116</v>
      </c>
      <c r="J17">
        <f t="shared" si="4"/>
        <v>184</v>
      </c>
      <c r="K17" s="7">
        <f t="shared" si="5"/>
        <v>1.4578804347826086</v>
      </c>
      <c r="L17" s="7">
        <f t="shared" si="6"/>
        <v>101.61413043478261</v>
      </c>
      <c r="M17" s="4">
        <f t="shared" si="7"/>
        <v>3.7193761817719202</v>
      </c>
      <c r="N17" s="8">
        <f t="shared" si="8"/>
        <v>-2.1623818228079905</v>
      </c>
      <c r="O17" s="4">
        <f t="shared" si="9"/>
        <v>0.18140896772703333</v>
      </c>
      <c r="P17">
        <f t="shared" si="10"/>
        <v>1</v>
      </c>
      <c r="Q17" s="4">
        <f t="shared" si="11"/>
        <v>0.18630136986301371</v>
      </c>
      <c r="R17">
        <f t="shared" si="12"/>
        <v>0</v>
      </c>
      <c r="S17" s="7">
        <f>SUM(CashFlows!BN17:DU17)</f>
        <v>101.5989299197644</v>
      </c>
      <c r="T17" s="7">
        <f t="shared" si="13"/>
        <v>100.14104948498179</v>
      </c>
      <c r="U17" s="7">
        <f t="shared" si="14"/>
        <v>-1.5200515018207739E-2</v>
      </c>
      <c r="V17" s="4">
        <f t="shared" si="15"/>
        <v>3.8008996536108737</v>
      </c>
      <c r="W17" s="8">
        <f t="shared" si="16"/>
        <v>8.1523471838953476</v>
      </c>
      <c r="X17" s="9">
        <f t="shared" si="17"/>
        <v>-8.2460401624814069E-4</v>
      </c>
      <c r="Y17" s="10">
        <f t="shared" si="18"/>
        <v>0</v>
      </c>
    </row>
    <row r="18" spans="1:25" x14ac:dyDescent="0.2">
      <c r="A18" s="3">
        <f>Data!A17</f>
        <v>46341</v>
      </c>
      <c r="B18" s="4">
        <f>Data!B17</f>
        <v>6.5</v>
      </c>
      <c r="C18" s="4">
        <f>Data!C17</f>
        <v>100.13</v>
      </c>
      <c r="D18" s="4">
        <f>Data!D17</f>
        <v>100.14</v>
      </c>
      <c r="E18" s="4">
        <f>Data!F17</f>
        <v>4.0579999999999998</v>
      </c>
      <c r="F18" s="7">
        <f t="shared" si="0"/>
        <v>100.4375</v>
      </c>
      <c r="G18" s="3">
        <f t="shared" si="1"/>
        <v>46157</v>
      </c>
      <c r="H18" s="3">
        <f t="shared" si="2"/>
        <v>46341</v>
      </c>
      <c r="I18">
        <f t="shared" si="3"/>
        <v>116</v>
      </c>
      <c r="J18">
        <f t="shared" si="4"/>
        <v>184</v>
      </c>
      <c r="K18" s="7">
        <f t="shared" si="5"/>
        <v>2.0489130434782608</v>
      </c>
      <c r="L18" s="7">
        <f t="shared" si="6"/>
        <v>102.48641304347827</v>
      </c>
      <c r="M18" s="4">
        <f t="shared" si="7"/>
        <v>4.0320983225585367</v>
      </c>
      <c r="N18" s="8">
        <f t="shared" si="8"/>
        <v>-2.59016774414631</v>
      </c>
      <c r="O18" s="4">
        <f t="shared" si="9"/>
        <v>0.18113092029620309</v>
      </c>
      <c r="P18">
        <f t="shared" si="10"/>
        <v>1</v>
      </c>
      <c r="Q18" s="4">
        <f t="shared" si="11"/>
        <v>0.18630136986301371</v>
      </c>
      <c r="R18">
        <f t="shared" si="12"/>
        <v>0</v>
      </c>
      <c r="S18" s="7">
        <f>SUM(CashFlows!BN18:DU18)</f>
        <v>102.52989140345193</v>
      </c>
      <c r="T18" s="7">
        <f t="shared" si="13"/>
        <v>100.48097835997366</v>
      </c>
      <c r="U18" s="7">
        <f t="shared" si="14"/>
        <v>4.3478359973661895E-2</v>
      </c>
      <c r="V18" s="4">
        <f t="shared" si="15"/>
        <v>3.8008996536108119</v>
      </c>
      <c r="W18" s="8">
        <f t="shared" si="16"/>
        <v>-23.119866894772478</v>
      </c>
      <c r="X18" s="9">
        <f t="shared" si="17"/>
        <v>2.3421476344506194E-3</v>
      </c>
      <c r="Y18" s="10">
        <f t="shared" si="18"/>
        <v>0</v>
      </c>
    </row>
    <row r="19" spans="1:25" x14ac:dyDescent="0.2">
      <c r="A19" s="3">
        <f>Data!A18</f>
        <v>46356</v>
      </c>
      <c r="B19" s="4">
        <f>Data!B18</f>
        <v>1.25</v>
      </c>
      <c r="C19" s="4">
        <f>Data!C18</f>
        <v>99.126000000000005</v>
      </c>
      <c r="D19" s="4">
        <f>Data!D18</f>
        <v>99.135999999999996</v>
      </c>
      <c r="E19" s="4">
        <f>Data!F18</f>
        <v>3.7930000000000001</v>
      </c>
      <c r="F19" s="7">
        <f t="shared" si="0"/>
        <v>99.4296875</v>
      </c>
      <c r="G19" s="3">
        <f t="shared" si="1"/>
        <v>46173</v>
      </c>
      <c r="H19" s="3">
        <f t="shared" si="2"/>
        <v>46356</v>
      </c>
      <c r="I19">
        <f t="shared" si="3"/>
        <v>100</v>
      </c>
      <c r="J19">
        <f t="shared" si="4"/>
        <v>183</v>
      </c>
      <c r="K19" s="7">
        <f t="shared" si="5"/>
        <v>0.34153005464480873</v>
      </c>
      <c r="L19" s="7">
        <f t="shared" si="6"/>
        <v>99.771217554644807</v>
      </c>
      <c r="M19" s="4">
        <f t="shared" si="7"/>
        <v>3.7735051052071413</v>
      </c>
      <c r="N19" s="8">
        <f t="shared" si="8"/>
        <v>-1.9494894792858819</v>
      </c>
      <c r="O19" s="4">
        <f t="shared" si="9"/>
        <v>0.22257648870207128</v>
      </c>
      <c r="P19">
        <f t="shared" si="10"/>
        <v>1</v>
      </c>
      <c r="Q19" s="4">
        <f t="shared" si="11"/>
        <v>0.22739726027397261</v>
      </c>
      <c r="R19">
        <f t="shared" si="12"/>
        <v>0</v>
      </c>
      <c r="S19" s="7">
        <f>SUM(CashFlows!BN19:DU19)</f>
        <v>99.763177730239121</v>
      </c>
      <c r="T19" s="7">
        <f t="shared" si="13"/>
        <v>99.421647675594315</v>
      </c>
      <c r="U19" s="7">
        <f t="shared" si="14"/>
        <v>-8.0398244056851809E-3</v>
      </c>
      <c r="V19" s="4">
        <f t="shared" si="15"/>
        <v>3.809346087487707</v>
      </c>
      <c r="W19" s="8">
        <f t="shared" si="16"/>
        <v>3.5840982280565647</v>
      </c>
      <c r="X19" s="9">
        <f t="shared" si="17"/>
        <v>-3.6204454197395124E-4</v>
      </c>
      <c r="Y19" s="10">
        <f t="shared" si="18"/>
        <v>0</v>
      </c>
    </row>
    <row r="20" spans="1:25" x14ac:dyDescent="0.2">
      <c r="A20" s="3">
        <f>Data!A19</f>
        <v>46356</v>
      </c>
      <c r="B20" s="4">
        <f>Data!B19</f>
        <v>1.625</v>
      </c>
      <c r="C20" s="4">
        <f>Data!C19</f>
        <v>99.156000000000006</v>
      </c>
      <c r="D20" s="4">
        <f>Data!D19</f>
        <v>99.165999999999997</v>
      </c>
      <c r="E20" s="4">
        <f>Data!F19</f>
        <v>3.7469999999999999</v>
      </c>
      <c r="F20" s="7">
        <f t="shared" si="0"/>
        <v>99.5234375</v>
      </c>
      <c r="G20" s="3">
        <f t="shared" si="1"/>
        <v>46173</v>
      </c>
      <c r="H20" s="3">
        <f t="shared" si="2"/>
        <v>46356</v>
      </c>
      <c r="I20">
        <f t="shared" si="3"/>
        <v>100</v>
      </c>
      <c r="J20">
        <f t="shared" si="4"/>
        <v>183</v>
      </c>
      <c r="K20" s="7">
        <f t="shared" si="5"/>
        <v>0.44398907103825136</v>
      </c>
      <c r="L20" s="7">
        <f t="shared" si="6"/>
        <v>99.967426571038246</v>
      </c>
      <c r="M20" s="4">
        <f t="shared" si="7"/>
        <v>3.7276826075400247</v>
      </c>
      <c r="N20" s="8">
        <f t="shared" si="8"/>
        <v>-1.9317392459975213</v>
      </c>
      <c r="O20" s="4">
        <f t="shared" si="9"/>
        <v>0.22262655067943127</v>
      </c>
      <c r="P20">
        <f t="shared" si="10"/>
        <v>1</v>
      </c>
      <c r="Q20" s="4">
        <f t="shared" si="11"/>
        <v>0.22739726027397261</v>
      </c>
      <c r="R20">
        <f t="shared" si="12"/>
        <v>0</v>
      </c>
      <c r="S20" s="7">
        <f>SUM(CashFlows!BN20:DU20)</f>
        <v>99.949071850233352</v>
      </c>
      <c r="T20" s="7">
        <f t="shared" si="13"/>
        <v>99.505082779195106</v>
      </c>
      <c r="U20" s="7">
        <f t="shared" si="14"/>
        <v>-1.8354720804893532E-2</v>
      </c>
      <c r="V20" s="4">
        <f t="shared" si="15"/>
        <v>3.8093460874876404</v>
      </c>
      <c r="W20" s="8">
        <f t="shared" si="16"/>
        <v>8.1663479947615691</v>
      </c>
      <c r="X20" s="9">
        <f t="shared" si="17"/>
        <v>-8.2473098823673927E-4</v>
      </c>
      <c r="Y20" s="10">
        <f t="shared" si="18"/>
        <v>0</v>
      </c>
    </row>
    <row r="21" spans="1:25" x14ac:dyDescent="0.2">
      <c r="A21" s="3">
        <f>Data!A20</f>
        <v>46356</v>
      </c>
      <c r="B21" s="4">
        <f>Data!B20</f>
        <v>4.25</v>
      </c>
      <c r="C21" s="4">
        <f>Data!C20</f>
        <v>100.02200000000001</v>
      </c>
      <c r="D21" s="4">
        <f>Data!D20</f>
        <v>100.032</v>
      </c>
      <c r="E21" s="4">
        <f>Data!F20</f>
        <v>3.774</v>
      </c>
      <c r="F21" s="7">
        <f t="shared" si="0"/>
        <v>100.1015625</v>
      </c>
      <c r="G21" s="3">
        <f t="shared" si="1"/>
        <v>46173</v>
      </c>
      <c r="H21" s="3">
        <f t="shared" si="2"/>
        <v>46356</v>
      </c>
      <c r="I21">
        <f t="shared" si="3"/>
        <v>100</v>
      </c>
      <c r="J21">
        <f t="shared" si="4"/>
        <v>183</v>
      </c>
      <c r="K21" s="7">
        <f t="shared" si="5"/>
        <v>1.1612021857923498</v>
      </c>
      <c r="L21" s="7">
        <f t="shared" si="6"/>
        <v>101.26276468579235</v>
      </c>
      <c r="M21" s="4">
        <f t="shared" si="7"/>
        <v>3.7547326464323278</v>
      </c>
      <c r="N21" s="8">
        <f t="shared" si="8"/>
        <v>-1.9267353567672174</v>
      </c>
      <c r="O21" s="4">
        <f t="shared" si="9"/>
        <v>0.22259699525867563</v>
      </c>
      <c r="P21">
        <f t="shared" si="10"/>
        <v>1</v>
      </c>
      <c r="Q21" s="4">
        <f t="shared" si="11"/>
        <v>0.22739726027397261</v>
      </c>
      <c r="R21">
        <f t="shared" si="12"/>
        <v>0</v>
      </c>
      <c r="S21" s="7">
        <f>SUM(CashFlows!BN21:DU21)</f>
        <v>101.250330690193</v>
      </c>
      <c r="T21" s="7">
        <f t="shared" si="13"/>
        <v>100.08912850440065</v>
      </c>
      <c r="U21" s="7">
        <f t="shared" si="14"/>
        <v>-1.2433995599351988E-2</v>
      </c>
      <c r="V21" s="4">
        <f t="shared" si="15"/>
        <v>3.8093460874877629</v>
      </c>
      <c r="W21" s="8">
        <f t="shared" si="16"/>
        <v>5.4613441055435086</v>
      </c>
      <c r="X21" s="9">
        <f t="shared" si="17"/>
        <v>-5.5162206697812258E-4</v>
      </c>
      <c r="Y21" s="10">
        <f t="shared" si="18"/>
        <v>0</v>
      </c>
    </row>
    <row r="22" spans="1:25" x14ac:dyDescent="0.2">
      <c r="A22" s="3">
        <f>Data!A21</f>
        <v>46371</v>
      </c>
      <c r="B22" s="4">
        <f>Data!B21</f>
        <v>4.375</v>
      </c>
      <c r="C22" s="4">
        <f>Data!C21</f>
        <v>100.044</v>
      </c>
      <c r="D22" s="4">
        <f>Data!D21</f>
        <v>100.054</v>
      </c>
      <c r="E22" s="4">
        <f>Data!F21</f>
        <v>3.7050000000000001</v>
      </c>
      <c r="F22" s="7">
        <f t="shared" si="0"/>
        <v>100.171875</v>
      </c>
      <c r="G22" s="3">
        <f t="shared" si="1"/>
        <v>46188</v>
      </c>
      <c r="H22" s="3">
        <f t="shared" si="2"/>
        <v>46371</v>
      </c>
      <c r="I22">
        <f t="shared" si="3"/>
        <v>85</v>
      </c>
      <c r="J22">
        <f t="shared" si="4"/>
        <v>183</v>
      </c>
      <c r="K22" s="7">
        <f t="shared" si="5"/>
        <v>1.0160519125683061</v>
      </c>
      <c r="L22" s="7">
        <f t="shared" si="6"/>
        <v>101.1879269125683</v>
      </c>
      <c r="M22" s="4">
        <f t="shared" si="7"/>
        <v>3.689273615637517</v>
      </c>
      <c r="N22" s="8">
        <f t="shared" si="8"/>
        <v>-1.5726384362483081</v>
      </c>
      <c r="O22" s="4">
        <f t="shared" si="9"/>
        <v>0.26290983132159768</v>
      </c>
      <c r="P22">
        <f t="shared" si="10"/>
        <v>1</v>
      </c>
      <c r="Q22" s="4">
        <f t="shared" si="11"/>
        <v>0.26849315068493151</v>
      </c>
      <c r="R22">
        <f t="shared" si="12"/>
        <v>1</v>
      </c>
      <c r="S22" s="7">
        <f>SUM(CashFlows!BN22:DU22)</f>
        <v>101.1481346796251</v>
      </c>
      <c r="T22" s="7">
        <f t="shared" si="13"/>
        <v>100.1320827670568</v>
      </c>
      <c r="U22" s="7">
        <f t="shared" si="14"/>
        <v>-3.9792232943199224E-2</v>
      </c>
      <c r="V22" s="4">
        <f t="shared" si="15"/>
        <v>3.837649909054524</v>
      </c>
      <c r="W22" s="8">
        <f t="shared" si="16"/>
        <v>14.837629341700698</v>
      </c>
      <c r="X22" s="9">
        <f t="shared" si="17"/>
        <v>-1.495762997523811E-3</v>
      </c>
      <c r="Y22" s="10">
        <f t="shared" si="18"/>
        <v>2.2373069447614165E-6</v>
      </c>
    </row>
    <row r="23" spans="1:25" x14ac:dyDescent="0.2">
      <c r="A23" s="3">
        <f>Data!A22</f>
        <v>46387</v>
      </c>
      <c r="B23" s="4">
        <f>Data!B22</f>
        <v>1.25</v>
      </c>
      <c r="C23" s="4">
        <f>Data!C22</f>
        <v>99.052000000000007</v>
      </c>
      <c r="D23" s="4">
        <f>Data!D22</f>
        <v>99.061999999999998</v>
      </c>
      <c r="E23" s="4">
        <f>Data!F22</f>
        <v>3.8839999999999999</v>
      </c>
      <c r="F23" s="7">
        <f t="shared" si="0"/>
        <v>99.1953125</v>
      </c>
      <c r="G23" s="3">
        <f t="shared" si="1"/>
        <v>46203</v>
      </c>
      <c r="H23" s="3">
        <f t="shared" si="2"/>
        <v>46387</v>
      </c>
      <c r="I23">
        <f t="shared" si="3"/>
        <v>70</v>
      </c>
      <c r="J23">
        <f t="shared" si="4"/>
        <v>184</v>
      </c>
      <c r="K23" s="7">
        <f t="shared" si="5"/>
        <v>0.23777173913043478</v>
      </c>
      <c r="L23" s="7">
        <f t="shared" si="6"/>
        <v>99.433084239130437</v>
      </c>
      <c r="M23" s="4">
        <f t="shared" si="7"/>
        <v>3.8695246644920251</v>
      </c>
      <c r="N23" s="8">
        <f t="shared" si="8"/>
        <v>-1.4475335507974751</v>
      </c>
      <c r="O23" s="4">
        <f t="shared" si="9"/>
        <v>0.30390281157074478</v>
      </c>
      <c r="P23">
        <f t="shared" si="10"/>
        <v>1</v>
      </c>
      <c r="Q23" s="4">
        <f t="shared" si="11"/>
        <v>0.31232876712328766</v>
      </c>
      <c r="R23">
        <f t="shared" si="12"/>
        <v>1</v>
      </c>
      <c r="S23" s="7">
        <f>SUM(CashFlows!BN23:DU23)</f>
        <v>99.427425511092423</v>
      </c>
      <c r="T23" s="7">
        <f t="shared" si="13"/>
        <v>99.189653771961986</v>
      </c>
      <c r="U23" s="7">
        <f t="shared" si="14"/>
        <v>-5.6587280380142602E-3</v>
      </c>
      <c r="V23" s="4">
        <f t="shared" si="15"/>
        <v>3.8881168557235104</v>
      </c>
      <c r="W23" s="8">
        <f t="shared" si="16"/>
        <v>1.8592191231485256</v>
      </c>
      <c r="X23" s="9">
        <f t="shared" si="17"/>
        <v>-1.8726352462675893E-4</v>
      </c>
      <c r="Y23" s="10">
        <f t="shared" si="18"/>
        <v>3.5067627655636751E-8</v>
      </c>
    </row>
    <row r="24" spans="1:25" x14ac:dyDescent="0.2">
      <c r="A24" s="3">
        <f>Data!A23</f>
        <v>46387</v>
      </c>
      <c r="B24" s="4">
        <f>Data!B23</f>
        <v>1.75</v>
      </c>
      <c r="C24" s="4">
        <f>Data!C23</f>
        <v>99.102000000000004</v>
      </c>
      <c r="D24" s="4">
        <f>Data!D23</f>
        <v>99.111999999999995</v>
      </c>
      <c r="E24" s="4">
        <f>Data!F23</f>
        <v>3.8690000000000002</v>
      </c>
      <c r="F24" s="7">
        <f t="shared" si="0"/>
        <v>99.3515625</v>
      </c>
      <c r="G24" s="3">
        <f t="shared" si="1"/>
        <v>46203</v>
      </c>
      <c r="H24" s="3">
        <f t="shared" si="2"/>
        <v>46387</v>
      </c>
      <c r="I24">
        <f t="shared" si="3"/>
        <v>70</v>
      </c>
      <c r="J24">
        <f t="shared" si="4"/>
        <v>184</v>
      </c>
      <c r="K24" s="7">
        <f t="shared" si="5"/>
        <v>0.3328804347826087</v>
      </c>
      <c r="L24" s="7">
        <f t="shared" si="6"/>
        <v>99.684442934782609</v>
      </c>
      <c r="M24" s="4">
        <f t="shared" si="7"/>
        <v>3.8553676393620728</v>
      </c>
      <c r="N24" s="8">
        <f t="shared" si="8"/>
        <v>-1.3632360637927388</v>
      </c>
      <c r="O24" s="4">
        <f t="shared" si="9"/>
        <v>0.30392391653251399</v>
      </c>
      <c r="P24">
        <f t="shared" si="10"/>
        <v>1</v>
      </c>
      <c r="Q24" s="4">
        <f t="shared" si="11"/>
        <v>0.31232876712328766</v>
      </c>
      <c r="R24">
        <f t="shared" si="12"/>
        <v>1</v>
      </c>
      <c r="S24" s="7">
        <f>SUM(CashFlows!BN24:DU24)</f>
        <v>99.674450170747306</v>
      </c>
      <c r="T24" s="7">
        <f t="shared" si="13"/>
        <v>99.341569735964697</v>
      </c>
      <c r="U24" s="7">
        <f t="shared" si="14"/>
        <v>-9.9927640353030256E-3</v>
      </c>
      <c r="V24" s="4">
        <f t="shared" si="15"/>
        <v>3.8881168557234767</v>
      </c>
      <c r="W24" s="8">
        <f t="shared" si="16"/>
        <v>3.2749216361403821</v>
      </c>
      <c r="X24" s="9">
        <f t="shared" si="17"/>
        <v>-3.2983244101980402E-4</v>
      </c>
      <c r="Y24" s="10">
        <f t="shared" si="18"/>
        <v>1.087894391490825E-7</v>
      </c>
    </row>
    <row r="25" spans="1:25" x14ac:dyDescent="0.2">
      <c r="A25" s="3">
        <f>Data!A24</f>
        <v>46387</v>
      </c>
      <c r="B25" s="4">
        <f>Data!B24</f>
        <v>4.25</v>
      </c>
      <c r="C25" s="4">
        <f>Data!C24</f>
        <v>100.024</v>
      </c>
      <c r="D25" s="4">
        <f>Data!D24</f>
        <v>100.03400000000001</v>
      </c>
      <c r="E25" s="4">
        <f>Data!F24</f>
        <v>3.8759999999999999</v>
      </c>
      <c r="F25" s="7">
        <f t="shared" si="0"/>
        <v>100.109375</v>
      </c>
      <c r="G25" s="3">
        <f t="shared" si="1"/>
        <v>46203</v>
      </c>
      <c r="H25" s="3">
        <f t="shared" si="2"/>
        <v>46387</v>
      </c>
      <c r="I25">
        <f t="shared" si="3"/>
        <v>70</v>
      </c>
      <c r="J25">
        <f t="shared" si="4"/>
        <v>184</v>
      </c>
      <c r="K25" s="7">
        <f t="shared" si="5"/>
        <v>0.80842391304347827</v>
      </c>
      <c r="L25" s="7">
        <f t="shared" si="6"/>
        <v>100.91779891304348</v>
      </c>
      <c r="M25" s="4">
        <f t="shared" si="7"/>
        <v>3.861489119396329</v>
      </c>
      <c r="N25" s="8">
        <f t="shared" si="8"/>
        <v>-1.4510880603670895</v>
      </c>
      <c r="O25" s="4">
        <f t="shared" si="9"/>
        <v>0.30391479041362301</v>
      </c>
      <c r="P25">
        <f t="shared" si="10"/>
        <v>1</v>
      </c>
      <c r="Q25" s="4">
        <f t="shared" si="11"/>
        <v>0.31232876712328766</v>
      </c>
      <c r="R25">
        <f t="shared" si="12"/>
        <v>1</v>
      </c>
      <c r="S25" s="7">
        <f>SUM(CashFlows!BN25:DU25)</f>
        <v>100.90957346902175</v>
      </c>
      <c r="T25" s="7">
        <f t="shared" si="13"/>
        <v>100.10114955597827</v>
      </c>
      <c r="U25" s="7">
        <f t="shared" si="14"/>
        <v>-8.2254440217326419E-3</v>
      </c>
      <c r="V25" s="4">
        <f t="shared" si="15"/>
        <v>3.8881168557234882</v>
      </c>
      <c r="W25" s="8">
        <f t="shared" si="16"/>
        <v>2.6627736327159202</v>
      </c>
      <c r="X25" s="9">
        <f t="shared" si="17"/>
        <v>-2.6818824933524525E-4</v>
      </c>
      <c r="Y25" s="10">
        <f t="shared" si="18"/>
        <v>7.1924937081503681E-8</v>
      </c>
    </row>
    <row r="26" spans="1:25" x14ac:dyDescent="0.2">
      <c r="A26" s="3">
        <f>Data!A25</f>
        <v>46402</v>
      </c>
      <c r="B26" s="4">
        <f>Data!B25</f>
        <v>4</v>
      </c>
      <c r="C26" s="4">
        <f>Data!C25</f>
        <v>100.01</v>
      </c>
      <c r="D26" s="4">
        <f>Data!D25</f>
        <v>100.02</v>
      </c>
      <c r="E26" s="4">
        <f>Data!F25</f>
        <v>3.8069999999999999</v>
      </c>
      <c r="F26" s="7">
        <f t="shared" si="0"/>
        <v>100.0625</v>
      </c>
      <c r="G26" s="3">
        <f t="shared" si="1"/>
        <v>46218</v>
      </c>
      <c r="H26" s="3">
        <f t="shared" si="2"/>
        <v>46402</v>
      </c>
      <c r="I26">
        <f t="shared" si="3"/>
        <v>55</v>
      </c>
      <c r="J26">
        <f t="shared" si="4"/>
        <v>184</v>
      </c>
      <c r="K26" s="7">
        <f t="shared" si="5"/>
        <v>0.59782608695652173</v>
      </c>
      <c r="L26" s="7">
        <f t="shared" si="6"/>
        <v>100.66032608695652</v>
      </c>
      <c r="M26" s="4">
        <f t="shared" si="7"/>
        <v>3.7966352533520644</v>
      </c>
      <c r="N26" s="8">
        <f t="shared" si="8"/>
        <v>-1.0364746647935519</v>
      </c>
      <c r="O26" s="4">
        <f t="shared" si="9"/>
        <v>0.34401301849276128</v>
      </c>
      <c r="P26">
        <f t="shared" si="10"/>
        <v>1</v>
      </c>
      <c r="Q26" s="4">
        <f t="shared" si="11"/>
        <v>0.35342465753424657</v>
      </c>
      <c r="R26">
        <f t="shared" si="12"/>
        <v>1</v>
      </c>
      <c r="S26" s="7">
        <f>SUM(CashFlows!BN26:DU26)</f>
        <v>100.61912970613352</v>
      </c>
      <c r="T26" s="7">
        <f t="shared" si="13"/>
        <v>100.021303619177</v>
      </c>
      <c r="U26" s="7">
        <f t="shared" si="14"/>
        <v>-4.1196380822995593E-2</v>
      </c>
      <c r="V26" s="4">
        <f t="shared" si="15"/>
        <v>3.9149880309372609</v>
      </c>
      <c r="W26" s="8">
        <f t="shared" si="16"/>
        <v>11.835277758519647</v>
      </c>
      <c r="X26" s="9">
        <f t="shared" si="17"/>
        <v>-1.1896682008525278E-3</v>
      </c>
      <c r="Y26" s="10">
        <f t="shared" si="18"/>
        <v>1.4153104281196904E-6</v>
      </c>
    </row>
    <row r="27" spans="1:25" x14ac:dyDescent="0.2">
      <c r="A27" s="3">
        <f>Data!A26</f>
        <v>46418</v>
      </c>
      <c r="B27" s="4">
        <f>Data!B26</f>
        <v>1.5</v>
      </c>
      <c r="C27" s="4">
        <f>Data!C26</f>
        <v>99.004000000000005</v>
      </c>
      <c r="D27" s="4">
        <f>Data!D26</f>
        <v>99.013999999999996</v>
      </c>
      <c r="E27" s="4">
        <f>Data!F26</f>
        <v>3.9590000000000001</v>
      </c>
      <c r="F27" s="7">
        <f t="shared" si="0"/>
        <v>99.046875</v>
      </c>
      <c r="G27" s="3">
        <f t="shared" si="1"/>
        <v>46234</v>
      </c>
      <c r="H27" s="3">
        <f t="shared" si="2"/>
        <v>46418</v>
      </c>
      <c r="I27">
        <f t="shared" si="3"/>
        <v>39</v>
      </c>
      <c r="J27">
        <f t="shared" si="4"/>
        <v>184</v>
      </c>
      <c r="K27" s="7">
        <f t="shared" si="5"/>
        <v>0.15896739130434784</v>
      </c>
      <c r="L27" s="7">
        <f t="shared" si="6"/>
        <v>99.205842391304344</v>
      </c>
      <c r="M27" s="4">
        <f t="shared" si="7"/>
        <v>3.9503374224509509</v>
      </c>
      <c r="N27" s="8">
        <f t="shared" si="8"/>
        <v>-0.86625775490491996</v>
      </c>
      <c r="O27" s="4">
        <f t="shared" si="9"/>
        <v>0.38638988697947668</v>
      </c>
      <c r="P27">
        <f t="shared" si="10"/>
        <v>1</v>
      </c>
      <c r="Q27" s="4">
        <f t="shared" si="11"/>
        <v>0.39726027397260272</v>
      </c>
      <c r="R27">
        <f t="shared" si="12"/>
        <v>1</v>
      </c>
      <c r="S27" s="7">
        <f>SUM(CashFlows!BN27:DU27)</f>
        <v>99.208727178631264</v>
      </c>
      <c r="T27" s="7">
        <f t="shared" si="13"/>
        <v>99.04975978732692</v>
      </c>
      <c r="U27" s="7">
        <f t="shared" si="14"/>
        <v>2.8847873269199908E-3</v>
      </c>
      <c r="V27" s="4">
        <f t="shared" si="15"/>
        <v>3.9428427691783479</v>
      </c>
      <c r="W27" s="8">
        <f t="shared" si="16"/>
        <v>-0.74946532726030135</v>
      </c>
      <c r="X27" s="9">
        <f t="shared" si="17"/>
        <v>7.5257675705321328E-5</v>
      </c>
      <c r="Y27" s="10">
        <f t="shared" si="18"/>
        <v>5.6637177525673119E-9</v>
      </c>
    </row>
    <row r="28" spans="1:25" x14ac:dyDescent="0.2">
      <c r="A28" s="3">
        <f>Data!A27</f>
        <v>46418</v>
      </c>
      <c r="B28" s="4">
        <f>Data!B27</f>
        <v>4.125</v>
      </c>
      <c r="C28" s="4">
        <f>Data!C27</f>
        <v>100.01</v>
      </c>
      <c r="D28" s="4">
        <f>Data!D27</f>
        <v>100.02</v>
      </c>
      <c r="E28" s="4">
        <f>Data!F27</f>
        <v>3.9550000000000001</v>
      </c>
      <c r="F28" s="7">
        <f t="shared" si="0"/>
        <v>100.0625</v>
      </c>
      <c r="G28" s="3">
        <f t="shared" si="1"/>
        <v>46234</v>
      </c>
      <c r="H28" s="3">
        <f t="shared" si="2"/>
        <v>46418</v>
      </c>
      <c r="I28">
        <f t="shared" si="3"/>
        <v>39</v>
      </c>
      <c r="J28">
        <f t="shared" si="4"/>
        <v>184</v>
      </c>
      <c r="K28" s="7">
        <f t="shared" si="5"/>
        <v>0.43716032608695654</v>
      </c>
      <c r="L28" s="7">
        <f t="shared" si="6"/>
        <v>100.49966032608695</v>
      </c>
      <c r="M28" s="4">
        <f t="shared" si="7"/>
        <v>3.9466594190221382</v>
      </c>
      <c r="N28" s="8">
        <f t="shared" si="8"/>
        <v>-0.83405809778618334</v>
      </c>
      <c r="O28" s="4">
        <f t="shared" si="9"/>
        <v>0.38639685519034728</v>
      </c>
      <c r="P28">
        <f t="shared" si="10"/>
        <v>1</v>
      </c>
      <c r="Q28" s="4">
        <f t="shared" si="11"/>
        <v>0.39726027397260272</v>
      </c>
      <c r="R28">
        <f t="shared" si="12"/>
        <v>1</v>
      </c>
      <c r="S28" s="7">
        <f>SUM(CashFlows!BN28:DU28)</f>
        <v>100.501148562472</v>
      </c>
      <c r="T28" s="7">
        <f t="shared" si="13"/>
        <v>100.06398823638504</v>
      </c>
      <c r="U28" s="7">
        <f t="shared" si="14"/>
        <v>1.4882363850432512E-3</v>
      </c>
      <c r="V28" s="4">
        <f t="shared" si="15"/>
        <v>3.9428427691782613</v>
      </c>
      <c r="W28" s="8">
        <f t="shared" si="16"/>
        <v>-0.38166498438769736</v>
      </c>
      <c r="X28" s="9">
        <f t="shared" si="17"/>
        <v>3.8324256758946408E-5</v>
      </c>
      <c r="Y28" s="10">
        <f t="shared" si="18"/>
        <v>1.4687486561256493E-9</v>
      </c>
    </row>
    <row r="29" spans="1:25" x14ac:dyDescent="0.2">
      <c r="A29" s="3">
        <f>Data!A28</f>
        <v>46433</v>
      </c>
      <c r="B29" s="4">
        <f>Data!B28</f>
        <v>2.25</v>
      </c>
      <c r="C29" s="4">
        <f>Data!C28</f>
        <v>99.081999999999994</v>
      </c>
      <c r="D29" s="4">
        <f>Data!D28</f>
        <v>99.091999999999999</v>
      </c>
      <c r="E29" s="4">
        <f>Data!F28</f>
        <v>3.9119999999999999</v>
      </c>
      <c r="F29" s="7">
        <f t="shared" si="0"/>
        <v>99.2890625</v>
      </c>
      <c r="G29" s="3">
        <f t="shared" si="1"/>
        <v>46249</v>
      </c>
      <c r="H29" s="3">
        <f t="shared" si="2"/>
        <v>46433</v>
      </c>
      <c r="I29">
        <f t="shared" si="3"/>
        <v>24</v>
      </c>
      <c r="J29">
        <f t="shared" si="4"/>
        <v>184</v>
      </c>
      <c r="K29" s="7">
        <f t="shared" si="5"/>
        <v>0.14673913043478262</v>
      </c>
      <c r="L29" s="7">
        <f t="shared" si="6"/>
        <v>99.435801630434781</v>
      </c>
      <c r="M29" s="4">
        <f t="shared" si="7"/>
        <v>3.9072006121493823</v>
      </c>
      <c r="N29" s="8">
        <f t="shared" si="8"/>
        <v>-0.47993878506176202</v>
      </c>
      <c r="O29" s="4">
        <f t="shared" si="9"/>
        <v>0.42645145182749028</v>
      </c>
      <c r="P29">
        <f t="shared" si="10"/>
        <v>1</v>
      </c>
      <c r="Q29" s="4">
        <f t="shared" si="11"/>
        <v>0.43835616438356162</v>
      </c>
      <c r="R29">
        <f t="shared" si="12"/>
        <v>1</v>
      </c>
      <c r="S29" s="7">
        <f>SUM(CashFlows!BN29:DU29)</f>
        <v>99.40986764566793</v>
      </c>
      <c r="T29" s="7">
        <f t="shared" si="13"/>
        <v>99.263128515233149</v>
      </c>
      <c r="U29" s="7">
        <f t="shared" si="14"/>
        <v>-2.5933984766851381E-2</v>
      </c>
      <c r="V29" s="4">
        <f t="shared" si="15"/>
        <v>3.9682221779274962</v>
      </c>
      <c r="W29" s="8">
        <f t="shared" si="16"/>
        <v>6.1021565778113906</v>
      </c>
      <c r="X29" s="9">
        <f t="shared" si="17"/>
        <v>-6.1158506996382119E-4</v>
      </c>
      <c r="Y29" s="10">
        <f t="shared" si="18"/>
        <v>3.7403629780265207E-7</v>
      </c>
    </row>
    <row r="30" spans="1:25" x14ac:dyDescent="0.2">
      <c r="A30" s="3">
        <f>Data!A29</f>
        <v>46433</v>
      </c>
      <c r="B30" s="4">
        <f>Data!B29</f>
        <v>4.125</v>
      </c>
      <c r="C30" s="4">
        <f>Data!C29</f>
        <v>100.012</v>
      </c>
      <c r="D30" s="4">
        <f>Data!D29</f>
        <v>100.02200000000001</v>
      </c>
      <c r="E30" s="4">
        <f>Data!F29</f>
        <v>3.9550000000000001</v>
      </c>
      <c r="F30" s="7">
        <f t="shared" si="0"/>
        <v>100.0703125</v>
      </c>
      <c r="G30" s="3">
        <f t="shared" si="1"/>
        <v>46249</v>
      </c>
      <c r="H30" s="3">
        <f t="shared" si="2"/>
        <v>46433</v>
      </c>
      <c r="I30">
        <f t="shared" si="3"/>
        <v>24</v>
      </c>
      <c r="J30">
        <f t="shared" si="4"/>
        <v>184</v>
      </c>
      <c r="K30" s="7">
        <f t="shared" si="5"/>
        <v>0.26902173913043476</v>
      </c>
      <c r="L30" s="7">
        <f t="shared" si="6"/>
        <v>100.33933423913044</v>
      </c>
      <c r="M30" s="4">
        <f t="shared" si="7"/>
        <v>3.9498779616721422</v>
      </c>
      <c r="N30" s="8">
        <f t="shared" si="8"/>
        <v>-0.51220383278578474</v>
      </c>
      <c r="O30" s="4">
        <f t="shared" si="9"/>
        <v>0.42636221510989075</v>
      </c>
      <c r="P30">
        <f t="shared" si="10"/>
        <v>1</v>
      </c>
      <c r="Q30" s="4">
        <f t="shared" si="11"/>
        <v>0.43835616438356162</v>
      </c>
      <c r="R30">
        <f t="shared" si="12"/>
        <v>1</v>
      </c>
      <c r="S30" s="7">
        <f>SUM(CashFlows!BN30:DU30)</f>
        <v>100.33146716030639</v>
      </c>
      <c r="T30" s="7">
        <f t="shared" si="13"/>
        <v>100.06244542117595</v>
      </c>
      <c r="U30" s="7">
        <f t="shared" si="14"/>
        <v>-7.86707882404869E-3</v>
      </c>
      <c r="V30" s="4">
        <f t="shared" si="15"/>
        <v>3.9682221779274607</v>
      </c>
      <c r="W30" s="8">
        <f t="shared" si="16"/>
        <v>1.8344216255318457</v>
      </c>
      <c r="X30" s="9">
        <f t="shared" si="17"/>
        <v>-1.838923135162626E-4</v>
      </c>
      <c r="Y30" s="10">
        <f t="shared" si="18"/>
        <v>3.3816382970363419E-8</v>
      </c>
    </row>
    <row r="31" spans="1:25" x14ac:dyDescent="0.2">
      <c r="A31" s="3">
        <f>Data!A30</f>
        <v>46433</v>
      </c>
      <c r="B31" s="4">
        <f>Data!B30</f>
        <v>6.625</v>
      </c>
      <c r="C31" s="4">
        <f>Data!C30</f>
        <v>101.03</v>
      </c>
      <c r="D31" s="4">
        <f>Data!D30</f>
        <v>101.04</v>
      </c>
      <c r="E31" s="4">
        <f>Data!F30</f>
        <v>3.9809999999999999</v>
      </c>
      <c r="F31" s="7">
        <f t="shared" si="0"/>
        <v>101.125</v>
      </c>
      <c r="G31" s="3">
        <f t="shared" si="1"/>
        <v>46249</v>
      </c>
      <c r="H31" s="3">
        <f t="shared" si="2"/>
        <v>46433</v>
      </c>
      <c r="I31">
        <f t="shared" si="3"/>
        <v>24</v>
      </c>
      <c r="J31">
        <f t="shared" si="4"/>
        <v>184</v>
      </c>
      <c r="K31" s="7">
        <f t="shared" si="5"/>
        <v>0.43206521739130432</v>
      </c>
      <c r="L31" s="7">
        <f t="shared" si="6"/>
        <v>101.5570652173913</v>
      </c>
      <c r="M31" s="4">
        <f t="shared" si="7"/>
        <v>3.9755973563803102</v>
      </c>
      <c r="N31" s="8">
        <f t="shared" si="8"/>
        <v>-0.54026436196896732</v>
      </c>
      <c r="O31" s="4">
        <f t="shared" si="9"/>
        <v>0.42630845486483598</v>
      </c>
      <c r="P31">
        <f t="shared" si="10"/>
        <v>1</v>
      </c>
      <c r="Q31" s="4">
        <f t="shared" si="11"/>
        <v>0.43835616438356162</v>
      </c>
      <c r="R31">
        <f t="shared" si="12"/>
        <v>1</v>
      </c>
      <c r="S31" s="7">
        <f>SUM(CashFlows!BN31:DU31)</f>
        <v>101.56026651315766</v>
      </c>
      <c r="T31" s="7">
        <f t="shared" si="13"/>
        <v>101.12820129576636</v>
      </c>
      <c r="U31" s="7">
        <f t="shared" si="14"/>
        <v>3.2012957663596353E-3</v>
      </c>
      <c r="V31" s="4">
        <f t="shared" si="15"/>
        <v>3.9682221779275002</v>
      </c>
      <c r="W31" s="8">
        <f t="shared" si="16"/>
        <v>-0.7375178452809994</v>
      </c>
      <c r="X31" s="9">
        <f t="shared" si="17"/>
        <v>7.3942088331212615E-5</v>
      </c>
      <c r="Y31" s="10">
        <f t="shared" si="18"/>
        <v>5.4674324267808491E-9</v>
      </c>
    </row>
    <row r="32" spans="1:25" x14ac:dyDescent="0.2">
      <c r="A32" s="3">
        <f>Data!A31</f>
        <v>46446</v>
      </c>
      <c r="B32" s="4">
        <f>Data!B31</f>
        <v>1.125</v>
      </c>
      <c r="C32" s="4">
        <f>Data!C31</f>
        <v>98.201999999999998</v>
      </c>
      <c r="D32" s="4">
        <f>Data!D31</f>
        <v>98.212000000000003</v>
      </c>
      <c r="E32" s="4">
        <f>Data!F31</f>
        <v>3.9740000000000002</v>
      </c>
      <c r="F32" s="7">
        <f t="shared" si="0"/>
        <v>98.6640625</v>
      </c>
      <c r="G32" s="3">
        <f t="shared" si="1"/>
        <v>46265</v>
      </c>
      <c r="H32" s="3">
        <f t="shared" si="2"/>
        <v>46446</v>
      </c>
      <c r="I32">
        <f t="shared" si="3"/>
        <v>8</v>
      </c>
      <c r="J32">
        <f t="shared" si="4"/>
        <v>181</v>
      </c>
      <c r="K32" s="7">
        <f t="shared" si="5"/>
        <v>2.4861878453038673E-2</v>
      </c>
      <c r="L32" s="7">
        <f t="shared" si="6"/>
        <v>98.688924378453038</v>
      </c>
      <c r="M32" s="4">
        <f t="shared" si="7"/>
        <v>3.9725125569923976</v>
      </c>
      <c r="N32" s="8">
        <f t="shared" si="8"/>
        <v>-0.14874430076026179</v>
      </c>
      <c r="O32" s="4">
        <f t="shared" si="9"/>
        <v>0.46859309276063038</v>
      </c>
      <c r="P32">
        <f t="shared" si="10"/>
        <v>1</v>
      </c>
      <c r="Q32" s="4">
        <f t="shared" si="11"/>
        <v>0.47397260273972602</v>
      </c>
      <c r="R32">
        <f t="shared" si="12"/>
        <v>1</v>
      </c>
      <c r="S32" s="7">
        <f>SUM(CashFlows!BN32:DU32)</f>
        <v>98.71110063626459</v>
      </c>
      <c r="T32" s="7">
        <f t="shared" si="13"/>
        <v>98.686238757811552</v>
      </c>
      <c r="U32" s="7">
        <f t="shared" si="14"/>
        <v>2.2176257811551636E-2</v>
      </c>
      <c r="V32" s="4">
        <f t="shared" si="15"/>
        <v>3.9246106965876826</v>
      </c>
      <c r="W32" s="8">
        <f t="shared" si="16"/>
        <v>-4.7901860404715002</v>
      </c>
      <c r="X32" s="9">
        <f t="shared" si="17"/>
        <v>4.7953903353384022E-4</v>
      </c>
      <c r="Y32" s="10">
        <f t="shared" si="18"/>
        <v>2.2995768468256953E-7</v>
      </c>
    </row>
    <row r="33" spans="1:25" x14ac:dyDescent="0.2">
      <c r="A33" s="3">
        <f>Data!A32</f>
        <v>46446</v>
      </c>
      <c r="B33" s="4">
        <f>Data!B32</f>
        <v>1.875</v>
      </c>
      <c r="C33" s="4">
        <f>Data!C32</f>
        <v>99.001999999999995</v>
      </c>
      <c r="D33" s="4">
        <f>Data!D32</f>
        <v>99.012</v>
      </c>
      <c r="E33" s="4">
        <f>Data!F32</f>
        <v>3.923</v>
      </c>
      <c r="F33" s="7">
        <f t="shared" si="0"/>
        <v>99.0390625</v>
      </c>
      <c r="G33" s="3">
        <f t="shared" si="1"/>
        <v>46265</v>
      </c>
      <c r="H33" s="3">
        <f t="shared" si="2"/>
        <v>46446</v>
      </c>
      <c r="I33">
        <f t="shared" si="3"/>
        <v>8</v>
      </c>
      <c r="J33">
        <f t="shared" si="4"/>
        <v>181</v>
      </c>
      <c r="K33" s="7">
        <f t="shared" si="5"/>
        <v>4.1436464088397788E-2</v>
      </c>
      <c r="L33" s="7">
        <f t="shared" si="6"/>
        <v>99.080498964088392</v>
      </c>
      <c r="M33" s="4">
        <f t="shared" si="7"/>
        <v>3.9218089058860301</v>
      </c>
      <c r="N33" s="8">
        <f t="shared" si="8"/>
        <v>-0.11910941139698927</v>
      </c>
      <c r="O33" s="4">
        <f t="shared" si="9"/>
        <v>0.46870960497094116</v>
      </c>
      <c r="P33">
        <f t="shared" si="10"/>
        <v>1</v>
      </c>
      <c r="Q33" s="4">
        <f t="shared" si="11"/>
        <v>0.47397260273972602</v>
      </c>
      <c r="R33">
        <f t="shared" si="12"/>
        <v>1</v>
      </c>
      <c r="S33" s="7">
        <f>SUM(CashFlows!BN33:DU33)</f>
        <v>99.079196723161786</v>
      </c>
      <c r="T33" s="7">
        <f t="shared" si="13"/>
        <v>99.037760259073394</v>
      </c>
      <c r="U33" s="7">
        <f t="shared" si="14"/>
        <v>-1.3022409266056911E-3</v>
      </c>
      <c r="V33" s="4">
        <f t="shared" si="15"/>
        <v>3.9246106965876644</v>
      </c>
      <c r="W33" s="8">
        <f t="shared" si="16"/>
        <v>0.28017907016342214</v>
      </c>
      <c r="X33" s="9">
        <f t="shared" si="17"/>
        <v>-2.8041374774677154E-5</v>
      </c>
      <c r="Y33" s="10">
        <f t="shared" si="18"/>
        <v>7.8631869925390028E-10</v>
      </c>
    </row>
    <row r="34" spans="1:25" x14ac:dyDescent="0.2">
      <c r="A34" s="3">
        <f>Data!A33</f>
        <v>46446</v>
      </c>
      <c r="B34" s="4">
        <f>Data!B33</f>
        <v>4.125</v>
      </c>
      <c r="C34" s="4">
        <f>Data!C33</f>
        <v>100.01600000000001</v>
      </c>
      <c r="D34" s="4">
        <f>Data!D33</f>
        <v>100.026</v>
      </c>
      <c r="E34" s="4">
        <f>Data!F33</f>
        <v>3.94</v>
      </c>
      <c r="F34" s="7">
        <f t="shared" si="0"/>
        <v>100.0859375</v>
      </c>
      <c r="G34" s="3">
        <f t="shared" si="1"/>
        <v>46265</v>
      </c>
      <c r="H34" s="3">
        <f t="shared" si="2"/>
        <v>46446</v>
      </c>
      <c r="I34">
        <f t="shared" si="3"/>
        <v>8</v>
      </c>
      <c r="J34">
        <f t="shared" si="4"/>
        <v>181</v>
      </c>
      <c r="K34" s="7">
        <f t="shared" si="5"/>
        <v>9.1160220994475141E-2</v>
      </c>
      <c r="L34" s="7">
        <f t="shared" si="6"/>
        <v>100.17709772099448</v>
      </c>
      <c r="M34" s="4">
        <f t="shared" si="7"/>
        <v>3.9382025561462752</v>
      </c>
      <c r="N34" s="8">
        <f t="shared" si="8"/>
        <v>-0.17974438537247117</v>
      </c>
      <c r="O34" s="4">
        <f t="shared" si="9"/>
        <v>0.46867192757042847</v>
      </c>
      <c r="P34">
        <f t="shared" si="10"/>
        <v>1</v>
      </c>
      <c r="Q34" s="4">
        <f t="shared" si="11"/>
        <v>0.47397260273972602</v>
      </c>
      <c r="R34">
        <f t="shared" si="12"/>
        <v>1</v>
      </c>
      <c r="S34" s="7">
        <f>SUM(CashFlows!BN34:DU34)</f>
        <v>100.18348498385336</v>
      </c>
      <c r="T34" s="7">
        <f t="shared" si="13"/>
        <v>100.09232476285888</v>
      </c>
      <c r="U34" s="7">
        <f t="shared" si="14"/>
        <v>6.3872628588796942E-3</v>
      </c>
      <c r="V34" s="4">
        <f t="shared" si="15"/>
        <v>3.9246106965877283</v>
      </c>
      <c r="W34" s="8">
        <f t="shared" si="16"/>
        <v>-1.3591859558546915</v>
      </c>
      <c r="X34" s="9">
        <f t="shared" si="17"/>
        <v>1.3604337670314673E-4</v>
      </c>
      <c r="Y34" s="10">
        <f t="shared" si="18"/>
        <v>1.8507800344794285E-8</v>
      </c>
    </row>
    <row r="35" spans="1:25" x14ac:dyDescent="0.2">
      <c r="A35" s="3">
        <f>Data!A34</f>
        <v>46461</v>
      </c>
      <c r="B35" s="4">
        <f>Data!B34</f>
        <v>4.25</v>
      </c>
      <c r="C35" s="4">
        <f>Data!C34</f>
        <v>100.042</v>
      </c>
      <c r="D35" s="4">
        <f>Data!D34</f>
        <v>100.05200000000001</v>
      </c>
      <c r="E35" s="4">
        <f>Data!F34</f>
        <v>3.9260000000000002</v>
      </c>
      <c r="F35" s="7">
        <f t="shared" si="0"/>
        <v>100.1640625</v>
      </c>
      <c r="G35" s="3">
        <f t="shared" si="1"/>
        <v>46096</v>
      </c>
      <c r="H35" s="3">
        <f t="shared" si="2"/>
        <v>46280</v>
      </c>
      <c r="I35">
        <f t="shared" si="3"/>
        <v>177</v>
      </c>
      <c r="J35">
        <f t="shared" si="4"/>
        <v>184</v>
      </c>
      <c r="K35" s="7">
        <f t="shared" si="5"/>
        <v>2.0441576086956523</v>
      </c>
      <c r="L35" s="7">
        <f t="shared" si="6"/>
        <v>102.20822010869566</v>
      </c>
      <c r="M35" s="4">
        <f t="shared" si="7"/>
        <v>3.9260865544423913</v>
      </c>
      <c r="N35" s="8">
        <f t="shared" si="8"/>
        <v>8.6554442391140185E-3</v>
      </c>
      <c r="O35" s="4">
        <f t="shared" si="9"/>
        <v>0.49884150420326157</v>
      </c>
      <c r="P35">
        <f t="shared" si="10"/>
        <v>2</v>
      </c>
      <c r="Q35" s="4">
        <f t="shared" si="11"/>
        <v>0.51506849315068493</v>
      </c>
      <c r="R35">
        <f t="shared" si="12"/>
        <v>1</v>
      </c>
      <c r="S35" s="7">
        <f>SUM(CashFlows!BN35:DU35)</f>
        <v>102.19650713880192</v>
      </c>
      <c r="T35" s="7">
        <f t="shared" si="13"/>
        <v>100.15234953010626</v>
      </c>
      <c r="U35" s="7">
        <f t="shared" si="14"/>
        <v>-1.1712969893736158E-2</v>
      </c>
      <c r="V35" s="4">
        <f t="shared" si="15"/>
        <v>3.949062240635274</v>
      </c>
      <c r="W35" s="8">
        <f t="shared" si="16"/>
        <v>2.2975686192882705</v>
      </c>
      <c r="X35" s="9">
        <f t="shared" si="17"/>
        <v>-2.2973048078823627E-4</v>
      </c>
      <c r="Y35" s="10">
        <f t="shared" si="18"/>
        <v>5.2776093803194197E-8</v>
      </c>
    </row>
    <row r="36" spans="1:25" x14ac:dyDescent="0.2">
      <c r="A36" s="3">
        <f>Data!A35</f>
        <v>46477</v>
      </c>
      <c r="B36" s="4">
        <f>Data!B35</f>
        <v>0.625</v>
      </c>
      <c r="C36" s="4">
        <f>Data!C35</f>
        <v>98.042000000000002</v>
      </c>
      <c r="D36" s="4">
        <f>Data!D35</f>
        <v>98.052000000000007</v>
      </c>
      <c r="E36" s="4">
        <f>Data!F35</f>
        <v>3.9710000000000001</v>
      </c>
      <c r="F36" s="7">
        <f t="shared" si="0"/>
        <v>98.1640625</v>
      </c>
      <c r="G36" s="3">
        <f t="shared" si="1"/>
        <v>46112</v>
      </c>
      <c r="H36" s="3">
        <f t="shared" si="2"/>
        <v>46295</v>
      </c>
      <c r="I36">
        <f t="shared" si="3"/>
        <v>161</v>
      </c>
      <c r="J36">
        <f t="shared" si="4"/>
        <v>183</v>
      </c>
      <c r="K36" s="7">
        <f t="shared" si="5"/>
        <v>0.27493169398907102</v>
      </c>
      <c r="L36" s="7">
        <f t="shared" si="6"/>
        <v>98.438994193989075</v>
      </c>
      <c r="M36" s="4">
        <f t="shared" si="7"/>
        <v>3.9712509576708492</v>
      </c>
      <c r="N36" s="8">
        <f t="shared" si="8"/>
        <v>2.5095767084915011E-2</v>
      </c>
      <c r="O36" s="4">
        <f t="shared" si="9"/>
        <v>0.54765145276043214</v>
      </c>
      <c r="P36">
        <f t="shared" si="10"/>
        <v>2</v>
      </c>
      <c r="Q36" s="4">
        <f t="shared" si="11"/>
        <v>0.55890410958904113</v>
      </c>
      <c r="R36">
        <f t="shared" si="12"/>
        <v>1</v>
      </c>
      <c r="S36" s="7">
        <f>SUM(CashFlows!BN36:DU36)</f>
        <v>98.427611479095916</v>
      </c>
      <c r="T36" s="7">
        <f t="shared" si="13"/>
        <v>98.152679785106841</v>
      </c>
      <c r="U36" s="7">
        <f t="shared" si="14"/>
        <v>-1.1382714893159118E-2</v>
      </c>
      <c r="V36" s="4">
        <f t="shared" si="15"/>
        <v>3.9923674656052079</v>
      </c>
      <c r="W36" s="8">
        <f t="shared" si="16"/>
        <v>2.1116507934358708</v>
      </c>
      <c r="X36" s="9">
        <f t="shared" si="17"/>
        <v>-2.1114191023619748E-4</v>
      </c>
      <c r="Y36" s="10">
        <f t="shared" si="18"/>
        <v>4.4580906258190476E-8</v>
      </c>
    </row>
    <row r="37" spans="1:25" x14ac:dyDescent="0.2">
      <c r="A37" s="3">
        <f>Data!A36</f>
        <v>46477</v>
      </c>
      <c r="B37" s="4">
        <f>Data!B36</f>
        <v>2.5</v>
      </c>
      <c r="C37" s="4">
        <f>Data!C36</f>
        <v>99.052000000000007</v>
      </c>
      <c r="D37" s="4">
        <f>Data!D36</f>
        <v>99.061999999999998</v>
      </c>
      <c r="E37" s="4">
        <f>Data!F36</f>
        <v>3.964</v>
      </c>
      <c r="F37" s="7">
        <f t="shared" si="0"/>
        <v>99.1953125</v>
      </c>
      <c r="G37" s="3">
        <f t="shared" si="1"/>
        <v>46112</v>
      </c>
      <c r="H37" s="3">
        <f t="shared" si="2"/>
        <v>46295</v>
      </c>
      <c r="I37">
        <f t="shared" si="3"/>
        <v>161</v>
      </c>
      <c r="J37">
        <f t="shared" si="4"/>
        <v>183</v>
      </c>
      <c r="K37" s="7">
        <f t="shared" si="5"/>
        <v>1.0997267759562841</v>
      </c>
      <c r="L37" s="7">
        <f t="shared" si="6"/>
        <v>100.29503927595628</v>
      </c>
      <c r="M37" s="4">
        <f t="shared" si="7"/>
        <v>3.9644923103001593</v>
      </c>
      <c r="N37" s="8">
        <f t="shared" si="8"/>
        <v>4.9231030015928212E-2</v>
      </c>
      <c r="O37" s="4">
        <f t="shared" si="9"/>
        <v>0.54312626336405345</v>
      </c>
      <c r="P37">
        <f t="shared" si="10"/>
        <v>2</v>
      </c>
      <c r="Q37" s="4">
        <f t="shared" si="11"/>
        <v>0.55890410958904113</v>
      </c>
      <c r="R37">
        <f t="shared" si="12"/>
        <v>1</v>
      </c>
      <c r="S37" s="7">
        <f>SUM(CashFlows!BN37:DU37)</f>
        <v>100.28000917672807</v>
      </c>
      <c r="T37" s="7">
        <f t="shared" si="13"/>
        <v>99.180282400771787</v>
      </c>
      <c r="U37" s="7">
        <f t="shared" si="14"/>
        <v>-1.5030099228212634E-2</v>
      </c>
      <c r="V37" s="4">
        <f t="shared" si="15"/>
        <v>3.9920881642580541</v>
      </c>
      <c r="W37" s="8">
        <f t="shared" si="16"/>
        <v>2.7595853957894878</v>
      </c>
      <c r="X37" s="9">
        <f t="shared" si="17"/>
        <v>-2.7591898960743414E-4</v>
      </c>
      <c r="Y37" s="10">
        <f t="shared" si="18"/>
        <v>7.6131288825987349E-8</v>
      </c>
    </row>
    <row r="38" spans="1:25" x14ac:dyDescent="0.2">
      <c r="A38" s="3">
        <f>Data!A37</f>
        <v>46477</v>
      </c>
      <c r="B38" s="4">
        <f>Data!B37</f>
        <v>3.875</v>
      </c>
      <c r="C38" s="4">
        <f>Data!C37</f>
        <v>99.293999999999997</v>
      </c>
      <c r="D38" s="4">
        <f>Data!D37</f>
        <v>99.304000000000002</v>
      </c>
      <c r="E38" s="4">
        <f>Data!F37</f>
        <v>3.9569999999999999</v>
      </c>
      <c r="F38" s="7">
        <f t="shared" si="0"/>
        <v>99.953125</v>
      </c>
      <c r="G38" s="3">
        <f t="shared" si="1"/>
        <v>46112</v>
      </c>
      <c r="H38" s="3">
        <f t="shared" si="2"/>
        <v>46295</v>
      </c>
      <c r="I38">
        <f t="shared" si="3"/>
        <v>161</v>
      </c>
      <c r="J38">
        <f t="shared" si="4"/>
        <v>183</v>
      </c>
      <c r="K38" s="7">
        <f t="shared" si="5"/>
        <v>1.7045765027322404</v>
      </c>
      <c r="L38" s="7">
        <f t="shared" si="6"/>
        <v>101.65770150273224</v>
      </c>
      <c r="M38" s="4">
        <f t="shared" si="7"/>
        <v>3.9567769417019978</v>
      </c>
      <c r="N38" s="8">
        <f t="shared" si="8"/>
        <v>-2.2305829800206567E-2</v>
      </c>
      <c r="O38" s="4">
        <f t="shared" si="9"/>
        <v>0.5399204539929835</v>
      </c>
      <c r="P38">
        <f t="shared" si="10"/>
        <v>2</v>
      </c>
      <c r="Q38" s="4">
        <f t="shared" si="11"/>
        <v>0.55890410958904113</v>
      </c>
      <c r="R38">
        <f t="shared" si="12"/>
        <v>1</v>
      </c>
      <c r="S38" s="7">
        <f>SUM(CashFlows!BN38:DU38)</f>
        <v>101.63843415499164</v>
      </c>
      <c r="T38" s="7">
        <f t="shared" si="13"/>
        <v>99.933857652259405</v>
      </c>
      <c r="U38" s="7">
        <f t="shared" si="14"/>
        <v>-1.9267347740594687E-2</v>
      </c>
      <c r="V38" s="4">
        <f t="shared" si="15"/>
        <v>3.9918869587246539</v>
      </c>
      <c r="W38" s="8">
        <f t="shared" si="16"/>
        <v>3.5110017022656148</v>
      </c>
      <c r="X38" s="9">
        <f t="shared" si="17"/>
        <v>-3.5103617148135455E-4</v>
      </c>
      <c r="Y38" s="10">
        <f t="shared" si="18"/>
        <v>1.2322639368828695E-7</v>
      </c>
    </row>
    <row r="39" spans="1:25" x14ac:dyDescent="0.2">
      <c r="A39" s="3">
        <f>Data!A38</f>
        <v>46492</v>
      </c>
      <c r="B39" s="4">
        <f>Data!B38</f>
        <v>4.5</v>
      </c>
      <c r="C39" s="4">
        <f>Data!C38</f>
        <v>100.08199999999999</v>
      </c>
      <c r="D39" s="4">
        <f>Data!D38</f>
        <v>100.092</v>
      </c>
      <c r="E39" s="4">
        <f>Data!F38</f>
        <v>4.0019999999999998</v>
      </c>
      <c r="F39" s="7">
        <f t="shared" si="0"/>
        <v>100.2890625</v>
      </c>
      <c r="G39" s="3">
        <f t="shared" si="1"/>
        <v>46127</v>
      </c>
      <c r="H39" s="3">
        <f t="shared" si="2"/>
        <v>46310</v>
      </c>
      <c r="I39">
        <f t="shared" si="3"/>
        <v>146</v>
      </c>
      <c r="J39">
        <f t="shared" si="4"/>
        <v>183</v>
      </c>
      <c r="K39" s="7">
        <f t="shared" si="5"/>
        <v>1.7950819672131149</v>
      </c>
      <c r="L39" s="7">
        <f t="shared" si="6"/>
        <v>102.08414446721312</v>
      </c>
      <c r="M39" s="4">
        <f t="shared" si="7"/>
        <v>4.0023757248986129</v>
      </c>
      <c r="N39" s="8">
        <f t="shared" si="8"/>
        <v>3.7572489861315006E-2</v>
      </c>
      <c r="O39" s="4">
        <f t="shared" si="9"/>
        <v>0.57853898453907715</v>
      </c>
      <c r="P39">
        <f t="shared" si="10"/>
        <v>2</v>
      </c>
      <c r="Q39" s="4">
        <f t="shared" si="11"/>
        <v>0.6</v>
      </c>
      <c r="R39">
        <f t="shared" si="12"/>
        <v>1</v>
      </c>
      <c r="S39" s="7">
        <f>SUM(CashFlows!BN39:DU39)</f>
        <v>102.07845267175905</v>
      </c>
      <c r="T39" s="7">
        <f t="shared" si="13"/>
        <v>100.28337070454593</v>
      </c>
      <c r="U39" s="7">
        <f t="shared" si="14"/>
        <v>-5.6917954540693927E-3</v>
      </c>
      <c r="V39" s="4">
        <f t="shared" si="15"/>
        <v>4.0120135915880226</v>
      </c>
      <c r="W39" s="8">
        <f t="shared" si="16"/>
        <v>0.96378666894096909</v>
      </c>
      <c r="X39" s="9">
        <f t="shared" si="17"/>
        <v>-9.6373662097561422E-5</v>
      </c>
      <c r="Y39" s="10">
        <f t="shared" si="18"/>
        <v>9.2878827460949465E-9</v>
      </c>
    </row>
    <row r="40" spans="1:25" x14ac:dyDescent="0.2">
      <c r="A40" s="3">
        <f>Data!A39</f>
        <v>46507</v>
      </c>
      <c r="B40" s="4">
        <f>Data!B39</f>
        <v>0.5</v>
      </c>
      <c r="C40" s="4">
        <f>Data!C39</f>
        <v>97.24</v>
      </c>
      <c r="D40" s="4">
        <f>Data!D39</f>
        <v>97.25</v>
      </c>
      <c r="E40" s="4">
        <f>Data!F39</f>
        <v>4.024</v>
      </c>
      <c r="F40" s="7">
        <f t="shared" si="0"/>
        <v>97.78125</v>
      </c>
      <c r="G40" s="3">
        <f t="shared" si="1"/>
        <v>46142</v>
      </c>
      <c r="H40" s="3">
        <f t="shared" si="2"/>
        <v>46326</v>
      </c>
      <c r="I40">
        <f t="shared" si="3"/>
        <v>131</v>
      </c>
      <c r="J40">
        <f t="shared" si="4"/>
        <v>184</v>
      </c>
      <c r="K40" s="7">
        <f t="shared" si="5"/>
        <v>0.17798913043478262</v>
      </c>
      <c r="L40" s="7">
        <f t="shared" si="6"/>
        <v>97.959239130434781</v>
      </c>
      <c r="M40" s="4">
        <f t="shared" si="7"/>
        <v>4.0237048825022912</v>
      </c>
      <c r="N40" s="8">
        <f t="shared" si="8"/>
        <v>-2.9511749770883E-2</v>
      </c>
      <c r="O40" s="4">
        <f t="shared" si="9"/>
        <v>0.63007678334363404</v>
      </c>
      <c r="P40">
        <f t="shared" si="10"/>
        <v>2</v>
      </c>
      <c r="Q40" s="4">
        <f t="shared" si="11"/>
        <v>0.64109589041095894</v>
      </c>
      <c r="R40">
        <f t="shared" si="12"/>
        <v>1</v>
      </c>
      <c r="S40" s="7">
        <f>SUM(CashFlows!BN40:DU40)</f>
        <v>97.961326835538955</v>
      </c>
      <c r="T40" s="7">
        <f t="shared" si="13"/>
        <v>97.783337705104174</v>
      </c>
      <c r="U40" s="7">
        <f t="shared" si="14"/>
        <v>2.0877051041736649E-3</v>
      </c>
      <c r="V40" s="4">
        <f t="shared" si="15"/>
        <v>4.0203225053061917</v>
      </c>
      <c r="W40" s="8">
        <f t="shared" si="16"/>
        <v>-0.3382377196099462</v>
      </c>
      <c r="X40" s="9">
        <f t="shared" si="17"/>
        <v>3.38244133148424E-5</v>
      </c>
      <c r="Y40" s="10">
        <f t="shared" si="18"/>
        <v>1.1440909360932878E-9</v>
      </c>
    </row>
    <row r="41" spans="1:25" x14ac:dyDescent="0.2">
      <c r="A41" s="3">
        <f>Data!A40</f>
        <v>46507</v>
      </c>
      <c r="B41" s="4">
        <f>Data!B40</f>
        <v>2.75</v>
      </c>
      <c r="C41" s="4">
        <f>Data!C40</f>
        <v>99.043999999999997</v>
      </c>
      <c r="D41" s="4">
        <f>Data!D40</f>
        <v>99.054000000000002</v>
      </c>
      <c r="E41" s="4">
        <f>Data!F40</f>
        <v>4.0609999999999999</v>
      </c>
      <c r="F41" s="7">
        <f t="shared" si="0"/>
        <v>99.171875</v>
      </c>
      <c r="G41" s="3">
        <f t="shared" si="1"/>
        <v>46142</v>
      </c>
      <c r="H41" s="3">
        <f t="shared" si="2"/>
        <v>46326</v>
      </c>
      <c r="I41">
        <f t="shared" si="3"/>
        <v>131</v>
      </c>
      <c r="J41">
        <f t="shared" si="4"/>
        <v>184</v>
      </c>
      <c r="K41" s="7">
        <f t="shared" si="5"/>
        <v>0.97894021739130432</v>
      </c>
      <c r="L41" s="7">
        <f t="shared" si="6"/>
        <v>100.1508152173913</v>
      </c>
      <c r="M41" s="4">
        <f t="shared" si="7"/>
        <v>4.0612559120496678</v>
      </c>
      <c r="N41" s="8">
        <f t="shared" si="8"/>
        <v>2.5591204966790571E-2</v>
      </c>
      <c r="O41" s="4">
        <f t="shared" si="9"/>
        <v>0.6245151477356794</v>
      </c>
      <c r="P41">
        <f t="shared" si="10"/>
        <v>2</v>
      </c>
      <c r="Q41" s="4">
        <f t="shared" si="11"/>
        <v>0.64109589041095894</v>
      </c>
      <c r="R41">
        <f t="shared" si="12"/>
        <v>1</v>
      </c>
      <c r="S41" s="7">
        <f>SUM(CashFlows!BN41:DU41)</f>
        <v>100.17677650685755</v>
      </c>
      <c r="T41" s="7">
        <f t="shared" si="13"/>
        <v>99.197836289466252</v>
      </c>
      <c r="U41" s="7">
        <f t="shared" si="14"/>
        <v>2.5961289466252424E-2</v>
      </c>
      <c r="V41" s="4">
        <f t="shared" si="15"/>
        <v>4.0197578437372128</v>
      </c>
      <c r="W41" s="8">
        <f t="shared" si="16"/>
        <v>-4.1498068312455061</v>
      </c>
      <c r="X41" s="9">
        <f t="shared" si="17"/>
        <v>4.1507711935764814E-4</v>
      </c>
      <c r="Y41" s="10">
        <f t="shared" si="18"/>
        <v>1.7228901501424327E-7</v>
      </c>
    </row>
    <row r="42" spans="1:25" x14ac:dyDescent="0.2">
      <c r="A42" s="3">
        <f>Data!A41</f>
        <v>46507</v>
      </c>
      <c r="B42" s="4">
        <f>Data!B41</f>
        <v>3.75</v>
      </c>
      <c r="C42" s="4">
        <f>Data!C41</f>
        <v>99.254000000000005</v>
      </c>
      <c r="D42" s="4">
        <f>Data!D41</f>
        <v>99.263999999999996</v>
      </c>
      <c r="E42" s="4">
        <f>Data!F41</f>
        <v>4.0170000000000003</v>
      </c>
      <c r="F42" s="7">
        <f t="shared" si="0"/>
        <v>99.828125</v>
      </c>
      <c r="G42" s="3">
        <f t="shared" si="1"/>
        <v>46142</v>
      </c>
      <c r="H42" s="3">
        <f t="shared" si="2"/>
        <v>46326</v>
      </c>
      <c r="I42">
        <f t="shared" si="3"/>
        <v>131</v>
      </c>
      <c r="J42">
        <f t="shared" si="4"/>
        <v>184</v>
      </c>
      <c r="K42" s="7">
        <f t="shared" si="5"/>
        <v>1.3349184782608696</v>
      </c>
      <c r="L42" s="7">
        <f t="shared" si="6"/>
        <v>101.16304347826087</v>
      </c>
      <c r="M42" s="4">
        <f t="shared" si="7"/>
        <v>4.0169342149696696</v>
      </c>
      <c r="N42" s="8">
        <f t="shared" si="8"/>
        <v>-6.5785030330722805E-3</v>
      </c>
      <c r="O42" s="4">
        <f t="shared" si="9"/>
        <v>0.62230858783206955</v>
      </c>
      <c r="P42">
        <f t="shared" si="10"/>
        <v>2</v>
      </c>
      <c r="Q42" s="4">
        <f t="shared" si="11"/>
        <v>0.64109589041095894</v>
      </c>
      <c r="R42">
        <f t="shared" si="12"/>
        <v>1</v>
      </c>
      <c r="S42" s="7">
        <f>SUM(CashFlows!BN42:DU42)</f>
        <v>101.16142080522137</v>
      </c>
      <c r="T42" s="7">
        <f t="shared" si="13"/>
        <v>99.826502326960494</v>
      </c>
      <c r="U42" s="7">
        <f t="shared" si="14"/>
        <v>-1.6226730395061395E-3</v>
      </c>
      <c r="V42" s="4">
        <f t="shared" si="15"/>
        <v>4.019511779846888</v>
      </c>
      <c r="W42" s="8">
        <f t="shared" si="16"/>
        <v>0.25775648772183857</v>
      </c>
      <c r="X42" s="9">
        <f t="shared" si="17"/>
        <v>-2.577527690573611E-5</v>
      </c>
      <c r="Y42" s="10">
        <f t="shared" si="18"/>
        <v>6.6436489956737325E-10</v>
      </c>
    </row>
    <row r="43" spans="1:25" x14ac:dyDescent="0.2">
      <c r="A43" s="3">
        <f>Data!A42</f>
        <v>46522</v>
      </c>
      <c r="B43" s="4">
        <f>Data!B42</f>
        <v>2.375</v>
      </c>
      <c r="C43" s="4">
        <f>Data!C42</f>
        <v>98.262</v>
      </c>
      <c r="D43" s="4">
        <f>Data!D42</f>
        <v>98.272000000000006</v>
      </c>
      <c r="E43" s="4">
        <f>Data!F42</f>
        <v>4.0890000000000004</v>
      </c>
      <c r="F43" s="7">
        <f t="shared" si="0"/>
        <v>98.8515625</v>
      </c>
      <c r="G43" s="3">
        <f t="shared" si="1"/>
        <v>46157</v>
      </c>
      <c r="H43" s="3">
        <f t="shared" si="2"/>
        <v>46341</v>
      </c>
      <c r="I43">
        <f t="shared" si="3"/>
        <v>116</v>
      </c>
      <c r="J43">
        <f t="shared" si="4"/>
        <v>184</v>
      </c>
      <c r="K43" s="7">
        <f t="shared" si="5"/>
        <v>0.74864130434782605</v>
      </c>
      <c r="L43" s="7">
        <f t="shared" si="6"/>
        <v>99.600203804347828</v>
      </c>
      <c r="M43" s="4">
        <f t="shared" si="7"/>
        <v>4.0885625208119931</v>
      </c>
      <c r="N43" s="8">
        <f t="shared" si="8"/>
        <v>-4.3747918800729479E-2</v>
      </c>
      <c r="O43" s="4">
        <f t="shared" si="9"/>
        <v>0.66526578878141829</v>
      </c>
      <c r="P43">
        <f t="shared" si="10"/>
        <v>2</v>
      </c>
      <c r="Q43" s="4">
        <f t="shared" si="11"/>
        <v>0.68219178082191778</v>
      </c>
      <c r="R43">
        <f t="shared" si="12"/>
        <v>1</v>
      </c>
      <c r="S43" s="7">
        <f>SUM(CashFlows!BN43:DU43)</f>
        <v>99.631921828576466</v>
      </c>
      <c r="T43" s="7">
        <f t="shared" si="13"/>
        <v>98.883280524228638</v>
      </c>
      <c r="U43" s="7">
        <f t="shared" si="14"/>
        <v>3.1718024228638342E-2</v>
      </c>
      <c r="V43" s="4">
        <f t="shared" si="15"/>
        <v>4.0407072028680942</v>
      </c>
      <c r="W43" s="8">
        <f t="shared" si="16"/>
        <v>-4.7855317943898967</v>
      </c>
      <c r="X43" s="9">
        <f t="shared" si="17"/>
        <v>4.7868598124575231E-4</v>
      </c>
      <c r="Y43" s="10">
        <f t="shared" si="18"/>
        <v>2.2914026864120872E-7</v>
      </c>
    </row>
    <row r="44" spans="1:25" x14ac:dyDescent="0.2">
      <c r="A44" s="3">
        <f>Data!A43</f>
        <v>46522</v>
      </c>
      <c r="B44" s="4">
        <f>Data!B43</f>
        <v>4.5</v>
      </c>
      <c r="C44" s="4">
        <f>Data!C43</f>
        <v>100.074</v>
      </c>
      <c r="D44" s="4">
        <f>Data!D43</f>
        <v>100.084</v>
      </c>
      <c r="E44" s="4">
        <f>Data!F43</f>
        <v>4.0949999999999998</v>
      </c>
      <c r="F44" s="7">
        <f t="shared" si="0"/>
        <v>100.265625</v>
      </c>
      <c r="G44" s="3">
        <f t="shared" si="1"/>
        <v>46157</v>
      </c>
      <c r="H44" s="3">
        <f t="shared" si="2"/>
        <v>46341</v>
      </c>
      <c r="I44">
        <f t="shared" si="3"/>
        <v>116</v>
      </c>
      <c r="J44">
        <f t="shared" si="4"/>
        <v>184</v>
      </c>
      <c r="K44" s="7">
        <f t="shared" si="5"/>
        <v>1.4184782608695652</v>
      </c>
      <c r="L44" s="7">
        <f t="shared" si="6"/>
        <v>101.68410326086956</v>
      </c>
      <c r="M44" s="4">
        <f t="shared" si="7"/>
        <v>4.0947295099176131</v>
      </c>
      <c r="N44" s="8">
        <f t="shared" si="8"/>
        <v>-2.7049008238666516E-2</v>
      </c>
      <c r="O44" s="4">
        <f t="shared" si="9"/>
        <v>0.66028308589060014</v>
      </c>
      <c r="P44">
        <f t="shared" si="10"/>
        <v>2</v>
      </c>
      <c r="Q44" s="4">
        <f t="shared" si="11"/>
        <v>0.68219178082191778</v>
      </c>
      <c r="R44">
        <f t="shared" si="12"/>
        <v>1</v>
      </c>
      <c r="S44" s="7">
        <f>SUM(CashFlows!BN44:DU44)</f>
        <v>101.72079530696178</v>
      </c>
      <c r="T44" s="7">
        <f t="shared" si="13"/>
        <v>100.30231704609221</v>
      </c>
      <c r="U44" s="7">
        <f t="shared" si="14"/>
        <v>3.6692046092213104E-2</v>
      </c>
      <c r="V44" s="4">
        <f t="shared" si="15"/>
        <v>4.0400969826473645</v>
      </c>
      <c r="W44" s="8">
        <f t="shared" si="16"/>
        <v>-5.4632527270248588</v>
      </c>
      <c r="X44" s="9">
        <f t="shared" si="17"/>
        <v>5.4649814867520623E-4</v>
      </c>
      <c r="Y44" s="10">
        <f t="shared" si="18"/>
        <v>2.9866022650542782E-7</v>
      </c>
    </row>
    <row r="45" spans="1:25" x14ac:dyDescent="0.2">
      <c r="A45" s="3">
        <f>Data!A44</f>
        <v>46538</v>
      </c>
      <c r="B45" s="4">
        <f>Data!B44</f>
        <v>0.5</v>
      </c>
      <c r="C45" s="4">
        <f>Data!C44</f>
        <v>97.14</v>
      </c>
      <c r="D45" s="4">
        <f>Data!D44</f>
        <v>97.15</v>
      </c>
      <c r="E45" s="4">
        <f>Data!F44</f>
        <v>4.069</v>
      </c>
      <c r="F45" s="7">
        <f t="shared" si="0"/>
        <v>97.46875</v>
      </c>
      <c r="G45" s="3">
        <f t="shared" si="1"/>
        <v>46173</v>
      </c>
      <c r="H45" s="3">
        <f t="shared" si="2"/>
        <v>46356</v>
      </c>
      <c r="I45">
        <f t="shared" si="3"/>
        <v>100</v>
      </c>
      <c r="J45">
        <f t="shared" si="4"/>
        <v>183</v>
      </c>
      <c r="K45" s="7">
        <f t="shared" si="5"/>
        <v>0.13661202185792351</v>
      </c>
      <c r="L45" s="7">
        <f t="shared" si="6"/>
        <v>97.605362021857928</v>
      </c>
      <c r="M45" s="4">
        <f t="shared" si="7"/>
        <v>4.0690279590898175</v>
      </c>
      <c r="N45" s="8">
        <f t="shared" si="8"/>
        <v>2.795908981756412E-3</v>
      </c>
      <c r="O45" s="4">
        <f t="shared" si="9"/>
        <v>0.71104071183184647</v>
      </c>
      <c r="P45">
        <f t="shared" si="10"/>
        <v>2</v>
      </c>
      <c r="Q45" s="4">
        <f t="shared" si="11"/>
        <v>0.72602739726027399</v>
      </c>
      <c r="R45">
        <f t="shared" si="12"/>
        <v>1</v>
      </c>
      <c r="S45" s="7">
        <f>SUM(CashFlows!BN45:DU45)</f>
        <v>97.604054674787704</v>
      </c>
      <c r="T45" s="7">
        <f t="shared" si="13"/>
        <v>97.467442652929776</v>
      </c>
      <c r="U45" s="7">
        <f t="shared" si="14"/>
        <v>-1.307347070223841E-3</v>
      </c>
      <c r="V45" s="4">
        <f t="shared" si="15"/>
        <v>4.0709117281959246</v>
      </c>
      <c r="W45" s="8">
        <f t="shared" si="16"/>
        <v>0.18837691061071027</v>
      </c>
      <c r="X45" s="9">
        <f t="shared" si="17"/>
        <v>-1.8837477806518996E-5</v>
      </c>
      <c r="Y45" s="10">
        <f t="shared" si="18"/>
        <v>3.5485057011109576E-10</v>
      </c>
    </row>
    <row r="46" spans="1:25" x14ac:dyDescent="0.2">
      <c r="A46" s="3">
        <f>Data!A45</f>
        <v>46538</v>
      </c>
      <c r="B46" s="4">
        <f>Data!B45</f>
        <v>2.625</v>
      </c>
      <c r="C46" s="4">
        <f>Data!C45</f>
        <v>98.302000000000007</v>
      </c>
      <c r="D46" s="4">
        <f>Data!D45</f>
        <v>98.311999999999998</v>
      </c>
      <c r="E46" s="4">
        <f>Data!F45</f>
        <v>4.0640000000000001</v>
      </c>
      <c r="F46" s="7">
        <f t="shared" si="0"/>
        <v>98.9765625</v>
      </c>
      <c r="G46" s="3">
        <f t="shared" si="1"/>
        <v>46173</v>
      </c>
      <c r="H46" s="3">
        <f t="shared" si="2"/>
        <v>46356</v>
      </c>
      <c r="I46">
        <f t="shared" si="3"/>
        <v>100</v>
      </c>
      <c r="J46">
        <f t="shared" si="4"/>
        <v>183</v>
      </c>
      <c r="K46" s="7">
        <f t="shared" si="5"/>
        <v>0.71721311475409832</v>
      </c>
      <c r="L46" s="7">
        <f t="shared" si="6"/>
        <v>99.693775614754102</v>
      </c>
      <c r="M46" s="4">
        <f t="shared" si="7"/>
        <v>4.0637275549969285</v>
      </c>
      <c r="N46" s="8">
        <f t="shared" si="8"/>
        <v>-2.7244500307155306E-2</v>
      </c>
      <c r="O46" s="4">
        <f t="shared" si="9"/>
        <v>0.70590995164473436</v>
      </c>
      <c r="P46">
        <f t="shared" si="10"/>
        <v>2</v>
      </c>
      <c r="Q46" s="4">
        <f t="shared" si="11"/>
        <v>0.72602739726027399</v>
      </c>
      <c r="R46">
        <f t="shared" si="12"/>
        <v>1</v>
      </c>
      <c r="S46" s="7">
        <f>SUM(CashFlows!BN46:DU46)</f>
        <v>99.689284693960047</v>
      </c>
      <c r="T46" s="7">
        <f t="shared" si="13"/>
        <v>98.972071579205945</v>
      </c>
      <c r="U46" s="7">
        <f t="shared" si="14"/>
        <v>-4.4909207940548868E-3</v>
      </c>
      <c r="V46" s="4">
        <f t="shared" si="15"/>
        <v>4.0701092299605257</v>
      </c>
      <c r="W46" s="8">
        <f t="shared" si="16"/>
        <v>0.63816749635972059</v>
      </c>
      <c r="X46" s="9">
        <f t="shared" si="17"/>
        <v>-6.3814305498714185E-5</v>
      </c>
      <c r="Y46" s="10">
        <f t="shared" si="18"/>
        <v>4.0722655862832232E-9</v>
      </c>
    </row>
    <row r="47" spans="1:25" x14ac:dyDescent="0.2">
      <c r="A47" s="3">
        <f>Data!A46</f>
        <v>46538</v>
      </c>
      <c r="B47" s="4">
        <f>Data!B46</f>
        <v>3.875</v>
      </c>
      <c r="C47" s="4">
        <f>Data!C46</f>
        <v>99.262</v>
      </c>
      <c r="D47" s="4">
        <f>Data!D46</f>
        <v>99.272000000000006</v>
      </c>
      <c r="E47" s="4">
        <f>Data!F46</f>
        <v>4.0780000000000003</v>
      </c>
      <c r="F47" s="7">
        <f t="shared" si="0"/>
        <v>99.8515625</v>
      </c>
      <c r="G47" s="3">
        <f t="shared" si="1"/>
        <v>46173</v>
      </c>
      <c r="H47" s="3">
        <f t="shared" si="2"/>
        <v>46356</v>
      </c>
      <c r="I47">
        <f t="shared" si="3"/>
        <v>100</v>
      </c>
      <c r="J47">
        <f t="shared" si="4"/>
        <v>183</v>
      </c>
      <c r="K47" s="7">
        <f t="shared" si="5"/>
        <v>1.0587431693989071</v>
      </c>
      <c r="L47" s="7">
        <f t="shared" si="6"/>
        <v>100.91030566939891</v>
      </c>
      <c r="M47" s="4">
        <f t="shared" si="7"/>
        <v>4.0775205447718186</v>
      </c>
      <c r="N47" s="8">
        <f t="shared" si="8"/>
        <v>-4.7945522818171327E-2</v>
      </c>
      <c r="O47" s="4">
        <f t="shared" si="9"/>
        <v>0.70293222063084371</v>
      </c>
      <c r="P47">
        <f t="shared" si="10"/>
        <v>2</v>
      </c>
      <c r="Q47" s="4">
        <f t="shared" si="11"/>
        <v>0.72602739726027399</v>
      </c>
      <c r="R47">
        <f t="shared" si="12"/>
        <v>1</v>
      </c>
      <c r="S47" s="7">
        <f>SUM(CashFlows!BN47:DU47)</f>
        <v>100.91589058759084</v>
      </c>
      <c r="T47" s="7">
        <f t="shared" si="13"/>
        <v>99.857147418191929</v>
      </c>
      <c r="U47" s="7">
        <f t="shared" si="14"/>
        <v>5.5849181919285229E-3</v>
      </c>
      <c r="V47" s="4">
        <f t="shared" si="15"/>
        <v>4.0696474162819074</v>
      </c>
      <c r="W47" s="8">
        <f t="shared" si="16"/>
        <v>-0.78731284899111742</v>
      </c>
      <c r="X47" s="9">
        <f t="shared" si="17"/>
        <v>7.8735002117064225E-5</v>
      </c>
      <c r="Y47" s="10">
        <f t="shared" si="18"/>
        <v>6.1992005583741077E-9</v>
      </c>
    </row>
    <row r="48" spans="1:25" x14ac:dyDescent="0.2">
      <c r="A48" s="3">
        <f>Data!A47</f>
        <v>46553</v>
      </c>
      <c r="B48" s="4">
        <f>Data!B47</f>
        <v>4.625</v>
      </c>
      <c r="C48" s="4">
        <f>Data!C47</f>
        <v>100.114</v>
      </c>
      <c r="D48" s="4">
        <f>Data!D47</f>
        <v>100.124</v>
      </c>
      <c r="E48" s="4">
        <f>Data!F47</f>
        <v>4.0949999999999998</v>
      </c>
      <c r="F48" s="7">
        <f t="shared" si="0"/>
        <v>100.390625</v>
      </c>
      <c r="G48" s="3">
        <f t="shared" si="1"/>
        <v>46188</v>
      </c>
      <c r="H48" s="3">
        <f t="shared" si="2"/>
        <v>46371</v>
      </c>
      <c r="I48">
        <f t="shared" si="3"/>
        <v>85</v>
      </c>
      <c r="J48">
        <f t="shared" si="4"/>
        <v>183</v>
      </c>
      <c r="K48" s="7">
        <f t="shared" si="5"/>
        <v>1.0741120218579234</v>
      </c>
      <c r="L48" s="7">
        <f t="shared" si="6"/>
        <v>101.46473702185793</v>
      </c>
      <c r="M48" s="4">
        <f t="shared" si="7"/>
        <v>4.0951947774742345</v>
      </c>
      <c r="N48" s="8">
        <f t="shared" si="8"/>
        <v>1.9477747423479741E-2</v>
      </c>
      <c r="O48" s="4">
        <f t="shared" si="9"/>
        <v>0.74130799968052119</v>
      </c>
      <c r="P48">
        <f t="shared" si="10"/>
        <v>2</v>
      </c>
      <c r="Q48" s="4">
        <f t="shared" si="11"/>
        <v>0.76712328767123283</v>
      </c>
      <c r="R48">
        <f t="shared" si="12"/>
        <v>1</v>
      </c>
      <c r="S48" s="7">
        <f>SUM(CashFlows!BN48:DU48)</f>
        <v>101.47112521204924</v>
      </c>
      <c r="T48" s="7">
        <f t="shared" si="13"/>
        <v>100.39701319019132</v>
      </c>
      <c r="U48" s="7">
        <f t="shared" si="14"/>
        <v>6.3881901913163119E-3</v>
      </c>
      <c r="V48" s="4">
        <f t="shared" si="15"/>
        <v>4.0867021675256714</v>
      </c>
      <c r="W48" s="8">
        <f t="shared" si="16"/>
        <v>-0.84926099485631568</v>
      </c>
      <c r="X48" s="9">
        <f t="shared" si="17"/>
        <v>8.4930565691741905E-5</v>
      </c>
      <c r="Y48" s="10">
        <f t="shared" si="18"/>
        <v>7.2132009887192874E-9</v>
      </c>
    </row>
    <row r="49" spans="1:25" x14ac:dyDescent="0.2">
      <c r="A49" s="3">
        <f>Data!A48</f>
        <v>46568</v>
      </c>
      <c r="B49" s="4">
        <f>Data!B48</f>
        <v>0.5</v>
      </c>
      <c r="C49" s="4">
        <f>Data!C48</f>
        <v>97.034000000000006</v>
      </c>
      <c r="D49" s="4">
        <f>Data!D48</f>
        <v>97.043999999999997</v>
      </c>
      <c r="E49" s="4">
        <f>Data!F48</f>
        <v>4.1260000000000003</v>
      </c>
      <c r="F49" s="7">
        <f t="shared" si="0"/>
        <v>97.140625</v>
      </c>
      <c r="G49" s="3">
        <f t="shared" si="1"/>
        <v>46203</v>
      </c>
      <c r="H49" s="3">
        <f t="shared" si="2"/>
        <v>46387</v>
      </c>
      <c r="I49">
        <f t="shared" si="3"/>
        <v>70</v>
      </c>
      <c r="J49">
        <f t="shared" si="4"/>
        <v>184</v>
      </c>
      <c r="K49" s="7">
        <f t="shared" si="5"/>
        <v>9.5108695652173919E-2</v>
      </c>
      <c r="L49" s="7">
        <f t="shared" si="6"/>
        <v>97.235733695652172</v>
      </c>
      <c r="M49" s="4">
        <f t="shared" si="7"/>
        <v>4.1258880027104778</v>
      </c>
      <c r="N49" s="8">
        <f t="shared" si="8"/>
        <v>-1.1199728952249188E-2</v>
      </c>
      <c r="O49" s="4">
        <f t="shared" si="9"/>
        <v>0.79217118626660188</v>
      </c>
      <c r="P49">
        <f t="shared" si="10"/>
        <v>2</v>
      </c>
      <c r="Q49" s="4">
        <f t="shared" si="11"/>
        <v>0.80821917808219179</v>
      </c>
      <c r="R49">
        <f t="shared" si="12"/>
        <v>1</v>
      </c>
      <c r="S49" s="7">
        <f>SUM(CashFlows!BN49:DU49)</f>
        <v>97.255790371876387</v>
      </c>
      <c r="T49" s="7">
        <f t="shared" si="13"/>
        <v>97.160681676224215</v>
      </c>
      <c r="U49" s="7">
        <f t="shared" si="14"/>
        <v>2.0056676224214698E-2</v>
      </c>
      <c r="V49" s="4">
        <f t="shared" si="15"/>
        <v>4.0998539667699543</v>
      </c>
      <c r="W49" s="8">
        <f t="shared" si="16"/>
        <v>-2.6034035940523559</v>
      </c>
      <c r="X49" s="9">
        <f t="shared" si="17"/>
        <v>2.6038383941763131E-4</v>
      </c>
      <c r="Y49" s="10">
        <f t="shared" si="18"/>
        <v>6.7799743829866811E-8</v>
      </c>
    </row>
    <row r="50" spans="1:25" x14ac:dyDescent="0.2">
      <c r="A50" s="3">
        <f>Data!A49</f>
        <v>46568</v>
      </c>
      <c r="B50" s="4">
        <f>Data!B49</f>
        <v>3.25</v>
      </c>
      <c r="C50" s="4">
        <f>Data!C49</f>
        <v>99.091999999999999</v>
      </c>
      <c r="D50" s="4">
        <f>Data!D49</f>
        <v>99.102000000000004</v>
      </c>
      <c r="E50" s="4">
        <f>Data!F49</f>
        <v>4.1070000000000002</v>
      </c>
      <c r="F50" s="7">
        <f t="shared" si="0"/>
        <v>99.3203125</v>
      </c>
      <c r="G50" s="3">
        <f t="shared" si="1"/>
        <v>46203</v>
      </c>
      <c r="H50" s="3">
        <f t="shared" si="2"/>
        <v>46387</v>
      </c>
      <c r="I50">
        <f t="shared" si="3"/>
        <v>70</v>
      </c>
      <c r="J50">
        <f t="shared" si="4"/>
        <v>184</v>
      </c>
      <c r="K50" s="7">
        <f t="shared" si="5"/>
        <v>0.61820652173913049</v>
      </c>
      <c r="L50" s="7">
        <f t="shared" si="6"/>
        <v>99.938519021739125</v>
      </c>
      <c r="M50" s="4">
        <f t="shared" si="7"/>
        <v>4.1070357744845483</v>
      </c>
      <c r="N50" s="8">
        <f t="shared" si="8"/>
        <v>3.5774484548056762E-3</v>
      </c>
      <c r="O50" s="4">
        <f t="shared" si="9"/>
        <v>0.78562147991468023</v>
      </c>
      <c r="P50">
        <f t="shared" si="10"/>
        <v>2</v>
      </c>
      <c r="Q50" s="4">
        <f t="shared" si="11"/>
        <v>0.80821917808219179</v>
      </c>
      <c r="R50">
        <f t="shared" si="12"/>
        <v>1</v>
      </c>
      <c r="S50" s="7">
        <f>SUM(CashFlows!BN50:DU50)</f>
        <v>99.944970168101023</v>
      </c>
      <c r="T50" s="7">
        <f t="shared" si="13"/>
        <v>99.326763646361897</v>
      </c>
      <c r="U50" s="7">
        <f t="shared" si="14"/>
        <v>6.4511463618970311E-3</v>
      </c>
      <c r="V50" s="4">
        <f t="shared" si="15"/>
        <v>4.0988196352086188</v>
      </c>
      <c r="W50" s="8">
        <f t="shared" si="16"/>
        <v>-0.82161392759294571</v>
      </c>
      <c r="X50" s="9">
        <f t="shared" si="17"/>
        <v>8.2165714594084559E-5</v>
      </c>
      <c r="Y50" s="10">
        <f t="shared" si="18"/>
        <v>6.7512046547565601E-9</v>
      </c>
    </row>
    <row r="51" spans="1:25" x14ac:dyDescent="0.2">
      <c r="A51" s="3">
        <f>Data!A50</f>
        <v>46568</v>
      </c>
      <c r="B51" s="4">
        <f>Data!B50</f>
        <v>3.75</v>
      </c>
      <c r="C51" s="4">
        <f>Data!C50</f>
        <v>99.212000000000003</v>
      </c>
      <c r="D51" s="4">
        <f>Data!D50</f>
        <v>99.221999999999994</v>
      </c>
      <c r="E51" s="4">
        <f>Data!F50</f>
        <v>4.1310000000000002</v>
      </c>
      <c r="F51" s="7">
        <f t="shared" si="0"/>
        <v>99.6953125</v>
      </c>
      <c r="G51" s="3">
        <f t="shared" si="1"/>
        <v>46203</v>
      </c>
      <c r="H51" s="3">
        <f t="shared" si="2"/>
        <v>46387</v>
      </c>
      <c r="I51">
        <f t="shared" si="3"/>
        <v>70</v>
      </c>
      <c r="J51">
        <f t="shared" si="4"/>
        <v>184</v>
      </c>
      <c r="K51" s="7">
        <f t="shared" si="5"/>
        <v>0.71331521739130432</v>
      </c>
      <c r="L51" s="7">
        <f t="shared" si="6"/>
        <v>100.4086277173913</v>
      </c>
      <c r="M51" s="4">
        <f t="shared" si="7"/>
        <v>4.1307332952758982</v>
      </c>
      <c r="N51" s="8">
        <f t="shared" si="8"/>
        <v>-2.6670472410206258E-2</v>
      </c>
      <c r="O51" s="4">
        <f t="shared" si="9"/>
        <v>0.78436329785015446</v>
      </c>
      <c r="P51">
        <f t="shared" si="10"/>
        <v>2</v>
      </c>
      <c r="Q51" s="4">
        <f t="shared" si="11"/>
        <v>0.80821917808219179</v>
      </c>
      <c r="R51">
        <f t="shared" si="12"/>
        <v>1</v>
      </c>
      <c r="S51" s="7">
        <f>SUM(CashFlows!BN51:DU51)</f>
        <v>100.43391194923277</v>
      </c>
      <c r="T51" s="7">
        <f t="shared" si="13"/>
        <v>99.720596731841468</v>
      </c>
      <c r="U51" s="7">
        <f t="shared" si="14"/>
        <v>2.5284231841467886E-2</v>
      </c>
      <c r="V51" s="4">
        <f t="shared" si="15"/>
        <v>4.0986357174097634</v>
      </c>
      <c r="W51" s="8">
        <f t="shared" si="16"/>
        <v>-3.2097577866134763</v>
      </c>
      <c r="X51" s="9">
        <f t="shared" si="17"/>
        <v>3.2104171626125641E-4</v>
      </c>
      <c r="Y51" s="10">
        <f t="shared" si="18"/>
        <v>1.0306778357997307E-7</v>
      </c>
    </row>
    <row r="52" spans="1:25" x14ac:dyDescent="0.2">
      <c r="A52" s="3">
        <f>Data!A51</f>
        <v>46583</v>
      </c>
      <c r="B52" s="4">
        <f>Data!B51</f>
        <v>4.375</v>
      </c>
      <c r="C52" s="4">
        <f>Data!C51</f>
        <v>100.05</v>
      </c>
      <c r="D52" s="4">
        <f>Data!D51</f>
        <v>100.06</v>
      </c>
      <c r="E52" s="4">
        <f>Data!F51</f>
        <v>4.1429999999999998</v>
      </c>
      <c r="F52" s="7">
        <f t="shared" si="0"/>
        <v>100.1875</v>
      </c>
      <c r="G52" s="3">
        <f t="shared" si="1"/>
        <v>46218</v>
      </c>
      <c r="H52" s="3">
        <f t="shared" si="2"/>
        <v>46402</v>
      </c>
      <c r="I52">
        <f t="shared" si="3"/>
        <v>55</v>
      </c>
      <c r="J52">
        <f t="shared" si="4"/>
        <v>184</v>
      </c>
      <c r="K52" s="7">
        <f t="shared" si="5"/>
        <v>0.65387228260869568</v>
      </c>
      <c r="L52" s="7">
        <f t="shared" si="6"/>
        <v>100.8413722826087</v>
      </c>
      <c r="M52" s="4">
        <f t="shared" si="7"/>
        <v>4.1426989651348576</v>
      </c>
      <c r="N52" s="8">
        <f t="shared" si="8"/>
        <v>-3.0103486514221345E-2</v>
      </c>
      <c r="O52" s="4">
        <f t="shared" si="9"/>
        <v>0.82280877478916503</v>
      </c>
      <c r="P52">
        <f t="shared" si="10"/>
        <v>2</v>
      </c>
      <c r="Q52" s="4">
        <f t="shared" si="11"/>
        <v>0.84931506849315064</v>
      </c>
      <c r="R52">
        <f t="shared" si="12"/>
        <v>1</v>
      </c>
      <c r="S52" s="7">
        <f>SUM(CashFlows!BN52:DU52)</f>
        <v>100.86367155437044</v>
      </c>
      <c r="T52" s="7">
        <f t="shared" si="13"/>
        <v>100.20979927176174</v>
      </c>
      <c r="U52" s="7">
        <f t="shared" si="14"/>
        <v>2.2299271761738737E-2</v>
      </c>
      <c r="V52" s="4">
        <f t="shared" si="15"/>
        <v>4.1158284455087779</v>
      </c>
      <c r="W52" s="8">
        <f t="shared" si="16"/>
        <v>-2.687051962607967</v>
      </c>
      <c r="X52" s="9">
        <f t="shared" si="17"/>
        <v>2.6875281302647457E-4</v>
      </c>
      <c r="Y52" s="10">
        <f t="shared" si="18"/>
        <v>7.2228074509643201E-8</v>
      </c>
    </row>
    <row r="53" spans="1:25" x14ac:dyDescent="0.2">
      <c r="A53" s="3">
        <f>Data!A52</f>
        <v>46599</v>
      </c>
      <c r="B53" s="4">
        <f>Data!B52</f>
        <v>0.375</v>
      </c>
      <c r="C53" s="4">
        <f>Data!C52</f>
        <v>96.213999999999999</v>
      </c>
      <c r="D53" s="4">
        <f>Data!D52</f>
        <v>96.224000000000004</v>
      </c>
      <c r="E53" s="4">
        <f>Data!F52</f>
        <v>4.17</v>
      </c>
      <c r="F53" s="7">
        <f t="shared" si="0"/>
        <v>96.703125</v>
      </c>
      <c r="G53" s="3">
        <f t="shared" si="1"/>
        <v>46234</v>
      </c>
      <c r="H53" s="3">
        <f t="shared" si="2"/>
        <v>46418</v>
      </c>
      <c r="I53">
        <f t="shared" si="3"/>
        <v>39</v>
      </c>
      <c r="J53">
        <f t="shared" si="4"/>
        <v>184</v>
      </c>
      <c r="K53" s="7">
        <f t="shared" si="5"/>
        <v>3.974184782608696E-2</v>
      </c>
      <c r="L53" s="7">
        <f t="shared" si="6"/>
        <v>96.742866847826093</v>
      </c>
      <c r="M53" s="4">
        <f t="shared" si="7"/>
        <v>4.169787771714998</v>
      </c>
      <c r="N53" s="8">
        <f t="shared" si="8"/>
        <v>-2.1222828500189195E-2</v>
      </c>
      <c r="O53" s="4">
        <f t="shared" si="9"/>
        <v>0.87482904855131494</v>
      </c>
      <c r="P53">
        <f t="shared" si="10"/>
        <v>2</v>
      </c>
      <c r="Q53" s="4">
        <f t="shared" si="11"/>
        <v>0.89315068493150684</v>
      </c>
      <c r="R53">
        <f t="shared" si="12"/>
        <v>1</v>
      </c>
      <c r="S53" s="7">
        <f>SUM(CashFlows!BN53:DU53)</f>
        <v>96.772112071093503</v>
      </c>
      <c r="T53" s="7">
        <f t="shared" si="13"/>
        <v>96.732370223267409</v>
      </c>
      <c r="U53" s="7">
        <f t="shared" si="14"/>
        <v>2.9245223267409415E-2</v>
      </c>
      <c r="V53" s="4">
        <f t="shared" si="15"/>
        <v>4.1352407690617081</v>
      </c>
      <c r="W53" s="8">
        <f t="shared" si="16"/>
        <v>-3.4547002653289915</v>
      </c>
      <c r="X53" s="9">
        <f t="shared" si="17"/>
        <v>3.4555150831699802E-4</v>
      </c>
      <c r="Y53" s="10">
        <f t="shared" si="18"/>
        <v>1.1940584490015236E-7</v>
      </c>
    </row>
    <row r="54" spans="1:25" x14ac:dyDescent="0.2">
      <c r="A54" s="3">
        <f>Data!A53</f>
        <v>46599</v>
      </c>
      <c r="B54" s="4">
        <f>Data!B53</f>
        <v>2.75</v>
      </c>
      <c r="C54" s="4">
        <f>Data!C53</f>
        <v>98.231999999999999</v>
      </c>
      <c r="D54" s="4">
        <f>Data!D53</f>
        <v>98.242000000000004</v>
      </c>
      <c r="E54" s="4">
        <f>Data!F53</f>
        <v>4.1769999999999996</v>
      </c>
      <c r="F54" s="7">
        <f t="shared" si="0"/>
        <v>98.7578125</v>
      </c>
      <c r="G54" s="3">
        <f t="shared" si="1"/>
        <v>46234</v>
      </c>
      <c r="H54" s="3">
        <f t="shared" si="2"/>
        <v>46418</v>
      </c>
      <c r="I54">
        <f t="shared" si="3"/>
        <v>39</v>
      </c>
      <c r="J54">
        <f t="shared" si="4"/>
        <v>184</v>
      </c>
      <c r="K54" s="7">
        <f t="shared" si="5"/>
        <v>0.29144021739130432</v>
      </c>
      <c r="L54" s="7">
        <f t="shared" si="6"/>
        <v>99.049252717391298</v>
      </c>
      <c r="M54" s="4">
        <f t="shared" si="7"/>
        <v>4.177275253068081</v>
      </c>
      <c r="N54" s="8">
        <f t="shared" si="8"/>
        <v>2.7525306808140471E-2</v>
      </c>
      <c r="O54" s="4">
        <f t="shared" si="9"/>
        <v>0.86904176622128526</v>
      </c>
      <c r="P54">
        <f t="shared" si="10"/>
        <v>2</v>
      </c>
      <c r="Q54" s="4">
        <f t="shared" si="11"/>
        <v>0.89315068493150684</v>
      </c>
      <c r="R54">
        <f t="shared" si="12"/>
        <v>1</v>
      </c>
      <c r="S54" s="7">
        <f>SUM(CashFlows!BN54:DU54)</f>
        <v>99.086275478547506</v>
      </c>
      <c r="T54" s="7">
        <f t="shared" si="13"/>
        <v>98.794835261156209</v>
      </c>
      <c r="U54" s="7">
        <f t="shared" si="14"/>
        <v>3.7022761156208617E-2</v>
      </c>
      <c r="V54" s="4">
        <f t="shared" si="15"/>
        <v>4.1342771081471952</v>
      </c>
      <c r="W54" s="8">
        <f t="shared" si="16"/>
        <v>-4.2998144920885828</v>
      </c>
      <c r="X54" s="9">
        <f t="shared" si="17"/>
        <v>4.3010743775901133E-4</v>
      </c>
      <c r="Y54" s="10">
        <f t="shared" si="18"/>
        <v>1.8499240801562179E-7</v>
      </c>
    </row>
    <row r="55" spans="1:25" x14ac:dyDescent="0.2">
      <c r="A55" s="3">
        <f>Data!A54</f>
        <v>46599</v>
      </c>
      <c r="B55" s="4">
        <f>Data!B54</f>
        <v>3.875</v>
      </c>
      <c r="C55" s="4">
        <f>Data!C54</f>
        <v>99.225999999999999</v>
      </c>
      <c r="D55" s="4">
        <f>Data!D54</f>
        <v>99.236000000000004</v>
      </c>
      <c r="E55" s="4">
        <f>Data!F54</f>
        <v>4.1680000000000001</v>
      </c>
      <c r="F55" s="7">
        <f t="shared" si="0"/>
        <v>99.7421875</v>
      </c>
      <c r="G55" s="3">
        <f t="shared" si="1"/>
        <v>46234</v>
      </c>
      <c r="H55" s="3">
        <f t="shared" si="2"/>
        <v>46418</v>
      </c>
      <c r="I55">
        <f t="shared" si="3"/>
        <v>39</v>
      </c>
      <c r="J55">
        <f t="shared" si="4"/>
        <v>184</v>
      </c>
      <c r="K55" s="7">
        <f t="shared" si="5"/>
        <v>0.41066576086956524</v>
      </c>
      <c r="L55" s="7">
        <f t="shared" si="6"/>
        <v>100.15285326086956</v>
      </c>
      <c r="M55" s="4">
        <f t="shared" si="7"/>
        <v>4.167939923895025</v>
      </c>
      <c r="N55" s="8">
        <f t="shared" si="8"/>
        <v>-6.0076104975159694E-3</v>
      </c>
      <c r="O55" s="4">
        <f t="shared" si="9"/>
        <v>0.86644844648922126</v>
      </c>
      <c r="P55">
        <f t="shared" si="10"/>
        <v>2</v>
      </c>
      <c r="Q55" s="4">
        <f t="shared" si="11"/>
        <v>0.89315068493150684</v>
      </c>
      <c r="R55">
        <f t="shared" si="12"/>
        <v>1</v>
      </c>
      <c r="S55" s="7">
        <f>SUM(CashFlows!BN55:DU55)</f>
        <v>100.18245814523625</v>
      </c>
      <c r="T55" s="7">
        <f t="shared" si="13"/>
        <v>99.771792384366691</v>
      </c>
      <c r="U55" s="7">
        <f t="shared" si="14"/>
        <v>2.9604884366690953E-2</v>
      </c>
      <c r="V55" s="4">
        <f t="shared" si="15"/>
        <v>4.1338319066907845</v>
      </c>
      <c r="W55" s="8">
        <f t="shared" si="16"/>
        <v>-3.4108017204240504</v>
      </c>
      <c r="X55" s="9">
        <f t="shared" si="17"/>
        <v>3.4115937906026013E-4</v>
      </c>
      <c r="Y55" s="10">
        <f t="shared" si="18"/>
        <v>1.1638972192078226E-7</v>
      </c>
    </row>
    <row r="56" spans="1:25" x14ac:dyDescent="0.2">
      <c r="A56" s="3">
        <f>Data!A55</f>
        <v>46614</v>
      </c>
      <c r="B56" s="4">
        <f>Data!B55</f>
        <v>2.25</v>
      </c>
      <c r="C56" s="4">
        <f>Data!C55</f>
        <v>98.072000000000003</v>
      </c>
      <c r="D56" s="4">
        <f>Data!D55</f>
        <v>98.081999999999994</v>
      </c>
      <c r="E56" s="4">
        <f>Data!F55</f>
        <v>4.1680000000000001</v>
      </c>
      <c r="F56" s="7">
        <f t="shared" si="0"/>
        <v>98.2578125</v>
      </c>
      <c r="G56" s="3">
        <f t="shared" si="1"/>
        <v>46249</v>
      </c>
      <c r="H56" s="3">
        <f t="shared" si="2"/>
        <v>46433</v>
      </c>
      <c r="I56">
        <f t="shared" si="3"/>
        <v>24</v>
      </c>
      <c r="J56">
        <f t="shared" si="4"/>
        <v>184</v>
      </c>
      <c r="K56" s="7">
        <f t="shared" si="5"/>
        <v>0.14673913043478262</v>
      </c>
      <c r="L56" s="7">
        <f t="shared" si="6"/>
        <v>98.404551630434781</v>
      </c>
      <c r="M56" s="4">
        <f t="shared" si="7"/>
        <v>4.1681855276329616</v>
      </c>
      <c r="N56" s="8">
        <f t="shared" si="8"/>
        <v>1.8552763296142416E-2</v>
      </c>
      <c r="O56" s="4">
        <f t="shared" si="9"/>
        <v>0.91019863907943732</v>
      </c>
      <c r="P56">
        <f t="shared" si="10"/>
        <v>2</v>
      </c>
      <c r="Q56" s="4">
        <f t="shared" si="11"/>
        <v>0.9342465753424658</v>
      </c>
      <c r="R56">
        <f t="shared" si="12"/>
        <v>1</v>
      </c>
      <c r="S56" s="7">
        <f>SUM(CashFlows!BN56:DU56)</f>
        <v>98.420393692383286</v>
      </c>
      <c r="T56" s="7">
        <f t="shared" si="13"/>
        <v>98.273654561948504</v>
      </c>
      <c r="U56" s="7">
        <f t="shared" si="14"/>
        <v>1.5842061948504238E-2</v>
      </c>
      <c r="V56" s="4">
        <f t="shared" si="15"/>
        <v>4.1505004707854729</v>
      </c>
      <c r="W56" s="8">
        <f t="shared" si="16"/>
        <v>-1.7685056847488667</v>
      </c>
      <c r="X56" s="9">
        <f t="shared" si="17"/>
        <v>1.7687250983149344E-4</v>
      </c>
      <c r="Y56" s="10">
        <f t="shared" si="18"/>
        <v>3.1283884734091745E-8</v>
      </c>
    </row>
    <row r="57" spans="1:25" x14ac:dyDescent="0.2">
      <c r="A57" s="3">
        <f>Data!A56</f>
        <v>46614</v>
      </c>
      <c r="B57" s="4">
        <f>Data!B56</f>
        <v>3.75</v>
      </c>
      <c r="C57" s="4">
        <f>Data!C56</f>
        <v>99.186000000000007</v>
      </c>
      <c r="D57" s="4">
        <f>Data!D56</f>
        <v>99.195999999999998</v>
      </c>
      <c r="E57" s="4">
        <f>Data!F56</f>
        <v>4.1689999999999996</v>
      </c>
      <c r="F57" s="7">
        <f t="shared" si="0"/>
        <v>99.6171875</v>
      </c>
      <c r="G57" s="3">
        <f t="shared" si="1"/>
        <v>46249</v>
      </c>
      <c r="H57" s="3">
        <f t="shared" si="2"/>
        <v>46433</v>
      </c>
      <c r="I57">
        <f t="shared" si="3"/>
        <v>24</v>
      </c>
      <c r="J57">
        <f t="shared" si="4"/>
        <v>184</v>
      </c>
      <c r="K57" s="7">
        <f t="shared" si="5"/>
        <v>0.24456521739130435</v>
      </c>
      <c r="L57" s="7">
        <f t="shared" si="6"/>
        <v>99.861752717391298</v>
      </c>
      <c r="M57" s="4">
        <f t="shared" si="7"/>
        <v>4.1693948414090309</v>
      </c>
      <c r="N57" s="8">
        <f t="shared" si="8"/>
        <v>3.9484140903134346E-2</v>
      </c>
      <c r="O57" s="4">
        <f t="shared" si="9"/>
        <v>0.90666043519028061</v>
      </c>
      <c r="P57">
        <f t="shared" si="10"/>
        <v>2</v>
      </c>
      <c r="Q57" s="4">
        <f t="shared" si="11"/>
        <v>0.9342465753424658</v>
      </c>
      <c r="R57">
        <f t="shared" si="12"/>
        <v>1</v>
      </c>
      <c r="S57" s="7">
        <f>SUM(CashFlows!BN57:DU57)</f>
        <v>99.87941229747959</v>
      </c>
      <c r="T57" s="7">
        <f t="shared" si="13"/>
        <v>99.634847080088292</v>
      </c>
      <c r="U57" s="7">
        <f t="shared" si="14"/>
        <v>1.7659580088292159E-2</v>
      </c>
      <c r="V57" s="4">
        <f t="shared" si="15"/>
        <v>4.1498929299114513</v>
      </c>
      <c r="W57" s="8">
        <f t="shared" si="16"/>
        <v>-1.9501911497579627</v>
      </c>
      <c r="X57" s="9">
        <f t="shared" si="17"/>
        <v>1.9504576454179462E-4</v>
      </c>
      <c r="Y57" s="10">
        <f t="shared" si="18"/>
        <v>3.8042850265693189E-8</v>
      </c>
    </row>
    <row r="58" spans="1:25" x14ac:dyDescent="0.2">
      <c r="A58" s="3">
        <f>Data!A57</f>
        <v>46614</v>
      </c>
      <c r="B58" s="4">
        <f>Data!B57</f>
        <v>6.375</v>
      </c>
      <c r="C58" s="4">
        <f>Data!C57</f>
        <v>101.29600000000001</v>
      </c>
      <c r="D58" s="4">
        <f>Data!D57</f>
        <v>101.306</v>
      </c>
      <c r="E58" s="4">
        <f>Data!F57</f>
        <v>4.21</v>
      </c>
      <c r="F58" s="7">
        <f t="shared" si="0"/>
        <v>101.9609375</v>
      </c>
      <c r="G58" s="3">
        <f t="shared" si="1"/>
        <v>46249</v>
      </c>
      <c r="H58" s="3">
        <f t="shared" si="2"/>
        <v>46433</v>
      </c>
      <c r="I58">
        <f t="shared" si="3"/>
        <v>24</v>
      </c>
      <c r="J58">
        <f t="shared" si="4"/>
        <v>184</v>
      </c>
      <c r="K58" s="7">
        <f t="shared" si="5"/>
        <v>0.41576086956521741</v>
      </c>
      <c r="L58" s="7">
        <f t="shared" si="6"/>
        <v>102.37669836956522</v>
      </c>
      <c r="M58" s="4">
        <f t="shared" si="7"/>
        <v>4.2095723138292955</v>
      </c>
      <c r="N58" s="8">
        <f t="shared" si="8"/>
        <v>-4.2768617070443327E-2</v>
      </c>
      <c r="O58" s="4">
        <f t="shared" si="9"/>
        <v>0.90054008709694933</v>
      </c>
      <c r="P58">
        <f t="shared" si="10"/>
        <v>2</v>
      </c>
      <c r="Q58" s="4">
        <f t="shared" si="11"/>
        <v>0.9342465753424658</v>
      </c>
      <c r="R58">
        <f t="shared" si="12"/>
        <v>1</v>
      </c>
      <c r="S58" s="7">
        <f>SUM(CashFlows!BN58:DU58)</f>
        <v>102.43269485639813</v>
      </c>
      <c r="T58" s="7">
        <f t="shared" si="13"/>
        <v>102.01693398683291</v>
      </c>
      <c r="U58" s="7">
        <f t="shared" si="14"/>
        <v>5.5996486832910364E-2</v>
      </c>
      <c r="V58" s="4">
        <f t="shared" si="15"/>
        <v>4.1488606326005151</v>
      </c>
      <c r="W58" s="8">
        <f t="shared" si="16"/>
        <v>-6.0711681228780456</v>
      </c>
      <c r="X58" s="9">
        <f t="shared" si="17"/>
        <v>6.0737457911360499E-4</v>
      </c>
      <c r="Y58" s="10">
        <f t="shared" si="18"/>
        <v>3.689038793534288E-7</v>
      </c>
    </row>
    <row r="59" spans="1:25" x14ac:dyDescent="0.2">
      <c r="A59" s="3">
        <f>Data!A58</f>
        <v>46630</v>
      </c>
      <c r="B59" s="4">
        <f>Data!B58</f>
        <v>0.5</v>
      </c>
      <c r="C59" s="4">
        <f>Data!C58</f>
        <v>96.144000000000005</v>
      </c>
      <c r="D59" s="4">
        <f>Data!D58</f>
        <v>96.153999999999996</v>
      </c>
      <c r="E59" s="4">
        <f>Data!F58</f>
        <v>4.2069999999999999</v>
      </c>
      <c r="F59" s="7">
        <f t="shared" si="0"/>
        <v>96.484375</v>
      </c>
      <c r="G59" s="3">
        <f t="shared" si="1"/>
        <v>46265</v>
      </c>
      <c r="H59" s="3">
        <f t="shared" si="2"/>
        <v>46446</v>
      </c>
      <c r="I59">
        <f t="shared" si="3"/>
        <v>8</v>
      </c>
      <c r="J59">
        <f t="shared" si="4"/>
        <v>181</v>
      </c>
      <c r="K59" s="7">
        <f t="shared" si="5"/>
        <v>1.1049723756906077E-2</v>
      </c>
      <c r="L59" s="7">
        <f t="shared" si="6"/>
        <v>96.495424723756912</v>
      </c>
      <c r="M59" s="4">
        <f t="shared" si="7"/>
        <v>4.2070940780155341</v>
      </c>
      <c r="N59" s="8">
        <f t="shared" si="8"/>
        <v>9.4078015534293513E-3</v>
      </c>
      <c r="O59" s="4">
        <f t="shared" si="9"/>
        <v>0.95651003578468052</v>
      </c>
      <c r="P59">
        <f t="shared" si="10"/>
        <v>2</v>
      </c>
      <c r="Q59" s="4">
        <f t="shared" si="11"/>
        <v>0.9780821917808219</v>
      </c>
      <c r="R59">
        <f t="shared" si="12"/>
        <v>1</v>
      </c>
      <c r="S59" s="7">
        <f>SUM(CashFlows!BN59:DU59)</f>
        <v>96.530514682424027</v>
      </c>
      <c r="T59" s="7">
        <f t="shared" si="13"/>
        <v>96.519464958667115</v>
      </c>
      <c r="U59" s="7">
        <f t="shared" si="14"/>
        <v>3.5089958667114729E-2</v>
      </c>
      <c r="V59" s="4">
        <f t="shared" si="15"/>
        <v>4.169086764137238</v>
      </c>
      <c r="W59" s="8">
        <f t="shared" si="16"/>
        <v>-3.8007313878296145</v>
      </c>
      <c r="X59" s="9">
        <f t="shared" si="17"/>
        <v>3.8017766905425741E-4</v>
      </c>
      <c r="Y59" s="10">
        <f t="shared" si="18"/>
        <v>1.4453506004752847E-7</v>
      </c>
    </row>
    <row r="60" spans="1:25" x14ac:dyDescent="0.2">
      <c r="A60" s="3">
        <f>Data!A59</f>
        <v>46630</v>
      </c>
      <c r="B60" s="4">
        <f>Data!B59</f>
        <v>3.125</v>
      </c>
      <c r="C60" s="4">
        <f>Data!C59</f>
        <v>98.304000000000002</v>
      </c>
      <c r="D60" s="4">
        <f>Data!D59</f>
        <v>98.313999999999993</v>
      </c>
      <c r="E60" s="4">
        <f>Data!F59</f>
        <v>4.1950000000000003</v>
      </c>
      <c r="F60" s="7">
        <f t="shared" si="0"/>
        <v>98.984375</v>
      </c>
      <c r="G60" s="3">
        <f t="shared" si="1"/>
        <v>46265</v>
      </c>
      <c r="H60" s="3">
        <f t="shared" si="2"/>
        <v>46446</v>
      </c>
      <c r="I60">
        <f t="shared" si="3"/>
        <v>8</v>
      </c>
      <c r="J60">
        <f t="shared" si="4"/>
        <v>181</v>
      </c>
      <c r="K60" s="7">
        <f t="shared" si="5"/>
        <v>6.9060773480662987E-2</v>
      </c>
      <c r="L60" s="7">
        <f t="shared" si="6"/>
        <v>99.053435773480658</v>
      </c>
      <c r="M60" s="4">
        <f t="shared" si="7"/>
        <v>4.1951593516245591</v>
      </c>
      <c r="N60" s="8">
        <f t="shared" si="8"/>
        <v>1.5935162455882335E-2</v>
      </c>
      <c r="O60" s="4">
        <f t="shared" si="9"/>
        <v>0.95023637960093543</v>
      </c>
      <c r="P60">
        <f t="shared" si="10"/>
        <v>2</v>
      </c>
      <c r="Q60" s="4">
        <f t="shared" si="11"/>
        <v>0.9780821917808219</v>
      </c>
      <c r="R60">
        <f t="shared" si="12"/>
        <v>1</v>
      </c>
      <c r="S60" s="7">
        <f>SUM(CashFlows!BN60:DU60)</f>
        <v>99.079441674291346</v>
      </c>
      <c r="T60" s="7">
        <f t="shared" si="13"/>
        <v>99.010380900810688</v>
      </c>
      <c r="U60" s="7">
        <f t="shared" si="14"/>
        <v>2.6005900810687876E-2</v>
      </c>
      <c r="V60" s="4">
        <f t="shared" si="15"/>
        <v>4.1675355089377186</v>
      </c>
      <c r="W60" s="8">
        <f t="shared" si="16"/>
        <v>-2.7623842686840483</v>
      </c>
      <c r="X60" s="9">
        <f t="shared" si="17"/>
        <v>2.7629352318398609E-4</v>
      </c>
      <c r="Y60" s="10">
        <f t="shared" si="18"/>
        <v>7.6338110953419856E-8</v>
      </c>
    </row>
    <row r="61" spans="1:25" x14ac:dyDescent="0.2">
      <c r="A61" s="3">
        <f>Data!A60</f>
        <v>46630</v>
      </c>
      <c r="B61" s="4">
        <f>Data!B60</f>
        <v>3.625</v>
      </c>
      <c r="C61" s="4">
        <f>Data!C60</f>
        <v>99.135999999999996</v>
      </c>
      <c r="D61" s="4">
        <f>Data!D60</f>
        <v>99.146000000000001</v>
      </c>
      <c r="E61" s="4">
        <f>Data!F60</f>
        <v>4.1929999999999996</v>
      </c>
      <c r="F61" s="7">
        <f t="shared" si="0"/>
        <v>99.4609375</v>
      </c>
      <c r="G61" s="3">
        <f t="shared" si="1"/>
        <v>46265</v>
      </c>
      <c r="H61" s="3">
        <f t="shared" si="2"/>
        <v>46446</v>
      </c>
      <c r="I61">
        <f t="shared" si="3"/>
        <v>8</v>
      </c>
      <c r="J61">
        <f t="shared" si="4"/>
        <v>181</v>
      </c>
      <c r="K61" s="7">
        <f t="shared" si="5"/>
        <v>8.0110497237569064E-2</v>
      </c>
      <c r="L61" s="7">
        <f t="shared" si="6"/>
        <v>99.54104799723757</v>
      </c>
      <c r="M61" s="4">
        <f t="shared" si="7"/>
        <v>4.1925443371446827</v>
      </c>
      <c r="N61" s="8">
        <f t="shared" si="8"/>
        <v>-4.5566285531695172E-2</v>
      </c>
      <c r="O61" s="4">
        <f t="shared" si="9"/>
        <v>0.94907972549383757</v>
      </c>
      <c r="P61">
        <f t="shared" si="10"/>
        <v>2</v>
      </c>
      <c r="Q61" s="4">
        <f t="shared" si="11"/>
        <v>0.9780821917808219</v>
      </c>
      <c r="R61">
        <f t="shared" si="12"/>
        <v>1</v>
      </c>
      <c r="S61" s="7">
        <f>SUM(CashFlows!BN61:DU61)</f>
        <v>99.564951577504175</v>
      </c>
      <c r="T61" s="7">
        <f t="shared" si="13"/>
        <v>99.484841080266605</v>
      </c>
      <c r="U61" s="7">
        <f t="shared" si="14"/>
        <v>2.3903580266605218E-2</v>
      </c>
      <c r="V61" s="4">
        <f t="shared" si="15"/>
        <v>4.1672467696960602</v>
      </c>
      <c r="W61" s="8">
        <f t="shared" si="16"/>
        <v>-2.5297567448622438</v>
      </c>
      <c r="X61" s="9">
        <f t="shared" si="17"/>
        <v>2.5302186319115617E-4</v>
      </c>
      <c r="Y61" s="10">
        <f t="shared" si="18"/>
        <v>6.4020063252724155E-8</v>
      </c>
    </row>
    <row r="62" spans="1:25" x14ac:dyDescent="0.2">
      <c r="A62" s="3">
        <f>Data!A61</f>
        <v>46645</v>
      </c>
      <c r="B62" s="4">
        <f>Data!B61</f>
        <v>3.375</v>
      </c>
      <c r="C62" s="4">
        <f>Data!C61</f>
        <v>99.054000000000002</v>
      </c>
      <c r="D62" s="4">
        <f>Data!D61</f>
        <v>99.063999999999993</v>
      </c>
      <c r="E62" s="4">
        <f>Data!F61</f>
        <v>4.181</v>
      </c>
      <c r="F62" s="7">
        <f t="shared" si="0"/>
        <v>99.203125</v>
      </c>
      <c r="G62" s="3">
        <f t="shared" si="1"/>
        <v>46096</v>
      </c>
      <c r="H62" s="3">
        <f t="shared" si="2"/>
        <v>46280</v>
      </c>
      <c r="I62">
        <f t="shared" si="3"/>
        <v>177</v>
      </c>
      <c r="J62">
        <f t="shared" si="4"/>
        <v>184</v>
      </c>
      <c r="K62" s="7">
        <f t="shared" si="5"/>
        <v>1.6233016304347827</v>
      </c>
      <c r="L62" s="7">
        <f t="shared" si="6"/>
        <v>100.82642663043478</v>
      </c>
      <c r="M62" s="4">
        <f t="shared" si="7"/>
        <v>4.18127403945563</v>
      </c>
      <c r="N62" s="8">
        <f t="shared" si="8"/>
        <v>2.7403945562998189E-2</v>
      </c>
      <c r="O62" s="4">
        <f t="shared" si="9"/>
        <v>0.97375012101979719</v>
      </c>
      <c r="P62">
        <f t="shared" si="10"/>
        <v>3</v>
      </c>
      <c r="Q62" s="4">
        <f t="shared" si="11"/>
        <v>1.0191780821917809</v>
      </c>
      <c r="R62">
        <f t="shared" si="12"/>
        <v>1</v>
      </c>
      <c r="S62" s="7">
        <f>SUM(CashFlows!BN62:DU62)</f>
        <v>100.82725485099716</v>
      </c>
      <c r="T62" s="7">
        <f t="shared" si="13"/>
        <v>99.203953220562383</v>
      </c>
      <c r="U62" s="7">
        <f t="shared" si="14"/>
        <v>8.2822056238285313E-4</v>
      </c>
      <c r="V62" s="4">
        <f t="shared" si="15"/>
        <v>4.1804304689411484</v>
      </c>
      <c r="W62" s="8">
        <f t="shared" si="16"/>
        <v>-8.4357051448158415E-2</v>
      </c>
      <c r="X62" s="9">
        <f t="shared" si="17"/>
        <v>8.4357579178647837E-6</v>
      </c>
      <c r="Y62" s="10">
        <f t="shared" si="18"/>
        <v>7.1162011648818391E-11</v>
      </c>
    </row>
    <row r="63" spans="1:25" x14ac:dyDescent="0.2">
      <c r="A63" s="3">
        <f>Data!A62</f>
        <v>46660</v>
      </c>
      <c r="B63" s="4">
        <f>Data!B62</f>
        <v>0.375</v>
      </c>
      <c r="C63" s="4">
        <f>Data!C62</f>
        <v>96.012</v>
      </c>
      <c r="D63" s="4">
        <f>Data!D62</f>
        <v>96.022000000000006</v>
      </c>
      <c r="E63" s="4">
        <f>Data!F62</f>
        <v>4.2039999999999997</v>
      </c>
      <c r="F63" s="7">
        <f t="shared" si="0"/>
        <v>96.0703125</v>
      </c>
      <c r="G63" s="3">
        <f t="shared" si="1"/>
        <v>46112</v>
      </c>
      <c r="H63" s="3">
        <f t="shared" si="2"/>
        <v>46295</v>
      </c>
      <c r="I63">
        <f t="shared" si="3"/>
        <v>161</v>
      </c>
      <c r="J63">
        <f t="shared" si="4"/>
        <v>183</v>
      </c>
      <c r="K63" s="7">
        <f t="shared" si="5"/>
        <v>0.16495901639344263</v>
      </c>
      <c r="L63" s="7">
        <f t="shared" si="6"/>
        <v>96.235271516393439</v>
      </c>
      <c r="M63" s="4">
        <f t="shared" si="7"/>
        <v>4.2036930700230668</v>
      </c>
      <c r="N63" s="8">
        <f t="shared" si="8"/>
        <v>-3.0692997693293478E-2</v>
      </c>
      <c r="O63" s="4">
        <f t="shared" si="9"/>
        <v>1.0354504873621315</v>
      </c>
      <c r="P63">
        <f t="shared" si="10"/>
        <v>3</v>
      </c>
      <c r="Q63" s="4">
        <f t="shared" si="11"/>
        <v>1.0602739726027397</v>
      </c>
      <c r="R63">
        <f t="shared" si="12"/>
        <v>1</v>
      </c>
      <c r="S63" s="7">
        <f>SUM(CashFlows!BN63:DU63)</f>
        <v>96.243757321146958</v>
      </c>
      <c r="T63" s="7">
        <f t="shared" si="13"/>
        <v>96.078798304753519</v>
      </c>
      <c r="U63" s="7">
        <f t="shared" si="14"/>
        <v>8.4858047535192327E-3</v>
      </c>
      <c r="V63" s="4">
        <f t="shared" si="15"/>
        <v>4.1951777460409705</v>
      </c>
      <c r="W63" s="8">
        <f t="shared" si="16"/>
        <v>-0.85153239820963122</v>
      </c>
      <c r="X63" s="9">
        <f t="shared" si="17"/>
        <v>8.5158778272585321E-5</v>
      </c>
      <c r="Y63" s="10">
        <f t="shared" si="18"/>
        <v>7.2520175168793499E-9</v>
      </c>
    </row>
    <row r="64" spans="1:25" x14ac:dyDescent="0.2">
      <c r="A64" s="3">
        <f>Data!A63</f>
        <v>46660</v>
      </c>
      <c r="B64" s="4">
        <f>Data!B63</f>
        <v>3.5</v>
      </c>
      <c r="C64" s="4">
        <f>Data!C63</f>
        <v>99.075999999999993</v>
      </c>
      <c r="D64" s="4">
        <f>Data!D63</f>
        <v>99.085999999999999</v>
      </c>
      <c r="E64" s="4">
        <f>Data!F63</f>
        <v>4.2060000000000004</v>
      </c>
      <c r="F64" s="7">
        <f t="shared" si="0"/>
        <v>99.2734375</v>
      </c>
      <c r="G64" s="3">
        <f t="shared" si="1"/>
        <v>46112</v>
      </c>
      <c r="H64" s="3">
        <f t="shared" si="2"/>
        <v>46295</v>
      </c>
      <c r="I64">
        <f t="shared" si="3"/>
        <v>161</v>
      </c>
      <c r="J64">
        <f t="shared" si="4"/>
        <v>183</v>
      </c>
      <c r="K64" s="7">
        <f t="shared" si="5"/>
        <v>1.5396174863387979</v>
      </c>
      <c r="L64" s="7">
        <f t="shared" si="6"/>
        <v>100.8130549863388</v>
      </c>
      <c r="M64" s="4">
        <f t="shared" si="7"/>
        <v>4.2060579275530516</v>
      </c>
      <c r="N64" s="8">
        <f t="shared" si="8"/>
        <v>5.7927553051229097E-3</v>
      </c>
      <c r="O64" s="4">
        <f t="shared" si="9"/>
        <v>1.0130104827622468</v>
      </c>
      <c r="P64">
        <f t="shared" si="10"/>
        <v>3</v>
      </c>
      <c r="Q64" s="4">
        <f t="shared" si="11"/>
        <v>1.0602739726027397</v>
      </c>
      <c r="R64">
        <f t="shared" si="12"/>
        <v>1</v>
      </c>
      <c r="S64" s="7">
        <f>SUM(CashFlows!BN64:DU64)</f>
        <v>100.82630325172363</v>
      </c>
      <c r="T64" s="7">
        <f t="shared" si="13"/>
        <v>99.286685765384831</v>
      </c>
      <c r="U64" s="7">
        <f t="shared" si="14"/>
        <v>1.324826538483137E-2</v>
      </c>
      <c r="V64" s="4">
        <f t="shared" si="15"/>
        <v>4.1930865703659661</v>
      </c>
      <c r="W64" s="8">
        <f t="shared" si="16"/>
        <v>-1.297135718708553</v>
      </c>
      <c r="X64" s="9">
        <f t="shared" si="17"/>
        <v>1.2972638142105981E-4</v>
      </c>
      <c r="Y64" s="10">
        <f t="shared" si="18"/>
        <v>1.6828934036602292E-8</v>
      </c>
    </row>
    <row r="65" spans="1:25" x14ac:dyDescent="0.2">
      <c r="A65" s="3">
        <f>Data!A64</f>
        <v>46660</v>
      </c>
      <c r="B65" s="4">
        <f>Data!B64</f>
        <v>4.125</v>
      </c>
      <c r="C65" s="4">
        <f>Data!C64</f>
        <v>99.284000000000006</v>
      </c>
      <c r="D65" s="4">
        <f>Data!D64</f>
        <v>99.293999999999997</v>
      </c>
      <c r="E65" s="4">
        <f>Data!F64</f>
        <v>4.1989999999999998</v>
      </c>
      <c r="F65" s="7">
        <f t="shared" si="0"/>
        <v>99.921875</v>
      </c>
      <c r="G65" s="3">
        <f t="shared" si="1"/>
        <v>46112</v>
      </c>
      <c r="H65" s="3">
        <f t="shared" si="2"/>
        <v>46295</v>
      </c>
      <c r="I65">
        <f t="shared" si="3"/>
        <v>161</v>
      </c>
      <c r="J65">
        <f t="shared" si="4"/>
        <v>183</v>
      </c>
      <c r="K65" s="7">
        <f t="shared" si="5"/>
        <v>1.8145491803278688</v>
      </c>
      <c r="L65" s="7">
        <f t="shared" si="6"/>
        <v>101.73642418032787</v>
      </c>
      <c r="M65" s="4">
        <f t="shared" si="7"/>
        <v>4.1989046047768541</v>
      </c>
      <c r="N65" s="8">
        <f t="shared" si="8"/>
        <v>-9.5395223145722241E-3</v>
      </c>
      <c r="O65" s="4">
        <f t="shared" si="9"/>
        <v>1.0088042398430588</v>
      </c>
      <c r="P65">
        <f t="shared" si="10"/>
        <v>3</v>
      </c>
      <c r="Q65" s="4">
        <f t="shared" si="11"/>
        <v>1.0602739726027397</v>
      </c>
      <c r="R65">
        <f t="shared" si="12"/>
        <v>1</v>
      </c>
      <c r="S65" s="7">
        <f>SUM(CashFlows!BN65:DU65)</f>
        <v>101.74281243783896</v>
      </c>
      <c r="T65" s="7">
        <f t="shared" si="13"/>
        <v>99.928263257511091</v>
      </c>
      <c r="U65" s="7">
        <f t="shared" si="14"/>
        <v>6.3882575110909556E-3</v>
      </c>
      <c r="V65" s="4">
        <f t="shared" si="15"/>
        <v>4.192680477272396</v>
      </c>
      <c r="W65" s="8">
        <f t="shared" si="16"/>
        <v>-0.62241275044581101</v>
      </c>
      <c r="X65" s="9">
        <f t="shared" si="17"/>
        <v>6.224422248585016E-5</v>
      </c>
      <c r="Y65" s="10">
        <f t="shared" si="18"/>
        <v>3.8743432328680149E-9</v>
      </c>
    </row>
    <row r="66" spans="1:25" x14ac:dyDescent="0.2">
      <c r="A66" s="3">
        <f>Data!A65</f>
        <v>46675</v>
      </c>
      <c r="B66" s="4">
        <f>Data!B65</f>
        <v>3.875</v>
      </c>
      <c r="C66" s="4">
        <f>Data!C65</f>
        <v>99.186000000000007</v>
      </c>
      <c r="D66" s="4">
        <f>Data!D65</f>
        <v>99.195999999999998</v>
      </c>
      <c r="E66" s="4">
        <f>Data!F65</f>
        <v>4.2309999999999999</v>
      </c>
      <c r="F66" s="7">
        <f t="shared" si="0"/>
        <v>99.6171875</v>
      </c>
      <c r="G66" s="3">
        <f t="shared" si="1"/>
        <v>46127</v>
      </c>
      <c r="H66" s="3">
        <f t="shared" si="2"/>
        <v>46310</v>
      </c>
      <c r="I66">
        <f t="shared" si="3"/>
        <v>146</v>
      </c>
      <c r="J66">
        <f t="shared" si="4"/>
        <v>183</v>
      </c>
      <c r="K66" s="7">
        <f t="shared" si="5"/>
        <v>1.5457650273224044</v>
      </c>
      <c r="L66" s="7">
        <f t="shared" si="6"/>
        <v>101.1629525273224</v>
      </c>
      <c r="M66" s="4">
        <f t="shared" si="7"/>
        <v>4.2314136254978552</v>
      </c>
      <c r="N66" s="8">
        <f t="shared" si="8"/>
        <v>4.1362549785528557E-2</v>
      </c>
      <c r="O66" s="4">
        <f t="shared" si="9"/>
        <v>1.0504587842825734</v>
      </c>
      <c r="P66">
        <f t="shared" si="10"/>
        <v>3</v>
      </c>
      <c r="Q66" s="4">
        <f t="shared" si="11"/>
        <v>1.1013698630136985</v>
      </c>
      <c r="R66">
        <f t="shared" si="12"/>
        <v>1</v>
      </c>
      <c r="S66" s="7">
        <f>SUM(CashFlows!BN66:DU66)</f>
        <v>101.19065824448386</v>
      </c>
      <c r="T66" s="7">
        <f t="shared" si="13"/>
        <v>99.644893217161453</v>
      </c>
      <c r="U66" s="7">
        <f t="shared" si="14"/>
        <v>2.7705717161452981E-2</v>
      </c>
      <c r="V66" s="4">
        <f t="shared" si="15"/>
        <v>4.2053472577565829</v>
      </c>
      <c r="W66" s="8">
        <f t="shared" si="16"/>
        <v>-2.6066367741272245</v>
      </c>
      <c r="X66" s="9">
        <f t="shared" si="17"/>
        <v>2.6071671959844043E-4</v>
      </c>
      <c r="Y66" s="10">
        <f t="shared" si="18"/>
        <v>6.7973207878171816E-8</v>
      </c>
    </row>
    <row r="67" spans="1:25" x14ac:dyDescent="0.2">
      <c r="A67" s="3">
        <f>Data!A66</f>
        <v>46691</v>
      </c>
      <c r="B67" s="4">
        <f>Data!B66</f>
        <v>0.5</v>
      </c>
      <c r="C67" s="4">
        <f>Data!C66</f>
        <v>95.26</v>
      </c>
      <c r="D67" s="4">
        <f>Data!D66</f>
        <v>95.27</v>
      </c>
      <c r="E67" s="4">
        <f>Data!F66</f>
        <v>4.26</v>
      </c>
      <c r="F67" s="7">
        <f t="shared" si="0"/>
        <v>95.84375</v>
      </c>
      <c r="G67" s="3">
        <f t="shared" si="1"/>
        <v>46142</v>
      </c>
      <c r="H67" s="3">
        <f t="shared" si="2"/>
        <v>46326</v>
      </c>
      <c r="I67">
        <f t="shared" si="3"/>
        <v>131</v>
      </c>
      <c r="J67">
        <f t="shared" si="4"/>
        <v>184</v>
      </c>
      <c r="K67" s="7">
        <f t="shared" si="5"/>
        <v>0.17798913043478262</v>
      </c>
      <c r="L67" s="7">
        <f t="shared" si="6"/>
        <v>96.021739130434781</v>
      </c>
      <c r="M67" s="4">
        <f t="shared" si="7"/>
        <v>4.2603323405969142</v>
      </c>
      <c r="N67" s="8">
        <f t="shared" si="8"/>
        <v>3.3234059691444884E-2</v>
      </c>
      <c r="O67" s="4">
        <f t="shared" si="9"/>
        <v>1.116386120629403</v>
      </c>
      <c r="P67">
        <f t="shared" si="10"/>
        <v>3</v>
      </c>
      <c r="Q67" s="4">
        <f t="shared" si="11"/>
        <v>1.1452054794520548</v>
      </c>
      <c r="R67">
        <f t="shared" si="12"/>
        <v>1</v>
      </c>
      <c r="S67" s="7">
        <f>SUM(CashFlows!BN67:DU67)</f>
        <v>96.060865196760261</v>
      </c>
      <c r="T67" s="7">
        <f t="shared" si="13"/>
        <v>95.88287606632548</v>
      </c>
      <c r="U67" s="7">
        <f t="shared" si="14"/>
        <v>3.9126066325479769E-2</v>
      </c>
      <c r="V67" s="4">
        <f t="shared" si="15"/>
        <v>4.2238439496002069</v>
      </c>
      <c r="W67" s="8">
        <f t="shared" si="16"/>
        <v>-3.6488390996707309</v>
      </c>
      <c r="X67" s="9">
        <f t="shared" si="17"/>
        <v>3.6499102941754544E-4</v>
      </c>
      <c r="Y67" s="10">
        <f t="shared" si="18"/>
        <v>1.3321845155527953E-7</v>
      </c>
    </row>
    <row r="68" spans="1:25" x14ac:dyDescent="0.2">
      <c r="A68" s="3">
        <f>Data!A67</f>
        <v>46691</v>
      </c>
      <c r="B68" s="4">
        <f>Data!B67</f>
        <v>3.5</v>
      </c>
      <c r="C68" s="4">
        <f>Data!C67</f>
        <v>99.043999999999997</v>
      </c>
      <c r="D68" s="4">
        <f>Data!D67</f>
        <v>99.054000000000002</v>
      </c>
      <c r="E68" s="4">
        <f>Data!F67</f>
        <v>4.2460000000000004</v>
      </c>
      <c r="F68" s="7">
        <f t="shared" si="0"/>
        <v>99.171875</v>
      </c>
      <c r="G68" s="3">
        <f t="shared" si="1"/>
        <v>46142</v>
      </c>
      <c r="H68" s="3">
        <f t="shared" si="2"/>
        <v>46326</v>
      </c>
      <c r="I68">
        <f t="shared" si="3"/>
        <v>131</v>
      </c>
      <c r="J68">
        <f t="shared" si="4"/>
        <v>184</v>
      </c>
      <c r="K68" s="7">
        <f t="shared" si="5"/>
        <v>1.2459239130434783</v>
      </c>
      <c r="L68" s="7">
        <f t="shared" si="6"/>
        <v>100.41779891304348</v>
      </c>
      <c r="M68" s="4">
        <f t="shared" si="7"/>
        <v>4.2458341643593664</v>
      </c>
      <c r="N68" s="8">
        <f t="shared" si="8"/>
        <v>-1.6583564063399336E-2</v>
      </c>
      <c r="O68" s="4">
        <f t="shared" si="9"/>
        <v>1.0949733218430362</v>
      </c>
      <c r="P68">
        <f t="shared" si="10"/>
        <v>3</v>
      </c>
      <c r="Q68" s="4">
        <f t="shared" si="11"/>
        <v>1.1452054794520548</v>
      </c>
      <c r="R68">
        <f t="shared" si="12"/>
        <v>1</v>
      </c>
      <c r="S68" s="7">
        <f>SUM(CashFlows!BN68:DU68)</f>
        <v>100.44475135440901</v>
      </c>
      <c r="T68" s="7">
        <f t="shared" si="13"/>
        <v>99.198827441365523</v>
      </c>
      <c r="U68" s="7">
        <f t="shared" si="14"/>
        <v>2.6952441365523327E-2</v>
      </c>
      <c r="V68" s="4">
        <f t="shared" si="15"/>
        <v>4.2213266894298549</v>
      </c>
      <c r="W68" s="8">
        <f t="shared" si="16"/>
        <v>-2.4507474929511552</v>
      </c>
      <c r="X68" s="9">
        <f t="shared" si="17"/>
        <v>2.4512289328373823E-4</v>
      </c>
      <c r="Y68" s="10">
        <f t="shared" si="18"/>
        <v>6.0085232811790917E-8</v>
      </c>
    </row>
    <row r="69" spans="1:25" x14ac:dyDescent="0.2">
      <c r="A69" s="3">
        <f>Data!A68</f>
        <v>46691</v>
      </c>
      <c r="B69" s="4">
        <f>Data!B68</f>
        <v>4.125</v>
      </c>
      <c r="C69" s="4">
        <f>Data!C68</f>
        <v>99.263999999999996</v>
      </c>
      <c r="D69" s="4">
        <f>Data!D68</f>
        <v>99.274000000000001</v>
      </c>
      <c r="E69" s="4">
        <f>Data!F68</f>
        <v>4.2480000000000002</v>
      </c>
      <c r="F69" s="7">
        <f t="shared" si="0"/>
        <v>99.859375</v>
      </c>
      <c r="G69" s="3">
        <f t="shared" si="1"/>
        <v>46142</v>
      </c>
      <c r="H69" s="3">
        <f t="shared" si="2"/>
        <v>46326</v>
      </c>
      <c r="I69">
        <f t="shared" si="3"/>
        <v>131</v>
      </c>
      <c r="J69">
        <f t="shared" si="4"/>
        <v>184</v>
      </c>
      <c r="K69" s="7">
        <f t="shared" si="5"/>
        <v>1.4684103260869565</v>
      </c>
      <c r="L69" s="7">
        <f t="shared" si="6"/>
        <v>101.32778532608695</v>
      </c>
      <c r="M69" s="4">
        <f t="shared" si="7"/>
        <v>4.2482057757654585</v>
      </c>
      <c r="N69" s="8">
        <f t="shared" si="8"/>
        <v>2.0577576545832699E-2</v>
      </c>
      <c r="O69" s="4">
        <f t="shared" si="9"/>
        <v>1.0907163960997222</v>
      </c>
      <c r="P69">
        <f t="shared" si="10"/>
        <v>3</v>
      </c>
      <c r="Q69" s="4">
        <f t="shared" si="11"/>
        <v>1.1452054794520548</v>
      </c>
      <c r="R69">
        <f t="shared" si="12"/>
        <v>1</v>
      </c>
      <c r="S69" s="7">
        <f>SUM(CashFlows!BN69:DU69)</f>
        <v>101.35806097058583</v>
      </c>
      <c r="T69" s="7">
        <f t="shared" si="13"/>
        <v>99.889650644498872</v>
      </c>
      <c r="U69" s="7">
        <f t="shared" si="14"/>
        <v>3.0275644498871657E-2</v>
      </c>
      <c r="V69" s="4">
        <f t="shared" si="15"/>
        <v>4.2208179382075111</v>
      </c>
      <c r="W69" s="8">
        <f t="shared" si="16"/>
        <v>-2.7387837557947492</v>
      </c>
      <c r="X69" s="9">
        <f t="shared" si="17"/>
        <v>2.7393845673477646E-4</v>
      </c>
      <c r="Y69" s="10">
        <f t="shared" si="18"/>
        <v>7.5042278078230991E-8</v>
      </c>
    </row>
    <row r="70" spans="1:25" x14ac:dyDescent="0.2">
      <c r="A70" s="3">
        <f>Data!A69</f>
        <v>46706</v>
      </c>
      <c r="B70" s="4">
        <f>Data!B69</f>
        <v>2.25</v>
      </c>
      <c r="C70" s="4">
        <f>Data!C69</f>
        <v>97.212000000000003</v>
      </c>
      <c r="D70" s="4">
        <f>Data!D69</f>
        <v>97.221999999999994</v>
      </c>
      <c r="E70" s="4">
        <f>Data!F69</f>
        <v>4.2629999999999999</v>
      </c>
      <c r="F70" s="7">
        <f t="shared" si="0"/>
        <v>97.6953125</v>
      </c>
      <c r="G70" s="3">
        <f t="shared" si="1"/>
        <v>46157</v>
      </c>
      <c r="H70" s="3">
        <f t="shared" si="2"/>
        <v>46341</v>
      </c>
      <c r="I70">
        <f t="shared" si="3"/>
        <v>116</v>
      </c>
      <c r="J70">
        <f t="shared" si="4"/>
        <v>184</v>
      </c>
      <c r="K70" s="7">
        <f t="shared" si="5"/>
        <v>0.70923913043478259</v>
      </c>
      <c r="L70" s="7">
        <f t="shared" si="6"/>
        <v>98.404551630434781</v>
      </c>
      <c r="M70" s="4">
        <f t="shared" si="7"/>
        <v>4.2630137818938172</v>
      </c>
      <c r="N70" s="8">
        <f t="shared" si="8"/>
        <v>1.3781893817288449E-3</v>
      </c>
      <c r="O70" s="4">
        <f t="shared" si="9"/>
        <v>1.1435115029338543</v>
      </c>
      <c r="P70">
        <f t="shared" si="10"/>
        <v>3</v>
      </c>
      <c r="Q70" s="4">
        <f t="shared" si="11"/>
        <v>1.1863013698630136</v>
      </c>
      <c r="R70">
        <f t="shared" si="12"/>
        <v>1</v>
      </c>
      <c r="S70" s="7">
        <f>SUM(CashFlows!BN70:DU70)</f>
        <v>98.43631467595857</v>
      </c>
      <c r="T70" s="7">
        <f t="shared" si="13"/>
        <v>97.727075545523789</v>
      </c>
      <c r="U70" s="7">
        <f t="shared" si="14"/>
        <v>3.1763045523788946E-2</v>
      </c>
      <c r="V70" s="4">
        <f t="shared" si="15"/>
        <v>4.2347932227094205</v>
      </c>
      <c r="W70" s="8">
        <f t="shared" si="16"/>
        <v>-2.8220559184396699</v>
      </c>
      <c r="X70" s="9">
        <f t="shared" si="17"/>
        <v>2.822710979335957E-4</v>
      </c>
      <c r="Y70" s="10">
        <f t="shared" si="18"/>
        <v>7.9676972728637577E-8</v>
      </c>
    </row>
    <row r="71" spans="1:25" x14ac:dyDescent="0.2">
      <c r="A71" s="3">
        <f>Data!A70</f>
        <v>46706</v>
      </c>
      <c r="B71" s="4">
        <f>Data!B70</f>
        <v>4.125</v>
      </c>
      <c r="C71" s="4">
        <f>Data!C70</f>
        <v>99.26</v>
      </c>
      <c r="D71" s="4">
        <f>Data!D70</f>
        <v>99.27</v>
      </c>
      <c r="E71" s="4">
        <f>Data!F70</f>
        <v>4.2569999999999997</v>
      </c>
      <c r="F71" s="7">
        <f t="shared" si="0"/>
        <v>99.84375</v>
      </c>
      <c r="G71" s="3">
        <f t="shared" si="1"/>
        <v>46157</v>
      </c>
      <c r="H71" s="3">
        <f t="shared" si="2"/>
        <v>46341</v>
      </c>
      <c r="I71">
        <f t="shared" si="3"/>
        <v>116</v>
      </c>
      <c r="J71">
        <f t="shared" si="4"/>
        <v>184</v>
      </c>
      <c r="K71" s="7">
        <f t="shared" si="5"/>
        <v>1.3002717391304348</v>
      </c>
      <c r="L71" s="7">
        <f t="shared" si="6"/>
        <v>101.14402173913044</v>
      </c>
      <c r="M71" s="4">
        <f t="shared" si="7"/>
        <v>4.2572036966089337</v>
      </c>
      <c r="N71" s="8">
        <f t="shared" si="8"/>
        <v>2.0369660893404529E-2</v>
      </c>
      <c r="O71" s="4">
        <f t="shared" si="9"/>
        <v>1.1305775701109768</v>
      </c>
      <c r="P71">
        <f t="shared" si="10"/>
        <v>3</v>
      </c>
      <c r="Q71" s="4">
        <f t="shared" si="11"/>
        <v>1.1863013698630136</v>
      </c>
      <c r="R71">
        <f t="shared" si="12"/>
        <v>1</v>
      </c>
      <c r="S71" s="7">
        <f>SUM(CashFlows!BN71:DU71)</f>
        <v>101.17150786012265</v>
      </c>
      <c r="T71" s="7">
        <f t="shared" si="13"/>
        <v>99.871236120992208</v>
      </c>
      <c r="U71" s="7">
        <f t="shared" si="14"/>
        <v>2.748612099220793E-2</v>
      </c>
      <c r="V71" s="4">
        <f t="shared" si="15"/>
        <v>4.2331718444901076</v>
      </c>
      <c r="W71" s="8">
        <f t="shared" si="16"/>
        <v>-2.403185211882608</v>
      </c>
      <c r="X71" s="9">
        <f t="shared" si="17"/>
        <v>2.4036590824594173E-4</v>
      </c>
      <c r="Y71" s="10">
        <f t="shared" si="18"/>
        <v>5.7775769846896479E-8</v>
      </c>
    </row>
    <row r="72" spans="1:25" x14ac:dyDescent="0.2">
      <c r="A72" s="3">
        <f>Data!A71</f>
        <v>46706</v>
      </c>
      <c r="B72" s="4">
        <f>Data!B71</f>
        <v>6.125</v>
      </c>
      <c r="C72" s="4">
        <f>Data!C71</f>
        <v>102.026</v>
      </c>
      <c r="D72" s="4">
        <f>Data!D71</f>
        <v>102.036</v>
      </c>
      <c r="E72" s="4">
        <f>Data!F71</f>
        <v>4.2670000000000003</v>
      </c>
      <c r="F72" s="7">
        <f t="shared" ref="F72:F135" si="19">INT(D72)+(INT(MOD(ROUND(D72*1000,0),1000)/10)+MOD(ROUND(D72*1000,0),10)/8)/32</f>
        <v>102.1171875</v>
      </c>
      <c r="G72" s="3">
        <f t="shared" ref="G72:G135" si="20">COUPPCD(Settle,A72,2,1)</f>
        <v>46157</v>
      </c>
      <c r="H72" s="3">
        <f t="shared" ref="H72:H135" si="21">COUPNCD(Settle,A72,2,1)</f>
        <v>46341</v>
      </c>
      <c r="I72">
        <f t="shared" ref="I72:I135" si="22">Settle-G72</f>
        <v>116</v>
      </c>
      <c r="J72">
        <f t="shared" ref="J72:J135" si="23">H72-G72</f>
        <v>184</v>
      </c>
      <c r="K72" s="7">
        <f t="shared" ref="K72:K135" si="24">B72/2*I72/J72</f>
        <v>1.9307065217391304</v>
      </c>
      <c r="L72" s="7">
        <f t="shared" ref="L72:L135" si="25">F72+K72</f>
        <v>104.04789402173913</v>
      </c>
      <c r="M72" s="4">
        <f t="shared" ref="M72:M135" si="26">YIELD(Settle,A72,B72/100,F72,100,2,1)*100</f>
        <v>4.2668832696548149</v>
      </c>
      <c r="N72" s="8">
        <f t="shared" ref="N72:N135" si="27">(M72-E72)*100</f>
        <v>-1.1673034518544512E-2</v>
      </c>
      <c r="O72" s="4">
        <f t="shared" ref="O72:O135" si="28">MDURATION(Settle,A72,B72/100,M72/100,2,1)</f>
        <v>1.1174404543594763</v>
      </c>
      <c r="P72">
        <f t="shared" ref="P72:P135" si="29">COUPNUM(Settle,A72,2,1)</f>
        <v>3</v>
      </c>
      <c r="Q72" s="4">
        <f t="shared" ref="Q72:Q135" si="30">(A72-Settle)/365</f>
        <v>1.1863013698630136</v>
      </c>
      <c r="R72">
        <f t="shared" ref="R72:R135" si="31">IF(Q72&gt;=MinYears,1,0)</f>
        <v>1</v>
      </c>
      <c r="S72" s="7">
        <f>SUM(CashFlows!BN72:DU72)</f>
        <v>104.08904725656433</v>
      </c>
      <c r="T72" s="7">
        <f t="shared" ref="T72:T135" si="32">S72-K72</f>
        <v>102.1583407348252</v>
      </c>
      <c r="U72" s="7">
        <f t="shared" ref="U72:U135" si="33">T72-F72</f>
        <v>4.1153234825202389E-2</v>
      </c>
      <c r="V72" s="4">
        <f t="shared" ref="V72:V135" si="34">YIELD(Settle,A72,B72/100,T72,100,2,1)*100</f>
        <v>4.2314981612037483</v>
      </c>
      <c r="W72" s="8">
        <f t="shared" ref="W72:W135" si="35">(V72-M72)*100</f>
        <v>-3.5385108451066571</v>
      </c>
      <c r="X72" s="9">
        <f t="shared" ref="X72:X135" si="36">(S72-L72)/(L72*O72)</f>
        <v>3.5395356762172594E-4</v>
      </c>
      <c r="Y72" s="10">
        <f t="shared" ref="Y72:Y135" si="37">R72*X72^2</f>
        <v>1.2528312803214772E-7</v>
      </c>
    </row>
    <row r="73" spans="1:25" x14ac:dyDescent="0.2">
      <c r="A73" s="3">
        <f>Data!A72</f>
        <v>46721</v>
      </c>
      <c r="B73" s="4">
        <f>Data!B72</f>
        <v>0.625</v>
      </c>
      <c r="C73" s="4">
        <f>Data!C72</f>
        <v>95.212000000000003</v>
      </c>
      <c r="D73" s="4">
        <f>Data!D72</f>
        <v>95.221999999999994</v>
      </c>
      <c r="E73" s="4">
        <f>Data!F72</f>
        <v>4.2629999999999999</v>
      </c>
      <c r="F73" s="7">
        <f t="shared" si="19"/>
        <v>95.6953125</v>
      </c>
      <c r="G73" s="3">
        <f t="shared" si="20"/>
        <v>46173</v>
      </c>
      <c r="H73" s="3">
        <f t="shared" si="21"/>
        <v>46356</v>
      </c>
      <c r="I73">
        <f t="shared" si="22"/>
        <v>100</v>
      </c>
      <c r="J73">
        <f t="shared" si="23"/>
        <v>183</v>
      </c>
      <c r="K73" s="7">
        <f t="shared" si="24"/>
        <v>0.17076502732240437</v>
      </c>
      <c r="L73" s="7">
        <f t="shared" si="25"/>
        <v>95.866077527322403</v>
      </c>
      <c r="M73" s="4">
        <f t="shared" si="26"/>
        <v>4.2630656995853178</v>
      </c>
      <c r="N73" s="8">
        <f t="shared" si="27"/>
        <v>6.5699585317879894E-3</v>
      </c>
      <c r="O73" s="4">
        <f t="shared" si="28"/>
        <v>1.1964635527206204</v>
      </c>
      <c r="P73">
        <f t="shared" si="29"/>
        <v>3</v>
      </c>
      <c r="Q73" s="4">
        <f t="shared" si="30"/>
        <v>1.2273972602739727</v>
      </c>
      <c r="R73">
        <f t="shared" si="31"/>
        <v>1</v>
      </c>
      <c r="S73" s="7">
        <f>SUM(CashFlows!BN73:DU73)</f>
        <v>95.887986286384972</v>
      </c>
      <c r="T73" s="7">
        <f t="shared" si="32"/>
        <v>95.717221259062569</v>
      </c>
      <c r="U73" s="7">
        <f t="shared" si="33"/>
        <v>2.1908759062569061E-2</v>
      </c>
      <c r="V73" s="4">
        <f t="shared" si="34"/>
        <v>4.2439679017903114</v>
      </c>
      <c r="W73" s="8">
        <f t="shared" si="35"/>
        <v>-1.9097797795006421</v>
      </c>
      <c r="X73" s="9">
        <f t="shared" si="36"/>
        <v>1.9100878752226737E-4</v>
      </c>
      <c r="Y73" s="10">
        <f t="shared" si="37"/>
        <v>3.648435691072668E-8</v>
      </c>
    </row>
    <row r="74" spans="1:25" x14ac:dyDescent="0.2">
      <c r="A74" s="3">
        <f>Data!A73</f>
        <v>46721</v>
      </c>
      <c r="B74" s="4">
        <f>Data!B73</f>
        <v>3.375</v>
      </c>
      <c r="C74" s="4">
        <f>Data!C73</f>
        <v>98.29</v>
      </c>
      <c r="D74" s="4">
        <f>Data!D73</f>
        <v>98.3</v>
      </c>
      <c r="E74" s="4">
        <f>Data!F73</f>
        <v>4.2690000000000001</v>
      </c>
      <c r="F74" s="7">
        <f t="shared" si="19"/>
        <v>98.9375</v>
      </c>
      <c r="G74" s="3">
        <f t="shared" si="20"/>
        <v>46173</v>
      </c>
      <c r="H74" s="3">
        <f t="shared" si="21"/>
        <v>46356</v>
      </c>
      <c r="I74">
        <f t="shared" si="22"/>
        <v>100</v>
      </c>
      <c r="J74">
        <f t="shared" si="23"/>
        <v>183</v>
      </c>
      <c r="K74" s="7">
        <f t="shared" si="24"/>
        <v>0.92213114754098358</v>
      </c>
      <c r="L74" s="7">
        <f t="shared" si="25"/>
        <v>99.859631147540981</v>
      </c>
      <c r="M74" s="4">
        <f t="shared" si="26"/>
        <v>4.2694452667812151</v>
      </c>
      <c r="N74" s="8">
        <f t="shared" si="27"/>
        <v>4.452667812149258E-2</v>
      </c>
      <c r="O74" s="4">
        <f t="shared" si="28"/>
        <v>1.1767246640920677</v>
      </c>
      <c r="P74">
        <f t="shared" si="29"/>
        <v>3</v>
      </c>
      <c r="Q74" s="4">
        <f t="shared" si="30"/>
        <v>1.2273972602739727</v>
      </c>
      <c r="R74">
        <f t="shared" si="31"/>
        <v>1</v>
      </c>
      <c r="S74" s="7">
        <f>SUM(CashFlows!BN74:DU74)</f>
        <v>99.89246506761917</v>
      </c>
      <c r="T74" s="7">
        <f t="shared" si="32"/>
        <v>98.97033392007819</v>
      </c>
      <c r="U74" s="7">
        <f t="shared" si="33"/>
        <v>3.2833920078189749E-2</v>
      </c>
      <c r="V74" s="4">
        <f t="shared" si="34"/>
        <v>4.2415098061266194</v>
      </c>
      <c r="W74" s="8">
        <f t="shared" si="35"/>
        <v>-2.7935460654595623</v>
      </c>
      <c r="X74" s="9">
        <f t="shared" si="36"/>
        <v>2.7942027955505375E-4</v>
      </c>
      <c r="Y74" s="10">
        <f t="shared" si="37"/>
        <v>7.8075692626624385E-8</v>
      </c>
    </row>
    <row r="75" spans="1:25" x14ac:dyDescent="0.2">
      <c r="A75" s="3">
        <f>Data!A74</f>
        <v>46721</v>
      </c>
      <c r="B75" s="4">
        <f>Data!B74</f>
        <v>3.875</v>
      </c>
      <c r="C75" s="4">
        <f>Data!C74</f>
        <v>99.16</v>
      </c>
      <c r="D75" s="4">
        <f>Data!D74</f>
        <v>99.17</v>
      </c>
      <c r="E75" s="4">
        <f>Data!F74</f>
        <v>4.2670000000000003</v>
      </c>
      <c r="F75" s="7">
        <f t="shared" si="19"/>
        <v>99.53125</v>
      </c>
      <c r="G75" s="3">
        <f t="shared" si="20"/>
        <v>46173</v>
      </c>
      <c r="H75" s="3">
        <f t="shared" si="21"/>
        <v>46356</v>
      </c>
      <c r="I75">
        <f t="shared" si="22"/>
        <v>100</v>
      </c>
      <c r="J75">
        <f t="shared" si="23"/>
        <v>183</v>
      </c>
      <c r="K75" s="7">
        <f t="shared" si="24"/>
        <v>1.0587431693989071</v>
      </c>
      <c r="L75" s="7">
        <f t="shared" si="25"/>
        <v>100.58999316939891</v>
      </c>
      <c r="M75" s="4">
        <f t="shared" si="26"/>
        <v>4.2669618371869538</v>
      </c>
      <c r="N75" s="8">
        <f t="shared" si="27"/>
        <v>-3.8162813046582755E-3</v>
      </c>
      <c r="O75" s="4">
        <f t="shared" si="28"/>
        <v>1.1733258063027143</v>
      </c>
      <c r="P75">
        <f t="shared" si="29"/>
        <v>3</v>
      </c>
      <c r="Q75" s="4">
        <f t="shared" si="30"/>
        <v>1.2273972602739727</v>
      </c>
      <c r="R75">
        <f t="shared" si="31"/>
        <v>1</v>
      </c>
      <c r="S75" s="7">
        <f>SUM(CashFlows!BN75:DU75)</f>
        <v>100.62055211875266</v>
      </c>
      <c r="T75" s="7">
        <f t="shared" si="32"/>
        <v>99.561808949353747</v>
      </c>
      <c r="U75" s="7">
        <f t="shared" si="33"/>
        <v>3.0558949353746812E-2</v>
      </c>
      <c r="V75" s="4">
        <f t="shared" si="34"/>
        <v>4.2410755071837656</v>
      </c>
      <c r="W75" s="8">
        <f t="shared" si="35"/>
        <v>-2.5886330003188185</v>
      </c>
      <c r="X75" s="9">
        <f t="shared" si="36"/>
        <v>2.5891965360335794E-4</v>
      </c>
      <c r="Y75" s="10">
        <f t="shared" si="37"/>
        <v>6.703938702208286E-8</v>
      </c>
    </row>
    <row r="76" spans="1:25" x14ac:dyDescent="0.2">
      <c r="A76" s="3">
        <f>Data!A75</f>
        <v>46736</v>
      </c>
      <c r="B76" s="4">
        <f>Data!B75</f>
        <v>4</v>
      </c>
      <c r="C76" s="4">
        <f>Data!C75</f>
        <v>99.2</v>
      </c>
      <c r="D76" s="4">
        <f>Data!D75</f>
        <v>99.21</v>
      </c>
      <c r="E76" s="4">
        <f>Data!F75</f>
        <v>4.2770000000000001</v>
      </c>
      <c r="F76" s="7">
        <f t="shared" si="19"/>
        <v>99.65625</v>
      </c>
      <c r="G76" s="3">
        <f t="shared" si="20"/>
        <v>46188</v>
      </c>
      <c r="H76" s="3">
        <f t="shared" si="21"/>
        <v>46371</v>
      </c>
      <c r="I76">
        <f t="shared" si="22"/>
        <v>85</v>
      </c>
      <c r="J76">
        <f t="shared" si="23"/>
        <v>183</v>
      </c>
      <c r="K76" s="7">
        <f t="shared" si="24"/>
        <v>0.92896174863387981</v>
      </c>
      <c r="L76" s="7">
        <f t="shared" si="25"/>
        <v>100.58521174863388</v>
      </c>
      <c r="M76" s="4">
        <f t="shared" si="26"/>
        <v>4.2771454310545192</v>
      </c>
      <c r="N76" s="8">
        <f t="shared" si="27"/>
        <v>1.454310545190296E-2</v>
      </c>
      <c r="O76" s="4">
        <f t="shared" si="28"/>
        <v>1.2125448339589955</v>
      </c>
      <c r="P76">
        <f t="shared" si="29"/>
        <v>3</v>
      </c>
      <c r="Q76" s="4">
        <f t="shared" si="30"/>
        <v>1.2684931506849315</v>
      </c>
      <c r="R76">
        <f t="shared" si="31"/>
        <v>1</v>
      </c>
      <c r="S76" s="7">
        <f>SUM(CashFlows!BN76:DU76)</f>
        <v>100.61613282922228</v>
      </c>
      <c r="T76" s="7">
        <f t="shared" si="32"/>
        <v>99.687171080588399</v>
      </c>
      <c r="U76" s="7">
        <f t="shared" si="33"/>
        <v>3.0921080588399263E-2</v>
      </c>
      <c r="V76" s="4">
        <f t="shared" si="34"/>
        <v>4.2517983470294078</v>
      </c>
      <c r="W76" s="8">
        <f t="shared" si="35"/>
        <v>-2.5347084025111322</v>
      </c>
      <c r="X76" s="9">
        <f t="shared" si="36"/>
        <v>2.5352612730514165E-4</v>
      </c>
      <c r="Y76" s="10">
        <f t="shared" si="37"/>
        <v>6.4275497226342888E-8</v>
      </c>
    </row>
    <row r="77" spans="1:25" x14ac:dyDescent="0.2">
      <c r="A77" s="3">
        <f>Data!A76</f>
        <v>46752</v>
      </c>
      <c r="B77" s="4">
        <f>Data!B76</f>
        <v>0.625</v>
      </c>
      <c r="C77" s="4">
        <f>Data!C76</f>
        <v>95.111999999999995</v>
      </c>
      <c r="D77" s="4">
        <f>Data!D76</f>
        <v>95.122</v>
      </c>
      <c r="E77" s="4">
        <f>Data!F76</f>
        <v>4.2869999999999999</v>
      </c>
      <c r="F77" s="7">
        <f t="shared" si="19"/>
        <v>95.3828125</v>
      </c>
      <c r="G77" s="3">
        <f t="shared" si="20"/>
        <v>46203</v>
      </c>
      <c r="H77" s="3">
        <f t="shared" si="21"/>
        <v>46387</v>
      </c>
      <c r="I77">
        <f t="shared" si="22"/>
        <v>70</v>
      </c>
      <c r="J77">
        <f t="shared" si="23"/>
        <v>184</v>
      </c>
      <c r="K77" s="7">
        <f t="shared" si="24"/>
        <v>0.11888586956521739</v>
      </c>
      <c r="L77" s="7">
        <f t="shared" si="25"/>
        <v>95.501698369565219</v>
      </c>
      <c r="M77" s="4">
        <f t="shared" si="26"/>
        <v>4.287071913748977</v>
      </c>
      <c r="N77" s="8">
        <f t="shared" si="27"/>
        <v>7.1913748977081582E-3</v>
      </c>
      <c r="O77" s="4">
        <f t="shared" si="28"/>
        <v>1.277586748173462</v>
      </c>
      <c r="P77">
        <f t="shared" si="29"/>
        <v>3</v>
      </c>
      <c r="Q77" s="4">
        <f t="shared" si="30"/>
        <v>1.3123287671232877</v>
      </c>
      <c r="R77">
        <f t="shared" si="31"/>
        <v>1</v>
      </c>
      <c r="S77" s="7">
        <f>SUM(CashFlows!BN77:DU77)</f>
        <v>95.520480444977494</v>
      </c>
      <c r="T77" s="7">
        <f t="shared" si="32"/>
        <v>95.401594575412275</v>
      </c>
      <c r="U77" s="7">
        <f t="shared" si="33"/>
        <v>1.878207541227539E-2</v>
      </c>
      <c r="V77" s="4">
        <f t="shared" si="34"/>
        <v>4.2716803437058726</v>
      </c>
      <c r="W77" s="8">
        <f t="shared" si="35"/>
        <v>-1.539157004310443</v>
      </c>
      <c r="X77" s="9">
        <f t="shared" si="36"/>
        <v>1.5393666964506753E-4</v>
      </c>
      <c r="Y77" s="10">
        <f t="shared" si="37"/>
        <v>2.3696498261414656E-8</v>
      </c>
    </row>
    <row r="78" spans="1:25" x14ac:dyDescent="0.2">
      <c r="A78" s="3">
        <f>Data!A77</f>
        <v>46752</v>
      </c>
      <c r="B78" s="4">
        <f>Data!B77</f>
        <v>3.375</v>
      </c>
      <c r="C78" s="4">
        <f>Data!C77</f>
        <v>98.26</v>
      </c>
      <c r="D78" s="4">
        <f>Data!D77</f>
        <v>98.27</v>
      </c>
      <c r="E78" s="4">
        <f>Data!F77</f>
        <v>4.2889999999999997</v>
      </c>
      <c r="F78" s="7">
        <f t="shared" si="19"/>
        <v>98.84375</v>
      </c>
      <c r="G78" s="3">
        <f t="shared" si="20"/>
        <v>46203</v>
      </c>
      <c r="H78" s="3">
        <f t="shared" si="21"/>
        <v>46387</v>
      </c>
      <c r="I78">
        <f t="shared" si="22"/>
        <v>70</v>
      </c>
      <c r="J78">
        <f t="shared" si="23"/>
        <v>184</v>
      </c>
      <c r="K78" s="7">
        <f t="shared" si="24"/>
        <v>0.64198369565217395</v>
      </c>
      <c r="L78" s="7">
        <f t="shared" si="25"/>
        <v>99.485733695652172</v>
      </c>
      <c r="M78" s="4">
        <f t="shared" si="26"/>
        <v>4.2888922592875272</v>
      </c>
      <c r="N78" s="8">
        <f t="shared" si="27"/>
        <v>-1.0774071247254824E-2</v>
      </c>
      <c r="O78" s="4">
        <f t="shared" si="28"/>
        <v>1.257872869392048</v>
      </c>
      <c r="P78">
        <f t="shared" si="29"/>
        <v>3</v>
      </c>
      <c r="Q78" s="4">
        <f t="shared" si="30"/>
        <v>1.3123287671232877</v>
      </c>
      <c r="R78">
        <f t="shared" si="31"/>
        <v>1</v>
      </c>
      <c r="S78" s="7">
        <f>SUM(CashFlows!BN78:DU78)</f>
        <v>99.51059773080236</v>
      </c>
      <c r="T78" s="7">
        <f t="shared" si="32"/>
        <v>98.868614035150188</v>
      </c>
      <c r="U78" s="7">
        <f t="shared" si="33"/>
        <v>2.4864035150187647E-2</v>
      </c>
      <c r="V78" s="4">
        <f t="shared" si="34"/>
        <v>4.2690268275672238</v>
      </c>
      <c r="W78" s="8">
        <f t="shared" si="35"/>
        <v>-1.9865431720303306</v>
      </c>
      <c r="X78" s="9">
        <f t="shared" si="36"/>
        <v>1.9868910516252433E-4</v>
      </c>
      <c r="Y78" s="10">
        <f t="shared" si="37"/>
        <v>3.9477360510284648E-8</v>
      </c>
    </row>
    <row r="79" spans="1:25" x14ac:dyDescent="0.2">
      <c r="A79" s="3">
        <f>Data!A78</f>
        <v>46752</v>
      </c>
      <c r="B79" s="4">
        <f>Data!B78</f>
        <v>3.875</v>
      </c>
      <c r="C79" s="4">
        <f>Data!C78</f>
        <v>99.14</v>
      </c>
      <c r="D79" s="4">
        <f>Data!D78</f>
        <v>99.15</v>
      </c>
      <c r="E79" s="4">
        <f>Data!F78</f>
        <v>4.2930000000000001</v>
      </c>
      <c r="F79" s="7">
        <f t="shared" si="19"/>
        <v>99.46875</v>
      </c>
      <c r="G79" s="3">
        <f t="shared" si="20"/>
        <v>46203</v>
      </c>
      <c r="H79" s="3">
        <f t="shared" si="21"/>
        <v>46387</v>
      </c>
      <c r="I79">
        <f t="shared" si="22"/>
        <v>70</v>
      </c>
      <c r="J79">
        <f t="shared" si="23"/>
        <v>184</v>
      </c>
      <c r="K79" s="7">
        <f t="shared" si="24"/>
        <v>0.73709239130434778</v>
      </c>
      <c r="L79" s="7">
        <f t="shared" si="25"/>
        <v>100.20584239130434</v>
      </c>
      <c r="M79" s="4">
        <f t="shared" si="26"/>
        <v>4.2926034477589532</v>
      </c>
      <c r="N79" s="8">
        <f t="shared" si="27"/>
        <v>-3.9655224104695463E-2</v>
      </c>
      <c r="O79" s="4">
        <f t="shared" si="28"/>
        <v>1.2544354124371477</v>
      </c>
      <c r="P79">
        <f t="shared" si="29"/>
        <v>3</v>
      </c>
      <c r="Q79" s="4">
        <f t="shared" si="30"/>
        <v>1.3123287671232877</v>
      </c>
      <c r="R79">
        <f t="shared" si="31"/>
        <v>1</v>
      </c>
      <c r="S79" s="7">
        <f>SUM(CashFlows!BN79:DU79)</f>
        <v>100.23607360095234</v>
      </c>
      <c r="T79" s="7">
        <f t="shared" si="32"/>
        <v>99.498981209647994</v>
      </c>
      <c r="U79" s="7">
        <f t="shared" si="33"/>
        <v>3.0231209647993751E-2</v>
      </c>
      <c r="V79" s="4">
        <f t="shared" si="34"/>
        <v>4.2685585907561077</v>
      </c>
      <c r="W79" s="8">
        <f t="shared" si="35"/>
        <v>-2.4044857002845532</v>
      </c>
      <c r="X79" s="9">
        <f t="shared" si="36"/>
        <v>2.4049949908798847E-4</v>
      </c>
      <c r="Y79" s="10">
        <f t="shared" si="37"/>
        <v>5.7840009061573366E-8</v>
      </c>
    </row>
    <row r="80" spans="1:25" x14ac:dyDescent="0.2">
      <c r="A80" s="3">
        <f>Data!A79</f>
        <v>46767</v>
      </c>
      <c r="B80" s="4">
        <f>Data!B79</f>
        <v>4.25</v>
      </c>
      <c r="C80" s="4">
        <f>Data!C79</f>
        <v>99.284000000000006</v>
      </c>
      <c r="D80" s="4">
        <f>Data!D79</f>
        <v>99.293999999999997</v>
      </c>
      <c r="E80" s="4">
        <f>Data!F79</f>
        <v>4.3070000000000004</v>
      </c>
      <c r="F80" s="7">
        <f t="shared" si="19"/>
        <v>99.921875</v>
      </c>
      <c r="G80" s="3">
        <f t="shared" si="20"/>
        <v>46218</v>
      </c>
      <c r="H80" s="3">
        <f t="shared" si="21"/>
        <v>46402</v>
      </c>
      <c r="I80">
        <f t="shared" si="22"/>
        <v>55</v>
      </c>
      <c r="J80">
        <f t="shared" si="23"/>
        <v>184</v>
      </c>
      <c r="K80" s="7">
        <f t="shared" si="24"/>
        <v>0.63519021739130432</v>
      </c>
      <c r="L80" s="7">
        <f t="shared" si="25"/>
        <v>100.5570652173913</v>
      </c>
      <c r="M80" s="4">
        <f t="shared" si="26"/>
        <v>4.3065181192461788</v>
      </c>
      <c r="N80" s="8">
        <f t="shared" si="27"/>
        <v>-4.8188075382160633E-2</v>
      </c>
      <c r="O80" s="4">
        <f t="shared" si="28"/>
        <v>1.2917203219716018</v>
      </c>
      <c r="P80">
        <f t="shared" si="29"/>
        <v>3</v>
      </c>
      <c r="Q80" s="4">
        <f t="shared" si="30"/>
        <v>1.3534246575342466</v>
      </c>
      <c r="R80">
        <f t="shared" si="31"/>
        <v>1</v>
      </c>
      <c r="S80" s="7">
        <f>SUM(CashFlows!BN80:DU80)</f>
        <v>100.59303596057569</v>
      </c>
      <c r="T80" s="7">
        <f t="shared" si="32"/>
        <v>99.957845743184393</v>
      </c>
      <c r="U80" s="7">
        <f t="shared" si="33"/>
        <v>3.5970743184392973E-2</v>
      </c>
      <c r="V80" s="4">
        <f t="shared" si="34"/>
        <v>4.2788321250867911</v>
      </c>
      <c r="W80" s="8">
        <f t="shared" si="35"/>
        <v>-2.7685994159387661</v>
      </c>
      <c r="X80" s="9">
        <f t="shared" si="36"/>
        <v>2.7692893069409901E-4</v>
      </c>
      <c r="Y80" s="10">
        <f t="shared" si="37"/>
        <v>7.6689632655377088E-8</v>
      </c>
    </row>
    <row r="81" spans="1:25" x14ac:dyDescent="0.2">
      <c r="A81" s="3">
        <f>Data!A80</f>
        <v>46783</v>
      </c>
      <c r="B81" s="4">
        <f>Data!B80</f>
        <v>0.75</v>
      </c>
      <c r="C81" s="4">
        <f>Data!C80</f>
        <v>95.063999999999993</v>
      </c>
      <c r="D81" s="4">
        <f>Data!D80</f>
        <v>95.073999999999998</v>
      </c>
      <c r="E81" s="4">
        <f>Data!F80</f>
        <v>4.3079999999999998</v>
      </c>
      <c r="F81" s="7">
        <f t="shared" si="19"/>
        <v>95.234375</v>
      </c>
      <c r="G81" s="3">
        <f t="shared" si="20"/>
        <v>46234</v>
      </c>
      <c r="H81" s="3">
        <f t="shared" si="21"/>
        <v>46418</v>
      </c>
      <c r="I81">
        <f t="shared" si="22"/>
        <v>39</v>
      </c>
      <c r="J81">
        <f t="shared" si="23"/>
        <v>184</v>
      </c>
      <c r="K81" s="7">
        <f t="shared" si="24"/>
        <v>7.9483695652173919E-2</v>
      </c>
      <c r="L81" s="7">
        <f t="shared" si="25"/>
        <v>95.313858695652172</v>
      </c>
      <c r="M81" s="4">
        <f t="shared" si="26"/>
        <v>4.308490345804759</v>
      </c>
      <c r="N81" s="8">
        <f t="shared" si="27"/>
        <v>4.9034580475915135E-2</v>
      </c>
      <c r="O81" s="4">
        <f t="shared" si="28"/>
        <v>1.3589834375759</v>
      </c>
      <c r="P81">
        <f t="shared" si="29"/>
        <v>3</v>
      </c>
      <c r="Q81" s="4">
        <f t="shared" si="30"/>
        <v>1.3972602739726028</v>
      </c>
      <c r="R81">
        <f t="shared" si="31"/>
        <v>1</v>
      </c>
      <c r="S81" s="7">
        <f>SUM(CashFlows!BN81:DU81)</f>
        <v>95.333722011016292</v>
      </c>
      <c r="T81" s="7">
        <f t="shared" si="32"/>
        <v>95.25423831536412</v>
      </c>
      <c r="U81" s="7">
        <f t="shared" si="33"/>
        <v>1.9863315364119671E-2</v>
      </c>
      <c r="V81" s="4">
        <f t="shared" si="34"/>
        <v>4.2931576025451772</v>
      </c>
      <c r="W81" s="8">
        <f t="shared" si="35"/>
        <v>-1.5332743259581783</v>
      </c>
      <c r="X81" s="9">
        <f t="shared" si="36"/>
        <v>1.5334920260073184E-4</v>
      </c>
      <c r="Y81" s="10">
        <f t="shared" si="37"/>
        <v>2.3515977938280302E-8</v>
      </c>
    </row>
    <row r="82" spans="1:25" x14ac:dyDescent="0.2">
      <c r="A82" s="3">
        <f>Data!A81</f>
        <v>46783</v>
      </c>
      <c r="B82" s="4">
        <f>Data!B81</f>
        <v>3.5</v>
      </c>
      <c r="C82" s="4">
        <f>Data!C81</f>
        <v>98.284000000000006</v>
      </c>
      <c r="D82" s="4">
        <f>Data!D81</f>
        <v>98.293999999999997</v>
      </c>
      <c r="E82" s="4">
        <f>Data!F81</f>
        <v>4.3029999999999999</v>
      </c>
      <c r="F82" s="7">
        <f t="shared" si="19"/>
        <v>98.921875</v>
      </c>
      <c r="G82" s="3">
        <f t="shared" si="20"/>
        <v>46234</v>
      </c>
      <c r="H82" s="3">
        <f t="shared" si="21"/>
        <v>46418</v>
      </c>
      <c r="I82">
        <f t="shared" si="22"/>
        <v>39</v>
      </c>
      <c r="J82">
        <f t="shared" si="23"/>
        <v>184</v>
      </c>
      <c r="K82" s="7">
        <f t="shared" si="24"/>
        <v>0.37092391304347827</v>
      </c>
      <c r="L82" s="7">
        <f t="shared" si="25"/>
        <v>99.292798913043484</v>
      </c>
      <c r="M82" s="4">
        <f t="shared" si="26"/>
        <v>4.3027873665083467</v>
      </c>
      <c r="N82" s="8">
        <f t="shared" si="27"/>
        <v>-2.1263349165323575E-2</v>
      </c>
      <c r="O82" s="4">
        <f t="shared" si="28"/>
        <v>1.3393914591808525</v>
      </c>
      <c r="P82">
        <f t="shared" si="29"/>
        <v>3</v>
      </c>
      <c r="Q82" s="4">
        <f t="shared" si="30"/>
        <v>1.3972602739726028</v>
      </c>
      <c r="R82">
        <f t="shared" si="31"/>
        <v>1</v>
      </c>
      <c r="S82" s="7">
        <f>SUM(CashFlows!BN82:DU82)</f>
        <v>99.309210237502043</v>
      </c>
      <c r="T82" s="7">
        <f t="shared" si="32"/>
        <v>98.938286324458559</v>
      </c>
      <c r="U82" s="7">
        <f t="shared" si="33"/>
        <v>1.6411324458559307E-2</v>
      </c>
      <c r="V82" s="4">
        <f t="shared" si="34"/>
        <v>4.29044867916922</v>
      </c>
      <c r="W82" s="8">
        <f t="shared" si="35"/>
        <v>-1.2338687339126686</v>
      </c>
      <c r="X82" s="9">
        <f t="shared" si="36"/>
        <v>1.2340090748883277E-4</v>
      </c>
      <c r="Y82" s="10">
        <f t="shared" si="37"/>
        <v>1.5227783969067462E-8</v>
      </c>
    </row>
    <row r="83" spans="1:25" x14ac:dyDescent="0.2">
      <c r="A83" s="3">
        <f>Data!A82</f>
        <v>46798</v>
      </c>
      <c r="B83" s="4">
        <f>Data!B82</f>
        <v>2.75</v>
      </c>
      <c r="C83" s="4">
        <f>Data!C82</f>
        <v>97.263999999999996</v>
      </c>
      <c r="D83" s="4">
        <f>Data!D82</f>
        <v>97.274000000000001</v>
      </c>
      <c r="E83" s="4">
        <f>Data!F82</f>
        <v>4.3029999999999999</v>
      </c>
      <c r="F83" s="7">
        <f t="shared" si="19"/>
        <v>97.859375</v>
      </c>
      <c r="G83" s="3">
        <f t="shared" si="20"/>
        <v>46249</v>
      </c>
      <c r="H83" s="3">
        <f t="shared" si="21"/>
        <v>46433</v>
      </c>
      <c r="I83">
        <f t="shared" si="22"/>
        <v>24</v>
      </c>
      <c r="J83">
        <f t="shared" si="23"/>
        <v>184</v>
      </c>
      <c r="K83" s="7">
        <f t="shared" si="24"/>
        <v>0.17934782608695651</v>
      </c>
      <c r="L83" s="7">
        <f t="shared" si="25"/>
        <v>98.038722826086953</v>
      </c>
      <c r="M83" s="4">
        <f t="shared" si="26"/>
        <v>4.303269531016916</v>
      </c>
      <c r="N83" s="8">
        <f t="shared" si="27"/>
        <v>2.6953101691606918E-2</v>
      </c>
      <c r="O83" s="4">
        <f t="shared" si="28"/>
        <v>1.3844867552322202</v>
      </c>
      <c r="P83">
        <f t="shared" si="29"/>
        <v>3</v>
      </c>
      <c r="Q83" s="4">
        <f t="shared" si="30"/>
        <v>1.4383561643835616</v>
      </c>
      <c r="R83">
        <f t="shared" si="31"/>
        <v>1</v>
      </c>
      <c r="S83" s="7">
        <f>SUM(CashFlows!BN83:DU83)</f>
        <v>98.041787624689036</v>
      </c>
      <c r="T83" s="7">
        <f t="shared" si="32"/>
        <v>97.862439798602082</v>
      </c>
      <c r="U83" s="7">
        <f t="shared" si="33"/>
        <v>3.0647986020824192E-3</v>
      </c>
      <c r="V83" s="4">
        <f t="shared" si="34"/>
        <v>4.3010116229991153</v>
      </c>
      <c r="W83" s="8">
        <f t="shared" si="35"/>
        <v>-0.22579080178006805</v>
      </c>
      <c r="X83" s="9">
        <f t="shared" si="36"/>
        <v>2.2579560821438278E-5</v>
      </c>
      <c r="Y83" s="10">
        <f t="shared" si="37"/>
        <v>5.0983656688903047E-10</v>
      </c>
    </row>
    <row r="84" spans="1:25" x14ac:dyDescent="0.2">
      <c r="A84" s="3">
        <f>Data!A83</f>
        <v>46798</v>
      </c>
      <c r="B84" s="4">
        <f>Data!B83</f>
        <v>4.25</v>
      </c>
      <c r="C84" s="4">
        <f>Data!C83</f>
        <v>99.284000000000006</v>
      </c>
      <c r="D84" s="4">
        <f>Data!D83</f>
        <v>99.293999999999997</v>
      </c>
      <c r="E84" s="4">
        <f>Data!F83</f>
        <v>4.3049999999999997</v>
      </c>
      <c r="F84" s="7">
        <f t="shared" si="19"/>
        <v>99.921875</v>
      </c>
      <c r="G84" s="3">
        <f t="shared" si="20"/>
        <v>46249</v>
      </c>
      <c r="H84" s="3">
        <f t="shared" si="21"/>
        <v>46433</v>
      </c>
      <c r="I84">
        <f t="shared" si="22"/>
        <v>24</v>
      </c>
      <c r="J84">
        <f t="shared" si="23"/>
        <v>184</v>
      </c>
      <c r="K84" s="7">
        <f t="shared" si="24"/>
        <v>0.27717391304347827</v>
      </c>
      <c r="L84" s="7">
        <f t="shared" si="25"/>
        <v>100.19904891304348</v>
      </c>
      <c r="M84" s="4">
        <f t="shared" si="26"/>
        <v>4.3048746219931431</v>
      </c>
      <c r="N84" s="8">
        <f t="shared" si="27"/>
        <v>-1.2537800685663569E-2</v>
      </c>
      <c r="O84" s="4">
        <f t="shared" si="28"/>
        <v>1.3741952474793604</v>
      </c>
      <c r="P84">
        <f t="shared" si="29"/>
        <v>3</v>
      </c>
      <c r="Q84" s="4">
        <f t="shared" si="30"/>
        <v>1.4383561643835616</v>
      </c>
      <c r="R84">
        <f t="shared" si="31"/>
        <v>1</v>
      </c>
      <c r="S84" s="7">
        <f>SUM(CashFlows!BN84:DU84)</f>
        <v>100.20635681066337</v>
      </c>
      <c r="T84" s="7">
        <f t="shared" si="32"/>
        <v>99.929182897619881</v>
      </c>
      <c r="U84" s="7">
        <f t="shared" si="33"/>
        <v>7.3078976198814871E-3</v>
      </c>
      <c r="V84" s="4">
        <f t="shared" si="34"/>
        <v>4.2995675041053509</v>
      </c>
      <c r="W84" s="8">
        <f t="shared" si="35"/>
        <v>-0.53071178877921454</v>
      </c>
      <c r="X84" s="9">
        <f t="shared" si="36"/>
        <v>5.3073828040053745E-5</v>
      </c>
      <c r="Y84" s="10">
        <f t="shared" si="37"/>
        <v>2.816831222825195E-9</v>
      </c>
    </row>
    <row r="85" spans="1:25" x14ac:dyDescent="0.2">
      <c r="A85" s="3">
        <f>Data!A84</f>
        <v>46812</v>
      </c>
      <c r="B85" s="4">
        <f>Data!B84</f>
        <v>1.125</v>
      </c>
      <c r="C85" s="4">
        <f>Data!C84</f>
        <v>95.146000000000001</v>
      </c>
      <c r="D85" s="4">
        <f>Data!D84</f>
        <v>95.156000000000006</v>
      </c>
      <c r="E85" s="4">
        <f>Data!F84</f>
        <v>4.306</v>
      </c>
      <c r="F85" s="7">
        <f t="shared" si="19"/>
        <v>95.4921875</v>
      </c>
      <c r="G85" s="3">
        <f t="shared" si="20"/>
        <v>46265</v>
      </c>
      <c r="H85" s="3">
        <f t="shared" si="21"/>
        <v>46446</v>
      </c>
      <c r="I85">
        <f t="shared" si="22"/>
        <v>8</v>
      </c>
      <c r="J85">
        <f t="shared" si="23"/>
        <v>181</v>
      </c>
      <c r="K85" s="7">
        <f t="shared" si="24"/>
        <v>2.4861878453038673E-2</v>
      </c>
      <c r="L85" s="7">
        <f t="shared" si="25"/>
        <v>95.517049378453038</v>
      </c>
      <c r="M85" s="4">
        <f t="shared" si="26"/>
        <v>4.3057502302258115</v>
      </c>
      <c r="N85" s="8">
        <f t="shared" si="27"/>
        <v>-2.4976977418855739E-2</v>
      </c>
      <c r="O85" s="4">
        <f t="shared" si="28"/>
        <v>1.4383402088577324</v>
      </c>
      <c r="P85">
        <f t="shared" si="29"/>
        <v>3</v>
      </c>
      <c r="Q85" s="4">
        <f t="shared" si="30"/>
        <v>1.4767123287671233</v>
      </c>
      <c r="R85">
        <f t="shared" si="31"/>
        <v>1</v>
      </c>
      <c r="S85" s="7">
        <f>SUM(CashFlows!BN85:DU85)</f>
        <v>95.52979245934111</v>
      </c>
      <c r="T85" s="7">
        <f t="shared" si="32"/>
        <v>95.504930580888072</v>
      </c>
      <c r="U85" s="7">
        <f t="shared" si="33"/>
        <v>1.2743080888071745E-2</v>
      </c>
      <c r="V85" s="4">
        <f t="shared" si="34"/>
        <v>4.2964756769792976</v>
      </c>
      <c r="W85" s="8">
        <f t="shared" si="35"/>
        <v>-0.92745532465139391</v>
      </c>
      <c r="X85" s="9">
        <f t="shared" si="36"/>
        <v>9.275384468017365E-5</v>
      </c>
      <c r="Y85" s="10">
        <f t="shared" si="37"/>
        <v>8.6032757029537771E-9</v>
      </c>
    </row>
    <row r="86" spans="1:25" x14ac:dyDescent="0.2">
      <c r="A86" s="3">
        <f>Data!A85</f>
        <v>46812</v>
      </c>
      <c r="B86" s="4">
        <f>Data!B85</f>
        <v>3.375</v>
      </c>
      <c r="C86" s="4">
        <f>Data!C85</f>
        <v>98.212000000000003</v>
      </c>
      <c r="D86" s="4">
        <f>Data!D85</f>
        <v>98.221999999999994</v>
      </c>
      <c r="E86" s="4">
        <f>Data!F85</f>
        <v>4.2949999999999999</v>
      </c>
      <c r="F86" s="7">
        <f t="shared" si="19"/>
        <v>98.6953125</v>
      </c>
      <c r="G86" s="3">
        <f t="shared" si="20"/>
        <v>46265</v>
      </c>
      <c r="H86" s="3">
        <f t="shared" si="21"/>
        <v>46446</v>
      </c>
      <c r="I86">
        <f t="shared" si="22"/>
        <v>8</v>
      </c>
      <c r="J86">
        <f t="shared" si="23"/>
        <v>181</v>
      </c>
      <c r="K86" s="7">
        <f t="shared" si="24"/>
        <v>7.4585635359116026E-2</v>
      </c>
      <c r="L86" s="7">
        <f t="shared" si="25"/>
        <v>98.769898135359114</v>
      </c>
      <c r="M86" s="4">
        <f t="shared" si="26"/>
        <v>4.2950223362562303</v>
      </c>
      <c r="N86" s="8">
        <f t="shared" si="27"/>
        <v>2.2336256230381935E-3</v>
      </c>
      <c r="O86" s="4">
        <f t="shared" si="28"/>
        <v>1.422417432753337</v>
      </c>
      <c r="P86">
        <f t="shared" si="29"/>
        <v>3</v>
      </c>
      <c r="Q86" s="4">
        <f t="shared" si="30"/>
        <v>1.4767123287671233</v>
      </c>
      <c r="R86">
        <f t="shared" si="31"/>
        <v>1</v>
      </c>
      <c r="S86" s="7">
        <f>SUM(CashFlows!BN86:DU86)</f>
        <v>98.771065030752212</v>
      </c>
      <c r="T86" s="7">
        <f t="shared" si="32"/>
        <v>98.696479395393098</v>
      </c>
      <c r="U86" s="7">
        <f t="shared" si="33"/>
        <v>1.1668953930978887E-3</v>
      </c>
      <c r="V86" s="4">
        <f t="shared" si="34"/>
        <v>4.294191765223756</v>
      </c>
      <c r="W86" s="8">
        <f t="shared" si="35"/>
        <v>-8.3057103247430319E-2</v>
      </c>
      <c r="X86" s="9">
        <f t="shared" si="36"/>
        <v>8.3057767414519814E-6</v>
      </c>
      <c r="Y86" s="10">
        <f t="shared" si="37"/>
        <v>6.8985927278844698E-11</v>
      </c>
    </row>
    <row r="87" spans="1:25" x14ac:dyDescent="0.2">
      <c r="A87" s="3">
        <f>Data!A86</f>
        <v>46812</v>
      </c>
      <c r="B87" s="4">
        <f>Data!B86</f>
        <v>4</v>
      </c>
      <c r="C87" s="4">
        <f>Data!C86</f>
        <v>99.164000000000001</v>
      </c>
      <c r="D87" s="4">
        <f>Data!D86</f>
        <v>99.174000000000007</v>
      </c>
      <c r="E87" s="4">
        <f>Data!F86</f>
        <v>4.319</v>
      </c>
      <c r="F87" s="7">
        <f t="shared" si="19"/>
        <v>99.546875</v>
      </c>
      <c r="G87" s="3">
        <f t="shared" si="20"/>
        <v>46265</v>
      </c>
      <c r="H87" s="3">
        <f t="shared" si="21"/>
        <v>46446</v>
      </c>
      <c r="I87">
        <f t="shared" si="22"/>
        <v>8</v>
      </c>
      <c r="J87">
        <f t="shared" si="23"/>
        <v>181</v>
      </c>
      <c r="K87" s="7">
        <f t="shared" si="24"/>
        <v>8.8397790055248615E-2</v>
      </c>
      <c r="L87" s="7">
        <f t="shared" si="25"/>
        <v>99.635272790055254</v>
      </c>
      <c r="M87" s="4">
        <f t="shared" si="26"/>
        <v>4.3191529492939935</v>
      </c>
      <c r="N87" s="8">
        <f t="shared" si="27"/>
        <v>1.5294929399356505E-2</v>
      </c>
      <c r="O87" s="4">
        <f t="shared" si="28"/>
        <v>1.4179847978070241</v>
      </c>
      <c r="P87">
        <f t="shared" si="29"/>
        <v>3</v>
      </c>
      <c r="Q87" s="4">
        <f t="shared" si="30"/>
        <v>1.4767123287671233</v>
      </c>
      <c r="R87">
        <f t="shared" si="31"/>
        <v>1</v>
      </c>
      <c r="S87" s="7">
        <f>SUM(CashFlows!BN87:DU87)</f>
        <v>99.671418522810853</v>
      </c>
      <c r="T87" s="7">
        <f t="shared" si="32"/>
        <v>99.5830207327556</v>
      </c>
      <c r="U87" s="7">
        <f t="shared" si="33"/>
        <v>3.6145732755599624E-2</v>
      </c>
      <c r="V87" s="4">
        <f t="shared" si="34"/>
        <v>4.2935750126310417</v>
      </c>
      <c r="W87" s="8">
        <f t="shared" si="35"/>
        <v>-2.5577936662951828</v>
      </c>
      <c r="X87" s="9">
        <f t="shared" si="36"/>
        <v>2.5584229623930343E-4</v>
      </c>
      <c r="Y87" s="10">
        <f t="shared" si="37"/>
        <v>6.5455280544999497E-8</v>
      </c>
    </row>
    <row r="88" spans="1:25" x14ac:dyDescent="0.2">
      <c r="A88" s="3">
        <f>Data!A87</f>
        <v>46827</v>
      </c>
      <c r="B88" s="4">
        <f>Data!B87</f>
        <v>3.875</v>
      </c>
      <c r="C88" s="4">
        <f>Data!C87</f>
        <v>99.103999999999999</v>
      </c>
      <c r="D88" s="4">
        <f>Data!D87</f>
        <v>99.114000000000004</v>
      </c>
      <c r="E88" s="4">
        <f>Data!F87</f>
        <v>4.3150000000000004</v>
      </c>
      <c r="F88" s="7">
        <f t="shared" si="19"/>
        <v>99.359375</v>
      </c>
      <c r="G88" s="3">
        <f t="shared" si="20"/>
        <v>46096</v>
      </c>
      <c r="H88" s="3">
        <f t="shared" si="21"/>
        <v>46280</v>
      </c>
      <c r="I88">
        <f t="shared" si="22"/>
        <v>177</v>
      </c>
      <c r="J88">
        <f t="shared" si="23"/>
        <v>184</v>
      </c>
      <c r="K88" s="7">
        <f t="shared" si="24"/>
        <v>1.8637907608695652</v>
      </c>
      <c r="L88" s="7">
        <f t="shared" si="25"/>
        <v>101.22316576086956</v>
      </c>
      <c r="M88" s="4">
        <f t="shared" si="26"/>
        <v>4.3147164421264872</v>
      </c>
      <c r="N88" s="8">
        <f t="shared" si="27"/>
        <v>-2.8355787351319606E-2</v>
      </c>
      <c r="O88" s="4">
        <f t="shared" si="28"/>
        <v>1.4315652439997555</v>
      </c>
      <c r="P88">
        <f t="shared" si="29"/>
        <v>4</v>
      </c>
      <c r="Q88" s="4">
        <f t="shared" si="30"/>
        <v>1.5178082191780822</v>
      </c>
      <c r="R88">
        <f t="shared" si="31"/>
        <v>1</v>
      </c>
      <c r="S88" s="7">
        <f>SUM(CashFlows!BN88:DU88)</f>
        <v>101.24156229984453</v>
      </c>
      <c r="T88" s="7">
        <f t="shared" si="32"/>
        <v>99.377771538974969</v>
      </c>
      <c r="U88" s="7">
        <f t="shared" si="33"/>
        <v>1.8396538974968735E-2</v>
      </c>
      <c r="V88" s="4">
        <f t="shared" si="34"/>
        <v>4.3020226627696267</v>
      </c>
      <c r="W88" s="8">
        <f t="shared" si="35"/>
        <v>-1.2693779356860446</v>
      </c>
      <c r="X88" s="9">
        <f t="shared" si="36"/>
        <v>1.2695361245751427E-4</v>
      </c>
      <c r="Y88" s="10">
        <f t="shared" si="37"/>
        <v>1.6117219716012721E-8</v>
      </c>
    </row>
    <row r="89" spans="1:25" x14ac:dyDescent="0.2">
      <c r="A89" s="3">
        <f>Data!A88</f>
        <v>46843</v>
      </c>
      <c r="B89" s="4">
        <f>Data!B88</f>
        <v>1.25</v>
      </c>
      <c r="C89" s="4">
        <f>Data!C88</f>
        <v>95.116</v>
      </c>
      <c r="D89" s="4">
        <f>Data!D88</f>
        <v>95.126000000000005</v>
      </c>
      <c r="E89" s="4">
        <f>Data!F88</f>
        <v>4.3319999999999999</v>
      </c>
      <c r="F89" s="7">
        <f t="shared" si="19"/>
        <v>95.3984375</v>
      </c>
      <c r="G89" s="3">
        <f t="shared" si="20"/>
        <v>46112</v>
      </c>
      <c r="H89" s="3">
        <f t="shared" si="21"/>
        <v>46295</v>
      </c>
      <c r="I89">
        <f t="shared" si="22"/>
        <v>161</v>
      </c>
      <c r="J89">
        <f t="shared" si="23"/>
        <v>183</v>
      </c>
      <c r="K89" s="7">
        <f t="shared" si="24"/>
        <v>0.54986338797814205</v>
      </c>
      <c r="L89" s="7">
        <f t="shared" si="25"/>
        <v>95.948300887978135</v>
      </c>
      <c r="M89" s="4">
        <f t="shared" si="26"/>
        <v>4.3316356373190663</v>
      </c>
      <c r="N89" s="8">
        <f t="shared" si="27"/>
        <v>-3.6436268093353874E-2</v>
      </c>
      <c r="O89" s="4">
        <f t="shared" si="28"/>
        <v>1.5082263612925633</v>
      </c>
      <c r="P89">
        <f t="shared" si="29"/>
        <v>4</v>
      </c>
      <c r="Q89" s="4">
        <f t="shared" si="30"/>
        <v>1.5616438356164384</v>
      </c>
      <c r="R89">
        <f t="shared" si="31"/>
        <v>1</v>
      </c>
      <c r="S89" s="7">
        <f>SUM(CashFlows!BN89:DU89)</f>
        <v>95.963542548819774</v>
      </c>
      <c r="T89" s="7">
        <f t="shared" si="32"/>
        <v>95.413679160841639</v>
      </c>
      <c r="U89" s="7">
        <f t="shared" si="33"/>
        <v>1.5241660841638804E-2</v>
      </c>
      <c r="V89" s="4">
        <f t="shared" si="34"/>
        <v>4.3211043255837724</v>
      </c>
      <c r="W89" s="8">
        <f t="shared" si="35"/>
        <v>-1.0531311735293869</v>
      </c>
      <c r="X89" s="9">
        <f t="shared" si="36"/>
        <v>1.0532427486924314E-4</v>
      </c>
      <c r="Y89" s="10">
        <f t="shared" si="37"/>
        <v>1.1093202876731881E-8</v>
      </c>
    </row>
    <row r="90" spans="1:25" x14ac:dyDescent="0.2">
      <c r="A90" s="3">
        <f>Data!A89</f>
        <v>46843</v>
      </c>
      <c r="B90" s="4">
        <f>Data!B89</f>
        <v>3.625</v>
      </c>
      <c r="C90" s="4">
        <f>Data!C89</f>
        <v>98.292000000000002</v>
      </c>
      <c r="D90" s="4">
        <f>Data!D89</f>
        <v>98.302000000000007</v>
      </c>
      <c r="E90" s="4">
        <f>Data!F89</f>
        <v>4.33</v>
      </c>
      <c r="F90" s="7">
        <f t="shared" si="19"/>
        <v>98.9453125</v>
      </c>
      <c r="G90" s="3">
        <f t="shared" si="20"/>
        <v>46112</v>
      </c>
      <c r="H90" s="3">
        <f t="shared" si="21"/>
        <v>46295</v>
      </c>
      <c r="I90">
        <f t="shared" si="22"/>
        <v>161</v>
      </c>
      <c r="J90">
        <f t="shared" si="23"/>
        <v>183</v>
      </c>
      <c r="K90" s="7">
        <f t="shared" si="24"/>
        <v>1.5946038251366119</v>
      </c>
      <c r="L90" s="7">
        <f t="shared" si="25"/>
        <v>100.53991632513662</v>
      </c>
      <c r="M90" s="4">
        <f t="shared" si="26"/>
        <v>4.3300360599484744</v>
      </c>
      <c r="N90" s="8">
        <f t="shared" si="27"/>
        <v>3.6059948474331804E-3</v>
      </c>
      <c r="O90" s="4">
        <f t="shared" si="28"/>
        <v>1.4749896441988575</v>
      </c>
      <c r="P90">
        <f t="shared" si="29"/>
        <v>4</v>
      </c>
      <c r="Q90" s="4">
        <f t="shared" si="30"/>
        <v>1.5616438356164384</v>
      </c>
      <c r="R90">
        <f t="shared" si="31"/>
        <v>1</v>
      </c>
      <c r="S90" s="7">
        <f>SUM(CashFlows!BN90:DU90)</f>
        <v>100.55713457366996</v>
      </c>
      <c r="T90" s="7">
        <f t="shared" si="32"/>
        <v>98.962530748533339</v>
      </c>
      <c r="U90" s="7">
        <f t="shared" si="33"/>
        <v>1.721824853333942E-2</v>
      </c>
      <c r="V90" s="4">
        <f t="shared" si="34"/>
        <v>4.3184266276486092</v>
      </c>
      <c r="W90" s="8">
        <f t="shared" si="35"/>
        <v>-1.1609432299865219</v>
      </c>
      <c r="X90" s="9">
        <f t="shared" si="36"/>
        <v>1.1610782285191001E-4</v>
      </c>
      <c r="Y90" s="10">
        <f t="shared" si="37"/>
        <v>1.3481026527410517E-8</v>
      </c>
    </row>
    <row r="91" spans="1:25" x14ac:dyDescent="0.2">
      <c r="A91" s="3">
        <f>Data!A90</f>
        <v>46843</v>
      </c>
      <c r="B91" s="4">
        <f>Data!B90</f>
        <v>3.875</v>
      </c>
      <c r="C91" s="4">
        <f>Data!C90</f>
        <v>99.091999999999999</v>
      </c>
      <c r="D91" s="4">
        <f>Data!D90</f>
        <v>99.102000000000004</v>
      </c>
      <c r="E91" s="4">
        <f>Data!F90</f>
        <v>4.3289999999999997</v>
      </c>
      <c r="F91" s="7">
        <f t="shared" si="19"/>
        <v>99.3203125</v>
      </c>
      <c r="G91" s="3">
        <f t="shared" si="20"/>
        <v>46112</v>
      </c>
      <c r="H91" s="3">
        <f t="shared" si="21"/>
        <v>46295</v>
      </c>
      <c r="I91">
        <f t="shared" si="22"/>
        <v>161</v>
      </c>
      <c r="J91">
        <f t="shared" si="23"/>
        <v>183</v>
      </c>
      <c r="K91" s="7">
        <f t="shared" si="24"/>
        <v>1.7045765027322404</v>
      </c>
      <c r="L91" s="7">
        <f t="shared" si="25"/>
        <v>101.02488900273224</v>
      </c>
      <c r="M91" s="4">
        <f t="shared" si="26"/>
        <v>4.3287658967269032</v>
      </c>
      <c r="N91" s="8">
        <f t="shared" si="27"/>
        <v>-2.3410327309658641E-2</v>
      </c>
      <c r="O91" s="4">
        <f t="shared" si="28"/>
        <v>1.4716754101867753</v>
      </c>
      <c r="P91">
        <f t="shared" si="29"/>
        <v>4</v>
      </c>
      <c r="Q91" s="4">
        <f t="shared" si="30"/>
        <v>1.5616438356164384</v>
      </c>
      <c r="R91">
        <f t="shared" si="31"/>
        <v>1</v>
      </c>
      <c r="S91" s="7">
        <f>SUM(CashFlows!BN91:DU91)</f>
        <v>101.04067057628578</v>
      </c>
      <c r="T91" s="7">
        <f t="shared" si="32"/>
        <v>99.336094073553539</v>
      </c>
      <c r="U91" s="7">
        <f t="shared" si="33"/>
        <v>1.5781573553539374E-2</v>
      </c>
      <c r="V91" s="4">
        <f t="shared" si="34"/>
        <v>4.3181522716583842</v>
      </c>
      <c r="W91" s="8">
        <f t="shared" si="35"/>
        <v>-1.0613625068518928</v>
      </c>
      <c r="X91" s="9">
        <f t="shared" si="36"/>
        <v>1.0614752892478936E-4</v>
      </c>
      <c r="Y91" s="10">
        <f t="shared" si="37"/>
        <v>1.1267297896838992E-8</v>
      </c>
    </row>
    <row r="92" spans="1:25" x14ac:dyDescent="0.2">
      <c r="A92" s="3">
        <f>Data!A91</f>
        <v>46858</v>
      </c>
      <c r="B92" s="4">
        <f>Data!B91</f>
        <v>3.75</v>
      </c>
      <c r="C92" s="4">
        <f>Data!C91</f>
        <v>99.022000000000006</v>
      </c>
      <c r="D92" s="4">
        <f>Data!D91</f>
        <v>99.031999999999996</v>
      </c>
      <c r="E92" s="4">
        <f>Data!F91</f>
        <v>4.335</v>
      </c>
      <c r="F92" s="7">
        <f t="shared" si="19"/>
        <v>99.1015625</v>
      </c>
      <c r="G92" s="3">
        <f t="shared" si="20"/>
        <v>46127</v>
      </c>
      <c r="H92" s="3">
        <f t="shared" si="21"/>
        <v>46310</v>
      </c>
      <c r="I92">
        <f t="shared" si="22"/>
        <v>146</v>
      </c>
      <c r="J92">
        <f t="shared" si="23"/>
        <v>183</v>
      </c>
      <c r="K92" s="7">
        <f t="shared" si="24"/>
        <v>1.4959016393442623</v>
      </c>
      <c r="L92" s="7">
        <f t="shared" si="25"/>
        <v>100.59746413934427</v>
      </c>
      <c r="M92" s="4">
        <f t="shared" si="26"/>
        <v>4.3347721804484465</v>
      </c>
      <c r="N92" s="8">
        <f t="shared" si="27"/>
        <v>-2.2781955155348754E-2</v>
      </c>
      <c r="O92" s="4">
        <f t="shared" si="28"/>
        <v>1.5134008301028037</v>
      </c>
      <c r="P92">
        <f t="shared" si="29"/>
        <v>4</v>
      </c>
      <c r="Q92" s="4">
        <f t="shared" si="30"/>
        <v>1.6027397260273972</v>
      </c>
      <c r="R92">
        <f t="shared" si="31"/>
        <v>1</v>
      </c>
      <c r="S92" s="7">
        <f>SUM(CashFlows!BN92:DU92)</f>
        <v>100.6107065568908</v>
      </c>
      <c r="T92" s="7">
        <f t="shared" si="32"/>
        <v>99.114804917546536</v>
      </c>
      <c r="U92" s="7">
        <f t="shared" si="33"/>
        <v>1.3242417546535989E-2</v>
      </c>
      <c r="V92" s="4">
        <f t="shared" si="34"/>
        <v>4.3260748150366242</v>
      </c>
      <c r="W92" s="8">
        <f t="shared" si="35"/>
        <v>-0.86973654118223109</v>
      </c>
      <c r="X92" s="9">
        <f t="shared" si="36"/>
        <v>8.6981376559579728E-5</v>
      </c>
      <c r="Y92" s="10">
        <f t="shared" si="37"/>
        <v>7.5657598681994063E-9</v>
      </c>
    </row>
    <row r="93" spans="1:25" x14ac:dyDescent="0.2">
      <c r="A93" s="3">
        <f>Data!A92</f>
        <v>46873</v>
      </c>
      <c r="B93" s="4">
        <f>Data!B92</f>
        <v>1.25</v>
      </c>
      <c r="C93" s="4">
        <f>Data!C92</f>
        <v>95.03</v>
      </c>
      <c r="D93" s="4">
        <f>Data!D92</f>
        <v>95.04</v>
      </c>
      <c r="E93" s="4">
        <f>Data!F92</f>
        <v>4.3540000000000001</v>
      </c>
      <c r="F93" s="7">
        <f t="shared" si="19"/>
        <v>95.125</v>
      </c>
      <c r="G93" s="3">
        <f t="shared" si="20"/>
        <v>46142</v>
      </c>
      <c r="H93" s="3">
        <f t="shared" si="21"/>
        <v>46326</v>
      </c>
      <c r="I93">
        <f t="shared" si="22"/>
        <v>131</v>
      </c>
      <c r="J93">
        <f t="shared" si="23"/>
        <v>184</v>
      </c>
      <c r="K93" s="7">
        <f t="shared" si="24"/>
        <v>0.44497282608695654</v>
      </c>
      <c r="L93" s="7">
        <f t="shared" si="25"/>
        <v>95.569972826086953</v>
      </c>
      <c r="M93" s="4">
        <f t="shared" si="26"/>
        <v>4.3539498025289207</v>
      </c>
      <c r="N93" s="8">
        <f t="shared" si="27"/>
        <v>-5.019747107937178E-3</v>
      </c>
      <c r="O93" s="4">
        <f t="shared" si="28"/>
        <v>1.5901815513640092</v>
      </c>
      <c r="P93">
        <f t="shared" si="29"/>
        <v>4</v>
      </c>
      <c r="Q93" s="4">
        <f t="shared" si="30"/>
        <v>1.6438356164383561</v>
      </c>
      <c r="R93">
        <f t="shared" si="31"/>
        <v>1</v>
      </c>
      <c r="S93" s="7">
        <f>SUM(CashFlows!BN93:DU93)</f>
        <v>95.604054016812483</v>
      </c>
      <c r="T93" s="7">
        <f t="shared" si="32"/>
        <v>95.15908119072553</v>
      </c>
      <c r="U93" s="7">
        <f t="shared" si="33"/>
        <v>3.4081190725530064E-2</v>
      </c>
      <c r="V93" s="4">
        <f t="shared" si="34"/>
        <v>4.3315293339009315</v>
      </c>
      <c r="W93" s="8">
        <f t="shared" si="35"/>
        <v>-2.2420468627989187</v>
      </c>
      <c r="X93" s="9">
        <f t="shared" si="36"/>
        <v>2.2425729869808179E-4</v>
      </c>
      <c r="Y93" s="10">
        <f t="shared" si="37"/>
        <v>5.0291336019360676E-8</v>
      </c>
    </row>
    <row r="94" spans="1:25" x14ac:dyDescent="0.2">
      <c r="A94" s="3">
        <f>Data!A93</f>
        <v>46873</v>
      </c>
      <c r="B94" s="4">
        <f>Data!B93</f>
        <v>3.5</v>
      </c>
      <c r="C94" s="4">
        <f>Data!C93</f>
        <v>98.203999999999994</v>
      </c>
      <c r="D94" s="4">
        <f>Data!D93</f>
        <v>98.213999999999999</v>
      </c>
      <c r="E94" s="4">
        <f>Data!F93</f>
        <v>4.343</v>
      </c>
      <c r="F94" s="7">
        <f t="shared" si="19"/>
        <v>98.671875</v>
      </c>
      <c r="G94" s="3">
        <f t="shared" si="20"/>
        <v>46142</v>
      </c>
      <c r="H94" s="3">
        <f t="shared" si="21"/>
        <v>46326</v>
      </c>
      <c r="I94">
        <f t="shared" si="22"/>
        <v>131</v>
      </c>
      <c r="J94">
        <f t="shared" si="23"/>
        <v>184</v>
      </c>
      <c r="K94" s="7">
        <f t="shared" si="24"/>
        <v>1.2459239130434783</v>
      </c>
      <c r="L94" s="7">
        <f t="shared" si="25"/>
        <v>99.917798913043484</v>
      </c>
      <c r="M94" s="4">
        <f t="shared" si="26"/>
        <v>4.3433148696525494</v>
      </c>
      <c r="N94" s="8">
        <f t="shared" si="27"/>
        <v>3.1486965254945432E-2</v>
      </c>
      <c r="O94" s="4">
        <f t="shared" si="28"/>
        <v>1.5586893194113816</v>
      </c>
      <c r="P94">
        <f t="shared" si="29"/>
        <v>4</v>
      </c>
      <c r="Q94" s="4">
        <f t="shared" si="30"/>
        <v>1.6438356164383561</v>
      </c>
      <c r="R94">
        <f t="shared" si="31"/>
        <v>1</v>
      </c>
      <c r="S94" s="7">
        <f>SUM(CashFlows!BN94:DU94)</f>
        <v>99.94041200531008</v>
      </c>
      <c r="T94" s="7">
        <f t="shared" si="32"/>
        <v>98.694488092266596</v>
      </c>
      <c r="U94" s="7">
        <f t="shared" si="33"/>
        <v>2.2613092266595913E-2</v>
      </c>
      <c r="V94" s="4">
        <f t="shared" si="34"/>
        <v>4.3287973690899442</v>
      </c>
      <c r="W94" s="8">
        <f t="shared" si="35"/>
        <v>-1.4517500562605257</v>
      </c>
      <c r="X94" s="9">
        <f t="shared" si="36"/>
        <v>1.4519696442815967E-4</v>
      </c>
      <c r="Y94" s="10">
        <f t="shared" si="37"/>
        <v>2.1082158479152265E-8</v>
      </c>
    </row>
    <row r="95" spans="1:25" x14ac:dyDescent="0.2">
      <c r="A95" s="3">
        <f>Data!A94</f>
        <v>46873</v>
      </c>
      <c r="B95" s="4">
        <f>Data!B94</f>
        <v>3.75</v>
      </c>
      <c r="C95" s="4">
        <f>Data!C94</f>
        <v>99.007000000000005</v>
      </c>
      <c r="D95" s="4">
        <f>Data!D94</f>
        <v>99.016999999999996</v>
      </c>
      <c r="E95" s="4">
        <f>Data!F94</f>
        <v>4.3470000000000004</v>
      </c>
      <c r="F95" s="7">
        <f t="shared" si="19"/>
        <v>99.05859375</v>
      </c>
      <c r="G95" s="3">
        <f t="shared" si="20"/>
        <v>46142</v>
      </c>
      <c r="H95" s="3">
        <f t="shared" si="21"/>
        <v>46326</v>
      </c>
      <c r="I95">
        <f t="shared" si="22"/>
        <v>131</v>
      </c>
      <c r="J95">
        <f t="shared" si="23"/>
        <v>184</v>
      </c>
      <c r="K95" s="7">
        <f t="shared" si="24"/>
        <v>1.3349184782608696</v>
      </c>
      <c r="L95" s="7">
        <f t="shared" si="25"/>
        <v>100.39351222826087</v>
      </c>
      <c r="M95" s="4">
        <f t="shared" si="26"/>
        <v>4.3468899378235379</v>
      </c>
      <c r="N95" s="8">
        <f t="shared" si="27"/>
        <v>-1.1006217646247762E-2</v>
      </c>
      <c r="O95" s="4">
        <f t="shared" si="28"/>
        <v>1.5553196191095537</v>
      </c>
      <c r="P95">
        <f t="shared" si="29"/>
        <v>4</v>
      </c>
      <c r="Q95" s="4">
        <f t="shared" si="30"/>
        <v>1.6438356164383561</v>
      </c>
      <c r="R95">
        <f t="shared" si="31"/>
        <v>1</v>
      </c>
      <c r="S95" s="7">
        <f>SUM(CashFlows!BN95:DU95)</f>
        <v>100.42222955958759</v>
      </c>
      <c r="T95" s="7">
        <f t="shared" si="32"/>
        <v>99.087311081326717</v>
      </c>
      <c r="U95" s="7">
        <f t="shared" si="33"/>
        <v>2.8717331326717499E-2</v>
      </c>
      <c r="V95" s="4">
        <f t="shared" si="34"/>
        <v>4.3285018900313519</v>
      </c>
      <c r="W95" s="8">
        <f t="shared" si="35"/>
        <v>-1.8388047792186057</v>
      </c>
      <c r="X95" s="9">
        <f t="shared" si="36"/>
        <v>1.8391568983670909E-4</v>
      </c>
      <c r="Y95" s="10">
        <f t="shared" si="37"/>
        <v>3.3824980968112582E-8</v>
      </c>
    </row>
    <row r="96" spans="1:25" x14ac:dyDescent="0.2">
      <c r="A96" s="3">
        <f>Data!A95</f>
        <v>46888</v>
      </c>
      <c r="B96" s="4">
        <f>Data!B95</f>
        <v>2.875</v>
      </c>
      <c r="C96" s="4">
        <f>Data!C95</f>
        <v>97.19</v>
      </c>
      <c r="D96" s="4">
        <f>Data!D95</f>
        <v>97.2</v>
      </c>
      <c r="E96" s="4">
        <f>Data!F95</f>
        <v>4.3499999999999996</v>
      </c>
      <c r="F96" s="7">
        <f t="shared" si="19"/>
        <v>97.625</v>
      </c>
      <c r="G96" s="3">
        <f t="shared" si="20"/>
        <v>46157</v>
      </c>
      <c r="H96" s="3">
        <f t="shared" si="21"/>
        <v>46341</v>
      </c>
      <c r="I96">
        <f t="shared" si="22"/>
        <v>116</v>
      </c>
      <c r="J96">
        <f t="shared" si="23"/>
        <v>184</v>
      </c>
      <c r="K96" s="7">
        <f t="shared" si="24"/>
        <v>0.90625</v>
      </c>
      <c r="L96" s="7">
        <f t="shared" si="25"/>
        <v>98.53125</v>
      </c>
      <c r="M96" s="4">
        <f t="shared" si="26"/>
        <v>4.3499896874554533</v>
      </c>
      <c r="N96" s="8">
        <f t="shared" si="27"/>
        <v>-1.0312544546309255E-3</v>
      </c>
      <c r="O96" s="4">
        <f t="shared" si="28"/>
        <v>1.6070217088173555</v>
      </c>
      <c r="P96">
        <f t="shared" si="29"/>
        <v>4</v>
      </c>
      <c r="Q96" s="4">
        <f t="shared" si="30"/>
        <v>1.6849315068493151</v>
      </c>
      <c r="R96">
        <f t="shared" si="31"/>
        <v>1</v>
      </c>
      <c r="S96" s="7">
        <f>SUM(CashFlows!BN96:DU96)</f>
        <v>98.55093685541388</v>
      </c>
      <c r="T96" s="7">
        <f t="shared" si="32"/>
        <v>97.64468685541388</v>
      </c>
      <c r="U96" s="7">
        <f t="shared" si="33"/>
        <v>1.9686855413880266E-2</v>
      </c>
      <c r="V96" s="4">
        <f t="shared" si="34"/>
        <v>4.337558195762786</v>
      </c>
      <c r="W96" s="8">
        <f t="shared" si="35"/>
        <v>-1.2431491692667329</v>
      </c>
      <c r="X96" s="9">
        <f t="shared" si="36"/>
        <v>1.243313403923003E-4</v>
      </c>
      <c r="Y96" s="10">
        <f t="shared" si="37"/>
        <v>1.5458282203746042E-8</v>
      </c>
    </row>
    <row r="97" spans="1:25" x14ac:dyDescent="0.2">
      <c r="A97" s="3">
        <f>Data!A96</f>
        <v>46888</v>
      </c>
      <c r="B97" s="4">
        <f>Data!B96</f>
        <v>3.75</v>
      </c>
      <c r="C97" s="4">
        <f>Data!C96</f>
        <v>99.006</v>
      </c>
      <c r="D97" s="4">
        <f>Data!D96</f>
        <v>99.016000000000005</v>
      </c>
      <c r="E97" s="4">
        <f>Data!F96</f>
        <v>4.335</v>
      </c>
      <c r="F97" s="7">
        <f t="shared" si="19"/>
        <v>99.0546875</v>
      </c>
      <c r="G97" s="3">
        <f t="shared" si="20"/>
        <v>46157</v>
      </c>
      <c r="H97" s="3">
        <f t="shared" si="21"/>
        <v>46341</v>
      </c>
      <c r="I97">
        <f t="shared" si="22"/>
        <v>116</v>
      </c>
      <c r="J97">
        <f t="shared" si="23"/>
        <v>184</v>
      </c>
      <c r="K97" s="7">
        <f t="shared" si="24"/>
        <v>1.1820652173913044</v>
      </c>
      <c r="L97" s="7">
        <f t="shared" si="25"/>
        <v>100.2367527173913</v>
      </c>
      <c r="M97" s="4">
        <f t="shared" si="26"/>
        <v>4.3349684685351431</v>
      </c>
      <c r="N97" s="8">
        <f t="shared" si="27"/>
        <v>-3.1531464856904279E-3</v>
      </c>
      <c r="O97" s="4">
        <f t="shared" si="28"/>
        <v>1.5953134953348407</v>
      </c>
      <c r="P97">
        <f t="shared" si="29"/>
        <v>4</v>
      </c>
      <c r="Q97" s="4">
        <f t="shared" si="30"/>
        <v>1.6849315068493151</v>
      </c>
      <c r="R97">
        <f t="shared" si="31"/>
        <v>1</v>
      </c>
      <c r="S97" s="7">
        <f>SUM(CashFlows!BN97:DU97)</f>
        <v>100.23432202824016</v>
      </c>
      <c r="T97" s="7">
        <f t="shared" si="32"/>
        <v>99.05225681084886</v>
      </c>
      <c r="U97" s="7">
        <f t="shared" si="33"/>
        <v>-2.4306891511400863E-3</v>
      </c>
      <c r="V97" s="4">
        <f t="shared" si="34"/>
        <v>4.3364885378688998</v>
      </c>
      <c r="W97" s="8">
        <f t="shared" si="35"/>
        <v>0.15200693337567017</v>
      </c>
      <c r="X97" s="9">
        <f t="shared" si="36"/>
        <v>-1.5200448237269691E-5</v>
      </c>
      <c r="Y97" s="10">
        <f t="shared" si="37"/>
        <v>2.3105362661391526E-10</v>
      </c>
    </row>
    <row r="98" spans="1:25" x14ac:dyDescent="0.2">
      <c r="A98" s="3">
        <f>Data!A97</f>
        <v>46904</v>
      </c>
      <c r="B98" s="4">
        <f>Data!B97</f>
        <v>1.25</v>
      </c>
      <c r="C98" s="4">
        <f>Data!C97</f>
        <v>94.272000000000006</v>
      </c>
      <c r="D98" s="4">
        <f>Data!D97</f>
        <v>94.281999999999996</v>
      </c>
      <c r="E98" s="4">
        <f>Data!F97</f>
        <v>4.3570000000000002</v>
      </c>
      <c r="F98" s="7">
        <f t="shared" si="19"/>
        <v>94.8828125</v>
      </c>
      <c r="G98" s="3">
        <f t="shared" si="20"/>
        <v>46173</v>
      </c>
      <c r="H98" s="3">
        <f t="shared" si="21"/>
        <v>46356</v>
      </c>
      <c r="I98">
        <f t="shared" si="22"/>
        <v>100</v>
      </c>
      <c r="J98">
        <f t="shared" si="23"/>
        <v>183</v>
      </c>
      <c r="K98" s="7">
        <f t="shared" si="24"/>
        <v>0.34153005464480873</v>
      </c>
      <c r="L98" s="7">
        <f t="shared" si="25"/>
        <v>95.224342554644807</v>
      </c>
      <c r="M98" s="4">
        <f t="shared" si="26"/>
        <v>4.3574595022960763</v>
      </c>
      <c r="N98" s="8">
        <f t="shared" si="27"/>
        <v>4.5950229607605309E-2</v>
      </c>
      <c r="O98" s="4">
        <f t="shared" si="28"/>
        <v>1.6711431668495877</v>
      </c>
      <c r="P98">
        <f t="shared" si="29"/>
        <v>4</v>
      </c>
      <c r="Q98" s="4">
        <f t="shared" si="30"/>
        <v>1.7287671232876711</v>
      </c>
      <c r="R98">
        <f t="shared" si="31"/>
        <v>1</v>
      </c>
      <c r="S98" s="7">
        <f>SUM(CashFlows!BN98:DU98)</f>
        <v>95.233652252112435</v>
      </c>
      <c r="T98" s="7">
        <f t="shared" si="32"/>
        <v>94.892122197467629</v>
      </c>
      <c r="U98" s="7">
        <f t="shared" si="33"/>
        <v>9.3096974676285527E-3</v>
      </c>
      <c r="V98" s="4">
        <f t="shared" si="34"/>
        <v>4.3516096308856422</v>
      </c>
      <c r="W98" s="8">
        <f t="shared" si="35"/>
        <v>-0.58498714104340266</v>
      </c>
      <c r="X98" s="9">
        <f t="shared" si="36"/>
        <v>5.8502432982346899E-5</v>
      </c>
      <c r="Y98" s="10">
        <f t="shared" si="37"/>
        <v>3.4225346648539904E-9</v>
      </c>
    </row>
    <row r="99" spans="1:25" x14ac:dyDescent="0.2">
      <c r="A99" s="3">
        <f>Data!A98</f>
        <v>46904</v>
      </c>
      <c r="B99" s="4">
        <f>Data!B98</f>
        <v>3.625</v>
      </c>
      <c r="C99" s="4">
        <f>Data!C98</f>
        <v>98.245999999999995</v>
      </c>
      <c r="D99" s="4">
        <f>Data!D98</f>
        <v>98.256</v>
      </c>
      <c r="E99" s="4">
        <f>Data!F98</f>
        <v>4.3479999999999999</v>
      </c>
      <c r="F99" s="7">
        <f t="shared" si="19"/>
        <v>98.8046875</v>
      </c>
      <c r="G99" s="3">
        <f t="shared" si="20"/>
        <v>46173</v>
      </c>
      <c r="H99" s="3">
        <f t="shared" si="21"/>
        <v>46356</v>
      </c>
      <c r="I99">
        <f t="shared" si="22"/>
        <v>100</v>
      </c>
      <c r="J99">
        <f t="shared" si="23"/>
        <v>183</v>
      </c>
      <c r="K99" s="7">
        <f t="shared" si="24"/>
        <v>0.9904371584699454</v>
      </c>
      <c r="L99" s="7">
        <f t="shared" si="25"/>
        <v>99.795124658469945</v>
      </c>
      <c r="M99" s="4">
        <f t="shared" si="26"/>
        <v>4.3480929536780151</v>
      </c>
      <c r="N99" s="8">
        <f t="shared" si="27"/>
        <v>9.2953678015206265E-3</v>
      </c>
      <c r="O99" s="4">
        <f t="shared" si="28"/>
        <v>1.6379693641232298</v>
      </c>
      <c r="P99">
        <f t="shared" si="29"/>
        <v>4</v>
      </c>
      <c r="Q99" s="4">
        <f t="shared" si="30"/>
        <v>1.7287671232876711</v>
      </c>
      <c r="R99">
        <f t="shared" si="31"/>
        <v>1</v>
      </c>
      <c r="S99" s="7">
        <f>SUM(CashFlows!BN99:DU99)</f>
        <v>99.794460315096686</v>
      </c>
      <c r="T99" s="7">
        <f t="shared" si="32"/>
        <v>98.804023156626741</v>
      </c>
      <c r="U99" s="7">
        <f t="shared" si="33"/>
        <v>-6.6434337325915749E-4</v>
      </c>
      <c r="V99" s="4">
        <f t="shared" si="34"/>
        <v>4.3484993777435612</v>
      </c>
      <c r="W99" s="8">
        <f t="shared" si="35"/>
        <v>4.0642406554614041E-2</v>
      </c>
      <c r="X99" s="9">
        <f t="shared" si="36"/>
        <v>-4.0642227982309654E-6</v>
      </c>
      <c r="Y99" s="10">
        <f t="shared" si="37"/>
        <v>1.6517906953660339E-11</v>
      </c>
    </row>
    <row r="100" spans="1:25" x14ac:dyDescent="0.2">
      <c r="A100" s="3">
        <f>Data!A99</f>
        <v>46904</v>
      </c>
      <c r="B100" s="4">
        <f>Data!B99</f>
        <v>4</v>
      </c>
      <c r="C100" s="4">
        <f>Data!C99</f>
        <v>99.126000000000005</v>
      </c>
      <c r="D100" s="4">
        <f>Data!D99</f>
        <v>99.135999999999996</v>
      </c>
      <c r="E100" s="4">
        <f>Data!F99</f>
        <v>4.343</v>
      </c>
      <c r="F100" s="7">
        <f t="shared" si="19"/>
        <v>99.4296875</v>
      </c>
      <c r="G100" s="3">
        <f t="shared" si="20"/>
        <v>46173</v>
      </c>
      <c r="H100" s="3">
        <f t="shared" si="21"/>
        <v>46356</v>
      </c>
      <c r="I100">
        <f t="shared" si="22"/>
        <v>100</v>
      </c>
      <c r="J100">
        <f t="shared" si="23"/>
        <v>183</v>
      </c>
      <c r="K100" s="7">
        <f t="shared" si="24"/>
        <v>1.0928961748633881</v>
      </c>
      <c r="L100" s="7">
        <f t="shared" si="25"/>
        <v>100.52258367486338</v>
      </c>
      <c r="M100" s="4">
        <f t="shared" si="26"/>
        <v>4.3431521242253979</v>
      </c>
      <c r="N100" s="8">
        <f t="shared" si="27"/>
        <v>1.5212422539789827E-2</v>
      </c>
      <c r="O100" s="4">
        <f t="shared" si="28"/>
        <v>1.6330370960960685</v>
      </c>
      <c r="P100">
        <f t="shared" si="29"/>
        <v>4</v>
      </c>
      <c r="Q100" s="4">
        <f t="shared" si="30"/>
        <v>1.7287671232876711</v>
      </c>
      <c r="R100">
        <f t="shared" si="31"/>
        <v>1</v>
      </c>
      <c r="S100" s="7">
        <f>SUM(CashFlows!BN100:DU100)</f>
        <v>100.51458790398894</v>
      </c>
      <c r="T100" s="7">
        <f t="shared" si="32"/>
        <v>99.421691729125556</v>
      </c>
      <c r="U100" s="7">
        <f t="shared" si="33"/>
        <v>-7.9957708744444744E-3</v>
      </c>
      <c r="V100" s="4">
        <f t="shared" si="34"/>
        <v>4.3480231844580688</v>
      </c>
      <c r="W100" s="8">
        <f t="shared" si="35"/>
        <v>0.48710602326709207</v>
      </c>
      <c r="X100" s="9">
        <f t="shared" si="36"/>
        <v>-4.8708039299749017E-5</v>
      </c>
      <c r="Y100" s="10">
        <f t="shared" si="37"/>
        <v>2.3724730924258946E-9</v>
      </c>
    </row>
    <row r="101" spans="1:25" x14ac:dyDescent="0.2">
      <c r="A101" s="3">
        <f>Data!A100</f>
        <v>46919</v>
      </c>
      <c r="B101" s="4">
        <f>Data!B100</f>
        <v>3.875</v>
      </c>
      <c r="C101" s="4">
        <f>Data!C100</f>
        <v>99.05</v>
      </c>
      <c r="D101" s="4">
        <f>Data!D100</f>
        <v>99.06</v>
      </c>
      <c r="E101" s="4">
        <f>Data!F100</f>
        <v>4.3540000000000001</v>
      </c>
      <c r="F101" s="7">
        <f t="shared" si="19"/>
        <v>99.1875</v>
      </c>
      <c r="G101" s="3">
        <f t="shared" si="20"/>
        <v>46188</v>
      </c>
      <c r="H101" s="3">
        <f t="shared" si="21"/>
        <v>46371</v>
      </c>
      <c r="I101">
        <f t="shared" si="22"/>
        <v>85</v>
      </c>
      <c r="J101">
        <f t="shared" si="23"/>
        <v>183</v>
      </c>
      <c r="K101" s="7">
        <f t="shared" si="24"/>
        <v>0.89993169398907102</v>
      </c>
      <c r="L101" s="7">
        <f t="shared" si="25"/>
        <v>100.08743169398907</v>
      </c>
      <c r="M101" s="4">
        <f t="shared" si="26"/>
        <v>4.3544398459438227</v>
      </c>
      <c r="N101" s="8">
        <f t="shared" si="27"/>
        <v>4.3984594382262543E-2</v>
      </c>
      <c r="O101" s="4">
        <f t="shared" si="28"/>
        <v>1.6747005904628729</v>
      </c>
      <c r="P101">
        <f t="shared" si="29"/>
        <v>4</v>
      </c>
      <c r="Q101" s="4">
        <f t="shared" si="30"/>
        <v>1.7698630136986302</v>
      </c>
      <c r="R101">
        <f t="shared" si="31"/>
        <v>1</v>
      </c>
      <c r="S101" s="7">
        <f>SUM(CashFlows!BN101:DU101)</f>
        <v>100.08659815971912</v>
      </c>
      <c r="T101" s="7">
        <f t="shared" si="32"/>
        <v>99.186666465730042</v>
      </c>
      <c r="U101" s="7">
        <f t="shared" si="33"/>
        <v>-8.3353426995813606E-4</v>
      </c>
      <c r="V101" s="4">
        <f t="shared" si="34"/>
        <v>4.3549371352468311</v>
      </c>
      <c r="W101" s="8">
        <f t="shared" si="35"/>
        <v>4.9728930300840801E-2</v>
      </c>
      <c r="X101" s="9">
        <f t="shared" si="36"/>
        <v>-4.9728658256329694E-6</v>
      </c>
      <c r="Y101" s="10">
        <f t="shared" si="37"/>
        <v>2.4729394519748276E-11</v>
      </c>
    </row>
    <row r="102" spans="1:25" x14ac:dyDescent="0.2">
      <c r="A102" s="3">
        <f>Data!A101</f>
        <v>46934</v>
      </c>
      <c r="B102" s="4">
        <f>Data!B101</f>
        <v>1.25</v>
      </c>
      <c r="C102" s="4">
        <f>Data!C101</f>
        <v>94.191999999999993</v>
      </c>
      <c r="D102" s="4">
        <f>Data!D101</f>
        <v>94.201999999999998</v>
      </c>
      <c r="E102" s="4">
        <f>Data!F101</f>
        <v>4.3659999999999997</v>
      </c>
      <c r="F102" s="7">
        <f t="shared" si="19"/>
        <v>94.6328125</v>
      </c>
      <c r="G102" s="3">
        <f t="shared" si="20"/>
        <v>46203</v>
      </c>
      <c r="H102" s="3">
        <f t="shared" si="21"/>
        <v>46387</v>
      </c>
      <c r="I102">
        <f t="shared" si="22"/>
        <v>70</v>
      </c>
      <c r="J102">
        <f t="shared" si="23"/>
        <v>184</v>
      </c>
      <c r="K102" s="7">
        <f t="shared" si="24"/>
        <v>0.23777173913043478</v>
      </c>
      <c r="L102" s="7">
        <f t="shared" si="25"/>
        <v>94.870584239130437</v>
      </c>
      <c r="M102" s="4">
        <f t="shared" si="26"/>
        <v>4.3656641860588756</v>
      </c>
      <c r="N102" s="8">
        <f t="shared" si="27"/>
        <v>-3.3581394112403018E-2</v>
      </c>
      <c r="O102" s="4">
        <f t="shared" si="28"/>
        <v>1.7523077952959987</v>
      </c>
      <c r="P102">
        <f t="shared" si="29"/>
        <v>4</v>
      </c>
      <c r="Q102" s="4">
        <f t="shared" si="30"/>
        <v>1.810958904109589</v>
      </c>
      <c r="R102">
        <f t="shared" si="31"/>
        <v>1</v>
      </c>
      <c r="S102" s="7">
        <f>SUM(CashFlows!BN102:DU102)</f>
        <v>94.875823760806753</v>
      </c>
      <c r="T102" s="7">
        <f t="shared" si="32"/>
        <v>94.638052021676316</v>
      </c>
      <c r="U102" s="7">
        <f t="shared" si="33"/>
        <v>5.2395216763159169E-3</v>
      </c>
      <c r="V102" s="4">
        <f t="shared" si="34"/>
        <v>4.3625125631453905</v>
      </c>
      <c r="W102" s="8">
        <f t="shared" si="35"/>
        <v>-0.31516229134851415</v>
      </c>
      <c r="X102" s="9">
        <f t="shared" si="36"/>
        <v>3.1517348459509176E-5</v>
      </c>
      <c r="Y102" s="10">
        <f t="shared" si="37"/>
        <v>9.9334325391812544E-10</v>
      </c>
    </row>
    <row r="103" spans="1:25" x14ac:dyDescent="0.2">
      <c r="A103" s="3">
        <f>Data!A102</f>
        <v>46934</v>
      </c>
      <c r="B103" s="4">
        <f>Data!B102</f>
        <v>4</v>
      </c>
      <c r="C103" s="4">
        <f>Data!C102</f>
        <v>99.11</v>
      </c>
      <c r="D103" s="4">
        <f>Data!D102</f>
        <v>99.12</v>
      </c>
      <c r="E103" s="4">
        <f>Data!F102</f>
        <v>4.3600000000000003</v>
      </c>
      <c r="F103" s="7">
        <f t="shared" si="19"/>
        <v>99.375</v>
      </c>
      <c r="G103" s="3">
        <f t="shared" si="20"/>
        <v>46203</v>
      </c>
      <c r="H103" s="3">
        <f t="shared" si="21"/>
        <v>46387</v>
      </c>
      <c r="I103">
        <f t="shared" si="22"/>
        <v>70</v>
      </c>
      <c r="J103">
        <f t="shared" si="23"/>
        <v>184</v>
      </c>
      <c r="K103" s="7">
        <f t="shared" si="24"/>
        <v>0.76086956521739135</v>
      </c>
      <c r="L103" s="7">
        <f t="shared" si="25"/>
        <v>100.13586956521739</v>
      </c>
      <c r="M103" s="4">
        <f t="shared" si="26"/>
        <v>4.3599492505505735</v>
      </c>
      <c r="N103" s="8">
        <f t="shared" si="27"/>
        <v>-5.0749449426845672E-3</v>
      </c>
      <c r="O103" s="4">
        <f t="shared" si="28"/>
        <v>1.7141281557193357</v>
      </c>
      <c r="P103">
        <f t="shared" si="29"/>
        <v>4</v>
      </c>
      <c r="Q103" s="4">
        <f t="shared" si="30"/>
        <v>1.810958904109589</v>
      </c>
      <c r="R103">
        <f t="shared" si="31"/>
        <v>1</v>
      </c>
      <c r="S103" s="7">
        <f>SUM(CashFlows!BN103:DU103)</f>
        <v>100.13759753724001</v>
      </c>
      <c r="T103" s="7">
        <f t="shared" si="32"/>
        <v>99.376727972022621</v>
      </c>
      <c r="U103" s="7">
        <f t="shared" si="33"/>
        <v>1.7279720226213158E-3</v>
      </c>
      <c r="V103" s="4">
        <f t="shared" si="34"/>
        <v>4.3589425533791335</v>
      </c>
      <c r="W103" s="8">
        <f t="shared" si="35"/>
        <v>-0.10066971714399742</v>
      </c>
      <c r="X103" s="9">
        <f t="shared" si="36"/>
        <v>1.0067085208247612E-5</v>
      </c>
      <c r="Y103" s="10">
        <f t="shared" si="37"/>
        <v>1.0134620459011786E-10</v>
      </c>
    </row>
    <row r="104" spans="1:25" x14ac:dyDescent="0.2">
      <c r="A104" s="3">
        <f>Data!A103</f>
        <v>46934</v>
      </c>
      <c r="B104" s="4">
        <f>Data!B103</f>
        <v>4.125</v>
      </c>
      <c r="C104" s="4">
        <f>Data!C103</f>
        <v>99.176000000000002</v>
      </c>
      <c r="D104" s="4">
        <f>Data!D103</f>
        <v>99.186000000000007</v>
      </c>
      <c r="E104" s="4">
        <f>Data!F103</f>
        <v>4.3620000000000001</v>
      </c>
      <c r="F104" s="7">
        <f t="shared" si="19"/>
        <v>99.5859375</v>
      </c>
      <c r="G104" s="3">
        <f t="shared" si="20"/>
        <v>46203</v>
      </c>
      <c r="H104" s="3">
        <f t="shared" si="21"/>
        <v>46387</v>
      </c>
      <c r="I104">
        <f t="shared" si="22"/>
        <v>70</v>
      </c>
      <c r="J104">
        <f t="shared" si="23"/>
        <v>184</v>
      </c>
      <c r="K104" s="7">
        <f t="shared" si="24"/>
        <v>0.78464673913043481</v>
      </c>
      <c r="L104" s="7">
        <f t="shared" si="25"/>
        <v>100.37058423913044</v>
      </c>
      <c r="M104" s="4">
        <f t="shared" si="26"/>
        <v>4.3623837769764942</v>
      </c>
      <c r="N104" s="8">
        <f t="shared" si="27"/>
        <v>3.8377697649405462E-2</v>
      </c>
      <c r="O104" s="4">
        <f t="shared" si="28"/>
        <v>1.7124636044656503</v>
      </c>
      <c r="P104">
        <f t="shared" si="29"/>
        <v>4</v>
      </c>
      <c r="Q104" s="4">
        <f t="shared" si="30"/>
        <v>1.810958904109589</v>
      </c>
      <c r="R104">
        <f t="shared" si="31"/>
        <v>1</v>
      </c>
      <c r="S104" s="7">
        <f>SUM(CashFlows!BN104:DU104)</f>
        <v>100.37676907253243</v>
      </c>
      <c r="T104" s="7">
        <f t="shared" si="32"/>
        <v>99.592122333401988</v>
      </c>
      <c r="U104" s="7">
        <f t="shared" si="33"/>
        <v>6.1848334019884987E-3</v>
      </c>
      <c r="V104" s="4">
        <f t="shared" si="34"/>
        <v>4.358785598441683</v>
      </c>
      <c r="W104" s="8">
        <f t="shared" si="35"/>
        <v>-0.35981785348111472</v>
      </c>
      <c r="X104" s="9">
        <f t="shared" si="36"/>
        <v>3.5983234869835566E-5</v>
      </c>
      <c r="Y104" s="10">
        <f t="shared" si="37"/>
        <v>1.2947931916977501E-9</v>
      </c>
    </row>
    <row r="105" spans="1:25" x14ac:dyDescent="0.2">
      <c r="A105" s="3">
        <f>Data!A104</f>
        <v>46949</v>
      </c>
      <c r="B105" s="4">
        <f>Data!B104</f>
        <v>3.875</v>
      </c>
      <c r="C105" s="4">
        <f>Data!C104</f>
        <v>99.03</v>
      </c>
      <c r="D105" s="4">
        <f>Data!D104</f>
        <v>99.04</v>
      </c>
      <c r="E105" s="4">
        <f>Data!F104</f>
        <v>4.37</v>
      </c>
      <c r="F105" s="7">
        <f t="shared" si="19"/>
        <v>99.125</v>
      </c>
      <c r="G105" s="3">
        <f t="shared" si="20"/>
        <v>46218</v>
      </c>
      <c r="H105" s="3">
        <f t="shared" si="21"/>
        <v>46402</v>
      </c>
      <c r="I105">
        <f t="shared" si="22"/>
        <v>55</v>
      </c>
      <c r="J105">
        <f t="shared" si="23"/>
        <v>184</v>
      </c>
      <c r="K105" s="7">
        <f t="shared" si="24"/>
        <v>0.57914402173913049</v>
      </c>
      <c r="L105" s="7">
        <f t="shared" si="25"/>
        <v>99.704144021739125</v>
      </c>
      <c r="M105" s="4">
        <f t="shared" si="26"/>
        <v>4.369863517093834</v>
      </c>
      <c r="N105" s="8">
        <f t="shared" si="27"/>
        <v>-1.3648290616607994E-2</v>
      </c>
      <c r="O105" s="4">
        <f t="shared" si="28"/>
        <v>1.7555786894116234</v>
      </c>
      <c r="P105">
        <f t="shared" si="29"/>
        <v>4</v>
      </c>
      <c r="Q105" s="4">
        <f t="shared" si="30"/>
        <v>1.8520547945205479</v>
      </c>
      <c r="R105">
        <f t="shared" si="31"/>
        <v>1</v>
      </c>
      <c r="S105" s="7">
        <f>SUM(CashFlows!BN105:DU105)</f>
        <v>99.710919772726854</v>
      </c>
      <c r="T105" s="7">
        <f t="shared" si="32"/>
        <v>99.131775750987728</v>
      </c>
      <c r="U105" s="7">
        <f t="shared" si="33"/>
        <v>6.7757509877282018E-3</v>
      </c>
      <c r="V105" s="4">
        <f t="shared" si="34"/>
        <v>4.3659926811231538</v>
      </c>
      <c r="W105" s="8">
        <f t="shared" si="35"/>
        <v>-0.38708359706802753</v>
      </c>
      <c r="X105" s="9">
        <f t="shared" si="36"/>
        <v>3.871006738540009E-5</v>
      </c>
      <c r="Y105" s="10">
        <f t="shared" si="37"/>
        <v>1.4984693169822158E-9</v>
      </c>
    </row>
    <row r="106" spans="1:25" x14ac:dyDescent="0.2">
      <c r="A106" s="3">
        <f>Data!A105</f>
        <v>46965</v>
      </c>
      <c r="B106" s="4">
        <f>Data!B105</f>
        <v>1</v>
      </c>
      <c r="C106" s="4">
        <f>Data!C105</f>
        <v>93.286000000000001</v>
      </c>
      <c r="D106" s="4">
        <f>Data!D105</f>
        <v>93.296000000000006</v>
      </c>
      <c r="E106" s="4">
        <f>Data!F105</f>
        <v>4.3739999999999997</v>
      </c>
      <c r="F106" s="7">
        <f t="shared" si="19"/>
        <v>93.9296875</v>
      </c>
      <c r="G106" s="3">
        <f t="shared" si="20"/>
        <v>46234</v>
      </c>
      <c r="H106" s="3">
        <f t="shared" si="21"/>
        <v>46418</v>
      </c>
      <c r="I106">
        <f t="shared" si="22"/>
        <v>39</v>
      </c>
      <c r="J106">
        <f t="shared" si="23"/>
        <v>184</v>
      </c>
      <c r="K106" s="7">
        <f t="shared" si="24"/>
        <v>0.10597826086956522</v>
      </c>
      <c r="L106" s="7">
        <f t="shared" si="25"/>
        <v>94.035665760869563</v>
      </c>
      <c r="M106" s="4">
        <f t="shared" si="26"/>
        <v>4.3739744727045515</v>
      </c>
      <c r="N106" s="8">
        <f t="shared" si="27"/>
        <v>-2.552729544813559E-3</v>
      </c>
      <c r="O106" s="4">
        <f t="shared" si="28"/>
        <v>1.8383578852684797</v>
      </c>
      <c r="P106">
        <f t="shared" si="29"/>
        <v>4</v>
      </c>
      <c r="Q106" s="4">
        <f t="shared" si="30"/>
        <v>1.8958904109589041</v>
      </c>
      <c r="R106">
        <f t="shared" si="31"/>
        <v>1</v>
      </c>
      <c r="S106" s="7">
        <f>SUM(CashFlows!BN106:DU106)</f>
        <v>94.030702210547943</v>
      </c>
      <c r="T106" s="7">
        <f t="shared" si="32"/>
        <v>93.924723949678381</v>
      </c>
      <c r="U106" s="7">
        <f t="shared" si="33"/>
        <v>-4.9635503216194365E-3</v>
      </c>
      <c r="V106" s="4">
        <f t="shared" si="34"/>
        <v>4.3768458107964907</v>
      </c>
      <c r="W106" s="8">
        <f t="shared" si="35"/>
        <v>0.28713380919391795</v>
      </c>
      <c r="X106" s="9">
        <f t="shared" si="36"/>
        <v>-2.8712417696110453E-5</v>
      </c>
      <c r="Y106" s="10">
        <f t="shared" si="37"/>
        <v>8.2440292995591664E-10</v>
      </c>
    </row>
    <row r="107" spans="1:25" x14ac:dyDescent="0.2">
      <c r="A107" s="3">
        <f>Data!A106</f>
        <v>46965</v>
      </c>
      <c r="B107" s="4">
        <f>Data!B106</f>
        <v>4.125</v>
      </c>
      <c r="C107" s="4">
        <f>Data!C106</f>
        <v>99.171999999999997</v>
      </c>
      <c r="D107" s="4">
        <f>Data!D106</f>
        <v>99.182000000000002</v>
      </c>
      <c r="E107" s="4">
        <f>Data!F106</f>
        <v>4.3620000000000001</v>
      </c>
      <c r="F107" s="7">
        <f t="shared" si="19"/>
        <v>99.5703125</v>
      </c>
      <c r="G107" s="3">
        <f t="shared" si="20"/>
        <v>46234</v>
      </c>
      <c r="H107" s="3">
        <f t="shared" si="21"/>
        <v>46418</v>
      </c>
      <c r="I107">
        <f t="shared" si="22"/>
        <v>39</v>
      </c>
      <c r="J107">
        <f t="shared" si="23"/>
        <v>184</v>
      </c>
      <c r="K107" s="7">
        <f t="shared" si="24"/>
        <v>0.43716032608695654</v>
      </c>
      <c r="L107" s="7">
        <f t="shared" si="25"/>
        <v>100.00747282608695</v>
      </c>
      <c r="M107" s="4">
        <f t="shared" si="26"/>
        <v>4.3617674348405275</v>
      </c>
      <c r="N107" s="8">
        <f t="shared" si="27"/>
        <v>-2.3256515947256418E-2</v>
      </c>
      <c r="O107" s="4">
        <f t="shared" si="28"/>
        <v>1.7949103470945658</v>
      </c>
      <c r="P107">
        <f t="shared" si="29"/>
        <v>4</v>
      </c>
      <c r="Q107" s="4">
        <f t="shared" si="30"/>
        <v>1.8958904109589041</v>
      </c>
      <c r="R107">
        <f t="shared" si="31"/>
        <v>1</v>
      </c>
      <c r="S107" s="7">
        <f>SUM(CashFlows!BN107:DU107)</f>
        <v>99.987746966179756</v>
      </c>
      <c r="T107" s="7">
        <f t="shared" si="32"/>
        <v>99.550586640092803</v>
      </c>
      <c r="U107" s="7">
        <f t="shared" si="33"/>
        <v>-1.9725859907197218E-2</v>
      </c>
      <c r="V107" s="4">
        <f t="shared" si="34"/>
        <v>4.3727579004700869</v>
      </c>
      <c r="W107" s="8">
        <f t="shared" si="35"/>
        <v>1.0990465629559409</v>
      </c>
      <c r="X107" s="9">
        <f t="shared" si="36"/>
        <v>-1.098906470179268E-4</v>
      </c>
      <c r="Y107" s="10">
        <f t="shared" si="37"/>
        <v>1.2075954302018586E-8</v>
      </c>
    </row>
    <row r="108" spans="1:25" x14ac:dyDescent="0.2">
      <c r="A108" s="3">
        <f>Data!A107</f>
        <v>46965</v>
      </c>
      <c r="B108" s="4">
        <f>Data!B107</f>
        <v>4.25</v>
      </c>
      <c r="C108" s="4">
        <f>Data!C107</f>
        <v>99.242000000000004</v>
      </c>
      <c r="D108" s="4">
        <f>Data!D107</f>
        <v>99.251999999999995</v>
      </c>
      <c r="E108" s="4">
        <f>Data!F107</f>
        <v>4.3650000000000002</v>
      </c>
      <c r="F108" s="7">
        <f t="shared" si="19"/>
        <v>99.7890625</v>
      </c>
      <c r="G108" s="3">
        <f t="shared" si="20"/>
        <v>46234</v>
      </c>
      <c r="H108" s="3">
        <f t="shared" si="21"/>
        <v>46418</v>
      </c>
      <c r="I108">
        <f t="shared" si="22"/>
        <v>39</v>
      </c>
      <c r="J108">
        <f t="shared" si="23"/>
        <v>184</v>
      </c>
      <c r="K108" s="7">
        <f t="shared" si="24"/>
        <v>0.45040760869565216</v>
      </c>
      <c r="L108" s="7">
        <f t="shared" si="25"/>
        <v>100.23947010869566</v>
      </c>
      <c r="M108" s="4">
        <f t="shared" si="26"/>
        <v>4.3651223270245145</v>
      </c>
      <c r="N108" s="8">
        <f t="shared" si="27"/>
        <v>1.2232702451431265E-2</v>
      </c>
      <c r="O108" s="4">
        <f t="shared" si="28"/>
        <v>1.7932438974384215</v>
      </c>
      <c r="P108">
        <f t="shared" si="29"/>
        <v>4</v>
      </c>
      <c r="Q108" s="4">
        <f t="shared" si="30"/>
        <v>1.8958904109589041</v>
      </c>
      <c r="R108">
        <f t="shared" si="31"/>
        <v>1</v>
      </c>
      <c r="S108" s="7">
        <f>SUM(CashFlows!BN108:DU108)</f>
        <v>100.22602875640503</v>
      </c>
      <c r="T108" s="7">
        <f t="shared" si="32"/>
        <v>99.775621147709373</v>
      </c>
      <c r="U108" s="7">
        <f t="shared" si="33"/>
        <v>-1.3441352290627151E-2</v>
      </c>
      <c r="V108" s="4">
        <f t="shared" si="34"/>
        <v>4.3726006204123253</v>
      </c>
      <c r="W108" s="8">
        <f t="shared" si="35"/>
        <v>0.74782933878108082</v>
      </c>
      <c r="X108" s="9">
        <f t="shared" si="36"/>
        <v>-7.4776449457799297E-5</v>
      </c>
      <c r="Y108" s="10">
        <f t="shared" si="37"/>
        <v>5.5915173935148127E-9</v>
      </c>
    </row>
    <row r="109" spans="1:25" x14ac:dyDescent="0.2">
      <c r="A109" s="3">
        <f>Data!A108</f>
        <v>46980</v>
      </c>
      <c r="B109" s="4">
        <f>Data!B108</f>
        <v>2.875</v>
      </c>
      <c r="C109" s="4">
        <f>Data!C108</f>
        <v>97.073999999999998</v>
      </c>
      <c r="D109" s="4">
        <f>Data!D108</f>
        <v>97.084000000000003</v>
      </c>
      <c r="E109" s="4">
        <f>Data!F108</f>
        <v>4.3630000000000004</v>
      </c>
      <c r="F109" s="7">
        <f t="shared" si="19"/>
        <v>97.265625</v>
      </c>
      <c r="G109" s="3">
        <f t="shared" si="20"/>
        <v>46249</v>
      </c>
      <c r="H109" s="3">
        <f t="shared" si="21"/>
        <v>46433</v>
      </c>
      <c r="I109">
        <f t="shared" si="22"/>
        <v>24</v>
      </c>
      <c r="J109">
        <f t="shared" si="23"/>
        <v>184</v>
      </c>
      <c r="K109" s="7">
        <f t="shared" si="24"/>
        <v>0.1875</v>
      </c>
      <c r="L109" s="7">
        <f t="shared" si="25"/>
        <v>97.453125</v>
      </c>
      <c r="M109" s="4">
        <f t="shared" si="26"/>
        <v>4.3631600336223579</v>
      </c>
      <c r="N109" s="8">
        <f t="shared" si="27"/>
        <v>1.6003362235750274E-2</v>
      </c>
      <c r="O109" s="4">
        <f t="shared" si="28"/>
        <v>1.8515745335741602</v>
      </c>
      <c r="P109">
        <f t="shared" si="29"/>
        <v>4</v>
      </c>
      <c r="Q109" s="4">
        <f t="shared" si="30"/>
        <v>1.9369863013698629</v>
      </c>
      <c r="R109">
        <f t="shared" si="31"/>
        <v>1</v>
      </c>
      <c r="S109" s="7">
        <f>SUM(CashFlows!BN109:DU109)</f>
        <v>97.42139829509658</v>
      </c>
      <c r="T109" s="7">
        <f t="shared" si="32"/>
        <v>97.23389829509658</v>
      </c>
      <c r="U109" s="7">
        <f t="shared" si="33"/>
        <v>-3.172670490342E-2</v>
      </c>
      <c r="V109" s="4">
        <f t="shared" si="34"/>
        <v>4.3807464903422977</v>
      </c>
      <c r="W109" s="8">
        <f t="shared" si="35"/>
        <v>1.7586456719939747</v>
      </c>
      <c r="X109" s="9">
        <f t="shared" si="36"/>
        <v>-1.7582798544570416E-4</v>
      </c>
      <c r="Y109" s="10">
        <f t="shared" si="37"/>
        <v>3.0915480465894753E-8</v>
      </c>
    </row>
    <row r="110" spans="1:25" x14ac:dyDescent="0.2">
      <c r="A110" s="3">
        <f>Data!A109</f>
        <v>46980</v>
      </c>
      <c r="B110" s="4">
        <f>Data!B109</f>
        <v>3.625</v>
      </c>
      <c r="C110" s="4">
        <f>Data!C109</f>
        <v>98.19</v>
      </c>
      <c r="D110" s="4">
        <f>Data!D109</f>
        <v>98.2</v>
      </c>
      <c r="E110" s="4">
        <f>Data!F109</f>
        <v>4.3730000000000002</v>
      </c>
      <c r="F110" s="7">
        <f t="shared" si="19"/>
        <v>98.625</v>
      </c>
      <c r="G110" s="3">
        <f t="shared" si="20"/>
        <v>46249</v>
      </c>
      <c r="H110" s="3">
        <f t="shared" si="21"/>
        <v>46433</v>
      </c>
      <c r="I110">
        <f t="shared" si="22"/>
        <v>24</v>
      </c>
      <c r="J110">
        <f t="shared" si="23"/>
        <v>184</v>
      </c>
      <c r="K110" s="7">
        <f t="shared" si="24"/>
        <v>0.23641304347826086</v>
      </c>
      <c r="L110" s="7">
        <f t="shared" si="25"/>
        <v>98.861413043478265</v>
      </c>
      <c r="M110" s="4">
        <f t="shared" si="26"/>
        <v>4.372688974220944</v>
      </c>
      <c r="N110" s="8">
        <f t="shared" si="27"/>
        <v>-3.1102577905617323E-2</v>
      </c>
      <c r="O110" s="4">
        <f t="shared" si="28"/>
        <v>1.8413144193179731</v>
      </c>
      <c r="P110">
        <f t="shared" si="29"/>
        <v>4</v>
      </c>
      <c r="Q110" s="4">
        <f t="shared" si="30"/>
        <v>1.9369863013698629</v>
      </c>
      <c r="R110">
        <f t="shared" si="31"/>
        <v>1</v>
      </c>
      <c r="S110" s="7">
        <f>SUM(CashFlows!BN110:DU110)</f>
        <v>98.848498565306087</v>
      </c>
      <c r="T110" s="7">
        <f t="shared" si="32"/>
        <v>98.612085521827822</v>
      </c>
      <c r="U110" s="7">
        <f t="shared" si="33"/>
        <v>-1.2914478172177724E-2</v>
      </c>
      <c r="V110" s="4">
        <f t="shared" si="34"/>
        <v>4.3797840735297333</v>
      </c>
      <c r="W110" s="8">
        <f t="shared" si="35"/>
        <v>0.70950993087892655</v>
      </c>
      <c r="X110" s="9">
        <f t="shared" si="36"/>
        <v>-7.0945049299564193E-5</v>
      </c>
      <c r="Y110" s="10">
        <f t="shared" si="37"/>
        <v>5.0332000201175937E-9</v>
      </c>
    </row>
    <row r="111" spans="1:25" x14ac:dyDescent="0.2">
      <c r="A111" s="3">
        <f>Data!A110</f>
        <v>46980</v>
      </c>
      <c r="B111" s="4">
        <f>Data!B110</f>
        <v>5.5</v>
      </c>
      <c r="C111" s="4">
        <f>Data!C110</f>
        <v>101.316</v>
      </c>
      <c r="D111" s="4">
        <f>Data!D110</f>
        <v>102.006</v>
      </c>
      <c r="E111" s="4">
        <f>Data!F110</f>
        <v>4.3959999999999999</v>
      </c>
      <c r="F111" s="7">
        <f t="shared" si="19"/>
        <v>102.0234375</v>
      </c>
      <c r="G111" s="3">
        <f t="shared" si="20"/>
        <v>46249</v>
      </c>
      <c r="H111" s="3">
        <f t="shared" si="21"/>
        <v>46433</v>
      </c>
      <c r="I111">
        <f t="shared" si="22"/>
        <v>24</v>
      </c>
      <c r="J111">
        <f t="shared" si="23"/>
        <v>184</v>
      </c>
      <c r="K111" s="7">
        <f t="shared" si="24"/>
        <v>0.35869565217391303</v>
      </c>
      <c r="L111" s="7">
        <f t="shared" si="25"/>
        <v>102.38213315217391</v>
      </c>
      <c r="M111" s="4">
        <f t="shared" si="26"/>
        <v>4.3957882392569045</v>
      </c>
      <c r="N111" s="8">
        <f t="shared" si="27"/>
        <v>-2.117607430953683E-2</v>
      </c>
      <c r="O111" s="4">
        <f t="shared" si="28"/>
        <v>1.8169051558911442</v>
      </c>
      <c r="P111">
        <f t="shared" si="29"/>
        <v>4</v>
      </c>
      <c r="Q111" s="4">
        <f t="shared" si="30"/>
        <v>1.9369863013698629</v>
      </c>
      <c r="R111">
        <f t="shared" si="31"/>
        <v>1</v>
      </c>
      <c r="S111" s="7">
        <f>SUM(CashFlows!BN111:DU111)</f>
        <v>102.41624924082987</v>
      </c>
      <c r="T111" s="7">
        <f t="shared" si="32"/>
        <v>102.05755358865596</v>
      </c>
      <c r="U111" s="7">
        <f t="shared" si="33"/>
        <v>3.4116088655963495E-2</v>
      </c>
      <c r="V111" s="4">
        <f t="shared" si="34"/>
        <v>4.377452045751693</v>
      </c>
      <c r="W111" s="8">
        <f t="shared" si="35"/>
        <v>-1.833619350521154</v>
      </c>
      <c r="X111" s="9">
        <f t="shared" si="36"/>
        <v>1.8340146609932862E-4</v>
      </c>
      <c r="Y111" s="10">
        <f t="shared" si="37"/>
        <v>3.3636097767383189E-8</v>
      </c>
    </row>
    <row r="112" spans="1:25" x14ac:dyDescent="0.2">
      <c r="A112" s="3">
        <f>Data!A111</f>
        <v>46996</v>
      </c>
      <c r="B112" s="4">
        <f>Data!B111</f>
        <v>1.125</v>
      </c>
      <c r="C112" s="4">
        <f>Data!C111</f>
        <v>93.275999999999996</v>
      </c>
      <c r="D112" s="4">
        <f>Data!D111</f>
        <v>93.286000000000001</v>
      </c>
      <c r="E112" s="4">
        <f>Data!F111</f>
        <v>4.3789999999999996</v>
      </c>
      <c r="F112" s="7">
        <f t="shared" si="19"/>
        <v>93.8984375</v>
      </c>
      <c r="G112" s="3">
        <f t="shared" si="20"/>
        <v>46265</v>
      </c>
      <c r="H112" s="3">
        <f t="shared" si="21"/>
        <v>46446</v>
      </c>
      <c r="I112">
        <f t="shared" si="22"/>
        <v>8</v>
      </c>
      <c r="J112">
        <f t="shared" si="23"/>
        <v>181</v>
      </c>
      <c r="K112" s="7">
        <f t="shared" si="24"/>
        <v>2.4861878453038673E-2</v>
      </c>
      <c r="L112" s="7">
        <f t="shared" si="25"/>
        <v>93.923299378453038</v>
      </c>
      <c r="M112" s="4">
        <f t="shared" si="26"/>
        <v>4.3788774546272649</v>
      </c>
      <c r="N112" s="8">
        <f t="shared" si="27"/>
        <v>-1.2254537273470589E-2</v>
      </c>
      <c r="O112" s="4">
        <f t="shared" si="28"/>
        <v>1.9185464946324111</v>
      </c>
      <c r="P112">
        <f t="shared" si="29"/>
        <v>4</v>
      </c>
      <c r="Q112" s="4">
        <f t="shared" si="30"/>
        <v>1.9808219178082191</v>
      </c>
      <c r="R112">
        <f t="shared" si="31"/>
        <v>1</v>
      </c>
      <c r="S112" s="7">
        <f>SUM(CashFlows!BN112:DU112)</f>
        <v>93.902816198436682</v>
      </c>
      <c r="T112" s="7">
        <f t="shared" si="32"/>
        <v>93.877954319983644</v>
      </c>
      <c r="U112" s="7">
        <f t="shared" si="33"/>
        <v>-2.0483180016356073E-2</v>
      </c>
      <c r="V112" s="4">
        <f t="shared" si="34"/>
        <v>4.3902461701512898</v>
      </c>
      <c r="W112" s="8">
        <f t="shared" si="35"/>
        <v>1.1368715524024964</v>
      </c>
      <c r="X112" s="9">
        <f t="shared" si="36"/>
        <v>-1.1367153196443694E-4</v>
      </c>
      <c r="Y112" s="10">
        <f t="shared" si="37"/>
        <v>1.2921217179142009E-8</v>
      </c>
    </row>
    <row r="113" spans="1:25" x14ac:dyDescent="0.2">
      <c r="A113" s="3">
        <f>Data!A112</f>
        <v>46996</v>
      </c>
      <c r="B113" s="4">
        <f>Data!B112</f>
        <v>4.125</v>
      </c>
      <c r="C113" s="4">
        <f>Data!C112</f>
        <v>99.162999999999997</v>
      </c>
      <c r="D113" s="4">
        <f>Data!D112</f>
        <v>99.173000000000002</v>
      </c>
      <c r="E113" s="4">
        <f>Data!F112</f>
        <v>4.3680000000000003</v>
      </c>
      <c r="F113" s="7">
        <f t="shared" si="19"/>
        <v>99.54296875</v>
      </c>
      <c r="G113" s="3">
        <f t="shared" si="20"/>
        <v>46265</v>
      </c>
      <c r="H113" s="3">
        <f t="shared" si="21"/>
        <v>46446</v>
      </c>
      <c r="I113">
        <f t="shared" si="22"/>
        <v>8</v>
      </c>
      <c r="J113">
        <f t="shared" si="23"/>
        <v>181</v>
      </c>
      <c r="K113" s="7">
        <f t="shared" si="24"/>
        <v>9.1160220994475141E-2</v>
      </c>
      <c r="L113" s="7">
        <f t="shared" si="25"/>
        <v>99.634128970994482</v>
      </c>
      <c r="M113" s="4">
        <f t="shared" si="26"/>
        <v>4.3682071099585631</v>
      </c>
      <c r="N113" s="8">
        <f t="shared" si="27"/>
        <v>2.0710995856276782E-2</v>
      </c>
      <c r="O113" s="4">
        <f t="shared" si="28"/>
        <v>1.8769356447178751</v>
      </c>
      <c r="P113">
        <f t="shared" si="29"/>
        <v>4</v>
      </c>
      <c r="Q113" s="4">
        <f t="shared" si="30"/>
        <v>1.9808219178082191</v>
      </c>
      <c r="R113">
        <f t="shared" si="31"/>
        <v>1</v>
      </c>
      <c r="S113" s="7">
        <f>SUM(CashFlows!BN113:DU113)</f>
        <v>99.601002903081095</v>
      </c>
      <c r="T113" s="7">
        <f t="shared" si="32"/>
        <v>99.509842682086614</v>
      </c>
      <c r="U113" s="7">
        <f t="shared" si="33"/>
        <v>-3.3126067913386237E-2</v>
      </c>
      <c r="V113" s="4">
        <f t="shared" si="34"/>
        <v>4.3859247029469479</v>
      </c>
      <c r="W113" s="8">
        <f t="shared" si="35"/>
        <v>1.7717592988384823</v>
      </c>
      <c r="X113" s="9">
        <f t="shared" si="36"/>
        <v>-1.77138261248953E-4</v>
      </c>
      <c r="Y113" s="10">
        <f t="shared" si="37"/>
        <v>3.1377963598302321E-8</v>
      </c>
    </row>
    <row r="114" spans="1:25" x14ac:dyDescent="0.2">
      <c r="A114" s="3">
        <f>Data!A113</f>
        <v>46996</v>
      </c>
      <c r="B114" s="4">
        <f>Data!B113</f>
        <v>4.375</v>
      </c>
      <c r="C114" s="4">
        <f>Data!C113</f>
        <v>99.311999999999998</v>
      </c>
      <c r="D114" s="4">
        <f>Data!D113</f>
        <v>100.002</v>
      </c>
      <c r="E114" s="4">
        <f>Data!F113</f>
        <v>4.37</v>
      </c>
      <c r="F114" s="7">
        <f t="shared" si="19"/>
        <v>100.0078125</v>
      </c>
      <c r="G114" s="3">
        <f t="shared" si="20"/>
        <v>46265</v>
      </c>
      <c r="H114" s="3">
        <f t="shared" si="21"/>
        <v>46446</v>
      </c>
      <c r="I114">
        <f t="shared" si="22"/>
        <v>8</v>
      </c>
      <c r="J114">
        <f t="shared" si="23"/>
        <v>181</v>
      </c>
      <c r="K114" s="7">
        <f t="shared" si="24"/>
        <v>9.668508287292818E-2</v>
      </c>
      <c r="L114" s="7">
        <f t="shared" si="25"/>
        <v>100.10449758287292</v>
      </c>
      <c r="M114" s="4">
        <f t="shared" si="26"/>
        <v>4.370303092905603</v>
      </c>
      <c r="N114" s="8">
        <f t="shared" si="27"/>
        <v>3.0309290560293078E-2</v>
      </c>
      <c r="O114" s="4">
        <f t="shared" si="28"/>
        <v>1.873653030041422</v>
      </c>
      <c r="P114">
        <f t="shared" si="29"/>
        <v>4</v>
      </c>
      <c r="Q114" s="4">
        <f t="shared" si="30"/>
        <v>1.9808219178082191</v>
      </c>
      <c r="R114">
        <f t="shared" si="31"/>
        <v>1</v>
      </c>
      <c r="S114" s="7">
        <f>SUM(CashFlows!BN114:DU114)</f>
        <v>100.0758517951348</v>
      </c>
      <c r="T114" s="7">
        <f t="shared" si="32"/>
        <v>99.979166712261872</v>
      </c>
      <c r="U114" s="7">
        <f t="shared" si="33"/>
        <v>-2.8645787738128092E-2</v>
      </c>
      <c r="V114" s="4">
        <f t="shared" si="34"/>
        <v>4.3855786683418092</v>
      </c>
      <c r="W114" s="8">
        <f t="shared" si="35"/>
        <v>1.5275575436206168</v>
      </c>
      <c r="X114" s="9">
        <f t="shared" si="36"/>
        <v>-1.5272776961020495E-4</v>
      </c>
      <c r="Y114" s="10">
        <f t="shared" si="37"/>
        <v>2.3325771610107843E-8</v>
      </c>
    </row>
    <row r="115" spans="1:25" x14ac:dyDescent="0.2">
      <c r="A115" s="3">
        <f>Data!A114</f>
        <v>47011</v>
      </c>
      <c r="B115" s="4">
        <f>Data!B114</f>
        <v>3.375</v>
      </c>
      <c r="C115" s="4">
        <f>Data!C114</f>
        <v>98.013999999999996</v>
      </c>
      <c r="D115" s="4">
        <f>Data!D114</f>
        <v>98.024000000000001</v>
      </c>
      <c r="E115" s="4">
        <f>Data!F114</f>
        <v>4.38</v>
      </c>
      <c r="F115" s="7">
        <f t="shared" si="19"/>
        <v>98.078125</v>
      </c>
      <c r="G115" s="3">
        <f t="shared" si="20"/>
        <v>46096</v>
      </c>
      <c r="H115" s="3">
        <f t="shared" si="21"/>
        <v>46280</v>
      </c>
      <c r="I115">
        <f t="shared" si="22"/>
        <v>177</v>
      </c>
      <c r="J115">
        <f t="shared" si="23"/>
        <v>184</v>
      </c>
      <c r="K115" s="7">
        <f t="shared" si="24"/>
        <v>1.6233016304347827</v>
      </c>
      <c r="L115" s="7">
        <f t="shared" si="25"/>
        <v>99.701426630434781</v>
      </c>
      <c r="M115" s="4">
        <f t="shared" si="26"/>
        <v>4.3796167638173138</v>
      </c>
      <c r="N115" s="8">
        <f t="shared" si="27"/>
        <v>-3.8323618268609749E-2</v>
      </c>
      <c r="O115" s="4">
        <f t="shared" si="28"/>
        <v>1.894764706497212</v>
      </c>
      <c r="P115">
        <f t="shared" si="29"/>
        <v>5</v>
      </c>
      <c r="Q115" s="4">
        <f t="shared" si="30"/>
        <v>2.021917808219178</v>
      </c>
      <c r="R115">
        <f t="shared" si="31"/>
        <v>1</v>
      </c>
      <c r="S115" s="7">
        <f>SUM(CashFlows!BN115:DU115)</f>
        <v>99.678104643558299</v>
      </c>
      <c r="T115" s="7">
        <f t="shared" si="32"/>
        <v>98.054803013123518</v>
      </c>
      <c r="U115" s="7">
        <f t="shared" si="33"/>
        <v>-2.3321986876482015E-2</v>
      </c>
      <c r="V115" s="4">
        <f t="shared" si="34"/>
        <v>4.3919641321735687</v>
      </c>
      <c r="W115" s="8">
        <f t="shared" si="35"/>
        <v>1.234736835625494</v>
      </c>
      <c r="X115" s="9">
        <f t="shared" si="36"/>
        <v>-1.2345505786162442E-4</v>
      </c>
      <c r="Y115" s="10">
        <f t="shared" si="37"/>
        <v>1.5241151311617031E-8</v>
      </c>
    </row>
    <row r="116" spans="1:25" x14ac:dyDescent="0.2">
      <c r="A116" s="3">
        <f>Data!A115</f>
        <v>47026</v>
      </c>
      <c r="B116" s="4">
        <f>Data!B115</f>
        <v>1.25</v>
      </c>
      <c r="C116" s="4">
        <f>Data!C115</f>
        <v>93.275999999999996</v>
      </c>
      <c r="D116" s="4">
        <f>Data!D115</f>
        <v>93.286000000000001</v>
      </c>
      <c r="E116" s="4">
        <f>Data!F115</f>
        <v>4.3789999999999996</v>
      </c>
      <c r="F116" s="7">
        <f t="shared" si="19"/>
        <v>93.8984375</v>
      </c>
      <c r="G116" s="3">
        <f t="shared" si="20"/>
        <v>46112</v>
      </c>
      <c r="H116" s="3">
        <f t="shared" si="21"/>
        <v>46295</v>
      </c>
      <c r="I116">
        <f t="shared" si="22"/>
        <v>161</v>
      </c>
      <c r="J116">
        <f t="shared" si="23"/>
        <v>183</v>
      </c>
      <c r="K116" s="7">
        <f t="shared" si="24"/>
        <v>0.54986338797814205</v>
      </c>
      <c r="L116" s="7">
        <f t="shared" si="25"/>
        <v>94.448300887978135</v>
      </c>
      <c r="M116" s="4">
        <f t="shared" si="26"/>
        <v>4.3792970072901305</v>
      </c>
      <c r="N116" s="8">
        <f t="shared" si="27"/>
        <v>2.9700729013093508E-2</v>
      </c>
      <c r="O116" s="4">
        <f t="shared" si="28"/>
        <v>1.9843575699239187</v>
      </c>
      <c r="P116">
        <f t="shared" si="29"/>
        <v>5</v>
      </c>
      <c r="Q116" s="4">
        <f t="shared" si="30"/>
        <v>2.0630136986301371</v>
      </c>
      <c r="R116">
        <f t="shared" si="31"/>
        <v>1</v>
      </c>
      <c r="S116" s="7">
        <f>SUM(CashFlows!BN116:DU116)</f>
        <v>94.409390917512084</v>
      </c>
      <c r="T116" s="7">
        <f t="shared" si="32"/>
        <v>93.859527529533949</v>
      </c>
      <c r="U116" s="7">
        <f t="shared" si="33"/>
        <v>-3.8909970466050936E-2</v>
      </c>
      <c r="V116" s="4">
        <f t="shared" si="34"/>
        <v>4.4000633202693269</v>
      </c>
      <c r="W116" s="8">
        <f t="shared" si="35"/>
        <v>2.07663129791964</v>
      </c>
      <c r="X116" s="9">
        <f t="shared" si="36"/>
        <v>-2.0760930733354008E-4</v>
      </c>
      <c r="Y116" s="10">
        <f t="shared" si="37"/>
        <v>4.3101624491512299E-8</v>
      </c>
    </row>
    <row r="117" spans="1:25" x14ac:dyDescent="0.2">
      <c r="A117" s="3">
        <f>Data!A116</f>
        <v>47026</v>
      </c>
      <c r="B117" s="4">
        <f>Data!B116</f>
        <v>4.625</v>
      </c>
      <c r="C117" s="4">
        <f>Data!C116</f>
        <v>100.136</v>
      </c>
      <c r="D117" s="4">
        <f>Data!D116</f>
        <v>100.146</v>
      </c>
      <c r="E117" s="4">
        <f>Data!F116</f>
        <v>4.3869999999999996</v>
      </c>
      <c r="F117" s="7">
        <f t="shared" si="19"/>
        <v>100.4609375</v>
      </c>
      <c r="G117" s="3">
        <f t="shared" si="20"/>
        <v>46112</v>
      </c>
      <c r="H117" s="3">
        <f t="shared" si="21"/>
        <v>46295</v>
      </c>
      <c r="I117">
        <f t="shared" si="22"/>
        <v>161</v>
      </c>
      <c r="J117">
        <f t="shared" si="23"/>
        <v>183</v>
      </c>
      <c r="K117" s="7">
        <f t="shared" si="24"/>
        <v>2.0344945355191255</v>
      </c>
      <c r="L117" s="7">
        <f t="shared" si="25"/>
        <v>102.49543203551913</v>
      </c>
      <c r="M117" s="4">
        <f t="shared" si="26"/>
        <v>4.3871839625251186</v>
      </c>
      <c r="N117" s="8">
        <f t="shared" si="27"/>
        <v>1.8396252511898581E-2</v>
      </c>
      <c r="O117" s="4">
        <f t="shared" si="28"/>
        <v>1.9081261284250444</v>
      </c>
      <c r="P117">
        <f t="shared" si="29"/>
        <v>5</v>
      </c>
      <c r="Q117" s="4">
        <f t="shared" si="30"/>
        <v>2.0630136986301371</v>
      </c>
      <c r="R117">
        <f t="shared" si="31"/>
        <v>1</v>
      </c>
      <c r="S117" s="7">
        <f>SUM(CashFlows!BN117:DU117)</f>
        <v>102.47984508600544</v>
      </c>
      <c r="T117" s="7">
        <f t="shared" si="32"/>
        <v>100.44535055048631</v>
      </c>
      <c r="U117" s="7">
        <f t="shared" si="33"/>
        <v>-1.5586949513689774E-2</v>
      </c>
      <c r="V117" s="4">
        <f t="shared" si="34"/>
        <v>4.3951545874393201</v>
      </c>
      <c r="W117" s="8">
        <f t="shared" si="35"/>
        <v>0.79706249142015295</v>
      </c>
      <c r="X117" s="9">
        <f t="shared" si="36"/>
        <v>-7.9698388460171821E-5</v>
      </c>
      <c r="Y117" s="10">
        <f t="shared" si="37"/>
        <v>6.3518331231484486E-9</v>
      </c>
    </row>
    <row r="118" spans="1:25" x14ac:dyDescent="0.2">
      <c r="A118" s="3">
        <f>Data!A117</f>
        <v>47041</v>
      </c>
      <c r="B118" s="4">
        <f>Data!B117</f>
        <v>3.5</v>
      </c>
      <c r="C118" s="4">
        <f>Data!C117</f>
        <v>98.061999999999998</v>
      </c>
      <c r="D118" s="4">
        <f>Data!D117</f>
        <v>98.072000000000003</v>
      </c>
      <c r="E118" s="4">
        <f>Data!F117</f>
        <v>4.391</v>
      </c>
      <c r="F118" s="7">
        <f t="shared" si="19"/>
        <v>98.2265625</v>
      </c>
      <c r="G118" s="3">
        <f t="shared" si="20"/>
        <v>46127</v>
      </c>
      <c r="H118" s="3">
        <f t="shared" si="21"/>
        <v>46310</v>
      </c>
      <c r="I118">
        <f t="shared" si="22"/>
        <v>146</v>
      </c>
      <c r="J118">
        <f t="shared" si="23"/>
        <v>183</v>
      </c>
      <c r="K118" s="7">
        <f t="shared" si="24"/>
        <v>1.3961748633879782</v>
      </c>
      <c r="L118" s="7">
        <f t="shared" si="25"/>
        <v>99.622737363387984</v>
      </c>
      <c r="M118" s="4">
        <f t="shared" si="26"/>
        <v>4.3912712650923957</v>
      </c>
      <c r="N118" s="8">
        <f t="shared" si="27"/>
        <v>2.7126509239572272E-2</v>
      </c>
      <c r="O118" s="4">
        <f t="shared" si="28"/>
        <v>1.9722026597352853</v>
      </c>
      <c r="P118">
        <f t="shared" si="29"/>
        <v>5</v>
      </c>
      <c r="Q118" s="4">
        <f t="shared" si="30"/>
        <v>2.1041095890410957</v>
      </c>
      <c r="R118">
        <f t="shared" si="31"/>
        <v>1</v>
      </c>
      <c r="S118" s="7">
        <f>SUM(CashFlows!BN118:DU118)</f>
        <v>99.602506518507326</v>
      </c>
      <c r="T118" s="7">
        <f t="shared" si="32"/>
        <v>98.206331655119342</v>
      </c>
      <c r="U118" s="7">
        <f t="shared" si="33"/>
        <v>-2.0230844880657628E-2</v>
      </c>
      <c r="V118" s="4">
        <f t="shared" si="34"/>
        <v>4.4015694426379515</v>
      </c>
      <c r="W118" s="8">
        <f t="shared" si="35"/>
        <v>1.0298177545555731</v>
      </c>
      <c r="X118" s="9">
        <f t="shared" si="36"/>
        <v>-1.0296841062131968E-4</v>
      </c>
      <c r="Y118" s="10">
        <f t="shared" si="37"/>
        <v>1.06024935858807E-8</v>
      </c>
    </row>
    <row r="119" spans="1:25" x14ac:dyDescent="0.2">
      <c r="A119" s="3">
        <f>Data!A118</f>
        <v>47057</v>
      </c>
      <c r="B119" s="4">
        <f>Data!B118</f>
        <v>1.375</v>
      </c>
      <c r="C119" s="4">
        <f>Data!C118</f>
        <v>93.275999999999996</v>
      </c>
      <c r="D119" s="4">
        <f>Data!D118</f>
        <v>93.286000000000001</v>
      </c>
      <c r="E119" s="4">
        <f>Data!F118</f>
        <v>4.3869999999999996</v>
      </c>
      <c r="F119" s="7">
        <f t="shared" si="19"/>
        <v>93.8984375</v>
      </c>
      <c r="G119" s="3">
        <f t="shared" si="20"/>
        <v>46142</v>
      </c>
      <c r="H119" s="3">
        <f t="shared" si="21"/>
        <v>46326</v>
      </c>
      <c r="I119">
        <f t="shared" si="22"/>
        <v>131</v>
      </c>
      <c r="J119">
        <f t="shared" si="23"/>
        <v>184</v>
      </c>
      <c r="K119" s="7">
        <f t="shared" si="24"/>
        <v>0.48947010869565216</v>
      </c>
      <c r="L119" s="7">
        <f t="shared" si="25"/>
        <v>94.387907608695656</v>
      </c>
      <c r="M119" s="4">
        <f t="shared" si="26"/>
        <v>4.3871087758102236</v>
      </c>
      <c r="N119" s="8">
        <f t="shared" si="27"/>
        <v>1.0877581022405991E-2</v>
      </c>
      <c r="O119" s="4">
        <f t="shared" si="28"/>
        <v>2.0633378991272369</v>
      </c>
      <c r="P119">
        <f t="shared" si="29"/>
        <v>5</v>
      </c>
      <c r="Q119" s="4">
        <f t="shared" si="30"/>
        <v>2.1479452054794521</v>
      </c>
      <c r="R119">
        <f t="shared" si="31"/>
        <v>1</v>
      </c>
      <c r="S119" s="7">
        <f>SUM(CashFlows!BN119:DU119)</f>
        <v>94.34054476528857</v>
      </c>
      <c r="T119" s="7">
        <f t="shared" si="32"/>
        <v>93.851074656592914</v>
      </c>
      <c r="U119" s="7">
        <f t="shared" si="33"/>
        <v>-4.7362843407086075E-2</v>
      </c>
      <c r="V119" s="4">
        <f t="shared" si="34"/>
        <v>4.4114356978702878</v>
      </c>
      <c r="W119" s="8">
        <f t="shared" si="35"/>
        <v>2.4326922060064149</v>
      </c>
      <c r="X119" s="9">
        <f t="shared" si="36"/>
        <v>-2.4319299044205339E-4</v>
      </c>
      <c r="Y119" s="10">
        <f t="shared" si="37"/>
        <v>5.9142830600148672E-8</v>
      </c>
    </row>
    <row r="120" spans="1:25" x14ac:dyDescent="0.2">
      <c r="A120" s="3">
        <f>Data!A119</f>
        <v>47057</v>
      </c>
      <c r="B120" s="4">
        <f>Data!B119</f>
        <v>4.875</v>
      </c>
      <c r="C120" s="4">
        <f>Data!C119</f>
        <v>100.304</v>
      </c>
      <c r="D120" s="4">
        <f>Data!D119</f>
        <v>100.31399999999999</v>
      </c>
      <c r="E120" s="4">
        <f>Data!F119</f>
        <v>4.3860000000000001</v>
      </c>
      <c r="F120" s="7">
        <f t="shared" si="19"/>
        <v>100.984375</v>
      </c>
      <c r="G120" s="3">
        <f t="shared" si="20"/>
        <v>46142</v>
      </c>
      <c r="H120" s="3">
        <f t="shared" si="21"/>
        <v>46326</v>
      </c>
      <c r="I120">
        <f t="shared" si="22"/>
        <v>131</v>
      </c>
      <c r="J120">
        <f t="shared" si="23"/>
        <v>184</v>
      </c>
      <c r="K120" s="7">
        <f t="shared" si="24"/>
        <v>1.7353940217391304</v>
      </c>
      <c r="L120" s="7">
        <f t="shared" si="25"/>
        <v>102.71976902173913</v>
      </c>
      <c r="M120" s="4">
        <f t="shared" si="26"/>
        <v>4.3862534399635749</v>
      </c>
      <c r="N120" s="8">
        <f t="shared" si="27"/>
        <v>2.5343996357474197E-2</v>
      </c>
      <c r="O120" s="4">
        <f t="shared" si="28"/>
        <v>1.985080822398773</v>
      </c>
      <c r="P120">
        <f t="shared" si="29"/>
        <v>5</v>
      </c>
      <c r="Q120" s="4">
        <f t="shared" si="30"/>
        <v>2.1479452054794521</v>
      </c>
      <c r="R120">
        <f t="shared" si="31"/>
        <v>1</v>
      </c>
      <c r="S120" s="7">
        <f>SUM(CashFlows!BN120:DU120)</f>
        <v>102.67961892372699</v>
      </c>
      <c r="T120" s="7">
        <f t="shared" si="32"/>
        <v>100.94422490198787</v>
      </c>
      <c r="U120" s="7">
        <f t="shared" si="33"/>
        <v>-4.0150098012134094E-2</v>
      </c>
      <c r="V120" s="4">
        <f t="shared" si="34"/>
        <v>4.4059487816033149</v>
      </c>
      <c r="W120" s="8">
        <f t="shared" si="35"/>
        <v>1.9695341639740072</v>
      </c>
      <c r="X120" s="9">
        <f t="shared" si="36"/>
        <v>-1.9690392891740465E-4</v>
      </c>
      <c r="Y120" s="10">
        <f t="shared" si="37"/>
        <v>3.8771157223110342E-8</v>
      </c>
    </row>
    <row r="121" spans="1:25" x14ac:dyDescent="0.2">
      <c r="A121" s="3">
        <f>Data!A120</f>
        <v>47072</v>
      </c>
      <c r="B121" s="4">
        <f>Data!B120</f>
        <v>3.125</v>
      </c>
      <c r="C121" s="4">
        <f>Data!C120</f>
        <v>97.111999999999995</v>
      </c>
      <c r="D121" s="4">
        <f>Data!D120</f>
        <v>97.122</v>
      </c>
      <c r="E121" s="4">
        <f>Data!F120</f>
        <v>4.3920000000000003</v>
      </c>
      <c r="F121" s="7">
        <f t="shared" si="19"/>
        <v>97.3828125</v>
      </c>
      <c r="G121" s="3">
        <f t="shared" si="20"/>
        <v>46157</v>
      </c>
      <c r="H121" s="3">
        <f t="shared" si="21"/>
        <v>46341</v>
      </c>
      <c r="I121">
        <f t="shared" si="22"/>
        <v>116</v>
      </c>
      <c r="J121">
        <f t="shared" si="23"/>
        <v>184</v>
      </c>
      <c r="K121" s="7">
        <f t="shared" si="24"/>
        <v>0.98505434782608692</v>
      </c>
      <c r="L121" s="7">
        <f t="shared" si="25"/>
        <v>98.367866847826093</v>
      </c>
      <c r="M121" s="4">
        <f t="shared" si="26"/>
        <v>4.3924930185705708</v>
      </c>
      <c r="N121" s="8">
        <f t="shared" si="27"/>
        <v>4.9301857057049148E-2</v>
      </c>
      <c r="O121" s="4">
        <f t="shared" si="28"/>
        <v>2.0623766090225883</v>
      </c>
      <c r="P121">
        <f t="shared" si="29"/>
        <v>5</v>
      </c>
      <c r="Q121" s="4">
        <f t="shared" si="30"/>
        <v>2.1890410958904107</v>
      </c>
      <c r="R121">
        <f t="shared" si="31"/>
        <v>1</v>
      </c>
      <c r="S121" s="7">
        <f>SUM(CashFlows!BN121:DU121)</f>
        <v>98.325083417217087</v>
      </c>
      <c r="T121" s="7">
        <f t="shared" si="32"/>
        <v>97.340029069390994</v>
      </c>
      <c r="U121" s="7">
        <f t="shared" si="33"/>
        <v>-4.2783430609006246E-2</v>
      </c>
      <c r="V121" s="4">
        <f t="shared" si="34"/>
        <v>4.4135877308674116</v>
      </c>
      <c r="W121" s="8">
        <f t="shared" si="35"/>
        <v>2.109471229684079</v>
      </c>
      <c r="X121" s="9">
        <f t="shared" si="36"/>
        <v>-2.1088921864878299E-4</v>
      </c>
      <c r="Y121" s="10">
        <f t="shared" si="37"/>
        <v>4.4474262542294199E-8</v>
      </c>
    </row>
    <row r="122" spans="1:25" x14ac:dyDescent="0.2">
      <c r="A122" s="3">
        <f>Data!A121</f>
        <v>47072</v>
      </c>
      <c r="B122" s="4">
        <f>Data!B121</f>
        <v>3.5</v>
      </c>
      <c r="C122" s="4">
        <f>Data!C121</f>
        <v>98.04</v>
      </c>
      <c r="D122" s="4">
        <f>Data!D121</f>
        <v>98.05</v>
      </c>
      <c r="E122" s="4">
        <f>Data!F121</f>
        <v>4.3920000000000003</v>
      </c>
      <c r="F122" s="7">
        <f t="shared" si="19"/>
        <v>98.15625</v>
      </c>
      <c r="G122" s="3">
        <f t="shared" si="20"/>
        <v>46157</v>
      </c>
      <c r="H122" s="3">
        <f t="shared" si="21"/>
        <v>46341</v>
      </c>
      <c r="I122">
        <f t="shared" si="22"/>
        <v>116</v>
      </c>
      <c r="J122">
        <f t="shared" si="23"/>
        <v>184</v>
      </c>
      <c r="K122" s="7">
        <f t="shared" si="24"/>
        <v>1.1032608695652173</v>
      </c>
      <c r="L122" s="7">
        <f t="shared" si="25"/>
        <v>99.259510869565219</v>
      </c>
      <c r="M122" s="4">
        <f t="shared" si="26"/>
        <v>4.3921185948624997</v>
      </c>
      <c r="N122" s="8">
        <f t="shared" si="27"/>
        <v>1.1859486249932161E-2</v>
      </c>
      <c r="O122" s="4">
        <f t="shared" si="28"/>
        <v>2.0540848244648138</v>
      </c>
      <c r="P122">
        <f t="shared" si="29"/>
        <v>5</v>
      </c>
      <c r="Q122" s="4">
        <f t="shared" si="30"/>
        <v>2.1890410958904107</v>
      </c>
      <c r="R122">
        <f t="shared" si="31"/>
        <v>1</v>
      </c>
      <c r="S122" s="7">
        <f>SUM(CashFlows!BN122:DU122)</f>
        <v>99.216958193597563</v>
      </c>
      <c r="T122" s="7">
        <f t="shared" si="32"/>
        <v>98.113697324032344</v>
      </c>
      <c r="U122" s="7">
        <f t="shared" si="33"/>
        <v>-4.2552675967655773E-2</v>
      </c>
      <c r="V122" s="4">
        <f t="shared" si="34"/>
        <v>4.4129949288081738</v>
      </c>
      <c r="W122" s="8">
        <f t="shared" si="35"/>
        <v>2.0876333945674119</v>
      </c>
      <c r="X122" s="9">
        <f t="shared" si="36"/>
        <v>-2.0870669054062562E-4</v>
      </c>
      <c r="Y122" s="10">
        <f t="shared" si="37"/>
        <v>4.3558482676420468E-8</v>
      </c>
    </row>
    <row r="123" spans="1:25" x14ac:dyDescent="0.2">
      <c r="A123" s="3">
        <f>Data!A122</f>
        <v>47072</v>
      </c>
      <c r="B123" s="4">
        <f>Data!B122</f>
        <v>5.25</v>
      </c>
      <c r="C123" s="4">
        <f>Data!C122</f>
        <v>101.232</v>
      </c>
      <c r="D123" s="4">
        <f>Data!D122</f>
        <v>101.242</v>
      </c>
      <c r="E123" s="4">
        <f>Data!F122</f>
        <v>4.3940000000000001</v>
      </c>
      <c r="F123" s="7">
        <f t="shared" si="19"/>
        <v>101.7578125</v>
      </c>
      <c r="G123" s="3">
        <f t="shared" si="20"/>
        <v>46157</v>
      </c>
      <c r="H123" s="3">
        <f t="shared" si="21"/>
        <v>46341</v>
      </c>
      <c r="I123">
        <f t="shared" si="22"/>
        <v>116</v>
      </c>
      <c r="J123">
        <f t="shared" si="23"/>
        <v>184</v>
      </c>
      <c r="K123" s="7">
        <f t="shared" si="24"/>
        <v>1.6548913043478262</v>
      </c>
      <c r="L123" s="7">
        <f t="shared" si="25"/>
        <v>103.41270380434783</v>
      </c>
      <c r="M123" s="4">
        <f t="shared" si="26"/>
        <v>4.3941643185931269</v>
      </c>
      <c r="N123" s="8">
        <f t="shared" si="27"/>
        <v>1.6431859312682207E-2</v>
      </c>
      <c r="O123" s="4">
        <f t="shared" si="28"/>
        <v>2.017236674327036</v>
      </c>
      <c r="P123">
        <f t="shared" si="29"/>
        <v>5</v>
      </c>
      <c r="Q123" s="4">
        <f t="shared" si="30"/>
        <v>2.1890410958904107</v>
      </c>
      <c r="R123">
        <f t="shared" si="31"/>
        <v>1</v>
      </c>
      <c r="S123" s="7">
        <f>SUM(CashFlows!BN123:DU123)</f>
        <v>103.37904048337305</v>
      </c>
      <c r="T123" s="7">
        <f t="shared" si="32"/>
        <v>101.72414917902522</v>
      </c>
      <c r="U123" s="7">
        <f t="shared" si="33"/>
        <v>-3.3663320974781641E-2</v>
      </c>
      <c r="V123" s="4">
        <f t="shared" si="34"/>
        <v>4.4103048153665005</v>
      </c>
      <c r="W123" s="8">
        <f t="shared" si="35"/>
        <v>1.6140496773373592</v>
      </c>
      <c r="X123" s="9">
        <f t="shared" si="36"/>
        <v>-1.6137126726113875E-4</v>
      </c>
      <c r="Y123" s="10">
        <f t="shared" si="37"/>
        <v>2.6040685897465871E-8</v>
      </c>
    </row>
    <row r="124" spans="1:25" x14ac:dyDescent="0.2">
      <c r="A124" s="3">
        <f>Data!A123</f>
        <v>47087</v>
      </c>
      <c r="B124" s="4">
        <f>Data!B123</f>
        <v>1.5</v>
      </c>
      <c r="C124" s="4">
        <f>Data!C123</f>
        <v>93.281999999999996</v>
      </c>
      <c r="D124" s="4">
        <f>Data!D123</f>
        <v>93.292000000000002</v>
      </c>
      <c r="E124" s="4">
        <f>Data!F123</f>
        <v>4.3979999999999997</v>
      </c>
      <c r="F124" s="7">
        <f t="shared" si="19"/>
        <v>93.9140625</v>
      </c>
      <c r="G124" s="3">
        <f t="shared" si="20"/>
        <v>46173</v>
      </c>
      <c r="H124" s="3">
        <f t="shared" si="21"/>
        <v>46356</v>
      </c>
      <c r="I124">
        <f t="shared" si="22"/>
        <v>100</v>
      </c>
      <c r="J124">
        <f t="shared" si="23"/>
        <v>183</v>
      </c>
      <c r="K124" s="7">
        <f t="shared" si="24"/>
        <v>0.4098360655737705</v>
      </c>
      <c r="L124" s="7">
        <f t="shared" si="25"/>
        <v>94.323898565573771</v>
      </c>
      <c r="M124" s="4">
        <f t="shared" si="26"/>
        <v>4.3980409089904846</v>
      </c>
      <c r="N124" s="8">
        <f t="shared" si="27"/>
        <v>4.0908990484922469E-3</v>
      </c>
      <c r="O124" s="4">
        <f t="shared" si="28"/>
        <v>2.141162986305432</v>
      </c>
      <c r="P124">
        <f t="shared" si="29"/>
        <v>5</v>
      </c>
      <c r="Q124" s="4">
        <f t="shared" si="30"/>
        <v>2.2301369863013698</v>
      </c>
      <c r="R124">
        <f t="shared" si="31"/>
        <v>1</v>
      </c>
      <c r="S124" s="7">
        <f>SUM(CashFlows!BN124:DU124)</f>
        <v>94.282361970707285</v>
      </c>
      <c r="T124" s="7">
        <f t="shared" si="32"/>
        <v>93.872525905133514</v>
      </c>
      <c r="U124" s="7">
        <f t="shared" si="33"/>
        <v>-4.1536594866485643E-2</v>
      </c>
      <c r="V124" s="4">
        <f t="shared" si="34"/>
        <v>4.4186129816241042</v>
      </c>
      <c r="W124" s="8">
        <f t="shared" si="35"/>
        <v>2.0572072633619598</v>
      </c>
      <c r="X124" s="9">
        <f t="shared" si="36"/>
        <v>-2.0566454105158406E-4</v>
      </c>
      <c r="Y124" s="10">
        <f t="shared" si="37"/>
        <v>4.2297903445958702E-8</v>
      </c>
    </row>
    <row r="125" spans="1:25" x14ac:dyDescent="0.2">
      <c r="A125" s="3">
        <f>Data!A124</f>
        <v>47087</v>
      </c>
      <c r="B125" s="4">
        <f>Data!B124</f>
        <v>4.375</v>
      </c>
      <c r="C125" s="4">
        <f>Data!C124</f>
        <v>99.292000000000002</v>
      </c>
      <c r="D125" s="4">
        <f>Data!D124</f>
        <v>99.302000000000007</v>
      </c>
      <c r="E125" s="4">
        <f>Data!F124</f>
        <v>4.3979999999999997</v>
      </c>
      <c r="F125" s="7">
        <f t="shared" si="19"/>
        <v>99.9453125</v>
      </c>
      <c r="G125" s="3">
        <f t="shared" si="20"/>
        <v>46173</v>
      </c>
      <c r="H125" s="3">
        <f t="shared" si="21"/>
        <v>46356</v>
      </c>
      <c r="I125">
        <f t="shared" si="22"/>
        <v>100</v>
      </c>
      <c r="J125">
        <f t="shared" si="23"/>
        <v>183</v>
      </c>
      <c r="K125" s="7">
        <f t="shared" si="24"/>
        <v>1.1953551912568305</v>
      </c>
      <c r="L125" s="7">
        <f t="shared" si="25"/>
        <v>101.14066769125684</v>
      </c>
      <c r="M125" s="4">
        <f t="shared" si="26"/>
        <v>4.3982403712700364</v>
      </c>
      <c r="N125" s="8">
        <f t="shared" si="27"/>
        <v>2.403712700367322E-2</v>
      </c>
      <c r="O125" s="4">
        <f t="shared" si="28"/>
        <v>2.0763149724402461</v>
      </c>
      <c r="P125">
        <f t="shared" si="29"/>
        <v>5</v>
      </c>
      <c r="Q125" s="4">
        <f t="shared" si="30"/>
        <v>2.2301369863013698</v>
      </c>
      <c r="R125">
        <f t="shared" si="31"/>
        <v>1</v>
      </c>
      <c r="S125" s="7">
        <f>SUM(CashFlows!BN125:DU125)</f>
        <v>101.10746086384491</v>
      </c>
      <c r="T125" s="7">
        <f t="shared" si="32"/>
        <v>99.912105672588069</v>
      </c>
      <c r="U125" s="7">
        <f t="shared" si="33"/>
        <v>-3.3206827411930817E-2</v>
      </c>
      <c r="V125" s="4">
        <f t="shared" si="34"/>
        <v>4.414056448349414</v>
      </c>
      <c r="W125" s="8">
        <f t="shared" si="35"/>
        <v>1.58160770793776</v>
      </c>
      <c r="X125" s="9">
        <f t="shared" si="36"/>
        <v>-1.5812783794399486E-4</v>
      </c>
      <c r="Y125" s="10">
        <f t="shared" si="37"/>
        <v>2.5004413132842301E-8</v>
      </c>
    </row>
    <row r="126" spans="1:25" x14ac:dyDescent="0.2">
      <c r="A126" s="3">
        <f>Data!A125</f>
        <v>47102</v>
      </c>
      <c r="B126" s="4">
        <f>Data!B125</f>
        <v>3.5</v>
      </c>
      <c r="C126" s="4">
        <f>Data!C125</f>
        <v>98.013999999999996</v>
      </c>
      <c r="D126" s="4">
        <f>Data!D125</f>
        <v>98.024000000000001</v>
      </c>
      <c r="E126" s="4">
        <f>Data!F125</f>
        <v>4.3970000000000002</v>
      </c>
      <c r="F126" s="7">
        <f t="shared" si="19"/>
        <v>98.078125</v>
      </c>
      <c r="G126" s="3">
        <f t="shared" si="20"/>
        <v>46188</v>
      </c>
      <c r="H126" s="3">
        <f t="shared" si="21"/>
        <v>46371</v>
      </c>
      <c r="I126">
        <f t="shared" si="22"/>
        <v>85</v>
      </c>
      <c r="J126">
        <f t="shared" si="23"/>
        <v>183</v>
      </c>
      <c r="K126" s="7">
        <f t="shared" si="24"/>
        <v>0.81284153005464477</v>
      </c>
      <c r="L126" s="7">
        <f t="shared" si="25"/>
        <v>98.890966530054641</v>
      </c>
      <c r="M126" s="4">
        <f t="shared" si="26"/>
        <v>4.3974969802358643</v>
      </c>
      <c r="N126" s="8">
        <f t="shared" si="27"/>
        <v>4.9698023586408624E-2</v>
      </c>
      <c r="O126" s="4">
        <f t="shared" si="28"/>
        <v>2.1352162446174821</v>
      </c>
      <c r="P126">
        <f t="shared" si="29"/>
        <v>5</v>
      </c>
      <c r="Q126" s="4">
        <f t="shared" si="30"/>
        <v>2.2712328767123289</v>
      </c>
      <c r="R126">
        <f t="shared" si="31"/>
        <v>1</v>
      </c>
      <c r="S126" s="7">
        <f>SUM(CashFlows!BN126:DU126)</f>
        <v>98.844268658063783</v>
      </c>
      <c r="T126" s="7">
        <f t="shared" si="32"/>
        <v>98.031427128009142</v>
      </c>
      <c r="U126" s="7">
        <f t="shared" si="33"/>
        <v>-4.6697871990858175E-2</v>
      </c>
      <c r="V126" s="4">
        <f t="shared" si="34"/>
        <v>4.4196191282250696</v>
      </c>
      <c r="W126" s="8">
        <f t="shared" si="35"/>
        <v>2.212214798920531</v>
      </c>
      <c r="X126" s="9">
        <f t="shared" si="36"/>
        <v>-2.2115593763574829E-4</v>
      </c>
      <c r="Y126" s="10">
        <f t="shared" si="37"/>
        <v>4.8909948751546985E-8</v>
      </c>
    </row>
    <row r="127" spans="1:25" x14ac:dyDescent="0.2">
      <c r="A127" s="3">
        <f>Data!A126</f>
        <v>47118</v>
      </c>
      <c r="B127" s="4">
        <f>Data!B126</f>
        <v>1.375</v>
      </c>
      <c r="C127" s="4">
        <f>Data!C126</f>
        <v>93.122</v>
      </c>
      <c r="D127" s="4">
        <f>Data!D126</f>
        <v>93.132000000000005</v>
      </c>
      <c r="E127" s="4">
        <f>Data!F126</f>
        <v>4.4039999999999999</v>
      </c>
      <c r="F127" s="7">
        <f t="shared" si="19"/>
        <v>93.4140625</v>
      </c>
      <c r="G127" s="3">
        <f t="shared" si="20"/>
        <v>46203</v>
      </c>
      <c r="H127" s="3">
        <f t="shared" si="21"/>
        <v>46387</v>
      </c>
      <c r="I127">
        <f t="shared" si="22"/>
        <v>70</v>
      </c>
      <c r="J127">
        <f t="shared" si="23"/>
        <v>184</v>
      </c>
      <c r="K127" s="7">
        <f t="shared" si="24"/>
        <v>0.26154891304347827</v>
      </c>
      <c r="L127" s="7">
        <f t="shared" si="25"/>
        <v>93.675611413043484</v>
      </c>
      <c r="M127" s="4">
        <f t="shared" si="26"/>
        <v>4.4042558164108261</v>
      </c>
      <c r="N127" s="8">
        <f t="shared" si="27"/>
        <v>2.5581641082617068E-2</v>
      </c>
      <c r="O127" s="4">
        <f t="shared" si="28"/>
        <v>2.2253454839011688</v>
      </c>
      <c r="P127">
        <f t="shared" si="29"/>
        <v>5</v>
      </c>
      <c r="Q127" s="4">
        <f t="shared" si="30"/>
        <v>2.3150684931506849</v>
      </c>
      <c r="R127">
        <f t="shared" si="31"/>
        <v>1</v>
      </c>
      <c r="S127" s="7">
        <f>SUM(CashFlows!BN127:DU127)</f>
        <v>93.620555089232241</v>
      </c>
      <c r="T127" s="7">
        <f t="shared" si="32"/>
        <v>93.359006176188757</v>
      </c>
      <c r="U127" s="7">
        <f t="shared" si="33"/>
        <v>-5.5056323811243146E-2</v>
      </c>
      <c r="V127" s="4">
        <f t="shared" si="34"/>
        <v>4.4306762682788836</v>
      </c>
      <c r="W127" s="8">
        <f t="shared" si="35"/>
        <v>2.6420451868057526</v>
      </c>
      <c r="X127" s="9">
        <f t="shared" si="36"/>
        <v>-2.6410901688670607E-4</v>
      </c>
      <c r="Y127" s="10">
        <f t="shared" si="37"/>
        <v>6.9753572800862385E-8</v>
      </c>
    </row>
    <row r="128" spans="1:25" x14ac:dyDescent="0.2">
      <c r="A128" s="3">
        <f>Data!A127</f>
        <v>47118</v>
      </c>
      <c r="B128" s="4">
        <f>Data!B127</f>
        <v>3.75</v>
      </c>
      <c r="C128" s="4">
        <f>Data!C127</f>
        <v>98.174000000000007</v>
      </c>
      <c r="D128" s="4">
        <f>Data!D127</f>
        <v>98.183999999999997</v>
      </c>
      <c r="E128" s="4">
        <f>Data!F127</f>
        <v>4.4020000000000001</v>
      </c>
      <c r="F128" s="7">
        <f t="shared" si="19"/>
        <v>98.578125</v>
      </c>
      <c r="G128" s="3">
        <f t="shared" si="20"/>
        <v>46203</v>
      </c>
      <c r="H128" s="3">
        <f t="shared" si="21"/>
        <v>46387</v>
      </c>
      <c r="I128">
        <f t="shared" si="22"/>
        <v>70</v>
      </c>
      <c r="J128">
        <f t="shared" si="23"/>
        <v>184</v>
      </c>
      <c r="K128" s="7">
        <f t="shared" si="24"/>
        <v>0.71331521739130432</v>
      </c>
      <c r="L128" s="7">
        <f t="shared" si="25"/>
        <v>99.291440217391298</v>
      </c>
      <c r="M128" s="4">
        <f t="shared" si="26"/>
        <v>4.401946342202141</v>
      </c>
      <c r="N128" s="8">
        <f t="shared" si="27"/>
        <v>-5.3657797859152367E-3</v>
      </c>
      <c r="O128" s="4">
        <f t="shared" si="28"/>
        <v>2.170833781282866</v>
      </c>
      <c r="P128">
        <f t="shared" si="29"/>
        <v>5</v>
      </c>
      <c r="Q128" s="4">
        <f t="shared" si="30"/>
        <v>2.3150684931506849</v>
      </c>
      <c r="R128">
        <f t="shared" si="31"/>
        <v>1</v>
      </c>
      <c r="S128" s="7">
        <f>SUM(CashFlows!BN128:DU128)</f>
        <v>99.237938838198716</v>
      </c>
      <c r="T128" s="7">
        <f t="shared" si="32"/>
        <v>98.524623620807418</v>
      </c>
      <c r="U128" s="7">
        <f t="shared" si="33"/>
        <v>-5.3501379192582021E-2</v>
      </c>
      <c r="V128" s="4">
        <f t="shared" si="34"/>
        <v>4.4267761342876852</v>
      </c>
      <c r="W128" s="8">
        <f t="shared" si="35"/>
        <v>2.4829792085544256</v>
      </c>
      <c r="X128" s="9">
        <f t="shared" si="36"/>
        <v>-2.4821418459365749E-4</v>
      </c>
      <c r="Y128" s="10">
        <f t="shared" si="37"/>
        <v>6.1610281433494278E-8</v>
      </c>
    </row>
    <row r="129" spans="1:25" x14ac:dyDescent="0.2">
      <c r="A129" s="3">
        <f>Data!A128</f>
        <v>47133</v>
      </c>
      <c r="B129" s="4">
        <f>Data!B128</f>
        <v>3.5</v>
      </c>
      <c r="C129" s="4">
        <f>Data!C128</f>
        <v>97.302000000000007</v>
      </c>
      <c r="D129" s="4">
        <f>Data!D128</f>
        <v>97.311999999999998</v>
      </c>
      <c r="E129" s="4">
        <f>Data!F128</f>
        <v>4.4139999999999997</v>
      </c>
      <c r="F129" s="7">
        <f t="shared" si="19"/>
        <v>97.9765625</v>
      </c>
      <c r="G129" s="3">
        <f t="shared" si="20"/>
        <v>46218</v>
      </c>
      <c r="H129" s="3">
        <f t="shared" si="21"/>
        <v>46402</v>
      </c>
      <c r="I129">
        <f t="shared" si="22"/>
        <v>55</v>
      </c>
      <c r="J129">
        <f t="shared" si="23"/>
        <v>184</v>
      </c>
      <c r="K129" s="7">
        <f t="shared" si="24"/>
        <v>0.52309782608695654</v>
      </c>
      <c r="L129" s="7">
        <f t="shared" si="25"/>
        <v>98.499660326086953</v>
      </c>
      <c r="M129" s="4">
        <f t="shared" si="26"/>
        <v>4.4139139498314757</v>
      </c>
      <c r="N129" s="8">
        <f t="shared" si="27"/>
        <v>-8.6050168524032244E-3</v>
      </c>
      <c r="O129" s="4">
        <f t="shared" si="28"/>
        <v>2.2160219461164097</v>
      </c>
      <c r="P129">
        <f t="shared" si="29"/>
        <v>5</v>
      </c>
      <c r="Q129" s="4">
        <f t="shared" si="30"/>
        <v>2.3561643835616439</v>
      </c>
      <c r="R129">
        <f t="shared" si="31"/>
        <v>1</v>
      </c>
      <c r="S129" s="7">
        <f>SUM(CashFlows!BN129:DU129)</f>
        <v>98.461306497032183</v>
      </c>
      <c r="T129" s="7">
        <f t="shared" si="32"/>
        <v>97.93820867094523</v>
      </c>
      <c r="U129" s="7">
        <f t="shared" si="33"/>
        <v>-3.8353829054770472E-2</v>
      </c>
      <c r="V129" s="4">
        <f t="shared" si="34"/>
        <v>4.4314893485456803</v>
      </c>
      <c r="W129" s="8">
        <f t="shared" si="35"/>
        <v>1.757539871420466</v>
      </c>
      <c r="X129" s="9">
        <f t="shared" si="36"/>
        <v>-1.7571139970998977E-4</v>
      </c>
      <c r="Y129" s="10">
        <f t="shared" si="37"/>
        <v>3.0874495988043794E-8</v>
      </c>
    </row>
    <row r="130" spans="1:25" x14ac:dyDescent="0.2">
      <c r="A130" s="3">
        <f>Data!A129</f>
        <v>47149</v>
      </c>
      <c r="B130" s="4">
        <f>Data!B129</f>
        <v>1.75</v>
      </c>
      <c r="C130" s="4">
        <f>Data!C129</f>
        <v>93.311999999999998</v>
      </c>
      <c r="D130" s="4">
        <f>Data!D129</f>
        <v>94.001999999999995</v>
      </c>
      <c r="E130" s="4">
        <f>Data!F129</f>
        <v>4.4139999999999997</v>
      </c>
      <c r="F130" s="7">
        <f t="shared" si="19"/>
        <v>94.0078125</v>
      </c>
      <c r="G130" s="3">
        <f t="shared" si="20"/>
        <v>46234</v>
      </c>
      <c r="H130" s="3">
        <f t="shared" si="21"/>
        <v>46418</v>
      </c>
      <c r="I130">
        <f t="shared" si="22"/>
        <v>39</v>
      </c>
      <c r="J130">
        <f t="shared" si="23"/>
        <v>184</v>
      </c>
      <c r="K130" s="7">
        <f t="shared" si="24"/>
        <v>0.18546195652173914</v>
      </c>
      <c r="L130" s="7">
        <f t="shared" si="25"/>
        <v>94.193274456521735</v>
      </c>
      <c r="M130" s="4">
        <f t="shared" si="26"/>
        <v>4.4143556033158884</v>
      </c>
      <c r="N130" s="8">
        <f t="shared" si="27"/>
        <v>3.5560331588868621E-2</v>
      </c>
      <c r="O130" s="4">
        <f t="shared" si="28"/>
        <v>2.2986079013297482</v>
      </c>
      <c r="P130">
        <f t="shared" si="29"/>
        <v>5</v>
      </c>
      <c r="Q130" s="4">
        <f t="shared" si="30"/>
        <v>2.4</v>
      </c>
      <c r="R130">
        <f t="shared" si="31"/>
        <v>1</v>
      </c>
      <c r="S130" s="7">
        <f>SUM(CashFlows!BN130:DU130)</f>
        <v>94.140392169902427</v>
      </c>
      <c r="T130" s="7">
        <f t="shared" si="32"/>
        <v>93.954930213380692</v>
      </c>
      <c r="U130" s="7">
        <f t="shared" si="33"/>
        <v>-5.2882286619308161E-2</v>
      </c>
      <c r="V130" s="4">
        <f t="shared" si="34"/>
        <v>4.4387884897794887</v>
      </c>
      <c r="W130" s="8">
        <f t="shared" si="35"/>
        <v>2.4432886463600312</v>
      </c>
      <c r="X130" s="9">
        <f t="shared" si="36"/>
        <v>-2.4424486160274907E-4</v>
      </c>
      <c r="Y130" s="10">
        <f t="shared" si="37"/>
        <v>5.9655552419346045E-8</v>
      </c>
    </row>
    <row r="131" spans="1:25" x14ac:dyDescent="0.2">
      <c r="A131" s="3">
        <f>Data!A130</f>
        <v>47149</v>
      </c>
      <c r="B131" s="4">
        <f>Data!B130</f>
        <v>4</v>
      </c>
      <c r="C131" s="4">
        <f>Data!C130</f>
        <v>99.012</v>
      </c>
      <c r="D131" s="4">
        <f>Data!D130</f>
        <v>99.022000000000006</v>
      </c>
      <c r="E131" s="4">
        <f>Data!F130</f>
        <v>4.4119999999999999</v>
      </c>
      <c r="F131" s="7">
        <f t="shared" si="19"/>
        <v>99.0703125</v>
      </c>
      <c r="G131" s="3">
        <f t="shared" si="20"/>
        <v>46234</v>
      </c>
      <c r="H131" s="3">
        <f t="shared" si="21"/>
        <v>46418</v>
      </c>
      <c r="I131">
        <f t="shared" si="22"/>
        <v>39</v>
      </c>
      <c r="J131">
        <f t="shared" si="23"/>
        <v>184</v>
      </c>
      <c r="K131" s="7">
        <f t="shared" si="24"/>
        <v>0.42391304347826086</v>
      </c>
      <c r="L131" s="7">
        <f t="shared" si="25"/>
        <v>99.494225543478265</v>
      </c>
      <c r="M131" s="4">
        <f t="shared" si="26"/>
        <v>4.4118525311230412</v>
      </c>
      <c r="N131" s="8">
        <f t="shared" si="27"/>
        <v>-1.474688769587118E-2</v>
      </c>
      <c r="O131" s="4">
        <f t="shared" si="28"/>
        <v>2.2477524630410741</v>
      </c>
      <c r="P131">
        <f t="shared" si="29"/>
        <v>5</v>
      </c>
      <c r="Q131" s="4">
        <f t="shared" si="30"/>
        <v>2.4</v>
      </c>
      <c r="R131">
        <f t="shared" si="31"/>
        <v>1</v>
      </c>
      <c r="S131" s="7">
        <f>SUM(CashFlows!BN131:DU131)</f>
        <v>99.442153395147855</v>
      </c>
      <c r="T131" s="7">
        <f t="shared" si="32"/>
        <v>99.01824035166959</v>
      </c>
      <c r="U131" s="7">
        <f t="shared" si="33"/>
        <v>-5.2072148330410073E-2</v>
      </c>
      <c r="V131" s="4">
        <f t="shared" si="34"/>
        <v>4.4351441949914046</v>
      </c>
      <c r="W131" s="8">
        <f t="shared" si="35"/>
        <v>2.3291663868363344</v>
      </c>
      <c r="X131" s="9">
        <f t="shared" si="36"/>
        <v>-2.3284082937847689E-4</v>
      </c>
      <c r="Y131" s="10">
        <f t="shared" si="37"/>
        <v>5.4214851825656987E-8</v>
      </c>
    </row>
    <row r="132" spans="1:25" x14ac:dyDescent="0.2">
      <c r="A132" s="3">
        <f>Data!A131</f>
        <v>47164</v>
      </c>
      <c r="B132" s="4">
        <f>Data!B131</f>
        <v>2.625</v>
      </c>
      <c r="C132" s="4">
        <f>Data!C131</f>
        <v>95.28</v>
      </c>
      <c r="D132" s="4">
        <f>Data!D131</f>
        <v>95.29</v>
      </c>
      <c r="E132" s="4">
        <f>Data!F131</f>
        <v>4.4160000000000004</v>
      </c>
      <c r="F132" s="7">
        <f t="shared" si="19"/>
        <v>95.90625</v>
      </c>
      <c r="G132" s="3">
        <f t="shared" si="20"/>
        <v>46249</v>
      </c>
      <c r="H132" s="3">
        <f t="shared" si="21"/>
        <v>46433</v>
      </c>
      <c r="I132">
        <f t="shared" si="22"/>
        <v>24</v>
      </c>
      <c r="J132">
        <f t="shared" si="23"/>
        <v>184</v>
      </c>
      <c r="K132" s="7">
        <f t="shared" si="24"/>
        <v>0.17119565217391305</v>
      </c>
      <c r="L132" s="7">
        <f t="shared" si="25"/>
        <v>96.077445652173907</v>
      </c>
      <c r="M132" s="4">
        <f t="shared" si="26"/>
        <v>4.4161421058803132</v>
      </c>
      <c r="N132" s="8">
        <f t="shared" si="27"/>
        <v>1.4210588031282612E-2</v>
      </c>
      <c r="O132" s="4">
        <f t="shared" si="28"/>
        <v>2.318012245047159</v>
      </c>
      <c r="P132">
        <f t="shared" si="29"/>
        <v>5</v>
      </c>
      <c r="Q132" s="4">
        <f t="shared" si="30"/>
        <v>2.441095890410959</v>
      </c>
      <c r="R132">
        <f t="shared" si="31"/>
        <v>1</v>
      </c>
      <c r="S132" s="7">
        <f>SUM(CashFlows!BN132:DU132)</f>
        <v>96.02130723970393</v>
      </c>
      <c r="T132" s="7">
        <f t="shared" si="32"/>
        <v>95.850111587530023</v>
      </c>
      <c r="U132" s="7">
        <f t="shared" si="33"/>
        <v>-5.6138412469977084E-2</v>
      </c>
      <c r="V132" s="4">
        <f t="shared" si="34"/>
        <v>4.4413582566632064</v>
      </c>
      <c r="W132" s="8">
        <f t="shared" si="35"/>
        <v>2.5216150782893187</v>
      </c>
      <c r="X132" s="9">
        <f t="shared" si="36"/>
        <v>-2.5207103990845418E-4</v>
      </c>
      <c r="Y132" s="10">
        <f t="shared" si="37"/>
        <v>6.3539809160529493E-8</v>
      </c>
    </row>
    <row r="133" spans="1:25" x14ac:dyDescent="0.2">
      <c r="A133" s="3">
        <f>Data!A132</f>
        <v>47164</v>
      </c>
      <c r="B133" s="4">
        <f>Data!B132</f>
        <v>3.5</v>
      </c>
      <c r="C133" s="4">
        <f>Data!C132</f>
        <v>97.275999999999996</v>
      </c>
      <c r="D133" s="4">
        <f>Data!D132</f>
        <v>97.286000000000001</v>
      </c>
      <c r="E133" s="4">
        <f>Data!F132</f>
        <v>4.4189999999999996</v>
      </c>
      <c r="F133" s="7">
        <f t="shared" si="19"/>
        <v>97.8984375</v>
      </c>
      <c r="G133" s="3">
        <f t="shared" si="20"/>
        <v>46249</v>
      </c>
      <c r="H133" s="3">
        <f t="shared" si="21"/>
        <v>46433</v>
      </c>
      <c r="I133">
        <f t="shared" si="22"/>
        <v>24</v>
      </c>
      <c r="J133">
        <f t="shared" si="23"/>
        <v>184</v>
      </c>
      <c r="K133" s="7">
        <f t="shared" si="24"/>
        <v>0.22826086956521738</v>
      </c>
      <c r="L133" s="7">
        <f t="shared" si="25"/>
        <v>98.126698369565219</v>
      </c>
      <c r="M133" s="4">
        <f t="shared" si="26"/>
        <v>4.4189526029979502</v>
      </c>
      <c r="N133" s="8">
        <f t="shared" si="27"/>
        <v>-4.7397002049365256E-3</v>
      </c>
      <c r="O133" s="4">
        <f t="shared" si="28"/>
        <v>2.2983795601643449</v>
      </c>
      <c r="P133">
        <f t="shared" si="29"/>
        <v>5</v>
      </c>
      <c r="Q133" s="4">
        <f t="shared" si="30"/>
        <v>2.441095890410959</v>
      </c>
      <c r="R133">
        <f t="shared" si="31"/>
        <v>1</v>
      </c>
      <c r="S133" s="7">
        <f>SUM(CashFlows!BN133:DU133)</f>
        <v>98.079339105878532</v>
      </c>
      <c r="T133" s="7">
        <f t="shared" si="32"/>
        <v>97.851078236313313</v>
      </c>
      <c r="U133" s="7">
        <f t="shared" si="33"/>
        <v>-4.7359263686686859E-2</v>
      </c>
      <c r="V133" s="4">
        <f t="shared" si="34"/>
        <v>4.4399577370913708</v>
      </c>
      <c r="W133" s="8">
        <f t="shared" si="35"/>
        <v>2.100513409342053</v>
      </c>
      <c r="X133" s="9">
        <f t="shared" si="36"/>
        <v>-2.0998873838290282E-4</v>
      </c>
      <c r="Y133" s="10">
        <f t="shared" si="37"/>
        <v>4.4095270247643203E-8</v>
      </c>
    </row>
    <row r="134" spans="1:25" x14ac:dyDescent="0.2">
      <c r="A134" s="3">
        <f>Data!A133</f>
        <v>47164</v>
      </c>
      <c r="B134" s="4">
        <f>Data!B133</f>
        <v>5.25</v>
      </c>
      <c r="C134" s="4">
        <f>Data!C133</f>
        <v>102.03400000000001</v>
      </c>
      <c r="D134" s="4">
        <f>Data!D133</f>
        <v>102.044</v>
      </c>
      <c r="E134" s="4">
        <f>Data!F133</f>
        <v>4.3129999999999997</v>
      </c>
      <c r="F134" s="7">
        <f t="shared" si="19"/>
        <v>102.140625</v>
      </c>
      <c r="G134" s="3">
        <f t="shared" si="20"/>
        <v>46249</v>
      </c>
      <c r="H134" s="3">
        <f t="shared" si="21"/>
        <v>46433</v>
      </c>
      <c r="I134">
        <f t="shared" si="22"/>
        <v>24</v>
      </c>
      <c r="J134">
        <f t="shared" si="23"/>
        <v>184</v>
      </c>
      <c r="K134" s="7">
        <f t="shared" si="24"/>
        <v>0.34239130434782611</v>
      </c>
      <c r="L134" s="7">
        <f t="shared" si="25"/>
        <v>102.48301630434783</v>
      </c>
      <c r="M134" s="4">
        <f t="shared" si="26"/>
        <v>4.3130220052228445</v>
      </c>
      <c r="N134" s="8">
        <f t="shared" si="27"/>
        <v>2.2005222844789785E-3</v>
      </c>
      <c r="O134" s="4">
        <f t="shared" si="28"/>
        <v>2.262893187771096</v>
      </c>
      <c r="P134">
        <f t="shared" si="29"/>
        <v>5</v>
      </c>
      <c r="Q134" s="4">
        <f t="shared" si="30"/>
        <v>2.441095890410959</v>
      </c>
      <c r="R134">
        <f t="shared" si="31"/>
        <v>1</v>
      </c>
      <c r="S134" s="7">
        <f>SUM(CashFlows!BN134:DU134)</f>
        <v>102.19540283822772</v>
      </c>
      <c r="T134" s="7">
        <f t="shared" si="32"/>
        <v>101.85301153387989</v>
      </c>
      <c r="U134" s="7">
        <f t="shared" si="33"/>
        <v>-0.28761346612010641</v>
      </c>
      <c r="V134" s="4">
        <f t="shared" si="34"/>
        <v>4.4372601375057288</v>
      </c>
      <c r="W134" s="8">
        <f t="shared" si="35"/>
        <v>12.423813228288427</v>
      </c>
      <c r="X134" s="9">
        <f t="shared" si="36"/>
        <v>-1.2402043826370208E-3</v>
      </c>
      <c r="Y134" s="10">
        <f t="shared" si="37"/>
        <v>1.5381069107120737E-6</v>
      </c>
    </row>
    <row r="135" spans="1:25" x14ac:dyDescent="0.2">
      <c r="A135" s="3">
        <f>Data!A134</f>
        <v>47177</v>
      </c>
      <c r="B135" s="4">
        <f>Data!B134</f>
        <v>1.875</v>
      </c>
      <c r="C135" s="4">
        <f>Data!C134</f>
        <v>94.024000000000001</v>
      </c>
      <c r="D135" s="4">
        <f>Data!D134</f>
        <v>94.034000000000006</v>
      </c>
      <c r="E135" s="4">
        <f>Data!F134</f>
        <v>4.41</v>
      </c>
      <c r="F135" s="7">
        <f t="shared" si="19"/>
        <v>94.109375</v>
      </c>
      <c r="G135" s="3">
        <f t="shared" si="20"/>
        <v>46265</v>
      </c>
      <c r="H135" s="3">
        <f t="shared" si="21"/>
        <v>46446</v>
      </c>
      <c r="I135">
        <f t="shared" si="22"/>
        <v>8</v>
      </c>
      <c r="J135">
        <f t="shared" si="23"/>
        <v>181</v>
      </c>
      <c r="K135" s="7">
        <f t="shared" si="24"/>
        <v>4.1436464088397788E-2</v>
      </c>
      <c r="L135" s="7">
        <f t="shared" si="25"/>
        <v>94.150811464088392</v>
      </c>
      <c r="M135" s="4">
        <f t="shared" si="26"/>
        <v>4.4104368755079584</v>
      </c>
      <c r="N135" s="8">
        <f t="shared" si="27"/>
        <v>4.3687550795823427E-2</v>
      </c>
      <c r="O135" s="4">
        <f t="shared" si="28"/>
        <v>2.377746896785109</v>
      </c>
      <c r="P135">
        <f t="shared" si="29"/>
        <v>5</v>
      </c>
      <c r="Q135" s="4">
        <f t="shared" si="30"/>
        <v>2.4767123287671233</v>
      </c>
      <c r="R135">
        <f t="shared" si="31"/>
        <v>1</v>
      </c>
      <c r="S135" s="7">
        <f>SUM(CashFlows!BN135:DU135)</f>
        <v>94.102827039569675</v>
      </c>
      <c r="T135" s="7">
        <f t="shared" si="32"/>
        <v>94.061390575481283</v>
      </c>
      <c r="U135" s="7">
        <f t="shared" si="33"/>
        <v>-4.7984424518716651E-2</v>
      </c>
      <c r="V135" s="4">
        <f t="shared" si="34"/>
        <v>4.43187789235962</v>
      </c>
      <c r="W135" s="8">
        <f t="shared" si="35"/>
        <v>2.1441016851661665</v>
      </c>
      <c r="X135" s="9">
        <f t="shared" si="36"/>
        <v>-2.1434363900338328E-4</v>
      </c>
      <c r="Y135" s="10">
        <f t="shared" si="37"/>
        <v>4.5943195581212689E-8</v>
      </c>
    </row>
    <row r="136" spans="1:25" x14ac:dyDescent="0.2">
      <c r="A136" s="3">
        <f>Data!A135</f>
        <v>47177</v>
      </c>
      <c r="B136" s="4">
        <f>Data!B135</f>
        <v>4.25</v>
      </c>
      <c r="C136" s="4">
        <f>Data!C135</f>
        <v>99.191999999999993</v>
      </c>
      <c r="D136" s="4">
        <f>Data!D135</f>
        <v>99.201999999999998</v>
      </c>
      <c r="E136" s="4">
        <f>Data!F135</f>
        <v>4.4080000000000004</v>
      </c>
      <c r="F136" s="7">
        <f t="shared" ref="F136:F199" si="38">INT(D136)+(INT(MOD(ROUND(D136*1000,0),1000)/10)+MOD(ROUND(D136*1000,0),10)/8)/32</f>
        <v>99.6328125</v>
      </c>
      <c r="G136" s="3">
        <f t="shared" ref="G136:G199" si="39">COUPPCD(Settle,A136,2,1)</f>
        <v>46265</v>
      </c>
      <c r="H136" s="3">
        <f t="shared" ref="H136:H199" si="40">COUPNCD(Settle,A136,2,1)</f>
        <v>46446</v>
      </c>
      <c r="I136">
        <f t="shared" ref="I136:I199" si="41">Settle-G136</f>
        <v>8</v>
      </c>
      <c r="J136">
        <f t="shared" ref="J136:J199" si="42">H136-G136</f>
        <v>181</v>
      </c>
      <c r="K136" s="7">
        <f t="shared" ref="K136:K199" si="43">B136/2*I136/J136</f>
        <v>9.3922651933701654E-2</v>
      </c>
      <c r="L136" s="7">
        <f t="shared" ref="L136:L199" si="44">F136+K136</f>
        <v>99.726735151933696</v>
      </c>
      <c r="M136" s="4">
        <f t="shared" ref="M136:M199" si="45">YIELD(Settle,A136,B136/100,F136,100,2,1)*100</f>
        <v>4.4076298869600326</v>
      </c>
      <c r="N136" s="8">
        <f t="shared" ref="N136:N199" si="46">(M136-E136)*100</f>
        <v>-3.7011303996781209E-2</v>
      </c>
      <c r="O136" s="4">
        <f t="shared" ref="O136:O199" si="47">MDURATION(Settle,A136,B136/100,M136/100,2,1)</f>
        <v>2.3245532327167231</v>
      </c>
      <c r="P136">
        <f t="shared" ref="P136:P199" si="48">COUPNUM(Settle,A136,2,1)</f>
        <v>5</v>
      </c>
      <c r="Q136" s="4">
        <f t="shared" ref="Q136:Q199" si="49">(A136-Settle)/365</f>
        <v>2.4767123287671233</v>
      </c>
      <c r="R136">
        <f t="shared" ref="R136:R199" si="50">IF(Q136&gt;=MinYears,1,0)</f>
        <v>1</v>
      </c>
      <c r="S136" s="7">
        <f>SUM(CashFlows!BN136:DU136)</f>
        <v>99.679085165246505</v>
      </c>
      <c r="T136" s="7">
        <f t="shared" ref="T136:T199" si="51">S136-K136</f>
        <v>99.58516251331281</v>
      </c>
      <c r="U136" s="7">
        <f t="shared" ref="U136:U199" si="52">T136-F136</f>
        <v>-4.7649986687190449E-2</v>
      </c>
      <c r="V136" s="4">
        <f t="shared" ref="V136:V199" si="53">YIELD(Settle,A136,B136/100,T136,100,2,1)*100</f>
        <v>4.4281906838689409</v>
      </c>
      <c r="W136" s="8">
        <f t="shared" ref="W136:W199" si="54">(V136-M136)*100</f>
        <v>2.056079690890833</v>
      </c>
      <c r="X136" s="9">
        <f t="shared" ref="X136:X199" si="55">(S136-L136)/(L136*O136)</f>
        <v>-2.0554725731120787E-4</v>
      </c>
      <c r="Y136" s="10">
        <f t="shared" ref="Y136:Y199" si="56">R136*X136^2</f>
        <v>4.2249674988159892E-8</v>
      </c>
    </row>
    <row r="137" spans="1:25" x14ac:dyDescent="0.2">
      <c r="A137" s="3">
        <f>Data!A136</f>
        <v>47192</v>
      </c>
      <c r="B137" s="4">
        <f>Data!B136</f>
        <v>3.5</v>
      </c>
      <c r="C137" s="4">
        <f>Data!C136</f>
        <v>97.263999999999996</v>
      </c>
      <c r="D137" s="4">
        <f>Data!D136</f>
        <v>97.274000000000001</v>
      </c>
      <c r="E137" s="4">
        <f>Data!F136</f>
        <v>4.407</v>
      </c>
      <c r="F137" s="7">
        <f t="shared" si="38"/>
        <v>97.859375</v>
      </c>
      <c r="G137" s="3">
        <f t="shared" si="39"/>
        <v>46096</v>
      </c>
      <c r="H137" s="3">
        <f t="shared" si="40"/>
        <v>46280</v>
      </c>
      <c r="I137">
        <f t="shared" si="41"/>
        <v>177</v>
      </c>
      <c r="J137">
        <f t="shared" si="42"/>
        <v>184</v>
      </c>
      <c r="K137" s="7">
        <f t="shared" si="43"/>
        <v>1.6834239130434783</v>
      </c>
      <c r="L137" s="7">
        <f t="shared" si="44"/>
        <v>99.542798913043484</v>
      </c>
      <c r="M137" s="4">
        <f t="shared" si="45"/>
        <v>4.4068456988645384</v>
      </c>
      <c r="N137" s="8">
        <f t="shared" si="46"/>
        <v>-1.5430113546166524E-2</v>
      </c>
      <c r="O137" s="4">
        <f t="shared" si="47"/>
        <v>2.3394564082146454</v>
      </c>
      <c r="P137">
        <f t="shared" si="48"/>
        <v>6</v>
      </c>
      <c r="Q137" s="4">
        <f t="shared" si="49"/>
        <v>2.5178082191780824</v>
      </c>
      <c r="R137">
        <f t="shared" si="50"/>
        <v>1</v>
      </c>
      <c r="S137" s="7">
        <f>SUM(CashFlows!BN137:DU137)</f>
        <v>99.48292861748881</v>
      </c>
      <c r="T137" s="7">
        <f t="shared" si="51"/>
        <v>97.799504704445326</v>
      </c>
      <c r="U137" s="7">
        <f t="shared" si="52"/>
        <v>-5.9870295554674158E-2</v>
      </c>
      <c r="V137" s="4">
        <f t="shared" si="53"/>
        <v>4.432564433215255</v>
      </c>
      <c r="W137" s="8">
        <f t="shared" si="54"/>
        <v>2.5718734350716588</v>
      </c>
      <c r="X137" s="9">
        <f t="shared" si="55"/>
        <v>-2.5709083622744451E-4</v>
      </c>
      <c r="Y137" s="10">
        <f t="shared" si="56"/>
        <v>6.6095698072126697E-8</v>
      </c>
    </row>
    <row r="138" spans="1:25" x14ac:dyDescent="0.2">
      <c r="A138" s="3">
        <f>Data!A137</f>
        <v>47208</v>
      </c>
      <c r="B138" s="4">
        <f>Data!B137</f>
        <v>2.375</v>
      </c>
      <c r="C138" s="4">
        <f>Data!C137</f>
        <v>95.016000000000005</v>
      </c>
      <c r="D138" s="4">
        <f>Data!D137</f>
        <v>95.025999999999996</v>
      </c>
      <c r="E138" s="4">
        <f>Data!F137</f>
        <v>4.4260000000000002</v>
      </c>
      <c r="F138" s="7">
        <f t="shared" si="38"/>
        <v>95.0859375</v>
      </c>
      <c r="G138" s="3">
        <f t="shared" si="39"/>
        <v>46112</v>
      </c>
      <c r="H138" s="3">
        <f t="shared" si="40"/>
        <v>46295</v>
      </c>
      <c r="I138">
        <f t="shared" si="41"/>
        <v>161</v>
      </c>
      <c r="J138">
        <f t="shared" si="42"/>
        <v>183</v>
      </c>
      <c r="K138" s="7">
        <f t="shared" si="43"/>
        <v>1.0447404371584699</v>
      </c>
      <c r="L138" s="7">
        <f t="shared" si="44"/>
        <v>96.130677937158467</v>
      </c>
      <c r="M138" s="4">
        <f t="shared" si="45"/>
        <v>4.4258338944945752</v>
      </c>
      <c r="N138" s="8">
        <f t="shared" si="46"/>
        <v>-1.6610550542495162E-2</v>
      </c>
      <c r="O138" s="4">
        <f t="shared" si="47"/>
        <v>2.4168470747664501</v>
      </c>
      <c r="P138">
        <f t="shared" si="48"/>
        <v>6</v>
      </c>
      <c r="Q138" s="4">
        <f t="shared" si="49"/>
        <v>2.5616438356164384</v>
      </c>
      <c r="R138">
        <f t="shared" si="50"/>
        <v>1</v>
      </c>
      <c r="S138" s="7">
        <f>SUM(CashFlows!BN138:DU138)</f>
        <v>96.09203455237423</v>
      </c>
      <c r="T138" s="7">
        <f t="shared" si="51"/>
        <v>95.047294115215763</v>
      </c>
      <c r="U138" s="7">
        <f t="shared" si="52"/>
        <v>-3.86433847842369E-2</v>
      </c>
      <c r="V138" s="4">
        <f t="shared" si="53"/>
        <v>4.4424707487886472</v>
      </c>
      <c r="W138" s="8">
        <f t="shared" si="54"/>
        <v>1.6636854294072023</v>
      </c>
      <c r="X138" s="9">
        <f t="shared" si="55"/>
        <v>-1.6632747051173512E-4</v>
      </c>
      <c r="Y138" s="10">
        <f t="shared" si="56"/>
        <v>2.7664827446832115E-8</v>
      </c>
    </row>
    <row r="139" spans="1:25" x14ac:dyDescent="0.2">
      <c r="A139" s="3">
        <f>Data!A138</f>
        <v>47208</v>
      </c>
      <c r="B139" s="4">
        <f>Data!B138</f>
        <v>4.125</v>
      </c>
      <c r="C139" s="4">
        <f>Data!C138</f>
        <v>99.084000000000003</v>
      </c>
      <c r="D139" s="4">
        <f>Data!D138</f>
        <v>99.093999999999994</v>
      </c>
      <c r="E139" s="4">
        <f>Data!F138</f>
        <v>4.4169999999999998</v>
      </c>
      <c r="F139" s="7">
        <f t="shared" si="38"/>
        <v>99.296875</v>
      </c>
      <c r="G139" s="3">
        <f t="shared" si="39"/>
        <v>46112</v>
      </c>
      <c r="H139" s="3">
        <f t="shared" si="40"/>
        <v>46295</v>
      </c>
      <c r="I139">
        <f t="shared" si="41"/>
        <v>161</v>
      </c>
      <c r="J139">
        <f t="shared" si="42"/>
        <v>183</v>
      </c>
      <c r="K139" s="7">
        <f t="shared" si="43"/>
        <v>1.8145491803278688</v>
      </c>
      <c r="L139" s="7">
        <f t="shared" si="44"/>
        <v>101.11142418032787</v>
      </c>
      <c r="M139" s="4">
        <f t="shared" si="45"/>
        <v>4.4174908992318942</v>
      </c>
      <c r="N139" s="8">
        <f t="shared" si="46"/>
        <v>4.9089923189438167E-2</v>
      </c>
      <c r="O139" s="4">
        <f t="shared" si="47"/>
        <v>2.3597288961255263</v>
      </c>
      <c r="P139">
        <f t="shared" si="48"/>
        <v>6</v>
      </c>
      <c r="Q139" s="4">
        <f t="shared" si="49"/>
        <v>2.5616438356164384</v>
      </c>
      <c r="R139">
        <f t="shared" si="50"/>
        <v>1</v>
      </c>
      <c r="S139" s="7">
        <f>SUM(CashFlows!BN139:DU139)</f>
        <v>101.05854251190684</v>
      </c>
      <c r="T139" s="7">
        <f t="shared" si="51"/>
        <v>99.243993331578963</v>
      </c>
      <c r="U139" s="7">
        <f t="shared" si="52"/>
        <v>-5.288166842103692E-2</v>
      </c>
      <c r="V139" s="4">
        <f t="shared" si="53"/>
        <v>4.4396618788613296</v>
      </c>
      <c r="W139" s="8">
        <f t="shared" si="54"/>
        <v>2.2170979629435372</v>
      </c>
      <c r="X139" s="9">
        <f t="shared" si="55"/>
        <v>-2.2163727932643457E-4</v>
      </c>
      <c r="Y139" s="10">
        <f t="shared" si="56"/>
        <v>4.912308358722398E-8</v>
      </c>
    </row>
    <row r="140" spans="1:25" x14ac:dyDescent="0.2">
      <c r="A140" s="3">
        <f>Data!A139</f>
        <v>47223</v>
      </c>
      <c r="B140" s="4">
        <f>Data!B139</f>
        <v>3.875</v>
      </c>
      <c r="C140" s="4">
        <f>Data!C139</f>
        <v>98.2</v>
      </c>
      <c r="D140" s="4">
        <f>Data!D139</f>
        <v>98.21</v>
      </c>
      <c r="E140" s="4">
        <f>Data!F139</f>
        <v>4.4260000000000002</v>
      </c>
      <c r="F140" s="7">
        <f t="shared" si="38"/>
        <v>98.65625</v>
      </c>
      <c r="G140" s="3">
        <f t="shared" si="39"/>
        <v>46127</v>
      </c>
      <c r="H140" s="3">
        <f t="shared" si="40"/>
        <v>46310</v>
      </c>
      <c r="I140">
        <f t="shared" si="41"/>
        <v>146</v>
      </c>
      <c r="J140">
        <f t="shared" si="42"/>
        <v>183</v>
      </c>
      <c r="K140" s="7">
        <f t="shared" si="43"/>
        <v>1.5457650273224044</v>
      </c>
      <c r="L140" s="7">
        <f t="shared" si="44"/>
        <v>100.2020150273224</v>
      </c>
      <c r="M140" s="4">
        <f t="shared" si="45"/>
        <v>4.426198514830685</v>
      </c>
      <c r="N140" s="8">
        <f t="shared" si="46"/>
        <v>1.9851483068489273E-2</v>
      </c>
      <c r="O140" s="4">
        <f t="shared" si="47"/>
        <v>2.4075336471347293</v>
      </c>
      <c r="P140">
        <f t="shared" si="48"/>
        <v>6</v>
      </c>
      <c r="Q140" s="4">
        <f t="shared" si="49"/>
        <v>2.6027397260273974</v>
      </c>
      <c r="R140">
        <f t="shared" si="50"/>
        <v>1</v>
      </c>
      <c r="S140" s="7">
        <f>SUM(CashFlows!BN140:DU140)</f>
        <v>100.16115754103903</v>
      </c>
      <c r="T140" s="7">
        <f t="shared" si="51"/>
        <v>98.615392513716628</v>
      </c>
      <c r="U140" s="7">
        <f t="shared" si="52"/>
        <v>-4.0857486283371713E-2</v>
      </c>
      <c r="V140" s="4">
        <f t="shared" si="53"/>
        <v>4.4431392745539489</v>
      </c>
      <c r="W140" s="8">
        <f t="shared" si="54"/>
        <v>1.694075972326381</v>
      </c>
      <c r="X140" s="9">
        <f t="shared" si="55"/>
        <v>-1.693646710747043E-4</v>
      </c>
      <c r="Y140" s="10">
        <f t="shared" si="56"/>
        <v>2.8684391808242778E-8</v>
      </c>
    </row>
    <row r="141" spans="1:25" x14ac:dyDescent="0.2">
      <c r="A141" s="3">
        <f>Data!A140</f>
        <v>47238</v>
      </c>
      <c r="B141" s="4">
        <f>Data!B140</f>
        <v>2.875</v>
      </c>
      <c r="C141" s="4">
        <f>Data!C140</f>
        <v>96.042000000000002</v>
      </c>
      <c r="D141" s="4">
        <f>Data!D140</f>
        <v>96.052000000000007</v>
      </c>
      <c r="E141" s="4">
        <f>Data!F140</f>
        <v>4.4269999999999996</v>
      </c>
      <c r="F141" s="7">
        <f t="shared" si="38"/>
        <v>96.1640625</v>
      </c>
      <c r="G141" s="3">
        <f t="shared" si="39"/>
        <v>46142</v>
      </c>
      <c r="H141" s="3">
        <f t="shared" si="40"/>
        <v>46326</v>
      </c>
      <c r="I141">
        <f t="shared" si="41"/>
        <v>131</v>
      </c>
      <c r="J141">
        <f t="shared" si="42"/>
        <v>184</v>
      </c>
      <c r="K141" s="7">
        <f t="shared" si="43"/>
        <v>1.0234375</v>
      </c>
      <c r="L141" s="7">
        <f t="shared" si="44"/>
        <v>97.1875</v>
      </c>
      <c r="M141" s="4">
        <f t="shared" si="45"/>
        <v>4.4270330655337222</v>
      </c>
      <c r="N141" s="8">
        <f t="shared" si="46"/>
        <v>3.3065533722620444E-3</v>
      </c>
      <c r="O141" s="4">
        <f t="shared" si="47"/>
        <v>2.4819793404543034</v>
      </c>
      <c r="P141">
        <f t="shared" si="48"/>
        <v>6</v>
      </c>
      <c r="Q141" s="4">
        <f t="shared" si="49"/>
        <v>2.6438356164383561</v>
      </c>
      <c r="R141">
        <f t="shared" si="50"/>
        <v>1</v>
      </c>
      <c r="S141" s="7">
        <f>SUM(CashFlows!BN141:DU141)</f>
        <v>97.145262103970396</v>
      </c>
      <c r="T141" s="7">
        <f t="shared" si="51"/>
        <v>96.121824603970396</v>
      </c>
      <c r="U141" s="7">
        <f t="shared" si="52"/>
        <v>-4.2237896029604372E-2</v>
      </c>
      <c r="V141" s="4">
        <f t="shared" si="53"/>
        <v>4.4445480370869896</v>
      </c>
      <c r="W141" s="8">
        <f t="shared" si="54"/>
        <v>1.7514971553267422</v>
      </c>
      <c r="X141" s="9">
        <f t="shared" si="55"/>
        <v>-1.7510304721661446E-4</v>
      </c>
      <c r="Y141" s="10">
        <f t="shared" si="56"/>
        <v>3.066107714454391E-8</v>
      </c>
    </row>
    <row r="142" spans="1:25" x14ac:dyDescent="0.2">
      <c r="A142" s="3">
        <f>Data!A141</f>
        <v>47238</v>
      </c>
      <c r="B142" s="4">
        <f>Data!B141</f>
        <v>4.625</v>
      </c>
      <c r="C142" s="4">
        <f>Data!C141</f>
        <v>100.15</v>
      </c>
      <c r="D142" s="4">
        <f>Data!D141</f>
        <v>100.16</v>
      </c>
      <c r="E142" s="4">
        <f>Data!F141</f>
        <v>4.42</v>
      </c>
      <c r="F142" s="7">
        <f t="shared" si="38"/>
        <v>100.5</v>
      </c>
      <c r="G142" s="3">
        <f t="shared" si="39"/>
        <v>46142</v>
      </c>
      <c r="H142" s="3">
        <f t="shared" si="40"/>
        <v>46326</v>
      </c>
      <c r="I142">
        <f t="shared" si="41"/>
        <v>131</v>
      </c>
      <c r="J142">
        <f t="shared" si="42"/>
        <v>184</v>
      </c>
      <c r="K142" s="7">
        <f t="shared" si="43"/>
        <v>1.646399456521739</v>
      </c>
      <c r="L142" s="7">
        <f t="shared" si="44"/>
        <v>102.14639945652173</v>
      </c>
      <c r="M142" s="4">
        <f t="shared" si="45"/>
        <v>4.4204457880118042</v>
      </c>
      <c r="N142" s="8">
        <f t="shared" si="46"/>
        <v>4.4578801180428229E-2</v>
      </c>
      <c r="O142" s="4">
        <f t="shared" si="47"/>
        <v>2.4264511258521169</v>
      </c>
      <c r="P142">
        <f t="shared" si="48"/>
        <v>6</v>
      </c>
      <c r="Q142" s="4">
        <f t="shared" si="49"/>
        <v>2.6438356164383561</v>
      </c>
      <c r="R142">
        <f t="shared" si="50"/>
        <v>1</v>
      </c>
      <c r="S142" s="7">
        <f>SUM(CashFlows!BN142:DU142)</f>
        <v>102.09368662412217</v>
      </c>
      <c r="T142" s="7">
        <f t="shared" si="51"/>
        <v>100.44728716760044</v>
      </c>
      <c r="U142" s="7">
        <f t="shared" si="52"/>
        <v>-5.2712832399564036E-2</v>
      </c>
      <c r="V142" s="4">
        <f t="shared" si="53"/>
        <v>4.4417203908676699</v>
      </c>
      <c r="W142" s="8">
        <f t="shared" si="54"/>
        <v>2.1274602855865687</v>
      </c>
      <c r="X142" s="9">
        <f t="shared" si="55"/>
        <v>-2.1267759554550859E-4</v>
      </c>
      <c r="Y142" s="10">
        <f t="shared" si="56"/>
        <v>4.5231759647018932E-8</v>
      </c>
    </row>
    <row r="143" spans="1:25" x14ac:dyDescent="0.2">
      <c r="A143" s="3">
        <f>Data!A142</f>
        <v>47253</v>
      </c>
      <c r="B143" s="4">
        <f>Data!B142</f>
        <v>2.375</v>
      </c>
      <c r="C143" s="4">
        <f>Data!C142</f>
        <v>94.266000000000005</v>
      </c>
      <c r="D143" s="4">
        <f>Data!D142</f>
        <v>94.275999999999996</v>
      </c>
      <c r="E143" s="4">
        <f>Data!F142</f>
        <v>4.4219999999999997</v>
      </c>
      <c r="F143" s="7">
        <f t="shared" si="38"/>
        <v>94.8671875</v>
      </c>
      <c r="G143" s="3">
        <f t="shared" si="39"/>
        <v>46157</v>
      </c>
      <c r="H143" s="3">
        <f t="shared" si="40"/>
        <v>46341</v>
      </c>
      <c r="I143">
        <f t="shared" si="41"/>
        <v>116</v>
      </c>
      <c r="J143">
        <f t="shared" si="42"/>
        <v>184</v>
      </c>
      <c r="K143" s="7">
        <f t="shared" si="43"/>
        <v>0.74864130434782605</v>
      </c>
      <c r="L143" s="7">
        <f t="shared" si="44"/>
        <v>95.615828804347828</v>
      </c>
      <c r="M143" s="4">
        <f t="shared" si="45"/>
        <v>4.4223853713396704</v>
      </c>
      <c r="N143" s="8">
        <f t="shared" si="46"/>
        <v>3.8537133967064818E-2</v>
      </c>
      <c r="O143" s="4">
        <f t="shared" si="47"/>
        <v>2.5388692534263138</v>
      </c>
      <c r="P143">
        <f t="shared" si="48"/>
        <v>6</v>
      </c>
      <c r="Q143" s="4">
        <f t="shared" si="49"/>
        <v>2.6849315068493151</v>
      </c>
      <c r="R143">
        <f t="shared" si="50"/>
        <v>1</v>
      </c>
      <c r="S143" s="7">
        <f>SUM(CashFlows!BN143:DU143)</f>
        <v>95.55181283473415</v>
      </c>
      <c r="T143" s="7">
        <f t="shared" si="51"/>
        <v>94.803171530386322</v>
      </c>
      <c r="U143" s="7">
        <f t="shared" si="52"/>
        <v>-6.4015969613677726E-2</v>
      </c>
      <c r="V143" s="4">
        <f t="shared" si="53"/>
        <v>4.4487666023422472</v>
      </c>
      <c r="W143" s="8">
        <f t="shared" si="54"/>
        <v>2.6381231002576833</v>
      </c>
      <c r="X143" s="9">
        <f t="shared" si="55"/>
        <v>-2.6370489889463231E-4</v>
      </c>
      <c r="Y143" s="10">
        <f t="shared" si="56"/>
        <v>6.9540273701028247E-8</v>
      </c>
    </row>
    <row r="144" spans="1:25" x14ac:dyDescent="0.2">
      <c r="A144" s="3">
        <f>Data!A143</f>
        <v>47253</v>
      </c>
      <c r="B144" s="4">
        <f>Data!B143</f>
        <v>3.875</v>
      </c>
      <c r="C144" s="4">
        <f>Data!C143</f>
        <v>98.185000000000002</v>
      </c>
      <c r="D144" s="4">
        <f>Data!D143</f>
        <v>98.194999999999993</v>
      </c>
      <c r="E144" s="4">
        <f>Data!F143</f>
        <v>4.4269999999999996</v>
      </c>
      <c r="F144" s="7">
        <f t="shared" si="38"/>
        <v>98.61328125</v>
      </c>
      <c r="G144" s="3">
        <f t="shared" si="39"/>
        <v>46157</v>
      </c>
      <c r="H144" s="3">
        <f t="shared" si="40"/>
        <v>46341</v>
      </c>
      <c r="I144">
        <f t="shared" si="41"/>
        <v>116</v>
      </c>
      <c r="J144">
        <f t="shared" si="42"/>
        <v>184</v>
      </c>
      <c r="K144" s="7">
        <f t="shared" si="43"/>
        <v>1.2214673913043479</v>
      </c>
      <c r="L144" s="7">
        <f t="shared" si="44"/>
        <v>99.834748641304344</v>
      </c>
      <c r="M144" s="4">
        <f t="shared" si="45"/>
        <v>4.4265244923849414</v>
      </c>
      <c r="N144" s="8">
        <f t="shared" si="46"/>
        <v>-4.7550761505821271E-2</v>
      </c>
      <c r="O144" s="4">
        <f t="shared" si="47"/>
        <v>2.4894066073417469</v>
      </c>
      <c r="P144">
        <f t="shared" si="48"/>
        <v>6</v>
      </c>
      <c r="Q144" s="4">
        <f t="shared" si="49"/>
        <v>2.6849315068493151</v>
      </c>
      <c r="R144">
        <f t="shared" si="50"/>
        <v>1</v>
      </c>
      <c r="S144" s="7">
        <f>SUM(CashFlows!BN144:DU144)</f>
        <v>99.785673441807518</v>
      </c>
      <c r="T144" s="7">
        <f t="shared" si="51"/>
        <v>98.564206050503174</v>
      </c>
      <c r="U144" s="7">
        <f t="shared" si="52"/>
        <v>-4.9075199496826372E-2</v>
      </c>
      <c r="V144" s="4">
        <f t="shared" si="53"/>
        <v>4.4462767257183513</v>
      </c>
      <c r="W144" s="8">
        <f t="shared" si="54"/>
        <v>1.9752233333409919</v>
      </c>
      <c r="X144" s="9">
        <f t="shared" si="55"/>
        <v>-1.9746244354877407E-4</v>
      </c>
      <c r="Y144" s="10">
        <f t="shared" si="56"/>
        <v>3.8991416612252787E-8</v>
      </c>
    </row>
    <row r="145" spans="1:25" x14ac:dyDescent="0.2">
      <c r="A145" s="3">
        <f>Data!A144</f>
        <v>47269</v>
      </c>
      <c r="B145" s="4">
        <f>Data!B144</f>
        <v>2.75</v>
      </c>
      <c r="C145" s="4">
        <f>Data!C144</f>
        <v>95.22</v>
      </c>
      <c r="D145" s="4">
        <f>Data!D144</f>
        <v>95.23</v>
      </c>
      <c r="E145" s="4">
        <f>Data!F144</f>
        <v>4.4329999999999998</v>
      </c>
      <c r="F145" s="7">
        <f t="shared" si="38"/>
        <v>95.71875</v>
      </c>
      <c r="G145" s="3">
        <f t="shared" si="39"/>
        <v>46173</v>
      </c>
      <c r="H145" s="3">
        <f t="shared" si="40"/>
        <v>46356</v>
      </c>
      <c r="I145">
        <f t="shared" si="41"/>
        <v>100</v>
      </c>
      <c r="J145">
        <f t="shared" si="42"/>
        <v>183</v>
      </c>
      <c r="K145" s="7">
        <f t="shared" si="43"/>
        <v>0.75136612021857918</v>
      </c>
      <c r="L145" s="7">
        <f t="shared" si="44"/>
        <v>96.470116120218577</v>
      </c>
      <c r="M145" s="4">
        <f t="shared" si="45"/>
        <v>4.4327216370576421</v>
      </c>
      <c r="N145" s="8">
        <f t="shared" si="46"/>
        <v>-2.7836294235772385E-2</v>
      </c>
      <c r="O145" s="4">
        <f t="shared" si="47"/>
        <v>2.5670506426412745</v>
      </c>
      <c r="P145">
        <f t="shared" si="48"/>
        <v>6</v>
      </c>
      <c r="Q145" s="4">
        <f t="shared" si="49"/>
        <v>2.7287671232876711</v>
      </c>
      <c r="R145">
        <f t="shared" si="50"/>
        <v>1</v>
      </c>
      <c r="S145" s="7">
        <f>SUM(CashFlows!BN145:DU145)</f>
        <v>96.417477396885729</v>
      </c>
      <c r="T145" s="7">
        <f t="shared" si="51"/>
        <v>95.666111276667152</v>
      </c>
      <c r="U145" s="7">
        <f t="shared" si="52"/>
        <v>-5.2638723332847803E-2</v>
      </c>
      <c r="V145" s="4">
        <f t="shared" si="53"/>
        <v>4.4539845275161429</v>
      </c>
      <c r="W145" s="8">
        <f t="shared" si="54"/>
        <v>2.1262890458500827</v>
      </c>
      <c r="X145" s="9">
        <f t="shared" si="55"/>
        <v>-2.1255832047492162E-4</v>
      </c>
      <c r="Y145" s="10">
        <f t="shared" si="56"/>
        <v>4.5181039603119482E-8</v>
      </c>
    </row>
    <row r="146" spans="1:25" x14ac:dyDescent="0.2">
      <c r="A146" s="3">
        <f>Data!A145</f>
        <v>47269</v>
      </c>
      <c r="B146" s="4">
        <f>Data!B145</f>
        <v>4.5</v>
      </c>
      <c r="C146" s="4">
        <f>Data!C145</f>
        <v>100.044</v>
      </c>
      <c r="D146" s="4">
        <f>Data!D145</f>
        <v>100.054</v>
      </c>
      <c r="E146" s="4">
        <f>Data!F145</f>
        <v>4.43</v>
      </c>
      <c r="F146" s="7">
        <f t="shared" si="38"/>
        <v>100.171875</v>
      </c>
      <c r="G146" s="3">
        <f t="shared" si="39"/>
        <v>46173</v>
      </c>
      <c r="H146" s="3">
        <f t="shared" si="40"/>
        <v>46356</v>
      </c>
      <c r="I146">
        <f t="shared" si="41"/>
        <v>100</v>
      </c>
      <c r="J146">
        <f t="shared" si="42"/>
        <v>183</v>
      </c>
      <c r="K146" s="7">
        <f t="shared" si="43"/>
        <v>1.2295081967213115</v>
      </c>
      <c r="L146" s="7">
        <f t="shared" si="44"/>
        <v>101.40138319672131</v>
      </c>
      <c r="M146" s="4">
        <f t="shared" si="45"/>
        <v>4.4299856443973971</v>
      </c>
      <c r="N146" s="8">
        <f t="shared" si="46"/>
        <v>-1.4355602602655892E-3</v>
      </c>
      <c r="O146" s="4">
        <f t="shared" si="47"/>
        <v>2.511067666604637</v>
      </c>
      <c r="P146">
        <f t="shared" si="48"/>
        <v>6</v>
      </c>
      <c r="Q146" s="4">
        <f t="shared" si="49"/>
        <v>2.7287671232876711</v>
      </c>
      <c r="R146">
        <f t="shared" si="50"/>
        <v>1</v>
      </c>
      <c r="S146" s="7">
        <f>SUM(CashFlows!BN146:DU146)</f>
        <v>101.34774713709052</v>
      </c>
      <c r="T146" s="7">
        <f t="shared" si="51"/>
        <v>100.11823894036921</v>
      </c>
      <c r="U146" s="7">
        <f t="shared" si="52"/>
        <v>-5.3636059630790101E-2</v>
      </c>
      <c r="V146" s="4">
        <f t="shared" si="53"/>
        <v>4.4510571979139417</v>
      </c>
      <c r="W146" s="8">
        <f t="shared" si="54"/>
        <v>2.1071553516544661</v>
      </c>
      <c r="X146" s="9">
        <f t="shared" si="55"/>
        <v>-2.1064665633735072E-4</v>
      </c>
      <c r="Y146" s="10">
        <f t="shared" si="56"/>
        <v>4.4372013826105942E-8</v>
      </c>
    </row>
    <row r="147" spans="1:25" x14ac:dyDescent="0.2">
      <c r="A147" s="3">
        <f>Data!A146</f>
        <v>47284</v>
      </c>
      <c r="B147" s="4">
        <f>Data!B146</f>
        <v>4.125</v>
      </c>
      <c r="C147" s="4">
        <f>Data!C146</f>
        <v>99.054000000000002</v>
      </c>
      <c r="D147" s="4">
        <f>Data!D146</f>
        <v>99.063999999999993</v>
      </c>
      <c r="E147" s="4">
        <f>Data!F146</f>
        <v>4.4320000000000004</v>
      </c>
      <c r="F147" s="7">
        <f t="shared" si="38"/>
        <v>99.203125</v>
      </c>
      <c r="G147" s="3">
        <f t="shared" si="39"/>
        <v>46188</v>
      </c>
      <c r="H147" s="3">
        <f t="shared" si="40"/>
        <v>46371</v>
      </c>
      <c r="I147">
        <f t="shared" si="41"/>
        <v>85</v>
      </c>
      <c r="J147">
        <f t="shared" si="42"/>
        <v>183</v>
      </c>
      <c r="K147" s="7">
        <f t="shared" si="43"/>
        <v>0.95799180327868849</v>
      </c>
      <c r="L147" s="7">
        <f t="shared" si="44"/>
        <v>100.16111680327869</v>
      </c>
      <c r="M147" s="4">
        <f t="shared" si="45"/>
        <v>4.4319269586844543</v>
      </c>
      <c r="N147" s="8">
        <f t="shared" si="46"/>
        <v>-7.3041315546085173E-3</v>
      </c>
      <c r="O147" s="4">
        <f t="shared" si="47"/>
        <v>2.5626759681819227</v>
      </c>
      <c r="P147">
        <f t="shared" si="48"/>
        <v>6</v>
      </c>
      <c r="Q147" s="4">
        <f t="shared" si="49"/>
        <v>2.7698630136986302</v>
      </c>
      <c r="R147">
        <f t="shared" si="50"/>
        <v>1</v>
      </c>
      <c r="S147" s="7">
        <f>SUM(CashFlows!BN147:DU147)</f>
        <v>100.10338701150017</v>
      </c>
      <c r="T147" s="7">
        <f t="shared" si="51"/>
        <v>99.145395208221487</v>
      </c>
      <c r="U147" s="7">
        <f t="shared" si="52"/>
        <v>-5.7729791778513118E-2</v>
      </c>
      <c r="V147" s="4">
        <f t="shared" si="53"/>
        <v>4.4544258349058206</v>
      </c>
      <c r="W147" s="8">
        <f t="shared" si="54"/>
        <v>2.249887622136626</v>
      </c>
      <c r="X147" s="9">
        <f t="shared" si="55"/>
        <v>-2.2490915635303249E-4</v>
      </c>
      <c r="Y147" s="10">
        <f t="shared" si="56"/>
        <v>5.0584128611432817E-8</v>
      </c>
    </row>
    <row r="148" spans="1:25" x14ac:dyDescent="0.2">
      <c r="A148" s="3">
        <f>Data!A147</f>
        <v>47299</v>
      </c>
      <c r="B148" s="4">
        <f>Data!B147</f>
        <v>3.25</v>
      </c>
      <c r="C148" s="4">
        <f>Data!C147</f>
        <v>96.27</v>
      </c>
      <c r="D148" s="4">
        <f>Data!D147</f>
        <v>96.28</v>
      </c>
      <c r="E148" s="4">
        <f>Data!F147</f>
        <v>4.444</v>
      </c>
      <c r="F148" s="7">
        <f t="shared" si="38"/>
        <v>96.875</v>
      </c>
      <c r="G148" s="3">
        <f t="shared" si="39"/>
        <v>46203</v>
      </c>
      <c r="H148" s="3">
        <f t="shared" si="40"/>
        <v>46387</v>
      </c>
      <c r="I148">
        <f t="shared" si="41"/>
        <v>70</v>
      </c>
      <c r="J148">
        <f t="shared" si="42"/>
        <v>184</v>
      </c>
      <c r="K148" s="7">
        <f t="shared" si="43"/>
        <v>0.61820652173913049</v>
      </c>
      <c r="L148" s="7">
        <f t="shared" si="44"/>
        <v>97.493206521739125</v>
      </c>
      <c r="M148" s="4">
        <f t="shared" si="45"/>
        <v>4.4437500480212275</v>
      </c>
      <c r="N148" s="8">
        <f t="shared" si="46"/>
        <v>-2.4995197877242248E-2</v>
      </c>
      <c r="O148" s="4">
        <f t="shared" si="47"/>
        <v>2.6315116291783736</v>
      </c>
      <c r="P148">
        <f t="shared" si="48"/>
        <v>6</v>
      </c>
      <c r="Q148" s="4">
        <f t="shared" si="49"/>
        <v>2.8109589041095893</v>
      </c>
      <c r="R148">
        <f t="shared" si="50"/>
        <v>1</v>
      </c>
      <c r="S148" s="7">
        <f>SUM(CashFlows!BN148:DU148)</f>
        <v>97.459100109063627</v>
      </c>
      <c r="T148" s="7">
        <f t="shared" si="51"/>
        <v>96.840893587324501</v>
      </c>
      <c r="U148" s="7">
        <f t="shared" si="52"/>
        <v>-3.4106412675498632E-2</v>
      </c>
      <c r="V148" s="4">
        <f t="shared" si="53"/>
        <v>4.4570468949958864</v>
      </c>
      <c r="W148" s="8">
        <f t="shared" si="54"/>
        <v>1.3296846974658827</v>
      </c>
      <c r="X148" s="9">
        <f t="shared" si="55"/>
        <v>-1.3294022042527958E-4</v>
      </c>
      <c r="Y148" s="10">
        <f t="shared" si="56"/>
        <v>1.7673102206721919E-8</v>
      </c>
    </row>
    <row r="149" spans="1:25" x14ac:dyDescent="0.2">
      <c r="A149" s="3">
        <f>Data!A148</f>
        <v>47299</v>
      </c>
      <c r="B149" s="4">
        <f>Data!B148</f>
        <v>4.25</v>
      </c>
      <c r="C149" s="4">
        <f>Data!C148</f>
        <v>99.152000000000001</v>
      </c>
      <c r="D149" s="4">
        <f>Data!D148</f>
        <v>99.162000000000006</v>
      </c>
      <c r="E149" s="4">
        <f>Data!F148</f>
        <v>4.4359999999999999</v>
      </c>
      <c r="F149" s="7">
        <f t="shared" si="38"/>
        <v>99.5078125</v>
      </c>
      <c r="G149" s="3">
        <f t="shared" si="39"/>
        <v>46203</v>
      </c>
      <c r="H149" s="3">
        <f t="shared" si="40"/>
        <v>46387</v>
      </c>
      <c r="I149">
        <f t="shared" si="41"/>
        <v>70</v>
      </c>
      <c r="J149">
        <f t="shared" si="42"/>
        <v>184</v>
      </c>
      <c r="K149" s="7">
        <f t="shared" si="43"/>
        <v>0.80842391304347827</v>
      </c>
      <c r="L149" s="7">
        <f t="shared" si="44"/>
        <v>100.31623641304348</v>
      </c>
      <c r="M149" s="4">
        <f t="shared" si="45"/>
        <v>4.436146696191881</v>
      </c>
      <c r="N149" s="8">
        <f t="shared" si="46"/>
        <v>1.4669619188101279E-2</v>
      </c>
      <c r="O149" s="4">
        <f t="shared" si="47"/>
        <v>2.5998496481217623</v>
      </c>
      <c r="P149">
        <f t="shared" si="48"/>
        <v>6</v>
      </c>
      <c r="Q149" s="4">
        <f t="shared" si="49"/>
        <v>2.8109589041095893</v>
      </c>
      <c r="R149">
        <f t="shared" si="50"/>
        <v>1</v>
      </c>
      <c r="S149" s="7">
        <f>SUM(CashFlows!BN149:DU149)</f>
        <v>100.26599773330615</v>
      </c>
      <c r="T149" s="7">
        <f t="shared" si="51"/>
        <v>99.457573820262667</v>
      </c>
      <c r="U149" s="7">
        <f t="shared" si="52"/>
        <v>-5.0238679737333314E-2</v>
      </c>
      <c r="V149" s="4">
        <f t="shared" si="53"/>
        <v>4.4554153766069566</v>
      </c>
      <c r="W149" s="8">
        <f t="shared" si="54"/>
        <v>1.9268680415075679</v>
      </c>
      <c r="X149" s="9">
        <f t="shared" si="55"/>
        <v>-1.9262770677995136E-4</v>
      </c>
      <c r="Y149" s="10">
        <f t="shared" si="56"/>
        <v>3.7105433419302918E-8</v>
      </c>
    </row>
    <row r="150" spans="1:25" x14ac:dyDescent="0.2">
      <c r="A150" s="3">
        <f>Data!A149</f>
        <v>47314</v>
      </c>
      <c r="B150" s="4">
        <f>Data!B149</f>
        <v>4.125</v>
      </c>
      <c r="C150" s="4">
        <f>Data!C149</f>
        <v>99.04</v>
      </c>
      <c r="D150" s="4">
        <f>Data!D149</f>
        <v>99.05</v>
      </c>
      <c r="E150" s="4">
        <f>Data!F149</f>
        <v>4.4420000000000002</v>
      </c>
      <c r="F150" s="7">
        <f t="shared" si="38"/>
        <v>99.15625</v>
      </c>
      <c r="G150" s="3">
        <f t="shared" si="39"/>
        <v>46218</v>
      </c>
      <c r="H150" s="3">
        <f t="shared" si="40"/>
        <v>46402</v>
      </c>
      <c r="I150">
        <f t="shared" si="41"/>
        <v>55</v>
      </c>
      <c r="J150">
        <f t="shared" si="42"/>
        <v>184</v>
      </c>
      <c r="K150" s="7">
        <f t="shared" si="43"/>
        <v>0.61650815217391308</v>
      </c>
      <c r="L150" s="7">
        <f t="shared" si="44"/>
        <v>99.772758152173907</v>
      </c>
      <c r="M150" s="4">
        <f t="shared" si="45"/>
        <v>4.4416112645994614</v>
      </c>
      <c r="N150" s="8">
        <f t="shared" si="46"/>
        <v>-3.8873540053874223E-2</v>
      </c>
      <c r="O150" s="4">
        <f t="shared" si="47"/>
        <v>2.6435165684150794</v>
      </c>
      <c r="P150">
        <f t="shared" si="48"/>
        <v>6</v>
      </c>
      <c r="Q150" s="4">
        <f t="shared" si="49"/>
        <v>2.8520547945205479</v>
      </c>
      <c r="R150">
        <f t="shared" si="50"/>
        <v>1</v>
      </c>
      <c r="S150" s="7">
        <f>SUM(CashFlows!BN150:DU150)</f>
        <v>99.727908794636292</v>
      </c>
      <c r="T150" s="7">
        <f t="shared" si="51"/>
        <v>99.111400642462385</v>
      </c>
      <c r="U150" s="7">
        <f t="shared" si="52"/>
        <v>-4.4849357537614765E-2</v>
      </c>
      <c r="V150" s="4">
        <f t="shared" si="53"/>
        <v>4.4586203625327565</v>
      </c>
      <c r="W150" s="8">
        <f t="shared" si="54"/>
        <v>1.7009097933295081</v>
      </c>
      <c r="X150" s="9">
        <f t="shared" si="55"/>
        <v>-1.7004435193615516E-4</v>
      </c>
      <c r="Y150" s="10">
        <f t="shared" si="56"/>
        <v>2.8915081625386994E-8</v>
      </c>
    </row>
    <row r="151" spans="1:25" x14ac:dyDescent="0.2">
      <c r="A151" s="3">
        <f>Data!A150</f>
        <v>47330</v>
      </c>
      <c r="B151" s="4">
        <f>Data!B150</f>
        <v>2.625</v>
      </c>
      <c r="C151" s="4">
        <f>Data!C150</f>
        <v>95.024000000000001</v>
      </c>
      <c r="D151" s="4">
        <f>Data!D150</f>
        <v>95.034000000000006</v>
      </c>
      <c r="E151" s="4">
        <f>Data!F150</f>
        <v>4.444</v>
      </c>
      <c r="F151" s="7">
        <f t="shared" si="38"/>
        <v>95.109375</v>
      </c>
      <c r="G151" s="3">
        <f t="shared" si="39"/>
        <v>46234</v>
      </c>
      <c r="H151" s="3">
        <f t="shared" si="40"/>
        <v>46418</v>
      </c>
      <c r="I151">
        <f t="shared" si="41"/>
        <v>39</v>
      </c>
      <c r="J151">
        <f t="shared" si="42"/>
        <v>184</v>
      </c>
      <c r="K151" s="7">
        <f t="shared" si="43"/>
        <v>0.2781929347826087</v>
      </c>
      <c r="L151" s="7">
        <f t="shared" si="44"/>
        <v>95.387567934782609</v>
      </c>
      <c r="M151" s="4">
        <f t="shared" si="45"/>
        <v>4.443681338515634</v>
      </c>
      <c r="N151" s="8">
        <f t="shared" si="46"/>
        <v>-3.1866148436598962E-2</v>
      </c>
      <c r="O151" s="4">
        <f t="shared" si="47"/>
        <v>2.7347266640227406</v>
      </c>
      <c r="P151">
        <f t="shared" si="48"/>
        <v>6</v>
      </c>
      <c r="Q151" s="4">
        <f t="shared" si="49"/>
        <v>2.8958904109589043</v>
      </c>
      <c r="R151">
        <f t="shared" si="50"/>
        <v>1</v>
      </c>
      <c r="S151" s="7">
        <f>SUM(CashFlows!BN151:DU151)</f>
        <v>95.334100063636669</v>
      </c>
      <c r="T151" s="7">
        <f t="shared" si="51"/>
        <v>95.055907128854059</v>
      </c>
      <c r="U151" s="7">
        <f t="shared" si="52"/>
        <v>-5.3467871145940649E-2</v>
      </c>
      <c r="V151" s="4">
        <f t="shared" si="53"/>
        <v>4.4641850935643665</v>
      </c>
      <c r="W151" s="8">
        <f t="shared" si="54"/>
        <v>2.0503755048732586</v>
      </c>
      <c r="X151" s="9">
        <f t="shared" si="55"/>
        <v>-2.0496853252849586E-4</v>
      </c>
      <c r="Y151" s="10">
        <f t="shared" si="56"/>
        <v>4.2012099326885063E-8</v>
      </c>
    </row>
    <row r="152" spans="1:25" x14ac:dyDescent="0.2">
      <c r="A152" s="3">
        <f>Data!A151</f>
        <v>47330</v>
      </c>
      <c r="B152" s="4">
        <f>Data!B151</f>
        <v>4</v>
      </c>
      <c r="C152" s="4">
        <f>Data!C151</f>
        <v>98.244</v>
      </c>
      <c r="D152" s="4">
        <f>Data!D151</f>
        <v>98.254000000000005</v>
      </c>
      <c r="E152" s="4">
        <f>Data!F151</f>
        <v>4.4459999999999997</v>
      </c>
      <c r="F152" s="7">
        <f t="shared" si="38"/>
        <v>98.796875</v>
      </c>
      <c r="G152" s="3">
        <f t="shared" si="39"/>
        <v>46234</v>
      </c>
      <c r="H152" s="3">
        <f t="shared" si="40"/>
        <v>46418</v>
      </c>
      <c r="I152">
        <f t="shared" si="41"/>
        <v>39</v>
      </c>
      <c r="J152">
        <f t="shared" si="42"/>
        <v>184</v>
      </c>
      <c r="K152" s="7">
        <f t="shared" si="43"/>
        <v>0.42391304347826086</v>
      </c>
      <c r="L152" s="7">
        <f t="shared" si="44"/>
        <v>99.220788043478265</v>
      </c>
      <c r="M152" s="4">
        <f t="shared" si="45"/>
        <v>4.4462826352780569</v>
      </c>
      <c r="N152" s="8">
        <f t="shared" si="46"/>
        <v>2.8263527805716393E-2</v>
      </c>
      <c r="O152" s="4">
        <f t="shared" si="47"/>
        <v>2.6898796500934714</v>
      </c>
      <c r="P152">
        <f t="shared" si="48"/>
        <v>6</v>
      </c>
      <c r="Q152" s="4">
        <f t="shared" si="49"/>
        <v>2.8958904109589043</v>
      </c>
      <c r="R152">
        <f t="shared" si="50"/>
        <v>1</v>
      </c>
      <c r="S152" s="7">
        <f>SUM(CashFlows!BN152:DU152)</f>
        <v>99.179022586664956</v>
      </c>
      <c r="T152" s="7">
        <f t="shared" si="51"/>
        <v>98.755109543186691</v>
      </c>
      <c r="U152" s="7">
        <f t="shared" si="52"/>
        <v>-4.1765456813308788E-2</v>
      </c>
      <c r="V152" s="4">
        <f t="shared" si="53"/>
        <v>4.4619354605689399</v>
      </c>
      <c r="W152" s="8">
        <f t="shared" si="54"/>
        <v>1.5652825290882966</v>
      </c>
      <c r="X152" s="9">
        <f t="shared" si="55"/>
        <v>-1.5648824302841774E-4</v>
      </c>
      <c r="Y152" s="10">
        <f t="shared" si="56"/>
        <v>2.4488570206121134E-8</v>
      </c>
    </row>
    <row r="153" spans="1:25" x14ac:dyDescent="0.2">
      <c r="A153" s="3">
        <f>Data!A152</f>
        <v>47345</v>
      </c>
      <c r="B153" s="4">
        <f>Data!B152</f>
        <v>1.625</v>
      </c>
      <c r="C153" s="4">
        <f>Data!C152</f>
        <v>92.103999999999999</v>
      </c>
      <c r="D153" s="4">
        <f>Data!D152</f>
        <v>92.114000000000004</v>
      </c>
      <c r="E153" s="4">
        <f>Data!F152</f>
        <v>4.43</v>
      </c>
      <c r="F153" s="7">
        <f t="shared" si="38"/>
        <v>92.359375</v>
      </c>
      <c r="G153" s="3">
        <f t="shared" si="39"/>
        <v>46249</v>
      </c>
      <c r="H153" s="3">
        <f t="shared" si="40"/>
        <v>46433</v>
      </c>
      <c r="I153">
        <f t="shared" si="41"/>
        <v>24</v>
      </c>
      <c r="J153">
        <f t="shared" si="42"/>
        <v>184</v>
      </c>
      <c r="K153" s="7">
        <f t="shared" si="43"/>
        <v>0.10597826086956522</v>
      </c>
      <c r="L153" s="7">
        <f t="shared" si="44"/>
        <v>92.465353260869563</v>
      </c>
      <c r="M153" s="4">
        <f t="shared" si="45"/>
        <v>4.4296820953301737</v>
      </c>
      <c r="N153" s="8">
        <f t="shared" si="46"/>
        <v>-3.1790466982606347E-2</v>
      </c>
      <c r="O153" s="4">
        <f t="shared" si="47"/>
        <v>2.8097300197113122</v>
      </c>
      <c r="P153">
        <f t="shared" si="48"/>
        <v>6</v>
      </c>
      <c r="Q153" s="4">
        <f t="shared" si="49"/>
        <v>2.9369863013698629</v>
      </c>
      <c r="R153">
        <f t="shared" si="50"/>
        <v>1</v>
      </c>
      <c r="S153" s="7">
        <f>SUM(CashFlows!BN153:DU153)</f>
        <v>92.364065910223204</v>
      </c>
      <c r="T153" s="7">
        <f t="shared" si="51"/>
        <v>92.258087649353641</v>
      </c>
      <c r="U153" s="7">
        <f t="shared" si="52"/>
        <v>-0.10128735064635919</v>
      </c>
      <c r="V153" s="4">
        <f t="shared" si="53"/>
        <v>4.4686937378943981</v>
      </c>
      <c r="W153" s="8">
        <f t="shared" si="54"/>
        <v>3.9011642564224402</v>
      </c>
      <c r="X153" s="9">
        <f t="shared" si="55"/>
        <v>-3.8986261072630979E-4</v>
      </c>
      <c r="Y153" s="10">
        <f t="shared" si="56"/>
        <v>1.5199285524233417E-7</v>
      </c>
    </row>
    <row r="154" spans="1:25" x14ac:dyDescent="0.2">
      <c r="A154" s="3">
        <f>Data!A153</f>
        <v>47345</v>
      </c>
      <c r="B154" s="4">
        <f>Data!B153</f>
        <v>4.25</v>
      </c>
      <c r="C154" s="4">
        <f>Data!C153</f>
        <v>99.14</v>
      </c>
      <c r="D154" s="4">
        <f>Data!D153</f>
        <v>99.15</v>
      </c>
      <c r="E154" s="4">
        <f>Data!F153</f>
        <v>4.444</v>
      </c>
      <c r="F154" s="7">
        <f t="shared" si="38"/>
        <v>99.46875</v>
      </c>
      <c r="G154" s="3">
        <f t="shared" si="39"/>
        <v>46249</v>
      </c>
      <c r="H154" s="3">
        <f t="shared" si="40"/>
        <v>46433</v>
      </c>
      <c r="I154">
        <f t="shared" si="41"/>
        <v>24</v>
      </c>
      <c r="J154">
        <f t="shared" si="42"/>
        <v>184</v>
      </c>
      <c r="K154" s="7">
        <f t="shared" si="43"/>
        <v>0.27717391304347827</v>
      </c>
      <c r="L154" s="7">
        <f t="shared" si="44"/>
        <v>99.745923913043484</v>
      </c>
      <c r="M154" s="4">
        <f t="shared" si="45"/>
        <v>4.4441107852133017</v>
      </c>
      <c r="N154" s="8">
        <f t="shared" si="46"/>
        <v>1.1078521330176727E-2</v>
      </c>
      <c r="O154" s="4">
        <f t="shared" si="47"/>
        <v>2.7220114724463489</v>
      </c>
      <c r="P154">
        <f t="shared" si="48"/>
        <v>6</v>
      </c>
      <c r="Q154" s="4">
        <f t="shared" si="49"/>
        <v>2.9369863013698629</v>
      </c>
      <c r="R154">
        <f t="shared" si="50"/>
        <v>1</v>
      </c>
      <c r="S154" s="7">
        <f>SUM(CashFlows!BN154:DU154)</f>
        <v>99.690909271508218</v>
      </c>
      <c r="T154" s="7">
        <f t="shared" si="51"/>
        <v>99.413735358464734</v>
      </c>
      <c r="U154" s="7">
        <f t="shared" si="52"/>
        <v>-5.5014641535265696E-2</v>
      </c>
      <c r="V154" s="4">
        <f t="shared" si="53"/>
        <v>4.4643800741443043</v>
      </c>
      <c r="W154" s="8">
        <f t="shared" si="54"/>
        <v>2.0269288931002549</v>
      </c>
      <c r="X154" s="9">
        <f t="shared" si="55"/>
        <v>-2.0262507043710787E-4</v>
      </c>
      <c r="Y154" s="10">
        <f t="shared" si="56"/>
        <v>4.1056919169642924E-8</v>
      </c>
    </row>
    <row r="155" spans="1:25" x14ac:dyDescent="0.2">
      <c r="A155" s="3">
        <f>Data!A154</f>
        <v>47345</v>
      </c>
      <c r="B155" s="4">
        <f>Data!B154</f>
        <v>6.125</v>
      </c>
      <c r="C155" s="4">
        <f>Data!C154</f>
        <v>104.17</v>
      </c>
      <c r="D155" s="4">
        <f>Data!D154</f>
        <v>104.18</v>
      </c>
      <c r="E155" s="4">
        <f>Data!F154</f>
        <v>4.4480000000000004</v>
      </c>
      <c r="F155" s="7">
        <f t="shared" si="38"/>
        <v>104.5625</v>
      </c>
      <c r="G155" s="3">
        <f t="shared" si="39"/>
        <v>46249</v>
      </c>
      <c r="H155" s="3">
        <f t="shared" si="40"/>
        <v>46433</v>
      </c>
      <c r="I155">
        <f t="shared" si="41"/>
        <v>24</v>
      </c>
      <c r="J155">
        <f t="shared" si="42"/>
        <v>184</v>
      </c>
      <c r="K155" s="7">
        <f t="shared" si="43"/>
        <v>0.39945652173913043</v>
      </c>
      <c r="L155" s="7">
        <f t="shared" si="44"/>
        <v>104.96195652173913</v>
      </c>
      <c r="M155" s="4">
        <f t="shared" si="45"/>
        <v>4.4480917437537713</v>
      </c>
      <c r="N155" s="8">
        <f t="shared" si="46"/>
        <v>9.1743753770856529E-3</v>
      </c>
      <c r="O155" s="4">
        <f t="shared" si="47"/>
        <v>2.6669128247177833</v>
      </c>
      <c r="P155">
        <f t="shared" si="48"/>
        <v>6</v>
      </c>
      <c r="Q155" s="4">
        <f t="shared" si="49"/>
        <v>2.9369863013698629</v>
      </c>
      <c r="R155">
        <f t="shared" si="50"/>
        <v>1</v>
      </c>
      <c r="S155" s="7">
        <f>SUM(CashFlows!BN155:DU155)</f>
        <v>104.92436881528324</v>
      </c>
      <c r="T155" s="7">
        <f t="shared" si="51"/>
        <v>104.52491229354412</v>
      </c>
      <c r="U155" s="7">
        <f t="shared" si="52"/>
        <v>-3.7587706455880721E-2</v>
      </c>
      <c r="V155" s="4">
        <f t="shared" si="53"/>
        <v>4.4615225075378424</v>
      </c>
      <c r="W155" s="8">
        <f t="shared" si="54"/>
        <v>1.3430763784071154</v>
      </c>
      <c r="X155" s="9">
        <f t="shared" si="55"/>
        <v>-1.3427806962601423E-4</v>
      </c>
      <c r="Y155" s="10">
        <f t="shared" si="56"/>
        <v>1.8030599982488725E-8</v>
      </c>
    </row>
    <row r="156" spans="1:25" x14ac:dyDescent="0.2">
      <c r="A156" s="3">
        <f>Data!A155</f>
        <v>47361</v>
      </c>
      <c r="B156" s="4">
        <f>Data!B155</f>
        <v>3.125</v>
      </c>
      <c r="C156" s="4">
        <f>Data!C155</f>
        <v>96.096000000000004</v>
      </c>
      <c r="D156" s="4">
        <f>Data!D155</f>
        <v>96.111999999999995</v>
      </c>
      <c r="E156" s="4">
        <f>Data!F155</f>
        <v>4.4459999999999997</v>
      </c>
      <c r="F156" s="7">
        <f t="shared" si="38"/>
        <v>96.3515625</v>
      </c>
      <c r="G156" s="3">
        <f t="shared" si="39"/>
        <v>46265</v>
      </c>
      <c r="H156" s="3">
        <f t="shared" si="40"/>
        <v>46446</v>
      </c>
      <c r="I156">
        <f t="shared" si="41"/>
        <v>8</v>
      </c>
      <c r="J156">
        <f t="shared" si="42"/>
        <v>181</v>
      </c>
      <c r="K156" s="7">
        <f t="shared" si="43"/>
        <v>6.9060773480662987E-2</v>
      </c>
      <c r="L156" s="7">
        <f t="shared" si="44"/>
        <v>96.420623273480658</v>
      </c>
      <c r="M156" s="4">
        <f t="shared" si="45"/>
        <v>4.4463591701916263</v>
      </c>
      <c r="N156" s="8">
        <f t="shared" si="46"/>
        <v>3.5917019162656771E-2</v>
      </c>
      <c r="O156" s="4">
        <f t="shared" si="47"/>
        <v>2.8000357888571203</v>
      </c>
      <c r="P156">
        <f t="shared" si="48"/>
        <v>6</v>
      </c>
      <c r="Q156" s="4">
        <f t="shared" si="49"/>
        <v>2.9808219178082194</v>
      </c>
      <c r="R156">
        <f t="shared" si="50"/>
        <v>1</v>
      </c>
      <c r="S156" s="7">
        <f>SUM(CashFlows!BN156:DU156)</f>
        <v>96.359103203521215</v>
      </c>
      <c r="T156" s="7">
        <f t="shared" si="51"/>
        <v>96.290042430040558</v>
      </c>
      <c r="U156" s="7">
        <f t="shared" si="52"/>
        <v>-6.152006995944248E-2</v>
      </c>
      <c r="V156" s="4">
        <f t="shared" si="53"/>
        <v>4.4691546896233021</v>
      </c>
      <c r="W156" s="8">
        <f t="shared" si="54"/>
        <v>2.2795519431675793</v>
      </c>
      <c r="X156" s="9">
        <f t="shared" si="55"/>
        <v>-2.2786798074231197E-4</v>
      </c>
      <c r="Y156" s="10">
        <f t="shared" si="56"/>
        <v>5.1923816647578655E-8</v>
      </c>
    </row>
    <row r="157" spans="1:25" x14ac:dyDescent="0.2">
      <c r="A157" s="3">
        <f>Data!A156</f>
        <v>47361</v>
      </c>
      <c r="B157" s="4">
        <f>Data!B156</f>
        <v>3.625</v>
      </c>
      <c r="C157" s="4">
        <f>Data!C156</f>
        <v>97.213999999999999</v>
      </c>
      <c r="D157" s="4">
        <f>Data!D156</f>
        <v>97.23</v>
      </c>
      <c r="E157" s="4">
        <f>Data!F156</f>
        <v>4.4509999999999996</v>
      </c>
      <c r="F157" s="7">
        <f t="shared" si="38"/>
        <v>97.71875</v>
      </c>
      <c r="G157" s="3">
        <f t="shared" si="39"/>
        <v>46265</v>
      </c>
      <c r="H157" s="3">
        <f t="shared" si="40"/>
        <v>46446</v>
      </c>
      <c r="I157">
        <f t="shared" si="41"/>
        <v>8</v>
      </c>
      <c r="J157">
        <f t="shared" si="42"/>
        <v>181</v>
      </c>
      <c r="K157" s="7">
        <f t="shared" si="43"/>
        <v>8.0110497237569064E-2</v>
      </c>
      <c r="L157" s="7">
        <f t="shared" si="44"/>
        <v>97.79886049723757</v>
      </c>
      <c r="M157" s="4">
        <f t="shared" si="45"/>
        <v>4.4511285470366948</v>
      </c>
      <c r="N157" s="8">
        <f t="shared" si="46"/>
        <v>1.285470366951813E-2</v>
      </c>
      <c r="O157" s="4">
        <f t="shared" si="47"/>
        <v>2.7837304691286944</v>
      </c>
      <c r="P157">
        <f t="shared" si="48"/>
        <v>6</v>
      </c>
      <c r="Q157" s="4">
        <f t="shared" si="49"/>
        <v>2.9808219178082194</v>
      </c>
      <c r="R157">
        <f t="shared" si="50"/>
        <v>1</v>
      </c>
      <c r="S157" s="7">
        <f>SUM(CashFlows!BN157:DU157)</f>
        <v>97.752183166202983</v>
      </c>
      <c r="T157" s="7">
        <f t="shared" si="51"/>
        <v>97.672072668965413</v>
      </c>
      <c r="U157" s="7">
        <f t="shared" si="52"/>
        <v>-4.6677331034587155E-2</v>
      </c>
      <c r="V157" s="4">
        <f t="shared" si="53"/>
        <v>4.4682787720012707</v>
      </c>
      <c r="W157" s="8">
        <f t="shared" si="54"/>
        <v>1.7150224964575855</v>
      </c>
      <c r="X157" s="9">
        <f t="shared" si="55"/>
        <v>-1.7145297998564081E-4</v>
      </c>
      <c r="Y157" s="10">
        <f t="shared" si="56"/>
        <v>2.9396124345956549E-8</v>
      </c>
    </row>
    <row r="158" spans="1:25" x14ac:dyDescent="0.2">
      <c r="A158" s="3">
        <f>Data!A157</f>
        <v>47391</v>
      </c>
      <c r="B158" s="4">
        <f>Data!B157</f>
        <v>3.5</v>
      </c>
      <c r="C158" s="4">
        <f>Data!C157</f>
        <v>97.075999999999993</v>
      </c>
      <c r="D158" s="4">
        <f>Data!D157</f>
        <v>97.091999999999999</v>
      </c>
      <c r="E158" s="4">
        <f>Data!F157</f>
        <v>4.4569999999999999</v>
      </c>
      <c r="F158" s="7">
        <f t="shared" si="38"/>
        <v>97.2890625</v>
      </c>
      <c r="G158" s="3">
        <f t="shared" si="39"/>
        <v>46112</v>
      </c>
      <c r="H158" s="3">
        <f t="shared" si="40"/>
        <v>46295</v>
      </c>
      <c r="I158">
        <f t="shared" si="41"/>
        <v>161</v>
      </c>
      <c r="J158">
        <f t="shared" si="42"/>
        <v>183</v>
      </c>
      <c r="K158" s="7">
        <f t="shared" si="43"/>
        <v>1.5396174863387979</v>
      </c>
      <c r="L158" s="7">
        <f t="shared" si="44"/>
        <v>98.828679986338798</v>
      </c>
      <c r="M158" s="4">
        <f t="shared" si="45"/>
        <v>4.456775436273384</v>
      </c>
      <c r="N158" s="8">
        <f t="shared" si="46"/>
        <v>-2.2456372661583401E-2</v>
      </c>
      <c r="O158" s="4">
        <f t="shared" si="47"/>
        <v>2.8184592276389728</v>
      </c>
      <c r="P158">
        <f t="shared" si="48"/>
        <v>7</v>
      </c>
      <c r="Q158" s="4">
        <f t="shared" si="49"/>
        <v>3.0630136986301371</v>
      </c>
      <c r="R158">
        <f t="shared" si="50"/>
        <v>1</v>
      </c>
      <c r="S158" s="7">
        <f>SUM(CashFlows!BN158:DU158)</f>
        <v>98.784457928338952</v>
      </c>
      <c r="T158" s="7">
        <f t="shared" si="51"/>
        <v>97.244840442000154</v>
      </c>
      <c r="U158" s="7">
        <f t="shared" si="52"/>
        <v>-4.4222057999846243E-2</v>
      </c>
      <c r="V158" s="4">
        <f t="shared" si="53"/>
        <v>4.472655873000817</v>
      </c>
      <c r="W158" s="8">
        <f t="shared" si="54"/>
        <v>1.5880436727433</v>
      </c>
      <c r="X158" s="9">
        <f t="shared" si="55"/>
        <v>-1.5876113626348652E-4</v>
      </c>
      <c r="Y158" s="10">
        <f t="shared" si="56"/>
        <v>2.5205098387673333E-8</v>
      </c>
    </row>
    <row r="159" spans="1:25" x14ac:dyDescent="0.2">
      <c r="A159" s="3">
        <f>Data!A158</f>
        <v>47391</v>
      </c>
      <c r="B159" s="4">
        <f>Data!B158</f>
        <v>3.875</v>
      </c>
      <c r="C159" s="4">
        <f>Data!C158</f>
        <v>98.1</v>
      </c>
      <c r="D159" s="4">
        <f>Data!D158</f>
        <v>98.114000000000004</v>
      </c>
      <c r="E159" s="4">
        <f>Data!F158</f>
        <v>4.4539999999999997</v>
      </c>
      <c r="F159" s="7">
        <f t="shared" si="38"/>
        <v>98.359375</v>
      </c>
      <c r="G159" s="3">
        <f t="shared" si="39"/>
        <v>46112</v>
      </c>
      <c r="H159" s="3">
        <f t="shared" si="40"/>
        <v>46295</v>
      </c>
      <c r="I159">
        <f t="shared" si="41"/>
        <v>161</v>
      </c>
      <c r="J159">
        <f t="shared" si="42"/>
        <v>183</v>
      </c>
      <c r="K159" s="7">
        <f t="shared" si="43"/>
        <v>1.7045765027322404</v>
      </c>
      <c r="L159" s="7">
        <f t="shared" si="44"/>
        <v>100.06395150273224</v>
      </c>
      <c r="M159" s="4">
        <f t="shared" si="45"/>
        <v>4.4536352680006202</v>
      </c>
      <c r="N159" s="8">
        <f t="shared" si="46"/>
        <v>-3.6473199937958611E-2</v>
      </c>
      <c r="O159" s="4">
        <f t="shared" si="47"/>
        <v>2.8021440695694055</v>
      </c>
      <c r="P159">
        <f t="shared" si="48"/>
        <v>7</v>
      </c>
      <c r="Q159" s="4">
        <f t="shared" si="49"/>
        <v>3.0630136986301371</v>
      </c>
      <c r="R159">
        <f t="shared" si="50"/>
        <v>1</v>
      </c>
      <c r="S159" s="7">
        <f>SUM(CashFlows!BN159:DU159)</f>
        <v>100.01244079244682</v>
      </c>
      <c r="T159" s="7">
        <f t="shared" si="51"/>
        <v>98.307864289714587</v>
      </c>
      <c r="U159" s="7">
        <f t="shared" si="52"/>
        <v>-5.1510710285413097E-2</v>
      </c>
      <c r="V159" s="4">
        <f t="shared" si="53"/>
        <v>4.4720119063852293</v>
      </c>
      <c r="W159" s="8">
        <f t="shared" si="54"/>
        <v>1.8376638384609123</v>
      </c>
      <c r="X159" s="9">
        <f t="shared" si="55"/>
        <v>-1.837085752460507E-4</v>
      </c>
      <c r="Y159" s="10">
        <f t="shared" si="56"/>
        <v>3.3748840618933872E-8</v>
      </c>
    </row>
    <row r="160" spans="1:25" x14ac:dyDescent="0.2">
      <c r="A160" s="3">
        <f>Data!A159</f>
        <v>47422</v>
      </c>
      <c r="B160" s="4">
        <f>Data!B159</f>
        <v>4</v>
      </c>
      <c r="C160" s="4">
        <f>Data!C159</f>
        <v>98.191999999999993</v>
      </c>
      <c r="D160" s="4">
        <f>Data!D159</f>
        <v>98.206000000000003</v>
      </c>
      <c r="E160" s="4">
        <f>Data!F159</f>
        <v>4.4640000000000004</v>
      </c>
      <c r="F160" s="7">
        <f t="shared" si="38"/>
        <v>98.6484375</v>
      </c>
      <c r="G160" s="3">
        <f t="shared" si="39"/>
        <v>46142</v>
      </c>
      <c r="H160" s="3">
        <f t="shared" si="40"/>
        <v>46326</v>
      </c>
      <c r="I160">
        <f t="shared" si="41"/>
        <v>131</v>
      </c>
      <c r="J160">
        <f t="shared" si="42"/>
        <v>184</v>
      </c>
      <c r="K160" s="7">
        <f t="shared" si="43"/>
        <v>1.423913043478261</v>
      </c>
      <c r="L160" s="7">
        <f t="shared" si="44"/>
        <v>100.07235054347827</v>
      </c>
      <c r="M160" s="4">
        <f t="shared" si="45"/>
        <v>4.463965773620056</v>
      </c>
      <c r="N160" s="8">
        <f t="shared" si="46"/>
        <v>-3.4226379944435337E-3</v>
      </c>
      <c r="O160" s="4">
        <f t="shared" si="47"/>
        <v>2.8786760352081759</v>
      </c>
      <c r="P160">
        <f t="shared" si="48"/>
        <v>7</v>
      </c>
      <c r="Q160" s="4">
        <f t="shared" si="49"/>
        <v>3.1479452054794521</v>
      </c>
      <c r="R160">
        <f t="shared" si="50"/>
        <v>1</v>
      </c>
      <c r="S160" s="7">
        <f>SUM(CashFlows!BN160:DU160)</f>
        <v>100.0349985377252</v>
      </c>
      <c r="T160" s="7">
        <f t="shared" si="51"/>
        <v>98.611085494246936</v>
      </c>
      <c r="U160" s="7">
        <f t="shared" si="52"/>
        <v>-3.7352005753064077E-2</v>
      </c>
      <c r="V160" s="4">
        <f t="shared" si="53"/>
        <v>4.4769347480872117</v>
      </c>
      <c r="W160" s="8">
        <f t="shared" si="54"/>
        <v>1.2968974467155725</v>
      </c>
      <c r="X160" s="9">
        <f t="shared" si="55"/>
        <v>-1.2966030374915642E-4</v>
      </c>
      <c r="Y160" s="10">
        <f t="shared" si="56"/>
        <v>1.6811794368323505E-8</v>
      </c>
    </row>
    <row r="161" spans="1:25" x14ac:dyDescent="0.2">
      <c r="A161" s="3">
        <f>Data!A160</f>
        <v>47422</v>
      </c>
      <c r="B161" s="4">
        <f>Data!B160</f>
        <v>4.125</v>
      </c>
      <c r="C161" s="4">
        <f>Data!C160</f>
        <v>98.31</v>
      </c>
      <c r="D161" s="4">
        <f>Data!D160</f>
        <v>99.004000000000005</v>
      </c>
      <c r="E161" s="4">
        <f>Data!F160</f>
        <v>4.4619999999999997</v>
      </c>
      <c r="F161" s="7">
        <f t="shared" si="38"/>
        <v>99.015625</v>
      </c>
      <c r="G161" s="3">
        <f t="shared" si="39"/>
        <v>46142</v>
      </c>
      <c r="H161" s="3">
        <f t="shared" si="40"/>
        <v>46326</v>
      </c>
      <c r="I161">
        <f t="shared" si="41"/>
        <v>131</v>
      </c>
      <c r="J161">
        <f t="shared" si="42"/>
        <v>184</v>
      </c>
      <c r="K161" s="7">
        <f t="shared" si="43"/>
        <v>1.4684103260869565</v>
      </c>
      <c r="L161" s="7">
        <f t="shared" si="44"/>
        <v>100.48403532608695</v>
      </c>
      <c r="M161" s="4">
        <f t="shared" si="45"/>
        <v>4.4624357358176532</v>
      </c>
      <c r="N161" s="8">
        <f t="shared" si="46"/>
        <v>4.3573581765343761E-2</v>
      </c>
      <c r="O161" s="4">
        <f t="shared" si="47"/>
        <v>2.8733787461185303</v>
      </c>
      <c r="P161">
        <f t="shared" si="48"/>
        <v>7</v>
      </c>
      <c r="Q161" s="4">
        <f t="shared" si="49"/>
        <v>3.1479452054794521</v>
      </c>
      <c r="R161">
        <f t="shared" si="50"/>
        <v>1</v>
      </c>
      <c r="S161" s="7">
        <f>SUM(CashFlows!BN161:DU161)</f>
        <v>100.44282282045327</v>
      </c>
      <c r="T161" s="7">
        <f t="shared" si="51"/>
        <v>98.974412494366319</v>
      </c>
      <c r="U161" s="7">
        <f t="shared" si="52"/>
        <v>-4.1212505633680507E-2</v>
      </c>
      <c r="V161" s="4">
        <f t="shared" si="53"/>
        <v>4.476713083876243</v>
      </c>
      <c r="W161" s="8">
        <f t="shared" si="54"/>
        <v>1.4277348058589823</v>
      </c>
      <c r="X161" s="9">
        <f t="shared" si="55"/>
        <v>-1.4273782570598236E-4</v>
      </c>
      <c r="Y161" s="10">
        <f t="shared" si="56"/>
        <v>2.0374086887271398E-8</v>
      </c>
    </row>
    <row r="162" spans="1:25" x14ac:dyDescent="0.2">
      <c r="A162" s="3">
        <f>Data!A161</f>
        <v>47437</v>
      </c>
      <c r="B162" s="4">
        <f>Data!B161</f>
        <v>1.75</v>
      </c>
      <c r="C162" s="4">
        <f>Data!C161</f>
        <v>92</v>
      </c>
      <c r="D162" s="4">
        <f>Data!D161</f>
        <v>92.013999999999996</v>
      </c>
      <c r="E162" s="4">
        <f>Data!F161</f>
        <v>4.4550000000000001</v>
      </c>
      <c r="F162" s="7">
        <f t="shared" si="38"/>
        <v>92.046875</v>
      </c>
      <c r="G162" s="3">
        <f t="shared" si="39"/>
        <v>46157</v>
      </c>
      <c r="H162" s="3">
        <f t="shared" si="40"/>
        <v>46341</v>
      </c>
      <c r="I162">
        <f t="shared" si="41"/>
        <v>116</v>
      </c>
      <c r="J162">
        <f t="shared" si="42"/>
        <v>184</v>
      </c>
      <c r="K162" s="7">
        <f t="shared" si="43"/>
        <v>0.55163043478260865</v>
      </c>
      <c r="L162" s="7">
        <f t="shared" si="44"/>
        <v>92.598505434782609</v>
      </c>
      <c r="M162" s="4">
        <f t="shared" si="45"/>
        <v>4.4554941262388787</v>
      </c>
      <c r="N162" s="8">
        <f t="shared" si="46"/>
        <v>4.9412623887867824E-2</v>
      </c>
      <c r="O162" s="4">
        <f t="shared" si="47"/>
        <v>3.0225317179025089</v>
      </c>
      <c r="P162">
        <f t="shared" si="48"/>
        <v>7</v>
      </c>
      <c r="Q162" s="4">
        <f t="shared" si="49"/>
        <v>3.1890410958904107</v>
      </c>
      <c r="R162">
        <f t="shared" si="50"/>
        <v>1</v>
      </c>
      <c r="S162" s="7">
        <f>SUM(CashFlows!BN162:DU162)</f>
        <v>92.520434880556522</v>
      </c>
      <c r="T162" s="7">
        <f t="shared" si="51"/>
        <v>91.968804445773912</v>
      </c>
      <c r="U162" s="7">
        <f t="shared" si="52"/>
        <v>-7.8070554226087552E-2</v>
      </c>
      <c r="V162" s="4">
        <f t="shared" si="53"/>
        <v>4.4834021457215032</v>
      </c>
      <c r="W162" s="8">
        <f t="shared" si="54"/>
        <v>2.7908019482624447</v>
      </c>
      <c r="X162" s="9">
        <f t="shared" si="55"/>
        <v>-2.7894104166434813E-4</v>
      </c>
      <c r="Y162" s="10">
        <f t="shared" si="56"/>
        <v>7.7808104724791598E-8</v>
      </c>
    </row>
    <row r="163" spans="1:25" x14ac:dyDescent="0.2">
      <c r="A163" s="3">
        <f>Data!A162</f>
        <v>47452</v>
      </c>
      <c r="B163" s="4">
        <f>Data!B162</f>
        <v>3.875</v>
      </c>
      <c r="C163" s="4">
        <f>Data!C162</f>
        <v>98.061999999999998</v>
      </c>
      <c r="D163" s="4">
        <f>Data!D162</f>
        <v>98.075999999999993</v>
      </c>
      <c r="E163" s="4">
        <f>Data!F162</f>
        <v>4.4640000000000004</v>
      </c>
      <c r="F163" s="7">
        <f t="shared" si="38"/>
        <v>98.2421875</v>
      </c>
      <c r="G163" s="3">
        <f t="shared" si="39"/>
        <v>46173</v>
      </c>
      <c r="H163" s="3">
        <f t="shared" si="40"/>
        <v>46356</v>
      </c>
      <c r="I163">
        <f t="shared" si="41"/>
        <v>100</v>
      </c>
      <c r="J163">
        <f t="shared" si="42"/>
        <v>183</v>
      </c>
      <c r="K163" s="7">
        <f t="shared" si="43"/>
        <v>1.0587431693989071</v>
      </c>
      <c r="L163" s="7">
        <f t="shared" si="44"/>
        <v>99.300930669398909</v>
      </c>
      <c r="M163" s="4">
        <f t="shared" si="45"/>
        <v>4.4642004451485962</v>
      </c>
      <c r="N163" s="8">
        <f t="shared" si="46"/>
        <v>2.0044514859574036E-2</v>
      </c>
      <c r="O163" s="4">
        <f t="shared" si="47"/>
        <v>2.9649875481174819</v>
      </c>
      <c r="P163">
        <f t="shared" si="48"/>
        <v>7</v>
      </c>
      <c r="Q163" s="4">
        <f t="shared" si="49"/>
        <v>3.2301369863013698</v>
      </c>
      <c r="R163">
        <f t="shared" si="50"/>
        <v>1</v>
      </c>
      <c r="S163" s="7">
        <f>SUM(CashFlows!BN163:DU163)</f>
        <v>99.254212888417058</v>
      </c>
      <c r="T163" s="7">
        <f t="shared" si="51"/>
        <v>98.195469719018149</v>
      </c>
      <c r="U163" s="7">
        <f t="shared" si="52"/>
        <v>-4.6717780981850865E-2</v>
      </c>
      <c r="V163" s="4">
        <f t="shared" si="53"/>
        <v>4.4800723624321375</v>
      </c>
      <c r="W163" s="8">
        <f t="shared" si="54"/>
        <v>1.5871917283541315</v>
      </c>
      <c r="X163" s="9">
        <f t="shared" si="55"/>
        <v>-1.5867408904133112E-4</v>
      </c>
      <c r="Y163" s="10">
        <f t="shared" si="56"/>
        <v>2.5177466533096276E-8</v>
      </c>
    </row>
    <row r="164" spans="1:25" x14ac:dyDescent="0.2">
      <c r="A164" s="3">
        <f>Data!A163</f>
        <v>47452</v>
      </c>
      <c r="B164" s="4">
        <f>Data!B163</f>
        <v>4.125</v>
      </c>
      <c r="C164" s="4">
        <f>Data!C163</f>
        <v>98.296000000000006</v>
      </c>
      <c r="D164" s="4">
        <f>Data!D163</f>
        <v>98.311999999999998</v>
      </c>
      <c r="E164" s="4">
        <f>Data!F163</f>
        <v>4.4669999999999996</v>
      </c>
      <c r="F164" s="7">
        <f t="shared" si="38"/>
        <v>98.9765625</v>
      </c>
      <c r="G164" s="3">
        <f t="shared" si="39"/>
        <v>46173</v>
      </c>
      <c r="H164" s="3">
        <f t="shared" si="40"/>
        <v>46356</v>
      </c>
      <c r="I164">
        <f t="shared" si="41"/>
        <v>100</v>
      </c>
      <c r="J164">
        <f t="shared" si="42"/>
        <v>183</v>
      </c>
      <c r="K164" s="7">
        <f t="shared" si="43"/>
        <v>1.1270491803278688</v>
      </c>
      <c r="L164" s="7">
        <f t="shared" si="44"/>
        <v>100.10361168032787</v>
      </c>
      <c r="M164" s="4">
        <f t="shared" si="45"/>
        <v>4.4672029609881942</v>
      </c>
      <c r="N164" s="8">
        <f t="shared" si="46"/>
        <v>2.029609881946115E-2</v>
      </c>
      <c r="O164" s="4">
        <f t="shared" si="47"/>
        <v>2.9542392589528363</v>
      </c>
      <c r="P164">
        <f t="shared" si="48"/>
        <v>7</v>
      </c>
      <c r="Q164" s="4">
        <f t="shared" si="49"/>
        <v>3.2301369863013698</v>
      </c>
      <c r="R164">
        <f t="shared" si="50"/>
        <v>1</v>
      </c>
      <c r="S164" s="7">
        <f>SUM(CashFlows!BN164:DU164)</f>
        <v>100.06685986790077</v>
      </c>
      <c r="T164" s="7">
        <f t="shared" si="51"/>
        <v>98.939810687572901</v>
      </c>
      <c r="U164" s="7">
        <f t="shared" si="52"/>
        <v>-3.6751812427098685E-2</v>
      </c>
      <c r="V164" s="4">
        <f t="shared" si="53"/>
        <v>4.4796332111359298</v>
      </c>
      <c r="W164" s="8">
        <f t="shared" si="54"/>
        <v>1.2430250147735578</v>
      </c>
      <c r="X164" s="9">
        <f t="shared" si="55"/>
        <v>-1.2427487908794774E-4</v>
      </c>
      <c r="Y164" s="10">
        <f t="shared" si="56"/>
        <v>1.544424557232403E-8</v>
      </c>
    </row>
    <row r="165" spans="1:25" x14ac:dyDescent="0.2">
      <c r="A165" s="3">
        <f>Data!A164</f>
        <v>47483</v>
      </c>
      <c r="B165" s="4">
        <f>Data!B164</f>
        <v>3.875</v>
      </c>
      <c r="C165" s="4">
        <f>Data!C164</f>
        <v>98.036000000000001</v>
      </c>
      <c r="D165" s="4">
        <f>Data!D164</f>
        <v>98.052000000000007</v>
      </c>
      <c r="E165" s="4">
        <f>Data!F164</f>
        <v>4.476</v>
      </c>
      <c r="F165" s="7">
        <f t="shared" si="38"/>
        <v>98.1640625</v>
      </c>
      <c r="G165" s="3">
        <f t="shared" si="39"/>
        <v>46203</v>
      </c>
      <c r="H165" s="3">
        <f t="shared" si="40"/>
        <v>46387</v>
      </c>
      <c r="I165">
        <f t="shared" si="41"/>
        <v>70</v>
      </c>
      <c r="J165">
        <f t="shared" si="42"/>
        <v>184</v>
      </c>
      <c r="K165" s="7">
        <f t="shared" si="43"/>
        <v>0.73709239130434778</v>
      </c>
      <c r="L165" s="7">
        <f t="shared" si="44"/>
        <v>98.901154891304344</v>
      </c>
      <c r="M165" s="4">
        <f t="shared" si="45"/>
        <v>4.4763208169936304</v>
      </c>
      <c r="N165" s="8">
        <f t="shared" si="46"/>
        <v>3.2081699363040173E-2</v>
      </c>
      <c r="O165" s="4">
        <f t="shared" si="47"/>
        <v>3.04595603438425</v>
      </c>
      <c r="P165">
        <f t="shared" si="48"/>
        <v>7</v>
      </c>
      <c r="Q165" s="4">
        <f t="shared" si="49"/>
        <v>3.3150684931506849</v>
      </c>
      <c r="R165">
        <f t="shared" si="50"/>
        <v>1</v>
      </c>
      <c r="S165" s="7">
        <f>SUM(CashFlows!BN165:DU165)</f>
        <v>98.871399745398733</v>
      </c>
      <c r="T165" s="7">
        <f t="shared" si="51"/>
        <v>98.134307354094389</v>
      </c>
      <c r="U165" s="7">
        <f t="shared" si="52"/>
        <v>-2.9755145905610902E-2</v>
      </c>
      <c r="V165" s="4">
        <f t="shared" si="53"/>
        <v>4.4861998755575438</v>
      </c>
      <c r="W165" s="8">
        <f t="shared" si="54"/>
        <v>0.98790585639134676</v>
      </c>
      <c r="X165" s="9">
        <f t="shared" si="55"/>
        <v>-9.877273757742021E-5</v>
      </c>
      <c r="Y165" s="10">
        <f t="shared" si="56"/>
        <v>9.7560536885379191E-9</v>
      </c>
    </row>
    <row r="166" spans="1:25" x14ac:dyDescent="0.2">
      <c r="A166" s="3">
        <f>Data!A165</f>
        <v>47483</v>
      </c>
      <c r="B166" s="4">
        <f>Data!B165</f>
        <v>4.375</v>
      </c>
      <c r="C166" s="4">
        <f>Data!C165</f>
        <v>99.206000000000003</v>
      </c>
      <c r="D166" s="4">
        <f>Data!D165</f>
        <v>99.221999999999994</v>
      </c>
      <c r="E166" s="4">
        <f>Data!F165</f>
        <v>4.4729999999999999</v>
      </c>
      <c r="F166" s="7">
        <f t="shared" si="38"/>
        <v>99.6953125</v>
      </c>
      <c r="G166" s="3">
        <f t="shared" si="39"/>
        <v>46203</v>
      </c>
      <c r="H166" s="3">
        <f t="shared" si="40"/>
        <v>46387</v>
      </c>
      <c r="I166">
        <f t="shared" si="41"/>
        <v>70</v>
      </c>
      <c r="J166">
        <f t="shared" si="42"/>
        <v>184</v>
      </c>
      <c r="K166" s="7">
        <f t="shared" si="43"/>
        <v>0.83220108695652173</v>
      </c>
      <c r="L166" s="7">
        <f t="shared" si="44"/>
        <v>100.52751358695652</v>
      </c>
      <c r="M166" s="4">
        <f t="shared" si="45"/>
        <v>4.4731921091442244</v>
      </c>
      <c r="N166" s="8">
        <f t="shared" si="46"/>
        <v>1.9210914422451708E-2</v>
      </c>
      <c r="O166" s="4">
        <f t="shared" si="47"/>
        <v>3.0247976518186257</v>
      </c>
      <c r="P166">
        <f t="shared" si="48"/>
        <v>7</v>
      </c>
      <c r="Q166" s="4">
        <f t="shared" si="49"/>
        <v>3.3150684931506849</v>
      </c>
      <c r="R166">
        <f t="shared" si="50"/>
        <v>1</v>
      </c>
      <c r="S166" s="7">
        <f>SUM(CashFlows!BN166:DU166)</f>
        <v>100.49065400559226</v>
      </c>
      <c r="T166" s="7">
        <f t="shared" si="51"/>
        <v>99.658452918635746</v>
      </c>
      <c r="U166" s="7">
        <f t="shared" si="52"/>
        <v>-3.6859581364254268E-2</v>
      </c>
      <c r="V166" s="4">
        <f t="shared" si="53"/>
        <v>4.485316647446667</v>
      </c>
      <c r="W166" s="8">
        <f t="shared" si="54"/>
        <v>1.2124538302442645</v>
      </c>
      <c r="X166" s="9">
        <f t="shared" si="55"/>
        <v>-1.2121856268256722E-4</v>
      </c>
      <c r="Y166" s="10">
        <f t="shared" si="56"/>
        <v>1.4693939938827479E-8</v>
      </c>
    </row>
    <row r="167" spans="1:25" x14ac:dyDescent="0.2">
      <c r="A167" s="3">
        <f>Data!A166</f>
        <v>47514</v>
      </c>
      <c r="B167" s="4">
        <f>Data!B166</f>
        <v>3.5</v>
      </c>
      <c r="C167" s="4">
        <f>Data!C166</f>
        <v>96.28</v>
      </c>
      <c r="D167" s="4">
        <f>Data!D166</f>
        <v>96.293999999999997</v>
      </c>
      <c r="E167" s="4">
        <f>Data!F166</f>
        <v>4.4870000000000001</v>
      </c>
      <c r="F167" s="7">
        <f t="shared" si="38"/>
        <v>96.921875</v>
      </c>
      <c r="G167" s="3">
        <f t="shared" si="39"/>
        <v>46234</v>
      </c>
      <c r="H167" s="3">
        <f t="shared" si="40"/>
        <v>46418</v>
      </c>
      <c r="I167">
        <f t="shared" si="41"/>
        <v>39</v>
      </c>
      <c r="J167">
        <f t="shared" si="42"/>
        <v>184</v>
      </c>
      <c r="K167" s="7">
        <f t="shared" si="43"/>
        <v>0.37092391304347827</v>
      </c>
      <c r="L167" s="7">
        <f t="shared" si="44"/>
        <v>97.292798913043484</v>
      </c>
      <c r="M167" s="4">
        <f t="shared" si="45"/>
        <v>4.4868099728427691</v>
      </c>
      <c r="N167" s="8">
        <f t="shared" si="46"/>
        <v>-1.9002715723104302E-2</v>
      </c>
      <c r="O167" s="4">
        <f t="shared" si="47"/>
        <v>3.1445276391541208</v>
      </c>
      <c r="P167">
        <f t="shared" si="48"/>
        <v>7</v>
      </c>
      <c r="Q167" s="4">
        <f t="shared" si="49"/>
        <v>3.4</v>
      </c>
      <c r="R167">
        <f t="shared" si="50"/>
        <v>1</v>
      </c>
      <c r="S167" s="7">
        <f>SUM(CashFlows!BN167:DU167)</f>
        <v>97.279329070004053</v>
      </c>
      <c r="T167" s="7">
        <f t="shared" si="51"/>
        <v>96.908405156960569</v>
      </c>
      <c r="U167" s="7">
        <f t="shared" si="52"/>
        <v>-1.3469843039430884E-2</v>
      </c>
      <c r="V167" s="4">
        <f t="shared" si="53"/>
        <v>4.4912131099543302</v>
      </c>
      <c r="W167" s="8">
        <f t="shared" si="54"/>
        <v>0.44031371115611506</v>
      </c>
      <c r="X167" s="9">
        <f t="shared" si="55"/>
        <v>-4.4027742859175761E-5</v>
      </c>
      <c r="Y167" s="10">
        <f t="shared" si="56"/>
        <v>1.9384421412737024E-9</v>
      </c>
    </row>
    <row r="168" spans="1:25" x14ac:dyDescent="0.2">
      <c r="A168" s="3">
        <f>Data!A167</f>
        <v>47514</v>
      </c>
      <c r="B168" s="4">
        <f>Data!B167</f>
        <v>4.25</v>
      </c>
      <c r="C168" s="4">
        <f>Data!C167</f>
        <v>99.073999999999998</v>
      </c>
      <c r="D168" s="4">
        <f>Data!D167</f>
        <v>99.09</v>
      </c>
      <c r="E168" s="4">
        <f>Data!F167</f>
        <v>4.4790000000000001</v>
      </c>
      <c r="F168" s="7">
        <f t="shared" si="38"/>
        <v>99.28125</v>
      </c>
      <c r="G168" s="3">
        <f t="shared" si="39"/>
        <v>46234</v>
      </c>
      <c r="H168" s="3">
        <f t="shared" si="40"/>
        <v>46418</v>
      </c>
      <c r="I168">
        <f t="shared" si="41"/>
        <v>39</v>
      </c>
      <c r="J168">
        <f t="shared" si="42"/>
        <v>184</v>
      </c>
      <c r="K168" s="7">
        <f t="shared" si="43"/>
        <v>0.45040760869565216</v>
      </c>
      <c r="L168" s="7">
        <f t="shared" si="44"/>
        <v>99.731657608695656</v>
      </c>
      <c r="M168" s="4">
        <f t="shared" si="45"/>
        <v>4.4793744639478081</v>
      </c>
      <c r="N168" s="8">
        <f t="shared" si="46"/>
        <v>3.7446394780804582E-2</v>
      </c>
      <c r="O168" s="4">
        <f t="shared" si="47"/>
        <v>3.112314918502924</v>
      </c>
      <c r="P168">
        <f t="shared" si="48"/>
        <v>7</v>
      </c>
      <c r="Q168" s="4">
        <f t="shared" si="49"/>
        <v>3.4</v>
      </c>
      <c r="R168">
        <f t="shared" si="50"/>
        <v>1</v>
      </c>
      <c r="S168" s="7">
        <f>SUM(CashFlows!BN168:DU168)</f>
        <v>99.699012560047152</v>
      </c>
      <c r="T168" s="7">
        <f t="shared" si="51"/>
        <v>99.248604951351496</v>
      </c>
      <c r="U168" s="7">
        <f t="shared" si="52"/>
        <v>-3.2645048648504371E-2</v>
      </c>
      <c r="V168" s="4">
        <f t="shared" si="53"/>
        <v>4.4898937430765091</v>
      </c>
      <c r="W168" s="8">
        <f t="shared" si="54"/>
        <v>1.0519279128700987</v>
      </c>
      <c r="X168" s="9">
        <f t="shared" si="55"/>
        <v>-1.051721490645645E-4</v>
      </c>
      <c r="Y168" s="10">
        <f t="shared" si="56"/>
        <v>1.1061180938858975E-8</v>
      </c>
    </row>
    <row r="169" spans="1:25" x14ac:dyDescent="0.2">
      <c r="A169" s="3">
        <f>Data!A168</f>
        <v>47529</v>
      </c>
      <c r="B169" s="4">
        <f>Data!B168</f>
        <v>1.5</v>
      </c>
      <c r="C169" s="4">
        <f>Data!C168</f>
        <v>90.186000000000007</v>
      </c>
      <c r="D169" s="4">
        <f>Data!D168</f>
        <v>90.201999999999998</v>
      </c>
      <c r="E169" s="4">
        <f>Data!F168</f>
        <v>4.4720000000000004</v>
      </c>
      <c r="F169" s="7">
        <f t="shared" si="38"/>
        <v>90.6328125</v>
      </c>
      <c r="G169" s="3">
        <f t="shared" si="39"/>
        <v>46249</v>
      </c>
      <c r="H169" s="3">
        <f t="shared" si="40"/>
        <v>46433</v>
      </c>
      <c r="I169">
        <f t="shared" si="41"/>
        <v>24</v>
      </c>
      <c r="J169">
        <f t="shared" si="42"/>
        <v>184</v>
      </c>
      <c r="K169" s="7">
        <f t="shared" si="43"/>
        <v>9.7826086956521743E-2</v>
      </c>
      <c r="L169" s="7">
        <f t="shared" si="44"/>
        <v>90.730638586956516</v>
      </c>
      <c r="M169" s="4">
        <f t="shared" si="45"/>
        <v>4.4719859186759541</v>
      </c>
      <c r="N169" s="8">
        <f t="shared" si="46"/>
        <v>-1.4081324046344434E-3</v>
      </c>
      <c r="O169" s="4">
        <f t="shared" si="47"/>
        <v>3.2793508129846396</v>
      </c>
      <c r="P169">
        <f t="shared" si="48"/>
        <v>7</v>
      </c>
      <c r="Q169" s="4">
        <f t="shared" si="49"/>
        <v>3.441095890410959</v>
      </c>
      <c r="R169">
        <f t="shared" si="50"/>
        <v>1</v>
      </c>
      <c r="S169" s="7">
        <f>SUM(CashFlows!BN169:DU169)</f>
        <v>90.656435894277422</v>
      </c>
      <c r="T169" s="7">
        <f t="shared" si="51"/>
        <v>90.558609807320906</v>
      </c>
      <c r="U169" s="7">
        <f t="shared" si="52"/>
        <v>-7.4202692679094184E-2</v>
      </c>
      <c r="V169" s="4">
        <f t="shared" si="53"/>
        <v>4.4969367318323936</v>
      </c>
      <c r="W169" s="8">
        <f t="shared" si="54"/>
        <v>2.4950813156439544</v>
      </c>
      <c r="X169" s="9">
        <f t="shared" si="55"/>
        <v>-2.4938930179541514E-4</v>
      </c>
      <c r="Y169" s="10">
        <f t="shared" si="56"/>
        <v>6.2195023850004656E-8</v>
      </c>
    </row>
    <row r="170" spans="1:25" x14ac:dyDescent="0.2">
      <c r="A170" s="3">
        <f>Data!A169</f>
        <v>47542</v>
      </c>
      <c r="B170" s="4">
        <f>Data!B169</f>
        <v>4</v>
      </c>
      <c r="C170" s="4">
        <f>Data!C169</f>
        <v>98.14</v>
      </c>
      <c r="D170" s="4">
        <f>Data!D169</f>
        <v>98.153999999999996</v>
      </c>
      <c r="E170" s="4">
        <f>Data!F169</f>
        <v>4.4749999999999996</v>
      </c>
      <c r="F170" s="7">
        <f t="shared" si="38"/>
        <v>98.484375</v>
      </c>
      <c r="G170" s="3">
        <f t="shared" si="39"/>
        <v>46265</v>
      </c>
      <c r="H170" s="3">
        <f t="shared" si="40"/>
        <v>46446</v>
      </c>
      <c r="I170">
        <f t="shared" si="41"/>
        <v>8</v>
      </c>
      <c r="J170">
        <f t="shared" si="42"/>
        <v>181</v>
      </c>
      <c r="K170" s="7">
        <f t="shared" si="43"/>
        <v>8.8397790055248615E-2</v>
      </c>
      <c r="L170" s="7">
        <f t="shared" si="44"/>
        <v>98.572772790055254</v>
      </c>
      <c r="M170" s="4">
        <f t="shared" si="45"/>
        <v>4.4751354127462095</v>
      </c>
      <c r="N170" s="8">
        <f t="shared" si="46"/>
        <v>1.3541274620987309E-2</v>
      </c>
      <c r="O170" s="4">
        <f t="shared" si="47"/>
        <v>3.2050475723940086</v>
      </c>
      <c r="P170">
        <f t="shared" si="48"/>
        <v>7</v>
      </c>
      <c r="Q170" s="4">
        <f t="shared" si="49"/>
        <v>3.4767123287671233</v>
      </c>
      <c r="R170">
        <f t="shared" si="50"/>
        <v>1</v>
      </c>
      <c r="S170" s="7">
        <f>SUM(CashFlows!BN170:DU170)</f>
        <v>98.544607639985287</v>
      </c>
      <c r="T170" s="7">
        <f t="shared" si="51"/>
        <v>98.456209849930033</v>
      </c>
      <c r="U170" s="7">
        <f t="shared" si="52"/>
        <v>-2.8165150069966671E-2</v>
      </c>
      <c r="V170" s="4">
        <f t="shared" si="53"/>
        <v>4.4840519134898207</v>
      </c>
      <c r="W170" s="8">
        <f t="shared" si="54"/>
        <v>0.89165007436111665</v>
      </c>
      <c r="X170" s="9">
        <f t="shared" si="55"/>
        <v>-8.9149849903786153E-5</v>
      </c>
      <c r="Y170" s="10">
        <f t="shared" si="56"/>
        <v>7.9476957378676006E-9</v>
      </c>
    </row>
    <row r="171" spans="1:25" x14ac:dyDescent="0.2">
      <c r="A171" s="3">
        <f>Data!A170</f>
        <v>47573</v>
      </c>
      <c r="B171" s="4">
        <f>Data!B170</f>
        <v>3.625</v>
      </c>
      <c r="C171" s="4">
        <f>Data!C170</f>
        <v>97.046000000000006</v>
      </c>
      <c r="D171" s="4">
        <f>Data!D170</f>
        <v>97.061999999999998</v>
      </c>
      <c r="E171" s="4">
        <f>Data!F170</f>
        <v>4.4859999999999998</v>
      </c>
      <c r="F171" s="7">
        <f t="shared" si="38"/>
        <v>97.1953125</v>
      </c>
      <c r="G171" s="3">
        <f t="shared" si="39"/>
        <v>46112</v>
      </c>
      <c r="H171" s="3">
        <f t="shared" si="40"/>
        <v>46295</v>
      </c>
      <c r="I171">
        <f t="shared" si="41"/>
        <v>161</v>
      </c>
      <c r="J171">
        <f t="shared" si="42"/>
        <v>183</v>
      </c>
      <c r="K171" s="7">
        <f t="shared" si="43"/>
        <v>1.5946038251366119</v>
      </c>
      <c r="L171" s="7">
        <f t="shared" si="44"/>
        <v>98.789916325136616</v>
      </c>
      <c r="M171" s="4">
        <f t="shared" si="45"/>
        <v>4.4855137209024152</v>
      </c>
      <c r="N171" s="8">
        <f t="shared" si="46"/>
        <v>-4.8627909758458543E-2</v>
      </c>
      <c r="O171" s="4">
        <f t="shared" si="47"/>
        <v>3.2421572300036456</v>
      </c>
      <c r="P171">
        <f t="shared" si="48"/>
        <v>8</v>
      </c>
      <c r="Q171" s="4">
        <f t="shared" si="49"/>
        <v>3.5616438356164384</v>
      </c>
      <c r="R171">
        <f t="shared" si="50"/>
        <v>1</v>
      </c>
      <c r="S171" s="7">
        <f>SUM(CashFlows!BN171:DU171)</f>
        <v>98.771446268418771</v>
      </c>
      <c r="T171" s="7">
        <f t="shared" si="51"/>
        <v>97.176842443282155</v>
      </c>
      <c r="U171" s="7">
        <f t="shared" si="52"/>
        <v>-1.8470056717845296E-2</v>
      </c>
      <c r="V171" s="4">
        <f t="shared" si="53"/>
        <v>4.4912810014270006</v>
      </c>
      <c r="W171" s="8">
        <f t="shared" si="54"/>
        <v>0.57672805245854164</v>
      </c>
      <c r="X171" s="9">
        <f t="shared" si="55"/>
        <v>-5.76662272558305E-5</v>
      </c>
      <c r="Y171" s="10">
        <f t="shared" si="56"/>
        <v>3.3253937659210883E-9</v>
      </c>
    </row>
    <row r="172" spans="1:25" x14ac:dyDescent="0.2">
      <c r="A172" s="3">
        <f>Data!A171</f>
        <v>47573</v>
      </c>
      <c r="B172" s="4">
        <f>Data!B171</f>
        <v>4</v>
      </c>
      <c r="C172" s="4">
        <f>Data!C171</f>
        <v>98.116</v>
      </c>
      <c r="D172" s="4">
        <f>Data!D171</f>
        <v>98.132000000000005</v>
      </c>
      <c r="E172" s="4">
        <f>Data!F171</f>
        <v>4.4859999999999998</v>
      </c>
      <c r="F172" s="7">
        <f t="shared" si="38"/>
        <v>98.4140625</v>
      </c>
      <c r="G172" s="3">
        <f t="shared" si="39"/>
        <v>46112</v>
      </c>
      <c r="H172" s="3">
        <f t="shared" si="40"/>
        <v>46295</v>
      </c>
      <c r="I172">
        <f t="shared" si="41"/>
        <v>161</v>
      </c>
      <c r="J172">
        <f t="shared" si="42"/>
        <v>183</v>
      </c>
      <c r="K172" s="7">
        <f t="shared" si="43"/>
        <v>1.7595628415300546</v>
      </c>
      <c r="L172" s="7">
        <f t="shared" si="44"/>
        <v>100.17362534153006</v>
      </c>
      <c r="M172" s="4">
        <f t="shared" si="45"/>
        <v>4.4862403355796392</v>
      </c>
      <c r="N172" s="8">
        <f t="shared" si="46"/>
        <v>2.4033557963942798E-2</v>
      </c>
      <c r="O172" s="4">
        <f t="shared" si="47"/>
        <v>3.2209906411241569</v>
      </c>
      <c r="P172">
        <f t="shared" si="48"/>
        <v>8</v>
      </c>
      <c r="Q172" s="4">
        <f t="shared" si="49"/>
        <v>3.5616438356164384</v>
      </c>
      <c r="R172">
        <f t="shared" si="50"/>
        <v>1</v>
      </c>
      <c r="S172" s="7">
        <f>SUM(CashFlows!BN172:DU172)</f>
        <v>100.1594677057287</v>
      </c>
      <c r="T172" s="7">
        <f t="shared" si="51"/>
        <v>98.399904864198646</v>
      </c>
      <c r="U172" s="7">
        <f t="shared" si="52"/>
        <v>-1.4157635801353763E-2</v>
      </c>
      <c r="V172" s="4">
        <f t="shared" si="53"/>
        <v>4.490628520725541</v>
      </c>
      <c r="W172" s="8">
        <f t="shared" si="54"/>
        <v>0.43881851459017795</v>
      </c>
      <c r="X172" s="9">
        <f t="shared" si="55"/>
        <v>-4.3878106886404698E-5</v>
      </c>
      <c r="Y172" s="10">
        <f t="shared" si="56"/>
        <v>1.9252882639347553E-9</v>
      </c>
    </row>
    <row r="173" spans="1:25" x14ac:dyDescent="0.2">
      <c r="A173" s="3">
        <f>Data!A172</f>
        <v>47603</v>
      </c>
      <c r="B173" s="4">
        <f>Data!B172</f>
        <v>3.5</v>
      </c>
      <c r="C173" s="4">
        <f>Data!C172</f>
        <v>96.206000000000003</v>
      </c>
      <c r="D173" s="4">
        <f>Data!D172</f>
        <v>96.221999999999994</v>
      </c>
      <c r="E173" s="4">
        <f>Data!F172</f>
        <v>4.492</v>
      </c>
      <c r="F173" s="7">
        <f t="shared" si="38"/>
        <v>96.6953125</v>
      </c>
      <c r="G173" s="3">
        <f t="shared" si="39"/>
        <v>46142</v>
      </c>
      <c r="H173" s="3">
        <f t="shared" si="40"/>
        <v>46326</v>
      </c>
      <c r="I173">
        <f t="shared" si="41"/>
        <v>131</v>
      </c>
      <c r="J173">
        <f t="shared" si="42"/>
        <v>184</v>
      </c>
      <c r="K173" s="7">
        <f t="shared" si="43"/>
        <v>1.2459239130434783</v>
      </c>
      <c r="L173" s="7">
        <f t="shared" si="44"/>
        <v>97.941236413043484</v>
      </c>
      <c r="M173" s="4">
        <f t="shared" si="45"/>
        <v>4.4920518986909279</v>
      </c>
      <c r="N173" s="8">
        <f t="shared" si="46"/>
        <v>5.1898690927920654E-3</v>
      </c>
      <c r="O173" s="4">
        <f t="shared" si="47"/>
        <v>3.3312711700429518</v>
      </c>
      <c r="P173">
        <f t="shared" si="48"/>
        <v>8</v>
      </c>
      <c r="Q173" s="4">
        <f t="shared" si="49"/>
        <v>3.6438356164383561</v>
      </c>
      <c r="R173">
        <f t="shared" si="50"/>
        <v>1</v>
      </c>
      <c r="S173" s="7">
        <f>SUM(CashFlows!BN173:DU173)</f>
        <v>97.940585638148193</v>
      </c>
      <c r="T173" s="7">
        <f t="shared" si="51"/>
        <v>96.694661725104709</v>
      </c>
      <c r="U173" s="7">
        <f t="shared" si="52"/>
        <v>-6.5077489529130617E-4</v>
      </c>
      <c r="V173" s="4">
        <f t="shared" si="53"/>
        <v>4.4922513592096012</v>
      </c>
      <c r="W173" s="8">
        <f t="shared" si="54"/>
        <v>1.9946051867325565E-2</v>
      </c>
      <c r="X173" s="9">
        <f t="shared" si="55"/>
        <v>-1.9945972797340158E-6</v>
      </c>
      <c r="Y173" s="10">
        <f t="shared" si="56"/>
        <v>3.9784183083223354E-12</v>
      </c>
    </row>
    <row r="174" spans="1:25" x14ac:dyDescent="0.2">
      <c r="A174" s="3">
        <f>Data!A173</f>
        <v>47603</v>
      </c>
      <c r="B174" s="4">
        <f>Data!B173</f>
        <v>3.875</v>
      </c>
      <c r="C174" s="4">
        <f>Data!C173</f>
        <v>97.293999999999997</v>
      </c>
      <c r="D174" s="4">
        <f>Data!D173</f>
        <v>97.31</v>
      </c>
      <c r="E174" s="4">
        <f>Data!F173</f>
        <v>4.484</v>
      </c>
      <c r="F174" s="7">
        <f t="shared" si="38"/>
        <v>97.96875</v>
      </c>
      <c r="G174" s="3">
        <f t="shared" si="39"/>
        <v>46142</v>
      </c>
      <c r="H174" s="3">
        <f t="shared" si="40"/>
        <v>46326</v>
      </c>
      <c r="I174">
        <f t="shared" si="41"/>
        <v>131</v>
      </c>
      <c r="J174">
        <f t="shared" si="42"/>
        <v>184</v>
      </c>
      <c r="K174" s="7">
        <f t="shared" si="43"/>
        <v>1.3794157608695652</v>
      </c>
      <c r="L174" s="7">
        <f t="shared" si="44"/>
        <v>99.348165760869563</v>
      </c>
      <c r="M174" s="4">
        <f t="shared" si="45"/>
        <v>4.484087262632432</v>
      </c>
      <c r="N174" s="8">
        <f t="shared" si="46"/>
        <v>8.726263243197252E-3</v>
      </c>
      <c r="O174" s="4">
        <f t="shared" si="47"/>
        <v>3.3100941949031335</v>
      </c>
      <c r="P174">
        <f t="shared" si="48"/>
        <v>8</v>
      </c>
      <c r="Q174" s="4">
        <f t="shared" si="49"/>
        <v>3.6438356164383561</v>
      </c>
      <c r="R174">
        <f t="shared" si="50"/>
        <v>1</v>
      </c>
      <c r="S174" s="7">
        <f>SUM(CashFlows!BN174:DU174)</f>
        <v>99.323496150438842</v>
      </c>
      <c r="T174" s="7">
        <f t="shared" si="51"/>
        <v>97.94408038956928</v>
      </c>
      <c r="U174" s="7">
        <f t="shared" si="52"/>
        <v>-2.4669610430720468E-2</v>
      </c>
      <c r="V174" s="4">
        <f t="shared" si="53"/>
        <v>4.4915901214369178</v>
      </c>
      <c r="W174" s="8">
        <f t="shared" si="54"/>
        <v>0.75028588044858679</v>
      </c>
      <c r="X174" s="9">
        <f t="shared" si="55"/>
        <v>-7.5017413388041019E-5</v>
      </c>
      <c r="Y174" s="10">
        <f t="shared" si="56"/>
        <v>5.6276123114322363E-9</v>
      </c>
    </row>
    <row r="175" spans="1:25" x14ac:dyDescent="0.2">
      <c r="A175" s="3">
        <f>Data!A174</f>
        <v>47618</v>
      </c>
      <c r="B175" s="4">
        <f>Data!B174</f>
        <v>0.625</v>
      </c>
      <c r="C175" s="4">
        <f>Data!C174</f>
        <v>86.304000000000002</v>
      </c>
      <c r="D175" s="4">
        <f>Data!D174</f>
        <v>87</v>
      </c>
      <c r="E175" s="4">
        <f>Data!F174</f>
        <v>4.492</v>
      </c>
      <c r="F175" s="7">
        <f t="shared" si="38"/>
        <v>87</v>
      </c>
      <c r="G175" s="3">
        <f t="shared" si="39"/>
        <v>46157</v>
      </c>
      <c r="H175" s="3">
        <f t="shared" si="40"/>
        <v>46341</v>
      </c>
      <c r="I175">
        <f t="shared" si="41"/>
        <v>116</v>
      </c>
      <c r="J175">
        <f t="shared" si="42"/>
        <v>184</v>
      </c>
      <c r="K175" s="7">
        <f t="shared" si="43"/>
        <v>0.19701086956521738</v>
      </c>
      <c r="L175" s="7">
        <f t="shared" si="44"/>
        <v>87.197010869565219</v>
      </c>
      <c r="M175" s="4">
        <f t="shared" si="45"/>
        <v>4.49221451756938</v>
      </c>
      <c r="N175" s="8">
        <f t="shared" si="46"/>
        <v>2.1451756937995725E-2</v>
      </c>
      <c r="O175" s="4">
        <f t="shared" si="47"/>
        <v>3.557246863387646</v>
      </c>
      <c r="P175">
        <f t="shared" si="48"/>
        <v>8</v>
      </c>
      <c r="Q175" s="4">
        <f t="shared" si="49"/>
        <v>3.6849315068493151</v>
      </c>
      <c r="R175">
        <f t="shared" si="50"/>
        <v>1</v>
      </c>
      <c r="S175" s="7">
        <f>SUM(CashFlows!BN175:DU175)</f>
        <v>87.174239504181017</v>
      </c>
      <c r="T175" s="7">
        <f t="shared" si="51"/>
        <v>86.977228634615798</v>
      </c>
      <c r="U175" s="7">
        <f t="shared" si="52"/>
        <v>-2.2771365384201658E-2</v>
      </c>
      <c r="V175" s="4">
        <f t="shared" si="53"/>
        <v>4.4995569251286067</v>
      </c>
      <c r="W175" s="8">
        <f t="shared" si="54"/>
        <v>0.73424075592267712</v>
      </c>
      <c r="X175" s="9">
        <f t="shared" si="55"/>
        <v>-7.3413084115023903E-5</v>
      </c>
      <c r="Y175" s="10">
        <f t="shared" si="56"/>
        <v>5.3894809192795747E-9</v>
      </c>
    </row>
    <row r="176" spans="1:25" x14ac:dyDescent="0.2">
      <c r="A176" s="3">
        <f>Data!A175</f>
        <v>47618</v>
      </c>
      <c r="B176" s="4">
        <f>Data!B175</f>
        <v>6.25</v>
      </c>
      <c r="C176" s="4">
        <f>Data!C175</f>
        <v>105.276</v>
      </c>
      <c r="D176" s="4">
        <f>Data!D175</f>
        <v>105.292</v>
      </c>
      <c r="E176" s="4">
        <f>Data!F175</f>
        <v>4.4880000000000004</v>
      </c>
      <c r="F176" s="7">
        <f t="shared" si="38"/>
        <v>105.9140625</v>
      </c>
      <c r="G176" s="3">
        <f t="shared" si="39"/>
        <v>46157</v>
      </c>
      <c r="H176" s="3">
        <f t="shared" si="40"/>
        <v>46341</v>
      </c>
      <c r="I176">
        <f t="shared" si="41"/>
        <v>116</v>
      </c>
      <c r="J176">
        <f t="shared" si="42"/>
        <v>184</v>
      </c>
      <c r="K176" s="7">
        <f t="shared" si="43"/>
        <v>1.9701086956521738</v>
      </c>
      <c r="L176" s="7">
        <f t="shared" si="44"/>
        <v>107.88417119565217</v>
      </c>
      <c r="M176" s="4">
        <f t="shared" si="45"/>
        <v>4.4883180305457406</v>
      </c>
      <c r="N176" s="8">
        <f t="shared" si="46"/>
        <v>3.1803054574019995E-2</v>
      </c>
      <c r="O176" s="4">
        <f t="shared" si="47"/>
        <v>3.227321804189224</v>
      </c>
      <c r="P176">
        <f t="shared" si="48"/>
        <v>8</v>
      </c>
      <c r="Q176" s="4">
        <f t="shared" si="49"/>
        <v>3.6849315068493151</v>
      </c>
      <c r="R176">
        <f t="shared" si="50"/>
        <v>1</v>
      </c>
      <c r="S176" s="7">
        <f>SUM(CashFlows!BN176:DU176)</f>
        <v>107.88013386099388</v>
      </c>
      <c r="T176" s="7">
        <f t="shared" si="51"/>
        <v>105.91002516534171</v>
      </c>
      <c r="U176" s="7">
        <f t="shared" si="52"/>
        <v>-4.0373346582924796E-3</v>
      </c>
      <c r="V176" s="4">
        <f t="shared" si="53"/>
        <v>4.4894776212449408</v>
      </c>
      <c r="W176" s="8">
        <f t="shared" si="54"/>
        <v>0.11595906992001304</v>
      </c>
      <c r="X176" s="9">
        <f t="shared" si="55"/>
        <v>-1.1595640656659188E-5</v>
      </c>
      <c r="Y176" s="10">
        <f t="shared" si="56"/>
        <v>1.3445888223836753E-10</v>
      </c>
    </row>
    <row r="177" spans="1:25" x14ac:dyDescent="0.2">
      <c r="A177" s="3">
        <f>Data!A176</f>
        <v>47634</v>
      </c>
      <c r="B177" s="4">
        <f>Data!B176</f>
        <v>3.75</v>
      </c>
      <c r="C177" s="4">
        <f>Data!C176</f>
        <v>97.126000000000005</v>
      </c>
      <c r="D177" s="4">
        <f>Data!D176</f>
        <v>97.141999999999996</v>
      </c>
      <c r="E177" s="4">
        <f>Data!F176</f>
        <v>4.5010000000000003</v>
      </c>
      <c r="F177" s="7">
        <f t="shared" si="38"/>
        <v>97.4453125</v>
      </c>
      <c r="G177" s="3">
        <f t="shared" si="39"/>
        <v>46173</v>
      </c>
      <c r="H177" s="3">
        <f t="shared" si="40"/>
        <v>46356</v>
      </c>
      <c r="I177">
        <f t="shared" si="41"/>
        <v>100</v>
      </c>
      <c r="J177">
        <f t="shared" si="42"/>
        <v>183</v>
      </c>
      <c r="K177" s="7">
        <f t="shared" si="43"/>
        <v>1.0245901639344261</v>
      </c>
      <c r="L177" s="7">
        <f t="shared" si="44"/>
        <v>98.46990266393442</v>
      </c>
      <c r="M177" s="4">
        <f t="shared" si="45"/>
        <v>4.5007351476300723</v>
      </c>
      <c r="N177" s="8">
        <f t="shared" si="46"/>
        <v>-2.6485236992801475E-2</v>
      </c>
      <c r="O177" s="4">
        <f t="shared" si="47"/>
        <v>3.3977152347774484</v>
      </c>
      <c r="P177">
        <f t="shared" si="48"/>
        <v>8</v>
      </c>
      <c r="Q177" s="4">
        <f t="shared" si="49"/>
        <v>3.7287671232876711</v>
      </c>
      <c r="R177">
        <f t="shared" si="50"/>
        <v>1</v>
      </c>
      <c r="S177" s="7">
        <f>SUM(CashFlows!BN177:DU177)</f>
        <v>98.481277361870553</v>
      </c>
      <c r="T177" s="7">
        <f t="shared" si="51"/>
        <v>97.456687197936134</v>
      </c>
      <c r="U177" s="7">
        <f t="shared" si="52"/>
        <v>1.1374697936133771E-2</v>
      </c>
      <c r="V177" s="4">
        <f t="shared" si="53"/>
        <v>4.4973356127515682</v>
      </c>
      <c r="W177" s="8">
        <f t="shared" si="54"/>
        <v>-0.33995348785040846</v>
      </c>
      <c r="X177" s="9">
        <f t="shared" si="55"/>
        <v>3.3997688182164243E-5</v>
      </c>
      <c r="Y177" s="10">
        <f t="shared" si="56"/>
        <v>1.1558428017316702E-9</v>
      </c>
    </row>
    <row r="178" spans="1:25" x14ac:dyDescent="0.2">
      <c r="A178" s="3">
        <f>Data!A177</f>
        <v>47634</v>
      </c>
      <c r="B178" s="4">
        <f>Data!B177</f>
        <v>4</v>
      </c>
      <c r="C178" s="4">
        <f>Data!C177</f>
        <v>98.081999999999994</v>
      </c>
      <c r="D178" s="4">
        <f>Data!D177</f>
        <v>98.096000000000004</v>
      </c>
      <c r="E178" s="4">
        <f>Data!F177</f>
        <v>4.4980000000000002</v>
      </c>
      <c r="F178" s="7">
        <f t="shared" si="38"/>
        <v>98.3046875</v>
      </c>
      <c r="G178" s="3">
        <f t="shared" si="39"/>
        <v>46173</v>
      </c>
      <c r="H178" s="3">
        <f t="shared" si="40"/>
        <v>46356</v>
      </c>
      <c r="I178">
        <f t="shared" si="41"/>
        <v>100</v>
      </c>
      <c r="J178">
        <f t="shared" si="42"/>
        <v>183</v>
      </c>
      <c r="K178" s="7">
        <f t="shared" si="43"/>
        <v>1.0928961748633881</v>
      </c>
      <c r="L178" s="7">
        <f t="shared" si="44"/>
        <v>99.397583674863384</v>
      </c>
      <c r="M178" s="4">
        <f t="shared" si="45"/>
        <v>4.4975495174941678</v>
      </c>
      <c r="N178" s="8">
        <f t="shared" si="46"/>
        <v>-4.504825058324613E-2</v>
      </c>
      <c r="O178" s="4">
        <f t="shared" si="47"/>
        <v>3.3837482259473939</v>
      </c>
      <c r="P178">
        <f t="shared" si="48"/>
        <v>8</v>
      </c>
      <c r="Q178" s="4">
        <f t="shared" si="49"/>
        <v>3.7287671232876711</v>
      </c>
      <c r="R178">
        <f t="shared" si="50"/>
        <v>1</v>
      </c>
      <c r="S178" s="7">
        <f>SUM(CashFlows!BN178:DU178)</f>
        <v>99.399803571623735</v>
      </c>
      <c r="T178" s="7">
        <f t="shared" si="51"/>
        <v>98.306907396760352</v>
      </c>
      <c r="U178" s="7">
        <f t="shared" si="52"/>
        <v>2.219896760351503E-3</v>
      </c>
      <c r="V178" s="4">
        <f t="shared" si="53"/>
        <v>4.4968895035099505</v>
      </c>
      <c r="W178" s="8">
        <f t="shared" si="54"/>
        <v>-6.6001398421722257E-2</v>
      </c>
      <c r="X178" s="9">
        <f t="shared" si="55"/>
        <v>6.6002275619245012E-6</v>
      </c>
      <c r="Y178" s="10">
        <f t="shared" si="56"/>
        <v>4.3563003869187847E-11</v>
      </c>
    </row>
    <row r="179" spans="1:25" x14ac:dyDescent="0.2">
      <c r="A179" s="3">
        <f>Data!A178</f>
        <v>47664</v>
      </c>
      <c r="B179" s="4">
        <f>Data!B178</f>
        <v>3.75</v>
      </c>
      <c r="C179" s="4">
        <f>Data!C178</f>
        <v>97.105999999999995</v>
      </c>
      <c r="D179" s="4">
        <f>Data!D178</f>
        <v>97.122</v>
      </c>
      <c r="E179" s="4">
        <f>Data!F178</f>
        <v>4.5039999999999996</v>
      </c>
      <c r="F179" s="7">
        <f t="shared" si="38"/>
        <v>97.3828125</v>
      </c>
      <c r="G179" s="3">
        <f t="shared" si="39"/>
        <v>46203</v>
      </c>
      <c r="H179" s="3">
        <f t="shared" si="40"/>
        <v>46387</v>
      </c>
      <c r="I179">
        <f t="shared" si="41"/>
        <v>70</v>
      </c>
      <c r="J179">
        <f t="shared" si="42"/>
        <v>184</v>
      </c>
      <c r="K179" s="7">
        <f t="shared" si="43"/>
        <v>0.71331521739130432</v>
      </c>
      <c r="L179" s="7">
        <f t="shared" si="44"/>
        <v>98.096127717391298</v>
      </c>
      <c r="M179" s="4">
        <f t="shared" si="45"/>
        <v>4.5038556492592505</v>
      </c>
      <c r="N179" s="8">
        <f t="shared" si="46"/>
        <v>-1.4435074074903298E-2</v>
      </c>
      <c r="O179" s="4">
        <f t="shared" si="47"/>
        <v>3.4788247662970742</v>
      </c>
      <c r="P179">
        <f t="shared" si="48"/>
        <v>8</v>
      </c>
      <c r="Q179" s="4">
        <f t="shared" si="49"/>
        <v>3.8109589041095893</v>
      </c>
      <c r="R179">
        <f t="shared" si="50"/>
        <v>1</v>
      </c>
      <c r="S179" s="7">
        <f>SUM(CashFlows!BN179:DU179)</f>
        <v>98.111677799446895</v>
      </c>
      <c r="T179" s="7">
        <f t="shared" si="51"/>
        <v>97.398362582055597</v>
      </c>
      <c r="U179" s="7">
        <f t="shared" si="52"/>
        <v>1.5550082055597159E-2</v>
      </c>
      <c r="V179" s="4">
        <f t="shared" si="53"/>
        <v>4.499299400305909</v>
      </c>
      <c r="W179" s="8">
        <f t="shared" si="54"/>
        <v>-0.45562489533415018</v>
      </c>
      <c r="X179" s="9">
        <f t="shared" si="55"/>
        <v>4.556677240520073E-5</v>
      </c>
      <c r="Y179" s="10">
        <f t="shared" si="56"/>
        <v>2.0763307474273627E-9</v>
      </c>
    </row>
    <row r="180" spans="1:25" x14ac:dyDescent="0.2">
      <c r="A180" s="3">
        <f>Data!A179</f>
        <v>47664</v>
      </c>
      <c r="B180" s="4">
        <f>Data!B179</f>
        <v>3.875</v>
      </c>
      <c r="C180" s="4">
        <f>Data!C179</f>
        <v>97.254000000000005</v>
      </c>
      <c r="D180" s="4">
        <f>Data!D179</f>
        <v>97.27</v>
      </c>
      <c r="E180" s="4">
        <f>Data!F179</f>
        <v>4.4960000000000004</v>
      </c>
      <c r="F180" s="7">
        <f t="shared" si="38"/>
        <v>97.84375</v>
      </c>
      <c r="G180" s="3">
        <f t="shared" si="39"/>
        <v>46203</v>
      </c>
      <c r="H180" s="3">
        <f t="shared" si="40"/>
        <v>46387</v>
      </c>
      <c r="I180">
        <f t="shared" si="41"/>
        <v>70</v>
      </c>
      <c r="J180">
        <f t="shared" si="42"/>
        <v>184</v>
      </c>
      <c r="K180" s="7">
        <f t="shared" si="43"/>
        <v>0.73709239130434778</v>
      </c>
      <c r="L180" s="7">
        <f t="shared" si="44"/>
        <v>98.580842391304344</v>
      </c>
      <c r="M180" s="4">
        <f t="shared" si="45"/>
        <v>4.4956882664910163</v>
      </c>
      <c r="N180" s="8">
        <f t="shared" si="46"/>
        <v>-3.1173350898416885E-2</v>
      </c>
      <c r="O180" s="4">
        <f t="shared" si="47"/>
        <v>3.4719576302585828</v>
      </c>
      <c r="P180">
        <f t="shared" si="48"/>
        <v>8</v>
      </c>
      <c r="Q180" s="4">
        <f t="shared" si="49"/>
        <v>3.8109589041095893</v>
      </c>
      <c r="R180">
        <f t="shared" si="50"/>
        <v>1</v>
      </c>
      <c r="S180" s="7">
        <f>SUM(CashFlows!BN180:DU180)</f>
        <v>98.569232021457239</v>
      </c>
      <c r="T180" s="7">
        <f t="shared" si="51"/>
        <v>97.832139630152895</v>
      </c>
      <c r="U180" s="7">
        <f t="shared" si="52"/>
        <v>-1.1610369847105062E-2</v>
      </c>
      <c r="V180" s="4">
        <f t="shared" si="53"/>
        <v>4.499080685610326</v>
      </c>
      <c r="W180" s="8">
        <f t="shared" si="54"/>
        <v>0.33924191193097641</v>
      </c>
      <c r="X180" s="9">
        <f t="shared" si="55"/>
        <v>-3.3921817455711502E-5</v>
      </c>
      <c r="Y180" s="10">
        <f t="shared" si="56"/>
        <v>1.1506896994986136E-9</v>
      </c>
    </row>
    <row r="181" spans="1:25" x14ac:dyDescent="0.2">
      <c r="A181" s="3">
        <f>Data!A180</f>
        <v>47695</v>
      </c>
      <c r="B181" s="4">
        <f>Data!B180</f>
        <v>3.875</v>
      </c>
      <c r="C181" s="4">
        <f>Data!C180</f>
        <v>97.231999999999999</v>
      </c>
      <c r="D181" s="4">
        <f>Data!D180</f>
        <v>97.245999999999995</v>
      </c>
      <c r="E181" s="4">
        <f>Data!F180</f>
        <v>4.5039999999999996</v>
      </c>
      <c r="F181" s="7">
        <f t="shared" si="38"/>
        <v>97.7734375</v>
      </c>
      <c r="G181" s="3">
        <f t="shared" si="39"/>
        <v>46234</v>
      </c>
      <c r="H181" s="3">
        <f t="shared" si="40"/>
        <v>46418</v>
      </c>
      <c r="I181">
        <f t="shared" si="41"/>
        <v>39</v>
      </c>
      <c r="J181">
        <f t="shared" si="42"/>
        <v>184</v>
      </c>
      <c r="K181" s="7">
        <f t="shared" si="43"/>
        <v>0.41066576086956524</v>
      </c>
      <c r="L181" s="7">
        <f t="shared" si="44"/>
        <v>98.184103260869563</v>
      </c>
      <c r="M181" s="4">
        <f t="shared" si="45"/>
        <v>4.5037753107619327</v>
      </c>
      <c r="N181" s="8">
        <f t="shared" si="46"/>
        <v>-2.2468923806684415E-2</v>
      </c>
      <c r="O181" s="4">
        <f t="shared" si="47"/>
        <v>3.5541585881355222</v>
      </c>
      <c r="P181">
        <f t="shared" si="48"/>
        <v>8</v>
      </c>
      <c r="Q181" s="4">
        <f t="shared" si="49"/>
        <v>3.8958904109589043</v>
      </c>
      <c r="R181">
        <f t="shared" si="50"/>
        <v>1</v>
      </c>
      <c r="S181" s="7">
        <f>SUM(CashFlows!BN181:DU181)</f>
        <v>98.187465822865761</v>
      </c>
      <c r="T181" s="7">
        <f t="shared" si="51"/>
        <v>97.776800061996198</v>
      </c>
      <c r="U181" s="7">
        <f t="shared" si="52"/>
        <v>3.3625619961981101E-3</v>
      </c>
      <c r="V181" s="4">
        <f t="shared" si="53"/>
        <v>4.5028117402184273</v>
      </c>
      <c r="W181" s="8">
        <f t="shared" si="54"/>
        <v>-9.6357054350537652E-2</v>
      </c>
      <c r="X181" s="9">
        <f t="shared" si="55"/>
        <v>9.6359007915679089E-6</v>
      </c>
      <c r="Y181" s="10">
        <f t="shared" si="56"/>
        <v>9.2850584064939051E-11</v>
      </c>
    </row>
    <row r="182" spans="1:25" x14ac:dyDescent="0.2">
      <c r="A182" s="3">
        <f>Data!A181</f>
        <v>47695</v>
      </c>
      <c r="B182" s="4">
        <f>Data!B181</f>
        <v>4</v>
      </c>
      <c r="C182" s="4">
        <f>Data!C181</f>
        <v>98.054000000000002</v>
      </c>
      <c r="D182" s="4">
        <f>Data!D181</f>
        <v>98.07</v>
      </c>
      <c r="E182" s="4">
        <f>Data!F181</f>
        <v>4.5030000000000001</v>
      </c>
      <c r="F182" s="7">
        <f t="shared" si="38"/>
        <v>98.21875</v>
      </c>
      <c r="G182" s="3">
        <f t="shared" si="39"/>
        <v>46234</v>
      </c>
      <c r="H182" s="3">
        <f t="shared" si="40"/>
        <v>46418</v>
      </c>
      <c r="I182">
        <f t="shared" si="41"/>
        <v>39</v>
      </c>
      <c r="J182">
        <f t="shared" si="42"/>
        <v>184</v>
      </c>
      <c r="K182" s="7">
        <f t="shared" si="43"/>
        <v>0.42391304347826086</v>
      </c>
      <c r="L182" s="7">
        <f t="shared" si="44"/>
        <v>98.642663043478265</v>
      </c>
      <c r="M182" s="4">
        <f t="shared" si="45"/>
        <v>4.502773715472153</v>
      </c>
      <c r="N182" s="8">
        <f t="shared" si="46"/>
        <v>-2.2628452784712039E-2</v>
      </c>
      <c r="O182" s="4">
        <f t="shared" si="47"/>
        <v>3.5471948981111137</v>
      </c>
      <c r="P182">
        <f t="shared" si="48"/>
        <v>8</v>
      </c>
      <c r="Q182" s="4">
        <f t="shared" si="49"/>
        <v>3.8958904109589043</v>
      </c>
      <c r="R182">
        <f t="shared" si="50"/>
        <v>1</v>
      </c>
      <c r="S182" s="7">
        <f>SUM(CashFlows!BN182:DU182)</f>
        <v>98.64328212973335</v>
      </c>
      <c r="T182" s="7">
        <f t="shared" si="51"/>
        <v>98.219369086255085</v>
      </c>
      <c r="U182" s="7">
        <f t="shared" si="52"/>
        <v>6.1908625508522164E-4</v>
      </c>
      <c r="V182" s="4">
        <f t="shared" si="53"/>
        <v>4.5025967861923188</v>
      </c>
      <c r="W182" s="8">
        <f t="shared" si="54"/>
        <v>-1.7692927983414819E-2</v>
      </c>
      <c r="X182" s="9">
        <f t="shared" si="55"/>
        <v>1.7692993683779459E-6</v>
      </c>
      <c r="Y182" s="10">
        <f t="shared" si="56"/>
        <v>3.1304202549425981E-12</v>
      </c>
    </row>
    <row r="183" spans="1:25" x14ac:dyDescent="0.2">
      <c r="A183" s="3">
        <f>Data!A182</f>
        <v>47710</v>
      </c>
      <c r="B183" s="4">
        <f>Data!B182</f>
        <v>0.625</v>
      </c>
      <c r="C183" s="4">
        <f>Data!C182</f>
        <v>86.034000000000006</v>
      </c>
      <c r="D183" s="4">
        <f>Data!D182</f>
        <v>86.05</v>
      </c>
      <c r="E183" s="4">
        <f>Data!F182</f>
        <v>4.5030000000000001</v>
      </c>
      <c r="F183" s="7">
        <f t="shared" si="38"/>
        <v>86.15625</v>
      </c>
      <c r="G183" s="3">
        <f t="shared" si="39"/>
        <v>46249</v>
      </c>
      <c r="H183" s="3">
        <f t="shared" si="40"/>
        <v>46433</v>
      </c>
      <c r="I183">
        <f t="shared" si="41"/>
        <v>24</v>
      </c>
      <c r="J183">
        <f t="shared" si="42"/>
        <v>184</v>
      </c>
      <c r="K183" s="7">
        <f t="shared" si="43"/>
        <v>4.0760869565217392E-2</v>
      </c>
      <c r="L183" s="7">
        <f t="shared" si="44"/>
        <v>86.197010869565219</v>
      </c>
      <c r="M183" s="4">
        <f t="shared" si="45"/>
        <v>4.5034802291496865</v>
      </c>
      <c r="N183" s="8">
        <f t="shared" si="46"/>
        <v>4.8022914968637309E-2</v>
      </c>
      <c r="O183" s="4">
        <f t="shared" si="47"/>
        <v>3.8015327591489929</v>
      </c>
      <c r="P183">
        <f t="shared" si="48"/>
        <v>8</v>
      </c>
      <c r="Q183" s="4">
        <f t="shared" si="49"/>
        <v>3.9369863013698629</v>
      </c>
      <c r="R183">
        <f t="shared" si="50"/>
        <v>1</v>
      </c>
      <c r="S183" s="7">
        <f>SUM(CashFlows!BN183:DU183)</f>
        <v>86.173752710479874</v>
      </c>
      <c r="T183" s="7">
        <f t="shared" si="51"/>
        <v>86.132991840914656</v>
      </c>
      <c r="U183" s="7">
        <f t="shared" si="52"/>
        <v>-2.3258159085344232E-2</v>
      </c>
      <c r="V183" s="4">
        <f t="shared" si="53"/>
        <v>4.5105791280187635</v>
      </c>
      <c r="W183" s="8">
        <f t="shared" si="54"/>
        <v>0.70988988690769972</v>
      </c>
      <c r="X183" s="9">
        <f t="shared" si="55"/>
        <v>-7.0978103949401763E-5</v>
      </c>
      <c r="Y183" s="10">
        <f t="shared" si="56"/>
        <v>5.0378912402520821E-9</v>
      </c>
    </row>
    <row r="184" spans="1:25" x14ac:dyDescent="0.2">
      <c r="A184" s="3">
        <f>Data!A183</f>
        <v>47726</v>
      </c>
      <c r="B184" s="4">
        <f>Data!B183</f>
        <v>3.625</v>
      </c>
      <c r="C184" s="4">
        <f>Data!C183</f>
        <v>96.242000000000004</v>
      </c>
      <c r="D184" s="4">
        <f>Data!D183</f>
        <v>96.256</v>
      </c>
      <c r="E184" s="4">
        <f>Data!F183</f>
        <v>4.5110000000000001</v>
      </c>
      <c r="F184" s="7">
        <f t="shared" si="38"/>
        <v>96.8046875</v>
      </c>
      <c r="G184" s="3">
        <f t="shared" si="39"/>
        <v>46265</v>
      </c>
      <c r="H184" s="3">
        <f t="shared" si="40"/>
        <v>46446</v>
      </c>
      <c r="I184">
        <f t="shared" si="41"/>
        <v>8</v>
      </c>
      <c r="J184">
        <f t="shared" si="42"/>
        <v>181</v>
      </c>
      <c r="K184" s="7">
        <f t="shared" si="43"/>
        <v>8.0110497237569064E-2</v>
      </c>
      <c r="L184" s="7">
        <f t="shared" si="44"/>
        <v>96.88479799723757</v>
      </c>
      <c r="M184" s="4">
        <f t="shared" si="45"/>
        <v>4.5112606527206385</v>
      </c>
      <c r="N184" s="8">
        <f t="shared" si="46"/>
        <v>2.6065272063835465E-2</v>
      </c>
      <c r="O184" s="4">
        <f t="shared" si="47"/>
        <v>3.6501861797394302</v>
      </c>
      <c r="P184">
        <f t="shared" si="48"/>
        <v>8</v>
      </c>
      <c r="Q184" s="4">
        <f t="shared" si="49"/>
        <v>3.9808219178082194</v>
      </c>
      <c r="R184">
        <f t="shared" si="50"/>
        <v>1</v>
      </c>
      <c r="S184" s="7">
        <f>SUM(CashFlows!BN184:DU184)</f>
        <v>96.900805026879084</v>
      </c>
      <c r="T184" s="7">
        <f t="shared" si="51"/>
        <v>96.820694529641514</v>
      </c>
      <c r="U184" s="7">
        <f t="shared" si="52"/>
        <v>1.6007029641514237E-2</v>
      </c>
      <c r="V184" s="4">
        <f t="shared" si="53"/>
        <v>4.5067348255047683</v>
      </c>
      <c r="W184" s="8">
        <f t="shared" si="54"/>
        <v>-0.45258272158701374</v>
      </c>
      <c r="X184" s="9">
        <f t="shared" si="55"/>
        <v>4.5262662249180707E-5</v>
      </c>
      <c r="Y184" s="10">
        <f t="shared" si="56"/>
        <v>2.0487085938834084E-9</v>
      </c>
    </row>
    <row r="185" spans="1:25" x14ac:dyDescent="0.2">
      <c r="A185" s="3">
        <f>Data!A184</f>
        <v>47726</v>
      </c>
      <c r="B185" s="4">
        <f>Data!B184</f>
        <v>4.125</v>
      </c>
      <c r="C185" s="4">
        <f>Data!C184</f>
        <v>98.183999999999997</v>
      </c>
      <c r="D185" s="4">
        <f>Data!D184</f>
        <v>98.2</v>
      </c>
      <c r="E185" s="4">
        <f>Data!F184</f>
        <v>4.5060000000000002</v>
      </c>
      <c r="F185" s="7">
        <f t="shared" si="38"/>
        <v>98.625</v>
      </c>
      <c r="G185" s="3">
        <f t="shared" si="39"/>
        <v>46265</v>
      </c>
      <c r="H185" s="3">
        <f t="shared" si="40"/>
        <v>46446</v>
      </c>
      <c r="I185">
        <f t="shared" si="41"/>
        <v>8</v>
      </c>
      <c r="J185">
        <f t="shared" si="42"/>
        <v>181</v>
      </c>
      <c r="K185" s="7">
        <f t="shared" si="43"/>
        <v>9.1160220994475141E-2</v>
      </c>
      <c r="L185" s="7">
        <f t="shared" si="44"/>
        <v>98.716160220994482</v>
      </c>
      <c r="M185" s="4">
        <f t="shared" si="45"/>
        <v>4.5061655590184504</v>
      </c>
      <c r="N185" s="8">
        <f t="shared" si="46"/>
        <v>1.6555901845016763E-2</v>
      </c>
      <c r="O185" s="4">
        <f t="shared" si="47"/>
        <v>3.6222241057184239</v>
      </c>
      <c r="P185">
        <f t="shared" si="48"/>
        <v>8</v>
      </c>
      <c r="Q185" s="4">
        <f t="shared" si="49"/>
        <v>3.9808219178082194</v>
      </c>
      <c r="R185">
        <f t="shared" si="50"/>
        <v>1</v>
      </c>
      <c r="S185" s="7">
        <f>SUM(CashFlows!BN185:DU185)</f>
        <v>98.717426348368519</v>
      </c>
      <c r="T185" s="7">
        <f t="shared" si="51"/>
        <v>98.626266127374038</v>
      </c>
      <c r="U185" s="7">
        <f t="shared" si="52"/>
        <v>1.266127374037751E-3</v>
      </c>
      <c r="V185" s="4">
        <f t="shared" si="53"/>
        <v>4.5058114715900439</v>
      </c>
      <c r="W185" s="8">
        <f t="shared" si="54"/>
        <v>-3.5408742840647989E-2</v>
      </c>
      <c r="X185" s="9">
        <f t="shared" si="55"/>
        <v>3.540901353191498E-6</v>
      </c>
      <c r="Y185" s="10">
        <f t="shared" si="56"/>
        <v>1.2537982393033383E-11</v>
      </c>
    </row>
    <row r="186" spans="1:25" x14ac:dyDescent="0.2">
      <c r="A186" s="3">
        <f>Data!A185</f>
        <v>47756</v>
      </c>
      <c r="B186" s="4">
        <f>Data!B185</f>
        <v>3.625</v>
      </c>
      <c r="C186" s="4">
        <f>Data!C185</f>
        <v>96.224000000000004</v>
      </c>
      <c r="D186" s="4">
        <f>Data!D185</f>
        <v>96.24</v>
      </c>
      <c r="E186" s="4">
        <f>Data!F185</f>
        <v>4.5090000000000003</v>
      </c>
      <c r="F186" s="7">
        <f t="shared" si="38"/>
        <v>96.75</v>
      </c>
      <c r="G186" s="3">
        <f t="shared" si="39"/>
        <v>46112</v>
      </c>
      <c r="H186" s="3">
        <f t="shared" si="40"/>
        <v>46295</v>
      </c>
      <c r="I186">
        <f t="shared" si="41"/>
        <v>161</v>
      </c>
      <c r="J186">
        <f t="shared" si="42"/>
        <v>183</v>
      </c>
      <c r="K186" s="7">
        <f t="shared" si="43"/>
        <v>1.5946038251366119</v>
      </c>
      <c r="L186" s="7">
        <f t="shared" si="44"/>
        <v>98.344603825136616</v>
      </c>
      <c r="M186" s="4">
        <f t="shared" si="45"/>
        <v>4.5093651454535886</v>
      </c>
      <c r="N186" s="8">
        <f t="shared" si="46"/>
        <v>3.6514545358823369E-2</v>
      </c>
      <c r="O186" s="4">
        <f t="shared" si="47"/>
        <v>3.6631350093452948</v>
      </c>
      <c r="P186">
        <f t="shared" si="48"/>
        <v>9</v>
      </c>
      <c r="Q186" s="4">
        <f t="shared" si="49"/>
        <v>4.0630136986301366</v>
      </c>
      <c r="R186">
        <f t="shared" si="50"/>
        <v>1</v>
      </c>
      <c r="S186" s="7">
        <f>SUM(CashFlows!BN186:DU186)</f>
        <v>98.344364729774625</v>
      </c>
      <c r="T186" s="7">
        <f t="shared" si="51"/>
        <v>96.749760904638009</v>
      </c>
      <c r="U186" s="7">
        <f t="shared" si="52"/>
        <v>-2.3909536199084869E-4</v>
      </c>
      <c r="V186" s="4">
        <f t="shared" si="53"/>
        <v>4.5094315149190525</v>
      </c>
      <c r="W186" s="8">
        <f t="shared" si="54"/>
        <v>6.6369465463900212E-3</v>
      </c>
      <c r="X186" s="9">
        <f t="shared" si="55"/>
        <v>-6.6369369378236091E-7</v>
      </c>
      <c r="Y186" s="10">
        <f t="shared" si="56"/>
        <v>4.4048931916647427E-13</v>
      </c>
    </row>
    <row r="187" spans="1:25" x14ac:dyDescent="0.2">
      <c r="A187" s="3">
        <f>Data!A186</f>
        <v>47756</v>
      </c>
      <c r="B187" s="4">
        <f>Data!B186</f>
        <v>4.625</v>
      </c>
      <c r="C187" s="4">
        <f>Data!C186</f>
        <v>100.12</v>
      </c>
      <c r="D187" s="4">
        <f>Data!D186</f>
        <v>100.134</v>
      </c>
      <c r="E187" s="4">
        <f>Data!F186</f>
        <v>4.5090000000000003</v>
      </c>
      <c r="F187" s="7">
        <f t="shared" si="38"/>
        <v>100.421875</v>
      </c>
      <c r="G187" s="3">
        <f t="shared" si="39"/>
        <v>46112</v>
      </c>
      <c r="H187" s="3">
        <f t="shared" si="40"/>
        <v>46295</v>
      </c>
      <c r="I187">
        <f t="shared" si="41"/>
        <v>161</v>
      </c>
      <c r="J187">
        <f t="shared" si="42"/>
        <v>183</v>
      </c>
      <c r="K187" s="7">
        <f t="shared" si="43"/>
        <v>2.0344945355191255</v>
      </c>
      <c r="L187" s="7">
        <f t="shared" si="44"/>
        <v>102.45636953551913</v>
      </c>
      <c r="M187" s="4">
        <f t="shared" si="45"/>
        <v>4.5093822617231467</v>
      </c>
      <c r="N187" s="8">
        <f t="shared" si="46"/>
        <v>3.8226172314637097E-2</v>
      </c>
      <c r="O187" s="4">
        <f t="shared" si="47"/>
        <v>3.5940632274489221</v>
      </c>
      <c r="P187">
        <f t="shared" si="48"/>
        <v>9</v>
      </c>
      <c r="Q187" s="4">
        <f t="shared" si="49"/>
        <v>4.0630136986301366</v>
      </c>
      <c r="R187">
        <f t="shared" si="50"/>
        <v>1</v>
      </c>
      <c r="S187" s="7">
        <f>SUM(CashFlows!BN187:DU187)</f>
        <v>102.46282987220998</v>
      </c>
      <c r="T187" s="7">
        <f t="shared" si="51"/>
        <v>100.42833533669085</v>
      </c>
      <c r="U187" s="7">
        <f t="shared" si="52"/>
        <v>6.4603366908499993E-3</v>
      </c>
      <c r="V187" s="4">
        <f t="shared" si="53"/>
        <v>4.5076279209792087</v>
      </c>
      <c r="W187" s="8">
        <f t="shared" si="54"/>
        <v>-0.17543407439379877</v>
      </c>
      <c r="X187" s="9">
        <f t="shared" si="55"/>
        <v>1.754407505394855E-5</v>
      </c>
      <c r="Y187" s="10">
        <f t="shared" si="56"/>
        <v>3.0779456949857983E-10</v>
      </c>
    </row>
    <row r="188" spans="1:25" x14ac:dyDescent="0.2">
      <c r="A188" s="3">
        <f>Data!A187</f>
        <v>47787</v>
      </c>
      <c r="B188" s="4">
        <f>Data!B187</f>
        <v>3.625</v>
      </c>
      <c r="C188" s="4">
        <f>Data!C187</f>
        <v>96.194000000000003</v>
      </c>
      <c r="D188" s="4">
        <f>Data!D187</f>
        <v>96.21</v>
      </c>
      <c r="E188" s="4">
        <f>Data!F187</f>
        <v>4.5179999999999998</v>
      </c>
      <c r="F188" s="7">
        <f t="shared" si="38"/>
        <v>96.65625</v>
      </c>
      <c r="G188" s="3">
        <f t="shared" si="39"/>
        <v>46142</v>
      </c>
      <c r="H188" s="3">
        <f t="shared" si="40"/>
        <v>46326</v>
      </c>
      <c r="I188">
        <f t="shared" si="41"/>
        <v>131</v>
      </c>
      <c r="J188">
        <f t="shared" si="42"/>
        <v>184</v>
      </c>
      <c r="K188" s="7">
        <f t="shared" si="43"/>
        <v>1.2904211956521738</v>
      </c>
      <c r="L188" s="7">
        <f t="shared" si="44"/>
        <v>97.946671195652172</v>
      </c>
      <c r="M188" s="4">
        <f t="shared" si="45"/>
        <v>4.5177127602616434</v>
      </c>
      <c r="N188" s="8">
        <f t="shared" si="46"/>
        <v>-2.8723973835642624E-2</v>
      </c>
      <c r="O188" s="4">
        <f t="shared" si="47"/>
        <v>3.7449800523402241</v>
      </c>
      <c r="P188">
        <f t="shared" si="48"/>
        <v>9</v>
      </c>
      <c r="Q188" s="4">
        <f t="shared" si="49"/>
        <v>4.1479452054794521</v>
      </c>
      <c r="R188">
        <f t="shared" si="50"/>
        <v>1</v>
      </c>
      <c r="S188" s="7">
        <f>SUM(CashFlows!BN188:DU188)</f>
        <v>97.964122549599637</v>
      </c>
      <c r="T188" s="7">
        <f t="shared" si="51"/>
        <v>96.673701353947465</v>
      </c>
      <c r="U188" s="7">
        <f t="shared" si="52"/>
        <v>1.7451353947464554E-2</v>
      </c>
      <c r="V188" s="4">
        <f t="shared" si="53"/>
        <v>4.5129556406093307</v>
      </c>
      <c r="W188" s="8">
        <f t="shared" si="54"/>
        <v>-0.47571196523126247</v>
      </c>
      <c r="X188" s="9">
        <f t="shared" si="55"/>
        <v>4.7576220409138769E-5</v>
      </c>
      <c r="Y188" s="10">
        <f t="shared" si="56"/>
        <v>2.2634967484189523E-9</v>
      </c>
    </row>
    <row r="189" spans="1:25" x14ac:dyDescent="0.2">
      <c r="A189" s="3">
        <f>Data!A188</f>
        <v>47787</v>
      </c>
      <c r="B189" s="4">
        <f>Data!B188</f>
        <v>4.875</v>
      </c>
      <c r="C189" s="4">
        <f>Data!C188</f>
        <v>101.096</v>
      </c>
      <c r="D189" s="4">
        <f>Data!D188</f>
        <v>101.11199999999999</v>
      </c>
      <c r="E189" s="4">
        <f>Data!F188</f>
        <v>4.5119999999999996</v>
      </c>
      <c r="F189" s="7">
        <f t="shared" si="38"/>
        <v>101.3515625</v>
      </c>
      <c r="G189" s="3">
        <f t="shared" si="39"/>
        <v>46142</v>
      </c>
      <c r="H189" s="3">
        <f t="shared" si="40"/>
        <v>46326</v>
      </c>
      <c r="I189">
        <f t="shared" si="41"/>
        <v>131</v>
      </c>
      <c r="J189">
        <f t="shared" si="42"/>
        <v>184</v>
      </c>
      <c r="K189" s="7">
        <f t="shared" si="43"/>
        <v>1.7353940217391304</v>
      </c>
      <c r="L189" s="7">
        <f t="shared" si="44"/>
        <v>103.08695652173913</v>
      </c>
      <c r="M189" s="4">
        <f t="shared" si="45"/>
        <v>4.5122620108024067</v>
      </c>
      <c r="N189" s="8">
        <f t="shared" si="46"/>
        <v>2.6201080240717545E-2</v>
      </c>
      <c r="O189" s="4">
        <f t="shared" si="47"/>
        <v>3.6596363242973151</v>
      </c>
      <c r="P189">
        <f t="shared" si="48"/>
        <v>9</v>
      </c>
      <c r="Q189" s="4">
        <f t="shared" si="49"/>
        <v>4.1479452054794521</v>
      </c>
      <c r="R189">
        <f t="shared" si="50"/>
        <v>1</v>
      </c>
      <c r="S189" s="7">
        <f>SUM(CashFlows!BN189:DU189)</f>
        <v>103.09313664273212</v>
      </c>
      <c r="T189" s="7">
        <f t="shared" si="51"/>
        <v>101.35774262099299</v>
      </c>
      <c r="U189" s="7">
        <f t="shared" si="52"/>
        <v>6.1801209929939205E-3</v>
      </c>
      <c r="V189" s="4">
        <f t="shared" si="53"/>
        <v>4.5106239136745687</v>
      </c>
      <c r="W189" s="8">
        <f t="shared" si="54"/>
        <v>-0.1638097127838023</v>
      </c>
      <c r="X189" s="9">
        <f t="shared" si="55"/>
        <v>1.6381562764596894E-5</v>
      </c>
      <c r="Y189" s="10">
        <f t="shared" si="56"/>
        <v>2.6835559861042744E-10</v>
      </c>
    </row>
    <row r="190" spans="1:25" x14ac:dyDescent="0.2">
      <c r="A190" s="3">
        <f>Data!A189</f>
        <v>47802</v>
      </c>
      <c r="B190" s="4">
        <f>Data!B189</f>
        <v>0.875</v>
      </c>
      <c r="C190" s="4">
        <f>Data!C189</f>
        <v>86.063999999999993</v>
      </c>
      <c r="D190" s="4">
        <f>Data!D189</f>
        <v>86.08</v>
      </c>
      <c r="E190" s="4">
        <f>Data!F189</f>
        <v>4.5179999999999998</v>
      </c>
      <c r="F190" s="7">
        <f t="shared" si="38"/>
        <v>86.25</v>
      </c>
      <c r="G190" s="3">
        <f t="shared" si="39"/>
        <v>46157</v>
      </c>
      <c r="H190" s="3">
        <f t="shared" si="40"/>
        <v>46341</v>
      </c>
      <c r="I190">
        <f t="shared" si="41"/>
        <v>116</v>
      </c>
      <c r="J190">
        <f t="shared" si="42"/>
        <v>184</v>
      </c>
      <c r="K190" s="7">
        <f t="shared" si="43"/>
        <v>0.27581521739130432</v>
      </c>
      <c r="L190" s="7">
        <f t="shared" si="44"/>
        <v>86.525815217391298</v>
      </c>
      <c r="M190" s="4">
        <f t="shared" si="45"/>
        <v>4.5176431822995102</v>
      </c>
      <c r="N190" s="8">
        <f t="shared" si="46"/>
        <v>-3.5681770048956452E-2</v>
      </c>
      <c r="O190" s="4">
        <f t="shared" si="47"/>
        <v>4.0084748399043182</v>
      </c>
      <c r="P190">
        <f t="shared" si="48"/>
        <v>9</v>
      </c>
      <c r="Q190" s="4">
        <f t="shared" si="49"/>
        <v>4.1890410958904107</v>
      </c>
      <c r="R190">
        <f t="shared" si="50"/>
        <v>1</v>
      </c>
      <c r="S190" s="7">
        <f>SUM(CashFlows!BN190:DU190)</f>
        <v>86.516829074285425</v>
      </c>
      <c r="T190" s="7">
        <f t="shared" si="51"/>
        <v>86.241013856894128</v>
      </c>
      <c r="U190" s="7">
        <f t="shared" si="52"/>
        <v>-8.9861431058722019E-3</v>
      </c>
      <c r="V190" s="4">
        <f t="shared" si="53"/>
        <v>4.5202342221578862</v>
      </c>
      <c r="W190" s="8">
        <f t="shared" si="54"/>
        <v>0.25910398583759431</v>
      </c>
      <c r="X190" s="9">
        <f t="shared" si="55"/>
        <v>-2.5908869813010856E-5</v>
      </c>
      <c r="Y190" s="10">
        <f t="shared" si="56"/>
        <v>6.7126953498754524E-10</v>
      </c>
    </row>
    <row r="191" spans="1:25" x14ac:dyDescent="0.2">
      <c r="A191" s="3">
        <f>Data!A190</f>
        <v>47817</v>
      </c>
      <c r="B191" s="4">
        <f>Data!B190</f>
        <v>3.5</v>
      </c>
      <c r="C191" s="4">
        <f>Data!C190</f>
        <v>96.013999999999996</v>
      </c>
      <c r="D191" s="4">
        <f>Data!D190</f>
        <v>96.03</v>
      </c>
      <c r="E191" s="4">
        <f>Data!F190</f>
        <v>4.524</v>
      </c>
      <c r="F191" s="7">
        <f t="shared" si="38"/>
        <v>96.09375</v>
      </c>
      <c r="G191" s="3">
        <f t="shared" si="39"/>
        <v>46173</v>
      </c>
      <c r="H191" s="3">
        <f t="shared" si="40"/>
        <v>46356</v>
      </c>
      <c r="I191">
        <f t="shared" si="41"/>
        <v>100</v>
      </c>
      <c r="J191">
        <f t="shared" si="42"/>
        <v>183</v>
      </c>
      <c r="K191" s="7">
        <f t="shared" si="43"/>
        <v>0.95628415300546443</v>
      </c>
      <c r="L191" s="7">
        <f t="shared" si="44"/>
        <v>97.05003415300547</v>
      </c>
      <c r="M191" s="4">
        <f t="shared" si="45"/>
        <v>4.5244597464288736</v>
      </c>
      <c r="N191" s="8">
        <f t="shared" si="46"/>
        <v>4.5974642887358641E-2</v>
      </c>
      <c r="O191" s="4">
        <f t="shared" si="47"/>
        <v>3.8347725791510214</v>
      </c>
      <c r="P191">
        <f t="shared" si="48"/>
        <v>9</v>
      </c>
      <c r="Q191" s="4">
        <f t="shared" si="49"/>
        <v>4.2301369863013702</v>
      </c>
      <c r="R191">
        <f t="shared" si="50"/>
        <v>1</v>
      </c>
      <c r="S191" s="7">
        <f>SUM(CashFlows!BN191:DU191)</f>
        <v>97.08434171010208</v>
      </c>
      <c r="T191" s="7">
        <f t="shared" si="51"/>
        <v>96.128057557096611</v>
      </c>
      <c r="U191" s="7">
        <f t="shared" si="52"/>
        <v>3.4307557096610708E-2</v>
      </c>
      <c r="V191" s="4">
        <f t="shared" si="53"/>
        <v>4.5152432886889997</v>
      </c>
      <c r="W191" s="8">
        <f t="shared" si="54"/>
        <v>-0.92164577398738956</v>
      </c>
      <c r="X191" s="9">
        <f t="shared" si="55"/>
        <v>9.2183775025089876E-5</v>
      </c>
      <c r="Y191" s="10">
        <f t="shared" si="56"/>
        <v>8.4978483778763836E-9</v>
      </c>
    </row>
    <row r="192" spans="1:25" x14ac:dyDescent="0.2">
      <c r="A192" s="3">
        <f>Data!A191</f>
        <v>47817</v>
      </c>
      <c r="B192" s="4">
        <f>Data!B191</f>
        <v>4.375</v>
      </c>
      <c r="C192" s="4">
        <f>Data!C191</f>
        <v>99.123999999999995</v>
      </c>
      <c r="D192" s="4">
        <f>Data!D191</f>
        <v>99.14</v>
      </c>
      <c r="E192" s="4">
        <f>Data!F191</f>
        <v>4.5209999999999999</v>
      </c>
      <c r="F192" s="7">
        <f t="shared" si="38"/>
        <v>99.4375</v>
      </c>
      <c r="G192" s="3">
        <f t="shared" si="39"/>
        <v>46173</v>
      </c>
      <c r="H192" s="3">
        <f t="shared" si="40"/>
        <v>46356</v>
      </c>
      <c r="I192">
        <f t="shared" si="41"/>
        <v>100</v>
      </c>
      <c r="J192">
        <f t="shared" si="42"/>
        <v>183</v>
      </c>
      <c r="K192" s="7">
        <f t="shared" si="43"/>
        <v>1.1953551912568305</v>
      </c>
      <c r="L192" s="7">
        <f t="shared" si="44"/>
        <v>100.63285519125684</v>
      </c>
      <c r="M192" s="4">
        <f t="shared" si="45"/>
        <v>4.521102966782605</v>
      </c>
      <c r="N192" s="8">
        <f t="shared" si="46"/>
        <v>1.0296678260512948E-2</v>
      </c>
      <c r="O192" s="4">
        <f t="shared" si="47"/>
        <v>3.7734780402903123</v>
      </c>
      <c r="P192">
        <f t="shared" si="48"/>
        <v>9</v>
      </c>
      <c r="Q192" s="4">
        <f t="shared" si="49"/>
        <v>4.2301369863013702</v>
      </c>
      <c r="R192">
        <f t="shared" si="50"/>
        <v>1</v>
      </c>
      <c r="S192" s="7">
        <f>SUM(CashFlows!BN192:DU192)</f>
        <v>100.66133014166751</v>
      </c>
      <c r="T192" s="7">
        <f t="shared" si="51"/>
        <v>99.465974950410668</v>
      </c>
      <c r="U192" s="7">
        <f t="shared" si="52"/>
        <v>2.8474950410668498E-2</v>
      </c>
      <c r="V192" s="4">
        <f t="shared" si="53"/>
        <v>4.5136056104940021</v>
      </c>
      <c r="W192" s="8">
        <f t="shared" si="54"/>
        <v>-0.74973562886029299</v>
      </c>
      <c r="X192" s="9">
        <f t="shared" si="55"/>
        <v>7.4986201516762699E-5</v>
      </c>
      <c r="Y192" s="10">
        <f t="shared" si="56"/>
        <v>5.6229304179125443E-9</v>
      </c>
    </row>
    <row r="193" spans="1:25" x14ac:dyDescent="0.2">
      <c r="A193" s="3">
        <f>Data!A192</f>
        <v>47848</v>
      </c>
      <c r="B193" s="4">
        <f>Data!B192</f>
        <v>3.625</v>
      </c>
      <c r="C193" s="4">
        <f>Data!C192</f>
        <v>96.146000000000001</v>
      </c>
      <c r="D193" s="4">
        <f>Data!D192</f>
        <v>96.162000000000006</v>
      </c>
      <c r="E193" s="4">
        <f>Data!F192</f>
        <v>4.5250000000000004</v>
      </c>
      <c r="F193" s="7">
        <f t="shared" si="38"/>
        <v>96.5078125</v>
      </c>
      <c r="G193" s="3">
        <f t="shared" si="39"/>
        <v>46203</v>
      </c>
      <c r="H193" s="3">
        <f t="shared" si="40"/>
        <v>46387</v>
      </c>
      <c r="I193">
        <f t="shared" si="41"/>
        <v>70</v>
      </c>
      <c r="J193">
        <f t="shared" si="42"/>
        <v>184</v>
      </c>
      <c r="K193" s="7">
        <f t="shared" si="43"/>
        <v>0.68953804347826086</v>
      </c>
      <c r="L193" s="7">
        <f t="shared" si="44"/>
        <v>97.197350543478265</v>
      </c>
      <c r="M193" s="4">
        <f t="shared" si="45"/>
        <v>4.5247368897874516</v>
      </c>
      <c r="N193" s="8">
        <f t="shared" si="46"/>
        <v>-2.6311021254876721E-2</v>
      </c>
      <c r="O193" s="4">
        <f t="shared" si="47"/>
        <v>3.9068910364265097</v>
      </c>
      <c r="P193">
        <f t="shared" si="48"/>
        <v>9</v>
      </c>
      <c r="Q193" s="4">
        <f t="shared" si="49"/>
        <v>4.3150684931506849</v>
      </c>
      <c r="R193">
        <f t="shared" si="50"/>
        <v>1</v>
      </c>
      <c r="S193" s="7">
        <f>SUM(CashFlows!BN193:DU193)</f>
        <v>97.216741093346542</v>
      </c>
      <c r="T193" s="7">
        <f t="shared" si="51"/>
        <v>96.527203049868277</v>
      </c>
      <c r="U193" s="7">
        <f t="shared" si="52"/>
        <v>1.9390549868276707E-2</v>
      </c>
      <c r="V193" s="4">
        <f t="shared" si="53"/>
        <v>4.5196312111555592</v>
      </c>
      <c r="W193" s="8">
        <f t="shared" si="54"/>
        <v>-0.51056786318923741</v>
      </c>
      <c r="X193" s="9">
        <f t="shared" si="55"/>
        <v>5.1062773383330887E-5</v>
      </c>
      <c r="Y193" s="10">
        <f t="shared" si="56"/>
        <v>2.6074068255974052E-9</v>
      </c>
    </row>
    <row r="194" spans="1:25" x14ac:dyDescent="0.2">
      <c r="A194" s="3">
        <f>Data!A193</f>
        <v>47848</v>
      </c>
      <c r="B194" s="4">
        <f>Data!B193</f>
        <v>3.75</v>
      </c>
      <c r="C194" s="4">
        <f>Data!C193</f>
        <v>96.3</v>
      </c>
      <c r="D194" s="4">
        <f>Data!D193</f>
        <v>96.313999999999993</v>
      </c>
      <c r="E194" s="4">
        <f>Data!F193</f>
        <v>4.5270000000000001</v>
      </c>
      <c r="F194" s="7">
        <f t="shared" si="38"/>
        <v>96.984375</v>
      </c>
      <c r="G194" s="3">
        <f t="shared" si="39"/>
        <v>46203</v>
      </c>
      <c r="H194" s="3">
        <f t="shared" si="40"/>
        <v>46387</v>
      </c>
      <c r="I194">
        <f t="shared" si="41"/>
        <v>70</v>
      </c>
      <c r="J194">
        <f t="shared" si="42"/>
        <v>184</v>
      </c>
      <c r="K194" s="7">
        <f t="shared" si="43"/>
        <v>0.71331521739130432</v>
      </c>
      <c r="L194" s="7">
        <f t="shared" si="44"/>
        <v>97.697690217391298</v>
      </c>
      <c r="M194" s="4">
        <f t="shared" si="45"/>
        <v>4.5267791107534805</v>
      </c>
      <c r="N194" s="8">
        <f t="shared" si="46"/>
        <v>-2.2088924651963993E-2</v>
      </c>
      <c r="O194" s="4">
        <f t="shared" si="47"/>
        <v>3.8978855052021455</v>
      </c>
      <c r="P194">
        <f t="shared" si="48"/>
        <v>9</v>
      </c>
      <c r="Q194" s="4">
        <f t="shared" si="49"/>
        <v>4.3150684931506849</v>
      </c>
      <c r="R194">
        <f t="shared" si="50"/>
        <v>1</v>
      </c>
      <c r="S194" s="7">
        <f>SUM(CashFlows!BN194:DU194)</f>
        <v>97.725828568061004</v>
      </c>
      <c r="T194" s="7">
        <f t="shared" si="51"/>
        <v>97.012513350669707</v>
      </c>
      <c r="U194" s="7">
        <f t="shared" si="52"/>
        <v>2.8138350669706824E-2</v>
      </c>
      <c r="V194" s="4">
        <f t="shared" si="53"/>
        <v>4.5193913702191866</v>
      </c>
      <c r="W194" s="8">
        <f t="shared" si="54"/>
        <v>-0.73877405342939184</v>
      </c>
      <c r="X194" s="9">
        <f t="shared" si="55"/>
        <v>7.3889931387061873E-5</v>
      </c>
      <c r="Y194" s="10">
        <f t="shared" si="56"/>
        <v>5.4597219603847112E-9</v>
      </c>
    </row>
    <row r="195" spans="1:25" x14ac:dyDescent="0.2">
      <c r="A195" s="3">
        <f>Data!A194</f>
        <v>47879</v>
      </c>
      <c r="B195" s="4">
        <f>Data!B194</f>
        <v>3.75</v>
      </c>
      <c r="C195" s="4">
        <f>Data!C194</f>
        <v>96.281999999999996</v>
      </c>
      <c r="D195" s="4">
        <f>Data!D194</f>
        <v>96.296000000000006</v>
      </c>
      <c r="E195" s="4">
        <f>Data!F194</f>
        <v>4.5279999999999996</v>
      </c>
      <c r="F195" s="7">
        <f t="shared" si="38"/>
        <v>96.9296875</v>
      </c>
      <c r="G195" s="3">
        <f t="shared" si="39"/>
        <v>46234</v>
      </c>
      <c r="H195" s="3">
        <f t="shared" si="40"/>
        <v>46418</v>
      </c>
      <c r="I195">
        <f t="shared" si="41"/>
        <v>39</v>
      </c>
      <c r="J195">
        <f t="shared" si="42"/>
        <v>184</v>
      </c>
      <c r="K195" s="7">
        <f t="shared" si="43"/>
        <v>0.39741847826086957</v>
      </c>
      <c r="L195" s="7">
        <f t="shared" si="44"/>
        <v>97.327105978260875</v>
      </c>
      <c r="M195" s="4">
        <f t="shared" si="45"/>
        <v>4.5275222993357698</v>
      </c>
      <c r="N195" s="8">
        <f t="shared" si="46"/>
        <v>-4.7770066422980761E-2</v>
      </c>
      <c r="O195" s="4">
        <f t="shared" si="47"/>
        <v>3.9802398413831925</v>
      </c>
      <c r="P195">
        <f t="shared" si="48"/>
        <v>9</v>
      </c>
      <c r="Q195" s="4">
        <f t="shared" si="49"/>
        <v>4.4000000000000004</v>
      </c>
      <c r="R195">
        <f t="shared" si="50"/>
        <v>1</v>
      </c>
      <c r="S195" s="7">
        <f>SUM(CashFlows!BN195:DU195)</f>
        <v>97.345304173924461</v>
      </c>
      <c r="T195" s="7">
        <f t="shared" si="51"/>
        <v>96.947885695663587</v>
      </c>
      <c r="U195" s="7">
        <f t="shared" si="52"/>
        <v>1.8198195663586603E-2</v>
      </c>
      <c r="V195" s="4">
        <f t="shared" si="53"/>
        <v>4.5228251143156175</v>
      </c>
      <c r="W195" s="8">
        <f t="shared" si="54"/>
        <v>-0.46971850201522614</v>
      </c>
      <c r="X195" s="9">
        <f t="shared" si="55"/>
        <v>4.6976999884564759E-5</v>
      </c>
      <c r="Y195" s="10">
        <f t="shared" si="56"/>
        <v>2.2068385181543973E-9</v>
      </c>
    </row>
    <row r="196" spans="1:25" x14ac:dyDescent="0.2">
      <c r="A196" s="3">
        <f>Data!A195</f>
        <v>47879</v>
      </c>
      <c r="B196" s="4">
        <f>Data!B195</f>
        <v>4</v>
      </c>
      <c r="C196" s="4">
        <f>Data!C195</f>
        <v>97.275999999999996</v>
      </c>
      <c r="D196" s="4">
        <f>Data!D195</f>
        <v>97.292000000000002</v>
      </c>
      <c r="E196" s="4">
        <f>Data!F195</f>
        <v>4.5279999999999996</v>
      </c>
      <c r="F196" s="7">
        <f t="shared" si="38"/>
        <v>97.9140625</v>
      </c>
      <c r="G196" s="3">
        <f t="shared" si="39"/>
        <v>46234</v>
      </c>
      <c r="H196" s="3">
        <f t="shared" si="40"/>
        <v>46418</v>
      </c>
      <c r="I196">
        <f t="shared" si="41"/>
        <v>39</v>
      </c>
      <c r="J196">
        <f t="shared" si="42"/>
        <v>184</v>
      </c>
      <c r="K196" s="7">
        <f t="shared" si="43"/>
        <v>0.42391304347826086</v>
      </c>
      <c r="L196" s="7">
        <f t="shared" si="44"/>
        <v>98.337975543478265</v>
      </c>
      <c r="M196" s="4">
        <f t="shared" si="45"/>
        <v>4.5279014827862536</v>
      </c>
      <c r="N196" s="8">
        <f t="shared" si="46"/>
        <v>-9.8517213745985543E-3</v>
      </c>
      <c r="O196" s="4">
        <f t="shared" si="47"/>
        <v>3.9626039884881146</v>
      </c>
      <c r="P196">
        <f t="shared" si="48"/>
        <v>9</v>
      </c>
      <c r="Q196" s="4">
        <f t="shared" si="49"/>
        <v>4.4000000000000004</v>
      </c>
      <c r="R196">
        <f t="shared" si="50"/>
        <v>1</v>
      </c>
      <c r="S196" s="7">
        <f>SUM(CashFlows!BN196:DU196)</f>
        <v>98.35960036430734</v>
      </c>
      <c r="T196" s="7">
        <f t="shared" si="51"/>
        <v>97.935687320829075</v>
      </c>
      <c r="U196" s="7">
        <f t="shared" si="52"/>
        <v>2.162482082907502E-2</v>
      </c>
      <c r="V196" s="4">
        <f t="shared" si="53"/>
        <v>4.522352742139673</v>
      </c>
      <c r="W196" s="8">
        <f t="shared" si="54"/>
        <v>-0.55487406465806188</v>
      </c>
      <c r="X196" s="9">
        <f t="shared" si="55"/>
        <v>5.5494581697822927E-5</v>
      </c>
      <c r="Y196" s="10">
        <f t="shared" si="56"/>
        <v>3.0796485978163435E-9</v>
      </c>
    </row>
    <row r="197" spans="1:25" x14ac:dyDescent="0.2">
      <c r="A197" s="3">
        <f>Data!A196</f>
        <v>47894</v>
      </c>
      <c r="B197" s="4">
        <f>Data!B196</f>
        <v>1.125</v>
      </c>
      <c r="C197" s="4">
        <f>Data!C196</f>
        <v>86.164000000000001</v>
      </c>
      <c r="D197" s="4">
        <f>Data!D196</f>
        <v>86.18</v>
      </c>
      <c r="E197" s="4">
        <f>Data!F196</f>
        <v>4.5010000000000003</v>
      </c>
      <c r="F197" s="7">
        <f t="shared" si="38"/>
        <v>86.5625</v>
      </c>
      <c r="G197" s="3">
        <f t="shared" si="39"/>
        <v>46249</v>
      </c>
      <c r="H197" s="3">
        <f t="shared" si="40"/>
        <v>46433</v>
      </c>
      <c r="I197">
        <f t="shared" si="41"/>
        <v>24</v>
      </c>
      <c r="J197">
        <f t="shared" si="42"/>
        <v>184</v>
      </c>
      <c r="K197" s="7">
        <f t="shared" si="43"/>
        <v>7.3369565217391311E-2</v>
      </c>
      <c r="L197" s="7">
        <f t="shared" si="44"/>
        <v>86.635869565217391</v>
      </c>
      <c r="M197" s="4">
        <f t="shared" si="45"/>
        <v>4.5011836490844548</v>
      </c>
      <c r="N197" s="8">
        <f t="shared" si="46"/>
        <v>1.8364908445445138E-2</v>
      </c>
      <c r="O197" s="4">
        <f t="shared" si="47"/>
        <v>4.2306367740846333</v>
      </c>
      <c r="P197">
        <f t="shared" si="48"/>
        <v>9</v>
      </c>
      <c r="Q197" s="4">
        <f t="shared" si="49"/>
        <v>4.441095890410959</v>
      </c>
      <c r="R197">
        <f t="shared" si="50"/>
        <v>1</v>
      </c>
      <c r="S197" s="7">
        <f>SUM(CashFlows!BN197:DU197)</f>
        <v>86.531068316241715</v>
      </c>
      <c r="T197" s="7">
        <f t="shared" si="51"/>
        <v>86.457698751024324</v>
      </c>
      <c r="U197" s="7">
        <f t="shared" si="52"/>
        <v>-0.10480124897567578</v>
      </c>
      <c r="V197" s="4">
        <f t="shared" si="53"/>
        <v>4.5297964521029499</v>
      </c>
      <c r="W197" s="8">
        <f t="shared" si="54"/>
        <v>2.8612803018495114</v>
      </c>
      <c r="X197" s="9">
        <f t="shared" si="55"/>
        <v>-2.8593214320360699E-4</v>
      </c>
      <c r="Y197" s="10">
        <f t="shared" si="56"/>
        <v>8.175719051700801E-8</v>
      </c>
    </row>
    <row r="198" spans="1:25" x14ac:dyDescent="0.2">
      <c r="A198" s="3">
        <f>Data!A197</f>
        <v>47894</v>
      </c>
      <c r="B198" s="4">
        <f>Data!B197</f>
        <v>5.375</v>
      </c>
      <c r="C198" s="4">
        <f>Data!C197</f>
        <v>103.124</v>
      </c>
      <c r="D198" s="4">
        <f>Data!D197</f>
        <v>103.14</v>
      </c>
      <c r="E198" s="4">
        <f>Data!F197</f>
        <v>4.51</v>
      </c>
      <c r="F198" s="7">
        <f t="shared" si="38"/>
        <v>103.4375</v>
      </c>
      <c r="G198" s="3">
        <f t="shared" si="39"/>
        <v>46249</v>
      </c>
      <c r="H198" s="3">
        <f t="shared" si="40"/>
        <v>46433</v>
      </c>
      <c r="I198">
        <f t="shared" si="41"/>
        <v>24</v>
      </c>
      <c r="J198">
        <f t="shared" si="42"/>
        <v>184</v>
      </c>
      <c r="K198" s="7">
        <f t="shared" si="43"/>
        <v>0.35054347826086957</v>
      </c>
      <c r="L198" s="7">
        <f t="shared" si="44"/>
        <v>103.78804347826087</v>
      </c>
      <c r="M198" s="4">
        <f t="shared" si="45"/>
        <v>4.5102444145829184</v>
      </c>
      <c r="N198" s="8">
        <f t="shared" si="46"/>
        <v>2.4441458291857288E-2</v>
      </c>
      <c r="O198" s="4">
        <f t="shared" si="47"/>
        <v>3.9121782906485163</v>
      </c>
      <c r="P198">
        <f t="shared" si="48"/>
        <v>9</v>
      </c>
      <c r="Q198" s="4">
        <f t="shared" si="49"/>
        <v>4.441095890410959</v>
      </c>
      <c r="R198">
        <f t="shared" si="50"/>
        <v>1</v>
      </c>
      <c r="S198" s="7">
        <f>SUM(CashFlows!BN198:DU198)</f>
        <v>103.74220224072485</v>
      </c>
      <c r="T198" s="7">
        <f t="shared" si="51"/>
        <v>103.39165876246398</v>
      </c>
      <c r="U198" s="7">
        <f t="shared" si="52"/>
        <v>-4.5841237536023982E-2</v>
      </c>
      <c r="V198" s="4">
        <f t="shared" si="53"/>
        <v>4.5215372928391426</v>
      </c>
      <c r="W198" s="8">
        <f t="shared" si="54"/>
        <v>1.129287825622427</v>
      </c>
      <c r="X198" s="9">
        <f t="shared" si="55"/>
        <v>-1.1289907131643363E-4</v>
      </c>
      <c r="Y198" s="10">
        <f t="shared" si="56"/>
        <v>1.2746200304113165E-8</v>
      </c>
    </row>
    <row r="199" spans="1:25" x14ac:dyDescent="0.2">
      <c r="A199" s="3">
        <f>Data!A198</f>
        <v>47907</v>
      </c>
      <c r="B199" s="4">
        <f>Data!B198</f>
        <v>3.5</v>
      </c>
      <c r="C199" s="4">
        <f>Data!C198</f>
        <v>95.27</v>
      </c>
      <c r="D199" s="4">
        <f>Data!D198</f>
        <v>95.284000000000006</v>
      </c>
      <c r="E199" s="4">
        <f>Data!F198</f>
        <v>4.524</v>
      </c>
      <c r="F199" s="7">
        <f t="shared" si="38"/>
        <v>95.890625</v>
      </c>
      <c r="G199" s="3">
        <f t="shared" si="39"/>
        <v>46265</v>
      </c>
      <c r="H199" s="3">
        <f t="shared" si="40"/>
        <v>46446</v>
      </c>
      <c r="I199">
        <f t="shared" si="41"/>
        <v>8</v>
      </c>
      <c r="J199">
        <f t="shared" si="42"/>
        <v>181</v>
      </c>
      <c r="K199" s="7">
        <f t="shared" si="43"/>
        <v>7.7348066298342538E-2</v>
      </c>
      <c r="L199" s="7">
        <f t="shared" si="44"/>
        <v>95.967973066298342</v>
      </c>
      <c r="M199" s="4">
        <f t="shared" si="45"/>
        <v>4.5238892079638733</v>
      </c>
      <c r="N199" s="8">
        <f t="shared" si="46"/>
        <v>-1.1079203612673894E-2</v>
      </c>
      <c r="O199" s="4">
        <f t="shared" si="47"/>
        <v>4.0803574985033828</v>
      </c>
      <c r="P199">
        <f t="shared" si="48"/>
        <v>9</v>
      </c>
      <c r="Q199" s="4">
        <f t="shared" si="49"/>
        <v>4.4767123287671229</v>
      </c>
      <c r="R199">
        <f t="shared" si="50"/>
        <v>1</v>
      </c>
      <c r="S199" s="7">
        <f>SUM(CashFlows!BN199:DU199)</f>
        <v>95.988961663255949</v>
      </c>
      <c r="T199" s="7">
        <f t="shared" si="51"/>
        <v>95.911613596957608</v>
      </c>
      <c r="U199" s="7">
        <f t="shared" si="52"/>
        <v>2.0988596957607797E-2</v>
      </c>
      <c r="V199" s="4">
        <f t="shared" si="53"/>
        <v>4.5185299636801322</v>
      </c>
      <c r="W199" s="8">
        <f t="shared" si="54"/>
        <v>-0.53592442837411269</v>
      </c>
      <c r="X199" s="9">
        <f t="shared" si="55"/>
        <v>5.3599269461519354E-5</v>
      </c>
      <c r="Y199" s="10">
        <f t="shared" si="56"/>
        <v>2.8728816868085614E-9</v>
      </c>
    </row>
    <row r="200" spans="1:25" x14ac:dyDescent="0.2">
      <c r="A200" s="3">
        <f>Data!A199</f>
        <v>47907</v>
      </c>
      <c r="B200" s="4">
        <f>Data!B199</f>
        <v>4.25</v>
      </c>
      <c r="C200" s="4">
        <f>Data!C199</f>
        <v>98.263999999999996</v>
      </c>
      <c r="D200" s="4">
        <f>Data!D199</f>
        <v>98.28</v>
      </c>
      <c r="E200" s="4">
        <f>Data!F199</f>
        <v>4.53</v>
      </c>
      <c r="F200" s="7">
        <f t="shared" ref="F200:F263" si="57">INT(D200)+(INT(MOD(ROUND(D200*1000,0),1000)/10)+MOD(ROUND(D200*1000,0),10)/8)/32</f>
        <v>98.875</v>
      </c>
      <c r="G200" s="3">
        <f t="shared" ref="G200:G263" si="58">COUPPCD(Settle,A200,2,1)</f>
        <v>46265</v>
      </c>
      <c r="H200" s="3">
        <f t="shared" ref="H200:H263" si="59">COUPNCD(Settle,A200,2,1)</f>
        <v>46446</v>
      </c>
      <c r="I200">
        <f t="shared" ref="I200:I263" si="60">Settle-G200</f>
        <v>8</v>
      </c>
      <c r="J200">
        <f t="shared" ref="J200:J263" si="61">H200-G200</f>
        <v>181</v>
      </c>
      <c r="K200" s="7">
        <f t="shared" ref="K200:K263" si="62">B200/2*I200/J200</f>
        <v>9.3922651933701654E-2</v>
      </c>
      <c r="L200" s="7">
        <f t="shared" ref="L200:L263" si="63">F200+K200</f>
        <v>98.968922651933696</v>
      </c>
      <c r="M200" s="4">
        <f t="shared" ref="M200:M263" si="64">YIELD(Settle,A200,B200/100,F200,100,2,1)*100</f>
        <v>4.5301522281918754</v>
      </c>
      <c r="N200" s="8">
        <f t="shared" ref="N200:N263" si="65">(M200-E200)*100</f>
        <v>1.5222819187510339E-2</v>
      </c>
      <c r="O200" s="4">
        <f t="shared" ref="O200:O263" si="66">MDURATION(Settle,A200,B200/100,M200/100,2,1)</f>
        <v>4.0272957958642239</v>
      </c>
      <c r="P200">
        <f t="shared" ref="P200:P263" si="67">COUPNUM(Settle,A200,2,1)</f>
        <v>9</v>
      </c>
      <c r="Q200" s="4">
        <f t="shared" ref="Q200:Q263" si="68">(A200-Settle)/365</f>
        <v>4.4767123287671229</v>
      </c>
      <c r="R200">
        <f t="shared" ref="R200:R263" si="69">IF(Q200&gt;=MinYears,1,0)</f>
        <v>1</v>
      </c>
      <c r="S200" s="7">
        <f>SUM(CashFlows!BN200:DU200)</f>
        <v>99.020795165439111</v>
      </c>
      <c r="T200" s="7">
        <f t="shared" ref="T200:T263" si="70">S200-K200</f>
        <v>98.926872513505415</v>
      </c>
      <c r="U200" s="7">
        <f t="shared" ref="U200:U263" si="71">T200-F200</f>
        <v>5.1872513505415441E-2</v>
      </c>
      <c r="V200" s="4">
        <f t="shared" ref="V200:V263" si="72">YIELD(Settle,A200,B200/100,T200,100,2,1)*100</f>
        <v>4.5171418106637153</v>
      </c>
      <c r="W200" s="8">
        <f t="shared" ref="W200:W263" si="73">(V200-M200)*100</f>
        <v>-1.3010417528160012</v>
      </c>
      <c r="X200" s="9">
        <f t="shared" ref="X200:X263" si="74">(S200-L200)/(L200*O200)</f>
        <v>1.3014423083110841E-4</v>
      </c>
      <c r="Y200" s="10">
        <f t="shared" ref="Y200:Y263" si="75">R200*X200^2</f>
        <v>1.693752081862083E-8</v>
      </c>
    </row>
    <row r="201" spans="1:25" x14ac:dyDescent="0.2">
      <c r="A201" s="3">
        <f>Data!A200</f>
        <v>47938</v>
      </c>
      <c r="B201" s="4">
        <f>Data!B200</f>
        <v>3.875</v>
      </c>
      <c r="C201" s="4">
        <f>Data!C200</f>
        <v>97.091999999999999</v>
      </c>
      <c r="D201" s="4">
        <f>Data!D200</f>
        <v>97.105999999999995</v>
      </c>
      <c r="E201" s="4">
        <f>Data!F200</f>
        <v>4.5279999999999996</v>
      </c>
      <c r="F201" s="7">
        <f t="shared" si="57"/>
        <v>97.3359375</v>
      </c>
      <c r="G201" s="3">
        <f t="shared" si="58"/>
        <v>46112</v>
      </c>
      <c r="H201" s="3">
        <f t="shared" si="59"/>
        <v>46295</v>
      </c>
      <c r="I201">
        <f t="shared" si="60"/>
        <v>161</v>
      </c>
      <c r="J201">
        <f t="shared" si="61"/>
        <v>183</v>
      </c>
      <c r="K201" s="7">
        <f t="shared" si="62"/>
        <v>1.7045765027322404</v>
      </c>
      <c r="L201" s="7">
        <f t="shared" si="63"/>
        <v>99.040514002732237</v>
      </c>
      <c r="M201" s="4">
        <f t="shared" si="64"/>
        <v>4.5275939597561443</v>
      </c>
      <c r="N201" s="8">
        <f t="shared" si="65"/>
        <v>-4.0604024385526571E-2</v>
      </c>
      <c r="O201" s="4">
        <f t="shared" si="66"/>
        <v>4.0542864953586708</v>
      </c>
      <c r="P201">
        <f t="shared" si="67"/>
        <v>10</v>
      </c>
      <c r="Q201" s="4">
        <f t="shared" si="68"/>
        <v>4.5616438356164384</v>
      </c>
      <c r="R201">
        <f t="shared" si="69"/>
        <v>1</v>
      </c>
      <c r="S201" s="7">
        <f>SUM(CashFlows!BN201:DU201)</f>
        <v>99.058057452263142</v>
      </c>
      <c r="T201" s="7">
        <f t="shared" si="70"/>
        <v>97.353480949530905</v>
      </c>
      <c r="U201" s="7">
        <f t="shared" si="71"/>
        <v>1.7543449530904809E-2</v>
      </c>
      <c r="V201" s="4">
        <f t="shared" si="72"/>
        <v>4.5232253628676018</v>
      </c>
      <c r="W201" s="8">
        <f t="shared" si="73"/>
        <v>-0.43685968885425197</v>
      </c>
      <c r="X201" s="9">
        <f t="shared" si="74"/>
        <v>4.3690566053569818E-5</v>
      </c>
      <c r="Y201" s="10">
        <f t="shared" si="75"/>
        <v>1.9088655620813472E-9</v>
      </c>
    </row>
    <row r="202" spans="1:25" x14ac:dyDescent="0.2">
      <c r="A202" s="3">
        <f>Data!A201</f>
        <v>47938</v>
      </c>
      <c r="B202" s="4">
        <f>Data!B201</f>
        <v>4.125</v>
      </c>
      <c r="C202" s="4">
        <f>Data!C201</f>
        <v>98.09</v>
      </c>
      <c r="D202" s="4">
        <f>Data!D201</f>
        <v>98.103999999999999</v>
      </c>
      <c r="E202" s="4">
        <f>Data!F201</f>
        <v>4.5339999999999998</v>
      </c>
      <c r="F202" s="7">
        <f t="shared" si="57"/>
        <v>98.328125</v>
      </c>
      <c r="G202" s="3">
        <f t="shared" si="58"/>
        <v>46112</v>
      </c>
      <c r="H202" s="3">
        <f t="shared" si="59"/>
        <v>46295</v>
      </c>
      <c r="I202">
        <f t="shared" si="60"/>
        <v>161</v>
      </c>
      <c r="J202">
        <f t="shared" si="61"/>
        <v>183</v>
      </c>
      <c r="K202" s="7">
        <f t="shared" si="62"/>
        <v>1.8145491803278688</v>
      </c>
      <c r="L202" s="7">
        <f t="shared" si="63"/>
        <v>100.14267418032787</v>
      </c>
      <c r="M202" s="4">
        <f t="shared" si="64"/>
        <v>4.534364952849657</v>
      </c>
      <c r="N202" s="8">
        <f t="shared" si="65"/>
        <v>3.6495284965720742E-2</v>
      </c>
      <c r="O202" s="4">
        <f t="shared" si="66"/>
        <v>4.0328132449111687</v>
      </c>
      <c r="P202">
        <f t="shared" si="67"/>
        <v>10</v>
      </c>
      <c r="Q202" s="4">
        <f t="shared" si="68"/>
        <v>4.5616438356164384</v>
      </c>
      <c r="R202">
        <f t="shared" si="69"/>
        <v>1</v>
      </c>
      <c r="S202" s="7">
        <f>SUM(CashFlows!BN202:DU202)</f>
        <v>100.18957319222554</v>
      </c>
      <c r="T202" s="7">
        <f t="shared" si="70"/>
        <v>98.375024011897665</v>
      </c>
      <c r="U202" s="7">
        <f t="shared" si="71"/>
        <v>4.6899011897664877E-2</v>
      </c>
      <c r="V202" s="4">
        <f t="shared" si="72"/>
        <v>4.5227554103986884</v>
      </c>
      <c r="W202" s="8">
        <f t="shared" si="73"/>
        <v>-1.1609542450968569</v>
      </c>
      <c r="X202" s="9">
        <f t="shared" si="74"/>
        <v>1.1612785319826549E-4</v>
      </c>
      <c r="Y202" s="10">
        <f t="shared" si="75"/>
        <v>1.34856782884379E-8</v>
      </c>
    </row>
    <row r="203" spans="1:25" x14ac:dyDescent="0.2">
      <c r="A203" s="3">
        <f>Data!A202</f>
        <v>47968</v>
      </c>
      <c r="B203" s="4">
        <f>Data!B202</f>
        <v>3.875</v>
      </c>
      <c r="C203" s="4">
        <f>Data!C202</f>
        <v>97.075999999999993</v>
      </c>
      <c r="D203" s="4">
        <f>Data!D202</f>
        <v>97.091999999999999</v>
      </c>
      <c r="E203" s="4">
        <f>Data!F202</f>
        <v>4.5279999999999996</v>
      </c>
      <c r="F203" s="7">
        <f t="shared" si="57"/>
        <v>97.2890625</v>
      </c>
      <c r="G203" s="3">
        <f t="shared" si="58"/>
        <v>46142</v>
      </c>
      <c r="H203" s="3">
        <f t="shared" si="59"/>
        <v>46326</v>
      </c>
      <c r="I203">
        <f t="shared" si="60"/>
        <v>131</v>
      </c>
      <c r="J203">
        <f t="shared" si="61"/>
        <v>184</v>
      </c>
      <c r="K203" s="7">
        <f t="shared" si="62"/>
        <v>1.3794157608695652</v>
      </c>
      <c r="L203" s="7">
        <f t="shared" si="63"/>
        <v>98.668478260869563</v>
      </c>
      <c r="M203" s="4">
        <f t="shared" si="64"/>
        <v>4.5277540678595063</v>
      </c>
      <c r="N203" s="8">
        <f t="shared" si="65"/>
        <v>-2.4593214049328793E-2</v>
      </c>
      <c r="O203" s="4">
        <f t="shared" si="66"/>
        <v>4.1363363716213337</v>
      </c>
      <c r="P203">
        <f t="shared" si="67"/>
        <v>10</v>
      </c>
      <c r="Q203" s="4">
        <f t="shared" si="68"/>
        <v>4.6438356164383565</v>
      </c>
      <c r="R203">
        <f t="shared" si="69"/>
        <v>1</v>
      </c>
      <c r="S203" s="7">
        <f>SUM(CashFlows!BN203:DU203)</f>
        <v>98.683158400277819</v>
      </c>
      <c r="T203" s="7">
        <f t="shared" si="70"/>
        <v>97.303742639408256</v>
      </c>
      <c r="U203" s="7">
        <f t="shared" si="71"/>
        <v>1.4680139408255855E-2</v>
      </c>
      <c r="V203" s="4">
        <f t="shared" si="72"/>
        <v>4.5241574219919665</v>
      </c>
      <c r="W203" s="8">
        <f t="shared" si="73"/>
        <v>-0.35966458675398272</v>
      </c>
      <c r="X203" s="9">
        <f t="shared" si="74"/>
        <v>3.5969624223048333E-5</v>
      </c>
      <c r="Y203" s="10">
        <f t="shared" si="75"/>
        <v>1.2938138667473054E-9</v>
      </c>
    </row>
    <row r="204" spans="1:25" x14ac:dyDescent="0.2">
      <c r="A204" s="3">
        <f>Data!A203</f>
        <v>47968</v>
      </c>
      <c r="B204" s="4">
        <f>Data!B203</f>
        <v>4.625</v>
      </c>
      <c r="C204" s="4">
        <f>Data!C203</f>
        <v>100.102</v>
      </c>
      <c r="D204" s="4">
        <f>Data!D203</f>
        <v>100.116</v>
      </c>
      <c r="E204" s="4">
        <f>Data!F203</f>
        <v>4.5350000000000001</v>
      </c>
      <c r="F204" s="7">
        <f t="shared" si="57"/>
        <v>100.3671875</v>
      </c>
      <c r="G204" s="3">
        <f t="shared" si="58"/>
        <v>46142</v>
      </c>
      <c r="H204" s="3">
        <f t="shared" si="59"/>
        <v>46326</v>
      </c>
      <c r="I204">
        <f t="shared" si="60"/>
        <v>131</v>
      </c>
      <c r="J204">
        <f t="shared" si="61"/>
        <v>184</v>
      </c>
      <c r="K204" s="7">
        <f t="shared" si="62"/>
        <v>1.646399456521739</v>
      </c>
      <c r="L204" s="7">
        <f t="shared" si="63"/>
        <v>102.01358695652173</v>
      </c>
      <c r="M204" s="4">
        <f t="shared" si="64"/>
        <v>4.5351406141409711</v>
      </c>
      <c r="N204" s="8">
        <f t="shared" si="65"/>
        <v>1.40614140970996E-2</v>
      </c>
      <c r="O204" s="4">
        <f t="shared" si="66"/>
        <v>4.0737197186028355</v>
      </c>
      <c r="P204">
        <f t="shared" si="67"/>
        <v>10</v>
      </c>
      <c r="Q204" s="4">
        <f t="shared" si="68"/>
        <v>4.6438356164383565</v>
      </c>
      <c r="R204">
        <f t="shared" si="69"/>
        <v>1</v>
      </c>
      <c r="S204" s="7">
        <f>SUM(CashFlows!BN204:DU204)</f>
        <v>102.06510351358799</v>
      </c>
      <c r="T204" s="7">
        <f t="shared" si="70"/>
        <v>100.41870405706625</v>
      </c>
      <c r="U204" s="7">
        <f t="shared" si="71"/>
        <v>5.1516557066250357E-2</v>
      </c>
      <c r="V204" s="4">
        <f t="shared" si="72"/>
        <v>4.5227478953338984</v>
      </c>
      <c r="W204" s="8">
        <f t="shared" si="73"/>
        <v>-1.2392718807072711</v>
      </c>
      <c r="X204" s="9">
        <f t="shared" si="74"/>
        <v>1.239645953793095E-4</v>
      </c>
      <c r="Y204" s="10">
        <f t="shared" si="75"/>
        <v>1.5367220907555922E-8</v>
      </c>
    </row>
    <row r="205" spans="1:25" x14ac:dyDescent="0.2">
      <c r="A205" s="3">
        <f>Data!A204</f>
        <v>47983</v>
      </c>
      <c r="B205" s="4">
        <f>Data!B204</f>
        <v>1.625</v>
      </c>
      <c r="C205" s="4">
        <f>Data!C204</f>
        <v>87.25</v>
      </c>
      <c r="D205" s="4">
        <f>Data!D204</f>
        <v>87.263999999999996</v>
      </c>
      <c r="E205" s="4">
        <f>Data!F204</f>
        <v>4.5380000000000003</v>
      </c>
      <c r="F205" s="7">
        <f t="shared" si="57"/>
        <v>87.828125</v>
      </c>
      <c r="G205" s="3">
        <f t="shared" si="58"/>
        <v>46157</v>
      </c>
      <c r="H205" s="3">
        <f t="shared" si="59"/>
        <v>46341</v>
      </c>
      <c r="I205">
        <f t="shared" si="60"/>
        <v>116</v>
      </c>
      <c r="J205">
        <f t="shared" si="61"/>
        <v>184</v>
      </c>
      <c r="K205" s="7">
        <f t="shared" si="62"/>
        <v>0.51222826086956519</v>
      </c>
      <c r="L205" s="7">
        <f t="shared" si="63"/>
        <v>88.340353260869563</v>
      </c>
      <c r="M205" s="4">
        <f t="shared" si="64"/>
        <v>4.5378699427349627</v>
      </c>
      <c r="N205" s="8">
        <f t="shared" si="65"/>
        <v>-1.3005726503756421E-2</v>
      </c>
      <c r="O205" s="4">
        <f t="shared" si="66"/>
        <v>4.3915908941256321</v>
      </c>
      <c r="P205">
        <f t="shared" si="67"/>
        <v>10</v>
      </c>
      <c r="Q205" s="4">
        <f t="shared" si="68"/>
        <v>4.6849315068493151</v>
      </c>
      <c r="R205">
        <f t="shared" si="69"/>
        <v>1</v>
      </c>
      <c r="S205" s="7">
        <f>SUM(CashFlows!BN205:DU205)</f>
        <v>88.369238464228587</v>
      </c>
      <c r="T205" s="7">
        <f t="shared" si="70"/>
        <v>87.857010203359025</v>
      </c>
      <c r="U205" s="7">
        <f t="shared" si="71"/>
        <v>2.8885203359024558E-2</v>
      </c>
      <c r="V205" s="4">
        <f t="shared" si="72"/>
        <v>4.5304258210350969</v>
      </c>
      <c r="W205" s="8">
        <f t="shared" si="73"/>
        <v>-0.74441216998657467</v>
      </c>
      <c r="X205" s="9">
        <f t="shared" si="74"/>
        <v>7.4455094967995535E-5</v>
      </c>
      <c r="Y205" s="10">
        <f t="shared" si="75"/>
        <v>5.5435611666932341E-9</v>
      </c>
    </row>
    <row r="206" spans="1:25" x14ac:dyDescent="0.2">
      <c r="A206" s="3">
        <f>Data!A205</f>
        <v>47999</v>
      </c>
      <c r="B206" s="4">
        <f>Data!B205</f>
        <v>4.125</v>
      </c>
      <c r="C206" s="4">
        <f>Data!C205</f>
        <v>98.066000000000003</v>
      </c>
      <c r="D206" s="4">
        <f>Data!D205</f>
        <v>98.081999999999994</v>
      </c>
      <c r="E206" s="4">
        <f>Data!F205</f>
        <v>4.5369999999999999</v>
      </c>
      <c r="F206" s="7">
        <f t="shared" si="57"/>
        <v>98.2578125</v>
      </c>
      <c r="G206" s="3">
        <f t="shared" si="58"/>
        <v>46173</v>
      </c>
      <c r="H206" s="3">
        <f t="shared" si="59"/>
        <v>46356</v>
      </c>
      <c r="I206">
        <f t="shared" si="60"/>
        <v>100</v>
      </c>
      <c r="J206">
        <f t="shared" si="61"/>
        <v>183</v>
      </c>
      <c r="K206" s="7">
        <f t="shared" si="62"/>
        <v>1.1270491803278688</v>
      </c>
      <c r="L206" s="7">
        <f t="shared" si="63"/>
        <v>99.384861680327873</v>
      </c>
      <c r="M206" s="4">
        <f t="shared" si="64"/>
        <v>4.5373019015883571</v>
      </c>
      <c r="N206" s="8">
        <f t="shared" si="65"/>
        <v>3.0190158835718961E-2</v>
      </c>
      <c r="O206" s="4">
        <f t="shared" si="66"/>
        <v>4.1956907100337872</v>
      </c>
      <c r="P206">
        <f t="shared" si="67"/>
        <v>10</v>
      </c>
      <c r="Q206" s="4">
        <f t="shared" si="68"/>
        <v>4.7287671232876711</v>
      </c>
      <c r="R206">
        <f t="shared" si="69"/>
        <v>1</v>
      </c>
      <c r="S206" s="7">
        <f>SUM(CashFlows!BN206:DU206)</f>
        <v>99.421665461342499</v>
      </c>
      <c r="T206" s="7">
        <f t="shared" si="70"/>
        <v>98.294616281014626</v>
      </c>
      <c r="U206" s="7">
        <f t="shared" si="71"/>
        <v>3.6803781014626225E-2</v>
      </c>
      <c r="V206" s="4">
        <f t="shared" si="72"/>
        <v>4.5284777355954775</v>
      </c>
      <c r="W206" s="8">
        <f t="shared" si="73"/>
        <v>-0.88241659928796068</v>
      </c>
      <c r="X206" s="9">
        <f t="shared" si="74"/>
        <v>8.8260977729070204E-5</v>
      </c>
      <c r="Y206" s="10">
        <f t="shared" si="75"/>
        <v>7.7900001896914261E-9</v>
      </c>
    </row>
    <row r="207" spans="1:25" x14ac:dyDescent="0.2">
      <c r="A207" s="3">
        <f>Data!A206</f>
        <v>47999</v>
      </c>
      <c r="B207" s="4">
        <f>Data!B206</f>
        <v>4.625</v>
      </c>
      <c r="C207" s="4">
        <f>Data!C206</f>
        <v>100.092</v>
      </c>
      <c r="D207" s="4">
        <f>Data!D206</f>
        <v>100.10599999999999</v>
      </c>
      <c r="E207" s="4">
        <f>Data!F206</f>
        <v>4.5439999999999996</v>
      </c>
      <c r="F207" s="7">
        <f t="shared" si="57"/>
        <v>100.3359375</v>
      </c>
      <c r="G207" s="3">
        <f t="shared" si="58"/>
        <v>46173</v>
      </c>
      <c r="H207" s="3">
        <f t="shared" si="59"/>
        <v>46356</v>
      </c>
      <c r="I207">
        <f t="shared" si="60"/>
        <v>100</v>
      </c>
      <c r="J207">
        <f t="shared" si="61"/>
        <v>183</v>
      </c>
      <c r="K207" s="7">
        <f t="shared" si="62"/>
        <v>1.2636612021857923</v>
      </c>
      <c r="L207" s="7">
        <f t="shared" si="63"/>
        <v>101.59959870218579</v>
      </c>
      <c r="M207" s="4">
        <f t="shared" si="64"/>
        <v>4.5436933449661856</v>
      </c>
      <c r="N207" s="8">
        <f t="shared" si="65"/>
        <v>-3.0665503381399617E-2</v>
      </c>
      <c r="O207" s="4">
        <f t="shared" si="66"/>
        <v>4.1543581112015797</v>
      </c>
      <c r="P207">
        <f t="shared" si="67"/>
        <v>10</v>
      </c>
      <c r="Q207" s="4">
        <f t="shared" si="68"/>
        <v>4.7287671232876711</v>
      </c>
      <c r="R207">
        <f t="shared" si="69"/>
        <v>1</v>
      </c>
      <c r="S207" s="7">
        <f>SUM(CashFlows!BN207:DU207)</f>
        <v>101.66788474180231</v>
      </c>
      <c r="T207" s="7">
        <f t="shared" si="70"/>
        <v>100.40422353961652</v>
      </c>
      <c r="U207" s="7">
        <f t="shared" si="71"/>
        <v>6.8286039616523908E-2</v>
      </c>
      <c r="V207" s="4">
        <f t="shared" si="72"/>
        <v>4.5275213970942723</v>
      </c>
      <c r="W207" s="8">
        <f t="shared" si="73"/>
        <v>-1.6171947871913339</v>
      </c>
      <c r="X207" s="9">
        <f t="shared" si="74"/>
        <v>1.6178416155601037E-4</v>
      </c>
      <c r="Y207" s="10">
        <f t="shared" si="75"/>
        <v>2.6174114930381264E-8</v>
      </c>
    </row>
    <row r="208" spans="1:25" x14ac:dyDescent="0.2">
      <c r="A208" s="3">
        <f>Data!A207</f>
        <v>48029</v>
      </c>
      <c r="B208" s="4">
        <f>Data!B207</f>
        <v>4.125</v>
      </c>
      <c r="C208" s="4">
        <f>Data!C207</f>
        <v>98.06</v>
      </c>
      <c r="D208" s="4">
        <f>Data!D207</f>
        <v>98.073999999999998</v>
      </c>
      <c r="E208" s="4">
        <f>Data!F207</f>
        <v>4.5359999999999996</v>
      </c>
      <c r="F208" s="7">
        <f t="shared" si="57"/>
        <v>98.234375</v>
      </c>
      <c r="G208" s="3">
        <f t="shared" si="58"/>
        <v>46203</v>
      </c>
      <c r="H208" s="3">
        <f t="shared" si="59"/>
        <v>46387</v>
      </c>
      <c r="I208">
        <f t="shared" si="60"/>
        <v>70</v>
      </c>
      <c r="J208">
        <f t="shared" si="61"/>
        <v>184</v>
      </c>
      <c r="K208" s="7">
        <f t="shared" si="62"/>
        <v>0.78464673913043481</v>
      </c>
      <c r="L208" s="7">
        <f t="shared" si="63"/>
        <v>99.019021739130437</v>
      </c>
      <c r="M208" s="4">
        <f t="shared" si="64"/>
        <v>4.5364521807461946</v>
      </c>
      <c r="N208" s="8">
        <f t="shared" si="65"/>
        <v>4.5218074619501891E-2</v>
      </c>
      <c r="O208" s="4">
        <f t="shared" si="66"/>
        <v>4.2768836350008179</v>
      </c>
      <c r="P208">
        <f t="shared" si="67"/>
        <v>10</v>
      </c>
      <c r="Q208" s="4">
        <f t="shared" si="68"/>
        <v>4.8109589041095893</v>
      </c>
      <c r="R208">
        <f t="shared" si="69"/>
        <v>1</v>
      </c>
      <c r="S208" s="7">
        <f>SUM(CashFlows!BN208:DU208)</f>
        <v>99.043773106446196</v>
      </c>
      <c r="T208" s="7">
        <f t="shared" si="70"/>
        <v>98.259126367315758</v>
      </c>
      <c r="U208" s="7">
        <f t="shared" si="71"/>
        <v>2.4751367315758444E-2</v>
      </c>
      <c r="V208" s="4">
        <f t="shared" si="72"/>
        <v>4.5306084633259394</v>
      </c>
      <c r="W208" s="8">
        <f t="shared" si="73"/>
        <v>-0.58437174202552455</v>
      </c>
      <c r="X208" s="9">
        <f t="shared" si="74"/>
        <v>5.8445776056249774E-5</v>
      </c>
      <c r="Y208" s="10">
        <f t="shared" si="75"/>
        <v>3.4159087388172995E-9</v>
      </c>
    </row>
    <row r="209" spans="1:25" x14ac:dyDescent="0.2">
      <c r="A209" s="3">
        <f>Data!A208</f>
        <v>48029</v>
      </c>
      <c r="B209" s="4">
        <f>Data!B208</f>
        <v>4.25</v>
      </c>
      <c r="C209" s="4">
        <f>Data!C208</f>
        <v>98.215999999999994</v>
      </c>
      <c r="D209" s="4">
        <f>Data!D208</f>
        <v>98.231999999999999</v>
      </c>
      <c r="E209" s="4">
        <f>Data!F208</f>
        <v>4.5460000000000003</v>
      </c>
      <c r="F209" s="7">
        <f t="shared" si="57"/>
        <v>98.7265625</v>
      </c>
      <c r="G209" s="3">
        <f t="shared" si="58"/>
        <v>46203</v>
      </c>
      <c r="H209" s="3">
        <f t="shared" si="59"/>
        <v>46387</v>
      </c>
      <c r="I209">
        <f t="shared" si="60"/>
        <v>70</v>
      </c>
      <c r="J209">
        <f t="shared" si="61"/>
        <v>184</v>
      </c>
      <c r="K209" s="7">
        <f t="shared" si="62"/>
        <v>0.80842391304347827</v>
      </c>
      <c r="L209" s="7">
        <f t="shared" si="63"/>
        <v>99.534986413043484</v>
      </c>
      <c r="M209" s="4">
        <f t="shared" si="64"/>
        <v>4.5464332903423639</v>
      </c>
      <c r="N209" s="8">
        <f t="shared" si="65"/>
        <v>4.3329034236361252E-2</v>
      </c>
      <c r="O209" s="4">
        <f t="shared" si="66"/>
        <v>4.2661037640219774</v>
      </c>
      <c r="P209">
        <f t="shared" si="67"/>
        <v>10</v>
      </c>
      <c r="Q209" s="4">
        <f t="shared" si="68"/>
        <v>4.8109589041095893</v>
      </c>
      <c r="R209">
        <f t="shared" si="69"/>
        <v>1</v>
      </c>
      <c r="S209" s="7">
        <f>SUM(CashFlows!BN209:DU209)</f>
        <v>99.603224259324108</v>
      </c>
      <c r="T209" s="7">
        <f t="shared" si="70"/>
        <v>98.794800346280624</v>
      </c>
      <c r="U209" s="7">
        <f t="shared" si="71"/>
        <v>6.8237846280624126E-2</v>
      </c>
      <c r="V209" s="4">
        <f t="shared" si="72"/>
        <v>4.5303697008209189</v>
      </c>
      <c r="W209" s="8">
        <f t="shared" si="73"/>
        <v>-1.6063589521444932</v>
      </c>
      <c r="X209" s="9">
        <f t="shared" si="74"/>
        <v>1.6070083566205909E-4</v>
      </c>
      <c r="Y209" s="10">
        <f t="shared" si="75"/>
        <v>2.582475858248412E-8</v>
      </c>
    </row>
    <row r="210" spans="1:25" x14ac:dyDescent="0.2">
      <c r="A210" s="3">
        <f>Data!A209</f>
        <v>48060</v>
      </c>
      <c r="B210" s="4">
        <f>Data!B209</f>
        <v>4.125</v>
      </c>
      <c r="C210" s="4">
        <f>Data!C209</f>
        <v>98.031999999999996</v>
      </c>
      <c r="D210" s="4">
        <f>Data!D209</f>
        <v>98.046000000000006</v>
      </c>
      <c r="E210" s="4">
        <f>Data!F209</f>
        <v>4.55</v>
      </c>
      <c r="F210" s="7">
        <f t="shared" si="57"/>
        <v>98.1484375</v>
      </c>
      <c r="G210" s="3">
        <f t="shared" si="58"/>
        <v>46234</v>
      </c>
      <c r="H210" s="3">
        <f t="shared" si="59"/>
        <v>46418</v>
      </c>
      <c r="I210">
        <f t="shared" si="60"/>
        <v>39</v>
      </c>
      <c r="J210">
        <f t="shared" si="61"/>
        <v>184</v>
      </c>
      <c r="K210" s="7">
        <f t="shared" si="62"/>
        <v>0.43716032608695654</v>
      </c>
      <c r="L210" s="7">
        <f t="shared" si="63"/>
        <v>98.585597826086953</v>
      </c>
      <c r="M210" s="4">
        <f t="shared" si="64"/>
        <v>4.5504005597684749</v>
      </c>
      <c r="N210" s="8">
        <f t="shared" si="65"/>
        <v>4.005597684750839E-2</v>
      </c>
      <c r="O210" s="4">
        <f t="shared" si="66"/>
        <v>4.3587952486078292</v>
      </c>
      <c r="P210">
        <f t="shared" si="67"/>
        <v>10</v>
      </c>
      <c r="Q210" s="4">
        <f t="shared" si="68"/>
        <v>4.8958904109589039</v>
      </c>
      <c r="R210">
        <f t="shared" si="69"/>
        <v>1</v>
      </c>
      <c r="S210" s="7">
        <f>SUM(CashFlows!BN210:DU210)</f>
        <v>98.655094500900418</v>
      </c>
      <c r="T210" s="7">
        <f t="shared" si="70"/>
        <v>98.217934174813465</v>
      </c>
      <c r="U210" s="7">
        <f t="shared" si="71"/>
        <v>6.9496674813464665E-2</v>
      </c>
      <c r="V210" s="4">
        <f t="shared" si="72"/>
        <v>4.5342344882893206</v>
      </c>
      <c r="W210" s="8">
        <f t="shared" si="73"/>
        <v>-1.6166071479154276</v>
      </c>
      <c r="X210" s="9">
        <f t="shared" si="74"/>
        <v>1.6172757787649613E-4</v>
      </c>
      <c r="Y210" s="10">
        <f t="shared" si="75"/>
        <v>2.615580944579812E-8</v>
      </c>
    </row>
    <row r="211" spans="1:25" x14ac:dyDescent="0.2">
      <c r="A211" s="3">
        <f>Data!A210</f>
        <v>48060</v>
      </c>
      <c r="B211" s="4">
        <f>Data!B210</f>
        <v>4.375</v>
      </c>
      <c r="C211" s="4">
        <f>Data!C210</f>
        <v>99.070999999999998</v>
      </c>
      <c r="D211" s="4">
        <f>Data!D210</f>
        <v>99.084999999999994</v>
      </c>
      <c r="E211" s="4">
        <f>Data!F210</f>
        <v>4.5419999999999998</v>
      </c>
      <c r="F211" s="7">
        <f t="shared" si="57"/>
        <v>99.26953125</v>
      </c>
      <c r="G211" s="3">
        <f t="shared" si="58"/>
        <v>46234</v>
      </c>
      <c r="H211" s="3">
        <f t="shared" si="59"/>
        <v>46418</v>
      </c>
      <c r="I211">
        <f t="shared" si="60"/>
        <v>39</v>
      </c>
      <c r="J211">
        <f t="shared" si="61"/>
        <v>184</v>
      </c>
      <c r="K211" s="7">
        <f t="shared" si="62"/>
        <v>0.46365489130434784</v>
      </c>
      <c r="L211" s="7">
        <f t="shared" si="63"/>
        <v>99.733186141304344</v>
      </c>
      <c r="M211" s="4">
        <f t="shared" si="64"/>
        <v>4.5422005246484005</v>
      </c>
      <c r="N211" s="8">
        <f t="shared" si="65"/>
        <v>2.0052464840070172E-2</v>
      </c>
      <c r="O211" s="4">
        <f t="shared" si="66"/>
        <v>4.3382727236796415</v>
      </c>
      <c r="P211">
        <f t="shared" si="67"/>
        <v>10</v>
      </c>
      <c r="Q211" s="4">
        <f t="shared" si="68"/>
        <v>4.8958904109589039</v>
      </c>
      <c r="R211">
        <f t="shared" si="69"/>
        <v>1</v>
      </c>
      <c r="S211" s="7">
        <f>SUM(CashFlows!BN211:DU211)</f>
        <v>99.769720400235656</v>
      </c>
      <c r="T211" s="7">
        <f t="shared" si="70"/>
        <v>99.306065508931312</v>
      </c>
      <c r="U211" s="7">
        <f t="shared" si="71"/>
        <v>3.653425893131157E-2</v>
      </c>
      <c r="V211" s="4">
        <f t="shared" si="72"/>
        <v>4.5337584305686249</v>
      </c>
      <c r="W211" s="8">
        <f t="shared" si="73"/>
        <v>-0.84420940797755861</v>
      </c>
      <c r="X211" s="9">
        <f t="shared" si="74"/>
        <v>8.4439131683035741E-5</v>
      </c>
      <c r="Y211" s="10">
        <f t="shared" si="75"/>
        <v>7.12996695938505E-9</v>
      </c>
    </row>
    <row r="212" spans="1:25" x14ac:dyDescent="0.2">
      <c r="A212" s="3">
        <f>Data!A211</f>
        <v>48075</v>
      </c>
      <c r="B212" s="4">
        <f>Data!B211</f>
        <v>1.25</v>
      </c>
      <c r="C212" s="4">
        <f>Data!C211</f>
        <v>85.153999999999996</v>
      </c>
      <c r="D212" s="4">
        <f>Data!D211</f>
        <v>85.17</v>
      </c>
      <c r="E212" s="4">
        <f>Data!F211</f>
        <v>4.5570000000000004</v>
      </c>
      <c r="F212" s="7">
        <f t="shared" si="57"/>
        <v>85.53125</v>
      </c>
      <c r="G212" s="3">
        <f t="shared" si="58"/>
        <v>46249</v>
      </c>
      <c r="H212" s="3">
        <f t="shared" si="59"/>
        <v>46433</v>
      </c>
      <c r="I212">
        <f t="shared" si="60"/>
        <v>24</v>
      </c>
      <c r="J212">
        <f t="shared" si="61"/>
        <v>184</v>
      </c>
      <c r="K212" s="7">
        <f t="shared" si="62"/>
        <v>8.1521739130434784E-2</v>
      </c>
      <c r="L212" s="7">
        <f t="shared" si="63"/>
        <v>85.612771739130437</v>
      </c>
      <c r="M212" s="4">
        <f t="shared" si="64"/>
        <v>4.5569632628865353</v>
      </c>
      <c r="N212" s="8">
        <f t="shared" si="65"/>
        <v>-3.6737113465079574E-3</v>
      </c>
      <c r="O212" s="4">
        <f t="shared" si="66"/>
        <v>4.676367276479974</v>
      </c>
      <c r="P212">
        <f t="shared" si="67"/>
        <v>10</v>
      </c>
      <c r="Q212" s="4">
        <f t="shared" si="68"/>
        <v>4.9369863013698634</v>
      </c>
      <c r="R212">
        <f t="shared" si="69"/>
        <v>1</v>
      </c>
      <c r="S212" s="7">
        <f>SUM(CashFlows!BN212:DU212)</f>
        <v>85.672848734083701</v>
      </c>
      <c r="T212" s="7">
        <f t="shared" si="70"/>
        <v>85.591326994953263</v>
      </c>
      <c r="U212" s="7">
        <f t="shared" si="71"/>
        <v>6.0076994953263352E-2</v>
      </c>
      <c r="V212" s="4">
        <f t="shared" si="72"/>
        <v>4.5419633177715264</v>
      </c>
      <c r="W212" s="8">
        <f t="shared" si="73"/>
        <v>-1.4999945115008906</v>
      </c>
      <c r="X212" s="9">
        <f t="shared" si="74"/>
        <v>1.5005864849534101E-4</v>
      </c>
      <c r="Y212" s="10">
        <f t="shared" si="75"/>
        <v>2.2517597988248309E-8</v>
      </c>
    </row>
    <row r="213" spans="1:25" x14ac:dyDescent="0.2">
      <c r="A213" s="3">
        <f>Data!A212</f>
        <v>48091</v>
      </c>
      <c r="B213" s="4">
        <f>Data!B212</f>
        <v>3.75</v>
      </c>
      <c r="C213" s="4">
        <f>Data!C212</f>
        <v>96.126000000000005</v>
      </c>
      <c r="D213" s="4">
        <f>Data!D212</f>
        <v>96.141999999999996</v>
      </c>
      <c r="E213" s="4">
        <f>Data!F212</f>
        <v>4.556</v>
      </c>
      <c r="F213" s="7">
        <f t="shared" si="57"/>
        <v>96.4453125</v>
      </c>
      <c r="G213" s="3">
        <f t="shared" si="58"/>
        <v>46265</v>
      </c>
      <c r="H213" s="3">
        <f t="shared" si="59"/>
        <v>46446</v>
      </c>
      <c r="I213">
        <f t="shared" si="60"/>
        <v>8</v>
      </c>
      <c r="J213">
        <f t="shared" si="61"/>
        <v>181</v>
      </c>
      <c r="K213" s="7">
        <f t="shared" si="62"/>
        <v>8.2872928176795577E-2</v>
      </c>
      <c r="L213" s="7">
        <f t="shared" si="63"/>
        <v>96.528185428176798</v>
      </c>
      <c r="M213" s="4">
        <f t="shared" si="64"/>
        <v>4.5559946668794593</v>
      </c>
      <c r="N213" s="8">
        <f t="shared" si="65"/>
        <v>-5.3331205407403104E-4</v>
      </c>
      <c r="O213" s="4">
        <f t="shared" si="66"/>
        <v>4.4727131221162937</v>
      </c>
      <c r="P213">
        <f t="shared" si="67"/>
        <v>10</v>
      </c>
      <c r="Q213" s="4">
        <f t="shared" si="68"/>
        <v>4.9808219178082194</v>
      </c>
      <c r="R213">
        <f t="shared" si="69"/>
        <v>1</v>
      </c>
      <c r="S213" s="7">
        <f>SUM(CashFlows!BN213:DU213)</f>
        <v>96.604426975417283</v>
      </c>
      <c r="T213" s="7">
        <f t="shared" si="70"/>
        <v>96.521554047240485</v>
      </c>
      <c r="U213" s="7">
        <f t="shared" si="71"/>
        <v>7.6241547240485374E-2</v>
      </c>
      <c r="V213" s="4">
        <f t="shared" si="72"/>
        <v>4.5383437603493508</v>
      </c>
      <c r="W213" s="8">
        <f t="shared" si="73"/>
        <v>-1.7650906530108479</v>
      </c>
      <c r="X213" s="9">
        <f t="shared" si="74"/>
        <v>1.7659016624580398E-4</v>
      </c>
      <c r="Y213" s="10">
        <f t="shared" si="75"/>
        <v>3.1184086814720689E-8</v>
      </c>
    </row>
    <row r="214" spans="1:25" x14ac:dyDescent="0.2">
      <c r="A214" s="3">
        <f>Data!A213</f>
        <v>48091</v>
      </c>
      <c r="B214" s="4">
        <f>Data!B213</f>
        <v>4.375</v>
      </c>
      <c r="C214" s="4">
        <f>Data!C213</f>
        <v>99.07</v>
      </c>
      <c r="D214" s="4">
        <f>Data!D213</f>
        <v>99.084000000000003</v>
      </c>
      <c r="E214" s="4">
        <f>Data!F213</f>
        <v>4.5410000000000004</v>
      </c>
      <c r="F214" s="7">
        <f t="shared" si="57"/>
        <v>99.265625</v>
      </c>
      <c r="G214" s="3">
        <f t="shared" si="58"/>
        <v>46265</v>
      </c>
      <c r="H214" s="3">
        <f t="shared" si="59"/>
        <v>46446</v>
      </c>
      <c r="I214">
        <f t="shared" si="60"/>
        <v>8</v>
      </c>
      <c r="J214">
        <f t="shared" si="61"/>
        <v>181</v>
      </c>
      <c r="K214" s="7">
        <f t="shared" si="62"/>
        <v>9.668508287292818E-2</v>
      </c>
      <c r="L214" s="7">
        <f t="shared" si="63"/>
        <v>99.362310082872924</v>
      </c>
      <c r="M214" s="4">
        <f t="shared" si="64"/>
        <v>4.5412569211997198</v>
      </c>
      <c r="N214" s="8">
        <f t="shared" si="65"/>
        <v>2.5692119971942873E-2</v>
      </c>
      <c r="O214" s="4">
        <f t="shared" si="66"/>
        <v>4.4203206593584081</v>
      </c>
      <c r="P214">
        <f t="shared" si="67"/>
        <v>10</v>
      </c>
      <c r="Q214" s="4">
        <f t="shared" si="68"/>
        <v>4.9808219178082194</v>
      </c>
      <c r="R214">
        <f t="shared" si="69"/>
        <v>1</v>
      </c>
      <c r="S214" s="7">
        <f>SUM(CashFlows!BN214:DU214)</f>
        <v>99.380786978150184</v>
      </c>
      <c r="T214" s="7">
        <f t="shared" si="70"/>
        <v>99.28410189527726</v>
      </c>
      <c r="U214" s="7">
        <f t="shared" si="71"/>
        <v>1.8476895277260041E-2</v>
      </c>
      <c r="V214" s="4">
        <f t="shared" si="72"/>
        <v>4.537050563799121</v>
      </c>
      <c r="W214" s="8">
        <f t="shared" si="73"/>
        <v>-0.42063574005988258</v>
      </c>
      <c r="X214" s="9">
        <f t="shared" si="74"/>
        <v>4.206816244929147E-5</v>
      </c>
      <c r="Y214" s="10">
        <f t="shared" si="75"/>
        <v>1.7697302918599769E-9</v>
      </c>
    </row>
    <row r="215" spans="1:25" x14ac:dyDescent="0.2">
      <c r="A215" s="3">
        <f>Data!A214</f>
        <v>48121</v>
      </c>
      <c r="B215" s="4">
        <f>Data!B214</f>
        <v>3.625</v>
      </c>
      <c r="C215" s="4">
        <f>Data!C214</f>
        <v>95.254000000000005</v>
      </c>
      <c r="D215" s="4">
        <f>Data!D214</f>
        <v>95.27</v>
      </c>
      <c r="E215" s="4">
        <f>Data!F214</f>
        <v>4.5529999999999999</v>
      </c>
      <c r="F215" s="7">
        <f t="shared" si="57"/>
        <v>95.84375</v>
      </c>
      <c r="G215" s="3">
        <f t="shared" si="58"/>
        <v>46112</v>
      </c>
      <c r="H215" s="3">
        <f t="shared" si="59"/>
        <v>46295</v>
      </c>
      <c r="I215">
        <f t="shared" si="60"/>
        <v>161</v>
      </c>
      <c r="J215">
        <f t="shared" si="61"/>
        <v>183</v>
      </c>
      <c r="K215" s="7">
        <f t="shared" si="62"/>
        <v>1.5946038251366119</v>
      </c>
      <c r="L215" s="7">
        <f t="shared" si="63"/>
        <v>97.438353825136616</v>
      </c>
      <c r="M215" s="4">
        <f t="shared" si="64"/>
        <v>4.5534227326108017</v>
      </c>
      <c r="N215" s="8">
        <f t="shared" si="65"/>
        <v>4.2273261080172375E-2</v>
      </c>
      <c r="O215" s="4">
        <f t="shared" si="66"/>
        <v>4.4805398309733713</v>
      </c>
      <c r="P215">
        <f t="shared" si="67"/>
        <v>11</v>
      </c>
      <c r="Q215" s="4">
        <f t="shared" si="68"/>
        <v>5.0630136986301366</v>
      </c>
      <c r="R215">
        <f t="shared" si="69"/>
        <v>1</v>
      </c>
      <c r="S215" s="7">
        <f>SUM(CashFlows!BN215:DU215)</f>
        <v>97.490016387210233</v>
      </c>
      <c r="T215" s="7">
        <f t="shared" si="70"/>
        <v>95.895412562073616</v>
      </c>
      <c r="U215" s="7">
        <f t="shared" si="71"/>
        <v>5.1662562073616414E-2</v>
      </c>
      <c r="V215" s="4">
        <f t="shared" si="72"/>
        <v>4.5415928643287167</v>
      </c>
      <c r="W215" s="8">
        <f t="shared" si="73"/>
        <v>-1.1829868282084988</v>
      </c>
      <c r="X215" s="9">
        <f t="shared" si="74"/>
        <v>1.1833566603804912E-4</v>
      </c>
      <c r="Y215" s="10">
        <f t="shared" si="75"/>
        <v>1.4003329856668692E-8</v>
      </c>
    </row>
    <row r="216" spans="1:25" x14ac:dyDescent="0.2">
      <c r="A216" s="3">
        <f>Data!A215</f>
        <v>48152</v>
      </c>
      <c r="B216" s="4">
        <f>Data!B215</f>
        <v>4.125</v>
      </c>
      <c r="C216" s="4">
        <f>Data!C215</f>
        <v>97.311999999999998</v>
      </c>
      <c r="D216" s="4">
        <f>Data!D215</f>
        <v>98.006</v>
      </c>
      <c r="E216" s="4">
        <f>Data!F215</f>
        <v>4.5590000000000002</v>
      </c>
      <c r="F216" s="7">
        <f t="shared" si="57"/>
        <v>98.0234375</v>
      </c>
      <c r="G216" s="3">
        <f t="shared" si="58"/>
        <v>46142</v>
      </c>
      <c r="H216" s="3">
        <f t="shared" si="59"/>
        <v>46326</v>
      </c>
      <c r="I216">
        <f t="shared" si="60"/>
        <v>131</v>
      </c>
      <c r="J216">
        <f t="shared" si="61"/>
        <v>184</v>
      </c>
      <c r="K216" s="7">
        <f t="shared" si="62"/>
        <v>1.4684103260869565</v>
      </c>
      <c r="L216" s="7">
        <f t="shared" si="63"/>
        <v>99.491847826086953</v>
      </c>
      <c r="M216" s="4">
        <f t="shared" si="64"/>
        <v>4.5593553809044574</v>
      </c>
      <c r="N216" s="8">
        <f t="shared" si="65"/>
        <v>3.5538090445719206E-2</v>
      </c>
      <c r="O216" s="4">
        <f t="shared" si="66"/>
        <v>4.5110257460054255</v>
      </c>
      <c r="P216">
        <f t="shared" si="67"/>
        <v>11</v>
      </c>
      <c r="Q216" s="4">
        <f t="shared" si="68"/>
        <v>5.1479452054794521</v>
      </c>
      <c r="R216">
        <f t="shared" si="69"/>
        <v>1</v>
      </c>
      <c r="S216" s="7">
        <f>SUM(CashFlows!BN216:DU216)</f>
        <v>99.559946557971472</v>
      </c>
      <c r="T216" s="7">
        <f t="shared" si="70"/>
        <v>98.091536231884518</v>
      </c>
      <c r="U216" s="7">
        <f t="shared" si="71"/>
        <v>6.8098731884518315E-2</v>
      </c>
      <c r="V216" s="4">
        <f t="shared" si="72"/>
        <v>4.5441883594752719</v>
      </c>
      <c r="W216" s="8">
        <f t="shared" si="73"/>
        <v>-1.5167021429185468</v>
      </c>
      <c r="X216" s="9">
        <f t="shared" si="74"/>
        <v>1.5173166446437231E-4</v>
      </c>
      <c r="Y216" s="10">
        <f t="shared" si="75"/>
        <v>2.3022498001128863E-8</v>
      </c>
    </row>
    <row r="217" spans="1:25" x14ac:dyDescent="0.2">
      <c r="A217" s="3">
        <f>Data!A216</f>
        <v>48167</v>
      </c>
      <c r="B217" s="4">
        <f>Data!B216</f>
        <v>1.375</v>
      </c>
      <c r="C217" s="4">
        <f>Data!C216</f>
        <v>85.103999999999999</v>
      </c>
      <c r="D217" s="4">
        <f>Data!D216</f>
        <v>85.12</v>
      </c>
      <c r="E217" s="4">
        <f>Data!F216</f>
        <v>4.5750000000000002</v>
      </c>
      <c r="F217" s="7">
        <f t="shared" si="57"/>
        <v>85.375</v>
      </c>
      <c r="G217" s="3">
        <f t="shared" si="58"/>
        <v>46157</v>
      </c>
      <c r="H217" s="3">
        <f t="shared" si="59"/>
        <v>46341</v>
      </c>
      <c r="I217">
        <f t="shared" si="60"/>
        <v>116</v>
      </c>
      <c r="J217">
        <f t="shared" si="61"/>
        <v>184</v>
      </c>
      <c r="K217" s="7">
        <f t="shared" si="62"/>
        <v>0.43342391304347827</v>
      </c>
      <c r="L217" s="7">
        <f t="shared" si="63"/>
        <v>85.808423913043484</v>
      </c>
      <c r="M217" s="4">
        <f t="shared" si="64"/>
        <v>4.5751209231309469</v>
      </c>
      <c r="N217" s="8">
        <f t="shared" si="65"/>
        <v>1.2092313094669294E-2</v>
      </c>
      <c r="O217" s="4">
        <f t="shared" si="66"/>
        <v>4.8689297819183324</v>
      </c>
      <c r="P217">
        <f t="shared" si="67"/>
        <v>11</v>
      </c>
      <c r="Q217" s="4">
        <f t="shared" si="68"/>
        <v>5.1890410958904107</v>
      </c>
      <c r="R217">
        <f t="shared" si="69"/>
        <v>1</v>
      </c>
      <c r="S217" s="7">
        <f>SUM(CashFlows!BN217:DU217)</f>
        <v>85.903479292148972</v>
      </c>
      <c r="T217" s="7">
        <f t="shared" si="70"/>
        <v>85.470055379105489</v>
      </c>
      <c r="U217" s="7">
        <f t="shared" si="71"/>
        <v>9.5055379105488669E-2</v>
      </c>
      <c r="V217" s="4">
        <f t="shared" si="72"/>
        <v>4.5523834589783627</v>
      </c>
      <c r="W217" s="8">
        <f t="shared" si="73"/>
        <v>-2.2737464152584153</v>
      </c>
      <c r="X217" s="9">
        <f t="shared" si="74"/>
        <v>2.2751669050922267E-4</v>
      </c>
      <c r="Y217" s="10">
        <f t="shared" si="75"/>
        <v>5.1763844460269415E-8</v>
      </c>
    </row>
    <row r="218" spans="1:25" x14ac:dyDescent="0.2">
      <c r="A218" s="3">
        <f>Data!A217</f>
        <v>48182</v>
      </c>
      <c r="B218" s="4">
        <f>Data!B217</f>
        <v>4.125</v>
      </c>
      <c r="C218" s="4">
        <f>Data!C217</f>
        <v>97.293999999999997</v>
      </c>
      <c r="D218" s="4">
        <f>Data!D217</f>
        <v>97.31</v>
      </c>
      <c r="E218" s="4">
        <f>Data!F217</f>
        <v>4.5650000000000004</v>
      </c>
      <c r="F218" s="7">
        <f t="shared" si="57"/>
        <v>97.96875</v>
      </c>
      <c r="G218" s="3">
        <f t="shared" si="58"/>
        <v>46173</v>
      </c>
      <c r="H218" s="3">
        <f t="shared" si="59"/>
        <v>46356</v>
      </c>
      <c r="I218">
        <f t="shared" si="60"/>
        <v>100</v>
      </c>
      <c r="J218">
        <f t="shared" si="61"/>
        <v>183</v>
      </c>
      <c r="K218" s="7">
        <f t="shared" si="62"/>
        <v>1.1270491803278688</v>
      </c>
      <c r="L218" s="7">
        <f t="shared" si="63"/>
        <v>99.095799180327873</v>
      </c>
      <c r="M218" s="4">
        <f t="shared" si="64"/>
        <v>4.5649732624616428</v>
      </c>
      <c r="N218" s="8">
        <f t="shared" si="65"/>
        <v>-2.6737538357579638E-3</v>
      </c>
      <c r="O218" s="4">
        <f t="shared" si="66"/>
        <v>4.5917229239097859</v>
      </c>
      <c r="P218">
        <f t="shared" si="67"/>
        <v>11</v>
      </c>
      <c r="Q218" s="4">
        <f t="shared" si="68"/>
        <v>5.2301369863013702</v>
      </c>
      <c r="R218">
        <f t="shared" si="69"/>
        <v>1</v>
      </c>
      <c r="S218" s="7">
        <f>SUM(CashFlows!BN218:DU218)</f>
        <v>99.178609860464121</v>
      </c>
      <c r="T218" s="7">
        <f t="shared" si="70"/>
        <v>98.051560680136248</v>
      </c>
      <c r="U218" s="7">
        <f t="shared" si="71"/>
        <v>8.2810680136248038E-2</v>
      </c>
      <c r="V218" s="4">
        <f t="shared" si="72"/>
        <v>4.5467828969308437</v>
      </c>
      <c r="W218" s="8">
        <f t="shared" si="73"/>
        <v>-1.8190365530799113</v>
      </c>
      <c r="X218" s="9">
        <f t="shared" si="74"/>
        <v>1.8199331400169504E-4</v>
      </c>
      <c r="Y218" s="10">
        <f t="shared" si="75"/>
        <v>3.3121566341319567E-8</v>
      </c>
    </row>
    <row r="219" spans="1:25" x14ac:dyDescent="0.2">
      <c r="A219" s="3">
        <f>Data!A218</f>
        <v>48213</v>
      </c>
      <c r="B219" s="4">
        <f>Data!B218</f>
        <v>4.5</v>
      </c>
      <c r="C219" s="4">
        <f>Data!C218</f>
        <v>99.201999999999998</v>
      </c>
      <c r="D219" s="4">
        <f>Data!D218</f>
        <v>99.215999999999994</v>
      </c>
      <c r="E219" s="4">
        <f>Data!F218</f>
        <v>4.5670000000000002</v>
      </c>
      <c r="F219" s="7">
        <f t="shared" si="57"/>
        <v>99.6796875</v>
      </c>
      <c r="G219" s="3">
        <f t="shared" si="58"/>
        <v>46203</v>
      </c>
      <c r="H219" s="3">
        <f t="shared" si="59"/>
        <v>46387</v>
      </c>
      <c r="I219">
        <f t="shared" si="60"/>
        <v>70</v>
      </c>
      <c r="J219">
        <f t="shared" si="61"/>
        <v>184</v>
      </c>
      <c r="K219" s="7">
        <f t="shared" si="62"/>
        <v>0.85597826086956519</v>
      </c>
      <c r="L219" s="7">
        <f t="shared" si="63"/>
        <v>100.53566576086956</v>
      </c>
      <c r="M219" s="4">
        <f t="shared" si="64"/>
        <v>4.5673366505622486</v>
      </c>
      <c r="N219" s="8">
        <f t="shared" si="65"/>
        <v>3.3665056224840839E-2</v>
      </c>
      <c r="O219" s="4">
        <f t="shared" si="66"/>
        <v>4.6359017420256938</v>
      </c>
      <c r="P219">
        <f t="shared" si="67"/>
        <v>11</v>
      </c>
      <c r="Q219" s="4">
        <f t="shared" si="68"/>
        <v>5.3150684931506849</v>
      </c>
      <c r="R219">
        <f t="shared" si="69"/>
        <v>1</v>
      </c>
      <c r="S219" s="7">
        <f>SUM(CashFlows!BN219:DU219)</f>
        <v>100.61328271313427</v>
      </c>
      <c r="T219" s="7">
        <f t="shared" si="70"/>
        <v>99.757304452264705</v>
      </c>
      <c r="U219" s="7">
        <f t="shared" si="71"/>
        <v>7.7616952264705219E-2</v>
      </c>
      <c r="V219" s="4">
        <f t="shared" si="72"/>
        <v>4.5506908666894947</v>
      </c>
      <c r="W219" s="8">
        <f t="shared" si="73"/>
        <v>-1.6645783872753839</v>
      </c>
      <c r="X219" s="9">
        <f t="shared" si="74"/>
        <v>1.6653372823750194E-4</v>
      </c>
      <c r="Y219" s="10">
        <f t="shared" si="75"/>
        <v>2.7733482640682151E-8</v>
      </c>
    </row>
    <row r="220" spans="1:25" x14ac:dyDescent="0.2">
      <c r="A220" s="3">
        <f>Data!A219</f>
        <v>48244</v>
      </c>
      <c r="B220" s="4">
        <f>Data!B219</f>
        <v>4.375</v>
      </c>
      <c r="C220" s="4">
        <f>Data!C219</f>
        <v>99</v>
      </c>
      <c r="D220" s="4">
        <f>Data!D219</f>
        <v>99.013999999999996</v>
      </c>
      <c r="E220" s="4">
        <f>Data!F219</f>
        <v>4.5759999999999996</v>
      </c>
      <c r="F220" s="7">
        <f t="shared" si="57"/>
        <v>99.046875</v>
      </c>
      <c r="G220" s="3">
        <f t="shared" si="58"/>
        <v>46234</v>
      </c>
      <c r="H220" s="3">
        <f t="shared" si="59"/>
        <v>46418</v>
      </c>
      <c r="I220">
        <f t="shared" si="60"/>
        <v>39</v>
      </c>
      <c r="J220">
        <f t="shared" si="61"/>
        <v>184</v>
      </c>
      <c r="K220" s="7">
        <f t="shared" si="62"/>
        <v>0.46365489130434784</v>
      </c>
      <c r="L220" s="7">
        <f t="shared" si="63"/>
        <v>99.510529891304344</v>
      </c>
      <c r="M220" s="4">
        <f t="shared" si="64"/>
        <v>4.575533790194199</v>
      </c>
      <c r="N220" s="8">
        <f t="shared" si="65"/>
        <v>-4.6620980580058813E-2</v>
      </c>
      <c r="O220" s="4">
        <f t="shared" si="66"/>
        <v>4.7300851041264114</v>
      </c>
      <c r="P220">
        <f t="shared" si="67"/>
        <v>11</v>
      </c>
      <c r="Q220" s="4">
        <f t="shared" si="68"/>
        <v>5.4</v>
      </c>
      <c r="R220">
        <f t="shared" si="69"/>
        <v>1</v>
      </c>
      <c r="S220" s="7">
        <f>SUM(CashFlows!BN220:DU220)</f>
        <v>99.608091738887808</v>
      </c>
      <c r="T220" s="7">
        <f t="shared" si="70"/>
        <v>99.144436847583464</v>
      </c>
      <c r="U220" s="7">
        <f t="shared" si="71"/>
        <v>9.7561847583463646E-2</v>
      </c>
      <c r="V220" s="4">
        <f t="shared" si="72"/>
        <v>4.5548184525955291</v>
      </c>
      <c r="W220" s="8">
        <f t="shared" si="73"/>
        <v>-2.0715337598669947</v>
      </c>
      <c r="X220" s="9">
        <f t="shared" si="74"/>
        <v>2.0727266085097506E-4</v>
      </c>
      <c r="Y220" s="10">
        <f t="shared" si="75"/>
        <v>4.2961955936243331E-8</v>
      </c>
    </row>
    <row r="221" spans="1:25" x14ac:dyDescent="0.2">
      <c r="A221" s="3">
        <f>Data!A220</f>
        <v>48259</v>
      </c>
      <c r="B221" s="4">
        <f>Data!B220</f>
        <v>1.875</v>
      </c>
      <c r="C221" s="4">
        <f>Data!C220</f>
        <v>87.006</v>
      </c>
      <c r="D221" s="4">
        <f>Data!D220</f>
        <v>87.022000000000006</v>
      </c>
      <c r="E221" s="4">
        <f>Data!F220</f>
        <v>4.59</v>
      </c>
      <c r="F221" s="7">
        <f t="shared" si="57"/>
        <v>87.0703125</v>
      </c>
      <c r="G221" s="3">
        <f t="shared" si="58"/>
        <v>46249</v>
      </c>
      <c r="H221" s="3">
        <f t="shared" si="59"/>
        <v>46433</v>
      </c>
      <c r="I221">
        <f t="shared" si="60"/>
        <v>24</v>
      </c>
      <c r="J221">
        <f t="shared" si="61"/>
        <v>184</v>
      </c>
      <c r="K221" s="7">
        <f t="shared" si="62"/>
        <v>0.12228260869565218</v>
      </c>
      <c r="L221" s="7">
        <f t="shared" si="63"/>
        <v>87.192595108695656</v>
      </c>
      <c r="M221" s="4">
        <f t="shared" si="64"/>
        <v>4.5899221548402789</v>
      </c>
      <c r="N221" s="8">
        <f t="shared" si="65"/>
        <v>-7.7845159720979495E-3</v>
      </c>
      <c r="O221" s="4">
        <f t="shared" si="66"/>
        <v>5.0476982872436613</v>
      </c>
      <c r="P221">
        <f t="shared" si="67"/>
        <v>11</v>
      </c>
      <c r="Q221" s="4">
        <f t="shared" si="68"/>
        <v>5.441095890410959</v>
      </c>
      <c r="R221">
        <f t="shared" si="69"/>
        <v>1</v>
      </c>
      <c r="S221" s="7">
        <f>SUM(CashFlows!BN221:DU221)</f>
        <v>87.312884662914598</v>
      </c>
      <c r="T221" s="7">
        <f t="shared" si="70"/>
        <v>87.190602054218942</v>
      </c>
      <c r="U221" s="7">
        <f t="shared" si="71"/>
        <v>0.12028955421894238</v>
      </c>
      <c r="V221" s="4">
        <f t="shared" si="72"/>
        <v>4.562612481763419</v>
      </c>
      <c r="W221" s="8">
        <f t="shared" si="73"/>
        <v>-2.7309673076859831</v>
      </c>
      <c r="X221" s="9">
        <f t="shared" si="74"/>
        <v>2.7330962323964247E-4</v>
      </c>
      <c r="Y221" s="10">
        <f t="shared" si="75"/>
        <v>7.4698150155395314E-8</v>
      </c>
    </row>
    <row r="222" spans="1:25" x14ac:dyDescent="0.2">
      <c r="A222" s="3">
        <f>Data!A221</f>
        <v>48273</v>
      </c>
      <c r="B222" s="4">
        <f>Data!B221</f>
        <v>4.125</v>
      </c>
      <c r="C222" s="4">
        <f>Data!C221</f>
        <v>97.251999999999995</v>
      </c>
      <c r="D222" s="4">
        <f>Data!D221</f>
        <v>97.266000000000005</v>
      </c>
      <c r="E222" s="4">
        <f>Data!F221</f>
        <v>4.5759999999999996</v>
      </c>
      <c r="F222" s="7">
        <f t="shared" si="57"/>
        <v>97.8359375</v>
      </c>
      <c r="G222" s="3">
        <f t="shared" si="58"/>
        <v>46265</v>
      </c>
      <c r="H222" s="3">
        <f t="shared" si="59"/>
        <v>46446</v>
      </c>
      <c r="I222">
        <f t="shared" si="60"/>
        <v>8</v>
      </c>
      <c r="J222">
        <f t="shared" si="61"/>
        <v>181</v>
      </c>
      <c r="K222" s="7">
        <f t="shared" si="62"/>
        <v>9.1160220994475141E-2</v>
      </c>
      <c r="L222" s="7">
        <f t="shared" si="63"/>
        <v>97.927097720994482</v>
      </c>
      <c r="M222" s="4">
        <f t="shared" si="64"/>
        <v>4.5759066590890383</v>
      </c>
      <c r="N222" s="8">
        <f t="shared" si="65"/>
        <v>-9.3340910961359214E-3</v>
      </c>
      <c r="O222" s="4">
        <f t="shared" si="66"/>
        <v>4.8368167469943142</v>
      </c>
      <c r="P222">
        <f t="shared" si="67"/>
        <v>11</v>
      </c>
      <c r="Q222" s="4">
        <f t="shared" si="68"/>
        <v>5.4794520547945202</v>
      </c>
      <c r="R222">
        <f t="shared" si="69"/>
        <v>1</v>
      </c>
      <c r="S222" s="7">
        <f>SUM(CashFlows!BN222:DU222)</f>
        <v>98.027979868748787</v>
      </c>
      <c r="T222" s="7">
        <f t="shared" si="70"/>
        <v>97.936819647754305</v>
      </c>
      <c r="U222" s="7">
        <f t="shared" si="71"/>
        <v>0.10088214775430515</v>
      </c>
      <c r="V222" s="4">
        <f t="shared" si="72"/>
        <v>4.5546208140285636</v>
      </c>
      <c r="W222" s="8">
        <f t="shared" si="73"/>
        <v>-2.1285845060474706</v>
      </c>
      <c r="X222" s="9">
        <f t="shared" si="74"/>
        <v>2.1298636554176951E-4</v>
      </c>
      <c r="Y222" s="10">
        <f t="shared" si="75"/>
        <v>4.5363191906692262E-8</v>
      </c>
    </row>
    <row r="223" spans="1:25" x14ac:dyDescent="0.2">
      <c r="A223" s="3">
        <f>Data!A222</f>
        <v>48304</v>
      </c>
      <c r="B223" s="4">
        <f>Data!B222</f>
        <v>4.125</v>
      </c>
      <c r="C223" s="4">
        <f>Data!C222</f>
        <v>97.233999999999995</v>
      </c>
      <c r="D223" s="4">
        <f>Data!D222</f>
        <v>97.25</v>
      </c>
      <c r="E223" s="4">
        <f>Data!F222</f>
        <v>4.5810000000000004</v>
      </c>
      <c r="F223" s="7">
        <f t="shared" si="57"/>
        <v>97.78125</v>
      </c>
      <c r="G223" s="3">
        <f t="shared" si="58"/>
        <v>46112</v>
      </c>
      <c r="H223" s="3">
        <f t="shared" si="59"/>
        <v>46295</v>
      </c>
      <c r="I223">
        <f t="shared" si="60"/>
        <v>161</v>
      </c>
      <c r="J223">
        <f t="shared" si="61"/>
        <v>183</v>
      </c>
      <c r="K223" s="7">
        <f t="shared" si="62"/>
        <v>1.8145491803278688</v>
      </c>
      <c r="L223" s="7">
        <f t="shared" si="63"/>
        <v>99.595799180327873</v>
      </c>
      <c r="M223" s="4">
        <f t="shared" si="64"/>
        <v>4.5810428669604617</v>
      </c>
      <c r="N223" s="8">
        <f t="shared" si="65"/>
        <v>4.2866960461296344E-3</v>
      </c>
      <c r="O223" s="4">
        <f t="shared" si="66"/>
        <v>4.8166502200991399</v>
      </c>
      <c r="P223">
        <f t="shared" si="67"/>
        <v>12</v>
      </c>
      <c r="Q223" s="4">
        <f t="shared" si="68"/>
        <v>5.5643835616438357</v>
      </c>
      <c r="R223">
        <f t="shared" si="69"/>
        <v>1</v>
      </c>
      <c r="S223" s="7">
        <f>SUM(CashFlows!BN223:DU223)</f>
        <v>99.696180683176408</v>
      </c>
      <c r="T223" s="7">
        <f t="shared" si="70"/>
        <v>97.881631502848535</v>
      </c>
      <c r="U223" s="7">
        <f t="shared" si="71"/>
        <v>0.10038150284853486</v>
      </c>
      <c r="V223" s="4">
        <f t="shared" si="72"/>
        <v>4.5601302739636429</v>
      </c>
      <c r="W223" s="8">
        <f t="shared" si="73"/>
        <v>-2.0912592996818802</v>
      </c>
      <c r="X223" s="9">
        <f t="shared" si="74"/>
        <v>2.0925101008391122E-4</v>
      </c>
      <c r="Y223" s="10">
        <f t="shared" si="75"/>
        <v>4.3785985221137119E-8</v>
      </c>
    </row>
    <row r="224" spans="1:25" x14ac:dyDescent="0.2">
      <c r="A224" s="3">
        <f>Data!A223</f>
        <v>48334</v>
      </c>
      <c r="B224" s="4">
        <f>Data!B223</f>
        <v>4</v>
      </c>
      <c r="C224" s="4">
        <f>Data!C223</f>
        <v>97.022000000000006</v>
      </c>
      <c r="D224" s="4">
        <f>Data!D223</f>
        <v>97.036000000000001</v>
      </c>
      <c r="E224" s="4">
        <f>Data!F223</f>
        <v>4.585</v>
      </c>
      <c r="F224" s="7">
        <f t="shared" si="57"/>
        <v>97.1171875</v>
      </c>
      <c r="G224" s="3">
        <f t="shared" si="58"/>
        <v>46142</v>
      </c>
      <c r="H224" s="3">
        <f t="shared" si="59"/>
        <v>46326</v>
      </c>
      <c r="I224">
        <f t="shared" si="60"/>
        <v>131</v>
      </c>
      <c r="J224">
        <f t="shared" si="61"/>
        <v>184</v>
      </c>
      <c r="K224" s="7">
        <f t="shared" si="62"/>
        <v>1.423913043478261</v>
      </c>
      <c r="L224" s="7">
        <f t="shared" si="63"/>
        <v>98.541100543478265</v>
      </c>
      <c r="M224" s="4">
        <f t="shared" si="64"/>
        <v>4.5845559871868806</v>
      </c>
      <c r="N224" s="8">
        <f t="shared" si="65"/>
        <v>-4.4401281311934326E-2</v>
      </c>
      <c r="O224" s="4">
        <f t="shared" si="66"/>
        <v>4.9132686443280669</v>
      </c>
      <c r="P224">
        <f t="shared" si="67"/>
        <v>12</v>
      </c>
      <c r="Q224" s="4">
        <f t="shared" si="68"/>
        <v>5.646575342465753</v>
      </c>
      <c r="R224">
        <f t="shared" si="69"/>
        <v>1</v>
      </c>
      <c r="S224" s="7">
        <f>SUM(CashFlows!BN224:DU224)</f>
        <v>98.649050878988689</v>
      </c>
      <c r="T224" s="7">
        <f t="shared" si="70"/>
        <v>97.225137835510424</v>
      </c>
      <c r="U224" s="7">
        <f t="shared" si="71"/>
        <v>0.10795033551042366</v>
      </c>
      <c r="V224" s="4">
        <f t="shared" si="72"/>
        <v>4.5622739197284838</v>
      </c>
      <c r="W224" s="8">
        <f t="shared" si="73"/>
        <v>-2.2282067458396781</v>
      </c>
      <c r="X224" s="9">
        <f t="shared" si="74"/>
        <v>2.2296468293125335E-4</v>
      </c>
      <c r="Y224" s="10">
        <f t="shared" si="75"/>
        <v>4.9713249834634337E-8</v>
      </c>
    </row>
    <row r="225" spans="1:25" x14ac:dyDescent="0.2">
      <c r="A225" s="3">
        <f>Data!A224</f>
        <v>48349</v>
      </c>
      <c r="B225" s="4">
        <f>Data!B224</f>
        <v>2.875</v>
      </c>
      <c r="C225" s="4">
        <f>Data!C224</f>
        <v>91.134</v>
      </c>
      <c r="D225" s="4">
        <f>Data!D224</f>
        <v>91.15</v>
      </c>
      <c r="E225" s="4">
        <f>Data!F224</f>
        <v>4.5970000000000004</v>
      </c>
      <c r="F225" s="7">
        <f t="shared" si="57"/>
        <v>91.46875</v>
      </c>
      <c r="G225" s="3">
        <f t="shared" si="58"/>
        <v>46157</v>
      </c>
      <c r="H225" s="3">
        <f t="shared" si="59"/>
        <v>46341</v>
      </c>
      <c r="I225">
        <f t="shared" si="60"/>
        <v>116</v>
      </c>
      <c r="J225">
        <f t="shared" si="61"/>
        <v>184</v>
      </c>
      <c r="K225" s="7">
        <f t="shared" si="62"/>
        <v>0.90625</v>
      </c>
      <c r="L225" s="7">
        <f t="shared" si="63"/>
        <v>92.375</v>
      </c>
      <c r="M225" s="4">
        <f t="shared" si="64"/>
        <v>4.5966369730999848</v>
      </c>
      <c r="N225" s="8">
        <f t="shared" si="65"/>
        <v>-3.6302690001566162E-2</v>
      </c>
      <c r="O225" s="4">
        <f t="shared" si="66"/>
        <v>5.0947283254386093</v>
      </c>
      <c r="P225">
        <f t="shared" si="67"/>
        <v>12</v>
      </c>
      <c r="Q225" s="4">
        <f t="shared" si="68"/>
        <v>5.6876712328767125</v>
      </c>
      <c r="R225">
        <f t="shared" si="69"/>
        <v>1</v>
      </c>
      <c r="S225" s="7">
        <f>SUM(CashFlows!BN225:DU225)</f>
        <v>92.514441916165651</v>
      </c>
      <c r="T225" s="7">
        <f t="shared" si="70"/>
        <v>91.608191916165651</v>
      </c>
      <c r="U225" s="7">
        <f t="shared" si="71"/>
        <v>0.13944191616565149</v>
      </c>
      <c r="V225" s="4">
        <f t="shared" si="72"/>
        <v>4.5670337334641413</v>
      </c>
      <c r="W225" s="8">
        <f t="shared" si="73"/>
        <v>-2.9603239635843437</v>
      </c>
      <c r="X225" s="9">
        <f t="shared" si="74"/>
        <v>2.9629059104264077E-4</v>
      </c>
      <c r="Y225" s="10">
        <f t="shared" si="75"/>
        <v>8.7788114340397403E-8</v>
      </c>
    </row>
    <row r="226" spans="1:25" x14ac:dyDescent="0.2">
      <c r="A226" s="3">
        <f>Data!A225</f>
        <v>48365</v>
      </c>
      <c r="B226" s="4">
        <f>Data!B225</f>
        <v>4.125</v>
      </c>
      <c r="C226" s="4">
        <f>Data!C225</f>
        <v>97.2</v>
      </c>
      <c r="D226" s="4">
        <f>Data!D225</f>
        <v>97.213999999999999</v>
      </c>
      <c r="E226" s="4">
        <f>Data!F225</f>
        <v>4.5910000000000002</v>
      </c>
      <c r="F226" s="7">
        <f t="shared" si="57"/>
        <v>97.671875</v>
      </c>
      <c r="G226" s="3">
        <f t="shared" si="58"/>
        <v>46173</v>
      </c>
      <c r="H226" s="3">
        <f t="shared" si="59"/>
        <v>46356</v>
      </c>
      <c r="I226">
        <f t="shared" si="60"/>
        <v>100</v>
      </c>
      <c r="J226">
        <f t="shared" si="61"/>
        <v>183</v>
      </c>
      <c r="K226" s="7">
        <f t="shared" si="62"/>
        <v>1.1270491803278688</v>
      </c>
      <c r="L226" s="7">
        <f t="shared" si="63"/>
        <v>98.798924180327873</v>
      </c>
      <c r="M226" s="4">
        <f t="shared" si="64"/>
        <v>4.590769564997597</v>
      </c>
      <c r="N226" s="8">
        <f t="shared" si="65"/>
        <v>-2.3043500240316206E-2</v>
      </c>
      <c r="O226" s="4">
        <f t="shared" si="66"/>
        <v>4.9791550002778511</v>
      </c>
      <c r="P226">
        <f t="shared" si="67"/>
        <v>12</v>
      </c>
      <c r="Q226" s="4">
        <f t="shared" si="68"/>
        <v>5.7315068493150685</v>
      </c>
      <c r="R226">
        <f t="shared" si="69"/>
        <v>1</v>
      </c>
      <c r="S226" s="7">
        <f>SUM(CashFlows!BN226:DU226)</f>
        <v>98.915482909321341</v>
      </c>
      <c r="T226" s="7">
        <f t="shared" si="70"/>
        <v>97.788433728993468</v>
      </c>
      <c r="U226" s="7">
        <f t="shared" si="71"/>
        <v>0.11655872899346775</v>
      </c>
      <c r="V226" s="4">
        <f t="shared" si="72"/>
        <v>4.5670920970712734</v>
      </c>
      <c r="W226" s="8">
        <f t="shared" si="73"/>
        <v>-2.3677467926323637</v>
      </c>
      <c r="X226" s="9">
        <f t="shared" si="74"/>
        <v>2.3693921292448008E-4</v>
      </c>
      <c r="Y226" s="10">
        <f t="shared" si="75"/>
        <v>5.614019062127211E-8</v>
      </c>
    </row>
    <row r="227" spans="1:25" x14ac:dyDescent="0.2">
      <c r="A227" s="3">
        <f>Data!A226</f>
        <v>48395</v>
      </c>
      <c r="B227" s="4">
        <f>Data!B226</f>
        <v>4</v>
      </c>
      <c r="C227" s="4">
        <f>Data!C226</f>
        <v>96.305999999999997</v>
      </c>
      <c r="D227" s="4">
        <f>Data!D226</f>
        <v>97.001999999999995</v>
      </c>
      <c r="E227" s="4">
        <f>Data!F226</f>
        <v>4.5919999999999996</v>
      </c>
      <c r="F227" s="7">
        <f t="shared" si="57"/>
        <v>97.0078125</v>
      </c>
      <c r="G227" s="3">
        <f t="shared" si="58"/>
        <v>46203</v>
      </c>
      <c r="H227" s="3">
        <f t="shared" si="59"/>
        <v>46387</v>
      </c>
      <c r="I227">
        <f t="shared" si="60"/>
        <v>70</v>
      </c>
      <c r="J227">
        <f t="shared" si="61"/>
        <v>184</v>
      </c>
      <c r="K227" s="7">
        <f t="shared" si="62"/>
        <v>0.76086956521739135</v>
      </c>
      <c r="L227" s="7">
        <f t="shared" si="63"/>
        <v>97.768682065217391</v>
      </c>
      <c r="M227" s="4">
        <f t="shared" si="64"/>
        <v>4.5915669056994801</v>
      </c>
      <c r="N227" s="8">
        <f t="shared" si="65"/>
        <v>-4.3309430051952091E-2</v>
      </c>
      <c r="O227" s="4">
        <f t="shared" si="66"/>
        <v>5.0750045434693369</v>
      </c>
      <c r="P227">
        <f t="shared" si="67"/>
        <v>12</v>
      </c>
      <c r="Q227" s="4">
        <f t="shared" si="68"/>
        <v>5.8136986301369866</v>
      </c>
      <c r="R227">
        <f t="shared" si="69"/>
        <v>1</v>
      </c>
      <c r="S227" s="7">
        <f>SUM(CashFlows!BN227:DU227)</f>
        <v>97.874053295627164</v>
      </c>
      <c r="T227" s="7">
        <f t="shared" si="70"/>
        <v>97.113183730409773</v>
      </c>
      <c r="U227" s="7">
        <f t="shared" si="71"/>
        <v>0.10537123040977292</v>
      </c>
      <c r="V227" s="4">
        <f t="shared" si="72"/>
        <v>4.5703436638837092</v>
      </c>
      <c r="W227" s="8">
        <f t="shared" si="73"/>
        <v>-2.1223241815770955</v>
      </c>
      <c r="X227" s="9">
        <f t="shared" si="74"/>
        <v>2.1236642445059503E-4</v>
      </c>
      <c r="Y227" s="10">
        <f t="shared" si="75"/>
        <v>4.5099498233930283E-8</v>
      </c>
    </row>
    <row r="228" spans="1:25" x14ac:dyDescent="0.2">
      <c r="A228" s="3">
        <f>Data!A227</f>
        <v>48426</v>
      </c>
      <c r="B228" s="4">
        <f>Data!B227</f>
        <v>4</v>
      </c>
      <c r="C228" s="4">
        <f>Data!C227</f>
        <v>96.281999999999996</v>
      </c>
      <c r="D228" s="4">
        <f>Data!D227</f>
        <v>96.296000000000006</v>
      </c>
      <c r="E228" s="4">
        <f>Data!F227</f>
        <v>4.5999999999999996</v>
      </c>
      <c r="F228" s="7">
        <f t="shared" si="57"/>
        <v>96.9296875</v>
      </c>
      <c r="G228" s="3">
        <f t="shared" si="58"/>
        <v>46234</v>
      </c>
      <c r="H228" s="3">
        <f t="shared" si="59"/>
        <v>46418</v>
      </c>
      <c r="I228">
        <f t="shared" si="60"/>
        <v>39</v>
      </c>
      <c r="J228">
        <f t="shared" si="61"/>
        <v>184</v>
      </c>
      <c r="K228" s="7">
        <f t="shared" si="62"/>
        <v>0.42391304347826086</v>
      </c>
      <c r="L228" s="7">
        <f t="shared" si="63"/>
        <v>97.353600543478265</v>
      </c>
      <c r="M228" s="4">
        <f t="shared" si="64"/>
        <v>4.5999129606082674</v>
      </c>
      <c r="N228" s="8">
        <f t="shared" si="65"/>
        <v>-8.7039391732268712E-3</v>
      </c>
      <c r="O228" s="4">
        <f t="shared" si="66"/>
        <v>5.1569802308725299</v>
      </c>
      <c r="P228">
        <f t="shared" si="67"/>
        <v>12</v>
      </c>
      <c r="Q228" s="4">
        <f t="shared" si="68"/>
        <v>5.8986301369863012</v>
      </c>
      <c r="R228">
        <f t="shared" si="69"/>
        <v>1</v>
      </c>
      <c r="S228" s="7">
        <f>SUM(CashFlows!BN228:DU228)</f>
        <v>97.480804760902885</v>
      </c>
      <c r="T228" s="7">
        <f t="shared" si="70"/>
        <v>97.05689171742462</v>
      </c>
      <c r="U228" s="7">
        <f t="shared" si="71"/>
        <v>0.12720421742461951</v>
      </c>
      <c r="V228" s="4">
        <f t="shared" si="72"/>
        <v>4.5745953437666014</v>
      </c>
      <c r="W228" s="8">
        <f t="shared" si="73"/>
        <v>-2.5317616841666002</v>
      </c>
      <c r="X228" s="9">
        <f t="shared" si="74"/>
        <v>2.5336931993525925E-4</v>
      </c>
      <c r="Y228" s="10">
        <f t="shared" si="75"/>
        <v>6.4196012284455758E-8</v>
      </c>
    </row>
    <row r="229" spans="1:25" x14ac:dyDescent="0.2">
      <c r="A229" s="3">
        <f>Data!A228</f>
        <v>48441</v>
      </c>
      <c r="B229" s="4">
        <f>Data!B228</f>
        <v>2.75</v>
      </c>
      <c r="C229" s="4">
        <f>Data!C228</f>
        <v>90.134</v>
      </c>
      <c r="D229" s="4">
        <f>Data!D228</f>
        <v>90.15</v>
      </c>
      <c r="E229" s="4">
        <f>Data!F228</f>
        <v>4.6029999999999998</v>
      </c>
      <c r="F229" s="7">
        <f t="shared" si="57"/>
        <v>90.46875</v>
      </c>
      <c r="G229" s="3">
        <f t="shared" si="58"/>
        <v>46249</v>
      </c>
      <c r="H229" s="3">
        <f t="shared" si="59"/>
        <v>46433</v>
      </c>
      <c r="I229">
        <f t="shared" si="60"/>
        <v>24</v>
      </c>
      <c r="J229">
        <f t="shared" si="61"/>
        <v>184</v>
      </c>
      <c r="K229" s="7">
        <f t="shared" si="62"/>
        <v>0.17934782608695651</v>
      </c>
      <c r="L229" s="7">
        <f t="shared" si="63"/>
        <v>90.648097826086953</v>
      </c>
      <c r="M229" s="4">
        <f t="shared" si="64"/>
        <v>4.6033060983091243</v>
      </c>
      <c r="N229" s="8">
        <f t="shared" si="65"/>
        <v>3.0609830912453617E-2</v>
      </c>
      <c r="O229" s="4">
        <f t="shared" si="66"/>
        <v>5.3557636346972304</v>
      </c>
      <c r="P229">
        <f t="shared" si="67"/>
        <v>12</v>
      </c>
      <c r="Q229" s="4">
        <f t="shared" si="68"/>
        <v>5.9397260273972599</v>
      </c>
      <c r="R229">
        <f t="shared" si="69"/>
        <v>1</v>
      </c>
      <c r="S229" s="7">
        <f>SUM(CashFlows!BN229:DU229)</f>
        <v>90.761438019749988</v>
      </c>
      <c r="T229" s="7">
        <f t="shared" si="70"/>
        <v>90.582090193663035</v>
      </c>
      <c r="U229" s="7">
        <f t="shared" si="71"/>
        <v>0.11334019366303494</v>
      </c>
      <c r="V229" s="4">
        <f t="shared" si="72"/>
        <v>4.5799772399278913</v>
      </c>
      <c r="W229" s="8">
        <f t="shared" si="73"/>
        <v>-2.3328858381232997</v>
      </c>
      <c r="X229" s="9">
        <f t="shared" si="74"/>
        <v>2.3345536189793364E-4</v>
      </c>
      <c r="Y229" s="10">
        <f t="shared" si="75"/>
        <v>5.4501405998895168E-8</v>
      </c>
    </row>
    <row r="230" spans="1:25" x14ac:dyDescent="0.2">
      <c r="A230" s="3">
        <f>Data!A229</f>
        <v>48457</v>
      </c>
      <c r="B230" s="4">
        <f>Data!B229</f>
        <v>3.875</v>
      </c>
      <c r="C230" s="4">
        <f>Data!C229</f>
        <v>96.061999999999998</v>
      </c>
      <c r="D230" s="4">
        <f>Data!D229</f>
        <v>96.075999999999993</v>
      </c>
      <c r="E230" s="4">
        <f>Data!F229</f>
        <v>4.601</v>
      </c>
      <c r="F230" s="7">
        <f t="shared" si="57"/>
        <v>96.2421875</v>
      </c>
      <c r="G230" s="3">
        <f t="shared" si="58"/>
        <v>46265</v>
      </c>
      <c r="H230" s="3">
        <f t="shared" si="59"/>
        <v>46446</v>
      </c>
      <c r="I230">
        <f t="shared" si="60"/>
        <v>8</v>
      </c>
      <c r="J230">
        <f t="shared" si="61"/>
        <v>181</v>
      </c>
      <c r="K230" s="7">
        <f t="shared" si="62"/>
        <v>8.5635359116022103E-2</v>
      </c>
      <c r="L230" s="7">
        <f t="shared" si="63"/>
        <v>96.327822859116026</v>
      </c>
      <c r="M230" s="4">
        <f t="shared" si="64"/>
        <v>4.6010031148314612</v>
      </c>
      <c r="N230" s="8">
        <f t="shared" si="65"/>
        <v>3.1148314612039485E-4</v>
      </c>
      <c r="O230" s="4">
        <f t="shared" si="66"/>
        <v>5.2538668963083195</v>
      </c>
      <c r="P230">
        <f t="shared" si="67"/>
        <v>12</v>
      </c>
      <c r="Q230" s="4">
        <f t="shared" si="68"/>
        <v>5.9835616438356167</v>
      </c>
      <c r="R230">
        <f t="shared" si="69"/>
        <v>1</v>
      </c>
      <c r="S230" s="7">
        <f>SUM(CashFlows!BN230:DU230)</f>
        <v>96.439745799462031</v>
      </c>
      <c r="T230" s="7">
        <f t="shared" si="70"/>
        <v>96.354110440346005</v>
      </c>
      <c r="U230" s="7">
        <f t="shared" si="71"/>
        <v>0.11192294034600536</v>
      </c>
      <c r="V230" s="4">
        <f t="shared" si="72"/>
        <v>4.5789029640298926</v>
      </c>
      <c r="W230" s="8">
        <f t="shared" si="73"/>
        <v>-2.2100150801568574</v>
      </c>
      <c r="X230" s="9">
        <f t="shared" si="74"/>
        <v>2.2115069081196E-4</v>
      </c>
      <c r="Y230" s="10">
        <f t="shared" si="75"/>
        <v>4.8907628046607132E-8</v>
      </c>
    </row>
    <row r="231" spans="1:25" x14ac:dyDescent="0.2">
      <c r="A231" s="3">
        <f>Data!A230</f>
        <v>48487</v>
      </c>
      <c r="B231" s="4">
        <f>Data!B230</f>
        <v>3.875</v>
      </c>
      <c r="C231" s="4">
        <f>Data!C230</f>
        <v>96.031999999999996</v>
      </c>
      <c r="D231" s="4">
        <f>Data!D230</f>
        <v>96.046000000000006</v>
      </c>
      <c r="E231" s="4">
        <f>Data!F230</f>
        <v>4.6100000000000003</v>
      </c>
      <c r="F231" s="7">
        <f t="shared" si="57"/>
        <v>96.1484375</v>
      </c>
      <c r="G231" s="3">
        <f t="shared" si="58"/>
        <v>46112</v>
      </c>
      <c r="H231" s="3">
        <f t="shared" si="59"/>
        <v>46295</v>
      </c>
      <c r="I231">
        <f t="shared" si="60"/>
        <v>161</v>
      </c>
      <c r="J231">
        <f t="shared" si="61"/>
        <v>183</v>
      </c>
      <c r="K231" s="7">
        <f t="shared" si="62"/>
        <v>1.7045765027322404</v>
      </c>
      <c r="L231" s="7">
        <f t="shared" si="63"/>
        <v>97.853014002732237</v>
      </c>
      <c r="M231" s="4">
        <f t="shared" si="64"/>
        <v>4.6102759230383388</v>
      </c>
      <c r="N231" s="8">
        <f t="shared" si="65"/>
        <v>2.7592303833845477E-2</v>
      </c>
      <c r="O231" s="4">
        <f t="shared" si="66"/>
        <v>5.2296474020759725</v>
      </c>
      <c r="P231">
        <f t="shared" si="67"/>
        <v>13</v>
      </c>
      <c r="Q231" s="4">
        <f t="shared" si="68"/>
        <v>6.065753424657534</v>
      </c>
      <c r="R231">
        <f t="shared" si="69"/>
        <v>1</v>
      </c>
      <c r="S231" s="7">
        <f>SUM(CashFlows!BN231:DU231)</f>
        <v>97.994415278979403</v>
      </c>
      <c r="T231" s="7">
        <f t="shared" si="70"/>
        <v>96.289838776247166</v>
      </c>
      <c r="U231" s="7">
        <f t="shared" si="71"/>
        <v>0.1414012762471657</v>
      </c>
      <c r="V231" s="4">
        <f t="shared" si="72"/>
        <v>4.582667843239971</v>
      </c>
      <c r="W231" s="8">
        <f t="shared" si="73"/>
        <v>-2.7608079798367768</v>
      </c>
      <c r="X231" s="9">
        <f t="shared" si="74"/>
        <v>2.7631643292298086E-4</v>
      </c>
      <c r="Y231" s="10">
        <f t="shared" si="75"/>
        <v>7.6350771103280179E-8</v>
      </c>
    </row>
    <row r="232" spans="1:25" x14ac:dyDescent="0.2">
      <c r="A232" s="3">
        <f>Data!A231</f>
        <v>48518</v>
      </c>
      <c r="B232" s="4">
        <f>Data!B231</f>
        <v>3.75</v>
      </c>
      <c r="C232" s="4">
        <f>Data!C231</f>
        <v>95.116</v>
      </c>
      <c r="D232" s="4">
        <f>Data!D231</f>
        <v>95.132000000000005</v>
      </c>
      <c r="E232" s="4">
        <f>Data!F231</f>
        <v>4.6150000000000002</v>
      </c>
      <c r="F232" s="7">
        <f t="shared" si="57"/>
        <v>95.4140625</v>
      </c>
      <c r="G232" s="3">
        <f t="shared" si="58"/>
        <v>46142</v>
      </c>
      <c r="H232" s="3">
        <f t="shared" si="59"/>
        <v>46326</v>
      </c>
      <c r="I232">
        <f t="shared" si="60"/>
        <v>131</v>
      </c>
      <c r="J232">
        <f t="shared" si="61"/>
        <v>184</v>
      </c>
      <c r="K232" s="7">
        <f t="shared" si="62"/>
        <v>1.3349184782608696</v>
      </c>
      <c r="L232" s="7">
        <f t="shared" si="63"/>
        <v>96.748980978260875</v>
      </c>
      <c r="M232" s="4">
        <f t="shared" si="64"/>
        <v>4.6149117723706468</v>
      </c>
      <c r="N232" s="8">
        <f t="shared" si="65"/>
        <v>-8.8227629353454518E-3</v>
      </c>
      <c r="O232" s="4">
        <f t="shared" si="66"/>
        <v>5.3289201494879608</v>
      </c>
      <c r="P232">
        <f t="shared" si="67"/>
        <v>13</v>
      </c>
      <c r="Q232" s="4">
        <f t="shared" si="68"/>
        <v>6.1506849315068495</v>
      </c>
      <c r="R232">
        <f t="shared" si="69"/>
        <v>1</v>
      </c>
      <c r="S232" s="7">
        <f>SUM(CashFlows!BN232:DU232)</f>
        <v>96.891167078239306</v>
      </c>
      <c r="T232" s="7">
        <f t="shared" si="70"/>
        <v>95.556248599978431</v>
      </c>
      <c r="U232" s="7">
        <f t="shared" si="71"/>
        <v>0.14218609997843146</v>
      </c>
      <c r="V232" s="4">
        <f t="shared" si="72"/>
        <v>4.5873569984709146</v>
      </c>
      <c r="W232" s="8">
        <f t="shared" si="73"/>
        <v>-2.7554773899732155</v>
      </c>
      <c r="X232" s="9">
        <f t="shared" si="74"/>
        <v>2.7578556446176587E-4</v>
      </c>
      <c r="Y232" s="10">
        <f t="shared" si="75"/>
        <v>7.6057677565494811E-8</v>
      </c>
    </row>
    <row r="233" spans="1:25" x14ac:dyDescent="0.2">
      <c r="A233" s="3">
        <f>Data!A232</f>
        <v>48533</v>
      </c>
      <c r="B233" s="4">
        <f>Data!B232</f>
        <v>4.125</v>
      </c>
      <c r="C233" s="4">
        <f>Data!C232</f>
        <v>97.11</v>
      </c>
      <c r="D233" s="4">
        <f>Data!D232</f>
        <v>97.123999999999995</v>
      </c>
      <c r="E233" s="4">
        <f>Data!F232</f>
        <v>4.6139999999999999</v>
      </c>
      <c r="F233" s="7">
        <f t="shared" si="57"/>
        <v>97.390625</v>
      </c>
      <c r="G233" s="3">
        <f t="shared" si="58"/>
        <v>46157</v>
      </c>
      <c r="H233" s="3">
        <f t="shared" si="59"/>
        <v>46341</v>
      </c>
      <c r="I233">
        <f t="shared" si="60"/>
        <v>116</v>
      </c>
      <c r="J233">
        <f t="shared" si="61"/>
        <v>184</v>
      </c>
      <c r="K233" s="7">
        <f t="shared" si="62"/>
        <v>1.3002717391304348</v>
      </c>
      <c r="L233" s="7">
        <f t="shared" si="63"/>
        <v>98.690896739130437</v>
      </c>
      <c r="M233" s="4">
        <f t="shared" si="64"/>
        <v>4.6137422229106555</v>
      </c>
      <c r="N233" s="8">
        <f t="shared" si="65"/>
        <v>-2.5777708934437982E-2</v>
      </c>
      <c r="O233" s="4">
        <f t="shared" si="66"/>
        <v>5.3171217629104808</v>
      </c>
      <c r="P233">
        <f t="shared" si="67"/>
        <v>13</v>
      </c>
      <c r="Q233" s="4">
        <f t="shared" si="68"/>
        <v>6.1917808219178081</v>
      </c>
      <c r="R233">
        <f t="shared" si="69"/>
        <v>1</v>
      </c>
      <c r="S233" s="7">
        <f>SUM(CashFlows!BN233:DU233)</f>
        <v>98.823988798361228</v>
      </c>
      <c r="T233" s="7">
        <f t="shared" si="70"/>
        <v>97.52371705923079</v>
      </c>
      <c r="U233" s="7">
        <f t="shared" si="71"/>
        <v>0.13309205923079048</v>
      </c>
      <c r="V233" s="4">
        <f t="shared" si="72"/>
        <v>4.5883995179702035</v>
      </c>
      <c r="W233" s="8">
        <f t="shared" si="73"/>
        <v>-2.5342704940451988</v>
      </c>
      <c r="X233" s="9">
        <f t="shared" si="74"/>
        <v>2.5362872800496696E-4</v>
      </c>
      <c r="Y233" s="10">
        <f t="shared" si="75"/>
        <v>6.4327531669417508E-8</v>
      </c>
    </row>
    <row r="234" spans="1:25" x14ac:dyDescent="0.2">
      <c r="A234" s="3">
        <f>Data!A233</f>
        <v>48548</v>
      </c>
      <c r="B234" s="4">
        <f>Data!B233</f>
        <v>3.75</v>
      </c>
      <c r="C234" s="4">
        <f>Data!C233</f>
        <v>95.091999999999999</v>
      </c>
      <c r="D234" s="4">
        <f>Data!D233</f>
        <v>95.105999999999995</v>
      </c>
      <c r="E234" s="4">
        <f>Data!F233</f>
        <v>4.6189999999999998</v>
      </c>
      <c r="F234" s="7">
        <f t="shared" si="57"/>
        <v>95.3359375</v>
      </c>
      <c r="G234" s="3">
        <f t="shared" si="58"/>
        <v>46173</v>
      </c>
      <c r="H234" s="3">
        <f t="shared" si="59"/>
        <v>46356</v>
      </c>
      <c r="I234">
        <f t="shared" si="60"/>
        <v>100</v>
      </c>
      <c r="J234">
        <f t="shared" si="61"/>
        <v>183</v>
      </c>
      <c r="K234" s="7">
        <f t="shared" si="62"/>
        <v>1.0245901639344261</v>
      </c>
      <c r="L234" s="7">
        <f t="shared" si="63"/>
        <v>96.36052766393442</v>
      </c>
      <c r="M234" s="4">
        <f t="shared" si="64"/>
        <v>4.6194870133273875</v>
      </c>
      <c r="N234" s="8">
        <f t="shared" si="65"/>
        <v>4.8701332738776415E-2</v>
      </c>
      <c r="O234" s="4">
        <f t="shared" si="66"/>
        <v>5.4095789345915044</v>
      </c>
      <c r="P234">
        <f t="shared" si="67"/>
        <v>13</v>
      </c>
      <c r="Q234" s="4">
        <f t="shared" si="68"/>
        <v>6.2328767123287667</v>
      </c>
      <c r="R234">
        <f t="shared" si="69"/>
        <v>1</v>
      </c>
      <c r="S234" s="7">
        <f>SUM(CashFlows!BN234:DU234)</f>
        <v>96.510040622201771</v>
      </c>
      <c r="T234" s="7">
        <f t="shared" si="70"/>
        <v>95.485450458267351</v>
      </c>
      <c r="U234" s="7">
        <f t="shared" si="71"/>
        <v>0.14951295826735134</v>
      </c>
      <c r="V234" s="4">
        <f t="shared" si="72"/>
        <v>4.5908305936001232</v>
      </c>
      <c r="W234" s="8">
        <f t="shared" si="73"/>
        <v>-2.8656419727264293</v>
      </c>
      <c r="X234" s="9">
        <f t="shared" si="74"/>
        <v>2.8682447200262251E-4</v>
      </c>
      <c r="Y234" s="10">
        <f t="shared" si="75"/>
        <v>8.2268277739583183E-8</v>
      </c>
    </row>
    <row r="235" spans="1:25" x14ac:dyDescent="0.2">
      <c r="A235" s="3">
        <f>Data!A234</f>
        <v>48579</v>
      </c>
      <c r="B235" s="4">
        <f>Data!B234</f>
        <v>3.875</v>
      </c>
      <c r="C235" s="4">
        <f>Data!C234</f>
        <v>95.29</v>
      </c>
      <c r="D235" s="4">
        <f>Data!D234</f>
        <v>95.304000000000002</v>
      </c>
      <c r="E235" s="4">
        <f>Data!F234</f>
        <v>4.6210000000000004</v>
      </c>
      <c r="F235" s="7">
        <f t="shared" si="57"/>
        <v>95.953125</v>
      </c>
      <c r="G235" s="3">
        <f t="shared" si="58"/>
        <v>46203</v>
      </c>
      <c r="H235" s="3">
        <f t="shared" si="59"/>
        <v>46387</v>
      </c>
      <c r="I235">
        <f t="shared" si="60"/>
        <v>70</v>
      </c>
      <c r="J235">
        <f t="shared" si="61"/>
        <v>184</v>
      </c>
      <c r="K235" s="7">
        <f t="shared" si="62"/>
        <v>0.73709239130434778</v>
      </c>
      <c r="L235" s="7">
        <f t="shared" si="63"/>
        <v>96.690217391304344</v>
      </c>
      <c r="M235" s="4">
        <f t="shared" si="64"/>
        <v>4.6207683901039704</v>
      </c>
      <c r="N235" s="8">
        <f t="shared" si="65"/>
        <v>-2.3160989602999393E-2</v>
      </c>
      <c r="O235" s="4">
        <f t="shared" si="66"/>
        <v>5.4731615674489422</v>
      </c>
      <c r="P235">
        <f t="shared" si="67"/>
        <v>13</v>
      </c>
      <c r="Q235" s="4">
        <f t="shared" si="68"/>
        <v>6.3178082191780822</v>
      </c>
      <c r="R235">
        <f t="shared" si="69"/>
        <v>1</v>
      </c>
      <c r="S235" s="7">
        <f>SUM(CashFlows!BN235:DU235)</f>
        <v>96.822592631497258</v>
      </c>
      <c r="T235" s="7">
        <f t="shared" si="70"/>
        <v>96.085500240192914</v>
      </c>
      <c r="U235" s="7">
        <f t="shared" si="71"/>
        <v>0.13237524019291413</v>
      </c>
      <c r="V235" s="4">
        <f t="shared" si="72"/>
        <v>4.5957742374908293</v>
      </c>
      <c r="W235" s="8">
        <f t="shared" si="73"/>
        <v>-2.4994152613141196</v>
      </c>
      <c r="X235" s="9">
        <f t="shared" si="74"/>
        <v>2.5014161863560146E-4</v>
      </c>
      <c r="Y235" s="10">
        <f t="shared" si="75"/>
        <v>6.2570829373638687E-8</v>
      </c>
    </row>
    <row r="236" spans="1:25" x14ac:dyDescent="0.2">
      <c r="A236" s="3">
        <f>Data!A235</f>
        <v>48610</v>
      </c>
      <c r="B236" s="4">
        <f>Data!B235</f>
        <v>4</v>
      </c>
      <c r="C236" s="4">
        <f>Data!C235</f>
        <v>96.164000000000001</v>
      </c>
      <c r="D236" s="4">
        <f>Data!D235</f>
        <v>96.18</v>
      </c>
      <c r="E236" s="4">
        <f>Data!F235</f>
        <v>4.6260000000000003</v>
      </c>
      <c r="F236" s="7">
        <f t="shared" si="57"/>
        <v>96.5625</v>
      </c>
      <c r="G236" s="3">
        <f t="shared" si="58"/>
        <v>46234</v>
      </c>
      <c r="H236" s="3">
        <f t="shared" si="59"/>
        <v>46418</v>
      </c>
      <c r="I236">
        <f t="shared" si="60"/>
        <v>39</v>
      </c>
      <c r="J236">
        <f t="shared" si="61"/>
        <v>184</v>
      </c>
      <c r="K236" s="7">
        <f t="shared" si="62"/>
        <v>0.42391304347826086</v>
      </c>
      <c r="L236" s="7">
        <f t="shared" si="63"/>
        <v>96.986413043478265</v>
      </c>
      <c r="M236" s="4">
        <f t="shared" si="64"/>
        <v>4.6264988589842799</v>
      </c>
      <c r="N236" s="8">
        <f t="shared" si="65"/>
        <v>4.9885898427959319E-2</v>
      </c>
      <c r="O236" s="4">
        <f t="shared" si="66"/>
        <v>5.5379687652014482</v>
      </c>
      <c r="P236">
        <f t="shared" si="67"/>
        <v>13</v>
      </c>
      <c r="Q236" s="4">
        <f t="shared" si="68"/>
        <v>6.4027397260273968</v>
      </c>
      <c r="R236">
        <f t="shared" si="69"/>
        <v>1</v>
      </c>
      <c r="S236" s="7">
        <f>SUM(CashFlows!BN236:DU236)</f>
        <v>97.128834007471539</v>
      </c>
      <c r="T236" s="7">
        <f t="shared" si="70"/>
        <v>96.704920963993274</v>
      </c>
      <c r="U236" s="7">
        <f t="shared" si="71"/>
        <v>0.14242096399327409</v>
      </c>
      <c r="V236" s="4">
        <f t="shared" si="72"/>
        <v>4.6000053062825028</v>
      </c>
      <c r="W236" s="8">
        <f t="shared" si="73"/>
        <v>-2.6493552701777112</v>
      </c>
      <c r="X236" s="9">
        <f t="shared" si="74"/>
        <v>2.6516275427972076E-4</v>
      </c>
      <c r="Y236" s="10">
        <f t="shared" si="75"/>
        <v>7.0311286257207568E-8</v>
      </c>
    </row>
    <row r="237" spans="1:25" x14ac:dyDescent="0.2">
      <c r="A237" s="3">
        <f>Data!A236</f>
        <v>48625</v>
      </c>
      <c r="B237" s="4">
        <f>Data!B236</f>
        <v>3.5</v>
      </c>
      <c r="C237" s="4">
        <f>Data!C236</f>
        <v>93.224000000000004</v>
      </c>
      <c r="D237" s="4">
        <f>Data!D236</f>
        <v>93.24</v>
      </c>
      <c r="E237" s="4">
        <f>Data!F236</f>
        <v>4.6340000000000003</v>
      </c>
      <c r="F237" s="7">
        <f t="shared" si="57"/>
        <v>93.75</v>
      </c>
      <c r="G237" s="3">
        <f t="shared" si="58"/>
        <v>46249</v>
      </c>
      <c r="H237" s="3">
        <f t="shared" si="59"/>
        <v>46433</v>
      </c>
      <c r="I237">
        <f t="shared" si="60"/>
        <v>24</v>
      </c>
      <c r="J237">
        <f t="shared" si="61"/>
        <v>184</v>
      </c>
      <c r="K237" s="7">
        <f t="shared" si="62"/>
        <v>0.22826086956521738</v>
      </c>
      <c r="L237" s="7">
        <f t="shared" si="63"/>
        <v>93.978260869565219</v>
      </c>
      <c r="M237" s="4">
        <f t="shared" si="64"/>
        <v>4.6339986543479652</v>
      </c>
      <c r="N237" s="8">
        <f t="shared" si="65"/>
        <v>-1.3456520351340373E-4</v>
      </c>
      <c r="O237" s="4">
        <f t="shared" si="66"/>
        <v>5.6479084840672913</v>
      </c>
      <c r="P237">
        <f t="shared" si="67"/>
        <v>13</v>
      </c>
      <c r="Q237" s="4">
        <f t="shared" si="68"/>
        <v>6.4438356164383563</v>
      </c>
      <c r="R237">
        <f t="shared" si="69"/>
        <v>1</v>
      </c>
      <c r="S237" s="7">
        <f>SUM(CashFlows!BN237:DU237)</f>
        <v>94.138644928715564</v>
      </c>
      <c r="T237" s="7">
        <f t="shared" si="70"/>
        <v>93.910384059150346</v>
      </c>
      <c r="U237" s="7">
        <f t="shared" si="71"/>
        <v>0.16038405915034559</v>
      </c>
      <c r="V237" s="4">
        <f t="shared" si="72"/>
        <v>4.6038118203671461</v>
      </c>
      <c r="W237" s="8">
        <f t="shared" si="73"/>
        <v>-3.0186833980819117</v>
      </c>
      <c r="X237" s="9">
        <f t="shared" si="74"/>
        <v>3.021663829628256E-4</v>
      </c>
      <c r="Y237" s="10">
        <f t="shared" si="75"/>
        <v>9.1304522992836986E-8</v>
      </c>
    </row>
    <row r="238" spans="1:25" x14ac:dyDescent="0.2">
      <c r="A238" s="3">
        <f>Data!A237</f>
        <v>48638</v>
      </c>
      <c r="B238" s="4">
        <f>Data!B237</f>
        <v>3.75</v>
      </c>
      <c r="C238" s="4">
        <f>Data!C237</f>
        <v>95.031999999999996</v>
      </c>
      <c r="D238" s="4">
        <f>Data!D237</f>
        <v>95.046000000000006</v>
      </c>
      <c r="E238" s="4">
        <f>Data!F237</f>
        <v>4.625</v>
      </c>
      <c r="F238" s="7">
        <f t="shared" si="57"/>
        <v>95.1484375</v>
      </c>
      <c r="G238" s="3">
        <f t="shared" si="58"/>
        <v>46265</v>
      </c>
      <c r="H238" s="3">
        <f t="shared" si="59"/>
        <v>46446</v>
      </c>
      <c r="I238">
        <f t="shared" si="60"/>
        <v>8</v>
      </c>
      <c r="J238">
        <f t="shared" si="61"/>
        <v>181</v>
      </c>
      <c r="K238" s="7">
        <f t="shared" si="62"/>
        <v>8.2872928176795577E-2</v>
      </c>
      <c r="L238" s="7">
        <f t="shared" si="63"/>
        <v>95.231310428176798</v>
      </c>
      <c r="M238" s="4">
        <f t="shared" si="64"/>
        <v>4.6251308333240608</v>
      </c>
      <c r="N238" s="8">
        <f t="shared" si="65"/>
        <v>1.3083332406083059E-2</v>
      </c>
      <c r="O238" s="4">
        <f t="shared" si="66"/>
        <v>5.6547449065601931</v>
      </c>
      <c r="P238">
        <f t="shared" si="67"/>
        <v>13</v>
      </c>
      <c r="Q238" s="4">
        <f t="shared" si="68"/>
        <v>6.4794520547945202</v>
      </c>
      <c r="R238">
        <f t="shared" si="69"/>
        <v>1</v>
      </c>
      <c r="S238" s="7">
        <f>SUM(CashFlows!BN238:DU238)</f>
        <v>95.369474074071448</v>
      </c>
      <c r="T238" s="7">
        <f t="shared" si="70"/>
        <v>95.28660114589465</v>
      </c>
      <c r="U238" s="7">
        <f t="shared" si="71"/>
        <v>0.13816364589465024</v>
      </c>
      <c r="V238" s="4">
        <f t="shared" si="72"/>
        <v>4.5994956924197989</v>
      </c>
      <c r="W238" s="8">
        <f t="shared" si="73"/>
        <v>-2.5635140904261888</v>
      </c>
      <c r="X238" s="9">
        <f t="shared" si="74"/>
        <v>2.5656712427039706E-4</v>
      </c>
      <c r="Y238" s="10">
        <f t="shared" si="75"/>
        <v>6.582668925638137E-8</v>
      </c>
    </row>
    <row r="239" spans="1:25" x14ac:dyDescent="0.2">
      <c r="A239" s="3">
        <f>Data!A238</f>
        <v>48669</v>
      </c>
      <c r="B239" s="4">
        <f>Data!B238</f>
        <v>4.25</v>
      </c>
      <c r="C239" s="4">
        <f>Data!C238</f>
        <v>97.262</v>
      </c>
      <c r="D239" s="4">
        <f>Data!D238</f>
        <v>97.275999999999996</v>
      </c>
      <c r="E239" s="4">
        <f>Data!F238</f>
        <v>4.63</v>
      </c>
      <c r="F239" s="7">
        <f t="shared" si="57"/>
        <v>97.8671875</v>
      </c>
      <c r="G239" s="3">
        <f t="shared" si="58"/>
        <v>46112</v>
      </c>
      <c r="H239" s="3">
        <f t="shared" si="59"/>
        <v>46295</v>
      </c>
      <c r="I239">
        <f t="shared" si="60"/>
        <v>161</v>
      </c>
      <c r="J239">
        <f t="shared" si="61"/>
        <v>183</v>
      </c>
      <c r="K239" s="7">
        <f t="shared" si="62"/>
        <v>1.8695355191256831</v>
      </c>
      <c r="L239" s="7">
        <f t="shared" si="63"/>
        <v>99.736723019125677</v>
      </c>
      <c r="M239" s="4">
        <f t="shared" si="64"/>
        <v>4.6302519142706959</v>
      </c>
      <c r="N239" s="8">
        <f t="shared" si="65"/>
        <v>2.5191427069604089E-2</v>
      </c>
      <c r="O239" s="4">
        <f t="shared" si="66"/>
        <v>5.5472155360840398</v>
      </c>
      <c r="P239">
        <f t="shared" si="67"/>
        <v>14</v>
      </c>
      <c r="Q239" s="4">
        <f t="shared" si="68"/>
        <v>6.5643835616438357</v>
      </c>
      <c r="R239">
        <f t="shared" si="69"/>
        <v>1</v>
      </c>
      <c r="S239" s="7">
        <f>SUM(CashFlows!BN239:DU239)</f>
        <v>99.882128389384235</v>
      </c>
      <c r="T239" s="7">
        <f t="shared" si="70"/>
        <v>98.012592870258558</v>
      </c>
      <c r="U239" s="7">
        <f t="shared" si="71"/>
        <v>0.14540537025855826</v>
      </c>
      <c r="V239" s="4">
        <f t="shared" si="72"/>
        <v>4.6039931855996041</v>
      </c>
      <c r="W239" s="8">
        <f t="shared" si="73"/>
        <v>-2.6258728671091802</v>
      </c>
      <c r="X239" s="9">
        <f t="shared" si="74"/>
        <v>2.6281509833812265E-4</v>
      </c>
      <c r="Y239" s="10">
        <f t="shared" si="75"/>
        <v>6.9071775914477075E-8</v>
      </c>
    </row>
    <row r="240" spans="1:25" x14ac:dyDescent="0.2">
      <c r="A240" s="3">
        <f>Data!A239</f>
        <v>48699</v>
      </c>
      <c r="B240" s="4">
        <f>Data!B239</f>
        <v>4.125</v>
      </c>
      <c r="C240" s="4">
        <f>Data!C239</f>
        <v>97.012</v>
      </c>
      <c r="D240" s="4">
        <f>Data!D239</f>
        <v>97.025999999999996</v>
      </c>
      <c r="E240" s="4">
        <f>Data!F239</f>
        <v>4.6390000000000002</v>
      </c>
      <c r="F240" s="7">
        <f t="shared" si="57"/>
        <v>97.0859375</v>
      </c>
      <c r="G240" s="3">
        <f t="shared" si="58"/>
        <v>46142</v>
      </c>
      <c r="H240" s="3">
        <f t="shared" si="59"/>
        <v>46326</v>
      </c>
      <c r="I240">
        <f t="shared" si="60"/>
        <v>131</v>
      </c>
      <c r="J240">
        <f t="shared" si="61"/>
        <v>184</v>
      </c>
      <c r="K240" s="7">
        <f t="shared" si="62"/>
        <v>1.4684103260869565</v>
      </c>
      <c r="L240" s="7">
        <f t="shared" si="63"/>
        <v>98.554347826086953</v>
      </c>
      <c r="M240" s="4">
        <f t="shared" si="64"/>
        <v>4.6388244191988832</v>
      </c>
      <c r="N240" s="8">
        <f t="shared" si="65"/>
        <v>-1.7558080111701457E-2</v>
      </c>
      <c r="O240" s="4">
        <f t="shared" si="66"/>
        <v>5.6477509826267429</v>
      </c>
      <c r="P240">
        <f t="shared" si="67"/>
        <v>14</v>
      </c>
      <c r="Q240" s="4">
        <f t="shared" si="68"/>
        <v>6.646575342465753</v>
      </c>
      <c r="R240">
        <f t="shared" si="69"/>
        <v>1</v>
      </c>
      <c r="S240" s="7">
        <f>SUM(CashFlows!BN240:DU240)</f>
        <v>98.730298029977945</v>
      </c>
      <c r="T240" s="7">
        <f t="shared" si="70"/>
        <v>97.261887703890991</v>
      </c>
      <c r="U240" s="7">
        <f t="shared" si="71"/>
        <v>0.17595020389099147</v>
      </c>
      <c r="V240" s="4">
        <f t="shared" si="72"/>
        <v>4.6072467578886345</v>
      </c>
      <c r="W240" s="8">
        <f t="shared" si="73"/>
        <v>-3.157766131024875</v>
      </c>
      <c r="X240" s="9">
        <f t="shared" si="74"/>
        <v>3.1611015392428329E-4</v>
      </c>
      <c r="Y240" s="10">
        <f t="shared" si="75"/>
        <v>9.992562941403408E-8</v>
      </c>
    </row>
    <row r="241" spans="1:25" x14ac:dyDescent="0.2">
      <c r="A241" s="3">
        <f>Data!A240</f>
        <v>48714</v>
      </c>
      <c r="B241" s="4">
        <f>Data!B240</f>
        <v>3.375</v>
      </c>
      <c r="C241" s="4">
        <f>Data!C240</f>
        <v>92.231999999999999</v>
      </c>
      <c r="D241" s="4">
        <f>Data!D240</f>
        <v>92.245999999999995</v>
      </c>
      <c r="E241" s="4">
        <f>Data!F240</f>
        <v>4.6440000000000001</v>
      </c>
      <c r="F241" s="7">
        <f t="shared" si="57"/>
        <v>92.7734375</v>
      </c>
      <c r="G241" s="3">
        <f t="shared" si="58"/>
        <v>46157</v>
      </c>
      <c r="H241" s="3">
        <f t="shared" si="59"/>
        <v>46341</v>
      </c>
      <c r="I241">
        <f t="shared" si="60"/>
        <v>116</v>
      </c>
      <c r="J241">
        <f t="shared" si="61"/>
        <v>184</v>
      </c>
      <c r="K241" s="7">
        <f t="shared" si="62"/>
        <v>1.0638586956521738</v>
      </c>
      <c r="L241" s="7">
        <f t="shared" si="63"/>
        <v>93.837296195652172</v>
      </c>
      <c r="M241" s="4">
        <f t="shared" si="64"/>
        <v>4.6441316172738656</v>
      </c>
      <c r="N241" s="8">
        <f t="shared" si="65"/>
        <v>1.3161727386545863E-2</v>
      </c>
      <c r="O241" s="4">
        <f t="shared" si="66"/>
        <v>5.8078480027871286</v>
      </c>
      <c r="P241">
        <f t="shared" si="67"/>
        <v>14</v>
      </c>
      <c r="Q241" s="4">
        <f t="shared" si="68"/>
        <v>6.6876712328767125</v>
      </c>
      <c r="R241">
        <f t="shared" si="69"/>
        <v>1</v>
      </c>
      <c r="S241" s="7">
        <f>SUM(CashFlows!BN241:DU241)</f>
        <v>94.012355984268638</v>
      </c>
      <c r="T241" s="7">
        <f t="shared" si="70"/>
        <v>92.948497288616466</v>
      </c>
      <c r="U241" s="7">
        <f t="shared" si="71"/>
        <v>0.17505978861646554</v>
      </c>
      <c r="V241" s="4">
        <f t="shared" si="72"/>
        <v>4.6120449997543327</v>
      </c>
      <c r="W241" s="8">
        <f t="shared" si="73"/>
        <v>-3.2086617519532901</v>
      </c>
      <c r="X241" s="9">
        <f t="shared" si="74"/>
        <v>3.212148924136406E-4</v>
      </c>
      <c r="Y241" s="10">
        <f t="shared" si="75"/>
        <v>1.031790071083067E-7</v>
      </c>
    </row>
    <row r="242" spans="1:25" x14ac:dyDescent="0.2">
      <c r="A242" s="3">
        <f>Data!A241</f>
        <v>48730</v>
      </c>
      <c r="B242" s="4">
        <f>Data!B241</f>
        <v>4.25</v>
      </c>
      <c r="C242" s="4">
        <f>Data!C241</f>
        <v>97.224999999999994</v>
      </c>
      <c r="D242" s="4">
        <f>Data!D241</f>
        <v>97.241</v>
      </c>
      <c r="E242" s="4">
        <f>Data!F241</f>
        <v>4.6420000000000003</v>
      </c>
      <c r="F242" s="7">
        <f t="shared" si="57"/>
        <v>97.75390625</v>
      </c>
      <c r="G242" s="3">
        <f t="shared" si="58"/>
        <v>46173</v>
      </c>
      <c r="H242" s="3">
        <f t="shared" si="59"/>
        <v>46356</v>
      </c>
      <c r="I242">
        <f t="shared" si="60"/>
        <v>100</v>
      </c>
      <c r="J242">
        <f t="shared" si="61"/>
        <v>183</v>
      </c>
      <c r="K242" s="7">
        <f t="shared" si="62"/>
        <v>1.1612021857923498</v>
      </c>
      <c r="L242" s="7">
        <f t="shared" si="63"/>
        <v>98.915108435792348</v>
      </c>
      <c r="M242" s="4">
        <f t="shared" si="64"/>
        <v>4.6415105158074201</v>
      </c>
      <c r="N242" s="8">
        <f t="shared" si="65"/>
        <v>-4.8948419258021403E-2</v>
      </c>
      <c r="O242" s="4">
        <f t="shared" si="66"/>
        <v>5.7094422034515828</v>
      </c>
      <c r="P242">
        <f t="shared" si="67"/>
        <v>14</v>
      </c>
      <c r="Q242" s="4">
        <f t="shared" si="68"/>
        <v>6.7315068493150685</v>
      </c>
      <c r="R242">
        <f t="shared" si="69"/>
        <v>1</v>
      </c>
      <c r="S242" s="7">
        <f>SUM(CashFlows!BN242:DU242)</f>
        <v>99.078880876915804</v>
      </c>
      <c r="T242" s="7">
        <f t="shared" si="70"/>
        <v>97.917678691123456</v>
      </c>
      <c r="U242" s="7">
        <f t="shared" si="71"/>
        <v>0.16377244112345579</v>
      </c>
      <c r="V242" s="4">
        <f t="shared" si="72"/>
        <v>4.6125397626001998</v>
      </c>
      <c r="W242" s="8">
        <f t="shared" si="73"/>
        <v>-2.8970753207220312</v>
      </c>
      <c r="X242" s="9">
        <f t="shared" si="74"/>
        <v>2.8999099366487934E-4</v>
      </c>
      <c r="Y242" s="10">
        <f t="shared" si="75"/>
        <v>8.4094776406744091E-8</v>
      </c>
    </row>
    <row r="243" spans="1:25" x14ac:dyDescent="0.2">
      <c r="A243" s="3">
        <f>Data!A242</f>
        <v>48760</v>
      </c>
      <c r="B243" s="4">
        <f>Data!B242</f>
        <v>4.25</v>
      </c>
      <c r="C243" s="4">
        <f>Data!C242</f>
        <v>97.212999999999994</v>
      </c>
      <c r="D243" s="4">
        <f>Data!D242</f>
        <v>97.227000000000004</v>
      </c>
      <c r="E243" s="4">
        <f>Data!F242</f>
        <v>4.6440000000000001</v>
      </c>
      <c r="F243" s="7">
        <f t="shared" si="57"/>
        <v>97.71484375</v>
      </c>
      <c r="G243" s="3">
        <f t="shared" si="58"/>
        <v>46203</v>
      </c>
      <c r="H243" s="3">
        <f t="shared" si="59"/>
        <v>46387</v>
      </c>
      <c r="I243">
        <f t="shared" si="60"/>
        <v>70</v>
      </c>
      <c r="J243">
        <f t="shared" si="61"/>
        <v>184</v>
      </c>
      <c r="K243" s="7">
        <f t="shared" si="62"/>
        <v>0.80842391304347827</v>
      </c>
      <c r="L243" s="7">
        <f t="shared" si="63"/>
        <v>98.523267663043484</v>
      </c>
      <c r="M243" s="4">
        <f t="shared" si="64"/>
        <v>4.6442825771105936</v>
      </c>
      <c r="N243" s="8">
        <f t="shared" si="65"/>
        <v>2.8257711059342938E-2</v>
      </c>
      <c r="O243" s="4">
        <f t="shared" si="66"/>
        <v>5.7904004003336995</v>
      </c>
      <c r="P243">
        <f t="shared" si="67"/>
        <v>14</v>
      </c>
      <c r="Q243" s="4">
        <f t="shared" si="68"/>
        <v>6.8136986301369866</v>
      </c>
      <c r="R243">
        <f t="shared" si="69"/>
        <v>1</v>
      </c>
      <c r="S243" s="7">
        <f>SUM(CashFlows!BN243:DU243)</f>
        <v>98.682677271484891</v>
      </c>
      <c r="T243" s="7">
        <f t="shared" si="70"/>
        <v>97.874253358441408</v>
      </c>
      <c r="U243" s="7">
        <f t="shared" si="71"/>
        <v>0.15940960844140761</v>
      </c>
      <c r="V243" s="4">
        <f t="shared" si="72"/>
        <v>4.6163665641703222</v>
      </c>
      <c r="W243" s="8">
        <f t="shared" si="73"/>
        <v>-2.7916012940271351</v>
      </c>
      <c r="X243" s="9">
        <f t="shared" si="74"/>
        <v>2.7942617886232869E-4</v>
      </c>
      <c r="Y243" s="10">
        <f t="shared" si="75"/>
        <v>7.8078989433602102E-8</v>
      </c>
    </row>
    <row r="244" spans="1:25" x14ac:dyDescent="0.2">
      <c r="A244" s="3">
        <f>Data!A243</f>
        <v>48791</v>
      </c>
      <c r="B244" s="4">
        <f>Data!B243</f>
        <v>4.375</v>
      </c>
      <c r="C244" s="4">
        <f>Data!C243</f>
        <v>98.11</v>
      </c>
      <c r="D244" s="4">
        <f>Data!D243</f>
        <v>98.123999999999995</v>
      </c>
      <c r="E244" s="4">
        <f>Data!F243</f>
        <v>4.6500000000000004</v>
      </c>
      <c r="F244" s="7">
        <f t="shared" si="57"/>
        <v>98.390625</v>
      </c>
      <c r="G244" s="3">
        <f t="shared" si="58"/>
        <v>46234</v>
      </c>
      <c r="H244" s="3">
        <f t="shared" si="59"/>
        <v>46418</v>
      </c>
      <c r="I244">
        <f t="shared" si="60"/>
        <v>39</v>
      </c>
      <c r="J244">
        <f t="shared" si="61"/>
        <v>184</v>
      </c>
      <c r="K244" s="7">
        <f t="shared" si="62"/>
        <v>0.46365489130434784</v>
      </c>
      <c r="L244" s="7">
        <f t="shared" si="63"/>
        <v>98.854279891304344</v>
      </c>
      <c r="M244" s="4">
        <f t="shared" si="64"/>
        <v>4.6498204215907313</v>
      </c>
      <c r="N244" s="8">
        <f t="shared" si="65"/>
        <v>-1.7957840926907664E-2</v>
      </c>
      <c r="O244" s="4">
        <f t="shared" si="66"/>
        <v>5.8536482018838045</v>
      </c>
      <c r="P244">
        <f t="shared" si="67"/>
        <v>14</v>
      </c>
      <c r="Q244" s="4">
        <f t="shared" si="68"/>
        <v>6.8986301369863012</v>
      </c>
      <c r="R244">
        <f t="shared" si="69"/>
        <v>1</v>
      </c>
      <c r="S244" s="7">
        <f>SUM(CashFlows!BN244:DU244)</f>
        <v>99.021668535303377</v>
      </c>
      <c r="T244" s="7">
        <f t="shared" si="70"/>
        <v>98.558013643999033</v>
      </c>
      <c r="U244" s="7">
        <f t="shared" si="71"/>
        <v>0.16738864399903264</v>
      </c>
      <c r="V244" s="4">
        <f t="shared" si="72"/>
        <v>4.6209221761233561</v>
      </c>
      <c r="W244" s="8">
        <f t="shared" si="73"/>
        <v>-2.8898245467375183</v>
      </c>
      <c r="X244" s="9">
        <f t="shared" si="74"/>
        <v>2.8927033340208947E-4</v>
      </c>
      <c r="Y244" s="10">
        <f t="shared" si="75"/>
        <v>8.3677325786556002E-8</v>
      </c>
    </row>
    <row r="245" spans="1:25" x14ac:dyDescent="0.2">
      <c r="A245" s="3">
        <f>Data!A244</f>
        <v>48806</v>
      </c>
      <c r="B245" s="4">
        <f>Data!B244</f>
        <v>3.875</v>
      </c>
      <c r="C245" s="4">
        <f>Data!C244</f>
        <v>95.114000000000004</v>
      </c>
      <c r="D245" s="4">
        <f>Data!D244</f>
        <v>95.13</v>
      </c>
      <c r="E245" s="4">
        <f>Data!F244</f>
        <v>4.657</v>
      </c>
      <c r="F245" s="7">
        <f t="shared" si="57"/>
        <v>95.40625</v>
      </c>
      <c r="G245" s="3">
        <f t="shared" si="58"/>
        <v>46249</v>
      </c>
      <c r="H245" s="3">
        <f t="shared" si="59"/>
        <v>46433</v>
      </c>
      <c r="I245">
        <f t="shared" si="60"/>
        <v>24</v>
      </c>
      <c r="J245">
        <f t="shared" si="61"/>
        <v>184</v>
      </c>
      <c r="K245" s="7">
        <f t="shared" si="62"/>
        <v>0.25271739130434784</v>
      </c>
      <c r="L245" s="7">
        <f t="shared" si="63"/>
        <v>95.658967391304344</v>
      </c>
      <c r="M245" s="4">
        <f t="shared" si="64"/>
        <v>4.6573307450449342</v>
      </c>
      <c r="N245" s="8">
        <f t="shared" si="65"/>
        <v>3.3074504493413315E-2</v>
      </c>
      <c r="O245" s="4">
        <f t="shared" si="66"/>
        <v>5.9697680132214206</v>
      </c>
      <c r="P245">
        <f t="shared" si="67"/>
        <v>14</v>
      </c>
      <c r="Q245" s="4">
        <f t="shared" si="68"/>
        <v>6.9397260273972599</v>
      </c>
      <c r="R245">
        <f t="shared" si="69"/>
        <v>1</v>
      </c>
      <c r="S245" s="7">
        <f>SUM(CashFlows!BN245:DU245)</f>
        <v>95.843315548009002</v>
      </c>
      <c r="T245" s="7">
        <f t="shared" si="70"/>
        <v>95.590598156704658</v>
      </c>
      <c r="U245" s="7">
        <f t="shared" si="71"/>
        <v>0.18434815670465809</v>
      </c>
      <c r="V245" s="4">
        <f t="shared" si="72"/>
        <v>4.6250853070824993</v>
      </c>
      <c r="W245" s="8">
        <f t="shared" si="73"/>
        <v>-3.2245437962434842</v>
      </c>
      <c r="X245" s="9">
        <f t="shared" si="74"/>
        <v>3.2281644927785767E-4</v>
      </c>
      <c r="Y245" s="10">
        <f t="shared" si="75"/>
        <v>1.0421045992436366E-7</v>
      </c>
    </row>
    <row r="246" spans="1:25" x14ac:dyDescent="0.2">
      <c r="A246" s="3">
        <f>Data!A245</f>
        <v>48822</v>
      </c>
      <c r="B246" s="4">
        <f>Data!B245</f>
        <v>4.5</v>
      </c>
      <c r="C246" s="4">
        <f>Data!C245</f>
        <v>99.016000000000005</v>
      </c>
      <c r="D246" s="4">
        <f>Data!D245</f>
        <v>99.031999999999996</v>
      </c>
      <c r="E246" s="4">
        <f>Data!F245</f>
        <v>4.6520000000000001</v>
      </c>
      <c r="F246" s="7">
        <f t="shared" si="57"/>
        <v>99.1015625</v>
      </c>
      <c r="G246" s="3">
        <f t="shared" si="58"/>
        <v>46265</v>
      </c>
      <c r="H246" s="3">
        <f t="shared" si="59"/>
        <v>46446</v>
      </c>
      <c r="I246">
        <f t="shared" si="60"/>
        <v>8</v>
      </c>
      <c r="J246">
        <f t="shared" si="61"/>
        <v>181</v>
      </c>
      <c r="K246" s="7">
        <f t="shared" si="62"/>
        <v>9.9447513812154692E-2</v>
      </c>
      <c r="L246" s="7">
        <f t="shared" si="63"/>
        <v>99.201010013812152</v>
      </c>
      <c r="M246" s="4">
        <f t="shared" si="64"/>
        <v>4.6520756247926087</v>
      </c>
      <c r="N246" s="8">
        <f t="shared" si="65"/>
        <v>7.5624792608586233E-3</v>
      </c>
      <c r="O246" s="4">
        <f t="shared" si="66"/>
        <v>5.9170162555620633</v>
      </c>
      <c r="P246">
        <f t="shared" si="67"/>
        <v>14</v>
      </c>
      <c r="Q246" s="4">
        <f t="shared" si="68"/>
        <v>6.9835616438356167</v>
      </c>
      <c r="R246">
        <f t="shared" si="69"/>
        <v>1</v>
      </c>
      <c r="S246" s="7">
        <f>SUM(CashFlows!BN246:DU246)</f>
        <v>99.359815948812582</v>
      </c>
      <c r="T246" s="7">
        <f t="shared" si="70"/>
        <v>99.26036843500043</v>
      </c>
      <c r="U246" s="7">
        <f t="shared" si="71"/>
        <v>0.15880593500043005</v>
      </c>
      <c r="V246" s="4">
        <f t="shared" si="72"/>
        <v>4.6250460295148894</v>
      </c>
      <c r="W246" s="8">
        <f t="shared" si="73"/>
        <v>-2.7029595277719309</v>
      </c>
      <c r="X246" s="9">
        <f t="shared" si="74"/>
        <v>2.7055020839970433E-4</v>
      </c>
      <c r="Y246" s="10">
        <f t="shared" si="75"/>
        <v>7.3197415265123443E-8</v>
      </c>
    </row>
    <row r="247" spans="1:25" x14ac:dyDescent="0.2">
      <c r="A247" s="3">
        <f>Data!A246</f>
        <v>48898</v>
      </c>
      <c r="B247" s="4">
        <f>Data!B246</f>
        <v>4.5</v>
      </c>
      <c r="C247" s="4">
        <f>Data!C246</f>
        <v>98.293999999999997</v>
      </c>
      <c r="D247" s="4">
        <f>Data!D246</f>
        <v>98.313999999999993</v>
      </c>
      <c r="E247" s="4">
        <f>Data!F246</f>
        <v>4.6669999999999998</v>
      </c>
      <c r="F247" s="7">
        <f t="shared" si="57"/>
        <v>98.984375</v>
      </c>
      <c r="G247" s="3">
        <f t="shared" si="58"/>
        <v>46157</v>
      </c>
      <c r="H247" s="3">
        <f t="shared" si="59"/>
        <v>46341</v>
      </c>
      <c r="I247">
        <f t="shared" si="60"/>
        <v>116</v>
      </c>
      <c r="J247">
        <f t="shared" si="61"/>
        <v>184</v>
      </c>
      <c r="K247" s="7">
        <f t="shared" si="62"/>
        <v>1.4184782608695652</v>
      </c>
      <c r="L247" s="7">
        <f t="shared" si="63"/>
        <v>100.40285326086956</v>
      </c>
      <c r="M247" s="4">
        <f t="shared" si="64"/>
        <v>4.6670060943435088</v>
      </c>
      <c r="N247" s="8">
        <f t="shared" si="65"/>
        <v>6.0943435089555464E-4</v>
      </c>
      <c r="O247" s="4">
        <f t="shared" si="66"/>
        <v>5.9863308067299315</v>
      </c>
      <c r="P247">
        <f t="shared" si="67"/>
        <v>15</v>
      </c>
      <c r="Q247" s="4">
        <f t="shared" si="68"/>
        <v>7.1917808219178081</v>
      </c>
      <c r="R247">
        <f t="shared" si="69"/>
        <v>1</v>
      </c>
      <c r="S247" s="7">
        <f>SUM(CashFlows!BN247:DU247)</f>
        <v>100.5838121467057</v>
      </c>
      <c r="T247" s="7">
        <f t="shared" si="70"/>
        <v>99.165333885836134</v>
      </c>
      <c r="U247" s="7">
        <f t="shared" si="71"/>
        <v>0.18095888583613373</v>
      </c>
      <c r="V247" s="4">
        <f t="shared" si="72"/>
        <v>4.636930996353569</v>
      </c>
      <c r="W247" s="8">
        <f t="shared" si="73"/>
        <v>-3.0075097989939792</v>
      </c>
      <c r="X247" s="9">
        <f t="shared" si="74"/>
        <v>3.0107392640732429E-4</v>
      </c>
      <c r="Y247" s="10">
        <f t="shared" si="75"/>
        <v>9.0645509162322928E-8</v>
      </c>
    </row>
    <row r="248" spans="1:25" x14ac:dyDescent="0.2">
      <c r="A248" s="3">
        <f>Data!A247</f>
        <v>48990</v>
      </c>
      <c r="B248" s="4">
        <f>Data!B247</f>
        <v>4</v>
      </c>
      <c r="C248" s="4">
        <f>Data!C247</f>
        <v>95.22</v>
      </c>
      <c r="D248" s="4">
        <f>Data!D247</f>
        <v>95.24</v>
      </c>
      <c r="E248" s="4">
        <f>Data!F247</f>
        <v>4.6829999999999998</v>
      </c>
      <c r="F248" s="7">
        <f t="shared" si="57"/>
        <v>95.75</v>
      </c>
      <c r="G248" s="3">
        <f t="shared" si="58"/>
        <v>46249</v>
      </c>
      <c r="H248" s="3">
        <f t="shared" si="59"/>
        <v>46433</v>
      </c>
      <c r="I248">
        <f t="shared" si="60"/>
        <v>24</v>
      </c>
      <c r="J248">
        <f t="shared" si="61"/>
        <v>184</v>
      </c>
      <c r="K248" s="7">
        <f t="shared" si="62"/>
        <v>0.2608695652173913</v>
      </c>
      <c r="L248" s="7">
        <f t="shared" si="63"/>
        <v>96.010869565217391</v>
      </c>
      <c r="M248" s="4">
        <f t="shared" si="64"/>
        <v>4.6830960417080885</v>
      </c>
      <c r="N248" s="8">
        <f t="shared" si="65"/>
        <v>9.6041708088634437E-3</v>
      </c>
      <c r="O248" s="4">
        <f t="shared" si="66"/>
        <v>6.3144192936510617</v>
      </c>
      <c r="P248">
        <f t="shared" si="67"/>
        <v>15</v>
      </c>
      <c r="Q248" s="4">
        <f t="shared" si="68"/>
        <v>7.4438356164383563</v>
      </c>
      <c r="R248">
        <f t="shared" si="69"/>
        <v>1</v>
      </c>
      <c r="S248" s="7">
        <f>SUM(CashFlows!BN248:DU248)</f>
        <v>96.184979324830664</v>
      </c>
      <c r="T248" s="7">
        <f t="shared" si="70"/>
        <v>95.924109759613273</v>
      </c>
      <c r="U248" s="7">
        <f t="shared" si="71"/>
        <v>0.17410975961327324</v>
      </c>
      <c r="V248" s="4">
        <f t="shared" si="72"/>
        <v>4.6544074770303503</v>
      </c>
      <c r="W248" s="8">
        <f t="shared" si="73"/>
        <v>-2.8688564677738171</v>
      </c>
      <c r="X248" s="9">
        <f t="shared" si="74"/>
        <v>2.8718998836003556E-4</v>
      </c>
      <c r="Y248" s="10">
        <f t="shared" si="75"/>
        <v>8.2478089414237358E-8</v>
      </c>
    </row>
    <row r="249" spans="1:25" x14ac:dyDescent="0.2">
      <c r="A249" s="3">
        <f>Data!A248</f>
        <v>49079</v>
      </c>
      <c r="B249" s="4">
        <f>Data!B248</f>
        <v>4.375</v>
      </c>
      <c r="C249" s="4">
        <f>Data!C248</f>
        <v>97.302000000000007</v>
      </c>
      <c r="D249" s="4">
        <f>Data!D248</f>
        <v>98.001999999999995</v>
      </c>
      <c r="E249" s="4">
        <f>Data!F248</f>
        <v>4.6859999999999999</v>
      </c>
      <c r="F249" s="7">
        <f t="shared" si="57"/>
        <v>98.0078125</v>
      </c>
      <c r="G249" s="3">
        <f t="shared" si="58"/>
        <v>46157</v>
      </c>
      <c r="H249" s="3">
        <f t="shared" si="59"/>
        <v>46341</v>
      </c>
      <c r="I249">
        <f t="shared" si="60"/>
        <v>116</v>
      </c>
      <c r="J249">
        <f t="shared" si="61"/>
        <v>184</v>
      </c>
      <c r="K249" s="7">
        <f t="shared" si="62"/>
        <v>1.3790760869565217</v>
      </c>
      <c r="L249" s="7">
        <f t="shared" si="63"/>
        <v>99.386888586956516</v>
      </c>
      <c r="M249" s="4">
        <f t="shared" si="64"/>
        <v>4.6857765912532043</v>
      </c>
      <c r="N249" s="8">
        <f t="shared" si="65"/>
        <v>-2.2340874679560585E-2</v>
      </c>
      <c r="O249" s="4">
        <f t="shared" si="66"/>
        <v>6.3565345236379702</v>
      </c>
      <c r="P249">
        <f t="shared" si="67"/>
        <v>16</v>
      </c>
      <c r="Q249" s="4">
        <f t="shared" si="68"/>
        <v>7.6876712328767125</v>
      </c>
      <c r="R249">
        <f t="shared" si="69"/>
        <v>1</v>
      </c>
      <c r="S249" s="7">
        <f>SUM(CashFlows!BN249:DU249)</f>
        <v>99.531245710698954</v>
      </c>
      <c r="T249" s="7">
        <f t="shared" si="70"/>
        <v>98.152169623742438</v>
      </c>
      <c r="U249" s="7">
        <f t="shared" si="71"/>
        <v>0.14435712374243792</v>
      </c>
      <c r="V249" s="4">
        <f t="shared" si="72"/>
        <v>4.6629462203474619</v>
      </c>
      <c r="W249" s="8">
        <f t="shared" si="73"/>
        <v>-2.283037090574247</v>
      </c>
      <c r="X249" s="9">
        <f t="shared" si="74"/>
        <v>2.2850132119038108E-4</v>
      </c>
      <c r="Y249" s="10">
        <f t="shared" si="75"/>
        <v>5.2212853785749698E-8</v>
      </c>
    </row>
    <row r="250" spans="1:25" x14ac:dyDescent="0.2">
      <c r="A250" s="3">
        <f>Data!A249</f>
        <v>49171</v>
      </c>
      <c r="B250" s="4">
        <f>Data!B249</f>
        <v>3.875</v>
      </c>
      <c r="C250" s="4">
        <f>Data!C249</f>
        <v>94.16</v>
      </c>
      <c r="D250" s="4">
        <f>Data!D249</f>
        <v>94.18</v>
      </c>
      <c r="E250" s="4">
        <f>Data!F249</f>
        <v>4.7039999999999997</v>
      </c>
      <c r="F250" s="7">
        <f t="shared" si="57"/>
        <v>94.5625</v>
      </c>
      <c r="G250" s="3">
        <f t="shared" si="58"/>
        <v>46249</v>
      </c>
      <c r="H250" s="3">
        <f t="shared" si="59"/>
        <v>46433</v>
      </c>
      <c r="I250">
        <f t="shared" si="60"/>
        <v>24</v>
      </c>
      <c r="J250">
        <f t="shared" si="61"/>
        <v>184</v>
      </c>
      <c r="K250" s="7">
        <f t="shared" si="62"/>
        <v>0.25271739130434784</v>
      </c>
      <c r="L250" s="7">
        <f t="shared" si="63"/>
        <v>94.815217391304344</v>
      </c>
      <c r="M250" s="4">
        <f t="shared" si="64"/>
        <v>4.703637563658746</v>
      </c>
      <c r="N250" s="8">
        <f t="shared" si="65"/>
        <v>-3.62436341253769E-2</v>
      </c>
      <c r="O250" s="4">
        <f t="shared" si="66"/>
        <v>6.6955096866029749</v>
      </c>
      <c r="P250">
        <f t="shared" si="67"/>
        <v>16</v>
      </c>
      <c r="Q250" s="4">
        <f t="shared" si="68"/>
        <v>7.9397260273972599</v>
      </c>
      <c r="R250">
        <f t="shared" si="69"/>
        <v>1</v>
      </c>
      <c r="S250" s="7">
        <f>SUM(CashFlows!BN250:DU250)</f>
        <v>94.955188560428937</v>
      </c>
      <c r="T250" s="7">
        <f t="shared" si="70"/>
        <v>94.702471169124593</v>
      </c>
      <c r="U250" s="7">
        <f t="shared" si="71"/>
        <v>0.13997116912459262</v>
      </c>
      <c r="V250" s="4">
        <f t="shared" si="72"/>
        <v>4.6816082011083795</v>
      </c>
      <c r="W250" s="8">
        <f t="shared" si="73"/>
        <v>-2.2029362550366471</v>
      </c>
      <c r="X250" s="9">
        <f t="shared" si="74"/>
        <v>2.2048391017347554E-4</v>
      </c>
      <c r="Y250" s="10">
        <f t="shared" si="75"/>
        <v>4.8613154645385229E-8</v>
      </c>
    </row>
    <row r="251" spans="1:25" x14ac:dyDescent="0.2">
      <c r="A251" s="3">
        <f>Data!A250</f>
        <v>49263</v>
      </c>
      <c r="B251" s="4">
        <f>Data!B250</f>
        <v>4.25</v>
      </c>
      <c r="C251" s="4">
        <f>Data!C250</f>
        <v>96.256</v>
      </c>
      <c r="D251" s="4">
        <f>Data!D250</f>
        <v>96.275999999999996</v>
      </c>
      <c r="E251" s="4">
        <f>Data!F250</f>
        <v>4.7149999999999999</v>
      </c>
      <c r="F251" s="7">
        <f t="shared" si="57"/>
        <v>96.8671875</v>
      </c>
      <c r="G251" s="3">
        <f t="shared" si="58"/>
        <v>46157</v>
      </c>
      <c r="H251" s="3">
        <f t="shared" si="59"/>
        <v>46341</v>
      </c>
      <c r="I251">
        <f t="shared" si="60"/>
        <v>116</v>
      </c>
      <c r="J251">
        <f t="shared" si="61"/>
        <v>184</v>
      </c>
      <c r="K251" s="7">
        <f t="shared" si="62"/>
        <v>1.3396739130434783</v>
      </c>
      <c r="L251" s="7">
        <f t="shared" si="63"/>
        <v>98.206861413043484</v>
      </c>
      <c r="M251" s="4">
        <f t="shared" si="64"/>
        <v>4.71493511481148</v>
      </c>
      <c r="N251" s="8">
        <f t="shared" si="65"/>
        <v>-6.4885188519880899E-3</v>
      </c>
      <c r="O251" s="4">
        <f t="shared" si="66"/>
        <v>6.7227507399080073</v>
      </c>
      <c r="P251">
        <f t="shared" si="67"/>
        <v>17</v>
      </c>
      <c r="Q251" s="4">
        <f t="shared" si="68"/>
        <v>8.1917808219178081</v>
      </c>
      <c r="R251">
        <f t="shared" si="69"/>
        <v>1</v>
      </c>
      <c r="S251" s="7">
        <f>SUM(CashFlows!BN251:DU251)</f>
        <v>98.336030163201244</v>
      </c>
      <c r="T251" s="7">
        <f t="shared" si="70"/>
        <v>96.99635625015776</v>
      </c>
      <c r="U251" s="7">
        <f t="shared" si="71"/>
        <v>0.12916875015775986</v>
      </c>
      <c r="V251" s="4">
        <f t="shared" si="72"/>
        <v>4.6953859534894873</v>
      </c>
      <c r="W251" s="8">
        <f t="shared" si="73"/>
        <v>-1.9549161321992692</v>
      </c>
      <c r="X251" s="9">
        <f t="shared" si="74"/>
        <v>1.9564493835661523E-4</v>
      </c>
      <c r="Y251" s="10">
        <f t="shared" si="75"/>
        <v>3.8276941904563773E-8</v>
      </c>
    </row>
    <row r="252" spans="1:25" x14ac:dyDescent="0.2">
      <c r="A252" s="3">
        <f>Data!A251</f>
        <v>49355</v>
      </c>
      <c r="B252" s="4">
        <f>Data!B251</f>
        <v>4.625</v>
      </c>
      <c r="C252" s="4">
        <f>Data!C251</f>
        <v>99.08</v>
      </c>
      <c r="D252" s="4">
        <f>Data!D251</f>
        <v>99.1</v>
      </c>
      <c r="E252" s="4">
        <f>Data!F251</f>
        <v>4.7240000000000002</v>
      </c>
      <c r="F252" s="7">
        <f t="shared" si="57"/>
        <v>99.3125</v>
      </c>
      <c r="G252" s="3">
        <f t="shared" si="58"/>
        <v>46249</v>
      </c>
      <c r="H252" s="3">
        <f t="shared" si="59"/>
        <v>46433</v>
      </c>
      <c r="I252">
        <f t="shared" si="60"/>
        <v>24</v>
      </c>
      <c r="J252">
        <f t="shared" si="61"/>
        <v>184</v>
      </c>
      <c r="K252" s="7">
        <f t="shared" si="62"/>
        <v>0.3016304347826087</v>
      </c>
      <c r="L252" s="7">
        <f t="shared" si="63"/>
        <v>99.614130434782609</v>
      </c>
      <c r="M252" s="4">
        <f t="shared" si="64"/>
        <v>4.7243267587430395</v>
      </c>
      <c r="N252" s="8">
        <f t="shared" si="65"/>
        <v>3.2675874303933483E-2</v>
      </c>
      <c r="O252" s="4">
        <f t="shared" si="66"/>
        <v>6.890054298398649</v>
      </c>
      <c r="P252">
        <f t="shared" si="67"/>
        <v>17</v>
      </c>
      <c r="Q252" s="4">
        <f t="shared" si="68"/>
        <v>8.4438356164383563</v>
      </c>
      <c r="R252">
        <f t="shared" si="69"/>
        <v>1</v>
      </c>
      <c r="S252" s="7">
        <f>SUM(CashFlows!BN252:DU252)</f>
        <v>99.711859071860076</v>
      </c>
      <c r="T252" s="7">
        <f t="shared" si="70"/>
        <v>99.410228637077466</v>
      </c>
      <c r="U252" s="7">
        <f t="shared" si="71"/>
        <v>9.7728637077466374E-2</v>
      </c>
      <c r="V252" s="4">
        <f t="shared" si="72"/>
        <v>4.7100960953535784</v>
      </c>
      <c r="W252" s="8">
        <f t="shared" si="73"/>
        <v>-1.4230663389461107</v>
      </c>
      <c r="X252" s="9">
        <f t="shared" si="74"/>
        <v>1.4238959326866586E-4</v>
      </c>
      <c r="Y252" s="10">
        <f t="shared" si="75"/>
        <v>2.0274796271216094E-8</v>
      </c>
    </row>
    <row r="253" spans="1:25" x14ac:dyDescent="0.2">
      <c r="A253" s="3">
        <f>Data!A252</f>
        <v>49444</v>
      </c>
      <c r="B253" s="4">
        <f>Data!B252</f>
        <v>4.25</v>
      </c>
      <c r="C253" s="4">
        <f>Data!C252</f>
        <v>96.164000000000001</v>
      </c>
      <c r="D253" s="4">
        <f>Data!D252</f>
        <v>96.183999999999997</v>
      </c>
      <c r="E253" s="4">
        <f>Data!F252</f>
        <v>4.734</v>
      </c>
      <c r="F253" s="7">
        <f t="shared" si="57"/>
        <v>96.578125</v>
      </c>
      <c r="G253" s="3">
        <f t="shared" si="58"/>
        <v>46157</v>
      </c>
      <c r="H253" s="3">
        <f t="shared" si="59"/>
        <v>46341</v>
      </c>
      <c r="I253">
        <f t="shared" si="60"/>
        <v>116</v>
      </c>
      <c r="J253">
        <f t="shared" si="61"/>
        <v>184</v>
      </c>
      <c r="K253" s="7">
        <f t="shared" si="62"/>
        <v>1.3396739130434783</v>
      </c>
      <c r="L253" s="7">
        <f t="shared" si="63"/>
        <v>97.917798913043484</v>
      </c>
      <c r="M253" s="4">
        <f t="shared" si="64"/>
        <v>4.7343034635464223</v>
      </c>
      <c r="N253" s="8">
        <f t="shared" si="65"/>
        <v>3.0346354642230011E-2</v>
      </c>
      <c r="O253" s="4">
        <f t="shared" si="66"/>
        <v>7.0582711332468104</v>
      </c>
      <c r="P253">
        <f t="shared" si="67"/>
        <v>18</v>
      </c>
      <c r="Q253" s="4">
        <f t="shared" si="68"/>
        <v>8.6876712328767116</v>
      </c>
      <c r="R253">
        <f t="shared" si="69"/>
        <v>1</v>
      </c>
      <c r="S253" s="7">
        <f>SUM(CashFlows!BN253:DU253)</f>
        <v>97.989562000389441</v>
      </c>
      <c r="T253" s="7">
        <f t="shared" si="70"/>
        <v>96.649888087345957</v>
      </c>
      <c r="U253" s="7">
        <f t="shared" si="71"/>
        <v>7.1763087345956933E-2</v>
      </c>
      <c r="V253" s="4">
        <f t="shared" si="72"/>
        <v>4.7239245778817907</v>
      </c>
      <c r="W253" s="8">
        <f t="shared" si="73"/>
        <v>-1.0378885664631632</v>
      </c>
      <c r="X253" s="9">
        <f t="shared" si="74"/>
        <v>1.0383437061612615E-4</v>
      </c>
      <c r="Y253" s="10">
        <f t="shared" si="75"/>
        <v>1.0781576521247041E-8</v>
      </c>
    </row>
    <row r="254" spans="1:25" x14ac:dyDescent="0.2">
      <c r="A254" s="3">
        <f>Data!A253</f>
        <v>49536</v>
      </c>
      <c r="B254" s="4">
        <f>Data!B253</f>
        <v>4.25</v>
      </c>
      <c r="C254" s="4">
        <f>Data!C253</f>
        <v>96.11</v>
      </c>
      <c r="D254" s="4">
        <f>Data!D253</f>
        <v>96.13</v>
      </c>
      <c r="E254" s="4">
        <f>Data!F253</f>
        <v>4.7480000000000002</v>
      </c>
      <c r="F254" s="7">
        <f t="shared" si="57"/>
        <v>96.40625</v>
      </c>
      <c r="G254" s="3">
        <f t="shared" si="58"/>
        <v>46249</v>
      </c>
      <c r="H254" s="3">
        <f t="shared" si="59"/>
        <v>46433</v>
      </c>
      <c r="I254">
        <f t="shared" si="60"/>
        <v>24</v>
      </c>
      <c r="J254">
        <f t="shared" si="61"/>
        <v>184</v>
      </c>
      <c r="K254" s="7">
        <f t="shared" si="62"/>
        <v>0.27717391304347827</v>
      </c>
      <c r="L254" s="7">
        <f t="shared" si="63"/>
        <v>96.683423913043484</v>
      </c>
      <c r="M254" s="4">
        <f t="shared" si="64"/>
        <v>4.7478415209135729</v>
      </c>
      <c r="N254" s="8">
        <f t="shared" si="65"/>
        <v>-1.5847908642729891E-2</v>
      </c>
      <c r="O254" s="4">
        <f t="shared" si="66"/>
        <v>7.3011462273621612</v>
      </c>
      <c r="P254">
        <f t="shared" si="67"/>
        <v>18</v>
      </c>
      <c r="Q254" s="4">
        <f t="shared" si="68"/>
        <v>8.9397260273972599</v>
      </c>
      <c r="R254">
        <f t="shared" si="69"/>
        <v>1</v>
      </c>
      <c r="S254" s="7">
        <f>SUM(CashFlows!BN254:DU254)</f>
        <v>96.730727029174446</v>
      </c>
      <c r="T254" s="7">
        <f t="shared" si="70"/>
        <v>96.453553116130962</v>
      </c>
      <c r="U254" s="7">
        <f t="shared" si="71"/>
        <v>4.7303116130962053E-2</v>
      </c>
      <c r="V254" s="4">
        <f t="shared" si="72"/>
        <v>4.741142355759691</v>
      </c>
      <c r="W254" s="8">
        <f t="shared" si="73"/>
        <v>-0.66991651538819141</v>
      </c>
      <c r="X254" s="9">
        <f t="shared" si="74"/>
        <v>6.7011090066123721E-5</v>
      </c>
      <c r="Y254" s="10">
        <f t="shared" si="75"/>
        <v>4.4904861918501454E-9</v>
      </c>
    </row>
    <row r="255" spans="1:25" x14ac:dyDescent="0.2">
      <c r="A255" s="3">
        <f>Data!A254</f>
        <v>49628</v>
      </c>
      <c r="B255" s="4">
        <f>Data!B254</f>
        <v>4</v>
      </c>
      <c r="C255" s="4">
        <f>Data!C254</f>
        <v>94.116</v>
      </c>
      <c r="D255" s="4">
        <f>Data!D254</f>
        <v>94.135999999999996</v>
      </c>
      <c r="E255" s="4">
        <f>Data!F254</f>
        <v>4.7549999999999999</v>
      </c>
      <c r="F255" s="7">
        <f t="shared" si="57"/>
        <v>94.4296875</v>
      </c>
      <c r="G255" s="3">
        <f t="shared" si="58"/>
        <v>46157</v>
      </c>
      <c r="H255" s="3">
        <f t="shared" si="59"/>
        <v>46341</v>
      </c>
      <c r="I255">
        <f t="shared" si="60"/>
        <v>116</v>
      </c>
      <c r="J255">
        <f t="shared" si="61"/>
        <v>184</v>
      </c>
      <c r="K255" s="7">
        <f t="shared" si="62"/>
        <v>1.2608695652173914</v>
      </c>
      <c r="L255" s="7">
        <f t="shared" si="63"/>
        <v>95.690557065217391</v>
      </c>
      <c r="M255" s="4">
        <f t="shared" si="64"/>
        <v>4.7548360587269203</v>
      </c>
      <c r="N255" s="8">
        <f t="shared" si="65"/>
        <v>-1.6394127307961526E-2</v>
      </c>
      <c r="O255" s="4">
        <f t="shared" si="66"/>
        <v>7.4490266363495747</v>
      </c>
      <c r="P255">
        <f t="shared" si="67"/>
        <v>19</v>
      </c>
      <c r="Q255" s="4">
        <f t="shared" si="68"/>
        <v>9.1917808219178081</v>
      </c>
      <c r="R255">
        <f t="shared" si="69"/>
        <v>1</v>
      </c>
      <c r="S255" s="7">
        <f>SUM(CashFlows!BN255:DU255)</f>
        <v>95.659244120155861</v>
      </c>
      <c r="T255" s="7">
        <f t="shared" si="70"/>
        <v>94.398374554938471</v>
      </c>
      <c r="U255" s="7">
        <f t="shared" si="71"/>
        <v>-3.1312945061529263E-2</v>
      </c>
      <c r="V255" s="4">
        <f t="shared" si="72"/>
        <v>4.7592298580779717</v>
      </c>
      <c r="W255" s="8">
        <f t="shared" si="73"/>
        <v>0.43937993510514417</v>
      </c>
      <c r="X255" s="9">
        <f t="shared" si="74"/>
        <v>-4.3929403475417823E-5</v>
      </c>
      <c r="Y255" s="10">
        <f t="shared" si="75"/>
        <v>1.9297924897060514E-9</v>
      </c>
    </row>
    <row r="256" spans="1:25" x14ac:dyDescent="0.2">
      <c r="A256" s="3">
        <f>Data!A255</f>
        <v>49720</v>
      </c>
      <c r="B256" s="4">
        <f>Data!B255</f>
        <v>4.125</v>
      </c>
      <c r="C256" s="4">
        <f>Data!C255</f>
        <v>95.042000000000002</v>
      </c>
      <c r="D256" s="4">
        <f>Data!D255</f>
        <v>95.061999999999998</v>
      </c>
      <c r="E256" s="4">
        <f>Data!F255</f>
        <v>4.7629999999999999</v>
      </c>
      <c r="F256" s="7">
        <f t="shared" si="57"/>
        <v>95.1953125</v>
      </c>
      <c r="G256" s="3">
        <f t="shared" si="58"/>
        <v>46249</v>
      </c>
      <c r="H256" s="3">
        <f t="shared" si="59"/>
        <v>46433</v>
      </c>
      <c r="I256">
        <f t="shared" si="60"/>
        <v>24</v>
      </c>
      <c r="J256">
        <f t="shared" si="61"/>
        <v>184</v>
      </c>
      <c r="K256" s="7">
        <f t="shared" si="62"/>
        <v>0.26902173913043476</v>
      </c>
      <c r="L256" s="7">
        <f t="shared" si="63"/>
        <v>95.464334239130437</v>
      </c>
      <c r="M256" s="4">
        <f t="shared" si="64"/>
        <v>4.7627874429986266</v>
      </c>
      <c r="N256" s="8">
        <f t="shared" si="65"/>
        <v>-2.1255700137334799E-2</v>
      </c>
      <c r="O256" s="4">
        <f t="shared" si="66"/>
        <v>7.6603751187714098</v>
      </c>
      <c r="P256">
        <f t="shared" si="67"/>
        <v>19</v>
      </c>
      <c r="Q256" s="4">
        <f t="shared" si="68"/>
        <v>9.4438356164383563</v>
      </c>
      <c r="R256">
        <f t="shared" si="69"/>
        <v>1</v>
      </c>
      <c r="S256" s="7">
        <f>SUM(CashFlows!BN256:DU256)</f>
        <v>95.369639567976122</v>
      </c>
      <c r="T256" s="7">
        <f t="shared" si="70"/>
        <v>95.100617828845685</v>
      </c>
      <c r="U256" s="7">
        <f t="shared" si="71"/>
        <v>-9.4694671154314847E-2</v>
      </c>
      <c r="V256" s="4">
        <f t="shared" si="72"/>
        <v>4.7757440207682595</v>
      </c>
      <c r="W256" s="8">
        <f t="shared" si="73"/>
        <v>1.2956577769632993</v>
      </c>
      <c r="X256" s="9">
        <f t="shared" si="74"/>
        <v>-1.2948944070291336E-4</v>
      </c>
      <c r="Y256" s="10">
        <f t="shared" si="75"/>
        <v>1.6767515253553317E-8</v>
      </c>
    </row>
    <row r="257" spans="1:25" x14ac:dyDescent="0.2">
      <c r="A257" s="3">
        <f>Data!A256</f>
        <v>49720</v>
      </c>
      <c r="B257" s="4">
        <f>Data!B256</f>
        <v>4.5</v>
      </c>
      <c r="C257" s="4">
        <f>Data!C256</f>
        <v>98.22</v>
      </c>
      <c r="D257" s="4">
        <f>Data!D256</f>
        <v>98.24</v>
      </c>
      <c r="E257" s="4">
        <f>Data!F256</f>
        <v>4.665</v>
      </c>
      <c r="F257" s="7">
        <f t="shared" si="57"/>
        <v>98.75</v>
      </c>
      <c r="G257" s="3">
        <f t="shared" si="58"/>
        <v>46249</v>
      </c>
      <c r="H257" s="3">
        <f t="shared" si="59"/>
        <v>46433</v>
      </c>
      <c r="I257">
        <f t="shared" si="60"/>
        <v>24</v>
      </c>
      <c r="J257">
        <f t="shared" si="61"/>
        <v>184</v>
      </c>
      <c r="K257" s="7">
        <f t="shared" si="62"/>
        <v>0.29347826086956524</v>
      </c>
      <c r="L257" s="7">
        <f t="shared" si="63"/>
        <v>99.043478260869563</v>
      </c>
      <c r="M257" s="4">
        <f t="shared" si="64"/>
        <v>4.6649028563827741</v>
      </c>
      <c r="N257" s="8">
        <f t="shared" si="65"/>
        <v>-9.7143617225903256E-3</v>
      </c>
      <c r="O257" s="4">
        <f t="shared" si="66"/>
        <v>7.5791555110268805</v>
      </c>
      <c r="P257">
        <f t="shared" si="67"/>
        <v>19</v>
      </c>
      <c r="Q257" s="4">
        <f t="shared" si="68"/>
        <v>9.4438356164383563</v>
      </c>
      <c r="R257">
        <f t="shared" si="69"/>
        <v>1</v>
      </c>
      <c r="S257" s="7">
        <f>SUM(CashFlows!BN257:DU257)</f>
        <v>98.236214401587702</v>
      </c>
      <c r="T257" s="7">
        <f t="shared" si="70"/>
        <v>97.942736140718139</v>
      </c>
      <c r="U257" s="7">
        <f t="shared" si="71"/>
        <v>-0.80726385928186062</v>
      </c>
      <c r="V257" s="4">
        <f t="shared" si="72"/>
        <v>4.7729698187997389</v>
      </c>
      <c r="W257" s="8">
        <f t="shared" si="73"/>
        <v>10.806696241696478</v>
      </c>
      <c r="X257" s="9">
        <f t="shared" si="74"/>
        <v>-1.075396968709043E-3</v>
      </c>
      <c r="Y257" s="10">
        <f t="shared" si="75"/>
        <v>1.1564786403085985E-6</v>
      </c>
    </row>
    <row r="258" spans="1:25" x14ac:dyDescent="0.2">
      <c r="A258" s="3">
        <f>Data!A257</f>
        <v>49810</v>
      </c>
      <c r="B258" s="4">
        <f>Data!B257</f>
        <v>4.375</v>
      </c>
      <c r="C258" s="4">
        <f>Data!C257</f>
        <v>96.281000000000006</v>
      </c>
      <c r="D258" s="4">
        <f>Data!D257</f>
        <v>96.301000000000002</v>
      </c>
      <c r="E258" s="4">
        <f>Data!F257</f>
        <v>4.7720000000000002</v>
      </c>
      <c r="F258" s="7">
        <f t="shared" si="57"/>
        <v>96.94140625</v>
      </c>
      <c r="G258" s="3">
        <f t="shared" si="58"/>
        <v>46157</v>
      </c>
      <c r="H258" s="3">
        <f t="shared" si="59"/>
        <v>46341</v>
      </c>
      <c r="I258">
        <f t="shared" si="60"/>
        <v>116</v>
      </c>
      <c r="J258">
        <f t="shared" si="61"/>
        <v>184</v>
      </c>
      <c r="K258" s="7">
        <f t="shared" si="62"/>
        <v>1.3790760869565217</v>
      </c>
      <c r="L258" s="7">
        <f t="shared" si="63"/>
        <v>98.320482336956516</v>
      </c>
      <c r="M258" s="4">
        <f t="shared" si="64"/>
        <v>4.7723039704791654</v>
      </c>
      <c r="N258" s="8">
        <f t="shared" si="65"/>
        <v>3.0397047916519426E-2</v>
      </c>
      <c r="O258" s="4">
        <f t="shared" si="66"/>
        <v>7.6724354034552906</v>
      </c>
      <c r="P258">
        <f t="shared" si="67"/>
        <v>20</v>
      </c>
      <c r="Q258" s="4">
        <f t="shared" si="68"/>
        <v>9.6904109589041099</v>
      </c>
      <c r="R258">
        <f t="shared" si="69"/>
        <v>1</v>
      </c>
      <c r="S258" s="7">
        <f>SUM(CashFlows!BN258:DU258)</f>
        <v>98.204880399604846</v>
      </c>
      <c r="T258" s="7">
        <f t="shared" si="70"/>
        <v>96.82580431264833</v>
      </c>
      <c r="U258" s="7">
        <f t="shared" si="71"/>
        <v>-0.1156019373516699</v>
      </c>
      <c r="V258" s="4">
        <f t="shared" si="72"/>
        <v>4.787639429203236</v>
      </c>
      <c r="W258" s="8">
        <f t="shared" si="73"/>
        <v>1.5335458724070605</v>
      </c>
      <c r="X258" s="9">
        <f t="shared" si="74"/>
        <v>-1.532455496972832E-4</v>
      </c>
      <c r="Y258" s="10">
        <f t="shared" si="75"/>
        <v>2.3484198502022495E-8</v>
      </c>
    </row>
    <row r="259" spans="1:25" x14ac:dyDescent="0.2">
      <c r="A259" s="3">
        <f>Data!A258</f>
        <v>49902</v>
      </c>
      <c r="B259" s="4">
        <f>Data!B258</f>
        <v>4.625</v>
      </c>
      <c r="C259" s="4">
        <f>Data!C258</f>
        <v>98.236999999999995</v>
      </c>
      <c r="D259" s="4">
        <f>Data!D258</f>
        <v>98.257000000000005</v>
      </c>
      <c r="E259" s="4">
        <f>Data!F258</f>
        <v>4.7770000000000001</v>
      </c>
      <c r="F259" s="7">
        <f t="shared" si="57"/>
        <v>98.80859375</v>
      </c>
      <c r="G259" s="3">
        <f t="shared" si="58"/>
        <v>46249</v>
      </c>
      <c r="H259" s="3">
        <f t="shared" si="59"/>
        <v>46433</v>
      </c>
      <c r="I259">
        <f t="shared" si="60"/>
        <v>24</v>
      </c>
      <c r="J259">
        <f t="shared" si="61"/>
        <v>184</v>
      </c>
      <c r="K259" s="7">
        <f t="shared" si="62"/>
        <v>0.3016304347826087</v>
      </c>
      <c r="L259" s="7">
        <f t="shared" si="63"/>
        <v>99.110224184782609</v>
      </c>
      <c r="M259" s="4">
        <f t="shared" si="64"/>
        <v>4.7766258084364788</v>
      </c>
      <c r="N259" s="8">
        <f t="shared" si="65"/>
        <v>-3.741915635213644E-2</v>
      </c>
      <c r="O259" s="4">
        <f t="shared" si="66"/>
        <v>7.8516115898531202</v>
      </c>
      <c r="P259">
        <f t="shared" si="67"/>
        <v>20</v>
      </c>
      <c r="Q259" s="4">
        <f t="shared" si="68"/>
        <v>9.9424657534246581</v>
      </c>
      <c r="R259">
        <f t="shared" si="69"/>
        <v>1</v>
      </c>
      <c r="S259" s="7">
        <f>SUM(CashFlows!BN259:DU259)</f>
        <v>98.905765865378243</v>
      </c>
      <c r="T259" s="7">
        <f t="shared" si="70"/>
        <v>98.604135430595633</v>
      </c>
      <c r="U259" s="7">
        <f t="shared" si="71"/>
        <v>-0.20445831940436676</v>
      </c>
      <c r="V259" s="4">
        <f t="shared" si="72"/>
        <v>4.8029325777015712</v>
      </c>
      <c r="W259" s="8">
        <f t="shared" si="73"/>
        <v>2.6306769265092456</v>
      </c>
      <c r="X259" s="9">
        <f t="shared" si="74"/>
        <v>-2.6274080171739627E-4</v>
      </c>
      <c r="Y259" s="10">
        <f t="shared" si="75"/>
        <v>6.9032728887100146E-8</v>
      </c>
    </row>
    <row r="260" spans="1:25" x14ac:dyDescent="0.2">
      <c r="A260" s="3">
        <f>Data!A259</f>
        <v>50086</v>
      </c>
      <c r="B260" s="4">
        <f>Data!B259</f>
        <v>4.75</v>
      </c>
      <c r="C260" s="4">
        <f>Data!C259</f>
        <v>100.01600000000001</v>
      </c>
      <c r="D260" s="4">
        <f>Data!D259</f>
        <v>100.036</v>
      </c>
      <c r="E260" s="4">
        <f>Data!F259</f>
        <v>4.7350000000000003</v>
      </c>
      <c r="F260" s="7">
        <f t="shared" si="57"/>
        <v>100.1171875</v>
      </c>
      <c r="G260" s="3">
        <f t="shared" si="58"/>
        <v>46249</v>
      </c>
      <c r="H260" s="3">
        <f t="shared" si="59"/>
        <v>46433</v>
      </c>
      <c r="I260">
        <f t="shared" si="60"/>
        <v>24</v>
      </c>
      <c r="J260">
        <f t="shared" si="61"/>
        <v>184</v>
      </c>
      <c r="K260" s="7">
        <f t="shared" si="62"/>
        <v>0.30978260869565216</v>
      </c>
      <c r="L260" s="7">
        <f t="shared" si="63"/>
        <v>100.42697010869566</v>
      </c>
      <c r="M260" s="4">
        <f t="shared" si="64"/>
        <v>4.735252444583673</v>
      </c>
      <c r="N260" s="8">
        <f t="shared" si="65"/>
        <v>2.5244458367268408E-2</v>
      </c>
      <c r="O260" s="4">
        <f t="shared" si="66"/>
        <v>8.1311951227095935</v>
      </c>
      <c r="P260">
        <f t="shared" si="67"/>
        <v>21</v>
      </c>
      <c r="Q260" s="4">
        <f t="shared" si="68"/>
        <v>10.446575342465753</v>
      </c>
      <c r="R260">
        <f t="shared" si="69"/>
        <v>1</v>
      </c>
      <c r="S260" s="7">
        <f>SUM(CashFlows!BN260:DU260)</f>
        <v>99.616674635112247</v>
      </c>
      <c r="T260" s="7">
        <f t="shared" si="70"/>
        <v>99.306892026416591</v>
      </c>
      <c r="U260" s="7">
        <f t="shared" si="71"/>
        <v>-0.81029547358340892</v>
      </c>
      <c r="V260" s="4">
        <f t="shared" si="72"/>
        <v>4.8349696673221354</v>
      </c>
      <c r="W260" s="8">
        <f t="shared" si="73"/>
        <v>9.9717222738462397</v>
      </c>
      <c r="X260" s="9">
        <f t="shared" si="74"/>
        <v>-9.9229012599865688E-4</v>
      </c>
      <c r="Y260" s="10">
        <f t="shared" si="75"/>
        <v>9.8463969415443026E-7</v>
      </c>
    </row>
    <row r="261" spans="1:25" x14ac:dyDescent="0.2">
      <c r="A261" s="3">
        <f>Data!A260</f>
        <v>50175</v>
      </c>
      <c r="B261" s="4">
        <f>Data!B260</f>
        <v>5</v>
      </c>
      <c r="C261" s="4">
        <f>Data!C260</f>
        <v>102.05</v>
      </c>
      <c r="D261" s="4">
        <f>Data!D260</f>
        <v>102.07</v>
      </c>
      <c r="E261" s="4">
        <f>Data!F260</f>
        <v>4.7320000000000002</v>
      </c>
      <c r="F261" s="7">
        <f t="shared" si="57"/>
        <v>102.21875</v>
      </c>
      <c r="G261" s="3">
        <f t="shared" si="58"/>
        <v>46157</v>
      </c>
      <c r="H261" s="3">
        <f t="shared" si="59"/>
        <v>46341</v>
      </c>
      <c r="I261">
        <f t="shared" si="60"/>
        <v>116</v>
      </c>
      <c r="J261">
        <f t="shared" si="61"/>
        <v>184</v>
      </c>
      <c r="K261" s="7">
        <f t="shared" si="62"/>
        <v>1.576086956521739</v>
      </c>
      <c r="L261" s="7">
        <f t="shared" si="63"/>
        <v>103.79483695652173</v>
      </c>
      <c r="M261" s="4">
        <f t="shared" si="64"/>
        <v>4.7322249089532606</v>
      </c>
      <c r="N261" s="8">
        <f t="shared" si="65"/>
        <v>2.2490895326043869E-2</v>
      </c>
      <c r="O261" s="4">
        <f t="shared" si="66"/>
        <v>8.1167133217712504</v>
      </c>
      <c r="P261">
        <f t="shared" si="67"/>
        <v>22</v>
      </c>
      <c r="Q261" s="4">
        <f t="shared" si="68"/>
        <v>10.69041095890411</v>
      </c>
      <c r="R261">
        <f t="shared" si="69"/>
        <v>1</v>
      </c>
      <c r="S261" s="7">
        <f>SUM(CashFlows!BN261:DU261)</f>
        <v>102.84980568403498</v>
      </c>
      <c r="T261" s="7">
        <f t="shared" si="70"/>
        <v>101.27371872751324</v>
      </c>
      <c r="U261" s="7">
        <f t="shared" si="71"/>
        <v>-0.94503127248675867</v>
      </c>
      <c r="V261" s="4">
        <f t="shared" si="72"/>
        <v>4.8450336032960042</v>
      </c>
      <c r="W261" s="8">
        <f t="shared" si="73"/>
        <v>11.280869434274354</v>
      </c>
      <c r="X261" s="9">
        <f t="shared" si="74"/>
        <v>-1.1217348739238366E-3</v>
      </c>
      <c r="Y261" s="10">
        <f t="shared" si="75"/>
        <v>1.2582891273769256E-6</v>
      </c>
    </row>
    <row r="262" spans="1:25" x14ac:dyDescent="0.2">
      <c r="A262" s="3">
        <f>Data!A261</f>
        <v>50451</v>
      </c>
      <c r="B262" s="4">
        <f>Data!B261</f>
        <v>4.375</v>
      </c>
      <c r="C262" s="4">
        <f>Data!C261</f>
        <v>96.18</v>
      </c>
      <c r="D262" s="4">
        <f>Data!D261</f>
        <v>96.2</v>
      </c>
      <c r="E262" s="4">
        <f>Data!F261</f>
        <v>4.7610000000000001</v>
      </c>
      <c r="F262" s="7">
        <f t="shared" si="57"/>
        <v>96.625</v>
      </c>
      <c r="G262" s="3">
        <f t="shared" si="58"/>
        <v>46249</v>
      </c>
      <c r="H262" s="3">
        <f t="shared" si="59"/>
        <v>46433</v>
      </c>
      <c r="I262">
        <f t="shared" si="60"/>
        <v>24</v>
      </c>
      <c r="J262">
        <f t="shared" si="61"/>
        <v>184</v>
      </c>
      <c r="K262" s="7">
        <f t="shared" si="62"/>
        <v>0.28532608695652173</v>
      </c>
      <c r="L262" s="7">
        <f t="shared" si="63"/>
        <v>96.910326086956516</v>
      </c>
      <c r="M262" s="4">
        <f t="shared" si="64"/>
        <v>4.7608266057119906</v>
      </c>
      <c r="N262" s="8">
        <f t="shared" si="65"/>
        <v>-1.7339428800955403E-2</v>
      </c>
      <c r="O262" s="4">
        <f t="shared" si="66"/>
        <v>8.8336699659741313</v>
      </c>
      <c r="P262">
        <f t="shared" si="67"/>
        <v>23</v>
      </c>
      <c r="Q262" s="4">
        <f t="shared" si="68"/>
        <v>11.446575342465753</v>
      </c>
      <c r="R262">
        <f t="shared" si="69"/>
        <v>1</v>
      </c>
      <c r="S262" s="7">
        <f>SUM(CashFlows!BN262:DU262)</f>
        <v>95.725639711118959</v>
      </c>
      <c r="T262" s="7">
        <f t="shared" si="70"/>
        <v>95.440313624162442</v>
      </c>
      <c r="U262" s="7">
        <f t="shared" si="71"/>
        <v>-1.1846863758375576</v>
      </c>
      <c r="V262" s="4">
        <f t="shared" si="72"/>
        <v>4.9002492191944977</v>
      </c>
      <c r="W262" s="8">
        <f t="shared" si="73"/>
        <v>13.942261348250717</v>
      </c>
      <c r="X262" s="9">
        <f t="shared" si="74"/>
        <v>-1.3838600418654705E-3</v>
      </c>
      <c r="Y262" s="10">
        <f t="shared" si="75"/>
        <v>1.9150686154719018E-6</v>
      </c>
    </row>
    <row r="263" spans="1:25" x14ac:dyDescent="0.2">
      <c r="A263" s="3">
        <f>Data!A262</f>
        <v>50540</v>
      </c>
      <c r="B263" s="4">
        <f>Data!B262</f>
        <v>4.5</v>
      </c>
      <c r="C263" s="4">
        <f>Data!C262</f>
        <v>97.091999999999999</v>
      </c>
      <c r="D263" s="4">
        <f>Data!D262</f>
        <v>97.111999999999995</v>
      </c>
      <c r="E263" s="4">
        <f>Data!F262</f>
        <v>4.798</v>
      </c>
      <c r="F263" s="7">
        <f t="shared" si="57"/>
        <v>97.3515625</v>
      </c>
      <c r="G263" s="3">
        <f t="shared" si="58"/>
        <v>46157</v>
      </c>
      <c r="H263" s="3">
        <f t="shared" si="59"/>
        <v>46341</v>
      </c>
      <c r="I263">
        <f t="shared" si="60"/>
        <v>116</v>
      </c>
      <c r="J263">
        <f t="shared" si="61"/>
        <v>184</v>
      </c>
      <c r="K263" s="7">
        <f t="shared" si="62"/>
        <v>1.4184782608695652</v>
      </c>
      <c r="L263" s="7">
        <f t="shared" si="63"/>
        <v>98.770040760869563</v>
      </c>
      <c r="M263" s="4">
        <f t="shared" si="64"/>
        <v>4.7980368510257243</v>
      </c>
      <c r="N263" s="8">
        <f t="shared" si="65"/>
        <v>3.6851025724260467E-3</v>
      </c>
      <c r="O263" s="4">
        <f t="shared" si="66"/>
        <v>8.831937383649235</v>
      </c>
      <c r="P263">
        <f t="shared" si="67"/>
        <v>24</v>
      </c>
      <c r="Q263" s="4">
        <f t="shared" si="68"/>
        <v>11.69041095890411</v>
      </c>
      <c r="R263">
        <f t="shared" si="69"/>
        <v>1</v>
      </c>
      <c r="S263" s="7">
        <f>SUM(CashFlows!BN263:DU263)</f>
        <v>97.791301520314164</v>
      </c>
      <c r="T263" s="7">
        <f t="shared" si="70"/>
        <v>96.372823259444601</v>
      </c>
      <c r="U263" s="7">
        <f t="shared" si="71"/>
        <v>-0.97873924055539874</v>
      </c>
      <c r="V263" s="4">
        <f t="shared" si="72"/>
        <v>4.9109265072619923</v>
      </c>
      <c r="W263" s="8">
        <f t="shared" si="73"/>
        <v>11.288965623626801</v>
      </c>
      <c r="X263" s="9">
        <f t="shared" si="74"/>
        <v>-1.1219817336482654E-3</v>
      </c>
      <c r="Y263" s="10">
        <f t="shared" si="75"/>
        <v>1.2588430106403672E-6</v>
      </c>
    </row>
    <row r="264" spans="1:25" x14ac:dyDescent="0.2">
      <c r="A264" s="3">
        <f>Data!A263</f>
        <v>50816</v>
      </c>
      <c r="B264" s="4">
        <f>Data!B263</f>
        <v>3.5</v>
      </c>
      <c r="C264" s="4">
        <f>Data!C263</f>
        <v>87.12</v>
      </c>
      <c r="D264" s="4">
        <f>Data!D263</f>
        <v>87.14</v>
      </c>
      <c r="E264" s="4">
        <f>Data!F263</f>
        <v>4.8579999999999997</v>
      </c>
      <c r="F264" s="7">
        <f t="shared" ref="F264:F327" si="76">INT(D264)+(INT(MOD(ROUND(D264*1000,0),1000)/10)+MOD(ROUND(D264*1000,0),10)/8)/32</f>
        <v>87.4375</v>
      </c>
      <c r="G264" s="3">
        <f t="shared" ref="G264:G327" si="77">COUPPCD(Settle,A264,2,1)</f>
        <v>46249</v>
      </c>
      <c r="H264" s="3">
        <f t="shared" ref="H264:H327" si="78">COUPNCD(Settle,A264,2,1)</f>
        <v>46433</v>
      </c>
      <c r="I264">
        <f t="shared" ref="I264:I327" si="79">Settle-G264</f>
        <v>24</v>
      </c>
      <c r="J264">
        <f t="shared" ref="J264:J327" si="80">H264-G264</f>
        <v>184</v>
      </c>
      <c r="K264" s="7">
        <f t="shared" ref="K264:K327" si="81">B264/2*I264/J264</f>
        <v>0.22826086956521738</v>
      </c>
      <c r="L264" s="7">
        <f t="shared" ref="L264:L327" si="82">F264+K264</f>
        <v>87.665760869565219</v>
      </c>
      <c r="M264" s="4">
        <f t="shared" ref="M264:M327" si="83">YIELD(Settle,A264,B264/100,F264,100,2,1)*100</f>
        <v>4.8575166179495257</v>
      </c>
      <c r="N264" s="8">
        <f t="shared" ref="N264:N327" si="84">(M264-E264)*100</f>
        <v>-4.8338205047393501E-2</v>
      </c>
      <c r="O264" s="4">
        <f t="shared" ref="O264:O327" si="85">MDURATION(Settle,A264,B264/100,M264/100,2,1)</f>
        <v>9.7358145977251898</v>
      </c>
      <c r="P264">
        <f t="shared" ref="P264:P327" si="86">COUPNUM(Settle,A264,2,1)</f>
        <v>25</v>
      </c>
      <c r="Q264" s="4">
        <f t="shared" ref="Q264:Q327" si="87">(A264-Settle)/365</f>
        <v>12.446575342465753</v>
      </c>
      <c r="R264">
        <f t="shared" ref="R264:R327" si="88">IF(Q264&gt;=MinYears,1,0)</f>
        <v>1</v>
      </c>
      <c r="S264" s="7">
        <f>SUM(CashFlows!BN264:DU264)</f>
        <v>86.700777992556709</v>
      </c>
      <c r="T264" s="7">
        <f t="shared" ref="T264:T327" si="89">S264-K264</f>
        <v>86.472517122991491</v>
      </c>
      <c r="U264" s="7">
        <f t="shared" ref="U264:U327" si="90">T264-F264</f>
        <v>-0.96498287700850938</v>
      </c>
      <c r="V264" s="4">
        <f t="shared" ref="V264:V327" si="91">YIELD(Settle,A264,B264/100,T264,100,2,1)*100</f>
        <v>4.9713324202492224</v>
      </c>
      <c r="W264" s="8">
        <f t="shared" ref="W264:W327" si="92">(V264-M264)*100</f>
        <v>11.381580229969668</v>
      </c>
      <c r="X264" s="9">
        <f t="shared" ref="X264:X327" si="93">(S264-L264)/(L264*O264)</f>
        <v>-1.1306216717493962E-3</v>
      </c>
      <c r="Y264" s="10">
        <f t="shared" ref="Y264:Y327" si="94">R264*X264^2</f>
        <v>1.2783053646293994E-6</v>
      </c>
    </row>
    <row r="265" spans="1:25" x14ac:dyDescent="0.2">
      <c r="A265" s="3">
        <f>Data!A264</f>
        <v>50905</v>
      </c>
      <c r="B265" s="4">
        <f>Data!B264</f>
        <v>4.25</v>
      </c>
      <c r="C265" s="4">
        <f>Data!C264</f>
        <v>93.263999999999996</v>
      </c>
      <c r="D265" s="4">
        <f>Data!D264</f>
        <v>93.284000000000006</v>
      </c>
      <c r="E265" s="4">
        <f>Data!F264</f>
        <v>4.9020000000000001</v>
      </c>
      <c r="F265" s="7">
        <f t="shared" si="76"/>
        <v>93.890625</v>
      </c>
      <c r="G265" s="3">
        <f t="shared" si="77"/>
        <v>46157</v>
      </c>
      <c r="H265" s="3">
        <f t="shared" si="78"/>
        <v>46341</v>
      </c>
      <c r="I265">
        <f t="shared" si="79"/>
        <v>116</v>
      </c>
      <c r="J265">
        <f t="shared" si="80"/>
        <v>184</v>
      </c>
      <c r="K265" s="7">
        <f t="shared" si="81"/>
        <v>1.3396739130434783</v>
      </c>
      <c r="L265" s="7">
        <f t="shared" si="82"/>
        <v>95.230298913043484</v>
      </c>
      <c r="M265" s="4">
        <f t="shared" si="83"/>
        <v>4.9018382744575204</v>
      </c>
      <c r="N265" s="8">
        <f t="shared" si="84"/>
        <v>-1.6172554247972926E-2</v>
      </c>
      <c r="O265" s="4">
        <f t="shared" si="85"/>
        <v>9.4614710142390237</v>
      </c>
      <c r="P265">
        <f t="shared" si="86"/>
        <v>26</v>
      </c>
      <c r="Q265" s="4">
        <f t="shared" si="87"/>
        <v>12.69041095890411</v>
      </c>
      <c r="R265">
        <f t="shared" si="88"/>
        <v>1</v>
      </c>
      <c r="S265" s="7">
        <f>SUM(CashFlows!BN265:DU265)</f>
        <v>94.599929992651738</v>
      </c>
      <c r="T265" s="7">
        <f t="shared" si="89"/>
        <v>93.260256079608254</v>
      </c>
      <c r="U265" s="7">
        <f t="shared" si="90"/>
        <v>-0.63036892039174575</v>
      </c>
      <c r="V265" s="4">
        <f t="shared" si="91"/>
        <v>4.9720887687543653</v>
      </c>
      <c r="W265" s="8">
        <f t="shared" si="92"/>
        <v>7.0250494296844934</v>
      </c>
      <c r="X265" s="9">
        <f t="shared" si="93"/>
        <v>-6.9961801170885399E-4</v>
      </c>
      <c r="Y265" s="10">
        <f t="shared" si="94"/>
        <v>4.8946536230745015E-7</v>
      </c>
    </row>
    <row r="266" spans="1:25" x14ac:dyDescent="0.2">
      <c r="A266" s="3">
        <f>Data!A265</f>
        <v>50997</v>
      </c>
      <c r="B266" s="4">
        <f>Data!B265</f>
        <v>4.5</v>
      </c>
      <c r="C266" s="4">
        <f>Data!C265</f>
        <v>95.263999999999996</v>
      </c>
      <c r="D266" s="4">
        <f>Data!D265</f>
        <v>95.284000000000006</v>
      </c>
      <c r="E266" s="4">
        <f>Data!F265</f>
        <v>4.9329999999999998</v>
      </c>
      <c r="F266" s="7">
        <f t="shared" si="76"/>
        <v>95.890625</v>
      </c>
      <c r="G266" s="3">
        <f t="shared" si="77"/>
        <v>46249</v>
      </c>
      <c r="H266" s="3">
        <f t="shared" si="78"/>
        <v>46433</v>
      </c>
      <c r="I266">
        <f t="shared" si="79"/>
        <v>24</v>
      </c>
      <c r="J266">
        <f t="shared" si="80"/>
        <v>184</v>
      </c>
      <c r="K266" s="7">
        <f t="shared" si="81"/>
        <v>0.29347826086956524</v>
      </c>
      <c r="L266" s="7">
        <f t="shared" si="82"/>
        <v>96.184103260869563</v>
      </c>
      <c r="M266" s="4">
        <f t="shared" si="83"/>
        <v>4.9332162267395372</v>
      </c>
      <c r="N266" s="8">
        <f t="shared" si="84"/>
        <v>2.1622673953736182E-2</v>
      </c>
      <c r="O266" s="4">
        <f t="shared" si="85"/>
        <v>9.6034737309981182</v>
      </c>
      <c r="P266">
        <f t="shared" si="86"/>
        <v>26</v>
      </c>
      <c r="Q266" s="4">
        <f t="shared" si="87"/>
        <v>12.942465753424658</v>
      </c>
      <c r="R266">
        <f t="shared" si="88"/>
        <v>1</v>
      </c>
      <c r="S266" s="7">
        <f>SUM(CashFlows!BN266:DU266)</f>
        <v>95.719883013203727</v>
      </c>
      <c r="T266" s="7">
        <f t="shared" si="89"/>
        <v>95.426404752334165</v>
      </c>
      <c r="U266" s="7">
        <f t="shared" si="90"/>
        <v>-0.46422024766583547</v>
      </c>
      <c r="V266" s="4">
        <f t="shared" si="91"/>
        <v>4.9836233381199682</v>
      </c>
      <c r="W266" s="8">
        <f t="shared" si="92"/>
        <v>5.0407111380430969</v>
      </c>
      <c r="X266" s="9">
        <f t="shared" si="93"/>
        <v>-5.0256521521297641E-4</v>
      </c>
      <c r="Y266" s="10">
        <f t="shared" si="94"/>
        <v>2.5257179554206529E-7</v>
      </c>
    </row>
    <row r="267" spans="1:25" x14ac:dyDescent="0.2">
      <c r="A267" s="3">
        <f>Data!A266</f>
        <v>51089</v>
      </c>
      <c r="B267" s="4">
        <f>Data!B266</f>
        <v>4.375</v>
      </c>
      <c r="C267" s="4">
        <f>Data!C266</f>
        <v>94.11</v>
      </c>
      <c r="D267" s="4">
        <f>Data!D266</f>
        <v>94.13</v>
      </c>
      <c r="E267" s="4">
        <f>Data!F266</f>
        <v>4.9569999999999999</v>
      </c>
      <c r="F267" s="7">
        <f t="shared" si="76"/>
        <v>94.40625</v>
      </c>
      <c r="G267" s="3">
        <f t="shared" si="77"/>
        <v>46157</v>
      </c>
      <c r="H267" s="3">
        <f t="shared" si="78"/>
        <v>46341</v>
      </c>
      <c r="I267">
        <f t="shared" si="79"/>
        <v>116</v>
      </c>
      <c r="J267">
        <f t="shared" si="80"/>
        <v>184</v>
      </c>
      <c r="K267" s="7">
        <f t="shared" si="81"/>
        <v>1.3790760869565217</v>
      </c>
      <c r="L267" s="7">
        <f t="shared" si="82"/>
        <v>95.785326086956516</v>
      </c>
      <c r="M267" s="4">
        <f t="shared" si="83"/>
        <v>4.9573104197071105</v>
      </c>
      <c r="N267" s="8">
        <f t="shared" si="84"/>
        <v>3.1041970711065403E-2</v>
      </c>
      <c r="O267" s="4">
        <f t="shared" si="85"/>
        <v>9.6694721832424086</v>
      </c>
      <c r="P267">
        <f t="shared" si="86"/>
        <v>27</v>
      </c>
      <c r="Q267" s="4">
        <f t="shared" si="87"/>
        <v>13.194520547945206</v>
      </c>
      <c r="R267">
        <f t="shared" si="88"/>
        <v>1</v>
      </c>
      <c r="S267" s="7">
        <f>SUM(CashFlows!BN267:DU267)</f>
        <v>95.399730643551095</v>
      </c>
      <c r="T267" s="7">
        <f t="shared" si="89"/>
        <v>94.020654556594579</v>
      </c>
      <c r="U267" s="7">
        <f t="shared" si="90"/>
        <v>-0.38559544340542118</v>
      </c>
      <c r="V267" s="4">
        <f t="shared" si="91"/>
        <v>4.9990478655191586</v>
      </c>
      <c r="W267" s="8">
        <f t="shared" si="92"/>
        <v>4.173744581204808</v>
      </c>
      <c r="X267" s="9">
        <f t="shared" si="93"/>
        <v>-4.1632274917466062E-4</v>
      </c>
      <c r="Y267" s="10">
        <f t="shared" si="94"/>
        <v>1.7332463148034739E-7</v>
      </c>
    </row>
    <row r="268" spans="1:25" x14ac:dyDescent="0.2">
      <c r="A268" s="3">
        <f>Data!A267</f>
        <v>51181</v>
      </c>
      <c r="B268" s="4">
        <f>Data!B267</f>
        <v>4.625</v>
      </c>
      <c r="C268" s="4">
        <f>Data!C267</f>
        <v>96.201999999999998</v>
      </c>
      <c r="D268" s="4">
        <f>Data!D267</f>
        <v>96.221999999999994</v>
      </c>
      <c r="E268" s="4">
        <f>Data!F267</f>
        <v>4.9649999999999999</v>
      </c>
      <c r="F268" s="7">
        <f t="shared" si="76"/>
        <v>96.6953125</v>
      </c>
      <c r="G268" s="3">
        <f t="shared" si="77"/>
        <v>46249</v>
      </c>
      <c r="H268" s="3">
        <f t="shared" si="78"/>
        <v>46433</v>
      </c>
      <c r="I268">
        <f t="shared" si="79"/>
        <v>24</v>
      </c>
      <c r="J268">
        <f t="shared" si="80"/>
        <v>184</v>
      </c>
      <c r="K268" s="7">
        <f t="shared" si="81"/>
        <v>0.3016304347826087</v>
      </c>
      <c r="L268" s="7">
        <f t="shared" si="82"/>
        <v>96.996942934782609</v>
      </c>
      <c r="M268" s="4">
        <f t="shared" si="83"/>
        <v>4.9646674770364649</v>
      </c>
      <c r="N268" s="8">
        <f t="shared" si="84"/>
        <v>-3.3252296353492028E-2</v>
      </c>
      <c r="O268" s="4">
        <f t="shared" si="85"/>
        <v>9.814212389693699</v>
      </c>
      <c r="P268">
        <f t="shared" si="86"/>
        <v>27</v>
      </c>
      <c r="Q268" s="4">
        <f t="shared" si="87"/>
        <v>13.446575342465753</v>
      </c>
      <c r="R268">
        <f t="shared" si="88"/>
        <v>1</v>
      </c>
      <c r="S268" s="7">
        <f>SUM(CashFlows!BN268:DU268)</f>
        <v>96.569695570004995</v>
      </c>
      <c r="T268" s="7">
        <f t="shared" si="89"/>
        <v>96.268065135222386</v>
      </c>
      <c r="U268" s="7">
        <f t="shared" si="90"/>
        <v>-0.42724736477761383</v>
      </c>
      <c r="V268" s="4">
        <f t="shared" si="91"/>
        <v>5.009672523446711</v>
      </c>
      <c r="W268" s="8">
        <f t="shared" si="92"/>
        <v>4.5005046410246052</v>
      </c>
      <c r="X268" s="9">
        <f t="shared" si="93"/>
        <v>-4.4881348129061907E-4</v>
      </c>
      <c r="Y268" s="10">
        <f t="shared" si="94"/>
        <v>2.0143354098820486E-7</v>
      </c>
    </row>
    <row r="269" spans="1:25" x14ac:dyDescent="0.2">
      <c r="A269" s="3">
        <f>Data!A268</f>
        <v>51271</v>
      </c>
      <c r="B269" s="4">
        <f>Data!B268</f>
        <v>1.125</v>
      </c>
      <c r="C269" s="4">
        <f>Data!C268</f>
        <v>61.155999999999999</v>
      </c>
      <c r="D269" s="4">
        <f>Data!D268</f>
        <v>61.176000000000002</v>
      </c>
      <c r="E269" s="4">
        <f>Data!F268</f>
        <v>5.05</v>
      </c>
      <c r="F269" s="7">
        <f t="shared" si="76"/>
        <v>61.5546875</v>
      </c>
      <c r="G269" s="3">
        <f t="shared" si="77"/>
        <v>46157</v>
      </c>
      <c r="H269" s="3">
        <f t="shared" si="78"/>
        <v>46341</v>
      </c>
      <c r="I269">
        <f t="shared" si="79"/>
        <v>116</v>
      </c>
      <c r="J269">
        <f t="shared" si="80"/>
        <v>184</v>
      </c>
      <c r="K269" s="7">
        <f t="shared" si="81"/>
        <v>0.3546195652173913</v>
      </c>
      <c r="L269" s="7">
        <f t="shared" si="82"/>
        <v>61.909307065217391</v>
      </c>
      <c r="M269" s="4">
        <f t="shared" si="83"/>
        <v>5.0497623558814793</v>
      </c>
      <c r="N269" s="8">
        <f t="shared" si="84"/>
        <v>-2.3764411852056355E-2</v>
      </c>
      <c r="O269" s="4">
        <f t="shared" si="85"/>
        <v>11.993762851230203</v>
      </c>
      <c r="P269">
        <f t="shared" si="86"/>
        <v>28</v>
      </c>
      <c r="Q269" s="4">
        <f t="shared" si="87"/>
        <v>13.693150684931506</v>
      </c>
      <c r="R269">
        <f t="shared" si="88"/>
        <v>1</v>
      </c>
      <c r="S269" s="7">
        <f>SUM(CashFlows!BN269:DU269)</f>
        <v>61.613330608640737</v>
      </c>
      <c r="T269" s="7">
        <f t="shared" si="89"/>
        <v>61.258711043423347</v>
      </c>
      <c r="U269" s="7">
        <f t="shared" si="90"/>
        <v>-0.29597645657665339</v>
      </c>
      <c r="V269" s="4">
        <f t="shared" si="91"/>
        <v>5.0897299006079999</v>
      </c>
      <c r="W269" s="8">
        <f t="shared" si="92"/>
        <v>3.9967544726520643</v>
      </c>
      <c r="X269" s="9">
        <f t="shared" si="93"/>
        <v>-3.9860777542685997E-4</v>
      </c>
      <c r="Y269" s="10">
        <f t="shared" si="94"/>
        <v>1.5888815863075002E-7</v>
      </c>
    </row>
    <row r="270" spans="1:25" x14ac:dyDescent="0.2">
      <c r="A270" s="3">
        <f>Data!A269</f>
        <v>51271</v>
      </c>
      <c r="B270" s="4">
        <f>Data!B269</f>
        <v>4.375</v>
      </c>
      <c r="C270" s="4">
        <f>Data!C269</f>
        <v>93.305999999999997</v>
      </c>
      <c r="D270" s="4">
        <f>Data!D269</f>
        <v>94.006</v>
      </c>
      <c r="E270" s="4">
        <f>Data!F269</f>
        <v>4.9820000000000002</v>
      </c>
      <c r="F270" s="7">
        <f t="shared" si="76"/>
        <v>94.0234375</v>
      </c>
      <c r="G270" s="3">
        <f t="shared" si="77"/>
        <v>46157</v>
      </c>
      <c r="H270" s="3">
        <f t="shared" si="78"/>
        <v>46341</v>
      </c>
      <c r="I270">
        <f t="shared" si="79"/>
        <v>116</v>
      </c>
      <c r="J270">
        <f t="shared" si="80"/>
        <v>184</v>
      </c>
      <c r="K270" s="7">
        <f t="shared" si="81"/>
        <v>1.3790760869565217</v>
      </c>
      <c r="L270" s="7">
        <f t="shared" si="82"/>
        <v>95.402513586956516</v>
      </c>
      <c r="M270" s="4">
        <f t="shared" si="83"/>
        <v>4.98196910031385</v>
      </c>
      <c r="N270" s="8">
        <f t="shared" si="84"/>
        <v>-3.0899686150220873E-3</v>
      </c>
      <c r="O270" s="4">
        <f t="shared" si="85"/>
        <v>9.9249684130621976</v>
      </c>
      <c r="P270">
        <f t="shared" si="86"/>
        <v>28</v>
      </c>
      <c r="Q270" s="4">
        <f t="shared" si="87"/>
        <v>13.693150684931506</v>
      </c>
      <c r="R270">
        <f t="shared" si="88"/>
        <v>1</v>
      </c>
      <c r="S270" s="7">
        <f>SUM(CashFlows!BN270:DU270)</f>
        <v>94.999244040899242</v>
      </c>
      <c r="T270" s="7">
        <f t="shared" si="89"/>
        <v>93.620167953942726</v>
      </c>
      <c r="U270" s="7">
        <f t="shared" si="90"/>
        <v>-0.40326954605727394</v>
      </c>
      <c r="V270" s="4">
        <f t="shared" si="91"/>
        <v>5.0246725872698867</v>
      </c>
      <c r="W270" s="8">
        <f t="shared" si="92"/>
        <v>4.2703486956036762</v>
      </c>
      <c r="X270" s="9">
        <f t="shared" si="93"/>
        <v>-4.2589885825450107E-4</v>
      </c>
      <c r="Y270" s="10">
        <f t="shared" si="94"/>
        <v>1.8138983746248759E-7</v>
      </c>
    </row>
    <row r="271" spans="1:25" x14ac:dyDescent="0.2">
      <c r="A271" s="3">
        <f>Data!A270</f>
        <v>51363</v>
      </c>
      <c r="B271" s="4">
        <f>Data!B270</f>
        <v>1.125</v>
      </c>
      <c r="C271" s="4">
        <f>Data!C270</f>
        <v>60.274000000000001</v>
      </c>
      <c r="D271" s="4">
        <f>Data!D270</f>
        <v>60.293999999999997</v>
      </c>
      <c r="E271" s="4">
        <f>Data!F270</f>
        <v>5.069</v>
      </c>
      <c r="F271" s="7">
        <f t="shared" si="76"/>
        <v>60.921875</v>
      </c>
      <c r="G271" s="3">
        <f t="shared" si="77"/>
        <v>46249</v>
      </c>
      <c r="H271" s="3">
        <f t="shared" si="78"/>
        <v>46433</v>
      </c>
      <c r="I271">
        <f t="shared" si="79"/>
        <v>24</v>
      </c>
      <c r="J271">
        <f t="shared" si="80"/>
        <v>184</v>
      </c>
      <c r="K271" s="7">
        <f t="shared" si="81"/>
        <v>7.3369565217391311E-2</v>
      </c>
      <c r="L271" s="7">
        <f t="shared" si="82"/>
        <v>60.995244565217391</v>
      </c>
      <c r="M271" s="4">
        <f t="shared" si="83"/>
        <v>5.0694335684685479</v>
      </c>
      <c r="N271" s="8">
        <f t="shared" si="84"/>
        <v>4.3356846854791797E-2</v>
      </c>
      <c r="O271" s="4">
        <f t="shared" si="85"/>
        <v>12.234280920459183</v>
      </c>
      <c r="P271">
        <f t="shared" si="86"/>
        <v>28</v>
      </c>
      <c r="Q271" s="4">
        <f t="shared" si="87"/>
        <v>13.945205479452055</v>
      </c>
      <c r="R271">
        <f t="shared" si="88"/>
        <v>1</v>
      </c>
      <c r="S271" s="7">
        <f>SUM(CashFlows!BN271:DU271)</f>
        <v>60.727356915531871</v>
      </c>
      <c r="T271" s="7">
        <f t="shared" si="89"/>
        <v>60.65398735031448</v>
      </c>
      <c r="U271" s="7">
        <f t="shared" si="90"/>
        <v>-0.26788764968551959</v>
      </c>
      <c r="V271" s="4">
        <f t="shared" si="91"/>
        <v>5.1054202488625675</v>
      </c>
      <c r="W271" s="8">
        <f t="shared" si="92"/>
        <v>3.5986680394019643</v>
      </c>
      <c r="X271" s="9">
        <f t="shared" si="93"/>
        <v>-3.5898662372944097E-4</v>
      </c>
      <c r="Y271" s="10">
        <f t="shared" si="94"/>
        <v>1.2887139601666323E-7</v>
      </c>
    </row>
    <row r="272" spans="1:25" x14ac:dyDescent="0.2">
      <c r="A272" s="3">
        <f>Data!A271</f>
        <v>51363</v>
      </c>
      <c r="B272" s="4">
        <f>Data!B271</f>
        <v>3.875</v>
      </c>
      <c r="C272" s="4">
        <f>Data!C271</f>
        <v>88.221999999999994</v>
      </c>
      <c r="D272" s="4">
        <f>Data!D271</f>
        <v>88.242000000000004</v>
      </c>
      <c r="E272" s="4">
        <f>Data!F271</f>
        <v>5.0049999999999999</v>
      </c>
      <c r="F272" s="7">
        <f t="shared" si="76"/>
        <v>88.7578125</v>
      </c>
      <c r="G272" s="3">
        <f t="shared" si="77"/>
        <v>46249</v>
      </c>
      <c r="H272" s="3">
        <f t="shared" si="78"/>
        <v>46433</v>
      </c>
      <c r="I272">
        <f t="shared" si="79"/>
        <v>24</v>
      </c>
      <c r="J272">
        <f t="shared" si="80"/>
        <v>184</v>
      </c>
      <c r="K272" s="7">
        <f t="shared" si="81"/>
        <v>0.25271739130434784</v>
      </c>
      <c r="L272" s="7">
        <f t="shared" si="82"/>
        <v>89.010529891304344</v>
      </c>
      <c r="M272" s="4">
        <f t="shared" si="83"/>
        <v>5.0049306180470179</v>
      </c>
      <c r="N272" s="8">
        <f t="shared" si="84"/>
        <v>-6.9381952982006112E-3</v>
      </c>
      <c r="O272" s="4">
        <f t="shared" si="85"/>
        <v>10.384282108657972</v>
      </c>
      <c r="P272">
        <f t="shared" si="86"/>
        <v>28</v>
      </c>
      <c r="Q272" s="4">
        <f t="shared" si="87"/>
        <v>13.945205479452055</v>
      </c>
      <c r="R272">
        <f t="shared" si="88"/>
        <v>1</v>
      </c>
      <c r="S272" s="7">
        <f>SUM(CashFlows!BN272:DU272)</f>
        <v>88.624831041689532</v>
      </c>
      <c r="T272" s="7">
        <f t="shared" si="89"/>
        <v>88.372113650385188</v>
      </c>
      <c r="U272" s="7">
        <f t="shared" si="90"/>
        <v>-0.38569884961481193</v>
      </c>
      <c r="V272" s="4">
        <f t="shared" si="91"/>
        <v>5.0467706576137781</v>
      </c>
      <c r="W272" s="8">
        <f t="shared" si="92"/>
        <v>4.184003956676019</v>
      </c>
      <c r="X272" s="9">
        <f t="shared" si="93"/>
        <v>-4.1728279535239272E-4</v>
      </c>
      <c r="Y272" s="10">
        <f t="shared" si="94"/>
        <v>1.7412493129710686E-7</v>
      </c>
    </row>
    <row r="273" spans="1:25" x14ac:dyDescent="0.2">
      <c r="A273" s="3">
        <f>Data!A272</f>
        <v>51455</v>
      </c>
      <c r="B273" s="4">
        <f>Data!B272</f>
        <v>1.375</v>
      </c>
      <c r="C273" s="4">
        <f>Data!C272</f>
        <v>62.241999999999997</v>
      </c>
      <c r="D273" s="4">
        <f>Data!D272</f>
        <v>62.262</v>
      </c>
      <c r="E273" s="4">
        <f>Data!F272</f>
        <v>5.0860000000000003</v>
      </c>
      <c r="F273" s="7">
        <f t="shared" si="76"/>
        <v>62.8203125</v>
      </c>
      <c r="G273" s="3">
        <f t="shared" si="77"/>
        <v>46157</v>
      </c>
      <c r="H273" s="3">
        <f t="shared" si="78"/>
        <v>46341</v>
      </c>
      <c r="I273">
        <f t="shared" si="79"/>
        <v>116</v>
      </c>
      <c r="J273">
        <f t="shared" si="80"/>
        <v>184</v>
      </c>
      <c r="K273" s="7">
        <f t="shared" si="81"/>
        <v>0.43342391304347827</v>
      </c>
      <c r="L273" s="7">
        <f t="shared" si="82"/>
        <v>63.253736413043477</v>
      </c>
      <c r="M273" s="4">
        <f t="shared" si="83"/>
        <v>5.0858527051183779</v>
      </c>
      <c r="N273" s="8">
        <f t="shared" si="84"/>
        <v>-1.4729488162235072E-2</v>
      </c>
      <c r="O273" s="4">
        <f t="shared" si="85"/>
        <v>12.108955544243884</v>
      </c>
      <c r="P273">
        <f t="shared" si="86"/>
        <v>29</v>
      </c>
      <c r="Q273" s="4">
        <f t="shared" si="87"/>
        <v>14.197260273972603</v>
      </c>
      <c r="R273">
        <f t="shared" si="88"/>
        <v>1</v>
      </c>
      <c r="S273" s="7">
        <f>SUM(CashFlows!BN273:DU273)</f>
        <v>63.041240733033646</v>
      </c>
      <c r="T273" s="7">
        <f t="shared" si="89"/>
        <v>62.60781681999017</v>
      </c>
      <c r="U273" s="7">
        <f t="shared" si="90"/>
        <v>-0.21249568000983032</v>
      </c>
      <c r="V273" s="4">
        <f t="shared" si="91"/>
        <v>5.1136489753077825</v>
      </c>
      <c r="W273" s="8">
        <f t="shared" si="92"/>
        <v>2.7796270189404559</v>
      </c>
      <c r="X273" s="9">
        <f t="shared" si="93"/>
        <v>-2.774324365695104E-4</v>
      </c>
      <c r="Y273" s="10">
        <f t="shared" si="94"/>
        <v>7.6968756860895403E-8</v>
      </c>
    </row>
    <row r="274" spans="1:25" x14ac:dyDescent="0.2">
      <c r="A274" s="3">
        <f>Data!A273</f>
        <v>51455</v>
      </c>
      <c r="B274" s="4">
        <f>Data!B273</f>
        <v>4.25</v>
      </c>
      <c r="C274" s="4">
        <f>Data!C273</f>
        <v>92.061999999999998</v>
      </c>
      <c r="D274" s="4">
        <f>Data!D273</f>
        <v>92.081999999999994</v>
      </c>
      <c r="E274" s="4">
        <f>Data!F273</f>
        <v>5.0190000000000001</v>
      </c>
      <c r="F274" s="7">
        <f t="shared" si="76"/>
        <v>92.2578125</v>
      </c>
      <c r="G274" s="3">
        <f t="shared" si="77"/>
        <v>46157</v>
      </c>
      <c r="H274" s="3">
        <f t="shared" si="78"/>
        <v>46341</v>
      </c>
      <c r="I274">
        <f t="shared" si="79"/>
        <v>116</v>
      </c>
      <c r="J274">
        <f t="shared" si="80"/>
        <v>184</v>
      </c>
      <c r="K274" s="7">
        <f t="shared" si="81"/>
        <v>1.3396739130434783</v>
      </c>
      <c r="L274" s="7">
        <f t="shared" si="82"/>
        <v>93.597486413043484</v>
      </c>
      <c r="M274" s="4">
        <f t="shared" si="83"/>
        <v>5.018887564495965</v>
      </c>
      <c r="N274" s="8">
        <f t="shared" si="84"/>
        <v>-1.1243550403516878E-2</v>
      </c>
      <c r="O274" s="4">
        <f t="shared" si="85"/>
        <v>10.225261448414198</v>
      </c>
      <c r="P274">
        <f t="shared" si="86"/>
        <v>29</v>
      </c>
      <c r="Q274" s="4">
        <f t="shared" si="87"/>
        <v>14.197260273972603</v>
      </c>
      <c r="R274">
        <f t="shared" si="88"/>
        <v>1</v>
      </c>
      <c r="S274" s="7">
        <f>SUM(CashFlows!BN274:DU274)</f>
        <v>93.273305773034309</v>
      </c>
      <c r="T274" s="7">
        <f t="shared" si="89"/>
        <v>91.933631859990825</v>
      </c>
      <c r="U274" s="7">
        <f t="shared" si="90"/>
        <v>-0.32418064000917468</v>
      </c>
      <c r="V274" s="4">
        <f t="shared" si="91"/>
        <v>5.0528343327399323</v>
      </c>
      <c r="W274" s="8">
        <f t="shared" si="92"/>
        <v>3.3946768243967362</v>
      </c>
      <c r="X274" s="9">
        <f t="shared" si="93"/>
        <v>-3.3872594906860518E-4</v>
      </c>
      <c r="Y274" s="10">
        <f t="shared" si="94"/>
        <v>1.1473526857242731E-7</v>
      </c>
    </row>
    <row r="275" spans="1:25" x14ac:dyDescent="0.2">
      <c r="A275" s="3">
        <f>Data!A274</f>
        <v>51547</v>
      </c>
      <c r="B275" s="4">
        <f>Data!B274</f>
        <v>1.875</v>
      </c>
      <c r="C275" s="4">
        <f>Data!C274</f>
        <v>67.11</v>
      </c>
      <c r="D275" s="4">
        <f>Data!D274</f>
        <v>67.13</v>
      </c>
      <c r="E275" s="4">
        <f>Data!F274</f>
        <v>5.0910000000000002</v>
      </c>
      <c r="F275" s="7">
        <f t="shared" si="76"/>
        <v>67.40625</v>
      </c>
      <c r="G275" s="3">
        <f t="shared" si="77"/>
        <v>46249</v>
      </c>
      <c r="H275" s="3">
        <f t="shared" si="78"/>
        <v>46433</v>
      </c>
      <c r="I275">
        <f t="shared" si="79"/>
        <v>24</v>
      </c>
      <c r="J275">
        <f t="shared" si="80"/>
        <v>184</v>
      </c>
      <c r="K275" s="7">
        <f t="shared" si="81"/>
        <v>0.12228260869565218</v>
      </c>
      <c r="L275" s="7">
        <f t="shared" si="82"/>
        <v>67.528532608695656</v>
      </c>
      <c r="M275" s="4">
        <f t="shared" si="83"/>
        <v>5.0905430355231198</v>
      </c>
      <c r="N275" s="8">
        <f t="shared" si="84"/>
        <v>-4.5696447688037267E-2</v>
      </c>
      <c r="O275" s="4">
        <f t="shared" si="85"/>
        <v>11.902292098301794</v>
      </c>
      <c r="P275">
        <f t="shared" si="86"/>
        <v>29</v>
      </c>
      <c r="Q275" s="4">
        <f t="shared" si="87"/>
        <v>14.449315068493151</v>
      </c>
      <c r="R275">
        <f t="shared" si="88"/>
        <v>1</v>
      </c>
      <c r="S275" s="7">
        <f>SUM(CashFlows!BN275:DU275)</f>
        <v>67.329478745486725</v>
      </c>
      <c r="T275" s="7">
        <f t="shared" si="89"/>
        <v>67.207196136791069</v>
      </c>
      <c r="U275" s="7">
        <f t="shared" si="90"/>
        <v>-0.19905386320893115</v>
      </c>
      <c r="V275" s="4">
        <f t="shared" si="91"/>
        <v>5.1153512095220313</v>
      </c>
      <c r="W275" s="8">
        <f t="shared" si="92"/>
        <v>2.4808173998911442</v>
      </c>
      <c r="X275" s="9">
        <f t="shared" si="93"/>
        <v>-2.4765818959630891E-4</v>
      </c>
      <c r="Y275" s="10">
        <f t="shared" si="94"/>
        <v>6.133457887412129E-8</v>
      </c>
    </row>
    <row r="276" spans="1:25" x14ac:dyDescent="0.2">
      <c r="A276" s="3">
        <f>Data!A275</f>
        <v>51547</v>
      </c>
      <c r="B276" s="4">
        <f>Data!B275</f>
        <v>4.75</v>
      </c>
      <c r="C276" s="4">
        <f>Data!C275</f>
        <v>97.004000000000005</v>
      </c>
      <c r="D276" s="4">
        <f>Data!D275</f>
        <v>97.024000000000001</v>
      </c>
      <c r="E276" s="4">
        <f>Data!F275</f>
        <v>5.0369999999999999</v>
      </c>
      <c r="F276" s="7">
        <f t="shared" si="76"/>
        <v>97.078125</v>
      </c>
      <c r="G276" s="3">
        <f t="shared" si="77"/>
        <v>46249</v>
      </c>
      <c r="H276" s="3">
        <f t="shared" si="78"/>
        <v>46433</v>
      </c>
      <c r="I276">
        <f t="shared" si="79"/>
        <v>24</v>
      </c>
      <c r="J276">
        <f t="shared" si="80"/>
        <v>184</v>
      </c>
      <c r="K276" s="7">
        <f t="shared" si="81"/>
        <v>0.30978260869565216</v>
      </c>
      <c r="L276" s="7">
        <f t="shared" si="82"/>
        <v>97.387907608695656</v>
      </c>
      <c r="M276" s="4">
        <f t="shared" si="83"/>
        <v>5.036947648418109</v>
      </c>
      <c r="N276" s="8">
        <f t="shared" si="84"/>
        <v>-5.2351581890874854E-3</v>
      </c>
      <c r="O276" s="4">
        <f t="shared" si="85"/>
        <v>10.251157178923865</v>
      </c>
      <c r="P276">
        <f t="shared" si="86"/>
        <v>29</v>
      </c>
      <c r="Q276" s="4">
        <f t="shared" si="87"/>
        <v>14.449315068493151</v>
      </c>
      <c r="R276">
        <f t="shared" si="88"/>
        <v>1</v>
      </c>
      <c r="S276" s="7">
        <f>SUM(CashFlows!BN276:DU276)</f>
        <v>97.183004331971901</v>
      </c>
      <c r="T276" s="7">
        <f t="shared" si="89"/>
        <v>96.873221723276245</v>
      </c>
      <c r="U276" s="7">
        <f t="shared" si="90"/>
        <v>-0.20490327672375486</v>
      </c>
      <c r="V276" s="4">
        <f t="shared" si="91"/>
        <v>5.0574994235248472</v>
      </c>
      <c r="W276" s="8">
        <f t="shared" si="92"/>
        <v>2.0551775106738113</v>
      </c>
      <c r="X276" s="9">
        <f t="shared" si="93"/>
        <v>-2.0524423908059426E-4</v>
      </c>
      <c r="Y276" s="10">
        <f t="shared" si="94"/>
        <v>4.2125197675772138E-8</v>
      </c>
    </row>
    <row r="277" spans="1:25" x14ac:dyDescent="0.2">
      <c r="A277" s="3">
        <f>Data!A276</f>
        <v>51636</v>
      </c>
      <c r="B277" s="4">
        <f>Data!B276</f>
        <v>2.25</v>
      </c>
      <c r="C277" s="4">
        <f>Data!C276</f>
        <v>70.22</v>
      </c>
      <c r="D277" s="4">
        <f>Data!D276</f>
        <v>70.239999999999995</v>
      </c>
      <c r="E277" s="4">
        <f>Data!F276</f>
        <v>5.1050000000000004</v>
      </c>
      <c r="F277" s="7">
        <f t="shared" si="76"/>
        <v>70.75</v>
      </c>
      <c r="G277" s="3">
        <f t="shared" si="77"/>
        <v>46157</v>
      </c>
      <c r="H277" s="3">
        <f t="shared" si="78"/>
        <v>46341</v>
      </c>
      <c r="I277">
        <f t="shared" si="79"/>
        <v>116</v>
      </c>
      <c r="J277">
        <f t="shared" si="80"/>
        <v>184</v>
      </c>
      <c r="K277" s="7">
        <f t="shared" si="81"/>
        <v>0.70923913043478259</v>
      </c>
      <c r="L277" s="7">
        <f t="shared" si="82"/>
        <v>71.459239130434781</v>
      </c>
      <c r="M277" s="4">
        <f t="shared" si="83"/>
        <v>5.1046777993864554</v>
      </c>
      <c r="N277" s="8">
        <f t="shared" si="84"/>
        <v>-3.2220061354504281E-2</v>
      </c>
      <c r="O277" s="4">
        <f t="shared" si="85"/>
        <v>11.66575824850683</v>
      </c>
      <c r="P277">
        <f t="shared" si="86"/>
        <v>30</v>
      </c>
      <c r="Q277" s="4">
        <f t="shared" si="87"/>
        <v>14.693150684931506</v>
      </c>
      <c r="R277">
        <f t="shared" si="88"/>
        <v>1</v>
      </c>
      <c r="S277" s="7">
        <f>SUM(CashFlows!BN277:DU277)</f>
        <v>71.360552987378426</v>
      </c>
      <c r="T277" s="7">
        <f t="shared" si="89"/>
        <v>70.651313856943645</v>
      </c>
      <c r="U277" s="7">
        <f t="shared" si="90"/>
        <v>-9.8686143056355036E-2</v>
      </c>
      <c r="V277" s="4">
        <f t="shared" si="91"/>
        <v>5.1165256971522934</v>
      </c>
      <c r="W277" s="8">
        <f t="shared" si="92"/>
        <v>1.1847897765838056</v>
      </c>
      <c r="X277" s="9">
        <f t="shared" si="93"/>
        <v>-1.1838176639801908E-4</v>
      </c>
      <c r="Y277" s="10">
        <f t="shared" si="94"/>
        <v>1.4014242615515159E-8</v>
      </c>
    </row>
    <row r="278" spans="1:25" x14ac:dyDescent="0.2">
      <c r="A278" s="3">
        <f>Data!A277</f>
        <v>51636</v>
      </c>
      <c r="B278" s="4">
        <f>Data!B277</f>
        <v>4.375</v>
      </c>
      <c r="C278" s="4">
        <f>Data!C277</f>
        <v>92.3</v>
      </c>
      <c r="D278" s="4">
        <f>Data!D277</f>
        <v>93</v>
      </c>
      <c r="E278" s="4">
        <f>Data!F277</f>
        <v>5.0549999999999997</v>
      </c>
      <c r="F278" s="7">
        <f t="shared" si="76"/>
        <v>93</v>
      </c>
      <c r="G278" s="3">
        <f t="shared" si="77"/>
        <v>46157</v>
      </c>
      <c r="H278" s="3">
        <f t="shared" si="78"/>
        <v>46341</v>
      </c>
      <c r="I278">
        <f t="shared" si="79"/>
        <v>116</v>
      </c>
      <c r="J278">
        <f t="shared" si="80"/>
        <v>184</v>
      </c>
      <c r="K278" s="7">
        <f t="shared" si="81"/>
        <v>1.3790760869565217</v>
      </c>
      <c r="L278" s="7">
        <f t="shared" si="82"/>
        <v>94.379076086956516</v>
      </c>
      <c r="M278" s="4">
        <f t="shared" si="83"/>
        <v>5.0554335085206574</v>
      </c>
      <c r="N278" s="8">
        <f t="shared" si="84"/>
        <v>4.3350852065771051E-2</v>
      </c>
      <c r="O278" s="4">
        <f t="shared" si="85"/>
        <v>10.40711501033794</v>
      </c>
      <c r="P278">
        <f t="shared" si="86"/>
        <v>30</v>
      </c>
      <c r="Q278" s="4">
        <f t="shared" si="87"/>
        <v>14.693150684931506</v>
      </c>
      <c r="R278">
        <f t="shared" si="88"/>
        <v>1</v>
      </c>
      <c r="S278" s="7">
        <f>SUM(CashFlows!BN278:DU278)</f>
        <v>94.20717375660729</v>
      </c>
      <c r="T278" s="7">
        <f t="shared" si="89"/>
        <v>92.828097669650774</v>
      </c>
      <c r="U278" s="7">
        <f t="shared" si="90"/>
        <v>-0.17190233034922642</v>
      </c>
      <c r="V278" s="4">
        <f t="shared" si="91"/>
        <v>5.0729553318114124</v>
      </c>
      <c r="W278" s="8">
        <f t="shared" si="92"/>
        <v>1.7521823290755023</v>
      </c>
      <c r="X278" s="9">
        <f t="shared" si="93"/>
        <v>-1.7501516772784105E-4</v>
      </c>
      <c r="Y278" s="10">
        <f t="shared" si="94"/>
        <v>3.0630308934804337E-8</v>
      </c>
    </row>
    <row r="279" spans="1:25" x14ac:dyDescent="0.2">
      <c r="A279" s="3">
        <f>Data!A278</f>
        <v>51728</v>
      </c>
      <c r="B279" s="4">
        <f>Data!B278</f>
        <v>1.75</v>
      </c>
      <c r="C279" s="4">
        <f>Data!C278</f>
        <v>64.304000000000002</v>
      </c>
      <c r="D279" s="4">
        <f>Data!D278</f>
        <v>65.004000000000005</v>
      </c>
      <c r="E279" s="4">
        <f>Data!F278</f>
        <v>5.1319999999999997</v>
      </c>
      <c r="F279" s="7">
        <f t="shared" si="76"/>
        <v>65.015625</v>
      </c>
      <c r="G279" s="3">
        <f t="shared" si="77"/>
        <v>46249</v>
      </c>
      <c r="H279" s="3">
        <f t="shared" si="78"/>
        <v>46433</v>
      </c>
      <c r="I279">
        <f t="shared" si="79"/>
        <v>24</v>
      </c>
      <c r="J279">
        <f t="shared" si="80"/>
        <v>184</v>
      </c>
      <c r="K279" s="7">
        <f t="shared" si="81"/>
        <v>0.11413043478260869</v>
      </c>
      <c r="L279" s="7">
        <f t="shared" si="82"/>
        <v>65.129755434782609</v>
      </c>
      <c r="M279" s="4">
        <f t="shared" si="83"/>
        <v>5.1321835579181858</v>
      </c>
      <c r="N279" s="8">
        <f t="shared" si="84"/>
        <v>1.8355791818613909E-2</v>
      </c>
      <c r="O279" s="4">
        <f t="shared" si="85"/>
        <v>12.328055551078217</v>
      </c>
      <c r="P279">
        <f t="shared" si="86"/>
        <v>30</v>
      </c>
      <c r="Q279" s="4">
        <f t="shared" si="87"/>
        <v>14.945205479452055</v>
      </c>
      <c r="R279">
        <f t="shared" si="88"/>
        <v>1</v>
      </c>
      <c r="S279" s="7">
        <f>SUM(CashFlows!BN279:DU279)</f>
        <v>65.04496477977149</v>
      </c>
      <c r="T279" s="7">
        <f t="shared" si="89"/>
        <v>64.930834344988881</v>
      </c>
      <c r="U279" s="7">
        <f t="shared" si="90"/>
        <v>-8.4790655011119043E-2</v>
      </c>
      <c r="V279" s="4">
        <f t="shared" si="91"/>
        <v>5.1427517554897646</v>
      </c>
      <c r="W279" s="8">
        <f t="shared" si="92"/>
        <v>1.0568197571578786</v>
      </c>
      <c r="X279" s="9">
        <f t="shared" si="93"/>
        <v>-1.0560244176185539E-4</v>
      </c>
      <c r="Y279" s="10">
        <f t="shared" si="94"/>
        <v>1.1151875706066059E-8</v>
      </c>
    </row>
    <row r="280" spans="1:25" x14ac:dyDescent="0.2">
      <c r="A280" s="3">
        <f>Data!A279</f>
        <v>51728</v>
      </c>
      <c r="B280" s="4">
        <f>Data!B279</f>
        <v>3.75</v>
      </c>
      <c r="C280" s="4">
        <f>Data!C279</f>
        <v>86.036000000000001</v>
      </c>
      <c r="D280" s="4">
        <f>Data!D279</f>
        <v>86.055999999999997</v>
      </c>
      <c r="E280" s="4">
        <f>Data!F279</f>
        <v>5.0810000000000004</v>
      </c>
      <c r="F280" s="7">
        <f t="shared" si="76"/>
        <v>86.1796875</v>
      </c>
      <c r="G280" s="3">
        <f t="shared" si="77"/>
        <v>46249</v>
      </c>
      <c r="H280" s="3">
        <f t="shared" si="78"/>
        <v>46433</v>
      </c>
      <c r="I280">
        <f t="shared" si="79"/>
        <v>24</v>
      </c>
      <c r="J280">
        <f t="shared" si="80"/>
        <v>184</v>
      </c>
      <c r="K280" s="7">
        <f t="shared" si="81"/>
        <v>0.24456521739130435</v>
      </c>
      <c r="L280" s="7">
        <f t="shared" si="82"/>
        <v>86.424252717391298</v>
      </c>
      <c r="M280" s="4">
        <f t="shared" si="83"/>
        <v>5.0814138345836941</v>
      </c>
      <c r="N280" s="8">
        <f t="shared" si="84"/>
        <v>4.1383458369370629E-2</v>
      </c>
      <c r="O280" s="4">
        <f t="shared" si="85"/>
        <v>10.94963147979038</v>
      </c>
      <c r="P280">
        <f t="shared" si="86"/>
        <v>30</v>
      </c>
      <c r="Q280" s="4">
        <f t="shared" si="87"/>
        <v>14.945205479452055</v>
      </c>
      <c r="R280">
        <f t="shared" si="88"/>
        <v>1</v>
      </c>
      <c r="S280" s="7">
        <f>SUM(CashFlows!BN280:DU280)</f>
        <v>86.277301454869189</v>
      </c>
      <c r="T280" s="7">
        <f t="shared" si="89"/>
        <v>86.032736237477891</v>
      </c>
      <c r="U280" s="7">
        <f t="shared" si="90"/>
        <v>-0.14695126252210855</v>
      </c>
      <c r="V280" s="4">
        <f t="shared" si="91"/>
        <v>5.0969590580502162</v>
      </c>
      <c r="W280" s="8">
        <f t="shared" si="92"/>
        <v>1.5545223466522096</v>
      </c>
      <c r="X280" s="9">
        <f t="shared" si="93"/>
        <v>-1.5528810340615236E-4</v>
      </c>
      <c r="Y280" s="10">
        <f t="shared" si="94"/>
        <v>2.4114395059479868E-8</v>
      </c>
    </row>
    <row r="281" spans="1:25" x14ac:dyDescent="0.2">
      <c r="A281" s="3">
        <f>Data!A280</f>
        <v>51820</v>
      </c>
      <c r="B281" s="4">
        <f>Data!B280</f>
        <v>3.125</v>
      </c>
      <c r="C281" s="4">
        <f>Data!C280</f>
        <v>79.043999999999997</v>
      </c>
      <c r="D281" s="4">
        <f>Data!D280</f>
        <v>79.063999999999993</v>
      </c>
      <c r="E281" s="4">
        <f>Data!F280</f>
        <v>5.1100000000000003</v>
      </c>
      <c r="F281" s="7">
        <f t="shared" si="76"/>
        <v>79.203125</v>
      </c>
      <c r="G281" s="3">
        <f t="shared" si="77"/>
        <v>46157</v>
      </c>
      <c r="H281" s="3">
        <f t="shared" si="78"/>
        <v>46341</v>
      </c>
      <c r="I281">
        <f t="shared" si="79"/>
        <v>116</v>
      </c>
      <c r="J281">
        <f t="shared" si="80"/>
        <v>184</v>
      </c>
      <c r="K281" s="7">
        <f t="shared" si="81"/>
        <v>0.98505434782608692</v>
      </c>
      <c r="L281" s="7">
        <f t="shared" si="82"/>
        <v>80.188179347826093</v>
      </c>
      <c r="M281" s="4">
        <f t="shared" si="83"/>
        <v>5.1101502944745612</v>
      </c>
      <c r="N281" s="8">
        <f t="shared" si="84"/>
        <v>1.5029447456083034E-2</v>
      </c>
      <c r="O281" s="4">
        <f t="shared" si="85"/>
        <v>11.322457012411519</v>
      </c>
      <c r="P281">
        <f t="shared" si="86"/>
        <v>31</v>
      </c>
      <c r="Q281" s="4">
        <f t="shared" si="87"/>
        <v>15.197260273972603</v>
      </c>
      <c r="R281">
        <f t="shared" si="88"/>
        <v>1</v>
      </c>
      <c r="S281" s="7">
        <f>SUM(CashFlows!BN281:DU281)</f>
        <v>80.08640505299951</v>
      </c>
      <c r="T281" s="7">
        <f t="shared" si="89"/>
        <v>79.101350705173417</v>
      </c>
      <c r="U281" s="7">
        <f t="shared" si="90"/>
        <v>-0.1017742948265834</v>
      </c>
      <c r="V281" s="4">
        <f t="shared" si="91"/>
        <v>5.1213686033825745</v>
      </c>
      <c r="W281" s="8">
        <f t="shared" si="92"/>
        <v>1.1218308908013341</v>
      </c>
      <c r="X281" s="9">
        <f t="shared" si="93"/>
        <v>-1.1209521347694962E-4</v>
      </c>
      <c r="Y281" s="10">
        <f t="shared" si="94"/>
        <v>1.2565336884442908E-8</v>
      </c>
    </row>
    <row r="282" spans="1:25" x14ac:dyDescent="0.2">
      <c r="A282" s="3">
        <f>Data!A281</f>
        <v>51835</v>
      </c>
      <c r="B282" s="4">
        <f>Data!B281</f>
        <v>2</v>
      </c>
      <c r="C282" s="4">
        <f>Data!C281</f>
        <v>67.016000000000005</v>
      </c>
      <c r="D282" s="4">
        <f>Data!D281</f>
        <v>67.036000000000001</v>
      </c>
      <c r="E282" s="4">
        <f>Data!F281</f>
        <v>5.1470000000000002</v>
      </c>
      <c r="F282" s="7">
        <f t="shared" si="76"/>
        <v>67.1171875</v>
      </c>
      <c r="G282" s="3">
        <f t="shared" si="77"/>
        <v>46173</v>
      </c>
      <c r="H282" s="3">
        <f t="shared" si="78"/>
        <v>46356</v>
      </c>
      <c r="I282">
        <f t="shared" si="79"/>
        <v>100</v>
      </c>
      <c r="J282">
        <f t="shared" si="80"/>
        <v>183</v>
      </c>
      <c r="K282" s="7">
        <f t="shared" si="81"/>
        <v>0.54644808743169404</v>
      </c>
      <c r="L282" s="7">
        <f t="shared" si="82"/>
        <v>67.663635587431699</v>
      </c>
      <c r="M282" s="4">
        <f t="shared" si="83"/>
        <v>5.1396630243018926</v>
      </c>
      <c r="N282" s="8">
        <f t="shared" si="84"/>
        <v>-0.73369756981076506</v>
      </c>
      <c r="O282" s="4">
        <f t="shared" si="85"/>
        <v>12.212123157855281</v>
      </c>
      <c r="P282">
        <f t="shared" si="86"/>
        <v>31</v>
      </c>
      <c r="Q282" s="4">
        <f t="shared" si="87"/>
        <v>15.238356164383562</v>
      </c>
      <c r="R282">
        <f t="shared" si="88"/>
        <v>1</v>
      </c>
      <c r="S282" s="7">
        <f>SUM(CashFlows!BN282:DU282)</f>
        <v>67.574792462953752</v>
      </c>
      <c r="T282" s="7">
        <f t="shared" si="89"/>
        <v>67.028344375522053</v>
      </c>
      <c r="U282" s="7">
        <f t="shared" si="90"/>
        <v>-8.8843124477946844E-2</v>
      </c>
      <c r="V282" s="4">
        <f t="shared" si="91"/>
        <v>5.1504230597053953</v>
      </c>
      <c r="W282" s="8">
        <f t="shared" si="92"/>
        <v>1.0760035403502677</v>
      </c>
      <c r="X282" s="9">
        <f t="shared" si="93"/>
        <v>-1.0751704489975829E-4</v>
      </c>
      <c r="Y282" s="10">
        <f t="shared" si="94"/>
        <v>1.155991494397664E-8</v>
      </c>
    </row>
    <row r="283" spans="1:25" x14ac:dyDescent="0.2">
      <c r="A283" s="3">
        <f>Data!A282</f>
        <v>51912</v>
      </c>
      <c r="B283" s="4">
        <f>Data!B282</f>
        <v>2.375</v>
      </c>
      <c r="C283" s="4">
        <f>Data!C282</f>
        <v>70.191999999999993</v>
      </c>
      <c r="D283" s="4">
        <f>Data!D282</f>
        <v>70.212000000000003</v>
      </c>
      <c r="E283" s="4">
        <f>Data!F282</f>
        <v>5.1539999999999999</v>
      </c>
      <c r="F283" s="7">
        <f t="shared" si="76"/>
        <v>70.6640625</v>
      </c>
      <c r="G283" s="3">
        <f t="shared" si="77"/>
        <v>46249</v>
      </c>
      <c r="H283" s="3">
        <f t="shared" si="78"/>
        <v>46433</v>
      </c>
      <c r="I283">
        <f t="shared" si="79"/>
        <v>24</v>
      </c>
      <c r="J283">
        <f t="shared" si="80"/>
        <v>184</v>
      </c>
      <c r="K283" s="7">
        <f t="shared" si="81"/>
        <v>0.15489130434782608</v>
      </c>
      <c r="L283" s="7">
        <f t="shared" si="82"/>
        <v>70.818953804347828</v>
      </c>
      <c r="M283" s="4">
        <f t="shared" si="83"/>
        <v>5.1537648761613166</v>
      </c>
      <c r="N283" s="8">
        <f t="shared" si="84"/>
        <v>-2.3512383868329323E-2</v>
      </c>
      <c r="O283" s="4">
        <f t="shared" si="85"/>
        <v>12.092946282906196</v>
      </c>
      <c r="P283">
        <f t="shared" si="86"/>
        <v>31</v>
      </c>
      <c r="Q283" s="4">
        <f t="shared" si="87"/>
        <v>15.449315068493151</v>
      </c>
      <c r="R283">
        <f t="shared" si="88"/>
        <v>1</v>
      </c>
      <c r="S283" s="7">
        <f>SUM(CashFlows!BN283:DU283)</f>
        <v>70.838567110325158</v>
      </c>
      <c r="T283" s="7">
        <f t="shared" si="89"/>
        <v>70.68367580597733</v>
      </c>
      <c r="U283" s="7">
        <f t="shared" si="90"/>
        <v>1.9613305977330242E-2</v>
      </c>
      <c r="V283" s="4">
        <f t="shared" si="91"/>
        <v>5.1514750767821198</v>
      </c>
      <c r="W283" s="8">
        <f t="shared" si="92"/>
        <v>-0.22897993791968219</v>
      </c>
      <c r="X283" s="9">
        <f t="shared" si="93"/>
        <v>2.2901776558237592E-5</v>
      </c>
      <c r="Y283" s="10">
        <f t="shared" si="94"/>
        <v>5.244913695234409E-10</v>
      </c>
    </row>
    <row r="284" spans="1:25" x14ac:dyDescent="0.2">
      <c r="A284" s="3">
        <f>Data!A283</f>
        <v>51912</v>
      </c>
      <c r="B284" s="4">
        <f>Data!B283</f>
        <v>3.125</v>
      </c>
      <c r="C284" s="4">
        <f>Data!C283</f>
        <v>78.225999999999999</v>
      </c>
      <c r="D284" s="4">
        <f>Data!D283</f>
        <v>78.245999999999995</v>
      </c>
      <c r="E284" s="4">
        <f>Data!F283</f>
        <v>5.133</v>
      </c>
      <c r="F284" s="7">
        <f t="shared" si="76"/>
        <v>78.7734375</v>
      </c>
      <c r="G284" s="3">
        <f t="shared" si="77"/>
        <v>46249</v>
      </c>
      <c r="H284" s="3">
        <f t="shared" si="78"/>
        <v>46433</v>
      </c>
      <c r="I284">
        <f t="shared" si="79"/>
        <v>24</v>
      </c>
      <c r="J284">
        <f t="shared" si="80"/>
        <v>184</v>
      </c>
      <c r="K284" s="7">
        <f t="shared" si="81"/>
        <v>0.20380434782608695</v>
      </c>
      <c r="L284" s="7">
        <f t="shared" si="82"/>
        <v>78.977241847826093</v>
      </c>
      <c r="M284" s="4">
        <f t="shared" si="83"/>
        <v>5.1326489902634425</v>
      </c>
      <c r="N284" s="8">
        <f t="shared" si="84"/>
        <v>-3.5100973655755041E-2</v>
      </c>
      <c r="O284" s="4">
        <f t="shared" si="85"/>
        <v>11.559447701697428</v>
      </c>
      <c r="P284">
        <f t="shared" si="86"/>
        <v>31</v>
      </c>
      <c r="Q284" s="4">
        <f t="shared" si="87"/>
        <v>15.449315068493151</v>
      </c>
      <c r="R284">
        <f t="shared" si="88"/>
        <v>1</v>
      </c>
      <c r="S284" s="7">
        <f>SUM(CashFlows!BN284:DU284)</f>
        <v>78.969779838997525</v>
      </c>
      <c r="T284" s="7">
        <f t="shared" si="89"/>
        <v>78.765975491171432</v>
      </c>
      <c r="U284" s="7">
        <f t="shared" si="90"/>
        <v>-7.4620088285684005E-3</v>
      </c>
      <c r="V284" s="4">
        <f t="shared" si="91"/>
        <v>5.1334664038619513</v>
      </c>
      <c r="W284" s="8">
        <f t="shared" si="92"/>
        <v>8.1741359850884265E-2</v>
      </c>
      <c r="X284" s="9">
        <f t="shared" si="93"/>
        <v>-8.1736626925716108E-6</v>
      </c>
      <c r="Y284" s="10">
        <f t="shared" si="94"/>
        <v>6.6808761811936994E-11</v>
      </c>
    </row>
    <row r="285" spans="1:25" x14ac:dyDescent="0.2">
      <c r="A285" s="3">
        <f>Data!A284</f>
        <v>52001</v>
      </c>
      <c r="B285" s="4">
        <f>Data!B284</f>
        <v>3</v>
      </c>
      <c r="C285" s="4">
        <f>Data!C284</f>
        <v>76.311999999999998</v>
      </c>
      <c r="D285" s="4">
        <f>Data!D284</f>
        <v>77.012</v>
      </c>
      <c r="E285" s="4">
        <f>Data!F284</f>
        <v>5.1509999999999998</v>
      </c>
      <c r="F285" s="7">
        <f t="shared" si="76"/>
        <v>77.0390625</v>
      </c>
      <c r="G285" s="3">
        <f t="shared" si="77"/>
        <v>46157</v>
      </c>
      <c r="H285" s="3">
        <f t="shared" si="78"/>
        <v>46341</v>
      </c>
      <c r="I285">
        <f t="shared" si="79"/>
        <v>116</v>
      </c>
      <c r="J285">
        <f t="shared" si="80"/>
        <v>184</v>
      </c>
      <c r="K285" s="7">
        <f t="shared" si="81"/>
        <v>0.94565217391304346</v>
      </c>
      <c r="L285" s="7">
        <f t="shared" si="82"/>
        <v>77.984714673913047</v>
      </c>
      <c r="M285" s="4">
        <f t="shared" si="83"/>
        <v>5.1514833319953066</v>
      </c>
      <c r="N285" s="8">
        <f t="shared" si="84"/>
        <v>4.833319953068127E-2</v>
      </c>
      <c r="O285" s="4">
        <f t="shared" si="85"/>
        <v>11.656819620784033</v>
      </c>
      <c r="P285">
        <f t="shared" si="86"/>
        <v>32</v>
      </c>
      <c r="Q285" s="4">
        <f t="shared" si="87"/>
        <v>15.693150684931506</v>
      </c>
      <c r="R285">
        <f t="shared" si="88"/>
        <v>1</v>
      </c>
      <c r="S285" s="7">
        <f>SUM(CashFlows!BN285:DU285)</f>
        <v>78.04522837243087</v>
      </c>
      <c r="T285" s="7">
        <f t="shared" si="89"/>
        <v>77.099576198517823</v>
      </c>
      <c r="U285" s="7">
        <f t="shared" si="90"/>
        <v>6.05136985178234E-2</v>
      </c>
      <c r="V285" s="4">
        <f t="shared" si="91"/>
        <v>5.1448297423333589</v>
      </c>
      <c r="W285" s="8">
        <f t="shared" si="92"/>
        <v>-0.66535896619477342</v>
      </c>
      <c r="X285" s="9">
        <f t="shared" si="93"/>
        <v>6.6567789171865011E-5</v>
      </c>
      <c r="Y285" s="10">
        <f t="shared" si="94"/>
        <v>4.4312705552298688E-9</v>
      </c>
    </row>
    <row r="286" spans="1:25" x14ac:dyDescent="0.2">
      <c r="A286" s="3">
        <f>Data!A285</f>
        <v>52001</v>
      </c>
      <c r="B286" s="4">
        <f>Data!B285</f>
        <v>3.25</v>
      </c>
      <c r="C286" s="4">
        <f>Data!C285</f>
        <v>79.209999999999994</v>
      </c>
      <c r="D286" s="4">
        <f>Data!D285</f>
        <v>79.23</v>
      </c>
      <c r="E286" s="4">
        <f>Data!F285</f>
        <v>5.15</v>
      </c>
      <c r="F286" s="7">
        <f t="shared" si="76"/>
        <v>79.71875</v>
      </c>
      <c r="G286" s="3">
        <f t="shared" si="77"/>
        <v>46157</v>
      </c>
      <c r="H286" s="3">
        <f t="shared" si="78"/>
        <v>46341</v>
      </c>
      <c r="I286">
        <f t="shared" si="79"/>
        <v>116</v>
      </c>
      <c r="J286">
        <f t="shared" si="80"/>
        <v>184</v>
      </c>
      <c r="K286" s="7">
        <f t="shared" si="81"/>
        <v>1.0244565217391304</v>
      </c>
      <c r="L286" s="7">
        <f t="shared" si="82"/>
        <v>80.743206521739125</v>
      </c>
      <c r="M286" s="4">
        <f t="shared" si="83"/>
        <v>5.1501313914395528</v>
      </c>
      <c r="N286" s="8">
        <f t="shared" si="84"/>
        <v>1.3139143955243071E-2</v>
      </c>
      <c r="O286" s="4">
        <f t="shared" si="85"/>
        <v>11.488327251492608</v>
      </c>
      <c r="P286">
        <f t="shared" si="86"/>
        <v>32</v>
      </c>
      <c r="Q286" s="4">
        <f t="shared" si="87"/>
        <v>15.693150684931506</v>
      </c>
      <c r="R286">
        <f t="shared" si="88"/>
        <v>1</v>
      </c>
      <c r="S286" s="7">
        <f>SUM(CashFlows!BN286:DU286)</f>
        <v>80.845830152091423</v>
      </c>
      <c r="T286" s="7">
        <f t="shared" si="89"/>
        <v>79.821373630352298</v>
      </c>
      <c r="U286" s="7">
        <f t="shared" si="90"/>
        <v>0.10262363035229782</v>
      </c>
      <c r="V286" s="4">
        <f t="shared" si="91"/>
        <v>5.1390768478178321</v>
      </c>
      <c r="W286" s="8">
        <f t="shared" si="92"/>
        <v>-1.1054543621720647</v>
      </c>
      <c r="X286" s="9">
        <f t="shared" si="93"/>
        <v>1.1063297304413715E-4</v>
      </c>
      <c r="Y286" s="10">
        <f t="shared" si="94"/>
        <v>1.2239654724584777E-8</v>
      </c>
    </row>
    <row r="287" spans="1:25" x14ac:dyDescent="0.2">
      <c r="A287" s="3">
        <f>Data!A286</f>
        <v>52093</v>
      </c>
      <c r="B287" s="4">
        <f>Data!B286</f>
        <v>2.75</v>
      </c>
      <c r="C287" s="4">
        <f>Data!C286</f>
        <v>73.272000000000006</v>
      </c>
      <c r="D287" s="4">
        <f>Data!D286</f>
        <v>73.292000000000002</v>
      </c>
      <c r="E287" s="4">
        <f>Data!F286</f>
        <v>5.173</v>
      </c>
      <c r="F287" s="7">
        <f t="shared" si="76"/>
        <v>73.9140625</v>
      </c>
      <c r="G287" s="3">
        <f t="shared" si="77"/>
        <v>46249</v>
      </c>
      <c r="H287" s="3">
        <f t="shared" si="78"/>
        <v>46433</v>
      </c>
      <c r="I287">
        <f t="shared" si="79"/>
        <v>24</v>
      </c>
      <c r="J287">
        <f t="shared" si="80"/>
        <v>184</v>
      </c>
      <c r="K287" s="7">
        <f t="shared" si="81"/>
        <v>0.17934782608695651</v>
      </c>
      <c r="L287" s="7">
        <f t="shared" si="82"/>
        <v>74.093410326086953</v>
      </c>
      <c r="M287" s="4">
        <f t="shared" si="83"/>
        <v>5.1732106994318361</v>
      </c>
      <c r="N287" s="8">
        <f t="shared" si="84"/>
        <v>2.1069943183604778E-2</v>
      </c>
      <c r="O287" s="4">
        <f t="shared" si="85"/>
        <v>12.074951080148193</v>
      </c>
      <c r="P287">
        <f t="shared" si="86"/>
        <v>32</v>
      </c>
      <c r="Q287" s="4">
        <f t="shared" si="87"/>
        <v>15.945205479452055</v>
      </c>
      <c r="R287">
        <f t="shared" si="88"/>
        <v>1</v>
      </c>
      <c r="S287" s="7">
        <f>SUM(CashFlows!BN287:DU287)</f>
        <v>74.190491037961863</v>
      </c>
      <c r="T287" s="7">
        <f t="shared" si="89"/>
        <v>74.011143211874909</v>
      </c>
      <c r="U287" s="7">
        <f t="shared" si="90"/>
        <v>9.7080711874909298E-2</v>
      </c>
      <c r="V287" s="4">
        <f t="shared" si="91"/>
        <v>5.1623683821429633</v>
      </c>
      <c r="W287" s="8">
        <f t="shared" si="92"/>
        <v>-1.0842317288872749</v>
      </c>
      <c r="X287" s="9">
        <f t="shared" si="93"/>
        <v>1.0850955630117146E-4</v>
      </c>
      <c r="Y287" s="10">
        <f t="shared" si="94"/>
        <v>1.1774323808677099E-8</v>
      </c>
    </row>
    <row r="288" spans="1:25" x14ac:dyDescent="0.2">
      <c r="A288" s="3">
        <f>Data!A287</f>
        <v>52093</v>
      </c>
      <c r="B288" s="4">
        <f>Data!B287</f>
        <v>3.375</v>
      </c>
      <c r="C288" s="4">
        <f>Data!C287</f>
        <v>80.224000000000004</v>
      </c>
      <c r="D288" s="4">
        <f>Data!D287</f>
        <v>80.244</v>
      </c>
      <c r="E288" s="4">
        <f>Data!F287</f>
        <v>5.16</v>
      </c>
      <c r="F288" s="7">
        <f t="shared" si="76"/>
        <v>80.765625</v>
      </c>
      <c r="G288" s="3">
        <f t="shared" si="77"/>
        <v>46249</v>
      </c>
      <c r="H288" s="3">
        <f t="shared" si="78"/>
        <v>46433</v>
      </c>
      <c r="I288">
        <f t="shared" si="79"/>
        <v>24</v>
      </c>
      <c r="J288">
        <f t="shared" si="80"/>
        <v>184</v>
      </c>
      <c r="K288" s="7">
        <f t="shared" si="81"/>
        <v>0.22010869565217392</v>
      </c>
      <c r="L288" s="7">
        <f t="shared" si="82"/>
        <v>80.985733695652172</v>
      </c>
      <c r="M288" s="4">
        <f t="shared" si="83"/>
        <v>5.1600132880892362</v>
      </c>
      <c r="N288" s="8">
        <f t="shared" si="84"/>
        <v>1.3288089236063172E-3</v>
      </c>
      <c r="O288" s="4">
        <f t="shared" si="85"/>
        <v>11.648579255430027</v>
      </c>
      <c r="P288">
        <f t="shared" si="86"/>
        <v>32</v>
      </c>
      <c r="Q288" s="4">
        <f t="shared" si="87"/>
        <v>15.945205479452055</v>
      </c>
      <c r="R288">
        <f t="shared" si="88"/>
        <v>1</v>
      </c>
      <c r="S288" s="7">
        <f>SUM(CashFlows!BN288:DU288)</f>
        <v>81.103295863333614</v>
      </c>
      <c r="T288" s="7">
        <f t="shared" si="89"/>
        <v>80.883187167681442</v>
      </c>
      <c r="U288" s="7">
        <f t="shared" si="90"/>
        <v>0.11756216768144157</v>
      </c>
      <c r="V288" s="4">
        <f t="shared" si="91"/>
        <v>5.1475625575996133</v>
      </c>
      <c r="W288" s="8">
        <f t="shared" si="92"/>
        <v>-1.2450730489622863</v>
      </c>
      <c r="X288" s="9">
        <f t="shared" si="93"/>
        <v>1.2461952893560584E-4</v>
      </c>
      <c r="Y288" s="10">
        <f t="shared" si="94"/>
        <v>1.5530026992132301E-8</v>
      </c>
    </row>
    <row r="289" spans="1:25" x14ac:dyDescent="0.2">
      <c r="A289" s="3">
        <f>Data!A288</f>
        <v>52185</v>
      </c>
      <c r="B289" s="4">
        <f>Data!B288</f>
        <v>2.75</v>
      </c>
      <c r="C289" s="4">
        <f>Data!C288</f>
        <v>73.144000000000005</v>
      </c>
      <c r="D289" s="4">
        <f>Data!D288</f>
        <v>73.164000000000001</v>
      </c>
      <c r="E289" s="4">
        <f>Data!F288</f>
        <v>5.1879999999999997</v>
      </c>
      <c r="F289" s="7">
        <f t="shared" si="76"/>
        <v>73.515625</v>
      </c>
      <c r="G289" s="3">
        <f t="shared" si="77"/>
        <v>46157</v>
      </c>
      <c r="H289" s="3">
        <f t="shared" si="78"/>
        <v>46341</v>
      </c>
      <c r="I289">
        <f t="shared" si="79"/>
        <v>116</v>
      </c>
      <c r="J289">
        <f t="shared" si="80"/>
        <v>184</v>
      </c>
      <c r="K289" s="7">
        <f t="shared" si="81"/>
        <v>0.86684782608695654</v>
      </c>
      <c r="L289" s="7">
        <f t="shared" si="82"/>
        <v>74.382472826086953</v>
      </c>
      <c r="M289" s="4">
        <f t="shared" si="83"/>
        <v>5.1879782101664356</v>
      </c>
      <c r="N289" s="8">
        <f t="shared" si="84"/>
        <v>-2.1789833564156424E-3</v>
      </c>
      <c r="O289" s="4">
        <f t="shared" si="85"/>
        <v>12.091781105422768</v>
      </c>
      <c r="P289">
        <f t="shared" si="86"/>
        <v>33</v>
      </c>
      <c r="Q289" s="4">
        <f t="shared" si="87"/>
        <v>16.197260273972603</v>
      </c>
      <c r="R289">
        <f t="shared" si="88"/>
        <v>1</v>
      </c>
      <c r="S289" s="7">
        <f>SUM(CashFlows!BN289:DU289)</f>
        <v>74.519817377210146</v>
      </c>
      <c r="T289" s="7">
        <f t="shared" si="89"/>
        <v>73.652969551123192</v>
      </c>
      <c r="U289" s="7">
        <f t="shared" si="90"/>
        <v>0.1373445511231921</v>
      </c>
      <c r="V289" s="4">
        <f t="shared" si="91"/>
        <v>5.1727251332529676</v>
      </c>
      <c r="W289" s="8">
        <f t="shared" si="92"/>
        <v>-1.5253076913468</v>
      </c>
      <c r="X289" s="9">
        <f t="shared" si="93"/>
        <v>1.5270404643930144E-4</v>
      </c>
      <c r="Y289" s="10">
        <f t="shared" si="94"/>
        <v>2.3318525798936331E-8</v>
      </c>
    </row>
    <row r="290" spans="1:25" x14ac:dyDescent="0.2">
      <c r="A290" s="3">
        <f>Data!A289</f>
        <v>52185</v>
      </c>
      <c r="B290" s="4">
        <f>Data!B289</f>
        <v>4</v>
      </c>
      <c r="C290" s="4">
        <f>Data!C289</f>
        <v>87.072000000000003</v>
      </c>
      <c r="D290" s="4">
        <f>Data!D289</f>
        <v>87.091999999999999</v>
      </c>
      <c r="E290" s="4">
        <f>Data!F289</f>
        <v>5.1680000000000001</v>
      </c>
      <c r="F290" s="7">
        <f t="shared" si="76"/>
        <v>87.2890625</v>
      </c>
      <c r="G290" s="3">
        <f t="shared" si="77"/>
        <v>46157</v>
      </c>
      <c r="H290" s="3">
        <f t="shared" si="78"/>
        <v>46341</v>
      </c>
      <c r="I290">
        <f t="shared" si="79"/>
        <v>116</v>
      </c>
      <c r="J290">
        <f t="shared" si="80"/>
        <v>184</v>
      </c>
      <c r="K290" s="7">
        <f t="shared" si="81"/>
        <v>1.2608695652173914</v>
      </c>
      <c r="L290" s="7">
        <f t="shared" si="82"/>
        <v>88.549932065217391</v>
      </c>
      <c r="M290" s="4">
        <f t="shared" si="83"/>
        <v>5.1680776511339861</v>
      </c>
      <c r="N290" s="8">
        <f t="shared" si="84"/>
        <v>7.7651133985945364E-3</v>
      </c>
      <c r="O290" s="4">
        <f t="shared" si="85"/>
        <v>11.271652707123074</v>
      </c>
      <c r="P290">
        <f t="shared" si="86"/>
        <v>33</v>
      </c>
      <c r="Q290" s="4">
        <f t="shared" si="87"/>
        <v>16.197260273972603</v>
      </c>
      <c r="R290">
        <f t="shared" si="88"/>
        <v>1</v>
      </c>
      <c r="S290" s="7">
        <f>SUM(CashFlows!BN290:DU290)</f>
        <v>88.792328111523716</v>
      </c>
      <c r="T290" s="7">
        <f t="shared" si="89"/>
        <v>87.531458546306325</v>
      </c>
      <c r="U290" s="7">
        <f t="shared" si="90"/>
        <v>0.24239604630632527</v>
      </c>
      <c r="V290" s="4">
        <f t="shared" si="91"/>
        <v>5.1438345306966138</v>
      </c>
      <c r="W290" s="8">
        <f t="shared" si="92"/>
        <v>-2.4243120437372312</v>
      </c>
      <c r="X290" s="9">
        <f t="shared" si="93"/>
        <v>2.4285648240939841E-4</v>
      </c>
      <c r="Y290" s="10">
        <f t="shared" si="94"/>
        <v>5.8979271048266437E-8</v>
      </c>
    </row>
    <row r="291" spans="1:25" x14ac:dyDescent="0.2">
      <c r="A291" s="3">
        <f>Data!A290</f>
        <v>52277</v>
      </c>
      <c r="B291" s="4">
        <f>Data!B290</f>
        <v>3.125</v>
      </c>
      <c r="C291" s="4">
        <f>Data!C290</f>
        <v>77.075999999999993</v>
      </c>
      <c r="D291" s="4">
        <f>Data!D290</f>
        <v>77.096000000000004</v>
      </c>
      <c r="E291" s="4">
        <f>Data!F290</f>
        <v>5.1950000000000003</v>
      </c>
      <c r="F291" s="7">
        <f t="shared" si="76"/>
        <v>77.3046875</v>
      </c>
      <c r="G291" s="3">
        <f t="shared" si="77"/>
        <v>46249</v>
      </c>
      <c r="H291" s="3">
        <f t="shared" si="78"/>
        <v>46433</v>
      </c>
      <c r="I291">
        <f t="shared" si="79"/>
        <v>24</v>
      </c>
      <c r="J291">
        <f t="shared" si="80"/>
        <v>184</v>
      </c>
      <c r="K291" s="7">
        <f t="shared" si="81"/>
        <v>0.20380434782608695</v>
      </c>
      <c r="L291" s="7">
        <f t="shared" si="82"/>
        <v>77.508491847826093</v>
      </c>
      <c r="M291" s="4">
        <f t="shared" si="83"/>
        <v>5.194935302797492</v>
      </c>
      <c r="N291" s="8">
        <f t="shared" si="84"/>
        <v>-6.4697202508234852E-3</v>
      </c>
      <c r="O291" s="4">
        <f t="shared" si="85"/>
        <v>12.053976835592469</v>
      </c>
      <c r="P291">
        <f t="shared" si="86"/>
        <v>33</v>
      </c>
      <c r="Q291" s="4">
        <f t="shared" si="87"/>
        <v>16.449315068493149</v>
      </c>
      <c r="R291">
        <f t="shared" si="88"/>
        <v>1</v>
      </c>
      <c r="S291" s="7">
        <f>SUM(CashFlows!BN291:DU291)</f>
        <v>77.704154031053605</v>
      </c>
      <c r="T291" s="7">
        <f t="shared" si="89"/>
        <v>77.500349683227512</v>
      </c>
      <c r="U291" s="7">
        <f t="shared" si="90"/>
        <v>0.19566218322751183</v>
      </c>
      <c r="V291" s="4">
        <f t="shared" si="91"/>
        <v>5.1740255540617817</v>
      </c>
      <c r="W291" s="8">
        <f t="shared" si="92"/>
        <v>-2.0909748735710387</v>
      </c>
      <c r="X291" s="9">
        <f t="shared" si="93"/>
        <v>2.0942438853333579E-4</v>
      </c>
      <c r="Y291" s="10">
        <f t="shared" si="94"/>
        <v>4.3858574512561586E-8</v>
      </c>
    </row>
    <row r="292" spans="1:25" x14ac:dyDescent="0.2">
      <c r="A292" s="3">
        <f>Data!A291</f>
        <v>52277</v>
      </c>
      <c r="B292" s="4">
        <f>Data!B291</f>
        <v>3.875</v>
      </c>
      <c r="C292" s="4">
        <f>Data!C291</f>
        <v>85.194000000000003</v>
      </c>
      <c r="D292" s="4">
        <f>Data!D291</f>
        <v>85.213999999999999</v>
      </c>
      <c r="E292" s="4">
        <f>Data!F291</f>
        <v>5.18</v>
      </c>
      <c r="F292" s="7">
        <f t="shared" si="76"/>
        <v>85.671875</v>
      </c>
      <c r="G292" s="3">
        <f t="shared" si="77"/>
        <v>46249</v>
      </c>
      <c r="H292" s="3">
        <f t="shared" si="78"/>
        <v>46433</v>
      </c>
      <c r="I292">
        <f t="shared" si="79"/>
        <v>24</v>
      </c>
      <c r="J292">
        <f t="shared" si="80"/>
        <v>184</v>
      </c>
      <c r="K292" s="7">
        <f t="shared" si="81"/>
        <v>0.25271739130434784</v>
      </c>
      <c r="L292" s="7">
        <f t="shared" si="82"/>
        <v>85.924592391304344</v>
      </c>
      <c r="M292" s="4">
        <f t="shared" si="83"/>
        <v>5.1803132825640317</v>
      </c>
      <c r="N292" s="8">
        <f t="shared" si="84"/>
        <v>3.1328256403195809E-2</v>
      </c>
      <c r="O292" s="4">
        <f t="shared" si="85"/>
        <v>11.581708101458947</v>
      </c>
      <c r="P292">
        <f t="shared" si="86"/>
        <v>33</v>
      </c>
      <c r="Q292" s="4">
        <f t="shared" si="87"/>
        <v>16.449315068493149</v>
      </c>
      <c r="R292">
        <f t="shared" si="88"/>
        <v>1</v>
      </c>
      <c r="S292" s="7">
        <f>SUM(CashFlows!BN292:DU292)</f>
        <v>86.158806454992117</v>
      </c>
      <c r="T292" s="7">
        <f t="shared" si="89"/>
        <v>85.906089063687773</v>
      </c>
      <c r="U292" s="7">
        <f t="shared" si="90"/>
        <v>0.23421406368777298</v>
      </c>
      <c r="V292" s="4">
        <f t="shared" si="91"/>
        <v>5.1568183765742655</v>
      </c>
      <c r="W292" s="8">
        <f t="shared" si="92"/>
        <v>-2.3494905989766224</v>
      </c>
      <c r="X292" s="9">
        <f t="shared" si="93"/>
        <v>2.3535469898339892E-4</v>
      </c>
      <c r="Y292" s="10">
        <f t="shared" si="94"/>
        <v>5.5391834333566317E-8</v>
      </c>
    </row>
    <row r="293" spans="1:25" x14ac:dyDescent="0.2">
      <c r="A293" s="3">
        <f>Data!A292</f>
        <v>52366</v>
      </c>
      <c r="B293" s="4">
        <f>Data!B292</f>
        <v>2.875</v>
      </c>
      <c r="C293" s="4">
        <f>Data!C292</f>
        <v>74.042000000000002</v>
      </c>
      <c r="D293" s="4">
        <f>Data!D292</f>
        <v>74.061999999999998</v>
      </c>
      <c r="E293" s="4">
        <f>Data!F292</f>
        <v>5.2080000000000002</v>
      </c>
      <c r="F293" s="7">
        <f t="shared" si="76"/>
        <v>74.1953125</v>
      </c>
      <c r="G293" s="3">
        <f t="shared" si="77"/>
        <v>46157</v>
      </c>
      <c r="H293" s="3">
        <f t="shared" si="78"/>
        <v>46341</v>
      </c>
      <c r="I293">
        <f t="shared" si="79"/>
        <v>116</v>
      </c>
      <c r="J293">
        <f t="shared" si="80"/>
        <v>184</v>
      </c>
      <c r="K293" s="7">
        <f t="shared" si="81"/>
        <v>0.90625</v>
      </c>
      <c r="L293" s="7">
        <f t="shared" si="82"/>
        <v>75.1015625</v>
      </c>
      <c r="M293" s="4">
        <f t="shared" si="83"/>
        <v>5.208152217018462</v>
      </c>
      <c r="N293" s="8">
        <f t="shared" si="84"/>
        <v>1.5221701846179769E-2</v>
      </c>
      <c r="O293" s="4">
        <f t="shared" si="85"/>
        <v>12.242640591328284</v>
      </c>
      <c r="P293">
        <f t="shared" si="86"/>
        <v>34</v>
      </c>
      <c r="Q293" s="4">
        <f t="shared" si="87"/>
        <v>16.693150684931506</v>
      </c>
      <c r="R293">
        <f t="shared" si="88"/>
        <v>1</v>
      </c>
      <c r="S293" s="7">
        <f>SUM(CashFlows!BN293:DU293)</f>
        <v>75.291630527859837</v>
      </c>
      <c r="T293" s="7">
        <f t="shared" si="89"/>
        <v>74.385380527859837</v>
      </c>
      <c r="U293" s="7">
        <f t="shared" si="90"/>
        <v>0.19006802785983723</v>
      </c>
      <c r="V293" s="4">
        <f t="shared" si="91"/>
        <v>5.1875125606835768</v>
      </c>
      <c r="W293" s="8">
        <f t="shared" si="92"/>
        <v>-2.0639656334885181</v>
      </c>
      <c r="X293" s="9">
        <f t="shared" si="93"/>
        <v>2.067211897360984E-4</v>
      </c>
      <c r="Y293" s="10">
        <f t="shared" si="94"/>
        <v>4.2733650285907996E-8</v>
      </c>
    </row>
    <row r="294" spans="1:25" x14ac:dyDescent="0.2">
      <c r="A294" s="3">
        <f>Data!A293</f>
        <v>52366</v>
      </c>
      <c r="B294" s="4">
        <f>Data!B293</f>
        <v>3.875</v>
      </c>
      <c r="C294" s="4">
        <f>Data!C293</f>
        <v>85.116</v>
      </c>
      <c r="D294" s="4">
        <f>Data!D293</f>
        <v>85.135999999999996</v>
      </c>
      <c r="E294" s="4">
        <f>Data!F293</f>
        <v>5.19</v>
      </c>
      <c r="F294" s="7">
        <f t="shared" si="76"/>
        <v>85.4296875</v>
      </c>
      <c r="G294" s="3">
        <f t="shared" si="77"/>
        <v>46157</v>
      </c>
      <c r="H294" s="3">
        <f t="shared" si="78"/>
        <v>46341</v>
      </c>
      <c r="I294">
        <f t="shared" si="79"/>
        <v>116</v>
      </c>
      <c r="J294">
        <f t="shared" si="80"/>
        <v>184</v>
      </c>
      <c r="K294" s="7">
        <f t="shared" si="81"/>
        <v>1.2214673913043479</v>
      </c>
      <c r="L294" s="7">
        <f t="shared" si="82"/>
        <v>86.651154891304344</v>
      </c>
      <c r="M294" s="4">
        <f t="shared" si="83"/>
        <v>5.1903936551328442</v>
      </c>
      <c r="N294" s="8">
        <f t="shared" si="84"/>
        <v>3.9365513284383979E-2</v>
      </c>
      <c r="O294" s="4">
        <f t="shared" si="85"/>
        <v>11.563916958450662</v>
      </c>
      <c r="P294">
        <f t="shared" si="86"/>
        <v>34</v>
      </c>
      <c r="Q294" s="4">
        <f t="shared" si="87"/>
        <v>16.693150684931506</v>
      </c>
      <c r="R294">
        <f t="shared" si="88"/>
        <v>1</v>
      </c>
      <c r="S294" s="7">
        <f>SUM(CashFlows!BN294:DU294)</f>
        <v>86.918954486050978</v>
      </c>
      <c r="T294" s="7">
        <f t="shared" si="89"/>
        <v>85.697487094746634</v>
      </c>
      <c r="U294" s="7">
        <f t="shared" si="90"/>
        <v>0.26779959474663428</v>
      </c>
      <c r="V294" s="4">
        <f t="shared" si="91"/>
        <v>5.1637208035896753</v>
      </c>
      <c r="W294" s="8">
        <f t="shared" si="92"/>
        <v>-2.6672851543168896</v>
      </c>
      <c r="X294" s="9">
        <f t="shared" si="93"/>
        <v>2.6725792719921917E-4</v>
      </c>
      <c r="Y294" s="10">
        <f t="shared" si="94"/>
        <v>7.1426799650823132E-8</v>
      </c>
    </row>
    <row r="295" spans="1:25" x14ac:dyDescent="0.2">
      <c r="A295" s="3">
        <f>Data!A294</f>
        <v>52458</v>
      </c>
      <c r="B295" s="4">
        <f>Data!B294</f>
        <v>3.625</v>
      </c>
      <c r="C295" s="4">
        <f>Data!C294</f>
        <v>82.073999999999998</v>
      </c>
      <c r="D295" s="4">
        <f>Data!D294</f>
        <v>82.093999999999994</v>
      </c>
      <c r="E295" s="4">
        <f>Data!F294</f>
        <v>5.2110000000000003</v>
      </c>
      <c r="F295" s="7">
        <f t="shared" si="76"/>
        <v>82.296875</v>
      </c>
      <c r="G295" s="3">
        <f t="shared" si="77"/>
        <v>46249</v>
      </c>
      <c r="H295" s="3">
        <f t="shared" si="78"/>
        <v>46433</v>
      </c>
      <c r="I295">
        <f t="shared" si="79"/>
        <v>24</v>
      </c>
      <c r="J295">
        <f t="shared" si="80"/>
        <v>184</v>
      </c>
      <c r="K295" s="7">
        <f t="shared" si="81"/>
        <v>0.23641304347826086</v>
      </c>
      <c r="L295" s="7">
        <f t="shared" si="82"/>
        <v>82.533288043478265</v>
      </c>
      <c r="M295" s="4">
        <f t="shared" si="83"/>
        <v>5.2111012386066973</v>
      </c>
      <c r="N295" s="8">
        <f t="shared" si="84"/>
        <v>1.0123860669697393E-2</v>
      </c>
      <c r="O295" s="4">
        <f t="shared" si="85"/>
        <v>11.953576337750468</v>
      </c>
      <c r="P295">
        <f t="shared" si="86"/>
        <v>34</v>
      </c>
      <c r="Q295" s="4">
        <f t="shared" si="87"/>
        <v>16.945205479452056</v>
      </c>
      <c r="R295">
        <f t="shared" si="88"/>
        <v>1</v>
      </c>
      <c r="S295" s="7">
        <f>SUM(CashFlows!BN295:DU295)</f>
        <v>82.850443735617645</v>
      </c>
      <c r="T295" s="7">
        <f t="shared" si="89"/>
        <v>82.61403069213938</v>
      </c>
      <c r="U295" s="7">
        <f t="shared" si="90"/>
        <v>0.31715569213938011</v>
      </c>
      <c r="V295" s="4">
        <f t="shared" si="91"/>
        <v>5.179031807029455</v>
      </c>
      <c r="W295" s="8">
        <f t="shared" si="92"/>
        <v>-3.2069431577242291</v>
      </c>
      <c r="X295" s="9">
        <f t="shared" si="93"/>
        <v>3.2147374059275137E-4</v>
      </c>
      <c r="Y295" s="10">
        <f t="shared" si="94"/>
        <v>1.0334536589069559E-7</v>
      </c>
    </row>
    <row r="296" spans="1:25" x14ac:dyDescent="0.2">
      <c r="A296" s="3">
        <f>Data!A295</f>
        <v>52458</v>
      </c>
      <c r="B296" s="4">
        <f>Data!B295</f>
        <v>4.375</v>
      </c>
      <c r="C296" s="4">
        <f>Data!C295</f>
        <v>90.25</v>
      </c>
      <c r="D296" s="4">
        <f>Data!D295</f>
        <v>90.27</v>
      </c>
      <c r="E296" s="4">
        <f>Data!F295</f>
        <v>5.194</v>
      </c>
      <c r="F296" s="7">
        <f t="shared" si="76"/>
        <v>90.84375</v>
      </c>
      <c r="G296" s="3">
        <f t="shared" si="77"/>
        <v>46249</v>
      </c>
      <c r="H296" s="3">
        <f t="shared" si="78"/>
        <v>46433</v>
      </c>
      <c r="I296">
        <f t="shared" si="79"/>
        <v>24</v>
      </c>
      <c r="J296">
        <f t="shared" si="80"/>
        <v>184</v>
      </c>
      <c r="K296" s="7">
        <f t="shared" si="81"/>
        <v>0.28532608695652173</v>
      </c>
      <c r="L296" s="7">
        <f t="shared" si="82"/>
        <v>91.129076086956516</v>
      </c>
      <c r="M296" s="4">
        <f t="shared" si="83"/>
        <v>5.1941717459922216</v>
      </c>
      <c r="N296" s="8">
        <f t="shared" si="84"/>
        <v>1.7174599222169462E-2</v>
      </c>
      <c r="O296" s="4">
        <f t="shared" si="85"/>
        <v>11.526895687454896</v>
      </c>
      <c r="P296">
        <f t="shared" si="86"/>
        <v>34</v>
      </c>
      <c r="Q296" s="4">
        <f t="shared" si="87"/>
        <v>16.945205479452056</v>
      </c>
      <c r="R296">
        <f t="shared" si="88"/>
        <v>1</v>
      </c>
      <c r="S296" s="7">
        <f>SUM(CashFlows!BN296:DU296)</f>
        <v>91.459741796216377</v>
      </c>
      <c r="T296" s="7">
        <f t="shared" si="89"/>
        <v>91.174415709259861</v>
      </c>
      <c r="U296" s="7">
        <f t="shared" si="90"/>
        <v>0.33066570925986127</v>
      </c>
      <c r="V296" s="4">
        <f t="shared" si="91"/>
        <v>5.1627663341010921</v>
      </c>
      <c r="W296" s="8">
        <f t="shared" si="92"/>
        <v>-3.1405411891129553</v>
      </c>
      <c r="X296" s="9">
        <f t="shared" si="93"/>
        <v>3.1478920426084478E-4</v>
      </c>
      <c r="Y296" s="10">
        <f t="shared" si="94"/>
        <v>9.9092243119175861E-8</v>
      </c>
    </row>
    <row r="297" spans="1:25" x14ac:dyDescent="0.2">
      <c r="A297" s="3">
        <f>Data!A296</f>
        <v>52550</v>
      </c>
      <c r="B297" s="4">
        <f>Data!B296</f>
        <v>3.75</v>
      </c>
      <c r="C297" s="4">
        <f>Data!C296</f>
        <v>83.144000000000005</v>
      </c>
      <c r="D297" s="4">
        <f>Data!D296</f>
        <v>83.164000000000001</v>
      </c>
      <c r="E297" s="4">
        <f>Data!F296</f>
        <v>5.2130000000000001</v>
      </c>
      <c r="F297" s="7">
        <f t="shared" si="76"/>
        <v>83.515625</v>
      </c>
      <c r="G297" s="3">
        <f t="shared" si="77"/>
        <v>46157</v>
      </c>
      <c r="H297" s="3">
        <f t="shared" si="78"/>
        <v>46341</v>
      </c>
      <c r="I297">
        <f t="shared" si="79"/>
        <v>116</v>
      </c>
      <c r="J297">
        <f t="shared" si="80"/>
        <v>184</v>
      </c>
      <c r="K297" s="7">
        <f t="shared" si="81"/>
        <v>1.1820652173913044</v>
      </c>
      <c r="L297" s="7">
        <f t="shared" si="82"/>
        <v>84.697690217391298</v>
      </c>
      <c r="M297" s="4">
        <f t="shared" si="83"/>
        <v>5.2134212639508046</v>
      </c>
      <c r="N297" s="8">
        <f t="shared" si="84"/>
        <v>4.2126395080455126E-2</v>
      </c>
      <c r="O297" s="4">
        <f t="shared" si="85"/>
        <v>11.856324514305292</v>
      </c>
      <c r="P297">
        <f t="shared" si="86"/>
        <v>35</v>
      </c>
      <c r="Q297" s="4">
        <f t="shared" si="87"/>
        <v>17.197260273972603</v>
      </c>
      <c r="R297">
        <f t="shared" si="88"/>
        <v>1</v>
      </c>
      <c r="S297" s="7">
        <f>SUM(CashFlows!BN297:DU297)</f>
        <v>84.98870252015837</v>
      </c>
      <c r="T297" s="7">
        <f t="shared" si="89"/>
        <v>83.806637302767072</v>
      </c>
      <c r="U297" s="7">
        <f t="shared" si="90"/>
        <v>0.29101230276707213</v>
      </c>
      <c r="V297" s="4">
        <f t="shared" si="91"/>
        <v>5.1845057818268874</v>
      </c>
      <c r="W297" s="8">
        <f t="shared" si="92"/>
        <v>-2.8915482123917258</v>
      </c>
      <c r="X297" s="9">
        <f t="shared" si="93"/>
        <v>2.8979421052160466E-4</v>
      </c>
      <c r="Y297" s="10">
        <f t="shared" si="94"/>
        <v>8.3980684451840125E-8</v>
      </c>
    </row>
    <row r="298" spans="1:25" x14ac:dyDescent="0.2">
      <c r="A298" s="3">
        <f>Data!A297</f>
        <v>52550</v>
      </c>
      <c r="B298" s="4">
        <f>Data!B297</f>
        <v>4.75</v>
      </c>
      <c r="C298" s="4">
        <f>Data!C297</f>
        <v>94.296000000000006</v>
      </c>
      <c r="D298" s="4">
        <f>Data!D297</f>
        <v>94.316000000000003</v>
      </c>
      <c r="E298" s="4">
        <f>Data!F297</f>
        <v>5.1929999999999996</v>
      </c>
      <c r="F298" s="7">
        <f t="shared" si="76"/>
        <v>94.9921875</v>
      </c>
      <c r="G298" s="3">
        <f t="shared" si="77"/>
        <v>46157</v>
      </c>
      <c r="H298" s="3">
        <f t="shared" si="78"/>
        <v>46341</v>
      </c>
      <c r="I298">
        <f t="shared" si="79"/>
        <v>116</v>
      </c>
      <c r="J298">
        <f t="shared" si="80"/>
        <v>184</v>
      </c>
      <c r="K298" s="7">
        <f t="shared" si="81"/>
        <v>1.4972826086956521</v>
      </c>
      <c r="L298" s="7">
        <f t="shared" si="82"/>
        <v>96.489470108695656</v>
      </c>
      <c r="M298" s="4">
        <f t="shared" si="83"/>
        <v>5.1934397154551295</v>
      </c>
      <c r="N298" s="8">
        <f t="shared" si="84"/>
        <v>4.3971545512988541E-2</v>
      </c>
      <c r="O298" s="4">
        <f t="shared" si="85"/>
        <v>11.304988383725377</v>
      </c>
      <c r="P298">
        <f t="shared" si="86"/>
        <v>35</v>
      </c>
      <c r="Q298" s="4">
        <f t="shared" si="87"/>
        <v>17.197260273972603</v>
      </c>
      <c r="R298">
        <f t="shared" si="88"/>
        <v>1</v>
      </c>
      <c r="S298" s="7">
        <f>SUM(CashFlows!BN298:DU298)</f>
        <v>96.819149117254739</v>
      </c>
      <c r="T298" s="7">
        <f t="shared" si="89"/>
        <v>95.321866508559083</v>
      </c>
      <c r="U298" s="7">
        <f t="shared" si="90"/>
        <v>0.32967900855908283</v>
      </c>
      <c r="V298" s="4">
        <f t="shared" si="91"/>
        <v>5.1632845031903614</v>
      </c>
      <c r="W298" s="8">
        <f t="shared" si="92"/>
        <v>-3.0155212264768139</v>
      </c>
      <c r="X298" s="9">
        <f t="shared" si="93"/>
        <v>3.0223256269976774E-4</v>
      </c>
      <c r="Y298" s="10">
        <f t="shared" si="94"/>
        <v>9.1344521956069035E-8</v>
      </c>
    </row>
    <row r="299" spans="1:25" x14ac:dyDescent="0.2">
      <c r="A299" s="3">
        <f>Data!A298</f>
        <v>52642</v>
      </c>
      <c r="B299" s="4">
        <f>Data!B298</f>
        <v>3.625</v>
      </c>
      <c r="C299" s="4">
        <f>Data!C298</f>
        <v>81.242000000000004</v>
      </c>
      <c r="D299" s="4">
        <f>Data!D298</f>
        <v>81.262</v>
      </c>
      <c r="E299" s="4">
        <f>Data!F298</f>
        <v>5.226</v>
      </c>
      <c r="F299" s="7">
        <f t="shared" si="76"/>
        <v>81.8203125</v>
      </c>
      <c r="G299" s="3">
        <f t="shared" si="77"/>
        <v>46249</v>
      </c>
      <c r="H299" s="3">
        <f t="shared" si="78"/>
        <v>46433</v>
      </c>
      <c r="I299">
        <f t="shared" si="79"/>
        <v>24</v>
      </c>
      <c r="J299">
        <f t="shared" si="80"/>
        <v>184</v>
      </c>
      <c r="K299" s="7">
        <f t="shared" si="81"/>
        <v>0.23641304347826086</v>
      </c>
      <c r="L299" s="7">
        <f t="shared" si="82"/>
        <v>82.056725543478265</v>
      </c>
      <c r="M299" s="4">
        <f t="shared" si="83"/>
        <v>5.2264104260360948</v>
      </c>
      <c r="N299" s="8">
        <f t="shared" si="84"/>
        <v>4.1042603609486861E-2</v>
      </c>
      <c r="O299" s="4">
        <f t="shared" si="85"/>
        <v>12.175602707484579</v>
      </c>
      <c r="P299">
        <f t="shared" si="86"/>
        <v>35</v>
      </c>
      <c r="Q299" s="4">
        <f t="shared" si="87"/>
        <v>17.449315068493149</v>
      </c>
      <c r="R299">
        <f t="shared" si="88"/>
        <v>1</v>
      </c>
      <c r="S299" s="7">
        <f>SUM(CashFlows!BN299:DU299)</f>
        <v>82.357078708666364</v>
      </c>
      <c r="T299" s="7">
        <f t="shared" si="89"/>
        <v>82.120665665188099</v>
      </c>
      <c r="U299" s="7">
        <f t="shared" si="90"/>
        <v>0.30035316518809907</v>
      </c>
      <c r="V299" s="4">
        <f t="shared" si="91"/>
        <v>5.196417581950441</v>
      </c>
      <c r="W299" s="8">
        <f t="shared" si="92"/>
        <v>-2.9992844085653836</v>
      </c>
      <c r="X299" s="9">
        <f t="shared" si="93"/>
        <v>3.0062670852829963E-4</v>
      </c>
      <c r="Y299" s="10">
        <f t="shared" si="94"/>
        <v>9.0376417880559218E-8</v>
      </c>
    </row>
    <row r="300" spans="1:25" x14ac:dyDescent="0.2">
      <c r="A300" s="3">
        <f>Data!A299</f>
        <v>52642</v>
      </c>
      <c r="B300" s="4">
        <f>Data!B299</f>
        <v>4.5</v>
      </c>
      <c r="C300" s="4">
        <f>Data!C299</f>
        <v>91.274000000000001</v>
      </c>
      <c r="D300" s="4">
        <f>Data!D299</f>
        <v>91.293999999999997</v>
      </c>
      <c r="E300" s="4">
        <f>Data!F299</f>
        <v>5.2110000000000003</v>
      </c>
      <c r="F300" s="7">
        <f t="shared" si="76"/>
        <v>91.921875</v>
      </c>
      <c r="G300" s="3">
        <f t="shared" si="77"/>
        <v>46249</v>
      </c>
      <c r="H300" s="3">
        <f t="shared" si="78"/>
        <v>46433</v>
      </c>
      <c r="I300">
        <f t="shared" si="79"/>
        <v>24</v>
      </c>
      <c r="J300">
        <f t="shared" si="80"/>
        <v>184</v>
      </c>
      <c r="K300" s="7">
        <f t="shared" si="81"/>
        <v>0.29347826086956524</v>
      </c>
      <c r="L300" s="7">
        <f t="shared" si="82"/>
        <v>92.215353260869563</v>
      </c>
      <c r="M300" s="4">
        <f t="shared" si="83"/>
        <v>5.2105565628160644</v>
      </c>
      <c r="N300" s="8">
        <f t="shared" si="84"/>
        <v>-4.4343718393591303E-2</v>
      </c>
      <c r="O300" s="4">
        <f t="shared" si="85"/>
        <v>11.668484913478457</v>
      </c>
      <c r="P300">
        <f t="shared" si="86"/>
        <v>35</v>
      </c>
      <c r="Q300" s="4">
        <f t="shared" si="87"/>
        <v>17.449315068493149</v>
      </c>
      <c r="R300">
        <f t="shared" si="88"/>
        <v>1</v>
      </c>
      <c r="S300" s="7">
        <f>SUM(CashFlows!BN300:DU300)</f>
        <v>92.576347747388439</v>
      </c>
      <c r="T300" s="7">
        <f t="shared" si="89"/>
        <v>92.282869486518877</v>
      </c>
      <c r="U300" s="7">
        <f t="shared" si="90"/>
        <v>0.36099448651887656</v>
      </c>
      <c r="V300" s="4">
        <f t="shared" si="91"/>
        <v>5.1770925436393407</v>
      </c>
      <c r="W300" s="8">
        <f t="shared" si="92"/>
        <v>-3.3464019176723703</v>
      </c>
      <c r="X300" s="9">
        <f t="shared" si="93"/>
        <v>3.3549253843348698E-4</v>
      </c>
      <c r="Y300" s="10">
        <f t="shared" si="94"/>
        <v>1.1255524334454475E-7</v>
      </c>
    </row>
    <row r="301" spans="1:25" x14ac:dyDescent="0.2">
      <c r="A301" s="3">
        <f>Data!A300</f>
        <v>52732</v>
      </c>
      <c r="B301" s="4">
        <f>Data!B300</f>
        <v>3.375</v>
      </c>
      <c r="C301" s="4">
        <f>Data!C300</f>
        <v>78.2</v>
      </c>
      <c r="D301" s="4">
        <f>Data!D300</f>
        <v>78.22</v>
      </c>
      <c r="E301" s="4">
        <f>Data!F300</f>
        <v>5.2370000000000001</v>
      </c>
      <c r="F301" s="7">
        <f t="shared" si="76"/>
        <v>78.6875</v>
      </c>
      <c r="G301" s="3">
        <f t="shared" si="77"/>
        <v>46157</v>
      </c>
      <c r="H301" s="3">
        <f t="shared" si="78"/>
        <v>46341</v>
      </c>
      <c r="I301">
        <f t="shared" si="79"/>
        <v>116</v>
      </c>
      <c r="J301">
        <f t="shared" si="80"/>
        <v>184</v>
      </c>
      <c r="K301" s="7">
        <f t="shared" si="81"/>
        <v>1.0638586956521738</v>
      </c>
      <c r="L301" s="7">
        <f t="shared" si="82"/>
        <v>79.751358695652172</v>
      </c>
      <c r="M301" s="4">
        <f t="shared" si="83"/>
        <v>5.2373936281133604</v>
      </c>
      <c r="N301" s="8">
        <f t="shared" si="84"/>
        <v>3.9362811336030035E-2</v>
      </c>
      <c r="O301" s="4">
        <f t="shared" si="85"/>
        <v>12.325372367364819</v>
      </c>
      <c r="P301">
        <f t="shared" si="86"/>
        <v>36</v>
      </c>
      <c r="Q301" s="4">
        <f t="shared" si="87"/>
        <v>17.695890410958903</v>
      </c>
      <c r="R301">
        <f t="shared" si="88"/>
        <v>1</v>
      </c>
      <c r="S301" s="7">
        <f>SUM(CashFlows!BN301:DU301)</f>
        <v>80.031625545440534</v>
      </c>
      <c r="T301" s="7">
        <f t="shared" si="89"/>
        <v>78.967766849788362</v>
      </c>
      <c r="U301" s="7">
        <f t="shared" si="90"/>
        <v>0.28026684978836158</v>
      </c>
      <c r="V301" s="4">
        <f t="shared" si="91"/>
        <v>5.2089451904766753</v>
      </c>
      <c r="W301" s="8">
        <f t="shared" si="92"/>
        <v>-2.8448437636685142</v>
      </c>
      <c r="X301" s="9">
        <f t="shared" si="93"/>
        <v>2.8512388013534256E-4</v>
      </c>
      <c r="Y301" s="10">
        <f t="shared" si="94"/>
        <v>8.1295627023433192E-8</v>
      </c>
    </row>
    <row r="302" spans="1:25" x14ac:dyDescent="0.2">
      <c r="A302" s="3">
        <f>Data!A301</f>
        <v>52732</v>
      </c>
      <c r="B302" s="4">
        <f>Data!B301</f>
        <v>4.625</v>
      </c>
      <c r="C302" s="4">
        <f>Data!C301</f>
        <v>93.06</v>
      </c>
      <c r="D302" s="4">
        <f>Data!D301</f>
        <v>93.08</v>
      </c>
      <c r="E302" s="4">
        <f>Data!F301</f>
        <v>5.2130000000000001</v>
      </c>
      <c r="F302" s="7">
        <f t="shared" si="76"/>
        <v>93.25</v>
      </c>
      <c r="G302" s="3">
        <f t="shared" si="77"/>
        <v>46157</v>
      </c>
      <c r="H302" s="3">
        <f t="shared" si="78"/>
        <v>46341</v>
      </c>
      <c r="I302">
        <f t="shared" si="79"/>
        <v>116</v>
      </c>
      <c r="J302">
        <f t="shared" si="80"/>
        <v>184</v>
      </c>
      <c r="K302" s="7">
        <f t="shared" si="81"/>
        <v>1.4578804347826086</v>
      </c>
      <c r="L302" s="7">
        <f t="shared" si="82"/>
        <v>94.707880434782609</v>
      </c>
      <c r="M302" s="4">
        <f t="shared" si="83"/>
        <v>5.2133097612848829</v>
      </c>
      <c r="N302" s="8">
        <f t="shared" si="84"/>
        <v>3.0976128488280352E-2</v>
      </c>
      <c r="O302" s="4">
        <f t="shared" si="85"/>
        <v>11.564424535356435</v>
      </c>
      <c r="P302">
        <f t="shared" si="86"/>
        <v>36</v>
      </c>
      <c r="Q302" s="4">
        <f t="shared" si="87"/>
        <v>17.695890410958903</v>
      </c>
      <c r="R302">
        <f t="shared" si="88"/>
        <v>1</v>
      </c>
      <c r="S302" s="7">
        <f>SUM(CashFlows!BN302:DU302)</f>
        <v>95.066173455487998</v>
      </c>
      <c r="T302" s="7">
        <f t="shared" si="89"/>
        <v>93.608293020705389</v>
      </c>
      <c r="U302" s="7">
        <f t="shared" si="90"/>
        <v>0.35829302070538915</v>
      </c>
      <c r="V302" s="4">
        <f t="shared" si="91"/>
        <v>5.1806779320505001</v>
      </c>
      <c r="W302" s="8">
        <f t="shared" si="92"/>
        <v>-3.2631829234382792</v>
      </c>
      <c r="X302" s="9">
        <f t="shared" si="93"/>
        <v>3.2713589887187162E-4</v>
      </c>
      <c r="Y302" s="10">
        <f t="shared" si="94"/>
        <v>1.0701789633070741E-7</v>
      </c>
    </row>
    <row r="303" spans="1:25" x14ac:dyDescent="0.2">
      <c r="A303" s="3">
        <f>Data!A302</f>
        <v>52824</v>
      </c>
      <c r="B303" s="4">
        <f>Data!B302</f>
        <v>3.125</v>
      </c>
      <c r="C303" s="4">
        <f>Data!C302</f>
        <v>75.13</v>
      </c>
      <c r="D303" s="4">
        <f>Data!D302</f>
        <v>75.150000000000006</v>
      </c>
      <c r="E303" s="4">
        <f>Data!F302</f>
        <v>5.2530000000000001</v>
      </c>
      <c r="F303" s="7">
        <f t="shared" si="76"/>
        <v>75.46875</v>
      </c>
      <c r="G303" s="3">
        <f t="shared" si="77"/>
        <v>46249</v>
      </c>
      <c r="H303" s="3">
        <f t="shared" si="78"/>
        <v>46433</v>
      </c>
      <c r="I303">
        <f t="shared" si="79"/>
        <v>24</v>
      </c>
      <c r="J303">
        <f t="shared" si="80"/>
        <v>184</v>
      </c>
      <c r="K303" s="7">
        <f t="shared" si="81"/>
        <v>0.20380434782608695</v>
      </c>
      <c r="L303" s="7">
        <f t="shared" si="82"/>
        <v>75.672554347826093</v>
      </c>
      <c r="M303" s="4">
        <f t="shared" si="83"/>
        <v>5.2533056881356215</v>
      </c>
      <c r="N303" s="8">
        <f t="shared" si="84"/>
        <v>3.0568813562137365E-2</v>
      </c>
      <c r="O303" s="4">
        <f t="shared" si="85"/>
        <v>12.751970854886906</v>
      </c>
      <c r="P303">
        <f t="shared" si="86"/>
        <v>36</v>
      </c>
      <c r="Q303" s="4">
        <f t="shared" si="87"/>
        <v>17.947945205479453</v>
      </c>
      <c r="R303">
        <f t="shared" si="88"/>
        <v>1</v>
      </c>
      <c r="S303" s="7">
        <f>SUM(CashFlows!BN303:DU303)</f>
        <v>75.957806352034851</v>
      </c>
      <c r="T303" s="7">
        <f t="shared" si="89"/>
        <v>75.754002004208758</v>
      </c>
      <c r="U303" s="7">
        <f t="shared" si="90"/>
        <v>0.28525200420875763</v>
      </c>
      <c r="V303" s="4">
        <f t="shared" si="91"/>
        <v>5.2238150891313451</v>
      </c>
      <c r="W303" s="8">
        <f t="shared" si="92"/>
        <v>-2.9490599004276419</v>
      </c>
      <c r="X303" s="9">
        <f t="shared" si="93"/>
        <v>2.9560583275125185E-4</v>
      </c>
      <c r="Y303" s="10">
        <f t="shared" si="94"/>
        <v>8.7382808356561087E-8</v>
      </c>
    </row>
    <row r="304" spans="1:25" x14ac:dyDescent="0.2">
      <c r="A304" s="3">
        <f>Data!A303</f>
        <v>52824</v>
      </c>
      <c r="B304" s="4">
        <f>Data!B303</f>
        <v>4.125</v>
      </c>
      <c r="C304" s="4">
        <f>Data!C303</f>
        <v>87.05</v>
      </c>
      <c r="D304" s="4">
        <f>Data!D303</f>
        <v>87.07</v>
      </c>
      <c r="E304" s="4">
        <f>Data!F303</f>
        <v>5.2320000000000002</v>
      </c>
      <c r="F304" s="7">
        <f t="shared" si="76"/>
        <v>87.21875</v>
      </c>
      <c r="G304" s="3">
        <f t="shared" si="77"/>
        <v>46249</v>
      </c>
      <c r="H304" s="3">
        <f t="shared" si="78"/>
        <v>46433</v>
      </c>
      <c r="I304">
        <f t="shared" si="79"/>
        <v>24</v>
      </c>
      <c r="J304">
        <f t="shared" si="80"/>
        <v>184</v>
      </c>
      <c r="K304" s="7">
        <f t="shared" si="81"/>
        <v>0.26902173913043476</v>
      </c>
      <c r="L304" s="7">
        <f t="shared" si="82"/>
        <v>87.487771739130437</v>
      </c>
      <c r="M304" s="4">
        <f t="shared" si="83"/>
        <v>5.2319175359608838</v>
      </c>
      <c r="N304" s="8">
        <f t="shared" si="84"/>
        <v>-8.2464039116381116E-3</v>
      </c>
      <c r="O304" s="4">
        <f t="shared" si="85"/>
        <v>12.077796849781022</v>
      </c>
      <c r="P304">
        <f t="shared" si="86"/>
        <v>36</v>
      </c>
      <c r="Q304" s="4">
        <f t="shared" si="87"/>
        <v>17.947945205479453</v>
      </c>
      <c r="R304">
        <f t="shared" si="88"/>
        <v>1</v>
      </c>
      <c r="S304" s="7">
        <f>SUM(CashFlows!BN304:DU304)</f>
        <v>87.83123763567059</v>
      </c>
      <c r="T304" s="7">
        <f t="shared" si="89"/>
        <v>87.562215896540152</v>
      </c>
      <c r="U304" s="7">
        <f t="shared" si="90"/>
        <v>0.34346589654015247</v>
      </c>
      <c r="V304" s="4">
        <f t="shared" si="91"/>
        <v>5.1994951959508704</v>
      </c>
      <c r="W304" s="8">
        <f t="shared" si="92"/>
        <v>-3.2422340010013428</v>
      </c>
      <c r="X304" s="9">
        <f t="shared" si="93"/>
        <v>3.2504878394534704E-4</v>
      </c>
      <c r="Y304" s="10">
        <f t="shared" si="94"/>
        <v>1.056567119443489E-7</v>
      </c>
    </row>
    <row r="305" spans="1:25" x14ac:dyDescent="0.2">
      <c r="A305" s="3">
        <f>Data!A304</f>
        <v>52916</v>
      </c>
      <c r="B305" s="4">
        <f>Data!B304</f>
        <v>3</v>
      </c>
      <c r="C305" s="4">
        <f>Data!C304</f>
        <v>73.212000000000003</v>
      </c>
      <c r="D305" s="4">
        <f>Data!D304</f>
        <v>73.231999999999999</v>
      </c>
      <c r="E305" s="4">
        <f>Data!F304</f>
        <v>5.2619999999999996</v>
      </c>
      <c r="F305" s="7">
        <f t="shared" si="76"/>
        <v>73.7265625</v>
      </c>
      <c r="G305" s="3">
        <f t="shared" si="77"/>
        <v>46157</v>
      </c>
      <c r="H305" s="3">
        <f t="shared" si="78"/>
        <v>46341</v>
      </c>
      <c r="I305">
        <f t="shared" si="79"/>
        <v>116</v>
      </c>
      <c r="J305">
        <f t="shared" si="80"/>
        <v>184</v>
      </c>
      <c r="K305" s="7">
        <f t="shared" si="81"/>
        <v>0.94565217391304346</v>
      </c>
      <c r="L305" s="7">
        <f t="shared" si="82"/>
        <v>74.672214673913047</v>
      </c>
      <c r="M305" s="4">
        <f t="shared" si="83"/>
        <v>5.2617850235687991</v>
      </c>
      <c r="N305" s="8">
        <f t="shared" si="84"/>
        <v>-2.1497643120049759E-2</v>
      </c>
      <c r="O305" s="4">
        <f t="shared" si="85"/>
        <v>12.835536001499827</v>
      </c>
      <c r="P305">
        <f t="shared" si="86"/>
        <v>37</v>
      </c>
      <c r="Q305" s="4">
        <f t="shared" si="87"/>
        <v>18.2</v>
      </c>
      <c r="R305">
        <f t="shared" si="88"/>
        <v>1</v>
      </c>
      <c r="S305" s="7">
        <f>SUM(CashFlows!BN305:DU305)</f>
        <v>74.935125750056272</v>
      </c>
      <c r="T305" s="7">
        <f t="shared" si="89"/>
        <v>73.989473576143226</v>
      </c>
      <c r="U305" s="7">
        <f t="shared" si="90"/>
        <v>0.26291107614322584</v>
      </c>
      <c r="V305" s="4">
        <f t="shared" si="91"/>
        <v>5.2344155645474046</v>
      </c>
      <c r="W305" s="8">
        <f t="shared" si="92"/>
        <v>-2.7369459021394427</v>
      </c>
      <c r="X305" s="9">
        <f t="shared" si="93"/>
        <v>2.7430633751300549E-4</v>
      </c>
      <c r="Y305" s="10">
        <f t="shared" si="94"/>
        <v>7.5243966799798874E-8</v>
      </c>
    </row>
    <row r="306" spans="1:25" x14ac:dyDescent="0.2">
      <c r="A306" s="3">
        <f>Data!A305</f>
        <v>52916</v>
      </c>
      <c r="B306" s="4">
        <f>Data!B305</f>
        <v>4.625</v>
      </c>
      <c r="C306" s="4">
        <f>Data!C305</f>
        <v>92.29</v>
      </c>
      <c r="D306" s="4">
        <f>Data!D305</f>
        <v>92.31</v>
      </c>
      <c r="E306" s="4">
        <f>Data!F305</f>
        <v>5.2279999999999998</v>
      </c>
      <c r="F306" s="7">
        <f t="shared" si="76"/>
        <v>92.96875</v>
      </c>
      <c r="G306" s="3">
        <f t="shared" si="77"/>
        <v>46157</v>
      </c>
      <c r="H306" s="3">
        <f t="shared" si="78"/>
        <v>46341</v>
      </c>
      <c r="I306">
        <f t="shared" si="79"/>
        <v>116</v>
      </c>
      <c r="J306">
        <f t="shared" si="80"/>
        <v>184</v>
      </c>
      <c r="K306" s="7">
        <f t="shared" si="81"/>
        <v>1.4578804347826086</v>
      </c>
      <c r="L306" s="7">
        <f t="shared" si="82"/>
        <v>94.426630434782609</v>
      </c>
      <c r="M306" s="4">
        <f t="shared" si="83"/>
        <v>5.2282328086553314</v>
      </c>
      <c r="N306" s="8">
        <f t="shared" si="84"/>
        <v>2.3280865533159556E-2</v>
      </c>
      <c r="O306" s="4">
        <f t="shared" si="85"/>
        <v>11.757373155447274</v>
      </c>
      <c r="P306">
        <f t="shared" si="86"/>
        <v>37</v>
      </c>
      <c r="Q306" s="4">
        <f t="shared" si="87"/>
        <v>18.2</v>
      </c>
      <c r="R306">
        <f t="shared" si="88"/>
        <v>1</v>
      </c>
      <c r="S306" s="7">
        <f>SUM(CashFlows!BN306:DU306)</f>
        <v>94.791047109446311</v>
      </c>
      <c r="T306" s="7">
        <f t="shared" si="89"/>
        <v>93.333166674663701</v>
      </c>
      <c r="U306" s="7">
        <f t="shared" si="90"/>
        <v>0.3644166746637012</v>
      </c>
      <c r="V306" s="4">
        <f t="shared" si="91"/>
        <v>5.1954928242764664</v>
      </c>
      <c r="W306" s="8">
        <f t="shared" si="92"/>
        <v>-3.2739984378864939</v>
      </c>
      <c r="X306" s="9">
        <f t="shared" si="93"/>
        <v>3.2824146809028155E-4</v>
      </c>
      <c r="Y306" s="10">
        <f t="shared" si="94"/>
        <v>1.0774246137406332E-7</v>
      </c>
    </row>
    <row r="307" spans="1:25" x14ac:dyDescent="0.2">
      <c r="A307" s="3">
        <f>Data!A306</f>
        <v>53008</v>
      </c>
      <c r="B307" s="4">
        <f>Data!B306</f>
        <v>2.5</v>
      </c>
      <c r="C307" s="4">
        <f>Data!C306</f>
        <v>67.134</v>
      </c>
      <c r="D307" s="4">
        <f>Data!D306</f>
        <v>67.153999999999996</v>
      </c>
      <c r="E307" s="4">
        <f>Data!F306</f>
        <v>5.2809999999999997</v>
      </c>
      <c r="F307" s="7">
        <f t="shared" si="76"/>
        <v>67.484375</v>
      </c>
      <c r="G307" s="3">
        <f t="shared" si="77"/>
        <v>46249</v>
      </c>
      <c r="H307" s="3">
        <f t="shared" si="78"/>
        <v>46433</v>
      </c>
      <c r="I307">
        <f t="shared" si="79"/>
        <v>24</v>
      </c>
      <c r="J307">
        <f t="shared" si="80"/>
        <v>184</v>
      </c>
      <c r="K307" s="7">
        <f t="shared" si="81"/>
        <v>0.16304347826086957</v>
      </c>
      <c r="L307" s="7">
        <f t="shared" si="82"/>
        <v>67.647418478260875</v>
      </c>
      <c r="M307" s="4">
        <f t="shared" si="83"/>
        <v>5.2808136721977572</v>
      </c>
      <c r="N307" s="8">
        <f t="shared" si="84"/>
        <v>-1.863278022424808E-2</v>
      </c>
      <c r="O307" s="4">
        <f t="shared" si="85"/>
        <v>13.531513648194327</v>
      </c>
      <c r="P307">
        <f t="shared" si="86"/>
        <v>37</v>
      </c>
      <c r="Q307" s="4">
        <f t="shared" si="87"/>
        <v>18.452054794520549</v>
      </c>
      <c r="R307">
        <f t="shared" si="88"/>
        <v>1</v>
      </c>
      <c r="S307" s="7">
        <f>SUM(CashFlows!BN307:DU307)</f>
        <v>67.867378718353393</v>
      </c>
      <c r="T307" s="7">
        <f t="shared" si="89"/>
        <v>67.704335240092519</v>
      </c>
      <c r="U307" s="7">
        <f t="shared" si="90"/>
        <v>0.21996024009251869</v>
      </c>
      <c r="V307" s="4">
        <f t="shared" si="91"/>
        <v>5.2568322624772748</v>
      </c>
      <c r="W307" s="8">
        <f t="shared" si="92"/>
        <v>-2.3981409720482461</v>
      </c>
      <c r="X307" s="9">
        <f t="shared" si="93"/>
        <v>2.4029601972266556E-4</v>
      </c>
      <c r="Y307" s="10">
        <f t="shared" si="94"/>
        <v>5.774217709455568E-8</v>
      </c>
    </row>
    <row r="308" spans="1:25" x14ac:dyDescent="0.2">
      <c r="A308" s="3">
        <f>Data!A307</f>
        <v>53008</v>
      </c>
      <c r="B308" s="4">
        <f>Data!B307</f>
        <v>4.75</v>
      </c>
      <c r="C308" s="4">
        <f>Data!C307</f>
        <v>94.085999999999999</v>
      </c>
      <c r="D308" s="4">
        <f>Data!D307</f>
        <v>94.105999999999995</v>
      </c>
      <c r="E308" s="4">
        <f>Data!F307</f>
        <v>5.2320000000000002</v>
      </c>
      <c r="F308" s="7">
        <f t="shared" si="76"/>
        <v>94.3359375</v>
      </c>
      <c r="G308" s="3">
        <f t="shared" si="77"/>
        <v>46249</v>
      </c>
      <c r="H308" s="3">
        <f t="shared" si="78"/>
        <v>46433</v>
      </c>
      <c r="I308">
        <f t="shared" si="79"/>
        <v>24</v>
      </c>
      <c r="J308">
        <f t="shared" si="80"/>
        <v>184</v>
      </c>
      <c r="K308" s="7">
        <f t="shared" si="81"/>
        <v>0.30978260869565216</v>
      </c>
      <c r="L308" s="7">
        <f t="shared" si="82"/>
        <v>94.645720108695656</v>
      </c>
      <c r="M308" s="4">
        <f t="shared" si="83"/>
        <v>5.2323029369753868</v>
      </c>
      <c r="N308" s="8">
        <f t="shared" si="84"/>
        <v>3.0293697538663622E-2</v>
      </c>
      <c r="O308" s="4">
        <f t="shared" si="85"/>
        <v>11.933384164272587</v>
      </c>
      <c r="P308">
        <f t="shared" si="86"/>
        <v>37</v>
      </c>
      <c r="Q308" s="4">
        <f t="shared" si="87"/>
        <v>18.452054794520549</v>
      </c>
      <c r="R308">
        <f t="shared" si="88"/>
        <v>1</v>
      </c>
      <c r="S308" s="7">
        <f>SUM(CashFlows!BN308:DU308)</f>
        <v>95.006863556636773</v>
      </c>
      <c r="T308" s="7">
        <f t="shared" si="89"/>
        <v>94.697080947941117</v>
      </c>
      <c r="U308" s="7">
        <f t="shared" si="90"/>
        <v>0.3611434479411173</v>
      </c>
      <c r="V308" s="4">
        <f t="shared" si="91"/>
        <v>5.2004081311945365</v>
      </c>
      <c r="W308" s="8">
        <f t="shared" si="92"/>
        <v>-3.1894805780850355</v>
      </c>
      <c r="X308" s="9">
        <f t="shared" si="93"/>
        <v>3.1975337587058996E-4</v>
      </c>
      <c r="Y308" s="10">
        <f t="shared" si="94"/>
        <v>1.0224222138063878E-7</v>
      </c>
    </row>
    <row r="309" spans="1:25" x14ac:dyDescent="0.2">
      <c r="A309" s="3">
        <f>Data!A308</f>
        <v>53097</v>
      </c>
      <c r="B309" s="4">
        <f>Data!B308</f>
        <v>3</v>
      </c>
      <c r="C309" s="4">
        <f>Data!C308</f>
        <v>73.040000000000006</v>
      </c>
      <c r="D309" s="4">
        <f>Data!D308</f>
        <v>73.06</v>
      </c>
      <c r="E309" s="4">
        <f>Data!F308</f>
        <v>5.2729999999999997</v>
      </c>
      <c r="F309" s="7">
        <f t="shared" si="76"/>
        <v>73.1875</v>
      </c>
      <c r="G309" s="3">
        <f t="shared" si="77"/>
        <v>46157</v>
      </c>
      <c r="H309" s="3">
        <f t="shared" si="78"/>
        <v>46341</v>
      </c>
      <c r="I309">
        <f t="shared" si="79"/>
        <v>116</v>
      </c>
      <c r="J309">
        <f t="shared" si="80"/>
        <v>184</v>
      </c>
      <c r="K309" s="7">
        <f t="shared" si="81"/>
        <v>0.94565217391304346</v>
      </c>
      <c r="L309" s="7">
        <f t="shared" si="82"/>
        <v>74.133152173913047</v>
      </c>
      <c r="M309" s="4">
        <f t="shared" si="83"/>
        <v>5.2731974685717642</v>
      </c>
      <c r="N309" s="8">
        <f t="shared" si="84"/>
        <v>1.9746857176450305E-2</v>
      </c>
      <c r="O309" s="4">
        <f t="shared" si="85"/>
        <v>13.054326588529898</v>
      </c>
      <c r="P309">
        <f t="shared" si="86"/>
        <v>38</v>
      </c>
      <c r="Q309" s="4">
        <f t="shared" si="87"/>
        <v>18.695890410958903</v>
      </c>
      <c r="R309">
        <f t="shared" si="88"/>
        <v>1</v>
      </c>
      <c r="S309" s="7">
        <f>SUM(CashFlows!BN309:DU309)</f>
        <v>74.389006215867255</v>
      </c>
      <c r="T309" s="7">
        <f t="shared" si="89"/>
        <v>73.443354041954208</v>
      </c>
      <c r="U309" s="7">
        <f t="shared" si="90"/>
        <v>0.25585404195420836</v>
      </c>
      <c r="V309" s="4">
        <f t="shared" si="91"/>
        <v>5.2468177882773954</v>
      </c>
      <c r="W309" s="8">
        <f t="shared" si="92"/>
        <v>-2.6379680294368768</v>
      </c>
      <c r="X309" s="9">
        <f t="shared" si="93"/>
        <v>2.6437801766419607E-4</v>
      </c>
      <c r="Y309" s="10">
        <f t="shared" si="94"/>
        <v>6.989573622404997E-8</v>
      </c>
    </row>
    <row r="310" spans="1:25" x14ac:dyDescent="0.2">
      <c r="A310" s="3">
        <f>Data!A309</f>
        <v>53097</v>
      </c>
      <c r="B310" s="4">
        <f>Data!B309</f>
        <v>5</v>
      </c>
      <c r="C310" s="4">
        <f>Data!C309</f>
        <v>97.055999999999997</v>
      </c>
      <c r="D310" s="4">
        <f>Data!D309</f>
        <v>97.075999999999993</v>
      </c>
      <c r="E310" s="4">
        <f>Data!F309</f>
        <v>5.2320000000000002</v>
      </c>
      <c r="F310" s="7">
        <f t="shared" si="76"/>
        <v>97.2421875</v>
      </c>
      <c r="G310" s="3">
        <f t="shared" si="77"/>
        <v>46157</v>
      </c>
      <c r="H310" s="3">
        <f t="shared" si="78"/>
        <v>46341</v>
      </c>
      <c r="I310">
        <f t="shared" si="79"/>
        <v>116</v>
      </c>
      <c r="J310">
        <f t="shared" si="80"/>
        <v>184</v>
      </c>
      <c r="K310" s="7">
        <f t="shared" si="81"/>
        <v>1.576086956521739</v>
      </c>
      <c r="L310" s="7">
        <f t="shared" si="82"/>
        <v>98.818274456521735</v>
      </c>
      <c r="M310" s="4">
        <f t="shared" si="83"/>
        <v>5.2324626972572261</v>
      </c>
      <c r="N310" s="8">
        <f t="shared" si="84"/>
        <v>4.6269725722591915E-2</v>
      </c>
      <c r="O310" s="4">
        <f t="shared" si="85"/>
        <v>11.753936193828768</v>
      </c>
      <c r="P310">
        <f t="shared" si="86"/>
        <v>38</v>
      </c>
      <c r="Q310" s="4">
        <f t="shared" si="87"/>
        <v>18.695890410958903</v>
      </c>
      <c r="R310">
        <f t="shared" si="88"/>
        <v>1</v>
      </c>
      <c r="S310" s="7">
        <f>SUM(CashFlows!BN310:DU310)</f>
        <v>99.198806333965251</v>
      </c>
      <c r="T310" s="7">
        <f t="shared" si="89"/>
        <v>97.622719377443516</v>
      </c>
      <c r="U310" s="7">
        <f t="shared" si="90"/>
        <v>0.38053187744351646</v>
      </c>
      <c r="V310" s="4">
        <f t="shared" si="91"/>
        <v>5.1997856822695319</v>
      </c>
      <c r="W310" s="8">
        <f t="shared" si="92"/>
        <v>-3.2677014987694264</v>
      </c>
      <c r="X310" s="9">
        <f t="shared" si="93"/>
        <v>3.2762003239421582E-4</v>
      </c>
      <c r="Y310" s="10">
        <f t="shared" si="94"/>
        <v>1.0733488562598703E-7</v>
      </c>
    </row>
    <row r="311" spans="1:25" x14ac:dyDescent="0.2">
      <c r="A311" s="3">
        <f>Data!A310</f>
        <v>53189</v>
      </c>
      <c r="B311" s="4">
        <f>Data!B310</f>
        <v>2.875</v>
      </c>
      <c r="C311" s="4">
        <f>Data!C310</f>
        <v>71.103999999999999</v>
      </c>
      <c r="D311" s="4">
        <f>Data!D310</f>
        <v>71.123999999999995</v>
      </c>
      <c r="E311" s="4">
        <f>Data!F310</f>
        <v>5.2839999999999998</v>
      </c>
      <c r="F311" s="7">
        <f t="shared" si="76"/>
        <v>71.390625</v>
      </c>
      <c r="G311" s="3">
        <f t="shared" si="77"/>
        <v>46249</v>
      </c>
      <c r="H311" s="3">
        <f t="shared" si="78"/>
        <v>46433</v>
      </c>
      <c r="I311">
        <f t="shared" si="79"/>
        <v>24</v>
      </c>
      <c r="J311">
        <f t="shared" si="80"/>
        <v>184</v>
      </c>
      <c r="K311" s="7">
        <f t="shared" si="81"/>
        <v>0.1875</v>
      </c>
      <c r="L311" s="7">
        <f t="shared" si="82"/>
        <v>71.578125</v>
      </c>
      <c r="M311" s="4">
        <f t="shared" si="83"/>
        <v>5.2839082499160615</v>
      </c>
      <c r="N311" s="8">
        <f t="shared" si="84"/>
        <v>-9.1750083938357818E-3</v>
      </c>
      <c r="O311" s="4">
        <f t="shared" si="85"/>
        <v>13.404596675908646</v>
      </c>
      <c r="P311">
        <f t="shared" si="86"/>
        <v>38</v>
      </c>
      <c r="Q311" s="4">
        <f t="shared" si="87"/>
        <v>18.947945205479453</v>
      </c>
      <c r="R311">
        <f t="shared" si="88"/>
        <v>1</v>
      </c>
      <c r="S311" s="7">
        <f>SUM(CashFlows!BN311:DU311)</f>
        <v>71.832165948013696</v>
      </c>
      <c r="T311" s="7">
        <f t="shared" si="89"/>
        <v>71.644665948013696</v>
      </c>
      <c r="U311" s="7">
        <f t="shared" si="90"/>
        <v>0.25404094801369581</v>
      </c>
      <c r="V311" s="4">
        <f t="shared" si="91"/>
        <v>5.2574903451896926</v>
      </c>
      <c r="W311" s="8">
        <f t="shared" si="92"/>
        <v>-2.6417904726368846</v>
      </c>
      <c r="X311" s="9">
        <f t="shared" si="93"/>
        <v>2.6477053666021686E-4</v>
      </c>
      <c r="Y311" s="10">
        <f t="shared" si="94"/>
        <v>7.010343708333924E-8</v>
      </c>
    </row>
    <row r="312" spans="1:25" x14ac:dyDescent="0.2">
      <c r="A312" s="3">
        <f>Data!A311</f>
        <v>53189</v>
      </c>
      <c r="B312" s="4">
        <f>Data!B311</f>
        <v>4.875</v>
      </c>
      <c r="C312" s="4">
        <f>Data!C311</f>
        <v>95.182000000000002</v>
      </c>
      <c r="D312" s="4">
        <f>Data!D311</f>
        <v>95.201999999999998</v>
      </c>
      <c r="E312" s="4">
        <f>Data!F311</f>
        <v>5.2409999999999997</v>
      </c>
      <c r="F312" s="7">
        <f t="shared" si="76"/>
        <v>95.6328125</v>
      </c>
      <c r="G312" s="3">
        <f t="shared" si="77"/>
        <v>46249</v>
      </c>
      <c r="H312" s="3">
        <f t="shared" si="78"/>
        <v>46433</v>
      </c>
      <c r="I312">
        <f t="shared" si="79"/>
        <v>24</v>
      </c>
      <c r="J312">
        <f t="shared" si="80"/>
        <v>184</v>
      </c>
      <c r="K312" s="7">
        <f t="shared" si="81"/>
        <v>0.31793478260869568</v>
      </c>
      <c r="L312" s="7">
        <f t="shared" si="82"/>
        <v>95.950747282608702</v>
      </c>
      <c r="M312" s="4">
        <f t="shared" si="83"/>
        <v>5.2411936055075836</v>
      </c>
      <c r="N312" s="8">
        <f t="shared" si="84"/>
        <v>1.9360550758396045E-2</v>
      </c>
      <c r="O312" s="4">
        <f t="shared" si="85"/>
        <v>12.056483414204292</v>
      </c>
      <c r="P312">
        <f t="shared" si="86"/>
        <v>38</v>
      </c>
      <c r="Q312" s="4">
        <f t="shared" si="87"/>
        <v>18.947945205479453</v>
      </c>
      <c r="R312">
        <f t="shared" si="88"/>
        <v>1</v>
      </c>
      <c r="S312" s="7">
        <f>SUM(CashFlows!BN312:DU312)</f>
        <v>96.322426633064751</v>
      </c>
      <c r="T312" s="7">
        <f t="shared" si="89"/>
        <v>96.004491850456048</v>
      </c>
      <c r="U312" s="7">
        <f t="shared" si="90"/>
        <v>0.3716793504560485</v>
      </c>
      <c r="V312" s="4">
        <f t="shared" si="91"/>
        <v>5.2091472618760433</v>
      </c>
      <c r="W312" s="8">
        <f t="shared" si="92"/>
        <v>-3.2046343631540353</v>
      </c>
      <c r="X312" s="9">
        <f t="shared" si="93"/>
        <v>3.212916352889191E-4</v>
      </c>
      <c r="Y312" s="10">
        <f t="shared" si="94"/>
        <v>1.0322831490662781E-7</v>
      </c>
    </row>
    <row r="313" spans="1:25" x14ac:dyDescent="0.2">
      <c r="A313" s="3">
        <f>Data!A312</f>
        <v>53281</v>
      </c>
      <c r="B313" s="4">
        <f>Data!B312</f>
        <v>3</v>
      </c>
      <c r="C313" s="4">
        <f>Data!C312</f>
        <v>72.2</v>
      </c>
      <c r="D313" s="4">
        <f>Data!D312</f>
        <v>72.22</v>
      </c>
      <c r="E313" s="4">
        <f>Data!F312</f>
        <v>5.282</v>
      </c>
      <c r="F313" s="7">
        <f t="shared" si="76"/>
        <v>72.6875</v>
      </c>
      <c r="G313" s="3">
        <f t="shared" si="77"/>
        <v>46157</v>
      </c>
      <c r="H313" s="3">
        <f t="shared" si="78"/>
        <v>46341</v>
      </c>
      <c r="I313">
        <f t="shared" si="79"/>
        <v>116</v>
      </c>
      <c r="J313">
        <f t="shared" si="80"/>
        <v>184</v>
      </c>
      <c r="K313" s="7">
        <f t="shared" si="81"/>
        <v>0.94565217391304346</v>
      </c>
      <c r="L313" s="7">
        <f t="shared" si="82"/>
        <v>73.633152173913047</v>
      </c>
      <c r="M313" s="4">
        <f t="shared" si="83"/>
        <v>5.281509133787698</v>
      </c>
      <c r="N313" s="8">
        <f t="shared" si="84"/>
        <v>-4.9086621230198801E-2</v>
      </c>
      <c r="O313" s="4">
        <f t="shared" si="85"/>
        <v>13.268030069457136</v>
      </c>
      <c r="P313">
        <f t="shared" si="86"/>
        <v>39</v>
      </c>
      <c r="Q313" s="4">
        <f t="shared" si="87"/>
        <v>19.2</v>
      </c>
      <c r="R313">
        <f t="shared" si="88"/>
        <v>1</v>
      </c>
      <c r="S313" s="7">
        <f>SUM(CashFlows!BN313:DU313)</f>
        <v>73.845981846042719</v>
      </c>
      <c r="T313" s="7">
        <f t="shared" si="89"/>
        <v>72.900329672129672</v>
      </c>
      <c r="U313" s="7">
        <f t="shared" si="90"/>
        <v>0.21282967212967208</v>
      </c>
      <c r="V313" s="4">
        <f t="shared" si="91"/>
        <v>5.25976474710159</v>
      </c>
      <c r="W313" s="8">
        <f t="shared" si="92"/>
        <v>-2.1744386686108008</v>
      </c>
      <c r="X313" s="9">
        <f t="shared" si="93"/>
        <v>2.1784737753854677E-4</v>
      </c>
      <c r="Y313" s="10">
        <f t="shared" si="94"/>
        <v>4.7457479900422132E-8</v>
      </c>
    </row>
    <row r="314" spans="1:25" x14ac:dyDescent="0.2">
      <c r="A314" s="3">
        <f>Data!A313</f>
        <v>53281</v>
      </c>
      <c r="B314" s="4">
        <f>Data!B313</f>
        <v>4.625</v>
      </c>
      <c r="C314" s="4">
        <f>Data!C313</f>
        <v>92.144000000000005</v>
      </c>
      <c r="D314" s="4">
        <f>Data!D313</f>
        <v>92.164000000000001</v>
      </c>
      <c r="E314" s="4">
        <f>Data!F313</f>
        <v>5.2480000000000002</v>
      </c>
      <c r="F314" s="7">
        <f t="shared" si="76"/>
        <v>92.515625</v>
      </c>
      <c r="G314" s="3">
        <f t="shared" si="77"/>
        <v>46157</v>
      </c>
      <c r="H314" s="3">
        <f t="shared" si="78"/>
        <v>46341</v>
      </c>
      <c r="I314">
        <f t="shared" si="79"/>
        <v>116</v>
      </c>
      <c r="J314">
        <f t="shared" si="80"/>
        <v>184</v>
      </c>
      <c r="K314" s="7">
        <f t="shared" si="81"/>
        <v>1.4578804347826086</v>
      </c>
      <c r="L314" s="7">
        <f t="shared" si="82"/>
        <v>93.973505434782609</v>
      </c>
      <c r="M314" s="4">
        <f t="shared" si="83"/>
        <v>5.2480329441689841</v>
      </c>
      <c r="N314" s="8">
        <f t="shared" si="84"/>
        <v>3.2944168983917166E-3</v>
      </c>
      <c r="O314" s="4">
        <f t="shared" si="85"/>
        <v>12.130656971898707</v>
      </c>
      <c r="P314">
        <f t="shared" si="86"/>
        <v>39</v>
      </c>
      <c r="Q314" s="4">
        <f t="shared" si="87"/>
        <v>19.2</v>
      </c>
      <c r="R314">
        <f t="shared" si="88"/>
        <v>1</v>
      </c>
      <c r="S314" s="7">
        <f>SUM(CashFlows!BN314:DU314)</f>
        <v>94.29717514501192</v>
      </c>
      <c r="T314" s="7">
        <f t="shared" si="89"/>
        <v>92.839294710229311</v>
      </c>
      <c r="U314" s="7">
        <f t="shared" si="90"/>
        <v>0.32366971022931068</v>
      </c>
      <c r="V314" s="4">
        <f t="shared" si="91"/>
        <v>5.2197056067544629</v>
      </c>
      <c r="W314" s="8">
        <f t="shared" si="92"/>
        <v>-2.8327337414521203</v>
      </c>
      <c r="X314" s="9">
        <f t="shared" si="93"/>
        <v>2.839306715440439E-4</v>
      </c>
      <c r="Y314" s="10">
        <f t="shared" si="94"/>
        <v>8.0616626243451741E-8</v>
      </c>
    </row>
    <row r="315" spans="1:25" x14ac:dyDescent="0.2">
      <c r="A315" s="3">
        <f>Data!A314</f>
        <v>53373</v>
      </c>
      <c r="B315" s="4">
        <f>Data!B314</f>
        <v>2.5</v>
      </c>
      <c r="C315" s="4">
        <f>Data!C314</f>
        <v>66.073999999999998</v>
      </c>
      <c r="D315" s="4">
        <f>Data!D314</f>
        <v>66.093999999999994</v>
      </c>
      <c r="E315" s="4">
        <f>Data!F314</f>
        <v>5.298</v>
      </c>
      <c r="F315" s="7">
        <f t="shared" si="76"/>
        <v>66.296875</v>
      </c>
      <c r="G315" s="3">
        <f t="shared" si="77"/>
        <v>46249</v>
      </c>
      <c r="H315" s="3">
        <f t="shared" si="78"/>
        <v>46433</v>
      </c>
      <c r="I315">
        <f t="shared" si="79"/>
        <v>24</v>
      </c>
      <c r="J315">
        <f t="shared" si="80"/>
        <v>184</v>
      </c>
      <c r="K315" s="7">
        <f t="shared" si="81"/>
        <v>0.16304347826086957</v>
      </c>
      <c r="L315" s="7">
        <f t="shared" si="82"/>
        <v>66.459918478260875</v>
      </c>
      <c r="M315" s="4">
        <f t="shared" si="83"/>
        <v>5.2984581199069725</v>
      </c>
      <c r="N315" s="8">
        <f t="shared" si="84"/>
        <v>4.5811990697242067E-2</v>
      </c>
      <c r="O315" s="4">
        <f t="shared" si="85"/>
        <v>13.995923101758617</v>
      </c>
      <c r="P315">
        <f t="shared" si="86"/>
        <v>39</v>
      </c>
      <c r="Q315" s="4">
        <f t="shared" si="87"/>
        <v>19.452054794520549</v>
      </c>
      <c r="R315">
        <f t="shared" si="88"/>
        <v>1</v>
      </c>
      <c r="S315" s="7">
        <f>SUM(CashFlows!BN315:DU315)</f>
        <v>66.61911171519381</v>
      </c>
      <c r="T315" s="7">
        <f t="shared" si="89"/>
        <v>66.456068236932936</v>
      </c>
      <c r="U315" s="7">
        <f t="shared" si="90"/>
        <v>0.15919323693293563</v>
      </c>
      <c r="V315" s="4">
        <f t="shared" si="91"/>
        <v>5.2813692299042918</v>
      </c>
      <c r="W315" s="8">
        <f t="shared" si="92"/>
        <v>-1.7088890002680657</v>
      </c>
      <c r="X315" s="9">
        <f t="shared" si="93"/>
        <v>1.7114462399777882E-4</v>
      </c>
      <c r="Y315" s="10">
        <f t="shared" si="94"/>
        <v>2.9290482323341091E-8</v>
      </c>
    </row>
    <row r="316" spans="1:25" x14ac:dyDescent="0.2">
      <c r="A316" s="3">
        <f>Data!A315</f>
        <v>53373</v>
      </c>
      <c r="B316" s="4">
        <f>Data!B315</f>
        <v>4.625</v>
      </c>
      <c r="C316" s="4">
        <f>Data!C315</f>
        <v>92.122</v>
      </c>
      <c r="D316" s="4">
        <f>Data!D315</f>
        <v>92.141999999999996</v>
      </c>
      <c r="E316" s="4">
        <f>Data!F315</f>
        <v>5.25</v>
      </c>
      <c r="F316" s="7">
        <f t="shared" si="76"/>
        <v>92.4453125</v>
      </c>
      <c r="G316" s="3">
        <f t="shared" si="77"/>
        <v>46249</v>
      </c>
      <c r="H316" s="3">
        <f t="shared" si="78"/>
        <v>46433</v>
      </c>
      <c r="I316">
        <f t="shared" si="79"/>
        <v>24</v>
      </c>
      <c r="J316">
        <f t="shared" si="80"/>
        <v>184</v>
      </c>
      <c r="K316" s="7">
        <f t="shared" si="81"/>
        <v>0.3016304347826087</v>
      </c>
      <c r="L316" s="7">
        <f t="shared" si="82"/>
        <v>92.746942934782609</v>
      </c>
      <c r="M316" s="4">
        <f t="shared" si="83"/>
        <v>5.2495461786547324</v>
      </c>
      <c r="N316" s="8">
        <f t="shared" si="84"/>
        <v>-4.538213452676132E-2</v>
      </c>
      <c r="O316" s="4">
        <f t="shared" si="85"/>
        <v>12.373487523283893</v>
      </c>
      <c r="P316">
        <f t="shared" si="86"/>
        <v>39</v>
      </c>
      <c r="Q316" s="4">
        <f t="shared" si="87"/>
        <v>19.452054794520549</v>
      </c>
      <c r="R316">
        <f t="shared" si="88"/>
        <v>1</v>
      </c>
      <c r="S316" s="7">
        <f>SUM(CashFlows!BN316:DU316)</f>
        <v>93.017857433554994</v>
      </c>
      <c r="T316" s="7">
        <f t="shared" si="89"/>
        <v>92.716226998772385</v>
      </c>
      <c r="U316" s="7">
        <f t="shared" si="90"/>
        <v>0.2709144987723846</v>
      </c>
      <c r="V316" s="4">
        <f t="shared" si="91"/>
        <v>5.2259851245042688</v>
      </c>
      <c r="W316" s="8">
        <f t="shared" si="92"/>
        <v>-2.3561054150463612</v>
      </c>
      <c r="X316" s="9">
        <f t="shared" si="93"/>
        <v>2.3606984770266709E-4</v>
      </c>
      <c r="Y316" s="10">
        <f t="shared" si="94"/>
        <v>5.5728972994360432E-8</v>
      </c>
    </row>
    <row r="317" spans="1:25" x14ac:dyDescent="0.2">
      <c r="A317" s="3">
        <f>Data!A316</f>
        <v>53462</v>
      </c>
      <c r="B317" s="4">
        <f>Data!B316</f>
        <v>2.5</v>
      </c>
      <c r="C317" s="4">
        <f>Data!C316</f>
        <v>65.304000000000002</v>
      </c>
      <c r="D317" s="4">
        <f>Data!D316</f>
        <v>66.004000000000005</v>
      </c>
      <c r="E317" s="4">
        <f>Data!F316</f>
        <v>5.3019999999999996</v>
      </c>
      <c r="F317" s="7">
        <f t="shared" si="76"/>
        <v>66.015625</v>
      </c>
      <c r="G317" s="3">
        <f t="shared" si="77"/>
        <v>46157</v>
      </c>
      <c r="H317" s="3">
        <f t="shared" si="78"/>
        <v>46341</v>
      </c>
      <c r="I317">
        <f t="shared" si="79"/>
        <v>116</v>
      </c>
      <c r="J317">
        <f t="shared" si="80"/>
        <v>184</v>
      </c>
      <c r="K317" s="7">
        <f t="shared" si="81"/>
        <v>0.78804347826086951</v>
      </c>
      <c r="L317" s="7">
        <f t="shared" si="82"/>
        <v>66.803668478260875</v>
      </c>
      <c r="M317" s="4">
        <f t="shared" si="83"/>
        <v>5.3017777445697902</v>
      </c>
      <c r="N317" s="8">
        <f t="shared" si="84"/>
        <v>-2.2225543020937266E-2</v>
      </c>
      <c r="O317" s="4">
        <f t="shared" si="85"/>
        <v>13.977328767922733</v>
      </c>
      <c r="P317">
        <f t="shared" si="86"/>
        <v>40</v>
      </c>
      <c r="Q317" s="4">
        <f t="shared" si="87"/>
        <v>19.695890410958903</v>
      </c>
      <c r="R317">
        <f t="shared" si="88"/>
        <v>1</v>
      </c>
      <c r="S317" s="7">
        <f>SUM(CashFlows!BN317:DU317)</f>
        <v>66.961210815982312</v>
      </c>
      <c r="T317" s="7">
        <f t="shared" si="89"/>
        <v>66.173167337721438</v>
      </c>
      <c r="U317" s="7">
        <f t="shared" si="90"/>
        <v>0.15754233772143778</v>
      </c>
      <c r="V317" s="4">
        <f t="shared" si="91"/>
        <v>5.2849306223870203</v>
      </c>
      <c r="W317" s="8">
        <f t="shared" si="92"/>
        <v>-1.6847122182769958</v>
      </c>
      <c r="X317" s="9">
        <f t="shared" si="93"/>
        <v>1.6872241882393382E-4</v>
      </c>
      <c r="Y317" s="10">
        <f t="shared" si="94"/>
        <v>2.8467254613798935E-8</v>
      </c>
    </row>
    <row r="318" spans="1:25" x14ac:dyDescent="0.2">
      <c r="A318" s="3">
        <f>Data!A317</f>
        <v>53462</v>
      </c>
      <c r="B318" s="4">
        <f>Data!B317</f>
        <v>5</v>
      </c>
      <c r="C318" s="4">
        <f>Data!C317</f>
        <v>96.293000000000006</v>
      </c>
      <c r="D318" s="4">
        <f>Data!D317</f>
        <v>96.313000000000002</v>
      </c>
      <c r="E318" s="4">
        <f>Data!F317</f>
        <v>5.2469999999999999</v>
      </c>
      <c r="F318" s="7">
        <f t="shared" si="76"/>
        <v>96.98046875</v>
      </c>
      <c r="G318" s="3">
        <f t="shared" si="77"/>
        <v>46157</v>
      </c>
      <c r="H318" s="3">
        <f t="shared" si="78"/>
        <v>46341</v>
      </c>
      <c r="I318">
        <f t="shared" si="79"/>
        <v>116</v>
      </c>
      <c r="J318">
        <f t="shared" si="80"/>
        <v>184</v>
      </c>
      <c r="K318" s="7">
        <f t="shared" si="81"/>
        <v>1.576086956521739</v>
      </c>
      <c r="L318" s="7">
        <f t="shared" si="82"/>
        <v>98.556555706521735</v>
      </c>
      <c r="M318" s="4">
        <f t="shared" si="83"/>
        <v>5.2472333921437357</v>
      </c>
      <c r="N318" s="8">
        <f t="shared" si="84"/>
        <v>2.3339214373585548E-2</v>
      </c>
      <c r="O318" s="4">
        <f t="shared" si="85"/>
        <v>12.110996462898282</v>
      </c>
      <c r="P318">
        <f t="shared" si="86"/>
        <v>40</v>
      </c>
      <c r="Q318" s="4">
        <f t="shared" si="87"/>
        <v>19.695890410958903</v>
      </c>
      <c r="R318">
        <f t="shared" si="88"/>
        <v>1</v>
      </c>
      <c r="S318" s="7">
        <f>SUM(CashFlows!BN318:DU318)</f>
        <v>98.862830017272401</v>
      </c>
      <c r="T318" s="7">
        <f t="shared" si="89"/>
        <v>97.286743060750666</v>
      </c>
      <c r="U318" s="7">
        <f t="shared" si="90"/>
        <v>0.30627431075066625</v>
      </c>
      <c r="V318" s="4">
        <f t="shared" si="91"/>
        <v>5.2216284143113949</v>
      </c>
      <c r="W318" s="8">
        <f t="shared" si="92"/>
        <v>-2.5604977832340836</v>
      </c>
      <c r="X318" s="9">
        <f t="shared" si="93"/>
        <v>2.5659321970527437E-4</v>
      </c>
      <c r="Y318" s="10">
        <f t="shared" si="94"/>
        <v>6.5840080398719212E-8</v>
      </c>
    </row>
    <row r="319" spans="1:25" x14ac:dyDescent="0.2">
      <c r="A319" s="3">
        <f>Data!A318</f>
        <v>53554</v>
      </c>
      <c r="B319" s="4">
        <f>Data!B318</f>
        <v>2.25</v>
      </c>
      <c r="C319" s="4">
        <f>Data!C318</f>
        <v>62.182000000000002</v>
      </c>
      <c r="D319" s="4">
        <f>Data!D318</f>
        <v>62.201999999999998</v>
      </c>
      <c r="E319" s="4">
        <f>Data!F318</f>
        <v>5.3109999999999999</v>
      </c>
      <c r="F319" s="7">
        <f t="shared" si="76"/>
        <v>62.6328125</v>
      </c>
      <c r="G319" s="3">
        <f t="shared" si="77"/>
        <v>46249</v>
      </c>
      <c r="H319" s="3">
        <f t="shared" si="78"/>
        <v>46433</v>
      </c>
      <c r="I319">
        <f t="shared" si="79"/>
        <v>24</v>
      </c>
      <c r="J319">
        <f t="shared" si="80"/>
        <v>184</v>
      </c>
      <c r="K319" s="7">
        <f t="shared" si="81"/>
        <v>0.14673913043478262</v>
      </c>
      <c r="L319" s="7">
        <f t="shared" si="82"/>
        <v>62.779551630434781</v>
      </c>
      <c r="M319" s="4">
        <f t="shared" si="83"/>
        <v>5.3111952119587409</v>
      </c>
      <c r="N319" s="8">
        <f t="shared" si="84"/>
        <v>1.9521195874094843E-2</v>
      </c>
      <c r="O319" s="4">
        <f t="shared" si="85"/>
        <v>14.50747453082951</v>
      </c>
      <c r="P319">
        <f t="shared" si="86"/>
        <v>40</v>
      </c>
      <c r="Q319" s="4">
        <f t="shared" si="87"/>
        <v>19.947945205479453</v>
      </c>
      <c r="R319">
        <f t="shared" si="88"/>
        <v>1</v>
      </c>
      <c r="S319" s="7">
        <f>SUM(CashFlows!BN319:DU319)</f>
        <v>62.889759351102029</v>
      </c>
      <c r="T319" s="7">
        <f t="shared" si="89"/>
        <v>62.743020220667248</v>
      </c>
      <c r="U319" s="7">
        <f t="shared" si="90"/>
        <v>0.1102077206672476</v>
      </c>
      <c r="V319" s="4">
        <f t="shared" si="91"/>
        <v>5.2991079233921168</v>
      </c>
      <c r="W319" s="8">
        <f t="shared" si="92"/>
        <v>-1.208728856662411</v>
      </c>
      <c r="X319" s="9">
        <f t="shared" si="93"/>
        <v>1.2100463162811763E-4</v>
      </c>
      <c r="Y319" s="10">
        <f t="shared" si="94"/>
        <v>1.4642120875456445E-8</v>
      </c>
    </row>
    <row r="320" spans="1:25" x14ac:dyDescent="0.2">
      <c r="A320" s="3">
        <f>Data!A319</f>
        <v>53554</v>
      </c>
      <c r="B320" s="4">
        <f>Data!B319</f>
        <v>5.125</v>
      </c>
      <c r="C320" s="4">
        <f>Data!C319</f>
        <v>98.152000000000001</v>
      </c>
      <c r="D320" s="4">
        <f>Data!D319</f>
        <v>98.171999999999997</v>
      </c>
      <c r="E320" s="4">
        <f>Data!F319</f>
        <v>5.2439999999999998</v>
      </c>
      <c r="F320" s="7">
        <f t="shared" si="76"/>
        <v>98.5390625</v>
      </c>
      <c r="G320" s="3">
        <f t="shared" si="77"/>
        <v>46249</v>
      </c>
      <c r="H320" s="3">
        <f t="shared" si="78"/>
        <v>46433</v>
      </c>
      <c r="I320">
        <f t="shared" si="79"/>
        <v>24</v>
      </c>
      <c r="J320">
        <f t="shared" si="80"/>
        <v>184</v>
      </c>
      <c r="K320" s="7">
        <f t="shared" si="81"/>
        <v>0.33423913043478259</v>
      </c>
      <c r="L320" s="7">
        <f t="shared" si="82"/>
        <v>98.873301630434781</v>
      </c>
      <c r="M320" s="4">
        <f t="shared" si="83"/>
        <v>5.2437139979844494</v>
      </c>
      <c r="N320" s="8">
        <f t="shared" si="84"/>
        <v>-2.8600201555040172E-2</v>
      </c>
      <c r="O320" s="4">
        <f t="shared" si="85"/>
        <v>12.292809621158643</v>
      </c>
      <c r="P320">
        <f t="shared" si="86"/>
        <v>40</v>
      </c>
      <c r="Q320" s="4">
        <f t="shared" si="87"/>
        <v>19.947945205479453</v>
      </c>
      <c r="R320">
        <f t="shared" si="88"/>
        <v>1</v>
      </c>
      <c r="S320" s="7">
        <f>SUM(CashFlows!BN320:DU320)</f>
        <v>99.102357996560187</v>
      </c>
      <c r="T320" s="7">
        <f t="shared" si="89"/>
        <v>98.768118866125405</v>
      </c>
      <c r="U320" s="7">
        <f t="shared" si="90"/>
        <v>0.22905636612540548</v>
      </c>
      <c r="V320" s="4">
        <f t="shared" si="91"/>
        <v>5.2248978524339265</v>
      </c>
      <c r="W320" s="8">
        <f t="shared" si="92"/>
        <v>-1.8816145550522911</v>
      </c>
      <c r="X320" s="9">
        <f t="shared" si="93"/>
        <v>1.8845695695239744E-4</v>
      </c>
      <c r="Y320" s="10">
        <f t="shared" si="94"/>
        <v>3.5516024623757782E-8</v>
      </c>
    </row>
    <row r="321" spans="1:25" x14ac:dyDescent="0.2">
      <c r="A321" s="3">
        <f>Data!A320</f>
        <v>53646</v>
      </c>
      <c r="B321" s="4">
        <f>Data!B320</f>
        <v>2.875</v>
      </c>
      <c r="C321" s="4">
        <f>Data!C320</f>
        <v>70.025999999999996</v>
      </c>
      <c r="D321" s="4">
        <f>Data!D320</f>
        <v>70.046000000000006</v>
      </c>
      <c r="E321" s="4">
        <f>Data!F320</f>
        <v>5.3010000000000002</v>
      </c>
      <c r="F321" s="7">
        <f t="shared" si="76"/>
        <v>70.1484375</v>
      </c>
      <c r="G321" s="3">
        <f t="shared" si="77"/>
        <v>46157</v>
      </c>
      <c r="H321" s="3">
        <f t="shared" si="78"/>
        <v>46341</v>
      </c>
      <c r="I321">
        <f t="shared" si="79"/>
        <v>116</v>
      </c>
      <c r="J321">
        <f t="shared" si="80"/>
        <v>184</v>
      </c>
      <c r="K321" s="7">
        <f t="shared" si="81"/>
        <v>0.90625</v>
      </c>
      <c r="L321" s="7">
        <f t="shared" si="82"/>
        <v>71.0546875</v>
      </c>
      <c r="M321" s="4">
        <f t="shared" si="83"/>
        <v>5.301034624341681</v>
      </c>
      <c r="N321" s="8">
        <f t="shared" si="84"/>
        <v>3.4624341680888904E-3</v>
      </c>
      <c r="O321" s="4">
        <f t="shared" si="85"/>
        <v>13.796859194496683</v>
      </c>
      <c r="P321">
        <f t="shared" si="86"/>
        <v>41</v>
      </c>
      <c r="Q321" s="4">
        <f t="shared" si="87"/>
        <v>20.2</v>
      </c>
      <c r="R321">
        <f t="shared" si="88"/>
        <v>1</v>
      </c>
      <c r="S321" s="7">
        <f>SUM(CashFlows!BN321:DU321)</f>
        <v>71.224664257181033</v>
      </c>
      <c r="T321" s="7">
        <f t="shared" si="89"/>
        <v>70.318414257181033</v>
      </c>
      <c r="U321" s="7">
        <f t="shared" si="90"/>
        <v>0.16997675718103267</v>
      </c>
      <c r="V321" s="4">
        <f t="shared" si="91"/>
        <v>5.2837226824494179</v>
      </c>
      <c r="W321" s="8">
        <f t="shared" si="92"/>
        <v>-1.731194189226315</v>
      </c>
      <c r="X321" s="9">
        <f t="shared" si="93"/>
        <v>1.7338701649933383E-4</v>
      </c>
      <c r="Y321" s="10">
        <f t="shared" si="94"/>
        <v>3.0063057490540263E-8</v>
      </c>
    </row>
    <row r="322" spans="1:25" x14ac:dyDescent="0.2">
      <c r="A322" s="3">
        <f>Data!A321</f>
        <v>53738</v>
      </c>
      <c r="B322" s="4">
        <f>Data!B321</f>
        <v>3</v>
      </c>
      <c r="C322" s="4">
        <f>Data!C321</f>
        <v>71.135999999999996</v>
      </c>
      <c r="D322" s="4">
        <f>Data!D321</f>
        <v>71.156000000000006</v>
      </c>
      <c r="E322" s="4">
        <f>Data!F321</f>
        <v>5.3010000000000002</v>
      </c>
      <c r="F322" s="7">
        <f t="shared" si="76"/>
        <v>71.4921875</v>
      </c>
      <c r="G322" s="3">
        <f t="shared" si="77"/>
        <v>46249</v>
      </c>
      <c r="H322" s="3">
        <f t="shared" si="78"/>
        <v>46433</v>
      </c>
      <c r="I322">
        <f t="shared" si="79"/>
        <v>24</v>
      </c>
      <c r="J322">
        <f t="shared" si="80"/>
        <v>184</v>
      </c>
      <c r="K322" s="7">
        <f t="shared" si="81"/>
        <v>0.19565217391304349</v>
      </c>
      <c r="L322" s="7">
        <f t="shared" si="82"/>
        <v>71.687839673913047</v>
      </c>
      <c r="M322" s="4">
        <f t="shared" si="83"/>
        <v>5.3010426761258884</v>
      </c>
      <c r="N322" s="8">
        <f t="shared" si="84"/>
        <v>4.2676125888263527E-3</v>
      </c>
      <c r="O322" s="4">
        <f t="shared" si="85"/>
        <v>13.918248259857107</v>
      </c>
      <c r="P322">
        <f t="shared" si="86"/>
        <v>41</v>
      </c>
      <c r="Q322" s="4">
        <f t="shared" si="87"/>
        <v>20.452054794520549</v>
      </c>
      <c r="R322">
        <f t="shared" si="88"/>
        <v>1</v>
      </c>
      <c r="S322" s="7">
        <f>SUM(CashFlows!BN322:DU322)</f>
        <v>71.846564048070832</v>
      </c>
      <c r="T322" s="7">
        <f t="shared" si="89"/>
        <v>71.650911874157785</v>
      </c>
      <c r="U322" s="7">
        <f t="shared" si="90"/>
        <v>0.15872437415778506</v>
      </c>
      <c r="V322" s="4">
        <f t="shared" si="91"/>
        <v>5.2851574199776827</v>
      </c>
      <c r="W322" s="8">
        <f t="shared" si="92"/>
        <v>-1.5885256148205684</v>
      </c>
      <c r="X322" s="9">
        <f t="shared" si="93"/>
        <v>1.5907925614907901E-4</v>
      </c>
      <c r="Y322" s="10">
        <f t="shared" si="94"/>
        <v>2.5306209736944292E-8</v>
      </c>
    </row>
    <row r="323" spans="1:25" x14ac:dyDescent="0.2">
      <c r="A323" s="3">
        <f>Data!A322</f>
        <v>53827</v>
      </c>
      <c r="B323" s="4">
        <f>Data!B322</f>
        <v>3</v>
      </c>
      <c r="C323" s="4">
        <f>Data!C322</f>
        <v>71.073999999999998</v>
      </c>
      <c r="D323" s="4">
        <f>Data!D322</f>
        <v>71.093999999999994</v>
      </c>
      <c r="E323" s="4">
        <f>Data!F322</f>
        <v>5.3010000000000002</v>
      </c>
      <c r="F323" s="7">
        <f t="shared" si="76"/>
        <v>71.296875</v>
      </c>
      <c r="G323" s="3">
        <f t="shared" si="77"/>
        <v>46157</v>
      </c>
      <c r="H323" s="3">
        <f t="shared" si="78"/>
        <v>46341</v>
      </c>
      <c r="I323">
        <f t="shared" si="79"/>
        <v>116</v>
      </c>
      <c r="J323">
        <f t="shared" si="80"/>
        <v>184</v>
      </c>
      <c r="K323" s="7">
        <f t="shared" si="81"/>
        <v>0.94565217391304346</v>
      </c>
      <c r="L323" s="7">
        <f t="shared" si="82"/>
        <v>72.242527173913047</v>
      </c>
      <c r="M323" s="4">
        <f t="shared" si="83"/>
        <v>5.30097365025145</v>
      </c>
      <c r="N323" s="8">
        <f t="shared" si="84"/>
        <v>-2.6349748550202889E-3</v>
      </c>
      <c r="O323" s="4">
        <f t="shared" si="85"/>
        <v>13.874314931737507</v>
      </c>
      <c r="P323">
        <f t="shared" si="86"/>
        <v>42</v>
      </c>
      <c r="Q323" s="4">
        <f t="shared" si="87"/>
        <v>20.695890410958903</v>
      </c>
      <c r="R323">
        <f t="shared" si="88"/>
        <v>1</v>
      </c>
      <c r="S323" s="7">
        <f>SUM(CashFlows!BN323:DU323)</f>
        <v>72.377390381959984</v>
      </c>
      <c r="T323" s="7">
        <f t="shared" si="89"/>
        <v>71.431738208046937</v>
      </c>
      <c r="U323" s="7">
        <f t="shared" si="90"/>
        <v>0.13486320804693719</v>
      </c>
      <c r="V323" s="4">
        <f t="shared" si="91"/>
        <v>5.2875348688261781</v>
      </c>
      <c r="W323" s="8">
        <f t="shared" si="92"/>
        <v>-1.3438781425271884</v>
      </c>
      <c r="X323" s="9">
        <f t="shared" si="93"/>
        <v>1.3455164382940435E-4</v>
      </c>
      <c r="Y323" s="10">
        <f t="shared" si="94"/>
        <v>1.8104144857194885E-8</v>
      </c>
    </row>
    <row r="324" spans="1:25" x14ac:dyDescent="0.2">
      <c r="A324" s="3">
        <f>Data!A323</f>
        <v>53919</v>
      </c>
      <c r="B324" s="4">
        <f>Data!B323</f>
        <v>2.75</v>
      </c>
      <c r="C324" s="4">
        <f>Data!C323</f>
        <v>67.254000000000005</v>
      </c>
      <c r="D324" s="4">
        <f>Data!D323</f>
        <v>67.274000000000001</v>
      </c>
      <c r="E324" s="4">
        <f>Data!F323</f>
        <v>5.3120000000000003</v>
      </c>
      <c r="F324" s="7">
        <f t="shared" si="76"/>
        <v>67.859375</v>
      </c>
      <c r="G324" s="3">
        <f t="shared" si="77"/>
        <v>46249</v>
      </c>
      <c r="H324" s="3">
        <f t="shared" si="78"/>
        <v>46433</v>
      </c>
      <c r="I324">
        <f t="shared" si="79"/>
        <v>24</v>
      </c>
      <c r="J324">
        <f t="shared" si="80"/>
        <v>184</v>
      </c>
      <c r="K324" s="7">
        <f t="shared" si="81"/>
        <v>0.17934782608695651</v>
      </c>
      <c r="L324" s="7">
        <f t="shared" si="82"/>
        <v>68.038722826086953</v>
      </c>
      <c r="M324" s="4">
        <f t="shared" si="83"/>
        <v>5.3122207269103976</v>
      </c>
      <c r="N324" s="8">
        <f t="shared" si="84"/>
        <v>2.2072691039731751E-2</v>
      </c>
      <c r="O324" s="4">
        <f t="shared" si="85"/>
        <v>14.367940478604885</v>
      </c>
      <c r="P324">
        <f t="shared" si="86"/>
        <v>42</v>
      </c>
      <c r="Q324" s="4">
        <f t="shared" si="87"/>
        <v>20.947945205479453</v>
      </c>
      <c r="R324">
        <f t="shared" si="88"/>
        <v>1</v>
      </c>
      <c r="S324" s="7">
        <f>SUM(CashFlows!BN324:DU324)</f>
        <v>68.161384892261481</v>
      </c>
      <c r="T324" s="7">
        <f t="shared" si="89"/>
        <v>67.982037066174527</v>
      </c>
      <c r="U324" s="7">
        <f t="shared" si="90"/>
        <v>0.12266206617452724</v>
      </c>
      <c r="V324" s="4">
        <f t="shared" si="91"/>
        <v>5.2996876611991723</v>
      </c>
      <c r="W324" s="8">
        <f t="shared" si="92"/>
        <v>-1.2533065711225255</v>
      </c>
      <c r="X324" s="9">
        <f t="shared" si="93"/>
        <v>1.2547569298623217E-4</v>
      </c>
      <c r="Y324" s="10">
        <f t="shared" si="94"/>
        <v>1.5744149530375195E-8</v>
      </c>
    </row>
    <row r="325" spans="1:25" x14ac:dyDescent="0.2">
      <c r="A325" s="3">
        <f>Data!A324</f>
        <v>54011</v>
      </c>
      <c r="B325" s="4">
        <f>Data!B324</f>
        <v>2.75</v>
      </c>
      <c r="C325" s="4">
        <f>Data!C324</f>
        <v>67.186000000000007</v>
      </c>
      <c r="D325" s="4">
        <f>Data!D324</f>
        <v>67.206000000000003</v>
      </c>
      <c r="E325" s="4">
        <f>Data!F324</f>
        <v>5.3120000000000003</v>
      </c>
      <c r="F325" s="7">
        <f t="shared" si="76"/>
        <v>67.6484375</v>
      </c>
      <c r="G325" s="3">
        <f t="shared" si="77"/>
        <v>46157</v>
      </c>
      <c r="H325" s="3">
        <f t="shared" si="78"/>
        <v>46341</v>
      </c>
      <c r="I325">
        <f t="shared" si="79"/>
        <v>116</v>
      </c>
      <c r="J325">
        <f t="shared" si="80"/>
        <v>184</v>
      </c>
      <c r="K325" s="7">
        <f t="shared" si="81"/>
        <v>0.86684782608695654</v>
      </c>
      <c r="L325" s="7">
        <f t="shared" si="82"/>
        <v>68.515285326086953</v>
      </c>
      <c r="M325" s="4">
        <f t="shared" si="83"/>
        <v>5.3121392156479752</v>
      </c>
      <c r="N325" s="8">
        <f t="shared" si="84"/>
        <v>1.3921564797492181E-2</v>
      </c>
      <c r="O325" s="4">
        <f t="shared" si="85"/>
        <v>14.324693025086253</v>
      </c>
      <c r="P325">
        <f t="shared" si="86"/>
        <v>43</v>
      </c>
      <c r="Q325" s="4">
        <f t="shared" si="87"/>
        <v>21.2</v>
      </c>
      <c r="R325">
        <f t="shared" si="88"/>
        <v>1</v>
      </c>
      <c r="S325" s="7">
        <f>SUM(CashFlows!BN325:DU325)</f>
        <v>68.603949774122242</v>
      </c>
      <c r="T325" s="7">
        <f t="shared" si="89"/>
        <v>67.737101948035289</v>
      </c>
      <c r="U325" s="7">
        <f t="shared" si="90"/>
        <v>8.8664448035288501E-2</v>
      </c>
      <c r="V325" s="4">
        <f t="shared" si="91"/>
        <v>5.3031128798359504</v>
      </c>
      <c r="W325" s="8">
        <f t="shared" si="92"/>
        <v>-0.90263358120248327</v>
      </c>
      <c r="X325" s="9">
        <f t="shared" si="93"/>
        <v>9.0339299824174741E-5</v>
      </c>
      <c r="Y325" s="10">
        <f t="shared" si="94"/>
        <v>8.1611890927221392E-9</v>
      </c>
    </row>
    <row r="326" spans="1:25" x14ac:dyDescent="0.2">
      <c r="A326" s="3">
        <f>Data!A325</f>
        <v>54103</v>
      </c>
      <c r="B326" s="4">
        <f>Data!B325</f>
        <v>3</v>
      </c>
      <c r="C326" s="4">
        <f>Data!C325</f>
        <v>70.171999999999997</v>
      </c>
      <c r="D326" s="4">
        <f>Data!D325</f>
        <v>70.191999999999993</v>
      </c>
      <c r="E326" s="4">
        <f>Data!F325</f>
        <v>5.3140000000000001</v>
      </c>
      <c r="F326" s="7">
        <f t="shared" si="76"/>
        <v>70.6015625</v>
      </c>
      <c r="G326" s="3">
        <f t="shared" si="77"/>
        <v>46249</v>
      </c>
      <c r="H326" s="3">
        <f t="shared" si="78"/>
        <v>46433</v>
      </c>
      <c r="I326">
        <f t="shared" si="79"/>
        <v>24</v>
      </c>
      <c r="J326">
        <f t="shared" si="80"/>
        <v>184</v>
      </c>
      <c r="K326" s="7">
        <f t="shared" si="81"/>
        <v>0.19565217391304349</v>
      </c>
      <c r="L326" s="7">
        <f t="shared" si="82"/>
        <v>70.797214673913047</v>
      </c>
      <c r="M326" s="4">
        <f t="shared" si="83"/>
        <v>5.3139641156176527</v>
      </c>
      <c r="N326" s="8">
        <f t="shared" si="84"/>
        <v>-3.588438234736202E-3</v>
      </c>
      <c r="O326" s="4">
        <f t="shared" si="85"/>
        <v>14.303705950287281</v>
      </c>
      <c r="P326">
        <f t="shared" si="86"/>
        <v>43</v>
      </c>
      <c r="Q326" s="4">
        <f t="shared" si="87"/>
        <v>21.452054794520549</v>
      </c>
      <c r="R326">
        <f t="shared" si="88"/>
        <v>1</v>
      </c>
      <c r="S326" s="7">
        <f>SUM(CashFlows!BN326:DU326)</f>
        <v>70.944024214172572</v>
      </c>
      <c r="T326" s="7">
        <f t="shared" si="89"/>
        <v>70.748372040259525</v>
      </c>
      <c r="U326" s="7">
        <f t="shared" si="90"/>
        <v>0.14680954025952531</v>
      </c>
      <c r="V326" s="4">
        <f t="shared" si="91"/>
        <v>5.299486304312544</v>
      </c>
      <c r="W326" s="8">
        <f t="shared" si="92"/>
        <v>-1.4477811305108723</v>
      </c>
      <c r="X326" s="9">
        <f t="shared" si="93"/>
        <v>1.4497380355776645E-4</v>
      </c>
      <c r="Y326" s="10">
        <f t="shared" si="94"/>
        <v>2.1017403718005856E-8</v>
      </c>
    </row>
    <row r="327" spans="1:25" x14ac:dyDescent="0.2">
      <c r="A327" s="3">
        <f>Data!A326</f>
        <v>54193</v>
      </c>
      <c r="B327" s="4">
        <f>Data!B326</f>
        <v>3.125</v>
      </c>
      <c r="C327" s="4">
        <f>Data!C326</f>
        <v>71.311999999999998</v>
      </c>
      <c r="D327" s="4">
        <f>Data!D326</f>
        <v>72.012</v>
      </c>
      <c r="E327" s="4">
        <f>Data!F326</f>
        <v>5.3109999999999999</v>
      </c>
      <c r="F327" s="7">
        <f t="shared" si="76"/>
        <v>72.0390625</v>
      </c>
      <c r="G327" s="3">
        <f t="shared" si="77"/>
        <v>46157</v>
      </c>
      <c r="H327" s="3">
        <f t="shared" si="78"/>
        <v>46341</v>
      </c>
      <c r="I327">
        <f t="shared" si="79"/>
        <v>116</v>
      </c>
      <c r="J327">
        <f t="shared" si="80"/>
        <v>184</v>
      </c>
      <c r="K327" s="7">
        <f t="shared" si="81"/>
        <v>0.98505434782608692</v>
      </c>
      <c r="L327" s="7">
        <f t="shared" si="82"/>
        <v>73.024116847826093</v>
      </c>
      <c r="M327" s="4">
        <f t="shared" si="83"/>
        <v>5.3114018723607046</v>
      </c>
      <c r="N327" s="8">
        <f t="shared" si="84"/>
        <v>4.0187236070465815E-2</v>
      </c>
      <c r="O327" s="4">
        <f t="shared" si="85"/>
        <v>14.123970771686698</v>
      </c>
      <c r="P327">
        <f t="shared" si="86"/>
        <v>44</v>
      </c>
      <c r="Q327" s="4">
        <f t="shared" si="87"/>
        <v>21.698630136986303</v>
      </c>
      <c r="R327">
        <f t="shared" si="88"/>
        <v>1</v>
      </c>
      <c r="S327" s="7">
        <f>SUM(CashFlows!BN327:DU327)</f>
        <v>73.165789251598852</v>
      </c>
      <c r="T327" s="7">
        <f t="shared" si="89"/>
        <v>72.180734903772759</v>
      </c>
      <c r="U327" s="7">
        <f t="shared" si="90"/>
        <v>0.14167240377275903</v>
      </c>
      <c r="V327" s="4">
        <f t="shared" si="91"/>
        <v>5.2976834758352656</v>
      </c>
      <c r="W327" s="8">
        <f t="shared" si="92"/>
        <v>-1.3718396525439047</v>
      </c>
      <c r="X327" s="9">
        <f t="shared" si="93"/>
        <v>1.3736058735603929E-4</v>
      </c>
      <c r="Y327" s="10">
        <f t="shared" si="94"/>
        <v>1.8867930958796101E-8</v>
      </c>
    </row>
    <row r="328" spans="1:25" x14ac:dyDescent="0.2">
      <c r="A328" s="3">
        <f>Data!A327</f>
        <v>54285</v>
      </c>
      <c r="B328" s="4">
        <f>Data!B327</f>
        <v>3</v>
      </c>
      <c r="C328" s="4">
        <f>Data!C327</f>
        <v>70.046000000000006</v>
      </c>
      <c r="D328" s="4">
        <f>Data!D327</f>
        <v>70.066000000000003</v>
      </c>
      <c r="E328" s="4">
        <f>Data!F327</f>
        <v>5.3159999999999998</v>
      </c>
      <c r="F328" s="7">
        <f t="shared" ref="F328:F360" si="95">INT(D328)+(INT(MOD(ROUND(D328*1000,0),1000)/10)+MOD(ROUND(D328*1000,0),10)/8)/32</f>
        <v>70.2109375</v>
      </c>
      <c r="G328" s="3">
        <f t="shared" ref="G328:G360" si="96">COUPPCD(Settle,A328,2,1)</f>
        <v>46249</v>
      </c>
      <c r="H328" s="3">
        <f t="shared" ref="H328:H360" si="97">COUPNCD(Settle,A328,2,1)</f>
        <v>46433</v>
      </c>
      <c r="I328">
        <f t="shared" ref="I328:I360" si="98">Settle-G328</f>
        <v>24</v>
      </c>
      <c r="J328">
        <f t="shared" ref="J328:J360" si="99">H328-G328</f>
        <v>184</v>
      </c>
      <c r="K328" s="7">
        <f t="shared" ref="K328:K391" si="100">B328/2*I328/J328</f>
        <v>0.19565217391304349</v>
      </c>
      <c r="L328" s="7">
        <f t="shared" ref="L328:L391" si="101">F328+K328</f>
        <v>70.406589673913047</v>
      </c>
      <c r="M328" s="4">
        <f t="shared" ref="M328:M360" si="102">YIELD(Settle,A328,B328/100,F328,100,2,1)*100</f>
        <v>5.3163577054429743</v>
      </c>
      <c r="N328" s="8">
        <f t="shared" ref="N328:N391" si="103">(M328-E328)*100</f>
        <v>3.5770544297442086E-2</v>
      </c>
      <c r="O328" s="4">
        <f t="shared" ref="O328:O360" si="104">MDURATION(Settle,A328,B328/100,M328/100,2,1)</f>
        <v>14.490113180470827</v>
      </c>
      <c r="P328">
        <f t="shared" ref="P328:P360" si="105">COUPNUM(Settle,A328,2,1)</f>
        <v>44</v>
      </c>
      <c r="Q328" s="4">
        <f t="shared" ref="Q328:Q360" si="106">(A328-Settle)/365</f>
        <v>21.950684931506849</v>
      </c>
      <c r="R328">
        <f t="shared" ref="R328:R391" si="107">IF(Q328&gt;=MinYears,1,0)</f>
        <v>1</v>
      </c>
      <c r="S328" s="7">
        <f>SUM(CashFlows!BN328:DU328)</f>
        <v>70.524712609507276</v>
      </c>
      <c r="T328" s="7">
        <f t="shared" ref="T328:T391" si="108">S328-K328</f>
        <v>70.329060435594229</v>
      </c>
      <c r="U328" s="7">
        <f t="shared" ref="U328:U391" si="109">T328-F328</f>
        <v>0.11812293559422926</v>
      </c>
      <c r="V328" s="4">
        <f t="shared" ref="V328:V360" si="110">YIELD(Settle,A328,B328/100,T328,100,2,1)*100</f>
        <v>5.3047920086316775</v>
      </c>
      <c r="W328" s="8">
        <f t="shared" ref="W328:W391" si="111">(V328-M328)*100</f>
        <v>-1.1565696811296711</v>
      </c>
      <c r="X328" s="9">
        <f t="shared" ref="X328:X360" si="112">(S328-L328)/(L328*O328)</f>
        <v>1.1578415891507296E-4</v>
      </c>
      <c r="Y328" s="10">
        <f t="shared" ref="Y328:Y391" si="113">R328*X328^2</f>
        <v>1.3405971455670868E-8</v>
      </c>
    </row>
    <row r="329" spans="1:25" x14ac:dyDescent="0.2">
      <c r="A329" s="3">
        <f>Data!A328</f>
        <v>54377</v>
      </c>
      <c r="B329" s="4">
        <f>Data!B328</f>
        <v>3.375</v>
      </c>
      <c r="C329" s="4">
        <f>Data!C328</f>
        <v>74.292000000000002</v>
      </c>
      <c r="D329" s="4">
        <f>Data!D328</f>
        <v>74.311999999999998</v>
      </c>
      <c r="E329" s="4">
        <f>Data!F328</f>
        <v>5.3070000000000004</v>
      </c>
      <c r="F329" s="7">
        <f t="shared" si="95"/>
        <v>74.9765625</v>
      </c>
      <c r="G329" s="3">
        <f t="shared" si="96"/>
        <v>46157</v>
      </c>
      <c r="H329" s="3">
        <f t="shared" si="97"/>
        <v>46341</v>
      </c>
      <c r="I329">
        <f t="shared" si="98"/>
        <v>116</v>
      </c>
      <c r="J329">
        <f t="shared" si="99"/>
        <v>184</v>
      </c>
      <c r="K329" s="7">
        <f t="shared" si="100"/>
        <v>1.0638586956521738</v>
      </c>
      <c r="L329" s="7">
        <f t="shared" si="101"/>
        <v>76.040421195652172</v>
      </c>
      <c r="M329" s="4">
        <f t="shared" si="102"/>
        <v>5.3072948439805447</v>
      </c>
      <c r="N329" s="8">
        <f t="shared" si="103"/>
        <v>2.9484398054435701E-2</v>
      </c>
      <c r="O329" s="4">
        <f t="shared" si="104"/>
        <v>14.066188786123766</v>
      </c>
      <c r="P329">
        <f t="shared" si="105"/>
        <v>45</v>
      </c>
      <c r="Q329" s="4">
        <f t="shared" si="106"/>
        <v>22.202739726027396</v>
      </c>
      <c r="R329">
        <f t="shared" si="107"/>
        <v>1</v>
      </c>
      <c r="S329" s="7">
        <f>SUM(CashFlows!BN329:DU329)</f>
        <v>76.156737635125808</v>
      </c>
      <c r="T329" s="7">
        <f t="shared" si="108"/>
        <v>75.092878939473636</v>
      </c>
      <c r="U329" s="7">
        <f t="shared" si="109"/>
        <v>0.11631643947363557</v>
      </c>
      <c r="V329" s="4">
        <f t="shared" si="110"/>
        <v>5.2964312608604782</v>
      </c>
      <c r="W329" s="8">
        <f t="shared" si="111"/>
        <v>-1.0863583120066522</v>
      </c>
      <c r="X329" s="9">
        <f t="shared" si="112"/>
        <v>1.0874771590358676E-4</v>
      </c>
      <c r="Y329" s="10">
        <f t="shared" si="113"/>
        <v>1.1826065714247217E-8</v>
      </c>
    </row>
    <row r="330" spans="1:25" x14ac:dyDescent="0.2">
      <c r="A330" s="3">
        <f>Data!A329</f>
        <v>54469</v>
      </c>
      <c r="B330" s="4">
        <f>Data!B329</f>
        <v>3</v>
      </c>
      <c r="C330" s="4">
        <f>Data!C329</f>
        <v>69.256</v>
      </c>
      <c r="D330" s="4">
        <f>Data!D329</f>
        <v>69.275999999999996</v>
      </c>
      <c r="E330" s="4">
        <f>Data!F329</f>
        <v>5.3150000000000004</v>
      </c>
      <c r="F330" s="7">
        <f t="shared" si="95"/>
        <v>69.8671875</v>
      </c>
      <c r="G330" s="3">
        <f t="shared" si="96"/>
        <v>46249</v>
      </c>
      <c r="H330" s="3">
        <f t="shared" si="97"/>
        <v>46433</v>
      </c>
      <c r="I330">
        <f t="shared" si="98"/>
        <v>24</v>
      </c>
      <c r="J330">
        <f t="shared" si="99"/>
        <v>184</v>
      </c>
      <c r="K330" s="7">
        <f t="shared" si="100"/>
        <v>0.19565217391304349</v>
      </c>
      <c r="L330" s="7">
        <f t="shared" si="101"/>
        <v>70.062839673913047</v>
      </c>
      <c r="M330" s="4">
        <f t="shared" si="102"/>
        <v>5.3150780263117925</v>
      </c>
      <c r="N330" s="8">
        <f t="shared" si="103"/>
        <v>7.8026311792100955E-3</v>
      </c>
      <c r="O330" s="4">
        <f t="shared" si="104"/>
        <v>14.673430440271616</v>
      </c>
      <c r="P330">
        <f t="shared" si="105"/>
        <v>45</v>
      </c>
      <c r="Q330" s="4">
        <f t="shared" si="106"/>
        <v>22.454794520547946</v>
      </c>
      <c r="R330">
        <f t="shared" si="107"/>
        <v>1</v>
      </c>
      <c r="S330" s="7">
        <f>SUM(CashFlows!BN330:DU330)</f>
        <v>70.115106941293021</v>
      </c>
      <c r="T330" s="7">
        <f t="shared" si="108"/>
        <v>69.919454767379975</v>
      </c>
      <c r="U330" s="7">
        <f t="shared" si="109"/>
        <v>5.2267267379974669E-2</v>
      </c>
      <c r="V330" s="4">
        <f t="shared" si="110"/>
        <v>5.3099964682601568</v>
      </c>
      <c r="W330" s="8">
        <f t="shared" si="111"/>
        <v>-0.50815580516356817</v>
      </c>
      <c r="X330" s="9">
        <f t="shared" si="112"/>
        <v>5.0840568942346395E-5</v>
      </c>
      <c r="Y330" s="10">
        <f t="shared" si="113"/>
        <v>2.584763450381477E-9</v>
      </c>
    </row>
    <row r="331" spans="1:25" x14ac:dyDescent="0.2">
      <c r="A331" s="3">
        <f>Data!A330</f>
        <v>54558</v>
      </c>
      <c r="B331" s="4">
        <f>Data!B330</f>
        <v>2.875</v>
      </c>
      <c r="C331" s="4">
        <f>Data!C330</f>
        <v>67.293999999999997</v>
      </c>
      <c r="D331" s="4">
        <f>Data!D330</f>
        <v>67.313999999999993</v>
      </c>
      <c r="E331" s="4">
        <f>Data!F330</f>
        <v>5.3220000000000001</v>
      </c>
      <c r="F331" s="7">
        <f t="shared" si="95"/>
        <v>67.984375</v>
      </c>
      <c r="G331" s="3">
        <f t="shared" si="96"/>
        <v>46157</v>
      </c>
      <c r="H331" s="3">
        <f t="shared" si="97"/>
        <v>46341</v>
      </c>
      <c r="I331">
        <f t="shared" si="98"/>
        <v>116</v>
      </c>
      <c r="J331">
        <f t="shared" si="99"/>
        <v>184</v>
      </c>
      <c r="K331" s="7">
        <f t="shared" si="100"/>
        <v>0.90625</v>
      </c>
      <c r="L331" s="7">
        <f t="shared" si="101"/>
        <v>68.890625</v>
      </c>
      <c r="M331" s="4">
        <f t="shared" si="102"/>
        <v>5.3219082619759677</v>
      </c>
      <c r="N331" s="8">
        <f t="shared" si="103"/>
        <v>-9.173802403239506E-3</v>
      </c>
      <c r="O331" s="4">
        <f t="shared" si="104"/>
        <v>14.73982533121827</v>
      </c>
      <c r="P331">
        <f t="shared" si="105"/>
        <v>46</v>
      </c>
      <c r="Q331" s="4">
        <f t="shared" si="106"/>
        <v>22.698630136986303</v>
      </c>
      <c r="R331">
        <f t="shared" si="107"/>
        <v>1</v>
      </c>
      <c r="S331" s="7">
        <f>SUM(CashFlows!BN331:DU331)</f>
        <v>68.969372067357668</v>
      </c>
      <c r="T331" s="7">
        <f t="shared" si="108"/>
        <v>68.063122067357668</v>
      </c>
      <c r="U331" s="7">
        <f t="shared" si="109"/>
        <v>7.8747067357667788E-2</v>
      </c>
      <c r="V331" s="4">
        <f t="shared" si="110"/>
        <v>5.3141591476302379</v>
      </c>
      <c r="W331" s="8">
        <f t="shared" si="111"/>
        <v>-0.77491143457297795</v>
      </c>
      <c r="X331" s="9">
        <f t="shared" si="112"/>
        <v>7.7550022316196432E-5</v>
      </c>
      <c r="Y331" s="10">
        <f t="shared" si="113"/>
        <v>6.0140059612425644E-9</v>
      </c>
    </row>
    <row r="332" spans="1:25" x14ac:dyDescent="0.2">
      <c r="A332" s="3">
        <f>Data!A331</f>
        <v>54650</v>
      </c>
      <c r="B332" s="4">
        <f>Data!B331</f>
        <v>2.25</v>
      </c>
      <c r="C332" s="4">
        <f>Data!C331</f>
        <v>59.12</v>
      </c>
      <c r="D332" s="4">
        <f>Data!D331</f>
        <v>59.14</v>
      </c>
      <c r="E332" s="4">
        <f>Data!F331</f>
        <v>5.3369999999999997</v>
      </c>
      <c r="F332" s="7">
        <f t="shared" si="95"/>
        <v>59.4375</v>
      </c>
      <c r="G332" s="3">
        <f t="shared" si="96"/>
        <v>46249</v>
      </c>
      <c r="H332" s="3">
        <f t="shared" si="97"/>
        <v>46433</v>
      </c>
      <c r="I332">
        <f t="shared" si="98"/>
        <v>24</v>
      </c>
      <c r="J332">
        <f t="shared" si="99"/>
        <v>184</v>
      </c>
      <c r="K332" s="7">
        <f t="shared" si="100"/>
        <v>0.14673913043478262</v>
      </c>
      <c r="L332" s="7">
        <f t="shared" si="101"/>
        <v>59.584239130434781</v>
      </c>
      <c r="M332" s="4">
        <f t="shared" si="102"/>
        <v>5.3372496169973287</v>
      </c>
      <c r="N332" s="8">
        <f t="shared" si="103"/>
        <v>2.4961699732894971E-2</v>
      </c>
      <c r="O332" s="4">
        <f t="shared" si="104"/>
        <v>15.775338053757695</v>
      </c>
      <c r="P332">
        <f t="shared" si="105"/>
        <v>46</v>
      </c>
      <c r="Q332" s="4">
        <f t="shared" si="106"/>
        <v>22.950684931506849</v>
      </c>
      <c r="R332">
        <f t="shared" si="107"/>
        <v>1</v>
      </c>
      <c r="S332" s="7">
        <f>SUM(CashFlows!BN332:DU332)</f>
        <v>59.587192895193667</v>
      </c>
      <c r="T332" s="7">
        <f t="shared" si="108"/>
        <v>59.440453764758885</v>
      </c>
      <c r="U332" s="7">
        <f t="shared" si="109"/>
        <v>2.9537647588853133E-3</v>
      </c>
      <c r="V332" s="4">
        <f t="shared" si="110"/>
        <v>5.3369353838303253</v>
      </c>
      <c r="W332" s="8">
        <f t="shared" si="111"/>
        <v>-3.142331670034082E-2</v>
      </c>
      <c r="X332" s="9">
        <f t="shared" si="112"/>
        <v>3.1424315909525074E-6</v>
      </c>
      <c r="Y332" s="10">
        <f t="shared" si="113"/>
        <v>9.8748763038163071E-12</v>
      </c>
    </row>
    <row r="333" spans="1:25" x14ac:dyDescent="0.2">
      <c r="A333" s="3">
        <f>Data!A332</f>
        <v>54742</v>
      </c>
      <c r="B333" s="4">
        <f>Data!B332</f>
        <v>2.375</v>
      </c>
      <c r="C333" s="4">
        <f>Data!C332</f>
        <v>60.276000000000003</v>
      </c>
      <c r="D333" s="4">
        <f>Data!D332</f>
        <v>60.295999999999999</v>
      </c>
      <c r="E333" s="4">
        <f>Data!F332</f>
        <v>5.33</v>
      </c>
      <c r="F333" s="7">
        <f t="shared" si="95"/>
        <v>60.9296875</v>
      </c>
      <c r="G333" s="3">
        <f t="shared" si="96"/>
        <v>46157</v>
      </c>
      <c r="H333" s="3">
        <f t="shared" si="97"/>
        <v>46341</v>
      </c>
      <c r="I333">
        <f t="shared" si="98"/>
        <v>116</v>
      </c>
      <c r="J333">
        <f t="shared" si="99"/>
        <v>184</v>
      </c>
      <c r="K333" s="7">
        <f t="shared" si="100"/>
        <v>0.74864130434782605</v>
      </c>
      <c r="L333" s="7">
        <f t="shared" si="101"/>
        <v>61.678328804347828</v>
      </c>
      <c r="M333" s="4">
        <f t="shared" si="102"/>
        <v>5.3300673150431059</v>
      </c>
      <c r="N333" s="8">
        <f t="shared" si="103"/>
        <v>6.7315043105864447E-3</v>
      </c>
      <c r="O333" s="4">
        <f t="shared" si="104"/>
        <v>15.547318192207875</v>
      </c>
      <c r="P333">
        <f t="shared" si="105"/>
        <v>47</v>
      </c>
      <c r="Q333" s="4">
        <f t="shared" si="106"/>
        <v>23.202739726027396</v>
      </c>
      <c r="R333">
        <f t="shared" si="107"/>
        <v>1</v>
      </c>
      <c r="S333" s="7">
        <f>SUM(CashFlows!BN333:DU333)</f>
        <v>61.641645703983073</v>
      </c>
      <c r="T333" s="7">
        <f t="shared" si="108"/>
        <v>60.893004399635245</v>
      </c>
      <c r="U333" s="7">
        <f t="shared" si="109"/>
        <v>-3.668310036475475E-2</v>
      </c>
      <c r="V333" s="4">
        <f t="shared" si="110"/>
        <v>5.333894212027614</v>
      </c>
      <c r="W333" s="8">
        <f t="shared" si="111"/>
        <v>0.38268969845081102</v>
      </c>
      <c r="X333" s="9">
        <f t="shared" si="112"/>
        <v>-3.8254096514652088E-5</v>
      </c>
      <c r="Y333" s="10">
        <f t="shared" si="113"/>
        <v>1.4633759001523171E-9</v>
      </c>
    </row>
    <row r="334" spans="1:25" x14ac:dyDescent="0.2">
      <c r="A334" s="3">
        <f>Data!A333</f>
        <v>54834</v>
      </c>
      <c r="B334" s="4">
        <f>Data!B333</f>
        <v>2</v>
      </c>
      <c r="C334" s="4">
        <f>Data!C333</f>
        <v>55.194000000000003</v>
      </c>
      <c r="D334" s="4">
        <f>Data!D333</f>
        <v>55.213999999999999</v>
      </c>
      <c r="E334" s="4">
        <f>Data!F333</f>
        <v>5.3369999999999997</v>
      </c>
      <c r="F334" s="7">
        <f t="shared" si="95"/>
        <v>55.671875</v>
      </c>
      <c r="G334" s="3">
        <f t="shared" si="96"/>
        <v>46249</v>
      </c>
      <c r="H334" s="3">
        <f t="shared" si="97"/>
        <v>46433</v>
      </c>
      <c r="I334">
        <f t="shared" si="98"/>
        <v>24</v>
      </c>
      <c r="J334">
        <f t="shared" si="99"/>
        <v>184</v>
      </c>
      <c r="K334" s="7">
        <f t="shared" si="100"/>
        <v>0.13043478260869565</v>
      </c>
      <c r="L334" s="7">
        <f t="shared" si="101"/>
        <v>55.802309782608695</v>
      </c>
      <c r="M334" s="4">
        <f t="shared" si="102"/>
        <v>5.3367754285206921</v>
      </c>
      <c r="N334" s="8">
        <f t="shared" si="103"/>
        <v>-2.2457147930765586E-2</v>
      </c>
      <c r="O334" s="4">
        <f t="shared" si="104"/>
        <v>16.36560002483618</v>
      </c>
      <c r="P334">
        <f t="shared" si="105"/>
        <v>47</v>
      </c>
      <c r="Q334" s="4">
        <f t="shared" si="106"/>
        <v>23.454794520547946</v>
      </c>
      <c r="R334">
        <f t="shared" si="107"/>
        <v>1</v>
      </c>
      <c r="S334" s="7">
        <f>SUM(CashFlows!BN334:DU334)</f>
        <v>55.68963219145931</v>
      </c>
      <c r="T334" s="7">
        <f t="shared" si="108"/>
        <v>55.559197408850615</v>
      </c>
      <c r="U334" s="7">
        <f t="shared" si="109"/>
        <v>-0.11267759114938514</v>
      </c>
      <c r="V334" s="4">
        <f t="shared" si="110"/>
        <v>5.3491295456678829</v>
      </c>
      <c r="W334" s="8">
        <f t="shared" si="111"/>
        <v>1.2354117147190813</v>
      </c>
      <c r="X334" s="9">
        <f t="shared" si="112"/>
        <v>-1.2338246580912831E-4</v>
      </c>
      <c r="Y334" s="10">
        <f t="shared" si="113"/>
        <v>1.5223232869140717E-8</v>
      </c>
    </row>
    <row r="335" spans="1:25" x14ac:dyDescent="0.2">
      <c r="A335" s="3">
        <f>Data!A334</f>
        <v>54923</v>
      </c>
      <c r="B335" s="4">
        <f>Data!B334</f>
        <v>1.25</v>
      </c>
      <c r="C335" s="4">
        <f>Data!C334</f>
        <v>45.106000000000002</v>
      </c>
      <c r="D335" s="4">
        <f>Data!D334</f>
        <v>45.125999999999998</v>
      </c>
      <c r="E335" s="4">
        <f>Data!F334</f>
        <v>5.3390000000000004</v>
      </c>
      <c r="F335" s="7">
        <f t="shared" si="95"/>
        <v>45.3984375</v>
      </c>
      <c r="G335" s="3">
        <f t="shared" si="96"/>
        <v>46157</v>
      </c>
      <c r="H335" s="3">
        <f t="shared" si="97"/>
        <v>46341</v>
      </c>
      <c r="I335">
        <f t="shared" si="98"/>
        <v>116</v>
      </c>
      <c r="J335">
        <f t="shared" si="99"/>
        <v>184</v>
      </c>
      <c r="K335" s="7">
        <f t="shared" si="100"/>
        <v>0.39402173913043476</v>
      </c>
      <c r="L335" s="7">
        <f t="shared" si="101"/>
        <v>45.792459239130437</v>
      </c>
      <c r="M335" s="4">
        <f t="shared" si="102"/>
        <v>5.3390021636467093</v>
      </c>
      <c r="N335" s="8">
        <f t="shared" si="103"/>
        <v>2.1636467089081179E-4</v>
      </c>
      <c r="O335" s="4">
        <f t="shared" si="104"/>
        <v>17.904560814630525</v>
      </c>
      <c r="P335">
        <f t="shared" si="105"/>
        <v>48</v>
      </c>
      <c r="Q335" s="4">
        <f t="shared" si="106"/>
        <v>23.698630136986303</v>
      </c>
      <c r="R335">
        <f t="shared" si="107"/>
        <v>1</v>
      </c>
      <c r="S335" s="7">
        <f>SUM(CashFlows!BN335:DU335)</f>
        <v>45.457865061706009</v>
      </c>
      <c r="T335" s="7">
        <f t="shared" si="108"/>
        <v>45.063843322575572</v>
      </c>
      <c r="U335" s="7">
        <f t="shared" si="109"/>
        <v>-0.3345941774244281</v>
      </c>
      <c r="V335" s="4">
        <f t="shared" si="110"/>
        <v>5.37999395630293</v>
      </c>
      <c r="W335" s="8">
        <f t="shared" si="111"/>
        <v>4.099179265622066</v>
      </c>
      <c r="X335" s="9">
        <f t="shared" si="112"/>
        <v>-4.0809449751651059E-4</v>
      </c>
      <c r="Y335" s="10">
        <f t="shared" si="113"/>
        <v>1.6654111890325326E-7</v>
      </c>
    </row>
    <row r="336" spans="1:25" x14ac:dyDescent="0.2">
      <c r="A336" s="3">
        <f>Data!A335</f>
        <v>55015</v>
      </c>
      <c r="B336" s="4">
        <f>Data!B335</f>
        <v>1.375</v>
      </c>
      <c r="C336" s="4">
        <f>Data!C335</f>
        <v>46.213999999999999</v>
      </c>
      <c r="D336" s="4">
        <f>Data!D335</f>
        <v>46.234000000000002</v>
      </c>
      <c r="E336" s="4">
        <f>Data!F335</f>
        <v>5.3460000000000001</v>
      </c>
      <c r="F336" s="7">
        <f t="shared" si="95"/>
        <v>46.734375</v>
      </c>
      <c r="G336" s="3">
        <f t="shared" si="96"/>
        <v>46249</v>
      </c>
      <c r="H336" s="3">
        <f t="shared" si="97"/>
        <v>46433</v>
      </c>
      <c r="I336">
        <f t="shared" si="98"/>
        <v>24</v>
      </c>
      <c r="J336">
        <f t="shared" si="99"/>
        <v>184</v>
      </c>
      <c r="K336" s="7">
        <f t="shared" si="100"/>
        <v>8.9673913043478257E-2</v>
      </c>
      <c r="L336" s="7">
        <f t="shared" si="101"/>
        <v>46.824048913043477</v>
      </c>
      <c r="M336" s="4">
        <f t="shared" si="102"/>
        <v>5.3455993982398997</v>
      </c>
      <c r="N336" s="8">
        <f t="shared" si="103"/>
        <v>-4.0060176010037196E-2</v>
      </c>
      <c r="O336" s="4">
        <f t="shared" si="104"/>
        <v>17.831230194868166</v>
      </c>
      <c r="P336">
        <f t="shared" si="105"/>
        <v>48</v>
      </c>
      <c r="Q336" s="4">
        <f t="shared" si="106"/>
        <v>23.950684931506849</v>
      </c>
      <c r="R336">
        <f t="shared" si="107"/>
        <v>1</v>
      </c>
      <c r="S336" s="7">
        <f>SUM(CashFlows!BN336:DU336)</f>
        <v>46.576195699353789</v>
      </c>
      <c r="T336" s="7">
        <f t="shared" si="108"/>
        <v>46.486521786310313</v>
      </c>
      <c r="U336" s="7">
        <f t="shared" si="109"/>
        <v>-0.24785321368968738</v>
      </c>
      <c r="V336" s="4">
        <f t="shared" si="110"/>
        <v>5.3753814528869901</v>
      </c>
      <c r="W336" s="8">
        <f t="shared" si="111"/>
        <v>2.9782054647090384</v>
      </c>
      <c r="X336" s="9">
        <f t="shared" si="112"/>
        <v>-2.9685494171266958E-4</v>
      </c>
      <c r="Y336" s="10">
        <f t="shared" si="113"/>
        <v>8.8122856419232454E-8</v>
      </c>
    </row>
    <row r="337" spans="1:25" x14ac:dyDescent="0.2">
      <c r="A337" s="3">
        <f>Data!A336</f>
        <v>55107</v>
      </c>
      <c r="B337" s="4">
        <f>Data!B336</f>
        <v>1.625</v>
      </c>
      <c r="C337" s="4">
        <f>Data!C336</f>
        <v>49.244</v>
      </c>
      <c r="D337" s="4">
        <f>Data!D336</f>
        <v>49.264000000000003</v>
      </c>
      <c r="E337" s="4">
        <f>Data!F336</f>
        <v>5.3460000000000001</v>
      </c>
      <c r="F337" s="7">
        <f t="shared" si="95"/>
        <v>49.828125</v>
      </c>
      <c r="G337" s="3">
        <f t="shared" si="96"/>
        <v>46157</v>
      </c>
      <c r="H337" s="3">
        <f t="shared" si="97"/>
        <v>46341</v>
      </c>
      <c r="I337">
        <f t="shared" si="98"/>
        <v>116</v>
      </c>
      <c r="J337">
        <f t="shared" si="99"/>
        <v>184</v>
      </c>
      <c r="K337" s="7">
        <f t="shared" si="100"/>
        <v>0.51222826086956519</v>
      </c>
      <c r="L337" s="7">
        <f t="shared" si="101"/>
        <v>50.340353260869563</v>
      </c>
      <c r="M337" s="4">
        <f t="shared" si="102"/>
        <v>5.345655045678015</v>
      </c>
      <c r="N337" s="8">
        <f t="shared" si="103"/>
        <v>-3.4495432198511367E-2</v>
      </c>
      <c r="O337" s="4">
        <f t="shared" si="104"/>
        <v>17.236019848624366</v>
      </c>
      <c r="P337">
        <f t="shared" si="105"/>
        <v>49</v>
      </c>
      <c r="Q337" s="4">
        <f t="shared" si="106"/>
        <v>24.202739726027396</v>
      </c>
      <c r="R337">
        <f t="shared" si="107"/>
        <v>1</v>
      </c>
      <c r="S337" s="7">
        <f>SUM(CashFlows!BN337:DU337)</f>
        <v>50.173751666508451</v>
      </c>
      <c r="T337" s="7">
        <f t="shared" si="108"/>
        <v>49.661523405638889</v>
      </c>
      <c r="U337" s="7">
        <f t="shared" si="109"/>
        <v>-0.16660159436111144</v>
      </c>
      <c r="V337" s="4">
        <f t="shared" si="110"/>
        <v>5.3648963155224552</v>
      </c>
      <c r="W337" s="8">
        <f t="shared" si="111"/>
        <v>1.924126984444019</v>
      </c>
      <c r="X337" s="9">
        <f t="shared" si="112"/>
        <v>-1.9201091130956863E-4</v>
      </c>
      <c r="Y337" s="10">
        <f t="shared" si="113"/>
        <v>3.686819006193103E-8</v>
      </c>
    </row>
    <row r="338" spans="1:25" x14ac:dyDescent="0.2">
      <c r="A338" s="3">
        <f>Data!A337</f>
        <v>55199</v>
      </c>
      <c r="B338" s="4">
        <f>Data!B337</f>
        <v>1.875</v>
      </c>
      <c r="C338" s="4">
        <f>Data!C337</f>
        <v>52.293999999999997</v>
      </c>
      <c r="D338" s="4">
        <f>Data!D337</f>
        <v>52.314</v>
      </c>
      <c r="E338" s="4">
        <f>Data!F337</f>
        <v>5.343</v>
      </c>
      <c r="F338" s="7">
        <f t="shared" si="95"/>
        <v>52.984375</v>
      </c>
      <c r="G338" s="3">
        <f t="shared" si="96"/>
        <v>46249</v>
      </c>
      <c r="H338" s="3">
        <f t="shared" si="97"/>
        <v>46433</v>
      </c>
      <c r="I338">
        <f t="shared" si="98"/>
        <v>24</v>
      </c>
      <c r="J338">
        <f t="shared" si="99"/>
        <v>184</v>
      </c>
      <c r="K338" s="7">
        <f t="shared" si="100"/>
        <v>0.12228260869565218</v>
      </c>
      <c r="L338" s="7">
        <f t="shared" si="101"/>
        <v>53.106657608695649</v>
      </c>
      <c r="M338" s="4">
        <f t="shared" si="102"/>
        <v>5.3432544588927948</v>
      </c>
      <c r="N338" s="8">
        <f t="shared" si="103"/>
        <v>2.5445889279485101E-2</v>
      </c>
      <c r="O338" s="4">
        <f t="shared" si="104"/>
        <v>16.976819654277229</v>
      </c>
      <c r="P338">
        <f t="shared" si="105"/>
        <v>49</v>
      </c>
      <c r="Q338" s="4">
        <f t="shared" si="106"/>
        <v>24.454794520547946</v>
      </c>
      <c r="R338">
        <f t="shared" si="107"/>
        <v>1</v>
      </c>
      <c r="S338" s="7">
        <f>SUM(CashFlows!BN338:DU338)</f>
        <v>52.995209413385581</v>
      </c>
      <c r="T338" s="7">
        <f t="shared" si="108"/>
        <v>52.872926804689932</v>
      </c>
      <c r="U338" s="7">
        <f t="shared" si="109"/>
        <v>-0.11144819531006789</v>
      </c>
      <c r="V338" s="4">
        <f t="shared" si="110"/>
        <v>5.3556324394661416</v>
      </c>
      <c r="W338" s="8">
        <f t="shared" si="111"/>
        <v>1.2377980573346825</v>
      </c>
      <c r="X338" s="9">
        <f t="shared" si="112"/>
        <v>-1.2361402172301453E-4</v>
      </c>
      <c r="Y338" s="10">
        <f t="shared" si="113"/>
        <v>1.5280426366537906E-8</v>
      </c>
    </row>
    <row r="339" spans="1:25" x14ac:dyDescent="0.2">
      <c r="A339" s="3">
        <f>Data!A338</f>
        <v>55288</v>
      </c>
      <c r="B339" s="4">
        <f>Data!B338</f>
        <v>2.375</v>
      </c>
      <c r="C339" s="4">
        <f>Data!C338</f>
        <v>59.194000000000003</v>
      </c>
      <c r="D339" s="4">
        <f>Data!D338</f>
        <v>59.213999999999999</v>
      </c>
      <c r="E339" s="4">
        <f>Data!F338</f>
        <v>5.3319999999999999</v>
      </c>
      <c r="F339" s="7">
        <f t="shared" si="95"/>
        <v>59.671875</v>
      </c>
      <c r="G339" s="3">
        <f t="shared" si="96"/>
        <v>46157</v>
      </c>
      <c r="H339" s="3">
        <f t="shared" si="97"/>
        <v>46341</v>
      </c>
      <c r="I339">
        <f t="shared" si="98"/>
        <v>116</v>
      </c>
      <c r="J339">
        <f t="shared" si="99"/>
        <v>184</v>
      </c>
      <c r="K339" s="7">
        <f t="shared" si="100"/>
        <v>0.74864130434782605</v>
      </c>
      <c r="L339" s="7">
        <f t="shared" si="101"/>
        <v>60.420516304347828</v>
      </c>
      <c r="M339" s="4">
        <f t="shared" si="102"/>
        <v>5.3316556439100173</v>
      </c>
      <c r="N339" s="8">
        <f t="shared" si="103"/>
        <v>-3.4435608998251155E-2</v>
      </c>
      <c r="O339" s="4">
        <f t="shared" si="104"/>
        <v>16.07714146676463</v>
      </c>
      <c r="P339">
        <f t="shared" si="105"/>
        <v>50</v>
      </c>
      <c r="Q339" s="4">
        <f t="shared" si="106"/>
        <v>24.698630136986303</v>
      </c>
      <c r="R339">
        <f t="shared" si="107"/>
        <v>1</v>
      </c>
      <c r="S339" s="7">
        <f>SUM(CashFlows!BN339:DU339)</f>
        <v>60.373590503536747</v>
      </c>
      <c r="T339" s="7">
        <f t="shared" si="108"/>
        <v>59.624949199188919</v>
      </c>
      <c r="U339" s="7">
        <f t="shared" si="109"/>
        <v>-4.6925800811081331E-2</v>
      </c>
      <c r="V339" s="4">
        <f t="shared" si="110"/>
        <v>5.3364889312501838</v>
      </c>
      <c r="W339" s="8">
        <f t="shared" si="111"/>
        <v>0.48332873401664145</v>
      </c>
      <c r="X339" s="9">
        <f t="shared" si="112"/>
        <v>-4.8307929905934227E-5</v>
      </c>
      <c r="Y339" s="10">
        <f t="shared" si="113"/>
        <v>2.3336560917966546E-9</v>
      </c>
    </row>
    <row r="340" spans="1:25" x14ac:dyDescent="0.2">
      <c r="A340" s="3">
        <f>Data!A339</f>
        <v>55380</v>
      </c>
      <c r="B340" s="4">
        <f>Data!B339</f>
        <v>2</v>
      </c>
      <c r="C340" s="4">
        <f>Data!C339</f>
        <v>54.064</v>
      </c>
      <c r="D340" s="4">
        <f>Data!D339</f>
        <v>54.084000000000003</v>
      </c>
      <c r="E340" s="4">
        <f>Data!F339</f>
        <v>5.3390000000000004</v>
      </c>
      <c r="F340" s="7">
        <f t="shared" si="95"/>
        <v>54.265625</v>
      </c>
      <c r="G340" s="3">
        <f t="shared" si="96"/>
        <v>46249</v>
      </c>
      <c r="H340" s="3">
        <f t="shared" si="97"/>
        <v>46433</v>
      </c>
      <c r="I340">
        <f t="shared" si="98"/>
        <v>24</v>
      </c>
      <c r="J340">
        <f t="shared" si="99"/>
        <v>184</v>
      </c>
      <c r="K340" s="7">
        <f t="shared" si="100"/>
        <v>0.13043478260869565</v>
      </c>
      <c r="L340" s="7">
        <f t="shared" si="101"/>
        <v>54.396059782608695</v>
      </c>
      <c r="M340" s="4">
        <f t="shared" si="102"/>
        <v>5.3393717441340343</v>
      </c>
      <c r="N340" s="8">
        <f t="shared" si="103"/>
        <v>3.7174413403384676E-2</v>
      </c>
      <c r="O340" s="4">
        <f t="shared" si="104"/>
        <v>16.936048076021972</v>
      </c>
      <c r="P340">
        <f t="shared" si="105"/>
        <v>50</v>
      </c>
      <c r="Q340" s="4">
        <f t="shared" si="106"/>
        <v>24.950684931506849</v>
      </c>
      <c r="R340">
        <f t="shared" si="107"/>
        <v>1</v>
      </c>
      <c r="S340" s="7">
        <f>SUM(CashFlows!BN340:DU340)</f>
        <v>54.299531672501125</v>
      </c>
      <c r="T340" s="7">
        <f t="shared" si="108"/>
        <v>54.16909688989243</v>
      </c>
      <c r="U340" s="7">
        <f t="shared" si="109"/>
        <v>-9.6528110107570342E-2</v>
      </c>
      <c r="V340" s="4">
        <f t="shared" si="110"/>
        <v>5.3498616810499087</v>
      </c>
      <c r="W340" s="8">
        <f t="shared" si="111"/>
        <v>1.0489936915874409</v>
      </c>
      <c r="X340" s="9">
        <f t="shared" si="112"/>
        <v>-1.0477900816678601E-4</v>
      </c>
      <c r="Y340" s="10">
        <f t="shared" si="113"/>
        <v>1.0978640552415409E-8</v>
      </c>
    </row>
    <row r="341" spans="1:25" x14ac:dyDescent="0.2">
      <c r="A341" s="3">
        <f>Data!A340</f>
        <v>55472</v>
      </c>
      <c r="B341" s="4">
        <f>Data!B340</f>
        <v>1.875</v>
      </c>
      <c r="C341" s="4">
        <f>Data!C340</f>
        <v>52.09</v>
      </c>
      <c r="D341" s="4">
        <f>Data!D340</f>
        <v>52.11</v>
      </c>
      <c r="E341" s="4">
        <f>Data!F340</f>
        <v>5.3369999999999997</v>
      </c>
      <c r="F341" s="7">
        <f t="shared" si="95"/>
        <v>52.34375</v>
      </c>
      <c r="G341" s="3">
        <f t="shared" si="96"/>
        <v>46157</v>
      </c>
      <c r="H341" s="3">
        <f t="shared" si="97"/>
        <v>46341</v>
      </c>
      <c r="I341">
        <f t="shared" si="98"/>
        <v>116</v>
      </c>
      <c r="J341">
        <f t="shared" si="99"/>
        <v>184</v>
      </c>
      <c r="K341" s="7">
        <f t="shared" si="100"/>
        <v>0.59103260869565222</v>
      </c>
      <c r="L341" s="7">
        <f t="shared" si="101"/>
        <v>52.934782608695649</v>
      </c>
      <c r="M341" s="4">
        <f t="shared" si="102"/>
        <v>5.3372055546845756</v>
      </c>
      <c r="N341" s="8">
        <f t="shared" si="103"/>
        <v>2.0555468457583714E-2</v>
      </c>
      <c r="O341" s="4">
        <f t="shared" si="104"/>
        <v>17.113457181276122</v>
      </c>
      <c r="P341">
        <f t="shared" si="105"/>
        <v>51</v>
      </c>
      <c r="Q341" s="4">
        <f t="shared" si="106"/>
        <v>25.202739726027396</v>
      </c>
      <c r="R341">
        <f t="shared" si="107"/>
        <v>1</v>
      </c>
      <c r="S341" s="7">
        <f>SUM(CashFlows!BN341:DU341)</f>
        <v>52.783980038211908</v>
      </c>
      <c r="T341" s="7">
        <f t="shared" si="108"/>
        <v>52.192947429516259</v>
      </c>
      <c r="U341" s="7">
        <f t="shared" si="109"/>
        <v>-0.15080257048374079</v>
      </c>
      <c r="V341" s="4">
        <f t="shared" si="110"/>
        <v>5.3538831574748151</v>
      </c>
      <c r="W341" s="8">
        <f t="shared" si="111"/>
        <v>1.6677602790239554</v>
      </c>
      <c r="X341" s="9">
        <f t="shared" si="112"/>
        <v>-1.6646765351363676E-4</v>
      </c>
      <c r="Y341" s="10">
        <f t="shared" si="113"/>
        <v>2.7711479666336222E-8</v>
      </c>
    </row>
    <row r="342" spans="1:25" x14ac:dyDescent="0.2">
      <c r="A342" s="3">
        <f>Data!A341</f>
        <v>55564</v>
      </c>
      <c r="B342" s="4">
        <f>Data!B341</f>
        <v>2.25</v>
      </c>
      <c r="C342" s="4">
        <f>Data!C341</f>
        <v>57.103999999999999</v>
      </c>
      <c r="D342" s="4">
        <f>Data!D341</f>
        <v>57.124000000000002</v>
      </c>
      <c r="E342" s="4">
        <f>Data!F341</f>
        <v>5.3280000000000003</v>
      </c>
      <c r="F342" s="7">
        <f t="shared" si="95"/>
        <v>57.390625</v>
      </c>
      <c r="G342" s="3">
        <f t="shared" si="96"/>
        <v>46249</v>
      </c>
      <c r="H342" s="3">
        <f t="shared" si="97"/>
        <v>46433</v>
      </c>
      <c r="I342">
        <f t="shared" si="98"/>
        <v>24</v>
      </c>
      <c r="J342">
        <f t="shared" si="99"/>
        <v>184</v>
      </c>
      <c r="K342" s="7">
        <f t="shared" si="100"/>
        <v>0.14673913043478262</v>
      </c>
      <c r="L342" s="7">
        <f t="shared" si="101"/>
        <v>57.537364130434781</v>
      </c>
      <c r="M342" s="4">
        <f t="shared" si="102"/>
        <v>5.3283408751204089</v>
      </c>
      <c r="N342" s="8">
        <f t="shared" si="103"/>
        <v>3.4087512040859025E-2</v>
      </c>
      <c r="O342" s="4">
        <f t="shared" si="104"/>
        <v>16.688565804313804</v>
      </c>
      <c r="P342">
        <f t="shared" si="105"/>
        <v>51</v>
      </c>
      <c r="Q342" s="4">
        <f t="shared" si="106"/>
        <v>25.454794520547946</v>
      </c>
      <c r="R342">
        <f t="shared" si="107"/>
        <v>1</v>
      </c>
      <c r="S342" s="7">
        <f>SUM(CashFlows!BN342:DU342)</f>
        <v>57.419880816188915</v>
      </c>
      <c r="T342" s="7">
        <f t="shared" si="108"/>
        <v>57.273141685754133</v>
      </c>
      <c r="U342" s="7">
        <f t="shared" si="109"/>
        <v>-0.11748331424586667</v>
      </c>
      <c r="V342" s="4">
        <f t="shared" si="110"/>
        <v>5.3405924588567171</v>
      </c>
      <c r="W342" s="8">
        <f t="shared" si="111"/>
        <v>1.2251583736308191</v>
      </c>
      <c r="X342" s="9">
        <f t="shared" si="112"/>
        <v>-1.2235091223273159E-4</v>
      </c>
      <c r="Y342" s="10">
        <f t="shared" si="113"/>
        <v>1.4969745724181591E-8</v>
      </c>
    </row>
    <row r="343" spans="1:25" x14ac:dyDescent="0.2">
      <c r="A343" s="3">
        <f>Data!A342</f>
        <v>55654</v>
      </c>
      <c r="B343" s="4">
        <f>Data!B342</f>
        <v>2.875</v>
      </c>
      <c r="C343" s="4">
        <f>Data!C342</f>
        <v>65.316000000000003</v>
      </c>
      <c r="D343" s="4">
        <f>Data!D342</f>
        <v>66.016000000000005</v>
      </c>
      <c r="E343" s="4">
        <f>Data!F342</f>
        <v>5.3120000000000003</v>
      </c>
      <c r="F343" s="7">
        <f t="shared" si="95"/>
        <v>66.0546875</v>
      </c>
      <c r="G343" s="3">
        <f t="shared" si="96"/>
        <v>46157</v>
      </c>
      <c r="H343" s="3">
        <f t="shared" si="97"/>
        <v>46341</v>
      </c>
      <c r="I343">
        <f t="shared" si="98"/>
        <v>116</v>
      </c>
      <c r="J343">
        <f t="shared" si="99"/>
        <v>184</v>
      </c>
      <c r="K343" s="7">
        <f t="shared" si="100"/>
        <v>0.90625</v>
      </c>
      <c r="L343" s="7">
        <f t="shared" si="101"/>
        <v>66.9609375</v>
      </c>
      <c r="M343" s="4">
        <f t="shared" si="102"/>
        <v>5.3117852439557982</v>
      </c>
      <c r="N343" s="8">
        <f t="shared" si="103"/>
        <v>-2.1475604420206906E-2</v>
      </c>
      <c r="O343" s="4">
        <f t="shared" si="104"/>
        <v>15.719015249250829</v>
      </c>
      <c r="P343">
        <f t="shared" si="105"/>
        <v>52</v>
      </c>
      <c r="Q343" s="4">
        <f t="shared" si="106"/>
        <v>25.701369863013699</v>
      </c>
      <c r="R343">
        <f t="shared" si="107"/>
        <v>1</v>
      </c>
      <c r="S343" s="7">
        <f>SUM(CashFlows!BN343:DU343)</f>
        <v>66.873495799693245</v>
      </c>
      <c r="T343" s="7">
        <f t="shared" si="108"/>
        <v>65.967245799693245</v>
      </c>
      <c r="U343" s="7">
        <f t="shared" si="109"/>
        <v>-8.744170030675491E-2</v>
      </c>
      <c r="V343" s="4">
        <f t="shared" si="110"/>
        <v>5.3201002330743083</v>
      </c>
      <c r="W343" s="8">
        <f t="shared" si="111"/>
        <v>0.8314989118510141</v>
      </c>
      <c r="X343" s="9">
        <f t="shared" si="112"/>
        <v>-8.307526459356246E-5</v>
      </c>
      <c r="Y343" s="10">
        <f t="shared" si="113"/>
        <v>6.9014995872904126E-9</v>
      </c>
    </row>
    <row r="344" spans="1:25" x14ac:dyDescent="0.2">
      <c r="A344" s="3">
        <f>Data!A343</f>
        <v>55746</v>
      </c>
      <c r="B344" s="4">
        <f>Data!B343</f>
        <v>3</v>
      </c>
      <c r="C344" s="4">
        <f>Data!C343</f>
        <v>67.19</v>
      </c>
      <c r="D344" s="4">
        <f>Data!D343</f>
        <v>67.209999999999994</v>
      </c>
      <c r="E344" s="4">
        <f>Data!F343</f>
        <v>5.3109999999999999</v>
      </c>
      <c r="F344" s="7">
        <f t="shared" si="95"/>
        <v>67.65625</v>
      </c>
      <c r="G344" s="3">
        <f t="shared" si="96"/>
        <v>46249</v>
      </c>
      <c r="H344" s="3">
        <f t="shared" si="97"/>
        <v>46433</v>
      </c>
      <c r="I344">
        <f t="shared" si="98"/>
        <v>24</v>
      </c>
      <c r="J344">
        <f t="shared" si="99"/>
        <v>184</v>
      </c>
      <c r="K344" s="7">
        <f t="shared" si="100"/>
        <v>0.19565217391304349</v>
      </c>
      <c r="L344" s="7">
        <f t="shared" si="101"/>
        <v>67.851902173913047</v>
      </c>
      <c r="M344" s="4">
        <f t="shared" si="102"/>
        <v>5.3112501578465237</v>
      </c>
      <c r="N344" s="8">
        <f t="shared" si="103"/>
        <v>2.5015784652371309E-2</v>
      </c>
      <c r="O344" s="4">
        <f t="shared" si="104"/>
        <v>15.809999795509917</v>
      </c>
      <c r="P344">
        <f t="shared" si="105"/>
        <v>52</v>
      </c>
      <c r="Q344" s="4">
        <f t="shared" si="106"/>
        <v>25.953424657534246</v>
      </c>
      <c r="R344">
        <f t="shared" si="107"/>
        <v>1</v>
      </c>
      <c r="S344" s="7">
        <f>SUM(CashFlows!BN344:DU344)</f>
        <v>67.79362101139742</v>
      </c>
      <c r="T344" s="7">
        <f t="shared" si="108"/>
        <v>67.597968837484373</v>
      </c>
      <c r="U344" s="7">
        <f t="shared" si="109"/>
        <v>-5.8281162515626761E-2</v>
      </c>
      <c r="V344" s="4">
        <f t="shared" si="110"/>
        <v>5.3166862892016855</v>
      </c>
      <c r="W344" s="8">
        <f t="shared" si="111"/>
        <v>0.54361313551618551</v>
      </c>
      <c r="X344" s="9">
        <f t="shared" si="112"/>
        <v>-5.4329325630924387E-5</v>
      </c>
      <c r="Y344" s="10">
        <f t="shared" si="113"/>
        <v>2.9516756235110176E-9</v>
      </c>
    </row>
    <row r="345" spans="1:25" x14ac:dyDescent="0.2">
      <c r="A345" s="3">
        <f>Data!A344</f>
        <v>55838</v>
      </c>
      <c r="B345" s="4">
        <f>Data!B344</f>
        <v>4</v>
      </c>
      <c r="C345" s="4">
        <f>Data!C344</f>
        <v>81.225999999999999</v>
      </c>
      <c r="D345" s="4">
        <f>Data!D344</f>
        <v>81.245999999999995</v>
      </c>
      <c r="E345" s="4">
        <f>Data!F344</f>
        <v>5.2939999999999996</v>
      </c>
      <c r="F345" s="7">
        <f t="shared" si="95"/>
        <v>81.7734375</v>
      </c>
      <c r="G345" s="3">
        <f t="shared" si="96"/>
        <v>46157</v>
      </c>
      <c r="H345" s="3">
        <f t="shared" si="97"/>
        <v>46341</v>
      </c>
      <c r="I345">
        <f t="shared" si="98"/>
        <v>116</v>
      </c>
      <c r="J345">
        <f t="shared" si="99"/>
        <v>184</v>
      </c>
      <c r="K345" s="7">
        <f t="shared" si="100"/>
        <v>1.2608695652173914</v>
      </c>
      <c r="L345" s="7">
        <f t="shared" si="101"/>
        <v>83.034307065217391</v>
      </c>
      <c r="M345" s="4">
        <f t="shared" si="102"/>
        <v>5.2940010166588545</v>
      </c>
      <c r="N345" s="8">
        <f t="shared" si="103"/>
        <v>1.0166588548798927E-4</v>
      </c>
      <c r="O345" s="4">
        <f t="shared" si="104"/>
        <v>14.725748079745609</v>
      </c>
      <c r="P345">
        <f t="shared" si="105"/>
        <v>53</v>
      </c>
      <c r="Q345" s="4">
        <f t="shared" si="106"/>
        <v>26.205479452054796</v>
      </c>
      <c r="R345">
        <f t="shared" si="107"/>
        <v>1</v>
      </c>
      <c r="S345" s="7">
        <f>SUM(CashFlows!BN345:DU345)</f>
        <v>83.049844373265898</v>
      </c>
      <c r="T345" s="7">
        <f t="shared" si="108"/>
        <v>81.788974808048508</v>
      </c>
      <c r="U345" s="7">
        <f t="shared" si="109"/>
        <v>1.5537308048507725E-2</v>
      </c>
      <c r="V345" s="4">
        <f t="shared" si="110"/>
        <v>5.2927304932597385</v>
      </c>
      <c r="W345" s="8">
        <f t="shared" si="111"/>
        <v>-0.12705233991159304</v>
      </c>
      <c r="X345" s="9">
        <f t="shared" si="112"/>
        <v>1.2706936043102122E-5</v>
      </c>
      <c r="Y345" s="10">
        <f t="shared" si="113"/>
        <v>1.6146622360348782E-10</v>
      </c>
    </row>
    <row r="346" spans="1:25" x14ac:dyDescent="0.2">
      <c r="A346" s="3">
        <f>Data!A345</f>
        <v>55930</v>
      </c>
      <c r="B346" s="4">
        <f>Data!B345</f>
        <v>3.625</v>
      </c>
      <c r="C346" s="4">
        <f>Data!C345</f>
        <v>76.096000000000004</v>
      </c>
      <c r="D346" s="4">
        <f>Data!D345</f>
        <v>76.116</v>
      </c>
      <c r="E346" s="4">
        <f>Data!F345</f>
        <v>5.2960000000000003</v>
      </c>
      <c r="F346" s="7">
        <f t="shared" si="95"/>
        <v>76.3671875</v>
      </c>
      <c r="G346" s="3">
        <f t="shared" si="96"/>
        <v>46249</v>
      </c>
      <c r="H346" s="3">
        <f t="shared" si="97"/>
        <v>46433</v>
      </c>
      <c r="I346">
        <f t="shared" si="98"/>
        <v>24</v>
      </c>
      <c r="J346">
        <f t="shared" si="99"/>
        <v>184</v>
      </c>
      <c r="K346" s="7">
        <f t="shared" si="100"/>
        <v>0.23641304347826086</v>
      </c>
      <c r="L346" s="7">
        <f t="shared" si="101"/>
        <v>76.603600543478265</v>
      </c>
      <c r="M346" s="4">
        <f t="shared" si="102"/>
        <v>5.2961543453646058</v>
      </c>
      <c r="N346" s="8">
        <f t="shared" si="103"/>
        <v>1.5434536460556814E-2</v>
      </c>
      <c r="O346" s="4">
        <f t="shared" si="104"/>
        <v>15.298757363971431</v>
      </c>
      <c r="P346">
        <f t="shared" si="105"/>
        <v>53</v>
      </c>
      <c r="Q346" s="4">
        <f t="shared" si="106"/>
        <v>26.457534246575342</v>
      </c>
      <c r="R346">
        <f t="shared" si="107"/>
        <v>1</v>
      </c>
      <c r="S346" s="7">
        <f>SUM(CashFlows!BN346:DU346)</f>
        <v>76.552607035311027</v>
      </c>
      <c r="T346" s="7">
        <f t="shared" si="108"/>
        <v>76.316193991832762</v>
      </c>
      <c r="U346" s="7">
        <f t="shared" si="109"/>
        <v>-5.0993508167238133E-2</v>
      </c>
      <c r="V346" s="4">
        <f t="shared" si="110"/>
        <v>5.3005075861326896</v>
      </c>
      <c r="W346" s="8">
        <f t="shared" si="111"/>
        <v>0.43532407680837437</v>
      </c>
      <c r="X346" s="9">
        <f t="shared" si="112"/>
        <v>-4.3512050624514278E-5</v>
      </c>
      <c r="Y346" s="10">
        <f t="shared" si="113"/>
        <v>1.8932985495502934E-9</v>
      </c>
    </row>
    <row r="347" spans="1:25" x14ac:dyDescent="0.2">
      <c r="A347" s="3">
        <f>Data!A346</f>
        <v>56019</v>
      </c>
      <c r="B347" s="4">
        <f>Data!B346</f>
        <v>3.625</v>
      </c>
      <c r="C347" s="4">
        <f>Data!C346</f>
        <v>76.069999999999993</v>
      </c>
      <c r="D347" s="4">
        <f>Data!D346</f>
        <v>76.09</v>
      </c>
      <c r="E347" s="4">
        <f>Data!F346</f>
        <v>5.2939999999999996</v>
      </c>
      <c r="F347" s="7">
        <f t="shared" si="95"/>
        <v>76.28125</v>
      </c>
      <c r="G347" s="3">
        <f t="shared" si="96"/>
        <v>46157</v>
      </c>
      <c r="H347" s="3">
        <f t="shared" si="97"/>
        <v>46341</v>
      </c>
      <c r="I347">
        <f t="shared" si="98"/>
        <v>116</v>
      </c>
      <c r="J347">
        <f t="shared" si="99"/>
        <v>184</v>
      </c>
      <c r="K347" s="7">
        <f t="shared" si="100"/>
        <v>1.142663043478261</v>
      </c>
      <c r="L347" s="7">
        <f t="shared" si="101"/>
        <v>77.423913043478265</v>
      </c>
      <c r="M347" s="4">
        <f t="shared" si="102"/>
        <v>5.2944713052046009</v>
      </c>
      <c r="N347" s="8">
        <f t="shared" si="103"/>
        <v>4.713052046012578E-2</v>
      </c>
      <c r="O347" s="4">
        <f t="shared" si="104"/>
        <v>15.187690981810315</v>
      </c>
      <c r="P347">
        <f t="shared" si="105"/>
        <v>54</v>
      </c>
      <c r="Q347" s="4">
        <f t="shared" si="106"/>
        <v>26.701369863013699</v>
      </c>
      <c r="R347">
        <f t="shared" si="107"/>
        <v>1</v>
      </c>
      <c r="S347" s="7">
        <f>SUM(CashFlows!BN347:DU347)</f>
        <v>77.37833904844419</v>
      </c>
      <c r="T347" s="7">
        <f t="shared" si="108"/>
        <v>76.235676004965924</v>
      </c>
      <c r="U347" s="7">
        <f t="shared" si="109"/>
        <v>-4.5573995034075665E-2</v>
      </c>
      <c r="V347" s="4">
        <f t="shared" si="110"/>
        <v>5.2983486321201054</v>
      </c>
      <c r="W347" s="8">
        <f t="shared" si="111"/>
        <v>0.38773269155045753</v>
      </c>
      <c r="X347" s="9">
        <f t="shared" si="112"/>
        <v>-3.8757007013341929E-5</v>
      </c>
      <c r="Y347" s="10">
        <f t="shared" si="113"/>
        <v>1.5021055926322354E-9</v>
      </c>
    </row>
    <row r="348" spans="1:25" x14ac:dyDescent="0.2">
      <c r="A348" s="3">
        <f>Data!A347</f>
        <v>56111</v>
      </c>
      <c r="B348" s="4">
        <f>Data!B347</f>
        <v>4.125</v>
      </c>
      <c r="C348" s="4">
        <f>Data!C347</f>
        <v>83.12</v>
      </c>
      <c r="D348" s="4">
        <f>Data!D347</f>
        <v>83.14</v>
      </c>
      <c r="E348" s="4">
        <f>Data!F347</f>
        <v>5.2850000000000001</v>
      </c>
      <c r="F348" s="7">
        <f t="shared" si="95"/>
        <v>83.4375</v>
      </c>
      <c r="G348" s="3">
        <f t="shared" si="96"/>
        <v>46249</v>
      </c>
      <c r="H348" s="3">
        <f t="shared" si="97"/>
        <v>46433</v>
      </c>
      <c r="I348">
        <f t="shared" si="98"/>
        <v>24</v>
      </c>
      <c r="J348">
        <f t="shared" si="99"/>
        <v>184</v>
      </c>
      <c r="K348" s="7">
        <f t="shared" si="100"/>
        <v>0.26902173913043476</v>
      </c>
      <c r="L348" s="7">
        <f t="shared" si="101"/>
        <v>83.706521739130437</v>
      </c>
      <c r="M348" s="4">
        <f t="shared" si="102"/>
        <v>5.2846798034015414</v>
      </c>
      <c r="N348" s="8">
        <f t="shared" si="103"/>
        <v>-3.2019659845872184E-2</v>
      </c>
      <c r="O348" s="4">
        <f t="shared" si="104"/>
        <v>15.004143090798795</v>
      </c>
      <c r="P348">
        <f t="shared" si="105"/>
        <v>54</v>
      </c>
      <c r="Q348" s="4">
        <f t="shared" si="106"/>
        <v>26.953424657534246</v>
      </c>
      <c r="R348">
        <f t="shared" si="107"/>
        <v>1</v>
      </c>
      <c r="S348" s="7">
        <f>SUM(CashFlows!BN348:DU348)</f>
        <v>83.662454920889587</v>
      </c>
      <c r="T348" s="7">
        <f t="shared" si="108"/>
        <v>83.39343318175915</v>
      </c>
      <c r="U348" s="7">
        <f t="shared" si="109"/>
        <v>-4.4066818240850125E-2</v>
      </c>
      <c r="V348" s="4">
        <f t="shared" si="110"/>
        <v>5.2881897835075433</v>
      </c>
      <c r="W348" s="8">
        <f t="shared" si="111"/>
        <v>0.35099801060018976</v>
      </c>
      <c r="X348" s="9">
        <f t="shared" si="112"/>
        <v>-3.5086593146723973E-5</v>
      </c>
      <c r="Y348" s="10">
        <f t="shared" si="113"/>
        <v>1.2310690186437377E-9</v>
      </c>
    </row>
    <row r="349" spans="1:25" x14ac:dyDescent="0.2">
      <c r="A349" s="3">
        <f>Data!A348</f>
        <v>56203</v>
      </c>
      <c r="B349" s="4">
        <f>Data!B348</f>
        <v>4.75</v>
      </c>
      <c r="C349" s="4">
        <f>Data!C348</f>
        <v>92.126000000000005</v>
      </c>
      <c r="D349" s="4">
        <f>Data!D348</f>
        <v>92.146000000000001</v>
      </c>
      <c r="E349" s="4">
        <f>Data!F348</f>
        <v>5.2750000000000004</v>
      </c>
      <c r="F349" s="7">
        <f t="shared" si="95"/>
        <v>92.4609375</v>
      </c>
      <c r="G349" s="3">
        <f t="shared" si="96"/>
        <v>46157</v>
      </c>
      <c r="H349" s="3">
        <f t="shared" si="97"/>
        <v>46341</v>
      </c>
      <c r="I349">
        <f t="shared" si="98"/>
        <v>116</v>
      </c>
      <c r="J349">
        <f t="shared" si="99"/>
        <v>184</v>
      </c>
      <c r="K349" s="7">
        <f t="shared" si="100"/>
        <v>1.4972826086956521</v>
      </c>
      <c r="L349" s="7">
        <f t="shared" si="101"/>
        <v>93.958220108695656</v>
      </c>
      <c r="M349" s="4">
        <f t="shared" si="102"/>
        <v>5.2747045103145753</v>
      </c>
      <c r="N349" s="8">
        <f t="shared" si="103"/>
        <v>-2.9548968542503218E-2</v>
      </c>
      <c r="O349" s="4">
        <f t="shared" si="104"/>
        <v>14.440169982719539</v>
      </c>
      <c r="P349">
        <f t="shared" si="105"/>
        <v>55</v>
      </c>
      <c r="Q349" s="4">
        <f t="shared" si="106"/>
        <v>27.205479452054796</v>
      </c>
      <c r="R349">
        <f t="shared" si="107"/>
        <v>1</v>
      </c>
      <c r="S349" s="7">
        <f>SUM(CashFlows!BN349:DU349)</f>
        <v>93.937139610264083</v>
      </c>
      <c r="T349" s="7">
        <f t="shared" si="108"/>
        <v>92.439857001568427</v>
      </c>
      <c r="U349" s="7">
        <f t="shared" si="109"/>
        <v>-2.1080498431572892E-2</v>
      </c>
      <c r="V349" s="4">
        <f t="shared" si="110"/>
        <v>5.2762584899917266</v>
      </c>
      <c r="W349" s="8">
        <f t="shared" si="111"/>
        <v>0.15539796771513181</v>
      </c>
      <c r="X349" s="9">
        <f t="shared" si="112"/>
        <v>-1.5537236932340599E-5</v>
      </c>
      <c r="Y349" s="10">
        <f t="shared" si="113"/>
        <v>2.4140573149168871E-10</v>
      </c>
    </row>
    <row r="350" spans="1:25" x14ac:dyDescent="0.2">
      <c r="A350" s="3">
        <f>Data!A349</f>
        <v>56295</v>
      </c>
      <c r="B350" s="4">
        <f>Data!B349</f>
        <v>4.25</v>
      </c>
      <c r="C350" s="4">
        <f>Data!C349</f>
        <v>85.034000000000006</v>
      </c>
      <c r="D350" s="4">
        <f>Data!D349</f>
        <v>85.054000000000002</v>
      </c>
      <c r="E350" s="4">
        <f>Data!F349</f>
        <v>5.2789999999999999</v>
      </c>
      <c r="F350" s="7">
        <f t="shared" si="95"/>
        <v>85.171875</v>
      </c>
      <c r="G350" s="3">
        <f t="shared" si="96"/>
        <v>46249</v>
      </c>
      <c r="H350" s="3">
        <f t="shared" si="97"/>
        <v>46433</v>
      </c>
      <c r="I350">
        <f t="shared" si="98"/>
        <v>24</v>
      </c>
      <c r="J350">
        <f t="shared" si="99"/>
        <v>184</v>
      </c>
      <c r="K350" s="7">
        <f t="shared" si="100"/>
        <v>0.27717391304347827</v>
      </c>
      <c r="L350" s="7">
        <f t="shared" si="101"/>
        <v>85.449048913043484</v>
      </c>
      <c r="M350" s="4">
        <f t="shared" si="102"/>
        <v>5.2789763635659783</v>
      </c>
      <c r="N350" s="8">
        <f t="shared" si="103"/>
        <v>-2.3636434021589992E-3</v>
      </c>
      <c r="O350" s="4">
        <f t="shared" si="104"/>
        <v>15.034971293615873</v>
      </c>
      <c r="P350">
        <f t="shared" si="105"/>
        <v>55</v>
      </c>
      <c r="Q350" s="4">
        <f t="shared" si="106"/>
        <v>27.457534246575342</v>
      </c>
      <c r="R350">
        <f t="shared" si="107"/>
        <v>1</v>
      </c>
      <c r="S350" s="7">
        <f>SUM(CashFlows!BN350:DU350)</f>
        <v>85.382987573707695</v>
      </c>
      <c r="T350" s="7">
        <f t="shared" si="108"/>
        <v>85.105813660664211</v>
      </c>
      <c r="U350" s="7">
        <f t="shared" si="109"/>
        <v>-6.6061339335789171E-2</v>
      </c>
      <c r="V350" s="4">
        <f t="shared" si="110"/>
        <v>5.2841212930457724</v>
      </c>
      <c r="W350" s="8">
        <f t="shared" si="111"/>
        <v>0.51449294797940581</v>
      </c>
      <c r="X350" s="9">
        <f t="shared" si="112"/>
        <v>-5.1420647131724637E-5</v>
      </c>
      <c r="Y350" s="10">
        <f t="shared" si="113"/>
        <v>2.6440829514453413E-9</v>
      </c>
    </row>
    <row r="351" spans="1:25" x14ac:dyDescent="0.2">
      <c r="A351" s="3">
        <f>Data!A350</f>
        <v>56384</v>
      </c>
      <c r="B351" s="4">
        <f>Data!B350</f>
        <v>4.625</v>
      </c>
      <c r="C351" s="4">
        <f>Data!C350</f>
        <v>90.194000000000003</v>
      </c>
      <c r="D351" s="4">
        <f>Data!D350</f>
        <v>90.213999999999999</v>
      </c>
      <c r="E351" s="4">
        <f>Data!F350</f>
        <v>5.2690000000000001</v>
      </c>
      <c r="F351" s="7">
        <f t="shared" si="95"/>
        <v>90.671875</v>
      </c>
      <c r="G351" s="3">
        <f t="shared" si="96"/>
        <v>46157</v>
      </c>
      <c r="H351" s="3">
        <f t="shared" si="97"/>
        <v>46341</v>
      </c>
      <c r="I351">
        <f t="shared" si="98"/>
        <v>116</v>
      </c>
      <c r="J351">
        <f t="shared" si="99"/>
        <v>184</v>
      </c>
      <c r="K351" s="7">
        <f t="shared" si="100"/>
        <v>1.4578804347826086</v>
      </c>
      <c r="L351" s="7">
        <f t="shared" si="101"/>
        <v>92.129755434782609</v>
      </c>
      <c r="M351" s="4">
        <f t="shared" si="102"/>
        <v>5.2686304286757837</v>
      </c>
      <c r="N351" s="8">
        <f t="shared" si="103"/>
        <v>-3.6957132421644445E-2</v>
      </c>
      <c r="O351" s="4">
        <f t="shared" si="104"/>
        <v>14.648012908808088</v>
      </c>
      <c r="P351">
        <f t="shared" si="105"/>
        <v>56</v>
      </c>
      <c r="Q351" s="4">
        <f t="shared" si="106"/>
        <v>27.701369863013699</v>
      </c>
      <c r="R351">
        <f t="shared" si="107"/>
        <v>1</v>
      </c>
      <c r="S351" s="7">
        <f>SUM(CashFlows!BN351:DU351)</f>
        <v>92.033983973555337</v>
      </c>
      <c r="T351" s="7">
        <f t="shared" si="108"/>
        <v>90.576103538772728</v>
      </c>
      <c r="U351" s="7">
        <f t="shared" si="109"/>
        <v>-9.5771461227272425E-2</v>
      </c>
      <c r="V351" s="4">
        <f t="shared" si="110"/>
        <v>5.2757325809366051</v>
      </c>
      <c r="W351" s="8">
        <f t="shared" si="111"/>
        <v>0.71021522608214482</v>
      </c>
      <c r="X351" s="9">
        <f t="shared" si="112"/>
        <v>-7.0967169087607455E-5</v>
      </c>
      <c r="Y351" s="10">
        <f t="shared" si="113"/>
        <v>5.0363390883090669E-9</v>
      </c>
    </row>
    <row r="352" spans="1:25" x14ac:dyDescent="0.2">
      <c r="A352" s="3">
        <f>Data!A351</f>
        <v>56476</v>
      </c>
      <c r="B352" s="4">
        <f>Data!B351</f>
        <v>4.25</v>
      </c>
      <c r="C352" s="4">
        <f>Data!C351</f>
        <v>85.025999999999996</v>
      </c>
      <c r="D352" s="4">
        <f>Data!D351</f>
        <v>85.046000000000006</v>
      </c>
      <c r="E352" s="4">
        <f>Data!F351</f>
        <v>5.2720000000000002</v>
      </c>
      <c r="F352" s="7">
        <f t="shared" si="95"/>
        <v>85.1484375</v>
      </c>
      <c r="G352" s="3">
        <f t="shared" si="96"/>
        <v>46249</v>
      </c>
      <c r="H352" s="3">
        <f t="shared" si="97"/>
        <v>46433</v>
      </c>
      <c r="I352">
        <f t="shared" si="98"/>
        <v>24</v>
      </c>
      <c r="J352">
        <f t="shared" si="99"/>
        <v>184</v>
      </c>
      <c r="K352" s="7">
        <f t="shared" si="100"/>
        <v>0.27717391304347827</v>
      </c>
      <c r="L352" s="7">
        <f t="shared" si="101"/>
        <v>85.425611413043484</v>
      </c>
      <c r="M352" s="4">
        <f t="shared" si="102"/>
        <v>5.2715138126600598</v>
      </c>
      <c r="N352" s="8">
        <f t="shared" si="103"/>
        <v>-4.8618733994043595E-2</v>
      </c>
      <c r="O352" s="4">
        <f t="shared" si="104"/>
        <v>15.16219659948214</v>
      </c>
      <c r="P352">
        <f t="shared" si="105"/>
        <v>56</v>
      </c>
      <c r="Q352" s="4">
        <f t="shared" si="106"/>
        <v>27.953424657534246</v>
      </c>
      <c r="R352">
        <f t="shared" si="107"/>
        <v>1</v>
      </c>
      <c r="S352" s="7">
        <f>SUM(CashFlows!BN352:DU352)</f>
        <v>85.301822905670207</v>
      </c>
      <c r="T352" s="7">
        <f t="shared" si="108"/>
        <v>85.024648992626723</v>
      </c>
      <c r="U352" s="7">
        <f t="shared" si="109"/>
        <v>-0.12378850737327696</v>
      </c>
      <c r="V352" s="4">
        <f t="shared" si="110"/>
        <v>5.2810810330468909</v>
      </c>
      <c r="W352" s="8">
        <f t="shared" si="111"/>
        <v>0.95672203868311101</v>
      </c>
      <c r="X352" s="9">
        <f t="shared" si="112"/>
        <v>-9.557187510328752E-5</v>
      </c>
      <c r="Y352" s="10">
        <f t="shared" si="113"/>
        <v>9.1339833107583894E-9</v>
      </c>
    </row>
    <row r="353" spans="1:25" x14ac:dyDescent="0.2">
      <c r="A353" s="3">
        <f>Data!A352</f>
        <v>56568</v>
      </c>
      <c r="B353" s="4">
        <f>Data!B352</f>
        <v>4.5</v>
      </c>
      <c r="C353" s="4">
        <f>Data!C352</f>
        <v>88.233999999999995</v>
      </c>
      <c r="D353" s="4">
        <f>Data!D352</f>
        <v>88.254000000000005</v>
      </c>
      <c r="E353" s="4">
        <f>Data!F352</f>
        <v>5.2670000000000003</v>
      </c>
      <c r="F353" s="7">
        <f t="shared" si="95"/>
        <v>88.796875</v>
      </c>
      <c r="G353" s="3">
        <f t="shared" si="96"/>
        <v>46157</v>
      </c>
      <c r="H353" s="3">
        <f t="shared" si="97"/>
        <v>46341</v>
      </c>
      <c r="I353">
        <f t="shared" si="98"/>
        <v>116</v>
      </c>
      <c r="J353">
        <f t="shared" si="99"/>
        <v>184</v>
      </c>
      <c r="K353" s="7">
        <f t="shared" si="100"/>
        <v>1.4184782608695652</v>
      </c>
      <c r="L353" s="7">
        <f t="shared" si="101"/>
        <v>90.215353260869563</v>
      </c>
      <c r="M353" s="4">
        <f t="shared" si="102"/>
        <v>5.26685289513531</v>
      </c>
      <c r="N353" s="8">
        <f t="shared" si="103"/>
        <v>-1.4710486469038386E-2</v>
      </c>
      <c r="O353" s="4">
        <f t="shared" si="104"/>
        <v>14.852818914777156</v>
      </c>
      <c r="P353">
        <f t="shared" si="105"/>
        <v>57</v>
      </c>
      <c r="Q353" s="4">
        <f t="shared" si="106"/>
        <v>28.205479452054796</v>
      </c>
      <c r="R353">
        <f t="shared" si="107"/>
        <v>1</v>
      </c>
      <c r="S353" s="7">
        <f>SUM(CashFlows!BN353:DU353)</f>
        <v>90.102126350172398</v>
      </c>
      <c r="T353" s="7">
        <f t="shared" si="108"/>
        <v>88.683648089302835</v>
      </c>
      <c r="U353" s="7">
        <f t="shared" si="109"/>
        <v>-0.11322691069716484</v>
      </c>
      <c r="V353" s="4">
        <f t="shared" si="110"/>
        <v>5.2753107992162116</v>
      </c>
      <c r="W353" s="8">
        <f t="shared" si="111"/>
        <v>0.84579040809016348</v>
      </c>
      <c r="X353" s="9">
        <f t="shared" si="112"/>
        <v>-8.4500702187629989E-5</v>
      </c>
      <c r="Y353" s="10">
        <f t="shared" si="113"/>
        <v>7.1403686702025355E-9</v>
      </c>
    </row>
    <row r="354" spans="1:25" x14ac:dyDescent="0.2">
      <c r="A354" s="3">
        <f>Data!A353</f>
        <v>56660</v>
      </c>
      <c r="B354" s="4">
        <f>Data!B353</f>
        <v>4.625</v>
      </c>
      <c r="C354" s="4">
        <f>Data!C353</f>
        <v>90.191999999999993</v>
      </c>
      <c r="D354" s="4">
        <f>Data!D353</f>
        <v>90.212000000000003</v>
      </c>
      <c r="E354" s="4">
        <f>Data!F353</f>
        <v>5.2610000000000001</v>
      </c>
      <c r="F354" s="7">
        <f t="shared" si="95"/>
        <v>90.6640625</v>
      </c>
      <c r="G354" s="3">
        <f t="shared" si="96"/>
        <v>46249</v>
      </c>
      <c r="H354" s="3">
        <f t="shared" si="97"/>
        <v>46433</v>
      </c>
      <c r="I354">
        <f t="shared" si="98"/>
        <v>24</v>
      </c>
      <c r="J354">
        <f t="shared" si="99"/>
        <v>184</v>
      </c>
      <c r="K354" s="7">
        <f t="shared" si="100"/>
        <v>0.3016304347826087</v>
      </c>
      <c r="L354" s="7">
        <f t="shared" si="101"/>
        <v>90.965692934782609</v>
      </c>
      <c r="M354" s="4">
        <f t="shared" si="102"/>
        <v>5.2613525332129285</v>
      </c>
      <c r="N354" s="8">
        <f t="shared" si="103"/>
        <v>3.5253321292838535E-2</v>
      </c>
      <c r="O354" s="4">
        <f t="shared" si="104"/>
        <v>15.014282165373061</v>
      </c>
      <c r="P354">
        <f t="shared" si="105"/>
        <v>57</v>
      </c>
      <c r="Q354" s="4">
        <f t="shared" si="106"/>
        <v>28.457534246575342</v>
      </c>
      <c r="R354">
        <f t="shared" si="107"/>
        <v>1</v>
      </c>
      <c r="S354" s="7">
        <f>SUM(CashFlows!BN354:DU354)</f>
        <v>90.810489620804688</v>
      </c>
      <c r="T354" s="7">
        <f t="shared" si="108"/>
        <v>90.508859186022079</v>
      </c>
      <c r="U354" s="7">
        <f t="shared" si="109"/>
        <v>-0.1552033139779212</v>
      </c>
      <c r="V354" s="4">
        <f t="shared" si="110"/>
        <v>5.272730421170591</v>
      </c>
      <c r="W354" s="8">
        <f t="shared" si="111"/>
        <v>1.137788795766248</v>
      </c>
      <c r="X354" s="9">
        <f t="shared" si="112"/>
        <v>-1.1363674486197941E-4</v>
      </c>
      <c r="Y354" s="10">
        <f t="shared" si="113"/>
        <v>1.2913309782826603E-8</v>
      </c>
    </row>
    <row r="355" spans="1:25" x14ac:dyDescent="0.2">
      <c r="A355" s="3">
        <f>Data!A354</f>
        <v>56749</v>
      </c>
      <c r="B355" s="4">
        <f>Data!B354</f>
        <v>4.75</v>
      </c>
      <c r="C355" s="4">
        <f>Data!C354</f>
        <v>92.135999999999996</v>
      </c>
      <c r="D355" s="4">
        <f>Data!D354</f>
        <v>92.156000000000006</v>
      </c>
      <c r="E355" s="4">
        <f>Data!F354</f>
        <v>5.2590000000000003</v>
      </c>
      <c r="F355" s="7">
        <f t="shared" si="95"/>
        <v>92.4921875</v>
      </c>
      <c r="G355" s="3">
        <f t="shared" si="96"/>
        <v>46157</v>
      </c>
      <c r="H355" s="3">
        <f t="shared" si="97"/>
        <v>46341</v>
      </c>
      <c r="I355">
        <f t="shared" si="98"/>
        <v>116</v>
      </c>
      <c r="J355">
        <f t="shared" si="99"/>
        <v>184</v>
      </c>
      <c r="K355" s="7">
        <f t="shared" si="100"/>
        <v>1.4972826086956521</v>
      </c>
      <c r="L355" s="7">
        <f t="shared" si="101"/>
        <v>93.989470108695656</v>
      </c>
      <c r="M355" s="4">
        <f t="shared" si="102"/>
        <v>5.2593862972742915</v>
      </c>
      <c r="N355" s="8">
        <f t="shared" si="103"/>
        <v>3.8629727429118077E-2</v>
      </c>
      <c r="O355" s="4">
        <f t="shared" si="104"/>
        <v>14.800211275632638</v>
      </c>
      <c r="P355">
        <f t="shared" si="105"/>
        <v>58</v>
      </c>
      <c r="Q355" s="4">
        <f t="shared" si="106"/>
        <v>28.701369863013699</v>
      </c>
      <c r="R355">
        <f t="shared" si="107"/>
        <v>1</v>
      </c>
      <c r="S355" s="7">
        <f>SUM(CashFlows!BN355:DU355)</f>
        <v>93.864314957990644</v>
      </c>
      <c r="T355" s="7">
        <f t="shared" si="108"/>
        <v>92.367032349294988</v>
      </c>
      <c r="U355" s="7">
        <f t="shared" si="109"/>
        <v>-0.12515515070501237</v>
      </c>
      <c r="V355" s="4">
        <f t="shared" si="110"/>
        <v>5.268392307529858</v>
      </c>
      <c r="W355" s="8">
        <f t="shared" si="111"/>
        <v>0.90060102555664656</v>
      </c>
      <c r="X355" s="9">
        <f t="shared" si="112"/>
        <v>-8.9970806036996121E-5</v>
      </c>
      <c r="Y355" s="10">
        <f t="shared" si="113"/>
        <v>8.0947459389467775E-9</v>
      </c>
    </row>
    <row r="356" spans="1:25" x14ac:dyDescent="0.2">
      <c r="A356" s="3">
        <f>Data!A355</f>
        <v>56841</v>
      </c>
      <c r="B356" s="4">
        <f>Data!B355</f>
        <v>4.75</v>
      </c>
      <c r="C356" s="4">
        <f>Data!C355</f>
        <v>92.134</v>
      </c>
      <c r="D356" s="4">
        <f>Data!D355</f>
        <v>92.153999999999996</v>
      </c>
      <c r="E356" s="4">
        <f>Data!F355</f>
        <v>5.258</v>
      </c>
      <c r="F356" s="7">
        <f t="shared" si="95"/>
        <v>92.484375</v>
      </c>
      <c r="G356" s="3">
        <f t="shared" si="96"/>
        <v>46249</v>
      </c>
      <c r="H356" s="3">
        <f t="shared" si="97"/>
        <v>46433</v>
      </c>
      <c r="I356">
        <f t="shared" si="98"/>
        <v>24</v>
      </c>
      <c r="J356">
        <f t="shared" si="99"/>
        <v>184</v>
      </c>
      <c r="K356" s="7">
        <f t="shared" si="100"/>
        <v>0.30978260869565216</v>
      </c>
      <c r="L356" s="7">
        <f t="shared" si="101"/>
        <v>92.794157608695656</v>
      </c>
      <c r="M356" s="4">
        <f t="shared" si="102"/>
        <v>5.2581932912808531</v>
      </c>
      <c r="N356" s="8">
        <f t="shared" si="103"/>
        <v>1.9329128085310288E-2</v>
      </c>
      <c r="O356" s="4">
        <f t="shared" si="104"/>
        <v>15.045084779168489</v>
      </c>
      <c r="P356">
        <f t="shared" si="105"/>
        <v>58</v>
      </c>
      <c r="Q356" s="4">
        <f t="shared" si="106"/>
        <v>28.953424657534246</v>
      </c>
      <c r="R356">
        <f t="shared" si="107"/>
        <v>1</v>
      </c>
      <c r="S356" s="7">
        <f>SUM(CashFlows!BN356:DU356)</f>
        <v>92.664212357484274</v>
      </c>
      <c r="T356" s="7">
        <f t="shared" si="108"/>
        <v>92.354429748788618</v>
      </c>
      <c r="U356" s="7">
        <f t="shared" si="109"/>
        <v>-0.12994525121138167</v>
      </c>
      <c r="V356" s="4">
        <f t="shared" si="110"/>
        <v>5.2675106665741085</v>
      </c>
      <c r="W356" s="8">
        <f t="shared" si="111"/>
        <v>0.93173752932553811</v>
      </c>
      <c r="X356" s="9">
        <f t="shared" si="112"/>
        <v>-9.3077592205730828E-5</v>
      </c>
      <c r="Y356" s="10">
        <f t="shared" si="113"/>
        <v>8.6634381708163238E-9</v>
      </c>
    </row>
    <row r="357" spans="1:25" x14ac:dyDescent="0.2">
      <c r="A357" s="3">
        <f>Data!A356</f>
        <v>56933</v>
      </c>
      <c r="B357" s="4">
        <f>Data!B356</f>
        <v>4.625</v>
      </c>
      <c r="C357" s="4">
        <f>Data!C356</f>
        <v>90.183999999999997</v>
      </c>
      <c r="D357" s="4">
        <f>Data!D356</f>
        <v>90.203999999999994</v>
      </c>
      <c r="E357" s="4">
        <f>Data!F356</f>
        <v>5.2549999999999999</v>
      </c>
      <c r="F357" s="7">
        <f t="shared" si="95"/>
        <v>90.640625</v>
      </c>
      <c r="G357" s="3">
        <f t="shared" si="96"/>
        <v>46157</v>
      </c>
      <c r="H357" s="3">
        <f t="shared" si="97"/>
        <v>46341</v>
      </c>
      <c r="I357">
        <f t="shared" si="98"/>
        <v>116</v>
      </c>
      <c r="J357">
        <f t="shared" si="99"/>
        <v>184</v>
      </c>
      <c r="K357" s="7">
        <f t="shared" si="100"/>
        <v>1.4578804347826086</v>
      </c>
      <c r="L357" s="7">
        <f t="shared" si="101"/>
        <v>92.098505434782609</v>
      </c>
      <c r="M357" s="4">
        <f t="shared" si="102"/>
        <v>5.2551446163948796</v>
      </c>
      <c r="N357" s="8">
        <f t="shared" si="103"/>
        <v>1.4461639487972633E-2</v>
      </c>
      <c r="O357" s="4">
        <f t="shared" si="104"/>
        <v>14.99878303623437</v>
      </c>
      <c r="P357">
        <f t="shared" si="105"/>
        <v>59</v>
      </c>
      <c r="Q357" s="4">
        <f t="shared" si="106"/>
        <v>29.205479452054796</v>
      </c>
      <c r="R357">
        <f t="shared" si="107"/>
        <v>1</v>
      </c>
      <c r="S357" s="7">
        <f>SUM(CashFlows!BN357:DU357)</f>
        <v>91.935647012799294</v>
      </c>
      <c r="T357" s="7">
        <f t="shared" si="108"/>
        <v>90.477766578016684</v>
      </c>
      <c r="U357" s="7">
        <f t="shared" si="109"/>
        <v>-0.16285842198331579</v>
      </c>
      <c r="V357" s="4">
        <f t="shared" si="110"/>
        <v>5.2669498680576599</v>
      </c>
      <c r="W357" s="8">
        <f t="shared" si="111"/>
        <v>1.1805251662780236</v>
      </c>
      <c r="X357" s="9">
        <f t="shared" si="112"/>
        <v>-1.1789669125806426E-4</v>
      </c>
      <c r="Y357" s="10">
        <f t="shared" si="113"/>
        <v>1.3899629809599325E-8</v>
      </c>
    </row>
    <row r="358" spans="1:25" x14ac:dyDescent="0.2">
      <c r="A358" s="3">
        <f>Data!A357</f>
        <v>57025</v>
      </c>
      <c r="B358" s="4">
        <f>Data!B357</f>
        <v>4.75</v>
      </c>
      <c r="C358" s="4">
        <f>Data!C357</f>
        <v>92.156000000000006</v>
      </c>
      <c r="D358" s="4">
        <f>Data!D357</f>
        <v>92.176000000000002</v>
      </c>
      <c r="E358" s="4">
        <f>Data!F357</f>
        <v>5.2489999999999997</v>
      </c>
      <c r="F358" s="7">
        <f t="shared" si="95"/>
        <v>92.5546875</v>
      </c>
      <c r="G358" s="3">
        <f t="shared" si="96"/>
        <v>46249</v>
      </c>
      <c r="H358" s="3">
        <f t="shared" si="97"/>
        <v>46433</v>
      </c>
      <c r="I358">
        <f t="shared" si="98"/>
        <v>24</v>
      </c>
      <c r="J358">
        <f t="shared" si="99"/>
        <v>184</v>
      </c>
      <c r="K358" s="7">
        <f t="shared" si="100"/>
        <v>0.30978260869565216</v>
      </c>
      <c r="L358" s="7">
        <f t="shared" si="101"/>
        <v>92.864470108695656</v>
      </c>
      <c r="M358" s="4">
        <f t="shared" si="102"/>
        <v>5.2492751564568465</v>
      </c>
      <c r="N358" s="8">
        <f t="shared" si="103"/>
        <v>2.7515645684683676E-2</v>
      </c>
      <c r="O358" s="4">
        <f t="shared" si="104"/>
        <v>15.163828199957454</v>
      </c>
      <c r="P358">
        <f t="shared" si="105"/>
        <v>59</v>
      </c>
      <c r="Q358" s="4">
        <f t="shared" si="106"/>
        <v>29.457534246575342</v>
      </c>
      <c r="R358">
        <f t="shared" si="107"/>
        <v>1</v>
      </c>
      <c r="S358" s="7">
        <f>SUM(CashFlows!BN358:DU358)</f>
        <v>92.653818701974089</v>
      </c>
      <c r="T358" s="7">
        <f t="shared" si="108"/>
        <v>92.344036093278433</v>
      </c>
      <c r="U358" s="7">
        <f t="shared" si="109"/>
        <v>-0.21065140672156701</v>
      </c>
      <c r="V358" s="4">
        <f t="shared" si="110"/>
        <v>5.2642594342343711</v>
      </c>
      <c r="W358" s="8">
        <f t="shared" si="111"/>
        <v>1.4984277777524646</v>
      </c>
      <c r="X358" s="9">
        <f t="shared" si="112"/>
        <v>-1.4959115772575718E-4</v>
      </c>
      <c r="Y358" s="10">
        <f t="shared" si="113"/>
        <v>2.2377514469732362E-8</v>
      </c>
    </row>
    <row r="359" spans="1:25" x14ac:dyDescent="0.2">
      <c r="A359" s="3">
        <f>Data!A358</f>
        <v>57115</v>
      </c>
      <c r="B359" s="4">
        <f>Data!B358</f>
        <v>5</v>
      </c>
      <c r="C359" s="4">
        <f>Data!C358</f>
        <v>96.09</v>
      </c>
      <c r="D359" s="4">
        <f>Data!D358</f>
        <v>96.11</v>
      </c>
      <c r="E359" s="4">
        <f>Data!F358</f>
        <v>5.2439999999999998</v>
      </c>
      <c r="F359" s="7">
        <f t="shared" si="95"/>
        <v>96.34375</v>
      </c>
      <c r="G359" s="3">
        <f t="shared" si="96"/>
        <v>46157</v>
      </c>
      <c r="H359" s="3">
        <f t="shared" si="97"/>
        <v>46341</v>
      </c>
      <c r="I359">
        <f t="shared" si="98"/>
        <v>116</v>
      </c>
      <c r="J359">
        <f t="shared" si="99"/>
        <v>184</v>
      </c>
      <c r="K359" s="7">
        <f t="shared" si="100"/>
        <v>1.576086956521739</v>
      </c>
      <c r="L359" s="7">
        <f t="shared" si="101"/>
        <v>97.919836956521735</v>
      </c>
      <c r="M359" s="4">
        <f t="shared" si="102"/>
        <v>5.2437702435748124</v>
      </c>
      <c r="N359" s="8">
        <f t="shared" si="103"/>
        <v>-2.2975642518741068E-2</v>
      </c>
      <c r="O359" s="4">
        <f t="shared" si="104"/>
        <v>14.872047261492183</v>
      </c>
      <c r="P359">
        <f t="shared" si="105"/>
        <v>60</v>
      </c>
      <c r="Q359" s="4">
        <f t="shared" si="106"/>
        <v>29.704109589041096</v>
      </c>
      <c r="R359">
        <f t="shared" si="107"/>
        <v>1</v>
      </c>
      <c r="S359" s="7">
        <f>SUM(CashFlows!BN359:DU359)</f>
        <v>97.703486382897751</v>
      </c>
      <c r="T359" s="7">
        <f t="shared" si="108"/>
        <v>96.127399426376016</v>
      </c>
      <c r="U359" s="7">
        <f t="shared" si="109"/>
        <v>-0.21635057362398413</v>
      </c>
      <c r="V359" s="4">
        <f t="shared" si="110"/>
        <v>5.2586515438390231</v>
      </c>
      <c r="W359" s="8">
        <f t="shared" si="111"/>
        <v>1.4881300264210751</v>
      </c>
      <c r="X359" s="9">
        <f t="shared" si="112"/>
        <v>-1.4856503596968562E-4</v>
      </c>
      <c r="Y359" s="10">
        <f t="shared" si="113"/>
        <v>2.207156991267398E-8</v>
      </c>
    </row>
    <row r="360" spans="1:25" x14ac:dyDescent="0.2">
      <c r="A360" s="3">
        <f>Data!A359</f>
        <v>57207</v>
      </c>
      <c r="B360" s="4">
        <f>Data!B359</f>
        <v>5.125</v>
      </c>
      <c r="C360" s="4">
        <f>Data!C359</f>
        <v>98.06</v>
      </c>
      <c r="D360" s="4">
        <f>Data!D359</f>
        <v>98.08</v>
      </c>
      <c r="E360" s="4">
        <f>Data!F359</f>
        <v>5.2409999999999997</v>
      </c>
      <c r="F360" s="7">
        <f t="shared" si="95"/>
        <v>98.25</v>
      </c>
      <c r="G360" s="3">
        <f t="shared" si="96"/>
        <v>46249</v>
      </c>
      <c r="H360" s="3">
        <f t="shared" si="97"/>
        <v>46433</v>
      </c>
      <c r="I360">
        <f t="shared" si="98"/>
        <v>24</v>
      </c>
      <c r="J360">
        <f t="shared" si="99"/>
        <v>184</v>
      </c>
      <c r="K360" s="7">
        <f t="shared" si="100"/>
        <v>0.33423913043478259</v>
      </c>
      <c r="L360" s="7">
        <f t="shared" si="101"/>
        <v>98.584239130434781</v>
      </c>
      <c r="M360" s="4">
        <f t="shared" si="102"/>
        <v>5.2412244479014314</v>
      </c>
      <c r="N360" s="8">
        <f t="shared" si="103"/>
        <v>2.2444790143172355E-2</v>
      </c>
      <c r="O360" s="4">
        <f t="shared" si="104"/>
        <v>15.042794560467311</v>
      </c>
      <c r="P360">
        <f t="shared" si="105"/>
        <v>60</v>
      </c>
      <c r="Q360" s="4">
        <f t="shared" si="106"/>
        <v>29.956164383561642</v>
      </c>
      <c r="R360">
        <f t="shared" si="107"/>
        <v>1</v>
      </c>
      <c r="S360" s="7">
        <f>SUM(CashFlows!BN360:DU360)</f>
        <v>98.362999103743292</v>
      </c>
      <c r="T360" s="7">
        <f t="shared" si="108"/>
        <v>98.02875997330851</v>
      </c>
      <c r="U360" s="7">
        <f t="shared" si="109"/>
        <v>-0.22124002669148979</v>
      </c>
      <c r="V360" s="4">
        <f t="shared" si="110"/>
        <v>5.2561681037594088</v>
      </c>
      <c r="W360" s="8">
        <f t="shared" si="111"/>
        <v>1.4943655857977411</v>
      </c>
      <c r="X360" s="9">
        <f t="shared" si="112"/>
        <v>-1.4918586917574169E-4</v>
      </c>
      <c r="Y360" s="10">
        <f t="shared" si="113"/>
        <v>2.2256423561721516E-8</v>
      </c>
    </row>
    <row r="362" spans="1:25" x14ac:dyDescent="0.2">
      <c r="W362" s="11" t="s">
        <v>40</v>
      </c>
      <c r="Y362" s="12">
        <f>SUM(Y8:Y360)</f>
        <v>2.8097874681931358E-5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U360"/>
  <sheetViews>
    <sheetView workbookViewId="0">
      <pane xSplit="4" ySplit="7" topLeftCell="E8" activePane="bottomRight" state="frozen"/>
      <selection pane="topRight"/>
      <selection pane="bottomLeft"/>
      <selection pane="bottomRight"/>
    </sheetView>
  </sheetViews>
  <sheetFormatPr baseColWidth="10" defaultColWidth="8.83203125" defaultRowHeight="15" x14ac:dyDescent="0.2"/>
  <cols>
    <col min="1" max="1" width="11" customWidth="1"/>
    <col min="2" max="2" width="9" customWidth="1"/>
    <col min="3" max="3" width="8" customWidth="1"/>
    <col min="4" max="4" width="9" customWidth="1"/>
    <col min="5" max="125" width="10" customWidth="1"/>
  </cols>
  <sheetData>
    <row r="1" spans="1:125" ht="19" x14ac:dyDescent="0.25">
      <c r="A1" s="1" t="s">
        <v>41</v>
      </c>
    </row>
    <row r="2" spans="1:125" ht="45" customHeight="1" x14ac:dyDescent="0.2">
      <c r="A2" s="17" t="s">
        <v>42</v>
      </c>
      <c r="B2" s="18"/>
      <c r="C2" s="18"/>
      <c r="D2" s="18"/>
      <c r="E2" s="18"/>
      <c r="F2" s="18"/>
      <c r="G2" s="18"/>
      <c r="H2" s="18"/>
      <c r="I2" s="18"/>
      <c r="J2" s="18"/>
      <c r="K2" s="18"/>
      <c r="L2" s="18"/>
      <c r="M2" s="18"/>
      <c r="N2" s="18"/>
      <c r="O2" s="18"/>
      <c r="P2" s="18"/>
    </row>
    <row r="6" spans="1:125" x14ac:dyDescent="0.2">
      <c r="E6" s="11" t="s">
        <v>43</v>
      </c>
      <c r="BN6" s="11" t="s">
        <v>44</v>
      </c>
    </row>
    <row r="7" spans="1:125" ht="32" customHeight="1" x14ac:dyDescent="0.2">
      <c r="A7" s="2" t="s">
        <v>4</v>
      </c>
      <c r="B7" s="2" t="s">
        <v>16</v>
      </c>
      <c r="C7" s="2" t="s">
        <v>45</v>
      </c>
      <c r="D7" s="2" t="s">
        <v>46</v>
      </c>
      <c r="E7" s="2" t="s">
        <v>47</v>
      </c>
      <c r="F7" s="2" t="s">
        <v>48</v>
      </c>
      <c r="G7" s="2" t="s">
        <v>49</v>
      </c>
      <c r="H7" s="2" t="s">
        <v>50</v>
      </c>
      <c r="I7" s="2" t="s">
        <v>51</v>
      </c>
      <c r="J7" s="2" t="s">
        <v>52</v>
      </c>
      <c r="K7" s="2" t="s">
        <v>53</v>
      </c>
      <c r="L7" s="2" t="s">
        <v>54</v>
      </c>
      <c r="M7" s="2" t="s">
        <v>55</v>
      </c>
      <c r="N7" s="2" t="s">
        <v>56</v>
      </c>
      <c r="O7" s="2" t="s">
        <v>57</v>
      </c>
      <c r="P7" s="2" t="s">
        <v>58</v>
      </c>
      <c r="Q7" s="2" t="s">
        <v>59</v>
      </c>
      <c r="R7" s="2" t="s">
        <v>60</v>
      </c>
      <c r="S7" s="2" t="s">
        <v>61</v>
      </c>
      <c r="T7" s="2" t="s">
        <v>62</v>
      </c>
      <c r="U7" s="2" t="s">
        <v>63</v>
      </c>
      <c r="V7" s="2" t="s">
        <v>64</v>
      </c>
      <c r="W7" s="2" t="s">
        <v>65</v>
      </c>
      <c r="X7" s="2" t="s">
        <v>66</v>
      </c>
      <c r="Y7" s="2" t="s">
        <v>67</v>
      </c>
      <c r="Z7" s="2" t="s">
        <v>68</v>
      </c>
      <c r="AA7" s="2" t="s">
        <v>69</v>
      </c>
      <c r="AB7" s="2" t="s">
        <v>70</v>
      </c>
      <c r="AC7" s="2" t="s">
        <v>71</v>
      </c>
      <c r="AD7" s="2" t="s">
        <v>72</v>
      </c>
      <c r="AE7" s="2" t="s">
        <v>73</v>
      </c>
      <c r="AF7" s="2" t="s">
        <v>74</v>
      </c>
      <c r="AG7" s="2" t="s">
        <v>75</v>
      </c>
      <c r="AH7" s="2" t="s">
        <v>76</v>
      </c>
      <c r="AI7" s="2" t="s">
        <v>77</v>
      </c>
      <c r="AJ7" s="2" t="s">
        <v>78</v>
      </c>
      <c r="AK7" s="2" t="s">
        <v>79</v>
      </c>
      <c r="AL7" s="2" t="s">
        <v>80</v>
      </c>
      <c r="AM7" s="2" t="s">
        <v>81</v>
      </c>
      <c r="AN7" s="2" t="s">
        <v>82</v>
      </c>
      <c r="AO7" s="2" t="s">
        <v>83</v>
      </c>
      <c r="AP7" s="2" t="s">
        <v>84</v>
      </c>
      <c r="AQ7" s="2" t="s">
        <v>85</v>
      </c>
      <c r="AR7" s="2" t="s">
        <v>86</v>
      </c>
      <c r="AS7" s="2" t="s">
        <v>87</v>
      </c>
      <c r="AT7" s="2" t="s">
        <v>88</v>
      </c>
      <c r="AU7" s="2" t="s">
        <v>89</v>
      </c>
      <c r="AV7" s="2" t="s">
        <v>90</v>
      </c>
      <c r="AW7" s="2" t="s">
        <v>91</v>
      </c>
      <c r="AX7" s="2" t="s">
        <v>92</v>
      </c>
      <c r="AY7" s="2" t="s">
        <v>93</v>
      </c>
      <c r="AZ7" s="2" t="s">
        <v>94</v>
      </c>
      <c r="BA7" s="2" t="s">
        <v>95</v>
      </c>
      <c r="BB7" s="2" t="s">
        <v>96</v>
      </c>
      <c r="BC7" s="2" t="s">
        <v>97</v>
      </c>
      <c r="BD7" s="2" t="s">
        <v>98</v>
      </c>
      <c r="BE7" s="2" t="s">
        <v>99</v>
      </c>
      <c r="BF7" s="2" t="s">
        <v>100</v>
      </c>
      <c r="BG7" s="2" t="s">
        <v>101</v>
      </c>
      <c r="BH7" s="2" t="s">
        <v>102</v>
      </c>
      <c r="BI7" s="2" t="s">
        <v>103</v>
      </c>
      <c r="BJ7" s="2" t="s">
        <v>104</v>
      </c>
      <c r="BK7" s="2" t="s">
        <v>105</v>
      </c>
      <c r="BL7" s="2" t="s">
        <v>106</v>
      </c>
      <c r="BN7" s="2" t="s">
        <v>107</v>
      </c>
      <c r="BO7" s="2" t="s">
        <v>108</v>
      </c>
      <c r="BP7" s="2" t="s">
        <v>109</v>
      </c>
      <c r="BQ7" s="2" t="s">
        <v>110</v>
      </c>
      <c r="BR7" s="2" t="s">
        <v>111</v>
      </c>
      <c r="BS7" s="2" t="s">
        <v>112</v>
      </c>
      <c r="BT7" s="2" t="s">
        <v>113</v>
      </c>
      <c r="BU7" s="2" t="s">
        <v>114</v>
      </c>
      <c r="BV7" s="2" t="s">
        <v>115</v>
      </c>
      <c r="BW7" s="2" t="s">
        <v>116</v>
      </c>
      <c r="BX7" s="2" t="s">
        <v>117</v>
      </c>
      <c r="BY7" s="2" t="s">
        <v>118</v>
      </c>
      <c r="BZ7" s="2" t="s">
        <v>119</v>
      </c>
      <c r="CA7" s="2" t="s">
        <v>120</v>
      </c>
      <c r="CB7" s="2" t="s">
        <v>121</v>
      </c>
      <c r="CC7" s="2" t="s">
        <v>122</v>
      </c>
      <c r="CD7" s="2" t="s">
        <v>123</v>
      </c>
      <c r="CE7" s="2" t="s">
        <v>124</v>
      </c>
      <c r="CF7" s="2" t="s">
        <v>125</v>
      </c>
      <c r="CG7" s="2" t="s">
        <v>126</v>
      </c>
      <c r="CH7" s="2" t="s">
        <v>127</v>
      </c>
      <c r="CI7" s="2" t="s">
        <v>128</v>
      </c>
      <c r="CJ7" s="2" t="s">
        <v>129</v>
      </c>
      <c r="CK7" s="2" t="s">
        <v>130</v>
      </c>
      <c r="CL7" s="2" t="s">
        <v>131</v>
      </c>
      <c r="CM7" s="2" t="s">
        <v>132</v>
      </c>
      <c r="CN7" s="2" t="s">
        <v>133</v>
      </c>
      <c r="CO7" s="2" t="s">
        <v>134</v>
      </c>
      <c r="CP7" s="2" t="s">
        <v>135</v>
      </c>
      <c r="CQ7" s="2" t="s">
        <v>136</v>
      </c>
      <c r="CR7" s="2" t="s">
        <v>137</v>
      </c>
      <c r="CS7" s="2" t="s">
        <v>138</v>
      </c>
      <c r="CT7" s="2" t="s">
        <v>139</v>
      </c>
      <c r="CU7" s="2" t="s">
        <v>140</v>
      </c>
      <c r="CV7" s="2" t="s">
        <v>141</v>
      </c>
      <c r="CW7" s="2" t="s">
        <v>142</v>
      </c>
      <c r="CX7" s="2" t="s">
        <v>143</v>
      </c>
      <c r="CY7" s="2" t="s">
        <v>144</v>
      </c>
      <c r="CZ7" s="2" t="s">
        <v>145</v>
      </c>
      <c r="DA7" s="2" t="s">
        <v>146</v>
      </c>
      <c r="DB7" s="2" t="s">
        <v>147</v>
      </c>
      <c r="DC7" s="2" t="s">
        <v>148</v>
      </c>
      <c r="DD7" s="2" t="s">
        <v>149</v>
      </c>
      <c r="DE7" s="2" t="s">
        <v>150</v>
      </c>
      <c r="DF7" s="2" t="s">
        <v>151</v>
      </c>
      <c r="DG7" s="2" t="s">
        <v>152</v>
      </c>
      <c r="DH7" s="2" t="s">
        <v>153</v>
      </c>
      <c r="DI7" s="2" t="s">
        <v>154</v>
      </c>
      <c r="DJ7" s="2" t="s">
        <v>155</v>
      </c>
      <c r="DK7" s="2" t="s">
        <v>156</v>
      </c>
      <c r="DL7" s="2" t="s">
        <v>157</v>
      </c>
      <c r="DM7" s="2" t="s">
        <v>158</v>
      </c>
      <c r="DN7" s="2" t="s">
        <v>159</v>
      </c>
      <c r="DO7" s="2" t="s">
        <v>160</v>
      </c>
      <c r="DP7" s="2" t="s">
        <v>161</v>
      </c>
      <c r="DQ7" s="2" t="s">
        <v>162</v>
      </c>
      <c r="DR7" s="2" t="s">
        <v>163</v>
      </c>
      <c r="DS7" s="2" t="s">
        <v>164</v>
      </c>
      <c r="DT7" s="2" t="s">
        <v>165</v>
      </c>
      <c r="DU7" s="2" t="s">
        <v>166</v>
      </c>
    </row>
    <row r="8" spans="1:125" x14ac:dyDescent="0.2">
      <c r="A8" s="3">
        <f>Bonds!A8</f>
        <v>46280</v>
      </c>
      <c r="B8" s="4">
        <f>Bonds!B8</f>
        <v>4.625</v>
      </c>
      <c r="C8">
        <f>Bonds!P8</f>
        <v>1</v>
      </c>
      <c r="D8">
        <f t="shared" ref="D8:D71" si="0">IF(DAY(A8)=DAY(EOMONTH(A8,0)),1,0)</f>
        <v>0</v>
      </c>
      <c r="E8" s="3">
        <f>IF(1&gt;$C8,"",IF($D8=1,EOMONTH(EDATE(Bonds!$H8,6*(1-1)),0),EDATE(Bonds!$H8,6*(1-1))))</f>
        <v>46280</v>
      </c>
      <c r="F8" s="3" t="str">
        <f>IF(2&gt;$C8,"",IF($D8=1,EOMONTH(EDATE(Bonds!$H8,6*(2-1)),0),EDATE(Bonds!$H8,6*(2-1))))</f>
        <v/>
      </c>
      <c r="G8" s="3" t="str">
        <f>IF(3&gt;$C8,"",IF($D8=1,EOMONTH(EDATE(Bonds!$H8,6*(3-1)),0),EDATE(Bonds!$H8,6*(3-1))))</f>
        <v/>
      </c>
      <c r="H8" s="3" t="str">
        <f>IF(4&gt;$C8,"",IF($D8=1,EOMONTH(EDATE(Bonds!$H8,6*(4-1)),0),EDATE(Bonds!$H8,6*(4-1))))</f>
        <v/>
      </c>
      <c r="I8" s="3" t="str">
        <f>IF(5&gt;$C8,"",IF($D8=1,EOMONTH(EDATE(Bonds!$H8,6*(5-1)),0),EDATE(Bonds!$H8,6*(5-1))))</f>
        <v/>
      </c>
      <c r="J8" s="3" t="str">
        <f>IF(6&gt;$C8,"",IF($D8=1,EOMONTH(EDATE(Bonds!$H8,6*(6-1)),0),EDATE(Bonds!$H8,6*(6-1))))</f>
        <v/>
      </c>
      <c r="K8" s="3" t="str">
        <f>IF(7&gt;$C8,"",IF($D8=1,EOMONTH(EDATE(Bonds!$H8,6*(7-1)),0),EDATE(Bonds!$H8,6*(7-1))))</f>
        <v/>
      </c>
      <c r="L8" s="3" t="str">
        <f>IF(8&gt;$C8,"",IF($D8=1,EOMONTH(EDATE(Bonds!$H8,6*(8-1)),0),EDATE(Bonds!$H8,6*(8-1))))</f>
        <v/>
      </c>
      <c r="M8" s="3" t="str">
        <f>IF(9&gt;$C8,"",IF($D8=1,EOMONTH(EDATE(Bonds!$H8,6*(9-1)),0),EDATE(Bonds!$H8,6*(9-1))))</f>
        <v/>
      </c>
      <c r="N8" s="3" t="str">
        <f>IF(10&gt;$C8,"",IF($D8=1,EOMONTH(EDATE(Bonds!$H8,6*(10-1)),0),EDATE(Bonds!$H8,6*(10-1))))</f>
        <v/>
      </c>
      <c r="O8" s="3" t="str">
        <f>IF(11&gt;$C8,"",IF($D8=1,EOMONTH(EDATE(Bonds!$H8,6*(11-1)),0),EDATE(Bonds!$H8,6*(11-1))))</f>
        <v/>
      </c>
      <c r="P8" s="3" t="str">
        <f>IF(12&gt;$C8,"",IF($D8=1,EOMONTH(EDATE(Bonds!$H8,6*(12-1)),0),EDATE(Bonds!$H8,6*(12-1))))</f>
        <v/>
      </c>
      <c r="Q8" s="3" t="str">
        <f>IF(13&gt;$C8,"",IF($D8=1,EOMONTH(EDATE(Bonds!$H8,6*(13-1)),0),EDATE(Bonds!$H8,6*(13-1))))</f>
        <v/>
      </c>
      <c r="R8" s="3" t="str">
        <f>IF(14&gt;$C8,"",IF($D8=1,EOMONTH(EDATE(Bonds!$H8,6*(14-1)),0),EDATE(Bonds!$H8,6*(14-1))))</f>
        <v/>
      </c>
      <c r="S8" s="3" t="str">
        <f>IF(15&gt;$C8,"",IF($D8=1,EOMONTH(EDATE(Bonds!$H8,6*(15-1)),0),EDATE(Bonds!$H8,6*(15-1))))</f>
        <v/>
      </c>
      <c r="T8" s="3" t="str">
        <f>IF(16&gt;$C8,"",IF($D8=1,EOMONTH(EDATE(Bonds!$H8,6*(16-1)),0),EDATE(Bonds!$H8,6*(16-1))))</f>
        <v/>
      </c>
      <c r="U8" s="3" t="str">
        <f>IF(17&gt;$C8,"",IF($D8=1,EOMONTH(EDATE(Bonds!$H8,6*(17-1)),0),EDATE(Bonds!$H8,6*(17-1))))</f>
        <v/>
      </c>
      <c r="V8" s="3" t="str">
        <f>IF(18&gt;$C8,"",IF($D8=1,EOMONTH(EDATE(Bonds!$H8,6*(18-1)),0),EDATE(Bonds!$H8,6*(18-1))))</f>
        <v/>
      </c>
      <c r="W8" s="3" t="str">
        <f>IF(19&gt;$C8,"",IF($D8=1,EOMONTH(EDATE(Bonds!$H8,6*(19-1)),0),EDATE(Bonds!$H8,6*(19-1))))</f>
        <v/>
      </c>
      <c r="X8" s="3" t="str">
        <f>IF(20&gt;$C8,"",IF($D8=1,EOMONTH(EDATE(Bonds!$H8,6*(20-1)),0),EDATE(Bonds!$H8,6*(20-1))))</f>
        <v/>
      </c>
      <c r="Y8" s="3" t="str">
        <f>IF(21&gt;$C8,"",IF($D8=1,EOMONTH(EDATE(Bonds!$H8,6*(21-1)),0),EDATE(Bonds!$H8,6*(21-1))))</f>
        <v/>
      </c>
      <c r="Z8" s="3" t="str">
        <f>IF(22&gt;$C8,"",IF($D8=1,EOMONTH(EDATE(Bonds!$H8,6*(22-1)),0),EDATE(Bonds!$H8,6*(22-1))))</f>
        <v/>
      </c>
      <c r="AA8" s="3" t="str">
        <f>IF(23&gt;$C8,"",IF($D8=1,EOMONTH(EDATE(Bonds!$H8,6*(23-1)),0),EDATE(Bonds!$H8,6*(23-1))))</f>
        <v/>
      </c>
      <c r="AB8" s="3" t="str">
        <f>IF(24&gt;$C8,"",IF($D8=1,EOMONTH(EDATE(Bonds!$H8,6*(24-1)),0),EDATE(Bonds!$H8,6*(24-1))))</f>
        <v/>
      </c>
      <c r="AC8" s="3" t="str">
        <f>IF(25&gt;$C8,"",IF($D8=1,EOMONTH(EDATE(Bonds!$H8,6*(25-1)),0),EDATE(Bonds!$H8,6*(25-1))))</f>
        <v/>
      </c>
      <c r="AD8" s="3" t="str">
        <f>IF(26&gt;$C8,"",IF($D8=1,EOMONTH(EDATE(Bonds!$H8,6*(26-1)),0),EDATE(Bonds!$H8,6*(26-1))))</f>
        <v/>
      </c>
      <c r="AE8" s="3" t="str">
        <f>IF(27&gt;$C8,"",IF($D8=1,EOMONTH(EDATE(Bonds!$H8,6*(27-1)),0),EDATE(Bonds!$H8,6*(27-1))))</f>
        <v/>
      </c>
      <c r="AF8" s="3" t="str">
        <f>IF(28&gt;$C8,"",IF($D8=1,EOMONTH(EDATE(Bonds!$H8,6*(28-1)),0),EDATE(Bonds!$H8,6*(28-1))))</f>
        <v/>
      </c>
      <c r="AG8" s="3" t="str">
        <f>IF(29&gt;$C8,"",IF($D8=1,EOMONTH(EDATE(Bonds!$H8,6*(29-1)),0),EDATE(Bonds!$H8,6*(29-1))))</f>
        <v/>
      </c>
      <c r="AH8" s="3" t="str">
        <f>IF(30&gt;$C8,"",IF($D8=1,EOMONTH(EDATE(Bonds!$H8,6*(30-1)),0),EDATE(Bonds!$H8,6*(30-1))))</f>
        <v/>
      </c>
      <c r="AI8" s="3" t="str">
        <f>IF(31&gt;$C8,"",IF($D8=1,EOMONTH(EDATE(Bonds!$H8,6*(31-1)),0),EDATE(Bonds!$H8,6*(31-1))))</f>
        <v/>
      </c>
      <c r="AJ8" s="3" t="str">
        <f>IF(32&gt;$C8,"",IF($D8=1,EOMONTH(EDATE(Bonds!$H8,6*(32-1)),0),EDATE(Bonds!$H8,6*(32-1))))</f>
        <v/>
      </c>
      <c r="AK8" s="3" t="str">
        <f>IF(33&gt;$C8,"",IF($D8=1,EOMONTH(EDATE(Bonds!$H8,6*(33-1)),0),EDATE(Bonds!$H8,6*(33-1))))</f>
        <v/>
      </c>
      <c r="AL8" s="3" t="str">
        <f>IF(34&gt;$C8,"",IF($D8=1,EOMONTH(EDATE(Bonds!$H8,6*(34-1)),0),EDATE(Bonds!$H8,6*(34-1))))</f>
        <v/>
      </c>
      <c r="AM8" s="3" t="str">
        <f>IF(35&gt;$C8,"",IF($D8=1,EOMONTH(EDATE(Bonds!$H8,6*(35-1)),0),EDATE(Bonds!$H8,6*(35-1))))</f>
        <v/>
      </c>
      <c r="AN8" s="3" t="str">
        <f>IF(36&gt;$C8,"",IF($D8=1,EOMONTH(EDATE(Bonds!$H8,6*(36-1)),0),EDATE(Bonds!$H8,6*(36-1))))</f>
        <v/>
      </c>
      <c r="AO8" s="3" t="str">
        <f>IF(37&gt;$C8,"",IF($D8=1,EOMONTH(EDATE(Bonds!$H8,6*(37-1)),0),EDATE(Bonds!$H8,6*(37-1))))</f>
        <v/>
      </c>
      <c r="AP8" s="3" t="str">
        <f>IF(38&gt;$C8,"",IF($D8=1,EOMONTH(EDATE(Bonds!$H8,6*(38-1)),0),EDATE(Bonds!$H8,6*(38-1))))</f>
        <v/>
      </c>
      <c r="AQ8" s="3" t="str">
        <f>IF(39&gt;$C8,"",IF($D8=1,EOMONTH(EDATE(Bonds!$H8,6*(39-1)),0),EDATE(Bonds!$H8,6*(39-1))))</f>
        <v/>
      </c>
      <c r="AR8" s="3" t="str">
        <f>IF(40&gt;$C8,"",IF($D8=1,EOMONTH(EDATE(Bonds!$H8,6*(40-1)),0),EDATE(Bonds!$H8,6*(40-1))))</f>
        <v/>
      </c>
      <c r="AS8" s="3" t="str">
        <f>IF(41&gt;$C8,"",IF($D8=1,EOMONTH(EDATE(Bonds!$H8,6*(41-1)),0),EDATE(Bonds!$H8,6*(41-1))))</f>
        <v/>
      </c>
      <c r="AT8" s="3" t="str">
        <f>IF(42&gt;$C8,"",IF($D8=1,EOMONTH(EDATE(Bonds!$H8,6*(42-1)),0),EDATE(Bonds!$H8,6*(42-1))))</f>
        <v/>
      </c>
      <c r="AU8" s="3" t="str">
        <f>IF(43&gt;$C8,"",IF($D8=1,EOMONTH(EDATE(Bonds!$H8,6*(43-1)),0),EDATE(Bonds!$H8,6*(43-1))))</f>
        <v/>
      </c>
      <c r="AV8" s="3" t="str">
        <f>IF(44&gt;$C8,"",IF($D8=1,EOMONTH(EDATE(Bonds!$H8,6*(44-1)),0),EDATE(Bonds!$H8,6*(44-1))))</f>
        <v/>
      </c>
      <c r="AW8" s="3" t="str">
        <f>IF(45&gt;$C8,"",IF($D8=1,EOMONTH(EDATE(Bonds!$H8,6*(45-1)),0),EDATE(Bonds!$H8,6*(45-1))))</f>
        <v/>
      </c>
      <c r="AX8" s="3" t="str">
        <f>IF(46&gt;$C8,"",IF($D8=1,EOMONTH(EDATE(Bonds!$H8,6*(46-1)),0),EDATE(Bonds!$H8,6*(46-1))))</f>
        <v/>
      </c>
      <c r="AY8" s="3" t="str">
        <f>IF(47&gt;$C8,"",IF($D8=1,EOMONTH(EDATE(Bonds!$H8,6*(47-1)),0),EDATE(Bonds!$H8,6*(47-1))))</f>
        <v/>
      </c>
      <c r="AZ8" s="3" t="str">
        <f>IF(48&gt;$C8,"",IF($D8=1,EOMONTH(EDATE(Bonds!$H8,6*(48-1)),0),EDATE(Bonds!$H8,6*(48-1))))</f>
        <v/>
      </c>
      <c r="BA8" s="3" t="str">
        <f>IF(49&gt;$C8,"",IF($D8=1,EOMONTH(EDATE(Bonds!$H8,6*(49-1)),0),EDATE(Bonds!$H8,6*(49-1))))</f>
        <v/>
      </c>
      <c r="BB8" s="3" t="str">
        <f>IF(50&gt;$C8,"",IF($D8=1,EOMONTH(EDATE(Bonds!$H8,6*(50-1)),0),EDATE(Bonds!$H8,6*(50-1))))</f>
        <v/>
      </c>
      <c r="BC8" s="3" t="str">
        <f>IF(51&gt;$C8,"",IF($D8=1,EOMONTH(EDATE(Bonds!$H8,6*(51-1)),0),EDATE(Bonds!$H8,6*(51-1))))</f>
        <v/>
      </c>
      <c r="BD8" s="3" t="str">
        <f>IF(52&gt;$C8,"",IF($D8=1,EOMONTH(EDATE(Bonds!$H8,6*(52-1)),0),EDATE(Bonds!$H8,6*(52-1))))</f>
        <v/>
      </c>
      <c r="BE8" s="3" t="str">
        <f>IF(53&gt;$C8,"",IF($D8=1,EOMONTH(EDATE(Bonds!$H8,6*(53-1)),0),EDATE(Bonds!$H8,6*(53-1))))</f>
        <v/>
      </c>
      <c r="BF8" s="3" t="str">
        <f>IF(54&gt;$C8,"",IF($D8=1,EOMONTH(EDATE(Bonds!$H8,6*(54-1)),0),EDATE(Bonds!$H8,6*(54-1))))</f>
        <v/>
      </c>
      <c r="BG8" s="3" t="str">
        <f>IF(55&gt;$C8,"",IF($D8=1,EOMONTH(EDATE(Bonds!$H8,6*(55-1)),0),EDATE(Bonds!$H8,6*(55-1))))</f>
        <v/>
      </c>
      <c r="BH8" s="3" t="str">
        <f>IF(56&gt;$C8,"",IF($D8=1,EOMONTH(EDATE(Bonds!$H8,6*(56-1)),0),EDATE(Bonds!$H8,6*(56-1))))</f>
        <v/>
      </c>
      <c r="BI8" s="3" t="str">
        <f>IF(57&gt;$C8,"",IF($D8=1,EOMONTH(EDATE(Bonds!$H8,6*(57-1)),0),EDATE(Bonds!$H8,6*(57-1))))</f>
        <v/>
      </c>
      <c r="BJ8" s="3" t="str">
        <f>IF(58&gt;$C8,"",IF($D8=1,EOMONTH(EDATE(Bonds!$H8,6*(58-1)),0),EDATE(Bonds!$H8,6*(58-1))))</f>
        <v/>
      </c>
      <c r="BK8" s="3" t="str">
        <f>IF(59&gt;$C8,"",IF($D8=1,EOMONTH(EDATE(Bonds!$H8,6*(59-1)),0),EDATE(Bonds!$H8,6*(59-1))))</f>
        <v/>
      </c>
      <c r="BL8" s="3" t="str">
        <f>IF(60&gt;$C8,"",IF($D8=1,EOMONTH(EDATE(Bonds!$H8,6*(60-1)),0),EDATE(Bonds!$H8,6*(60-1))))</f>
        <v/>
      </c>
      <c r="BN8" s="7">
        <f t="shared" ref="BN8:BN71" si="1">IF(E8="",0,($B8/2+IF(1=$C8,100,0))*EXP(-(beta_0+beta_1*(1-EXP(-((E8-Settle)/365)/tau_1))/(((E8-Settle)/365)/tau_1)+beta_2*((1-EXP(-((E8-Settle)/365)/tau_1))/(((E8-Settle)/365)/tau_1)-EXP(-((E8-Settle)/365)/tau_1))+beta_3*((1-EXP(-((E8-Settle)/365)/tau_2))/(((E8-Settle)/365)/tau_2)-EXP(-((E8-Settle)/365)/tau_2)))*((E8-Settle)/365)))</f>
        <v>102.24106553069922</v>
      </c>
      <c r="BO8" s="7">
        <f t="shared" ref="BO8:BO71" si="2">IF(F8="",0,($B8/2+IF(2=$C8,100,0))*EXP(-(beta_0+beta_1*(1-EXP(-((F8-Settle)/365)/tau_1))/(((F8-Settle)/365)/tau_1)+beta_2*((1-EXP(-((F8-Settle)/365)/tau_1))/(((F8-Settle)/365)/tau_1)-EXP(-((F8-Settle)/365)/tau_1))+beta_3*((1-EXP(-((F8-Settle)/365)/tau_2))/(((F8-Settle)/365)/tau_2)-EXP(-((F8-Settle)/365)/tau_2)))*((F8-Settle)/365)))</f>
        <v>0</v>
      </c>
      <c r="BP8" s="7">
        <f t="shared" ref="BP8:BP71" si="3">IF(G8="",0,($B8/2+IF(3=$C8,100,0))*EXP(-(beta_0+beta_1*(1-EXP(-((G8-Settle)/365)/tau_1))/(((G8-Settle)/365)/tau_1)+beta_2*((1-EXP(-((G8-Settle)/365)/tau_1))/(((G8-Settle)/365)/tau_1)-EXP(-((G8-Settle)/365)/tau_1))+beta_3*((1-EXP(-((G8-Settle)/365)/tau_2))/(((G8-Settle)/365)/tau_2)-EXP(-((G8-Settle)/365)/tau_2)))*((G8-Settle)/365)))</f>
        <v>0</v>
      </c>
      <c r="BQ8" s="7">
        <f t="shared" ref="BQ8:BQ71" si="4">IF(H8="",0,($B8/2+IF(4=$C8,100,0))*EXP(-(beta_0+beta_1*(1-EXP(-((H8-Settle)/365)/tau_1))/(((H8-Settle)/365)/tau_1)+beta_2*((1-EXP(-((H8-Settle)/365)/tau_1))/(((H8-Settle)/365)/tau_1)-EXP(-((H8-Settle)/365)/tau_1))+beta_3*((1-EXP(-((H8-Settle)/365)/tau_2))/(((H8-Settle)/365)/tau_2)-EXP(-((H8-Settle)/365)/tau_2)))*((H8-Settle)/365)))</f>
        <v>0</v>
      </c>
      <c r="BR8" s="7">
        <f t="shared" ref="BR8:BR71" si="5">IF(I8="",0,($B8/2+IF(5=$C8,100,0))*EXP(-(beta_0+beta_1*(1-EXP(-((I8-Settle)/365)/tau_1))/(((I8-Settle)/365)/tau_1)+beta_2*((1-EXP(-((I8-Settle)/365)/tau_1))/(((I8-Settle)/365)/tau_1)-EXP(-((I8-Settle)/365)/tau_1))+beta_3*((1-EXP(-((I8-Settle)/365)/tau_2))/(((I8-Settle)/365)/tau_2)-EXP(-((I8-Settle)/365)/tau_2)))*((I8-Settle)/365)))</f>
        <v>0</v>
      </c>
      <c r="BS8" s="7">
        <f t="shared" ref="BS8:BS71" si="6">IF(J8="",0,($B8/2+IF(6=$C8,100,0))*EXP(-(beta_0+beta_1*(1-EXP(-((J8-Settle)/365)/tau_1))/(((J8-Settle)/365)/tau_1)+beta_2*((1-EXP(-((J8-Settle)/365)/tau_1))/(((J8-Settle)/365)/tau_1)-EXP(-((J8-Settle)/365)/tau_1))+beta_3*((1-EXP(-((J8-Settle)/365)/tau_2))/(((J8-Settle)/365)/tau_2)-EXP(-((J8-Settle)/365)/tau_2)))*((J8-Settle)/365)))</f>
        <v>0</v>
      </c>
      <c r="BT8" s="7">
        <f t="shared" ref="BT8:BT71" si="7">IF(K8="",0,($B8/2+IF(7=$C8,100,0))*EXP(-(beta_0+beta_1*(1-EXP(-((K8-Settle)/365)/tau_1))/(((K8-Settle)/365)/tau_1)+beta_2*((1-EXP(-((K8-Settle)/365)/tau_1))/(((K8-Settle)/365)/tau_1)-EXP(-((K8-Settle)/365)/tau_1))+beta_3*((1-EXP(-((K8-Settle)/365)/tau_2))/(((K8-Settle)/365)/tau_2)-EXP(-((K8-Settle)/365)/tau_2)))*((K8-Settle)/365)))</f>
        <v>0</v>
      </c>
      <c r="BU8" s="7">
        <f t="shared" ref="BU8:BU71" si="8">IF(L8="",0,($B8/2+IF(8=$C8,100,0))*EXP(-(beta_0+beta_1*(1-EXP(-((L8-Settle)/365)/tau_1))/(((L8-Settle)/365)/tau_1)+beta_2*((1-EXP(-((L8-Settle)/365)/tau_1))/(((L8-Settle)/365)/tau_1)-EXP(-((L8-Settle)/365)/tau_1))+beta_3*((1-EXP(-((L8-Settle)/365)/tau_2))/(((L8-Settle)/365)/tau_2)-EXP(-((L8-Settle)/365)/tau_2)))*((L8-Settle)/365)))</f>
        <v>0</v>
      </c>
      <c r="BV8" s="7">
        <f t="shared" ref="BV8:BV71" si="9">IF(M8="",0,($B8/2+IF(9=$C8,100,0))*EXP(-(beta_0+beta_1*(1-EXP(-((M8-Settle)/365)/tau_1))/(((M8-Settle)/365)/tau_1)+beta_2*((1-EXP(-((M8-Settle)/365)/tau_1))/(((M8-Settle)/365)/tau_1)-EXP(-((M8-Settle)/365)/tau_1))+beta_3*((1-EXP(-((M8-Settle)/365)/tau_2))/(((M8-Settle)/365)/tau_2)-EXP(-((M8-Settle)/365)/tau_2)))*((M8-Settle)/365)))</f>
        <v>0</v>
      </c>
      <c r="BW8" s="7">
        <f t="shared" ref="BW8:BW71" si="10">IF(N8="",0,($B8/2+IF(10=$C8,100,0))*EXP(-(beta_0+beta_1*(1-EXP(-((N8-Settle)/365)/tau_1))/(((N8-Settle)/365)/tau_1)+beta_2*((1-EXP(-((N8-Settle)/365)/tau_1))/(((N8-Settle)/365)/tau_1)-EXP(-((N8-Settle)/365)/tau_1))+beta_3*((1-EXP(-((N8-Settle)/365)/tau_2))/(((N8-Settle)/365)/tau_2)-EXP(-((N8-Settle)/365)/tau_2)))*((N8-Settle)/365)))</f>
        <v>0</v>
      </c>
      <c r="BX8" s="7">
        <f t="shared" ref="BX8:BX71" si="11">IF(O8="",0,($B8/2+IF(11=$C8,100,0))*EXP(-(beta_0+beta_1*(1-EXP(-((O8-Settle)/365)/tau_1))/(((O8-Settle)/365)/tau_1)+beta_2*((1-EXP(-((O8-Settle)/365)/tau_1))/(((O8-Settle)/365)/tau_1)-EXP(-((O8-Settle)/365)/tau_1))+beta_3*((1-EXP(-((O8-Settle)/365)/tau_2))/(((O8-Settle)/365)/tau_2)-EXP(-((O8-Settle)/365)/tau_2)))*((O8-Settle)/365)))</f>
        <v>0</v>
      </c>
      <c r="BY8" s="7">
        <f t="shared" ref="BY8:BY71" si="12">IF(P8="",0,($B8/2+IF(12=$C8,100,0))*EXP(-(beta_0+beta_1*(1-EXP(-((P8-Settle)/365)/tau_1))/(((P8-Settle)/365)/tau_1)+beta_2*((1-EXP(-((P8-Settle)/365)/tau_1))/(((P8-Settle)/365)/tau_1)-EXP(-((P8-Settle)/365)/tau_1))+beta_3*((1-EXP(-((P8-Settle)/365)/tau_2))/(((P8-Settle)/365)/tau_2)-EXP(-((P8-Settle)/365)/tau_2)))*((P8-Settle)/365)))</f>
        <v>0</v>
      </c>
      <c r="BZ8" s="7">
        <f t="shared" ref="BZ8:BZ71" si="13">IF(Q8="",0,($B8/2+IF(13=$C8,100,0))*EXP(-(beta_0+beta_1*(1-EXP(-((Q8-Settle)/365)/tau_1))/(((Q8-Settle)/365)/tau_1)+beta_2*((1-EXP(-((Q8-Settle)/365)/tau_1))/(((Q8-Settle)/365)/tau_1)-EXP(-((Q8-Settle)/365)/tau_1))+beta_3*((1-EXP(-((Q8-Settle)/365)/tau_2))/(((Q8-Settle)/365)/tau_2)-EXP(-((Q8-Settle)/365)/tau_2)))*((Q8-Settle)/365)))</f>
        <v>0</v>
      </c>
      <c r="CA8" s="7">
        <f t="shared" ref="CA8:CA71" si="14">IF(R8="",0,($B8/2+IF(14=$C8,100,0))*EXP(-(beta_0+beta_1*(1-EXP(-((R8-Settle)/365)/tau_1))/(((R8-Settle)/365)/tau_1)+beta_2*((1-EXP(-((R8-Settle)/365)/tau_1))/(((R8-Settle)/365)/tau_1)-EXP(-((R8-Settle)/365)/tau_1))+beta_3*((1-EXP(-((R8-Settle)/365)/tau_2))/(((R8-Settle)/365)/tau_2)-EXP(-((R8-Settle)/365)/tau_2)))*((R8-Settle)/365)))</f>
        <v>0</v>
      </c>
      <c r="CB8" s="7">
        <f t="shared" ref="CB8:CB71" si="15">IF(S8="",0,($B8/2+IF(15=$C8,100,0))*EXP(-(beta_0+beta_1*(1-EXP(-((S8-Settle)/365)/tau_1))/(((S8-Settle)/365)/tau_1)+beta_2*((1-EXP(-((S8-Settle)/365)/tau_1))/(((S8-Settle)/365)/tau_1)-EXP(-((S8-Settle)/365)/tau_1))+beta_3*((1-EXP(-((S8-Settle)/365)/tau_2))/(((S8-Settle)/365)/tau_2)-EXP(-((S8-Settle)/365)/tau_2)))*((S8-Settle)/365)))</f>
        <v>0</v>
      </c>
      <c r="CC8" s="7">
        <f t="shared" ref="CC8:CC71" si="16">IF(T8="",0,($B8/2+IF(16=$C8,100,0))*EXP(-(beta_0+beta_1*(1-EXP(-((T8-Settle)/365)/tau_1))/(((T8-Settle)/365)/tau_1)+beta_2*((1-EXP(-((T8-Settle)/365)/tau_1))/(((T8-Settle)/365)/tau_1)-EXP(-((T8-Settle)/365)/tau_1))+beta_3*((1-EXP(-((T8-Settle)/365)/tau_2))/(((T8-Settle)/365)/tau_2)-EXP(-((T8-Settle)/365)/tau_2)))*((T8-Settle)/365)))</f>
        <v>0</v>
      </c>
      <c r="CD8" s="7">
        <f t="shared" ref="CD8:CD71" si="17">IF(U8="",0,($B8/2+IF(17=$C8,100,0))*EXP(-(beta_0+beta_1*(1-EXP(-((U8-Settle)/365)/tau_1))/(((U8-Settle)/365)/tau_1)+beta_2*((1-EXP(-((U8-Settle)/365)/tau_1))/(((U8-Settle)/365)/tau_1)-EXP(-((U8-Settle)/365)/tau_1))+beta_3*((1-EXP(-((U8-Settle)/365)/tau_2))/(((U8-Settle)/365)/tau_2)-EXP(-((U8-Settle)/365)/tau_2)))*((U8-Settle)/365)))</f>
        <v>0</v>
      </c>
      <c r="CE8" s="7">
        <f t="shared" ref="CE8:CE71" si="18">IF(V8="",0,($B8/2+IF(18=$C8,100,0))*EXP(-(beta_0+beta_1*(1-EXP(-((V8-Settle)/365)/tau_1))/(((V8-Settle)/365)/tau_1)+beta_2*((1-EXP(-((V8-Settle)/365)/tau_1))/(((V8-Settle)/365)/tau_1)-EXP(-((V8-Settle)/365)/tau_1))+beta_3*((1-EXP(-((V8-Settle)/365)/tau_2))/(((V8-Settle)/365)/tau_2)-EXP(-((V8-Settle)/365)/tau_2)))*((V8-Settle)/365)))</f>
        <v>0</v>
      </c>
      <c r="CF8" s="7">
        <f t="shared" ref="CF8:CF71" si="19">IF(W8="",0,($B8/2+IF(19=$C8,100,0))*EXP(-(beta_0+beta_1*(1-EXP(-((W8-Settle)/365)/tau_1))/(((W8-Settle)/365)/tau_1)+beta_2*((1-EXP(-((W8-Settle)/365)/tau_1))/(((W8-Settle)/365)/tau_1)-EXP(-((W8-Settle)/365)/tau_1))+beta_3*((1-EXP(-((W8-Settle)/365)/tau_2))/(((W8-Settle)/365)/tau_2)-EXP(-((W8-Settle)/365)/tau_2)))*((W8-Settle)/365)))</f>
        <v>0</v>
      </c>
      <c r="CG8" s="7">
        <f t="shared" ref="CG8:CG71" si="20">IF(X8="",0,($B8/2+IF(20=$C8,100,0))*EXP(-(beta_0+beta_1*(1-EXP(-((X8-Settle)/365)/tau_1))/(((X8-Settle)/365)/tau_1)+beta_2*((1-EXP(-((X8-Settle)/365)/tau_1))/(((X8-Settle)/365)/tau_1)-EXP(-((X8-Settle)/365)/tau_1))+beta_3*((1-EXP(-((X8-Settle)/365)/tau_2))/(((X8-Settle)/365)/tau_2)-EXP(-((X8-Settle)/365)/tau_2)))*((X8-Settle)/365)))</f>
        <v>0</v>
      </c>
      <c r="CH8" s="7">
        <f t="shared" ref="CH8:CH71" si="21">IF(Y8="",0,($B8/2+IF(21=$C8,100,0))*EXP(-(beta_0+beta_1*(1-EXP(-((Y8-Settle)/365)/tau_1))/(((Y8-Settle)/365)/tau_1)+beta_2*((1-EXP(-((Y8-Settle)/365)/tau_1))/(((Y8-Settle)/365)/tau_1)-EXP(-((Y8-Settle)/365)/tau_1))+beta_3*((1-EXP(-((Y8-Settle)/365)/tau_2))/(((Y8-Settle)/365)/tau_2)-EXP(-((Y8-Settle)/365)/tau_2)))*((Y8-Settle)/365)))</f>
        <v>0</v>
      </c>
      <c r="CI8" s="7">
        <f t="shared" ref="CI8:CI71" si="22">IF(Z8="",0,($B8/2+IF(22=$C8,100,0))*EXP(-(beta_0+beta_1*(1-EXP(-((Z8-Settle)/365)/tau_1))/(((Z8-Settle)/365)/tau_1)+beta_2*((1-EXP(-((Z8-Settle)/365)/tau_1))/(((Z8-Settle)/365)/tau_1)-EXP(-((Z8-Settle)/365)/tau_1))+beta_3*((1-EXP(-((Z8-Settle)/365)/tau_2))/(((Z8-Settle)/365)/tau_2)-EXP(-((Z8-Settle)/365)/tau_2)))*((Z8-Settle)/365)))</f>
        <v>0</v>
      </c>
      <c r="CJ8" s="7">
        <f t="shared" ref="CJ8:CJ71" si="23">IF(AA8="",0,($B8/2+IF(23=$C8,100,0))*EXP(-(beta_0+beta_1*(1-EXP(-((AA8-Settle)/365)/tau_1))/(((AA8-Settle)/365)/tau_1)+beta_2*((1-EXP(-((AA8-Settle)/365)/tau_1))/(((AA8-Settle)/365)/tau_1)-EXP(-((AA8-Settle)/365)/tau_1))+beta_3*((1-EXP(-((AA8-Settle)/365)/tau_2))/(((AA8-Settle)/365)/tau_2)-EXP(-((AA8-Settle)/365)/tau_2)))*((AA8-Settle)/365)))</f>
        <v>0</v>
      </c>
      <c r="CK8" s="7">
        <f t="shared" ref="CK8:CK71" si="24">IF(AB8="",0,($B8/2+IF(24=$C8,100,0))*EXP(-(beta_0+beta_1*(1-EXP(-((AB8-Settle)/365)/tau_1))/(((AB8-Settle)/365)/tau_1)+beta_2*((1-EXP(-((AB8-Settle)/365)/tau_1))/(((AB8-Settle)/365)/tau_1)-EXP(-((AB8-Settle)/365)/tau_1))+beta_3*((1-EXP(-((AB8-Settle)/365)/tau_2))/(((AB8-Settle)/365)/tau_2)-EXP(-((AB8-Settle)/365)/tau_2)))*((AB8-Settle)/365)))</f>
        <v>0</v>
      </c>
      <c r="CL8" s="7">
        <f t="shared" ref="CL8:CL71" si="25">IF(AC8="",0,($B8/2+IF(25=$C8,100,0))*EXP(-(beta_0+beta_1*(1-EXP(-((AC8-Settle)/365)/tau_1))/(((AC8-Settle)/365)/tau_1)+beta_2*((1-EXP(-((AC8-Settle)/365)/tau_1))/(((AC8-Settle)/365)/tau_1)-EXP(-((AC8-Settle)/365)/tau_1))+beta_3*((1-EXP(-((AC8-Settle)/365)/tau_2))/(((AC8-Settle)/365)/tau_2)-EXP(-((AC8-Settle)/365)/tau_2)))*((AC8-Settle)/365)))</f>
        <v>0</v>
      </c>
      <c r="CM8" s="7">
        <f t="shared" ref="CM8:CM71" si="26">IF(AD8="",0,($B8/2+IF(26=$C8,100,0))*EXP(-(beta_0+beta_1*(1-EXP(-((AD8-Settle)/365)/tau_1))/(((AD8-Settle)/365)/tau_1)+beta_2*((1-EXP(-((AD8-Settle)/365)/tau_1))/(((AD8-Settle)/365)/tau_1)-EXP(-((AD8-Settle)/365)/tau_1))+beta_3*((1-EXP(-((AD8-Settle)/365)/tau_2))/(((AD8-Settle)/365)/tau_2)-EXP(-((AD8-Settle)/365)/tau_2)))*((AD8-Settle)/365)))</f>
        <v>0</v>
      </c>
      <c r="CN8" s="7">
        <f t="shared" ref="CN8:CN71" si="27">IF(AE8="",0,($B8/2+IF(27=$C8,100,0))*EXP(-(beta_0+beta_1*(1-EXP(-((AE8-Settle)/365)/tau_1))/(((AE8-Settle)/365)/tau_1)+beta_2*((1-EXP(-((AE8-Settle)/365)/tau_1))/(((AE8-Settle)/365)/tau_1)-EXP(-((AE8-Settle)/365)/tau_1))+beta_3*((1-EXP(-((AE8-Settle)/365)/tau_2))/(((AE8-Settle)/365)/tau_2)-EXP(-((AE8-Settle)/365)/tau_2)))*((AE8-Settle)/365)))</f>
        <v>0</v>
      </c>
      <c r="CO8" s="7">
        <f t="shared" ref="CO8:CO71" si="28">IF(AF8="",0,($B8/2+IF(28=$C8,100,0))*EXP(-(beta_0+beta_1*(1-EXP(-((AF8-Settle)/365)/tau_1))/(((AF8-Settle)/365)/tau_1)+beta_2*((1-EXP(-((AF8-Settle)/365)/tau_1))/(((AF8-Settle)/365)/tau_1)-EXP(-((AF8-Settle)/365)/tau_1))+beta_3*((1-EXP(-((AF8-Settle)/365)/tau_2))/(((AF8-Settle)/365)/tau_2)-EXP(-((AF8-Settle)/365)/tau_2)))*((AF8-Settle)/365)))</f>
        <v>0</v>
      </c>
      <c r="CP8" s="7">
        <f t="shared" ref="CP8:CP71" si="29">IF(AG8="",0,($B8/2+IF(29=$C8,100,0))*EXP(-(beta_0+beta_1*(1-EXP(-((AG8-Settle)/365)/tau_1))/(((AG8-Settle)/365)/tau_1)+beta_2*((1-EXP(-((AG8-Settle)/365)/tau_1))/(((AG8-Settle)/365)/tau_1)-EXP(-((AG8-Settle)/365)/tau_1))+beta_3*((1-EXP(-((AG8-Settle)/365)/tau_2))/(((AG8-Settle)/365)/tau_2)-EXP(-((AG8-Settle)/365)/tau_2)))*((AG8-Settle)/365)))</f>
        <v>0</v>
      </c>
      <c r="CQ8" s="7">
        <f t="shared" ref="CQ8:CQ71" si="30">IF(AH8="",0,($B8/2+IF(30=$C8,100,0))*EXP(-(beta_0+beta_1*(1-EXP(-((AH8-Settle)/365)/tau_1))/(((AH8-Settle)/365)/tau_1)+beta_2*((1-EXP(-((AH8-Settle)/365)/tau_1))/(((AH8-Settle)/365)/tau_1)-EXP(-((AH8-Settle)/365)/tau_1))+beta_3*((1-EXP(-((AH8-Settle)/365)/tau_2))/(((AH8-Settle)/365)/tau_2)-EXP(-((AH8-Settle)/365)/tau_2)))*((AH8-Settle)/365)))</f>
        <v>0</v>
      </c>
      <c r="CR8" s="7">
        <f t="shared" ref="CR8:CR71" si="31">IF(AI8="",0,($B8/2+IF(31=$C8,100,0))*EXP(-(beta_0+beta_1*(1-EXP(-((AI8-Settle)/365)/tau_1))/(((AI8-Settle)/365)/tau_1)+beta_2*((1-EXP(-((AI8-Settle)/365)/tau_1))/(((AI8-Settle)/365)/tau_1)-EXP(-((AI8-Settle)/365)/tau_1))+beta_3*((1-EXP(-((AI8-Settle)/365)/tau_2))/(((AI8-Settle)/365)/tau_2)-EXP(-((AI8-Settle)/365)/tau_2)))*((AI8-Settle)/365)))</f>
        <v>0</v>
      </c>
      <c r="CS8" s="7">
        <f t="shared" ref="CS8:CS71" si="32">IF(AJ8="",0,($B8/2+IF(32=$C8,100,0))*EXP(-(beta_0+beta_1*(1-EXP(-((AJ8-Settle)/365)/tau_1))/(((AJ8-Settle)/365)/tau_1)+beta_2*((1-EXP(-((AJ8-Settle)/365)/tau_1))/(((AJ8-Settle)/365)/tau_1)-EXP(-((AJ8-Settle)/365)/tau_1))+beta_3*((1-EXP(-((AJ8-Settle)/365)/tau_2))/(((AJ8-Settle)/365)/tau_2)-EXP(-((AJ8-Settle)/365)/tau_2)))*((AJ8-Settle)/365)))</f>
        <v>0</v>
      </c>
      <c r="CT8" s="7">
        <f t="shared" ref="CT8:CT71" si="33">IF(AK8="",0,($B8/2+IF(33=$C8,100,0))*EXP(-(beta_0+beta_1*(1-EXP(-((AK8-Settle)/365)/tau_1))/(((AK8-Settle)/365)/tau_1)+beta_2*((1-EXP(-((AK8-Settle)/365)/tau_1))/(((AK8-Settle)/365)/tau_1)-EXP(-((AK8-Settle)/365)/tau_1))+beta_3*((1-EXP(-((AK8-Settle)/365)/tau_2))/(((AK8-Settle)/365)/tau_2)-EXP(-((AK8-Settle)/365)/tau_2)))*((AK8-Settle)/365)))</f>
        <v>0</v>
      </c>
      <c r="CU8" s="7">
        <f t="shared" ref="CU8:CU71" si="34">IF(AL8="",0,($B8/2+IF(34=$C8,100,0))*EXP(-(beta_0+beta_1*(1-EXP(-((AL8-Settle)/365)/tau_1))/(((AL8-Settle)/365)/tau_1)+beta_2*((1-EXP(-((AL8-Settle)/365)/tau_1))/(((AL8-Settle)/365)/tau_1)-EXP(-((AL8-Settle)/365)/tau_1))+beta_3*((1-EXP(-((AL8-Settle)/365)/tau_2))/(((AL8-Settle)/365)/tau_2)-EXP(-((AL8-Settle)/365)/tau_2)))*((AL8-Settle)/365)))</f>
        <v>0</v>
      </c>
      <c r="CV8" s="7">
        <f t="shared" ref="CV8:CV71" si="35">IF(AM8="",0,($B8/2+IF(35=$C8,100,0))*EXP(-(beta_0+beta_1*(1-EXP(-((AM8-Settle)/365)/tau_1))/(((AM8-Settle)/365)/tau_1)+beta_2*((1-EXP(-((AM8-Settle)/365)/tau_1))/(((AM8-Settle)/365)/tau_1)-EXP(-((AM8-Settle)/365)/tau_1))+beta_3*((1-EXP(-((AM8-Settle)/365)/tau_2))/(((AM8-Settle)/365)/tau_2)-EXP(-((AM8-Settle)/365)/tau_2)))*((AM8-Settle)/365)))</f>
        <v>0</v>
      </c>
      <c r="CW8" s="7">
        <f t="shared" ref="CW8:CW71" si="36">IF(AN8="",0,($B8/2+IF(36=$C8,100,0))*EXP(-(beta_0+beta_1*(1-EXP(-((AN8-Settle)/365)/tau_1))/(((AN8-Settle)/365)/tau_1)+beta_2*((1-EXP(-((AN8-Settle)/365)/tau_1))/(((AN8-Settle)/365)/tau_1)-EXP(-((AN8-Settle)/365)/tau_1))+beta_3*((1-EXP(-((AN8-Settle)/365)/tau_2))/(((AN8-Settle)/365)/tau_2)-EXP(-((AN8-Settle)/365)/tau_2)))*((AN8-Settle)/365)))</f>
        <v>0</v>
      </c>
      <c r="CX8" s="7">
        <f t="shared" ref="CX8:CX71" si="37">IF(AO8="",0,($B8/2+IF(37=$C8,100,0))*EXP(-(beta_0+beta_1*(1-EXP(-((AO8-Settle)/365)/tau_1))/(((AO8-Settle)/365)/tau_1)+beta_2*((1-EXP(-((AO8-Settle)/365)/tau_1))/(((AO8-Settle)/365)/tau_1)-EXP(-((AO8-Settle)/365)/tau_1))+beta_3*((1-EXP(-((AO8-Settle)/365)/tau_2))/(((AO8-Settle)/365)/tau_2)-EXP(-((AO8-Settle)/365)/tau_2)))*((AO8-Settle)/365)))</f>
        <v>0</v>
      </c>
      <c r="CY8" s="7">
        <f t="shared" ref="CY8:CY71" si="38">IF(AP8="",0,($B8/2+IF(38=$C8,100,0))*EXP(-(beta_0+beta_1*(1-EXP(-((AP8-Settle)/365)/tau_1))/(((AP8-Settle)/365)/tau_1)+beta_2*((1-EXP(-((AP8-Settle)/365)/tau_1))/(((AP8-Settle)/365)/tau_1)-EXP(-((AP8-Settle)/365)/tau_1))+beta_3*((1-EXP(-((AP8-Settle)/365)/tau_2))/(((AP8-Settle)/365)/tau_2)-EXP(-((AP8-Settle)/365)/tau_2)))*((AP8-Settle)/365)))</f>
        <v>0</v>
      </c>
      <c r="CZ8" s="7">
        <f t="shared" ref="CZ8:CZ71" si="39">IF(AQ8="",0,($B8/2+IF(39=$C8,100,0))*EXP(-(beta_0+beta_1*(1-EXP(-((AQ8-Settle)/365)/tau_1))/(((AQ8-Settle)/365)/tau_1)+beta_2*((1-EXP(-((AQ8-Settle)/365)/tau_1))/(((AQ8-Settle)/365)/tau_1)-EXP(-((AQ8-Settle)/365)/tau_1))+beta_3*((1-EXP(-((AQ8-Settle)/365)/tau_2))/(((AQ8-Settle)/365)/tau_2)-EXP(-((AQ8-Settle)/365)/tau_2)))*((AQ8-Settle)/365)))</f>
        <v>0</v>
      </c>
      <c r="DA8" s="7">
        <f t="shared" ref="DA8:DA71" si="40">IF(AR8="",0,($B8/2+IF(40=$C8,100,0))*EXP(-(beta_0+beta_1*(1-EXP(-((AR8-Settle)/365)/tau_1))/(((AR8-Settle)/365)/tau_1)+beta_2*((1-EXP(-((AR8-Settle)/365)/tau_1))/(((AR8-Settle)/365)/tau_1)-EXP(-((AR8-Settle)/365)/tau_1))+beta_3*((1-EXP(-((AR8-Settle)/365)/tau_2))/(((AR8-Settle)/365)/tau_2)-EXP(-((AR8-Settle)/365)/tau_2)))*((AR8-Settle)/365)))</f>
        <v>0</v>
      </c>
      <c r="DB8" s="7">
        <f t="shared" ref="DB8:DB71" si="41">IF(AS8="",0,($B8/2+IF(41=$C8,100,0))*EXP(-(beta_0+beta_1*(1-EXP(-((AS8-Settle)/365)/tau_1))/(((AS8-Settle)/365)/tau_1)+beta_2*((1-EXP(-((AS8-Settle)/365)/tau_1))/(((AS8-Settle)/365)/tau_1)-EXP(-((AS8-Settle)/365)/tau_1))+beta_3*((1-EXP(-((AS8-Settle)/365)/tau_2))/(((AS8-Settle)/365)/tau_2)-EXP(-((AS8-Settle)/365)/tau_2)))*((AS8-Settle)/365)))</f>
        <v>0</v>
      </c>
      <c r="DC8" s="7">
        <f t="shared" ref="DC8:DC71" si="42">IF(AT8="",0,($B8/2+IF(42=$C8,100,0))*EXP(-(beta_0+beta_1*(1-EXP(-((AT8-Settle)/365)/tau_1))/(((AT8-Settle)/365)/tau_1)+beta_2*((1-EXP(-((AT8-Settle)/365)/tau_1))/(((AT8-Settle)/365)/tau_1)-EXP(-((AT8-Settle)/365)/tau_1))+beta_3*((1-EXP(-((AT8-Settle)/365)/tau_2))/(((AT8-Settle)/365)/tau_2)-EXP(-((AT8-Settle)/365)/tau_2)))*((AT8-Settle)/365)))</f>
        <v>0</v>
      </c>
      <c r="DD8" s="7">
        <f t="shared" ref="DD8:DD71" si="43">IF(AU8="",0,($B8/2+IF(43=$C8,100,0))*EXP(-(beta_0+beta_1*(1-EXP(-((AU8-Settle)/365)/tau_1))/(((AU8-Settle)/365)/tau_1)+beta_2*((1-EXP(-((AU8-Settle)/365)/tau_1))/(((AU8-Settle)/365)/tau_1)-EXP(-((AU8-Settle)/365)/tau_1))+beta_3*((1-EXP(-((AU8-Settle)/365)/tau_2))/(((AU8-Settle)/365)/tau_2)-EXP(-((AU8-Settle)/365)/tau_2)))*((AU8-Settle)/365)))</f>
        <v>0</v>
      </c>
      <c r="DE8" s="7">
        <f t="shared" ref="DE8:DE71" si="44">IF(AV8="",0,($B8/2+IF(44=$C8,100,0))*EXP(-(beta_0+beta_1*(1-EXP(-((AV8-Settle)/365)/tau_1))/(((AV8-Settle)/365)/tau_1)+beta_2*((1-EXP(-((AV8-Settle)/365)/tau_1))/(((AV8-Settle)/365)/tau_1)-EXP(-((AV8-Settle)/365)/tau_1))+beta_3*((1-EXP(-((AV8-Settle)/365)/tau_2))/(((AV8-Settle)/365)/tau_2)-EXP(-((AV8-Settle)/365)/tau_2)))*((AV8-Settle)/365)))</f>
        <v>0</v>
      </c>
      <c r="DF8" s="7">
        <f t="shared" ref="DF8:DF71" si="45">IF(AW8="",0,($B8/2+IF(45=$C8,100,0))*EXP(-(beta_0+beta_1*(1-EXP(-((AW8-Settle)/365)/tau_1))/(((AW8-Settle)/365)/tau_1)+beta_2*((1-EXP(-((AW8-Settle)/365)/tau_1))/(((AW8-Settle)/365)/tau_1)-EXP(-((AW8-Settle)/365)/tau_1))+beta_3*((1-EXP(-((AW8-Settle)/365)/tau_2))/(((AW8-Settle)/365)/tau_2)-EXP(-((AW8-Settle)/365)/tau_2)))*((AW8-Settle)/365)))</f>
        <v>0</v>
      </c>
      <c r="DG8" s="7">
        <f t="shared" ref="DG8:DG71" si="46">IF(AX8="",0,($B8/2+IF(46=$C8,100,0))*EXP(-(beta_0+beta_1*(1-EXP(-((AX8-Settle)/365)/tau_1))/(((AX8-Settle)/365)/tau_1)+beta_2*((1-EXP(-((AX8-Settle)/365)/tau_1))/(((AX8-Settle)/365)/tau_1)-EXP(-((AX8-Settle)/365)/tau_1))+beta_3*((1-EXP(-((AX8-Settle)/365)/tau_2))/(((AX8-Settle)/365)/tau_2)-EXP(-((AX8-Settle)/365)/tau_2)))*((AX8-Settle)/365)))</f>
        <v>0</v>
      </c>
      <c r="DH8" s="7">
        <f t="shared" ref="DH8:DH71" si="47">IF(AY8="",0,($B8/2+IF(47=$C8,100,0))*EXP(-(beta_0+beta_1*(1-EXP(-((AY8-Settle)/365)/tau_1))/(((AY8-Settle)/365)/tau_1)+beta_2*((1-EXP(-((AY8-Settle)/365)/tau_1))/(((AY8-Settle)/365)/tau_1)-EXP(-((AY8-Settle)/365)/tau_1))+beta_3*((1-EXP(-((AY8-Settle)/365)/tau_2))/(((AY8-Settle)/365)/tau_2)-EXP(-((AY8-Settle)/365)/tau_2)))*((AY8-Settle)/365)))</f>
        <v>0</v>
      </c>
      <c r="DI8" s="7">
        <f t="shared" ref="DI8:DI71" si="48">IF(AZ8="",0,($B8/2+IF(48=$C8,100,0))*EXP(-(beta_0+beta_1*(1-EXP(-((AZ8-Settle)/365)/tau_1))/(((AZ8-Settle)/365)/tau_1)+beta_2*((1-EXP(-((AZ8-Settle)/365)/tau_1))/(((AZ8-Settle)/365)/tau_1)-EXP(-((AZ8-Settle)/365)/tau_1))+beta_3*((1-EXP(-((AZ8-Settle)/365)/tau_2))/(((AZ8-Settle)/365)/tau_2)-EXP(-((AZ8-Settle)/365)/tau_2)))*((AZ8-Settle)/365)))</f>
        <v>0</v>
      </c>
      <c r="DJ8" s="7">
        <f t="shared" ref="DJ8:DJ71" si="49">IF(BA8="",0,($B8/2+IF(49=$C8,100,0))*EXP(-(beta_0+beta_1*(1-EXP(-((BA8-Settle)/365)/tau_1))/(((BA8-Settle)/365)/tau_1)+beta_2*((1-EXP(-((BA8-Settle)/365)/tau_1))/(((BA8-Settle)/365)/tau_1)-EXP(-((BA8-Settle)/365)/tau_1))+beta_3*((1-EXP(-((BA8-Settle)/365)/tau_2))/(((BA8-Settle)/365)/tau_2)-EXP(-((BA8-Settle)/365)/tau_2)))*((BA8-Settle)/365)))</f>
        <v>0</v>
      </c>
      <c r="DK8" s="7">
        <f t="shared" ref="DK8:DK71" si="50">IF(BB8="",0,($B8/2+IF(50=$C8,100,0))*EXP(-(beta_0+beta_1*(1-EXP(-((BB8-Settle)/365)/tau_1))/(((BB8-Settle)/365)/tau_1)+beta_2*((1-EXP(-((BB8-Settle)/365)/tau_1))/(((BB8-Settle)/365)/tau_1)-EXP(-((BB8-Settle)/365)/tau_1))+beta_3*((1-EXP(-((BB8-Settle)/365)/tau_2))/(((BB8-Settle)/365)/tau_2)-EXP(-((BB8-Settle)/365)/tau_2)))*((BB8-Settle)/365)))</f>
        <v>0</v>
      </c>
      <c r="DL8" s="7">
        <f t="shared" ref="DL8:DL71" si="51">IF(BC8="",0,($B8/2+IF(51=$C8,100,0))*EXP(-(beta_0+beta_1*(1-EXP(-((BC8-Settle)/365)/tau_1))/(((BC8-Settle)/365)/tau_1)+beta_2*((1-EXP(-((BC8-Settle)/365)/tau_1))/(((BC8-Settle)/365)/tau_1)-EXP(-((BC8-Settle)/365)/tau_1))+beta_3*((1-EXP(-((BC8-Settle)/365)/tau_2))/(((BC8-Settle)/365)/tau_2)-EXP(-((BC8-Settle)/365)/tau_2)))*((BC8-Settle)/365)))</f>
        <v>0</v>
      </c>
      <c r="DM8" s="7">
        <f t="shared" ref="DM8:DM71" si="52">IF(BD8="",0,($B8/2+IF(52=$C8,100,0))*EXP(-(beta_0+beta_1*(1-EXP(-((BD8-Settle)/365)/tau_1))/(((BD8-Settle)/365)/tau_1)+beta_2*((1-EXP(-((BD8-Settle)/365)/tau_1))/(((BD8-Settle)/365)/tau_1)-EXP(-((BD8-Settle)/365)/tau_1))+beta_3*((1-EXP(-((BD8-Settle)/365)/tau_2))/(((BD8-Settle)/365)/tau_2)-EXP(-((BD8-Settle)/365)/tau_2)))*((BD8-Settle)/365)))</f>
        <v>0</v>
      </c>
      <c r="DN8" s="7">
        <f t="shared" ref="DN8:DN71" si="53">IF(BE8="",0,($B8/2+IF(53=$C8,100,0))*EXP(-(beta_0+beta_1*(1-EXP(-((BE8-Settle)/365)/tau_1))/(((BE8-Settle)/365)/tau_1)+beta_2*((1-EXP(-((BE8-Settle)/365)/tau_1))/(((BE8-Settle)/365)/tau_1)-EXP(-((BE8-Settle)/365)/tau_1))+beta_3*((1-EXP(-((BE8-Settle)/365)/tau_2))/(((BE8-Settle)/365)/tau_2)-EXP(-((BE8-Settle)/365)/tau_2)))*((BE8-Settle)/365)))</f>
        <v>0</v>
      </c>
      <c r="DO8" s="7">
        <f t="shared" ref="DO8:DO71" si="54">IF(BF8="",0,($B8/2+IF(54=$C8,100,0))*EXP(-(beta_0+beta_1*(1-EXP(-((BF8-Settle)/365)/tau_1))/(((BF8-Settle)/365)/tau_1)+beta_2*((1-EXP(-((BF8-Settle)/365)/tau_1))/(((BF8-Settle)/365)/tau_1)-EXP(-((BF8-Settle)/365)/tau_1))+beta_3*((1-EXP(-((BF8-Settle)/365)/tau_2))/(((BF8-Settle)/365)/tau_2)-EXP(-((BF8-Settle)/365)/tau_2)))*((BF8-Settle)/365)))</f>
        <v>0</v>
      </c>
      <c r="DP8" s="7">
        <f t="shared" ref="DP8:DP71" si="55">IF(BG8="",0,($B8/2+IF(55=$C8,100,0))*EXP(-(beta_0+beta_1*(1-EXP(-((BG8-Settle)/365)/tau_1))/(((BG8-Settle)/365)/tau_1)+beta_2*((1-EXP(-((BG8-Settle)/365)/tau_1))/(((BG8-Settle)/365)/tau_1)-EXP(-((BG8-Settle)/365)/tau_1))+beta_3*((1-EXP(-((BG8-Settle)/365)/tau_2))/(((BG8-Settle)/365)/tau_2)-EXP(-((BG8-Settle)/365)/tau_2)))*((BG8-Settle)/365)))</f>
        <v>0</v>
      </c>
      <c r="DQ8" s="7">
        <f t="shared" ref="DQ8:DQ71" si="56">IF(BH8="",0,($B8/2+IF(56=$C8,100,0))*EXP(-(beta_0+beta_1*(1-EXP(-((BH8-Settle)/365)/tau_1))/(((BH8-Settle)/365)/tau_1)+beta_2*((1-EXP(-((BH8-Settle)/365)/tau_1))/(((BH8-Settle)/365)/tau_1)-EXP(-((BH8-Settle)/365)/tau_1))+beta_3*((1-EXP(-((BH8-Settle)/365)/tau_2))/(((BH8-Settle)/365)/tau_2)-EXP(-((BH8-Settle)/365)/tau_2)))*((BH8-Settle)/365)))</f>
        <v>0</v>
      </c>
      <c r="DR8" s="7">
        <f t="shared" ref="DR8:DR71" si="57">IF(BI8="",0,($B8/2+IF(57=$C8,100,0))*EXP(-(beta_0+beta_1*(1-EXP(-((BI8-Settle)/365)/tau_1))/(((BI8-Settle)/365)/tau_1)+beta_2*((1-EXP(-((BI8-Settle)/365)/tau_1))/(((BI8-Settle)/365)/tau_1)-EXP(-((BI8-Settle)/365)/tau_1))+beta_3*((1-EXP(-((BI8-Settle)/365)/tau_2))/(((BI8-Settle)/365)/tau_2)-EXP(-((BI8-Settle)/365)/tau_2)))*((BI8-Settle)/365)))</f>
        <v>0</v>
      </c>
      <c r="DS8" s="7">
        <f t="shared" ref="DS8:DS71" si="58">IF(BJ8="",0,($B8/2+IF(58=$C8,100,0))*EXP(-(beta_0+beta_1*(1-EXP(-((BJ8-Settle)/365)/tau_1))/(((BJ8-Settle)/365)/tau_1)+beta_2*((1-EXP(-((BJ8-Settle)/365)/tau_1))/(((BJ8-Settle)/365)/tau_1)-EXP(-((BJ8-Settle)/365)/tau_1))+beta_3*((1-EXP(-((BJ8-Settle)/365)/tau_2))/(((BJ8-Settle)/365)/tau_2)-EXP(-((BJ8-Settle)/365)/tau_2)))*((BJ8-Settle)/365)))</f>
        <v>0</v>
      </c>
      <c r="DT8" s="7">
        <f t="shared" ref="DT8:DT71" si="59">IF(BK8="",0,($B8/2+IF(59=$C8,100,0))*EXP(-(beta_0+beta_1*(1-EXP(-((BK8-Settle)/365)/tau_1))/(((BK8-Settle)/365)/tau_1)+beta_2*((1-EXP(-((BK8-Settle)/365)/tau_1))/(((BK8-Settle)/365)/tau_1)-EXP(-((BK8-Settle)/365)/tau_1))+beta_3*((1-EXP(-((BK8-Settle)/365)/tau_2))/(((BK8-Settle)/365)/tau_2)-EXP(-((BK8-Settle)/365)/tau_2)))*((BK8-Settle)/365)))</f>
        <v>0</v>
      </c>
      <c r="DU8" s="7">
        <f t="shared" ref="DU8:DU71" si="60">IF(BL8="",0,($B8/2+IF(60=$C8,100,0))*EXP(-(beta_0+beta_1*(1-EXP(-((BL8-Settle)/365)/tau_1))/(((BL8-Settle)/365)/tau_1)+beta_2*((1-EXP(-((BL8-Settle)/365)/tau_1))/(((BL8-Settle)/365)/tau_1)-EXP(-((BL8-Settle)/365)/tau_1))+beta_3*((1-EXP(-((BL8-Settle)/365)/tau_2))/(((BL8-Settle)/365)/tau_2)-EXP(-((BL8-Settle)/365)/tau_2)))*((BL8-Settle)/365)))</f>
        <v>0</v>
      </c>
    </row>
    <row r="9" spans="1:125" x14ac:dyDescent="0.2">
      <c r="A9" s="3">
        <f>Bonds!A9</f>
        <v>46295</v>
      </c>
      <c r="B9" s="4">
        <f>Bonds!B9</f>
        <v>0.875</v>
      </c>
      <c r="C9">
        <f>Bonds!P9</f>
        <v>1</v>
      </c>
      <c r="D9">
        <f t="shared" si="0"/>
        <v>1</v>
      </c>
      <c r="E9" s="3">
        <f>IF(1&gt;$C9,"",IF($D9=1,EOMONTH(EDATE(Bonds!$H9,6*(1-1)),0),EDATE(Bonds!$H9,6*(1-1))))</f>
        <v>46295</v>
      </c>
      <c r="F9" s="3" t="str">
        <f>IF(2&gt;$C9,"",IF($D9=1,EOMONTH(EDATE(Bonds!$H9,6*(2-1)),0),EDATE(Bonds!$H9,6*(2-1))))</f>
        <v/>
      </c>
      <c r="G9" s="3" t="str">
        <f>IF(3&gt;$C9,"",IF($D9=1,EOMONTH(EDATE(Bonds!$H9,6*(3-1)),0),EDATE(Bonds!$H9,6*(3-1))))</f>
        <v/>
      </c>
      <c r="H9" s="3" t="str">
        <f>IF(4&gt;$C9,"",IF($D9=1,EOMONTH(EDATE(Bonds!$H9,6*(4-1)),0),EDATE(Bonds!$H9,6*(4-1))))</f>
        <v/>
      </c>
      <c r="I9" s="3" t="str">
        <f>IF(5&gt;$C9,"",IF($D9=1,EOMONTH(EDATE(Bonds!$H9,6*(5-1)),0),EDATE(Bonds!$H9,6*(5-1))))</f>
        <v/>
      </c>
      <c r="J9" s="3" t="str">
        <f>IF(6&gt;$C9,"",IF($D9=1,EOMONTH(EDATE(Bonds!$H9,6*(6-1)),0),EDATE(Bonds!$H9,6*(6-1))))</f>
        <v/>
      </c>
      <c r="K9" s="3" t="str">
        <f>IF(7&gt;$C9,"",IF($D9=1,EOMONTH(EDATE(Bonds!$H9,6*(7-1)),0),EDATE(Bonds!$H9,6*(7-1))))</f>
        <v/>
      </c>
      <c r="L9" s="3" t="str">
        <f>IF(8&gt;$C9,"",IF($D9=1,EOMONTH(EDATE(Bonds!$H9,6*(8-1)),0),EDATE(Bonds!$H9,6*(8-1))))</f>
        <v/>
      </c>
      <c r="M9" s="3" t="str">
        <f>IF(9&gt;$C9,"",IF($D9=1,EOMONTH(EDATE(Bonds!$H9,6*(9-1)),0),EDATE(Bonds!$H9,6*(9-1))))</f>
        <v/>
      </c>
      <c r="N9" s="3" t="str">
        <f>IF(10&gt;$C9,"",IF($D9=1,EOMONTH(EDATE(Bonds!$H9,6*(10-1)),0),EDATE(Bonds!$H9,6*(10-1))))</f>
        <v/>
      </c>
      <c r="O9" s="3" t="str">
        <f>IF(11&gt;$C9,"",IF($D9=1,EOMONTH(EDATE(Bonds!$H9,6*(11-1)),0),EDATE(Bonds!$H9,6*(11-1))))</f>
        <v/>
      </c>
      <c r="P9" s="3" t="str">
        <f>IF(12&gt;$C9,"",IF($D9=1,EOMONTH(EDATE(Bonds!$H9,6*(12-1)),0),EDATE(Bonds!$H9,6*(12-1))))</f>
        <v/>
      </c>
      <c r="Q9" s="3" t="str">
        <f>IF(13&gt;$C9,"",IF($D9=1,EOMONTH(EDATE(Bonds!$H9,6*(13-1)),0),EDATE(Bonds!$H9,6*(13-1))))</f>
        <v/>
      </c>
      <c r="R9" s="3" t="str">
        <f>IF(14&gt;$C9,"",IF($D9=1,EOMONTH(EDATE(Bonds!$H9,6*(14-1)),0),EDATE(Bonds!$H9,6*(14-1))))</f>
        <v/>
      </c>
      <c r="S9" s="3" t="str">
        <f>IF(15&gt;$C9,"",IF($D9=1,EOMONTH(EDATE(Bonds!$H9,6*(15-1)),0),EDATE(Bonds!$H9,6*(15-1))))</f>
        <v/>
      </c>
      <c r="T9" s="3" t="str">
        <f>IF(16&gt;$C9,"",IF($D9=1,EOMONTH(EDATE(Bonds!$H9,6*(16-1)),0),EDATE(Bonds!$H9,6*(16-1))))</f>
        <v/>
      </c>
      <c r="U9" s="3" t="str">
        <f>IF(17&gt;$C9,"",IF($D9=1,EOMONTH(EDATE(Bonds!$H9,6*(17-1)),0),EDATE(Bonds!$H9,6*(17-1))))</f>
        <v/>
      </c>
      <c r="V9" s="3" t="str">
        <f>IF(18&gt;$C9,"",IF($D9=1,EOMONTH(EDATE(Bonds!$H9,6*(18-1)),0),EDATE(Bonds!$H9,6*(18-1))))</f>
        <v/>
      </c>
      <c r="W9" s="3" t="str">
        <f>IF(19&gt;$C9,"",IF($D9=1,EOMONTH(EDATE(Bonds!$H9,6*(19-1)),0),EDATE(Bonds!$H9,6*(19-1))))</f>
        <v/>
      </c>
      <c r="X9" s="3" t="str">
        <f>IF(20&gt;$C9,"",IF($D9=1,EOMONTH(EDATE(Bonds!$H9,6*(20-1)),0),EDATE(Bonds!$H9,6*(20-1))))</f>
        <v/>
      </c>
      <c r="Y9" s="3" t="str">
        <f>IF(21&gt;$C9,"",IF($D9=1,EOMONTH(EDATE(Bonds!$H9,6*(21-1)),0),EDATE(Bonds!$H9,6*(21-1))))</f>
        <v/>
      </c>
      <c r="Z9" s="3" t="str">
        <f>IF(22&gt;$C9,"",IF($D9=1,EOMONTH(EDATE(Bonds!$H9,6*(22-1)),0),EDATE(Bonds!$H9,6*(22-1))))</f>
        <v/>
      </c>
      <c r="AA9" s="3" t="str">
        <f>IF(23&gt;$C9,"",IF($D9=1,EOMONTH(EDATE(Bonds!$H9,6*(23-1)),0),EDATE(Bonds!$H9,6*(23-1))))</f>
        <v/>
      </c>
      <c r="AB9" s="3" t="str">
        <f>IF(24&gt;$C9,"",IF($D9=1,EOMONTH(EDATE(Bonds!$H9,6*(24-1)),0),EDATE(Bonds!$H9,6*(24-1))))</f>
        <v/>
      </c>
      <c r="AC9" s="3" t="str">
        <f>IF(25&gt;$C9,"",IF($D9=1,EOMONTH(EDATE(Bonds!$H9,6*(25-1)),0),EDATE(Bonds!$H9,6*(25-1))))</f>
        <v/>
      </c>
      <c r="AD9" s="3" t="str">
        <f>IF(26&gt;$C9,"",IF($D9=1,EOMONTH(EDATE(Bonds!$H9,6*(26-1)),0),EDATE(Bonds!$H9,6*(26-1))))</f>
        <v/>
      </c>
      <c r="AE9" s="3" t="str">
        <f>IF(27&gt;$C9,"",IF($D9=1,EOMONTH(EDATE(Bonds!$H9,6*(27-1)),0),EDATE(Bonds!$H9,6*(27-1))))</f>
        <v/>
      </c>
      <c r="AF9" s="3" t="str">
        <f>IF(28&gt;$C9,"",IF($D9=1,EOMONTH(EDATE(Bonds!$H9,6*(28-1)),0),EDATE(Bonds!$H9,6*(28-1))))</f>
        <v/>
      </c>
      <c r="AG9" s="3" t="str">
        <f>IF(29&gt;$C9,"",IF($D9=1,EOMONTH(EDATE(Bonds!$H9,6*(29-1)),0),EDATE(Bonds!$H9,6*(29-1))))</f>
        <v/>
      </c>
      <c r="AH9" s="3" t="str">
        <f>IF(30&gt;$C9,"",IF($D9=1,EOMONTH(EDATE(Bonds!$H9,6*(30-1)),0),EDATE(Bonds!$H9,6*(30-1))))</f>
        <v/>
      </c>
      <c r="AI9" s="3" t="str">
        <f>IF(31&gt;$C9,"",IF($D9=1,EOMONTH(EDATE(Bonds!$H9,6*(31-1)),0),EDATE(Bonds!$H9,6*(31-1))))</f>
        <v/>
      </c>
      <c r="AJ9" s="3" t="str">
        <f>IF(32&gt;$C9,"",IF($D9=1,EOMONTH(EDATE(Bonds!$H9,6*(32-1)),0),EDATE(Bonds!$H9,6*(32-1))))</f>
        <v/>
      </c>
      <c r="AK9" s="3" t="str">
        <f>IF(33&gt;$C9,"",IF($D9=1,EOMONTH(EDATE(Bonds!$H9,6*(33-1)),0),EDATE(Bonds!$H9,6*(33-1))))</f>
        <v/>
      </c>
      <c r="AL9" s="3" t="str">
        <f>IF(34&gt;$C9,"",IF($D9=1,EOMONTH(EDATE(Bonds!$H9,6*(34-1)),0),EDATE(Bonds!$H9,6*(34-1))))</f>
        <v/>
      </c>
      <c r="AM9" s="3" t="str">
        <f>IF(35&gt;$C9,"",IF($D9=1,EOMONTH(EDATE(Bonds!$H9,6*(35-1)),0),EDATE(Bonds!$H9,6*(35-1))))</f>
        <v/>
      </c>
      <c r="AN9" s="3" t="str">
        <f>IF(36&gt;$C9,"",IF($D9=1,EOMONTH(EDATE(Bonds!$H9,6*(36-1)),0),EDATE(Bonds!$H9,6*(36-1))))</f>
        <v/>
      </c>
      <c r="AO9" s="3" t="str">
        <f>IF(37&gt;$C9,"",IF($D9=1,EOMONTH(EDATE(Bonds!$H9,6*(37-1)),0),EDATE(Bonds!$H9,6*(37-1))))</f>
        <v/>
      </c>
      <c r="AP9" s="3" t="str">
        <f>IF(38&gt;$C9,"",IF($D9=1,EOMONTH(EDATE(Bonds!$H9,6*(38-1)),0),EDATE(Bonds!$H9,6*(38-1))))</f>
        <v/>
      </c>
      <c r="AQ9" s="3" t="str">
        <f>IF(39&gt;$C9,"",IF($D9=1,EOMONTH(EDATE(Bonds!$H9,6*(39-1)),0),EDATE(Bonds!$H9,6*(39-1))))</f>
        <v/>
      </c>
      <c r="AR9" s="3" t="str">
        <f>IF(40&gt;$C9,"",IF($D9=1,EOMONTH(EDATE(Bonds!$H9,6*(40-1)),0),EDATE(Bonds!$H9,6*(40-1))))</f>
        <v/>
      </c>
      <c r="AS9" s="3" t="str">
        <f>IF(41&gt;$C9,"",IF($D9=1,EOMONTH(EDATE(Bonds!$H9,6*(41-1)),0),EDATE(Bonds!$H9,6*(41-1))))</f>
        <v/>
      </c>
      <c r="AT9" s="3" t="str">
        <f>IF(42&gt;$C9,"",IF($D9=1,EOMONTH(EDATE(Bonds!$H9,6*(42-1)),0),EDATE(Bonds!$H9,6*(42-1))))</f>
        <v/>
      </c>
      <c r="AU9" s="3" t="str">
        <f>IF(43&gt;$C9,"",IF($D9=1,EOMONTH(EDATE(Bonds!$H9,6*(43-1)),0),EDATE(Bonds!$H9,6*(43-1))))</f>
        <v/>
      </c>
      <c r="AV9" s="3" t="str">
        <f>IF(44&gt;$C9,"",IF($D9=1,EOMONTH(EDATE(Bonds!$H9,6*(44-1)),0),EDATE(Bonds!$H9,6*(44-1))))</f>
        <v/>
      </c>
      <c r="AW9" s="3" t="str">
        <f>IF(45&gt;$C9,"",IF($D9=1,EOMONTH(EDATE(Bonds!$H9,6*(45-1)),0),EDATE(Bonds!$H9,6*(45-1))))</f>
        <v/>
      </c>
      <c r="AX9" s="3" t="str">
        <f>IF(46&gt;$C9,"",IF($D9=1,EOMONTH(EDATE(Bonds!$H9,6*(46-1)),0),EDATE(Bonds!$H9,6*(46-1))))</f>
        <v/>
      </c>
      <c r="AY9" s="3" t="str">
        <f>IF(47&gt;$C9,"",IF($D9=1,EOMONTH(EDATE(Bonds!$H9,6*(47-1)),0),EDATE(Bonds!$H9,6*(47-1))))</f>
        <v/>
      </c>
      <c r="AZ9" s="3" t="str">
        <f>IF(48&gt;$C9,"",IF($D9=1,EOMONTH(EDATE(Bonds!$H9,6*(48-1)),0),EDATE(Bonds!$H9,6*(48-1))))</f>
        <v/>
      </c>
      <c r="BA9" s="3" t="str">
        <f>IF(49&gt;$C9,"",IF($D9=1,EOMONTH(EDATE(Bonds!$H9,6*(49-1)),0),EDATE(Bonds!$H9,6*(49-1))))</f>
        <v/>
      </c>
      <c r="BB9" s="3" t="str">
        <f>IF(50&gt;$C9,"",IF($D9=1,EOMONTH(EDATE(Bonds!$H9,6*(50-1)),0),EDATE(Bonds!$H9,6*(50-1))))</f>
        <v/>
      </c>
      <c r="BC9" s="3" t="str">
        <f>IF(51&gt;$C9,"",IF($D9=1,EOMONTH(EDATE(Bonds!$H9,6*(51-1)),0),EDATE(Bonds!$H9,6*(51-1))))</f>
        <v/>
      </c>
      <c r="BD9" s="3" t="str">
        <f>IF(52&gt;$C9,"",IF($D9=1,EOMONTH(EDATE(Bonds!$H9,6*(52-1)),0),EDATE(Bonds!$H9,6*(52-1))))</f>
        <v/>
      </c>
      <c r="BE9" s="3" t="str">
        <f>IF(53&gt;$C9,"",IF($D9=1,EOMONTH(EDATE(Bonds!$H9,6*(53-1)),0),EDATE(Bonds!$H9,6*(53-1))))</f>
        <v/>
      </c>
      <c r="BF9" s="3" t="str">
        <f>IF(54&gt;$C9,"",IF($D9=1,EOMONTH(EDATE(Bonds!$H9,6*(54-1)),0),EDATE(Bonds!$H9,6*(54-1))))</f>
        <v/>
      </c>
      <c r="BG9" s="3" t="str">
        <f>IF(55&gt;$C9,"",IF($D9=1,EOMONTH(EDATE(Bonds!$H9,6*(55-1)),0),EDATE(Bonds!$H9,6*(55-1))))</f>
        <v/>
      </c>
      <c r="BH9" s="3" t="str">
        <f>IF(56&gt;$C9,"",IF($D9=1,EOMONTH(EDATE(Bonds!$H9,6*(56-1)),0),EDATE(Bonds!$H9,6*(56-1))))</f>
        <v/>
      </c>
      <c r="BI9" s="3" t="str">
        <f>IF(57&gt;$C9,"",IF($D9=1,EOMONTH(EDATE(Bonds!$H9,6*(57-1)),0),EDATE(Bonds!$H9,6*(57-1))))</f>
        <v/>
      </c>
      <c r="BJ9" s="3" t="str">
        <f>IF(58&gt;$C9,"",IF($D9=1,EOMONTH(EDATE(Bonds!$H9,6*(58-1)),0),EDATE(Bonds!$H9,6*(58-1))))</f>
        <v/>
      </c>
      <c r="BK9" s="3" t="str">
        <f>IF(59&gt;$C9,"",IF($D9=1,EOMONTH(EDATE(Bonds!$H9,6*(59-1)),0),EDATE(Bonds!$H9,6*(59-1))))</f>
        <v/>
      </c>
      <c r="BL9" s="3" t="str">
        <f>IF(60&gt;$C9,"",IF($D9=1,EOMONTH(EDATE(Bonds!$H9,6*(60-1)),0),EDATE(Bonds!$H9,6*(60-1))))</f>
        <v/>
      </c>
      <c r="BN9" s="7">
        <f t="shared" si="1"/>
        <v>100.21547503952706</v>
      </c>
      <c r="BO9" s="7">
        <f t="shared" si="2"/>
        <v>0</v>
      </c>
      <c r="BP9" s="7">
        <f t="shared" si="3"/>
        <v>0</v>
      </c>
      <c r="BQ9" s="7">
        <f t="shared" si="4"/>
        <v>0</v>
      </c>
      <c r="BR9" s="7">
        <f t="shared" si="5"/>
        <v>0</v>
      </c>
      <c r="BS9" s="7">
        <f t="shared" si="6"/>
        <v>0</v>
      </c>
      <c r="BT9" s="7">
        <f t="shared" si="7"/>
        <v>0</v>
      </c>
      <c r="BU9" s="7">
        <f t="shared" si="8"/>
        <v>0</v>
      </c>
      <c r="BV9" s="7">
        <f t="shared" si="9"/>
        <v>0</v>
      </c>
      <c r="BW9" s="7">
        <f t="shared" si="10"/>
        <v>0</v>
      </c>
      <c r="BX9" s="7">
        <f t="shared" si="11"/>
        <v>0</v>
      </c>
      <c r="BY9" s="7">
        <f t="shared" si="12"/>
        <v>0</v>
      </c>
      <c r="BZ9" s="7">
        <f t="shared" si="13"/>
        <v>0</v>
      </c>
      <c r="CA9" s="7">
        <f t="shared" si="14"/>
        <v>0</v>
      </c>
      <c r="CB9" s="7">
        <f t="shared" si="15"/>
        <v>0</v>
      </c>
      <c r="CC9" s="7">
        <f t="shared" si="16"/>
        <v>0</v>
      </c>
      <c r="CD9" s="7">
        <f t="shared" si="17"/>
        <v>0</v>
      </c>
      <c r="CE9" s="7">
        <f t="shared" si="18"/>
        <v>0</v>
      </c>
      <c r="CF9" s="7">
        <f t="shared" si="19"/>
        <v>0</v>
      </c>
      <c r="CG9" s="7">
        <f t="shared" si="20"/>
        <v>0</v>
      </c>
      <c r="CH9" s="7">
        <f t="shared" si="21"/>
        <v>0</v>
      </c>
      <c r="CI9" s="7">
        <f t="shared" si="22"/>
        <v>0</v>
      </c>
      <c r="CJ9" s="7">
        <f t="shared" si="23"/>
        <v>0</v>
      </c>
      <c r="CK9" s="7">
        <f t="shared" si="24"/>
        <v>0</v>
      </c>
      <c r="CL9" s="7">
        <f t="shared" si="25"/>
        <v>0</v>
      </c>
      <c r="CM9" s="7">
        <f t="shared" si="26"/>
        <v>0</v>
      </c>
      <c r="CN9" s="7">
        <f t="shared" si="27"/>
        <v>0</v>
      </c>
      <c r="CO9" s="7">
        <f t="shared" si="28"/>
        <v>0</v>
      </c>
      <c r="CP9" s="7">
        <f t="shared" si="29"/>
        <v>0</v>
      </c>
      <c r="CQ9" s="7">
        <f t="shared" si="30"/>
        <v>0</v>
      </c>
      <c r="CR9" s="7">
        <f t="shared" si="31"/>
        <v>0</v>
      </c>
      <c r="CS9" s="7">
        <f t="shared" si="32"/>
        <v>0</v>
      </c>
      <c r="CT9" s="7">
        <f t="shared" si="33"/>
        <v>0</v>
      </c>
      <c r="CU9" s="7">
        <f t="shared" si="34"/>
        <v>0</v>
      </c>
      <c r="CV9" s="7">
        <f t="shared" si="35"/>
        <v>0</v>
      </c>
      <c r="CW9" s="7">
        <f t="shared" si="36"/>
        <v>0</v>
      </c>
      <c r="CX9" s="7">
        <f t="shared" si="37"/>
        <v>0</v>
      </c>
      <c r="CY9" s="7">
        <f t="shared" si="38"/>
        <v>0</v>
      </c>
      <c r="CZ9" s="7">
        <f t="shared" si="39"/>
        <v>0</v>
      </c>
      <c r="DA9" s="7">
        <f t="shared" si="40"/>
        <v>0</v>
      </c>
      <c r="DB9" s="7">
        <f t="shared" si="41"/>
        <v>0</v>
      </c>
      <c r="DC9" s="7">
        <f t="shared" si="42"/>
        <v>0</v>
      </c>
      <c r="DD9" s="7">
        <f t="shared" si="43"/>
        <v>0</v>
      </c>
      <c r="DE9" s="7">
        <f t="shared" si="44"/>
        <v>0</v>
      </c>
      <c r="DF9" s="7">
        <f t="shared" si="45"/>
        <v>0</v>
      </c>
      <c r="DG9" s="7">
        <f t="shared" si="46"/>
        <v>0</v>
      </c>
      <c r="DH9" s="7">
        <f t="shared" si="47"/>
        <v>0</v>
      </c>
      <c r="DI9" s="7">
        <f t="shared" si="48"/>
        <v>0</v>
      </c>
      <c r="DJ9" s="7">
        <f t="shared" si="49"/>
        <v>0</v>
      </c>
      <c r="DK9" s="7">
        <f t="shared" si="50"/>
        <v>0</v>
      </c>
      <c r="DL9" s="7">
        <f t="shared" si="51"/>
        <v>0</v>
      </c>
      <c r="DM9" s="7">
        <f t="shared" si="52"/>
        <v>0</v>
      </c>
      <c r="DN9" s="7">
        <f t="shared" si="53"/>
        <v>0</v>
      </c>
      <c r="DO9" s="7">
        <f t="shared" si="54"/>
        <v>0</v>
      </c>
      <c r="DP9" s="7">
        <f t="shared" si="55"/>
        <v>0</v>
      </c>
      <c r="DQ9" s="7">
        <f t="shared" si="56"/>
        <v>0</v>
      </c>
      <c r="DR9" s="7">
        <f t="shared" si="57"/>
        <v>0</v>
      </c>
      <c r="DS9" s="7">
        <f t="shared" si="58"/>
        <v>0</v>
      </c>
      <c r="DT9" s="7">
        <f t="shared" si="59"/>
        <v>0</v>
      </c>
      <c r="DU9" s="7">
        <f t="shared" si="60"/>
        <v>0</v>
      </c>
    </row>
    <row r="10" spans="1:125" x14ac:dyDescent="0.2">
      <c r="A10" s="3">
        <f>Bonds!A10</f>
        <v>46295</v>
      </c>
      <c r="B10" s="4">
        <f>Bonds!B10</f>
        <v>1.625</v>
      </c>
      <c r="C10">
        <f>Bonds!P10</f>
        <v>1</v>
      </c>
      <c r="D10">
        <f t="shared" si="0"/>
        <v>1</v>
      </c>
      <c r="E10" s="3">
        <f>IF(1&gt;$C10,"",IF($D10=1,EOMONTH(EDATE(Bonds!$H10,6*(1-1)),0),EDATE(Bonds!$H10,6*(1-1))))</f>
        <v>46295</v>
      </c>
      <c r="F10" s="3" t="str">
        <f>IF(2&gt;$C10,"",IF($D10=1,EOMONTH(EDATE(Bonds!$H10,6*(2-1)),0),EDATE(Bonds!$H10,6*(2-1))))</f>
        <v/>
      </c>
      <c r="G10" s="3" t="str">
        <f>IF(3&gt;$C10,"",IF($D10=1,EOMONTH(EDATE(Bonds!$H10,6*(3-1)),0),EDATE(Bonds!$H10,6*(3-1))))</f>
        <v/>
      </c>
      <c r="H10" s="3" t="str">
        <f>IF(4&gt;$C10,"",IF($D10=1,EOMONTH(EDATE(Bonds!$H10,6*(4-1)),0),EDATE(Bonds!$H10,6*(4-1))))</f>
        <v/>
      </c>
      <c r="I10" s="3" t="str">
        <f>IF(5&gt;$C10,"",IF($D10=1,EOMONTH(EDATE(Bonds!$H10,6*(5-1)),0),EDATE(Bonds!$H10,6*(5-1))))</f>
        <v/>
      </c>
      <c r="J10" s="3" t="str">
        <f>IF(6&gt;$C10,"",IF($D10=1,EOMONTH(EDATE(Bonds!$H10,6*(6-1)),0),EDATE(Bonds!$H10,6*(6-1))))</f>
        <v/>
      </c>
      <c r="K10" s="3" t="str">
        <f>IF(7&gt;$C10,"",IF($D10=1,EOMONTH(EDATE(Bonds!$H10,6*(7-1)),0),EDATE(Bonds!$H10,6*(7-1))))</f>
        <v/>
      </c>
      <c r="L10" s="3" t="str">
        <f>IF(8&gt;$C10,"",IF($D10=1,EOMONTH(EDATE(Bonds!$H10,6*(8-1)),0),EDATE(Bonds!$H10,6*(8-1))))</f>
        <v/>
      </c>
      <c r="M10" s="3" t="str">
        <f>IF(9&gt;$C10,"",IF($D10=1,EOMONTH(EDATE(Bonds!$H10,6*(9-1)),0),EDATE(Bonds!$H10,6*(9-1))))</f>
        <v/>
      </c>
      <c r="N10" s="3" t="str">
        <f>IF(10&gt;$C10,"",IF($D10=1,EOMONTH(EDATE(Bonds!$H10,6*(10-1)),0),EDATE(Bonds!$H10,6*(10-1))))</f>
        <v/>
      </c>
      <c r="O10" s="3" t="str">
        <f>IF(11&gt;$C10,"",IF($D10=1,EOMONTH(EDATE(Bonds!$H10,6*(11-1)),0),EDATE(Bonds!$H10,6*(11-1))))</f>
        <v/>
      </c>
      <c r="P10" s="3" t="str">
        <f>IF(12&gt;$C10,"",IF($D10=1,EOMONTH(EDATE(Bonds!$H10,6*(12-1)),0),EDATE(Bonds!$H10,6*(12-1))))</f>
        <v/>
      </c>
      <c r="Q10" s="3" t="str">
        <f>IF(13&gt;$C10,"",IF($D10=1,EOMONTH(EDATE(Bonds!$H10,6*(13-1)),0),EDATE(Bonds!$H10,6*(13-1))))</f>
        <v/>
      </c>
      <c r="R10" s="3" t="str">
        <f>IF(14&gt;$C10,"",IF($D10=1,EOMONTH(EDATE(Bonds!$H10,6*(14-1)),0),EDATE(Bonds!$H10,6*(14-1))))</f>
        <v/>
      </c>
      <c r="S10" s="3" t="str">
        <f>IF(15&gt;$C10,"",IF($D10=1,EOMONTH(EDATE(Bonds!$H10,6*(15-1)),0),EDATE(Bonds!$H10,6*(15-1))))</f>
        <v/>
      </c>
      <c r="T10" s="3" t="str">
        <f>IF(16&gt;$C10,"",IF($D10=1,EOMONTH(EDATE(Bonds!$H10,6*(16-1)),0),EDATE(Bonds!$H10,6*(16-1))))</f>
        <v/>
      </c>
      <c r="U10" s="3" t="str">
        <f>IF(17&gt;$C10,"",IF($D10=1,EOMONTH(EDATE(Bonds!$H10,6*(17-1)),0),EDATE(Bonds!$H10,6*(17-1))))</f>
        <v/>
      </c>
      <c r="V10" s="3" t="str">
        <f>IF(18&gt;$C10,"",IF($D10=1,EOMONTH(EDATE(Bonds!$H10,6*(18-1)),0),EDATE(Bonds!$H10,6*(18-1))))</f>
        <v/>
      </c>
      <c r="W10" s="3" t="str">
        <f>IF(19&gt;$C10,"",IF($D10=1,EOMONTH(EDATE(Bonds!$H10,6*(19-1)),0),EDATE(Bonds!$H10,6*(19-1))))</f>
        <v/>
      </c>
      <c r="X10" s="3" t="str">
        <f>IF(20&gt;$C10,"",IF($D10=1,EOMONTH(EDATE(Bonds!$H10,6*(20-1)),0),EDATE(Bonds!$H10,6*(20-1))))</f>
        <v/>
      </c>
      <c r="Y10" s="3" t="str">
        <f>IF(21&gt;$C10,"",IF($D10=1,EOMONTH(EDATE(Bonds!$H10,6*(21-1)),0),EDATE(Bonds!$H10,6*(21-1))))</f>
        <v/>
      </c>
      <c r="Z10" s="3" t="str">
        <f>IF(22&gt;$C10,"",IF($D10=1,EOMONTH(EDATE(Bonds!$H10,6*(22-1)),0),EDATE(Bonds!$H10,6*(22-1))))</f>
        <v/>
      </c>
      <c r="AA10" s="3" t="str">
        <f>IF(23&gt;$C10,"",IF($D10=1,EOMONTH(EDATE(Bonds!$H10,6*(23-1)),0),EDATE(Bonds!$H10,6*(23-1))))</f>
        <v/>
      </c>
      <c r="AB10" s="3" t="str">
        <f>IF(24&gt;$C10,"",IF($D10=1,EOMONTH(EDATE(Bonds!$H10,6*(24-1)),0),EDATE(Bonds!$H10,6*(24-1))))</f>
        <v/>
      </c>
      <c r="AC10" s="3" t="str">
        <f>IF(25&gt;$C10,"",IF($D10=1,EOMONTH(EDATE(Bonds!$H10,6*(25-1)),0),EDATE(Bonds!$H10,6*(25-1))))</f>
        <v/>
      </c>
      <c r="AD10" s="3" t="str">
        <f>IF(26&gt;$C10,"",IF($D10=1,EOMONTH(EDATE(Bonds!$H10,6*(26-1)),0),EDATE(Bonds!$H10,6*(26-1))))</f>
        <v/>
      </c>
      <c r="AE10" s="3" t="str">
        <f>IF(27&gt;$C10,"",IF($D10=1,EOMONTH(EDATE(Bonds!$H10,6*(27-1)),0),EDATE(Bonds!$H10,6*(27-1))))</f>
        <v/>
      </c>
      <c r="AF10" s="3" t="str">
        <f>IF(28&gt;$C10,"",IF($D10=1,EOMONTH(EDATE(Bonds!$H10,6*(28-1)),0),EDATE(Bonds!$H10,6*(28-1))))</f>
        <v/>
      </c>
      <c r="AG10" s="3" t="str">
        <f>IF(29&gt;$C10,"",IF($D10=1,EOMONTH(EDATE(Bonds!$H10,6*(29-1)),0),EDATE(Bonds!$H10,6*(29-1))))</f>
        <v/>
      </c>
      <c r="AH10" s="3" t="str">
        <f>IF(30&gt;$C10,"",IF($D10=1,EOMONTH(EDATE(Bonds!$H10,6*(30-1)),0),EDATE(Bonds!$H10,6*(30-1))))</f>
        <v/>
      </c>
      <c r="AI10" s="3" t="str">
        <f>IF(31&gt;$C10,"",IF($D10=1,EOMONTH(EDATE(Bonds!$H10,6*(31-1)),0),EDATE(Bonds!$H10,6*(31-1))))</f>
        <v/>
      </c>
      <c r="AJ10" s="3" t="str">
        <f>IF(32&gt;$C10,"",IF($D10=1,EOMONTH(EDATE(Bonds!$H10,6*(32-1)),0),EDATE(Bonds!$H10,6*(32-1))))</f>
        <v/>
      </c>
      <c r="AK10" s="3" t="str">
        <f>IF(33&gt;$C10,"",IF($D10=1,EOMONTH(EDATE(Bonds!$H10,6*(33-1)),0),EDATE(Bonds!$H10,6*(33-1))))</f>
        <v/>
      </c>
      <c r="AL10" s="3" t="str">
        <f>IF(34&gt;$C10,"",IF($D10=1,EOMONTH(EDATE(Bonds!$H10,6*(34-1)),0),EDATE(Bonds!$H10,6*(34-1))))</f>
        <v/>
      </c>
      <c r="AM10" s="3" t="str">
        <f>IF(35&gt;$C10,"",IF($D10=1,EOMONTH(EDATE(Bonds!$H10,6*(35-1)),0),EDATE(Bonds!$H10,6*(35-1))))</f>
        <v/>
      </c>
      <c r="AN10" s="3" t="str">
        <f>IF(36&gt;$C10,"",IF($D10=1,EOMONTH(EDATE(Bonds!$H10,6*(36-1)),0),EDATE(Bonds!$H10,6*(36-1))))</f>
        <v/>
      </c>
      <c r="AO10" s="3" t="str">
        <f>IF(37&gt;$C10,"",IF($D10=1,EOMONTH(EDATE(Bonds!$H10,6*(37-1)),0),EDATE(Bonds!$H10,6*(37-1))))</f>
        <v/>
      </c>
      <c r="AP10" s="3" t="str">
        <f>IF(38&gt;$C10,"",IF($D10=1,EOMONTH(EDATE(Bonds!$H10,6*(38-1)),0),EDATE(Bonds!$H10,6*(38-1))))</f>
        <v/>
      </c>
      <c r="AQ10" s="3" t="str">
        <f>IF(39&gt;$C10,"",IF($D10=1,EOMONTH(EDATE(Bonds!$H10,6*(39-1)),0),EDATE(Bonds!$H10,6*(39-1))))</f>
        <v/>
      </c>
      <c r="AR10" s="3" t="str">
        <f>IF(40&gt;$C10,"",IF($D10=1,EOMONTH(EDATE(Bonds!$H10,6*(40-1)),0),EDATE(Bonds!$H10,6*(40-1))))</f>
        <v/>
      </c>
      <c r="AS10" s="3" t="str">
        <f>IF(41&gt;$C10,"",IF($D10=1,EOMONTH(EDATE(Bonds!$H10,6*(41-1)),0),EDATE(Bonds!$H10,6*(41-1))))</f>
        <v/>
      </c>
      <c r="AT10" s="3" t="str">
        <f>IF(42&gt;$C10,"",IF($D10=1,EOMONTH(EDATE(Bonds!$H10,6*(42-1)),0),EDATE(Bonds!$H10,6*(42-1))))</f>
        <v/>
      </c>
      <c r="AU10" s="3" t="str">
        <f>IF(43&gt;$C10,"",IF($D10=1,EOMONTH(EDATE(Bonds!$H10,6*(43-1)),0),EDATE(Bonds!$H10,6*(43-1))))</f>
        <v/>
      </c>
      <c r="AV10" s="3" t="str">
        <f>IF(44&gt;$C10,"",IF($D10=1,EOMONTH(EDATE(Bonds!$H10,6*(44-1)),0),EDATE(Bonds!$H10,6*(44-1))))</f>
        <v/>
      </c>
      <c r="AW10" s="3" t="str">
        <f>IF(45&gt;$C10,"",IF($D10=1,EOMONTH(EDATE(Bonds!$H10,6*(45-1)),0),EDATE(Bonds!$H10,6*(45-1))))</f>
        <v/>
      </c>
      <c r="AX10" s="3" t="str">
        <f>IF(46&gt;$C10,"",IF($D10=1,EOMONTH(EDATE(Bonds!$H10,6*(46-1)),0),EDATE(Bonds!$H10,6*(46-1))))</f>
        <v/>
      </c>
      <c r="AY10" s="3" t="str">
        <f>IF(47&gt;$C10,"",IF($D10=1,EOMONTH(EDATE(Bonds!$H10,6*(47-1)),0),EDATE(Bonds!$H10,6*(47-1))))</f>
        <v/>
      </c>
      <c r="AZ10" s="3" t="str">
        <f>IF(48&gt;$C10,"",IF($D10=1,EOMONTH(EDATE(Bonds!$H10,6*(48-1)),0),EDATE(Bonds!$H10,6*(48-1))))</f>
        <v/>
      </c>
      <c r="BA10" s="3" t="str">
        <f>IF(49&gt;$C10,"",IF($D10=1,EOMONTH(EDATE(Bonds!$H10,6*(49-1)),0),EDATE(Bonds!$H10,6*(49-1))))</f>
        <v/>
      </c>
      <c r="BB10" s="3" t="str">
        <f>IF(50&gt;$C10,"",IF($D10=1,EOMONTH(EDATE(Bonds!$H10,6*(50-1)),0),EDATE(Bonds!$H10,6*(50-1))))</f>
        <v/>
      </c>
      <c r="BC10" s="3" t="str">
        <f>IF(51&gt;$C10,"",IF($D10=1,EOMONTH(EDATE(Bonds!$H10,6*(51-1)),0),EDATE(Bonds!$H10,6*(51-1))))</f>
        <v/>
      </c>
      <c r="BD10" s="3" t="str">
        <f>IF(52&gt;$C10,"",IF($D10=1,EOMONTH(EDATE(Bonds!$H10,6*(52-1)),0),EDATE(Bonds!$H10,6*(52-1))))</f>
        <v/>
      </c>
      <c r="BE10" s="3" t="str">
        <f>IF(53&gt;$C10,"",IF($D10=1,EOMONTH(EDATE(Bonds!$H10,6*(53-1)),0),EDATE(Bonds!$H10,6*(53-1))))</f>
        <v/>
      </c>
      <c r="BF10" s="3" t="str">
        <f>IF(54&gt;$C10,"",IF($D10=1,EOMONTH(EDATE(Bonds!$H10,6*(54-1)),0),EDATE(Bonds!$H10,6*(54-1))))</f>
        <v/>
      </c>
      <c r="BG10" s="3" t="str">
        <f>IF(55&gt;$C10,"",IF($D10=1,EOMONTH(EDATE(Bonds!$H10,6*(55-1)),0),EDATE(Bonds!$H10,6*(55-1))))</f>
        <v/>
      </c>
      <c r="BH10" s="3" t="str">
        <f>IF(56&gt;$C10,"",IF($D10=1,EOMONTH(EDATE(Bonds!$H10,6*(56-1)),0),EDATE(Bonds!$H10,6*(56-1))))</f>
        <v/>
      </c>
      <c r="BI10" s="3" t="str">
        <f>IF(57&gt;$C10,"",IF($D10=1,EOMONTH(EDATE(Bonds!$H10,6*(57-1)),0),EDATE(Bonds!$H10,6*(57-1))))</f>
        <v/>
      </c>
      <c r="BJ10" s="3" t="str">
        <f>IF(58&gt;$C10,"",IF($D10=1,EOMONTH(EDATE(Bonds!$H10,6*(58-1)),0),EDATE(Bonds!$H10,6*(58-1))))</f>
        <v/>
      </c>
      <c r="BK10" s="3" t="str">
        <f>IF(59&gt;$C10,"",IF($D10=1,EOMONTH(EDATE(Bonds!$H10,6*(59-1)),0),EDATE(Bonds!$H10,6*(59-1))))</f>
        <v/>
      </c>
      <c r="BL10" s="3" t="str">
        <f>IF(60&gt;$C10,"",IF($D10=1,EOMONTH(EDATE(Bonds!$H10,6*(60-1)),0),EDATE(Bonds!$H10,6*(60-1))))</f>
        <v/>
      </c>
      <c r="BN10" s="7">
        <f t="shared" si="1"/>
        <v>100.58964607265536</v>
      </c>
      <c r="BO10" s="7">
        <f t="shared" si="2"/>
        <v>0</v>
      </c>
      <c r="BP10" s="7">
        <f t="shared" si="3"/>
        <v>0</v>
      </c>
      <c r="BQ10" s="7">
        <f t="shared" si="4"/>
        <v>0</v>
      </c>
      <c r="BR10" s="7">
        <f t="shared" si="5"/>
        <v>0</v>
      </c>
      <c r="BS10" s="7">
        <f t="shared" si="6"/>
        <v>0</v>
      </c>
      <c r="BT10" s="7">
        <f t="shared" si="7"/>
        <v>0</v>
      </c>
      <c r="BU10" s="7">
        <f t="shared" si="8"/>
        <v>0</v>
      </c>
      <c r="BV10" s="7">
        <f t="shared" si="9"/>
        <v>0</v>
      </c>
      <c r="BW10" s="7">
        <f t="shared" si="10"/>
        <v>0</v>
      </c>
      <c r="BX10" s="7">
        <f t="shared" si="11"/>
        <v>0</v>
      </c>
      <c r="BY10" s="7">
        <f t="shared" si="12"/>
        <v>0</v>
      </c>
      <c r="BZ10" s="7">
        <f t="shared" si="13"/>
        <v>0</v>
      </c>
      <c r="CA10" s="7">
        <f t="shared" si="14"/>
        <v>0</v>
      </c>
      <c r="CB10" s="7">
        <f t="shared" si="15"/>
        <v>0</v>
      </c>
      <c r="CC10" s="7">
        <f t="shared" si="16"/>
        <v>0</v>
      </c>
      <c r="CD10" s="7">
        <f t="shared" si="17"/>
        <v>0</v>
      </c>
      <c r="CE10" s="7">
        <f t="shared" si="18"/>
        <v>0</v>
      </c>
      <c r="CF10" s="7">
        <f t="shared" si="19"/>
        <v>0</v>
      </c>
      <c r="CG10" s="7">
        <f t="shared" si="20"/>
        <v>0</v>
      </c>
      <c r="CH10" s="7">
        <f t="shared" si="21"/>
        <v>0</v>
      </c>
      <c r="CI10" s="7">
        <f t="shared" si="22"/>
        <v>0</v>
      </c>
      <c r="CJ10" s="7">
        <f t="shared" si="23"/>
        <v>0</v>
      </c>
      <c r="CK10" s="7">
        <f t="shared" si="24"/>
        <v>0</v>
      </c>
      <c r="CL10" s="7">
        <f t="shared" si="25"/>
        <v>0</v>
      </c>
      <c r="CM10" s="7">
        <f t="shared" si="26"/>
        <v>0</v>
      </c>
      <c r="CN10" s="7">
        <f t="shared" si="27"/>
        <v>0</v>
      </c>
      <c r="CO10" s="7">
        <f t="shared" si="28"/>
        <v>0</v>
      </c>
      <c r="CP10" s="7">
        <f t="shared" si="29"/>
        <v>0</v>
      </c>
      <c r="CQ10" s="7">
        <f t="shared" si="30"/>
        <v>0</v>
      </c>
      <c r="CR10" s="7">
        <f t="shared" si="31"/>
        <v>0</v>
      </c>
      <c r="CS10" s="7">
        <f t="shared" si="32"/>
        <v>0</v>
      </c>
      <c r="CT10" s="7">
        <f t="shared" si="33"/>
        <v>0</v>
      </c>
      <c r="CU10" s="7">
        <f t="shared" si="34"/>
        <v>0</v>
      </c>
      <c r="CV10" s="7">
        <f t="shared" si="35"/>
        <v>0</v>
      </c>
      <c r="CW10" s="7">
        <f t="shared" si="36"/>
        <v>0</v>
      </c>
      <c r="CX10" s="7">
        <f t="shared" si="37"/>
        <v>0</v>
      </c>
      <c r="CY10" s="7">
        <f t="shared" si="38"/>
        <v>0</v>
      </c>
      <c r="CZ10" s="7">
        <f t="shared" si="39"/>
        <v>0</v>
      </c>
      <c r="DA10" s="7">
        <f t="shared" si="40"/>
        <v>0</v>
      </c>
      <c r="DB10" s="7">
        <f t="shared" si="41"/>
        <v>0</v>
      </c>
      <c r="DC10" s="7">
        <f t="shared" si="42"/>
        <v>0</v>
      </c>
      <c r="DD10" s="7">
        <f t="shared" si="43"/>
        <v>0</v>
      </c>
      <c r="DE10" s="7">
        <f t="shared" si="44"/>
        <v>0</v>
      </c>
      <c r="DF10" s="7">
        <f t="shared" si="45"/>
        <v>0</v>
      </c>
      <c r="DG10" s="7">
        <f t="shared" si="46"/>
        <v>0</v>
      </c>
      <c r="DH10" s="7">
        <f t="shared" si="47"/>
        <v>0</v>
      </c>
      <c r="DI10" s="7">
        <f t="shared" si="48"/>
        <v>0</v>
      </c>
      <c r="DJ10" s="7">
        <f t="shared" si="49"/>
        <v>0</v>
      </c>
      <c r="DK10" s="7">
        <f t="shared" si="50"/>
        <v>0</v>
      </c>
      <c r="DL10" s="7">
        <f t="shared" si="51"/>
        <v>0</v>
      </c>
      <c r="DM10" s="7">
        <f t="shared" si="52"/>
        <v>0</v>
      </c>
      <c r="DN10" s="7">
        <f t="shared" si="53"/>
        <v>0</v>
      </c>
      <c r="DO10" s="7">
        <f t="shared" si="54"/>
        <v>0</v>
      </c>
      <c r="DP10" s="7">
        <f t="shared" si="55"/>
        <v>0</v>
      </c>
      <c r="DQ10" s="7">
        <f t="shared" si="56"/>
        <v>0</v>
      </c>
      <c r="DR10" s="7">
        <f t="shared" si="57"/>
        <v>0</v>
      </c>
      <c r="DS10" s="7">
        <f t="shared" si="58"/>
        <v>0</v>
      </c>
      <c r="DT10" s="7">
        <f t="shared" si="59"/>
        <v>0</v>
      </c>
      <c r="DU10" s="7">
        <f t="shared" si="60"/>
        <v>0</v>
      </c>
    </row>
    <row r="11" spans="1:125" x14ac:dyDescent="0.2">
      <c r="A11" s="3">
        <f>Bonds!A11</f>
        <v>46295</v>
      </c>
      <c r="B11" s="4">
        <f>Bonds!B11</f>
        <v>3.5</v>
      </c>
      <c r="C11">
        <f>Bonds!P11</f>
        <v>1</v>
      </c>
      <c r="D11">
        <f t="shared" si="0"/>
        <v>1</v>
      </c>
      <c r="E11" s="3">
        <f>IF(1&gt;$C11,"",IF($D11=1,EOMONTH(EDATE(Bonds!$H11,6*(1-1)),0),EDATE(Bonds!$H11,6*(1-1))))</f>
        <v>46295</v>
      </c>
      <c r="F11" s="3" t="str">
        <f>IF(2&gt;$C11,"",IF($D11=1,EOMONTH(EDATE(Bonds!$H11,6*(2-1)),0),EDATE(Bonds!$H11,6*(2-1))))</f>
        <v/>
      </c>
      <c r="G11" s="3" t="str">
        <f>IF(3&gt;$C11,"",IF($D11=1,EOMONTH(EDATE(Bonds!$H11,6*(3-1)),0),EDATE(Bonds!$H11,6*(3-1))))</f>
        <v/>
      </c>
      <c r="H11" s="3" t="str">
        <f>IF(4&gt;$C11,"",IF($D11=1,EOMONTH(EDATE(Bonds!$H11,6*(4-1)),0),EDATE(Bonds!$H11,6*(4-1))))</f>
        <v/>
      </c>
      <c r="I11" s="3" t="str">
        <f>IF(5&gt;$C11,"",IF($D11=1,EOMONTH(EDATE(Bonds!$H11,6*(5-1)),0),EDATE(Bonds!$H11,6*(5-1))))</f>
        <v/>
      </c>
      <c r="J11" s="3" t="str">
        <f>IF(6&gt;$C11,"",IF($D11=1,EOMONTH(EDATE(Bonds!$H11,6*(6-1)),0),EDATE(Bonds!$H11,6*(6-1))))</f>
        <v/>
      </c>
      <c r="K11" s="3" t="str">
        <f>IF(7&gt;$C11,"",IF($D11=1,EOMONTH(EDATE(Bonds!$H11,6*(7-1)),0),EDATE(Bonds!$H11,6*(7-1))))</f>
        <v/>
      </c>
      <c r="L11" s="3" t="str">
        <f>IF(8&gt;$C11,"",IF($D11=1,EOMONTH(EDATE(Bonds!$H11,6*(8-1)),0),EDATE(Bonds!$H11,6*(8-1))))</f>
        <v/>
      </c>
      <c r="M11" s="3" t="str">
        <f>IF(9&gt;$C11,"",IF($D11=1,EOMONTH(EDATE(Bonds!$H11,6*(9-1)),0),EDATE(Bonds!$H11,6*(9-1))))</f>
        <v/>
      </c>
      <c r="N11" s="3" t="str">
        <f>IF(10&gt;$C11,"",IF($D11=1,EOMONTH(EDATE(Bonds!$H11,6*(10-1)),0),EDATE(Bonds!$H11,6*(10-1))))</f>
        <v/>
      </c>
      <c r="O11" s="3" t="str">
        <f>IF(11&gt;$C11,"",IF($D11=1,EOMONTH(EDATE(Bonds!$H11,6*(11-1)),0),EDATE(Bonds!$H11,6*(11-1))))</f>
        <v/>
      </c>
      <c r="P11" s="3" t="str">
        <f>IF(12&gt;$C11,"",IF($D11=1,EOMONTH(EDATE(Bonds!$H11,6*(12-1)),0),EDATE(Bonds!$H11,6*(12-1))))</f>
        <v/>
      </c>
      <c r="Q11" s="3" t="str">
        <f>IF(13&gt;$C11,"",IF($D11=1,EOMONTH(EDATE(Bonds!$H11,6*(13-1)),0),EDATE(Bonds!$H11,6*(13-1))))</f>
        <v/>
      </c>
      <c r="R11" s="3" t="str">
        <f>IF(14&gt;$C11,"",IF($D11=1,EOMONTH(EDATE(Bonds!$H11,6*(14-1)),0),EDATE(Bonds!$H11,6*(14-1))))</f>
        <v/>
      </c>
      <c r="S11" s="3" t="str">
        <f>IF(15&gt;$C11,"",IF($D11=1,EOMONTH(EDATE(Bonds!$H11,6*(15-1)),0),EDATE(Bonds!$H11,6*(15-1))))</f>
        <v/>
      </c>
      <c r="T11" s="3" t="str">
        <f>IF(16&gt;$C11,"",IF($D11=1,EOMONTH(EDATE(Bonds!$H11,6*(16-1)),0),EDATE(Bonds!$H11,6*(16-1))))</f>
        <v/>
      </c>
      <c r="U11" s="3" t="str">
        <f>IF(17&gt;$C11,"",IF($D11=1,EOMONTH(EDATE(Bonds!$H11,6*(17-1)),0),EDATE(Bonds!$H11,6*(17-1))))</f>
        <v/>
      </c>
      <c r="V11" s="3" t="str">
        <f>IF(18&gt;$C11,"",IF($D11=1,EOMONTH(EDATE(Bonds!$H11,6*(18-1)),0),EDATE(Bonds!$H11,6*(18-1))))</f>
        <v/>
      </c>
      <c r="W11" s="3" t="str">
        <f>IF(19&gt;$C11,"",IF($D11=1,EOMONTH(EDATE(Bonds!$H11,6*(19-1)),0),EDATE(Bonds!$H11,6*(19-1))))</f>
        <v/>
      </c>
      <c r="X11" s="3" t="str">
        <f>IF(20&gt;$C11,"",IF($D11=1,EOMONTH(EDATE(Bonds!$H11,6*(20-1)),0),EDATE(Bonds!$H11,6*(20-1))))</f>
        <v/>
      </c>
      <c r="Y11" s="3" t="str">
        <f>IF(21&gt;$C11,"",IF($D11=1,EOMONTH(EDATE(Bonds!$H11,6*(21-1)),0),EDATE(Bonds!$H11,6*(21-1))))</f>
        <v/>
      </c>
      <c r="Z11" s="3" t="str">
        <f>IF(22&gt;$C11,"",IF($D11=1,EOMONTH(EDATE(Bonds!$H11,6*(22-1)),0),EDATE(Bonds!$H11,6*(22-1))))</f>
        <v/>
      </c>
      <c r="AA11" s="3" t="str">
        <f>IF(23&gt;$C11,"",IF($D11=1,EOMONTH(EDATE(Bonds!$H11,6*(23-1)),0),EDATE(Bonds!$H11,6*(23-1))))</f>
        <v/>
      </c>
      <c r="AB11" s="3" t="str">
        <f>IF(24&gt;$C11,"",IF($D11=1,EOMONTH(EDATE(Bonds!$H11,6*(24-1)),0),EDATE(Bonds!$H11,6*(24-1))))</f>
        <v/>
      </c>
      <c r="AC11" s="3" t="str">
        <f>IF(25&gt;$C11,"",IF($D11=1,EOMONTH(EDATE(Bonds!$H11,6*(25-1)),0),EDATE(Bonds!$H11,6*(25-1))))</f>
        <v/>
      </c>
      <c r="AD11" s="3" t="str">
        <f>IF(26&gt;$C11,"",IF($D11=1,EOMONTH(EDATE(Bonds!$H11,6*(26-1)),0),EDATE(Bonds!$H11,6*(26-1))))</f>
        <v/>
      </c>
      <c r="AE11" s="3" t="str">
        <f>IF(27&gt;$C11,"",IF($D11=1,EOMONTH(EDATE(Bonds!$H11,6*(27-1)),0),EDATE(Bonds!$H11,6*(27-1))))</f>
        <v/>
      </c>
      <c r="AF11" s="3" t="str">
        <f>IF(28&gt;$C11,"",IF($D11=1,EOMONTH(EDATE(Bonds!$H11,6*(28-1)),0),EDATE(Bonds!$H11,6*(28-1))))</f>
        <v/>
      </c>
      <c r="AG11" s="3" t="str">
        <f>IF(29&gt;$C11,"",IF($D11=1,EOMONTH(EDATE(Bonds!$H11,6*(29-1)),0),EDATE(Bonds!$H11,6*(29-1))))</f>
        <v/>
      </c>
      <c r="AH11" s="3" t="str">
        <f>IF(30&gt;$C11,"",IF($D11=1,EOMONTH(EDATE(Bonds!$H11,6*(30-1)),0),EDATE(Bonds!$H11,6*(30-1))))</f>
        <v/>
      </c>
      <c r="AI11" s="3" t="str">
        <f>IF(31&gt;$C11,"",IF($D11=1,EOMONTH(EDATE(Bonds!$H11,6*(31-1)),0),EDATE(Bonds!$H11,6*(31-1))))</f>
        <v/>
      </c>
      <c r="AJ11" s="3" t="str">
        <f>IF(32&gt;$C11,"",IF($D11=1,EOMONTH(EDATE(Bonds!$H11,6*(32-1)),0),EDATE(Bonds!$H11,6*(32-1))))</f>
        <v/>
      </c>
      <c r="AK11" s="3" t="str">
        <f>IF(33&gt;$C11,"",IF($D11=1,EOMONTH(EDATE(Bonds!$H11,6*(33-1)),0),EDATE(Bonds!$H11,6*(33-1))))</f>
        <v/>
      </c>
      <c r="AL11" s="3" t="str">
        <f>IF(34&gt;$C11,"",IF($D11=1,EOMONTH(EDATE(Bonds!$H11,6*(34-1)),0),EDATE(Bonds!$H11,6*(34-1))))</f>
        <v/>
      </c>
      <c r="AM11" s="3" t="str">
        <f>IF(35&gt;$C11,"",IF($D11=1,EOMONTH(EDATE(Bonds!$H11,6*(35-1)),0),EDATE(Bonds!$H11,6*(35-1))))</f>
        <v/>
      </c>
      <c r="AN11" s="3" t="str">
        <f>IF(36&gt;$C11,"",IF($D11=1,EOMONTH(EDATE(Bonds!$H11,6*(36-1)),0),EDATE(Bonds!$H11,6*(36-1))))</f>
        <v/>
      </c>
      <c r="AO11" s="3" t="str">
        <f>IF(37&gt;$C11,"",IF($D11=1,EOMONTH(EDATE(Bonds!$H11,6*(37-1)),0),EDATE(Bonds!$H11,6*(37-1))))</f>
        <v/>
      </c>
      <c r="AP11" s="3" t="str">
        <f>IF(38&gt;$C11,"",IF($D11=1,EOMONTH(EDATE(Bonds!$H11,6*(38-1)),0),EDATE(Bonds!$H11,6*(38-1))))</f>
        <v/>
      </c>
      <c r="AQ11" s="3" t="str">
        <f>IF(39&gt;$C11,"",IF($D11=1,EOMONTH(EDATE(Bonds!$H11,6*(39-1)),0),EDATE(Bonds!$H11,6*(39-1))))</f>
        <v/>
      </c>
      <c r="AR11" s="3" t="str">
        <f>IF(40&gt;$C11,"",IF($D11=1,EOMONTH(EDATE(Bonds!$H11,6*(40-1)),0),EDATE(Bonds!$H11,6*(40-1))))</f>
        <v/>
      </c>
      <c r="AS11" s="3" t="str">
        <f>IF(41&gt;$C11,"",IF($D11=1,EOMONTH(EDATE(Bonds!$H11,6*(41-1)),0),EDATE(Bonds!$H11,6*(41-1))))</f>
        <v/>
      </c>
      <c r="AT11" s="3" t="str">
        <f>IF(42&gt;$C11,"",IF($D11=1,EOMONTH(EDATE(Bonds!$H11,6*(42-1)),0),EDATE(Bonds!$H11,6*(42-1))))</f>
        <v/>
      </c>
      <c r="AU11" s="3" t="str">
        <f>IF(43&gt;$C11,"",IF($D11=1,EOMONTH(EDATE(Bonds!$H11,6*(43-1)),0),EDATE(Bonds!$H11,6*(43-1))))</f>
        <v/>
      </c>
      <c r="AV11" s="3" t="str">
        <f>IF(44&gt;$C11,"",IF($D11=1,EOMONTH(EDATE(Bonds!$H11,6*(44-1)),0),EDATE(Bonds!$H11,6*(44-1))))</f>
        <v/>
      </c>
      <c r="AW11" s="3" t="str">
        <f>IF(45&gt;$C11,"",IF($D11=1,EOMONTH(EDATE(Bonds!$H11,6*(45-1)),0),EDATE(Bonds!$H11,6*(45-1))))</f>
        <v/>
      </c>
      <c r="AX11" s="3" t="str">
        <f>IF(46&gt;$C11,"",IF($D11=1,EOMONTH(EDATE(Bonds!$H11,6*(46-1)),0),EDATE(Bonds!$H11,6*(46-1))))</f>
        <v/>
      </c>
      <c r="AY11" s="3" t="str">
        <f>IF(47&gt;$C11,"",IF($D11=1,EOMONTH(EDATE(Bonds!$H11,6*(47-1)),0),EDATE(Bonds!$H11,6*(47-1))))</f>
        <v/>
      </c>
      <c r="AZ11" s="3" t="str">
        <f>IF(48&gt;$C11,"",IF($D11=1,EOMONTH(EDATE(Bonds!$H11,6*(48-1)),0),EDATE(Bonds!$H11,6*(48-1))))</f>
        <v/>
      </c>
      <c r="BA11" s="3" t="str">
        <f>IF(49&gt;$C11,"",IF($D11=1,EOMONTH(EDATE(Bonds!$H11,6*(49-1)),0),EDATE(Bonds!$H11,6*(49-1))))</f>
        <v/>
      </c>
      <c r="BB11" s="3" t="str">
        <f>IF(50&gt;$C11,"",IF($D11=1,EOMONTH(EDATE(Bonds!$H11,6*(50-1)),0),EDATE(Bonds!$H11,6*(50-1))))</f>
        <v/>
      </c>
      <c r="BC11" s="3" t="str">
        <f>IF(51&gt;$C11,"",IF($D11=1,EOMONTH(EDATE(Bonds!$H11,6*(51-1)),0),EDATE(Bonds!$H11,6*(51-1))))</f>
        <v/>
      </c>
      <c r="BD11" s="3" t="str">
        <f>IF(52&gt;$C11,"",IF($D11=1,EOMONTH(EDATE(Bonds!$H11,6*(52-1)),0),EDATE(Bonds!$H11,6*(52-1))))</f>
        <v/>
      </c>
      <c r="BE11" s="3" t="str">
        <f>IF(53&gt;$C11,"",IF($D11=1,EOMONTH(EDATE(Bonds!$H11,6*(53-1)),0),EDATE(Bonds!$H11,6*(53-1))))</f>
        <v/>
      </c>
      <c r="BF11" s="3" t="str">
        <f>IF(54&gt;$C11,"",IF($D11=1,EOMONTH(EDATE(Bonds!$H11,6*(54-1)),0),EDATE(Bonds!$H11,6*(54-1))))</f>
        <v/>
      </c>
      <c r="BG11" s="3" t="str">
        <f>IF(55&gt;$C11,"",IF($D11=1,EOMONTH(EDATE(Bonds!$H11,6*(55-1)),0),EDATE(Bonds!$H11,6*(55-1))))</f>
        <v/>
      </c>
      <c r="BH11" s="3" t="str">
        <f>IF(56&gt;$C11,"",IF($D11=1,EOMONTH(EDATE(Bonds!$H11,6*(56-1)),0),EDATE(Bonds!$H11,6*(56-1))))</f>
        <v/>
      </c>
      <c r="BI11" s="3" t="str">
        <f>IF(57&gt;$C11,"",IF($D11=1,EOMONTH(EDATE(Bonds!$H11,6*(57-1)),0),EDATE(Bonds!$H11,6*(57-1))))</f>
        <v/>
      </c>
      <c r="BJ11" s="3" t="str">
        <f>IF(58&gt;$C11,"",IF($D11=1,EOMONTH(EDATE(Bonds!$H11,6*(58-1)),0),EDATE(Bonds!$H11,6*(58-1))))</f>
        <v/>
      </c>
      <c r="BK11" s="3" t="str">
        <f>IF(59&gt;$C11,"",IF($D11=1,EOMONTH(EDATE(Bonds!$H11,6*(59-1)),0),EDATE(Bonds!$H11,6*(59-1))))</f>
        <v/>
      </c>
      <c r="BL11" s="3" t="str">
        <f>IF(60&gt;$C11,"",IF($D11=1,EOMONTH(EDATE(Bonds!$H11,6*(60-1)),0),EDATE(Bonds!$H11,6*(60-1))))</f>
        <v/>
      </c>
      <c r="BN11" s="7">
        <f t="shared" si="1"/>
        <v>101.52507365547608</v>
      </c>
      <c r="BO11" s="7">
        <f t="shared" si="2"/>
        <v>0</v>
      </c>
      <c r="BP11" s="7">
        <f t="shared" si="3"/>
        <v>0</v>
      </c>
      <c r="BQ11" s="7">
        <f t="shared" si="4"/>
        <v>0</v>
      </c>
      <c r="BR11" s="7">
        <f t="shared" si="5"/>
        <v>0</v>
      </c>
      <c r="BS11" s="7">
        <f t="shared" si="6"/>
        <v>0</v>
      </c>
      <c r="BT11" s="7">
        <f t="shared" si="7"/>
        <v>0</v>
      </c>
      <c r="BU11" s="7">
        <f t="shared" si="8"/>
        <v>0</v>
      </c>
      <c r="BV11" s="7">
        <f t="shared" si="9"/>
        <v>0</v>
      </c>
      <c r="BW11" s="7">
        <f t="shared" si="10"/>
        <v>0</v>
      </c>
      <c r="BX11" s="7">
        <f t="shared" si="11"/>
        <v>0</v>
      </c>
      <c r="BY11" s="7">
        <f t="shared" si="12"/>
        <v>0</v>
      </c>
      <c r="BZ11" s="7">
        <f t="shared" si="13"/>
        <v>0</v>
      </c>
      <c r="CA11" s="7">
        <f t="shared" si="14"/>
        <v>0</v>
      </c>
      <c r="CB11" s="7">
        <f t="shared" si="15"/>
        <v>0</v>
      </c>
      <c r="CC11" s="7">
        <f t="shared" si="16"/>
        <v>0</v>
      </c>
      <c r="CD11" s="7">
        <f t="shared" si="17"/>
        <v>0</v>
      </c>
      <c r="CE11" s="7">
        <f t="shared" si="18"/>
        <v>0</v>
      </c>
      <c r="CF11" s="7">
        <f t="shared" si="19"/>
        <v>0</v>
      </c>
      <c r="CG11" s="7">
        <f t="shared" si="20"/>
        <v>0</v>
      </c>
      <c r="CH11" s="7">
        <f t="shared" si="21"/>
        <v>0</v>
      </c>
      <c r="CI11" s="7">
        <f t="shared" si="22"/>
        <v>0</v>
      </c>
      <c r="CJ11" s="7">
        <f t="shared" si="23"/>
        <v>0</v>
      </c>
      <c r="CK11" s="7">
        <f t="shared" si="24"/>
        <v>0</v>
      </c>
      <c r="CL11" s="7">
        <f t="shared" si="25"/>
        <v>0</v>
      </c>
      <c r="CM11" s="7">
        <f t="shared" si="26"/>
        <v>0</v>
      </c>
      <c r="CN11" s="7">
        <f t="shared" si="27"/>
        <v>0</v>
      </c>
      <c r="CO11" s="7">
        <f t="shared" si="28"/>
        <v>0</v>
      </c>
      <c r="CP11" s="7">
        <f t="shared" si="29"/>
        <v>0</v>
      </c>
      <c r="CQ11" s="7">
        <f t="shared" si="30"/>
        <v>0</v>
      </c>
      <c r="CR11" s="7">
        <f t="shared" si="31"/>
        <v>0</v>
      </c>
      <c r="CS11" s="7">
        <f t="shared" si="32"/>
        <v>0</v>
      </c>
      <c r="CT11" s="7">
        <f t="shared" si="33"/>
        <v>0</v>
      </c>
      <c r="CU11" s="7">
        <f t="shared" si="34"/>
        <v>0</v>
      </c>
      <c r="CV11" s="7">
        <f t="shared" si="35"/>
        <v>0</v>
      </c>
      <c r="CW11" s="7">
        <f t="shared" si="36"/>
        <v>0</v>
      </c>
      <c r="CX11" s="7">
        <f t="shared" si="37"/>
        <v>0</v>
      </c>
      <c r="CY11" s="7">
        <f t="shared" si="38"/>
        <v>0</v>
      </c>
      <c r="CZ11" s="7">
        <f t="shared" si="39"/>
        <v>0</v>
      </c>
      <c r="DA11" s="7">
        <f t="shared" si="40"/>
        <v>0</v>
      </c>
      <c r="DB11" s="7">
        <f t="shared" si="41"/>
        <v>0</v>
      </c>
      <c r="DC11" s="7">
        <f t="shared" si="42"/>
        <v>0</v>
      </c>
      <c r="DD11" s="7">
        <f t="shared" si="43"/>
        <v>0</v>
      </c>
      <c r="DE11" s="7">
        <f t="shared" si="44"/>
        <v>0</v>
      </c>
      <c r="DF11" s="7">
        <f t="shared" si="45"/>
        <v>0</v>
      </c>
      <c r="DG11" s="7">
        <f t="shared" si="46"/>
        <v>0</v>
      </c>
      <c r="DH11" s="7">
        <f t="shared" si="47"/>
        <v>0</v>
      </c>
      <c r="DI11" s="7">
        <f t="shared" si="48"/>
        <v>0</v>
      </c>
      <c r="DJ11" s="7">
        <f t="shared" si="49"/>
        <v>0</v>
      </c>
      <c r="DK11" s="7">
        <f t="shared" si="50"/>
        <v>0</v>
      </c>
      <c r="DL11" s="7">
        <f t="shared" si="51"/>
        <v>0</v>
      </c>
      <c r="DM11" s="7">
        <f t="shared" si="52"/>
        <v>0</v>
      </c>
      <c r="DN11" s="7">
        <f t="shared" si="53"/>
        <v>0</v>
      </c>
      <c r="DO11" s="7">
        <f t="shared" si="54"/>
        <v>0</v>
      </c>
      <c r="DP11" s="7">
        <f t="shared" si="55"/>
        <v>0</v>
      </c>
      <c r="DQ11" s="7">
        <f t="shared" si="56"/>
        <v>0</v>
      </c>
      <c r="DR11" s="7">
        <f t="shared" si="57"/>
        <v>0</v>
      </c>
      <c r="DS11" s="7">
        <f t="shared" si="58"/>
        <v>0</v>
      </c>
      <c r="DT11" s="7">
        <f t="shared" si="59"/>
        <v>0</v>
      </c>
      <c r="DU11" s="7">
        <f t="shared" si="60"/>
        <v>0</v>
      </c>
    </row>
    <row r="12" spans="1:125" x14ac:dyDescent="0.2">
      <c r="A12" s="3">
        <f>Bonds!A12</f>
        <v>46310</v>
      </c>
      <c r="B12" s="4">
        <f>Bonds!B12</f>
        <v>4.625</v>
      </c>
      <c r="C12">
        <f>Bonds!P12</f>
        <v>1</v>
      </c>
      <c r="D12">
        <f t="shared" si="0"/>
        <v>0</v>
      </c>
      <c r="E12" s="3">
        <f>IF(1&gt;$C12,"",IF($D12=1,EOMONTH(EDATE(Bonds!$H12,6*(1-1)),0),EDATE(Bonds!$H12,6*(1-1))))</f>
        <v>46310</v>
      </c>
      <c r="F12" s="3" t="str">
        <f>IF(2&gt;$C12,"",IF($D12=1,EOMONTH(EDATE(Bonds!$H12,6*(2-1)),0),EDATE(Bonds!$H12,6*(2-1))))</f>
        <v/>
      </c>
      <c r="G12" s="3" t="str">
        <f>IF(3&gt;$C12,"",IF($D12=1,EOMONTH(EDATE(Bonds!$H12,6*(3-1)),0),EDATE(Bonds!$H12,6*(3-1))))</f>
        <v/>
      </c>
      <c r="H12" s="3" t="str">
        <f>IF(4&gt;$C12,"",IF($D12=1,EOMONTH(EDATE(Bonds!$H12,6*(4-1)),0),EDATE(Bonds!$H12,6*(4-1))))</f>
        <v/>
      </c>
      <c r="I12" s="3" t="str">
        <f>IF(5&gt;$C12,"",IF($D12=1,EOMONTH(EDATE(Bonds!$H12,6*(5-1)),0),EDATE(Bonds!$H12,6*(5-1))))</f>
        <v/>
      </c>
      <c r="J12" s="3" t="str">
        <f>IF(6&gt;$C12,"",IF($D12=1,EOMONTH(EDATE(Bonds!$H12,6*(6-1)),0),EDATE(Bonds!$H12,6*(6-1))))</f>
        <v/>
      </c>
      <c r="K12" s="3" t="str">
        <f>IF(7&gt;$C12,"",IF($D12=1,EOMONTH(EDATE(Bonds!$H12,6*(7-1)),0),EDATE(Bonds!$H12,6*(7-1))))</f>
        <v/>
      </c>
      <c r="L12" s="3" t="str">
        <f>IF(8&gt;$C12,"",IF($D12=1,EOMONTH(EDATE(Bonds!$H12,6*(8-1)),0),EDATE(Bonds!$H12,6*(8-1))))</f>
        <v/>
      </c>
      <c r="M12" s="3" t="str">
        <f>IF(9&gt;$C12,"",IF($D12=1,EOMONTH(EDATE(Bonds!$H12,6*(9-1)),0),EDATE(Bonds!$H12,6*(9-1))))</f>
        <v/>
      </c>
      <c r="N12" s="3" t="str">
        <f>IF(10&gt;$C12,"",IF($D12=1,EOMONTH(EDATE(Bonds!$H12,6*(10-1)),0),EDATE(Bonds!$H12,6*(10-1))))</f>
        <v/>
      </c>
      <c r="O12" s="3" t="str">
        <f>IF(11&gt;$C12,"",IF($D12=1,EOMONTH(EDATE(Bonds!$H12,6*(11-1)),0),EDATE(Bonds!$H12,6*(11-1))))</f>
        <v/>
      </c>
      <c r="P12" s="3" t="str">
        <f>IF(12&gt;$C12,"",IF($D12=1,EOMONTH(EDATE(Bonds!$H12,6*(12-1)),0),EDATE(Bonds!$H12,6*(12-1))))</f>
        <v/>
      </c>
      <c r="Q12" s="3" t="str">
        <f>IF(13&gt;$C12,"",IF($D12=1,EOMONTH(EDATE(Bonds!$H12,6*(13-1)),0),EDATE(Bonds!$H12,6*(13-1))))</f>
        <v/>
      </c>
      <c r="R12" s="3" t="str">
        <f>IF(14&gt;$C12,"",IF($D12=1,EOMONTH(EDATE(Bonds!$H12,6*(14-1)),0),EDATE(Bonds!$H12,6*(14-1))))</f>
        <v/>
      </c>
      <c r="S12" s="3" t="str">
        <f>IF(15&gt;$C12,"",IF($D12=1,EOMONTH(EDATE(Bonds!$H12,6*(15-1)),0),EDATE(Bonds!$H12,6*(15-1))))</f>
        <v/>
      </c>
      <c r="T12" s="3" t="str">
        <f>IF(16&gt;$C12,"",IF($D12=1,EOMONTH(EDATE(Bonds!$H12,6*(16-1)),0),EDATE(Bonds!$H12,6*(16-1))))</f>
        <v/>
      </c>
      <c r="U12" s="3" t="str">
        <f>IF(17&gt;$C12,"",IF($D12=1,EOMONTH(EDATE(Bonds!$H12,6*(17-1)),0),EDATE(Bonds!$H12,6*(17-1))))</f>
        <v/>
      </c>
      <c r="V12" s="3" t="str">
        <f>IF(18&gt;$C12,"",IF($D12=1,EOMONTH(EDATE(Bonds!$H12,6*(18-1)),0),EDATE(Bonds!$H12,6*(18-1))))</f>
        <v/>
      </c>
      <c r="W12" s="3" t="str">
        <f>IF(19&gt;$C12,"",IF($D12=1,EOMONTH(EDATE(Bonds!$H12,6*(19-1)),0),EDATE(Bonds!$H12,6*(19-1))))</f>
        <v/>
      </c>
      <c r="X12" s="3" t="str">
        <f>IF(20&gt;$C12,"",IF($D12=1,EOMONTH(EDATE(Bonds!$H12,6*(20-1)),0),EDATE(Bonds!$H12,6*(20-1))))</f>
        <v/>
      </c>
      <c r="Y12" s="3" t="str">
        <f>IF(21&gt;$C12,"",IF($D12=1,EOMONTH(EDATE(Bonds!$H12,6*(21-1)),0),EDATE(Bonds!$H12,6*(21-1))))</f>
        <v/>
      </c>
      <c r="Z12" s="3" t="str">
        <f>IF(22&gt;$C12,"",IF($D12=1,EOMONTH(EDATE(Bonds!$H12,6*(22-1)),0),EDATE(Bonds!$H12,6*(22-1))))</f>
        <v/>
      </c>
      <c r="AA12" s="3" t="str">
        <f>IF(23&gt;$C12,"",IF($D12=1,EOMONTH(EDATE(Bonds!$H12,6*(23-1)),0),EDATE(Bonds!$H12,6*(23-1))))</f>
        <v/>
      </c>
      <c r="AB12" s="3" t="str">
        <f>IF(24&gt;$C12,"",IF($D12=1,EOMONTH(EDATE(Bonds!$H12,6*(24-1)),0),EDATE(Bonds!$H12,6*(24-1))))</f>
        <v/>
      </c>
      <c r="AC12" s="3" t="str">
        <f>IF(25&gt;$C12,"",IF($D12=1,EOMONTH(EDATE(Bonds!$H12,6*(25-1)),0),EDATE(Bonds!$H12,6*(25-1))))</f>
        <v/>
      </c>
      <c r="AD12" s="3" t="str">
        <f>IF(26&gt;$C12,"",IF($D12=1,EOMONTH(EDATE(Bonds!$H12,6*(26-1)),0),EDATE(Bonds!$H12,6*(26-1))))</f>
        <v/>
      </c>
      <c r="AE12" s="3" t="str">
        <f>IF(27&gt;$C12,"",IF($D12=1,EOMONTH(EDATE(Bonds!$H12,6*(27-1)),0),EDATE(Bonds!$H12,6*(27-1))))</f>
        <v/>
      </c>
      <c r="AF12" s="3" t="str">
        <f>IF(28&gt;$C12,"",IF($D12=1,EOMONTH(EDATE(Bonds!$H12,6*(28-1)),0),EDATE(Bonds!$H12,6*(28-1))))</f>
        <v/>
      </c>
      <c r="AG12" s="3" t="str">
        <f>IF(29&gt;$C12,"",IF($D12=1,EOMONTH(EDATE(Bonds!$H12,6*(29-1)),0),EDATE(Bonds!$H12,6*(29-1))))</f>
        <v/>
      </c>
      <c r="AH12" s="3" t="str">
        <f>IF(30&gt;$C12,"",IF($D12=1,EOMONTH(EDATE(Bonds!$H12,6*(30-1)),0),EDATE(Bonds!$H12,6*(30-1))))</f>
        <v/>
      </c>
      <c r="AI12" s="3" t="str">
        <f>IF(31&gt;$C12,"",IF($D12=1,EOMONTH(EDATE(Bonds!$H12,6*(31-1)),0),EDATE(Bonds!$H12,6*(31-1))))</f>
        <v/>
      </c>
      <c r="AJ12" s="3" t="str">
        <f>IF(32&gt;$C12,"",IF($D12=1,EOMONTH(EDATE(Bonds!$H12,6*(32-1)),0),EDATE(Bonds!$H12,6*(32-1))))</f>
        <v/>
      </c>
      <c r="AK12" s="3" t="str">
        <f>IF(33&gt;$C12,"",IF($D12=1,EOMONTH(EDATE(Bonds!$H12,6*(33-1)),0),EDATE(Bonds!$H12,6*(33-1))))</f>
        <v/>
      </c>
      <c r="AL12" s="3" t="str">
        <f>IF(34&gt;$C12,"",IF($D12=1,EOMONTH(EDATE(Bonds!$H12,6*(34-1)),0),EDATE(Bonds!$H12,6*(34-1))))</f>
        <v/>
      </c>
      <c r="AM12" s="3" t="str">
        <f>IF(35&gt;$C12,"",IF($D12=1,EOMONTH(EDATE(Bonds!$H12,6*(35-1)),0),EDATE(Bonds!$H12,6*(35-1))))</f>
        <v/>
      </c>
      <c r="AN12" s="3" t="str">
        <f>IF(36&gt;$C12,"",IF($D12=1,EOMONTH(EDATE(Bonds!$H12,6*(36-1)),0),EDATE(Bonds!$H12,6*(36-1))))</f>
        <v/>
      </c>
      <c r="AO12" s="3" t="str">
        <f>IF(37&gt;$C12,"",IF($D12=1,EOMONTH(EDATE(Bonds!$H12,6*(37-1)),0),EDATE(Bonds!$H12,6*(37-1))))</f>
        <v/>
      </c>
      <c r="AP12" s="3" t="str">
        <f>IF(38&gt;$C12,"",IF($D12=1,EOMONTH(EDATE(Bonds!$H12,6*(38-1)),0),EDATE(Bonds!$H12,6*(38-1))))</f>
        <v/>
      </c>
      <c r="AQ12" s="3" t="str">
        <f>IF(39&gt;$C12,"",IF($D12=1,EOMONTH(EDATE(Bonds!$H12,6*(39-1)),0),EDATE(Bonds!$H12,6*(39-1))))</f>
        <v/>
      </c>
      <c r="AR12" s="3" t="str">
        <f>IF(40&gt;$C12,"",IF($D12=1,EOMONTH(EDATE(Bonds!$H12,6*(40-1)),0),EDATE(Bonds!$H12,6*(40-1))))</f>
        <v/>
      </c>
      <c r="AS12" s="3" t="str">
        <f>IF(41&gt;$C12,"",IF($D12=1,EOMONTH(EDATE(Bonds!$H12,6*(41-1)),0),EDATE(Bonds!$H12,6*(41-1))))</f>
        <v/>
      </c>
      <c r="AT12" s="3" t="str">
        <f>IF(42&gt;$C12,"",IF($D12=1,EOMONTH(EDATE(Bonds!$H12,6*(42-1)),0),EDATE(Bonds!$H12,6*(42-1))))</f>
        <v/>
      </c>
      <c r="AU12" s="3" t="str">
        <f>IF(43&gt;$C12,"",IF($D12=1,EOMONTH(EDATE(Bonds!$H12,6*(43-1)),0),EDATE(Bonds!$H12,6*(43-1))))</f>
        <v/>
      </c>
      <c r="AV12" s="3" t="str">
        <f>IF(44&gt;$C12,"",IF($D12=1,EOMONTH(EDATE(Bonds!$H12,6*(44-1)),0),EDATE(Bonds!$H12,6*(44-1))))</f>
        <v/>
      </c>
      <c r="AW12" s="3" t="str">
        <f>IF(45&gt;$C12,"",IF($D12=1,EOMONTH(EDATE(Bonds!$H12,6*(45-1)),0),EDATE(Bonds!$H12,6*(45-1))))</f>
        <v/>
      </c>
      <c r="AX12" s="3" t="str">
        <f>IF(46&gt;$C12,"",IF($D12=1,EOMONTH(EDATE(Bonds!$H12,6*(46-1)),0),EDATE(Bonds!$H12,6*(46-1))))</f>
        <v/>
      </c>
      <c r="AY12" s="3" t="str">
        <f>IF(47&gt;$C12,"",IF($D12=1,EOMONTH(EDATE(Bonds!$H12,6*(47-1)),0),EDATE(Bonds!$H12,6*(47-1))))</f>
        <v/>
      </c>
      <c r="AZ12" s="3" t="str">
        <f>IF(48&gt;$C12,"",IF($D12=1,EOMONTH(EDATE(Bonds!$H12,6*(48-1)),0),EDATE(Bonds!$H12,6*(48-1))))</f>
        <v/>
      </c>
      <c r="BA12" s="3" t="str">
        <f>IF(49&gt;$C12,"",IF($D12=1,EOMONTH(EDATE(Bonds!$H12,6*(49-1)),0),EDATE(Bonds!$H12,6*(49-1))))</f>
        <v/>
      </c>
      <c r="BB12" s="3" t="str">
        <f>IF(50&gt;$C12,"",IF($D12=1,EOMONTH(EDATE(Bonds!$H12,6*(50-1)),0),EDATE(Bonds!$H12,6*(50-1))))</f>
        <v/>
      </c>
      <c r="BC12" s="3" t="str">
        <f>IF(51&gt;$C12,"",IF($D12=1,EOMONTH(EDATE(Bonds!$H12,6*(51-1)),0),EDATE(Bonds!$H12,6*(51-1))))</f>
        <v/>
      </c>
      <c r="BD12" s="3" t="str">
        <f>IF(52&gt;$C12,"",IF($D12=1,EOMONTH(EDATE(Bonds!$H12,6*(52-1)),0),EDATE(Bonds!$H12,6*(52-1))))</f>
        <v/>
      </c>
      <c r="BE12" s="3" t="str">
        <f>IF(53&gt;$C12,"",IF($D12=1,EOMONTH(EDATE(Bonds!$H12,6*(53-1)),0),EDATE(Bonds!$H12,6*(53-1))))</f>
        <v/>
      </c>
      <c r="BF12" s="3" t="str">
        <f>IF(54&gt;$C12,"",IF($D12=1,EOMONTH(EDATE(Bonds!$H12,6*(54-1)),0),EDATE(Bonds!$H12,6*(54-1))))</f>
        <v/>
      </c>
      <c r="BG12" s="3" t="str">
        <f>IF(55&gt;$C12,"",IF($D12=1,EOMONTH(EDATE(Bonds!$H12,6*(55-1)),0),EDATE(Bonds!$H12,6*(55-1))))</f>
        <v/>
      </c>
      <c r="BH12" s="3" t="str">
        <f>IF(56&gt;$C12,"",IF($D12=1,EOMONTH(EDATE(Bonds!$H12,6*(56-1)),0),EDATE(Bonds!$H12,6*(56-1))))</f>
        <v/>
      </c>
      <c r="BI12" s="3" t="str">
        <f>IF(57&gt;$C12,"",IF($D12=1,EOMONTH(EDATE(Bonds!$H12,6*(57-1)),0),EDATE(Bonds!$H12,6*(57-1))))</f>
        <v/>
      </c>
      <c r="BJ12" s="3" t="str">
        <f>IF(58&gt;$C12,"",IF($D12=1,EOMONTH(EDATE(Bonds!$H12,6*(58-1)),0),EDATE(Bonds!$H12,6*(58-1))))</f>
        <v/>
      </c>
      <c r="BK12" s="3" t="str">
        <f>IF(59&gt;$C12,"",IF($D12=1,EOMONTH(EDATE(Bonds!$H12,6*(59-1)),0),EDATE(Bonds!$H12,6*(59-1))))</f>
        <v/>
      </c>
      <c r="BL12" s="3" t="str">
        <f>IF(60&gt;$C12,"",IF($D12=1,EOMONTH(EDATE(Bonds!$H12,6*(60-1)),0),EDATE(Bonds!$H12,6*(60-1))))</f>
        <v/>
      </c>
      <c r="BN12" s="7">
        <f t="shared" si="1"/>
        <v>101.92944057934083</v>
      </c>
      <c r="BO12" s="7">
        <f t="shared" si="2"/>
        <v>0</v>
      </c>
      <c r="BP12" s="7">
        <f t="shared" si="3"/>
        <v>0</v>
      </c>
      <c r="BQ12" s="7">
        <f t="shared" si="4"/>
        <v>0</v>
      </c>
      <c r="BR12" s="7">
        <f t="shared" si="5"/>
        <v>0</v>
      </c>
      <c r="BS12" s="7">
        <f t="shared" si="6"/>
        <v>0</v>
      </c>
      <c r="BT12" s="7">
        <f t="shared" si="7"/>
        <v>0</v>
      </c>
      <c r="BU12" s="7">
        <f t="shared" si="8"/>
        <v>0</v>
      </c>
      <c r="BV12" s="7">
        <f t="shared" si="9"/>
        <v>0</v>
      </c>
      <c r="BW12" s="7">
        <f t="shared" si="10"/>
        <v>0</v>
      </c>
      <c r="BX12" s="7">
        <f t="shared" si="11"/>
        <v>0</v>
      </c>
      <c r="BY12" s="7">
        <f t="shared" si="12"/>
        <v>0</v>
      </c>
      <c r="BZ12" s="7">
        <f t="shared" si="13"/>
        <v>0</v>
      </c>
      <c r="CA12" s="7">
        <f t="shared" si="14"/>
        <v>0</v>
      </c>
      <c r="CB12" s="7">
        <f t="shared" si="15"/>
        <v>0</v>
      </c>
      <c r="CC12" s="7">
        <f t="shared" si="16"/>
        <v>0</v>
      </c>
      <c r="CD12" s="7">
        <f t="shared" si="17"/>
        <v>0</v>
      </c>
      <c r="CE12" s="7">
        <f t="shared" si="18"/>
        <v>0</v>
      </c>
      <c r="CF12" s="7">
        <f t="shared" si="19"/>
        <v>0</v>
      </c>
      <c r="CG12" s="7">
        <f t="shared" si="20"/>
        <v>0</v>
      </c>
      <c r="CH12" s="7">
        <f t="shared" si="21"/>
        <v>0</v>
      </c>
      <c r="CI12" s="7">
        <f t="shared" si="22"/>
        <v>0</v>
      </c>
      <c r="CJ12" s="7">
        <f t="shared" si="23"/>
        <v>0</v>
      </c>
      <c r="CK12" s="7">
        <f t="shared" si="24"/>
        <v>0</v>
      </c>
      <c r="CL12" s="7">
        <f t="shared" si="25"/>
        <v>0</v>
      </c>
      <c r="CM12" s="7">
        <f t="shared" si="26"/>
        <v>0</v>
      </c>
      <c r="CN12" s="7">
        <f t="shared" si="27"/>
        <v>0</v>
      </c>
      <c r="CO12" s="7">
        <f t="shared" si="28"/>
        <v>0</v>
      </c>
      <c r="CP12" s="7">
        <f t="shared" si="29"/>
        <v>0</v>
      </c>
      <c r="CQ12" s="7">
        <f t="shared" si="30"/>
        <v>0</v>
      </c>
      <c r="CR12" s="7">
        <f t="shared" si="31"/>
        <v>0</v>
      </c>
      <c r="CS12" s="7">
        <f t="shared" si="32"/>
        <v>0</v>
      </c>
      <c r="CT12" s="7">
        <f t="shared" si="33"/>
        <v>0</v>
      </c>
      <c r="CU12" s="7">
        <f t="shared" si="34"/>
        <v>0</v>
      </c>
      <c r="CV12" s="7">
        <f t="shared" si="35"/>
        <v>0</v>
      </c>
      <c r="CW12" s="7">
        <f t="shared" si="36"/>
        <v>0</v>
      </c>
      <c r="CX12" s="7">
        <f t="shared" si="37"/>
        <v>0</v>
      </c>
      <c r="CY12" s="7">
        <f t="shared" si="38"/>
        <v>0</v>
      </c>
      <c r="CZ12" s="7">
        <f t="shared" si="39"/>
        <v>0</v>
      </c>
      <c r="DA12" s="7">
        <f t="shared" si="40"/>
        <v>0</v>
      </c>
      <c r="DB12" s="7">
        <f t="shared" si="41"/>
        <v>0</v>
      </c>
      <c r="DC12" s="7">
        <f t="shared" si="42"/>
        <v>0</v>
      </c>
      <c r="DD12" s="7">
        <f t="shared" si="43"/>
        <v>0</v>
      </c>
      <c r="DE12" s="7">
        <f t="shared" si="44"/>
        <v>0</v>
      </c>
      <c r="DF12" s="7">
        <f t="shared" si="45"/>
        <v>0</v>
      </c>
      <c r="DG12" s="7">
        <f t="shared" si="46"/>
        <v>0</v>
      </c>
      <c r="DH12" s="7">
        <f t="shared" si="47"/>
        <v>0</v>
      </c>
      <c r="DI12" s="7">
        <f t="shared" si="48"/>
        <v>0</v>
      </c>
      <c r="DJ12" s="7">
        <f t="shared" si="49"/>
        <v>0</v>
      </c>
      <c r="DK12" s="7">
        <f t="shared" si="50"/>
        <v>0</v>
      </c>
      <c r="DL12" s="7">
        <f t="shared" si="51"/>
        <v>0</v>
      </c>
      <c r="DM12" s="7">
        <f t="shared" si="52"/>
        <v>0</v>
      </c>
      <c r="DN12" s="7">
        <f t="shared" si="53"/>
        <v>0</v>
      </c>
      <c r="DO12" s="7">
        <f t="shared" si="54"/>
        <v>0</v>
      </c>
      <c r="DP12" s="7">
        <f t="shared" si="55"/>
        <v>0</v>
      </c>
      <c r="DQ12" s="7">
        <f t="shared" si="56"/>
        <v>0</v>
      </c>
      <c r="DR12" s="7">
        <f t="shared" si="57"/>
        <v>0</v>
      </c>
      <c r="DS12" s="7">
        <f t="shared" si="58"/>
        <v>0</v>
      </c>
      <c r="DT12" s="7">
        <f t="shared" si="59"/>
        <v>0</v>
      </c>
      <c r="DU12" s="7">
        <f t="shared" si="60"/>
        <v>0</v>
      </c>
    </row>
    <row r="13" spans="1:125" x14ac:dyDescent="0.2">
      <c r="A13" s="3">
        <f>Bonds!A13</f>
        <v>46326</v>
      </c>
      <c r="B13" s="4">
        <f>Bonds!B13</f>
        <v>1.125</v>
      </c>
      <c r="C13">
        <f>Bonds!P13</f>
        <v>1</v>
      </c>
      <c r="D13">
        <f t="shared" si="0"/>
        <v>1</v>
      </c>
      <c r="E13" s="3">
        <f>IF(1&gt;$C13,"",IF($D13=1,EOMONTH(EDATE(Bonds!$H13,6*(1-1)),0),EDATE(Bonds!$H13,6*(1-1))))</f>
        <v>46326</v>
      </c>
      <c r="F13" s="3" t="str">
        <f>IF(2&gt;$C13,"",IF($D13=1,EOMONTH(EDATE(Bonds!$H13,6*(2-1)),0),EDATE(Bonds!$H13,6*(2-1))))</f>
        <v/>
      </c>
      <c r="G13" s="3" t="str">
        <f>IF(3&gt;$C13,"",IF($D13=1,EOMONTH(EDATE(Bonds!$H13,6*(3-1)),0),EDATE(Bonds!$H13,6*(3-1))))</f>
        <v/>
      </c>
      <c r="H13" s="3" t="str">
        <f>IF(4&gt;$C13,"",IF($D13=1,EOMONTH(EDATE(Bonds!$H13,6*(4-1)),0),EDATE(Bonds!$H13,6*(4-1))))</f>
        <v/>
      </c>
      <c r="I13" s="3" t="str">
        <f>IF(5&gt;$C13,"",IF($D13=1,EOMONTH(EDATE(Bonds!$H13,6*(5-1)),0),EDATE(Bonds!$H13,6*(5-1))))</f>
        <v/>
      </c>
      <c r="J13" s="3" t="str">
        <f>IF(6&gt;$C13,"",IF($D13=1,EOMONTH(EDATE(Bonds!$H13,6*(6-1)),0),EDATE(Bonds!$H13,6*(6-1))))</f>
        <v/>
      </c>
      <c r="K13" s="3" t="str">
        <f>IF(7&gt;$C13,"",IF($D13=1,EOMONTH(EDATE(Bonds!$H13,6*(7-1)),0),EDATE(Bonds!$H13,6*(7-1))))</f>
        <v/>
      </c>
      <c r="L13" s="3" t="str">
        <f>IF(8&gt;$C13,"",IF($D13=1,EOMONTH(EDATE(Bonds!$H13,6*(8-1)),0),EDATE(Bonds!$H13,6*(8-1))))</f>
        <v/>
      </c>
      <c r="M13" s="3" t="str">
        <f>IF(9&gt;$C13,"",IF($D13=1,EOMONTH(EDATE(Bonds!$H13,6*(9-1)),0),EDATE(Bonds!$H13,6*(9-1))))</f>
        <v/>
      </c>
      <c r="N13" s="3" t="str">
        <f>IF(10&gt;$C13,"",IF($D13=1,EOMONTH(EDATE(Bonds!$H13,6*(10-1)),0),EDATE(Bonds!$H13,6*(10-1))))</f>
        <v/>
      </c>
      <c r="O13" s="3" t="str">
        <f>IF(11&gt;$C13,"",IF($D13=1,EOMONTH(EDATE(Bonds!$H13,6*(11-1)),0),EDATE(Bonds!$H13,6*(11-1))))</f>
        <v/>
      </c>
      <c r="P13" s="3" t="str">
        <f>IF(12&gt;$C13,"",IF($D13=1,EOMONTH(EDATE(Bonds!$H13,6*(12-1)),0),EDATE(Bonds!$H13,6*(12-1))))</f>
        <v/>
      </c>
      <c r="Q13" s="3" t="str">
        <f>IF(13&gt;$C13,"",IF($D13=1,EOMONTH(EDATE(Bonds!$H13,6*(13-1)),0),EDATE(Bonds!$H13,6*(13-1))))</f>
        <v/>
      </c>
      <c r="R13" s="3" t="str">
        <f>IF(14&gt;$C13,"",IF($D13=1,EOMONTH(EDATE(Bonds!$H13,6*(14-1)),0),EDATE(Bonds!$H13,6*(14-1))))</f>
        <v/>
      </c>
      <c r="S13" s="3" t="str">
        <f>IF(15&gt;$C13,"",IF($D13=1,EOMONTH(EDATE(Bonds!$H13,6*(15-1)),0),EDATE(Bonds!$H13,6*(15-1))))</f>
        <v/>
      </c>
      <c r="T13" s="3" t="str">
        <f>IF(16&gt;$C13,"",IF($D13=1,EOMONTH(EDATE(Bonds!$H13,6*(16-1)),0),EDATE(Bonds!$H13,6*(16-1))))</f>
        <v/>
      </c>
      <c r="U13" s="3" t="str">
        <f>IF(17&gt;$C13,"",IF($D13=1,EOMONTH(EDATE(Bonds!$H13,6*(17-1)),0),EDATE(Bonds!$H13,6*(17-1))))</f>
        <v/>
      </c>
      <c r="V13" s="3" t="str">
        <f>IF(18&gt;$C13,"",IF($D13=1,EOMONTH(EDATE(Bonds!$H13,6*(18-1)),0),EDATE(Bonds!$H13,6*(18-1))))</f>
        <v/>
      </c>
      <c r="W13" s="3" t="str">
        <f>IF(19&gt;$C13,"",IF($D13=1,EOMONTH(EDATE(Bonds!$H13,6*(19-1)),0),EDATE(Bonds!$H13,6*(19-1))))</f>
        <v/>
      </c>
      <c r="X13" s="3" t="str">
        <f>IF(20&gt;$C13,"",IF($D13=1,EOMONTH(EDATE(Bonds!$H13,6*(20-1)),0),EDATE(Bonds!$H13,6*(20-1))))</f>
        <v/>
      </c>
      <c r="Y13" s="3" t="str">
        <f>IF(21&gt;$C13,"",IF($D13=1,EOMONTH(EDATE(Bonds!$H13,6*(21-1)),0),EDATE(Bonds!$H13,6*(21-1))))</f>
        <v/>
      </c>
      <c r="Z13" s="3" t="str">
        <f>IF(22&gt;$C13,"",IF($D13=1,EOMONTH(EDATE(Bonds!$H13,6*(22-1)),0),EDATE(Bonds!$H13,6*(22-1))))</f>
        <v/>
      </c>
      <c r="AA13" s="3" t="str">
        <f>IF(23&gt;$C13,"",IF($D13=1,EOMONTH(EDATE(Bonds!$H13,6*(23-1)),0),EDATE(Bonds!$H13,6*(23-1))))</f>
        <v/>
      </c>
      <c r="AB13" s="3" t="str">
        <f>IF(24&gt;$C13,"",IF($D13=1,EOMONTH(EDATE(Bonds!$H13,6*(24-1)),0),EDATE(Bonds!$H13,6*(24-1))))</f>
        <v/>
      </c>
      <c r="AC13" s="3" t="str">
        <f>IF(25&gt;$C13,"",IF($D13=1,EOMONTH(EDATE(Bonds!$H13,6*(25-1)),0),EDATE(Bonds!$H13,6*(25-1))))</f>
        <v/>
      </c>
      <c r="AD13" s="3" t="str">
        <f>IF(26&gt;$C13,"",IF($D13=1,EOMONTH(EDATE(Bonds!$H13,6*(26-1)),0),EDATE(Bonds!$H13,6*(26-1))))</f>
        <v/>
      </c>
      <c r="AE13" s="3" t="str">
        <f>IF(27&gt;$C13,"",IF($D13=1,EOMONTH(EDATE(Bonds!$H13,6*(27-1)),0),EDATE(Bonds!$H13,6*(27-1))))</f>
        <v/>
      </c>
      <c r="AF13" s="3" t="str">
        <f>IF(28&gt;$C13,"",IF($D13=1,EOMONTH(EDATE(Bonds!$H13,6*(28-1)),0),EDATE(Bonds!$H13,6*(28-1))))</f>
        <v/>
      </c>
      <c r="AG13" s="3" t="str">
        <f>IF(29&gt;$C13,"",IF($D13=1,EOMONTH(EDATE(Bonds!$H13,6*(29-1)),0),EDATE(Bonds!$H13,6*(29-1))))</f>
        <v/>
      </c>
      <c r="AH13" s="3" t="str">
        <f>IF(30&gt;$C13,"",IF($D13=1,EOMONTH(EDATE(Bonds!$H13,6*(30-1)),0),EDATE(Bonds!$H13,6*(30-1))))</f>
        <v/>
      </c>
      <c r="AI13" s="3" t="str">
        <f>IF(31&gt;$C13,"",IF($D13=1,EOMONTH(EDATE(Bonds!$H13,6*(31-1)),0),EDATE(Bonds!$H13,6*(31-1))))</f>
        <v/>
      </c>
      <c r="AJ13" s="3" t="str">
        <f>IF(32&gt;$C13,"",IF($D13=1,EOMONTH(EDATE(Bonds!$H13,6*(32-1)),0),EDATE(Bonds!$H13,6*(32-1))))</f>
        <v/>
      </c>
      <c r="AK13" s="3" t="str">
        <f>IF(33&gt;$C13,"",IF($D13=1,EOMONTH(EDATE(Bonds!$H13,6*(33-1)),0),EDATE(Bonds!$H13,6*(33-1))))</f>
        <v/>
      </c>
      <c r="AL13" s="3" t="str">
        <f>IF(34&gt;$C13,"",IF($D13=1,EOMONTH(EDATE(Bonds!$H13,6*(34-1)),0),EDATE(Bonds!$H13,6*(34-1))))</f>
        <v/>
      </c>
      <c r="AM13" s="3" t="str">
        <f>IF(35&gt;$C13,"",IF($D13=1,EOMONTH(EDATE(Bonds!$H13,6*(35-1)),0),EDATE(Bonds!$H13,6*(35-1))))</f>
        <v/>
      </c>
      <c r="AN13" s="3" t="str">
        <f>IF(36&gt;$C13,"",IF($D13=1,EOMONTH(EDATE(Bonds!$H13,6*(36-1)),0),EDATE(Bonds!$H13,6*(36-1))))</f>
        <v/>
      </c>
      <c r="AO13" s="3" t="str">
        <f>IF(37&gt;$C13,"",IF($D13=1,EOMONTH(EDATE(Bonds!$H13,6*(37-1)),0),EDATE(Bonds!$H13,6*(37-1))))</f>
        <v/>
      </c>
      <c r="AP13" s="3" t="str">
        <f>IF(38&gt;$C13,"",IF($D13=1,EOMONTH(EDATE(Bonds!$H13,6*(38-1)),0),EDATE(Bonds!$H13,6*(38-1))))</f>
        <v/>
      </c>
      <c r="AQ13" s="3" t="str">
        <f>IF(39&gt;$C13,"",IF($D13=1,EOMONTH(EDATE(Bonds!$H13,6*(39-1)),0),EDATE(Bonds!$H13,6*(39-1))))</f>
        <v/>
      </c>
      <c r="AR13" s="3" t="str">
        <f>IF(40&gt;$C13,"",IF($D13=1,EOMONTH(EDATE(Bonds!$H13,6*(40-1)),0),EDATE(Bonds!$H13,6*(40-1))))</f>
        <v/>
      </c>
      <c r="AS13" s="3" t="str">
        <f>IF(41&gt;$C13,"",IF($D13=1,EOMONTH(EDATE(Bonds!$H13,6*(41-1)),0),EDATE(Bonds!$H13,6*(41-1))))</f>
        <v/>
      </c>
      <c r="AT13" s="3" t="str">
        <f>IF(42&gt;$C13,"",IF($D13=1,EOMONTH(EDATE(Bonds!$H13,6*(42-1)),0),EDATE(Bonds!$H13,6*(42-1))))</f>
        <v/>
      </c>
      <c r="AU13" s="3" t="str">
        <f>IF(43&gt;$C13,"",IF($D13=1,EOMONTH(EDATE(Bonds!$H13,6*(43-1)),0),EDATE(Bonds!$H13,6*(43-1))))</f>
        <v/>
      </c>
      <c r="AV13" s="3" t="str">
        <f>IF(44&gt;$C13,"",IF($D13=1,EOMONTH(EDATE(Bonds!$H13,6*(44-1)),0),EDATE(Bonds!$H13,6*(44-1))))</f>
        <v/>
      </c>
      <c r="AW13" s="3" t="str">
        <f>IF(45&gt;$C13,"",IF($D13=1,EOMONTH(EDATE(Bonds!$H13,6*(45-1)),0),EDATE(Bonds!$H13,6*(45-1))))</f>
        <v/>
      </c>
      <c r="AX13" s="3" t="str">
        <f>IF(46&gt;$C13,"",IF($D13=1,EOMONTH(EDATE(Bonds!$H13,6*(46-1)),0),EDATE(Bonds!$H13,6*(46-1))))</f>
        <v/>
      </c>
      <c r="AY13" s="3" t="str">
        <f>IF(47&gt;$C13,"",IF($D13=1,EOMONTH(EDATE(Bonds!$H13,6*(47-1)),0),EDATE(Bonds!$H13,6*(47-1))))</f>
        <v/>
      </c>
      <c r="AZ13" s="3" t="str">
        <f>IF(48&gt;$C13,"",IF($D13=1,EOMONTH(EDATE(Bonds!$H13,6*(48-1)),0),EDATE(Bonds!$H13,6*(48-1))))</f>
        <v/>
      </c>
      <c r="BA13" s="3" t="str">
        <f>IF(49&gt;$C13,"",IF($D13=1,EOMONTH(EDATE(Bonds!$H13,6*(49-1)),0),EDATE(Bonds!$H13,6*(49-1))))</f>
        <v/>
      </c>
      <c r="BB13" s="3" t="str">
        <f>IF(50&gt;$C13,"",IF($D13=1,EOMONTH(EDATE(Bonds!$H13,6*(50-1)),0),EDATE(Bonds!$H13,6*(50-1))))</f>
        <v/>
      </c>
      <c r="BC13" s="3" t="str">
        <f>IF(51&gt;$C13,"",IF($D13=1,EOMONTH(EDATE(Bonds!$H13,6*(51-1)),0),EDATE(Bonds!$H13,6*(51-1))))</f>
        <v/>
      </c>
      <c r="BD13" s="3" t="str">
        <f>IF(52&gt;$C13,"",IF($D13=1,EOMONTH(EDATE(Bonds!$H13,6*(52-1)),0),EDATE(Bonds!$H13,6*(52-1))))</f>
        <v/>
      </c>
      <c r="BE13" s="3" t="str">
        <f>IF(53&gt;$C13,"",IF($D13=1,EOMONTH(EDATE(Bonds!$H13,6*(53-1)),0),EDATE(Bonds!$H13,6*(53-1))))</f>
        <v/>
      </c>
      <c r="BF13" s="3" t="str">
        <f>IF(54&gt;$C13,"",IF($D13=1,EOMONTH(EDATE(Bonds!$H13,6*(54-1)),0),EDATE(Bonds!$H13,6*(54-1))))</f>
        <v/>
      </c>
      <c r="BG13" s="3" t="str">
        <f>IF(55&gt;$C13,"",IF($D13=1,EOMONTH(EDATE(Bonds!$H13,6*(55-1)),0),EDATE(Bonds!$H13,6*(55-1))))</f>
        <v/>
      </c>
      <c r="BH13" s="3" t="str">
        <f>IF(56&gt;$C13,"",IF($D13=1,EOMONTH(EDATE(Bonds!$H13,6*(56-1)),0),EDATE(Bonds!$H13,6*(56-1))))</f>
        <v/>
      </c>
      <c r="BI13" s="3" t="str">
        <f>IF(57&gt;$C13,"",IF($D13=1,EOMONTH(EDATE(Bonds!$H13,6*(57-1)),0),EDATE(Bonds!$H13,6*(57-1))))</f>
        <v/>
      </c>
      <c r="BJ13" s="3" t="str">
        <f>IF(58&gt;$C13,"",IF($D13=1,EOMONTH(EDATE(Bonds!$H13,6*(58-1)),0),EDATE(Bonds!$H13,6*(58-1))))</f>
        <v/>
      </c>
      <c r="BK13" s="3" t="str">
        <f>IF(59&gt;$C13,"",IF($D13=1,EOMONTH(EDATE(Bonds!$H13,6*(59-1)),0),EDATE(Bonds!$H13,6*(59-1))))</f>
        <v/>
      </c>
      <c r="BL13" s="3" t="str">
        <f>IF(60&gt;$C13,"",IF($D13=1,EOMONTH(EDATE(Bonds!$H13,6*(60-1)),0),EDATE(Bonds!$H13,6*(60-1))))</f>
        <v/>
      </c>
      <c r="BN13" s="7">
        <f t="shared" si="1"/>
        <v>100.01931667070539</v>
      </c>
      <c r="BO13" s="7">
        <f t="shared" si="2"/>
        <v>0</v>
      </c>
      <c r="BP13" s="7">
        <f t="shared" si="3"/>
        <v>0</v>
      </c>
      <c r="BQ13" s="7">
        <f t="shared" si="4"/>
        <v>0</v>
      </c>
      <c r="BR13" s="7">
        <f t="shared" si="5"/>
        <v>0</v>
      </c>
      <c r="BS13" s="7">
        <f t="shared" si="6"/>
        <v>0</v>
      </c>
      <c r="BT13" s="7">
        <f t="shared" si="7"/>
        <v>0</v>
      </c>
      <c r="BU13" s="7">
        <f t="shared" si="8"/>
        <v>0</v>
      </c>
      <c r="BV13" s="7">
        <f t="shared" si="9"/>
        <v>0</v>
      </c>
      <c r="BW13" s="7">
        <f t="shared" si="10"/>
        <v>0</v>
      </c>
      <c r="BX13" s="7">
        <f t="shared" si="11"/>
        <v>0</v>
      </c>
      <c r="BY13" s="7">
        <f t="shared" si="12"/>
        <v>0</v>
      </c>
      <c r="BZ13" s="7">
        <f t="shared" si="13"/>
        <v>0</v>
      </c>
      <c r="CA13" s="7">
        <f t="shared" si="14"/>
        <v>0</v>
      </c>
      <c r="CB13" s="7">
        <f t="shared" si="15"/>
        <v>0</v>
      </c>
      <c r="CC13" s="7">
        <f t="shared" si="16"/>
        <v>0</v>
      </c>
      <c r="CD13" s="7">
        <f t="shared" si="17"/>
        <v>0</v>
      </c>
      <c r="CE13" s="7">
        <f t="shared" si="18"/>
        <v>0</v>
      </c>
      <c r="CF13" s="7">
        <f t="shared" si="19"/>
        <v>0</v>
      </c>
      <c r="CG13" s="7">
        <f t="shared" si="20"/>
        <v>0</v>
      </c>
      <c r="CH13" s="7">
        <f t="shared" si="21"/>
        <v>0</v>
      </c>
      <c r="CI13" s="7">
        <f t="shared" si="22"/>
        <v>0</v>
      </c>
      <c r="CJ13" s="7">
        <f t="shared" si="23"/>
        <v>0</v>
      </c>
      <c r="CK13" s="7">
        <f t="shared" si="24"/>
        <v>0</v>
      </c>
      <c r="CL13" s="7">
        <f t="shared" si="25"/>
        <v>0</v>
      </c>
      <c r="CM13" s="7">
        <f t="shared" si="26"/>
        <v>0</v>
      </c>
      <c r="CN13" s="7">
        <f t="shared" si="27"/>
        <v>0</v>
      </c>
      <c r="CO13" s="7">
        <f t="shared" si="28"/>
        <v>0</v>
      </c>
      <c r="CP13" s="7">
        <f t="shared" si="29"/>
        <v>0</v>
      </c>
      <c r="CQ13" s="7">
        <f t="shared" si="30"/>
        <v>0</v>
      </c>
      <c r="CR13" s="7">
        <f t="shared" si="31"/>
        <v>0</v>
      </c>
      <c r="CS13" s="7">
        <f t="shared" si="32"/>
        <v>0</v>
      </c>
      <c r="CT13" s="7">
        <f t="shared" si="33"/>
        <v>0</v>
      </c>
      <c r="CU13" s="7">
        <f t="shared" si="34"/>
        <v>0</v>
      </c>
      <c r="CV13" s="7">
        <f t="shared" si="35"/>
        <v>0</v>
      </c>
      <c r="CW13" s="7">
        <f t="shared" si="36"/>
        <v>0</v>
      </c>
      <c r="CX13" s="7">
        <f t="shared" si="37"/>
        <v>0</v>
      </c>
      <c r="CY13" s="7">
        <f t="shared" si="38"/>
        <v>0</v>
      </c>
      <c r="CZ13" s="7">
        <f t="shared" si="39"/>
        <v>0</v>
      </c>
      <c r="DA13" s="7">
        <f t="shared" si="40"/>
        <v>0</v>
      </c>
      <c r="DB13" s="7">
        <f t="shared" si="41"/>
        <v>0</v>
      </c>
      <c r="DC13" s="7">
        <f t="shared" si="42"/>
        <v>0</v>
      </c>
      <c r="DD13" s="7">
        <f t="shared" si="43"/>
        <v>0</v>
      </c>
      <c r="DE13" s="7">
        <f t="shared" si="44"/>
        <v>0</v>
      </c>
      <c r="DF13" s="7">
        <f t="shared" si="45"/>
        <v>0</v>
      </c>
      <c r="DG13" s="7">
        <f t="shared" si="46"/>
        <v>0</v>
      </c>
      <c r="DH13" s="7">
        <f t="shared" si="47"/>
        <v>0</v>
      </c>
      <c r="DI13" s="7">
        <f t="shared" si="48"/>
        <v>0</v>
      </c>
      <c r="DJ13" s="7">
        <f t="shared" si="49"/>
        <v>0</v>
      </c>
      <c r="DK13" s="7">
        <f t="shared" si="50"/>
        <v>0</v>
      </c>
      <c r="DL13" s="7">
        <f t="shared" si="51"/>
        <v>0</v>
      </c>
      <c r="DM13" s="7">
        <f t="shared" si="52"/>
        <v>0</v>
      </c>
      <c r="DN13" s="7">
        <f t="shared" si="53"/>
        <v>0</v>
      </c>
      <c r="DO13" s="7">
        <f t="shared" si="54"/>
        <v>0</v>
      </c>
      <c r="DP13" s="7">
        <f t="shared" si="55"/>
        <v>0</v>
      </c>
      <c r="DQ13" s="7">
        <f t="shared" si="56"/>
        <v>0</v>
      </c>
      <c r="DR13" s="7">
        <f t="shared" si="57"/>
        <v>0</v>
      </c>
      <c r="DS13" s="7">
        <f t="shared" si="58"/>
        <v>0</v>
      </c>
      <c r="DT13" s="7">
        <f t="shared" si="59"/>
        <v>0</v>
      </c>
      <c r="DU13" s="7">
        <f t="shared" si="60"/>
        <v>0</v>
      </c>
    </row>
    <row r="14" spans="1:125" x14ac:dyDescent="0.2">
      <c r="A14" s="3">
        <f>Bonds!A14</f>
        <v>46326</v>
      </c>
      <c r="B14" s="4">
        <f>Bonds!B14</f>
        <v>1.625</v>
      </c>
      <c r="C14">
        <f>Bonds!P14</f>
        <v>1</v>
      </c>
      <c r="D14">
        <f t="shared" si="0"/>
        <v>1</v>
      </c>
      <c r="E14" s="3">
        <f>IF(1&gt;$C14,"",IF($D14=1,EOMONTH(EDATE(Bonds!$H14,6*(1-1)),0),EDATE(Bonds!$H14,6*(1-1))))</f>
        <v>46326</v>
      </c>
      <c r="F14" s="3" t="str">
        <f>IF(2&gt;$C14,"",IF($D14=1,EOMONTH(EDATE(Bonds!$H14,6*(2-1)),0),EDATE(Bonds!$H14,6*(2-1))))</f>
        <v/>
      </c>
      <c r="G14" s="3" t="str">
        <f>IF(3&gt;$C14,"",IF($D14=1,EOMONTH(EDATE(Bonds!$H14,6*(3-1)),0),EDATE(Bonds!$H14,6*(3-1))))</f>
        <v/>
      </c>
      <c r="H14" s="3" t="str">
        <f>IF(4&gt;$C14,"",IF($D14=1,EOMONTH(EDATE(Bonds!$H14,6*(4-1)),0),EDATE(Bonds!$H14,6*(4-1))))</f>
        <v/>
      </c>
      <c r="I14" s="3" t="str">
        <f>IF(5&gt;$C14,"",IF($D14=1,EOMONTH(EDATE(Bonds!$H14,6*(5-1)),0),EDATE(Bonds!$H14,6*(5-1))))</f>
        <v/>
      </c>
      <c r="J14" s="3" t="str">
        <f>IF(6&gt;$C14,"",IF($D14=1,EOMONTH(EDATE(Bonds!$H14,6*(6-1)),0),EDATE(Bonds!$H14,6*(6-1))))</f>
        <v/>
      </c>
      <c r="K14" s="3" t="str">
        <f>IF(7&gt;$C14,"",IF($D14=1,EOMONTH(EDATE(Bonds!$H14,6*(7-1)),0),EDATE(Bonds!$H14,6*(7-1))))</f>
        <v/>
      </c>
      <c r="L14" s="3" t="str">
        <f>IF(8&gt;$C14,"",IF($D14=1,EOMONTH(EDATE(Bonds!$H14,6*(8-1)),0),EDATE(Bonds!$H14,6*(8-1))))</f>
        <v/>
      </c>
      <c r="M14" s="3" t="str">
        <f>IF(9&gt;$C14,"",IF($D14=1,EOMONTH(EDATE(Bonds!$H14,6*(9-1)),0),EDATE(Bonds!$H14,6*(9-1))))</f>
        <v/>
      </c>
      <c r="N14" s="3" t="str">
        <f>IF(10&gt;$C14,"",IF($D14=1,EOMONTH(EDATE(Bonds!$H14,6*(10-1)),0),EDATE(Bonds!$H14,6*(10-1))))</f>
        <v/>
      </c>
      <c r="O14" s="3" t="str">
        <f>IF(11&gt;$C14,"",IF($D14=1,EOMONTH(EDATE(Bonds!$H14,6*(11-1)),0),EDATE(Bonds!$H14,6*(11-1))))</f>
        <v/>
      </c>
      <c r="P14" s="3" t="str">
        <f>IF(12&gt;$C14,"",IF($D14=1,EOMONTH(EDATE(Bonds!$H14,6*(12-1)),0),EDATE(Bonds!$H14,6*(12-1))))</f>
        <v/>
      </c>
      <c r="Q14" s="3" t="str">
        <f>IF(13&gt;$C14,"",IF($D14=1,EOMONTH(EDATE(Bonds!$H14,6*(13-1)),0),EDATE(Bonds!$H14,6*(13-1))))</f>
        <v/>
      </c>
      <c r="R14" s="3" t="str">
        <f>IF(14&gt;$C14,"",IF($D14=1,EOMONTH(EDATE(Bonds!$H14,6*(14-1)),0),EDATE(Bonds!$H14,6*(14-1))))</f>
        <v/>
      </c>
      <c r="S14" s="3" t="str">
        <f>IF(15&gt;$C14,"",IF($D14=1,EOMONTH(EDATE(Bonds!$H14,6*(15-1)),0),EDATE(Bonds!$H14,6*(15-1))))</f>
        <v/>
      </c>
      <c r="T14" s="3" t="str">
        <f>IF(16&gt;$C14,"",IF($D14=1,EOMONTH(EDATE(Bonds!$H14,6*(16-1)),0),EDATE(Bonds!$H14,6*(16-1))))</f>
        <v/>
      </c>
      <c r="U14" s="3" t="str">
        <f>IF(17&gt;$C14,"",IF($D14=1,EOMONTH(EDATE(Bonds!$H14,6*(17-1)),0),EDATE(Bonds!$H14,6*(17-1))))</f>
        <v/>
      </c>
      <c r="V14" s="3" t="str">
        <f>IF(18&gt;$C14,"",IF($D14=1,EOMONTH(EDATE(Bonds!$H14,6*(18-1)),0),EDATE(Bonds!$H14,6*(18-1))))</f>
        <v/>
      </c>
      <c r="W14" s="3" t="str">
        <f>IF(19&gt;$C14,"",IF($D14=1,EOMONTH(EDATE(Bonds!$H14,6*(19-1)),0),EDATE(Bonds!$H14,6*(19-1))))</f>
        <v/>
      </c>
      <c r="X14" s="3" t="str">
        <f>IF(20&gt;$C14,"",IF($D14=1,EOMONTH(EDATE(Bonds!$H14,6*(20-1)),0),EDATE(Bonds!$H14,6*(20-1))))</f>
        <v/>
      </c>
      <c r="Y14" s="3" t="str">
        <f>IF(21&gt;$C14,"",IF($D14=1,EOMONTH(EDATE(Bonds!$H14,6*(21-1)),0),EDATE(Bonds!$H14,6*(21-1))))</f>
        <v/>
      </c>
      <c r="Z14" s="3" t="str">
        <f>IF(22&gt;$C14,"",IF($D14=1,EOMONTH(EDATE(Bonds!$H14,6*(22-1)),0),EDATE(Bonds!$H14,6*(22-1))))</f>
        <v/>
      </c>
      <c r="AA14" s="3" t="str">
        <f>IF(23&gt;$C14,"",IF($D14=1,EOMONTH(EDATE(Bonds!$H14,6*(23-1)),0),EDATE(Bonds!$H14,6*(23-1))))</f>
        <v/>
      </c>
      <c r="AB14" s="3" t="str">
        <f>IF(24&gt;$C14,"",IF($D14=1,EOMONTH(EDATE(Bonds!$H14,6*(24-1)),0),EDATE(Bonds!$H14,6*(24-1))))</f>
        <v/>
      </c>
      <c r="AC14" s="3" t="str">
        <f>IF(25&gt;$C14,"",IF($D14=1,EOMONTH(EDATE(Bonds!$H14,6*(25-1)),0),EDATE(Bonds!$H14,6*(25-1))))</f>
        <v/>
      </c>
      <c r="AD14" s="3" t="str">
        <f>IF(26&gt;$C14,"",IF($D14=1,EOMONTH(EDATE(Bonds!$H14,6*(26-1)),0),EDATE(Bonds!$H14,6*(26-1))))</f>
        <v/>
      </c>
      <c r="AE14" s="3" t="str">
        <f>IF(27&gt;$C14,"",IF($D14=1,EOMONTH(EDATE(Bonds!$H14,6*(27-1)),0),EDATE(Bonds!$H14,6*(27-1))))</f>
        <v/>
      </c>
      <c r="AF14" s="3" t="str">
        <f>IF(28&gt;$C14,"",IF($D14=1,EOMONTH(EDATE(Bonds!$H14,6*(28-1)),0),EDATE(Bonds!$H14,6*(28-1))))</f>
        <v/>
      </c>
      <c r="AG14" s="3" t="str">
        <f>IF(29&gt;$C14,"",IF($D14=1,EOMONTH(EDATE(Bonds!$H14,6*(29-1)),0),EDATE(Bonds!$H14,6*(29-1))))</f>
        <v/>
      </c>
      <c r="AH14" s="3" t="str">
        <f>IF(30&gt;$C14,"",IF($D14=1,EOMONTH(EDATE(Bonds!$H14,6*(30-1)),0),EDATE(Bonds!$H14,6*(30-1))))</f>
        <v/>
      </c>
      <c r="AI14" s="3" t="str">
        <f>IF(31&gt;$C14,"",IF($D14=1,EOMONTH(EDATE(Bonds!$H14,6*(31-1)),0),EDATE(Bonds!$H14,6*(31-1))))</f>
        <v/>
      </c>
      <c r="AJ14" s="3" t="str">
        <f>IF(32&gt;$C14,"",IF($D14=1,EOMONTH(EDATE(Bonds!$H14,6*(32-1)),0),EDATE(Bonds!$H14,6*(32-1))))</f>
        <v/>
      </c>
      <c r="AK14" s="3" t="str">
        <f>IF(33&gt;$C14,"",IF($D14=1,EOMONTH(EDATE(Bonds!$H14,6*(33-1)),0),EDATE(Bonds!$H14,6*(33-1))))</f>
        <v/>
      </c>
      <c r="AL14" s="3" t="str">
        <f>IF(34&gt;$C14,"",IF($D14=1,EOMONTH(EDATE(Bonds!$H14,6*(34-1)),0),EDATE(Bonds!$H14,6*(34-1))))</f>
        <v/>
      </c>
      <c r="AM14" s="3" t="str">
        <f>IF(35&gt;$C14,"",IF($D14=1,EOMONTH(EDATE(Bonds!$H14,6*(35-1)),0),EDATE(Bonds!$H14,6*(35-1))))</f>
        <v/>
      </c>
      <c r="AN14" s="3" t="str">
        <f>IF(36&gt;$C14,"",IF($D14=1,EOMONTH(EDATE(Bonds!$H14,6*(36-1)),0),EDATE(Bonds!$H14,6*(36-1))))</f>
        <v/>
      </c>
      <c r="AO14" s="3" t="str">
        <f>IF(37&gt;$C14,"",IF($D14=1,EOMONTH(EDATE(Bonds!$H14,6*(37-1)),0),EDATE(Bonds!$H14,6*(37-1))))</f>
        <v/>
      </c>
      <c r="AP14" s="3" t="str">
        <f>IF(38&gt;$C14,"",IF($D14=1,EOMONTH(EDATE(Bonds!$H14,6*(38-1)),0),EDATE(Bonds!$H14,6*(38-1))))</f>
        <v/>
      </c>
      <c r="AQ14" s="3" t="str">
        <f>IF(39&gt;$C14,"",IF($D14=1,EOMONTH(EDATE(Bonds!$H14,6*(39-1)),0),EDATE(Bonds!$H14,6*(39-1))))</f>
        <v/>
      </c>
      <c r="AR14" s="3" t="str">
        <f>IF(40&gt;$C14,"",IF($D14=1,EOMONTH(EDATE(Bonds!$H14,6*(40-1)),0),EDATE(Bonds!$H14,6*(40-1))))</f>
        <v/>
      </c>
      <c r="AS14" s="3" t="str">
        <f>IF(41&gt;$C14,"",IF($D14=1,EOMONTH(EDATE(Bonds!$H14,6*(41-1)),0),EDATE(Bonds!$H14,6*(41-1))))</f>
        <v/>
      </c>
      <c r="AT14" s="3" t="str">
        <f>IF(42&gt;$C14,"",IF($D14=1,EOMONTH(EDATE(Bonds!$H14,6*(42-1)),0),EDATE(Bonds!$H14,6*(42-1))))</f>
        <v/>
      </c>
      <c r="AU14" s="3" t="str">
        <f>IF(43&gt;$C14,"",IF($D14=1,EOMONTH(EDATE(Bonds!$H14,6*(43-1)),0),EDATE(Bonds!$H14,6*(43-1))))</f>
        <v/>
      </c>
      <c r="AV14" s="3" t="str">
        <f>IF(44&gt;$C14,"",IF($D14=1,EOMONTH(EDATE(Bonds!$H14,6*(44-1)),0),EDATE(Bonds!$H14,6*(44-1))))</f>
        <v/>
      </c>
      <c r="AW14" s="3" t="str">
        <f>IF(45&gt;$C14,"",IF($D14=1,EOMONTH(EDATE(Bonds!$H14,6*(45-1)),0),EDATE(Bonds!$H14,6*(45-1))))</f>
        <v/>
      </c>
      <c r="AX14" s="3" t="str">
        <f>IF(46&gt;$C14,"",IF($D14=1,EOMONTH(EDATE(Bonds!$H14,6*(46-1)),0),EDATE(Bonds!$H14,6*(46-1))))</f>
        <v/>
      </c>
      <c r="AY14" s="3" t="str">
        <f>IF(47&gt;$C14,"",IF($D14=1,EOMONTH(EDATE(Bonds!$H14,6*(47-1)),0),EDATE(Bonds!$H14,6*(47-1))))</f>
        <v/>
      </c>
      <c r="AZ14" s="3" t="str">
        <f>IF(48&gt;$C14,"",IF($D14=1,EOMONTH(EDATE(Bonds!$H14,6*(48-1)),0),EDATE(Bonds!$H14,6*(48-1))))</f>
        <v/>
      </c>
      <c r="BA14" s="3" t="str">
        <f>IF(49&gt;$C14,"",IF($D14=1,EOMONTH(EDATE(Bonds!$H14,6*(49-1)),0),EDATE(Bonds!$H14,6*(49-1))))</f>
        <v/>
      </c>
      <c r="BB14" s="3" t="str">
        <f>IF(50&gt;$C14,"",IF($D14=1,EOMONTH(EDATE(Bonds!$H14,6*(50-1)),0),EDATE(Bonds!$H14,6*(50-1))))</f>
        <v/>
      </c>
      <c r="BC14" s="3" t="str">
        <f>IF(51&gt;$C14,"",IF($D14=1,EOMONTH(EDATE(Bonds!$H14,6*(51-1)),0),EDATE(Bonds!$H14,6*(51-1))))</f>
        <v/>
      </c>
      <c r="BD14" s="3" t="str">
        <f>IF(52&gt;$C14,"",IF($D14=1,EOMONTH(EDATE(Bonds!$H14,6*(52-1)),0),EDATE(Bonds!$H14,6*(52-1))))</f>
        <v/>
      </c>
      <c r="BE14" s="3" t="str">
        <f>IF(53&gt;$C14,"",IF($D14=1,EOMONTH(EDATE(Bonds!$H14,6*(53-1)),0),EDATE(Bonds!$H14,6*(53-1))))</f>
        <v/>
      </c>
      <c r="BF14" s="3" t="str">
        <f>IF(54&gt;$C14,"",IF($D14=1,EOMONTH(EDATE(Bonds!$H14,6*(54-1)),0),EDATE(Bonds!$H14,6*(54-1))))</f>
        <v/>
      </c>
      <c r="BG14" s="3" t="str">
        <f>IF(55&gt;$C14,"",IF($D14=1,EOMONTH(EDATE(Bonds!$H14,6*(55-1)),0),EDATE(Bonds!$H14,6*(55-1))))</f>
        <v/>
      </c>
      <c r="BH14" s="3" t="str">
        <f>IF(56&gt;$C14,"",IF($D14=1,EOMONTH(EDATE(Bonds!$H14,6*(56-1)),0),EDATE(Bonds!$H14,6*(56-1))))</f>
        <v/>
      </c>
      <c r="BI14" s="3" t="str">
        <f>IF(57&gt;$C14,"",IF($D14=1,EOMONTH(EDATE(Bonds!$H14,6*(57-1)),0),EDATE(Bonds!$H14,6*(57-1))))</f>
        <v/>
      </c>
      <c r="BJ14" s="3" t="str">
        <f>IF(58&gt;$C14,"",IF($D14=1,EOMONTH(EDATE(Bonds!$H14,6*(58-1)),0),EDATE(Bonds!$H14,6*(58-1))))</f>
        <v/>
      </c>
      <c r="BK14" s="3" t="str">
        <f>IF(59&gt;$C14,"",IF($D14=1,EOMONTH(EDATE(Bonds!$H14,6*(59-1)),0),EDATE(Bonds!$H14,6*(59-1))))</f>
        <v/>
      </c>
      <c r="BL14" s="3" t="str">
        <f>IF(60&gt;$C14,"",IF($D14=1,EOMONTH(EDATE(Bonds!$H14,6*(60-1)),0),EDATE(Bonds!$H14,6*(60-1))))</f>
        <v/>
      </c>
      <c r="BN14" s="7">
        <f t="shared" si="1"/>
        <v>100.26796630817141</v>
      </c>
      <c r="BO14" s="7">
        <f t="shared" si="2"/>
        <v>0</v>
      </c>
      <c r="BP14" s="7">
        <f t="shared" si="3"/>
        <v>0</v>
      </c>
      <c r="BQ14" s="7">
        <f t="shared" si="4"/>
        <v>0</v>
      </c>
      <c r="BR14" s="7">
        <f t="shared" si="5"/>
        <v>0</v>
      </c>
      <c r="BS14" s="7">
        <f t="shared" si="6"/>
        <v>0</v>
      </c>
      <c r="BT14" s="7">
        <f t="shared" si="7"/>
        <v>0</v>
      </c>
      <c r="BU14" s="7">
        <f t="shared" si="8"/>
        <v>0</v>
      </c>
      <c r="BV14" s="7">
        <f t="shared" si="9"/>
        <v>0</v>
      </c>
      <c r="BW14" s="7">
        <f t="shared" si="10"/>
        <v>0</v>
      </c>
      <c r="BX14" s="7">
        <f t="shared" si="11"/>
        <v>0</v>
      </c>
      <c r="BY14" s="7">
        <f t="shared" si="12"/>
        <v>0</v>
      </c>
      <c r="BZ14" s="7">
        <f t="shared" si="13"/>
        <v>0</v>
      </c>
      <c r="CA14" s="7">
        <f t="shared" si="14"/>
        <v>0</v>
      </c>
      <c r="CB14" s="7">
        <f t="shared" si="15"/>
        <v>0</v>
      </c>
      <c r="CC14" s="7">
        <f t="shared" si="16"/>
        <v>0</v>
      </c>
      <c r="CD14" s="7">
        <f t="shared" si="17"/>
        <v>0</v>
      </c>
      <c r="CE14" s="7">
        <f t="shared" si="18"/>
        <v>0</v>
      </c>
      <c r="CF14" s="7">
        <f t="shared" si="19"/>
        <v>0</v>
      </c>
      <c r="CG14" s="7">
        <f t="shared" si="20"/>
        <v>0</v>
      </c>
      <c r="CH14" s="7">
        <f t="shared" si="21"/>
        <v>0</v>
      </c>
      <c r="CI14" s="7">
        <f t="shared" si="22"/>
        <v>0</v>
      </c>
      <c r="CJ14" s="7">
        <f t="shared" si="23"/>
        <v>0</v>
      </c>
      <c r="CK14" s="7">
        <f t="shared" si="24"/>
        <v>0</v>
      </c>
      <c r="CL14" s="7">
        <f t="shared" si="25"/>
        <v>0</v>
      </c>
      <c r="CM14" s="7">
        <f t="shared" si="26"/>
        <v>0</v>
      </c>
      <c r="CN14" s="7">
        <f t="shared" si="27"/>
        <v>0</v>
      </c>
      <c r="CO14" s="7">
        <f t="shared" si="28"/>
        <v>0</v>
      </c>
      <c r="CP14" s="7">
        <f t="shared" si="29"/>
        <v>0</v>
      </c>
      <c r="CQ14" s="7">
        <f t="shared" si="30"/>
        <v>0</v>
      </c>
      <c r="CR14" s="7">
        <f t="shared" si="31"/>
        <v>0</v>
      </c>
      <c r="CS14" s="7">
        <f t="shared" si="32"/>
        <v>0</v>
      </c>
      <c r="CT14" s="7">
        <f t="shared" si="33"/>
        <v>0</v>
      </c>
      <c r="CU14" s="7">
        <f t="shared" si="34"/>
        <v>0</v>
      </c>
      <c r="CV14" s="7">
        <f t="shared" si="35"/>
        <v>0</v>
      </c>
      <c r="CW14" s="7">
        <f t="shared" si="36"/>
        <v>0</v>
      </c>
      <c r="CX14" s="7">
        <f t="shared" si="37"/>
        <v>0</v>
      </c>
      <c r="CY14" s="7">
        <f t="shared" si="38"/>
        <v>0</v>
      </c>
      <c r="CZ14" s="7">
        <f t="shared" si="39"/>
        <v>0</v>
      </c>
      <c r="DA14" s="7">
        <f t="shared" si="40"/>
        <v>0</v>
      </c>
      <c r="DB14" s="7">
        <f t="shared" si="41"/>
        <v>0</v>
      </c>
      <c r="DC14" s="7">
        <f t="shared" si="42"/>
        <v>0</v>
      </c>
      <c r="DD14" s="7">
        <f t="shared" si="43"/>
        <v>0</v>
      </c>
      <c r="DE14" s="7">
        <f t="shared" si="44"/>
        <v>0</v>
      </c>
      <c r="DF14" s="7">
        <f t="shared" si="45"/>
        <v>0</v>
      </c>
      <c r="DG14" s="7">
        <f t="shared" si="46"/>
        <v>0</v>
      </c>
      <c r="DH14" s="7">
        <f t="shared" si="47"/>
        <v>0</v>
      </c>
      <c r="DI14" s="7">
        <f t="shared" si="48"/>
        <v>0</v>
      </c>
      <c r="DJ14" s="7">
        <f t="shared" si="49"/>
        <v>0</v>
      </c>
      <c r="DK14" s="7">
        <f t="shared" si="50"/>
        <v>0</v>
      </c>
      <c r="DL14" s="7">
        <f t="shared" si="51"/>
        <v>0</v>
      </c>
      <c r="DM14" s="7">
        <f t="shared" si="52"/>
        <v>0</v>
      </c>
      <c r="DN14" s="7">
        <f t="shared" si="53"/>
        <v>0</v>
      </c>
      <c r="DO14" s="7">
        <f t="shared" si="54"/>
        <v>0</v>
      </c>
      <c r="DP14" s="7">
        <f t="shared" si="55"/>
        <v>0</v>
      </c>
      <c r="DQ14" s="7">
        <f t="shared" si="56"/>
        <v>0</v>
      </c>
      <c r="DR14" s="7">
        <f t="shared" si="57"/>
        <v>0</v>
      </c>
      <c r="DS14" s="7">
        <f t="shared" si="58"/>
        <v>0</v>
      </c>
      <c r="DT14" s="7">
        <f t="shared" si="59"/>
        <v>0</v>
      </c>
      <c r="DU14" s="7">
        <f t="shared" si="60"/>
        <v>0</v>
      </c>
    </row>
    <row r="15" spans="1:125" x14ac:dyDescent="0.2">
      <c r="A15" s="3">
        <f>Bonds!A15</f>
        <v>46326</v>
      </c>
      <c r="B15" s="4">
        <f>Bonds!B15</f>
        <v>4.125</v>
      </c>
      <c r="C15">
        <f>Bonds!P15</f>
        <v>1</v>
      </c>
      <c r="D15">
        <f t="shared" si="0"/>
        <v>1</v>
      </c>
      <c r="E15" s="3">
        <f>IF(1&gt;$C15,"",IF($D15=1,EOMONTH(EDATE(Bonds!$H15,6*(1-1)),0),EDATE(Bonds!$H15,6*(1-1))))</f>
        <v>46326</v>
      </c>
      <c r="F15" s="3" t="str">
        <f>IF(2&gt;$C15,"",IF($D15=1,EOMONTH(EDATE(Bonds!$H15,6*(2-1)),0),EDATE(Bonds!$H15,6*(2-1))))</f>
        <v/>
      </c>
      <c r="G15" s="3" t="str">
        <f>IF(3&gt;$C15,"",IF($D15=1,EOMONTH(EDATE(Bonds!$H15,6*(3-1)),0),EDATE(Bonds!$H15,6*(3-1))))</f>
        <v/>
      </c>
      <c r="H15" s="3" t="str">
        <f>IF(4&gt;$C15,"",IF($D15=1,EOMONTH(EDATE(Bonds!$H15,6*(4-1)),0),EDATE(Bonds!$H15,6*(4-1))))</f>
        <v/>
      </c>
      <c r="I15" s="3" t="str">
        <f>IF(5&gt;$C15,"",IF($D15=1,EOMONTH(EDATE(Bonds!$H15,6*(5-1)),0),EDATE(Bonds!$H15,6*(5-1))))</f>
        <v/>
      </c>
      <c r="J15" s="3" t="str">
        <f>IF(6&gt;$C15,"",IF($D15=1,EOMONTH(EDATE(Bonds!$H15,6*(6-1)),0),EDATE(Bonds!$H15,6*(6-1))))</f>
        <v/>
      </c>
      <c r="K15" s="3" t="str">
        <f>IF(7&gt;$C15,"",IF($D15=1,EOMONTH(EDATE(Bonds!$H15,6*(7-1)),0),EDATE(Bonds!$H15,6*(7-1))))</f>
        <v/>
      </c>
      <c r="L15" s="3" t="str">
        <f>IF(8&gt;$C15,"",IF($D15=1,EOMONTH(EDATE(Bonds!$H15,6*(8-1)),0),EDATE(Bonds!$H15,6*(8-1))))</f>
        <v/>
      </c>
      <c r="M15" s="3" t="str">
        <f>IF(9&gt;$C15,"",IF($D15=1,EOMONTH(EDATE(Bonds!$H15,6*(9-1)),0),EDATE(Bonds!$H15,6*(9-1))))</f>
        <v/>
      </c>
      <c r="N15" s="3" t="str">
        <f>IF(10&gt;$C15,"",IF($D15=1,EOMONTH(EDATE(Bonds!$H15,6*(10-1)),0),EDATE(Bonds!$H15,6*(10-1))))</f>
        <v/>
      </c>
      <c r="O15" s="3" t="str">
        <f>IF(11&gt;$C15,"",IF($D15=1,EOMONTH(EDATE(Bonds!$H15,6*(11-1)),0),EDATE(Bonds!$H15,6*(11-1))))</f>
        <v/>
      </c>
      <c r="P15" s="3" t="str">
        <f>IF(12&gt;$C15,"",IF($D15=1,EOMONTH(EDATE(Bonds!$H15,6*(12-1)),0),EDATE(Bonds!$H15,6*(12-1))))</f>
        <v/>
      </c>
      <c r="Q15" s="3" t="str">
        <f>IF(13&gt;$C15,"",IF($D15=1,EOMONTH(EDATE(Bonds!$H15,6*(13-1)),0),EDATE(Bonds!$H15,6*(13-1))))</f>
        <v/>
      </c>
      <c r="R15" s="3" t="str">
        <f>IF(14&gt;$C15,"",IF($D15=1,EOMONTH(EDATE(Bonds!$H15,6*(14-1)),0),EDATE(Bonds!$H15,6*(14-1))))</f>
        <v/>
      </c>
      <c r="S15" s="3" t="str">
        <f>IF(15&gt;$C15,"",IF($D15=1,EOMONTH(EDATE(Bonds!$H15,6*(15-1)),0),EDATE(Bonds!$H15,6*(15-1))))</f>
        <v/>
      </c>
      <c r="T15" s="3" t="str">
        <f>IF(16&gt;$C15,"",IF($D15=1,EOMONTH(EDATE(Bonds!$H15,6*(16-1)),0),EDATE(Bonds!$H15,6*(16-1))))</f>
        <v/>
      </c>
      <c r="U15" s="3" t="str">
        <f>IF(17&gt;$C15,"",IF($D15=1,EOMONTH(EDATE(Bonds!$H15,6*(17-1)),0),EDATE(Bonds!$H15,6*(17-1))))</f>
        <v/>
      </c>
      <c r="V15" s="3" t="str">
        <f>IF(18&gt;$C15,"",IF($D15=1,EOMONTH(EDATE(Bonds!$H15,6*(18-1)),0),EDATE(Bonds!$H15,6*(18-1))))</f>
        <v/>
      </c>
      <c r="W15" s="3" t="str">
        <f>IF(19&gt;$C15,"",IF($D15=1,EOMONTH(EDATE(Bonds!$H15,6*(19-1)),0),EDATE(Bonds!$H15,6*(19-1))))</f>
        <v/>
      </c>
      <c r="X15" s="3" t="str">
        <f>IF(20&gt;$C15,"",IF($D15=1,EOMONTH(EDATE(Bonds!$H15,6*(20-1)),0),EDATE(Bonds!$H15,6*(20-1))))</f>
        <v/>
      </c>
      <c r="Y15" s="3" t="str">
        <f>IF(21&gt;$C15,"",IF($D15=1,EOMONTH(EDATE(Bonds!$H15,6*(21-1)),0),EDATE(Bonds!$H15,6*(21-1))))</f>
        <v/>
      </c>
      <c r="Z15" s="3" t="str">
        <f>IF(22&gt;$C15,"",IF($D15=1,EOMONTH(EDATE(Bonds!$H15,6*(22-1)),0),EDATE(Bonds!$H15,6*(22-1))))</f>
        <v/>
      </c>
      <c r="AA15" s="3" t="str">
        <f>IF(23&gt;$C15,"",IF($D15=1,EOMONTH(EDATE(Bonds!$H15,6*(23-1)),0),EDATE(Bonds!$H15,6*(23-1))))</f>
        <v/>
      </c>
      <c r="AB15" s="3" t="str">
        <f>IF(24&gt;$C15,"",IF($D15=1,EOMONTH(EDATE(Bonds!$H15,6*(24-1)),0),EDATE(Bonds!$H15,6*(24-1))))</f>
        <v/>
      </c>
      <c r="AC15" s="3" t="str">
        <f>IF(25&gt;$C15,"",IF($D15=1,EOMONTH(EDATE(Bonds!$H15,6*(25-1)),0),EDATE(Bonds!$H15,6*(25-1))))</f>
        <v/>
      </c>
      <c r="AD15" s="3" t="str">
        <f>IF(26&gt;$C15,"",IF($D15=1,EOMONTH(EDATE(Bonds!$H15,6*(26-1)),0),EDATE(Bonds!$H15,6*(26-1))))</f>
        <v/>
      </c>
      <c r="AE15" s="3" t="str">
        <f>IF(27&gt;$C15,"",IF($D15=1,EOMONTH(EDATE(Bonds!$H15,6*(27-1)),0),EDATE(Bonds!$H15,6*(27-1))))</f>
        <v/>
      </c>
      <c r="AF15" s="3" t="str">
        <f>IF(28&gt;$C15,"",IF($D15=1,EOMONTH(EDATE(Bonds!$H15,6*(28-1)),0),EDATE(Bonds!$H15,6*(28-1))))</f>
        <v/>
      </c>
      <c r="AG15" s="3" t="str">
        <f>IF(29&gt;$C15,"",IF($D15=1,EOMONTH(EDATE(Bonds!$H15,6*(29-1)),0),EDATE(Bonds!$H15,6*(29-1))))</f>
        <v/>
      </c>
      <c r="AH15" s="3" t="str">
        <f>IF(30&gt;$C15,"",IF($D15=1,EOMONTH(EDATE(Bonds!$H15,6*(30-1)),0),EDATE(Bonds!$H15,6*(30-1))))</f>
        <v/>
      </c>
      <c r="AI15" s="3" t="str">
        <f>IF(31&gt;$C15,"",IF($D15=1,EOMONTH(EDATE(Bonds!$H15,6*(31-1)),0),EDATE(Bonds!$H15,6*(31-1))))</f>
        <v/>
      </c>
      <c r="AJ15" s="3" t="str">
        <f>IF(32&gt;$C15,"",IF($D15=1,EOMONTH(EDATE(Bonds!$H15,6*(32-1)),0),EDATE(Bonds!$H15,6*(32-1))))</f>
        <v/>
      </c>
      <c r="AK15" s="3" t="str">
        <f>IF(33&gt;$C15,"",IF($D15=1,EOMONTH(EDATE(Bonds!$H15,6*(33-1)),0),EDATE(Bonds!$H15,6*(33-1))))</f>
        <v/>
      </c>
      <c r="AL15" s="3" t="str">
        <f>IF(34&gt;$C15,"",IF($D15=1,EOMONTH(EDATE(Bonds!$H15,6*(34-1)),0),EDATE(Bonds!$H15,6*(34-1))))</f>
        <v/>
      </c>
      <c r="AM15" s="3" t="str">
        <f>IF(35&gt;$C15,"",IF($D15=1,EOMONTH(EDATE(Bonds!$H15,6*(35-1)),0),EDATE(Bonds!$H15,6*(35-1))))</f>
        <v/>
      </c>
      <c r="AN15" s="3" t="str">
        <f>IF(36&gt;$C15,"",IF($D15=1,EOMONTH(EDATE(Bonds!$H15,6*(36-1)),0),EDATE(Bonds!$H15,6*(36-1))))</f>
        <v/>
      </c>
      <c r="AO15" s="3" t="str">
        <f>IF(37&gt;$C15,"",IF($D15=1,EOMONTH(EDATE(Bonds!$H15,6*(37-1)),0),EDATE(Bonds!$H15,6*(37-1))))</f>
        <v/>
      </c>
      <c r="AP15" s="3" t="str">
        <f>IF(38&gt;$C15,"",IF($D15=1,EOMONTH(EDATE(Bonds!$H15,6*(38-1)),0),EDATE(Bonds!$H15,6*(38-1))))</f>
        <v/>
      </c>
      <c r="AQ15" s="3" t="str">
        <f>IF(39&gt;$C15,"",IF($D15=1,EOMONTH(EDATE(Bonds!$H15,6*(39-1)),0),EDATE(Bonds!$H15,6*(39-1))))</f>
        <v/>
      </c>
      <c r="AR15" s="3" t="str">
        <f>IF(40&gt;$C15,"",IF($D15=1,EOMONTH(EDATE(Bonds!$H15,6*(40-1)),0),EDATE(Bonds!$H15,6*(40-1))))</f>
        <v/>
      </c>
      <c r="AS15" s="3" t="str">
        <f>IF(41&gt;$C15,"",IF($D15=1,EOMONTH(EDATE(Bonds!$H15,6*(41-1)),0),EDATE(Bonds!$H15,6*(41-1))))</f>
        <v/>
      </c>
      <c r="AT15" s="3" t="str">
        <f>IF(42&gt;$C15,"",IF($D15=1,EOMONTH(EDATE(Bonds!$H15,6*(42-1)),0),EDATE(Bonds!$H15,6*(42-1))))</f>
        <v/>
      </c>
      <c r="AU15" s="3" t="str">
        <f>IF(43&gt;$C15,"",IF($D15=1,EOMONTH(EDATE(Bonds!$H15,6*(43-1)),0),EDATE(Bonds!$H15,6*(43-1))))</f>
        <v/>
      </c>
      <c r="AV15" s="3" t="str">
        <f>IF(44&gt;$C15,"",IF($D15=1,EOMONTH(EDATE(Bonds!$H15,6*(44-1)),0),EDATE(Bonds!$H15,6*(44-1))))</f>
        <v/>
      </c>
      <c r="AW15" s="3" t="str">
        <f>IF(45&gt;$C15,"",IF($D15=1,EOMONTH(EDATE(Bonds!$H15,6*(45-1)),0),EDATE(Bonds!$H15,6*(45-1))))</f>
        <v/>
      </c>
      <c r="AX15" s="3" t="str">
        <f>IF(46&gt;$C15,"",IF($D15=1,EOMONTH(EDATE(Bonds!$H15,6*(46-1)),0),EDATE(Bonds!$H15,6*(46-1))))</f>
        <v/>
      </c>
      <c r="AY15" s="3" t="str">
        <f>IF(47&gt;$C15,"",IF($D15=1,EOMONTH(EDATE(Bonds!$H15,6*(47-1)),0),EDATE(Bonds!$H15,6*(47-1))))</f>
        <v/>
      </c>
      <c r="AZ15" s="3" t="str">
        <f>IF(48&gt;$C15,"",IF($D15=1,EOMONTH(EDATE(Bonds!$H15,6*(48-1)),0),EDATE(Bonds!$H15,6*(48-1))))</f>
        <v/>
      </c>
      <c r="BA15" s="3" t="str">
        <f>IF(49&gt;$C15,"",IF($D15=1,EOMONTH(EDATE(Bonds!$H15,6*(49-1)),0),EDATE(Bonds!$H15,6*(49-1))))</f>
        <v/>
      </c>
      <c r="BB15" s="3" t="str">
        <f>IF(50&gt;$C15,"",IF($D15=1,EOMONTH(EDATE(Bonds!$H15,6*(50-1)),0),EDATE(Bonds!$H15,6*(50-1))))</f>
        <v/>
      </c>
      <c r="BC15" s="3" t="str">
        <f>IF(51&gt;$C15,"",IF($D15=1,EOMONTH(EDATE(Bonds!$H15,6*(51-1)),0),EDATE(Bonds!$H15,6*(51-1))))</f>
        <v/>
      </c>
      <c r="BD15" s="3" t="str">
        <f>IF(52&gt;$C15,"",IF($D15=1,EOMONTH(EDATE(Bonds!$H15,6*(52-1)),0),EDATE(Bonds!$H15,6*(52-1))))</f>
        <v/>
      </c>
      <c r="BE15" s="3" t="str">
        <f>IF(53&gt;$C15,"",IF($D15=1,EOMONTH(EDATE(Bonds!$H15,6*(53-1)),0),EDATE(Bonds!$H15,6*(53-1))))</f>
        <v/>
      </c>
      <c r="BF15" s="3" t="str">
        <f>IF(54&gt;$C15,"",IF($D15=1,EOMONTH(EDATE(Bonds!$H15,6*(54-1)),0),EDATE(Bonds!$H15,6*(54-1))))</f>
        <v/>
      </c>
      <c r="BG15" s="3" t="str">
        <f>IF(55&gt;$C15,"",IF($D15=1,EOMONTH(EDATE(Bonds!$H15,6*(55-1)),0),EDATE(Bonds!$H15,6*(55-1))))</f>
        <v/>
      </c>
      <c r="BH15" s="3" t="str">
        <f>IF(56&gt;$C15,"",IF($D15=1,EOMONTH(EDATE(Bonds!$H15,6*(56-1)),0),EDATE(Bonds!$H15,6*(56-1))))</f>
        <v/>
      </c>
      <c r="BI15" s="3" t="str">
        <f>IF(57&gt;$C15,"",IF($D15=1,EOMONTH(EDATE(Bonds!$H15,6*(57-1)),0),EDATE(Bonds!$H15,6*(57-1))))</f>
        <v/>
      </c>
      <c r="BJ15" s="3" t="str">
        <f>IF(58&gt;$C15,"",IF($D15=1,EOMONTH(EDATE(Bonds!$H15,6*(58-1)),0),EDATE(Bonds!$H15,6*(58-1))))</f>
        <v/>
      </c>
      <c r="BK15" s="3" t="str">
        <f>IF(59&gt;$C15,"",IF($D15=1,EOMONTH(EDATE(Bonds!$H15,6*(59-1)),0),EDATE(Bonds!$H15,6*(59-1))))</f>
        <v/>
      </c>
      <c r="BL15" s="3" t="str">
        <f>IF(60&gt;$C15,"",IF($D15=1,EOMONTH(EDATE(Bonds!$H15,6*(60-1)),0),EDATE(Bonds!$H15,6*(60-1))))</f>
        <v/>
      </c>
      <c r="BN15" s="7">
        <f t="shared" si="1"/>
        <v>101.51121449550149</v>
      </c>
      <c r="BO15" s="7">
        <f t="shared" si="2"/>
        <v>0</v>
      </c>
      <c r="BP15" s="7">
        <f t="shared" si="3"/>
        <v>0</v>
      </c>
      <c r="BQ15" s="7">
        <f t="shared" si="4"/>
        <v>0</v>
      </c>
      <c r="BR15" s="7">
        <f t="shared" si="5"/>
        <v>0</v>
      </c>
      <c r="BS15" s="7">
        <f t="shared" si="6"/>
        <v>0</v>
      </c>
      <c r="BT15" s="7">
        <f t="shared" si="7"/>
        <v>0</v>
      </c>
      <c r="BU15" s="7">
        <f t="shared" si="8"/>
        <v>0</v>
      </c>
      <c r="BV15" s="7">
        <f t="shared" si="9"/>
        <v>0</v>
      </c>
      <c r="BW15" s="7">
        <f t="shared" si="10"/>
        <v>0</v>
      </c>
      <c r="BX15" s="7">
        <f t="shared" si="11"/>
        <v>0</v>
      </c>
      <c r="BY15" s="7">
        <f t="shared" si="12"/>
        <v>0</v>
      </c>
      <c r="BZ15" s="7">
        <f t="shared" si="13"/>
        <v>0</v>
      </c>
      <c r="CA15" s="7">
        <f t="shared" si="14"/>
        <v>0</v>
      </c>
      <c r="CB15" s="7">
        <f t="shared" si="15"/>
        <v>0</v>
      </c>
      <c r="CC15" s="7">
        <f t="shared" si="16"/>
        <v>0</v>
      </c>
      <c r="CD15" s="7">
        <f t="shared" si="17"/>
        <v>0</v>
      </c>
      <c r="CE15" s="7">
        <f t="shared" si="18"/>
        <v>0</v>
      </c>
      <c r="CF15" s="7">
        <f t="shared" si="19"/>
        <v>0</v>
      </c>
      <c r="CG15" s="7">
        <f t="shared" si="20"/>
        <v>0</v>
      </c>
      <c r="CH15" s="7">
        <f t="shared" si="21"/>
        <v>0</v>
      </c>
      <c r="CI15" s="7">
        <f t="shared" si="22"/>
        <v>0</v>
      </c>
      <c r="CJ15" s="7">
        <f t="shared" si="23"/>
        <v>0</v>
      </c>
      <c r="CK15" s="7">
        <f t="shared" si="24"/>
        <v>0</v>
      </c>
      <c r="CL15" s="7">
        <f t="shared" si="25"/>
        <v>0</v>
      </c>
      <c r="CM15" s="7">
        <f t="shared" si="26"/>
        <v>0</v>
      </c>
      <c r="CN15" s="7">
        <f t="shared" si="27"/>
        <v>0</v>
      </c>
      <c r="CO15" s="7">
        <f t="shared" si="28"/>
        <v>0</v>
      </c>
      <c r="CP15" s="7">
        <f t="shared" si="29"/>
        <v>0</v>
      </c>
      <c r="CQ15" s="7">
        <f t="shared" si="30"/>
        <v>0</v>
      </c>
      <c r="CR15" s="7">
        <f t="shared" si="31"/>
        <v>0</v>
      </c>
      <c r="CS15" s="7">
        <f t="shared" si="32"/>
        <v>0</v>
      </c>
      <c r="CT15" s="7">
        <f t="shared" si="33"/>
        <v>0</v>
      </c>
      <c r="CU15" s="7">
        <f t="shared" si="34"/>
        <v>0</v>
      </c>
      <c r="CV15" s="7">
        <f t="shared" si="35"/>
        <v>0</v>
      </c>
      <c r="CW15" s="7">
        <f t="shared" si="36"/>
        <v>0</v>
      </c>
      <c r="CX15" s="7">
        <f t="shared" si="37"/>
        <v>0</v>
      </c>
      <c r="CY15" s="7">
        <f t="shared" si="38"/>
        <v>0</v>
      </c>
      <c r="CZ15" s="7">
        <f t="shared" si="39"/>
        <v>0</v>
      </c>
      <c r="DA15" s="7">
        <f t="shared" si="40"/>
        <v>0</v>
      </c>
      <c r="DB15" s="7">
        <f t="shared" si="41"/>
        <v>0</v>
      </c>
      <c r="DC15" s="7">
        <f t="shared" si="42"/>
        <v>0</v>
      </c>
      <c r="DD15" s="7">
        <f t="shared" si="43"/>
        <v>0</v>
      </c>
      <c r="DE15" s="7">
        <f t="shared" si="44"/>
        <v>0</v>
      </c>
      <c r="DF15" s="7">
        <f t="shared" si="45"/>
        <v>0</v>
      </c>
      <c r="DG15" s="7">
        <f t="shared" si="46"/>
        <v>0</v>
      </c>
      <c r="DH15" s="7">
        <f t="shared" si="47"/>
        <v>0</v>
      </c>
      <c r="DI15" s="7">
        <f t="shared" si="48"/>
        <v>0</v>
      </c>
      <c r="DJ15" s="7">
        <f t="shared" si="49"/>
        <v>0</v>
      </c>
      <c r="DK15" s="7">
        <f t="shared" si="50"/>
        <v>0</v>
      </c>
      <c r="DL15" s="7">
        <f t="shared" si="51"/>
        <v>0</v>
      </c>
      <c r="DM15" s="7">
        <f t="shared" si="52"/>
        <v>0</v>
      </c>
      <c r="DN15" s="7">
        <f t="shared" si="53"/>
        <v>0</v>
      </c>
      <c r="DO15" s="7">
        <f t="shared" si="54"/>
        <v>0</v>
      </c>
      <c r="DP15" s="7">
        <f t="shared" si="55"/>
        <v>0</v>
      </c>
      <c r="DQ15" s="7">
        <f t="shared" si="56"/>
        <v>0</v>
      </c>
      <c r="DR15" s="7">
        <f t="shared" si="57"/>
        <v>0</v>
      </c>
      <c r="DS15" s="7">
        <f t="shared" si="58"/>
        <v>0</v>
      </c>
      <c r="DT15" s="7">
        <f t="shared" si="59"/>
        <v>0</v>
      </c>
      <c r="DU15" s="7">
        <f t="shared" si="60"/>
        <v>0</v>
      </c>
    </row>
    <row r="16" spans="1:125" x14ac:dyDescent="0.2">
      <c r="A16" s="3">
        <f>Bonds!A16</f>
        <v>46341</v>
      </c>
      <c r="B16" s="4">
        <f>Bonds!B16</f>
        <v>2</v>
      </c>
      <c r="C16">
        <f>Bonds!P16</f>
        <v>1</v>
      </c>
      <c r="D16">
        <f t="shared" si="0"/>
        <v>0</v>
      </c>
      <c r="E16" s="3">
        <f>IF(1&gt;$C16,"",IF($D16=1,EOMONTH(EDATE(Bonds!$H16,6*(1-1)),0),EDATE(Bonds!$H16,6*(1-1))))</f>
        <v>46341</v>
      </c>
      <c r="F16" s="3" t="str">
        <f>IF(2&gt;$C16,"",IF($D16=1,EOMONTH(EDATE(Bonds!$H16,6*(2-1)),0),EDATE(Bonds!$H16,6*(2-1))))</f>
        <v/>
      </c>
      <c r="G16" s="3" t="str">
        <f>IF(3&gt;$C16,"",IF($D16=1,EOMONTH(EDATE(Bonds!$H16,6*(3-1)),0),EDATE(Bonds!$H16,6*(3-1))))</f>
        <v/>
      </c>
      <c r="H16" s="3" t="str">
        <f>IF(4&gt;$C16,"",IF($D16=1,EOMONTH(EDATE(Bonds!$H16,6*(4-1)),0),EDATE(Bonds!$H16,6*(4-1))))</f>
        <v/>
      </c>
      <c r="I16" s="3" t="str">
        <f>IF(5&gt;$C16,"",IF($D16=1,EOMONTH(EDATE(Bonds!$H16,6*(5-1)),0),EDATE(Bonds!$H16,6*(5-1))))</f>
        <v/>
      </c>
      <c r="J16" s="3" t="str">
        <f>IF(6&gt;$C16,"",IF($D16=1,EOMONTH(EDATE(Bonds!$H16,6*(6-1)),0),EDATE(Bonds!$H16,6*(6-1))))</f>
        <v/>
      </c>
      <c r="K16" s="3" t="str">
        <f>IF(7&gt;$C16,"",IF($D16=1,EOMONTH(EDATE(Bonds!$H16,6*(7-1)),0),EDATE(Bonds!$H16,6*(7-1))))</f>
        <v/>
      </c>
      <c r="L16" s="3" t="str">
        <f>IF(8&gt;$C16,"",IF($D16=1,EOMONTH(EDATE(Bonds!$H16,6*(8-1)),0),EDATE(Bonds!$H16,6*(8-1))))</f>
        <v/>
      </c>
      <c r="M16" s="3" t="str">
        <f>IF(9&gt;$C16,"",IF($D16=1,EOMONTH(EDATE(Bonds!$H16,6*(9-1)),0),EDATE(Bonds!$H16,6*(9-1))))</f>
        <v/>
      </c>
      <c r="N16" s="3" t="str">
        <f>IF(10&gt;$C16,"",IF($D16=1,EOMONTH(EDATE(Bonds!$H16,6*(10-1)),0),EDATE(Bonds!$H16,6*(10-1))))</f>
        <v/>
      </c>
      <c r="O16" s="3" t="str">
        <f>IF(11&gt;$C16,"",IF($D16=1,EOMONTH(EDATE(Bonds!$H16,6*(11-1)),0),EDATE(Bonds!$H16,6*(11-1))))</f>
        <v/>
      </c>
      <c r="P16" s="3" t="str">
        <f>IF(12&gt;$C16,"",IF($D16=1,EOMONTH(EDATE(Bonds!$H16,6*(12-1)),0),EDATE(Bonds!$H16,6*(12-1))))</f>
        <v/>
      </c>
      <c r="Q16" s="3" t="str">
        <f>IF(13&gt;$C16,"",IF($D16=1,EOMONTH(EDATE(Bonds!$H16,6*(13-1)),0),EDATE(Bonds!$H16,6*(13-1))))</f>
        <v/>
      </c>
      <c r="R16" s="3" t="str">
        <f>IF(14&gt;$C16,"",IF($D16=1,EOMONTH(EDATE(Bonds!$H16,6*(14-1)),0),EDATE(Bonds!$H16,6*(14-1))))</f>
        <v/>
      </c>
      <c r="S16" s="3" t="str">
        <f>IF(15&gt;$C16,"",IF($D16=1,EOMONTH(EDATE(Bonds!$H16,6*(15-1)),0),EDATE(Bonds!$H16,6*(15-1))))</f>
        <v/>
      </c>
      <c r="T16" s="3" t="str">
        <f>IF(16&gt;$C16,"",IF($D16=1,EOMONTH(EDATE(Bonds!$H16,6*(16-1)),0),EDATE(Bonds!$H16,6*(16-1))))</f>
        <v/>
      </c>
      <c r="U16" s="3" t="str">
        <f>IF(17&gt;$C16,"",IF($D16=1,EOMONTH(EDATE(Bonds!$H16,6*(17-1)),0),EDATE(Bonds!$H16,6*(17-1))))</f>
        <v/>
      </c>
      <c r="V16" s="3" t="str">
        <f>IF(18&gt;$C16,"",IF($D16=1,EOMONTH(EDATE(Bonds!$H16,6*(18-1)),0),EDATE(Bonds!$H16,6*(18-1))))</f>
        <v/>
      </c>
      <c r="W16" s="3" t="str">
        <f>IF(19&gt;$C16,"",IF($D16=1,EOMONTH(EDATE(Bonds!$H16,6*(19-1)),0),EDATE(Bonds!$H16,6*(19-1))))</f>
        <v/>
      </c>
      <c r="X16" s="3" t="str">
        <f>IF(20&gt;$C16,"",IF($D16=1,EOMONTH(EDATE(Bonds!$H16,6*(20-1)),0),EDATE(Bonds!$H16,6*(20-1))))</f>
        <v/>
      </c>
      <c r="Y16" s="3" t="str">
        <f>IF(21&gt;$C16,"",IF($D16=1,EOMONTH(EDATE(Bonds!$H16,6*(21-1)),0),EDATE(Bonds!$H16,6*(21-1))))</f>
        <v/>
      </c>
      <c r="Z16" s="3" t="str">
        <f>IF(22&gt;$C16,"",IF($D16=1,EOMONTH(EDATE(Bonds!$H16,6*(22-1)),0),EDATE(Bonds!$H16,6*(22-1))))</f>
        <v/>
      </c>
      <c r="AA16" s="3" t="str">
        <f>IF(23&gt;$C16,"",IF($D16=1,EOMONTH(EDATE(Bonds!$H16,6*(23-1)),0),EDATE(Bonds!$H16,6*(23-1))))</f>
        <v/>
      </c>
      <c r="AB16" s="3" t="str">
        <f>IF(24&gt;$C16,"",IF($D16=1,EOMONTH(EDATE(Bonds!$H16,6*(24-1)),0),EDATE(Bonds!$H16,6*(24-1))))</f>
        <v/>
      </c>
      <c r="AC16" s="3" t="str">
        <f>IF(25&gt;$C16,"",IF($D16=1,EOMONTH(EDATE(Bonds!$H16,6*(25-1)),0),EDATE(Bonds!$H16,6*(25-1))))</f>
        <v/>
      </c>
      <c r="AD16" s="3" t="str">
        <f>IF(26&gt;$C16,"",IF($D16=1,EOMONTH(EDATE(Bonds!$H16,6*(26-1)),0),EDATE(Bonds!$H16,6*(26-1))))</f>
        <v/>
      </c>
      <c r="AE16" s="3" t="str">
        <f>IF(27&gt;$C16,"",IF($D16=1,EOMONTH(EDATE(Bonds!$H16,6*(27-1)),0),EDATE(Bonds!$H16,6*(27-1))))</f>
        <v/>
      </c>
      <c r="AF16" s="3" t="str">
        <f>IF(28&gt;$C16,"",IF($D16=1,EOMONTH(EDATE(Bonds!$H16,6*(28-1)),0),EDATE(Bonds!$H16,6*(28-1))))</f>
        <v/>
      </c>
      <c r="AG16" s="3" t="str">
        <f>IF(29&gt;$C16,"",IF($D16=1,EOMONTH(EDATE(Bonds!$H16,6*(29-1)),0),EDATE(Bonds!$H16,6*(29-1))))</f>
        <v/>
      </c>
      <c r="AH16" s="3" t="str">
        <f>IF(30&gt;$C16,"",IF($D16=1,EOMONTH(EDATE(Bonds!$H16,6*(30-1)),0),EDATE(Bonds!$H16,6*(30-1))))</f>
        <v/>
      </c>
      <c r="AI16" s="3" t="str">
        <f>IF(31&gt;$C16,"",IF($D16=1,EOMONTH(EDATE(Bonds!$H16,6*(31-1)),0),EDATE(Bonds!$H16,6*(31-1))))</f>
        <v/>
      </c>
      <c r="AJ16" s="3" t="str">
        <f>IF(32&gt;$C16,"",IF($D16=1,EOMONTH(EDATE(Bonds!$H16,6*(32-1)),0),EDATE(Bonds!$H16,6*(32-1))))</f>
        <v/>
      </c>
      <c r="AK16" s="3" t="str">
        <f>IF(33&gt;$C16,"",IF($D16=1,EOMONTH(EDATE(Bonds!$H16,6*(33-1)),0),EDATE(Bonds!$H16,6*(33-1))))</f>
        <v/>
      </c>
      <c r="AL16" s="3" t="str">
        <f>IF(34&gt;$C16,"",IF($D16=1,EOMONTH(EDATE(Bonds!$H16,6*(34-1)),0),EDATE(Bonds!$H16,6*(34-1))))</f>
        <v/>
      </c>
      <c r="AM16" s="3" t="str">
        <f>IF(35&gt;$C16,"",IF($D16=1,EOMONTH(EDATE(Bonds!$H16,6*(35-1)),0),EDATE(Bonds!$H16,6*(35-1))))</f>
        <v/>
      </c>
      <c r="AN16" s="3" t="str">
        <f>IF(36&gt;$C16,"",IF($D16=1,EOMONTH(EDATE(Bonds!$H16,6*(36-1)),0),EDATE(Bonds!$H16,6*(36-1))))</f>
        <v/>
      </c>
      <c r="AO16" s="3" t="str">
        <f>IF(37&gt;$C16,"",IF($D16=1,EOMONTH(EDATE(Bonds!$H16,6*(37-1)),0),EDATE(Bonds!$H16,6*(37-1))))</f>
        <v/>
      </c>
      <c r="AP16" s="3" t="str">
        <f>IF(38&gt;$C16,"",IF($D16=1,EOMONTH(EDATE(Bonds!$H16,6*(38-1)),0),EDATE(Bonds!$H16,6*(38-1))))</f>
        <v/>
      </c>
      <c r="AQ16" s="3" t="str">
        <f>IF(39&gt;$C16,"",IF($D16=1,EOMONTH(EDATE(Bonds!$H16,6*(39-1)),0),EDATE(Bonds!$H16,6*(39-1))))</f>
        <v/>
      </c>
      <c r="AR16" s="3" t="str">
        <f>IF(40&gt;$C16,"",IF($D16=1,EOMONTH(EDATE(Bonds!$H16,6*(40-1)),0),EDATE(Bonds!$H16,6*(40-1))))</f>
        <v/>
      </c>
      <c r="AS16" s="3" t="str">
        <f>IF(41&gt;$C16,"",IF($D16=1,EOMONTH(EDATE(Bonds!$H16,6*(41-1)),0),EDATE(Bonds!$H16,6*(41-1))))</f>
        <v/>
      </c>
      <c r="AT16" s="3" t="str">
        <f>IF(42&gt;$C16,"",IF($D16=1,EOMONTH(EDATE(Bonds!$H16,6*(42-1)),0),EDATE(Bonds!$H16,6*(42-1))))</f>
        <v/>
      </c>
      <c r="AU16" s="3" t="str">
        <f>IF(43&gt;$C16,"",IF($D16=1,EOMONTH(EDATE(Bonds!$H16,6*(43-1)),0),EDATE(Bonds!$H16,6*(43-1))))</f>
        <v/>
      </c>
      <c r="AV16" s="3" t="str">
        <f>IF(44&gt;$C16,"",IF($D16=1,EOMONTH(EDATE(Bonds!$H16,6*(44-1)),0),EDATE(Bonds!$H16,6*(44-1))))</f>
        <v/>
      </c>
      <c r="AW16" s="3" t="str">
        <f>IF(45&gt;$C16,"",IF($D16=1,EOMONTH(EDATE(Bonds!$H16,6*(45-1)),0),EDATE(Bonds!$H16,6*(45-1))))</f>
        <v/>
      </c>
      <c r="AX16" s="3" t="str">
        <f>IF(46&gt;$C16,"",IF($D16=1,EOMONTH(EDATE(Bonds!$H16,6*(46-1)),0),EDATE(Bonds!$H16,6*(46-1))))</f>
        <v/>
      </c>
      <c r="AY16" s="3" t="str">
        <f>IF(47&gt;$C16,"",IF($D16=1,EOMONTH(EDATE(Bonds!$H16,6*(47-1)),0),EDATE(Bonds!$H16,6*(47-1))))</f>
        <v/>
      </c>
      <c r="AZ16" s="3" t="str">
        <f>IF(48&gt;$C16,"",IF($D16=1,EOMONTH(EDATE(Bonds!$H16,6*(48-1)),0),EDATE(Bonds!$H16,6*(48-1))))</f>
        <v/>
      </c>
      <c r="BA16" s="3" t="str">
        <f>IF(49&gt;$C16,"",IF($D16=1,EOMONTH(EDATE(Bonds!$H16,6*(49-1)),0),EDATE(Bonds!$H16,6*(49-1))))</f>
        <v/>
      </c>
      <c r="BB16" s="3" t="str">
        <f>IF(50&gt;$C16,"",IF($D16=1,EOMONTH(EDATE(Bonds!$H16,6*(50-1)),0),EDATE(Bonds!$H16,6*(50-1))))</f>
        <v/>
      </c>
      <c r="BC16" s="3" t="str">
        <f>IF(51&gt;$C16,"",IF($D16=1,EOMONTH(EDATE(Bonds!$H16,6*(51-1)),0),EDATE(Bonds!$H16,6*(51-1))))</f>
        <v/>
      </c>
      <c r="BD16" s="3" t="str">
        <f>IF(52&gt;$C16,"",IF($D16=1,EOMONTH(EDATE(Bonds!$H16,6*(52-1)),0),EDATE(Bonds!$H16,6*(52-1))))</f>
        <v/>
      </c>
      <c r="BE16" s="3" t="str">
        <f>IF(53&gt;$C16,"",IF($D16=1,EOMONTH(EDATE(Bonds!$H16,6*(53-1)),0),EDATE(Bonds!$H16,6*(53-1))))</f>
        <v/>
      </c>
      <c r="BF16" s="3" t="str">
        <f>IF(54&gt;$C16,"",IF($D16=1,EOMONTH(EDATE(Bonds!$H16,6*(54-1)),0),EDATE(Bonds!$H16,6*(54-1))))</f>
        <v/>
      </c>
      <c r="BG16" s="3" t="str">
        <f>IF(55&gt;$C16,"",IF($D16=1,EOMONTH(EDATE(Bonds!$H16,6*(55-1)),0),EDATE(Bonds!$H16,6*(55-1))))</f>
        <v/>
      </c>
      <c r="BH16" s="3" t="str">
        <f>IF(56&gt;$C16,"",IF($D16=1,EOMONTH(EDATE(Bonds!$H16,6*(56-1)),0),EDATE(Bonds!$H16,6*(56-1))))</f>
        <v/>
      </c>
      <c r="BI16" s="3" t="str">
        <f>IF(57&gt;$C16,"",IF($D16=1,EOMONTH(EDATE(Bonds!$H16,6*(57-1)),0),EDATE(Bonds!$H16,6*(57-1))))</f>
        <v/>
      </c>
      <c r="BJ16" s="3" t="str">
        <f>IF(58&gt;$C16,"",IF($D16=1,EOMONTH(EDATE(Bonds!$H16,6*(58-1)),0),EDATE(Bonds!$H16,6*(58-1))))</f>
        <v/>
      </c>
      <c r="BK16" s="3" t="str">
        <f>IF(59&gt;$C16,"",IF($D16=1,EOMONTH(EDATE(Bonds!$H16,6*(59-1)),0),EDATE(Bonds!$H16,6*(59-1))))</f>
        <v/>
      </c>
      <c r="BL16" s="3" t="str">
        <f>IF(60&gt;$C16,"",IF($D16=1,EOMONTH(EDATE(Bonds!$H16,6*(60-1)),0),EDATE(Bonds!$H16,6*(60-1))))</f>
        <v/>
      </c>
      <c r="BN16" s="7">
        <f t="shared" si="1"/>
        <v>100.29558384260189</v>
      </c>
      <c r="BO16" s="7">
        <f t="shared" si="2"/>
        <v>0</v>
      </c>
      <c r="BP16" s="7">
        <f t="shared" si="3"/>
        <v>0</v>
      </c>
      <c r="BQ16" s="7">
        <f t="shared" si="4"/>
        <v>0</v>
      </c>
      <c r="BR16" s="7">
        <f t="shared" si="5"/>
        <v>0</v>
      </c>
      <c r="BS16" s="7">
        <f t="shared" si="6"/>
        <v>0</v>
      </c>
      <c r="BT16" s="7">
        <f t="shared" si="7"/>
        <v>0</v>
      </c>
      <c r="BU16" s="7">
        <f t="shared" si="8"/>
        <v>0</v>
      </c>
      <c r="BV16" s="7">
        <f t="shared" si="9"/>
        <v>0</v>
      </c>
      <c r="BW16" s="7">
        <f t="shared" si="10"/>
        <v>0</v>
      </c>
      <c r="BX16" s="7">
        <f t="shared" si="11"/>
        <v>0</v>
      </c>
      <c r="BY16" s="7">
        <f t="shared" si="12"/>
        <v>0</v>
      </c>
      <c r="BZ16" s="7">
        <f t="shared" si="13"/>
        <v>0</v>
      </c>
      <c r="CA16" s="7">
        <f t="shared" si="14"/>
        <v>0</v>
      </c>
      <c r="CB16" s="7">
        <f t="shared" si="15"/>
        <v>0</v>
      </c>
      <c r="CC16" s="7">
        <f t="shared" si="16"/>
        <v>0</v>
      </c>
      <c r="CD16" s="7">
        <f t="shared" si="17"/>
        <v>0</v>
      </c>
      <c r="CE16" s="7">
        <f t="shared" si="18"/>
        <v>0</v>
      </c>
      <c r="CF16" s="7">
        <f t="shared" si="19"/>
        <v>0</v>
      </c>
      <c r="CG16" s="7">
        <f t="shared" si="20"/>
        <v>0</v>
      </c>
      <c r="CH16" s="7">
        <f t="shared" si="21"/>
        <v>0</v>
      </c>
      <c r="CI16" s="7">
        <f t="shared" si="22"/>
        <v>0</v>
      </c>
      <c r="CJ16" s="7">
        <f t="shared" si="23"/>
        <v>0</v>
      </c>
      <c r="CK16" s="7">
        <f t="shared" si="24"/>
        <v>0</v>
      </c>
      <c r="CL16" s="7">
        <f t="shared" si="25"/>
        <v>0</v>
      </c>
      <c r="CM16" s="7">
        <f t="shared" si="26"/>
        <v>0</v>
      </c>
      <c r="CN16" s="7">
        <f t="shared" si="27"/>
        <v>0</v>
      </c>
      <c r="CO16" s="7">
        <f t="shared" si="28"/>
        <v>0</v>
      </c>
      <c r="CP16" s="7">
        <f t="shared" si="29"/>
        <v>0</v>
      </c>
      <c r="CQ16" s="7">
        <f t="shared" si="30"/>
        <v>0</v>
      </c>
      <c r="CR16" s="7">
        <f t="shared" si="31"/>
        <v>0</v>
      </c>
      <c r="CS16" s="7">
        <f t="shared" si="32"/>
        <v>0</v>
      </c>
      <c r="CT16" s="7">
        <f t="shared" si="33"/>
        <v>0</v>
      </c>
      <c r="CU16" s="7">
        <f t="shared" si="34"/>
        <v>0</v>
      </c>
      <c r="CV16" s="7">
        <f t="shared" si="35"/>
        <v>0</v>
      </c>
      <c r="CW16" s="7">
        <f t="shared" si="36"/>
        <v>0</v>
      </c>
      <c r="CX16" s="7">
        <f t="shared" si="37"/>
        <v>0</v>
      </c>
      <c r="CY16" s="7">
        <f t="shared" si="38"/>
        <v>0</v>
      </c>
      <c r="CZ16" s="7">
        <f t="shared" si="39"/>
        <v>0</v>
      </c>
      <c r="DA16" s="7">
        <f t="shared" si="40"/>
        <v>0</v>
      </c>
      <c r="DB16" s="7">
        <f t="shared" si="41"/>
        <v>0</v>
      </c>
      <c r="DC16" s="7">
        <f t="shared" si="42"/>
        <v>0</v>
      </c>
      <c r="DD16" s="7">
        <f t="shared" si="43"/>
        <v>0</v>
      </c>
      <c r="DE16" s="7">
        <f t="shared" si="44"/>
        <v>0</v>
      </c>
      <c r="DF16" s="7">
        <f t="shared" si="45"/>
        <v>0</v>
      </c>
      <c r="DG16" s="7">
        <f t="shared" si="46"/>
        <v>0</v>
      </c>
      <c r="DH16" s="7">
        <f t="shared" si="47"/>
        <v>0</v>
      </c>
      <c r="DI16" s="7">
        <f t="shared" si="48"/>
        <v>0</v>
      </c>
      <c r="DJ16" s="7">
        <f t="shared" si="49"/>
        <v>0</v>
      </c>
      <c r="DK16" s="7">
        <f t="shared" si="50"/>
        <v>0</v>
      </c>
      <c r="DL16" s="7">
        <f t="shared" si="51"/>
        <v>0</v>
      </c>
      <c r="DM16" s="7">
        <f t="shared" si="52"/>
        <v>0</v>
      </c>
      <c r="DN16" s="7">
        <f t="shared" si="53"/>
        <v>0</v>
      </c>
      <c r="DO16" s="7">
        <f t="shared" si="54"/>
        <v>0</v>
      </c>
      <c r="DP16" s="7">
        <f t="shared" si="55"/>
        <v>0</v>
      </c>
      <c r="DQ16" s="7">
        <f t="shared" si="56"/>
        <v>0</v>
      </c>
      <c r="DR16" s="7">
        <f t="shared" si="57"/>
        <v>0</v>
      </c>
      <c r="DS16" s="7">
        <f t="shared" si="58"/>
        <v>0</v>
      </c>
      <c r="DT16" s="7">
        <f t="shared" si="59"/>
        <v>0</v>
      </c>
      <c r="DU16" s="7">
        <f t="shared" si="60"/>
        <v>0</v>
      </c>
    </row>
    <row r="17" spans="1:125" x14ac:dyDescent="0.2">
      <c r="A17" s="3">
        <f>Bonds!A17</f>
        <v>46341</v>
      </c>
      <c r="B17" s="4">
        <f>Bonds!B17</f>
        <v>4.625</v>
      </c>
      <c r="C17">
        <f>Bonds!P17</f>
        <v>1</v>
      </c>
      <c r="D17">
        <f t="shared" si="0"/>
        <v>0</v>
      </c>
      <c r="E17" s="3">
        <f>IF(1&gt;$C17,"",IF($D17=1,EOMONTH(EDATE(Bonds!$H17,6*(1-1)),0),EDATE(Bonds!$H17,6*(1-1))))</f>
        <v>46341</v>
      </c>
      <c r="F17" s="3" t="str">
        <f>IF(2&gt;$C17,"",IF($D17=1,EOMONTH(EDATE(Bonds!$H17,6*(2-1)),0),EDATE(Bonds!$H17,6*(2-1))))</f>
        <v/>
      </c>
      <c r="G17" s="3" t="str">
        <f>IF(3&gt;$C17,"",IF($D17=1,EOMONTH(EDATE(Bonds!$H17,6*(3-1)),0),EDATE(Bonds!$H17,6*(3-1))))</f>
        <v/>
      </c>
      <c r="H17" s="3" t="str">
        <f>IF(4&gt;$C17,"",IF($D17=1,EOMONTH(EDATE(Bonds!$H17,6*(4-1)),0),EDATE(Bonds!$H17,6*(4-1))))</f>
        <v/>
      </c>
      <c r="I17" s="3" t="str">
        <f>IF(5&gt;$C17,"",IF($D17=1,EOMONTH(EDATE(Bonds!$H17,6*(5-1)),0),EDATE(Bonds!$H17,6*(5-1))))</f>
        <v/>
      </c>
      <c r="J17" s="3" t="str">
        <f>IF(6&gt;$C17,"",IF($D17=1,EOMONTH(EDATE(Bonds!$H17,6*(6-1)),0),EDATE(Bonds!$H17,6*(6-1))))</f>
        <v/>
      </c>
      <c r="K17" s="3" t="str">
        <f>IF(7&gt;$C17,"",IF($D17=1,EOMONTH(EDATE(Bonds!$H17,6*(7-1)),0),EDATE(Bonds!$H17,6*(7-1))))</f>
        <v/>
      </c>
      <c r="L17" s="3" t="str">
        <f>IF(8&gt;$C17,"",IF($D17=1,EOMONTH(EDATE(Bonds!$H17,6*(8-1)),0),EDATE(Bonds!$H17,6*(8-1))))</f>
        <v/>
      </c>
      <c r="M17" s="3" t="str">
        <f>IF(9&gt;$C17,"",IF($D17=1,EOMONTH(EDATE(Bonds!$H17,6*(9-1)),0),EDATE(Bonds!$H17,6*(9-1))))</f>
        <v/>
      </c>
      <c r="N17" s="3" t="str">
        <f>IF(10&gt;$C17,"",IF($D17=1,EOMONTH(EDATE(Bonds!$H17,6*(10-1)),0),EDATE(Bonds!$H17,6*(10-1))))</f>
        <v/>
      </c>
      <c r="O17" s="3" t="str">
        <f>IF(11&gt;$C17,"",IF($D17=1,EOMONTH(EDATE(Bonds!$H17,6*(11-1)),0),EDATE(Bonds!$H17,6*(11-1))))</f>
        <v/>
      </c>
      <c r="P17" s="3" t="str">
        <f>IF(12&gt;$C17,"",IF($D17=1,EOMONTH(EDATE(Bonds!$H17,6*(12-1)),0),EDATE(Bonds!$H17,6*(12-1))))</f>
        <v/>
      </c>
      <c r="Q17" s="3" t="str">
        <f>IF(13&gt;$C17,"",IF($D17=1,EOMONTH(EDATE(Bonds!$H17,6*(13-1)),0),EDATE(Bonds!$H17,6*(13-1))))</f>
        <v/>
      </c>
      <c r="R17" s="3" t="str">
        <f>IF(14&gt;$C17,"",IF($D17=1,EOMONTH(EDATE(Bonds!$H17,6*(14-1)),0),EDATE(Bonds!$H17,6*(14-1))))</f>
        <v/>
      </c>
      <c r="S17" s="3" t="str">
        <f>IF(15&gt;$C17,"",IF($D17=1,EOMONTH(EDATE(Bonds!$H17,6*(15-1)),0),EDATE(Bonds!$H17,6*(15-1))))</f>
        <v/>
      </c>
      <c r="T17" s="3" t="str">
        <f>IF(16&gt;$C17,"",IF($D17=1,EOMONTH(EDATE(Bonds!$H17,6*(16-1)),0),EDATE(Bonds!$H17,6*(16-1))))</f>
        <v/>
      </c>
      <c r="U17" s="3" t="str">
        <f>IF(17&gt;$C17,"",IF($D17=1,EOMONTH(EDATE(Bonds!$H17,6*(17-1)),0),EDATE(Bonds!$H17,6*(17-1))))</f>
        <v/>
      </c>
      <c r="V17" s="3" t="str">
        <f>IF(18&gt;$C17,"",IF($D17=1,EOMONTH(EDATE(Bonds!$H17,6*(18-1)),0),EDATE(Bonds!$H17,6*(18-1))))</f>
        <v/>
      </c>
      <c r="W17" s="3" t="str">
        <f>IF(19&gt;$C17,"",IF($D17=1,EOMONTH(EDATE(Bonds!$H17,6*(19-1)),0),EDATE(Bonds!$H17,6*(19-1))))</f>
        <v/>
      </c>
      <c r="X17" s="3" t="str">
        <f>IF(20&gt;$C17,"",IF($D17=1,EOMONTH(EDATE(Bonds!$H17,6*(20-1)),0),EDATE(Bonds!$H17,6*(20-1))))</f>
        <v/>
      </c>
      <c r="Y17" s="3" t="str">
        <f>IF(21&gt;$C17,"",IF($D17=1,EOMONTH(EDATE(Bonds!$H17,6*(21-1)),0),EDATE(Bonds!$H17,6*(21-1))))</f>
        <v/>
      </c>
      <c r="Z17" s="3" t="str">
        <f>IF(22&gt;$C17,"",IF($D17=1,EOMONTH(EDATE(Bonds!$H17,6*(22-1)),0),EDATE(Bonds!$H17,6*(22-1))))</f>
        <v/>
      </c>
      <c r="AA17" s="3" t="str">
        <f>IF(23&gt;$C17,"",IF($D17=1,EOMONTH(EDATE(Bonds!$H17,6*(23-1)),0),EDATE(Bonds!$H17,6*(23-1))))</f>
        <v/>
      </c>
      <c r="AB17" s="3" t="str">
        <f>IF(24&gt;$C17,"",IF($D17=1,EOMONTH(EDATE(Bonds!$H17,6*(24-1)),0),EDATE(Bonds!$H17,6*(24-1))))</f>
        <v/>
      </c>
      <c r="AC17" s="3" t="str">
        <f>IF(25&gt;$C17,"",IF($D17=1,EOMONTH(EDATE(Bonds!$H17,6*(25-1)),0),EDATE(Bonds!$H17,6*(25-1))))</f>
        <v/>
      </c>
      <c r="AD17" s="3" t="str">
        <f>IF(26&gt;$C17,"",IF($D17=1,EOMONTH(EDATE(Bonds!$H17,6*(26-1)),0),EDATE(Bonds!$H17,6*(26-1))))</f>
        <v/>
      </c>
      <c r="AE17" s="3" t="str">
        <f>IF(27&gt;$C17,"",IF($D17=1,EOMONTH(EDATE(Bonds!$H17,6*(27-1)),0),EDATE(Bonds!$H17,6*(27-1))))</f>
        <v/>
      </c>
      <c r="AF17" s="3" t="str">
        <f>IF(28&gt;$C17,"",IF($D17=1,EOMONTH(EDATE(Bonds!$H17,6*(28-1)),0),EDATE(Bonds!$H17,6*(28-1))))</f>
        <v/>
      </c>
      <c r="AG17" s="3" t="str">
        <f>IF(29&gt;$C17,"",IF($D17=1,EOMONTH(EDATE(Bonds!$H17,6*(29-1)),0),EDATE(Bonds!$H17,6*(29-1))))</f>
        <v/>
      </c>
      <c r="AH17" s="3" t="str">
        <f>IF(30&gt;$C17,"",IF($D17=1,EOMONTH(EDATE(Bonds!$H17,6*(30-1)),0),EDATE(Bonds!$H17,6*(30-1))))</f>
        <v/>
      </c>
      <c r="AI17" s="3" t="str">
        <f>IF(31&gt;$C17,"",IF($D17=1,EOMONTH(EDATE(Bonds!$H17,6*(31-1)),0),EDATE(Bonds!$H17,6*(31-1))))</f>
        <v/>
      </c>
      <c r="AJ17" s="3" t="str">
        <f>IF(32&gt;$C17,"",IF($D17=1,EOMONTH(EDATE(Bonds!$H17,6*(32-1)),0),EDATE(Bonds!$H17,6*(32-1))))</f>
        <v/>
      </c>
      <c r="AK17" s="3" t="str">
        <f>IF(33&gt;$C17,"",IF($D17=1,EOMONTH(EDATE(Bonds!$H17,6*(33-1)),0),EDATE(Bonds!$H17,6*(33-1))))</f>
        <v/>
      </c>
      <c r="AL17" s="3" t="str">
        <f>IF(34&gt;$C17,"",IF($D17=1,EOMONTH(EDATE(Bonds!$H17,6*(34-1)),0),EDATE(Bonds!$H17,6*(34-1))))</f>
        <v/>
      </c>
      <c r="AM17" s="3" t="str">
        <f>IF(35&gt;$C17,"",IF($D17=1,EOMONTH(EDATE(Bonds!$H17,6*(35-1)),0),EDATE(Bonds!$H17,6*(35-1))))</f>
        <v/>
      </c>
      <c r="AN17" s="3" t="str">
        <f>IF(36&gt;$C17,"",IF($D17=1,EOMONTH(EDATE(Bonds!$H17,6*(36-1)),0),EDATE(Bonds!$H17,6*(36-1))))</f>
        <v/>
      </c>
      <c r="AO17" s="3" t="str">
        <f>IF(37&gt;$C17,"",IF($D17=1,EOMONTH(EDATE(Bonds!$H17,6*(37-1)),0),EDATE(Bonds!$H17,6*(37-1))))</f>
        <v/>
      </c>
      <c r="AP17" s="3" t="str">
        <f>IF(38&gt;$C17,"",IF($D17=1,EOMONTH(EDATE(Bonds!$H17,6*(38-1)),0),EDATE(Bonds!$H17,6*(38-1))))</f>
        <v/>
      </c>
      <c r="AQ17" s="3" t="str">
        <f>IF(39&gt;$C17,"",IF($D17=1,EOMONTH(EDATE(Bonds!$H17,6*(39-1)),0),EDATE(Bonds!$H17,6*(39-1))))</f>
        <v/>
      </c>
      <c r="AR17" s="3" t="str">
        <f>IF(40&gt;$C17,"",IF($D17=1,EOMONTH(EDATE(Bonds!$H17,6*(40-1)),0),EDATE(Bonds!$H17,6*(40-1))))</f>
        <v/>
      </c>
      <c r="AS17" s="3" t="str">
        <f>IF(41&gt;$C17,"",IF($D17=1,EOMONTH(EDATE(Bonds!$H17,6*(41-1)),0),EDATE(Bonds!$H17,6*(41-1))))</f>
        <v/>
      </c>
      <c r="AT17" s="3" t="str">
        <f>IF(42&gt;$C17,"",IF($D17=1,EOMONTH(EDATE(Bonds!$H17,6*(42-1)),0),EDATE(Bonds!$H17,6*(42-1))))</f>
        <v/>
      </c>
      <c r="AU17" s="3" t="str">
        <f>IF(43&gt;$C17,"",IF($D17=1,EOMONTH(EDATE(Bonds!$H17,6*(43-1)),0),EDATE(Bonds!$H17,6*(43-1))))</f>
        <v/>
      </c>
      <c r="AV17" s="3" t="str">
        <f>IF(44&gt;$C17,"",IF($D17=1,EOMONTH(EDATE(Bonds!$H17,6*(44-1)),0),EDATE(Bonds!$H17,6*(44-1))))</f>
        <v/>
      </c>
      <c r="AW17" s="3" t="str">
        <f>IF(45&gt;$C17,"",IF($D17=1,EOMONTH(EDATE(Bonds!$H17,6*(45-1)),0),EDATE(Bonds!$H17,6*(45-1))))</f>
        <v/>
      </c>
      <c r="AX17" s="3" t="str">
        <f>IF(46&gt;$C17,"",IF($D17=1,EOMONTH(EDATE(Bonds!$H17,6*(46-1)),0),EDATE(Bonds!$H17,6*(46-1))))</f>
        <v/>
      </c>
      <c r="AY17" s="3" t="str">
        <f>IF(47&gt;$C17,"",IF($D17=1,EOMONTH(EDATE(Bonds!$H17,6*(47-1)),0),EDATE(Bonds!$H17,6*(47-1))))</f>
        <v/>
      </c>
      <c r="AZ17" s="3" t="str">
        <f>IF(48&gt;$C17,"",IF($D17=1,EOMONTH(EDATE(Bonds!$H17,6*(48-1)),0),EDATE(Bonds!$H17,6*(48-1))))</f>
        <v/>
      </c>
      <c r="BA17" s="3" t="str">
        <f>IF(49&gt;$C17,"",IF($D17=1,EOMONTH(EDATE(Bonds!$H17,6*(49-1)),0),EDATE(Bonds!$H17,6*(49-1))))</f>
        <v/>
      </c>
      <c r="BB17" s="3" t="str">
        <f>IF(50&gt;$C17,"",IF($D17=1,EOMONTH(EDATE(Bonds!$H17,6*(50-1)),0),EDATE(Bonds!$H17,6*(50-1))))</f>
        <v/>
      </c>
      <c r="BC17" s="3" t="str">
        <f>IF(51&gt;$C17,"",IF($D17=1,EOMONTH(EDATE(Bonds!$H17,6*(51-1)),0),EDATE(Bonds!$H17,6*(51-1))))</f>
        <v/>
      </c>
      <c r="BD17" s="3" t="str">
        <f>IF(52&gt;$C17,"",IF($D17=1,EOMONTH(EDATE(Bonds!$H17,6*(52-1)),0),EDATE(Bonds!$H17,6*(52-1))))</f>
        <v/>
      </c>
      <c r="BE17" s="3" t="str">
        <f>IF(53&gt;$C17,"",IF($D17=1,EOMONTH(EDATE(Bonds!$H17,6*(53-1)),0),EDATE(Bonds!$H17,6*(53-1))))</f>
        <v/>
      </c>
      <c r="BF17" s="3" t="str">
        <f>IF(54&gt;$C17,"",IF($D17=1,EOMONTH(EDATE(Bonds!$H17,6*(54-1)),0),EDATE(Bonds!$H17,6*(54-1))))</f>
        <v/>
      </c>
      <c r="BG17" s="3" t="str">
        <f>IF(55&gt;$C17,"",IF($D17=1,EOMONTH(EDATE(Bonds!$H17,6*(55-1)),0),EDATE(Bonds!$H17,6*(55-1))))</f>
        <v/>
      </c>
      <c r="BH17" s="3" t="str">
        <f>IF(56&gt;$C17,"",IF($D17=1,EOMONTH(EDATE(Bonds!$H17,6*(56-1)),0),EDATE(Bonds!$H17,6*(56-1))))</f>
        <v/>
      </c>
      <c r="BI17" s="3" t="str">
        <f>IF(57&gt;$C17,"",IF($D17=1,EOMONTH(EDATE(Bonds!$H17,6*(57-1)),0),EDATE(Bonds!$H17,6*(57-1))))</f>
        <v/>
      </c>
      <c r="BJ17" s="3" t="str">
        <f>IF(58&gt;$C17,"",IF($D17=1,EOMONTH(EDATE(Bonds!$H17,6*(58-1)),0),EDATE(Bonds!$H17,6*(58-1))))</f>
        <v/>
      </c>
      <c r="BK17" s="3" t="str">
        <f>IF(59&gt;$C17,"",IF($D17=1,EOMONTH(EDATE(Bonds!$H17,6*(59-1)),0),EDATE(Bonds!$H17,6*(59-1))))</f>
        <v/>
      </c>
      <c r="BL17" s="3" t="str">
        <f>IF(60&gt;$C17,"",IF($D17=1,EOMONTH(EDATE(Bonds!$H17,6*(60-1)),0),EDATE(Bonds!$H17,6*(60-1))))</f>
        <v/>
      </c>
      <c r="BN17" s="7">
        <f t="shared" si="1"/>
        <v>101.5989299197644</v>
      </c>
      <c r="BO17" s="7">
        <f t="shared" si="2"/>
        <v>0</v>
      </c>
      <c r="BP17" s="7">
        <f t="shared" si="3"/>
        <v>0</v>
      </c>
      <c r="BQ17" s="7">
        <f t="shared" si="4"/>
        <v>0</v>
      </c>
      <c r="BR17" s="7">
        <f t="shared" si="5"/>
        <v>0</v>
      </c>
      <c r="BS17" s="7">
        <f t="shared" si="6"/>
        <v>0</v>
      </c>
      <c r="BT17" s="7">
        <f t="shared" si="7"/>
        <v>0</v>
      </c>
      <c r="BU17" s="7">
        <f t="shared" si="8"/>
        <v>0</v>
      </c>
      <c r="BV17" s="7">
        <f t="shared" si="9"/>
        <v>0</v>
      </c>
      <c r="BW17" s="7">
        <f t="shared" si="10"/>
        <v>0</v>
      </c>
      <c r="BX17" s="7">
        <f t="shared" si="11"/>
        <v>0</v>
      </c>
      <c r="BY17" s="7">
        <f t="shared" si="12"/>
        <v>0</v>
      </c>
      <c r="BZ17" s="7">
        <f t="shared" si="13"/>
        <v>0</v>
      </c>
      <c r="CA17" s="7">
        <f t="shared" si="14"/>
        <v>0</v>
      </c>
      <c r="CB17" s="7">
        <f t="shared" si="15"/>
        <v>0</v>
      </c>
      <c r="CC17" s="7">
        <f t="shared" si="16"/>
        <v>0</v>
      </c>
      <c r="CD17" s="7">
        <f t="shared" si="17"/>
        <v>0</v>
      </c>
      <c r="CE17" s="7">
        <f t="shared" si="18"/>
        <v>0</v>
      </c>
      <c r="CF17" s="7">
        <f t="shared" si="19"/>
        <v>0</v>
      </c>
      <c r="CG17" s="7">
        <f t="shared" si="20"/>
        <v>0</v>
      </c>
      <c r="CH17" s="7">
        <f t="shared" si="21"/>
        <v>0</v>
      </c>
      <c r="CI17" s="7">
        <f t="shared" si="22"/>
        <v>0</v>
      </c>
      <c r="CJ17" s="7">
        <f t="shared" si="23"/>
        <v>0</v>
      </c>
      <c r="CK17" s="7">
        <f t="shared" si="24"/>
        <v>0</v>
      </c>
      <c r="CL17" s="7">
        <f t="shared" si="25"/>
        <v>0</v>
      </c>
      <c r="CM17" s="7">
        <f t="shared" si="26"/>
        <v>0</v>
      </c>
      <c r="CN17" s="7">
        <f t="shared" si="27"/>
        <v>0</v>
      </c>
      <c r="CO17" s="7">
        <f t="shared" si="28"/>
        <v>0</v>
      </c>
      <c r="CP17" s="7">
        <f t="shared" si="29"/>
        <v>0</v>
      </c>
      <c r="CQ17" s="7">
        <f t="shared" si="30"/>
        <v>0</v>
      </c>
      <c r="CR17" s="7">
        <f t="shared" si="31"/>
        <v>0</v>
      </c>
      <c r="CS17" s="7">
        <f t="shared" si="32"/>
        <v>0</v>
      </c>
      <c r="CT17" s="7">
        <f t="shared" si="33"/>
        <v>0</v>
      </c>
      <c r="CU17" s="7">
        <f t="shared" si="34"/>
        <v>0</v>
      </c>
      <c r="CV17" s="7">
        <f t="shared" si="35"/>
        <v>0</v>
      </c>
      <c r="CW17" s="7">
        <f t="shared" si="36"/>
        <v>0</v>
      </c>
      <c r="CX17" s="7">
        <f t="shared" si="37"/>
        <v>0</v>
      </c>
      <c r="CY17" s="7">
        <f t="shared" si="38"/>
        <v>0</v>
      </c>
      <c r="CZ17" s="7">
        <f t="shared" si="39"/>
        <v>0</v>
      </c>
      <c r="DA17" s="7">
        <f t="shared" si="40"/>
        <v>0</v>
      </c>
      <c r="DB17" s="7">
        <f t="shared" si="41"/>
        <v>0</v>
      </c>
      <c r="DC17" s="7">
        <f t="shared" si="42"/>
        <v>0</v>
      </c>
      <c r="DD17" s="7">
        <f t="shared" si="43"/>
        <v>0</v>
      </c>
      <c r="DE17" s="7">
        <f t="shared" si="44"/>
        <v>0</v>
      </c>
      <c r="DF17" s="7">
        <f t="shared" si="45"/>
        <v>0</v>
      </c>
      <c r="DG17" s="7">
        <f t="shared" si="46"/>
        <v>0</v>
      </c>
      <c r="DH17" s="7">
        <f t="shared" si="47"/>
        <v>0</v>
      </c>
      <c r="DI17" s="7">
        <f t="shared" si="48"/>
        <v>0</v>
      </c>
      <c r="DJ17" s="7">
        <f t="shared" si="49"/>
        <v>0</v>
      </c>
      <c r="DK17" s="7">
        <f t="shared" si="50"/>
        <v>0</v>
      </c>
      <c r="DL17" s="7">
        <f t="shared" si="51"/>
        <v>0</v>
      </c>
      <c r="DM17" s="7">
        <f t="shared" si="52"/>
        <v>0</v>
      </c>
      <c r="DN17" s="7">
        <f t="shared" si="53"/>
        <v>0</v>
      </c>
      <c r="DO17" s="7">
        <f t="shared" si="54"/>
        <v>0</v>
      </c>
      <c r="DP17" s="7">
        <f t="shared" si="55"/>
        <v>0</v>
      </c>
      <c r="DQ17" s="7">
        <f t="shared" si="56"/>
        <v>0</v>
      </c>
      <c r="DR17" s="7">
        <f t="shared" si="57"/>
        <v>0</v>
      </c>
      <c r="DS17" s="7">
        <f t="shared" si="58"/>
        <v>0</v>
      </c>
      <c r="DT17" s="7">
        <f t="shared" si="59"/>
        <v>0</v>
      </c>
      <c r="DU17" s="7">
        <f t="shared" si="60"/>
        <v>0</v>
      </c>
    </row>
    <row r="18" spans="1:125" x14ac:dyDescent="0.2">
      <c r="A18" s="3">
        <f>Bonds!A18</f>
        <v>46341</v>
      </c>
      <c r="B18" s="4">
        <f>Bonds!B18</f>
        <v>6.5</v>
      </c>
      <c r="C18">
        <f>Bonds!P18</f>
        <v>1</v>
      </c>
      <c r="D18">
        <f t="shared" si="0"/>
        <v>0</v>
      </c>
      <c r="E18" s="3">
        <f>IF(1&gt;$C18,"",IF($D18=1,EOMONTH(EDATE(Bonds!$H18,6*(1-1)),0),EDATE(Bonds!$H18,6*(1-1))))</f>
        <v>46341</v>
      </c>
      <c r="F18" s="3" t="str">
        <f>IF(2&gt;$C18,"",IF($D18=1,EOMONTH(EDATE(Bonds!$H18,6*(2-1)),0),EDATE(Bonds!$H18,6*(2-1))))</f>
        <v/>
      </c>
      <c r="G18" s="3" t="str">
        <f>IF(3&gt;$C18,"",IF($D18=1,EOMONTH(EDATE(Bonds!$H18,6*(3-1)),0),EDATE(Bonds!$H18,6*(3-1))))</f>
        <v/>
      </c>
      <c r="H18" s="3" t="str">
        <f>IF(4&gt;$C18,"",IF($D18=1,EOMONTH(EDATE(Bonds!$H18,6*(4-1)),0),EDATE(Bonds!$H18,6*(4-1))))</f>
        <v/>
      </c>
      <c r="I18" s="3" t="str">
        <f>IF(5&gt;$C18,"",IF($D18=1,EOMONTH(EDATE(Bonds!$H18,6*(5-1)),0),EDATE(Bonds!$H18,6*(5-1))))</f>
        <v/>
      </c>
      <c r="J18" s="3" t="str">
        <f>IF(6&gt;$C18,"",IF($D18=1,EOMONTH(EDATE(Bonds!$H18,6*(6-1)),0),EDATE(Bonds!$H18,6*(6-1))))</f>
        <v/>
      </c>
      <c r="K18" s="3" t="str">
        <f>IF(7&gt;$C18,"",IF($D18=1,EOMONTH(EDATE(Bonds!$H18,6*(7-1)),0),EDATE(Bonds!$H18,6*(7-1))))</f>
        <v/>
      </c>
      <c r="L18" s="3" t="str">
        <f>IF(8&gt;$C18,"",IF($D18=1,EOMONTH(EDATE(Bonds!$H18,6*(8-1)),0),EDATE(Bonds!$H18,6*(8-1))))</f>
        <v/>
      </c>
      <c r="M18" s="3" t="str">
        <f>IF(9&gt;$C18,"",IF($D18=1,EOMONTH(EDATE(Bonds!$H18,6*(9-1)),0),EDATE(Bonds!$H18,6*(9-1))))</f>
        <v/>
      </c>
      <c r="N18" s="3" t="str">
        <f>IF(10&gt;$C18,"",IF($D18=1,EOMONTH(EDATE(Bonds!$H18,6*(10-1)),0),EDATE(Bonds!$H18,6*(10-1))))</f>
        <v/>
      </c>
      <c r="O18" s="3" t="str">
        <f>IF(11&gt;$C18,"",IF($D18=1,EOMONTH(EDATE(Bonds!$H18,6*(11-1)),0),EDATE(Bonds!$H18,6*(11-1))))</f>
        <v/>
      </c>
      <c r="P18" s="3" t="str">
        <f>IF(12&gt;$C18,"",IF($D18=1,EOMONTH(EDATE(Bonds!$H18,6*(12-1)),0),EDATE(Bonds!$H18,6*(12-1))))</f>
        <v/>
      </c>
      <c r="Q18" s="3" t="str">
        <f>IF(13&gt;$C18,"",IF($D18=1,EOMONTH(EDATE(Bonds!$H18,6*(13-1)),0),EDATE(Bonds!$H18,6*(13-1))))</f>
        <v/>
      </c>
      <c r="R18" s="3" t="str">
        <f>IF(14&gt;$C18,"",IF($D18=1,EOMONTH(EDATE(Bonds!$H18,6*(14-1)),0),EDATE(Bonds!$H18,6*(14-1))))</f>
        <v/>
      </c>
      <c r="S18" s="3" t="str">
        <f>IF(15&gt;$C18,"",IF($D18=1,EOMONTH(EDATE(Bonds!$H18,6*(15-1)),0),EDATE(Bonds!$H18,6*(15-1))))</f>
        <v/>
      </c>
      <c r="T18" s="3" t="str">
        <f>IF(16&gt;$C18,"",IF($D18=1,EOMONTH(EDATE(Bonds!$H18,6*(16-1)),0),EDATE(Bonds!$H18,6*(16-1))))</f>
        <v/>
      </c>
      <c r="U18" s="3" t="str">
        <f>IF(17&gt;$C18,"",IF($D18=1,EOMONTH(EDATE(Bonds!$H18,6*(17-1)),0),EDATE(Bonds!$H18,6*(17-1))))</f>
        <v/>
      </c>
      <c r="V18" s="3" t="str">
        <f>IF(18&gt;$C18,"",IF($D18=1,EOMONTH(EDATE(Bonds!$H18,6*(18-1)),0),EDATE(Bonds!$H18,6*(18-1))))</f>
        <v/>
      </c>
      <c r="W18" s="3" t="str">
        <f>IF(19&gt;$C18,"",IF($D18=1,EOMONTH(EDATE(Bonds!$H18,6*(19-1)),0),EDATE(Bonds!$H18,6*(19-1))))</f>
        <v/>
      </c>
      <c r="X18" s="3" t="str">
        <f>IF(20&gt;$C18,"",IF($D18=1,EOMONTH(EDATE(Bonds!$H18,6*(20-1)),0),EDATE(Bonds!$H18,6*(20-1))))</f>
        <v/>
      </c>
      <c r="Y18" s="3" t="str">
        <f>IF(21&gt;$C18,"",IF($D18=1,EOMONTH(EDATE(Bonds!$H18,6*(21-1)),0),EDATE(Bonds!$H18,6*(21-1))))</f>
        <v/>
      </c>
      <c r="Z18" s="3" t="str">
        <f>IF(22&gt;$C18,"",IF($D18=1,EOMONTH(EDATE(Bonds!$H18,6*(22-1)),0),EDATE(Bonds!$H18,6*(22-1))))</f>
        <v/>
      </c>
      <c r="AA18" s="3" t="str">
        <f>IF(23&gt;$C18,"",IF($D18=1,EOMONTH(EDATE(Bonds!$H18,6*(23-1)),0),EDATE(Bonds!$H18,6*(23-1))))</f>
        <v/>
      </c>
      <c r="AB18" s="3" t="str">
        <f>IF(24&gt;$C18,"",IF($D18=1,EOMONTH(EDATE(Bonds!$H18,6*(24-1)),0),EDATE(Bonds!$H18,6*(24-1))))</f>
        <v/>
      </c>
      <c r="AC18" s="3" t="str">
        <f>IF(25&gt;$C18,"",IF($D18=1,EOMONTH(EDATE(Bonds!$H18,6*(25-1)),0),EDATE(Bonds!$H18,6*(25-1))))</f>
        <v/>
      </c>
      <c r="AD18" s="3" t="str">
        <f>IF(26&gt;$C18,"",IF($D18=1,EOMONTH(EDATE(Bonds!$H18,6*(26-1)),0),EDATE(Bonds!$H18,6*(26-1))))</f>
        <v/>
      </c>
      <c r="AE18" s="3" t="str">
        <f>IF(27&gt;$C18,"",IF($D18=1,EOMONTH(EDATE(Bonds!$H18,6*(27-1)),0),EDATE(Bonds!$H18,6*(27-1))))</f>
        <v/>
      </c>
      <c r="AF18" s="3" t="str">
        <f>IF(28&gt;$C18,"",IF($D18=1,EOMONTH(EDATE(Bonds!$H18,6*(28-1)),0),EDATE(Bonds!$H18,6*(28-1))))</f>
        <v/>
      </c>
      <c r="AG18" s="3" t="str">
        <f>IF(29&gt;$C18,"",IF($D18=1,EOMONTH(EDATE(Bonds!$H18,6*(29-1)),0),EDATE(Bonds!$H18,6*(29-1))))</f>
        <v/>
      </c>
      <c r="AH18" s="3" t="str">
        <f>IF(30&gt;$C18,"",IF($D18=1,EOMONTH(EDATE(Bonds!$H18,6*(30-1)),0),EDATE(Bonds!$H18,6*(30-1))))</f>
        <v/>
      </c>
      <c r="AI18" s="3" t="str">
        <f>IF(31&gt;$C18,"",IF($D18=1,EOMONTH(EDATE(Bonds!$H18,6*(31-1)),0),EDATE(Bonds!$H18,6*(31-1))))</f>
        <v/>
      </c>
      <c r="AJ18" s="3" t="str">
        <f>IF(32&gt;$C18,"",IF($D18=1,EOMONTH(EDATE(Bonds!$H18,6*(32-1)),0),EDATE(Bonds!$H18,6*(32-1))))</f>
        <v/>
      </c>
      <c r="AK18" s="3" t="str">
        <f>IF(33&gt;$C18,"",IF($D18=1,EOMONTH(EDATE(Bonds!$H18,6*(33-1)),0),EDATE(Bonds!$H18,6*(33-1))))</f>
        <v/>
      </c>
      <c r="AL18" s="3" t="str">
        <f>IF(34&gt;$C18,"",IF($D18=1,EOMONTH(EDATE(Bonds!$H18,6*(34-1)),0),EDATE(Bonds!$H18,6*(34-1))))</f>
        <v/>
      </c>
      <c r="AM18" s="3" t="str">
        <f>IF(35&gt;$C18,"",IF($D18=1,EOMONTH(EDATE(Bonds!$H18,6*(35-1)),0),EDATE(Bonds!$H18,6*(35-1))))</f>
        <v/>
      </c>
      <c r="AN18" s="3" t="str">
        <f>IF(36&gt;$C18,"",IF($D18=1,EOMONTH(EDATE(Bonds!$H18,6*(36-1)),0),EDATE(Bonds!$H18,6*(36-1))))</f>
        <v/>
      </c>
      <c r="AO18" s="3" t="str">
        <f>IF(37&gt;$C18,"",IF($D18=1,EOMONTH(EDATE(Bonds!$H18,6*(37-1)),0),EDATE(Bonds!$H18,6*(37-1))))</f>
        <v/>
      </c>
      <c r="AP18" s="3" t="str">
        <f>IF(38&gt;$C18,"",IF($D18=1,EOMONTH(EDATE(Bonds!$H18,6*(38-1)),0),EDATE(Bonds!$H18,6*(38-1))))</f>
        <v/>
      </c>
      <c r="AQ18" s="3" t="str">
        <f>IF(39&gt;$C18,"",IF($D18=1,EOMONTH(EDATE(Bonds!$H18,6*(39-1)),0),EDATE(Bonds!$H18,6*(39-1))))</f>
        <v/>
      </c>
      <c r="AR18" s="3" t="str">
        <f>IF(40&gt;$C18,"",IF($D18=1,EOMONTH(EDATE(Bonds!$H18,6*(40-1)),0),EDATE(Bonds!$H18,6*(40-1))))</f>
        <v/>
      </c>
      <c r="AS18" s="3" t="str">
        <f>IF(41&gt;$C18,"",IF($D18=1,EOMONTH(EDATE(Bonds!$H18,6*(41-1)),0),EDATE(Bonds!$H18,6*(41-1))))</f>
        <v/>
      </c>
      <c r="AT18" s="3" t="str">
        <f>IF(42&gt;$C18,"",IF($D18=1,EOMONTH(EDATE(Bonds!$H18,6*(42-1)),0),EDATE(Bonds!$H18,6*(42-1))))</f>
        <v/>
      </c>
      <c r="AU18" s="3" t="str">
        <f>IF(43&gt;$C18,"",IF($D18=1,EOMONTH(EDATE(Bonds!$H18,6*(43-1)),0),EDATE(Bonds!$H18,6*(43-1))))</f>
        <v/>
      </c>
      <c r="AV18" s="3" t="str">
        <f>IF(44&gt;$C18,"",IF($D18=1,EOMONTH(EDATE(Bonds!$H18,6*(44-1)),0),EDATE(Bonds!$H18,6*(44-1))))</f>
        <v/>
      </c>
      <c r="AW18" s="3" t="str">
        <f>IF(45&gt;$C18,"",IF($D18=1,EOMONTH(EDATE(Bonds!$H18,6*(45-1)),0),EDATE(Bonds!$H18,6*(45-1))))</f>
        <v/>
      </c>
      <c r="AX18" s="3" t="str">
        <f>IF(46&gt;$C18,"",IF($D18=1,EOMONTH(EDATE(Bonds!$H18,6*(46-1)),0),EDATE(Bonds!$H18,6*(46-1))))</f>
        <v/>
      </c>
      <c r="AY18" s="3" t="str">
        <f>IF(47&gt;$C18,"",IF($D18=1,EOMONTH(EDATE(Bonds!$H18,6*(47-1)),0),EDATE(Bonds!$H18,6*(47-1))))</f>
        <v/>
      </c>
      <c r="AZ18" s="3" t="str">
        <f>IF(48&gt;$C18,"",IF($D18=1,EOMONTH(EDATE(Bonds!$H18,6*(48-1)),0),EDATE(Bonds!$H18,6*(48-1))))</f>
        <v/>
      </c>
      <c r="BA18" s="3" t="str">
        <f>IF(49&gt;$C18,"",IF($D18=1,EOMONTH(EDATE(Bonds!$H18,6*(49-1)),0),EDATE(Bonds!$H18,6*(49-1))))</f>
        <v/>
      </c>
      <c r="BB18" s="3" t="str">
        <f>IF(50&gt;$C18,"",IF($D18=1,EOMONTH(EDATE(Bonds!$H18,6*(50-1)),0),EDATE(Bonds!$H18,6*(50-1))))</f>
        <v/>
      </c>
      <c r="BC18" s="3" t="str">
        <f>IF(51&gt;$C18,"",IF($D18=1,EOMONTH(EDATE(Bonds!$H18,6*(51-1)),0),EDATE(Bonds!$H18,6*(51-1))))</f>
        <v/>
      </c>
      <c r="BD18" s="3" t="str">
        <f>IF(52&gt;$C18,"",IF($D18=1,EOMONTH(EDATE(Bonds!$H18,6*(52-1)),0),EDATE(Bonds!$H18,6*(52-1))))</f>
        <v/>
      </c>
      <c r="BE18" s="3" t="str">
        <f>IF(53&gt;$C18,"",IF($D18=1,EOMONTH(EDATE(Bonds!$H18,6*(53-1)),0),EDATE(Bonds!$H18,6*(53-1))))</f>
        <v/>
      </c>
      <c r="BF18" s="3" t="str">
        <f>IF(54&gt;$C18,"",IF($D18=1,EOMONTH(EDATE(Bonds!$H18,6*(54-1)),0),EDATE(Bonds!$H18,6*(54-1))))</f>
        <v/>
      </c>
      <c r="BG18" s="3" t="str">
        <f>IF(55&gt;$C18,"",IF($D18=1,EOMONTH(EDATE(Bonds!$H18,6*(55-1)),0),EDATE(Bonds!$H18,6*(55-1))))</f>
        <v/>
      </c>
      <c r="BH18" s="3" t="str">
        <f>IF(56&gt;$C18,"",IF($D18=1,EOMONTH(EDATE(Bonds!$H18,6*(56-1)),0),EDATE(Bonds!$H18,6*(56-1))))</f>
        <v/>
      </c>
      <c r="BI18" s="3" t="str">
        <f>IF(57&gt;$C18,"",IF($D18=1,EOMONTH(EDATE(Bonds!$H18,6*(57-1)),0),EDATE(Bonds!$H18,6*(57-1))))</f>
        <v/>
      </c>
      <c r="BJ18" s="3" t="str">
        <f>IF(58&gt;$C18,"",IF($D18=1,EOMONTH(EDATE(Bonds!$H18,6*(58-1)),0),EDATE(Bonds!$H18,6*(58-1))))</f>
        <v/>
      </c>
      <c r="BK18" s="3" t="str">
        <f>IF(59&gt;$C18,"",IF($D18=1,EOMONTH(EDATE(Bonds!$H18,6*(59-1)),0),EDATE(Bonds!$H18,6*(59-1))))</f>
        <v/>
      </c>
      <c r="BL18" s="3" t="str">
        <f>IF(60&gt;$C18,"",IF($D18=1,EOMONTH(EDATE(Bonds!$H18,6*(60-1)),0),EDATE(Bonds!$H18,6*(60-1))))</f>
        <v/>
      </c>
      <c r="BN18" s="7">
        <f t="shared" si="1"/>
        <v>102.52989140345193</v>
      </c>
      <c r="BO18" s="7">
        <f t="shared" si="2"/>
        <v>0</v>
      </c>
      <c r="BP18" s="7">
        <f t="shared" si="3"/>
        <v>0</v>
      </c>
      <c r="BQ18" s="7">
        <f t="shared" si="4"/>
        <v>0</v>
      </c>
      <c r="BR18" s="7">
        <f t="shared" si="5"/>
        <v>0</v>
      </c>
      <c r="BS18" s="7">
        <f t="shared" si="6"/>
        <v>0</v>
      </c>
      <c r="BT18" s="7">
        <f t="shared" si="7"/>
        <v>0</v>
      </c>
      <c r="BU18" s="7">
        <f t="shared" si="8"/>
        <v>0</v>
      </c>
      <c r="BV18" s="7">
        <f t="shared" si="9"/>
        <v>0</v>
      </c>
      <c r="BW18" s="7">
        <f t="shared" si="10"/>
        <v>0</v>
      </c>
      <c r="BX18" s="7">
        <f t="shared" si="11"/>
        <v>0</v>
      </c>
      <c r="BY18" s="7">
        <f t="shared" si="12"/>
        <v>0</v>
      </c>
      <c r="BZ18" s="7">
        <f t="shared" si="13"/>
        <v>0</v>
      </c>
      <c r="CA18" s="7">
        <f t="shared" si="14"/>
        <v>0</v>
      </c>
      <c r="CB18" s="7">
        <f t="shared" si="15"/>
        <v>0</v>
      </c>
      <c r="CC18" s="7">
        <f t="shared" si="16"/>
        <v>0</v>
      </c>
      <c r="CD18" s="7">
        <f t="shared" si="17"/>
        <v>0</v>
      </c>
      <c r="CE18" s="7">
        <f t="shared" si="18"/>
        <v>0</v>
      </c>
      <c r="CF18" s="7">
        <f t="shared" si="19"/>
        <v>0</v>
      </c>
      <c r="CG18" s="7">
        <f t="shared" si="20"/>
        <v>0</v>
      </c>
      <c r="CH18" s="7">
        <f t="shared" si="21"/>
        <v>0</v>
      </c>
      <c r="CI18" s="7">
        <f t="shared" si="22"/>
        <v>0</v>
      </c>
      <c r="CJ18" s="7">
        <f t="shared" si="23"/>
        <v>0</v>
      </c>
      <c r="CK18" s="7">
        <f t="shared" si="24"/>
        <v>0</v>
      </c>
      <c r="CL18" s="7">
        <f t="shared" si="25"/>
        <v>0</v>
      </c>
      <c r="CM18" s="7">
        <f t="shared" si="26"/>
        <v>0</v>
      </c>
      <c r="CN18" s="7">
        <f t="shared" si="27"/>
        <v>0</v>
      </c>
      <c r="CO18" s="7">
        <f t="shared" si="28"/>
        <v>0</v>
      </c>
      <c r="CP18" s="7">
        <f t="shared" si="29"/>
        <v>0</v>
      </c>
      <c r="CQ18" s="7">
        <f t="shared" si="30"/>
        <v>0</v>
      </c>
      <c r="CR18" s="7">
        <f t="shared" si="31"/>
        <v>0</v>
      </c>
      <c r="CS18" s="7">
        <f t="shared" si="32"/>
        <v>0</v>
      </c>
      <c r="CT18" s="7">
        <f t="shared" si="33"/>
        <v>0</v>
      </c>
      <c r="CU18" s="7">
        <f t="shared" si="34"/>
        <v>0</v>
      </c>
      <c r="CV18" s="7">
        <f t="shared" si="35"/>
        <v>0</v>
      </c>
      <c r="CW18" s="7">
        <f t="shared" si="36"/>
        <v>0</v>
      </c>
      <c r="CX18" s="7">
        <f t="shared" si="37"/>
        <v>0</v>
      </c>
      <c r="CY18" s="7">
        <f t="shared" si="38"/>
        <v>0</v>
      </c>
      <c r="CZ18" s="7">
        <f t="shared" si="39"/>
        <v>0</v>
      </c>
      <c r="DA18" s="7">
        <f t="shared" si="40"/>
        <v>0</v>
      </c>
      <c r="DB18" s="7">
        <f t="shared" si="41"/>
        <v>0</v>
      </c>
      <c r="DC18" s="7">
        <f t="shared" si="42"/>
        <v>0</v>
      </c>
      <c r="DD18" s="7">
        <f t="shared" si="43"/>
        <v>0</v>
      </c>
      <c r="DE18" s="7">
        <f t="shared" si="44"/>
        <v>0</v>
      </c>
      <c r="DF18" s="7">
        <f t="shared" si="45"/>
        <v>0</v>
      </c>
      <c r="DG18" s="7">
        <f t="shared" si="46"/>
        <v>0</v>
      </c>
      <c r="DH18" s="7">
        <f t="shared" si="47"/>
        <v>0</v>
      </c>
      <c r="DI18" s="7">
        <f t="shared" si="48"/>
        <v>0</v>
      </c>
      <c r="DJ18" s="7">
        <f t="shared" si="49"/>
        <v>0</v>
      </c>
      <c r="DK18" s="7">
        <f t="shared" si="50"/>
        <v>0</v>
      </c>
      <c r="DL18" s="7">
        <f t="shared" si="51"/>
        <v>0</v>
      </c>
      <c r="DM18" s="7">
        <f t="shared" si="52"/>
        <v>0</v>
      </c>
      <c r="DN18" s="7">
        <f t="shared" si="53"/>
        <v>0</v>
      </c>
      <c r="DO18" s="7">
        <f t="shared" si="54"/>
        <v>0</v>
      </c>
      <c r="DP18" s="7">
        <f t="shared" si="55"/>
        <v>0</v>
      </c>
      <c r="DQ18" s="7">
        <f t="shared" si="56"/>
        <v>0</v>
      </c>
      <c r="DR18" s="7">
        <f t="shared" si="57"/>
        <v>0</v>
      </c>
      <c r="DS18" s="7">
        <f t="shared" si="58"/>
        <v>0</v>
      </c>
      <c r="DT18" s="7">
        <f t="shared" si="59"/>
        <v>0</v>
      </c>
      <c r="DU18" s="7">
        <f t="shared" si="60"/>
        <v>0</v>
      </c>
    </row>
    <row r="19" spans="1:125" x14ac:dyDescent="0.2">
      <c r="A19" s="3">
        <f>Bonds!A19</f>
        <v>46356</v>
      </c>
      <c r="B19" s="4">
        <f>Bonds!B19</f>
        <v>1.25</v>
      </c>
      <c r="C19">
        <f>Bonds!P19</f>
        <v>1</v>
      </c>
      <c r="D19">
        <f t="shared" si="0"/>
        <v>1</v>
      </c>
      <c r="E19" s="3">
        <f>IF(1&gt;$C19,"",IF($D19=1,EOMONTH(EDATE(Bonds!$H19,6*(1-1)),0),EDATE(Bonds!$H19,6*(1-1))))</f>
        <v>46356</v>
      </c>
      <c r="F19" s="3" t="str">
        <f>IF(2&gt;$C19,"",IF($D19=1,EOMONTH(EDATE(Bonds!$H19,6*(2-1)),0),EDATE(Bonds!$H19,6*(2-1))))</f>
        <v/>
      </c>
      <c r="G19" s="3" t="str">
        <f>IF(3&gt;$C19,"",IF($D19=1,EOMONTH(EDATE(Bonds!$H19,6*(3-1)),0),EDATE(Bonds!$H19,6*(3-1))))</f>
        <v/>
      </c>
      <c r="H19" s="3" t="str">
        <f>IF(4&gt;$C19,"",IF($D19=1,EOMONTH(EDATE(Bonds!$H19,6*(4-1)),0),EDATE(Bonds!$H19,6*(4-1))))</f>
        <v/>
      </c>
      <c r="I19" s="3" t="str">
        <f>IF(5&gt;$C19,"",IF($D19=1,EOMONTH(EDATE(Bonds!$H19,6*(5-1)),0),EDATE(Bonds!$H19,6*(5-1))))</f>
        <v/>
      </c>
      <c r="J19" s="3" t="str">
        <f>IF(6&gt;$C19,"",IF($D19=1,EOMONTH(EDATE(Bonds!$H19,6*(6-1)),0),EDATE(Bonds!$H19,6*(6-1))))</f>
        <v/>
      </c>
      <c r="K19" s="3" t="str">
        <f>IF(7&gt;$C19,"",IF($D19=1,EOMONTH(EDATE(Bonds!$H19,6*(7-1)),0),EDATE(Bonds!$H19,6*(7-1))))</f>
        <v/>
      </c>
      <c r="L19" s="3" t="str">
        <f>IF(8&gt;$C19,"",IF($D19=1,EOMONTH(EDATE(Bonds!$H19,6*(8-1)),0),EDATE(Bonds!$H19,6*(8-1))))</f>
        <v/>
      </c>
      <c r="M19" s="3" t="str">
        <f>IF(9&gt;$C19,"",IF($D19=1,EOMONTH(EDATE(Bonds!$H19,6*(9-1)),0),EDATE(Bonds!$H19,6*(9-1))))</f>
        <v/>
      </c>
      <c r="N19" s="3" t="str">
        <f>IF(10&gt;$C19,"",IF($D19=1,EOMONTH(EDATE(Bonds!$H19,6*(10-1)),0),EDATE(Bonds!$H19,6*(10-1))))</f>
        <v/>
      </c>
      <c r="O19" s="3" t="str">
        <f>IF(11&gt;$C19,"",IF($D19=1,EOMONTH(EDATE(Bonds!$H19,6*(11-1)),0),EDATE(Bonds!$H19,6*(11-1))))</f>
        <v/>
      </c>
      <c r="P19" s="3" t="str">
        <f>IF(12&gt;$C19,"",IF($D19=1,EOMONTH(EDATE(Bonds!$H19,6*(12-1)),0),EDATE(Bonds!$H19,6*(12-1))))</f>
        <v/>
      </c>
      <c r="Q19" s="3" t="str">
        <f>IF(13&gt;$C19,"",IF($D19=1,EOMONTH(EDATE(Bonds!$H19,6*(13-1)),0),EDATE(Bonds!$H19,6*(13-1))))</f>
        <v/>
      </c>
      <c r="R19" s="3" t="str">
        <f>IF(14&gt;$C19,"",IF($D19=1,EOMONTH(EDATE(Bonds!$H19,6*(14-1)),0),EDATE(Bonds!$H19,6*(14-1))))</f>
        <v/>
      </c>
      <c r="S19" s="3" t="str">
        <f>IF(15&gt;$C19,"",IF($D19=1,EOMONTH(EDATE(Bonds!$H19,6*(15-1)),0),EDATE(Bonds!$H19,6*(15-1))))</f>
        <v/>
      </c>
      <c r="T19" s="3" t="str">
        <f>IF(16&gt;$C19,"",IF($D19=1,EOMONTH(EDATE(Bonds!$H19,6*(16-1)),0),EDATE(Bonds!$H19,6*(16-1))))</f>
        <v/>
      </c>
      <c r="U19" s="3" t="str">
        <f>IF(17&gt;$C19,"",IF($D19=1,EOMONTH(EDATE(Bonds!$H19,6*(17-1)),0),EDATE(Bonds!$H19,6*(17-1))))</f>
        <v/>
      </c>
      <c r="V19" s="3" t="str">
        <f>IF(18&gt;$C19,"",IF($D19=1,EOMONTH(EDATE(Bonds!$H19,6*(18-1)),0),EDATE(Bonds!$H19,6*(18-1))))</f>
        <v/>
      </c>
      <c r="W19" s="3" t="str">
        <f>IF(19&gt;$C19,"",IF($D19=1,EOMONTH(EDATE(Bonds!$H19,6*(19-1)),0),EDATE(Bonds!$H19,6*(19-1))))</f>
        <v/>
      </c>
      <c r="X19" s="3" t="str">
        <f>IF(20&gt;$C19,"",IF($D19=1,EOMONTH(EDATE(Bonds!$H19,6*(20-1)),0),EDATE(Bonds!$H19,6*(20-1))))</f>
        <v/>
      </c>
      <c r="Y19" s="3" t="str">
        <f>IF(21&gt;$C19,"",IF($D19=1,EOMONTH(EDATE(Bonds!$H19,6*(21-1)),0),EDATE(Bonds!$H19,6*(21-1))))</f>
        <v/>
      </c>
      <c r="Z19" s="3" t="str">
        <f>IF(22&gt;$C19,"",IF($D19=1,EOMONTH(EDATE(Bonds!$H19,6*(22-1)),0),EDATE(Bonds!$H19,6*(22-1))))</f>
        <v/>
      </c>
      <c r="AA19" s="3" t="str">
        <f>IF(23&gt;$C19,"",IF($D19=1,EOMONTH(EDATE(Bonds!$H19,6*(23-1)),0),EDATE(Bonds!$H19,6*(23-1))))</f>
        <v/>
      </c>
      <c r="AB19" s="3" t="str">
        <f>IF(24&gt;$C19,"",IF($D19=1,EOMONTH(EDATE(Bonds!$H19,6*(24-1)),0),EDATE(Bonds!$H19,6*(24-1))))</f>
        <v/>
      </c>
      <c r="AC19" s="3" t="str">
        <f>IF(25&gt;$C19,"",IF($D19=1,EOMONTH(EDATE(Bonds!$H19,6*(25-1)),0),EDATE(Bonds!$H19,6*(25-1))))</f>
        <v/>
      </c>
      <c r="AD19" s="3" t="str">
        <f>IF(26&gt;$C19,"",IF($D19=1,EOMONTH(EDATE(Bonds!$H19,6*(26-1)),0),EDATE(Bonds!$H19,6*(26-1))))</f>
        <v/>
      </c>
      <c r="AE19" s="3" t="str">
        <f>IF(27&gt;$C19,"",IF($D19=1,EOMONTH(EDATE(Bonds!$H19,6*(27-1)),0),EDATE(Bonds!$H19,6*(27-1))))</f>
        <v/>
      </c>
      <c r="AF19" s="3" t="str">
        <f>IF(28&gt;$C19,"",IF($D19=1,EOMONTH(EDATE(Bonds!$H19,6*(28-1)),0),EDATE(Bonds!$H19,6*(28-1))))</f>
        <v/>
      </c>
      <c r="AG19" s="3" t="str">
        <f>IF(29&gt;$C19,"",IF($D19=1,EOMONTH(EDATE(Bonds!$H19,6*(29-1)),0),EDATE(Bonds!$H19,6*(29-1))))</f>
        <v/>
      </c>
      <c r="AH19" s="3" t="str">
        <f>IF(30&gt;$C19,"",IF($D19=1,EOMONTH(EDATE(Bonds!$H19,6*(30-1)),0),EDATE(Bonds!$H19,6*(30-1))))</f>
        <v/>
      </c>
      <c r="AI19" s="3" t="str">
        <f>IF(31&gt;$C19,"",IF($D19=1,EOMONTH(EDATE(Bonds!$H19,6*(31-1)),0),EDATE(Bonds!$H19,6*(31-1))))</f>
        <v/>
      </c>
      <c r="AJ19" s="3" t="str">
        <f>IF(32&gt;$C19,"",IF($D19=1,EOMONTH(EDATE(Bonds!$H19,6*(32-1)),0),EDATE(Bonds!$H19,6*(32-1))))</f>
        <v/>
      </c>
      <c r="AK19" s="3" t="str">
        <f>IF(33&gt;$C19,"",IF($D19=1,EOMONTH(EDATE(Bonds!$H19,6*(33-1)),0),EDATE(Bonds!$H19,6*(33-1))))</f>
        <v/>
      </c>
      <c r="AL19" s="3" t="str">
        <f>IF(34&gt;$C19,"",IF($D19=1,EOMONTH(EDATE(Bonds!$H19,6*(34-1)),0),EDATE(Bonds!$H19,6*(34-1))))</f>
        <v/>
      </c>
      <c r="AM19" s="3" t="str">
        <f>IF(35&gt;$C19,"",IF($D19=1,EOMONTH(EDATE(Bonds!$H19,6*(35-1)),0),EDATE(Bonds!$H19,6*(35-1))))</f>
        <v/>
      </c>
      <c r="AN19" s="3" t="str">
        <f>IF(36&gt;$C19,"",IF($D19=1,EOMONTH(EDATE(Bonds!$H19,6*(36-1)),0),EDATE(Bonds!$H19,6*(36-1))))</f>
        <v/>
      </c>
      <c r="AO19" s="3" t="str">
        <f>IF(37&gt;$C19,"",IF($D19=1,EOMONTH(EDATE(Bonds!$H19,6*(37-1)),0),EDATE(Bonds!$H19,6*(37-1))))</f>
        <v/>
      </c>
      <c r="AP19" s="3" t="str">
        <f>IF(38&gt;$C19,"",IF($D19=1,EOMONTH(EDATE(Bonds!$H19,6*(38-1)),0),EDATE(Bonds!$H19,6*(38-1))))</f>
        <v/>
      </c>
      <c r="AQ19" s="3" t="str">
        <f>IF(39&gt;$C19,"",IF($D19=1,EOMONTH(EDATE(Bonds!$H19,6*(39-1)),0),EDATE(Bonds!$H19,6*(39-1))))</f>
        <v/>
      </c>
      <c r="AR19" s="3" t="str">
        <f>IF(40&gt;$C19,"",IF($D19=1,EOMONTH(EDATE(Bonds!$H19,6*(40-1)),0),EDATE(Bonds!$H19,6*(40-1))))</f>
        <v/>
      </c>
      <c r="AS19" s="3" t="str">
        <f>IF(41&gt;$C19,"",IF($D19=1,EOMONTH(EDATE(Bonds!$H19,6*(41-1)),0),EDATE(Bonds!$H19,6*(41-1))))</f>
        <v/>
      </c>
      <c r="AT19" s="3" t="str">
        <f>IF(42&gt;$C19,"",IF($D19=1,EOMONTH(EDATE(Bonds!$H19,6*(42-1)),0),EDATE(Bonds!$H19,6*(42-1))))</f>
        <v/>
      </c>
      <c r="AU19" s="3" t="str">
        <f>IF(43&gt;$C19,"",IF($D19=1,EOMONTH(EDATE(Bonds!$H19,6*(43-1)),0),EDATE(Bonds!$H19,6*(43-1))))</f>
        <v/>
      </c>
      <c r="AV19" s="3" t="str">
        <f>IF(44&gt;$C19,"",IF($D19=1,EOMONTH(EDATE(Bonds!$H19,6*(44-1)),0),EDATE(Bonds!$H19,6*(44-1))))</f>
        <v/>
      </c>
      <c r="AW19" s="3" t="str">
        <f>IF(45&gt;$C19,"",IF($D19=1,EOMONTH(EDATE(Bonds!$H19,6*(45-1)),0),EDATE(Bonds!$H19,6*(45-1))))</f>
        <v/>
      </c>
      <c r="AX19" s="3" t="str">
        <f>IF(46&gt;$C19,"",IF($D19=1,EOMONTH(EDATE(Bonds!$H19,6*(46-1)),0),EDATE(Bonds!$H19,6*(46-1))))</f>
        <v/>
      </c>
      <c r="AY19" s="3" t="str">
        <f>IF(47&gt;$C19,"",IF($D19=1,EOMONTH(EDATE(Bonds!$H19,6*(47-1)),0),EDATE(Bonds!$H19,6*(47-1))))</f>
        <v/>
      </c>
      <c r="AZ19" s="3" t="str">
        <f>IF(48&gt;$C19,"",IF($D19=1,EOMONTH(EDATE(Bonds!$H19,6*(48-1)),0),EDATE(Bonds!$H19,6*(48-1))))</f>
        <v/>
      </c>
      <c r="BA19" s="3" t="str">
        <f>IF(49&gt;$C19,"",IF($D19=1,EOMONTH(EDATE(Bonds!$H19,6*(49-1)),0),EDATE(Bonds!$H19,6*(49-1))))</f>
        <v/>
      </c>
      <c r="BB19" s="3" t="str">
        <f>IF(50&gt;$C19,"",IF($D19=1,EOMONTH(EDATE(Bonds!$H19,6*(50-1)),0),EDATE(Bonds!$H19,6*(50-1))))</f>
        <v/>
      </c>
      <c r="BC19" s="3" t="str">
        <f>IF(51&gt;$C19,"",IF($D19=1,EOMONTH(EDATE(Bonds!$H19,6*(51-1)),0),EDATE(Bonds!$H19,6*(51-1))))</f>
        <v/>
      </c>
      <c r="BD19" s="3" t="str">
        <f>IF(52&gt;$C19,"",IF($D19=1,EOMONTH(EDATE(Bonds!$H19,6*(52-1)),0),EDATE(Bonds!$H19,6*(52-1))))</f>
        <v/>
      </c>
      <c r="BE19" s="3" t="str">
        <f>IF(53&gt;$C19,"",IF($D19=1,EOMONTH(EDATE(Bonds!$H19,6*(53-1)),0),EDATE(Bonds!$H19,6*(53-1))))</f>
        <v/>
      </c>
      <c r="BF19" s="3" t="str">
        <f>IF(54&gt;$C19,"",IF($D19=1,EOMONTH(EDATE(Bonds!$H19,6*(54-1)),0),EDATE(Bonds!$H19,6*(54-1))))</f>
        <v/>
      </c>
      <c r="BG19" s="3" t="str">
        <f>IF(55&gt;$C19,"",IF($D19=1,EOMONTH(EDATE(Bonds!$H19,6*(55-1)),0),EDATE(Bonds!$H19,6*(55-1))))</f>
        <v/>
      </c>
      <c r="BH19" s="3" t="str">
        <f>IF(56&gt;$C19,"",IF($D19=1,EOMONTH(EDATE(Bonds!$H19,6*(56-1)),0),EDATE(Bonds!$H19,6*(56-1))))</f>
        <v/>
      </c>
      <c r="BI19" s="3" t="str">
        <f>IF(57&gt;$C19,"",IF($D19=1,EOMONTH(EDATE(Bonds!$H19,6*(57-1)),0),EDATE(Bonds!$H19,6*(57-1))))</f>
        <v/>
      </c>
      <c r="BJ19" s="3" t="str">
        <f>IF(58&gt;$C19,"",IF($D19=1,EOMONTH(EDATE(Bonds!$H19,6*(58-1)),0),EDATE(Bonds!$H19,6*(58-1))))</f>
        <v/>
      </c>
      <c r="BK19" s="3" t="str">
        <f>IF(59&gt;$C19,"",IF($D19=1,EOMONTH(EDATE(Bonds!$H19,6*(59-1)),0),EDATE(Bonds!$H19,6*(59-1))))</f>
        <v/>
      </c>
      <c r="BL19" s="3" t="str">
        <f>IF(60&gt;$C19,"",IF($D19=1,EOMONTH(EDATE(Bonds!$H19,6*(60-1)),0),EDATE(Bonds!$H19,6*(60-1))))</f>
        <v/>
      </c>
      <c r="BN19" s="7">
        <f t="shared" si="1"/>
        <v>99.763177730239121</v>
      </c>
      <c r="BO19" s="7">
        <f t="shared" si="2"/>
        <v>0</v>
      </c>
      <c r="BP19" s="7">
        <f t="shared" si="3"/>
        <v>0</v>
      </c>
      <c r="BQ19" s="7">
        <f t="shared" si="4"/>
        <v>0</v>
      </c>
      <c r="BR19" s="7">
        <f t="shared" si="5"/>
        <v>0</v>
      </c>
      <c r="BS19" s="7">
        <f t="shared" si="6"/>
        <v>0</v>
      </c>
      <c r="BT19" s="7">
        <f t="shared" si="7"/>
        <v>0</v>
      </c>
      <c r="BU19" s="7">
        <f t="shared" si="8"/>
        <v>0</v>
      </c>
      <c r="BV19" s="7">
        <f t="shared" si="9"/>
        <v>0</v>
      </c>
      <c r="BW19" s="7">
        <f t="shared" si="10"/>
        <v>0</v>
      </c>
      <c r="BX19" s="7">
        <f t="shared" si="11"/>
        <v>0</v>
      </c>
      <c r="BY19" s="7">
        <f t="shared" si="12"/>
        <v>0</v>
      </c>
      <c r="BZ19" s="7">
        <f t="shared" si="13"/>
        <v>0</v>
      </c>
      <c r="CA19" s="7">
        <f t="shared" si="14"/>
        <v>0</v>
      </c>
      <c r="CB19" s="7">
        <f t="shared" si="15"/>
        <v>0</v>
      </c>
      <c r="CC19" s="7">
        <f t="shared" si="16"/>
        <v>0</v>
      </c>
      <c r="CD19" s="7">
        <f t="shared" si="17"/>
        <v>0</v>
      </c>
      <c r="CE19" s="7">
        <f t="shared" si="18"/>
        <v>0</v>
      </c>
      <c r="CF19" s="7">
        <f t="shared" si="19"/>
        <v>0</v>
      </c>
      <c r="CG19" s="7">
        <f t="shared" si="20"/>
        <v>0</v>
      </c>
      <c r="CH19" s="7">
        <f t="shared" si="21"/>
        <v>0</v>
      </c>
      <c r="CI19" s="7">
        <f t="shared" si="22"/>
        <v>0</v>
      </c>
      <c r="CJ19" s="7">
        <f t="shared" si="23"/>
        <v>0</v>
      </c>
      <c r="CK19" s="7">
        <f t="shared" si="24"/>
        <v>0</v>
      </c>
      <c r="CL19" s="7">
        <f t="shared" si="25"/>
        <v>0</v>
      </c>
      <c r="CM19" s="7">
        <f t="shared" si="26"/>
        <v>0</v>
      </c>
      <c r="CN19" s="7">
        <f t="shared" si="27"/>
        <v>0</v>
      </c>
      <c r="CO19" s="7">
        <f t="shared" si="28"/>
        <v>0</v>
      </c>
      <c r="CP19" s="7">
        <f t="shared" si="29"/>
        <v>0</v>
      </c>
      <c r="CQ19" s="7">
        <f t="shared" si="30"/>
        <v>0</v>
      </c>
      <c r="CR19" s="7">
        <f t="shared" si="31"/>
        <v>0</v>
      </c>
      <c r="CS19" s="7">
        <f t="shared" si="32"/>
        <v>0</v>
      </c>
      <c r="CT19" s="7">
        <f t="shared" si="33"/>
        <v>0</v>
      </c>
      <c r="CU19" s="7">
        <f t="shared" si="34"/>
        <v>0</v>
      </c>
      <c r="CV19" s="7">
        <f t="shared" si="35"/>
        <v>0</v>
      </c>
      <c r="CW19" s="7">
        <f t="shared" si="36"/>
        <v>0</v>
      </c>
      <c r="CX19" s="7">
        <f t="shared" si="37"/>
        <v>0</v>
      </c>
      <c r="CY19" s="7">
        <f t="shared" si="38"/>
        <v>0</v>
      </c>
      <c r="CZ19" s="7">
        <f t="shared" si="39"/>
        <v>0</v>
      </c>
      <c r="DA19" s="7">
        <f t="shared" si="40"/>
        <v>0</v>
      </c>
      <c r="DB19" s="7">
        <f t="shared" si="41"/>
        <v>0</v>
      </c>
      <c r="DC19" s="7">
        <f t="shared" si="42"/>
        <v>0</v>
      </c>
      <c r="DD19" s="7">
        <f t="shared" si="43"/>
        <v>0</v>
      </c>
      <c r="DE19" s="7">
        <f t="shared" si="44"/>
        <v>0</v>
      </c>
      <c r="DF19" s="7">
        <f t="shared" si="45"/>
        <v>0</v>
      </c>
      <c r="DG19" s="7">
        <f t="shared" si="46"/>
        <v>0</v>
      </c>
      <c r="DH19" s="7">
        <f t="shared" si="47"/>
        <v>0</v>
      </c>
      <c r="DI19" s="7">
        <f t="shared" si="48"/>
        <v>0</v>
      </c>
      <c r="DJ19" s="7">
        <f t="shared" si="49"/>
        <v>0</v>
      </c>
      <c r="DK19" s="7">
        <f t="shared" si="50"/>
        <v>0</v>
      </c>
      <c r="DL19" s="7">
        <f t="shared" si="51"/>
        <v>0</v>
      </c>
      <c r="DM19" s="7">
        <f t="shared" si="52"/>
        <v>0</v>
      </c>
      <c r="DN19" s="7">
        <f t="shared" si="53"/>
        <v>0</v>
      </c>
      <c r="DO19" s="7">
        <f t="shared" si="54"/>
        <v>0</v>
      </c>
      <c r="DP19" s="7">
        <f t="shared" si="55"/>
        <v>0</v>
      </c>
      <c r="DQ19" s="7">
        <f t="shared" si="56"/>
        <v>0</v>
      </c>
      <c r="DR19" s="7">
        <f t="shared" si="57"/>
        <v>0</v>
      </c>
      <c r="DS19" s="7">
        <f t="shared" si="58"/>
        <v>0</v>
      </c>
      <c r="DT19" s="7">
        <f t="shared" si="59"/>
        <v>0</v>
      </c>
      <c r="DU19" s="7">
        <f t="shared" si="60"/>
        <v>0</v>
      </c>
    </row>
    <row r="20" spans="1:125" x14ac:dyDescent="0.2">
      <c r="A20" s="3">
        <f>Bonds!A20</f>
        <v>46356</v>
      </c>
      <c r="B20" s="4">
        <f>Bonds!B20</f>
        <v>1.625</v>
      </c>
      <c r="C20">
        <f>Bonds!P20</f>
        <v>1</v>
      </c>
      <c r="D20">
        <f t="shared" si="0"/>
        <v>1</v>
      </c>
      <c r="E20" s="3">
        <f>IF(1&gt;$C20,"",IF($D20=1,EOMONTH(EDATE(Bonds!$H20,6*(1-1)),0),EDATE(Bonds!$H20,6*(1-1))))</f>
        <v>46356</v>
      </c>
      <c r="F20" s="3" t="str">
        <f>IF(2&gt;$C20,"",IF($D20=1,EOMONTH(EDATE(Bonds!$H20,6*(2-1)),0),EDATE(Bonds!$H20,6*(2-1))))</f>
        <v/>
      </c>
      <c r="G20" s="3" t="str">
        <f>IF(3&gt;$C20,"",IF($D20=1,EOMONTH(EDATE(Bonds!$H20,6*(3-1)),0),EDATE(Bonds!$H20,6*(3-1))))</f>
        <v/>
      </c>
      <c r="H20" s="3" t="str">
        <f>IF(4&gt;$C20,"",IF($D20=1,EOMONTH(EDATE(Bonds!$H20,6*(4-1)),0),EDATE(Bonds!$H20,6*(4-1))))</f>
        <v/>
      </c>
      <c r="I20" s="3" t="str">
        <f>IF(5&gt;$C20,"",IF($D20=1,EOMONTH(EDATE(Bonds!$H20,6*(5-1)),0),EDATE(Bonds!$H20,6*(5-1))))</f>
        <v/>
      </c>
      <c r="J20" s="3" t="str">
        <f>IF(6&gt;$C20,"",IF($D20=1,EOMONTH(EDATE(Bonds!$H20,6*(6-1)),0),EDATE(Bonds!$H20,6*(6-1))))</f>
        <v/>
      </c>
      <c r="K20" s="3" t="str">
        <f>IF(7&gt;$C20,"",IF($D20=1,EOMONTH(EDATE(Bonds!$H20,6*(7-1)),0),EDATE(Bonds!$H20,6*(7-1))))</f>
        <v/>
      </c>
      <c r="L20" s="3" t="str">
        <f>IF(8&gt;$C20,"",IF($D20=1,EOMONTH(EDATE(Bonds!$H20,6*(8-1)),0),EDATE(Bonds!$H20,6*(8-1))))</f>
        <v/>
      </c>
      <c r="M20" s="3" t="str">
        <f>IF(9&gt;$C20,"",IF($D20=1,EOMONTH(EDATE(Bonds!$H20,6*(9-1)),0),EDATE(Bonds!$H20,6*(9-1))))</f>
        <v/>
      </c>
      <c r="N20" s="3" t="str">
        <f>IF(10&gt;$C20,"",IF($D20=1,EOMONTH(EDATE(Bonds!$H20,6*(10-1)),0),EDATE(Bonds!$H20,6*(10-1))))</f>
        <v/>
      </c>
      <c r="O20" s="3" t="str">
        <f>IF(11&gt;$C20,"",IF($D20=1,EOMONTH(EDATE(Bonds!$H20,6*(11-1)),0),EDATE(Bonds!$H20,6*(11-1))))</f>
        <v/>
      </c>
      <c r="P20" s="3" t="str">
        <f>IF(12&gt;$C20,"",IF($D20=1,EOMONTH(EDATE(Bonds!$H20,6*(12-1)),0),EDATE(Bonds!$H20,6*(12-1))))</f>
        <v/>
      </c>
      <c r="Q20" s="3" t="str">
        <f>IF(13&gt;$C20,"",IF($D20=1,EOMONTH(EDATE(Bonds!$H20,6*(13-1)),0),EDATE(Bonds!$H20,6*(13-1))))</f>
        <v/>
      </c>
      <c r="R20" s="3" t="str">
        <f>IF(14&gt;$C20,"",IF($D20=1,EOMONTH(EDATE(Bonds!$H20,6*(14-1)),0),EDATE(Bonds!$H20,6*(14-1))))</f>
        <v/>
      </c>
      <c r="S20" s="3" t="str">
        <f>IF(15&gt;$C20,"",IF($D20=1,EOMONTH(EDATE(Bonds!$H20,6*(15-1)),0),EDATE(Bonds!$H20,6*(15-1))))</f>
        <v/>
      </c>
      <c r="T20" s="3" t="str">
        <f>IF(16&gt;$C20,"",IF($D20=1,EOMONTH(EDATE(Bonds!$H20,6*(16-1)),0),EDATE(Bonds!$H20,6*(16-1))))</f>
        <v/>
      </c>
      <c r="U20" s="3" t="str">
        <f>IF(17&gt;$C20,"",IF($D20=1,EOMONTH(EDATE(Bonds!$H20,6*(17-1)),0),EDATE(Bonds!$H20,6*(17-1))))</f>
        <v/>
      </c>
      <c r="V20" s="3" t="str">
        <f>IF(18&gt;$C20,"",IF($D20=1,EOMONTH(EDATE(Bonds!$H20,6*(18-1)),0),EDATE(Bonds!$H20,6*(18-1))))</f>
        <v/>
      </c>
      <c r="W20" s="3" t="str">
        <f>IF(19&gt;$C20,"",IF($D20=1,EOMONTH(EDATE(Bonds!$H20,6*(19-1)),0),EDATE(Bonds!$H20,6*(19-1))))</f>
        <v/>
      </c>
      <c r="X20" s="3" t="str">
        <f>IF(20&gt;$C20,"",IF($D20=1,EOMONTH(EDATE(Bonds!$H20,6*(20-1)),0),EDATE(Bonds!$H20,6*(20-1))))</f>
        <v/>
      </c>
      <c r="Y20" s="3" t="str">
        <f>IF(21&gt;$C20,"",IF($D20=1,EOMONTH(EDATE(Bonds!$H20,6*(21-1)),0),EDATE(Bonds!$H20,6*(21-1))))</f>
        <v/>
      </c>
      <c r="Z20" s="3" t="str">
        <f>IF(22&gt;$C20,"",IF($D20=1,EOMONTH(EDATE(Bonds!$H20,6*(22-1)),0),EDATE(Bonds!$H20,6*(22-1))))</f>
        <v/>
      </c>
      <c r="AA20" s="3" t="str">
        <f>IF(23&gt;$C20,"",IF($D20=1,EOMONTH(EDATE(Bonds!$H20,6*(23-1)),0),EDATE(Bonds!$H20,6*(23-1))))</f>
        <v/>
      </c>
      <c r="AB20" s="3" t="str">
        <f>IF(24&gt;$C20,"",IF($D20=1,EOMONTH(EDATE(Bonds!$H20,6*(24-1)),0),EDATE(Bonds!$H20,6*(24-1))))</f>
        <v/>
      </c>
      <c r="AC20" s="3" t="str">
        <f>IF(25&gt;$C20,"",IF($D20=1,EOMONTH(EDATE(Bonds!$H20,6*(25-1)),0),EDATE(Bonds!$H20,6*(25-1))))</f>
        <v/>
      </c>
      <c r="AD20" s="3" t="str">
        <f>IF(26&gt;$C20,"",IF($D20=1,EOMONTH(EDATE(Bonds!$H20,6*(26-1)),0),EDATE(Bonds!$H20,6*(26-1))))</f>
        <v/>
      </c>
      <c r="AE20" s="3" t="str">
        <f>IF(27&gt;$C20,"",IF($D20=1,EOMONTH(EDATE(Bonds!$H20,6*(27-1)),0),EDATE(Bonds!$H20,6*(27-1))))</f>
        <v/>
      </c>
      <c r="AF20" s="3" t="str">
        <f>IF(28&gt;$C20,"",IF($D20=1,EOMONTH(EDATE(Bonds!$H20,6*(28-1)),0),EDATE(Bonds!$H20,6*(28-1))))</f>
        <v/>
      </c>
      <c r="AG20" s="3" t="str">
        <f>IF(29&gt;$C20,"",IF($D20=1,EOMONTH(EDATE(Bonds!$H20,6*(29-1)),0),EDATE(Bonds!$H20,6*(29-1))))</f>
        <v/>
      </c>
      <c r="AH20" s="3" t="str">
        <f>IF(30&gt;$C20,"",IF($D20=1,EOMONTH(EDATE(Bonds!$H20,6*(30-1)),0),EDATE(Bonds!$H20,6*(30-1))))</f>
        <v/>
      </c>
      <c r="AI20" s="3" t="str">
        <f>IF(31&gt;$C20,"",IF($D20=1,EOMONTH(EDATE(Bonds!$H20,6*(31-1)),0),EDATE(Bonds!$H20,6*(31-1))))</f>
        <v/>
      </c>
      <c r="AJ20" s="3" t="str">
        <f>IF(32&gt;$C20,"",IF($D20=1,EOMONTH(EDATE(Bonds!$H20,6*(32-1)),0),EDATE(Bonds!$H20,6*(32-1))))</f>
        <v/>
      </c>
      <c r="AK20" s="3" t="str">
        <f>IF(33&gt;$C20,"",IF($D20=1,EOMONTH(EDATE(Bonds!$H20,6*(33-1)),0),EDATE(Bonds!$H20,6*(33-1))))</f>
        <v/>
      </c>
      <c r="AL20" s="3" t="str">
        <f>IF(34&gt;$C20,"",IF($D20=1,EOMONTH(EDATE(Bonds!$H20,6*(34-1)),0),EDATE(Bonds!$H20,6*(34-1))))</f>
        <v/>
      </c>
      <c r="AM20" s="3" t="str">
        <f>IF(35&gt;$C20,"",IF($D20=1,EOMONTH(EDATE(Bonds!$H20,6*(35-1)),0),EDATE(Bonds!$H20,6*(35-1))))</f>
        <v/>
      </c>
      <c r="AN20" s="3" t="str">
        <f>IF(36&gt;$C20,"",IF($D20=1,EOMONTH(EDATE(Bonds!$H20,6*(36-1)),0),EDATE(Bonds!$H20,6*(36-1))))</f>
        <v/>
      </c>
      <c r="AO20" s="3" t="str">
        <f>IF(37&gt;$C20,"",IF($D20=1,EOMONTH(EDATE(Bonds!$H20,6*(37-1)),0),EDATE(Bonds!$H20,6*(37-1))))</f>
        <v/>
      </c>
      <c r="AP20" s="3" t="str">
        <f>IF(38&gt;$C20,"",IF($D20=1,EOMONTH(EDATE(Bonds!$H20,6*(38-1)),0),EDATE(Bonds!$H20,6*(38-1))))</f>
        <v/>
      </c>
      <c r="AQ20" s="3" t="str">
        <f>IF(39&gt;$C20,"",IF($D20=1,EOMONTH(EDATE(Bonds!$H20,6*(39-1)),0),EDATE(Bonds!$H20,6*(39-1))))</f>
        <v/>
      </c>
      <c r="AR20" s="3" t="str">
        <f>IF(40&gt;$C20,"",IF($D20=1,EOMONTH(EDATE(Bonds!$H20,6*(40-1)),0),EDATE(Bonds!$H20,6*(40-1))))</f>
        <v/>
      </c>
      <c r="AS20" s="3" t="str">
        <f>IF(41&gt;$C20,"",IF($D20=1,EOMONTH(EDATE(Bonds!$H20,6*(41-1)),0),EDATE(Bonds!$H20,6*(41-1))))</f>
        <v/>
      </c>
      <c r="AT20" s="3" t="str">
        <f>IF(42&gt;$C20,"",IF($D20=1,EOMONTH(EDATE(Bonds!$H20,6*(42-1)),0),EDATE(Bonds!$H20,6*(42-1))))</f>
        <v/>
      </c>
      <c r="AU20" s="3" t="str">
        <f>IF(43&gt;$C20,"",IF($D20=1,EOMONTH(EDATE(Bonds!$H20,6*(43-1)),0),EDATE(Bonds!$H20,6*(43-1))))</f>
        <v/>
      </c>
      <c r="AV20" s="3" t="str">
        <f>IF(44&gt;$C20,"",IF($D20=1,EOMONTH(EDATE(Bonds!$H20,6*(44-1)),0),EDATE(Bonds!$H20,6*(44-1))))</f>
        <v/>
      </c>
      <c r="AW20" s="3" t="str">
        <f>IF(45&gt;$C20,"",IF($D20=1,EOMONTH(EDATE(Bonds!$H20,6*(45-1)),0),EDATE(Bonds!$H20,6*(45-1))))</f>
        <v/>
      </c>
      <c r="AX20" s="3" t="str">
        <f>IF(46&gt;$C20,"",IF($D20=1,EOMONTH(EDATE(Bonds!$H20,6*(46-1)),0),EDATE(Bonds!$H20,6*(46-1))))</f>
        <v/>
      </c>
      <c r="AY20" s="3" t="str">
        <f>IF(47&gt;$C20,"",IF($D20=1,EOMONTH(EDATE(Bonds!$H20,6*(47-1)),0),EDATE(Bonds!$H20,6*(47-1))))</f>
        <v/>
      </c>
      <c r="AZ20" s="3" t="str">
        <f>IF(48&gt;$C20,"",IF($D20=1,EOMONTH(EDATE(Bonds!$H20,6*(48-1)),0),EDATE(Bonds!$H20,6*(48-1))))</f>
        <v/>
      </c>
      <c r="BA20" s="3" t="str">
        <f>IF(49&gt;$C20,"",IF($D20=1,EOMONTH(EDATE(Bonds!$H20,6*(49-1)),0),EDATE(Bonds!$H20,6*(49-1))))</f>
        <v/>
      </c>
      <c r="BB20" s="3" t="str">
        <f>IF(50&gt;$C20,"",IF($D20=1,EOMONTH(EDATE(Bonds!$H20,6*(50-1)),0),EDATE(Bonds!$H20,6*(50-1))))</f>
        <v/>
      </c>
      <c r="BC20" s="3" t="str">
        <f>IF(51&gt;$C20,"",IF($D20=1,EOMONTH(EDATE(Bonds!$H20,6*(51-1)),0),EDATE(Bonds!$H20,6*(51-1))))</f>
        <v/>
      </c>
      <c r="BD20" s="3" t="str">
        <f>IF(52&gt;$C20,"",IF($D20=1,EOMONTH(EDATE(Bonds!$H20,6*(52-1)),0),EDATE(Bonds!$H20,6*(52-1))))</f>
        <v/>
      </c>
      <c r="BE20" s="3" t="str">
        <f>IF(53&gt;$C20,"",IF($D20=1,EOMONTH(EDATE(Bonds!$H20,6*(53-1)),0),EDATE(Bonds!$H20,6*(53-1))))</f>
        <v/>
      </c>
      <c r="BF20" s="3" t="str">
        <f>IF(54&gt;$C20,"",IF($D20=1,EOMONTH(EDATE(Bonds!$H20,6*(54-1)),0),EDATE(Bonds!$H20,6*(54-1))))</f>
        <v/>
      </c>
      <c r="BG20" s="3" t="str">
        <f>IF(55&gt;$C20,"",IF($D20=1,EOMONTH(EDATE(Bonds!$H20,6*(55-1)),0),EDATE(Bonds!$H20,6*(55-1))))</f>
        <v/>
      </c>
      <c r="BH20" s="3" t="str">
        <f>IF(56&gt;$C20,"",IF($D20=1,EOMONTH(EDATE(Bonds!$H20,6*(56-1)),0),EDATE(Bonds!$H20,6*(56-1))))</f>
        <v/>
      </c>
      <c r="BI20" s="3" t="str">
        <f>IF(57&gt;$C20,"",IF($D20=1,EOMONTH(EDATE(Bonds!$H20,6*(57-1)),0),EDATE(Bonds!$H20,6*(57-1))))</f>
        <v/>
      </c>
      <c r="BJ20" s="3" t="str">
        <f>IF(58&gt;$C20,"",IF($D20=1,EOMONTH(EDATE(Bonds!$H20,6*(58-1)),0),EDATE(Bonds!$H20,6*(58-1))))</f>
        <v/>
      </c>
      <c r="BK20" s="3" t="str">
        <f>IF(59&gt;$C20,"",IF($D20=1,EOMONTH(EDATE(Bonds!$H20,6*(59-1)),0),EDATE(Bonds!$H20,6*(59-1))))</f>
        <v/>
      </c>
      <c r="BL20" s="3" t="str">
        <f>IF(60&gt;$C20,"",IF($D20=1,EOMONTH(EDATE(Bonds!$H20,6*(60-1)),0),EDATE(Bonds!$H20,6*(60-1))))</f>
        <v/>
      </c>
      <c r="BN20" s="7">
        <f t="shared" si="1"/>
        <v>99.949071850233352</v>
      </c>
      <c r="BO20" s="7">
        <f t="shared" si="2"/>
        <v>0</v>
      </c>
      <c r="BP20" s="7">
        <f t="shared" si="3"/>
        <v>0</v>
      </c>
      <c r="BQ20" s="7">
        <f t="shared" si="4"/>
        <v>0</v>
      </c>
      <c r="BR20" s="7">
        <f t="shared" si="5"/>
        <v>0</v>
      </c>
      <c r="BS20" s="7">
        <f t="shared" si="6"/>
        <v>0</v>
      </c>
      <c r="BT20" s="7">
        <f t="shared" si="7"/>
        <v>0</v>
      </c>
      <c r="BU20" s="7">
        <f t="shared" si="8"/>
        <v>0</v>
      </c>
      <c r="BV20" s="7">
        <f t="shared" si="9"/>
        <v>0</v>
      </c>
      <c r="BW20" s="7">
        <f t="shared" si="10"/>
        <v>0</v>
      </c>
      <c r="BX20" s="7">
        <f t="shared" si="11"/>
        <v>0</v>
      </c>
      <c r="BY20" s="7">
        <f t="shared" si="12"/>
        <v>0</v>
      </c>
      <c r="BZ20" s="7">
        <f t="shared" si="13"/>
        <v>0</v>
      </c>
      <c r="CA20" s="7">
        <f t="shared" si="14"/>
        <v>0</v>
      </c>
      <c r="CB20" s="7">
        <f t="shared" si="15"/>
        <v>0</v>
      </c>
      <c r="CC20" s="7">
        <f t="shared" si="16"/>
        <v>0</v>
      </c>
      <c r="CD20" s="7">
        <f t="shared" si="17"/>
        <v>0</v>
      </c>
      <c r="CE20" s="7">
        <f t="shared" si="18"/>
        <v>0</v>
      </c>
      <c r="CF20" s="7">
        <f t="shared" si="19"/>
        <v>0</v>
      </c>
      <c r="CG20" s="7">
        <f t="shared" si="20"/>
        <v>0</v>
      </c>
      <c r="CH20" s="7">
        <f t="shared" si="21"/>
        <v>0</v>
      </c>
      <c r="CI20" s="7">
        <f t="shared" si="22"/>
        <v>0</v>
      </c>
      <c r="CJ20" s="7">
        <f t="shared" si="23"/>
        <v>0</v>
      </c>
      <c r="CK20" s="7">
        <f t="shared" si="24"/>
        <v>0</v>
      </c>
      <c r="CL20" s="7">
        <f t="shared" si="25"/>
        <v>0</v>
      </c>
      <c r="CM20" s="7">
        <f t="shared" si="26"/>
        <v>0</v>
      </c>
      <c r="CN20" s="7">
        <f t="shared" si="27"/>
        <v>0</v>
      </c>
      <c r="CO20" s="7">
        <f t="shared" si="28"/>
        <v>0</v>
      </c>
      <c r="CP20" s="7">
        <f t="shared" si="29"/>
        <v>0</v>
      </c>
      <c r="CQ20" s="7">
        <f t="shared" si="30"/>
        <v>0</v>
      </c>
      <c r="CR20" s="7">
        <f t="shared" si="31"/>
        <v>0</v>
      </c>
      <c r="CS20" s="7">
        <f t="shared" si="32"/>
        <v>0</v>
      </c>
      <c r="CT20" s="7">
        <f t="shared" si="33"/>
        <v>0</v>
      </c>
      <c r="CU20" s="7">
        <f t="shared" si="34"/>
        <v>0</v>
      </c>
      <c r="CV20" s="7">
        <f t="shared" si="35"/>
        <v>0</v>
      </c>
      <c r="CW20" s="7">
        <f t="shared" si="36"/>
        <v>0</v>
      </c>
      <c r="CX20" s="7">
        <f t="shared" si="37"/>
        <v>0</v>
      </c>
      <c r="CY20" s="7">
        <f t="shared" si="38"/>
        <v>0</v>
      </c>
      <c r="CZ20" s="7">
        <f t="shared" si="39"/>
        <v>0</v>
      </c>
      <c r="DA20" s="7">
        <f t="shared" si="40"/>
        <v>0</v>
      </c>
      <c r="DB20" s="7">
        <f t="shared" si="41"/>
        <v>0</v>
      </c>
      <c r="DC20" s="7">
        <f t="shared" si="42"/>
        <v>0</v>
      </c>
      <c r="DD20" s="7">
        <f t="shared" si="43"/>
        <v>0</v>
      </c>
      <c r="DE20" s="7">
        <f t="shared" si="44"/>
        <v>0</v>
      </c>
      <c r="DF20" s="7">
        <f t="shared" si="45"/>
        <v>0</v>
      </c>
      <c r="DG20" s="7">
        <f t="shared" si="46"/>
        <v>0</v>
      </c>
      <c r="DH20" s="7">
        <f t="shared" si="47"/>
        <v>0</v>
      </c>
      <c r="DI20" s="7">
        <f t="shared" si="48"/>
        <v>0</v>
      </c>
      <c r="DJ20" s="7">
        <f t="shared" si="49"/>
        <v>0</v>
      </c>
      <c r="DK20" s="7">
        <f t="shared" si="50"/>
        <v>0</v>
      </c>
      <c r="DL20" s="7">
        <f t="shared" si="51"/>
        <v>0</v>
      </c>
      <c r="DM20" s="7">
        <f t="shared" si="52"/>
        <v>0</v>
      </c>
      <c r="DN20" s="7">
        <f t="shared" si="53"/>
        <v>0</v>
      </c>
      <c r="DO20" s="7">
        <f t="shared" si="54"/>
        <v>0</v>
      </c>
      <c r="DP20" s="7">
        <f t="shared" si="55"/>
        <v>0</v>
      </c>
      <c r="DQ20" s="7">
        <f t="shared" si="56"/>
        <v>0</v>
      </c>
      <c r="DR20" s="7">
        <f t="shared" si="57"/>
        <v>0</v>
      </c>
      <c r="DS20" s="7">
        <f t="shared" si="58"/>
        <v>0</v>
      </c>
      <c r="DT20" s="7">
        <f t="shared" si="59"/>
        <v>0</v>
      </c>
      <c r="DU20" s="7">
        <f t="shared" si="60"/>
        <v>0</v>
      </c>
    </row>
    <row r="21" spans="1:125" x14ac:dyDescent="0.2">
      <c r="A21" s="3">
        <f>Bonds!A21</f>
        <v>46356</v>
      </c>
      <c r="B21" s="4">
        <f>Bonds!B21</f>
        <v>4.25</v>
      </c>
      <c r="C21">
        <f>Bonds!P21</f>
        <v>1</v>
      </c>
      <c r="D21">
        <f t="shared" si="0"/>
        <v>1</v>
      </c>
      <c r="E21" s="3">
        <f>IF(1&gt;$C21,"",IF($D21=1,EOMONTH(EDATE(Bonds!$H21,6*(1-1)),0),EDATE(Bonds!$H21,6*(1-1))))</f>
        <v>46356</v>
      </c>
      <c r="F21" s="3" t="str">
        <f>IF(2&gt;$C21,"",IF($D21=1,EOMONTH(EDATE(Bonds!$H21,6*(2-1)),0),EDATE(Bonds!$H21,6*(2-1))))</f>
        <v/>
      </c>
      <c r="G21" s="3" t="str">
        <f>IF(3&gt;$C21,"",IF($D21=1,EOMONTH(EDATE(Bonds!$H21,6*(3-1)),0),EDATE(Bonds!$H21,6*(3-1))))</f>
        <v/>
      </c>
      <c r="H21" s="3" t="str">
        <f>IF(4&gt;$C21,"",IF($D21=1,EOMONTH(EDATE(Bonds!$H21,6*(4-1)),0),EDATE(Bonds!$H21,6*(4-1))))</f>
        <v/>
      </c>
      <c r="I21" s="3" t="str">
        <f>IF(5&gt;$C21,"",IF($D21=1,EOMONTH(EDATE(Bonds!$H21,6*(5-1)),0),EDATE(Bonds!$H21,6*(5-1))))</f>
        <v/>
      </c>
      <c r="J21" s="3" t="str">
        <f>IF(6&gt;$C21,"",IF($D21=1,EOMONTH(EDATE(Bonds!$H21,6*(6-1)),0),EDATE(Bonds!$H21,6*(6-1))))</f>
        <v/>
      </c>
      <c r="K21" s="3" t="str">
        <f>IF(7&gt;$C21,"",IF($D21=1,EOMONTH(EDATE(Bonds!$H21,6*(7-1)),0),EDATE(Bonds!$H21,6*(7-1))))</f>
        <v/>
      </c>
      <c r="L21" s="3" t="str">
        <f>IF(8&gt;$C21,"",IF($D21=1,EOMONTH(EDATE(Bonds!$H21,6*(8-1)),0),EDATE(Bonds!$H21,6*(8-1))))</f>
        <v/>
      </c>
      <c r="M21" s="3" t="str">
        <f>IF(9&gt;$C21,"",IF($D21=1,EOMONTH(EDATE(Bonds!$H21,6*(9-1)),0),EDATE(Bonds!$H21,6*(9-1))))</f>
        <v/>
      </c>
      <c r="N21" s="3" t="str">
        <f>IF(10&gt;$C21,"",IF($D21=1,EOMONTH(EDATE(Bonds!$H21,6*(10-1)),0),EDATE(Bonds!$H21,6*(10-1))))</f>
        <v/>
      </c>
      <c r="O21" s="3" t="str">
        <f>IF(11&gt;$C21,"",IF($D21=1,EOMONTH(EDATE(Bonds!$H21,6*(11-1)),0),EDATE(Bonds!$H21,6*(11-1))))</f>
        <v/>
      </c>
      <c r="P21" s="3" t="str">
        <f>IF(12&gt;$C21,"",IF($D21=1,EOMONTH(EDATE(Bonds!$H21,6*(12-1)),0),EDATE(Bonds!$H21,6*(12-1))))</f>
        <v/>
      </c>
      <c r="Q21" s="3" t="str">
        <f>IF(13&gt;$C21,"",IF($D21=1,EOMONTH(EDATE(Bonds!$H21,6*(13-1)),0),EDATE(Bonds!$H21,6*(13-1))))</f>
        <v/>
      </c>
      <c r="R21" s="3" t="str">
        <f>IF(14&gt;$C21,"",IF($D21=1,EOMONTH(EDATE(Bonds!$H21,6*(14-1)),0),EDATE(Bonds!$H21,6*(14-1))))</f>
        <v/>
      </c>
      <c r="S21" s="3" t="str">
        <f>IF(15&gt;$C21,"",IF($D21=1,EOMONTH(EDATE(Bonds!$H21,6*(15-1)),0),EDATE(Bonds!$H21,6*(15-1))))</f>
        <v/>
      </c>
      <c r="T21" s="3" t="str">
        <f>IF(16&gt;$C21,"",IF($D21=1,EOMONTH(EDATE(Bonds!$H21,6*(16-1)),0),EDATE(Bonds!$H21,6*(16-1))))</f>
        <v/>
      </c>
      <c r="U21" s="3" t="str">
        <f>IF(17&gt;$C21,"",IF($D21=1,EOMONTH(EDATE(Bonds!$H21,6*(17-1)),0),EDATE(Bonds!$H21,6*(17-1))))</f>
        <v/>
      </c>
      <c r="V21" s="3" t="str">
        <f>IF(18&gt;$C21,"",IF($D21=1,EOMONTH(EDATE(Bonds!$H21,6*(18-1)),0),EDATE(Bonds!$H21,6*(18-1))))</f>
        <v/>
      </c>
      <c r="W21" s="3" t="str">
        <f>IF(19&gt;$C21,"",IF($D21=1,EOMONTH(EDATE(Bonds!$H21,6*(19-1)),0),EDATE(Bonds!$H21,6*(19-1))))</f>
        <v/>
      </c>
      <c r="X21" s="3" t="str">
        <f>IF(20&gt;$C21,"",IF($D21=1,EOMONTH(EDATE(Bonds!$H21,6*(20-1)),0),EDATE(Bonds!$H21,6*(20-1))))</f>
        <v/>
      </c>
      <c r="Y21" s="3" t="str">
        <f>IF(21&gt;$C21,"",IF($D21=1,EOMONTH(EDATE(Bonds!$H21,6*(21-1)),0),EDATE(Bonds!$H21,6*(21-1))))</f>
        <v/>
      </c>
      <c r="Z21" s="3" t="str">
        <f>IF(22&gt;$C21,"",IF($D21=1,EOMONTH(EDATE(Bonds!$H21,6*(22-1)),0),EDATE(Bonds!$H21,6*(22-1))))</f>
        <v/>
      </c>
      <c r="AA21" s="3" t="str">
        <f>IF(23&gt;$C21,"",IF($D21=1,EOMONTH(EDATE(Bonds!$H21,6*(23-1)),0),EDATE(Bonds!$H21,6*(23-1))))</f>
        <v/>
      </c>
      <c r="AB21" s="3" t="str">
        <f>IF(24&gt;$C21,"",IF($D21=1,EOMONTH(EDATE(Bonds!$H21,6*(24-1)),0),EDATE(Bonds!$H21,6*(24-1))))</f>
        <v/>
      </c>
      <c r="AC21" s="3" t="str">
        <f>IF(25&gt;$C21,"",IF($D21=1,EOMONTH(EDATE(Bonds!$H21,6*(25-1)),0),EDATE(Bonds!$H21,6*(25-1))))</f>
        <v/>
      </c>
      <c r="AD21" s="3" t="str">
        <f>IF(26&gt;$C21,"",IF($D21=1,EOMONTH(EDATE(Bonds!$H21,6*(26-1)),0),EDATE(Bonds!$H21,6*(26-1))))</f>
        <v/>
      </c>
      <c r="AE21" s="3" t="str">
        <f>IF(27&gt;$C21,"",IF($D21=1,EOMONTH(EDATE(Bonds!$H21,6*(27-1)),0),EDATE(Bonds!$H21,6*(27-1))))</f>
        <v/>
      </c>
      <c r="AF21" s="3" t="str">
        <f>IF(28&gt;$C21,"",IF($D21=1,EOMONTH(EDATE(Bonds!$H21,6*(28-1)),0),EDATE(Bonds!$H21,6*(28-1))))</f>
        <v/>
      </c>
      <c r="AG21" s="3" t="str">
        <f>IF(29&gt;$C21,"",IF($D21=1,EOMONTH(EDATE(Bonds!$H21,6*(29-1)),0),EDATE(Bonds!$H21,6*(29-1))))</f>
        <v/>
      </c>
      <c r="AH21" s="3" t="str">
        <f>IF(30&gt;$C21,"",IF($D21=1,EOMONTH(EDATE(Bonds!$H21,6*(30-1)),0),EDATE(Bonds!$H21,6*(30-1))))</f>
        <v/>
      </c>
      <c r="AI21" s="3" t="str">
        <f>IF(31&gt;$C21,"",IF($D21=1,EOMONTH(EDATE(Bonds!$H21,6*(31-1)),0),EDATE(Bonds!$H21,6*(31-1))))</f>
        <v/>
      </c>
      <c r="AJ21" s="3" t="str">
        <f>IF(32&gt;$C21,"",IF($D21=1,EOMONTH(EDATE(Bonds!$H21,6*(32-1)),0),EDATE(Bonds!$H21,6*(32-1))))</f>
        <v/>
      </c>
      <c r="AK21" s="3" t="str">
        <f>IF(33&gt;$C21,"",IF($D21=1,EOMONTH(EDATE(Bonds!$H21,6*(33-1)),0),EDATE(Bonds!$H21,6*(33-1))))</f>
        <v/>
      </c>
      <c r="AL21" s="3" t="str">
        <f>IF(34&gt;$C21,"",IF($D21=1,EOMONTH(EDATE(Bonds!$H21,6*(34-1)),0),EDATE(Bonds!$H21,6*(34-1))))</f>
        <v/>
      </c>
      <c r="AM21" s="3" t="str">
        <f>IF(35&gt;$C21,"",IF($D21=1,EOMONTH(EDATE(Bonds!$H21,6*(35-1)),0),EDATE(Bonds!$H21,6*(35-1))))</f>
        <v/>
      </c>
      <c r="AN21" s="3" t="str">
        <f>IF(36&gt;$C21,"",IF($D21=1,EOMONTH(EDATE(Bonds!$H21,6*(36-1)),0),EDATE(Bonds!$H21,6*(36-1))))</f>
        <v/>
      </c>
      <c r="AO21" s="3" t="str">
        <f>IF(37&gt;$C21,"",IF($D21=1,EOMONTH(EDATE(Bonds!$H21,6*(37-1)),0),EDATE(Bonds!$H21,6*(37-1))))</f>
        <v/>
      </c>
      <c r="AP21" s="3" t="str">
        <f>IF(38&gt;$C21,"",IF($D21=1,EOMONTH(EDATE(Bonds!$H21,6*(38-1)),0),EDATE(Bonds!$H21,6*(38-1))))</f>
        <v/>
      </c>
      <c r="AQ21" s="3" t="str">
        <f>IF(39&gt;$C21,"",IF($D21=1,EOMONTH(EDATE(Bonds!$H21,6*(39-1)),0),EDATE(Bonds!$H21,6*(39-1))))</f>
        <v/>
      </c>
      <c r="AR21" s="3" t="str">
        <f>IF(40&gt;$C21,"",IF($D21=1,EOMONTH(EDATE(Bonds!$H21,6*(40-1)),0),EDATE(Bonds!$H21,6*(40-1))))</f>
        <v/>
      </c>
      <c r="AS21" s="3" t="str">
        <f>IF(41&gt;$C21,"",IF($D21=1,EOMONTH(EDATE(Bonds!$H21,6*(41-1)),0),EDATE(Bonds!$H21,6*(41-1))))</f>
        <v/>
      </c>
      <c r="AT21" s="3" t="str">
        <f>IF(42&gt;$C21,"",IF($D21=1,EOMONTH(EDATE(Bonds!$H21,6*(42-1)),0),EDATE(Bonds!$H21,6*(42-1))))</f>
        <v/>
      </c>
      <c r="AU21" s="3" t="str">
        <f>IF(43&gt;$C21,"",IF($D21=1,EOMONTH(EDATE(Bonds!$H21,6*(43-1)),0),EDATE(Bonds!$H21,6*(43-1))))</f>
        <v/>
      </c>
      <c r="AV21" s="3" t="str">
        <f>IF(44&gt;$C21,"",IF($D21=1,EOMONTH(EDATE(Bonds!$H21,6*(44-1)),0),EDATE(Bonds!$H21,6*(44-1))))</f>
        <v/>
      </c>
      <c r="AW21" s="3" t="str">
        <f>IF(45&gt;$C21,"",IF($D21=1,EOMONTH(EDATE(Bonds!$H21,6*(45-1)),0),EDATE(Bonds!$H21,6*(45-1))))</f>
        <v/>
      </c>
      <c r="AX21" s="3" t="str">
        <f>IF(46&gt;$C21,"",IF($D21=1,EOMONTH(EDATE(Bonds!$H21,6*(46-1)),0),EDATE(Bonds!$H21,6*(46-1))))</f>
        <v/>
      </c>
      <c r="AY21" s="3" t="str">
        <f>IF(47&gt;$C21,"",IF($D21=1,EOMONTH(EDATE(Bonds!$H21,6*(47-1)),0),EDATE(Bonds!$H21,6*(47-1))))</f>
        <v/>
      </c>
      <c r="AZ21" s="3" t="str">
        <f>IF(48&gt;$C21,"",IF($D21=1,EOMONTH(EDATE(Bonds!$H21,6*(48-1)),0),EDATE(Bonds!$H21,6*(48-1))))</f>
        <v/>
      </c>
      <c r="BA21" s="3" t="str">
        <f>IF(49&gt;$C21,"",IF($D21=1,EOMONTH(EDATE(Bonds!$H21,6*(49-1)),0),EDATE(Bonds!$H21,6*(49-1))))</f>
        <v/>
      </c>
      <c r="BB21" s="3" t="str">
        <f>IF(50&gt;$C21,"",IF($D21=1,EOMONTH(EDATE(Bonds!$H21,6*(50-1)),0),EDATE(Bonds!$H21,6*(50-1))))</f>
        <v/>
      </c>
      <c r="BC21" s="3" t="str">
        <f>IF(51&gt;$C21,"",IF($D21=1,EOMONTH(EDATE(Bonds!$H21,6*(51-1)),0),EDATE(Bonds!$H21,6*(51-1))))</f>
        <v/>
      </c>
      <c r="BD21" s="3" t="str">
        <f>IF(52&gt;$C21,"",IF($D21=1,EOMONTH(EDATE(Bonds!$H21,6*(52-1)),0),EDATE(Bonds!$H21,6*(52-1))))</f>
        <v/>
      </c>
      <c r="BE21" s="3" t="str">
        <f>IF(53&gt;$C21,"",IF($D21=1,EOMONTH(EDATE(Bonds!$H21,6*(53-1)),0),EDATE(Bonds!$H21,6*(53-1))))</f>
        <v/>
      </c>
      <c r="BF21" s="3" t="str">
        <f>IF(54&gt;$C21,"",IF($D21=1,EOMONTH(EDATE(Bonds!$H21,6*(54-1)),0),EDATE(Bonds!$H21,6*(54-1))))</f>
        <v/>
      </c>
      <c r="BG21" s="3" t="str">
        <f>IF(55&gt;$C21,"",IF($D21=1,EOMONTH(EDATE(Bonds!$H21,6*(55-1)),0),EDATE(Bonds!$H21,6*(55-1))))</f>
        <v/>
      </c>
      <c r="BH21" s="3" t="str">
        <f>IF(56&gt;$C21,"",IF($D21=1,EOMONTH(EDATE(Bonds!$H21,6*(56-1)),0),EDATE(Bonds!$H21,6*(56-1))))</f>
        <v/>
      </c>
      <c r="BI21" s="3" t="str">
        <f>IF(57&gt;$C21,"",IF($D21=1,EOMONTH(EDATE(Bonds!$H21,6*(57-1)),0),EDATE(Bonds!$H21,6*(57-1))))</f>
        <v/>
      </c>
      <c r="BJ21" s="3" t="str">
        <f>IF(58&gt;$C21,"",IF($D21=1,EOMONTH(EDATE(Bonds!$H21,6*(58-1)),0),EDATE(Bonds!$H21,6*(58-1))))</f>
        <v/>
      </c>
      <c r="BK21" s="3" t="str">
        <f>IF(59&gt;$C21,"",IF($D21=1,EOMONTH(EDATE(Bonds!$H21,6*(59-1)),0),EDATE(Bonds!$H21,6*(59-1))))</f>
        <v/>
      </c>
      <c r="BL21" s="3" t="str">
        <f>IF(60&gt;$C21,"",IF($D21=1,EOMONTH(EDATE(Bonds!$H21,6*(60-1)),0),EDATE(Bonds!$H21,6*(60-1))))</f>
        <v/>
      </c>
      <c r="BN21" s="7">
        <f t="shared" si="1"/>
        <v>101.250330690193</v>
      </c>
      <c r="BO21" s="7">
        <f t="shared" si="2"/>
        <v>0</v>
      </c>
      <c r="BP21" s="7">
        <f t="shared" si="3"/>
        <v>0</v>
      </c>
      <c r="BQ21" s="7">
        <f t="shared" si="4"/>
        <v>0</v>
      </c>
      <c r="BR21" s="7">
        <f t="shared" si="5"/>
        <v>0</v>
      </c>
      <c r="BS21" s="7">
        <f t="shared" si="6"/>
        <v>0</v>
      </c>
      <c r="BT21" s="7">
        <f t="shared" si="7"/>
        <v>0</v>
      </c>
      <c r="BU21" s="7">
        <f t="shared" si="8"/>
        <v>0</v>
      </c>
      <c r="BV21" s="7">
        <f t="shared" si="9"/>
        <v>0</v>
      </c>
      <c r="BW21" s="7">
        <f t="shared" si="10"/>
        <v>0</v>
      </c>
      <c r="BX21" s="7">
        <f t="shared" si="11"/>
        <v>0</v>
      </c>
      <c r="BY21" s="7">
        <f t="shared" si="12"/>
        <v>0</v>
      </c>
      <c r="BZ21" s="7">
        <f t="shared" si="13"/>
        <v>0</v>
      </c>
      <c r="CA21" s="7">
        <f t="shared" si="14"/>
        <v>0</v>
      </c>
      <c r="CB21" s="7">
        <f t="shared" si="15"/>
        <v>0</v>
      </c>
      <c r="CC21" s="7">
        <f t="shared" si="16"/>
        <v>0</v>
      </c>
      <c r="CD21" s="7">
        <f t="shared" si="17"/>
        <v>0</v>
      </c>
      <c r="CE21" s="7">
        <f t="shared" si="18"/>
        <v>0</v>
      </c>
      <c r="CF21" s="7">
        <f t="shared" si="19"/>
        <v>0</v>
      </c>
      <c r="CG21" s="7">
        <f t="shared" si="20"/>
        <v>0</v>
      </c>
      <c r="CH21" s="7">
        <f t="shared" si="21"/>
        <v>0</v>
      </c>
      <c r="CI21" s="7">
        <f t="shared" si="22"/>
        <v>0</v>
      </c>
      <c r="CJ21" s="7">
        <f t="shared" si="23"/>
        <v>0</v>
      </c>
      <c r="CK21" s="7">
        <f t="shared" si="24"/>
        <v>0</v>
      </c>
      <c r="CL21" s="7">
        <f t="shared" si="25"/>
        <v>0</v>
      </c>
      <c r="CM21" s="7">
        <f t="shared" si="26"/>
        <v>0</v>
      </c>
      <c r="CN21" s="7">
        <f t="shared" si="27"/>
        <v>0</v>
      </c>
      <c r="CO21" s="7">
        <f t="shared" si="28"/>
        <v>0</v>
      </c>
      <c r="CP21" s="7">
        <f t="shared" si="29"/>
        <v>0</v>
      </c>
      <c r="CQ21" s="7">
        <f t="shared" si="30"/>
        <v>0</v>
      </c>
      <c r="CR21" s="7">
        <f t="shared" si="31"/>
        <v>0</v>
      </c>
      <c r="CS21" s="7">
        <f t="shared" si="32"/>
        <v>0</v>
      </c>
      <c r="CT21" s="7">
        <f t="shared" si="33"/>
        <v>0</v>
      </c>
      <c r="CU21" s="7">
        <f t="shared" si="34"/>
        <v>0</v>
      </c>
      <c r="CV21" s="7">
        <f t="shared" si="35"/>
        <v>0</v>
      </c>
      <c r="CW21" s="7">
        <f t="shared" si="36"/>
        <v>0</v>
      </c>
      <c r="CX21" s="7">
        <f t="shared" si="37"/>
        <v>0</v>
      </c>
      <c r="CY21" s="7">
        <f t="shared" si="38"/>
        <v>0</v>
      </c>
      <c r="CZ21" s="7">
        <f t="shared" si="39"/>
        <v>0</v>
      </c>
      <c r="DA21" s="7">
        <f t="shared" si="40"/>
        <v>0</v>
      </c>
      <c r="DB21" s="7">
        <f t="shared" si="41"/>
        <v>0</v>
      </c>
      <c r="DC21" s="7">
        <f t="shared" si="42"/>
        <v>0</v>
      </c>
      <c r="DD21" s="7">
        <f t="shared" si="43"/>
        <v>0</v>
      </c>
      <c r="DE21" s="7">
        <f t="shared" si="44"/>
        <v>0</v>
      </c>
      <c r="DF21" s="7">
        <f t="shared" si="45"/>
        <v>0</v>
      </c>
      <c r="DG21" s="7">
        <f t="shared" si="46"/>
        <v>0</v>
      </c>
      <c r="DH21" s="7">
        <f t="shared" si="47"/>
        <v>0</v>
      </c>
      <c r="DI21" s="7">
        <f t="shared" si="48"/>
        <v>0</v>
      </c>
      <c r="DJ21" s="7">
        <f t="shared" si="49"/>
        <v>0</v>
      </c>
      <c r="DK21" s="7">
        <f t="shared" si="50"/>
        <v>0</v>
      </c>
      <c r="DL21" s="7">
        <f t="shared" si="51"/>
        <v>0</v>
      </c>
      <c r="DM21" s="7">
        <f t="shared" si="52"/>
        <v>0</v>
      </c>
      <c r="DN21" s="7">
        <f t="shared" si="53"/>
        <v>0</v>
      </c>
      <c r="DO21" s="7">
        <f t="shared" si="54"/>
        <v>0</v>
      </c>
      <c r="DP21" s="7">
        <f t="shared" si="55"/>
        <v>0</v>
      </c>
      <c r="DQ21" s="7">
        <f t="shared" si="56"/>
        <v>0</v>
      </c>
      <c r="DR21" s="7">
        <f t="shared" si="57"/>
        <v>0</v>
      </c>
      <c r="DS21" s="7">
        <f t="shared" si="58"/>
        <v>0</v>
      </c>
      <c r="DT21" s="7">
        <f t="shared" si="59"/>
        <v>0</v>
      </c>
      <c r="DU21" s="7">
        <f t="shared" si="60"/>
        <v>0</v>
      </c>
    </row>
    <row r="22" spans="1:125" x14ac:dyDescent="0.2">
      <c r="A22" s="3">
        <f>Bonds!A22</f>
        <v>46371</v>
      </c>
      <c r="B22" s="4">
        <f>Bonds!B22</f>
        <v>4.375</v>
      </c>
      <c r="C22">
        <f>Bonds!P22</f>
        <v>1</v>
      </c>
      <c r="D22">
        <f t="shared" si="0"/>
        <v>0</v>
      </c>
      <c r="E22" s="3">
        <f>IF(1&gt;$C22,"",IF($D22=1,EOMONTH(EDATE(Bonds!$H22,6*(1-1)),0),EDATE(Bonds!$H22,6*(1-1))))</f>
        <v>46371</v>
      </c>
      <c r="F22" s="3" t="str">
        <f>IF(2&gt;$C22,"",IF($D22=1,EOMONTH(EDATE(Bonds!$H22,6*(2-1)),0),EDATE(Bonds!$H22,6*(2-1))))</f>
        <v/>
      </c>
      <c r="G22" s="3" t="str">
        <f>IF(3&gt;$C22,"",IF($D22=1,EOMONTH(EDATE(Bonds!$H22,6*(3-1)),0),EDATE(Bonds!$H22,6*(3-1))))</f>
        <v/>
      </c>
      <c r="H22" s="3" t="str">
        <f>IF(4&gt;$C22,"",IF($D22=1,EOMONTH(EDATE(Bonds!$H22,6*(4-1)),0),EDATE(Bonds!$H22,6*(4-1))))</f>
        <v/>
      </c>
      <c r="I22" s="3" t="str">
        <f>IF(5&gt;$C22,"",IF($D22=1,EOMONTH(EDATE(Bonds!$H22,6*(5-1)),0),EDATE(Bonds!$H22,6*(5-1))))</f>
        <v/>
      </c>
      <c r="J22" s="3" t="str">
        <f>IF(6&gt;$C22,"",IF($D22=1,EOMONTH(EDATE(Bonds!$H22,6*(6-1)),0),EDATE(Bonds!$H22,6*(6-1))))</f>
        <v/>
      </c>
      <c r="K22" s="3" t="str">
        <f>IF(7&gt;$C22,"",IF($D22=1,EOMONTH(EDATE(Bonds!$H22,6*(7-1)),0),EDATE(Bonds!$H22,6*(7-1))))</f>
        <v/>
      </c>
      <c r="L22" s="3" t="str">
        <f>IF(8&gt;$C22,"",IF($D22=1,EOMONTH(EDATE(Bonds!$H22,6*(8-1)),0),EDATE(Bonds!$H22,6*(8-1))))</f>
        <v/>
      </c>
      <c r="M22" s="3" t="str">
        <f>IF(9&gt;$C22,"",IF($D22=1,EOMONTH(EDATE(Bonds!$H22,6*(9-1)),0),EDATE(Bonds!$H22,6*(9-1))))</f>
        <v/>
      </c>
      <c r="N22" s="3" t="str">
        <f>IF(10&gt;$C22,"",IF($D22=1,EOMONTH(EDATE(Bonds!$H22,6*(10-1)),0),EDATE(Bonds!$H22,6*(10-1))))</f>
        <v/>
      </c>
      <c r="O22" s="3" t="str">
        <f>IF(11&gt;$C22,"",IF($D22=1,EOMONTH(EDATE(Bonds!$H22,6*(11-1)),0),EDATE(Bonds!$H22,6*(11-1))))</f>
        <v/>
      </c>
      <c r="P22" s="3" t="str">
        <f>IF(12&gt;$C22,"",IF($D22=1,EOMONTH(EDATE(Bonds!$H22,6*(12-1)),0),EDATE(Bonds!$H22,6*(12-1))))</f>
        <v/>
      </c>
      <c r="Q22" s="3" t="str">
        <f>IF(13&gt;$C22,"",IF($D22=1,EOMONTH(EDATE(Bonds!$H22,6*(13-1)),0),EDATE(Bonds!$H22,6*(13-1))))</f>
        <v/>
      </c>
      <c r="R22" s="3" t="str">
        <f>IF(14&gt;$C22,"",IF($D22=1,EOMONTH(EDATE(Bonds!$H22,6*(14-1)),0),EDATE(Bonds!$H22,6*(14-1))))</f>
        <v/>
      </c>
      <c r="S22" s="3" t="str">
        <f>IF(15&gt;$C22,"",IF($D22=1,EOMONTH(EDATE(Bonds!$H22,6*(15-1)),0),EDATE(Bonds!$H22,6*(15-1))))</f>
        <v/>
      </c>
      <c r="T22" s="3" t="str">
        <f>IF(16&gt;$C22,"",IF($D22=1,EOMONTH(EDATE(Bonds!$H22,6*(16-1)),0),EDATE(Bonds!$H22,6*(16-1))))</f>
        <v/>
      </c>
      <c r="U22" s="3" t="str">
        <f>IF(17&gt;$C22,"",IF($D22=1,EOMONTH(EDATE(Bonds!$H22,6*(17-1)),0),EDATE(Bonds!$H22,6*(17-1))))</f>
        <v/>
      </c>
      <c r="V22" s="3" t="str">
        <f>IF(18&gt;$C22,"",IF($D22=1,EOMONTH(EDATE(Bonds!$H22,6*(18-1)),0),EDATE(Bonds!$H22,6*(18-1))))</f>
        <v/>
      </c>
      <c r="W22" s="3" t="str">
        <f>IF(19&gt;$C22,"",IF($D22=1,EOMONTH(EDATE(Bonds!$H22,6*(19-1)),0),EDATE(Bonds!$H22,6*(19-1))))</f>
        <v/>
      </c>
      <c r="X22" s="3" t="str">
        <f>IF(20&gt;$C22,"",IF($D22=1,EOMONTH(EDATE(Bonds!$H22,6*(20-1)),0),EDATE(Bonds!$H22,6*(20-1))))</f>
        <v/>
      </c>
      <c r="Y22" s="3" t="str">
        <f>IF(21&gt;$C22,"",IF($D22=1,EOMONTH(EDATE(Bonds!$H22,6*(21-1)),0),EDATE(Bonds!$H22,6*(21-1))))</f>
        <v/>
      </c>
      <c r="Z22" s="3" t="str">
        <f>IF(22&gt;$C22,"",IF($D22=1,EOMONTH(EDATE(Bonds!$H22,6*(22-1)),0),EDATE(Bonds!$H22,6*(22-1))))</f>
        <v/>
      </c>
      <c r="AA22" s="3" t="str">
        <f>IF(23&gt;$C22,"",IF($D22=1,EOMONTH(EDATE(Bonds!$H22,6*(23-1)),0),EDATE(Bonds!$H22,6*(23-1))))</f>
        <v/>
      </c>
      <c r="AB22" s="3" t="str">
        <f>IF(24&gt;$C22,"",IF($D22=1,EOMONTH(EDATE(Bonds!$H22,6*(24-1)),0),EDATE(Bonds!$H22,6*(24-1))))</f>
        <v/>
      </c>
      <c r="AC22" s="3" t="str">
        <f>IF(25&gt;$C22,"",IF($D22=1,EOMONTH(EDATE(Bonds!$H22,6*(25-1)),0),EDATE(Bonds!$H22,6*(25-1))))</f>
        <v/>
      </c>
      <c r="AD22" s="3" t="str">
        <f>IF(26&gt;$C22,"",IF($D22=1,EOMONTH(EDATE(Bonds!$H22,6*(26-1)),0),EDATE(Bonds!$H22,6*(26-1))))</f>
        <v/>
      </c>
      <c r="AE22" s="3" t="str">
        <f>IF(27&gt;$C22,"",IF($D22=1,EOMONTH(EDATE(Bonds!$H22,6*(27-1)),0),EDATE(Bonds!$H22,6*(27-1))))</f>
        <v/>
      </c>
      <c r="AF22" s="3" t="str">
        <f>IF(28&gt;$C22,"",IF($D22=1,EOMONTH(EDATE(Bonds!$H22,6*(28-1)),0),EDATE(Bonds!$H22,6*(28-1))))</f>
        <v/>
      </c>
      <c r="AG22" s="3" t="str">
        <f>IF(29&gt;$C22,"",IF($D22=1,EOMONTH(EDATE(Bonds!$H22,6*(29-1)),0),EDATE(Bonds!$H22,6*(29-1))))</f>
        <v/>
      </c>
      <c r="AH22" s="3" t="str">
        <f>IF(30&gt;$C22,"",IF($D22=1,EOMONTH(EDATE(Bonds!$H22,6*(30-1)),0),EDATE(Bonds!$H22,6*(30-1))))</f>
        <v/>
      </c>
      <c r="AI22" s="3" t="str">
        <f>IF(31&gt;$C22,"",IF($D22=1,EOMONTH(EDATE(Bonds!$H22,6*(31-1)),0),EDATE(Bonds!$H22,6*(31-1))))</f>
        <v/>
      </c>
      <c r="AJ22" s="3" t="str">
        <f>IF(32&gt;$C22,"",IF($D22=1,EOMONTH(EDATE(Bonds!$H22,6*(32-1)),0),EDATE(Bonds!$H22,6*(32-1))))</f>
        <v/>
      </c>
      <c r="AK22" s="3" t="str">
        <f>IF(33&gt;$C22,"",IF($D22=1,EOMONTH(EDATE(Bonds!$H22,6*(33-1)),0),EDATE(Bonds!$H22,6*(33-1))))</f>
        <v/>
      </c>
      <c r="AL22" s="3" t="str">
        <f>IF(34&gt;$C22,"",IF($D22=1,EOMONTH(EDATE(Bonds!$H22,6*(34-1)),0),EDATE(Bonds!$H22,6*(34-1))))</f>
        <v/>
      </c>
      <c r="AM22" s="3" t="str">
        <f>IF(35&gt;$C22,"",IF($D22=1,EOMONTH(EDATE(Bonds!$H22,6*(35-1)),0),EDATE(Bonds!$H22,6*(35-1))))</f>
        <v/>
      </c>
      <c r="AN22" s="3" t="str">
        <f>IF(36&gt;$C22,"",IF($D22=1,EOMONTH(EDATE(Bonds!$H22,6*(36-1)),0),EDATE(Bonds!$H22,6*(36-1))))</f>
        <v/>
      </c>
      <c r="AO22" s="3" t="str">
        <f>IF(37&gt;$C22,"",IF($D22=1,EOMONTH(EDATE(Bonds!$H22,6*(37-1)),0),EDATE(Bonds!$H22,6*(37-1))))</f>
        <v/>
      </c>
      <c r="AP22" s="3" t="str">
        <f>IF(38&gt;$C22,"",IF($D22=1,EOMONTH(EDATE(Bonds!$H22,6*(38-1)),0),EDATE(Bonds!$H22,6*(38-1))))</f>
        <v/>
      </c>
      <c r="AQ22" s="3" t="str">
        <f>IF(39&gt;$C22,"",IF($D22=1,EOMONTH(EDATE(Bonds!$H22,6*(39-1)),0),EDATE(Bonds!$H22,6*(39-1))))</f>
        <v/>
      </c>
      <c r="AR22" s="3" t="str">
        <f>IF(40&gt;$C22,"",IF($D22=1,EOMONTH(EDATE(Bonds!$H22,6*(40-1)),0),EDATE(Bonds!$H22,6*(40-1))))</f>
        <v/>
      </c>
      <c r="AS22" s="3" t="str">
        <f>IF(41&gt;$C22,"",IF($D22=1,EOMONTH(EDATE(Bonds!$H22,6*(41-1)),0),EDATE(Bonds!$H22,6*(41-1))))</f>
        <v/>
      </c>
      <c r="AT22" s="3" t="str">
        <f>IF(42&gt;$C22,"",IF($D22=1,EOMONTH(EDATE(Bonds!$H22,6*(42-1)),0),EDATE(Bonds!$H22,6*(42-1))))</f>
        <v/>
      </c>
      <c r="AU22" s="3" t="str">
        <f>IF(43&gt;$C22,"",IF($D22=1,EOMONTH(EDATE(Bonds!$H22,6*(43-1)),0),EDATE(Bonds!$H22,6*(43-1))))</f>
        <v/>
      </c>
      <c r="AV22" s="3" t="str">
        <f>IF(44&gt;$C22,"",IF($D22=1,EOMONTH(EDATE(Bonds!$H22,6*(44-1)),0),EDATE(Bonds!$H22,6*(44-1))))</f>
        <v/>
      </c>
      <c r="AW22" s="3" t="str">
        <f>IF(45&gt;$C22,"",IF($D22=1,EOMONTH(EDATE(Bonds!$H22,6*(45-1)),0),EDATE(Bonds!$H22,6*(45-1))))</f>
        <v/>
      </c>
      <c r="AX22" s="3" t="str">
        <f>IF(46&gt;$C22,"",IF($D22=1,EOMONTH(EDATE(Bonds!$H22,6*(46-1)),0),EDATE(Bonds!$H22,6*(46-1))))</f>
        <v/>
      </c>
      <c r="AY22" s="3" t="str">
        <f>IF(47&gt;$C22,"",IF($D22=1,EOMONTH(EDATE(Bonds!$H22,6*(47-1)),0),EDATE(Bonds!$H22,6*(47-1))))</f>
        <v/>
      </c>
      <c r="AZ22" s="3" t="str">
        <f>IF(48&gt;$C22,"",IF($D22=1,EOMONTH(EDATE(Bonds!$H22,6*(48-1)),0),EDATE(Bonds!$H22,6*(48-1))))</f>
        <v/>
      </c>
      <c r="BA22" s="3" t="str">
        <f>IF(49&gt;$C22,"",IF($D22=1,EOMONTH(EDATE(Bonds!$H22,6*(49-1)),0),EDATE(Bonds!$H22,6*(49-1))))</f>
        <v/>
      </c>
      <c r="BB22" s="3" t="str">
        <f>IF(50&gt;$C22,"",IF($D22=1,EOMONTH(EDATE(Bonds!$H22,6*(50-1)),0),EDATE(Bonds!$H22,6*(50-1))))</f>
        <v/>
      </c>
      <c r="BC22" s="3" t="str">
        <f>IF(51&gt;$C22,"",IF($D22=1,EOMONTH(EDATE(Bonds!$H22,6*(51-1)),0),EDATE(Bonds!$H22,6*(51-1))))</f>
        <v/>
      </c>
      <c r="BD22" s="3" t="str">
        <f>IF(52&gt;$C22,"",IF($D22=1,EOMONTH(EDATE(Bonds!$H22,6*(52-1)),0),EDATE(Bonds!$H22,6*(52-1))))</f>
        <v/>
      </c>
      <c r="BE22" s="3" t="str">
        <f>IF(53&gt;$C22,"",IF($D22=1,EOMONTH(EDATE(Bonds!$H22,6*(53-1)),0),EDATE(Bonds!$H22,6*(53-1))))</f>
        <v/>
      </c>
      <c r="BF22" s="3" t="str">
        <f>IF(54&gt;$C22,"",IF($D22=1,EOMONTH(EDATE(Bonds!$H22,6*(54-1)),0),EDATE(Bonds!$H22,6*(54-1))))</f>
        <v/>
      </c>
      <c r="BG22" s="3" t="str">
        <f>IF(55&gt;$C22,"",IF($D22=1,EOMONTH(EDATE(Bonds!$H22,6*(55-1)),0),EDATE(Bonds!$H22,6*(55-1))))</f>
        <v/>
      </c>
      <c r="BH22" s="3" t="str">
        <f>IF(56&gt;$C22,"",IF($D22=1,EOMONTH(EDATE(Bonds!$H22,6*(56-1)),0),EDATE(Bonds!$H22,6*(56-1))))</f>
        <v/>
      </c>
      <c r="BI22" s="3" t="str">
        <f>IF(57&gt;$C22,"",IF($D22=1,EOMONTH(EDATE(Bonds!$H22,6*(57-1)),0),EDATE(Bonds!$H22,6*(57-1))))</f>
        <v/>
      </c>
      <c r="BJ22" s="3" t="str">
        <f>IF(58&gt;$C22,"",IF($D22=1,EOMONTH(EDATE(Bonds!$H22,6*(58-1)),0),EDATE(Bonds!$H22,6*(58-1))))</f>
        <v/>
      </c>
      <c r="BK22" s="3" t="str">
        <f>IF(59&gt;$C22,"",IF($D22=1,EOMONTH(EDATE(Bonds!$H22,6*(59-1)),0),EDATE(Bonds!$H22,6*(59-1))))</f>
        <v/>
      </c>
      <c r="BL22" s="3" t="str">
        <f>IF(60&gt;$C22,"",IF($D22=1,EOMONTH(EDATE(Bonds!$H22,6*(60-1)),0),EDATE(Bonds!$H22,6*(60-1))))</f>
        <v/>
      </c>
      <c r="BN22" s="7">
        <f t="shared" si="1"/>
        <v>101.1481346796251</v>
      </c>
      <c r="BO22" s="7">
        <f t="shared" si="2"/>
        <v>0</v>
      </c>
      <c r="BP22" s="7">
        <f t="shared" si="3"/>
        <v>0</v>
      </c>
      <c r="BQ22" s="7">
        <f t="shared" si="4"/>
        <v>0</v>
      </c>
      <c r="BR22" s="7">
        <f t="shared" si="5"/>
        <v>0</v>
      </c>
      <c r="BS22" s="7">
        <f t="shared" si="6"/>
        <v>0</v>
      </c>
      <c r="BT22" s="7">
        <f t="shared" si="7"/>
        <v>0</v>
      </c>
      <c r="BU22" s="7">
        <f t="shared" si="8"/>
        <v>0</v>
      </c>
      <c r="BV22" s="7">
        <f t="shared" si="9"/>
        <v>0</v>
      </c>
      <c r="BW22" s="7">
        <f t="shared" si="10"/>
        <v>0</v>
      </c>
      <c r="BX22" s="7">
        <f t="shared" si="11"/>
        <v>0</v>
      </c>
      <c r="BY22" s="7">
        <f t="shared" si="12"/>
        <v>0</v>
      </c>
      <c r="BZ22" s="7">
        <f t="shared" si="13"/>
        <v>0</v>
      </c>
      <c r="CA22" s="7">
        <f t="shared" si="14"/>
        <v>0</v>
      </c>
      <c r="CB22" s="7">
        <f t="shared" si="15"/>
        <v>0</v>
      </c>
      <c r="CC22" s="7">
        <f t="shared" si="16"/>
        <v>0</v>
      </c>
      <c r="CD22" s="7">
        <f t="shared" si="17"/>
        <v>0</v>
      </c>
      <c r="CE22" s="7">
        <f t="shared" si="18"/>
        <v>0</v>
      </c>
      <c r="CF22" s="7">
        <f t="shared" si="19"/>
        <v>0</v>
      </c>
      <c r="CG22" s="7">
        <f t="shared" si="20"/>
        <v>0</v>
      </c>
      <c r="CH22" s="7">
        <f t="shared" si="21"/>
        <v>0</v>
      </c>
      <c r="CI22" s="7">
        <f t="shared" si="22"/>
        <v>0</v>
      </c>
      <c r="CJ22" s="7">
        <f t="shared" si="23"/>
        <v>0</v>
      </c>
      <c r="CK22" s="7">
        <f t="shared" si="24"/>
        <v>0</v>
      </c>
      <c r="CL22" s="7">
        <f t="shared" si="25"/>
        <v>0</v>
      </c>
      <c r="CM22" s="7">
        <f t="shared" si="26"/>
        <v>0</v>
      </c>
      <c r="CN22" s="7">
        <f t="shared" si="27"/>
        <v>0</v>
      </c>
      <c r="CO22" s="7">
        <f t="shared" si="28"/>
        <v>0</v>
      </c>
      <c r="CP22" s="7">
        <f t="shared" si="29"/>
        <v>0</v>
      </c>
      <c r="CQ22" s="7">
        <f t="shared" si="30"/>
        <v>0</v>
      </c>
      <c r="CR22" s="7">
        <f t="shared" si="31"/>
        <v>0</v>
      </c>
      <c r="CS22" s="7">
        <f t="shared" si="32"/>
        <v>0</v>
      </c>
      <c r="CT22" s="7">
        <f t="shared" si="33"/>
        <v>0</v>
      </c>
      <c r="CU22" s="7">
        <f t="shared" si="34"/>
        <v>0</v>
      </c>
      <c r="CV22" s="7">
        <f t="shared" si="35"/>
        <v>0</v>
      </c>
      <c r="CW22" s="7">
        <f t="shared" si="36"/>
        <v>0</v>
      </c>
      <c r="CX22" s="7">
        <f t="shared" si="37"/>
        <v>0</v>
      </c>
      <c r="CY22" s="7">
        <f t="shared" si="38"/>
        <v>0</v>
      </c>
      <c r="CZ22" s="7">
        <f t="shared" si="39"/>
        <v>0</v>
      </c>
      <c r="DA22" s="7">
        <f t="shared" si="40"/>
        <v>0</v>
      </c>
      <c r="DB22" s="7">
        <f t="shared" si="41"/>
        <v>0</v>
      </c>
      <c r="DC22" s="7">
        <f t="shared" si="42"/>
        <v>0</v>
      </c>
      <c r="DD22" s="7">
        <f t="shared" si="43"/>
        <v>0</v>
      </c>
      <c r="DE22" s="7">
        <f t="shared" si="44"/>
        <v>0</v>
      </c>
      <c r="DF22" s="7">
        <f t="shared" si="45"/>
        <v>0</v>
      </c>
      <c r="DG22" s="7">
        <f t="shared" si="46"/>
        <v>0</v>
      </c>
      <c r="DH22" s="7">
        <f t="shared" si="47"/>
        <v>0</v>
      </c>
      <c r="DI22" s="7">
        <f t="shared" si="48"/>
        <v>0</v>
      </c>
      <c r="DJ22" s="7">
        <f t="shared" si="49"/>
        <v>0</v>
      </c>
      <c r="DK22" s="7">
        <f t="shared" si="50"/>
        <v>0</v>
      </c>
      <c r="DL22" s="7">
        <f t="shared" si="51"/>
        <v>0</v>
      </c>
      <c r="DM22" s="7">
        <f t="shared" si="52"/>
        <v>0</v>
      </c>
      <c r="DN22" s="7">
        <f t="shared" si="53"/>
        <v>0</v>
      </c>
      <c r="DO22" s="7">
        <f t="shared" si="54"/>
        <v>0</v>
      </c>
      <c r="DP22" s="7">
        <f t="shared" si="55"/>
        <v>0</v>
      </c>
      <c r="DQ22" s="7">
        <f t="shared" si="56"/>
        <v>0</v>
      </c>
      <c r="DR22" s="7">
        <f t="shared" si="57"/>
        <v>0</v>
      </c>
      <c r="DS22" s="7">
        <f t="shared" si="58"/>
        <v>0</v>
      </c>
      <c r="DT22" s="7">
        <f t="shared" si="59"/>
        <v>0</v>
      </c>
      <c r="DU22" s="7">
        <f t="shared" si="60"/>
        <v>0</v>
      </c>
    </row>
    <row r="23" spans="1:125" x14ac:dyDescent="0.2">
      <c r="A23" s="3">
        <f>Bonds!A23</f>
        <v>46387</v>
      </c>
      <c r="B23" s="4">
        <f>Bonds!B23</f>
        <v>1.25</v>
      </c>
      <c r="C23">
        <f>Bonds!P23</f>
        <v>1</v>
      </c>
      <c r="D23">
        <f t="shared" si="0"/>
        <v>1</v>
      </c>
      <c r="E23" s="3">
        <f>IF(1&gt;$C23,"",IF($D23=1,EOMONTH(EDATE(Bonds!$H23,6*(1-1)),0),EDATE(Bonds!$H23,6*(1-1))))</f>
        <v>46387</v>
      </c>
      <c r="F23" s="3" t="str">
        <f>IF(2&gt;$C23,"",IF($D23=1,EOMONTH(EDATE(Bonds!$H23,6*(2-1)),0),EDATE(Bonds!$H23,6*(2-1))))</f>
        <v/>
      </c>
      <c r="G23" s="3" t="str">
        <f>IF(3&gt;$C23,"",IF($D23=1,EOMONTH(EDATE(Bonds!$H23,6*(3-1)),0),EDATE(Bonds!$H23,6*(3-1))))</f>
        <v/>
      </c>
      <c r="H23" s="3" t="str">
        <f>IF(4&gt;$C23,"",IF($D23=1,EOMONTH(EDATE(Bonds!$H23,6*(4-1)),0),EDATE(Bonds!$H23,6*(4-1))))</f>
        <v/>
      </c>
      <c r="I23" s="3" t="str">
        <f>IF(5&gt;$C23,"",IF($D23=1,EOMONTH(EDATE(Bonds!$H23,6*(5-1)),0),EDATE(Bonds!$H23,6*(5-1))))</f>
        <v/>
      </c>
      <c r="J23" s="3" t="str">
        <f>IF(6&gt;$C23,"",IF($D23=1,EOMONTH(EDATE(Bonds!$H23,6*(6-1)),0),EDATE(Bonds!$H23,6*(6-1))))</f>
        <v/>
      </c>
      <c r="K23" s="3" t="str">
        <f>IF(7&gt;$C23,"",IF($D23=1,EOMONTH(EDATE(Bonds!$H23,6*(7-1)),0),EDATE(Bonds!$H23,6*(7-1))))</f>
        <v/>
      </c>
      <c r="L23" s="3" t="str">
        <f>IF(8&gt;$C23,"",IF($D23=1,EOMONTH(EDATE(Bonds!$H23,6*(8-1)),0),EDATE(Bonds!$H23,6*(8-1))))</f>
        <v/>
      </c>
      <c r="M23" s="3" t="str">
        <f>IF(9&gt;$C23,"",IF($D23=1,EOMONTH(EDATE(Bonds!$H23,6*(9-1)),0),EDATE(Bonds!$H23,6*(9-1))))</f>
        <v/>
      </c>
      <c r="N23" s="3" t="str">
        <f>IF(10&gt;$C23,"",IF($D23=1,EOMONTH(EDATE(Bonds!$H23,6*(10-1)),0),EDATE(Bonds!$H23,6*(10-1))))</f>
        <v/>
      </c>
      <c r="O23" s="3" t="str">
        <f>IF(11&gt;$C23,"",IF($D23=1,EOMONTH(EDATE(Bonds!$H23,6*(11-1)),0),EDATE(Bonds!$H23,6*(11-1))))</f>
        <v/>
      </c>
      <c r="P23" s="3" t="str">
        <f>IF(12&gt;$C23,"",IF($D23=1,EOMONTH(EDATE(Bonds!$H23,6*(12-1)),0),EDATE(Bonds!$H23,6*(12-1))))</f>
        <v/>
      </c>
      <c r="Q23" s="3" t="str">
        <f>IF(13&gt;$C23,"",IF($D23=1,EOMONTH(EDATE(Bonds!$H23,6*(13-1)),0),EDATE(Bonds!$H23,6*(13-1))))</f>
        <v/>
      </c>
      <c r="R23" s="3" t="str">
        <f>IF(14&gt;$C23,"",IF($D23=1,EOMONTH(EDATE(Bonds!$H23,6*(14-1)),0),EDATE(Bonds!$H23,6*(14-1))))</f>
        <v/>
      </c>
      <c r="S23" s="3" t="str">
        <f>IF(15&gt;$C23,"",IF($D23=1,EOMONTH(EDATE(Bonds!$H23,6*(15-1)),0),EDATE(Bonds!$H23,6*(15-1))))</f>
        <v/>
      </c>
      <c r="T23" s="3" t="str">
        <f>IF(16&gt;$C23,"",IF($D23=1,EOMONTH(EDATE(Bonds!$H23,6*(16-1)),0),EDATE(Bonds!$H23,6*(16-1))))</f>
        <v/>
      </c>
      <c r="U23" s="3" t="str">
        <f>IF(17&gt;$C23,"",IF($D23=1,EOMONTH(EDATE(Bonds!$H23,6*(17-1)),0),EDATE(Bonds!$H23,6*(17-1))))</f>
        <v/>
      </c>
      <c r="V23" s="3" t="str">
        <f>IF(18&gt;$C23,"",IF($D23=1,EOMONTH(EDATE(Bonds!$H23,6*(18-1)),0),EDATE(Bonds!$H23,6*(18-1))))</f>
        <v/>
      </c>
      <c r="W23" s="3" t="str">
        <f>IF(19&gt;$C23,"",IF($D23=1,EOMONTH(EDATE(Bonds!$H23,6*(19-1)),0),EDATE(Bonds!$H23,6*(19-1))))</f>
        <v/>
      </c>
      <c r="X23" s="3" t="str">
        <f>IF(20&gt;$C23,"",IF($D23=1,EOMONTH(EDATE(Bonds!$H23,6*(20-1)),0),EDATE(Bonds!$H23,6*(20-1))))</f>
        <v/>
      </c>
      <c r="Y23" s="3" t="str">
        <f>IF(21&gt;$C23,"",IF($D23=1,EOMONTH(EDATE(Bonds!$H23,6*(21-1)),0),EDATE(Bonds!$H23,6*(21-1))))</f>
        <v/>
      </c>
      <c r="Z23" s="3" t="str">
        <f>IF(22&gt;$C23,"",IF($D23=1,EOMONTH(EDATE(Bonds!$H23,6*(22-1)),0),EDATE(Bonds!$H23,6*(22-1))))</f>
        <v/>
      </c>
      <c r="AA23" s="3" t="str">
        <f>IF(23&gt;$C23,"",IF($D23=1,EOMONTH(EDATE(Bonds!$H23,6*(23-1)),0),EDATE(Bonds!$H23,6*(23-1))))</f>
        <v/>
      </c>
      <c r="AB23" s="3" t="str">
        <f>IF(24&gt;$C23,"",IF($D23=1,EOMONTH(EDATE(Bonds!$H23,6*(24-1)),0),EDATE(Bonds!$H23,6*(24-1))))</f>
        <v/>
      </c>
      <c r="AC23" s="3" t="str">
        <f>IF(25&gt;$C23,"",IF($D23=1,EOMONTH(EDATE(Bonds!$H23,6*(25-1)),0),EDATE(Bonds!$H23,6*(25-1))))</f>
        <v/>
      </c>
      <c r="AD23" s="3" t="str">
        <f>IF(26&gt;$C23,"",IF($D23=1,EOMONTH(EDATE(Bonds!$H23,6*(26-1)),0),EDATE(Bonds!$H23,6*(26-1))))</f>
        <v/>
      </c>
      <c r="AE23" s="3" t="str">
        <f>IF(27&gt;$C23,"",IF($D23=1,EOMONTH(EDATE(Bonds!$H23,6*(27-1)),0),EDATE(Bonds!$H23,6*(27-1))))</f>
        <v/>
      </c>
      <c r="AF23" s="3" t="str">
        <f>IF(28&gt;$C23,"",IF($D23=1,EOMONTH(EDATE(Bonds!$H23,6*(28-1)),0),EDATE(Bonds!$H23,6*(28-1))))</f>
        <v/>
      </c>
      <c r="AG23" s="3" t="str">
        <f>IF(29&gt;$C23,"",IF($D23=1,EOMONTH(EDATE(Bonds!$H23,6*(29-1)),0),EDATE(Bonds!$H23,6*(29-1))))</f>
        <v/>
      </c>
      <c r="AH23" s="3" t="str">
        <f>IF(30&gt;$C23,"",IF($D23=1,EOMONTH(EDATE(Bonds!$H23,6*(30-1)),0),EDATE(Bonds!$H23,6*(30-1))))</f>
        <v/>
      </c>
      <c r="AI23" s="3" t="str">
        <f>IF(31&gt;$C23,"",IF($D23=1,EOMONTH(EDATE(Bonds!$H23,6*(31-1)),0),EDATE(Bonds!$H23,6*(31-1))))</f>
        <v/>
      </c>
      <c r="AJ23" s="3" t="str">
        <f>IF(32&gt;$C23,"",IF($D23=1,EOMONTH(EDATE(Bonds!$H23,6*(32-1)),0),EDATE(Bonds!$H23,6*(32-1))))</f>
        <v/>
      </c>
      <c r="AK23" s="3" t="str">
        <f>IF(33&gt;$C23,"",IF($D23=1,EOMONTH(EDATE(Bonds!$H23,6*(33-1)),0),EDATE(Bonds!$H23,6*(33-1))))</f>
        <v/>
      </c>
      <c r="AL23" s="3" t="str">
        <f>IF(34&gt;$C23,"",IF($D23=1,EOMONTH(EDATE(Bonds!$H23,6*(34-1)),0),EDATE(Bonds!$H23,6*(34-1))))</f>
        <v/>
      </c>
      <c r="AM23" s="3" t="str">
        <f>IF(35&gt;$C23,"",IF($D23=1,EOMONTH(EDATE(Bonds!$H23,6*(35-1)),0),EDATE(Bonds!$H23,6*(35-1))))</f>
        <v/>
      </c>
      <c r="AN23" s="3" t="str">
        <f>IF(36&gt;$C23,"",IF($D23=1,EOMONTH(EDATE(Bonds!$H23,6*(36-1)),0),EDATE(Bonds!$H23,6*(36-1))))</f>
        <v/>
      </c>
      <c r="AO23" s="3" t="str">
        <f>IF(37&gt;$C23,"",IF($D23=1,EOMONTH(EDATE(Bonds!$H23,6*(37-1)),0),EDATE(Bonds!$H23,6*(37-1))))</f>
        <v/>
      </c>
      <c r="AP23" s="3" t="str">
        <f>IF(38&gt;$C23,"",IF($D23=1,EOMONTH(EDATE(Bonds!$H23,6*(38-1)),0),EDATE(Bonds!$H23,6*(38-1))))</f>
        <v/>
      </c>
      <c r="AQ23" s="3" t="str">
        <f>IF(39&gt;$C23,"",IF($D23=1,EOMONTH(EDATE(Bonds!$H23,6*(39-1)),0),EDATE(Bonds!$H23,6*(39-1))))</f>
        <v/>
      </c>
      <c r="AR23" s="3" t="str">
        <f>IF(40&gt;$C23,"",IF($D23=1,EOMONTH(EDATE(Bonds!$H23,6*(40-1)),0),EDATE(Bonds!$H23,6*(40-1))))</f>
        <v/>
      </c>
      <c r="AS23" s="3" t="str">
        <f>IF(41&gt;$C23,"",IF($D23=1,EOMONTH(EDATE(Bonds!$H23,6*(41-1)),0),EDATE(Bonds!$H23,6*(41-1))))</f>
        <v/>
      </c>
      <c r="AT23" s="3" t="str">
        <f>IF(42&gt;$C23,"",IF($D23=1,EOMONTH(EDATE(Bonds!$H23,6*(42-1)),0),EDATE(Bonds!$H23,6*(42-1))))</f>
        <v/>
      </c>
      <c r="AU23" s="3" t="str">
        <f>IF(43&gt;$C23,"",IF($D23=1,EOMONTH(EDATE(Bonds!$H23,6*(43-1)),0),EDATE(Bonds!$H23,6*(43-1))))</f>
        <v/>
      </c>
      <c r="AV23" s="3" t="str">
        <f>IF(44&gt;$C23,"",IF($D23=1,EOMONTH(EDATE(Bonds!$H23,6*(44-1)),0),EDATE(Bonds!$H23,6*(44-1))))</f>
        <v/>
      </c>
      <c r="AW23" s="3" t="str">
        <f>IF(45&gt;$C23,"",IF($D23=1,EOMONTH(EDATE(Bonds!$H23,6*(45-1)),0),EDATE(Bonds!$H23,6*(45-1))))</f>
        <v/>
      </c>
      <c r="AX23" s="3" t="str">
        <f>IF(46&gt;$C23,"",IF($D23=1,EOMONTH(EDATE(Bonds!$H23,6*(46-1)),0),EDATE(Bonds!$H23,6*(46-1))))</f>
        <v/>
      </c>
      <c r="AY23" s="3" t="str">
        <f>IF(47&gt;$C23,"",IF($D23=1,EOMONTH(EDATE(Bonds!$H23,6*(47-1)),0),EDATE(Bonds!$H23,6*(47-1))))</f>
        <v/>
      </c>
      <c r="AZ23" s="3" t="str">
        <f>IF(48&gt;$C23,"",IF($D23=1,EOMONTH(EDATE(Bonds!$H23,6*(48-1)),0),EDATE(Bonds!$H23,6*(48-1))))</f>
        <v/>
      </c>
      <c r="BA23" s="3" t="str">
        <f>IF(49&gt;$C23,"",IF($D23=1,EOMONTH(EDATE(Bonds!$H23,6*(49-1)),0),EDATE(Bonds!$H23,6*(49-1))))</f>
        <v/>
      </c>
      <c r="BB23" s="3" t="str">
        <f>IF(50&gt;$C23,"",IF($D23=1,EOMONTH(EDATE(Bonds!$H23,6*(50-1)),0),EDATE(Bonds!$H23,6*(50-1))))</f>
        <v/>
      </c>
      <c r="BC23" s="3" t="str">
        <f>IF(51&gt;$C23,"",IF($D23=1,EOMONTH(EDATE(Bonds!$H23,6*(51-1)),0),EDATE(Bonds!$H23,6*(51-1))))</f>
        <v/>
      </c>
      <c r="BD23" s="3" t="str">
        <f>IF(52&gt;$C23,"",IF($D23=1,EOMONTH(EDATE(Bonds!$H23,6*(52-1)),0),EDATE(Bonds!$H23,6*(52-1))))</f>
        <v/>
      </c>
      <c r="BE23" s="3" t="str">
        <f>IF(53&gt;$C23,"",IF($D23=1,EOMONTH(EDATE(Bonds!$H23,6*(53-1)),0),EDATE(Bonds!$H23,6*(53-1))))</f>
        <v/>
      </c>
      <c r="BF23" s="3" t="str">
        <f>IF(54&gt;$C23,"",IF($D23=1,EOMONTH(EDATE(Bonds!$H23,6*(54-1)),0),EDATE(Bonds!$H23,6*(54-1))))</f>
        <v/>
      </c>
      <c r="BG23" s="3" t="str">
        <f>IF(55&gt;$C23,"",IF($D23=1,EOMONTH(EDATE(Bonds!$H23,6*(55-1)),0),EDATE(Bonds!$H23,6*(55-1))))</f>
        <v/>
      </c>
      <c r="BH23" s="3" t="str">
        <f>IF(56&gt;$C23,"",IF($D23=1,EOMONTH(EDATE(Bonds!$H23,6*(56-1)),0),EDATE(Bonds!$H23,6*(56-1))))</f>
        <v/>
      </c>
      <c r="BI23" s="3" t="str">
        <f>IF(57&gt;$C23,"",IF($D23=1,EOMONTH(EDATE(Bonds!$H23,6*(57-1)),0),EDATE(Bonds!$H23,6*(57-1))))</f>
        <v/>
      </c>
      <c r="BJ23" s="3" t="str">
        <f>IF(58&gt;$C23,"",IF($D23=1,EOMONTH(EDATE(Bonds!$H23,6*(58-1)),0),EDATE(Bonds!$H23,6*(58-1))))</f>
        <v/>
      </c>
      <c r="BK23" s="3" t="str">
        <f>IF(59&gt;$C23,"",IF($D23=1,EOMONTH(EDATE(Bonds!$H23,6*(59-1)),0),EDATE(Bonds!$H23,6*(59-1))))</f>
        <v/>
      </c>
      <c r="BL23" s="3" t="str">
        <f>IF(60&gt;$C23,"",IF($D23=1,EOMONTH(EDATE(Bonds!$H23,6*(60-1)),0),EDATE(Bonds!$H23,6*(60-1))))</f>
        <v/>
      </c>
      <c r="BN23" s="7">
        <f t="shared" si="1"/>
        <v>99.427425511092423</v>
      </c>
      <c r="BO23" s="7">
        <f t="shared" si="2"/>
        <v>0</v>
      </c>
      <c r="BP23" s="7">
        <f t="shared" si="3"/>
        <v>0</v>
      </c>
      <c r="BQ23" s="7">
        <f t="shared" si="4"/>
        <v>0</v>
      </c>
      <c r="BR23" s="7">
        <f t="shared" si="5"/>
        <v>0</v>
      </c>
      <c r="BS23" s="7">
        <f t="shared" si="6"/>
        <v>0</v>
      </c>
      <c r="BT23" s="7">
        <f t="shared" si="7"/>
        <v>0</v>
      </c>
      <c r="BU23" s="7">
        <f t="shared" si="8"/>
        <v>0</v>
      </c>
      <c r="BV23" s="7">
        <f t="shared" si="9"/>
        <v>0</v>
      </c>
      <c r="BW23" s="7">
        <f t="shared" si="10"/>
        <v>0</v>
      </c>
      <c r="BX23" s="7">
        <f t="shared" si="11"/>
        <v>0</v>
      </c>
      <c r="BY23" s="7">
        <f t="shared" si="12"/>
        <v>0</v>
      </c>
      <c r="BZ23" s="7">
        <f t="shared" si="13"/>
        <v>0</v>
      </c>
      <c r="CA23" s="7">
        <f t="shared" si="14"/>
        <v>0</v>
      </c>
      <c r="CB23" s="7">
        <f t="shared" si="15"/>
        <v>0</v>
      </c>
      <c r="CC23" s="7">
        <f t="shared" si="16"/>
        <v>0</v>
      </c>
      <c r="CD23" s="7">
        <f t="shared" si="17"/>
        <v>0</v>
      </c>
      <c r="CE23" s="7">
        <f t="shared" si="18"/>
        <v>0</v>
      </c>
      <c r="CF23" s="7">
        <f t="shared" si="19"/>
        <v>0</v>
      </c>
      <c r="CG23" s="7">
        <f t="shared" si="20"/>
        <v>0</v>
      </c>
      <c r="CH23" s="7">
        <f t="shared" si="21"/>
        <v>0</v>
      </c>
      <c r="CI23" s="7">
        <f t="shared" si="22"/>
        <v>0</v>
      </c>
      <c r="CJ23" s="7">
        <f t="shared" si="23"/>
        <v>0</v>
      </c>
      <c r="CK23" s="7">
        <f t="shared" si="24"/>
        <v>0</v>
      </c>
      <c r="CL23" s="7">
        <f t="shared" si="25"/>
        <v>0</v>
      </c>
      <c r="CM23" s="7">
        <f t="shared" si="26"/>
        <v>0</v>
      </c>
      <c r="CN23" s="7">
        <f t="shared" si="27"/>
        <v>0</v>
      </c>
      <c r="CO23" s="7">
        <f t="shared" si="28"/>
        <v>0</v>
      </c>
      <c r="CP23" s="7">
        <f t="shared" si="29"/>
        <v>0</v>
      </c>
      <c r="CQ23" s="7">
        <f t="shared" si="30"/>
        <v>0</v>
      </c>
      <c r="CR23" s="7">
        <f t="shared" si="31"/>
        <v>0</v>
      </c>
      <c r="CS23" s="7">
        <f t="shared" si="32"/>
        <v>0</v>
      </c>
      <c r="CT23" s="7">
        <f t="shared" si="33"/>
        <v>0</v>
      </c>
      <c r="CU23" s="7">
        <f t="shared" si="34"/>
        <v>0</v>
      </c>
      <c r="CV23" s="7">
        <f t="shared" si="35"/>
        <v>0</v>
      </c>
      <c r="CW23" s="7">
        <f t="shared" si="36"/>
        <v>0</v>
      </c>
      <c r="CX23" s="7">
        <f t="shared" si="37"/>
        <v>0</v>
      </c>
      <c r="CY23" s="7">
        <f t="shared" si="38"/>
        <v>0</v>
      </c>
      <c r="CZ23" s="7">
        <f t="shared" si="39"/>
        <v>0</v>
      </c>
      <c r="DA23" s="7">
        <f t="shared" si="40"/>
        <v>0</v>
      </c>
      <c r="DB23" s="7">
        <f t="shared" si="41"/>
        <v>0</v>
      </c>
      <c r="DC23" s="7">
        <f t="shared" si="42"/>
        <v>0</v>
      </c>
      <c r="DD23" s="7">
        <f t="shared" si="43"/>
        <v>0</v>
      </c>
      <c r="DE23" s="7">
        <f t="shared" si="44"/>
        <v>0</v>
      </c>
      <c r="DF23" s="7">
        <f t="shared" si="45"/>
        <v>0</v>
      </c>
      <c r="DG23" s="7">
        <f t="shared" si="46"/>
        <v>0</v>
      </c>
      <c r="DH23" s="7">
        <f t="shared" si="47"/>
        <v>0</v>
      </c>
      <c r="DI23" s="7">
        <f t="shared" si="48"/>
        <v>0</v>
      </c>
      <c r="DJ23" s="7">
        <f t="shared" si="49"/>
        <v>0</v>
      </c>
      <c r="DK23" s="7">
        <f t="shared" si="50"/>
        <v>0</v>
      </c>
      <c r="DL23" s="7">
        <f t="shared" si="51"/>
        <v>0</v>
      </c>
      <c r="DM23" s="7">
        <f t="shared" si="52"/>
        <v>0</v>
      </c>
      <c r="DN23" s="7">
        <f t="shared" si="53"/>
        <v>0</v>
      </c>
      <c r="DO23" s="7">
        <f t="shared" si="54"/>
        <v>0</v>
      </c>
      <c r="DP23" s="7">
        <f t="shared" si="55"/>
        <v>0</v>
      </c>
      <c r="DQ23" s="7">
        <f t="shared" si="56"/>
        <v>0</v>
      </c>
      <c r="DR23" s="7">
        <f t="shared" si="57"/>
        <v>0</v>
      </c>
      <c r="DS23" s="7">
        <f t="shared" si="58"/>
        <v>0</v>
      </c>
      <c r="DT23" s="7">
        <f t="shared" si="59"/>
        <v>0</v>
      </c>
      <c r="DU23" s="7">
        <f t="shared" si="60"/>
        <v>0</v>
      </c>
    </row>
    <row r="24" spans="1:125" x14ac:dyDescent="0.2">
      <c r="A24" s="3">
        <f>Bonds!A24</f>
        <v>46387</v>
      </c>
      <c r="B24" s="4">
        <f>Bonds!B24</f>
        <v>1.75</v>
      </c>
      <c r="C24">
        <f>Bonds!P24</f>
        <v>1</v>
      </c>
      <c r="D24">
        <f t="shared" si="0"/>
        <v>1</v>
      </c>
      <c r="E24" s="3">
        <f>IF(1&gt;$C24,"",IF($D24=1,EOMONTH(EDATE(Bonds!$H24,6*(1-1)),0),EDATE(Bonds!$H24,6*(1-1))))</f>
        <v>46387</v>
      </c>
      <c r="F24" s="3" t="str">
        <f>IF(2&gt;$C24,"",IF($D24=1,EOMONTH(EDATE(Bonds!$H24,6*(2-1)),0),EDATE(Bonds!$H24,6*(2-1))))</f>
        <v/>
      </c>
      <c r="G24" s="3" t="str">
        <f>IF(3&gt;$C24,"",IF($D24=1,EOMONTH(EDATE(Bonds!$H24,6*(3-1)),0),EDATE(Bonds!$H24,6*(3-1))))</f>
        <v/>
      </c>
      <c r="H24" s="3" t="str">
        <f>IF(4&gt;$C24,"",IF($D24=1,EOMONTH(EDATE(Bonds!$H24,6*(4-1)),0),EDATE(Bonds!$H24,6*(4-1))))</f>
        <v/>
      </c>
      <c r="I24" s="3" t="str">
        <f>IF(5&gt;$C24,"",IF($D24=1,EOMONTH(EDATE(Bonds!$H24,6*(5-1)),0),EDATE(Bonds!$H24,6*(5-1))))</f>
        <v/>
      </c>
      <c r="J24" s="3" t="str">
        <f>IF(6&gt;$C24,"",IF($D24=1,EOMONTH(EDATE(Bonds!$H24,6*(6-1)),0),EDATE(Bonds!$H24,6*(6-1))))</f>
        <v/>
      </c>
      <c r="K24" s="3" t="str">
        <f>IF(7&gt;$C24,"",IF($D24=1,EOMONTH(EDATE(Bonds!$H24,6*(7-1)),0),EDATE(Bonds!$H24,6*(7-1))))</f>
        <v/>
      </c>
      <c r="L24" s="3" t="str">
        <f>IF(8&gt;$C24,"",IF($D24=1,EOMONTH(EDATE(Bonds!$H24,6*(8-1)),0),EDATE(Bonds!$H24,6*(8-1))))</f>
        <v/>
      </c>
      <c r="M24" s="3" t="str">
        <f>IF(9&gt;$C24,"",IF($D24=1,EOMONTH(EDATE(Bonds!$H24,6*(9-1)),0),EDATE(Bonds!$H24,6*(9-1))))</f>
        <v/>
      </c>
      <c r="N24" s="3" t="str">
        <f>IF(10&gt;$C24,"",IF($D24=1,EOMONTH(EDATE(Bonds!$H24,6*(10-1)),0),EDATE(Bonds!$H24,6*(10-1))))</f>
        <v/>
      </c>
      <c r="O24" s="3" t="str">
        <f>IF(11&gt;$C24,"",IF($D24=1,EOMONTH(EDATE(Bonds!$H24,6*(11-1)),0),EDATE(Bonds!$H24,6*(11-1))))</f>
        <v/>
      </c>
      <c r="P24" s="3" t="str">
        <f>IF(12&gt;$C24,"",IF($D24=1,EOMONTH(EDATE(Bonds!$H24,6*(12-1)),0),EDATE(Bonds!$H24,6*(12-1))))</f>
        <v/>
      </c>
      <c r="Q24" s="3" t="str">
        <f>IF(13&gt;$C24,"",IF($D24=1,EOMONTH(EDATE(Bonds!$H24,6*(13-1)),0),EDATE(Bonds!$H24,6*(13-1))))</f>
        <v/>
      </c>
      <c r="R24" s="3" t="str">
        <f>IF(14&gt;$C24,"",IF($D24=1,EOMONTH(EDATE(Bonds!$H24,6*(14-1)),0),EDATE(Bonds!$H24,6*(14-1))))</f>
        <v/>
      </c>
      <c r="S24" s="3" t="str">
        <f>IF(15&gt;$C24,"",IF($D24=1,EOMONTH(EDATE(Bonds!$H24,6*(15-1)),0),EDATE(Bonds!$H24,6*(15-1))))</f>
        <v/>
      </c>
      <c r="T24" s="3" t="str">
        <f>IF(16&gt;$C24,"",IF($D24=1,EOMONTH(EDATE(Bonds!$H24,6*(16-1)),0),EDATE(Bonds!$H24,6*(16-1))))</f>
        <v/>
      </c>
      <c r="U24" s="3" t="str">
        <f>IF(17&gt;$C24,"",IF($D24=1,EOMONTH(EDATE(Bonds!$H24,6*(17-1)),0),EDATE(Bonds!$H24,6*(17-1))))</f>
        <v/>
      </c>
      <c r="V24" s="3" t="str">
        <f>IF(18&gt;$C24,"",IF($D24=1,EOMONTH(EDATE(Bonds!$H24,6*(18-1)),0),EDATE(Bonds!$H24,6*(18-1))))</f>
        <v/>
      </c>
      <c r="W24" s="3" t="str">
        <f>IF(19&gt;$C24,"",IF($D24=1,EOMONTH(EDATE(Bonds!$H24,6*(19-1)),0),EDATE(Bonds!$H24,6*(19-1))))</f>
        <v/>
      </c>
      <c r="X24" s="3" t="str">
        <f>IF(20&gt;$C24,"",IF($D24=1,EOMONTH(EDATE(Bonds!$H24,6*(20-1)),0),EDATE(Bonds!$H24,6*(20-1))))</f>
        <v/>
      </c>
      <c r="Y24" s="3" t="str">
        <f>IF(21&gt;$C24,"",IF($D24=1,EOMONTH(EDATE(Bonds!$H24,6*(21-1)),0),EDATE(Bonds!$H24,6*(21-1))))</f>
        <v/>
      </c>
      <c r="Z24" s="3" t="str">
        <f>IF(22&gt;$C24,"",IF($D24=1,EOMONTH(EDATE(Bonds!$H24,6*(22-1)),0),EDATE(Bonds!$H24,6*(22-1))))</f>
        <v/>
      </c>
      <c r="AA24" s="3" t="str">
        <f>IF(23&gt;$C24,"",IF($D24=1,EOMONTH(EDATE(Bonds!$H24,6*(23-1)),0),EDATE(Bonds!$H24,6*(23-1))))</f>
        <v/>
      </c>
      <c r="AB24" s="3" t="str">
        <f>IF(24&gt;$C24,"",IF($D24=1,EOMONTH(EDATE(Bonds!$H24,6*(24-1)),0),EDATE(Bonds!$H24,6*(24-1))))</f>
        <v/>
      </c>
      <c r="AC24" s="3" t="str">
        <f>IF(25&gt;$C24,"",IF($D24=1,EOMONTH(EDATE(Bonds!$H24,6*(25-1)),0),EDATE(Bonds!$H24,6*(25-1))))</f>
        <v/>
      </c>
      <c r="AD24" s="3" t="str">
        <f>IF(26&gt;$C24,"",IF($D24=1,EOMONTH(EDATE(Bonds!$H24,6*(26-1)),0),EDATE(Bonds!$H24,6*(26-1))))</f>
        <v/>
      </c>
      <c r="AE24" s="3" t="str">
        <f>IF(27&gt;$C24,"",IF($D24=1,EOMONTH(EDATE(Bonds!$H24,6*(27-1)),0),EDATE(Bonds!$H24,6*(27-1))))</f>
        <v/>
      </c>
      <c r="AF24" s="3" t="str">
        <f>IF(28&gt;$C24,"",IF($D24=1,EOMONTH(EDATE(Bonds!$H24,6*(28-1)),0),EDATE(Bonds!$H24,6*(28-1))))</f>
        <v/>
      </c>
      <c r="AG24" s="3" t="str">
        <f>IF(29&gt;$C24,"",IF($D24=1,EOMONTH(EDATE(Bonds!$H24,6*(29-1)),0),EDATE(Bonds!$H24,6*(29-1))))</f>
        <v/>
      </c>
      <c r="AH24" s="3" t="str">
        <f>IF(30&gt;$C24,"",IF($D24=1,EOMONTH(EDATE(Bonds!$H24,6*(30-1)),0),EDATE(Bonds!$H24,6*(30-1))))</f>
        <v/>
      </c>
      <c r="AI24" s="3" t="str">
        <f>IF(31&gt;$C24,"",IF($D24=1,EOMONTH(EDATE(Bonds!$H24,6*(31-1)),0),EDATE(Bonds!$H24,6*(31-1))))</f>
        <v/>
      </c>
      <c r="AJ24" s="3" t="str">
        <f>IF(32&gt;$C24,"",IF($D24=1,EOMONTH(EDATE(Bonds!$H24,6*(32-1)),0),EDATE(Bonds!$H24,6*(32-1))))</f>
        <v/>
      </c>
      <c r="AK24" s="3" t="str">
        <f>IF(33&gt;$C24,"",IF($D24=1,EOMONTH(EDATE(Bonds!$H24,6*(33-1)),0),EDATE(Bonds!$H24,6*(33-1))))</f>
        <v/>
      </c>
      <c r="AL24" s="3" t="str">
        <f>IF(34&gt;$C24,"",IF($D24=1,EOMONTH(EDATE(Bonds!$H24,6*(34-1)),0),EDATE(Bonds!$H24,6*(34-1))))</f>
        <v/>
      </c>
      <c r="AM24" s="3" t="str">
        <f>IF(35&gt;$C24,"",IF($D24=1,EOMONTH(EDATE(Bonds!$H24,6*(35-1)),0),EDATE(Bonds!$H24,6*(35-1))))</f>
        <v/>
      </c>
      <c r="AN24" s="3" t="str">
        <f>IF(36&gt;$C24,"",IF($D24=1,EOMONTH(EDATE(Bonds!$H24,6*(36-1)),0),EDATE(Bonds!$H24,6*(36-1))))</f>
        <v/>
      </c>
      <c r="AO24" s="3" t="str">
        <f>IF(37&gt;$C24,"",IF($D24=1,EOMONTH(EDATE(Bonds!$H24,6*(37-1)),0),EDATE(Bonds!$H24,6*(37-1))))</f>
        <v/>
      </c>
      <c r="AP24" s="3" t="str">
        <f>IF(38&gt;$C24,"",IF($D24=1,EOMONTH(EDATE(Bonds!$H24,6*(38-1)),0),EDATE(Bonds!$H24,6*(38-1))))</f>
        <v/>
      </c>
      <c r="AQ24" s="3" t="str">
        <f>IF(39&gt;$C24,"",IF($D24=1,EOMONTH(EDATE(Bonds!$H24,6*(39-1)),0),EDATE(Bonds!$H24,6*(39-1))))</f>
        <v/>
      </c>
      <c r="AR24" s="3" t="str">
        <f>IF(40&gt;$C24,"",IF($D24=1,EOMONTH(EDATE(Bonds!$H24,6*(40-1)),0),EDATE(Bonds!$H24,6*(40-1))))</f>
        <v/>
      </c>
      <c r="AS24" s="3" t="str">
        <f>IF(41&gt;$C24,"",IF($D24=1,EOMONTH(EDATE(Bonds!$H24,6*(41-1)),0),EDATE(Bonds!$H24,6*(41-1))))</f>
        <v/>
      </c>
      <c r="AT24" s="3" t="str">
        <f>IF(42&gt;$C24,"",IF($D24=1,EOMONTH(EDATE(Bonds!$H24,6*(42-1)),0),EDATE(Bonds!$H24,6*(42-1))))</f>
        <v/>
      </c>
      <c r="AU24" s="3" t="str">
        <f>IF(43&gt;$C24,"",IF($D24=1,EOMONTH(EDATE(Bonds!$H24,6*(43-1)),0),EDATE(Bonds!$H24,6*(43-1))))</f>
        <v/>
      </c>
      <c r="AV24" s="3" t="str">
        <f>IF(44&gt;$C24,"",IF($D24=1,EOMONTH(EDATE(Bonds!$H24,6*(44-1)),0),EDATE(Bonds!$H24,6*(44-1))))</f>
        <v/>
      </c>
      <c r="AW24" s="3" t="str">
        <f>IF(45&gt;$C24,"",IF($D24=1,EOMONTH(EDATE(Bonds!$H24,6*(45-1)),0),EDATE(Bonds!$H24,6*(45-1))))</f>
        <v/>
      </c>
      <c r="AX24" s="3" t="str">
        <f>IF(46&gt;$C24,"",IF($D24=1,EOMONTH(EDATE(Bonds!$H24,6*(46-1)),0),EDATE(Bonds!$H24,6*(46-1))))</f>
        <v/>
      </c>
      <c r="AY24" s="3" t="str">
        <f>IF(47&gt;$C24,"",IF($D24=1,EOMONTH(EDATE(Bonds!$H24,6*(47-1)),0),EDATE(Bonds!$H24,6*(47-1))))</f>
        <v/>
      </c>
      <c r="AZ24" s="3" t="str">
        <f>IF(48&gt;$C24,"",IF($D24=1,EOMONTH(EDATE(Bonds!$H24,6*(48-1)),0),EDATE(Bonds!$H24,6*(48-1))))</f>
        <v/>
      </c>
      <c r="BA24" s="3" t="str">
        <f>IF(49&gt;$C24,"",IF($D24=1,EOMONTH(EDATE(Bonds!$H24,6*(49-1)),0),EDATE(Bonds!$H24,6*(49-1))))</f>
        <v/>
      </c>
      <c r="BB24" s="3" t="str">
        <f>IF(50&gt;$C24,"",IF($D24=1,EOMONTH(EDATE(Bonds!$H24,6*(50-1)),0),EDATE(Bonds!$H24,6*(50-1))))</f>
        <v/>
      </c>
      <c r="BC24" s="3" t="str">
        <f>IF(51&gt;$C24,"",IF($D24=1,EOMONTH(EDATE(Bonds!$H24,6*(51-1)),0),EDATE(Bonds!$H24,6*(51-1))))</f>
        <v/>
      </c>
      <c r="BD24" s="3" t="str">
        <f>IF(52&gt;$C24,"",IF($D24=1,EOMONTH(EDATE(Bonds!$H24,6*(52-1)),0),EDATE(Bonds!$H24,6*(52-1))))</f>
        <v/>
      </c>
      <c r="BE24" s="3" t="str">
        <f>IF(53&gt;$C24,"",IF($D24=1,EOMONTH(EDATE(Bonds!$H24,6*(53-1)),0),EDATE(Bonds!$H24,6*(53-1))))</f>
        <v/>
      </c>
      <c r="BF24" s="3" t="str">
        <f>IF(54&gt;$C24,"",IF($D24=1,EOMONTH(EDATE(Bonds!$H24,6*(54-1)),0),EDATE(Bonds!$H24,6*(54-1))))</f>
        <v/>
      </c>
      <c r="BG24" s="3" t="str">
        <f>IF(55&gt;$C24,"",IF($D24=1,EOMONTH(EDATE(Bonds!$H24,6*(55-1)),0),EDATE(Bonds!$H24,6*(55-1))))</f>
        <v/>
      </c>
      <c r="BH24" s="3" t="str">
        <f>IF(56&gt;$C24,"",IF($D24=1,EOMONTH(EDATE(Bonds!$H24,6*(56-1)),0),EDATE(Bonds!$H24,6*(56-1))))</f>
        <v/>
      </c>
      <c r="BI24" s="3" t="str">
        <f>IF(57&gt;$C24,"",IF($D24=1,EOMONTH(EDATE(Bonds!$H24,6*(57-1)),0),EDATE(Bonds!$H24,6*(57-1))))</f>
        <v/>
      </c>
      <c r="BJ24" s="3" t="str">
        <f>IF(58&gt;$C24,"",IF($D24=1,EOMONTH(EDATE(Bonds!$H24,6*(58-1)),0),EDATE(Bonds!$H24,6*(58-1))))</f>
        <v/>
      </c>
      <c r="BK24" s="3" t="str">
        <f>IF(59&gt;$C24,"",IF($D24=1,EOMONTH(EDATE(Bonds!$H24,6*(59-1)),0),EDATE(Bonds!$H24,6*(59-1))))</f>
        <v/>
      </c>
      <c r="BL24" s="3" t="str">
        <f>IF(60&gt;$C24,"",IF($D24=1,EOMONTH(EDATE(Bonds!$H24,6*(60-1)),0),EDATE(Bonds!$H24,6*(60-1))))</f>
        <v/>
      </c>
      <c r="BN24" s="7">
        <f t="shared" si="1"/>
        <v>99.674450170747306</v>
      </c>
      <c r="BO24" s="7">
        <f t="shared" si="2"/>
        <v>0</v>
      </c>
      <c r="BP24" s="7">
        <f t="shared" si="3"/>
        <v>0</v>
      </c>
      <c r="BQ24" s="7">
        <f t="shared" si="4"/>
        <v>0</v>
      </c>
      <c r="BR24" s="7">
        <f t="shared" si="5"/>
        <v>0</v>
      </c>
      <c r="BS24" s="7">
        <f t="shared" si="6"/>
        <v>0</v>
      </c>
      <c r="BT24" s="7">
        <f t="shared" si="7"/>
        <v>0</v>
      </c>
      <c r="BU24" s="7">
        <f t="shared" si="8"/>
        <v>0</v>
      </c>
      <c r="BV24" s="7">
        <f t="shared" si="9"/>
        <v>0</v>
      </c>
      <c r="BW24" s="7">
        <f t="shared" si="10"/>
        <v>0</v>
      </c>
      <c r="BX24" s="7">
        <f t="shared" si="11"/>
        <v>0</v>
      </c>
      <c r="BY24" s="7">
        <f t="shared" si="12"/>
        <v>0</v>
      </c>
      <c r="BZ24" s="7">
        <f t="shared" si="13"/>
        <v>0</v>
      </c>
      <c r="CA24" s="7">
        <f t="shared" si="14"/>
        <v>0</v>
      </c>
      <c r="CB24" s="7">
        <f t="shared" si="15"/>
        <v>0</v>
      </c>
      <c r="CC24" s="7">
        <f t="shared" si="16"/>
        <v>0</v>
      </c>
      <c r="CD24" s="7">
        <f t="shared" si="17"/>
        <v>0</v>
      </c>
      <c r="CE24" s="7">
        <f t="shared" si="18"/>
        <v>0</v>
      </c>
      <c r="CF24" s="7">
        <f t="shared" si="19"/>
        <v>0</v>
      </c>
      <c r="CG24" s="7">
        <f t="shared" si="20"/>
        <v>0</v>
      </c>
      <c r="CH24" s="7">
        <f t="shared" si="21"/>
        <v>0</v>
      </c>
      <c r="CI24" s="7">
        <f t="shared" si="22"/>
        <v>0</v>
      </c>
      <c r="CJ24" s="7">
        <f t="shared" si="23"/>
        <v>0</v>
      </c>
      <c r="CK24" s="7">
        <f t="shared" si="24"/>
        <v>0</v>
      </c>
      <c r="CL24" s="7">
        <f t="shared" si="25"/>
        <v>0</v>
      </c>
      <c r="CM24" s="7">
        <f t="shared" si="26"/>
        <v>0</v>
      </c>
      <c r="CN24" s="7">
        <f t="shared" si="27"/>
        <v>0</v>
      </c>
      <c r="CO24" s="7">
        <f t="shared" si="28"/>
        <v>0</v>
      </c>
      <c r="CP24" s="7">
        <f t="shared" si="29"/>
        <v>0</v>
      </c>
      <c r="CQ24" s="7">
        <f t="shared" si="30"/>
        <v>0</v>
      </c>
      <c r="CR24" s="7">
        <f t="shared" si="31"/>
        <v>0</v>
      </c>
      <c r="CS24" s="7">
        <f t="shared" si="32"/>
        <v>0</v>
      </c>
      <c r="CT24" s="7">
        <f t="shared" si="33"/>
        <v>0</v>
      </c>
      <c r="CU24" s="7">
        <f t="shared" si="34"/>
        <v>0</v>
      </c>
      <c r="CV24" s="7">
        <f t="shared" si="35"/>
        <v>0</v>
      </c>
      <c r="CW24" s="7">
        <f t="shared" si="36"/>
        <v>0</v>
      </c>
      <c r="CX24" s="7">
        <f t="shared" si="37"/>
        <v>0</v>
      </c>
      <c r="CY24" s="7">
        <f t="shared" si="38"/>
        <v>0</v>
      </c>
      <c r="CZ24" s="7">
        <f t="shared" si="39"/>
        <v>0</v>
      </c>
      <c r="DA24" s="7">
        <f t="shared" si="40"/>
        <v>0</v>
      </c>
      <c r="DB24" s="7">
        <f t="shared" si="41"/>
        <v>0</v>
      </c>
      <c r="DC24" s="7">
        <f t="shared" si="42"/>
        <v>0</v>
      </c>
      <c r="DD24" s="7">
        <f t="shared" si="43"/>
        <v>0</v>
      </c>
      <c r="DE24" s="7">
        <f t="shared" si="44"/>
        <v>0</v>
      </c>
      <c r="DF24" s="7">
        <f t="shared" si="45"/>
        <v>0</v>
      </c>
      <c r="DG24" s="7">
        <f t="shared" si="46"/>
        <v>0</v>
      </c>
      <c r="DH24" s="7">
        <f t="shared" si="47"/>
        <v>0</v>
      </c>
      <c r="DI24" s="7">
        <f t="shared" si="48"/>
        <v>0</v>
      </c>
      <c r="DJ24" s="7">
        <f t="shared" si="49"/>
        <v>0</v>
      </c>
      <c r="DK24" s="7">
        <f t="shared" si="50"/>
        <v>0</v>
      </c>
      <c r="DL24" s="7">
        <f t="shared" si="51"/>
        <v>0</v>
      </c>
      <c r="DM24" s="7">
        <f t="shared" si="52"/>
        <v>0</v>
      </c>
      <c r="DN24" s="7">
        <f t="shared" si="53"/>
        <v>0</v>
      </c>
      <c r="DO24" s="7">
        <f t="shared" si="54"/>
        <v>0</v>
      </c>
      <c r="DP24" s="7">
        <f t="shared" si="55"/>
        <v>0</v>
      </c>
      <c r="DQ24" s="7">
        <f t="shared" si="56"/>
        <v>0</v>
      </c>
      <c r="DR24" s="7">
        <f t="shared" si="57"/>
        <v>0</v>
      </c>
      <c r="DS24" s="7">
        <f t="shared" si="58"/>
        <v>0</v>
      </c>
      <c r="DT24" s="7">
        <f t="shared" si="59"/>
        <v>0</v>
      </c>
      <c r="DU24" s="7">
        <f t="shared" si="60"/>
        <v>0</v>
      </c>
    </row>
    <row r="25" spans="1:125" x14ac:dyDescent="0.2">
      <c r="A25" s="3">
        <f>Bonds!A25</f>
        <v>46387</v>
      </c>
      <c r="B25" s="4">
        <f>Bonds!B25</f>
        <v>4.25</v>
      </c>
      <c r="C25">
        <f>Bonds!P25</f>
        <v>1</v>
      </c>
      <c r="D25">
        <f t="shared" si="0"/>
        <v>1</v>
      </c>
      <c r="E25" s="3">
        <f>IF(1&gt;$C25,"",IF($D25=1,EOMONTH(EDATE(Bonds!$H25,6*(1-1)),0),EDATE(Bonds!$H25,6*(1-1))))</f>
        <v>46387</v>
      </c>
      <c r="F25" s="3" t="str">
        <f>IF(2&gt;$C25,"",IF($D25=1,EOMONTH(EDATE(Bonds!$H25,6*(2-1)),0),EDATE(Bonds!$H25,6*(2-1))))</f>
        <v/>
      </c>
      <c r="G25" s="3" t="str">
        <f>IF(3&gt;$C25,"",IF($D25=1,EOMONTH(EDATE(Bonds!$H25,6*(3-1)),0),EDATE(Bonds!$H25,6*(3-1))))</f>
        <v/>
      </c>
      <c r="H25" s="3" t="str">
        <f>IF(4&gt;$C25,"",IF($D25=1,EOMONTH(EDATE(Bonds!$H25,6*(4-1)),0),EDATE(Bonds!$H25,6*(4-1))))</f>
        <v/>
      </c>
      <c r="I25" s="3" t="str">
        <f>IF(5&gt;$C25,"",IF($D25=1,EOMONTH(EDATE(Bonds!$H25,6*(5-1)),0),EDATE(Bonds!$H25,6*(5-1))))</f>
        <v/>
      </c>
      <c r="J25" s="3" t="str">
        <f>IF(6&gt;$C25,"",IF($D25=1,EOMONTH(EDATE(Bonds!$H25,6*(6-1)),0),EDATE(Bonds!$H25,6*(6-1))))</f>
        <v/>
      </c>
      <c r="K25" s="3" t="str">
        <f>IF(7&gt;$C25,"",IF($D25=1,EOMONTH(EDATE(Bonds!$H25,6*(7-1)),0),EDATE(Bonds!$H25,6*(7-1))))</f>
        <v/>
      </c>
      <c r="L25" s="3" t="str">
        <f>IF(8&gt;$C25,"",IF($D25=1,EOMONTH(EDATE(Bonds!$H25,6*(8-1)),0),EDATE(Bonds!$H25,6*(8-1))))</f>
        <v/>
      </c>
      <c r="M25" s="3" t="str">
        <f>IF(9&gt;$C25,"",IF($D25=1,EOMONTH(EDATE(Bonds!$H25,6*(9-1)),0),EDATE(Bonds!$H25,6*(9-1))))</f>
        <v/>
      </c>
      <c r="N25" s="3" t="str">
        <f>IF(10&gt;$C25,"",IF($D25=1,EOMONTH(EDATE(Bonds!$H25,6*(10-1)),0),EDATE(Bonds!$H25,6*(10-1))))</f>
        <v/>
      </c>
      <c r="O25" s="3" t="str">
        <f>IF(11&gt;$C25,"",IF($D25=1,EOMONTH(EDATE(Bonds!$H25,6*(11-1)),0),EDATE(Bonds!$H25,6*(11-1))))</f>
        <v/>
      </c>
      <c r="P25" s="3" t="str">
        <f>IF(12&gt;$C25,"",IF($D25=1,EOMONTH(EDATE(Bonds!$H25,6*(12-1)),0),EDATE(Bonds!$H25,6*(12-1))))</f>
        <v/>
      </c>
      <c r="Q25" s="3" t="str">
        <f>IF(13&gt;$C25,"",IF($D25=1,EOMONTH(EDATE(Bonds!$H25,6*(13-1)),0),EDATE(Bonds!$H25,6*(13-1))))</f>
        <v/>
      </c>
      <c r="R25" s="3" t="str">
        <f>IF(14&gt;$C25,"",IF($D25=1,EOMONTH(EDATE(Bonds!$H25,6*(14-1)),0),EDATE(Bonds!$H25,6*(14-1))))</f>
        <v/>
      </c>
      <c r="S25" s="3" t="str">
        <f>IF(15&gt;$C25,"",IF($D25=1,EOMONTH(EDATE(Bonds!$H25,6*(15-1)),0),EDATE(Bonds!$H25,6*(15-1))))</f>
        <v/>
      </c>
      <c r="T25" s="3" t="str">
        <f>IF(16&gt;$C25,"",IF($D25=1,EOMONTH(EDATE(Bonds!$H25,6*(16-1)),0),EDATE(Bonds!$H25,6*(16-1))))</f>
        <v/>
      </c>
      <c r="U25" s="3" t="str">
        <f>IF(17&gt;$C25,"",IF($D25=1,EOMONTH(EDATE(Bonds!$H25,6*(17-1)),0),EDATE(Bonds!$H25,6*(17-1))))</f>
        <v/>
      </c>
      <c r="V25" s="3" t="str">
        <f>IF(18&gt;$C25,"",IF($D25=1,EOMONTH(EDATE(Bonds!$H25,6*(18-1)),0),EDATE(Bonds!$H25,6*(18-1))))</f>
        <v/>
      </c>
      <c r="W25" s="3" t="str">
        <f>IF(19&gt;$C25,"",IF($D25=1,EOMONTH(EDATE(Bonds!$H25,6*(19-1)),0),EDATE(Bonds!$H25,6*(19-1))))</f>
        <v/>
      </c>
      <c r="X25" s="3" t="str">
        <f>IF(20&gt;$C25,"",IF($D25=1,EOMONTH(EDATE(Bonds!$H25,6*(20-1)),0),EDATE(Bonds!$H25,6*(20-1))))</f>
        <v/>
      </c>
      <c r="Y25" s="3" t="str">
        <f>IF(21&gt;$C25,"",IF($D25=1,EOMONTH(EDATE(Bonds!$H25,6*(21-1)),0),EDATE(Bonds!$H25,6*(21-1))))</f>
        <v/>
      </c>
      <c r="Z25" s="3" t="str">
        <f>IF(22&gt;$C25,"",IF($D25=1,EOMONTH(EDATE(Bonds!$H25,6*(22-1)),0),EDATE(Bonds!$H25,6*(22-1))))</f>
        <v/>
      </c>
      <c r="AA25" s="3" t="str">
        <f>IF(23&gt;$C25,"",IF($D25=1,EOMONTH(EDATE(Bonds!$H25,6*(23-1)),0),EDATE(Bonds!$H25,6*(23-1))))</f>
        <v/>
      </c>
      <c r="AB25" s="3" t="str">
        <f>IF(24&gt;$C25,"",IF($D25=1,EOMONTH(EDATE(Bonds!$H25,6*(24-1)),0),EDATE(Bonds!$H25,6*(24-1))))</f>
        <v/>
      </c>
      <c r="AC25" s="3" t="str">
        <f>IF(25&gt;$C25,"",IF($D25=1,EOMONTH(EDATE(Bonds!$H25,6*(25-1)),0),EDATE(Bonds!$H25,6*(25-1))))</f>
        <v/>
      </c>
      <c r="AD25" s="3" t="str">
        <f>IF(26&gt;$C25,"",IF($D25=1,EOMONTH(EDATE(Bonds!$H25,6*(26-1)),0),EDATE(Bonds!$H25,6*(26-1))))</f>
        <v/>
      </c>
      <c r="AE25" s="3" t="str">
        <f>IF(27&gt;$C25,"",IF($D25=1,EOMONTH(EDATE(Bonds!$H25,6*(27-1)),0),EDATE(Bonds!$H25,6*(27-1))))</f>
        <v/>
      </c>
      <c r="AF25" s="3" t="str">
        <f>IF(28&gt;$C25,"",IF($D25=1,EOMONTH(EDATE(Bonds!$H25,6*(28-1)),0),EDATE(Bonds!$H25,6*(28-1))))</f>
        <v/>
      </c>
      <c r="AG25" s="3" t="str">
        <f>IF(29&gt;$C25,"",IF($D25=1,EOMONTH(EDATE(Bonds!$H25,6*(29-1)),0),EDATE(Bonds!$H25,6*(29-1))))</f>
        <v/>
      </c>
      <c r="AH25" s="3" t="str">
        <f>IF(30&gt;$C25,"",IF($D25=1,EOMONTH(EDATE(Bonds!$H25,6*(30-1)),0),EDATE(Bonds!$H25,6*(30-1))))</f>
        <v/>
      </c>
      <c r="AI25" s="3" t="str">
        <f>IF(31&gt;$C25,"",IF($D25=1,EOMONTH(EDATE(Bonds!$H25,6*(31-1)),0),EDATE(Bonds!$H25,6*(31-1))))</f>
        <v/>
      </c>
      <c r="AJ25" s="3" t="str">
        <f>IF(32&gt;$C25,"",IF($D25=1,EOMONTH(EDATE(Bonds!$H25,6*(32-1)),0),EDATE(Bonds!$H25,6*(32-1))))</f>
        <v/>
      </c>
      <c r="AK25" s="3" t="str">
        <f>IF(33&gt;$C25,"",IF($D25=1,EOMONTH(EDATE(Bonds!$H25,6*(33-1)),0),EDATE(Bonds!$H25,6*(33-1))))</f>
        <v/>
      </c>
      <c r="AL25" s="3" t="str">
        <f>IF(34&gt;$C25,"",IF($D25=1,EOMONTH(EDATE(Bonds!$H25,6*(34-1)),0),EDATE(Bonds!$H25,6*(34-1))))</f>
        <v/>
      </c>
      <c r="AM25" s="3" t="str">
        <f>IF(35&gt;$C25,"",IF($D25=1,EOMONTH(EDATE(Bonds!$H25,6*(35-1)),0),EDATE(Bonds!$H25,6*(35-1))))</f>
        <v/>
      </c>
      <c r="AN25" s="3" t="str">
        <f>IF(36&gt;$C25,"",IF($D25=1,EOMONTH(EDATE(Bonds!$H25,6*(36-1)),0),EDATE(Bonds!$H25,6*(36-1))))</f>
        <v/>
      </c>
      <c r="AO25" s="3" t="str">
        <f>IF(37&gt;$C25,"",IF($D25=1,EOMONTH(EDATE(Bonds!$H25,6*(37-1)),0),EDATE(Bonds!$H25,6*(37-1))))</f>
        <v/>
      </c>
      <c r="AP25" s="3" t="str">
        <f>IF(38&gt;$C25,"",IF($D25=1,EOMONTH(EDATE(Bonds!$H25,6*(38-1)),0),EDATE(Bonds!$H25,6*(38-1))))</f>
        <v/>
      </c>
      <c r="AQ25" s="3" t="str">
        <f>IF(39&gt;$C25,"",IF($D25=1,EOMONTH(EDATE(Bonds!$H25,6*(39-1)),0),EDATE(Bonds!$H25,6*(39-1))))</f>
        <v/>
      </c>
      <c r="AR25" s="3" t="str">
        <f>IF(40&gt;$C25,"",IF($D25=1,EOMONTH(EDATE(Bonds!$H25,6*(40-1)),0),EDATE(Bonds!$H25,6*(40-1))))</f>
        <v/>
      </c>
      <c r="AS25" s="3" t="str">
        <f>IF(41&gt;$C25,"",IF($D25=1,EOMONTH(EDATE(Bonds!$H25,6*(41-1)),0),EDATE(Bonds!$H25,6*(41-1))))</f>
        <v/>
      </c>
      <c r="AT25" s="3" t="str">
        <f>IF(42&gt;$C25,"",IF($D25=1,EOMONTH(EDATE(Bonds!$H25,6*(42-1)),0),EDATE(Bonds!$H25,6*(42-1))))</f>
        <v/>
      </c>
      <c r="AU25" s="3" t="str">
        <f>IF(43&gt;$C25,"",IF($D25=1,EOMONTH(EDATE(Bonds!$H25,6*(43-1)),0),EDATE(Bonds!$H25,6*(43-1))))</f>
        <v/>
      </c>
      <c r="AV25" s="3" t="str">
        <f>IF(44&gt;$C25,"",IF($D25=1,EOMONTH(EDATE(Bonds!$H25,6*(44-1)),0),EDATE(Bonds!$H25,6*(44-1))))</f>
        <v/>
      </c>
      <c r="AW25" s="3" t="str">
        <f>IF(45&gt;$C25,"",IF($D25=1,EOMONTH(EDATE(Bonds!$H25,6*(45-1)),0),EDATE(Bonds!$H25,6*(45-1))))</f>
        <v/>
      </c>
      <c r="AX25" s="3" t="str">
        <f>IF(46&gt;$C25,"",IF($D25=1,EOMONTH(EDATE(Bonds!$H25,6*(46-1)),0),EDATE(Bonds!$H25,6*(46-1))))</f>
        <v/>
      </c>
      <c r="AY25" s="3" t="str">
        <f>IF(47&gt;$C25,"",IF($D25=1,EOMONTH(EDATE(Bonds!$H25,6*(47-1)),0),EDATE(Bonds!$H25,6*(47-1))))</f>
        <v/>
      </c>
      <c r="AZ25" s="3" t="str">
        <f>IF(48&gt;$C25,"",IF($D25=1,EOMONTH(EDATE(Bonds!$H25,6*(48-1)),0),EDATE(Bonds!$H25,6*(48-1))))</f>
        <v/>
      </c>
      <c r="BA25" s="3" t="str">
        <f>IF(49&gt;$C25,"",IF($D25=1,EOMONTH(EDATE(Bonds!$H25,6*(49-1)),0),EDATE(Bonds!$H25,6*(49-1))))</f>
        <v/>
      </c>
      <c r="BB25" s="3" t="str">
        <f>IF(50&gt;$C25,"",IF($D25=1,EOMONTH(EDATE(Bonds!$H25,6*(50-1)),0),EDATE(Bonds!$H25,6*(50-1))))</f>
        <v/>
      </c>
      <c r="BC25" s="3" t="str">
        <f>IF(51&gt;$C25,"",IF($D25=1,EOMONTH(EDATE(Bonds!$H25,6*(51-1)),0),EDATE(Bonds!$H25,6*(51-1))))</f>
        <v/>
      </c>
      <c r="BD25" s="3" t="str">
        <f>IF(52&gt;$C25,"",IF($D25=1,EOMONTH(EDATE(Bonds!$H25,6*(52-1)),0),EDATE(Bonds!$H25,6*(52-1))))</f>
        <v/>
      </c>
      <c r="BE25" s="3" t="str">
        <f>IF(53&gt;$C25,"",IF($D25=1,EOMONTH(EDATE(Bonds!$H25,6*(53-1)),0),EDATE(Bonds!$H25,6*(53-1))))</f>
        <v/>
      </c>
      <c r="BF25" s="3" t="str">
        <f>IF(54&gt;$C25,"",IF($D25=1,EOMONTH(EDATE(Bonds!$H25,6*(54-1)),0),EDATE(Bonds!$H25,6*(54-1))))</f>
        <v/>
      </c>
      <c r="BG25" s="3" t="str">
        <f>IF(55&gt;$C25,"",IF($D25=1,EOMONTH(EDATE(Bonds!$H25,6*(55-1)),0),EDATE(Bonds!$H25,6*(55-1))))</f>
        <v/>
      </c>
      <c r="BH25" s="3" t="str">
        <f>IF(56&gt;$C25,"",IF($D25=1,EOMONTH(EDATE(Bonds!$H25,6*(56-1)),0),EDATE(Bonds!$H25,6*(56-1))))</f>
        <v/>
      </c>
      <c r="BI25" s="3" t="str">
        <f>IF(57&gt;$C25,"",IF($D25=1,EOMONTH(EDATE(Bonds!$H25,6*(57-1)),0),EDATE(Bonds!$H25,6*(57-1))))</f>
        <v/>
      </c>
      <c r="BJ25" s="3" t="str">
        <f>IF(58&gt;$C25,"",IF($D25=1,EOMONTH(EDATE(Bonds!$H25,6*(58-1)),0),EDATE(Bonds!$H25,6*(58-1))))</f>
        <v/>
      </c>
      <c r="BK25" s="3" t="str">
        <f>IF(59&gt;$C25,"",IF($D25=1,EOMONTH(EDATE(Bonds!$H25,6*(59-1)),0),EDATE(Bonds!$H25,6*(59-1))))</f>
        <v/>
      </c>
      <c r="BL25" s="3" t="str">
        <f>IF(60&gt;$C25,"",IF($D25=1,EOMONTH(EDATE(Bonds!$H25,6*(60-1)),0),EDATE(Bonds!$H25,6*(60-1))))</f>
        <v/>
      </c>
      <c r="BN25" s="7">
        <f t="shared" si="1"/>
        <v>100.90957346902175</v>
      </c>
      <c r="BO25" s="7">
        <f t="shared" si="2"/>
        <v>0</v>
      </c>
      <c r="BP25" s="7">
        <f t="shared" si="3"/>
        <v>0</v>
      </c>
      <c r="BQ25" s="7">
        <f t="shared" si="4"/>
        <v>0</v>
      </c>
      <c r="BR25" s="7">
        <f t="shared" si="5"/>
        <v>0</v>
      </c>
      <c r="BS25" s="7">
        <f t="shared" si="6"/>
        <v>0</v>
      </c>
      <c r="BT25" s="7">
        <f t="shared" si="7"/>
        <v>0</v>
      </c>
      <c r="BU25" s="7">
        <f t="shared" si="8"/>
        <v>0</v>
      </c>
      <c r="BV25" s="7">
        <f t="shared" si="9"/>
        <v>0</v>
      </c>
      <c r="BW25" s="7">
        <f t="shared" si="10"/>
        <v>0</v>
      </c>
      <c r="BX25" s="7">
        <f t="shared" si="11"/>
        <v>0</v>
      </c>
      <c r="BY25" s="7">
        <f t="shared" si="12"/>
        <v>0</v>
      </c>
      <c r="BZ25" s="7">
        <f t="shared" si="13"/>
        <v>0</v>
      </c>
      <c r="CA25" s="7">
        <f t="shared" si="14"/>
        <v>0</v>
      </c>
      <c r="CB25" s="7">
        <f t="shared" si="15"/>
        <v>0</v>
      </c>
      <c r="CC25" s="7">
        <f t="shared" si="16"/>
        <v>0</v>
      </c>
      <c r="CD25" s="7">
        <f t="shared" si="17"/>
        <v>0</v>
      </c>
      <c r="CE25" s="7">
        <f t="shared" si="18"/>
        <v>0</v>
      </c>
      <c r="CF25" s="7">
        <f t="shared" si="19"/>
        <v>0</v>
      </c>
      <c r="CG25" s="7">
        <f t="shared" si="20"/>
        <v>0</v>
      </c>
      <c r="CH25" s="7">
        <f t="shared" si="21"/>
        <v>0</v>
      </c>
      <c r="CI25" s="7">
        <f t="shared" si="22"/>
        <v>0</v>
      </c>
      <c r="CJ25" s="7">
        <f t="shared" si="23"/>
        <v>0</v>
      </c>
      <c r="CK25" s="7">
        <f t="shared" si="24"/>
        <v>0</v>
      </c>
      <c r="CL25" s="7">
        <f t="shared" si="25"/>
        <v>0</v>
      </c>
      <c r="CM25" s="7">
        <f t="shared" si="26"/>
        <v>0</v>
      </c>
      <c r="CN25" s="7">
        <f t="shared" si="27"/>
        <v>0</v>
      </c>
      <c r="CO25" s="7">
        <f t="shared" si="28"/>
        <v>0</v>
      </c>
      <c r="CP25" s="7">
        <f t="shared" si="29"/>
        <v>0</v>
      </c>
      <c r="CQ25" s="7">
        <f t="shared" si="30"/>
        <v>0</v>
      </c>
      <c r="CR25" s="7">
        <f t="shared" si="31"/>
        <v>0</v>
      </c>
      <c r="CS25" s="7">
        <f t="shared" si="32"/>
        <v>0</v>
      </c>
      <c r="CT25" s="7">
        <f t="shared" si="33"/>
        <v>0</v>
      </c>
      <c r="CU25" s="7">
        <f t="shared" si="34"/>
        <v>0</v>
      </c>
      <c r="CV25" s="7">
        <f t="shared" si="35"/>
        <v>0</v>
      </c>
      <c r="CW25" s="7">
        <f t="shared" si="36"/>
        <v>0</v>
      </c>
      <c r="CX25" s="7">
        <f t="shared" si="37"/>
        <v>0</v>
      </c>
      <c r="CY25" s="7">
        <f t="shared" si="38"/>
        <v>0</v>
      </c>
      <c r="CZ25" s="7">
        <f t="shared" si="39"/>
        <v>0</v>
      </c>
      <c r="DA25" s="7">
        <f t="shared" si="40"/>
        <v>0</v>
      </c>
      <c r="DB25" s="7">
        <f t="shared" si="41"/>
        <v>0</v>
      </c>
      <c r="DC25" s="7">
        <f t="shared" si="42"/>
        <v>0</v>
      </c>
      <c r="DD25" s="7">
        <f t="shared" si="43"/>
        <v>0</v>
      </c>
      <c r="DE25" s="7">
        <f t="shared" si="44"/>
        <v>0</v>
      </c>
      <c r="DF25" s="7">
        <f t="shared" si="45"/>
        <v>0</v>
      </c>
      <c r="DG25" s="7">
        <f t="shared" si="46"/>
        <v>0</v>
      </c>
      <c r="DH25" s="7">
        <f t="shared" si="47"/>
        <v>0</v>
      </c>
      <c r="DI25" s="7">
        <f t="shared" si="48"/>
        <v>0</v>
      </c>
      <c r="DJ25" s="7">
        <f t="shared" si="49"/>
        <v>0</v>
      </c>
      <c r="DK25" s="7">
        <f t="shared" si="50"/>
        <v>0</v>
      </c>
      <c r="DL25" s="7">
        <f t="shared" si="51"/>
        <v>0</v>
      </c>
      <c r="DM25" s="7">
        <f t="shared" si="52"/>
        <v>0</v>
      </c>
      <c r="DN25" s="7">
        <f t="shared" si="53"/>
        <v>0</v>
      </c>
      <c r="DO25" s="7">
        <f t="shared" si="54"/>
        <v>0</v>
      </c>
      <c r="DP25" s="7">
        <f t="shared" si="55"/>
        <v>0</v>
      </c>
      <c r="DQ25" s="7">
        <f t="shared" si="56"/>
        <v>0</v>
      </c>
      <c r="DR25" s="7">
        <f t="shared" si="57"/>
        <v>0</v>
      </c>
      <c r="DS25" s="7">
        <f t="shared" si="58"/>
        <v>0</v>
      </c>
      <c r="DT25" s="7">
        <f t="shared" si="59"/>
        <v>0</v>
      </c>
      <c r="DU25" s="7">
        <f t="shared" si="60"/>
        <v>0</v>
      </c>
    </row>
    <row r="26" spans="1:125" x14ac:dyDescent="0.2">
      <c r="A26" s="3">
        <f>Bonds!A26</f>
        <v>46402</v>
      </c>
      <c r="B26" s="4">
        <f>Bonds!B26</f>
        <v>4</v>
      </c>
      <c r="C26">
        <f>Bonds!P26</f>
        <v>1</v>
      </c>
      <c r="D26">
        <f t="shared" si="0"/>
        <v>0</v>
      </c>
      <c r="E26" s="3">
        <f>IF(1&gt;$C26,"",IF($D26=1,EOMONTH(EDATE(Bonds!$H26,6*(1-1)),0),EDATE(Bonds!$H26,6*(1-1))))</f>
        <v>46402</v>
      </c>
      <c r="F26" s="3" t="str">
        <f>IF(2&gt;$C26,"",IF($D26=1,EOMONTH(EDATE(Bonds!$H26,6*(2-1)),0),EDATE(Bonds!$H26,6*(2-1))))</f>
        <v/>
      </c>
      <c r="G26" s="3" t="str">
        <f>IF(3&gt;$C26,"",IF($D26=1,EOMONTH(EDATE(Bonds!$H26,6*(3-1)),0),EDATE(Bonds!$H26,6*(3-1))))</f>
        <v/>
      </c>
      <c r="H26" s="3" t="str">
        <f>IF(4&gt;$C26,"",IF($D26=1,EOMONTH(EDATE(Bonds!$H26,6*(4-1)),0),EDATE(Bonds!$H26,6*(4-1))))</f>
        <v/>
      </c>
      <c r="I26" s="3" t="str">
        <f>IF(5&gt;$C26,"",IF($D26=1,EOMONTH(EDATE(Bonds!$H26,6*(5-1)),0),EDATE(Bonds!$H26,6*(5-1))))</f>
        <v/>
      </c>
      <c r="J26" s="3" t="str">
        <f>IF(6&gt;$C26,"",IF($D26=1,EOMONTH(EDATE(Bonds!$H26,6*(6-1)),0),EDATE(Bonds!$H26,6*(6-1))))</f>
        <v/>
      </c>
      <c r="K26" s="3" t="str">
        <f>IF(7&gt;$C26,"",IF($D26=1,EOMONTH(EDATE(Bonds!$H26,6*(7-1)),0),EDATE(Bonds!$H26,6*(7-1))))</f>
        <v/>
      </c>
      <c r="L26" s="3" t="str">
        <f>IF(8&gt;$C26,"",IF($D26=1,EOMONTH(EDATE(Bonds!$H26,6*(8-1)),0),EDATE(Bonds!$H26,6*(8-1))))</f>
        <v/>
      </c>
      <c r="M26" s="3" t="str">
        <f>IF(9&gt;$C26,"",IF($D26=1,EOMONTH(EDATE(Bonds!$H26,6*(9-1)),0),EDATE(Bonds!$H26,6*(9-1))))</f>
        <v/>
      </c>
      <c r="N26" s="3" t="str">
        <f>IF(10&gt;$C26,"",IF($D26=1,EOMONTH(EDATE(Bonds!$H26,6*(10-1)),0),EDATE(Bonds!$H26,6*(10-1))))</f>
        <v/>
      </c>
      <c r="O26" s="3" t="str">
        <f>IF(11&gt;$C26,"",IF($D26=1,EOMONTH(EDATE(Bonds!$H26,6*(11-1)),0),EDATE(Bonds!$H26,6*(11-1))))</f>
        <v/>
      </c>
      <c r="P26" s="3" t="str">
        <f>IF(12&gt;$C26,"",IF($D26=1,EOMONTH(EDATE(Bonds!$H26,6*(12-1)),0),EDATE(Bonds!$H26,6*(12-1))))</f>
        <v/>
      </c>
      <c r="Q26" s="3" t="str">
        <f>IF(13&gt;$C26,"",IF($D26=1,EOMONTH(EDATE(Bonds!$H26,6*(13-1)),0),EDATE(Bonds!$H26,6*(13-1))))</f>
        <v/>
      </c>
      <c r="R26" s="3" t="str">
        <f>IF(14&gt;$C26,"",IF($D26=1,EOMONTH(EDATE(Bonds!$H26,6*(14-1)),0),EDATE(Bonds!$H26,6*(14-1))))</f>
        <v/>
      </c>
      <c r="S26" s="3" t="str">
        <f>IF(15&gt;$C26,"",IF($D26=1,EOMONTH(EDATE(Bonds!$H26,6*(15-1)),0),EDATE(Bonds!$H26,6*(15-1))))</f>
        <v/>
      </c>
      <c r="T26" s="3" t="str">
        <f>IF(16&gt;$C26,"",IF($D26=1,EOMONTH(EDATE(Bonds!$H26,6*(16-1)),0),EDATE(Bonds!$H26,6*(16-1))))</f>
        <v/>
      </c>
      <c r="U26" s="3" t="str">
        <f>IF(17&gt;$C26,"",IF($D26=1,EOMONTH(EDATE(Bonds!$H26,6*(17-1)),0),EDATE(Bonds!$H26,6*(17-1))))</f>
        <v/>
      </c>
      <c r="V26" s="3" t="str">
        <f>IF(18&gt;$C26,"",IF($D26=1,EOMONTH(EDATE(Bonds!$H26,6*(18-1)),0),EDATE(Bonds!$H26,6*(18-1))))</f>
        <v/>
      </c>
      <c r="W26" s="3" t="str">
        <f>IF(19&gt;$C26,"",IF($D26=1,EOMONTH(EDATE(Bonds!$H26,6*(19-1)),0),EDATE(Bonds!$H26,6*(19-1))))</f>
        <v/>
      </c>
      <c r="X26" s="3" t="str">
        <f>IF(20&gt;$C26,"",IF($D26=1,EOMONTH(EDATE(Bonds!$H26,6*(20-1)),0),EDATE(Bonds!$H26,6*(20-1))))</f>
        <v/>
      </c>
      <c r="Y26" s="3" t="str">
        <f>IF(21&gt;$C26,"",IF($D26=1,EOMONTH(EDATE(Bonds!$H26,6*(21-1)),0),EDATE(Bonds!$H26,6*(21-1))))</f>
        <v/>
      </c>
      <c r="Z26" s="3" t="str">
        <f>IF(22&gt;$C26,"",IF($D26=1,EOMONTH(EDATE(Bonds!$H26,6*(22-1)),0),EDATE(Bonds!$H26,6*(22-1))))</f>
        <v/>
      </c>
      <c r="AA26" s="3" t="str">
        <f>IF(23&gt;$C26,"",IF($D26=1,EOMONTH(EDATE(Bonds!$H26,6*(23-1)),0),EDATE(Bonds!$H26,6*(23-1))))</f>
        <v/>
      </c>
      <c r="AB26" s="3" t="str">
        <f>IF(24&gt;$C26,"",IF($D26=1,EOMONTH(EDATE(Bonds!$H26,6*(24-1)),0),EDATE(Bonds!$H26,6*(24-1))))</f>
        <v/>
      </c>
      <c r="AC26" s="3" t="str">
        <f>IF(25&gt;$C26,"",IF($D26=1,EOMONTH(EDATE(Bonds!$H26,6*(25-1)),0),EDATE(Bonds!$H26,6*(25-1))))</f>
        <v/>
      </c>
      <c r="AD26" s="3" t="str">
        <f>IF(26&gt;$C26,"",IF($D26=1,EOMONTH(EDATE(Bonds!$H26,6*(26-1)),0),EDATE(Bonds!$H26,6*(26-1))))</f>
        <v/>
      </c>
      <c r="AE26" s="3" t="str">
        <f>IF(27&gt;$C26,"",IF($D26=1,EOMONTH(EDATE(Bonds!$H26,6*(27-1)),0),EDATE(Bonds!$H26,6*(27-1))))</f>
        <v/>
      </c>
      <c r="AF26" s="3" t="str">
        <f>IF(28&gt;$C26,"",IF($D26=1,EOMONTH(EDATE(Bonds!$H26,6*(28-1)),0),EDATE(Bonds!$H26,6*(28-1))))</f>
        <v/>
      </c>
      <c r="AG26" s="3" t="str">
        <f>IF(29&gt;$C26,"",IF($D26=1,EOMONTH(EDATE(Bonds!$H26,6*(29-1)),0),EDATE(Bonds!$H26,6*(29-1))))</f>
        <v/>
      </c>
      <c r="AH26" s="3" t="str">
        <f>IF(30&gt;$C26,"",IF($D26=1,EOMONTH(EDATE(Bonds!$H26,6*(30-1)),0),EDATE(Bonds!$H26,6*(30-1))))</f>
        <v/>
      </c>
      <c r="AI26" s="3" t="str">
        <f>IF(31&gt;$C26,"",IF($D26=1,EOMONTH(EDATE(Bonds!$H26,6*(31-1)),0),EDATE(Bonds!$H26,6*(31-1))))</f>
        <v/>
      </c>
      <c r="AJ26" s="3" t="str">
        <f>IF(32&gt;$C26,"",IF($D26=1,EOMONTH(EDATE(Bonds!$H26,6*(32-1)),0),EDATE(Bonds!$H26,6*(32-1))))</f>
        <v/>
      </c>
      <c r="AK26" s="3" t="str">
        <f>IF(33&gt;$C26,"",IF($D26=1,EOMONTH(EDATE(Bonds!$H26,6*(33-1)),0),EDATE(Bonds!$H26,6*(33-1))))</f>
        <v/>
      </c>
      <c r="AL26" s="3" t="str">
        <f>IF(34&gt;$C26,"",IF($D26=1,EOMONTH(EDATE(Bonds!$H26,6*(34-1)),0),EDATE(Bonds!$H26,6*(34-1))))</f>
        <v/>
      </c>
      <c r="AM26" s="3" t="str">
        <f>IF(35&gt;$C26,"",IF($D26=1,EOMONTH(EDATE(Bonds!$H26,6*(35-1)),0),EDATE(Bonds!$H26,6*(35-1))))</f>
        <v/>
      </c>
      <c r="AN26" s="3" t="str">
        <f>IF(36&gt;$C26,"",IF($D26=1,EOMONTH(EDATE(Bonds!$H26,6*(36-1)),0),EDATE(Bonds!$H26,6*(36-1))))</f>
        <v/>
      </c>
      <c r="AO26" s="3" t="str">
        <f>IF(37&gt;$C26,"",IF($D26=1,EOMONTH(EDATE(Bonds!$H26,6*(37-1)),0),EDATE(Bonds!$H26,6*(37-1))))</f>
        <v/>
      </c>
      <c r="AP26" s="3" t="str">
        <f>IF(38&gt;$C26,"",IF($D26=1,EOMONTH(EDATE(Bonds!$H26,6*(38-1)),0),EDATE(Bonds!$H26,6*(38-1))))</f>
        <v/>
      </c>
      <c r="AQ26" s="3" t="str">
        <f>IF(39&gt;$C26,"",IF($D26=1,EOMONTH(EDATE(Bonds!$H26,6*(39-1)),0),EDATE(Bonds!$H26,6*(39-1))))</f>
        <v/>
      </c>
      <c r="AR26" s="3" t="str">
        <f>IF(40&gt;$C26,"",IF($D26=1,EOMONTH(EDATE(Bonds!$H26,6*(40-1)),0),EDATE(Bonds!$H26,6*(40-1))))</f>
        <v/>
      </c>
      <c r="AS26" s="3" t="str">
        <f>IF(41&gt;$C26,"",IF($D26=1,EOMONTH(EDATE(Bonds!$H26,6*(41-1)),0),EDATE(Bonds!$H26,6*(41-1))))</f>
        <v/>
      </c>
      <c r="AT26" s="3" t="str">
        <f>IF(42&gt;$C26,"",IF($D26=1,EOMONTH(EDATE(Bonds!$H26,6*(42-1)),0),EDATE(Bonds!$H26,6*(42-1))))</f>
        <v/>
      </c>
      <c r="AU26" s="3" t="str">
        <f>IF(43&gt;$C26,"",IF($D26=1,EOMONTH(EDATE(Bonds!$H26,6*(43-1)),0),EDATE(Bonds!$H26,6*(43-1))))</f>
        <v/>
      </c>
      <c r="AV26" s="3" t="str">
        <f>IF(44&gt;$C26,"",IF($D26=1,EOMONTH(EDATE(Bonds!$H26,6*(44-1)),0),EDATE(Bonds!$H26,6*(44-1))))</f>
        <v/>
      </c>
      <c r="AW26" s="3" t="str">
        <f>IF(45&gt;$C26,"",IF($D26=1,EOMONTH(EDATE(Bonds!$H26,6*(45-1)),0),EDATE(Bonds!$H26,6*(45-1))))</f>
        <v/>
      </c>
      <c r="AX26" s="3" t="str">
        <f>IF(46&gt;$C26,"",IF($D26=1,EOMONTH(EDATE(Bonds!$H26,6*(46-1)),0),EDATE(Bonds!$H26,6*(46-1))))</f>
        <v/>
      </c>
      <c r="AY26" s="3" t="str">
        <f>IF(47&gt;$C26,"",IF($D26=1,EOMONTH(EDATE(Bonds!$H26,6*(47-1)),0),EDATE(Bonds!$H26,6*(47-1))))</f>
        <v/>
      </c>
      <c r="AZ26" s="3" t="str">
        <f>IF(48&gt;$C26,"",IF($D26=1,EOMONTH(EDATE(Bonds!$H26,6*(48-1)),0),EDATE(Bonds!$H26,6*(48-1))))</f>
        <v/>
      </c>
      <c r="BA26" s="3" t="str">
        <f>IF(49&gt;$C26,"",IF($D26=1,EOMONTH(EDATE(Bonds!$H26,6*(49-1)),0),EDATE(Bonds!$H26,6*(49-1))))</f>
        <v/>
      </c>
      <c r="BB26" s="3" t="str">
        <f>IF(50&gt;$C26,"",IF($D26=1,EOMONTH(EDATE(Bonds!$H26,6*(50-1)),0),EDATE(Bonds!$H26,6*(50-1))))</f>
        <v/>
      </c>
      <c r="BC26" s="3" t="str">
        <f>IF(51&gt;$C26,"",IF($D26=1,EOMONTH(EDATE(Bonds!$H26,6*(51-1)),0),EDATE(Bonds!$H26,6*(51-1))))</f>
        <v/>
      </c>
      <c r="BD26" s="3" t="str">
        <f>IF(52&gt;$C26,"",IF($D26=1,EOMONTH(EDATE(Bonds!$H26,6*(52-1)),0),EDATE(Bonds!$H26,6*(52-1))))</f>
        <v/>
      </c>
      <c r="BE26" s="3" t="str">
        <f>IF(53&gt;$C26,"",IF($D26=1,EOMONTH(EDATE(Bonds!$H26,6*(53-1)),0),EDATE(Bonds!$H26,6*(53-1))))</f>
        <v/>
      </c>
      <c r="BF26" s="3" t="str">
        <f>IF(54&gt;$C26,"",IF($D26=1,EOMONTH(EDATE(Bonds!$H26,6*(54-1)),0),EDATE(Bonds!$H26,6*(54-1))))</f>
        <v/>
      </c>
      <c r="BG26" s="3" t="str">
        <f>IF(55&gt;$C26,"",IF($D26=1,EOMONTH(EDATE(Bonds!$H26,6*(55-1)),0),EDATE(Bonds!$H26,6*(55-1))))</f>
        <v/>
      </c>
      <c r="BH26" s="3" t="str">
        <f>IF(56&gt;$C26,"",IF($D26=1,EOMONTH(EDATE(Bonds!$H26,6*(56-1)),0),EDATE(Bonds!$H26,6*(56-1))))</f>
        <v/>
      </c>
      <c r="BI26" s="3" t="str">
        <f>IF(57&gt;$C26,"",IF($D26=1,EOMONTH(EDATE(Bonds!$H26,6*(57-1)),0),EDATE(Bonds!$H26,6*(57-1))))</f>
        <v/>
      </c>
      <c r="BJ26" s="3" t="str">
        <f>IF(58&gt;$C26,"",IF($D26=1,EOMONTH(EDATE(Bonds!$H26,6*(58-1)),0),EDATE(Bonds!$H26,6*(58-1))))</f>
        <v/>
      </c>
      <c r="BK26" s="3" t="str">
        <f>IF(59&gt;$C26,"",IF($D26=1,EOMONTH(EDATE(Bonds!$H26,6*(59-1)),0),EDATE(Bonds!$H26,6*(59-1))))</f>
        <v/>
      </c>
      <c r="BL26" s="3" t="str">
        <f>IF(60&gt;$C26,"",IF($D26=1,EOMONTH(EDATE(Bonds!$H26,6*(60-1)),0),EDATE(Bonds!$H26,6*(60-1))))</f>
        <v/>
      </c>
      <c r="BN26" s="7">
        <f t="shared" si="1"/>
        <v>100.61912970613352</v>
      </c>
      <c r="BO26" s="7">
        <f t="shared" si="2"/>
        <v>0</v>
      </c>
      <c r="BP26" s="7">
        <f t="shared" si="3"/>
        <v>0</v>
      </c>
      <c r="BQ26" s="7">
        <f t="shared" si="4"/>
        <v>0</v>
      </c>
      <c r="BR26" s="7">
        <f t="shared" si="5"/>
        <v>0</v>
      </c>
      <c r="BS26" s="7">
        <f t="shared" si="6"/>
        <v>0</v>
      </c>
      <c r="BT26" s="7">
        <f t="shared" si="7"/>
        <v>0</v>
      </c>
      <c r="BU26" s="7">
        <f t="shared" si="8"/>
        <v>0</v>
      </c>
      <c r="BV26" s="7">
        <f t="shared" si="9"/>
        <v>0</v>
      </c>
      <c r="BW26" s="7">
        <f t="shared" si="10"/>
        <v>0</v>
      </c>
      <c r="BX26" s="7">
        <f t="shared" si="11"/>
        <v>0</v>
      </c>
      <c r="BY26" s="7">
        <f t="shared" si="12"/>
        <v>0</v>
      </c>
      <c r="BZ26" s="7">
        <f t="shared" si="13"/>
        <v>0</v>
      </c>
      <c r="CA26" s="7">
        <f t="shared" si="14"/>
        <v>0</v>
      </c>
      <c r="CB26" s="7">
        <f t="shared" si="15"/>
        <v>0</v>
      </c>
      <c r="CC26" s="7">
        <f t="shared" si="16"/>
        <v>0</v>
      </c>
      <c r="CD26" s="7">
        <f t="shared" si="17"/>
        <v>0</v>
      </c>
      <c r="CE26" s="7">
        <f t="shared" si="18"/>
        <v>0</v>
      </c>
      <c r="CF26" s="7">
        <f t="shared" si="19"/>
        <v>0</v>
      </c>
      <c r="CG26" s="7">
        <f t="shared" si="20"/>
        <v>0</v>
      </c>
      <c r="CH26" s="7">
        <f t="shared" si="21"/>
        <v>0</v>
      </c>
      <c r="CI26" s="7">
        <f t="shared" si="22"/>
        <v>0</v>
      </c>
      <c r="CJ26" s="7">
        <f t="shared" si="23"/>
        <v>0</v>
      </c>
      <c r="CK26" s="7">
        <f t="shared" si="24"/>
        <v>0</v>
      </c>
      <c r="CL26" s="7">
        <f t="shared" si="25"/>
        <v>0</v>
      </c>
      <c r="CM26" s="7">
        <f t="shared" si="26"/>
        <v>0</v>
      </c>
      <c r="CN26" s="7">
        <f t="shared" si="27"/>
        <v>0</v>
      </c>
      <c r="CO26" s="7">
        <f t="shared" si="28"/>
        <v>0</v>
      </c>
      <c r="CP26" s="7">
        <f t="shared" si="29"/>
        <v>0</v>
      </c>
      <c r="CQ26" s="7">
        <f t="shared" si="30"/>
        <v>0</v>
      </c>
      <c r="CR26" s="7">
        <f t="shared" si="31"/>
        <v>0</v>
      </c>
      <c r="CS26" s="7">
        <f t="shared" si="32"/>
        <v>0</v>
      </c>
      <c r="CT26" s="7">
        <f t="shared" si="33"/>
        <v>0</v>
      </c>
      <c r="CU26" s="7">
        <f t="shared" si="34"/>
        <v>0</v>
      </c>
      <c r="CV26" s="7">
        <f t="shared" si="35"/>
        <v>0</v>
      </c>
      <c r="CW26" s="7">
        <f t="shared" si="36"/>
        <v>0</v>
      </c>
      <c r="CX26" s="7">
        <f t="shared" si="37"/>
        <v>0</v>
      </c>
      <c r="CY26" s="7">
        <f t="shared" si="38"/>
        <v>0</v>
      </c>
      <c r="CZ26" s="7">
        <f t="shared" si="39"/>
        <v>0</v>
      </c>
      <c r="DA26" s="7">
        <f t="shared" si="40"/>
        <v>0</v>
      </c>
      <c r="DB26" s="7">
        <f t="shared" si="41"/>
        <v>0</v>
      </c>
      <c r="DC26" s="7">
        <f t="shared" si="42"/>
        <v>0</v>
      </c>
      <c r="DD26" s="7">
        <f t="shared" si="43"/>
        <v>0</v>
      </c>
      <c r="DE26" s="7">
        <f t="shared" si="44"/>
        <v>0</v>
      </c>
      <c r="DF26" s="7">
        <f t="shared" si="45"/>
        <v>0</v>
      </c>
      <c r="DG26" s="7">
        <f t="shared" si="46"/>
        <v>0</v>
      </c>
      <c r="DH26" s="7">
        <f t="shared" si="47"/>
        <v>0</v>
      </c>
      <c r="DI26" s="7">
        <f t="shared" si="48"/>
        <v>0</v>
      </c>
      <c r="DJ26" s="7">
        <f t="shared" si="49"/>
        <v>0</v>
      </c>
      <c r="DK26" s="7">
        <f t="shared" si="50"/>
        <v>0</v>
      </c>
      <c r="DL26" s="7">
        <f t="shared" si="51"/>
        <v>0</v>
      </c>
      <c r="DM26" s="7">
        <f t="shared" si="52"/>
        <v>0</v>
      </c>
      <c r="DN26" s="7">
        <f t="shared" si="53"/>
        <v>0</v>
      </c>
      <c r="DO26" s="7">
        <f t="shared" si="54"/>
        <v>0</v>
      </c>
      <c r="DP26" s="7">
        <f t="shared" si="55"/>
        <v>0</v>
      </c>
      <c r="DQ26" s="7">
        <f t="shared" si="56"/>
        <v>0</v>
      </c>
      <c r="DR26" s="7">
        <f t="shared" si="57"/>
        <v>0</v>
      </c>
      <c r="DS26" s="7">
        <f t="shared" si="58"/>
        <v>0</v>
      </c>
      <c r="DT26" s="7">
        <f t="shared" si="59"/>
        <v>0</v>
      </c>
      <c r="DU26" s="7">
        <f t="shared" si="60"/>
        <v>0</v>
      </c>
    </row>
    <row r="27" spans="1:125" x14ac:dyDescent="0.2">
      <c r="A27" s="3">
        <f>Bonds!A27</f>
        <v>46418</v>
      </c>
      <c r="B27" s="4">
        <f>Bonds!B27</f>
        <v>1.5</v>
      </c>
      <c r="C27">
        <f>Bonds!P27</f>
        <v>1</v>
      </c>
      <c r="D27">
        <f t="shared" si="0"/>
        <v>1</v>
      </c>
      <c r="E27" s="3">
        <f>IF(1&gt;$C27,"",IF($D27=1,EOMONTH(EDATE(Bonds!$H27,6*(1-1)),0),EDATE(Bonds!$H27,6*(1-1))))</f>
        <v>46418</v>
      </c>
      <c r="F27" s="3" t="str">
        <f>IF(2&gt;$C27,"",IF($D27=1,EOMONTH(EDATE(Bonds!$H27,6*(2-1)),0),EDATE(Bonds!$H27,6*(2-1))))</f>
        <v/>
      </c>
      <c r="G27" s="3" t="str">
        <f>IF(3&gt;$C27,"",IF($D27=1,EOMONTH(EDATE(Bonds!$H27,6*(3-1)),0),EDATE(Bonds!$H27,6*(3-1))))</f>
        <v/>
      </c>
      <c r="H27" s="3" t="str">
        <f>IF(4&gt;$C27,"",IF($D27=1,EOMONTH(EDATE(Bonds!$H27,6*(4-1)),0),EDATE(Bonds!$H27,6*(4-1))))</f>
        <v/>
      </c>
      <c r="I27" s="3" t="str">
        <f>IF(5&gt;$C27,"",IF($D27=1,EOMONTH(EDATE(Bonds!$H27,6*(5-1)),0),EDATE(Bonds!$H27,6*(5-1))))</f>
        <v/>
      </c>
      <c r="J27" s="3" t="str">
        <f>IF(6&gt;$C27,"",IF($D27=1,EOMONTH(EDATE(Bonds!$H27,6*(6-1)),0),EDATE(Bonds!$H27,6*(6-1))))</f>
        <v/>
      </c>
      <c r="K27" s="3" t="str">
        <f>IF(7&gt;$C27,"",IF($D27=1,EOMONTH(EDATE(Bonds!$H27,6*(7-1)),0),EDATE(Bonds!$H27,6*(7-1))))</f>
        <v/>
      </c>
      <c r="L27" s="3" t="str">
        <f>IF(8&gt;$C27,"",IF($D27=1,EOMONTH(EDATE(Bonds!$H27,6*(8-1)),0),EDATE(Bonds!$H27,6*(8-1))))</f>
        <v/>
      </c>
      <c r="M27" s="3" t="str">
        <f>IF(9&gt;$C27,"",IF($D27=1,EOMONTH(EDATE(Bonds!$H27,6*(9-1)),0),EDATE(Bonds!$H27,6*(9-1))))</f>
        <v/>
      </c>
      <c r="N27" s="3" t="str">
        <f>IF(10&gt;$C27,"",IF($D27=1,EOMONTH(EDATE(Bonds!$H27,6*(10-1)),0),EDATE(Bonds!$H27,6*(10-1))))</f>
        <v/>
      </c>
      <c r="O27" s="3" t="str">
        <f>IF(11&gt;$C27,"",IF($D27=1,EOMONTH(EDATE(Bonds!$H27,6*(11-1)),0),EDATE(Bonds!$H27,6*(11-1))))</f>
        <v/>
      </c>
      <c r="P27" s="3" t="str">
        <f>IF(12&gt;$C27,"",IF($D27=1,EOMONTH(EDATE(Bonds!$H27,6*(12-1)),0),EDATE(Bonds!$H27,6*(12-1))))</f>
        <v/>
      </c>
      <c r="Q27" s="3" t="str">
        <f>IF(13&gt;$C27,"",IF($D27=1,EOMONTH(EDATE(Bonds!$H27,6*(13-1)),0),EDATE(Bonds!$H27,6*(13-1))))</f>
        <v/>
      </c>
      <c r="R27" s="3" t="str">
        <f>IF(14&gt;$C27,"",IF($D27=1,EOMONTH(EDATE(Bonds!$H27,6*(14-1)),0),EDATE(Bonds!$H27,6*(14-1))))</f>
        <v/>
      </c>
      <c r="S27" s="3" t="str">
        <f>IF(15&gt;$C27,"",IF($D27=1,EOMONTH(EDATE(Bonds!$H27,6*(15-1)),0),EDATE(Bonds!$H27,6*(15-1))))</f>
        <v/>
      </c>
      <c r="T27" s="3" t="str">
        <f>IF(16&gt;$C27,"",IF($D27=1,EOMONTH(EDATE(Bonds!$H27,6*(16-1)),0),EDATE(Bonds!$H27,6*(16-1))))</f>
        <v/>
      </c>
      <c r="U27" s="3" t="str">
        <f>IF(17&gt;$C27,"",IF($D27=1,EOMONTH(EDATE(Bonds!$H27,6*(17-1)),0),EDATE(Bonds!$H27,6*(17-1))))</f>
        <v/>
      </c>
      <c r="V27" s="3" t="str">
        <f>IF(18&gt;$C27,"",IF($D27=1,EOMONTH(EDATE(Bonds!$H27,6*(18-1)),0),EDATE(Bonds!$H27,6*(18-1))))</f>
        <v/>
      </c>
      <c r="W27" s="3" t="str">
        <f>IF(19&gt;$C27,"",IF($D27=1,EOMONTH(EDATE(Bonds!$H27,6*(19-1)),0),EDATE(Bonds!$H27,6*(19-1))))</f>
        <v/>
      </c>
      <c r="X27" s="3" t="str">
        <f>IF(20&gt;$C27,"",IF($D27=1,EOMONTH(EDATE(Bonds!$H27,6*(20-1)),0),EDATE(Bonds!$H27,6*(20-1))))</f>
        <v/>
      </c>
      <c r="Y27" s="3" t="str">
        <f>IF(21&gt;$C27,"",IF($D27=1,EOMONTH(EDATE(Bonds!$H27,6*(21-1)),0),EDATE(Bonds!$H27,6*(21-1))))</f>
        <v/>
      </c>
      <c r="Z27" s="3" t="str">
        <f>IF(22&gt;$C27,"",IF($D27=1,EOMONTH(EDATE(Bonds!$H27,6*(22-1)),0),EDATE(Bonds!$H27,6*(22-1))))</f>
        <v/>
      </c>
      <c r="AA27" s="3" t="str">
        <f>IF(23&gt;$C27,"",IF($D27=1,EOMONTH(EDATE(Bonds!$H27,6*(23-1)),0),EDATE(Bonds!$H27,6*(23-1))))</f>
        <v/>
      </c>
      <c r="AB27" s="3" t="str">
        <f>IF(24&gt;$C27,"",IF($D27=1,EOMONTH(EDATE(Bonds!$H27,6*(24-1)),0),EDATE(Bonds!$H27,6*(24-1))))</f>
        <v/>
      </c>
      <c r="AC27" s="3" t="str">
        <f>IF(25&gt;$C27,"",IF($D27=1,EOMONTH(EDATE(Bonds!$H27,6*(25-1)),0),EDATE(Bonds!$H27,6*(25-1))))</f>
        <v/>
      </c>
      <c r="AD27" s="3" t="str">
        <f>IF(26&gt;$C27,"",IF($D27=1,EOMONTH(EDATE(Bonds!$H27,6*(26-1)),0),EDATE(Bonds!$H27,6*(26-1))))</f>
        <v/>
      </c>
      <c r="AE27" s="3" t="str">
        <f>IF(27&gt;$C27,"",IF($D27=1,EOMONTH(EDATE(Bonds!$H27,6*(27-1)),0),EDATE(Bonds!$H27,6*(27-1))))</f>
        <v/>
      </c>
      <c r="AF27" s="3" t="str">
        <f>IF(28&gt;$C27,"",IF($D27=1,EOMONTH(EDATE(Bonds!$H27,6*(28-1)),0),EDATE(Bonds!$H27,6*(28-1))))</f>
        <v/>
      </c>
      <c r="AG27" s="3" t="str">
        <f>IF(29&gt;$C27,"",IF($D27=1,EOMONTH(EDATE(Bonds!$H27,6*(29-1)),0),EDATE(Bonds!$H27,6*(29-1))))</f>
        <v/>
      </c>
      <c r="AH27" s="3" t="str">
        <f>IF(30&gt;$C27,"",IF($D27=1,EOMONTH(EDATE(Bonds!$H27,6*(30-1)),0),EDATE(Bonds!$H27,6*(30-1))))</f>
        <v/>
      </c>
      <c r="AI27" s="3" t="str">
        <f>IF(31&gt;$C27,"",IF($D27=1,EOMONTH(EDATE(Bonds!$H27,6*(31-1)),0),EDATE(Bonds!$H27,6*(31-1))))</f>
        <v/>
      </c>
      <c r="AJ27" s="3" t="str">
        <f>IF(32&gt;$C27,"",IF($D27=1,EOMONTH(EDATE(Bonds!$H27,6*(32-1)),0),EDATE(Bonds!$H27,6*(32-1))))</f>
        <v/>
      </c>
      <c r="AK27" s="3" t="str">
        <f>IF(33&gt;$C27,"",IF($D27=1,EOMONTH(EDATE(Bonds!$H27,6*(33-1)),0),EDATE(Bonds!$H27,6*(33-1))))</f>
        <v/>
      </c>
      <c r="AL27" s="3" t="str">
        <f>IF(34&gt;$C27,"",IF($D27=1,EOMONTH(EDATE(Bonds!$H27,6*(34-1)),0),EDATE(Bonds!$H27,6*(34-1))))</f>
        <v/>
      </c>
      <c r="AM27" s="3" t="str">
        <f>IF(35&gt;$C27,"",IF($D27=1,EOMONTH(EDATE(Bonds!$H27,6*(35-1)),0),EDATE(Bonds!$H27,6*(35-1))))</f>
        <v/>
      </c>
      <c r="AN27" s="3" t="str">
        <f>IF(36&gt;$C27,"",IF($D27=1,EOMONTH(EDATE(Bonds!$H27,6*(36-1)),0),EDATE(Bonds!$H27,6*(36-1))))</f>
        <v/>
      </c>
      <c r="AO27" s="3" t="str">
        <f>IF(37&gt;$C27,"",IF($D27=1,EOMONTH(EDATE(Bonds!$H27,6*(37-1)),0),EDATE(Bonds!$H27,6*(37-1))))</f>
        <v/>
      </c>
      <c r="AP27" s="3" t="str">
        <f>IF(38&gt;$C27,"",IF($D27=1,EOMONTH(EDATE(Bonds!$H27,6*(38-1)),0),EDATE(Bonds!$H27,6*(38-1))))</f>
        <v/>
      </c>
      <c r="AQ27" s="3" t="str">
        <f>IF(39&gt;$C27,"",IF($D27=1,EOMONTH(EDATE(Bonds!$H27,6*(39-1)),0),EDATE(Bonds!$H27,6*(39-1))))</f>
        <v/>
      </c>
      <c r="AR27" s="3" t="str">
        <f>IF(40&gt;$C27,"",IF($D27=1,EOMONTH(EDATE(Bonds!$H27,6*(40-1)),0),EDATE(Bonds!$H27,6*(40-1))))</f>
        <v/>
      </c>
      <c r="AS27" s="3" t="str">
        <f>IF(41&gt;$C27,"",IF($D27=1,EOMONTH(EDATE(Bonds!$H27,6*(41-1)),0),EDATE(Bonds!$H27,6*(41-1))))</f>
        <v/>
      </c>
      <c r="AT27" s="3" t="str">
        <f>IF(42&gt;$C27,"",IF($D27=1,EOMONTH(EDATE(Bonds!$H27,6*(42-1)),0),EDATE(Bonds!$H27,6*(42-1))))</f>
        <v/>
      </c>
      <c r="AU27" s="3" t="str">
        <f>IF(43&gt;$C27,"",IF($D27=1,EOMONTH(EDATE(Bonds!$H27,6*(43-1)),0),EDATE(Bonds!$H27,6*(43-1))))</f>
        <v/>
      </c>
      <c r="AV27" s="3" t="str">
        <f>IF(44&gt;$C27,"",IF($D27=1,EOMONTH(EDATE(Bonds!$H27,6*(44-1)),0),EDATE(Bonds!$H27,6*(44-1))))</f>
        <v/>
      </c>
      <c r="AW27" s="3" t="str">
        <f>IF(45&gt;$C27,"",IF($D27=1,EOMONTH(EDATE(Bonds!$H27,6*(45-1)),0),EDATE(Bonds!$H27,6*(45-1))))</f>
        <v/>
      </c>
      <c r="AX27" s="3" t="str">
        <f>IF(46&gt;$C27,"",IF($D27=1,EOMONTH(EDATE(Bonds!$H27,6*(46-1)),0),EDATE(Bonds!$H27,6*(46-1))))</f>
        <v/>
      </c>
      <c r="AY27" s="3" t="str">
        <f>IF(47&gt;$C27,"",IF($D27=1,EOMONTH(EDATE(Bonds!$H27,6*(47-1)),0),EDATE(Bonds!$H27,6*(47-1))))</f>
        <v/>
      </c>
      <c r="AZ27" s="3" t="str">
        <f>IF(48&gt;$C27,"",IF($D27=1,EOMONTH(EDATE(Bonds!$H27,6*(48-1)),0),EDATE(Bonds!$H27,6*(48-1))))</f>
        <v/>
      </c>
      <c r="BA27" s="3" t="str">
        <f>IF(49&gt;$C27,"",IF($D27=1,EOMONTH(EDATE(Bonds!$H27,6*(49-1)),0),EDATE(Bonds!$H27,6*(49-1))))</f>
        <v/>
      </c>
      <c r="BB27" s="3" t="str">
        <f>IF(50&gt;$C27,"",IF($D27=1,EOMONTH(EDATE(Bonds!$H27,6*(50-1)),0),EDATE(Bonds!$H27,6*(50-1))))</f>
        <v/>
      </c>
      <c r="BC27" s="3" t="str">
        <f>IF(51&gt;$C27,"",IF($D27=1,EOMONTH(EDATE(Bonds!$H27,6*(51-1)),0),EDATE(Bonds!$H27,6*(51-1))))</f>
        <v/>
      </c>
      <c r="BD27" s="3" t="str">
        <f>IF(52&gt;$C27,"",IF($D27=1,EOMONTH(EDATE(Bonds!$H27,6*(52-1)),0),EDATE(Bonds!$H27,6*(52-1))))</f>
        <v/>
      </c>
      <c r="BE27" s="3" t="str">
        <f>IF(53&gt;$C27,"",IF($D27=1,EOMONTH(EDATE(Bonds!$H27,6*(53-1)),0),EDATE(Bonds!$H27,6*(53-1))))</f>
        <v/>
      </c>
      <c r="BF27" s="3" t="str">
        <f>IF(54&gt;$C27,"",IF($D27=1,EOMONTH(EDATE(Bonds!$H27,6*(54-1)),0),EDATE(Bonds!$H27,6*(54-1))))</f>
        <v/>
      </c>
      <c r="BG27" s="3" t="str">
        <f>IF(55&gt;$C27,"",IF($D27=1,EOMONTH(EDATE(Bonds!$H27,6*(55-1)),0),EDATE(Bonds!$H27,6*(55-1))))</f>
        <v/>
      </c>
      <c r="BH27" s="3" t="str">
        <f>IF(56&gt;$C27,"",IF($D27=1,EOMONTH(EDATE(Bonds!$H27,6*(56-1)),0),EDATE(Bonds!$H27,6*(56-1))))</f>
        <v/>
      </c>
      <c r="BI27" s="3" t="str">
        <f>IF(57&gt;$C27,"",IF($D27=1,EOMONTH(EDATE(Bonds!$H27,6*(57-1)),0),EDATE(Bonds!$H27,6*(57-1))))</f>
        <v/>
      </c>
      <c r="BJ27" s="3" t="str">
        <f>IF(58&gt;$C27,"",IF($D27=1,EOMONTH(EDATE(Bonds!$H27,6*(58-1)),0),EDATE(Bonds!$H27,6*(58-1))))</f>
        <v/>
      </c>
      <c r="BK27" s="3" t="str">
        <f>IF(59&gt;$C27,"",IF($D27=1,EOMONTH(EDATE(Bonds!$H27,6*(59-1)),0),EDATE(Bonds!$H27,6*(59-1))))</f>
        <v/>
      </c>
      <c r="BL27" s="3" t="str">
        <f>IF(60&gt;$C27,"",IF($D27=1,EOMONTH(EDATE(Bonds!$H27,6*(60-1)),0),EDATE(Bonds!$H27,6*(60-1))))</f>
        <v/>
      </c>
      <c r="BN27" s="7">
        <f t="shared" si="1"/>
        <v>99.208727178631264</v>
      </c>
      <c r="BO27" s="7">
        <f t="shared" si="2"/>
        <v>0</v>
      </c>
      <c r="BP27" s="7">
        <f t="shared" si="3"/>
        <v>0</v>
      </c>
      <c r="BQ27" s="7">
        <f t="shared" si="4"/>
        <v>0</v>
      </c>
      <c r="BR27" s="7">
        <f t="shared" si="5"/>
        <v>0</v>
      </c>
      <c r="BS27" s="7">
        <f t="shared" si="6"/>
        <v>0</v>
      </c>
      <c r="BT27" s="7">
        <f t="shared" si="7"/>
        <v>0</v>
      </c>
      <c r="BU27" s="7">
        <f t="shared" si="8"/>
        <v>0</v>
      </c>
      <c r="BV27" s="7">
        <f t="shared" si="9"/>
        <v>0</v>
      </c>
      <c r="BW27" s="7">
        <f t="shared" si="10"/>
        <v>0</v>
      </c>
      <c r="BX27" s="7">
        <f t="shared" si="11"/>
        <v>0</v>
      </c>
      <c r="BY27" s="7">
        <f t="shared" si="12"/>
        <v>0</v>
      </c>
      <c r="BZ27" s="7">
        <f t="shared" si="13"/>
        <v>0</v>
      </c>
      <c r="CA27" s="7">
        <f t="shared" si="14"/>
        <v>0</v>
      </c>
      <c r="CB27" s="7">
        <f t="shared" si="15"/>
        <v>0</v>
      </c>
      <c r="CC27" s="7">
        <f t="shared" si="16"/>
        <v>0</v>
      </c>
      <c r="CD27" s="7">
        <f t="shared" si="17"/>
        <v>0</v>
      </c>
      <c r="CE27" s="7">
        <f t="shared" si="18"/>
        <v>0</v>
      </c>
      <c r="CF27" s="7">
        <f t="shared" si="19"/>
        <v>0</v>
      </c>
      <c r="CG27" s="7">
        <f t="shared" si="20"/>
        <v>0</v>
      </c>
      <c r="CH27" s="7">
        <f t="shared" si="21"/>
        <v>0</v>
      </c>
      <c r="CI27" s="7">
        <f t="shared" si="22"/>
        <v>0</v>
      </c>
      <c r="CJ27" s="7">
        <f t="shared" si="23"/>
        <v>0</v>
      </c>
      <c r="CK27" s="7">
        <f t="shared" si="24"/>
        <v>0</v>
      </c>
      <c r="CL27" s="7">
        <f t="shared" si="25"/>
        <v>0</v>
      </c>
      <c r="CM27" s="7">
        <f t="shared" si="26"/>
        <v>0</v>
      </c>
      <c r="CN27" s="7">
        <f t="shared" si="27"/>
        <v>0</v>
      </c>
      <c r="CO27" s="7">
        <f t="shared" si="28"/>
        <v>0</v>
      </c>
      <c r="CP27" s="7">
        <f t="shared" si="29"/>
        <v>0</v>
      </c>
      <c r="CQ27" s="7">
        <f t="shared" si="30"/>
        <v>0</v>
      </c>
      <c r="CR27" s="7">
        <f t="shared" si="31"/>
        <v>0</v>
      </c>
      <c r="CS27" s="7">
        <f t="shared" si="32"/>
        <v>0</v>
      </c>
      <c r="CT27" s="7">
        <f t="shared" si="33"/>
        <v>0</v>
      </c>
      <c r="CU27" s="7">
        <f t="shared" si="34"/>
        <v>0</v>
      </c>
      <c r="CV27" s="7">
        <f t="shared" si="35"/>
        <v>0</v>
      </c>
      <c r="CW27" s="7">
        <f t="shared" si="36"/>
        <v>0</v>
      </c>
      <c r="CX27" s="7">
        <f t="shared" si="37"/>
        <v>0</v>
      </c>
      <c r="CY27" s="7">
        <f t="shared" si="38"/>
        <v>0</v>
      </c>
      <c r="CZ27" s="7">
        <f t="shared" si="39"/>
        <v>0</v>
      </c>
      <c r="DA27" s="7">
        <f t="shared" si="40"/>
        <v>0</v>
      </c>
      <c r="DB27" s="7">
        <f t="shared" si="41"/>
        <v>0</v>
      </c>
      <c r="DC27" s="7">
        <f t="shared" si="42"/>
        <v>0</v>
      </c>
      <c r="DD27" s="7">
        <f t="shared" si="43"/>
        <v>0</v>
      </c>
      <c r="DE27" s="7">
        <f t="shared" si="44"/>
        <v>0</v>
      </c>
      <c r="DF27" s="7">
        <f t="shared" si="45"/>
        <v>0</v>
      </c>
      <c r="DG27" s="7">
        <f t="shared" si="46"/>
        <v>0</v>
      </c>
      <c r="DH27" s="7">
        <f t="shared" si="47"/>
        <v>0</v>
      </c>
      <c r="DI27" s="7">
        <f t="shared" si="48"/>
        <v>0</v>
      </c>
      <c r="DJ27" s="7">
        <f t="shared" si="49"/>
        <v>0</v>
      </c>
      <c r="DK27" s="7">
        <f t="shared" si="50"/>
        <v>0</v>
      </c>
      <c r="DL27" s="7">
        <f t="shared" si="51"/>
        <v>0</v>
      </c>
      <c r="DM27" s="7">
        <f t="shared" si="52"/>
        <v>0</v>
      </c>
      <c r="DN27" s="7">
        <f t="shared" si="53"/>
        <v>0</v>
      </c>
      <c r="DO27" s="7">
        <f t="shared" si="54"/>
        <v>0</v>
      </c>
      <c r="DP27" s="7">
        <f t="shared" si="55"/>
        <v>0</v>
      </c>
      <c r="DQ27" s="7">
        <f t="shared" si="56"/>
        <v>0</v>
      </c>
      <c r="DR27" s="7">
        <f t="shared" si="57"/>
        <v>0</v>
      </c>
      <c r="DS27" s="7">
        <f t="shared" si="58"/>
        <v>0</v>
      </c>
      <c r="DT27" s="7">
        <f t="shared" si="59"/>
        <v>0</v>
      </c>
      <c r="DU27" s="7">
        <f t="shared" si="60"/>
        <v>0</v>
      </c>
    </row>
    <row r="28" spans="1:125" x14ac:dyDescent="0.2">
      <c r="A28" s="3">
        <f>Bonds!A28</f>
        <v>46418</v>
      </c>
      <c r="B28" s="4">
        <f>Bonds!B28</f>
        <v>4.125</v>
      </c>
      <c r="C28">
        <f>Bonds!P28</f>
        <v>1</v>
      </c>
      <c r="D28">
        <f t="shared" si="0"/>
        <v>1</v>
      </c>
      <c r="E28" s="3">
        <f>IF(1&gt;$C28,"",IF($D28=1,EOMONTH(EDATE(Bonds!$H28,6*(1-1)),0),EDATE(Bonds!$H28,6*(1-1))))</f>
        <v>46418</v>
      </c>
      <c r="F28" s="3" t="str">
        <f>IF(2&gt;$C28,"",IF($D28=1,EOMONTH(EDATE(Bonds!$H28,6*(2-1)),0),EDATE(Bonds!$H28,6*(2-1))))</f>
        <v/>
      </c>
      <c r="G28" s="3" t="str">
        <f>IF(3&gt;$C28,"",IF($D28=1,EOMONTH(EDATE(Bonds!$H28,6*(3-1)),0),EDATE(Bonds!$H28,6*(3-1))))</f>
        <v/>
      </c>
      <c r="H28" s="3" t="str">
        <f>IF(4&gt;$C28,"",IF($D28=1,EOMONTH(EDATE(Bonds!$H28,6*(4-1)),0),EDATE(Bonds!$H28,6*(4-1))))</f>
        <v/>
      </c>
      <c r="I28" s="3" t="str">
        <f>IF(5&gt;$C28,"",IF($D28=1,EOMONTH(EDATE(Bonds!$H28,6*(5-1)),0),EDATE(Bonds!$H28,6*(5-1))))</f>
        <v/>
      </c>
      <c r="J28" s="3" t="str">
        <f>IF(6&gt;$C28,"",IF($D28=1,EOMONTH(EDATE(Bonds!$H28,6*(6-1)),0),EDATE(Bonds!$H28,6*(6-1))))</f>
        <v/>
      </c>
      <c r="K28" s="3" t="str">
        <f>IF(7&gt;$C28,"",IF($D28=1,EOMONTH(EDATE(Bonds!$H28,6*(7-1)),0),EDATE(Bonds!$H28,6*(7-1))))</f>
        <v/>
      </c>
      <c r="L28" s="3" t="str">
        <f>IF(8&gt;$C28,"",IF($D28=1,EOMONTH(EDATE(Bonds!$H28,6*(8-1)),0),EDATE(Bonds!$H28,6*(8-1))))</f>
        <v/>
      </c>
      <c r="M28" s="3" t="str">
        <f>IF(9&gt;$C28,"",IF($D28=1,EOMONTH(EDATE(Bonds!$H28,6*(9-1)),0),EDATE(Bonds!$H28,6*(9-1))))</f>
        <v/>
      </c>
      <c r="N28" s="3" t="str">
        <f>IF(10&gt;$C28,"",IF($D28=1,EOMONTH(EDATE(Bonds!$H28,6*(10-1)),0),EDATE(Bonds!$H28,6*(10-1))))</f>
        <v/>
      </c>
      <c r="O28" s="3" t="str">
        <f>IF(11&gt;$C28,"",IF($D28=1,EOMONTH(EDATE(Bonds!$H28,6*(11-1)),0),EDATE(Bonds!$H28,6*(11-1))))</f>
        <v/>
      </c>
      <c r="P28" s="3" t="str">
        <f>IF(12&gt;$C28,"",IF($D28=1,EOMONTH(EDATE(Bonds!$H28,6*(12-1)),0),EDATE(Bonds!$H28,6*(12-1))))</f>
        <v/>
      </c>
      <c r="Q28" s="3" t="str">
        <f>IF(13&gt;$C28,"",IF($D28=1,EOMONTH(EDATE(Bonds!$H28,6*(13-1)),0),EDATE(Bonds!$H28,6*(13-1))))</f>
        <v/>
      </c>
      <c r="R28" s="3" t="str">
        <f>IF(14&gt;$C28,"",IF($D28=1,EOMONTH(EDATE(Bonds!$H28,6*(14-1)),0),EDATE(Bonds!$H28,6*(14-1))))</f>
        <v/>
      </c>
      <c r="S28" s="3" t="str">
        <f>IF(15&gt;$C28,"",IF($D28=1,EOMONTH(EDATE(Bonds!$H28,6*(15-1)),0),EDATE(Bonds!$H28,6*(15-1))))</f>
        <v/>
      </c>
      <c r="T28" s="3" t="str">
        <f>IF(16&gt;$C28,"",IF($D28=1,EOMONTH(EDATE(Bonds!$H28,6*(16-1)),0),EDATE(Bonds!$H28,6*(16-1))))</f>
        <v/>
      </c>
      <c r="U28" s="3" t="str">
        <f>IF(17&gt;$C28,"",IF($D28=1,EOMONTH(EDATE(Bonds!$H28,6*(17-1)),0),EDATE(Bonds!$H28,6*(17-1))))</f>
        <v/>
      </c>
      <c r="V28" s="3" t="str">
        <f>IF(18&gt;$C28,"",IF($D28=1,EOMONTH(EDATE(Bonds!$H28,6*(18-1)),0),EDATE(Bonds!$H28,6*(18-1))))</f>
        <v/>
      </c>
      <c r="W28" s="3" t="str">
        <f>IF(19&gt;$C28,"",IF($D28=1,EOMONTH(EDATE(Bonds!$H28,6*(19-1)),0),EDATE(Bonds!$H28,6*(19-1))))</f>
        <v/>
      </c>
      <c r="X28" s="3" t="str">
        <f>IF(20&gt;$C28,"",IF($D28=1,EOMONTH(EDATE(Bonds!$H28,6*(20-1)),0),EDATE(Bonds!$H28,6*(20-1))))</f>
        <v/>
      </c>
      <c r="Y28" s="3" t="str">
        <f>IF(21&gt;$C28,"",IF($D28=1,EOMONTH(EDATE(Bonds!$H28,6*(21-1)),0),EDATE(Bonds!$H28,6*(21-1))))</f>
        <v/>
      </c>
      <c r="Z28" s="3" t="str">
        <f>IF(22&gt;$C28,"",IF($D28=1,EOMONTH(EDATE(Bonds!$H28,6*(22-1)),0),EDATE(Bonds!$H28,6*(22-1))))</f>
        <v/>
      </c>
      <c r="AA28" s="3" t="str">
        <f>IF(23&gt;$C28,"",IF($D28=1,EOMONTH(EDATE(Bonds!$H28,6*(23-1)),0),EDATE(Bonds!$H28,6*(23-1))))</f>
        <v/>
      </c>
      <c r="AB28" s="3" t="str">
        <f>IF(24&gt;$C28,"",IF($D28=1,EOMONTH(EDATE(Bonds!$H28,6*(24-1)),0),EDATE(Bonds!$H28,6*(24-1))))</f>
        <v/>
      </c>
      <c r="AC28" s="3" t="str">
        <f>IF(25&gt;$C28,"",IF($D28=1,EOMONTH(EDATE(Bonds!$H28,6*(25-1)),0),EDATE(Bonds!$H28,6*(25-1))))</f>
        <v/>
      </c>
      <c r="AD28" s="3" t="str">
        <f>IF(26&gt;$C28,"",IF($D28=1,EOMONTH(EDATE(Bonds!$H28,6*(26-1)),0),EDATE(Bonds!$H28,6*(26-1))))</f>
        <v/>
      </c>
      <c r="AE28" s="3" t="str">
        <f>IF(27&gt;$C28,"",IF($D28=1,EOMONTH(EDATE(Bonds!$H28,6*(27-1)),0),EDATE(Bonds!$H28,6*(27-1))))</f>
        <v/>
      </c>
      <c r="AF28" s="3" t="str">
        <f>IF(28&gt;$C28,"",IF($D28=1,EOMONTH(EDATE(Bonds!$H28,6*(28-1)),0),EDATE(Bonds!$H28,6*(28-1))))</f>
        <v/>
      </c>
      <c r="AG28" s="3" t="str">
        <f>IF(29&gt;$C28,"",IF($D28=1,EOMONTH(EDATE(Bonds!$H28,6*(29-1)),0),EDATE(Bonds!$H28,6*(29-1))))</f>
        <v/>
      </c>
      <c r="AH28" s="3" t="str">
        <f>IF(30&gt;$C28,"",IF($D28=1,EOMONTH(EDATE(Bonds!$H28,6*(30-1)),0),EDATE(Bonds!$H28,6*(30-1))))</f>
        <v/>
      </c>
      <c r="AI28" s="3" t="str">
        <f>IF(31&gt;$C28,"",IF($D28=1,EOMONTH(EDATE(Bonds!$H28,6*(31-1)),0),EDATE(Bonds!$H28,6*(31-1))))</f>
        <v/>
      </c>
      <c r="AJ28" s="3" t="str">
        <f>IF(32&gt;$C28,"",IF($D28=1,EOMONTH(EDATE(Bonds!$H28,6*(32-1)),0),EDATE(Bonds!$H28,6*(32-1))))</f>
        <v/>
      </c>
      <c r="AK28" s="3" t="str">
        <f>IF(33&gt;$C28,"",IF($D28=1,EOMONTH(EDATE(Bonds!$H28,6*(33-1)),0),EDATE(Bonds!$H28,6*(33-1))))</f>
        <v/>
      </c>
      <c r="AL28" s="3" t="str">
        <f>IF(34&gt;$C28,"",IF($D28=1,EOMONTH(EDATE(Bonds!$H28,6*(34-1)),0),EDATE(Bonds!$H28,6*(34-1))))</f>
        <v/>
      </c>
      <c r="AM28" s="3" t="str">
        <f>IF(35&gt;$C28,"",IF($D28=1,EOMONTH(EDATE(Bonds!$H28,6*(35-1)),0),EDATE(Bonds!$H28,6*(35-1))))</f>
        <v/>
      </c>
      <c r="AN28" s="3" t="str">
        <f>IF(36&gt;$C28,"",IF($D28=1,EOMONTH(EDATE(Bonds!$H28,6*(36-1)),0),EDATE(Bonds!$H28,6*(36-1))))</f>
        <v/>
      </c>
      <c r="AO28" s="3" t="str">
        <f>IF(37&gt;$C28,"",IF($D28=1,EOMONTH(EDATE(Bonds!$H28,6*(37-1)),0),EDATE(Bonds!$H28,6*(37-1))))</f>
        <v/>
      </c>
      <c r="AP28" s="3" t="str">
        <f>IF(38&gt;$C28,"",IF($D28=1,EOMONTH(EDATE(Bonds!$H28,6*(38-1)),0),EDATE(Bonds!$H28,6*(38-1))))</f>
        <v/>
      </c>
      <c r="AQ28" s="3" t="str">
        <f>IF(39&gt;$C28,"",IF($D28=1,EOMONTH(EDATE(Bonds!$H28,6*(39-1)),0),EDATE(Bonds!$H28,6*(39-1))))</f>
        <v/>
      </c>
      <c r="AR28" s="3" t="str">
        <f>IF(40&gt;$C28,"",IF($D28=1,EOMONTH(EDATE(Bonds!$H28,6*(40-1)),0),EDATE(Bonds!$H28,6*(40-1))))</f>
        <v/>
      </c>
      <c r="AS28" s="3" t="str">
        <f>IF(41&gt;$C28,"",IF($D28=1,EOMONTH(EDATE(Bonds!$H28,6*(41-1)),0),EDATE(Bonds!$H28,6*(41-1))))</f>
        <v/>
      </c>
      <c r="AT28" s="3" t="str">
        <f>IF(42&gt;$C28,"",IF($D28=1,EOMONTH(EDATE(Bonds!$H28,6*(42-1)),0),EDATE(Bonds!$H28,6*(42-1))))</f>
        <v/>
      </c>
      <c r="AU28" s="3" t="str">
        <f>IF(43&gt;$C28,"",IF($D28=1,EOMONTH(EDATE(Bonds!$H28,6*(43-1)),0),EDATE(Bonds!$H28,6*(43-1))))</f>
        <v/>
      </c>
      <c r="AV28" s="3" t="str">
        <f>IF(44&gt;$C28,"",IF($D28=1,EOMONTH(EDATE(Bonds!$H28,6*(44-1)),0),EDATE(Bonds!$H28,6*(44-1))))</f>
        <v/>
      </c>
      <c r="AW28" s="3" t="str">
        <f>IF(45&gt;$C28,"",IF($D28=1,EOMONTH(EDATE(Bonds!$H28,6*(45-1)),0),EDATE(Bonds!$H28,6*(45-1))))</f>
        <v/>
      </c>
      <c r="AX28" s="3" t="str">
        <f>IF(46&gt;$C28,"",IF($D28=1,EOMONTH(EDATE(Bonds!$H28,6*(46-1)),0),EDATE(Bonds!$H28,6*(46-1))))</f>
        <v/>
      </c>
      <c r="AY28" s="3" t="str">
        <f>IF(47&gt;$C28,"",IF($D28=1,EOMONTH(EDATE(Bonds!$H28,6*(47-1)),0),EDATE(Bonds!$H28,6*(47-1))))</f>
        <v/>
      </c>
      <c r="AZ28" s="3" t="str">
        <f>IF(48&gt;$C28,"",IF($D28=1,EOMONTH(EDATE(Bonds!$H28,6*(48-1)),0),EDATE(Bonds!$H28,6*(48-1))))</f>
        <v/>
      </c>
      <c r="BA28" s="3" t="str">
        <f>IF(49&gt;$C28,"",IF($D28=1,EOMONTH(EDATE(Bonds!$H28,6*(49-1)),0),EDATE(Bonds!$H28,6*(49-1))))</f>
        <v/>
      </c>
      <c r="BB28" s="3" t="str">
        <f>IF(50&gt;$C28,"",IF($D28=1,EOMONTH(EDATE(Bonds!$H28,6*(50-1)),0),EDATE(Bonds!$H28,6*(50-1))))</f>
        <v/>
      </c>
      <c r="BC28" s="3" t="str">
        <f>IF(51&gt;$C28,"",IF($D28=1,EOMONTH(EDATE(Bonds!$H28,6*(51-1)),0),EDATE(Bonds!$H28,6*(51-1))))</f>
        <v/>
      </c>
      <c r="BD28" s="3" t="str">
        <f>IF(52&gt;$C28,"",IF($D28=1,EOMONTH(EDATE(Bonds!$H28,6*(52-1)),0),EDATE(Bonds!$H28,6*(52-1))))</f>
        <v/>
      </c>
      <c r="BE28" s="3" t="str">
        <f>IF(53&gt;$C28,"",IF($D28=1,EOMONTH(EDATE(Bonds!$H28,6*(53-1)),0),EDATE(Bonds!$H28,6*(53-1))))</f>
        <v/>
      </c>
      <c r="BF28" s="3" t="str">
        <f>IF(54&gt;$C28,"",IF($D28=1,EOMONTH(EDATE(Bonds!$H28,6*(54-1)),0),EDATE(Bonds!$H28,6*(54-1))))</f>
        <v/>
      </c>
      <c r="BG28" s="3" t="str">
        <f>IF(55&gt;$C28,"",IF($D28=1,EOMONTH(EDATE(Bonds!$H28,6*(55-1)),0),EDATE(Bonds!$H28,6*(55-1))))</f>
        <v/>
      </c>
      <c r="BH28" s="3" t="str">
        <f>IF(56&gt;$C28,"",IF($D28=1,EOMONTH(EDATE(Bonds!$H28,6*(56-1)),0),EDATE(Bonds!$H28,6*(56-1))))</f>
        <v/>
      </c>
      <c r="BI28" s="3" t="str">
        <f>IF(57&gt;$C28,"",IF($D28=1,EOMONTH(EDATE(Bonds!$H28,6*(57-1)),0),EDATE(Bonds!$H28,6*(57-1))))</f>
        <v/>
      </c>
      <c r="BJ28" s="3" t="str">
        <f>IF(58&gt;$C28,"",IF($D28=1,EOMONTH(EDATE(Bonds!$H28,6*(58-1)),0),EDATE(Bonds!$H28,6*(58-1))))</f>
        <v/>
      </c>
      <c r="BK28" s="3" t="str">
        <f>IF(59&gt;$C28,"",IF($D28=1,EOMONTH(EDATE(Bonds!$H28,6*(59-1)),0),EDATE(Bonds!$H28,6*(59-1))))</f>
        <v/>
      </c>
      <c r="BL28" s="3" t="str">
        <f>IF(60&gt;$C28,"",IF($D28=1,EOMONTH(EDATE(Bonds!$H28,6*(60-1)),0),EDATE(Bonds!$H28,6*(60-1))))</f>
        <v/>
      </c>
      <c r="BN28" s="7">
        <f t="shared" si="1"/>
        <v>100.501148562472</v>
      </c>
      <c r="BO28" s="7">
        <f t="shared" si="2"/>
        <v>0</v>
      </c>
      <c r="BP28" s="7">
        <f t="shared" si="3"/>
        <v>0</v>
      </c>
      <c r="BQ28" s="7">
        <f t="shared" si="4"/>
        <v>0</v>
      </c>
      <c r="BR28" s="7">
        <f t="shared" si="5"/>
        <v>0</v>
      </c>
      <c r="BS28" s="7">
        <f t="shared" si="6"/>
        <v>0</v>
      </c>
      <c r="BT28" s="7">
        <f t="shared" si="7"/>
        <v>0</v>
      </c>
      <c r="BU28" s="7">
        <f t="shared" si="8"/>
        <v>0</v>
      </c>
      <c r="BV28" s="7">
        <f t="shared" si="9"/>
        <v>0</v>
      </c>
      <c r="BW28" s="7">
        <f t="shared" si="10"/>
        <v>0</v>
      </c>
      <c r="BX28" s="7">
        <f t="shared" si="11"/>
        <v>0</v>
      </c>
      <c r="BY28" s="7">
        <f t="shared" si="12"/>
        <v>0</v>
      </c>
      <c r="BZ28" s="7">
        <f t="shared" si="13"/>
        <v>0</v>
      </c>
      <c r="CA28" s="7">
        <f t="shared" si="14"/>
        <v>0</v>
      </c>
      <c r="CB28" s="7">
        <f t="shared" si="15"/>
        <v>0</v>
      </c>
      <c r="CC28" s="7">
        <f t="shared" si="16"/>
        <v>0</v>
      </c>
      <c r="CD28" s="7">
        <f t="shared" si="17"/>
        <v>0</v>
      </c>
      <c r="CE28" s="7">
        <f t="shared" si="18"/>
        <v>0</v>
      </c>
      <c r="CF28" s="7">
        <f t="shared" si="19"/>
        <v>0</v>
      </c>
      <c r="CG28" s="7">
        <f t="shared" si="20"/>
        <v>0</v>
      </c>
      <c r="CH28" s="7">
        <f t="shared" si="21"/>
        <v>0</v>
      </c>
      <c r="CI28" s="7">
        <f t="shared" si="22"/>
        <v>0</v>
      </c>
      <c r="CJ28" s="7">
        <f t="shared" si="23"/>
        <v>0</v>
      </c>
      <c r="CK28" s="7">
        <f t="shared" si="24"/>
        <v>0</v>
      </c>
      <c r="CL28" s="7">
        <f t="shared" si="25"/>
        <v>0</v>
      </c>
      <c r="CM28" s="7">
        <f t="shared" si="26"/>
        <v>0</v>
      </c>
      <c r="CN28" s="7">
        <f t="shared" si="27"/>
        <v>0</v>
      </c>
      <c r="CO28" s="7">
        <f t="shared" si="28"/>
        <v>0</v>
      </c>
      <c r="CP28" s="7">
        <f t="shared" si="29"/>
        <v>0</v>
      </c>
      <c r="CQ28" s="7">
        <f t="shared" si="30"/>
        <v>0</v>
      </c>
      <c r="CR28" s="7">
        <f t="shared" si="31"/>
        <v>0</v>
      </c>
      <c r="CS28" s="7">
        <f t="shared" si="32"/>
        <v>0</v>
      </c>
      <c r="CT28" s="7">
        <f t="shared" si="33"/>
        <v>0</v>
      </c>
      <c r="CU28" s="7">
        <f t="shared" si="34"/>
        <v>0</v>
      </c>
      <c r="CV28" s="7">
        <f t="shared" si="35"/>
        <v>0</v>
      </c>
      <c r="CW28" s="7">
        <f t="shared" si="36"/>
        <v>0</v>
      </c>
      <c r="CX28" s="7">
        <f t="shared" si="37"/>
        <v>0</v>
      </c>
      <c r="CY28" s="7">
        <f t="shared" si="38"/>
        <v>0</v>
      </c>
      <c r="CZ28" s="7">
        <f t="shared" si="39"/>
        <v>0</v>
      </c>
      <c r="DA28" s="7">
        <f t="shared" si="40"/>
        <v>0</v>
      </c>
      <c r="DB28" s="7">
        <f t="shared" si="41"/>
        <v>0</v>
      </c>
      <c r="DC28" s="7">
        <f t="shared" si="42"/>
        <v>0</v>
      </c>
      <c r="DD28" s="7">
        <f t="shared" si="43"/>
        <v>0</v>
      </c>
      <c r="DE28" s="7">
        <f t="shared" si="44"/>
        <v>0</v>
      </c>
      <c r="DF28" s="7">
        <f t="shared" si="45"/>
        <v>0</v>
      </c>
      <c r="DG28" s="7">
        <f t="shared" si="46"/>
        <v>0</v>
      </c>
      <c r="DH28" s="7">
        <f t="shared" si="47"/>
        <v>0</v>
      </c>
      <c r="DI28" s="7">
        <f t="shared" si="48"/>
        <v>0</v>
      </c>
      <c r="DJ28" s="7">
        <f t="shared" si="49"/>
        <v>0</v>
      </c>
      <c r="DK28" s="7">
        <f t="shared" si="50"/>
        <v>0</v>
      </c>
      <c r="DL28" s="7">
        <f t="shared" si="51"/>
        <v>0</v>
      </c>
      <c r="DM28" s="7">
        <f t="shared" si="52"/>
        <v>0</v>
      </c>
      <c r="DN28" s="7">
        <f t="shared" si="53"/>
        <v>0</v>
      </c>
      <c r="DO28" s="7">
        <f t="shared" si="54"/>
        <v>0</v>
      </c>
      <c r="DP28" s="7">
        <f t="shared" si="55"/>
        <v>0</v>
      </c>
      <c r="DQ28" s="7">
        <f t="shared" si="56"/>
        <v>0</v>
      </c>
      <c r="DR28" s="7">
        <f t="shared" si="57"/>
        <v>0</v>
      </c>
      <c r="DS28" s="7">
        <f t="shared" si="58"/>
        <v>0</v>
      </c>
      <c r="DT28" s="7">
        <f t="shared" si="59"/>
        <v>0</v>
      </c>
      <c r="DU28" s="7">
        <f t="shared" si="60"/>
        <v>0</v>
      </c>
    </row>
    <row r="29" spans="1:125" x14ac:dyDescent="0.2">
      <c r="A29" s="3">
        <f>Bonds!A29</f>
        <v>46433</v>
      </c>
      <c r="B29" s="4">
        <f>Bonds!B29</f>
        <v>2.25</v>
      </c>
      <c r="C29">
        <f>Bonds!P29</f>
        <v>1</v>
      </c>
      <c r="D29">
        <f t="shared" si="0"/>
        <v>0</v>
      </c>
      <c r="E29" s="3">
        <f>IF(1&gt;$C29,"",IF($D29=1,EOMONTH(EDATE(Bonds!$H29,6*(1-1)),0),EDATE(Bonds!$H29,6*(1-1))))</f>
        <v>46433</v>
      </c>
      <c r="F29" s="3" t="str">
        <f>IF(2&gt;$C29,"",IF($D29=1,EOMONTH(EDATE(Bonds!$H29,6*(2-1)),0),EDATE(Bonds!$H29,6*(2-1))))</f>
        <v/>
      </c>
      <c r="G29" s="3" t="str">
        <f>IF(3&gt;$C29,"",IF($D29=1,EOMONTH(EDATE(Bonds!$H29,6*(3-1)),0),EDATE(Bonds!$H29,6*(3-1))))</f>
        <v/>
      </c>
      <c r="H29" s="3" t="str">
        <f>IF(4&gt;$C29,"",IF($D29=1,EOMONTH(EDATE(Bonds!$H29,6*(4-1)),0),EDATE(Bonds!$H29,6*(4-1))))</f>
        <v/>
      </c>
      <c r="I29" s="3" t="str">
        <f>IF(5&gt;$C29,"",IF($D29=1,EOMONTH(EDATE(Bonds!$H29,6*(5-1)),0),EDATE(Bonds!$H29,6*(5-1))))</f>
        <v/>
      </c>
      <c r="J29" s="3" t="str">
        <f>IF(6&gt;$C29,"",IF($D29=1,EOMONTH(EDATE(Bonds!$H29,6*(6-1)),0),EDATE(Bonds!$H29,6*(6-1))))</f>
        <v/>
      </c>
      <c r="K29" s="3" t="str">
        <f>IF(7&gt;$C29,"",IF($D29=1,EOMONTH(EDATE(Bonds!$H29,6*(7-1)),0),EDATE(Bonds!$H29,6*(7-1))))</f>
        <v/>
      </c>
      <c r="L29" s="3" t="str">
        <f>IF(8&gt;$C29,"",IF($D29=1,EOMONTH(EDATE(Bonds!$H29,6*(8-1)),0),EDATE(Bonds!$H29,6*(8-1))))</f>
        <v/>
      </c>
      <c r="M29" s="3" t="str">
        <f>IF(9&gt;$C29,"",IF($D29=1,EOMONTH(EDATE(Bonds!$H29,6*(9-1)),0),EDATE(Bonds!$H29,6*(9-1))))</f>
        <v/>
      </c>
      <c r="N29" s="3" t="str">
        <f>IF(10&gt;$C29,"",IF($D29=1,EOMONTH(EDATE(Bonds!$H29,6*(10-1)),0),EDATE(Bonds!$H29,6*(10-1))))</f>
        <v/>
      </c>
      <c r="O29" s="3" t="str">
        <f>IF(11&gt;$C29,"",IF($D29=1,EOMONTH(EDATE(Bonds!$H29,6*(11-1)),0),EDATE(Bonds!$H29,6*(11-1))))</f>
        <v/>
      </c>
      <c r="P29" s="3" t="str">
        <f>IF(12&gt;$C29,"",IF($D29=1,EOMONTH(EDATE(Bonds!$H29,6*(12-1)),0),EDATE(Bonds!$H29,6*(12-1))))</f>
        <v/>
      </c>
      <c r="Q29" s="3" t="str">
        <f>IF(13&gt;$C29,"",IF($D29=1,EOMONTH(EDATE(Bonds!$H29,6*(13-1)),0),EDATE(Bonds!$H29,6*(13-1))))</f>
        <v/>
      </c>
      <c r="R29" s="3" t="str">
        <f>IF(14&gt;$C29,"",IF($D29=1,EOMONTH(EDATE(Bonds!$H29,6*(14-1)),0),EDATE(Bonds!$H29,6*(14-1))))</f>
        <v/>
      </c>
      <c r="S29" s="3" t="str">
        <f>IF(15&gt;$C29,"",IF($D29=1,EOMONTH(EDATE(Bonds!$H29,6*(15-1)),0),EDATE(Bonds!$H29,6*(15-1))))</f>
        <v/>
      </c>
      <c r="T29" s="3" t="str">
        <f>IF(16&gt;$C29,"",IF($D29=1,EOMONTH(EDATE(Bonds!$H29,6*(16-1)),0),EDATE(Bonds!$H29,6*(16-1))))</f>
        <v/>
      </c>
      <c r="U29" s="3" t="str">
        <f>IF(17&gt;$C29,"",IF($D29=1,EOMONTH(EDATE(Bonds!$H29,6*(17-1)),0),EDATE(Bonds!$H29,6*(17-1))))</f>
        <v/>
      </c>
      <c r="V29" s="3" t="str">
        <f>IF(18&gt;$C29,"",IF($D29=1,EOMONTH(EDATE(Bonds!$H29,6*(18-1)),0),EDATE(Bonds!$H29,6*(18-1))))</f>
        <v/>
      </c>
      <c r="W29" s="3" t="str">
        <f>IF(19&gt;$C29,"",IF($D29=1,EOMONTH(EDATE(Bonds!$H29,6*(19-1)),0),EDATE(Bonds!$H29,6*(19-1))))</f>
        <v/>
      </c>
      <c r="X29" s="3" t="str">
        <f>IF(20&gt;$C29,"",IF($D29=1,EOMONTH(EDATE(Bonds!$H29,6*(20-1)),0),EDATE(Bonds!$H29,6*(20-1))))</f>
        <v/>
      </c>
      <c r="Y29" s="3" t="str">
        <f>IF(21&gt;$C29,"",IF($D29=1,EOMONTH(EDATE(Bonds!$H29,6*(21-1)),0),EDATE(Bonds!$H29,6*(21-1))))</f>
        <v/>
      </c>
      <c r="Z29" s="3" t="str">
        <f>IF(22&gt;$C29,"",IF($D29=1,EOMONTH(EDATE(Bonds!$H29,6*(22-1)),0),EDATE(Bonds!$H29,6*(22-1))))</f>
        <v/>
      </c>
      <c r="AA29" s="3" t="str">
        <f>IF(23&gt;$C29,"",IF($D29=1,EOMONTH(EDATE(Bonds!$H29,6*(23-1)),0),EDATE(Bonds!$H29,6*(23-1))))</f>
        <v/>
      </c>
      <c r="AB29" s="3" t="str">
        <f>IF(24&gt;$C29,"",IF($D29=1,EOMONTH(EDATE(Bonds!$H29,6*(24-1)),0),EDATE(Bonds!$H29,6*(24-1))))</f>
        <v/>
      </c>
      <c r="AC29" s="3" t="str">
        <f>IF(25&gt;$C29,"",IF($D29=1,EOMONTH(EDATE(Bonds!$H29,6*(25-1)),0),EDATE(Bonds!$H29,6*(25-1))))</f>
        <v/>
      </c>
      <c r="AD29" s="3" t="str">
        <f>IF(26&gt;$C29,"",IF($D29=1,EOMONTH(EDATE(Bonds!$H29,6*(26-1)),0),EDATE(Bonds!$H29,6*(26-1))))</f>
        <v/>
      </c>
      <c r="AE29" s="3" t="str">
        <f>IF(27&gt;$C29,"",IF($D29=1,EOMONTH(EDATE(Bonds!$H29,6*(27-1)),0),EDATE(Bonds!$H29,6*(27-1))))</f>
        <v/>
      </c>
      <c r="AF29" s="3" t="str">
        <f>IF(28&gt;$C29,"",IF($D29=1,EOMONTH(EDATE(Bonds!$H29,6*(28-1)),0),EDATE(Bonds!$H29,6*(28-1))))</f>
        <v/>
      </c>
      <c r="AG29" s="3" t="str">
        <f>IF(29&gt;$C29,"",IF($D29=1,EOMONTH(EDATE(Bonds!$H29,6*(29-1)),0),EDATE(Bonds!$H29,6*(29-1))))</f>
        <v/>
      </c>
      <c r="AH29" s="3" t="str">
        <f>IF(30&gt;$C29,"",IF($D29=1,EOMONTH(EDATE(Bonds!$H29,6*(30-1)),0),EDATE(Bonds!$H29,6*(30-1))))</f>
        <v/>
      </c>
      <c r="AI29" s="3" t="str">
        <f>IF(31&gt;$C29,"",IF($D29=1,EOMONTH(EDATE(Bonds!$H29,6*(31-1)),0),EDATE(Bonds!$H29,6*(31-1))))</f>
        <v/>
      </c>
      <c r="AJ29" s="3" t="str">
        <f>IF(32&gt;$C29,"",IF($D29=1,EOMONTH(EDATE(Bonds!$H29,6*(32-1)),0),EDATE(Bonds!$H29,6*(32-1))))</f>
        <v/>
      </c>
      <c r="AK29" s="3" t="str">
        <f>IF(33&gt;$C29,"",IF($D29=1,EOMONTH(EDATE(Bonds!$H29,6*(33-1)),0),EDATE(Bonds!$H29,6*(33-1))))</f>
        <v/>
      </c>
      <c r="AL29" s="3" t="str">
        <f>IF(34&gt;$C29,"",IF($D29=1,EOMONTH(EDATE(Bonds!$H29,6*(34-1)),0),EDATE(Bonds!$H29,6*(34-1))))</f>
        <v/>
      </c>
      <c r="AM29" s="3" t="str">
        <f>IF(35&gt;$C29,"",IF($D29=1,EOMONTH(EDATE(Bonds!$H29,6*(35-1)),0),EDATE(Bonds!$H29,6*(35-1))))</f>
        <v/>
      </c>
      <c r="AN29" s="3" t="str">
        <f>IF(36&gt;$C29,"",IF($D29=1,EOMONTH(EDATE(Bonds!$H29,6*(36-1)),0),EDATE(Bonds!$H29,6*(36-1))))</f>
        <v/>
      </c>
      <c r="AO29" s="3" t="str">
        <f>IF(37&gt;$C29,"",IF($D29=1,EOMONTH(EDATE(Bonds!$H29,6*(37-1)),0),EDATE(Bonds!$H29,6*(37-1))))</f>
        <v/>
      </c>
      <c r="AP29" s="3" t="str">
        <f>IF(38&gt;$C29,"",IF($D29=1,EOMONTH(EDATE(Bonds!$H29,6*(38-1)),0),EDATE(Bonds!$H29,6*(38-1))))</f>
        <v/>
      </c>
      <c r="AQ29" s="3" t="str">
        <f>IF(39&gt;$C29,"",IF($D29=1,EOMONTH(EDATE(Bonds!$H29,6*(39-1)),0),EDATE(Bonds!$H29,6*(39-1))))</f>
        <v/>
      </c>
      <c r="AR29" s="3" t="str">
        <f>IF(40&gt;$C29,"",IF($D29=1,EOMONTH(EDATE(Bonds!$H29,6*(40-1)),0),EDATE(Bonds!$H29,6*(40-1))))</f>
        <v/>
      </c>
      <c r="AS29" s="3" t="str">
        <f>IF(41&gt;$C29,"",IF($D29=1,EOMONTH(EDATE(Bonds!$H29,6*(41-1)),0),EDATE(Bonds!$H29,6*(41-1))))</f>
        <v/>
      </c>
      <c r="AT29" s="3" t="str">
        <f>IF(42&gt;$C29,"",IF($D29=1,EOMONTH(EDATE(Bonds!$H29,6*(42-1)),0),EDATE(Bonds!$H29,6*(42-1))))</f>
        <v/>
      </c>
      <c r="AU29" s="3" t="str">
        <f>IF(43&gt;$C29,"",IF($D29=1,EOMONTH(EDATE(Bonds!$H29,6*(43-1)),0),EDATE(Bonds!$H29,6*(43-1))))</f>
        <v/>
      </c>
      <c r="AV29" s="3" t="str">
        <f>IF(44&gt;$C29,"",IF($D29=1,EOMONTH(EDATE(Bonds!$H29,6*(44-1)),0),EDATE(Bonds!$H29,6*(44-1))))</f>
        <v/>
      </c>
      <c r="AW29" s="3" t="str">
        <f>IF(45&gt;$C29,"",IF($D29=1,EOMONTH(EDATE(Bonds!$H29,6*(45-1)),0),EDATE(Bonds!$H29,6*(45-1))))</f>
        <v/>
      </c>
      <c r="AX29" s="3" t="str">
        <f>IF(46&gt;$C29,"",IF($D29=1,EOMONTH(EDATE(Bonds!$H29,6*(46-1)),0),EDATE(Bonds!$H29,6*(46-1))))</f>
        <v/>
      </c>
      <c r="AY29" s="3" t="str">
        <f>IF(47&gt;$C29,"",IF($D29=1,EOMONTH(EDATE(Bonds!$H29,6*(47-1)),0),EDATE(Bonds!$H29,6*(47-1))))</f>
        <v/>
      </c>
      <c r="AZ29" s="3" t="str">
        <f>IF(48&gt;$C29,"",IF($D29=1,EOMONTH(EDATE(Bonds!$H29,6*(48-1)),0),EDATE(Bonds!$H29,6*(48-1))))</f>
        <v/>
      </c>
      <c r="BA29" s="3" t="str">
        <f>IF(49&gt;$C29,"",IF($D29=1,EOMONTH(EDATE(Bonds!$H29,6*(49-1)),0),EDATE(Bonds!$H29,6*(49-1))))</f>
        <v/>
      </c>
      <c r="BB29" s="3" t="str">
        <f>IF(50&gt;$C29,"",IF($D29=1,EOMONTH(EDATE(Bonds!$H29,6*(50-1)),0),EDATE(Bonds!$H29,6*(50-1))))</f>
        <v/>
      </c>
      <c r="BC29" s="3" t="str">
        <f>IF(51&gt;$C29,"",IF($D29=1,EOMONTH(EDATE(Bonds!$H29,6*(51-1)),0),EDATE(Bonds!$H29,6*(51-1))))</f>
        <v/>
      </c>
      <c r="BD29" s="3" t="str">
        <f>IF(52&gt;$C29,"",IF($D29=1,EOMONTH(EDATE(Bonds!$H29,6*(52-1)),0),EDATE(Bonds!$H29,6*(52-1))))</f>
        <v/>
      </c>
      <c r="BE29" s="3" t="str">
        <f>IF(53&gt;$C29,"",IF($D29=1,EOMONTH(EDATE(Bonds!$H29,6*(53-1)),0),EDATE(Bonds!$H29,6*(53-1))))</f>
        <v/>
      </c>
      <c r="BF29" s="3" t="str">
        <f>IF(54&gt;$C29,"",IF($D29=1,EOMONTH(EDATE(Bonds!$H29,6*(54-1)),0),EDATE(Bonds!$H29,6*(54-1))))</f>
        <v/>
      </c>
      <c r="BG29" s="3" t="str">
        <f>IF(55&gt;$C29,"",IF($D29=1,EOMONTH(EDATE(Bonds!$H29,6*(55-1)),0),EDATE(Bonds!$H29,6*(55-1))))</f>
        <v/>
      </c>
      <c r="BH29" s="3" t="str">
        <f>IF(56&gt;$C29,"",IF($D29=1,EOMONTH(EDATE(Bonds!$H29,6*(56-1)),0),EDATE(Bonds!$H29,6*(56-1))))</f>
        <v/>
      </c>
      <c r="BI29" s="3" t="str">
        <f>IF(57&gt;$C29,"",IF($D29=1,EOMONTH(EDATE(Bonds!$H29,6*(57-1)),0),EDATE(Bonds!$H29,6*(57-1))))</f>
        <v/>
      </c>
      <c r="BJ29" s="3" t="str">
        <f>IF(58&gt;$C29,"",IF($D29=1,EOMONTH(EDATE(Bonds!$H29,6*(58-1)),0),EDATE(Bonds!$H29,6*(58-1))))</f>
        <v/>
      </c>
      <c r="BK29" s="3" t="str">
        <f>IF(59&gt;$C29,"",IF($D29=1,EOMONTH(EDATE(Bonds!$H29,6*(59-1)),0),EDATE(Bonds!$H29,6*(59-1))))</f>
        <v/>
      </c>
      <c r="BL29" s="3" t="str">
        <f>IF(60&gt;$C29,"",IF($D29=1,EOMONTH(EDATE(Bonds!$H29,6*(60-1)),0),EDATE(Bonds!$H29,6*(60-1))))</f>
        <v/>
      </c>
      <c r="BN29" s="7">
        <f t="shared" si="1"/>
        <v>99.40986764566793</v>
      </c>
      <c r="BO29" s="7">
        <f t="shared" si="2"/>
        <v>0</v>
      </c>
      <c r="BP29" s="7">
        <f t="shared" si="3"/>
        <v>0</v>
      </c>
      <c r="BQ29" s="7">
        <f t="shared" si="4"/>
        <v>0</v>
      </c>
      <c r="BR29" s="7">
        <f t="shared" si="5"/>
        <v>0</v>
      </c>
      <c r="BS29" s="7">
        <f t="shared" si="6"/>
        <v>0</v>
      </c>
      <c r="BT29" s="7">
        <f t="shared" si="7"/>
        <v>0</v>
      </c>
      <c r="BU29" s="7">
        <f t="shared" si="8"/>
        <v>0</v>
      </c>
      <c r="BV29" s="7">
        <f t="shared" si="9"/>
        <v>0</v>
      </c>
      <c r="BW29" s="7">
        <f t="shared" si="10"/>
        <v>0</v>
      </c>
      <c r="BX29" s="7">
        <f t="shared" si="11"/>
        <v>0</v>
      </c>
      <c r="BY29" s="7">
        <f t="shared" si="12"/>
        <v>0</v>
      </c>
      <c r="BZ29" s="7">
        <f t="shared" si="13"/>
        <v>0</v>
      </c>
      <c r="CA29" s="7">
        <f t="shared" si="14"/>
        <v>0</v>
      </c>
      <c r="CB29" s="7">
        <f t="shared" si="15"/>
        <v>0</v>
      </c>
      <c r="CC29" s="7">
        <f t="shared" si="16"/>
        <v>0</v>
      </c>
      <c r="CD29" s="7">
        <f t="shared" si="17"/>
        <v>0</v>
      </c>
      <c r="CE29" s="7">
        <f t="shared" si="18"/>
        <v>0</v>
      </c>
      <c r="CF29" s="7">
        <f t="shared" si="19"/>
        <v>0</v>
      </c>
      <c r="CG29" s="7">
        <f t="shared" si="20"/>
        <v>0</v>
      </c>
      <c r="CH29" s="7">
        <f t="shared" si="21"/>
        <v>0</v>
      </c>
      <c r="CI29" s="7">
        <f t="shared" si="22"/>
        <v>0</v>
      </c>
      <c r="CJ29" s="7">
        <f t="shared" si="23"/>
        <v>0</v>
      </c>
      <c r="CK29" s="7">
        <f t="shared" si="24"/>
        <v>0</v>
      </c>
      <c r="CL29" s="7">
        <f t="shared" si="25"/>
        <v>0</v>
      </c>
      <c r="CM29" s="7">
        <f t="shared" si="26"/>
        <v>0</v>
      </c>
      <c r="CN29" s="7">
        <f t="shared" si="27"/>
        <v>0</v>
      </c>
      <c r="CO29" s="7">
        <f t="shared" si="28"/>
        <v>0</v>
      </c>
      <c r="CP29" s="7">
        <f t="shared" si="29"/>
        <v>0</v>
      </c>
      <c r="CQ29" s="7">
        <f t="shared" si="30"/>
        <v>0</v>
      </c>
      <c r="CR29" s="7">
        <f t="shared" si="31"/>
        <v>0</v>
      </c>
      <c r="CS29" s="7">
        <f t="shared" si="32"/>
        <v>0</v>
      </c>
      <c r="CT29" s="7">
        <f t="shared" si="33"/>
        <v>0</v>
      </c>
      <c r="CU29" s="7">
        <f t="shared" si="34"/>
        <v>0</v>
      </c>
      <c r="CV29" s="7">
        <f t="shared" si="35"/>
        <v>0</v>
      </c>
      <c r="CW29" s="7">
        <f t="shared" si="36"/>
        <v>0</v>
      </c>
      <c r="CX29" s="7">
        <f t="shared" si="37"/>
        <v>0</v>
      </c>
      <c r="CY29" s="7">
        <f t="shared" si="38"/>
        <v>0</v>
      </c>
      <c r="CZ29" s="7">
        <f t="shared" si="39"/>
        <v>0</v>
      </c>
      <c r="DA29" s="7">
        <f t="shared" si="40"/>
        <v>0</v>
      </c>
      <c r="DB29" s="7">
        <f t="shared" si="41"/>
        <v>0</v>
      </c>
      <c r="DC29" s="7">
        <f t="shared" si="42"/>
        <v>0</v>
      </c>
      <c r="DD29" s="7">
        <f t="shared" si="43"/>
        <v>0</v>
      </c>
      <c r="DE29" s="7">
        <f t="shared" si="44"/>
        <v>0</v>
      </c>
      <c r="DF29" s="7">
        <f t="shared" si="45"/>
        <v>0</v>
      </c>
      <c r="DG29" s="7">
        <f t="shared" si="46"/>
        <v>0</v>
      </c>
      <c r="DH29" s="7">
        <f t="shared" si="47"/>
        <v>0</v>
      </c>
      <c r="DI29" s="7">
        <f t="shared" si="48"/>
        <v>0</v>
      </c>
      <c r="DJ29" s="7">
        <f t="shared" si="49"/>
        <v>0</v>
      </c>
      <c r="DK29" s="7">
        <f t="shared" si="50"/>
        <v>0</v>
      </c>
      <c r="DL29" s="7">
        <f t="shared" si="51"/>
        <v>0</v>
      </c>
      <c r="DM29" s="7">
        <f t="shared" si="52"/>
        <v>0</v>
      </c>
      <c r="DN29" s="7">
        <f t="shared" si="53"/>
        <v>0</v>
      </c>
      <c r="DO29" s="7">
        <f t="shared" si="54"/>
        <v>0</v>
      </c>
      <c r="DP29" s="7">
        <f t="shared" si="55"/>
        <v>0</v>
      </c>
      <c r="DQ29" s="7">
        <f t="shared" si="56"/>
        <v>0</v>
      </c>
      <c r="DR29" s="7">
        <f t="shared" si="57"/>
        <v>0</v>
      </c>
      <c r="DS29" s="7">
        <f t="shared" si="58"/>
        <v>0</v>
      </c>
      <c r="DT29" s="7">
        <f t="shared" si="59"/>
        <v>0</v>
      </c>
      <c r="DU29" s="7">
        <f t="shared" si="60"/>
        <v>0</v>
      </c>
    </row>
    <row r="30" spans="1:125" x14ac:dyDescent="0.2">
      <c r="A30" s="3">
        <f>Bonds!A30</f>
        <v>46433</v>
      </c>
      <c r="B30" s="4">
        <f>Bonds!B30</f>
        <v>4.125</v>
      </c>
      <c r="C30">
        <f>Bonds!P30</f>
        <v>1</v>
      </c>
      <c r="D30">
        <f t="shared" si="0"/>
        <v>0</v>
      </c>
      <c r="E30" s="3">
        <f>IF(1&gt;$C30,"",IF($D30=1,EOMONTH(EDATE(Bonds!$H30,6*(1-1)),0),EDATE(Bonds!$H30,6*(1-1))))</f>
        <v>46433</v>
      </c>
      <c r="F30" s="3" t="str">
        <f>IF(2&gt;$C30,"",IF($D30=1,EOMONTH(EDATE(Bonds!$H30,6*(2-1)),0),EDATE(Bonds!$H30,6*(2-1))))</f>
        <v/>
      </c>
      <c r="G30" s="3" t="str">
        <f>IF(3&gt;$C30,"",IF($D30=1,EOMONTH(EDATE(Bonds!$H30,6*(3-1)),0),EDATE(Bonds!$H30,6*(3-1))))</f>
        <v/>
      </c>
      <c r="H30" s="3" t="str">
        <f>IF(4&gt;$C30,"",IF($D30=1,EOMONTH(EDATE(Bonds!$H30,6*(4-1)),0),EDATE(Bonds!$H30,6*(4-1))))</f>
        <v/>
      </c>
      <c r="I30" s="3" t="str">
        <f>IF(5&gt;$C30,"",IF($D30=1,EOMONTH(EDATE(Bonds!$H30,6*(5-1)),0),EDATE(Bonds!$H30,6*(5-1))))</f>
        <v/>
      </c>
      <c r="J30" s="3" t="str">
        <f>IF(6&gt;$C30,"",IF($D30=1,EOMONTH(EDATE(Bonds!$H30,6*(6-1)),0),EDATE(Bonds!$H30,6*(6-1))))</f>
        <v/>
      </c>
      <c r="K30" s="3" t="str">
        <f>IF(7&gt;$C30,"",IF($D30=1,EOMONTH(EDATE(Bonds!$H30,6*(7-1)),0),EDATE(Bonds!$H30,6*(7-1))))</f>
        <v/>
      </c>
      <c r="L30" s="3" t="str">
        <f>IF(8&gt;$C30,"",IF($D30=1,EOMONTH(EDATE(Bonds!$H30,6*(8-1)),0),EDATE(Bonds!$H30,6*(8-1))))</f>
        <v/>
      </c>
      <c r="M30" s="3" t="str">
        <f>IF(9&gt;$C30,"",IF($D30=1,EOMONTH(EDATE(Bonds!$H30,6*(9-1)),0),EDATE(Bonds!$H30,6*(9-1))))</f>
        <v/>
      </c>
      <c r="N30" s="3" t="str">
        <f>IF(10&gt;$C30,"",IF($D30=1,EOMONTH(EDATE(Bonds!$H30,6*(10-1)),0),EDATE(Bonds!$H30,6*(10-1))))</f>
        <v/>
      </c>
      <c r="O30" s="3" t="str">
        <f>IF(11&gt;$C30,"",IF($D30=1,EOMONTH(EDATE(Bonds!$H30,6*(11-1)),0),EDATE(Bonds!$H30,6*(11-1))))</f>
        <v/>
      </c>
      <c r="P30" s="3" t="str">
        <f>IF(12&gt;$C30,"",IF($D30=1,EOMONTH(EDATE(Bonds!$H30,6*(12-1)),0),EDATE(Bonds!$H30,6*(12-1))))</f>
        <v/>
      </c>
      <c r="Q30" s="3" t="str">
        <f>IF(13&gt;$C30,"",IF($D30=1,EOMONTH(EDATE(Bonds!$H30,6*(13-1)),0),EDATE(Bonds!$H30,6*(13-1))))</f>
        <v/>
      </c>
      <c r="R30" s="3" t="str">
        <f>IF(14&gt;$C30,"",IF($D30=1,EOMONTH(EDATE(Bonds!$H30,6*(14-1)),0),EDATE(Bonds!$H30,6*(14-1))))</f>
        <v/>
      </c>
      <c r="S30" s="3" t="str">
        <f>IF(15&gt;$C30,"",IF($D30=1,EOMONTH(EDATE(Bonds!$H30,6*(15-1)),0),EDATE(Bonds!$H30,6*(15-1))))</f>
        <v/>
      </c>
      <c r="T30" s="3" t="str">
        <f>IF(16&gt;$C30,"",IF($D30=1,EOMONTH(EDATE(Bonds!$H30,6*(16-1)),0),EDATE(Bonds!$H30,6*(16-1))))</f>
        <v/>
      </c>
      <c r="U30" s="3" t="str">
        <f>IF(17&gt;$C30,"",IF($D30=1,EOMONTH(EDATE(Bonds!$H30,6*(17-1)),0),EDATE(Bonds!$H30,6*(17-1))))</f>
        <v/>
      </c>
      <c r="V30" s="3" t="str">
        <f>IF(18&gt;$C30,"",IF($D30=1,EOMONTH(EDATE(Bonds!$H30,6*(18-1)),0),EDATE(Bonds!$H30,6*(18-1))))</f>
        <v/>
      </c>
      <c r="W30" s="3" t="str">
        <f>IF(19&gt;$C30,"",IF($D30=1,EOMONTH(EDATE(Bonds!$H30,6*(19-1)),0),EDATE(Bonds!$H30,6*(19-1))))</f>
        <v/>
      </c>
      <c r="X30" s="3" t="str">
        <f>IF(20&gt;$C30,"",IF($D30=1,EOMONTH(EDATE(Bonds!$H30,6*(20-1)),0),EDATE(Bonds!$H30,6*(20-1))))</f>
        <v/>
      </c>
      <c r="Y30" s="3" t="str">
        <f>IF(21&gt;$C30,"",IF($D30=1,EOMONTH(EDATE(Bonds!$H30,6*(21-1)),0),EDATE(Bonds!$H30,6*(21-1))))</f>
        <v/>
      </c>
      <c r="Z30" s="3" t="str">
        <f>IF(22&gt;$C30,"",IF($D30=1,EOMONTH(EDATE(Bonds!$H30,6*(22-1)),0),EDATE(Bonds!$H30,6*(22-1))))</f>
        <v/>
      </c>
      <c r="AA30" s="3" t="str">
        <f>IF(23&gt;$C30,"",IF($D30=1,EOMONTH(EDATE(Bonds!$H30,6*(23-1)),0),EDATE(Bonds!$H30,6*(23-1))))</f>
        <v/>
      </c>
      <c r="AB30" s="3" t="str">
        <f>IF(24&gt;$C30,"",IF($D30=1,EOMONTH(EDATE(Bonds!$H30,6*(24-1)),0),EDATE(Bonds!$H30,6*(24-1))))</f>
        <v/>
      </c>
      <c r="AC30" s="3" t="str">
        <f>IF(25&gt;$C30,"",IF($D30=1,EOMONTH(EDATE(Bonds!$H30,6*(25-1)),0),EDATE(Bonds!$H30,6*(25-1))))</f>
        <v/>
      </c>
      <c r="AD30" s="3" t="str">
        <f>IF(26&gt;$C30,"",IF($D30=1,EOMONTH(EDATE(Bonds!$H30,6*(26-1)),0),EDATE(Bonds!$H30,6*(26-1))))</f>
        <v/>
      </c>
      <c r="AE30" s="3" t="str">
        <f>IF(27&gt;$C30,"",IF($D30=1,EOMONTH(EDATE(Bonds!$H30,6*(27-1)),0),EDATE(Bonds!$H30,6*(27-1))))</f>
        <v/>
      </c>
      <c r="AF30" s="3" t="str">
        <f>IF(28&gt;$C30,"",IF($D30=1,EOMONTH(EDATE(Bonds!$H30,6*(28-1)),0),EDATE(Bonds!$H30,6*(28-1))))</f>
        <v/>
      </c>
      <c r="AG30" s="3" t="str">
        <f>IF(29&gt;$C30,"",IF($D30=1,EOMONTH(EDATE(Bonds!$H30,6*(29-1)),0),EDATE(Bonds!$H30,6*(29-1))))</f>
        <v/>
      </c>
      <c r="AH30" s="3" t="str">
        <f>IF(30&gt;$C30,"",IF($D30=1,EOMONTH(EDATE(Bonds!$H30,6*(30-1)),0),EDATE(Bonds!$H30,6*(30-1))))</f>
        <v/>
      </c>
      <c r="AI30" s="3" t="str">
        <f>IF(31&gt;$C30,"",IF($D30=1,EOMONTH(EDATE(Bonds!$H30,6*(31-1)),0),EDATE(Bonds!$H30,6*(31-1))))</f>
        <v/>
      </c>
      <c r="AJ30" s="3" t="str">
        <f>IF(32&gt;$C30,"",IF($D30=1,EOMONTH(EDATE(Bonds!$H30,6*(32-1)),0),EDATE(Bonds!$H30,6*(32-1))))</f>
        <v/>
      </c>
      <c r="AK30" s="3" t="str">
        <f>IF(33&gt;$C30,"",IF($D30=1,EOMONTH(EDATE(Bonds!$H30,6*(33-1)),0),EDATE(Bonds!$H30,6*(33-1))))</f>
        <v/>
      </c>
      <c r="AL30" s="3" t="str">
        <f>IF(34&gt;$C30,"",IF($D30=1,EOMONTH(EDATE(Bonds!$H30,6*(34-1)),0),EDATE(Bonds!$H30,6*(34-1))))</f>
        <v/>
      </c>
      <c r="AM30" s="3" t="str">
        <f>IF(35&gt;$C30,"",IF($D30=1,EOMONTH(EDATE(Bonds!$H30,6*(35-1)),0),EDATE(Bonds!$H30,6*(35-1))))</f>
        <v/>
      </c>
      <c r="AN30" s="3" t="str">
        <f>IF(36&gt;$C30,"",IF($D30=1,EOMONTH(EDATE(Bonds!$H30,6*(36-1)),0),EDATE(Bonds!$H30,6*(36-1))))</f>
        <v/>
      </c>
      <c r="AO30" s="3" t="str">
        <f>IF(37&gt;$C30,"",IF($D30=1,EOMONTH(EDATE(Bonds!$H30,6*(37-1)),0),EDATE(Bonds!$H30,6*(37-1))))</f>
        <v/>
      </c>
      <c r="AP30" s="3" t="str">
        <f>IF(38&gt;$C30,"",IF($D30=1,EOMONTH(EDATE(Bonds!$H30,6*(38-1)),0),EDATE(Bonds!$H30,6*(38-1))))</f>
        <v/>
      </c>
      <c r="AQ30" s="3" t="str">
        <f>IF(39&gt;$C30,"",IF($D30=1,EOMONTH(EDATE(Bonds!$H30,6*(39-1)),0),EDATE(Bonds!$H30,6*(39-1))))</f>
        <v/>
      </c>
      <c r="AR30" s="3" t="str">
        <f>IF(40&gt;$C30,"",IF($D30=1,EOMONTH(EDATE(Bonds!$H30,6*(40-1)),0),EDATE(Bonds!$H30,6*(40-1))))</f>
        <v/>
      </c>
      <c r="AS30" s="3" t="str">
        <f>IF(41&gt;$C30,"",IF($D30=1,EOMONTH(EDATE(Bonds!$H30,6*(41-1)),0),EDATE(Bonds!$H30,6*(41-1))))</f>
        <v/>
      </c>
      <c r="AT30" s="3" t="str">
        <f>IF(42&gt;$C30,"",IF($D30=1,EOMONTH(EDATE(Bonds!$H30,6*(42-1)),0),EDATE(Bonds!$H30,6*(42-1))))</f>
        <v/>
      </c>
      <c r="AU30" s="3" t="str">
        <f>IF(43&gt;$C30,"",IF($D30=1,EOMONTH(EDATE(Bonds!$H30,6*(43-1)),0),EDATE(Bonds!$H30,6*(43-1))))</f>
        <v/>
      </c>
      <c r="AV30" s="3" t="str">
        <f>IF(44&gt;$C30,"",IF($D30=1,EOMONTH(EDATE(Bonds!$H30,6*(44-1)),0),EDATE(Bonds!$H30,6*(44-1))))</f>
        <v/>
      </c>
      <c r="AW30" s="3" t="str">
        <f>IF(45&gt;$C30,"",IF($D30=1,EOMONTH(EDATE(Bonds!$H30,6*(45-1)),0),EDATE(Bonds!$H30,6*(45-1))))</f>
        <v/>
      </c>
      <c r="AX30" s="3" t="str">
        <f>IF(46&gt;$C30,"",IF($D30=1,EOMONTH(EDATE(Bonds!$H30,6*(46-1)),0),EDATE(Bonds!$H30,6*(46-1))))</f>
        <v/>
      </c>
      <c r="AY30" s="3" t="str">
        <f>IF(47&gt;$C30,"",IF($D30=1,EOMONTH(EDATE(Bonds!$H30,6*(47-1)),0),EDATE(Bonds!$H30,6*(47-1))))</f>
        <v/>
      </c>
      <c r="AZ30" s="3" t="str">
        <f>IF(48&gt;$C30,"",IF($D30=1,EOMONTH(EDATE(Bonds!$H30,6*(48-1)),0),EDATE(Bonds!$H30,6*(48-1))))</f>
        <v/>
      </c>
      <c r="BA30" s="3" t="str">
        <f>IF(49&gt;$C30,"",IF($D30=1,EOMONTH(EDATE(Bonds!$H30,6*(49-1)),0),EDATE(Bonds!$H30,6*(49-1))))</f>
        <v/>
      </c>
      <c r="BB30" s="3" t="str">
        <f>IF(50&gt;$C30,"",IF($D30=1,EOMONTH(EDATE(Bonds!$H30,6*(50-1)),0),EDATE(Bonds!$H30,6*(50-1))))</f>
        <v/>
      </c>
      <c r="BC30" s="3" t="str">
        <f>IF(51&gt;$C30,"",IF($D30=1,EOMONTH(EDATE(Bonds!$H30,6*(51-1)),0),EDATE(Bonds!$H30,6*(51-1))))</f>
        <v/>
      </c>
      <c r="BD30" s="3" t="str">
        <f>IF(52&gt;$C30,"",IF($D30=1,EOMONTH(EDATE(Bonds!$H30,6*(52-1)),0),EDATE(Bonds!$H30,6*(52-1))))</f>
        <v/>
      </c>
      <c r="BE30" s="3" t="str">
        <f>IF(53&gt;$C30,"",IF($D30=1,EOMONTH(EDATE(Bonds!$H30,6*(53-1)),0),EDATE(Bonds!$H30,6*(53-1))))</f>
        <v/>
      </c>
      <c r="BF30" s="3" t="str">
        <f>IF(54&gt;$C30,"",IF($D30=1,EOMONTH(EDATE(Bonds!$H30,6*(54-1)),0),EDATE(Bonds!$H30,6*(54-1))))</f>
        <v/>
      </c>
      <c r="BG30" s="3" t="str">
        <f>IF(55&gt;$C30,"",IF($D30=1,EOMONTH(EDATE(Bonds!$H30,6*(55-1)),0),EDATE(Bonds!$H30,6*(55-1))))</f>
        <v/>
      </c>
      <c r="BH30" s="3" t="str">
        <f>IF(56&gt;$C30,"",IF($D30=1,EOMONTH(EDATE(Bonds!$H30,6*(56-1)),0),EDATE(Bonds!$H30,6*(56-1))))</f>
        <v/>
      </c>
      <c r="BI30" s="3" t="str">
        <f>IF(57&gt;$C30,"",IF($D30=1,EOMONTH(EDATE(Bonds!$H30,6*(57-1)),0),EDATE(Bonds!$H30,6*(57-1))))</f>
        <v/>
      </c>
      <c r="BJ30" s="3" t="str">
        <f>IF(58&gt;$C30,"",IF($D30=1,EOMONTH(EDATE(Bonds!$H30,6*(58-1)),0),EDATE(Bonds!$H30,6*(58-1))))</f>
        <v/>
      </c>
      <c r="BK30" s="3" t="str">
        <f>IF(59&gt;$C30,"",IF($D30=1,EOMONTH(EDATE(Bonds!$H30,6*(59-1)),0),EDATE(Bonds!$H30,6*(59-1))))</f>
        <v/>
      </c>
      <c r="BL30" s="3" t="str">
        <f>IF(60&gt;$C30,"",IF($D30=1,EOMONTH(EDATE(Bonds!$H30,6*(60-1)),0),EDATE(Bonds!$H30,6*(60-1))))</f>
        <v/>
      </c>
      <c r="BN30" s="7">
        <f t="shared" si="1"/>
        <v>100.33146716030639</v>
      </c>
      <c r="BO30" s="7">
        <f t="shared" si="2"/>
        <v>0</v>
      </c>
      <c r="BP30" s="7">
        <f t="shared" si="3"/>
        <v>0</v>
      </c>
      <c r="BQ30" s="7">
        <f t="shared" si="4"/>
        <v>0</v>
      </c>
      <c r="BR30" s="7">
        <f t="shared" si="5"/>
        <v>0</v>
      </c>
      <c r="BS30" s="7">
        <f t="shared" si="6"/>
        <v>0</v>
      </c>
      <c r="BT30" s="7">
        <f t="shared" si="7"/>
        <v>0</v>
      </c>
      <c r="BU30" s="7">
        <f t="shared" si="8"/>
        <v>0</v>
      </c>
      <c r="BV30" s="7">
        <f t="shared" si="9"/>
        <v>0</v>
      </c>
      <c r="BW30" s="7">
        <f t="shared" si="10"/>
        <v>0</v>
      </c>
      <c r="BX30" s="7">
        <f t="shared" si="11"/>
        <v>0</v>
      </c>
      <c r="BY30" s="7">
        <f t="shared" si="12"/>
        <v>0</v>
      </c>
      <c r="BZ30" s="7">
        <f t="shared" si="13"/>
        <v>0</v>
      </c>
      <c r="CA30" s="7">
        <f t="shared" si="14"/>
        <v>0</v>
      </c>
      <c r="CB30" s="7">
        <f t="shared" si="15"/>
        <v>0</v>
      </c>
      <c r="CC30" s="7">
        <f t="shared" si="16"/>
        <v>0</v>
      </c>
      <c r="CD30" s="7">
        <f t="shared" si="17"/>
        <v>0</v>
      </c>
      <c r="CE30" s="7">
        <f t="shared" si="18"/>
        <v>0</v>
      </c>
      <c r="CF30" s="7">
        <f t="shared" si="19"/>
        <v>0</v>
      </c>
      <c r="CG30" s="7">
        <f t="shared" si="20"/>
        <v>0</v>
      </c>
      <c r="CH30" s="7">
        <f t="shared" si="21"/>
        <v>0</v>
      </c>
      <c r="CI30" s="7">
        <f t="shared" si="22"/>
        <v>0</v>
      </c>
      <c r="CJ30" s="7">
        <f t="shared" si="23"/>
        <v>0</v>
      </c>
      <c r="CK30" s="7">
        <f t="shared" si="24"/>
        <v>0</v>
      </c>
      <c r="CL30" s="7">
        <f t="shared" si="25"/>
        <v>0</v>
      </c>
      <c r="CM30" s="7">
        <f t="shared" si="26"/>
        <v>0</v>
      </c>
      <c r="CN30" s="7">
        <f t="shared" si="27"/>
        <v>0</v>
      </c>
      <c r="CO30" s="7">
        <f t="shared" si="28"/>
        <v>0</v>
      </c>
      <c r="CP30" s="7">
        <f t="shared" si="29"/>
        <v>0</v>
      </c>
      <c r="CQ30" s="7">
        <f t="shared" si="30"/>
        <v>0</v>
      </c>
      <c r="CR30" s="7">
        <f t="shared" si="31"/>
        <v>0</v>
      </c>
      <c r="CS30" s="7">
        <f t="shared" si="32"/>
        <v>0</v>
      </c>
      <c r="CT30" s="7">
        <f t="shared" si="33"/>
        <v>0</v>
      </c>
      <c r="CU30" s="7">
        <f t="shared" si="34"/>
        <v>0</v>
      </c>
      <c r="CV30" s="7">
        <f t="shared" si="35"/>
        <v>0</v>
      </c>
      <c r="CW30" s="7">
        <f t="shared" si="36"/>
        <v>0</v>
      </c>
      <c r="CX30" s="7">
        <f t="shared" si="37"/>
        <v>0</v>
      </c>
      <c r="CY30" s="7">
        <f t="shared" si="38"/>
        <v>0</v>
      </c>
      <c r="CZ30" s="7">
        <f t="shared" si="39"/>
        <v>0</v>
      </c>
      <c r="DA30" s="7">
        <f t="shared" si="40"/>
        <v>0</v>
      </c>
      <c r="DB30" s="7">
        <f t="shared" si="41"/>
        <v>0</v>
      </c>
      <c r="DC30" s="7">
        <f t="shared" si="42"/>
        <v>0</v>
      </c>
      <c r="DD30" s="7">
        <f t="shared" si="43"/>
        <v>0</v>
      </c>
      <c r="DE30" s="7">
        <f t="shared" si="44"/>
        <v>0</v>
      </c>
      <c r="DF30" s="7">
        <f t="shared" si="45"/>
        <v>0</v>
      </c>
      <c r="DG30" s="7">
        <f t="shared" si="46"/>
        <v>0</v>
      </c>
      <c r="DH30" s="7">
        <f t="shared" si="47"/>
        <v>0</v>
      </c>
      <c r="DI30" s="7">
        <f t="shared" si="48"/>
        <v>0</v>
      </c>
      <c r="DJ30" s="7">
        <f t="shared" si="49"/>
        <v>0</v>
      </c>
      <c r="DK30" s="7">
        <f t="shared" si="50"/>
        <v>0</v>
      </c>
      <c r="DL30" s="7">
        <f t="shared" si="51"/>
        <v>0</v>
      </c>
      <c r="DM30" s="7">
        <f t="shared" si="52"/>
        <v>0</v>
      </c>
      <c r="DN30" s="7">
        <f t="shared" si="53"/>
        <v>0</v>
      </c>
      <c r="DO30" s="7">
        <f t="shared" si="54"/>
        <v>0</v>
      </c>
      <c r="DP30" s="7">
        <f t="shared" si="55"/>
        <v>0</v>
      </c>
      <c r="DQ30" s="7">
        <f t="shared" si="56"/>
        <v>0</v>
      </c>
      <c r="DR30" s="7">
        <f t="shared" si="57"/>
        <v>0</v>
      </c>
      <c r="DS30" s="7">
        <f t="shared" si="58"/>
        <v>0</v>
      </c>
      <c r="DT30" s="7">
        <f t="shared" si="59"/>
        <v>0</v>
      </c>
      <c r="DU30" s="7">
        <f t="shared" si="60"/>
        <v>0</v>
      </c>
    </row>
    <row r="31" spans="1:125" x14ac:dyDescent="0.2">
      <c r="A31" s="3">
        <f>Bonds!A31</f>
        <v>46433</v>
      </c>
      <c r="B31" s="4">
        <f>Bonds!B31</f>
        <v>6.625</v>
      </c>
      <c r="C31">
        <f>Bonds!P31</f>
        <v>1</v>
      </c>
      <c r="D31">
        <f t="shared" si="0"/>
        <v>0</v>
      </c>
      <c r="E31" s="3">
        <f>IF(1&gt;$C31,"",IF($D31=1,EOMONTH(EDATE(Bonds!$H31,6*(1-1)),0),EDATE(Bonds!$H31,6*(1-1))))</f>
        <v>46433</v>
      </c>
      <c r="F31" s="3" t="str">
        <f>IF(2&gt;$C31,"",IF($D31=1,EOMONTH(EDATE(Bonds!$H31,6*(2-1)),0),EDATE(Bonds!$H31,6*(2-1))))</f>
        <v/>
      </c>
      <c r="G31" s="3" t="str">
        <f>IF(3&gt;$C31,"",IF($D31=1,EOMONTH(EDATE(Bonds!$H31,6*(3-1)),0),EDATE(Bonds!$H31,6*(3-1))))</f>
        <v/>
      </c>
      <c r="H31" s="3" t="str">
        <f>IF(4&gt;$C31,"",IF($D31=1,EOMONTH(EDATE(Bonds!$H31,6*(4-1)),0),EDATE(Bonds!$H31,6*(4-1))))</f>
        <v/>
      </c>
      <c r="I31" s="3" t="str">
        <f>IF(5&gt;$C31,"",IF($D31=1,EOMONTH(EDATE(Bonds!$H31,6*(5-1)),0),EDATE(Bonds!$H31,6*(5-1))))</f>
        <v/>
      </c>
      <c r="J31" s="3" t="str">
        <f>IF(6&gt;$C31,"",IF($D31=1,EOMONTH(EDATE(Bonds!$H31,6*(6-1)),0),EDATE(Bonds!$H31,6*(6-1))))</f>
        <v/>
      </c>
      <c r="K31" s="3" t="str">
        <f>IF(7&gt;$C31,"",IF($D31=1,EOMONTH(EDATE(Bonds!$H31,6*(7-1)),0),EDATE(Bonds!$H31,6*(7-1))))</f>
        <v/>
      </c>
      <c r="L31" s="3" t="str">
        <f>IF(8&gt;$C31,"",IF($D31=1,EOMONTH(EDATE(Bonds!$H31,6*(8-1)),0),EDATE(Bonds!$H31,6*(8-1))))</f>
        <v/>
      </c>
      <c r="M31" s="3" t="str">
        <f>IF(9&gt;$C31,"",IF($D31=1,EOMONTH(EDATE(Bonds!$H31,6*(9-1)),0),EDATE(Bonds!$H31,6*(9-1))))</f>
        <v/>
      </c>
      <c r="N31" s="3" t="str">
        <f>IF(10&gt;$C31,"",IF($D31=1,EOMONTH(EDATE(Bonds!$H31,6*(10-1)),0),EDATE(Bonds!$H31,6*(10-1))))</f>
        <v/>
      </c>
      <c r="O31" s="3" t="str">
        <f>IF(11&gt;$C31,"",IF($D31=1,EOMONTH(EDATE(Bonds!$H31,6*(11-1)),0),EDATE(Bonds!$H31,6*(11-1))))</f>
        <v/>
      </c>
      <c r="P31" s="3" t="str">
        <f>IF(12&gt;$C31,"",IF($D31=1,EOMONTH(EDATE(Bonds!$H31,6*(12-1)),0),EDATE(Bonds!$H31,6*(12-1))))</f>
        <v/>
      </c>
      <c r="Q31" s="3" t="str">
        <f>IF(13&gt;$C31,"",IF($D31=1,EOMONTH(EDATE(Bonds!$H31,6*(13-1)),0),EDATE(Bonds!$H31,6*(13-1))))</f>
        <v/>
      </c>
      <c r="R31" s="3" t="str">
        <f>IF(14&gt;$C31,"",IF($D31=1,EOMONTH(EDATE(Bonds!$H31,6*(14-1)),0),EDATE(Bonds!$H31,6*(14-1))))</f>
        <v/>
      </c>
      <c r="S31" s="3" t="str">
        <f>IF(15&gt;$C31,"",IF($D31=1,EOMONTH(EDATE(Bonds!$H31,6*(15-1)),0),EDATE(Bonds!$H31,6*(15-1))))</f>
        <v/>
      </c>
      <c r="T31" s="3" t="str">
        <f>IF(16&gt;$C31,"",IF($D31=1,EOMONTH(EDATE(Bonds!$H31,6*(16-1)),0),EDATE(Bonds!$H31,6*(16-1))))</f>
        <v/>
      </c>
      <c r="U31" s="3" t="str">
        <f>IF(17&gt;$C31,"",IF($D31=1,EOMONTH(EDATE(Bonds!$H31,6*(17-1)),0),EDATE(Bonds!$H31,6*(17-1))))</f>
        <v/>
      </c>
      <c r="V31" s="3" t="str">
        <f>IF(18&gt;$C31,"",IF($D31=1,EOMONTH(EDATE(Bonds!$H31,6*(18-1)),0),EDATE(Bonds!$H31,6*(18-1))))</f>
        <v/>
      </c>
      <c r="W31" s="3" t="str">
        <f>IF(19&gt;$C31,"",IF($D31=1,EOMONTH(EDATE(Bonds!$H31,6*(19-1)),0),EDATE(Bonds!$H31,6*(19-1))))</f>
        <v/>
      </c>
      <c r="X31" s="3" t="str">
        <f>IF(20&gt;$C31,"",IF($D31=1,EOMONTH(EDATE(Bonds!$H31,6*(20-1)),0),EDATE(Bonds!$H31,6*(20-1))))</f>
        <v/>
      </c>
      <c r="Y31" s="3" t="str">
        <f>IF(21&gt;$C31,"",IF($D31=1,EOMONTH(EDATE(Bonds!$H31,6*(21-1)),0),EDATE(Bonds!$H31,6*(21-1))))</f>
        <v/>
      </c>
      <c r="Z31" s="3" t="str">
        <f>IF(22&gt;$C31,"",IF($D31=1,EOMONTH(EDATE(Bonds!$H31,6*(22-1)),0),EDATE(Bonds!$H31,6*(22-1))))</f>
        <v/>
      </c>
      <c r="AA31" s="3" t="str">
        <f>IF(23&gt;$C31,"",IF($D31=1,EOMONTH(EDATE(Bonds!$H31,6*(23-1)),0),EDATE(Bonds!$H31,6*(23-1))))</f>
        <v/>
      </c>
      <c r="AB31" s="3" t="str">
        <f>IF(24&gt;$C31,"",IF($D31=1,EOMONTH(EDATE(Bonds!$H31,6*(24-1)),0),EDATE(Bonds!$H31,6*(24-1))))</f>
        <v/>
      </c>
      <c r="AC31" s="3" t="str">
        <f>IF(25&gt;$C31,"",IF($D31=1,EOMONTH(EDATE(Bonds!$H31,6*(25-1)),0),EDATE(Bonds!$H31,6*(25-1))))</f>
        <v/>
      </c>
      <c r="AD31" s="3" t="str">
        <f>IF(26&gt;$C31,"",IF($D31=1,EOMONTH(EDATE(Bonds!$H31,6*(26-1)),0),EDATE(Bonds!$H31,6*(26-1))))</f>
        <v/>
      </c>
      <c r="AE31" s="3" t="str">
        <f>IF(27&gt;$C31,"",IF($D31=1,EOMONTH(EDATE(Bonds!$H31,6*(27-1)),0),EDATE(Bonds!$H31,6*(27-1))))</f>
        <v/>
      </c>
      <c r="AF31" s="3" t="str">
        <f>IF(28&gt;$C31,"",IF($D31=1,EOMONTH(EDATE(Bonds!$H31,6*(28-1)),0),EDATE(Bonds!$H31,6*(28-1))))</f>
        <v/>
      </c>
      <c r="AG31" s="3" t="str">
        <f>IF(29&gt;$C31,"",IF($D31=1,EOMONTH(EDATE(Bonds!$H31,6*(29-1)),0),EDATE(Bonds!$H31,6*(29-1))))</f>
        <v/>
      </c>
      <c r="AH31" s="3" t="str">
        <f>IF(30&gt;$C31,"",IF($D31=1,EOMONTH(EDATE(Bonds!$H31,6*(30-1)),0),EDATE(Bonds!$H31,6*(30-1))))</f>
        <v/>
      </c>
      <c r="AI31" s="3" t="str">
        <f>IF(31&gt;$C31,"",IF($D31=1,EOMONTH(EDATE(Bonds!$H31,6*(31-1)),0),EDATE(Bonds!$H31,6*(31-1))))</f>
        <v/>
      </c>
      <c r="AJ31" s="3" t="str">
        <f>IF(32&gt;$C31,"",IF($D31=1,EOMONTH(EDATE(Bonds!$H31,6*(32-1)),0),EDATE(Bonds!$H31,6*(32-1))))</f>
        <v/>
      </c>
      <c r="AK31" s="3" t="str">
        <f>IF(33&gt;$C31,"",IF($D31=1,EOMONTH(EDATE(Bonds!$H31,6*(33-1)),0),EDATE(Bonds!$H31,6*(33-1))))</f>
        <v/>
      </c>
      <c r="AL31" s="3" t="str">
        <f>IF(34&gt;$C31,"",IF($D31=1,EOMONTH(EDATE(Bonds!$H31,6*(34-1)),0),EDATE(Bonds!$H31,6*(34-1))))</f>
        <v/>
      </c>
      <c r="AM31" s="3" t="str">
        <f>IF(35&gt;$C31,"",IF($D31=1,EOMONTH(EDATE(Bonds!$H31,6*(35-1)),0),EDATE(Bonds!$H31,6*(35-1))))</f>
        <v/>
      </c>
      <c r="AN31" s="3" t="str">
        <f>IF(36&gt;$C31,"",IF($D31=1,EOMONTH(EDATE(Bonds!$H31,6*(36-1)),0),EDATE(Bonds!$H31,6*(36-1))))</f>
        <v/>
      </c>
      <c r="AO31" s="3" t="str">
        <f>IF(37&gt;$C31,"",IF($D31=1,EOMONTH(EDATE(Bonds!$H31,6*(37-1)),0),EDATE(Bonds!$H31,6*(37-1))))</f>
        <v/>
      </c>
      <c r="AP31" s="3" t="str">
        <f>IF(38&gt;$C31,"",IF($D31=1,EOMONTH(EDATE(Bonds!$H31,6*(38-1)),0),EDATE(Bonds!$H31,6*(38-1))))</f>
        <v/>
      </c>
      <c r="AQ31" s="3" t="str">
        <f>IF(39&gt;$C31,"",IF($D31=1,EOMONTH(EDATE(Bonds!$H31,6*(39-1)),0),EDATE(Bonds!$H31,6*(39-1))))</f>
        <v/>
      </c>
      <c r="AR31" s="3" t="str">
        <f>IF(40&gt;$C31,"",IF($D31=1,EOMONTH(EDATE(Bonds!$H31,6*(40-1)),0),EDATE(Bonds!$H31,6*(40-1))))</f>
        <v/>
      </c>
      <c r="AS31" s="3" t="str">
        <f>IF(41&gt;$C31,"",IF($D31=1,EOMONTH(EDATE(Bonds!$H31,6*(41-1)),0),EDATE(Bonds!$H31,6*(41-1))))</f>
        <v/>
      </c>
      <c r="AT31" s="3" t="str">
        <f>IF(42&gt;$C31,"",IF($D31=1,EOMONTH(EDATE(Bonds!$H31,6*(42-1)),0),EDATE(Bonds!$H31,6*(42-1))))</f>
        <v/>
      </c>
      <c r="AU31" s="3" t="str">
        <f>IF(43&gt;$C31,"",IF($D31=1,EOMONTH(EDATE(Bonds!$H31,6*(43-1)),0),EDATE(Bonds!$H31,6*(43-1))))</f>
        <v/>
      </c>
      <c r="AV31" s="3" t="str">
        <f>IF(44&gt;$C31,"",IF($D31=1,EOMONTH(EDATE(Bonds!$H31,6*(44-1)),0),EDATE(Bonds!$H31,6*(44-1))))</f>
        <v/>
      </c>
      <c r="AW31" s="3" t="str">
        <f>IF(45&gt;$C31,"",IF($D31=1,EOMONTH(EDATE(Bonds!$H31,6*(45-1)),0),EDATE(Bonds!$H31,6*(45-1))))</f>
        <v/>
      </c>
      <c r="AX31" s="3" t="str">
        <f>IF(46&gt;$C31,"",IF($D31=1,EOMONTH(EDATE(Bonds!$H31,6*(46-1)),0),EDATE(Bonds!$H31,6*(46-1))))</f>
        <v/>
      </c>
      <c r="AY31" s="3" t="str">
        <f>IF(47&gt;$C31,"",IF($D31=1,EOMONTH(EDATE(Bonds!$H31,6*(47-1)),0),EDATE(Bonds!$H31,6*(47-1))))</f>
        <v/>
      </c>
      <c r="AZ31" s="3" t="str">
        <f>IF(48&gt;$C31,"",IF($D31=1,EOMONTH(EDATE(Bonds!$H31,6*(48-1)),0),EDATE(Bonds!$H31,6*(48-1))))</f>
        <v/>
      </c>
      <c r="BA31" s="3" t="str">
        <f>IF(49&gt;$C31,"",IF($D31=1,EOMONTH(EDATE(Bonds!$H31,6*(49-1)),0),EDATE(Bonds!$H31,6*(49-1))))</f>
        <v/>
      </c>
      <c r="BB31" s="3" t="str">
        <f>IF(50&gt;$C31,"",IF($D31=1,EOMONTH(EDATE(Bonds!$H31,6*(50-1)),0),EDATE(Bonds!$H31,6*(50-1))))</f>
        <v/>
      </c>
      <c r="BC31" s="3" t="str">
        <f>IF(51&gt;$C31,"",IF($D31=1,EOMONTH(EDATE(Bonds!$H31,6*(51-1)),0),EDATE(Bonds!$H31,6*(51-1))))</f>
        <v/>
      </c>
      <c r="BD31" s="3" t="str">
        <f>IF(52&gt;$C31,"",IF($D31=1,EOMONTH(EDATE(Bonds!$H31,6*(52-1)),0),EDATE(Bonds!$H31,6*(52-1))))</f>
        <v/>
      </c>
      <c r="BE31" s="3" t="str">
        <f>IF(53&gt;$C31,"",IF($D31=1,EOMONTH(EDATE(Bonds!$H31,6*(53-1)),0),EDATE(Bonds!$H31,6*(53-1))))</f>
        <v/>
      </c>
      <c r="BF31" s="3" t="str">
        <f>IF(54&gt;$C31,"",IF($D31=1,EOMONTH(EDATE(Bonds!$H31,6*(54-1)),0),EDATE(Bonds!$H31,6*(54-1))))</f>
        <v/>
      </c>
      <c r="BG31" s="3" t="str">
        <f>IF(55&gt;$C31,"",IF($D31=1,EOMONTH(EDATE(Bonds!$H31,6*(55-1)),0),EDATE(Bonds!$H31,6*(55-1))))</f>
        <v/>
      </c>
      <c r="BH31" s="3" t="str">
        <f>IF(56&gt;$C31,"",IF($D31=1,EOMONTH(EDATE(Bonds!$H31,6*(56-1)),0),EDATE(Bonds!$H31,6*(56-1))))</f>
        <v/>
      </c>
      <c r="BI31" s="3" t="str">
        <f>IF(57&gt;$C31,"",IF($D31=1,EOMONTH(EDATE(Bonds!$H31,6*(57-1)),0),EDATE(Bonds!$H31,6*(57-1))))</f>
        <v/>
      </c>
      <c r="BJ31" s="3" t="str">
        <f>IF(58&gt;$C31,"",IF($D31=1,EOMONTH(EDATE(Bonds!$H31,6*(58-1)),0),EDATE(Bonds!$H31,6*(58-1))))</f>
        <v/>
      </c>
      <c r="BK31" s="3" t="str">
        <f>IF(59&gt;$C31,"",IF($D31=1,EOMONTH(EDATE(Bonds!$H31,6*(59-1)),0),EDATE(Bonds!$H31,6*(59-1))))</f>
        <v/>
      </c>
      <c r="BL31" s="3" t="str">
        <f>IF(60&gt;$C31,"",IF($D31=1,EOMONTH(EDATE(Bonds!$H31,6*(60-1)),0),EDATE(Bonds!$H31,6*(60-1))))</f>
        <v/>
      </c>
      <c r="BN31" s="7">
        <f t="shared" si="1"/>
        <v>101.56026651315766</v>
      </c>
      <c r="BO31" s="7">
        <f t="shared" si="2"/>
        <v>0</v>
      </c>
      <c r="BP31" s="7">
        <f t="shared" si="3"/>
        <v>0</v>
      </c>
      <c r="BQ31" s="7">
        <f t="shared" si="4"/>
        <v>0</v>
      </c>
      <c r="BR31" s="7">
        <f t="shared" si="5"/>
        <v>0</v>
      </c>
      <c r="BS31" s="7">
        <f t="shared" si="6"/>
        <v>0</v>
      </c>
      <c r="BT31" s="7">
        <f t="shared" si="7"/>
        <v>0</v>
      </c>
      <c r="BU31" s="7">
        <f t="shared" si="8"/>
        <v>0</v>
      </c>
      <c r="BV31" s="7">
        <f t="shared" si="9"/>
        <v>0</v>
      </c>
      <c r="BW31" s="7">
        <f t="shared" si="10"/>
        <v>0</v>
      </c>
      <c r="BX31" s="7">
        <f t="shared" si="11"/>
        <v>0</v>
      </c>
      <c r="BY31" s="7">
        <f t="shared" si="12"/>
        <v>0</v>
      </c>
      <c r="BZ31" s="7">
        <f t="shared" si="13"/>
        <v>0</v>
      </c>
      <c r="CA31" s="7">
        <f t="shared" si="14"/>
        <v>0</v>
      </c>
      <c r="CB31" s="7">
        <f t="shared" si="15"/>
        <v>0</v>
      </c>
      <c r="CC31" s="7">
        <f t="shared" si="16"/>
        <v>0</v>
      </c>
      <c r="CD31" s="7">
        <f t="shared" si="17"/>
        <v>0</v>
      </c>
      <c r="CE31" s="7">
        <f t="shared" si="18"/>
        <v>0</v>
      </c>
      <c r="CF31" s="7">
        <f t="shared" si="19"/>
        <v>0</v>
      </c>
      <c r="CG31" s="7">
        <f t="shared" si="20"/>
        <v>0</v>
      </c>
      <c r="CH31" s="7">
        <f t="shared" si="21"/>
        <v>0</v>
      </c>
      <c r="CI31" s="7">
        <f t="shared" si="22"/>
        <v>0</v>
      </c>
      <c r="CJ31" s="7">
        <f t="shared" si="23"/>
        <v>0</v>
      </c>
      <c r="CK31" s="7">
        <f t="shared" si="24"/>
        <v>0</v>
      </c>
      <c r="CL31" s="7">
        <f t="shared" si="25"/>
        <v>0</v>
      </c>
      <c r="CM31" s="7">
        <f t="shared" si="26"/>
        <v>0</v>
      </c>
      <c r="CN31" s="7">
        <f t="shared" si="27"/>
        <v>0</v>
      </c>
      <c r="CO31" s="7">
        <f t="shared" si="28"/>
        <v>0</v>
      </c>
      <c r="CP31" s="7">
        <f t="shared" si="29"/>
        <v>0</v>
      </c>
      <c r="CQ31" s="7">
        <f t="shared" si="30"/>
        <v>0</v>
      </c>
      <c r="CR31" s="7">
        <f t="shared" si="31"/>
        <v>0</v>
      </c>
      <c r="CS31" s="7">
        <f t="shared" si="32"/>
        <v>0</v>
      </c>
      <c r="CT31" s="7">
        <f t="shared" si="33"/>
        <v>0</v>
      </c>
      <c r="CU31" s="7">
        <f t="shared" si="34"/>
        <v>0</v>
      </c>
      <c r="CV31" s="7">
        <f t="shared" si="35"/>
        <v>0</v>
      </c>
      <c r="CW31" s="7">
        <f t="shared" si="36"/>
        <v>0</v>
      </c>
      <c r="CX31" s="7">
        <f t="shared" si="37"/>
        <v>0</v>
      </c>
      <c r="CY31" s="7">
        <f t="shared" si="38"/>
        <v>0</v>
      </c>
      <c r="CZ31" s="7">
        <f t="shared" si="39"/>
        <v>0</v>
      </c>
      <c r="DA31" s="7">
        <f t="shared" si="40"/>
        <v>0</v>
      </c>
      <c r="DB31" s="7">
        <f t="shared" si="41"/>
        <v>0</v>
      </c>
      <c r="DC31" s="7">
        <f t="shared" si="42"/>
        <v>0</v>
      </c>
      <c r="DD31" s="7">
        <f t="shared" si="43"/>
        <v>0</v>
      </c>
      <c r="DE31" s="7">
        <f t="shared" si="44"/>
        <v>0</v>
      </c>
      <c r="DF31" s="7">
        <f t="shared" si="45"/>
        <v>0</v>
      </c>
      <c r="DG31" s="7">
        <f t="shared" si="46"/>
        <v>0</v>
      </c>
      <c r="DH31" s="7">
        <f t="shared" si="47"/>
        <v>0</v>
      </c>
      <c r="DI31" s="7">
        <f t="shared" si="48"/>
        <v>0</v>
      </c>
      <c r="DJ31" s="7">
        <f t="shared" si="49"/>
        <v>0</v>
      </c>
      <c r="DK31" s="7">
        <f t="shared" si="50"/>
        <v>0</v>
      </c>
      <c r="DL31" s="7">
        <f t="shared" si="51"/>
        <v>0</v>
      </c>
      <c r="DM31" s="7">
        <f t="shared" si="52"/>
        <v>0</v>
      </c>
      <c r="DN31" s="7">
        <f t="shared" si="53"/>
        <v>0</v>
      </c>
      <c r="DO31" s="7">
        <f t="shared" si="54"/>
        <v>0</v>
      </c>
      <c r="DP31" s="7">
        <f t="shared" si="55"/>
        <v>0</v>
      </c>
      <c r="DQ31" s="7">
        <f t="shared" si="56"/>
        <v>0</v>
      </c>
      <c r="DR31" s="7">
        <f t="shared" si="57"/>
        <v>0</v>
      </c>
      <c r="DS31" s="7">
        <f t="shared" si="58"/>
        <v>0</v>
      </c>
      <c r="DT31" s="7">
        <f t="shared" si="59"/>
        <v>0</v>
      </c>
      <c r="DU31" s="7">
        <f t="shared" si="60"/>
        <v>0</v>
      </c>
    </row>
    <row r="32" spans="1:125" x14ac:dyDescent="0.2">
      <c r="A32" s="3">
        <f>Bonds!A32</f>
        <v>46446</v>
      </c>
      <c r="B32" s="4">
        <f>Bonds!B32</f>
        <v>1.125</v>
      </c>
      <c r="C32">
        <f>Bonds!P32</f>
        <v>1</v>
      </c>
      <c r="D32">
        <f t="shared" si="0"/>
        <v>1</v>
      </c>
      <c r="E32" s="3">
        <f>IF(1&gt;$C32,"",IF($D32=1,EOMONTH(EDATE(Bonds!$H32,6*(1-1)),0),EDATE(Bonds!$H32,6*(1-1))))</f>
        <v>46446</v>
      </c>
      <c r="F32" s="3" t="str">
        <f>IF(2&gt;$C32,"",IF($D32=1,EOMONTH(EDATE(Bonds!$H32,6*(2-1)),0),EDATE(Bonds!$H32,6*(2-1))))</f>
        <v/>
      </c>
      <c r="G32" s="3" t="str">
        <f>IF(3&gt;$C32,"",IF($D32=1,EOMONTH(EDATE(Bonds!$H32,6*(3-1)),0),EDATE(Bonds!$H32,6*(3-1))))</f>
        <v/>
      </c>
      <c r="H32" s="3" t="str">
        <f>IF(4&gt;$C32,"",IF($D32=1,EOMONTH(EDATE(Bonds!$H32,6*(4-1)),0),EDATE(Bonds!$H32,6*(4-1))))</f>
        <v/>
      </c>
      <c r="I32" s="3" t="str">
        <f>IF(5&gt;$C32,"",IF($D32=1,EOMONTH(EDATE(Bonds!$H32,6*(5-1)),0),EDATE(Bonds!$H32,6*(5-1))))</f>
        <v/>
      </c>
      <c r="J32" s="3" t="str">
        <f>IF(6&gt;$C32,"",IF($D32=1,EOMONTH(EDATE(Bonds!$H32,6*(6-1)),0),EDATE(Bonds!$H32,6*(6-1))))</f>
        <v/>
      </c>
      <c r="K32" s="3" t="str">
        <f>IF(7&gt;$C32,"",IF($D32=1,EOMONTH(EDATE(Bonds!$H32,6*(7-1)),0),EDATE(Bonds!$H32,6*(7-1))))</f>
        <v/>
      </c>
      <c r="L32" s="3" t="str">
        <f>IF(8&gt;$C32,"",IF($D32=1,EOMONTH(EDATE(Bonds!$H32,6*(8-1)),0),EDATE(Bonds!$H32,6*(8-1))))</f>
        <v/>
      </c>
      <c r="M32" s="3" t="str">
        <f>IF(9&gt;$C32,"",IF($D32=1,EOMONTH(EDATE(Bonds!$H32,6*(9-1)),0),EDATE(Bonds!$H32,6*(9-1))))</f>
        <v/>
      </c>
      <c r="N32" s="3" t="str">
        <f>IF(10&gt;$C32,"",IF($D32=1,EOMONTH(EDATE(Bonds!$H32,6*(10-1)),0),EDATE(Bonds!$H32,6*(10-1))))</f>
        <v/>
      </c>
      <c r="O32" s="3" t="str">
        <f>IF(11&gt;$C32,"",IF($D32=1,EOMONTH(EDATE(Bonds!$H32,6*(11-1)),0),EDATE(Bonds!$H32,6*(11-1))))</f>
        <v/>
      </c>
      <c r="P32" s="3" t="str">
        <f>IF(12&gt;$C32,"",IF($D32=1,EOMONTH(EDATE(Bonds!$H32,6*(12-1)),0),EDATE(Bonds!$H32,6*(12-1))))</f>
        <v/>
      </c>
      <c r="Q32" s="3" t="str">
        <f>IF(13&gt;$C32,"",IF($D32=1,EOMONTH(EDATE(Bonds!$H32,6*(13-1)),0),EDATE(Bonds!$H32,6*(13-1))))</f>
        <v/>
      </c>
      <c r="R32" s="3" t="str">
        <f>IF(14&gt;$C32,"",IF($D32=1,EOMONTH(EDATE(Bonds!$H32,6*(14-1)),0),EDATE(Bonds!$H32,6*(14-1))))</f>
        <v/>
      </c>
      <c r="S32" s="3" t="str">
        <f>IF(15&gt;$C32,"",IF($D32=1,EOMONTH(EDATE(Bonds!$H32,6*(15-1)),0),EDATE(Bonds!$H32,6*(15-1))))</f>
        <v/>
      </c>
      <c r="T32" s="3" t="str">
        <f>IF(16&gt;$C32,"",IF($D32=1,EOMONTH(EDATE(Bonds!$H32,6*(16-1)),0),EDATE(Bonds!$H32,6*(16-1))))</f>
        <v/>
      </c>
      <c r="U32" s="3" t="str">
        <f>IF(17&gt;$C32,"",IF($D32=1,EOMONTH(EDATE(Bonds!$H32,6*(17-1)),0),EDATE(Bonds!$H32,6*(17-1))))</f>
        <v/>
      </c>
      <c r="V32" s="3" t="str">
        <f>IF(18&gt;$C32,"",IF($D32=1,EOMONTH(EDATE(Bonds!$H32,6*(18-1)),0),EDATE(Bonds!$H32,6*(18-1))))</f>
        <v/>
      </c>
      <c r="W32" s="3" t="str">
        <f>IF(19&gt;$C32,"",IF($D32=1,EOMONTH(EDATE(Bonds!$H32,6*(19-1)),0),EDATE(Bonds!$H32,6*(19-1))))</f>
        <v/>
      </c>
      <c r="X32" s="3" t="str">
        <f>IF(20&gt;$C32,"",IF($D32=1,EOMONTH(EDATE(Bonds!$H32,6*(20-1)),0),EDATE(Bonds!$H32,6*(20-1))))</f>
        <v/>
      </c>
      <c r="Y32" s="3" t="str">
        <f>IF(21&gt;$C32,"",IF($D32=1,EOMONTH(EDATE(Bonds!$H32,6*(21-1)),0),EDATE(Bonds!$H32,6*(21-1))))</f>
        <v/>
      </c>
      <c r="Z32" s="3" t="str">
        <f>IF(22&gt;$C32,"",IF($D32=1,EOMONTH(EDATE(Bonds!$H32,6*(22-1)),0),EDATE(Bonds!$H32,6*(22-1))))</f>
        <v/>
      </c>
      <c r="AA32" s="3" t="str">
        <f>IF(23&gt;$C32,"",IF($D32=1,EOMONTH(EDATE(Bonds!$H32,6*(23-1)),0),EDATE(Bonds!$H32,6*(23-1))))</f>
        <v/>
      </c>
      <c r="AB32" s="3" t="str">
        <f>IF(24&gt;$C32,"",IF($D32=1,EOMONTH(EDATE(Bonds!$H32,6*(24-1)),0),EDATE(Bonds!$H32,6*(24-1))))</f>
        <v/>
      </c>
      <c r="AC32" s="3" t="str">
        <f>IF(25&gt;$C32,"",IF($D32=1,EOMONTH(EDATE(Bonds!$H32,6*(25-1)),0),EDATE(Bonds!$H32,6*(25-1))))</f>
        <v/>
      </c>
      <c r="AD32" s="3" t="str">
        <f>IF(26&gt;$C32,"",IF($D32=1,EOMONTH(EDATE(Bonds!$H32,6*(26-1)),0),EDATE(Bonds!$H32,6*(26-1))))</f>
        <v/>
      </c>
      <c r="AE32" s="3" t="str">
        <f>IF(27&gt;$C32,"",IF($D32=1,EOMONTH(EDATE(Bonds!$H32,6*(27-1)),0),EDATE(Bonds!$H32,6*(27-1))))</f>
        <v/>
      </c>
      <c r="AF32" s="3" t="str">
        <f>IF(28&gt;$C32,"",IF($D32=1,EOMONTH(EDATE(Bonds!$H32,6*(28-1)),0),EDATE(Bonds!$H32,6*(28-1))))</f>
        <v/>
      </c>
      <c r="AG32" s="3" t="str">
        <f>IF(29&gt;$C32,"",IF($D32=1,EOMONTH(EDATE(Bonds!$H32,6*(29-1)),0),EDATE(Bonds!$H32,6*(29-1))))</f>
        <v/>
      </c>
      <c r="AH32" s="3" t="str">
        <f>IF(30&gt;$C32,"",IF($D32=1,EOMONTH(EDATE(Bonds!$H32,6*(30-1)),0),EDATE(Bonds!$H32,6*(30-1))))</f>
        <v/>
      </c>
      <c r="AI32" s="3" t="str">
        <f>IF(31&gt;$C32,"",IF($D32=1,EOMONTH(EDATE(Bonds!$H32,6*(31-1)),0),EDATE(Bonds!$H32,6*(31-1))))</f>
        <v/>
      </c>
      <c r="AJ32" s="3" t="str">
        <f>IF(32&gt;$C32,"",IF($D32=1,EOMONTH(EDATE(Bonds!$H32,6*(32-1)),0),EDATE(Bonds!$H32,6*(32-1))))</f>
        <v/>
      </c>
      <c r="AK32" s="3" t="str">
        <f>IF(33&gt;$C32,"",IF($D32=1,EOMONTH(EDATE(Bonds!$H32,6*(33-1)),0),EDATE(Bonds!$H32,6*(33-1))))</f>
        <v/>
      </c>
      <c r="AL32" s="3" t="str">
        <f>IF(34&gt;$C32,"",IF($D32=1,EOMONTH(EDATE(Bonds!$H32,6*(34-1)),0),EDATE(Bonds!$H32,6*(34-1))))</f>
        <v/>
      </c>
      <c r="AM32" s="3" t="str">
        <f>IF(35&gt;$C32,"",IF($D32=1,EOMONTH(EDATE(Bonds!$H32,6*(35-1)),0),EDATE(Bonds!$H32,6*(35-1))))</f>
        <v/>
      </c>
      <c r="AN32" s="3" t="str">
        <f>IF(36&gt;$C32,"",IF($D32=1,EOMONTH(EDATE(Bonds!$H32,6*(36-1)),0),EDATE(Bonds!$H32,6*(36-1))))</f>
        <v/>
      </c>
      <c r="AO32" s="3" t="str">
        <f>IF(37&gt;$C32,"",IF($D32=1,EOMONTH(EDATE(Bonds!$H32,6*(37-1)),0),EDATE(Bonds!$H32,6*(37-1))))</f>
        <v/>
      </c>
      <c r="AP32" s="3" t="str">
        <f>IF(38&gt;$C32,"",IF($D32=1,EOMONTH(EDATE(Bonds!$H32,6*(38-1)),0),EDATE(Bonds!$H32,6*(38-1))))</f>
        <v/>
      </c>
      <c r="AQ32" s="3" t="str">
        <f>IF(39&gt;$C32,"",IF($D32=1,EOMONTH(EDATE(Bonds!$H32,6*(39-1)),0),EDATE(Bonds!$H32,6*(39-1))))</f>
        <v/>
      </c>
      <c r="AR32" s="3" t="str">
        <f>IF(40&gt;$C32,"",IF($D32=1,EOMONTH(EDATE(Bonds!$H32,6*(40-1)),0),EDATE(Bonds!$H32,6*(40-1))))</f>
        <v/>
      </c>
      <c r="AS32" s="3" t="str">
        <f>IF(41&gt;$C32,"",IF($D32=1,EOMONTH(EDATE(Bonds!$H32,6*(41-1)),0),EDATE(Bonds!$H32,6*(41-1))))</f>
        <v/>
      </c>
      <c r="AT32" s="3" t="str">
        <f>IF(42&gt;$C32,"",IF($D32=1,EOMONTH(EDATE(Bonds!$H32,6*(42-1)),0),EDATE(Bonds!$H32,6*(42-1))))</f>
        <v/>
      </c>
      <c r="AU32" s="3" t="str">
        <f>IF(43&gt;$C32,"",IF($D32=1,EOMONTH(EDATE(Bonds!$H32,6*(43-1)),0),EDATE(Bonds!$H32,6*(43-1))))</f>
        <v/>
      </c>
      <c r="AV32" s="3" t="str">
        <f>IF(44&gt;$C32,"",IF($D32=1,EOMONTH(EDATE(Bonds!$H32,6*(44-1)),0),EDATE(Bonds!$H32,6*(44-1))))</f>
        <v/>
      </c>
      <c r="AW32" s="3" t="str">
        <f>IF(45&gt;$C32,"",IF($D32=1,EOMONTH(EDATE(Bonds!$H32,6*(45-1)),0),EDATE(Bonds!$H32,6*(45-1))))</f>
        <v/>
      </c>
      <c r="AX32" s="3" t="str">
        <f>IF(46&gt;$C32,"",IF($D32=1,EOMONTH(EDATE(Bonds!$H32,6*(46-1)),0),EDATE(Bonds!$H32,6*(46-1))))</f>
        <v/>
      </c>
      <c r="AY32" s="3" t="str">
        <f>IF(47&gt;$C32,"",IF($D32=1,EOMONTH(EDATE(Bonds!$H32,6*(47-1)),0),EDATE(Bonds!$H32,6*(47-1))))</f>
        <v/>
      </c>
      <c r="AZ32" s="3" t="str">
        <f>IF(48&gt;$C32,"",IF($D32=1,EOMONTH(EDATE(Bonds!$H32,6*(48-1)),0),EDATE(Bonds!$H32,6*(48-1))))</f>
        <v/>
      </c>
      <c r="BA32" s="3" t="str">
        <f>IF(49&gt;$C32,"",IF($D32=1,EOMONTH(EDATE(Bonds!$H32,6*(49-1)),0),EDATE(Bonds!$H32,6*(49-1))))</f>
        <v/>
      </c>
      <c r="BB32" s="3" t="str">
        <f>IF(50&gt;$C32,"",IF($D32=1,EOMONTH(EDATE(Bonds!$H32,6*(50-1)),0),EDATE(Bonds!$H32,6*(50-1))))</f>
        <v/>
      </c>
      <c r="BC32" s="3" t="str">
        <f>IF(51&gt;$C32,"",IF($D32=1,EOMONTH(EDATE(Bonds!$H32,6*(51-1)),0),EDATE(Bonds!$H32,6*(51-1))))</f>
        <v/>
      </c>
      <c r="BD32" s="3" t="str">
        <f>IF(52&gt;$C32,"",IF($D32=1,EOMONTH(EDATE(Bonds!$H32,6*(52-1)),0),EDATE(Bonds!$H32,6*(52-1))))</f>
        <v/>
      </c>
      <c r="BE32" s="3" t="str">
        <f>IF(53&gt;$C32,"",IF($D32=1,EOMONTH(EDATE(Bonds!$H32,6*(53-1)),0),EDATE(Bonds!$H32,6*(53-1))))</f>
        <v/>
      </c>
      <c r="BF32" s="3" t="str">
        <f>IF(54&gt;$C32,"",IF($D32=1,EOMONTH(EDATE(Bonds!$H32,6*(54-1)),0),EDATE(Bonds!$H32,6*(54-1))))</f>
        <v/>
      </c>
      <c r="BG32" s="3" t="str">
        <f>IF(55&gt;$C32,"",IF($D32=1,EOMONTH(EDATE(Bonds!$H32,6*(55-1)),0),EDATE(Bonds!$H32,6*(55-1))))</f>
        <v/>
      </c>
      <c r="BH32" s="3" t="str">
        <f>IF(56&gt;$C32,"",IF($D32=1,EOMONTH(EDATE(Bonds!$H32,6*(56-1)),0),EDATE(Bonds!$H32,6*(56-1))))</f>
        <v/>
      </c>
      <c r="BI32" s="3" t="str">
        <f>IF(57&gt;$C32,"",IF($D32=1,EOMONTH(EDATE(Bonds!$H32,6*(57-1)),0),EDATE(Bonds!$H32,6*(57-1))))</f>
        <v/>
      </c>
      <c r="BJ32" s="3" t="str">
        <f>IF(58&gt;$C32,"",IF($D32=1,EOMONTH(EDATE(Bonds!$H32,6*(58-1)),0),EDATE(Bonds!$H32,6*(58-1))))</f>
        <v/>
      </c>
      <c r="BK32" s="3" t="str">
        <f>IF(59&gt;$C32,"",IF($D32=1,EOMONTH(EDATE(Bonds!$H32,6*(59-1)),0),EDATE(Bonds!$H32,6*(59-1))))</f>
        <v/>
      </c>
      <c r="BL32" s="3" t="str">
        <f>IF(60&gt;$C32,"",IF($D32=1,EOMONTH(EDATE(Bonds!$H32,6*(60-1)),0),EDATE(Bonds!$H32,6*(60-1))))</f>
        <v/>
      </c>
      <c r="BN32" s="7">
        <f t="shared" si="1"/>
        <v>98.71110063626459</v>
      </c>
      <c r="BO32" s="7">
        <f t="shared" si="2"/>
        <v>0</v>
      </c>
      <c r="BP32" s="7">
        <f t="shared" si="3"/>
        <v>0</v>
      </c>
      <c r="BQ32" s="7">
        <f t="shared" si="4"/>
        <v>0</v>
      </c>
      <c r="BR32" s="7">
        <f t="shared" si="5"/>
        <v>0</v>
      </c>
      <c r="BS32" s="7">
        <f t="shared" si="6"/>
        <v>0</v>
      </c>
      <c r="BT32" s="7">
        <f t="shared" si="7"/>
        <v>0</v>
      </c>
      <c r="BU32" s="7">
        <f t="shared" si="8"/>
        <v>0</v>
      </c>
      <c r="BV32" s="7">
        <f t="shared" si="9"/>
        <v>0</v>
      </c>
      <c r="BW32" s="7">
        <f t="shared" si="10"/>
        <v>0</v>
      </c>
      <c r="BX32" s="7">
        <f t="shared" si="11"/>
        <v>0</v>
      </c>
      <c r="BY32" s="7">
        <f t="shared" si="12"/>
        <v>0</v>
      </c>
      <c r="BZ32" s="7">
        <f t="shared" si="13"/>
        <v>0</v>
      </c>
      <c r="CA32" s="7">
        <f t="shared" si="14"/>
        <v>0</v>
      </c>
      <c r="CB32" s="7">
        <f t="shared" si="15"/>
        <v>0</v>
      </c>
      <c r="CC32" s="7">
        <f t="shared" si="16"/>
        <v>0</v>
      </c>
      <c r="CD32" s="7">
        <f t="shared" si="17"/>
        <v>0</v>
      </c>
      <c r="CE32" s="7">
        <f t="shared" si="18"/>
        <v>0</v>
      </c>
      <c r="CF32" s="7">
        <f t="shared" si="19"/>
        <v>0</v>
      </c>
      <c r="CG32" s="7">
        <f t="shared" si="20"/>
        <v>0</v>
      </c>
      <c r="CH32" s="7">
        <f t="shared" si="21"/>
        <v>0</v>
      </c>
      <c r="CI32" s="7">
        <f t="shared" si="22"/>
        <v>0</v>
      </c>
      <c r="CJ32" s="7">
        <f t="shared" si="23"/>
        <v>0</v>
      </c>
      <c r="CK32" s="7">
        <f t="shared" si="24"/>
        <v>0</v>
      </c>
      <c r="CL32" s="7">
        <f t="shared" si="25"/>
        <v>0</v>
      </c>
      <c r="CM32" s="7">
        <f t="shared" si="26"/>
        <v>0</v>
      </c>
      <c r="CN32" s="7">
        <f t="shared" si="27"/>
        <v>0</v>
      </c>
      <c r="CO32" s="7">
        <f t="shared" si="28"/>
        <v>0</v>
      </c>
      <c r="CP32" s="7">
        <f t="shared" si="29"/>
        <v>0</v>
      </c>
      <c r="CQ32" s="7">
        <f t="shared" si="30"/>
        <v>0</v>
      </c>
      <c r="CR32" s="7">
        <f t="shared" si="31"/>
        <v>0</v>
      </c>
      <c r="CS32" s="7">
        <f t="shared" si="32"/>
        <v>0</v>
      </c>
      <c r="CT32" s="7">
        <f t="shared" si="33"/>
        <v>0</v>
      </c>
      <c r="CU32" s="7">
        <f t="shared" si="34"/>
        <v>0</v>
      </c>
      <c r="CV32" s="7">
        <f t="shared" si="35"/>
        <v>0</v>
      </c>
      <c r="CW32" s="7">
        <f t="shared" si="36"/>
        <v>0</v>
      </c>
      <c r="CX32" s="7">
        <f t="shared" si="37"/>
        <v>0</v>
      </c>
      <c r="CY32" s="7">
        <f t="shared" si="38"/>
        <v>0</v>
      </c>
      <c r="CZ32" s="7">
        <f t="shared" si="39"/>
        <v>0</v>
      </c>
      <c r="DA32" s="7">
        <f t="shared" si="40"/>
        <v>0</v>
      </c>
      <c r="DB32" s="7">
        <f t="shared" si="41"/>
        <v>0</v>
      </c>
      <c r="DC32" s="7">
        <f t="shared" si="42"/>
        <v>0</v>
      </c>
      <c r="DD32" s="7">
        <f t="shared" si="43"/>
        <v>0</v>
      </c>
      <c r="DE32" s="7">
        <f t="shared" si="44"/>
        <v>0</v>
      </c>
      <c r="DF32" s="7">
        <f t="shared" si="45"/>
        <v>0</v>
      </c>
      <c r="DG32" s="7">
        <f t="shared" si="46"/>
        <v>0</v>
      </c>
      <c r="DH32" s="7">
        <f t="shared" si="47"/>
        <v>0</v>
      </c>
      <c r="DI32" s="7">
        <f t="shared" si="48"/>
        <v>0</v>
      </c>
      <c r="DJ32" s="7">
        <f t="shared" si="49"/>
        <v>0</v>
      </c>
      <c r="DK32" s="7">
        <f t="shared" si="50"/>
        <v>0</v>
      </c>
      <c r="DL32" s="7">
        <f t="shared" si="51"/>
        <v>0</v>
      </c>
      <c r="DM32" s="7">
        <f t="shared" si="52"/>
        <v>0</v>
      </c>
      <c r="DN32" s="7">
        <f t="shared" si="53"/>
        <v>0</v>
      </c>
      <c r="DO32" s="7">
        <f t="shared" si="54"/>
        <v>0</v>
      </c>
      <c r="DP32" s="7">
        <f t="shared" si="55"/>
        <v>0</v>
      </c>
      <c r="DQ32" s="7">
        <f t="shared" si="56"/>
        <v>0</v>
      </c>
      <c r="DR32" s="7">
        <f t="shared" si="57"/>
        <v>0</v>
      </c>
      <c r="DS32" s="7">
        <f t="shared" si="58"/>
        <v>0</v>
      </c>
      <c r="DT32" s="7">
        <f t="shared" si="59"/>
        <v>0</v>
      </c>
      <c r="DU32" s="7">
        <f t="shared" si="60"/>
        <v>0</v>
      </c>
    </row>
    <row r="33" spans="1:125" x14ac:dyDescent="0.2">
      <c r="A33" s="3">
        <f>Bonds!A33</f>
        <v>46446</v>
      </c>
      <c r="B33" s="4">
        <f>Bonds!B33</f>
        <v>1.875</v>
      </c>
      <c r="C33">
        <f>Bonds!P33</f>
        <v>1</v>
      </c>
      <c r="D33">
        <f t="shared" si="0"/>
        <v>1</v>
      </c>
      <c r="E33" s="3">
        <f>IF(1&gt;$C33,"",IF($D33=1,EOMONTH(EDATE(Bonds!$H33,6*(1-1)),0),EDATE(Bonds!$H33,6*(1-1))))</f>
        <v>46446</v>
      </c>
      <c r="F33" s="3" t="str">
        <f>IF(2&gt;$C33,"",IF($D33=1,EOMONTH(EDATE(Bonds!$H33,6*(2-1)),0),EDATE(Bonds!$H33,6*(2-1))))</f>
        <v/>
      </c>
      <c r="G33" s="3" t="str">
        <f>IF(3&gt;$C33,"",IF($D33=1,EOMONTH(EDATE(Bonds!$H33,6*(3-1)),0),EDATE(Bonds!$H33,6*(3-1))))</f>
        <v/>
      </c>
      <c r="H33" s="3" t="str">
        <f>IF(4&gt;$C33,"",IF($D33=1,EOMONTH(EDATE(Bonds!$H33,6*(4-1)),0),EDATE(Bonds!$H33,6*(4-1))))</f>
        <v/>
      </c>
      <c r="I33" s="3" t="str">
        <f>IF(5&gt;$C33,"",IF($D33=1,EOMONTH(EDATE(Bonds!$H33,6*(5-1)),0),EDATE(Bonds!$H33,6*(5-1))))</f>
        <v/>
      </c>
      <c r="J33" s="3" t="str">
        <f>IF(6&gt;$C33,"",IF($D33=1,EOMONTH(EDATE(Bonds!$H33,6*(6-1)),0),EDATE(Bonds!$H33,6*(6-1))))</f>
        <v/>
      </c>
      <c r="K33" s="3" t="str">
        <f>IF(7&gt;$C33,"",IF($D33=1,EOMONTH(EDATE(Bonds!$H33,6*(7-1)),0),EDATE(Bonds!$H33,6*(7-1))))</f>
        <v/>
      </c>
      <c r="L33" s="3" t="str">
        <f>IF(8&gt;$C33,"",IF($D33=1,EOMONTH(EDATE(Bonds!$H33,6*(8-1)),0),EDATE(Bonds!$H33,6*(8-1))))</f>
        <v/>
      </c>
      <c r="M33" s="3" t="str">
        <f>IF(9&gt;$C33,"",IF($D33=1,EOMONTH(EDATE(Bonds!$H33,6*(9-1)),0),EDATE(Bonds!$H33,6*(9-1))))</f>
        <v/>
      </c>
      <c r="N33" s="3" t="str">
        <f>IF(10&gt;$C33,"",IF($D33=1,EOMONTH(EDATE(Bonds!$H33,6*(10-1)),0),EDATE(Bonds!$H33,6*(10-1))))</f>
        <v/>
      </c>
      <c r="O33" s="3" t="str">
        <f>IF(11&gt;$C33,"",IF($D33=1,EOMONTH(EDATE(Bonds!$H33,6*(11-1)),0),EDATE(Bonds!$H33,6*(11-1))))</f>
        <v/>
      </c>
      <c r="P33" s="3" t="str">
        <f>IF(12&gt;$C33,"",IF($D33=1,EOMONTH(EDATE(Bonds!$H33,6*(12-1)),0),EDATE(Bonds!$H33,6*(12-1))))</f>
        <v/>
      </c>
      <c r="Q33" s="3" t="str">
        <f>IF(13&gt;$C33,"",IF($D33=1,EOMONTH(EDATE(Bonds!$H33,6*(13-1)),0),EDATE(Bonds!$H33,6*(13-1))))</f>
        <v/>
      </c>
      <c r="R33" s="3" t="str">
        <f>IF(14&gt;$C33,"",IF($D33=1,EOMONTH(EDATE(Bonds!$H33,6*(14-1)),0),EDATE(Bonds!$H33,6*(14-1))))</f>
        <v/>
      </c>
      <c r="S33" s="3" t="str">
        <f>IF(15&gt;$C33,"",IF($D33=1,EOMONTH(EDATE(Bonds!$H33,6*(15-1)),0),EDATE(Bonds!$H33,6*(15-1))))</f>
        <v/>
      </c>
      <c r="T33" s="3" t="str">
        <f>IF(16&gt;$C33,"",IF($D33=1,EOMONTH(EDATE(Bonds!$H33,6*(16-1)),0),EDATE(Bonds!$H33,6*(16-1))))</f>
        <v/>
      </c>
      <c r="U33" s="3" t="str">
        <f>IF(17&gt;$C33,"",IF($D33=1,EOMONTH(EDATE(Bonds!$H33,6*(17-1)),0),EDATE(Bonds!$H33,6*(17-1))))</f>
        <v/>
      </c>
      <c r="V33" s="3" t="str">
        <f>IF(18&gt;$C33,"",IF($D33=1,EOMONTH(EDATE(Bonds!$H33,6*(18-1)),0),EDATE(Bonds!$H33,6*(18-1))))</f>
        <v/>
      </c>
      <c r="W33" s="3" t="str">
        <f>IF(19&gt;$C33,"",IF($D33=1,EOMONTH(EDATE(Bonds!$H33,6*(19-1)),0),EDATE(Bonds!$H33,6*(19-1))))</f>
        <v/>
      </c>
      <c r="X33" s="3" t="str">
        <f>IF(20&gt;$C33,"",IF($D33=1,EOMONTH(EDATE(Bonds!$H33,6*(20-1)),0),EDATE(Bonds!$H33,6*(20-1))))</f>
        <v/>
      </c>
      <c r="Y33" s="3" t="str">
        <f>IF(21&gt;$C33,"",IF($D33=1,EOMONTH(EDATE(Bonds!$H33,6*(21-1)),0),EDATE(Bonds!$H33,6*(21-1))))</f>
        <v/>
      </c>
      <c r="Z33" s="3" t="str">
        <f>IF(22&gt;$C33,"",IF($D33=1,EOMONTH(EDATE(Bonds!$H33,6*(22-1)),0),EDATE(Bonds!$H33,6*(22-1))))</f>
        <v/>
      </c>
      <c r="AA33" s="3" t="str">
        <f>IF(23&gt;$C33,"",IF($D33=1,EOMONTH(EDATE(Bonds!$H33,6*(23-1)),0),EDATE(Bonds!$H33,6*(23-1))))</f>
        <v/>
      </c>
      <c r="AB33" s="3" t="str">
        <f>IF(24&gt;$C33,"",IF($D33=1,EOMONTH(EDATE(Bonds!$H33,6*(24-1)),0),EDATE(Bonds!$H33,6*(24-1))))</f>
        <v/>
      </c>
      <c r="AC33" s="3" t="str">
        <f>IF(25&gt;$C33,"",IF($D33=1,EOMONTH(EDATE(Bonds!$H33,6*(25-1)),0),EDATE(Bonds!$H33,6*(25-1))))</f>
        <v/>
      </c>
      <c r="AD33" s="3" t="str">
        <f>IF(26&gt;$C33,"",IF($D33=1,EOMONTH(EDATE(Bonds!$H33,6*(26-1)),0),EDATE(Bonds!$H33,6*(26-1))))</f>
        <v/>
      </c>
      <c r="AE33" s="3" t="str">
        <f>IF(27&gt;$C33,"",IF($D33=1,EOMONTH(EDATE(Bonds!$H33,6*(27-1)),0),EDATE(Bonds!$H33,6*(27-1))))</f>
        <v/>
      </c>
      <c r="AF33" s="3" t="str">
        <f>IF(28&gt;$C33,"",IF($D33=1,EOMONTH(EDATE(Bonds!$H33,6*(28-1)),0),EDATE(Bonds!$H33,6*(28-1))))</f>
        <v/>
      </c>
      <c r="AG33" s="3" t="str">
        <f>IF(29&gt;$C33,"",IF($D33=1,EOMONTH(EDATE(Bonds!$H33,6*(29-1)),0),EDATE(Bonds!$H33,6*(29-1))))</f>
        <v/>
      </c>
      <c r="AH33" s="3" t="str">
        <f>IF(30&gt;$C33,"",IF($D33=1,EOMONTH(EDATE(Bonds!$H33,6*(30-1)),0),EDATE(Bonds!$H33,6*(30-1))))</f>
        <v/>
      </c>
      <c r="AI33" s="3" t="str">
        <f>IF(31&gt;$C33,"",IF($D33=1,EOMONTH(EDATE(Bonds!$H33,6*(31-1)),0),EDATE(Bonds!$H33,6*(31-1))))</f>
        <v/>
      </c>
      <c r="AJ33" s="3" t="str">
        <f>IF(32&gt;$C33,"",IF($D33=1,EOMONTH(EDATE(Bonds!$H33,6*(32-1)),0),EDATE(Bonds!$H33,6*(32-1))))</f>
        <v/>
      </c>
      <c r="AK33" s="3" t="str">
        <f>IF(33&gt;$C33,"",IF($D33=1,EOMONTH(EDATE(Bonds!$H33,6*(33-1)),0),EDATE(Bonds!$H33,6*(33-1))))</f>
        <v/>
      </c>
      <c r="AL33" s="3" t="str">
        <f>IF(34&gt;$C33,"",IF($D33=1,EOMONTH(EDATE(Bonds!$H33,6*(34-1)),0),EDATE(Bonds!$H33,6*(34-1))))</f>
        <v/>
      </c>
      <c r="AM33" s="3" t="str">
        <f>IF(35&gt;$C33,"",IF($D33=1,EOMONTH(EDATE(Bonds!$H33,6*(35-1)),0),EDATE(Bonds!$H33,6*(35-1))))</f>
        <v/>
      </c>
      <c r="AN33" s="3" t="str">
        <f>IF(36&gt;$C33,"",IF($D33=1,EOMONTH(EDATE(Bonds!$H33,6*(36-1)),0),EDATE(Bonds!$H33,6*(36-1))))</f>
        <v/>
      </c>
      <c r="AO33" s="3" t="str">
        <f>IF(37&gt;$C33,"",IF($D33=1,EOMONTH(EDATE(Bonds!$H33,6*(37-1)),0),EDATE(Bonds!$H33,6*(37-1))))</f>
        <v/>
      </c>
      <c r="AP33" s="3" t="str">
        <f>IF(38&gt;$C33,"",IF($D33=1,EOMONTH(EDATE(Bonds!$H33,6*(38-1)),0),EDATE(Bonds!$H33,6*(38-1))))</f>
        <v/>
      </c>
      <c r="AQ33" s="3" t="str">
        <f>IF(39&gt;$C33,"",IF($D33=1,EOMONTH(EDATE(Bonds!$H33,6*(39-1)),0),EDATE(Bonds!$H33,6*(39-1))))</f>
        <v/>
      </c>
      <c r="AR33" s="3" t="str">
        <f>IF(40&gt;$C33,"",IF($D33=1,EOMONTH(EDATE(Bonds!$H33,6*(40-1)),0),EDATE(Bonds!$H33,6*(40-1))))</f>
        <v/>
      </c>
      <c r="AS33" s="3" t="str">
        <f>IF(41&gt;$C33,"",IF($D33=1,EOMONTH(EDATE(Bonds!$H33,6*(41-1)),0),EDATE(Bonds!$H33,6*(41-1))))</f>
        <v/>
      </c>
      <c r="AT33" s="3" t="str">
        <f>IF(42&gt;$C33,"",IF($D33=1,EOMONTH(EDATE(Bonds!$H33,6*(42-1)),0),EDATE(Bonds!$H33,6*(42-1))))</f>
        <v/>
      </c>
      <c r="AU33" s="3" t="str">
        <f>IF(43&gt;$C33,"",IF($D33=1,EOMONTH(EDATE(Bonds!$H33,6*(43-1)),0),EDATE(Bonds!$H33,6*(43-1))))</f>
        <v/>
      </c>
      <c r="AV33" s="3" t="str">
        <f>IF(44&gt;$C33,"",IF($D33=1,EOMONTH(EDATE(Bonds!$H33,6*(44-1)),0),EDATE(Bonds!$H33,6*(44-1))))</f>
        <v/>
      </c>
      <c r="AW33" s="3" t="str">
        <f>IF(45&gt;$C33,"",IF($D33=1,EOMONTH(EDATE(Bonds!$H33,6*(45-1)),0),EDATE(Bonds!$H33,6*(45-1))))</f>
        <v/>
      </c>
      <c r="AX33" s="3" t="str">
        <f>IF(46&gt;$C33,"",IF($D33=1,EOMONTH(EDATE(Bonds!$H33,6*(46-1)),0),EDATE(Bonds!$H33,6*(46-1))))</f>
        <v/>
      </c>
      <c r="AY33" s="3" t="str">
        <f>IF(47&gt;$C33,"",IF($D33=1,EOMONTH(EDATE(Bonds!$H33,6*(47-1)),0),EDATE(Bonds!$H33,6*(47-1))))</f>
        <v/>
      </c>
      <c r="AZ33" s="3" t="str">
        <f>IF(48&gt;$C33,"",IF($D33=1,EOMONTH(EDATE(Bonds!$H33,6*(48-1)),0),EDATE(Bonds!$H33,6*(48-1))))</f>
        <v/>
      </c>
      <c r="BA33" s="3" t="str">
        <f>IF(49&gt;$C33,"",IF($D33=1,EOMONTH(EDATE(Bonds!$H33,6*(49-1)),0),EDATE(Bonds!$H33,6*(49-1))))</f>
        <v/>
      </c>
      <c r="BB33" s="3" t="str">
        <f>IF(50&gt;$C33,"",IF($D33=1,EOMONTH(EDATE(Bonds!$H33,6*(50-1)),0),EDATE(Bonds!$H33,6*(50-1))))</f>
        <v/>
      </c>
      <c r="BC33" s="3" t="str">
        <f>IF(51&gt;$C33,"",IF($D33=1,EOMONTH(EDATE(Bonds!$H33,6*(51-1)),0),EDATE(Bonds!$H33,6*(51-1))))</f>
        <v/>
      </c>
      <c r="BD33" s="3" t="str">
        <f>IF(52&gt;$C33,"",IF($D33=1,EOMONTH(EDATE(Bonds!$H33,6*(52-1)),0),EDATE(Bonds!$H33,6*(52-1))))</f>
        <v/>
      </c>
      <c r="BE33" s="3" t="str">
        <f>IF(53&gt;$C33,"",IF($D33=1,EOMONTH(EDATE(Bonds!$H33,6*(53-1)),0),EDATE(Bonds!$H33,6*(53-1))))</f>
        <v/>
      </c>
      <c r="BF33" s="3" t="str">
        <f>IF(54&gt;$C33,"",IF($D33=1,EOMONTH(EDATE(Bonds!$H33,6*(54-1)),0),EDATE(Bonds!$H33,6*(54-1))))</f>
        <v/>
      </c>
      <c r="BG33" s="3" t="str">
        <f>IF(55&gt;$C33,"",IF($D33=1,EOMONTH(EDATE(Bonds!$H33,6*(55-1)),0),EDATE(Bonds!$H33,6*(55-1))))</f>
        <v/>
      </c>
      <c r="BH33" s="3" t="str">
        <f>IF(56&gt;$C33,"",IF($D33=1,EOMONTH(EDATE(Bonds!$H33,6*(56-1)),0),EDATE(Bonds!$H33,6*(56-1))))</f>
        <v/>
      </c>
      <c r="BI33" s="3" t="str">
        <f>IF(57&gt;$C33,"",IF($D33=1,EOMONTH(EDATE(Bonds!$H33,6*(57-1)),0),EDATE(Bonds!$H33,6*(57-1))))</f>
        <v/>
      </c>
      <c r="BJ33" s="3" t="str">
        <f>IF(58&gt;$C33,"",IF($D33=1,EOMONTH(EDATE(Bonds!$H33,6*(58-1)),0),EDATE(Bonds!$H33,6*(58-1))))</f>
        <v/>
      </c>
      <c r="BK33" s="3" t="str">
        <f>IF(59&gt;$C33,"",IF($D33=1,EOMONTH(EDATE(Bonds!$H33,6*(59-1)),0),EDATE(Bonds!$H33,6*(59-1))))</f>
        <v/>
      </c>
      <c r="BL33" s="3" t="str">
        <f>IF(60&gt;$C33,"",IF($D33=1,EOMONTH(EDATE(Bonds!$H33,6*(60-1)),0),EDATE(Bonds!$H33,6*(60-1))))</f>
        <v/>
      </c>
      <c r="BN33" s="7">
        <f t="shared" si="1"/>
        <v>99.079196723161786</v>
      </c>
      <c r="BO33" s="7">
        <f t="shared" si="2"/>
        <v>0</v>
      </c>
      <c r="BP33" s="7">
        <f t="shared" si="3"/>
        <v>0</v>
      </c>
      <c r="BQ33" s="7">
        <f t="shared" si="4"/>
        <v>0</v>
      </c>
      <c r="BR33" s="7">
        <f t="shared" si="5"/>
        <v>0</v>
      </c>
      <c r="BS33" s="7">
        <f t="shared" si="6"/>
        <v>0</v>
      </c>
      <c r="BT33" s="7">
        <f t="shared" si="7"/>
        <v>0</v>
      </c>
      <c r="BU33" s="7">
        <f t="shared" si="8"/>
        <v>0</v>
      </c>
      <c r="BV33" s="7">
        <f t="shared" si="9"/>
        <v>0</v>
      </c>
      <c r="BW33" s="7">
        <f t="shared" si="10"/>
        <v>0</v>
      </c>
      <c r="BX33" s="7">
        <f t="shared" si="11"/>
        <v>0</v>
      </c>
      <c r="BY33" s="7">
        <f t="shared" si="12"/>
        <v>0</v>
      </c>
      <c r="BZ33" s="7">
        <f t="shared" si="13"/>
        <v>0</v>
      </c>
      <c r="CA33" s="7">
        <f t="shared" si="14"/>
        <v>0</v>
      </c>
      <c r="CB33" s="7">
        <f t="shared" si="15"/>
        <v>0</v>
      </c>
      <c r="CC33" s="7">
        <f t="shared" si="16"/>
        <v>0</v>
      </c>
      <c r="CD33" s="7">
        <f t="shared" si="17"/>
        <v>0</v>
      </c>
      <c r="CE33" s="7">
        <f t="shared" si="18"/>
        <v>0</v>
      </c>
      <c r="CF33" s="7">
        <f t="shared" si="19"/>
        <v>0</v>
      </c>
      <c r="CG33" s="7">
        <f t="shared" si="20"/>
        <v>0</v>
      </c>
      <c r="CH33" s="7">
        <f t="shared" si="21"/>
        <v>0</v>
      </c>
      <c r="CI33" s="7">
        <f t="shared" si="22"/>
        <v>0</v>
      </c>
      <c r="CJ33" s="7">
        <f t="shared" si="23"/>
        <v>0</v>
      </c>
      <c r="CK33" s="7">
        <f t="shared" si="24"/>
        <v>0</v>
      </c>
      <c r="CL33" s="7">
        <f t="shared" si="25"/>
        <v>0</v>
      </c>
      <c r="CM33" s="7">
        <f t="shared" si="26"/>
        <v>0</v>
      </c>
      <c r="CN33" s="7">
        <f t="shared" si="27"/>
        <v>0</v>
      </c>
      <c r="CO33" s="7">
        <f t="shared" si="28"/>
        <v>0</v>
      </c>
      <c r="CP33" s="7">
        <f t="shared" si="29"/>
        <v>0</v>
      </c>
      <c r="CQ33" s="7">
        <f t="shared" si="30"/>
        <v>0</v>
      </c>
      <c r="CR33" s="7">
        <f t="shared" si="31"/>
        <v>0</v>
      </c>
      <c r="CS33" s="7">
        <f t="shared" si="32"/>
        <v>0</v>
      </c>
      <c r="CT33" s="7">
        <f t="shared" si="33"/>
        <v>0</v>
      </c>
      <c r="CU33" s="7">
        <f t="shared" si="34"/>
        <v>0</v>
      </c>
      <c r="CV33" s="7">
        <f t="shared" si="35"/>
        <v>0</v>
      </c>
      <c r="CW33" s="7">
        <f t="shared" si="36"/>
        <v>0</v>
      </c>
      <c r="CX33" s="7">
        <f t="shared" si="37"/>
        <v>0</v>
      </c>
      <c r="CY33" s="7">
        <f t="shared" si="38"/>
        <v>0</v>
      </c>
      <c r="CZ33" s="7">
        <f t="shared" si="39"/>
        <v>0</v>
      </c>
      <c r="DA33" s="7">
        <f t="shared" si="40"/>
        <v>0</v>
      </c>
      <c r="DB33" s="7">
        <f t="shared" si="41"/>
        <v>0</v>
      </c>
      <c r="DC33" s="7">
        <f t="shared" si="42"/>
        <v>0</v>
      </c>
      <c r="DD33" s="7">
        <f t="shared" si="43"/>
        <v>0</v>
      </c>
      <c r="DE33" s="7">
        <f t="shared" si="44"/>
        <v>0</v>
      </c>
      <c r="DF33" s="7">
        <f t="shared" si="45"/>
        <v>0</v>
      </c>
      <c r="DG33" s="7">
        <f t="shared" si="46"/>
        <v>0</v>
      </c>
      <c r="DH33" s="7">
        <f t="shared" si="47"/>
        <v>0</v>
      </c>
      <c r="DI33" s="7">
        <f t="shared" si="48"/>
        <v>0</v>
      </c>
      <c r="DJ33" s="7">
        <f t="shared" si="49"/>
        <v>0</v>
      </c>
      <c r="DK33" s="7">
        <f t="shared" si="50"/>
        <v>0</v>
      </c>
      <c r="DL33" s="7">
        <f t="shared" si="51"/>
        <v>0</v>
      </c>
      <c r="DM33" s="7">
        <f t="shared" si="52"/>
        <v>0</v>
      </c>
      <c r="DN33" s="7">
        <f t="shared" si="53"/>
        <v>0</v>
      </c>
      <c r="DO33" s="7">
        <f t="shared" si="54"/>
        <v>0</v>
      </c>
      <c r="DP33" s="7">
        <f t="shared" si="55"/>
        <v>0</v>
      </c>
      <c r="DQ33" s="7">
        <f t="shared" si="56"/>
        <v>0</v>
      </c>
      <c r="DR33" s="7">
        <f t="shared" si="57"/>
        <v>0</v>
      </c>
      <c r="DS33" s="7">
        <f t="shared" si="58"/>
        <v>0</v>
      </c>
      <c r="DT33" s="7">
        <f t="shared" si="59"/>
        <v>0</v>
      </c>
      <c r="DU33" s="7">
        <f t="shared" si="60"/>
        <v>0</v>
      </c>
    </row>
    <row r="34" spans="1:125" x14ac:dyDescent="0.2">
      <c r="A34" s="3">
        <f>Bonds!A34</f>
        <v>46446</v>
      </c>
      <c r="B34" s="4">
        <f>Bonds!B34</f>
        <v>4.125</v>
      </c>
      <c r="C34">
        <f>Bonds!P34</f>
        <v>1</v>
      </c>
      <c r="D34">
        <f t="shared" si="0"/>
        <v>1</v>
      </c>
      <c r="E34" s="3">
        <f>IF(1&gt;$C34,"",IF($D34=1,EOMONTH(EDATE(Bonds!$H34,6*(1-1)),0),EDATE(Bonds!$H34,6*(1-1))))</f>
        <v>46446</v>
      </c>
      <c r="F34" s="3" t="str">
        <f>IF(2&gt;$C34,"",IF($D34=1,EOMONTH(EDATE(Bonds!$H34,6*(2-1)),0),EDATE(Bonds!$H34,6*(2-1))))</f>
        <v/>
      </c>
      <c r="G34" s="3" t="str">
        <f>IF(3&gt;$C34,"",IF($D34=1,EOMONTH(EDATE(Bonds!$H34,6*(3-1)),0),EDATE(Bonds!$H34,6*(3-1))))</f>
        <v/>
      </c>
      <c r="H34" s="3" t="str">
        <f>IF(4&gt;$C34,"",IF($D34=1,EOMONTH(EDATE(Bonds!$H34,6*(4-1)),0),EDATE(Bonds!$H34,6*(4-1))))</f>
        <v/>
      </c>
      <c r="I34" s="3" t="str">
        <f>IF(5&gt;$C34,"",IF($D34=1,EOMONTH(EDATE(Bonds!$H34,6*(5-1)),0),EDATE(Bonds!$H34,6*(5-1))))</f>
        <v/>
      </c>
      <c r="J34" s="3" t="str">
        <f>IF(6&gt;$C34,"",IF($D34=1,EOMONTH(EDATE(Bonds!$H34,6*(6-1)),0),EDATE(Bonds!$H34,6*(6-1))))</f>
        <v/>
      </c>
      <c r="K34" s="3" t="str">
        <f>IF(7&gt;$C34,"",IF($D34=1,EOMONTH(EDATE(Bonds!$H34,6*(7-1)),0),EDATE(Bonds!$H34,6*(7-1))))</f>
        <v/>
      </c>
      <c r="L34" s="3" t="str">
        <f>IF(8&gt;$C34,"",IF($D34=1,EOMONTH(EDATE(Bonds!$H34,6*(8-1)),0),EDATE(Bonds!$H34,6*(8-1))))</f>
        <v/>
      </c>
      <c r="M34" s="3" t="str">
        <f>IF(9&gt;$C34,"",IF($D34=1,EOMONTH(EDATE(Bonds!$H34,6*(9-1)),0),EDATE(Bonds!$H34,6*(9-1))))</f>
        <v/>
      </c>
      <c r="N34" s="3" t="str">
        <f>IF(10&gt;$C34,"",IF($D34=1,EOMONTH(EDATE(Bonds!$H34,6*(10-1)),0),EDATE(Bonds!$H34,6*(10-1))))</f>
        <v/>
      </c>
      <c r="O34" s="3" t="str">
        <f>IF(11&gt;$C34,"",IF($D34=1,EOMONTH(EDATE(Bonds!$H34,6*(11-1)),0),EDATE(Bonds!$H34,6*(11-1))))</f>
        <v/>
      </c>
      <c r="P34" s="3" t="str">
        <f>IF(12&gt;$C34,"",IF($D34=1,EOMONTH(EDATE(Bonds!$H34,6*(12-1)),0),EDATE(Bonds!$H34,6*(12-1))))</f>
        <v/>
      </c>
      <c r="Q34" s="3" t="str">
        <f>IF(13&gt;$C34,"",IF($D34=1,EOMONTH(EDATE(Bonds!$H34,6*(13-1)),0),EDATE(Bonds!$H34,6*(13-1))))</f>
        <v/>
      </c>
      <c r="R34" s="3" t="str">
        <f>IF(14&gt;$C34,"",IF($D34=1,EOMONTH(EDATE(Bonds!$H34,6*(14-1)),0),EDATE(Bonds!$H34,6*(14-1))))</f>
        <v/>
      </c>
      <c r="S34" s="3" t="str">
        <f>IF(15&gt;$C34,"",IF($D34=1,EOMONTH(EDATE(Bonds!$H34,6*(15-1)),0),EDATE(Bonds!$H34,6*(15-1))))</f>
        <v/>
      </c>
      <c r="T34" s="3" t="str">
        <f>IF(16&gt;$C34,"",IF($D34=1,EOMONTH(EDATE(Bonds!$H34,6*(16-1)),0),EDATE(Bonds!$H34,6*(16-1))))</f>
        <v/>
      </c>
      <c r="U34" s="3" t="str">
        <f>IF(17&gt;$C34,"",IF($D34=1,EOMONTH(EDATE(Bonds!$H34,6*(17-1)),0),EDATE(Bonds!$H34,6*(17-1))))</f>
        <v/>
      </c>
      <c r="V34" s="3" t="str">
        <f>IF(18&gt;$C34,"",IF($D34=1,EOMONTH(EDATE(Bonds!$H34,6*(18-1)),0),EDATE(Bonds!$H34,6*(18-1))))</f>
        <v/>
      </c>
      <c r="W34" s="3" t="str">
        <f>IF(19&gt;$C34,"",IF($D34=1,EOMONTH(EDATE(Bonds!$H34,6*(19-1)),0),EDATE(Bonds!$H34,6*(19-1))))</f>
        <v/>
      </c>
      <c r="X34" s="3" t="str">
        <f>IF(20&gt;$C34,"",IF($D34=1,EOMONTH(EDATE(Bonds!$H34,6*(20-1)),0),EDATE(Bonds!$H34,6*(20-1))))</f>
        <v/>
      </c>
      <c r="Y34" s="3" t="str">
        <f>IF(21&gt;$C34,"",IF($D34=1,EOMONTH(EDATE(Bonds!$H34,6*(21-1)),0),EDATE(Bonds!$H34,6*(21-1))))</f>
        <v/>
      </c>
      <c r="Z34" s="3" t="str">
        <f>IF(22&gt;$C34,"",IF($D34=1,EOMONTH(EDATE(Bonds!$H34,6*(22-1)),0),EDATE(Bonds!$H34,6*(22-1))))</f>
        <v/>
      </c>
      <c r="AA34" s="3" t="str">
        <f>IF(23&gt;$C34,"",IF($D34=1,EOMONTH(EDATE(Bonds!$H34,6*(23-1)),0),EDATE(Bonds!$H34,6*(23-1))))</f>
        <v/>
      </c>
      <c r="AB34" s="3" t="str">
        <f>IF(24&gt;$C34,"",IF($D34=1,EOMONTH(EDATE(Bonds!$H34,6*(24-1)),0),EDATE(Bonds!$H34,6*(24-1))))</f>
        <v/>
      </c>
      <c r="AC34" s="3" t="str">
        <f>IF(25&gt;$C34,"",IF($D34=1,EOMONTH(EDATE(Bonds!$H34,6*(25-1)),0),EDATE(Bonds!$H34,6*(25-1))))</f>
        <v/>
      </c>
      <c r="AD34" s="3" t="str">
        <f>IF(26&gt;$C34,"",IF($D34=1,EOMONTH(EDATE(Bonds!$H34,6*(26-1)),0),EDATE(Bonds!$H34,6*(26-1))))</f>
        <v/>
      </c>
      <c r="AE34" s="3" t="str">
        <f>IF(27&gt;$C34,"",IF($D34=1,EOMONTH(EDATE(Bonds!$H34,6*(27-1)),0),EDATE(Bonds!$H34,6*(27-1))))</f>
        <v/>
      </c>
      <c r="AF34" s="3" t="str">
        <f>IF(28&gt;$C34,"",IF($D34=1,EOMONTH(EDATE(Bonds!$H34,6*(28-1)),0),EDATE(Bonds!$H34,6*(28-1))))</f>
        <v/>
      </c>
      <c r="AG34" s="3" t="str">
        <f>IF(29&gt;$C34,"",IF($D34=1,EOMONTH(EDATE(Bonds!$H34,6*(29-1)),0),EDATE(Bonds!$H34,6*(29-1))))</f>
        <v/>
      </c>
      <c r="AH34" s="3" t="str">
        <f>IF(30&gt;$C34,"",IF($D34=1,EOMONTH(EDATE(Bonds!$H34,6*(30-1)),0),EDATE(Bonds!$H34,6*(30-1))))</f>
        <v/>
      </c>
      <c r="AI34" s="3" t="str">
        <f>IF(31&gt;$C34,"",IF($D34=1,EOMONTH(EDATE(Bonds!$H34,6*(31-1)),0),EDATE(Bonds!$H34,6*(31-1))))</f>
        <v/>
      </c>
      <c r="AJ34" s="3" t="str">
        <f>IF(32&gt;$C34,"",IF($D34=1,EOMONTH(EDATE(Bonds!$H34,6*(32-1)),0),EDATE(Bonds!$H34,6*(32-1))))</f>
        <v/>
      </c>
      <c r="AK34" s="3" t="str">
        <f>IF(33&gt;$C34,"",IF($D34=1,EOMONTH(EDATE(Bonds!$H34,6*(33-1)),0),EDATE(Bonds!$H34,6*(33-1))))</f>
        <v/>
      </c>
      <c r="AL34" s="3" t="str">
        <f>IF(34&gt;$C34,"",IF($D34=1,EOMONTH(EDATE(Bonds!$H34,6*(34-1)),0),EDATE(Bonds!$H34,6*(34-1))))</f>
        <v/>
      </c>
      <c r="AM34" s="3" t="str">
        <f>IF(35&gt;$C34,"",IF($D34=1,EOMONTH(EDATE(Bonds!$H34,6*(35-1)),0),EDATE(Bonds!$H34,6*(35-1))))</f>
        <v/>
      </c>
      <c r="AN34" s="3" t="str">
        <f>IF(36&gt;$C34,"",IF($D34=1,EOMONTH(EDATE(Bonds!$H34,6*(36-1)),0),EDATE(Bonds!$H34,6*(36-1))))</f>
        <v/>
      </c>
      <c r="AO34" s="3" t="str">
        <f>IF(37&gt;$C34,"",IF($D34=1,EOMONTH(EDATE(Bonds!$H34,6*(37-1)),0),EDATE(Bonds!$H34,6*(37-1))))</f>
        <v/>
      </c>
      <c r="AP34" s="3" t="str">
        <f>IF(38&gt;$C34,"",IF($D34=1,EOMONTH(EDATE(Bonds!$H34,6*(38-1)),0),EDATE(Bonds!$H34,6*(38-1))))</f>
        <v/>
      </c>
      <c r="AQ34" s="3" t="str">
        <f>IF(39&gt;$C34,"",IF($D34=1,EOMONTH(EDATE(Bonds!$H34,6*(39-1)),0),EDATE(Bonds!$H34,6*(39-1))))</f>
        <v/>
      </c>
      <c r="AR34" s="3" t="str">
        <f>IF(40&gt;$C34,"",IF($D34=1,EOMONTH(EDATE(Bonds!$H34,6*(40-1)),0),EDATE(Bonds!$H34,6*(40-1))))</f>
        <v/>
      </c>
      <c r="AS34" s="3" t="str">
        <f>IF(41&gt;$C34,"",IF($D34=1,EOMONTH(EDATE(Bonds!$H34,6*(41-1)),0),EDATE(Bonds!$H34,6*(41-1))))</f>
        <v/>
      </c>
      <c r="AT34" s="3" t="str">
        <f>IF(42&gt;$C34,"",IF($D34=1,EOMONTH(EDATE(Bonds!$H34,6*(42-1)),0),EDATE(Bonds!$H34,6*(42-1))))</f>
        <v/>
      </c>
      <c r="AU34" s="3" t="str">
        <f>IF(43&gt;$C34,"",IF($D34=1,EOMONTH(EDATE(Bonds!$H34,6*(43-1)),0),EDATE(Bonds!$H34,6*(43-1))))</f>
        <v/>
      </c>
      <c r="AV34" s="3" t="str">
        <f>IF(44&gt;$C34,"",IF($D34=1,EOMONTH(EDATE(Bonds!$H34,6*(44-1)),0),EDATE(Bonds!$H34,6*(44-1))))</f>
        <v/>
      </c>
      <c r="AW34" s="3" t="str">
        <f>IF(45&gt;$C34,"",IF($D34=1,EOMONTH(EDATE(Bonds!$H34,6*(45-1)),0),EDATE(Bonds!$H34,6*(45-1))))</f>
        <v/>
      </c>
      <c r="AX34" s="3" t="str">
        <f>IF(46&gt;$C34,"",IF($D34=1,EOMONTH(EDATE(Bonds!$H34,6*(46-1)),0),EDATE(Bonds!$H34,6*(46-1))))</f>
        <v/>
      </c>
      <c r="AY34" s="3" t="str">
        <f>IF(47&gt;$C34,"",IF($D34=1,EOMONTH(EDATE(Bonds!$H34,6*(47-1)),0),EDATE(Bonds!$H34,6*(47-1))))</f>
        <v/>
      </c>
      <c r="AZ34" s="3" t="str">
        <f>IF(48&gt;$C34,"",IF($D34=1,EOMONTH(EDATE(Bonds!$H34,6*(48-1)),0),EDATE(Bonds!$H34,6*(48-1))))</f>
        <v/>
      </c>
      <c r="BA34" s="3" t="str">
        <f>IF(49&gt;$C34,"",IF($D34=1,EOMONTH(EDATE(Bonds!$H34,6*(49-1)),0),EDATE(Bonds!$H34,6*(49-1))))</f>
        <v/>
      </c>
      <c r="BB34" s="3" t="str">
        <f>IF(50&gt;$C34,"",IF($D34=1,EOMONTH(EDATE(Bonds!$H34,6*(50-1)),0),EDATE(Bonds!$H34,6*(50-1))))</f>
        <v/>
      </c>
      <c r="BC34" s="3" t="str">
        <f>IF(51&gt;$C34,"",IF($D34=1,EOMONTH(EDATE(Bonds!$H34,6*(51-1)),0),EDATE(Bonds!$H34,6*(51-1))))</f>
        <v/>
      </c>
      <c r="BD34" s="3" t="str">
        <f>IF(52&gt;$C34,"",IF($D34=1,EOMONTH(EDATE(Bonds!$H34,6*(52-1)),0),EDATE(Bonds!$H34,6*(52-1))))</f>
        <v/>
      </c>
      <c r="BE34" s="3" t="str">
        <f>IF(53&gt;$C34,"",IF($D34=1,EOMONTH(EDATE(Bonds!$H34,6*(53-1)),0),EDATE(Bonds!$H34,6*(53-1))))</f>
        <v/>
      </c>
      <c r="BF34" s="3" t="str">
        <f>IF(54&gt;$C34,"",IF($D34=1,EOMONTH(EDATE(Bonds!$H34,6*(54-1)),0),EDATE(Bonds!$H34,6*(54-1))))</f>
        <v/>
      </c>
      <c r="BG34" s="3" t="str">
        <f>IF(55&gt;$C34,"",IF($D34=1,EOMONTH(EDATE(Bonds!$H34,6*(55-1)),0),EDATE(Bonds!$H34,6*(55-1))))</f>
        <v/>
      </c>
      <c r="BH34" s="3" t="str">
        <f>IF(56&gt;$C34,"",IF($D34=1,EOMONTH(EDATE(Bonds!$H34,6*(56-1)),0),EDATE(Bonds!$H34,6*(56-1))))</f>
        <v/>
      </c>
      <c r="BI34" s="3" t="str">
        <f>IF(57&gt;$C34,"",IF($D34=1,EOMONTH(EDATE(Bonds!$H34,6*(57-1)),0),EDATE(Bonds!$H34,6*(57-1))))</f>
        <v/>
      </c>
      <c r="BJ34" s="3" t="str">
        <f>IF(58&gt;$C34,"",IF($D34=1,EOMONTH(EDATE(Bonds!$H34,6*(58-1)),0),EDATE(Bonds!$H34,6*(58-1))))</f>
        <v/>
      </c>
      <c r="BK34" s="3" t="str">
        <f>IF(59&gt;$C34,"",IF($D34=1,EOMONTH(EDATE(Bonds!$H34,6*(59-1)),0),EDATE(Bonds!$H34,6*(59-1))))</f>
        <v/>
      </c>
      <c r="BL34" s="3" t="str">
        <f>IF(60&gt;$C34,"",IF($D34=1,EOMONTH(EDATE(Bonds!$H34,6*(60-1)),0),EDATE(Bonds!$H34,6*(60-1))))</f>
        <v/>
      </c>
      <c r="BN34" s="7">
        <f t="shared" si="1"/>
        <v>100.18348498385336</v>
      </c>
      <c r="BO34" s="7">
        <f t="shared" si="2"/>
        <v>0</v>
      </c>
      <c r="BP34" s="7">
        <f t="shared" si="3"/>
        <v>0</v>
      </c>
      <c r="BQ34" s="7">
        <f t="shared" si="4"/>
        <v>0</v>
      </c>
      <c r="BR34" s="7">
        <f t="shared" si="5"/>
        <v>0</v>
      </c>
      <c r="BS34" s="7">
        <f t="shared" si="6"/>
        <v>0</v>
      </c>
      <c r="BT34" s="7">
        <f t="shared" si="7"/>
        <v>0</v>
      </c>
      <c r="BU34" s="7">
        <f t="shared" si="8"/>
        <v>0</v>
      </c>
      <c r="BV34" s="7">
        <f t="shared" si="9"/>
        <v>0</v>
      </c>
      <c r="BW34" s="7">
        <f t="shared" si="10"/>
        <v>0</v>
      </c>
      <c r="BX34" s="7">
        <f t="shared" si="11"/>
        <v>0</v>
      </c>
      <c r="BY34" s="7">
        <f t="shared" si="12"/>
        <v>0</v>
      </c>
      <c r="BZ34" s="7">
        <f t="shared" si="13"/>
        <v>0</v>
      </c>
      <c r="CA34" s="7">
        <f t="shared" si="14"/>
        <v>0</v>
      </c>
      <c r="CB34" s="7">
        <f t="shared" si="15"/>
        <v>0</v>
      </c>
      <c r="CC34" s="7">
        <f t="shared" si="16"/>
        <v>0</v>
      </c>
      <c r="CD34" s="7">
        <f t="shared" si="17"/>
        <v>0</v>
      </c>
      <c r="CE34" s="7">
        <f t="shared" si="18"/>
        <v>0</v>
      </c>
      <c r="CF34" s="7">
        <f t="shared" si="19"/>
        <v>0</v>
      </c>
      <c r="CG34" s="7">
        <f t="shared" si="20"/>
        <v>0</v>
      </c>
      <c r="CH34" s="7">
        <f t="shared" si="21"/>
        <v>0</v>
      </c>
      <c r="CI34" s="7">
        <f t="shared" si="22"/>
        <v>0</v>
      </c>
      <c r="CJ34" s="7">
        <f t="shared" si="23"/>
        <v>0</v>
      </c>
      <c r="CK34" s="7">
        <f t="shared" si="24"/>
        <v>0</v>
      </c>
      <c r="CL34" s="7">
        <f t="shared" si="25"/>
        <v>0</v>
      </c>
      <c r="CM34" s="7">
        <f t="shared" si="26"/>
        <v>0</v>
      </c>
      <c r="CN34" s="7">
        <f t="shared" si="27"/>
        <v>0</v>
      </c>
      <c r="CO34" s="7">
        <f t="shared" si="28"/>
        <v>0</v>
      </c>
      <c r="CP34" s="7">
        <f t="shared" si="29"/>
        <v>0</v>
      </c>
      <c r="CQ34" s="7">
        <f t="shared" si="30"/>
        <v>0</v>
      </c>
      <c r="CR34" s="7">
        <f t="shared" si="31"/>
        <v>0</v>
      </c>
      <c r="CS34" s="7">
        <f t="shared" si="32"/>
        <v>0</v>
      </c>
      <c r="CT34" s="7">
        <f t="shared" si="33"/>
        <v>0</v>
      </c>
      <c r="CU34" s="7">
        <f t="shared" si="34"/>
        <v>0</v>
      </c>
      <c r="CV34" s="7">
        <f t="shared" si="35"/>
        <v>0</v>
      </c>
      <c r="CW34" s="7">
        <f t="shared" si="36"/>
        <v>0</v>
      </c>
      <c r="CX34" s="7">
        <f t="shared" si="37"/>
        <v>0</v>
      </c>
      <c r="CY34" s="7">
        <f t="shared" si="38"/>
        <v>0</v>
      </c>
      <c r="CZ34" s="7">
        <f t="shared" si="39"/>
        <v>0</v>
      </c>
      <c r="DA34" s="7">
        <f t="shared" si="40"/>
        <v>0</v>
      </c>
      <c r="DB34" s="7">
        <f t="shared" si="41"/>
        <v>0</v>
      </c>
      <c r="DC34" s="7">
        <f t="shared" si="42"/>
        <v>0</v>
      </c>
      <c r="DD34" s="7">
        <f t="shared" si="43"/>
        <v>0</v>
      </c>
      <c r="DE34" s="7">
        <f t="shared" si="44"/>
        <v>0</v>
      </c>
      <c r="DF34" s="7">
        <f t="shared" si="45"/>
        <v>0</v>
      </c>
      <c r="DG34" s="7">
        <f t="shared" si="46"/>
        <v>0</v>
      </c>
      <c r="DH34" s="7">
        <f t="shared" si="47"/>
        <v>0</v>
      </c>
      <c r="DI34" s="7">
        <f t="shared" si="48"/>
        <v>0</v>
      </c>
      <c r="DJ34" s="7">
        <f t="shared" si="49"/>
        <v>0</v>
      </c>
      <c r="DK34" s="7">
        <f t="shared" si="50"/>
        <v>0</v>
      </c>
      <c r="DL34" s="7">
        <f t="shared" si="51"/>
        <v>0</v>
      </c>
      <c r="DM34" s="7">
        <f t="shared" si="52"/>
        <v>0</v>
      </c>
      <c r="DN34" s="7">
        <f t="shared" si="53"/>
        <v>0</v>
      </c>
      <c r="DO34" s="7">
        <f t="shared" si="54"/>
        <v>0</v>
      </c>
      <c r="DP34" s="7">
        <f t="shared" si="55"/>
        <v>0</v>
      </c>
      <c r="DQ34" s="7">
        <f t="shared" si="56"/>
        <v>0</v>
      </c>
      <c r="DR34" s="7">
        <f t="shared" si="57"/>
        <v>0</v>
      </c>
      <c r="DS34" s="7">
        <f t="shared" si="58"/>
        <v>0</v>
      </c>
      <c r="DT34" s="7">
        <f t="shared" si="59"/>
        <v>0</v>
      </c>
      <c r="DU34" s="7">
        <f t="shared" si="60"/>
        <v>0</v>
      </c>
    </row>
    <row r="35" spans="1:125" x14ac:dyDescent="0.2">
      <c r="A35" s="3">
        <f>Bonds!A35</f>
        <v>46461</v>
      </c>
      <c r="B35" s="4">
        <f>Bonds!B35</f>
        <v>4.25</v>
      </c>
      <c r="C35">
        <f>Bonds!P35</f>
        <v>2</v>
      </c>
      <c r="D35">
        <f t="shared" si="0"/>
        <v>0</v>
      </c>
      <c r="E35" s="3">
        <f>IF(1&gt;$C35,"",IF($D35=1,EOMONTH(EDATE(Bonds!$H35,6*(1-1)),0),EDATE(Bonds!$H35,6*(1-1))))</f>
        <v>46280</v>
      </c>
      <c r="F35" s="3">
        <f>IF(2&gt;$C35,"",IF($D35=1,EOMONTH(EDATE(Bonds!$H35,6*(2-1)),0),EDATE(Bonds!$H35,6*(2-1))))</f>
        <v>46461</v>
      </c>
      <c r="G35" s="3" t="str">
        <f>IF(3&gt;$C35,"",IF($D35=1,EOMONTH(EDATE(Bonds!$H35,6*(3-1)),0),EDATE(Bonds!$H35,6*(3-1))))</f>
        <v/>
      </c>
      <c r="H35" s="3" t="str">
        <f>IF(4&gt;$C35,"",IF($D35=1,EOMONTH(EDATE(Bonds!$H35,6*(4-1)),0),EDATE(Bonds!$H35,6*(4-1))))</f>
        <v/>
      </c>
      <c r="I35" s="3" t="str">
        <f>IF(5&gt;$C35,"",IF($D35=1,EOMONTH(EDATE(Bonds!$H35,6*(5-1)),0),EDATE(Bonds!$H35,6*(5-1))))</f>
        <v/>
      </c>
      <c r="J35" s="3" t="str">
        <f>IF(6&gt;$C35,"",IF($D35=1,EOMONTH(EDATE(Bonds!$H35,6*(6-1)),0),EDATE(Bonds!$H35,6*(6-1))))</f>
        <v/>
      </c>
      <c r="K35" s="3" t="str">
        <f>IF(7&gt;$C35,"",IF($D35=1,EOMONTH(EDATE(Bonds!$H35,6*(7-1)),0),EDATE(Bonds!$H35,6*(7-1))))</f>
        <v/>
      </c>
      <c r="L35" s="3" t="str">
        <f>IF(8&gt;$C35,"",IF($D35=1,EOMONTH(EDATE(Bonds!$H35,6*(8-1)),0),EDATE(Bonds!$H35,6*(8-1))))</f>
        <v/>
      </c>
      <c r="M35" s="3" t="str">
        <f>IF(9&gt;$C35,"",IF($D35=1,EOMONTH(EDATE(Bonds!$H35,6*(9-1)),0),EDATE(Bonds!$H35,6*(9-1))))</f>
        <v/>
      </c>
      <c r="N35" s="3" t="str">
        <f>IF(10&gt;$C35,"",IF($D35=1,EOMONTH(EDATE(Bonds!$H35,6*(10-1)),0),EDATE(Bonds!$H35,6*(10-1))))</f>
        <v/>
      </c>
      <c r="O35" s="3" t="str">
        <f>IF(11&gt;$C35,"",IF($D35=1,EOMONTH(EDATE(Bonds!$H35,6*(11-1)),0),EDATE(Bonds!$H35,6*(11-1))))</f>
        <v/>
      </c>
      <c r="P35" s="3" t="str">
        <f>IF(12&gt;$C35,"",IF($D35=1,EOMONTH(EDATE(Bonds!$H35,6*(12-1)),0),EDATE(Bonds!$H35,6*(12-1))))</f>
        <v/>
      </c>
      <c r="Q35" s="3" t="str">
        <f>IF(13&gt;$C35,"",IF($D35=1,EOMONTH(EDATE(Bonds!$H35,6*(13-1)),0),EDATE(Bonds!$H35,6*(13-1))))</f>
        <v/>
      </c>
      <c r="R35" s="3" t="str">
        <f>IF(14&gt;$C35,"",IF($D35=1,EOMONTH(EDATE(Bonds!$H35,6*(14-1)),0),EDATE(Bonds!$H35,6*(14-1))))</f>
        <v/>
      </c>
      <c r="S35" s="3" t="str">
        <f>IF(15&gt;$C35,"",IF($D35=1,EOMONTH(EDATE(Bonds!$H35,6*(15-1)),0),EDATE(Bonds!$H35,6*(15-1))))</f>
        <v/>
      </c>
      <c r="T35" s="3" t="str">
        <f>IF(16&gt;$C35,"",IF($D35=1,EOMONTH(EDATE(Bonds!$H35,6*(16-1)),0),EDATE(Bonds!$H35,6*(16-1))))</f>
        <v/>
      </c>
      <c r="U35" s="3" t="str">
        <f>IF(17&gt;$C35,"",IF($D35=1,EOMONTH(EDATE(Bonds!$H35,6*(17-1)),0),EDATE(Bonds!$H35,6*(17-1))))</f>
        <v/>
      </c>
      <c r="V35" s="3" t="str">
        <f>IF(18&gt;$C35,"",IF($D35=1,EOMONTH(EDATE(Bonds!$H35,6*(18-1)),0),EDATE(Bonds!$H35,6*(18-1))))</f>
        <v/>
      </c>
      <c r="W35" s="3" t="str">
        <f>IF(19&gt;$C35,"",IF($D35=1,EOMONTH(EDATE(Bonds!$H35,6*(19-1)),0),EDATE(Bonds!$H35,6*(19-1))))</f>
        <v/>
      </c>
      <c r="X35" s="3" t="str">
        <f>IF(20&gt;$C35,"",IF($D35=1,EOMONTH(EDATE(Bonds!$H35,6*(20-1)),0),EDATE(Bonds!$H35,6*(20-1))))</f>
        <v/>
      </c>
      <c r="Y35" s="3" t="str">
        <f>IF(21&gt;$C35,"",IF($D35=1,EOMONTH(EDATE(Bonds!$H35,6*(21-1)),0),EDATE(Bonds!$H35,6*(21-1))))</f>
        <v/>
      </c>
      <c r="Z35" s="3" t="str">
        <f>IF(22&gt;$C35,"",IF($D35=1,EOMONTH(EDATE(Bonds!$H35,6*(22-1)),0),EDATE(Bonds!$H35,6*(22-1))))</f>
        <v/>
      </c>
      <c r="AA35" s="3" t="str">
        <f>IF(23&gt;$C35,"",IF($D35=1,EOMONTH(EDATE(Bonds!$H35,6*(23-1)),0),EDATE(Bonds!$H35,6*(23-1))))</f>
        <v/>
      </c>
      <c r="AB35" s="3" t="str">
        <f>IF(24&gt;$C35,"",IF($D35=1,EOMONTH(EDATE(Bonds!$H35,6*(24-1)),0),EDATE(Bonds!$H35,6*(24-1))))</f>
        <v/>
      </c>
      <c r="AC35" s="3" t="str">
        <f>IF(25&gt;$C35,"",IF($D35=1,EOMONTH(EDATE(Bonds!$H35,6*(25-1)),0),EDATE(Bonds!$H35,6*(25-1))))</f>
        <v/>
      </c>
      <c r="AD35" s="3" t="str">
        <f>IF(26&gt;$C35,"",IF($D35=1,EOMONTH(EDATE(Bonds!$H35,6*(26-1)),0),EDATE(Bonds!$H35,6*(26-1))))</f>
        <v/>
      </c>
      <c r="AE35" s="3" t="str">
        <f>IF(27&gt;$C35,"",IF($D35=1,EOMONTH(EDATE(Bonds!$H35,6*(27-1)),0),EDATE(Bonds!$H35,6*(27-1))))</f>
        <v/>
      </c>
      <c r="AF35" s="3" t="str">
        <f>IF(28&gt;$C35,"",IF($D35=1,EOMONTH(EDATE(Bonds!$H35,6*(28-1)),0),EDATE(Bonds!$H35,6*(28-1))))</f>
        <v/>
      </c>
      <c r="AG35" s="3" t="str">
        <f>IF(29&gt;$C35,"",IF($D35=1,EOMONTH(EDATE(Bonds!$H35,6*(29-1)),0),EDATE(Bonds!$H35,6*(29-1))))</f>
        <v/>
      </c>
      <c r="AH35" s="3" t="str">
        <f>IF(30&gt;$C35,"",IF($D35=1,EOMONTH(EDATE(Bonds!$H35,6*(30-1)),0),EDATE(Bonds!$H35,6*(30-1))))</f>
        <v/>
      </c>
      <c r="AI35" s="3" t="str">
        <f>IF(31&gt;$C35,"",IF($D35=1,EOMONTH(EDATE(Bonds!$H35,6*(31-1)),0),EDATE(Bonds!$H35,6*(31-1))))</f>
        <v/>
      </c>
      <c r="AJ35" s="3" t="str">
        <f>IF(32&gt;$C35,"",IF($D35=1,EOMONTH(EDATE(Bonds!$H35,6*(32-1)),0),EDATE(Bonds!$H35,6*(32-1))))</f>
        <v/>
      </c>
      <c r="AK35" s="3" t="str">
        <f>IF(33&gt;$C35,"",IF($D35=1,EOMONTH(EDATE(Bonds!$H35,6*(33-1)),0),EDATE(Bonds!$H35,6*(33-1))))</f>
        <v/>
      </c>
      <c r="AL35" s="3" t="str">
        <f>IF(34&gt;$C35,"",IF($D35=1,EOMONTH(EDATE(Bonds!$H35,6*(34-1)),0),EDATE(Bonds!$H35,6*(34-1))))</f>
        <v/>
      </c>
      <c r="AM35" s="3" t="str">
        <f>IF(35&gt;$C35,"",IF($D35=1,EOMONTH(EDATE(Bonds!$H35,6*(35-1)),0),EDATE(Bonds!$H35,6*(35-1))))</f>
        <v/>
      </c>
      <c r="AN35" s="3" t="str">
        <f>IF(36&gt;$C35,"",IF($D35=1,EOMONTH(EDATE(Bonds!$H35,6*(36-1)),0),EDATE(Bonds!$H35,6*(36-1))))</f>
        <v/>
      </c>
      <c r="AO35" s="3" t="str">
        <f>IF(37&gt;$C35,"",IF($D35=1,EOMONTH(EDATE(Bonds!$H35,6*(37-1)),0),EDATE(Bonds!$H35,6*(37-1))))</f>
        <v/>
      </c>
      <c r="AP35" s="3" t="str">
        <f>IF(38&gt;$C35,"",IF($D35=1,EOMONTH(EDATE(Bonds!$H35,6*(38-1)),0),EDATE(Bonds!$H35,6*(38-1))))</f>
        <v/>
      </c>
      <c r="AQ35" s="3" t="str">
        <f>IF(39&gt;$C35,"",IF($D35=1,EOMONTH(EDATE(Bonds!$H35,6*(39-1)),0),EDATE(Bonds!$H35,6*(39-1))))</f>
        <v/>
      </c>
      <c r="AR35" s="3" t="str">
        <f>IF(40&gt;$C35,"",IF($D35=1,EOMONTH(EDATE(Bonds!$H35,6*(40-1)),0),EDATE(Bonds!$H35,6*(40-1))))</f>
        <v/>
      </c>
      <c r="AS35" s="3" t="str">
        <f>IF(41&gt;$C35,"",IF($D35=1,EOMONTH(EDATE(Bonds!$H35,6*(41-1)),0),EDATE(Bonds!$H35,6*(41-1))))</f>
        <v/>
      </c>
      <c r="AT35" s="3" t="str">
        <f>IF(42&gt;$C35,"",IF($D35=1,EOMONTH(EDATE(Bonds!$H35,6*(42-1)),0),EDATE(Bonds!$H35,6*(42-1))))</f>
        <v/>
      </c>
      <c r="AU35" s="3" t="str">
        <f>IF(43&gt;$C35,"",IF($D35=1,EOMONTH(EDATE(Bonds!$H35,6*(43-1)),0),EDATE(Bonds!$H35,6*(43-1))))</f>
        <v/>
      </c>
      <c r="AV35" s="3" t="str">
        <f>IF(44&gt;$C35,"",IF($D35=1,EOMONTH(EDATE(Bonds!$H35,6*(44-1)),0),EDATE(Bonds!$H35,6*(44-1))))</f>
        <v/>
      </c>
      <c r="AW35" s="3" t="str">
        <f>IF(45&gt;$C35,"",IF($D35=1,EOMONTH(EDATE(Bonds!$H35,6*(45-1)),0),EDATE(Bonds!$H35,6*(45-1))))</f>
        <v/>
      </c>
      <c r="AX35" s="3" t="str">
        <f>IF(46&gt;$C35,"",IF($D35=1,EOMONTH(EDATE(Bonds!$H35,6*(46-1)),0),EDATE(Bonds!$H35,6*(46-1))))</f>
        <v/>
      </c>
      <c r="AY35" s="3" t="str">
        <f>IF(47&gt;$C35,"",IF($D35=1,EOMONTH(EDATE(Bonds!$H35,6*(47-1)),0),EDATE(Bonds!$H35,6*(47-1))))</f>
        <v/>
      </c>
      <c r="AZ35" s="3" t="str">
        <f>IF(48&gt;$C35,"",IF($D35=1,EOMONTH(EDATE(Bonds!$H35,6*(48-1)),0),EDATE(Bonds!$H35,6*(48-1))))</f>
        <v/>
      </c>
      <c r="BA35" s="3" t="str">
        <f>IF(49&gt;$C35,"",IF($D35=1,EOMONTH(EDATE(Bonds!$H35,6*(49-1)),0),EDATE(Bonds!$H35,6*(49-1))))</f>
        <v/>
      </c>
      <c r="BB35" s="3" t="str">
        <f>IF(50&gt;$C35,"",IF($D35=1,EOMONTH(EDATE(Bonds!$H35,6*(50-1)),0),EDATE(Bonds!$H35,6*(50-1))))</f>
        <v/>
      </c>
      <c r="BC35" s="3" t="str">
        <f>IF(51&gt;$C35,"",IF($D35=1,EOMONTH(EDATE(Bonds!$H35,6*(51-1)),0),EDATE(Bonds!$H35,6*(51-1))))</f>
        <v/>
      </c>
      <c r="BD35" s="3" t="str">
        <f>IF(52&gt;$C35,"",IF($D35=1,EOMONTH(EDATE(Bonds!$H35,6*(52-1)),0),EDATE(Bonds!$H35,6*(52-1))))</f>
        <v/>
      </c>
      <c r="BE35" s="3" t="str">
        <f>IF(53&gt;$C35,"",IF($D35=1,EOMONTH(EDATE(Bonds!$H35,6*(53-1)),0),EDATE(Bonds!$H35,6*(53-1))))</f>
        <v/>
      </c>
      <c r="BF35" s="3" t="str">
        <f>IF(54&gt;$C35,"",IF($D35=1,EOMONTH(EDATE(Bonds!$H35,6*(54-1)),0),EDATE(Bonds!$H35,6*(54-1))))</f>
        <v/>
      </c>
      <c r="BG35" s="3" t="str">
        <f>IF(55&gt;$C35,"",IF($D35=1,EOMONTH(EDATE(Bonds!$H35,6*(55-1)),0),EDATE(Bonds!$H35,6*(55-1))))</f>
        <v/>
      </c>
      <c r="BH35" s="3" t="str">
        <f>IF(56&gt;$C35,"",IF($D35=1,EOMONTH(EDATE(Bonds!$H35,6*(56-1)),0),EDATE(Bonds!$H35,6*(56-1))))</f>
        <v/>
      </c>
      <c r="BI35" s="3" t="str">
        <f>IF(57&gt;$C35,"",IF($D35=1,EOMONTH(EDATE(Bonds!$H35,6*(57-1)),0),EDATE(Bonds!$H35,6*(57-1))))</f>
        <v/>
      </c>
      <c r="BJ35" s="3" t="str">
        <f>IF(58&gt;$C35,"",IF($D35=1,EOMONTH(EDATE(Bonds!$H35,6*(58-1)),0),EDATE(Bonds!$H35,6*(58-1))))</f>
        <v/>
      </c>
      <c r="BK35" s="3" t="str">
        <f>IF(59&gt;$C35,"",IF($D35=1,EOMONTH(EDATE(Bonds!$H35,6*(59-1)),0),EDATE(Bonds!$H35,6*(59-1))))</f>
        <v/>
      </c>
      <c r="BL35" s="3" t="str">
        <f>IF(60&gt;$C35,"",IF($D35=1,EOMONTH(EDATE(Bonds!$H35,6*(60-1)),0),EDATE(Bonds!$H35,6*(60-1))))</f>
        <v/>
      </c>
      <c r="BN35" s="7">
        <f t="shared" si="1"/>
        <v>2.1235163274549622</v>
      </c>
      <c r="BO35" s="7">
        <f t="shared" si="2"/>
        <v>100.07299081134695</v>
      </c>
      <c r="BP35" s="7">
        <f t="shared" si="3"/>
        <v>0</v>
      </c>
      <c r="BQ35" s="7">
        <f t="shared" si="4"/>
        <v>0</v>
      </c>
      <c r="BR35" s="7">
        <f t="shared" si="5"/>
        <v>0</v>
      </c>
      <c r="BS35" s="7">
        <f t="shared" si="6"/>
        <v>0</v>
      </c>
      <c r="BT35" s="7">
        <f t="shared" si="7"/>
        <v>0</v>
      </c>
      <c r="BU35" s="7">
        <f t="shared" si="8"/>
        <v>0</v>
      </c>
      <c r="BV35" s="7">
        <f t="shared" si="9"/>
        <v>0</v>
      </c>
      <c r="BW35" s="7">
        <f t="shared" si="10"/>
        <v>0</v>
      </c>
      <c r="BX35" s="7">
        <f t="shared" si="11"/>
        <v>0</v>
      </c>
      <c r="BY35" s="7">
        <f t="shared" si="12"/>
        <v>0</v>
      </c>
      <c r="BZ35" s="7">
        <f t="shared" si="13"/>
        <v>0</v>
      </c>
      <c r="CA35" s="7">
        <f t="shared" si="14"/>
        <v>0</v>
      </c>
      <c r="CB35" s="7">
        <f t="shared" si="15"/>
        <v>0</v>
      </c>
      <c r="CC35" s="7">
        <f t="shared" si="16"/>
        <v>0</v>
      </c>
      <c r="CD35" s="7">
        <f t="shared" si="17"/>
        <v>0</v>
      </c>
      <c r="CE35" s="7">
        <f t="shared" si="18"/>
        <v>0</v>
      </c>
      <c r="CF35" s="7">
        <f t="shared" si="19"/>
        <v>0</v>
      </c>
      <c r="CG35" s="7">
        <f t="shared" si="20"/>
        <v>0</v>
      </c>
      <c r="CH35" s="7">
        <f t="shared" si="21"/>
        <v>0</v>
      </c>
      <c r="CI35" s="7">
        <f t="shared" si="22"/>
        <v>0</v>
      </c>
      <c r="CJ35" s="7">
        <f t="shared" si="23"/>
        <v>0</v>
      </c>
      <c r="CK35" s="7">
        <f t="shared" si="24"/>
        <v>0</v>
      </c>
      <c r="CL35" s="7">
        <f t="shared" si="25"/>
        <v>0</v>
      </c>
      <c r="CM35" s="7">
        <f t="shared" si="26"/>
        <v>0</v>
      </c>
      <c r="CN35" s="7">
        <f t="shared" si="27"/>
        <v>0</v>
      </c>
      <c r="CO35" s="7">
        <f t="shared" si="28"/>
        <v>0</v>
      </c>
      <c r="CP35" s="7">
        <f t="shared" si="29"/>
        <v>0</v>
      </c>
      <c r="CQ35" s="7">
        <f t="shared" si="30"/>
        <v>0</v>
      </c>
      <c r="CR35" s="7">
        <f t="shared" si="31"/>
        <v>0</v>
      </c>
      <c r="CS35" s="7">
        <f t="shared" si="32"/>
        <v>0</v>
      </c>
      <c r="CT35" s="7">
        <f t="shared" si="33"/>
        <v>0</v>
      </c>
      <c r="CU35" s="7">
        <f t="shared" si="34"/>
        <v>0</v>
      </c>
      <c r="CV35" s="7">
        <f t="shared" si="35"/>
        <v>0</v>
      </c>
      <c r="CW35" s="7">
        <f t="shared" si="36"/>
        <v>0</v>
      </c>
      <c r="CX35" s="7">
        <f t="shared" si="37"/>
        <v>0</v>
      </c>
      <c r="CY35" s="7">
        <f t="shared" si="38"/>
        <v>0</v>
      </c>
      <c r="CZ35" s="7">
        <f t="shared" si="39"/>
        <v>0</v>
      </c>
      <c r="DA35" s="7">
        <f t="shared" si="40"/>
        <v>0</v>
      </c>
      <c r="DB35" s="7">
        <f t="shared" si="41"/>
        <v>0</v>
      </c>
      <c r="DC35" s="7">
        <f t="shared" si="42"/>
        <v>0</v>
      </c>
      <c r="DD35" s="7">
        <f t="shared" si="43"/>
        <v>0</v>
      </c>
      <c r="DE35" s="7">
        <f t="shared" si="44"/>
        <v>0</v>
      </c>
      <c r="DF35" s="7">
        <f t="shared" si="45"/>
        <v>0</v>
      </c>
      <c r="DG35" s="7">
        <f t="shared" si="46"/>
        <v>0</v>
      </c>
      <c r="DH35" s="7">
        <f t="shared" si="47"/>
        <v>0</v>
      </c>
      <c r="DI35" s="7">
        <f t="shared" si="48"/>
        <v>0</v>
      </c>
      <c r="DJ35" s="7">
        <f t="shared" si="49"/>
        <v>0</v>
      </c>
      <c r="DK35" s="7">
        <f t="shared" si="50"/>
        <v>0</v>
      </c>
      <c r="DL35" s="7">
        <f t="shared" si="51"/>
        <v>0</v>
      </c>
      <c r="DM35" s="7">
        <f t="shared" si="52"/>
        <v>0</v>
      </c>
      <c r="DN35" s="7">
        <f t="shared" si="53"/>
        <v>0</v>
      </c>
      <c r="DO35" s="7">
        <f t="shared" si="54"/>
        <v>0</v>
      </c>
      <c r="DP35" s="7">
        <f t="shared" si="55"/>
        <v>0</v>
      </c>
      <c r="DQ35" s="7">
        <f t="shared" si="56"/>
        <v>0</v>
      </c>
      <c r="DR35" s="7">
        <f t="shared" si="57"/>
        <v>0</v>
      </c>
      <c r="DS35" s="7">
        <f t="shared" si="58"/>
        <v>0</v>
      </c>
      <c r="DT35" s="7">
        <f t="shared" si="59"/>
        <v>0</v>
      </c>
      <c r="DU35" s="7">
        <f t="shared" si="60"/>
        <v>0</v>
      </c>
    </row>
    <row r="36" spans="1:125" x14ac:dyDescent="0.2">
      <c r="A36" s="3">
        <f>Bonds!A36</f>
        <v>46477</v>
      </c>
      <c r="B36" s="4">
        <f>Bonds!B36</f>
        <v>0.625</v>
      </c>
      <c r="C36">
        <f>Bonds!P36</f>
        <v>2</v>
      </c>
      <c r="D36">
        <f t="shared" si="0"/>
        <v>1</v>
      </c>
      <c r="E36" s="3">
        <f>IF(1&gt;$C36,"",IF($D36=1,EOMONTH(EDATE(Bonds!$H36,6*(1-1)),0),EDATE(Bonds!$H36,6*(1-1))))</f>
        <v>46295</v>
      </c>
      <c r="F36" s="3">
        <f>IF(2&gt;$C36,"",IF($D36=1,EOMONTH(EDATE(Bonds!$H36,6*(2-1)),0),EDATE(Bonds!$H36,6*(2-1))))</f>
        <v>46477</v>
      </c>
      <c r="G36" s="3" t="str">
        <f>IF(3&gt;$C36,"",IF($D36=1,EOMONTH(EDATE(Bonds!$H36,6*(3-1)),0),EDATE(Bonds!$H36,6*(3-1))))</f>
        <v/>
      </c>
      <c r="H36" s="3" t="str">
        <f>IF(4&gt;$C36,"",IF($D36=1,EOMONTH(EDATE(Bonds!$H36,6*(4-1)),0),EDATE(Bonds!$H36,6*(4-1))))</f>
        <v/>
      </c>
      <c r="I36" s="3" t="str">
        <f>IF(5&gt;$C36,"",IF($D36=1,EOMONTH(EDATE(Bonds!$H36,6*(5-1)),0),EDATE(Bonds!$H36,6*(5-1))))</f>
        <v/>
      </c>
      <c r="J36" s="3" t="str">
        <f>IF(6&gt;$C36,"",IF($D36=1,EOMONTH(EDATE(Bonds!$H36,6*(6-1)),0),EDATE(Bonds!$H36,6*(6-1))))</f>
        <v/>
      </c>
      <c r="K36" s="3" t="str">
        <f>IF(7&gt;$C36,"",IF($D36=1,EOMONTH(EDATE(Bonds!$H36,6*(7-1)),0),EDATE(Bonds!$H36,6*(7-1))))</f>
        <v/>
      </c>
      <c r="L36" s="3" t="str">
        <f>IF(8&gt;$C36,"",IF($D36=1,EOMONTH(EDATE(Bonds!$H36,6*(8-1)),0),EDATE(Bonds!$H36,6*(8-1))))</f>
        <v/>
      </c>
      <c r="M36" s="3" t="str">
        <f>IF(9&gt;$C36,"",IF($D36=1,EOMONTH(EDATE(Bonds!$H36,6*(9-1)),0),EDATE(Bonds!$H36,6*(9-1))))</f>
        <v/>
      </c>
      <c r="N36" s="3" t="str">
        <f>IF(10&gt;$C36,"",IF($D36=1,EOMONTH(EDATE(Bonds!$H36,6*(10-1)),0),EDATE(Bonds!$H36,6*(10-1))))</f>
        <v/>
      </c>
      <c r="O36" s="3" t="str">
        <f>IF(11&gt;$C36,"",IF($D36=1,EOMONTH(EDATE(Bonds!$H36,6*(11-1)),0),EDATE(Bonds!$H36,6*(11-1))))</f>
        <v/>
      </c>
      <c r="P36" s="3" t="str">
        <f>IF(12&gt;$C36,"",IF($D36=1,EOMONTH(EDATE(Bonds!$H36,6*(12-1)),0),EDATE(Bonds!$H36,6*(12-1))))</f>
        <v/>
      </c>
      <c r="Q36" s="3" t="str">
        <f>IF(13&gt;$C36,"",IF($D36=1,EOMONTH(EDATE(Bonds!$H36,6*(13-1)),0),EDATE(Bonds!$H36,6*(13-1))))</f>
        <v/>
      </c>
      <c r="R36" s="3" t="str">
        <f>IF(14&gt;$C36,"",IF($D36=1,EOMONTH(EDATE(Bonds!$H36,6*(14-1)),0),EDATE(Bonds!$H36,6*(14-1))))</f>
        <v/>
      </c>
      <c r="S36" s="3" t="str">
        <f>IF(15&gt;$C36,"",IF($D36=1,EOMONTH(EDATE(Bonds!$H36,6*(15-1)),0),EDATE(Bonds!$H36,6*(15-1))))</f>
        <v/>
      </c>
      <c r="T36" s="3" t="str">
        <f>IF(16&gt;$C36,"",IF($D36=1,EOMONTH(EDATE(Bonds!$H36,6*(16-1)),0),EDATE(Bonds!$H36,6*(16-1))))</f>
        <v/>
      </c>
      <c r="U36" s="3" t="str">
        <f>IF(17&gt;$C36,"",IF($D36=1,EOMONTH(EDATE(Bonds!$H36,6*(17-1)),0),EDATE(Bonds!$H36,6*(17-1))))</f>
        <v/>
      </c>
      <c r="V36" s="3" t="str">
        <f>IF(18&gt;$C36,"",IF($D36=1,EOMONTH(EDATE(Bonds!$H36,6*(18-1)),0),EDATE(Bonds!$H36,6*(18-1))))</f>
        <v/>
      </c>
      <c r="W36" s="3" t="str">
        <f>IF(19&gt;$C36,"",IF($D36=1,EOMONTH(EDATE(Bonds!$H36,6*(19-1)),0),EDATE(Bonds!$H36,6*(19-1))))</f>
        <v/>
      </c>
      <c r="X36" s="3" t="str">
        <f>IF(20&gt;$C36,"",IF($D36=1,EOMONTH(EDATE(Bonds!$H36,6*(20-1)),0),EDATE(Bonds!$H36,6*(20-1))))</f>
        <v/>
      </c>
      <c r="Y36" s="3" t="str">
        <f>IF(21&gt;$C36,"",IF($D36=1,EOMONTH(EDATE(Bonds!$H36,6*(21-1)),0),EDATE(Bonds!$H36,6*(21-1))))</f>
        <v/>
      </c>
      <c r="Z36" s="3" t="str">
        <f>IF(22&gt;$C36,"",IF($D36=1,EOMONTH(EDATE(Bonds!$H36,6*(22-1)),0),EDATE(Bonds!$H36,6*(22-1))))</f>
        <v/>
      </c>
      <c r="AA36" s="3" t="str">
        <f>IF(23&gt;$C36,"",IF($D36=1,EOMONTH(EDATE(Bonds!$H36,6*(23-1)),0),EDATE(Bonds!$H36,6*(23-1))))</f>
        <v/>
      </c>
      <c r="AB36" s="3" t="str">
        <f>IF(24&gt;$C36,"",IF($D36=1,EOMONTH(EDATE(Bonds!$H36,6*(24-1)),0),EDATE(Bonds!$H36,6*(24-1))))</f>
        <v/>
      </c>
      <c r="AC36" s="3" t="str">
        <f>IF(25&gt;$C36,"",IF($D36=1,EOMONTH(EDATE(Bonds!$H36,6*(25-1)),0),EDATE(Bonds!$H36,6*(25-1))))</f>
        <v/>
      </c>
      <c r="AD36" s="3" t="str">
        <f>IF(26&gt;$C36,"",IF($D36=1,EOMONTH(EDATE(Bonds!$H36,6*(26-1)),0),EDATE(Bonds!$H36,6*(26-1))))</f>
        <v/>
      </c>
      <c r="AE36" s="3" t="str">
        <f>IF(27&gt;$C36,"",IF($D36=1,EOMONTH(EDATE(Bonds!$H36,6*(27-1)),0),EDATE(Bonds!$H36,6*(27-1))))</f>
        <v/>
      </c>
      <c r="AF36" s="3" t="str">
        <f>IF(28&gt;$C36,"",IF($D36=1,EOMONTH(EDATE(Bonds!$H36,6*(28-1)),0),EDATE(Bonds!$H36,6*(28-1))))</f>
        <v/>
      </c>
      <c r="AG36" s="3" t="str">
        <f>IF(29&gt;$C36,"",IF($D36=1,EOMONTH(EDATE(Bonds!$H36,6*(29-1)),0),EDATE(Bonds!$H36,6*(29-1))))</f>
        <v/>
      </c>
      <c r="AH36" s="3" t="str">
        <f>IF(30&gt;$C36,"",IF($D36=1,EOMONTH(EDATE(Bonds!$H36,6*(30-1)),0),EDATE(Bonds!$H36,6*(30-1))))</f>
        <v/>
      </c>
      <c r="AI36" s="3" t="str">
        <f>IF(31&gt;$C36,"",IF($D36=1,EOMONTH(EDATE(Bonds!$H36,6*(31-1)),0),EDATE(Bonds!$H36,6*(31-1))))</f>
        <v/>
      </c>
      <c r="AJ36" s="3" t="str">
        <f>IF(32&gt;$C36,"",IF($D36=1,EOMONTH(EDATE(Bonds!$H36,6*(32-1)),0),EDATE(Bonds!$H36,6*(32-1))))</f>
        <v/>
      </c>
      <c r="AK36" s="3" t="str">
        <f>IF(33&gt;$C36,"",IF($D36=1,EOMONTH(EDATE(Bonds!$H36,6*(33-1)),0),EDATE(Bonds!$H36,6*(33-1))))</f>
        <v/>
      </c>
      <c r="AL36" s="3" t="str">
        <f>IF(34&gt;$C36,"",IF($D36=1,EOMONTH(EDATE(Bonds!$H36,6*(34-1)),0),EDATE(Bonds!$H36,6*(34-1))))</f>
        <v/>
      </c>
      <c r="AM36" s="3" t="str">
        <f>IF(35&gt;$C36,"",IF($D36=1,EOMONTH(EDATE(Bonds!$H36,6*(35-1)),0),EDATE(Bonds!$H36,6*(35-1))))</f>
        <v/>
      </c>
      <c r="AN36" s="3" t="str">
        <f>IF(36&gt;$C36,"",IF($D36=1,EOMONTH(EDATE(Bonds!$H36,6*(36-1)),0),EDATE(Bonds!$H36,6*(36-1))))</f>
        <v/>
      </c>
      <c r="AO36" s="3" t="str">
        <f>IF(37&gt;$C36,"",IF($D36=1,EOMONTH(EDATE(Bonds!$H36,6*(37-1)),0),EDATE(Bonds!$H36,6*(37-1))))</f>
        <v/>
      </c>
      <c r="AP36" s="3" t="str">
        <f>IF(38&gt;$C36,"",IF($D36=1,EOMONTH(EDATE(Bonds!$H36,6*(38-1)),0),EDATE(Bonds!$H36,6*(38-1))))</f>
        <v/>
      </c>
      <c r="AQ36" s="3" t="str">
        <f>IF(39&gt;$C36,"",IF($D36=1,EOMONTH(EDATE(Bonds!$H36,6*(39-1)),0),EDATE(Bonds!$H36,6*(39-1))))</f>
        <v/>
      </c>
      <c r="AR36" s="3" t="str">
        <f>IF(40&gt;$C36,"",IF($D36=1,EOMONTH(EDATE(Bonds!$H36,6*(40-1)),0),EDATE(Bonds!$H36,6*(40-1))))</f>
        <v/>
      </c>
      <c r="AS36" s="3" t="str">
        <f>IF(41&gt;$C36,"",IF($D36=1,EOMONTH(EDATE(Bonds!$H36,6*(41-1)),0),EDATE(Bonds!$H36,6*(41-1))))</f>
        <v/>
      </c>
      <c r="AT36" s="3" t="str">
        <f>IF(42&gt;$C36,"",IF($D36=1,EOMONTH(EDATE(Bonds!$H36,6*(42-1)),0),EDATE(Bonds!$H36,6*(42-1))))</f>
        <v/>
      </c>
      <c r="AU36" s="3" t="str">
        <f>IF(43&gt;$C36,"",IF($D36=1,EOMONTH(EDATE(Bonds!$H36,6*(43-1)),0),EDATE(Bonds!$H36,6*(43-1))))</f>
        <v/>
      </c>
      <c r="AV36" s="3" t="str">
        <f>IF(44&gt;$C36,"",IF($D36=1,EOMONTH(EDATE(Bonds!$H36,6*(44-1)),0),EDATE(Bonds!$H36,6*(44-1))))</f>
        <v/>
      </c>
      <c r="AW36" s="3" t="str">
        <f>IF(45&gt;$C36,"",IF($D36=1,EOMONTH(EDATE(Bonds!$H36,6*(45-1)),0),EDATE(Bonds!$H36,6*(45-1))))</f>
        <v/>
      </c>
      <c r="AX36" s="3" t="str">
        <f>IF(46&gt;$C36,"",IF($D36=1,EOMONTH(EDATE(Bonds!$H36,6*(46-1)),0),EDATE(Bonds!$H36,6*(46-1))))</f>
        <v/>
      </c>
      <c r="AY36" s="3" t="str">
        <f>IF(47&gt;$C36,"",IF($D36=1,EOMONTH(EDATE(Bonds!$H36,6*(47-1)),0),EDATE(Bonds!$H36,6*(47-1))))</f>
        <v/>
      </c>
      <c r="AZ36" s="3" t="str">
        <f>IF(48&gt;$C36,"",IF($D36=1,EOMONTH(EDATE(Bonds!$H36,6*(48-1)),0),EDATE(Bonds!$H36,6*(48-1))))</f>
        <v/>
      </c>
      <c r="BA36" s="3" t="str">
        <f>IF(49&gt;$C36,"",IF($D36=1,EOMONTH(EDATE(Bonds!$H36,6*(49-1)),0),EDATE(Bonds!$H36,6*(49-1))))</f>
        <v/>
      </c>
      <c r="BB36" s="3" t="str">
        <f>IF(50&gt;$C36,"",IF($D36=1,EOMONTH(EDATE(Bonds!$H36,6*(50-1)),0),EDATE(Bonds!$H36,6*(50-1))))</f>
        <v/>
      </c>
      <c r="BC36" s="3" t="str">
        <f>IF(51&gt;$C36,"",IF($D36=1,EOMONTH(EDATE(Bonds!$H36,6*(51-1)),0),EDATE(Bonds!$H36,6*(51-1))))</f>
        <v/>
      </c>
      <c r="BD36" s="3" t="str">
        <f>IF(52&gt;$C36,"",IF($D36=1,EOMONTH(EDATE(Bonds!$H36,6*(52-1)),0),EDATE(Bonds!$H36,6*(52-1))))</f>
        <v/>
      </c>
      <c r="BE36" s="3" t="str">
        <f>IF(53&gt;$C36,"",IF($D36=1,EOMONTH(EDATE(Bonds!$H36,6*(53-1)),0),EDATE(Bonds!$H36,6*(53-1))))</f>
        <v/>
      </c>
      <c r="BF36" s="3" t="str">
        <f>IF(54&gt;$C36,"",IF($D36=1,EOMONTH(EDATE(Bonds!$H36,6*(54-1)),0),EDATE(Bonds!$H36,6*(54-1))))</f>
        <v/>
      </c>
      <c r="BG36" s="3" t="str">
        <f>IF(55&gt;$C36,"",IF($D36=1,EOMONTH(EDATE(Bonds!$H36,6*(55-1)),0),EDATE(Bonds!$H36,6*(55-1))))</f>
        <v/>
      </c>
      <c r="BH36" s="3" t="str">
        <f>IF(56&gt;$C36,"",IF($D36=1,EOMONTH(EDATE(Bonds!$H36,6*(56-1)),0),EDATE(Bonds!$H36,6*(56-1))))</f>
        <v/>
      </c>
      <c r="BI36" s="3" t="str">
        <f>IF(57&gt;$C36,"",IF($D36=1,EOMONTH(EDATE(Bonds!$H36,6*(57-1)),0),EDATE(Bonds!$H36,6*(57-1))))</f>
        <v/>
      </c>
      <c r="BJ36" s="3" t="str">
        <f>IF(58&gt;$C36,"",IF($D36=1,EOMONTH(EDATE(Bonds!$H36,6*(58-1)),0),EDATE(Bonds!$H36,6*(58-1))))</f>
        <v/>
      </c>
      <c r="BK36" s="3" t="str">
        <f>IF(59&gt;$C36,"",IF($D36=1,EOMONTH(EDATE(Bonds!$H36,6*(59-1)),0),EDATE(Bonds!$H36,6*(59-1))))</f>
        <v/>
      </c>
      <c r="BL36" s="3" t="str">
        <f>IF(60&gt;$C36,"",IF($D36=1,EOMONTH(EDATE(Bonds!$H36,6*(60-1)),0),EDATE(Bonds!$H36,6*(60-1))))</f>
        <v/>
      </c>
      <c r="BN36" s="7">
        <f t="shared" si="1"/>
        <v>0.31180919427357517</v>
      </c>
      <c r="BO36" s="7">
        <f t="shared" si="2"/>
        <v>98.115802284822337</v>
      </c>
      <c r="BP36" s="7">
        <f t="shared" si="3"/>
        <v>0</v>
      </c>
      <c r="BQ36" s="7">
        <f t="shared" si="4"/>
        <v>0</v>
      </c>
      <c r="BR36" s="7">
        <f t="shared" si="5"/>
        <v>0</v>
      </c>
      <c r="BS36" s="7">
        <f t="shared" si="6"/>
        <v>0</v>
      </c>
      <c r="BT36" s="7">
        <f t="shared" si="7"/>
        <v>0</v>
      </c>
      <c r="BU36" s="7">
        <f t="shared" si="8"/>
        <v>0</v>
      </c>
      <c r="BV36" s="7">
        <f t="shared" si="9"/>
        <v>0</v>
      </c>
      <c r="BW36" s="7">
        <f t="shared" si="10"/>
        <v>0</v>
      </c>
      <c r="BX36" s="7">
        <f t="shared" si="11"/>
        <v>0</v>
      </c>
      <c r="BY36" s="7">
        <f t="shared" si="12"/>
        <v>0</v>
      </c>
      <c r="BZ36" s="7">
        <f t="shared" si="13"/>
        <v>0</v>
      </c>
      <c r="CA36" s="7">
        <f t="shared" si="14"/>
        <v>0</v>
      </c>
      <c r="CB36" s="7">
        <f t="shared" si="15"/>
        <v>0</v>
      </c>
      <c r="CC36" s="7">
        <f t="shared" si="16"/>
        <v>0</v>
      </c>
      <c r="CD36" s="7">
        <f t="shared" si="17"/>
        <v>0</v>
      </c>
      <c r="CE36" s="7">
        <f t="shared" si="18"/>
        <v>0</v>
      </c>
      <c r="CF36" s="7">
        <f t="shared" si="19"/>
        <v>0</v>
      </c>
      <c r="CG36" s="7">
        <f t="shared" si="20"/>
        <v>0</v>
      </c>
      <c r="CH36" s="7">
        <f t="shared" si="21"/>
        <v>0</v>
      </c>
      <c r="CI36" s="7">
        <f t="shared" si="22"/>
        <v>0</v>
      </c>
      <c r="CJ36" s="7">
        <f t="shared" si="23"/>
        <v>0</v>
      </c>
      <c r="CK36" s="7">
        <f t="shared" si="24"/>
        <v>0</v>
      </c>
      <c r="CL36" s="7">
        <f t="shared" si="25"/>
        <v>0</v>
      </c>
      <c r="CM36" s="7">
        <f t="shared" si="26"/>
        <v>0</v>
      </c>
      <c r="CN36" s="7">
        <f t="shared" si="27"/>
        <v>0</v>
      </c>
      <c r="CO36" s="7">
        <f t="shared" si="28"/>
        <v>0</v>
      </c>
      <c r="CP36" s="7">
        <f t="shared" si="29"/>
        <v>0</v>
      </c>
      <c r="CQ36" s="7">
        <f t="shared" si="30"/>
        <v>0</v>
      </c>
      <c r="CR36" s="7">
        <f t="shared" si="31"/>
        <v>0</v>
      </c>
      <c r="CS36" s="7">
        <f t="shared" si="32"/>
        <v>0</v>
      </c>
      <c r="CT36" s="7">
        <f t="shared" si="33"/>
        <v>0</v>
      </c>
      <c r="CU36" s="7">
        <f t="shared" si="34"/>
        <v>0</v>
      </c>
      <c r="CV36" s="7">
        <f t="shared" si="35"/>
        <v>0</v>
      </c>
      <c r="CW36" s="7">
        <f t="shared" si="36"/>
        <v>0</v>
      </c>
      <c r="CX36" s="7">
        <f t="shared" si="37"/>
        <v>0</v>
      </c>
      <c r="CY36" s="7">
        <f t="shared" si="38"/>
        <v>0</v>
      </c>
      <c r="CZ36" s="7">
        <f t="shared" si="39"/>
        <v>0</v>
      </c>
      <c r="DA36" s="7">
        <f t="shared" si="40"/>
        <v>0</v>
      </c>
      <c r="DB36" s="7">
        <f t="shared" si="41"/>
        <v>0</v>
      </c>
      <c r="DC36" s="7">
        <f t="shared" si="42"/>
        <v>0</v>
      </c>
      <c r="DD36" s="7">
        <f t="shared" si="43"/>
        <v>0</v>
      </c>
      <c r="DE36" s="7">
        <f t="shared" si="44"/>
        <v>0</v>
      </c>
      <c r="DF36" s="7">
        <f t="shared" si="45"/>
        <v>0</v>
      </c>
      <c r="DG36" s="7">
        <f t="shared" si="46"/>
        <v>0</v>
      </c>
      <c r="DH36" s="7">
        <f t="shared" si="47"/>
        <v>0</v>
      </c>
      <c r="DI36" s="7">
        <f t="shared" si="48"/>
        <v>0</v>
      </c>
      <c r="DJ36" s="7">
        <f t="shared" si="49"/>
        <v>0</v>
      </c>
      <c r="DK36" s="7">
        <f t="shared" si="50"/>
        <v>0</v>
      </c>
      <c r="DL36" s="7">
        <f t="shared" si="51"/>
        <v>0</v>
      </c>
      <c r="DM36" s="7">
        <f t="shared" si="52"/>
        <v>0</v>
      </c>
      <c r="DN36" s="7">
        <f t="shared" si="53"/>
        <v>0</v>
      </c>
      <c r="DO36" s="7">
        <f t="shared" si="54"/>
        <v>0</v>
      </c>
      <c r="DP36" s="7">
        <f t="shared" si="55"/>
        <v>0</v>
      </c>
      <c r="DQ36" s="7">
        <f t="shared" si="56"/>
        <v>0</v>
      </c>
      <c r="DR36" s="7">
        <f t="shared" si="57"/>
        <v>0</v>
      </c>
      <c r="DS36" s="7">
        <f t="shared" si="58"/>
        <v>0</v>
      </c>
      <c r="DT36" s="7">
        <f t="shared" si="59"/>
        <v>0</v>
      </c>
      <c r="DU36" s="7">
        <f t="shared" si="60"/>
        <v>0</v>
      </c>
    </row>
    <row r="37" spans="1:125" x14ac:dyDescent="0.2">
      <c r="A37" s="3">
        <f>Bonds!A37</f>
        <v>46477</v>
      </c>
      <c r="B37" s="4">
        <f>Bonds!B37</f>
        <v>2.5</v>
      </c>
      <c r="C37">
        <f>Bonds!P37</f>
        <v>2</v>
      </c>
      <c r="D37">
        <f t="shared" si="0"/>
        <v>1</v>
      </c>
      <c r="E37" s="3">
        <f>IF(1&gt;$C37,"",IF($D37=1,EOMONTH(EDATE(Bonds!$H37,6*(1-1)),0),EDATE(Bonds!$H37,6*(1-1))))</f>
        <v>46295</v>
      </c>
      <c r="F37" s="3">
        <f>IF(2&gt;$C37,"",IF($D37=1,EOMONTH(EDATE(Bonds!$H37,6*(2-1)),0),EDATE(Bonds!$H37,6*(2-1))))</f>
        <v>46477</v>
      </c>
      <c r="G37" s="3" t="str">
        <f>IF(3&gt;$C37,"",IF($D37=1,EOMONTH(EDATE(Bonds!$H37,6*(3-1)),0),EDATE(Bonds!$H37,6*(3-1))))</f>
        <v/>
      </c>
      <c r="H37" s="3" t="str">
        <f>IF(4&gt;$C37,"",IF($D37=1,EOMONTH(EDATE(Bonds!$H37,6*(4-1)),0),EDATE(Bonds!$H37,6*(4-1))))</f>
        <v/>
      </c>
      <c r="I37" s="3" t="str">
        <f>IF(5&gt;$C37,"",IF($D37=1,EOMONTH(EDATE(Bonds!$H37,6*(5-1)),0),EDATE(Bonds!$H37,6*(5-1))))</f>
        <v/>
      </c>
      <c r="J37" s="3" t="str">
        <f>IF(6&gt;$C37,"",IF($D37=1,EOMONTH(EDATE(Bonds!$H37,6*(6-1)),0),EDATE(Bonds!$H37,6*(6-1))))</f>
        <v/>
      </c>
      <c r="K37" s="3" t="str">
        <f>IF(7&gt;$C37,"",IF($D37=1,EOMONTH(EDATE(Bonds!$H37,6*(7-1)),0),EDATE(Bonds!$H37,6*(7-1))))</f>
        <v/>
      </c>
      <c r="L37" s="3" t="str">
        <f>IF(8&gt;$C37,"",IF($D37=1,EOMONTH(EDATE(Bonds!$H37,6*(8-1)),0),EDATE(Bonds!$H37,6*(8-1))))</f>
        <v/>
      </c>
      <c r="M37" s="3" t="str">
        <f>IF(9&gt;$C37,"",IF($D37=1,EOMONTH(EDATE(Bonds!$H37,6*(9-1)),0),EDATE(Bonds!$H37,6*(9-1))))</f>
        <v/>
      </c>
      <c r="N37" s="3" t="str">
        <f>IF(10&gt;$C37,"",IF($D37=1,EOMONTH(EDATE(Bonds!$H37,6*(10-1)),0),EDATE(Bonds!$H37,6*(10-1))))</f>
        <v/>
      </c>
      <c r="O37" s="3" t="str">
        <f>IF(11&gt;$C37,"",IF($D37=1,EOMONTH(EDATE(Bonds!$H37,6*(11-1)),0),EDATE(Bonds!$H37,6*(11-1))))</f>
        <v/>
      </c>
      <c r="P37" s="3" t="str">
        <f>IF(12&gt;$C37,"",IF($D37=1,EOMONTH(EDATE(Bonds!$H37,6*(12-1)),0),EDATE(Bonds!$H37,6*(12-1))))</f>
        <v/>
      </c>
      <c r="Q37" s="3" t="str">
        <f>IF(13&gt;$C37,"",IF($D37=1,EOMONTH(EDATE(Bonds!$H37,6*(13-1)),0),EDATE(Bonds!$H37,6*(13-1))))</f>
        <v/>
      </c>
      <c r="R37" s="3" t="str">
        <f>IF(14&gt;$C37,"",IF($D37=1,EOMONTH(EDATE(Bonds!$H37,6*(14-1)),0),EDATE(Bonds!$H37,6*(14-1))))</f>
        <v/>
      </c>
      <c r="S37" s="3" t="str">
        <f>IF(15&gt;$C37,"",IF($D37=1,EOMONTH(EDATE(Bonds!$H37,6*(15-1)),0),EDATE(Bonds!$H37,6*(15-1))))</f>
        <v/>
      </c>
      <c r="T37" s="3" t="str">
        <f>IF(16&gt;$C37,"",IF($D37=1,EOMONTH(EDATE(Bonds!$H37,6*(16-1)),0),EDATE(Bonds!$H37,6*(16-1))))</f>
        <v/>
      </c>
      <c r="U37" s="3" t="str">
        <f>IF(17&gt;$C37,"",IF($D37=1,EOMONTH(EDATE(Bonds!$H37,6*(17-1)),0),EDATE(Bonds!$H37,6*(17-1))))</f>
        <v/>
      </c>
      <c r="V37" s="3" t="str">
        <f>IF(18&gt;$C37,"",IF($D37=1,EOMONTH(EDATE(Bonds!$H37,6*(18-1)),0),EDATE(Bonds!$H37,6*(18-1))))</f>
        <v/>
      </c>
      <c r="W37" s="3" t="str">
        <f>IF(19&gt;$C37,"",IF($D37=1,EOMONTH(EDATE(Bonds!$H37,6*(19-1)),0),EDATE(Bonds!$H37,6*(19-1))))</f>
        <v/>
      </c>
      <c r="X37" s="3" t="str">
        <f>IF(20&gt;$C37,"",IF($D37=1,EOMONTH(EDATE(Bonds!$H37,6*(20-1)),0),EDATE(Bonds!$H37,6*(20-1))))</f>
        <v/>
      </c>
      <c r="Y37" s="3" t="str">
        <f>IF(21&gt;$C37,"",IF($D37=1,EOMONTH(EDATE(Bonds!$H37,6*(21-1)),0),EDATE(Bonds!$H37,6*(21-1))))</f>
        <v/>
      </c>
      <c r="Z37" s="3" t="str">
        <f>IF(22&gt;$C37,"",IF($D37=1,EOMONTH(EDATE(Bonds!$H37,6*(22-1)),0),EDATE(Bonds!$H37,6*(22-1))))</f>
        <v/>
      </c>
      <c r="AA37" s="3" t="str">
        <f>IF(23&gt;$C37,"",IF($D37=1,EOMONTH(EDATE(Bonds!$H37,6*(23-1)),0),EDATE(Bonds!$H37,6*(23-1))))</f>
        <v/>
      </c>
      <c r="AB37" s="3" t="str">
        <f>IF(24&gt;$C37,"",IF($D37=1,EOMONTH(EDATE(Bonds!$H37,6*(24-1)),0),EDATE(Bonds!$H37,6*(24-1))))</f>
        <v/>
      </c>
      <c r="AC37" s="3" t="str">
        <f>IF(25&gt;$C37,"",IF($D37=1,EOMONTH(EDATE(Bonds!$H37,6*(25-1)),0),EDATE(Bonds!$H37,6*(25-1))))</f>
        <v/>
      </c>
      <c r="AD37" s="3" t="str">
        <f>IF(26&gt;$C37,"",IF($D37=1,EOMONTH(EDATE(Bonds!$H37,6*(26-1)),0),EDATE(Bonds!$H37,6*(26-1))))</f>
        <v/>
      </c>
      <c r="AE37" s="3" t="str">
        <f>IF(27&gt;$C37,"",IF($D37=1,EOMONTH(EDATE(Bonds!$H37,6*(27-1)),0),EDATE(Bonds!$H37,6*(27-1))))</f>
        <v/>
      </c>
      <c r="AF37" s="3" t="str">
        <f>IF(28&gt;$C37,"",IF($D37=1,EOMONTH(EDATE(Bonds!$H37,6*(28-1)),0),EDATE(Bonds!$H37,6*(28-1))))</f>
        <v/>
      </c>
      <c r="AG37" s="3" t="str">
        <f>IF(29&gt;$C37,"",IF($D37=1,EOMONTH(EDATE(Bonds!$H37,6*(29-1)),0),EDATE(Bonds!$H37,6*(29-1))))</f>
        <v/>
      </c>
      <c r="AH37" s="3" t="str">
        <f>IF(30&gt;$C37,"",IF($D37=1,EOMONTH(EDATE(Bonds!$H37,6*(30-1)),0),EDATE(Bonds!$H37,6*(30-1))))</f>
        <v/>
      </c>
      <c r="AI37" s="3" t="str">
        <f>IF(31&gt;$C37,"",IF($D37=1,EOMONTH(EDATE(Bonds!$H37,6*(31-1)),0),EDATE(Bonds!$H37,6*(31-1))))</f>
        <v/>
      </c>
      <c r="AJ37" s="3" t="str">
        <f>IF(32&gt;$C37,"",IF($D37=1,EOMONTH(EDATE(Bonds!$H37,6*(32-1)),0),EDATE(Bonds!$H37,6*(32-1))))</f>
        <v/>
      </c>
      <c r="AK37" s="3" t="str">
        <f>IF(33&gt;$C37,"",IF($D37=1,EOMONTH(EDATE(Bonds!$H37,6*(33-1)),0),EDATE(Bonds!$H37,6*(33-1))))</f>
        <v/>
      </c>
      <c r="AL37" s="3" t="str">
        <f>IF(34&gt;$C37,"",IF($D37=1,EOMONTH(EDATE(Bonds!$H37,6*(34-1)),0),EDATE(Bonds!$H37,6*(34-1))))</f>
        <v/>
      </c>
      <c r="AM37" s="3" t="str">
        <f>IF(35&gt;$C37,"",IF($D37=1,EOMONTH(EDATE(Bonds!$H37,6*(35-1)),0),EDATE(Bonds!$H37,6*(35-1))))</f>
        <v/>
      </c>
      <c r="AN37" s="3" t="str">
        <f>IF(36&gt;$C37,"",IF($D37=1,EOMONTH(EDATE(Bonds!$H37,6*(36-1)),0),EDATE(Bonds!$H37,6*(36-1))))</f>
        <v/>
      </c>
      <c r="AO37" s="3" t="str">
        <f>IF(37&gt;$C37,"",IF($D37=1,EOMONTH(EDATE(Bonds!$H37,6*(37-1)),0),EDATE(Bonds!$H37,6*(37-1))))</f>
        <v/>
      </c>
      <c r="AP37" s="3" t="str">
        <f>IF(38&gt;$C37,"",IF($D37=1,EOMONTH(EDATE(Bonds!$H37,6*(38-1)),0),EDATE(Bonds!$H37,6*(38-1))))</f>
        <v/>
      </c>
      <c r="AQ37" s="3" t="str">
        <f>IF(39&gt;$C37,"",IF($D37=1,EOMONTH(EDATE(Bonds!$H37,6*(39-1)),0),EDATE(Bonds!$H37,6*(39-1))))</f>
        <v/>
      </c>
      <c r="AR37" s="3" t="str">
        <f>IF(40&gt;$C37,"",IF($D37=1,EOMONTH(EDATE(Bonds!$H37,6*(40-1)),0),EDATE(Bonds!$H37,6*(40-1))))</f>
        <v/>
      </c>
      <c r="AS37" s="3" t="str">
        <f>IF(41&gt;$C37,"",IF($D37=1,EOMONTH(EDATE(Bonds!$H37,6*(41-1)),0),EDATE(Bonds!$H37,6*(41-1))))</f>
        <v/>
      </c>
      <c r="AT37" s="3" t="str">
        <f>IF(42&gt;$C37,"",IF($D37=1,EOMONTH(EDATE(Bonds!$H37,6*(42-1)),0),EDATE(Bonds!$H37,6*(42-1))))</f>
        <v/>
      </c>
      <c r="AU37" s="3" t="str">
        <f>IF(43&gt;$C37,"",IF($D37=1,EOMONTH(EDATE(Bonds!$H37,6*(43-1)),0),EDATE(Bonds!$H37,6*(43-1))))</f>
        <v/>
      </c>
      <c r="AV37" s="3" t="str">
        <f>IF(44&gt;$C37,"",IF($D37=1,EOMONTH(EDATE(Bonds!$H37,6*(44-1)),0),EDATE(Bonds!$H37,6*(44-1))))</f>
        <v/>
      </c>
      <c r="AW37" s="3" t="str">
        <f>IF(45&gt;$C37,"",IF($D37=1,EOMONTH(EDATE(Bonds!$H37,6*(45-1)),0),EDATE(Bonds!$H37,6*(45-1))))</f>
        <v/>
      </c>
      <c r="AX37" s="3" t="str">
        <f>IF(46&gt;$C37,"",IF($D37=1,EOMONTH(EDATE(Bonds!$H37,6*(46-1)),0),EDATE(Bonds!$H37,6*(46-1))))</f>
        <v/>
      </c>
      <c r="AY37" s="3" t="str">
        <f>IF(47&gt;$C37,"",IF($D37=1,EOMONTH(EDATE(Bonds!$H37,6*(47-1)),0),EDATE(Bonds!$H37,6*(47-1))))</f>
        <v/>
      </c>
      <c r="AZ37" s="3" t="str">
        <f>IF(48&gt;$C37,"",IF($D37=1,EOMONTH(EDATE(Bonds!$H37,6*(48-1)),0),EDATE(Bonds!$H37,6*(48-1))))</f>
        <v/>
      </c>
      <c r="BA37" s="3" t="str">
        <f>IF(49&gt;$C37,"",IF($D37=1,EOMONTH(EDATE(Bonds!$H37,6*(49-1)),0),EDATE(Bonds!$H37,6*(49-1))))</f>
        <v/>
      </c>
      <c r="BB37" s="3" t="str">
        <f>IF(50&gt;$C37,"",IF($D37=1,EOMONTH(EDATE(Bonds!$H37,6*(50-1)),0),EDATE(Bonds!$H37,6*(50-1))))</f>
        <v/>
      </c>
      <c r="BC37" s="3" t="str">
        <f>IF(51&gt;$C37,"",IF($D37=1,EOMONTH(EDATE(Bonds!$H37,6*(51-1)),0),EDATE(Bonds!$H37,6*(51-1))))</f>
        <v/>
      </c>
      <c r="BD37" s="3" t="str">
        <f>IF(52&gt;$C37,"",IF($D37=1,EOMONTH(EDATE(Bonds!$H37,6*(52-1)),0),EDATE(Bonds!$H37,6*(52-1))))</f>
        <v/>
      </c>
      <c r="BE37" s="3" t="str">
        <f>IF(53&gt;$C37,"",IF($D37=1,EOMONTH(EDATE(Bonds!$H37,6*(53-1)),0),EDATE(Bonds!$H37,6*(53-1))))</f>
        <v/>
      </c>
      <c r="BF37" s="3" t="str">
        <f>IF(54&gt;$C37,"",IF($D37=1,EOMONTH(EDATE(Bonds!$H37,6*(54-1)),0),EDATE(Bonds!$H37,6*(54-1))))</f>
        <v/>
      </c>
      <c r="BG37" s="3" t="str">
        <f>IF(55&gt;$C37,"",IF($D37=1,EOMONTH(EDATE(Bonds!$H37,6*(55-1)),0),EDATE(Bonds!$H37,6*(55-1))))</f>
        <v/>
      </c>
      <c r="BH37" s="3" t="str">
        <f>IF(56&gt;$C37,"",IF($D37=1,EOMONTH(EDATE(Bonds!$H37,6*(56-1)),0),EDATE(Bonds!$H37,6*(56-1))))</f>
        <v/>
      </c>
      <c r="BI37" s="3" t="str">
        <f>IF(57&gt;$C37,"",IF($D37=1,EOMONTH(EDATE(Bonds!$H37,6*(57-1)),0),EDATE(Bonds!$H37,6*(57-1))))</f>
        <v/>
      </c>
      <c r="BJ37" s="3" t="str">
        <f>IF(58&gt;$C37,"",IF($D37=1,EOMONTH(EDATE(Bonds!$H37,6*(58-1)),0),EDATE(Bonds!$H37,6*(58-1))))</f>
        <v/>
      </c>
      <c r="BK37" s="3" t="str">
        <f>IF(59&gt;$C37,"",IF($D37=1,EOMONTH(EDATE(Bonds!$H37,6*(59-1)),0),EDATE(Bonds!$H37,6*(59-1))))</f>
        <v/>
      </c>
      <c r="BL37" s="3" t="str">
        <f>IF(60&gt;$C37,"",IF($D37=1,EOMONTH(EDATE(Bonds!$H37,6*(60-1)),0),EDATE(Bonds!$H37,6*(60-1))))</f>
        <v/>
      </c>
      <c r="BN37" s="7">
        <f t="shared" si="1"/>
        <v>1.2472367770943007</v>
      </c>
      <c r="BO37" s="7">
        <f t="shared" si="2"/>
        <v>99.032772399633771</v>
      </c>
      <c r="BP37" s="7">
        <f t="shared" si="3"/>
        <v>0</v>
      </c>
      <c r="BQ37" s="7">
        <f t="shared" si="4"/>
        <v>0</v>
      </c>
      <c r="BR37" s="7">
        <f t="shared" si="5"/>
        <v>0</v>
      </c>
      <c r="BS37" s="7">
        <f t="shared" si="6"/>
        <v>0</v>
      </c>
      <c r="BT37" s="7">
        <f t="shared" si="7"/>
        <v>0</v>
      </c>
      <c r="BU37" s="7">
        <f t="shared" si="8"/>
        <v>0</v>
      </c>
      <c r="BV37" s="7">
        <f t="shared" si="9"/>
        <v>0</v>
      </c>
      <c r="BW37" s="7">
        <f t="shared" si="10"/>
        <v>0</v>
      </c>
      <c r="BX37" s="7">
        <f t="shared" si="11"/>
        <v>0</v>
      </c>
      <c r="BY37" s="7">
        <f t="shared" si="12"/>
        <v>0</v>
      </c>
      <c r="BZ37" s="7">
        <f t="shared" si="13"/>
        <v>0</v>
      </c>
      <c r="CA37" s="7">
        <f t="shared" si="14"/>
        <v>0</v>
      </c>
      <c r="CB37" s="7">
        <f t="shared" si="15"/>
        <v>0</v>
      </c>
      <c r="CC37" s="7">
        <f t="shared" si="16"/>
        <v>0</v>
      </c>
      <c r="CD37" s="7">
        <f t="shared" si="17"/>
        <v>0</v>
      </c>
      <c r="CE37" s="7">
        <f t="shared" si="18"/>
        <v>0</v>
      </c>
      <c r="CF37" s="7">
        <f t="shared" si="19"/>
        <v>0</v>
      </c>
      <c r="CG37" s="7">
        <f t="shared" si="20"/>
        <v>0</v>
      </c>
      <c r="CH37" s="7">
        <f t="shared" si="21"/>
        <v>0</v>
      </c>
      <c r="CI37" s="7">
        <f t="shared" si="22"/>
        <v>0</v>
      </c>
      <c r="CJ37" s="7">
        <f t="shared" si="23"/>
        <v>0</v>
      </c>
      <c r="CK37" s="7">
        <f t="shared" si="24"/>
        <v>0</v>
      </c>
      <c r="CL37" s="7">
        <f t="shared" si="25"/>
        <v>0</v>
      </c>
      <c r="CM37" s="7">
        <f t="shared" si="26"/>
        <v>0</v>
      </c>
      <c r="CN37" s="7">
        <f t="shared" si="27"/>
        <v>0</v>
      </c>
      <c r="CO37" s="7">
        <f t="shared" si="28"/>
        <v>0</v>
      </c>
      <c r="CP37" s="7">
        <f t="shared" si="29"/>
        <v>0</v>
      </c>
      <c r="CQ37" s="7">
        <f t="shared" si="30"/>
        <v>0</v>
      </c>
      <c r="CR37" s="7">
        <f t="shared" si="31"/>
        <v>0</v>
      </c>
      <c r="CS37" s="7">
        <f t="shared" si="32"/>
        <v>0</v>
      </c>
      <c r="CT37" s="7">
        <f t="shared" si="33"/>
        <v>0</v>
      </c>
      <c r="CU37" s="7">
        <f t="shared" si="34"/>
        <v>0</v>
      </c>
      <c r="CV37" s="7">
        <f t="shared" si="35"/>
        <v>0</v>
      </c>
      <c r="CW37" s="7">
        <f t="shared" si="36"/>
        <v>0</v>
      </c>
      <c r="CX37" s="7">
        <f t="shared" si="37"/>
        <v>0</v>
      </c>
      <c r="CY37" s="7">
        <f t="shared" si="38"/>
        <v>0</v>
      </c>
      <c r="CZ37" s="7">
        <f t="shared" si="39"/>
        <v>0</v>
      </c>
      <c r="DA37" s="7">
        <f t="shared" si="40"/>
        <v>0</v>
      </c>
      <c r="DB37" s="7">
        <f t="shared" si="41"/>
        <v>0</v>
      </c>
      <c r="DC37" s="7">
        <f t="shared" si="42"/>
        <v>0</v>
      </c>
      <c r="DD37" s="7">
        <f t="shared" si="43"/>
        <v>0</v>
      </c>
      <c r="DE37" s="7">
        <f t="shared" si="44"/>
        <v>0</v>
      </c>
      <c r="DF37" s="7">
        <f t="shared" si="45"/>
        <v>0</v>
      </c>
      <c r="DG37" s="7">
        <f t="shared" si="46"/>
        <v>0</v>
      </c>
      <c r="DH37" s="7">
        <f t="shared" si="47"/>
        <v>0</v>
      </c>
      <c r="DI37" s="7">
        <f t="shared" si="48"/>
        <v>0</v>
      </c>
      <c r="DJ37" s="7">
        <f t="shared" si="49"/>
        <v>0</v>
      </c>
      <c r="DK37" s="7">
        <f t="shared" si="50"/>
        <v>0</v>
      </c>
      <c r="DL37" s="7">
        <f t="shared" si="51"/>
        <v>0</v>
      </c>
      <c r="DM37" s="7">
        <f t="shared" si="52"/>
        <v>0</v>
      </c>
      <c r="DN37" s="7">
        <f t="shared" si="53"/>
        <v>0</v>
      </c>
      <c r="DO37" s="7">
        <f t="shared" si="54"/>
        <v>0</v>
      </c>
      <c r="DP37" s="7">
        <f t="shared" si="55"/>
        <v>0</v>
      </c>
      <c r="DQ37" s="7">
        <f t="shared" si="56"/>
        <v>0</v>
      </c>
      <c r="DR37" s="7">
        <f t="shared" si="57"/>
        <v>0</v>
      </c>
      <c r="DS37" s="7">
        <f t="shared" si="58"/>
        <v>0</v>
      </c>
      <c r="DT37" s="7">
        <f t="shared" si="59"/>
        <v>0</v>
      </c>
      <c r="DU37" s="7">
        <f t="shared" si="60"/>
        <v>0</v>
      </c>
    </row>
    <row r="38" spans="1:125" x14ac:dyDescent="0.2">
      <c r="A38" s="3">
        <f>Bonds!A38</f>
        <v>46477</v>
      </c>
      <c r="B38" s="4">
        <f>Bonds!B38</f>
        <v>3.875</v>
      </c>
      <c r="C38">
        <f>Bonds!P38</f>
        <v>2</v>
      </c>
      <c r="D38">
        <f t="shared" si="0"/>
        <v>1</v>
      </c>
      <c r="E38" s="3">
        <f>IF(1&gt;$C38,"",IF($D38=1,EOMONTH(EDATE(Bonds!$H38,6*(1-1)),0),EDATE(Bonds!$H38,6*(1-1))))</f>
        <v>46295</v>
      </c>
      <c r="F38" s="3">
        <f>IF(2&gt;$C38,"",IF($D38=1,EOMONTH(EDATE(Bonds!$H38,6*(2-1)),0),EDATE(Bonds!$H38,6*(2-1))))</f>
        <v>46477</v>
      </c>
      <c r="G38" s="3" t="str">
        <f>IF(3&gt;$C38,"",IF($D38=1,EOMONTH(EDATE(Bonds!$H38,6*(3-1)),0),EDATE(Bonds!$H38,6*(3-1))))</f>
        <v/>
      </c>
      <c r="H38" s="3" t="str">
        <f>IF(4&gt;$C38,"",IF($D38=1,EOMONTH(EDATE(Bonds!$H38,6*(4-1)),0),EDATE(Bonds!$H38,6*(4-1))))</f>
        <v/>
      </c>
      <c r="I38" s="3" t="str">
        <f>IF(5&gt;$C38,"",IF($D38=1,EOMONTH(EDATE(Bonds!$H38,6*(5-1)),0),EDATE(Bonds!$H38,6*(5-1))))</f>
        <v/>
      </c>
      <c r="J38" s="3" t="str">
        <f>IF(6&gt;$C38,"",IF($D38=1,EOMONTH(EDATE(Bonds!$H38,6*(6-1)),0),EDATE(Bonds!$H38,6*(6-1))))</f>
        <v/>
      </c>
      <c r="K38" s="3" t="str">
        <f>IF(7&gt;$C38,"",IF($D38=1,EOMONTH(EDATE(Bonds!$H38,6*(7-1)),0),EDATE(Bonds!$H38,6*(7-1))))</f>
        <v/>
      </c>
      <c r="L38" s="3" t="str">
        <f>IF(8&gt;$C38,"",IF($D38=1,EOMONTH(EDATE(Bonds!$H38,6*(8-1)),0),EDATE(Bonds!$H38,6*(8-1))))</f>
        <v/>
      </c>
      <c r="M38" s="3" t="str">
        <f>IF(9&gt;$C38,"",IF($D38=1,EOMONTH(EDATE(Bonds!$H38,6*(9-1)),0),EDATE(Bonds!$H38,6*(9-1))))</f>
        <v/>
      </c>
      <c r="N38" s="3" t="str">
        <f>IF(10&gt;$C38,"",IF($D38=1,EOMONTH(EDATE(Bonds!$H38,6*(10-1)),0),EDATE(Bonds!$H38,6*(10-1))))</f>
        <v/>
      </c>
      <c r="O38" s="3" t="str">
        <f>IF(11&gt;$C38,"",IF($D38=1,EOMONTH(EDATE(Bonds!$H38,6*(11-1)),0),EDATE(Bonds!$H38,6*(11-1))))</f>
        <v/>
      </c>
      <c r="P38" s="3" t="str">
        <f>IF(12&gt;$C38,"",IF($D38=1,EOMONTH(EDATE(Bonds!$H38,6*(12-1)),0),EDATE(Bonds!$H38,6*(12-1))))</f>
        <v/>
      </c>
      <c r="Q38" s="3" t="str">
        <f>IF(13&gt;$C38,"",IF($D38=1,EOMONTH(EDATE(Bonds!$H38,6*(13-1)),0),EDATE(Bonds!$H38,6*(13-1))))</f>
        <v/>
      </c>
      <c r="R38" s="3" t="str">
        <f>IF(14&gt;$C38,"",IF($D38=1,EOMONTH(EDATE(Bonds!$H38,6*(14-1)),0),EDATE(Bonds!$H38,6*(14-1))))</f>
        <v/>
      </c>
      <c r="S38" s="3" t="str">
        <f>IF(15&gt;$C38,"",IF($D38=1,EOMONTH(EDATE(Bonds!$H38,6*(15-1)),0),EDATE(Bonds!$H38,6*(15-1))))</f>
        <v/>
      </c>
      <c r="T38" s="3" t="str">
        <f>IF(16&gt;$C38,"",IF($D38=1,EOMONTH(EDATE(Bonds!$H38,6*(16-1)),0),EDATE(Bonds!$H38,6*(16-1))))</f>
        <v/>
      </c>
      <c r="U38" s="3" t="str">
        <f>IF(17&gt;$C38,"",IF($D38=1,EOMONTH(EDATE(Bonds!$H38,6*(17-1)),0),EDATE(Bonds!$H38,6*(17-1))))</f>
        <v/>
      </c>
      <c r="V38" s="3" t="str">
        <f>IF(18&gt;$C38,"",IF($D38=1,EOMONTH(EDATE(Bonds!$H38,6*(18-1)),0),EDATE(Bonds!$H38,6*(18-1))))</f>
        <v/>
      </c>
      <c r="W38" s="3" t="str">
        <f>IF(19&gt;$C38,"",IF($D38=1,EOMONTH(EDATE(Bonds!$H38,6*(19-1)),0),EDATE(Bonds!$H38,6*(19-1))))</f>
        <v/>
      </c>
      <c r="X38" s="3" t="str">
        <f>IF(20&gt;$C38,"",IF($D38=1,EOMONTH(EDATE(Bonds!$H38,6*(20-1)),0),EDATE(Bonds!$H38,6*(20-1))))</f>
        <v/>
      </c>
      <c r="Y38" s="3" t="str">
        <f>IF(21&gt;$C38,"",IF($D38=1,EOMONTH(EDATE(Bonds!$H38,6*(21-1)),0),EDATE(Bonds!$H38,6*(21-1))))</f>
        <v/>
      </c>
      <c r="Z38" s="3" t="str">
        <f>IF(22&gt;$C38,"",IF($D38=1,EOMONTH(EDATE(Bonds!$H38,6*(22-1)),0),EDATE(Bonds!$H38,6*(22-1))))</f>
        <v/>
      </c>
      <c r="AA38" s="3" t="str">
        <f>IF(23&gt;$C38,"",IF($D38=1,EOMONTH(EDATE(Bonds!$H38,6*(23-1)),0),EDATE(Bonds!$H38,6*(23-1))))</f>
        <v/>
      </c>
      <c r="AB38" s="3" t="str">
        <f>IF(24&gt;$C38,"",IF($D38=1,EOMONTH(EDATE(Bonds!$H38,6*(24-1)),0),EDATE(Bonds!$H38,6*(24-1))))</f>
        <v/>
      </c>
      <c r="AC38" s="3" t="str">
        <f>IF(25&gt;$C38,"",IF($D38=1,EOMONTH(EDATE(Bonds!$H38,6*(25-1)),0),EDATE(Bonds!$H38,6*(25-1))))</f>
        <v/>
      </c>
      <c r="AD38" s="3" t="str">
        <f>IF(26&gt;$C38,"",IF($D38=1,EOMONTH(EDATE(Bonds!$H38,6*(26-1)),0),EDATE(Bonds!$H38,6*(26-1))))</f>
        <v/>
      </c>
      <c r="AE38" s="3" t="str">
        <f>IF(27&gt;$C38,"",IF($D38=1,EOMONTH(EDATE(Bonds!$H38,6*(27-1)),0),EDATE(Bonds!$H38,6*(27-1))))</f>
        <v/>
      </c>
      <c r="AF38" s="3" t="str">
        <f>IF(28&gt;$C38,"",IF($D38=1,EOMONTH(EDATE(Bonds!$H38,6*(28-1)),0),EDATE(Bonds!$H38,6*(28-1))))</f>
        <v/>
      </c>
      <c r="AG38" s="3" t="str">
        <f>IF(29&gt;$C38,"",IF($D38=1,EOMONTH(EDATE(Bonds!$H38,6*(29-1)),0),EDATE(Bonds!$H38,6*(29-1))))</f>
        <v/>
      </c>
      <c r="AH38" s="3" t="str">
        <f>IF(30&gt;$C38,"",IF($D38=1,EOMONTH(EDATE(Bonds!$H38,6*(30-1)),0),EDATE(Bonds!$H38,6*(30-1))))</f>
        <v/>
      </c>
      <c r="AI38" s="3" t="str">
        <f>IF(31&gt;$C38,"",IF($D38=1,EOMONTH(EDATE(Bonds!$H38,6*(31-1)),0),EDATE(Bonds!$H38,6*(31-1))))</f>
        <v/>
      </c>
      <c r="AJ38" s="3" t="str">
        <f>IF(32&gt;$C38,"",IF($D38=1,EOMONTH(EDATE(Bonds!$H38,6*(32-1)),0),EDATE(Bonds!$H38,6*(32-1))))</f>
        <v/>
      </c>
      <c r="AK38" s="3" t="str">
        <f>IF(33&gt;$C38,"",IF($D38=1,EOMONTH(EDATE(Bonds!$H38,6*(33-1)),0),EDATE(Bonds!$H38,6*(33-1))))</f>
        <v/>
      </c>
      <c r="AL38" s="3" t="str">
        <f>IF(34&gt;$C38,"",IF($D38=1,EOMONTH(EDATE(Bonds!$H38,6*(34-1)),0),EDATE(Bonds!$H38,6*(34-1))))</f>
        <v/>
      </c>
      <c r="AM38" s="3" t="str">
        <f>IF(35&gt;$C38,"",IF($D38=1,EOMONTH(EDATE(Bonds!$H38,6*(35-1)),0),EDATE(Bonds!$H38,6*(35-1))))</f>
        <v/>
      </c>
      <c r="AN38" s="3" t="str">
        <f>IF(36&gt;$C38,"",IF($D38=1,EOMONTH(EDATE(Bonds!$H38,6*(36-1)),0),EDATE(Bonds!$H38,6*(36-1))))</f>
        <v/>
      </c>
      <c r="AO38" s="3" t="str">
        <f>IF(37&gt;$C38,"",IF($D38=1,EOMONTH(EDATE(Bonds!$H38,6*(37-1)),0),EDATE(Bonds!$H38,6*(37-1))))</f>
        <v/>
      </c>
      <c r="AP38" s="3" t="str">
        <f>IF(38&gt;$C38,"",IF($D38=1,EOMONTH(EDATE(Bonds!$H38,6*(38-1)),0),EDATE(Bonds!$H38,6*(38-1))))</f>
        <v/>
      </c>
      <c r="AQ38" s="3" t="str">
        <f>IF(39&gt;$C38,"",IF($D38=1,EOMONTH(EDATE(Bonds!$H38,6*(39-1)),0),EDATE(Bonds!$H38,6*(39-1))))</f>
        <v/>
      </c>
      <c r="AR38" s="3" t="str">
        <f>IF(40&gt;$C38,"",IF($D38=1,EOMONTH(EDATE(Bonds!$H38,6*(40-1)),0),EDATE(Bonds!$H38,6*(40-1))))</f>
        <v/>
      </c>
      <c r="AS38" s="3" t="str">
        <f>IF(41&gt;$C38,"",IF($D38=1,EOMONTH(EDATE(Bonds!$H38,6*(41-1)),0),EDATE(Bonds!$H38,6*(41-1))))</f>
        <v/>
      </c>
      <c r="AT38" s="3" t="str">
        <f>IF(42&gt;$C38,"",IF($D38=1,EOMONTH(EDATE(Bonds!$H38,6*(42-1)),0),EDATE(Bonds!$H38,6*(42-1))))</f>
        <v/>
      </c>
      <c r="AU38" s="3" t="str">
        <f>IF(43&gt;$C38,"",IF($D38=1,EOMONTH(EDATE(Bonds!$H38,6*(43-1)),0),EDATE(Bonds!$H38,6*(43-1))))</f>
        <v/>
      </c>
      <c r="AV38" s="3" t="str">
        <f>IF(44&gt;$C38,"",IF($D38=1,EOMONTH(EDATE(Bonds!$H38,6*(44-1)),0),EDATE(Bonds!$H38,6*(44-1))))</f>
        <v/>
      </c>
      <c r="AW38" s="3" t="str">
        <f>IF(45&gt;$C38,"",IF($D38=1,EOMONTH(EDATE(Bonds!$H38,6*(45-1)),0),EDATE(Bonds!$H38,6*(45-1))))</f>
        <v/>
      </c>
      <c r="AX38" s="3" t="str">
        <f>IF(46&gt;$C38,"",IF($D38=1,EOMONTH(EDATE(Bonds!$H38,6*(46-1)),0),EDATE(Bonds!$H38,6*(46-1))))</f>
        <v/>
      </c>
      <c r="AY38" s="3" t="str">
        <f>IF(47&gt;$C38,"",IF($D38=1,EOMONTH(EDATE(Bonds!$H38,6*(47-1)),0),EDATE(Bonds!$H38,6*(47-1))))</f>
        <v/>
      </c>
      <c r="AZ38" s="3" t="str">
        <f>IF(48&gt;$C38,"",IF($D38=1,EOMONTH(EDATE(Bonds!$H38,6*(48-1)),0),EDATE(Bonds!$H38,6*(48-1))))</f>
        <v/>
      </c>
      <c r="BA38" s="3" t="str">
        <f>IF(49&gt;$C38,"",IF($D38=1,EOMONTH(EDATE(Bonds!$H38,6*(49-1)),0),EDATE(Bonds!$H38,6*(49-1))))</f>
        <v/>
      </c>
      <c r="BB38" s="3" t="str">
        <f>IF(50&gt;$C38,"",IF($D38=1,EOMONTH(EDATE(Bonds!$H38,6*(50-1)),0),EDATE(Bonds!$H38,6*(50-1))))</f>
        <v/>
      </c>
      <c r="BC38" s="3" t="str">
        <f>IF(51&gt;$C38,"",IF($D38=1,EOMONTH(EDATE(Bonds!$H38,6*(51-1)),0),EDATE(Bonds!$H38,6*(51-1))))</f>
        <v/>
      </c>
      <c r="BD38" s="3" t="str">
        <f>IF(52&gt;$C38,"",IF($D38=1,EOMONTH(EDATE(Bonds!$H38,6*(52-1)),0),EDATE(Bonds!$H38,6*(52-1))))</f>
        <v/>
      </c>
      <c r="BE38" s="3" t="str">
        <f>IF(53&gt;$C38,"",IF($D38=1,EOMONTH(EDATE(Bonds!$H38,6*(53-1)),0),EDATE(Bonds!$H38,6*(53-1))))</f>
        <v/>
      </c>
      <c r="BF38" s="3" t="str">
        <f>IF(54&gt;$C38,"",IF($D38=1,EOMONTH(EDATE(Bonds!$H38,6*(54-1)),0),EDATE(Bonds!$H38,6*(54-1))))</f>
        <v/>
      </c>
      <c r="BG38" s="3" t="str">
        <f>IF(55&gt;$C38,"",IF($D38=1,EOMONTH(EDATE(Bonds!$H38,6*(55-1)),0),EDATE(Bonds!$H38,6*(55-1))))</f>
        <v/>
      </c>
      <c r="BH38" s="3" t="str">
        <f>IF(56&gt;$C38,"",IF($D38=1,EOMONTH(EDATE(Bonds!$H38,6*(56-1)),0),EDATE(Bonds!$H38,6*(56-1))))</f>
        <v/>
      </c>
      <c r="BI38" s="3" t="str">
        <f>IF(57&gt;$C38,"",IF($D38=1,EOMONTH(EDATE(Bonds!$H38,6*(57-1)),0),EDATE(Bonds!$H38,6*(57-1))))</f>
        <v/>
      </c>
      <c r="BJ38" s="3" t="str">
        <f>IF(58&gt;$C38,"",IF($D38=1,EOMONTH(EDATE(Bonds!$H38,6*(58-1)),0),EDATE(Bonds!$H38,6*(58-1))))</f>
        <v/>
      </c>
      <c r="BK38" s="3" t="str">
        <f>IF(59&gt;$C38,"",IF($D38=1,EOMONTH(EDATE(Bonds!$H38,6*(59-1)),0),EDATE(Bonds!$H38,6*(59-1))))</f>
        <v/>
      </c>
      <c r="BL38" s="3" t="str">
        <f>IF(60&gt;$C38,"",IF($D38=1,EOMONTH(EDATE(Bonds!$H38,6*(60-1)),0),EDATE(Bonds!$H38,6*(60-1))))</f>
        <v/>
      </c>
      <c r="BN38" s="7">
        <f t="shared" si="1"/>
        <v>1.9332170044961661</v>
      </c>
      <c r="BO38" s="7">
        <f t="shared" si="2"/>
        <v>99.705217150495471</v>
      </c>
      <c r="BP38" s="7">
        <f t="shared" si="3"/>
        <v>0</v>
      </c>
      <c r="BQ38" s="7">
        <f t="shared" si="4"/>
        <v>0</v>
      </c>
      <c r="BR38" s="7">
        <f t="shared" si="5"/>
        <v>0</v>
      </c>
      <c r="BS38" s="7">
        <f t="shared" si="6"/>
        <v>0</v>
      </c>
      <c r="BT38" s="7">
        <f t="shared" si="7"/>
        <v>0</v>
      </c>
      <c r="BU38" s="7">
        <f t="shared" si="8"/>
        <v>0</v>
      </c>
      <c r="BV38" s="7">
        <f t="shared" si="9"/>
        <v>0</v>
      </c>
      <c r="BW38" s="7">
        <f t="shared" si="10"/>
        <v>0</v>
      </c>
      <c r="BX38" s="7">
        <f t="shared" si="11"/>
        <v>0</v>
      </c>
      <c r="BY38" s="7">
        <f t="shared" si="12"/>
        <v>0</v>
      </c>
      <c r="BZ38" s="7">
        <f t="shared" si="13"/>
        <v>0</v>
      </c>
      <c r="CA38" s="7">
        <f t="shared" si="14"/>
        <v>0</v>
      </c>
      <c r="CB38" s="7">
        <f t="shared" si="15"/>
        <v>0</v>
      </c>
      <c r="CC38" s="7">
        <f t="shared" si="16"/>
        <v>0</v>
      </c>
      <c r="CD38" s="7">
        <f t="shared" si="17"/>
        <v>0</v>
      </c>
      <c r="CE38" s="7">
        <f t="shared" si="18"/>
        <v>0</v>
      </c>
      <c r="CF38" s="7">
        <f t="shared" si="19"/>
        <v>0</v>
      </c>
      <c r="CG38" s="7">
        <f t="shared" si="20"/>
        <v>0</v>
      </c>
      <c r="CH38" s="7">
        <f t="shared" si="21"/>
        <v>0</v>
      </c>
      <c r="CI38" s="7">
        <f t="shared" si="22"/>
        <v>0</v>
      </c>
      <c r="CJ38" s="7">
        <f t="shared" si="23"/>
        <v>0</v>
      </c>
      <c r="CK38" s="7">
        <f t="shared" si="24"/>
        <v>0</v>
      </c>
      <c r="CL38" s="7">
        <f t="shared" si="25"/>
        <v>0</v>
      </c>
      <c r="CM38" s="7">
        <f t="shared" si="26"/>
        <v>0</v>
      </c>
      <c r="CN38" s="7">
        <f t="shared" si="27"/>
        <v>0</v>
      </c>
      <c r="CO38" s="7">
        <f t="shared" si="28"/>
        <v>0</v>
      </c>
      <c r="CP38" s="7">
        <f t="shared" si="29"/>
        <v>0</v>
      </c>
      <c r="CQ38" s="7">
        <f t="shared" si="30"/>
        <v>0</v>
      </c>
      <c r="CR38" s="7">
        <f t="shared" si="31"/>
        <v>0</v>
      </c>
      <c r="CS38" s="7">
        <f t="shared" si="32"/>
        <v>0</v>
      </c>
      <c r="CT38" s="7">
        <f t="shared" si="33"/>
        <v>0</v>
      </c>
      <c r="CU38" s="7">
        <f t="shared" si="34"/>
        <v>0</v>
      </c>
      <c r="CV38" s="7">
        <f t="shared" si="35"/>
        <v>0</v>
      </c>
      <c r="CW38" s="7">
        <f t="shared" si="36"/>
        <v>0</v>
      </c>
      <c r="CX38" s="7">
        <f t="shared" si="37"/>
        <v>0</v>
      </c>
      <c r="CY38" s="7">
        <f t="shared" si="38"/>
        <v>0</v>
      </c>
      <c r="CZ38" s="7">
        <f t="shared" si="39"/>
        <v>0</v>
      </c>
      <c r="DA38" s="7">
        <f t="shared" si="40"/>
        <v>0</v>
      </c>
      <c r="DB38" s="7">
        <f t="shared" si="41"/>
        <v>0</v>
      </c>
      <c r="DC38" s="7">
        <f t="shared" si="42"/>
        <v>0</v>
      </c>
      <c r="DD38" s="7">
        <f t="shared" si="43"/>
        <v>0</v>
      </c>
      <c r="DE38" s="7">
        <f t="shared" si="44"/>
        <v>0</v>
      </c>
      <c r="DF38" s="7">
        <f t="shared" si="45"/>
        <v>0</v>
      </c>
      <c r="DG38" s="7">
        <f t="shared" si="46"/>
        <v>0</v>
      </c>
      <c r="DH38" s="7">
        <f t="shared" si="47"/>
        <v>0</v>
      </c>
      <c r="DI38" s="7">
        <f t="shared" si="48"/>
        <v>0</v>
      </c>
      <c r="DJ38" s="7">
        <f t="shared" si="49"/>
        <v>0</v>
      </c>
      <c r="DK38" s="7">
        <f t="shared" si="50"/>
        <v>0</v>
      </c>
      <c r="DL38" s="7">
        <f t="shared" si="51"/>
        <v>0</v>
      </c>
      <c r="DM38" s="7">
        <f t="shared" si="52"/>
        <v>0</v>
      </c>
      <c r="DN38" s="7">
        <f t="shared" si="53"/>
        <v>0</v>
      </c>
      <c r="DO38" s="7">
        <f t="shared" si="54"/>
        <v>0</v>
      </c>
      <c r="DP38" s="7">
        <f t="shared" si="55"/>
        <v>0</v>
      </c>
      <c r="DQ38" s="7">
        <f t="shared" si="56"/>
        <v>0</v>
      </c>
      <c r="DR38" s="7">
        <f t="shared" si="57"/>
        <v>0</v>
      </c>
      <c r="DS38" s="7">
        <f t="shared" si="58"/>
        <v>0</v>
      </c>
      <c r="DT38" s="7">
        <f t="shared" si="59"/>
        <v>0</v>
      </c>
      <c r="DU38" s="7">
        <f t="shared" si="60"/>
        <v>0</v>
      </c>
    </row>
    <row r="39" spans="1:125" x14ac:dyDescent="0.2">
      <c r="A39" s="3">
        <f>Bonds!A39</f>
        <v>46492</v>
      </c>
      <c r="B39" s="4">
        <f>Bonds!B39</f>
        <v>4.5</v>
      </c>
      <c r="C39">
        <f>Bonds!P39</f>
        <v>2</v>
      </c>
      <c r="D39">
        <f t="shared" si="0"/>
        <v>0</v>
      </c>
      <c r="E39" s="3">
        <f>IF(1&gt;$C39,"",IF($D39=1,EOMONTH(EDATE(Bonds!$H39,6*(1-1)),0),EDATE(Bonds!$H39,6*(1-1))))</f>
        <v>46310</v>
      </c>
      <c r="F39" s="3">
        <f>IF(2&gt;$C39,"",IF($D39=1,EOMONTH(EDATE(Bonds!$H39,6*(2-1)),0),EDATE(Bonds!$H39,6*(2-1))))</f>
        <v>46492</v>
      </c>
      <c r="G39" s="3" t="str">
        <f>IF(3&gt;$C39,"",IF($D39=1,EOMONTH(EDATE(Bonds!$H39,6*(3-1)),0),EDATE(Bonds!$H39,6*(3-1))))</f>
        <v/>
      </c>
      <c r="H39" s="3" t="str">
        <f>IF(4&gt;$C39,"",IF($D39=1,EOMONTH(EDATE(Bonds!$H39,6*(4-1)),0),EDATE(Bonds!$H39,6*(4-1))))</f>
        <v/>
      </c>
      <c r="I39" s="3" t="str">
        <f>IF(5&gt;$C39,"",IF($D39=1,EOMONTH(EDATE(Bonds!$H39,6*(5-1)),0),EDATE(Bonds!$H39,6*(5-1))))</f>
        <v/>
      </c>
      <c r="J39" s="3" t="str">
        <f>IF(6&gt;$C39,"",IF($D39=1,EOMONTH(EDATE(Bonds!$H39,6*(6-1)),0),EDATE(Bonds!$H39,6*(6-1))))</f>
        <v/>
      </c>
      <c r="K39" s="3" t="str">
        <f>IF(7&gt;$C39,"",IF($D39=1,EOMONTH(EDATE(Bonds!$H39,6*(7-1)),0),EDATE(Bonds!$H39,6*(7-1))))</f>
        <v/>
      </c>
      <c r="L39" s="3" t="str">
        <f>IF(8&gt;$C39,"",IF($D39=1,EOMONTH(EDATE(Bonds!$H39,6*(8-1)),0),EDATE(Bonds!$H39,6*(8-1))))</f>
        <v/>
      </c>
      <c r="M39" s="3" t="str">
        <f>IF(9&gt;$C39,"",IF($D39=1,EOMONTH(EDATE(Bonds!$H39,6*(9-1)),0),EDATE(Bonds!$H39,6*(9-1))))</f>
        <v/>
      </c>
      <c r="N39" s="3" t="str">
        <f>IF(10&gt;$C39,"",IF($D39=1,EOMONTH(EDATE(Bonds!$H39,6*(10-1)),0),EDATE(Bonds!$H39,6*(10-1))))</f>
        <v/>
      </c>
      <c r="O39" s="3" t="str">
        <f>IF(11&gt;$C39,"",IF($D39=1,EOMONTH(EDATE(Bonds!$H39,6*(11-1)),0),EDATE(Bonds!$H39,6*(11-1))))</f>
        <v/>
      </c>
      <c r="P39" s="3" t="str">
        <f>IF(12&gt;$C39,"",IF($D39=1,EOMONTH(EDATE(Bonds!$H39,6*(12-1)),0),EDATE(Bonds!$H39,6*(12-1))))</f>
        <v/>
      </c>
      <c r="Q39" s="3" t="str">
        <f>IF(13&gt;$C39,"",IF($D39=1,EOMONTH(EDATE(Bonds!$H39,6*(13-1)),0),EDATE(Bonds!$H39,6*(13-1))))</f>
        <v/>
      </c>
      <c r="R39" s="3" t="str">
        <f>IF(14&gt;$C39,"",IF($D39=1,EOMONTH(EDATE(Bonds!$H39,6*(14-1)),0),EDATE(Bonds!$H39,6*(14-1))))</f>
        <v/>
      </c>
      <c r="S39" s="3" t="str">
        <f>IF(15&gt;$C39,"",IF($D39=1,EOMONTH(EDATE(Bonds!$H39,6*(15-1)),0),EDATE(Bonds!$H39,6*(15-1))))</f>
        <v/>
      </c>
      <c r="T39" s="3" t="str">
        <f>IF(16&gt;$C39,"",IF($D39=1,EOMONTH(EDATE(Bonds!$H39,6*(16-1)),0),EDATE(Bonds!$H39,6*(16-1))))</f>
        <v/>
      </c>
      <c r="U39" s="3" t="str">
        <f>IF(17&gt;$C39,"",IF($D39=1,EOMONTH(EDATE(Bonds!$H39,6*(17-1)),0),EDATE(Bonds!$H39,6*(17-1))))</f>
        <v/>
      </c>
      <c r="V39" s="3" t="str">
        <f>IF(18&gt;$C39,"",IF($D39=1,EOMONTH(EDATE(Bonds!$H39,6*(18-1)),0),EDATE(Bonds!$H39,6*(18-1))))</f>
        <v/>
      </c>
      <c r="W39" s="3" t="str">
        <f>IF(19&gt;$C39,"",IF($D39=1,EOMONTH(EDATE(Bonds!$H39,6*(19-1)),0),EDATE(Bonds!$H39,6*(19-1))))</f>
        <v/>
      </c>
      <c r="X39" s="3" t="str">
        <f>IF(20&gt;$C39,"",IF($D39=1,EOMONTH(EDATE(Bonds!$H39,6*(20-1)),0),EDATE(Bonds!$H39,6*(20-1))))</f>
        <v/>
      </c>
      <c r="Y39" s="3" t="str">
        <f>IF(21&gt;$C39,"",IF($D39=1,EOMONTH(EDATE(Bonds!$H39,6*(21-1)),0),EDATE(Bonds!$H39,6*(21-1))))</f>
        <v/>
      </c>
      <c r="Z39" s="3" t="str">
        <f>IF(22&gt;$C39,"",IF($D39=1,EOMONTH(EDATE(Bonds!$H39,6*(22-1)),0),EDATE(Bonds!$H39,6*(22-1))))</f>
        <v/>
      </c>
      <c r="AA39" s="3" t="str">
        <f>IF(23&gt;$C39,"",IF($D39=1,EOMONTH(EDATE(Bonds!$H39,6*(23-1)),0),EDATE(Bonds!$H39,6*(23-1))))</f>
        <v/>
      </c>
      <c r="AB39" s="3" t="str">
        <f>IF(24&gt;$C39,"",IF($D39=1,EOMONTH(EDATE(Bonds!$H39,6*(24-1)),0),EDATE(Bonds!$H39,6*(24-1))))</f>
        <v/>
      </c>
      <c r="AC39" s="3" t="str">
        <f>IF(25&gt;$C39,"",IF($D39=1,EOMONTH(EDATE(Bonds!$H39,6*(25-1)),0),EDATE(Bonds!$H39,6*(25-1))))</f>
        <v/>
      </c>
      <c r="AD39" s="3" t="str">
        <f>IF(26&gt;$C39,"",IF($D39=1,EOMONTH(EDATE(Bonds!$H39,6*(26-1)),0),EDATE(Bonds!$H39,6*(26-1))))</f>
        <v/>
      </c>
      <c r="AE39" s="3" t="str">
        <f>IF(27&gt;$C39,"",IF($D39=1,EOMONTH(EDATE(Bonds!$H39,6*(27-1)),0),EDATE(Bonds!$H39,6*(27-1))))</f>
        <v/>
      </c>
      <c r="AF39" s="3" t="str">
        <f>IF(28&gt;$C39,"",IF($D39=1,EOMONTH(EDATE(Bonds!$H39,6*(28-1)),0),EDATE(Bonds!$H39,6*(28-1))))</f>
        <v/>
      </c>
      <c r="AG39" s="3" t="str">
        <f>IF(29&gt;$C39,"",IF($D39=1,EOMONTH(EDATE(Bonds!$H39,6*(29-1)),0),EDATE(Bonds!$H39,6*(29-1))))</f>
        <v/>
      </c>
      <c r="AH39" s="3" t="str">
        <f>IF(30&gt;$C39,"",IF($D39=1,EOMONTH(EDATE(Bonds!$H39,6*(30-1)),0),EDATE(Bonds!$H39,6*(30-1))))</f>
        <v/>
      </c>
      <c r="AI39" s="3" t="str">
        <f>IF(31&gt;$C39,"",IF($D39=1,EOMONTH(EDATE(Bonds!$H39,6*(31-1)),0),EDATE(Bonds!$H39,6*(31-1))))</f>
        <v/>
      </c>
      <c r="AJ39" s="3" t="str">
        <f>IF(32&gt;$C39,"",IF($D39=1,EOMONTH(EDATE(Bonds!$H39,6*(32-1)),0),EDATE(Bonds!$H39,6*(32-1))))</f>
        <v/>
      </c>
      <c r="AK39" s="3" t="str">
        <f>IF(33&gt;$C39,"",IF($D39=1,EOMONTH(EDATE(Bonds!$H39,6*(33-1)),0),EDATE(Bonds!$H39,6*(33-1))))</f>
        <v/>
      </c>
      <c r="AL39" s="3" t="str">
        <f>IF(34&gt;$C39,"",IF($D39=1,EOMONTH(EDATE(Bonds!$H39,6*(34-1)),0),EDATE(Bonds!$H39,6*(34-1))))</f>
        <v/>
      </c>
      <c r="AM39" s="3" t="str">
        <f>IF(35&gt;$C39,"",IF($D39=1,EOMONTH(EDATE(Bonds!$H39,6*(35-1)),0),EDATE(Bonds!$H39,6*(35-1))))</f>
        <v/>
      </c>
      <c r="AN39" s="3" t="str">
        <f>IF(36&gt;$C39,"",IF($D39=1,EOMONTH(EDATE(Bonds!$H39,6*(36-1)),0),EDATE(Bonds!$H39,6*(36-1))))</f>
        <v/>
      </c>
      <c r="AO39" s="3" t="str">
        <f>IF(37&gt;$C39,"",IF($D39=1,EOMONTH(EDATE(Bonds!$H39,6*(37-1)),0),EDATE(Bonds!$H39,6*(37-1))))</f>
        <v/>
      </c>
      <c r="AP39" s="3" t="str">
        <f>IF(38&gt;$C39,"",IF($D39=1,EOMONTH(EDATE(Bonds!$H39,6*(38-1)),0),EDATE(Bonds!$H39,6*(38-1))))</f>
        <v/>
      </c>
      <c r="AQ39" s="3" t="str">
        <f>IF(39&gt;$C39,"",IF($D39=1,EOMONTH(EDATE(Bonds!$H39,6*(39-1)),0),EDATE(Bonds!$H39,6*(39-1))))</f>
        <v/>
      </c>
      <c r="AR39" s="3" t="str">
        <f>IF(40&gt;$C39,"",IF($D39=1,EOMONTH(EDATE(Bonds!$H39,6*(40-1)),0),EDATE(Bonds!$H39,6*(40-1))))</f>
        <v/>
      </c>
      <c r="AS39" s="3" t="str">
        <f>IF(41&gt;$C39,"",IF($D39=1,EOMONTH(EDATE(Bonds!$H39,6*(41-1)),0),EDATE(Bonds!$H39,6*(41-1))))</f>
        <v/>
      </c>
      <c r="AT39" s="3" t="str">
        <f>IF(42&gt;$C39,"",IF($D39=1,EOMONTH(EDATE(Bonds!$H39,6*(42-1)),0),EDATE(Bonds!$H39,6*(42-1))))</f>
        <v/>
      </c>
      <c r="AU39" s="3" t="str">
        <f>IF(43&gt;$C39,"",IF($D39=1,EOMONTH(EDATE(Bonds!$H39,6*(43-1)),0),EDATE(Bonds!$H39,6*(43-1))))</f>
        <v/>
      </c>
      <c r="AV39" s="3" t="str">
        <f>IF(44&gt;$C39,"",IF($D39=1,EOMONTH(EDATE(Bonds!$H39,6*(44-1)),0),EDATE(Bonds!$H39,6*(44-1))))</f>
        <v/>
      </c>
      <c r="AW39" s="3" t="str">
        <f>IF(45&gt;$C39,"",IF($D39=1,EOMONTH(EDATE(Bonds!$H39,6*(45-1)),0),EDATE(Bonds!$H39,6*(45-1))))</f>
        <v/>
      </c>
      <c r="AX39" s="3" t="str">
        <f>IF(46&gt;$C39,"",IF($D39=1,EOMONTH(EDATE(Bonds!$H39,6*(46-1)),0),EDATE(Bonds!$H39,6*(46-1))))</f>
        <v/>
      </c>
      <c r="AY39" s="3" t="str">
        <f>IF(47&gt;$C39,"",IF($D39=1,EOMONTH(EDATE(Bonds!$H39,6*(47-1)),0),EDATE(Bonds!$H39,6*(47-1))))</f>
        <v/>
      </c>
      <c r="AZ39" s="3" t="str">
        <f>IF(48&gt;$C39,"",IF($D39=1,EOMONTH(EDATE(Bonds!$H39,6*(48-1)),0),EDATE(Bonds!$H39,6*(48-1))))</f>
        <v/>
      </c>
      <c r="BA39" s="3" t="str">
        <f>IF(49&gt;$C39,"",IF($D39=1,EOMONTH(EDATE(Bonds!$H39,6*(49-1)),0),EDATE(Bonds!$H39,6*(49-1))))</f>
        <v/>
      </c>
      <c r="BB39" s="3" t="str">
        <f>IF(50&gt;$C39,"",IF($D39=1,EOMONTH(EDATE(Bonds!$H39,6*(50-1)),0),EDATE(Bonds!$H39,6*(50-1))))</f>
        <v/>
      </c>
      <c r="BC39" s="3" t="str">
        <f>IF(51&gt;$C39,"",IF($D39=1,EOMONTH(EDATE(Bonds!$H39,6*(51-1)),0),EDATE(Bonds!$H39,6*(51-1))))</f>
        <v/>
      </c>
      <c r="BD39" s="3" t="str">
        <f>IF(52&gt;$C39,"",IF($D39=1,EOMONTH(EDATE(Bonds!$H39,6*(52-1)),0),EDATE(Bonds!$H39,6*(52-1))))</f>
        <v/>
      </c>
      <c r="BE39" s="3" t="str">
        <f>IF(53&gt;$C39,"",IF($D39=1,EOMONTH(EDATE(Bonds!$H39,6*(53-1)),0),EDATE(Bonds!$H39,6*(53-1))))</f>
        <v/>
      </c>
      <c r="BF39" s="3" t="str">
        <f>IF(54&gt;$C39,"",IF($D39=1,EOMONTH(EDATE(Bonds!$H39,6*(54-1)),0),EDATE(Bonds!$H39,6*(54-1))))</f>
        <v/>
      </c>
      <c r="BG39" s="3" t="str">
        <f>IF(55&gt;$C39,"",IF($D39=1,EOMONTH(EDATE(Bonds!$H39,6*(55-1)),0),EDATE(Bonds!$H39,6*(55-1))))</f>
        <v/>
      </c>
      <c r="BH39" s="3" t="str">
        <f>IF(56&gt;$C39,"",IF($D39=1,EOMONTH(EDATE(Bonds!$H39,6*(56-1)),0),EDATE(Bonds!$H39,6*(56-1))))</f>
        <v/>
      </c>
      <c r="BI39" s="3" t="str">
        <f>IF(57&gt;$C39,"",IF($D39=1,EOMONTH(EDATE(Bonds!$H39,6*(57-1)),0),EDATE(Bonds!$H39,6*(57-1))))</f>
        <v/>
      </c>
      <c r="BJ39" s="3" t="str">
        <f>IF(58&gt;$C39,"",IF($D39=1,EOMONTH(EDATE(Bonds!$H39,6*(58-1)),0),EDATE(Bonds!$H39,6*(58-1))))</f>
        <v/>
      </c>
      <c r="BK39" s="3" t="str">
        <f>IF(59&gt;$C39,"",IF($D39=1,EOMONTH(EDATE(Bonds!$H39,6*(59-1)),0),EDATE(Bonds!$H39,6*(59-1))))</f>
        <v/>
      </c>
      <c r="BL39" s="3" t="str">
        <f>IF(60&gt;$C39,"",IF($D39=1,EOMONTH(EDATE(Bonds!$H39,6*(60-1)),0),EDATE(Bonds!$H39,6*(60-1))))</f>
        <v/>
      </c>
      <c r="BN39" s="7">
        <f t="shared" si="1"/>
        <v>2.241575968757648</v>
      </c>
      <c r="BO39" s="7">
        <f t="shared" si="2"/>
        <v>99.836876703001408</v>
      </c>
      <c r="BP39" s="7">
        <f t="shared" si="3"/>
        <v>0</v>
      </c>
      <c r="BQ39" s="7">
        <f t="shared" si="4"/>
        <v>0</v>
      </c>
      <c r="BR39" s="7">
        <f t="shared" si="5"/>
        <v>0</v>
      </c>
      <c r="BS39" s="7">
        <f t="shared" si="6"/>
        <v>0</v>
      </c>
      <c r="BT39" s="7">
        <f t="shared" si="7"/>
        <v>0</v>
      </c>
      <c r="BU39" s="7">
        <f t="shared" si="8"/>
        <v>0</v>
      </c>
      <c r="BV39" s="7">
        <f t="shared" si="9"/>
        <v>0</v>
      </c>
      <c r="BW39" s="7">
        <f t="shared" si="10"/>
        <v>0</v>
      </c>
      <c r="BX39" s="7">
        <f t="shared" si="11"/>
        <v>0</v>
      </c>
      <c r="BY39" s="7">
        <f t="shared" si="12"/>
        <v>0</v>
      </c>
      <c r="BZ39" s="7">
        <f t="shared" si="13"/>
        <v>0</v>
      </c>
      <c r="CA39" s="7">
        <f t="shared" si="14"/>
        <v>0</v>
      </c>
      <c r="CB39" s="7">
        <f t="shared" si="15"/>
        <v>0</v>
      </c>
      <c r="CC39" s="7">
        <f t="shared" si="16"/>
        <v>0</v>
      </c>
      <c r="CD39" s="7">
        <f t="shared" si="17"/>
        <v>0</v>
      </c>
      <c r="CE39" s="7">
        <f t="shared" si="18"/>
        <v>0</v>
      </c>
      <c r="CF39" s="7">
        <f t="shared" si="19"/>
        <v>0</v>
      </c>
      <c r="CG39" s="7">
        <f t="shared" si="20"/>
        <v>0</v>
      </c>
      <c r="CH39" s="7">
        <f t="shared" si="21"/>
        <v>0</v>
      </c>
      <c r="CI39" s="7">
        <f t="shared" si="22"/>
        <v>0</v>
      </c>
      <c r="CJ39" s="7">
        <f t="shared" si="23"/>
        <v>0</v>
      </c>
      <c r="CK39" s="7">
        <f t="shared" si="24"/>
        <v>0</v>
      </c>
      <c r="CL39" s="7">
        <f t="shared" si="25"/>
        <v>0</v>
      </c>
      <c r="CM39" s="7">
        <f t="shared" si="26"/>
        <v>0</v>
      </c>
      <c r="CN39" s="7">
        <f t="shared" si="27"/>
        <v>0</v>
      </c>
      <c r="CO39" s="7">
        <f t="shared" si="28"/>
        <v>0</v>
      </c>
      <c r="CP39" s="7">
        <f t="shared" si="29"/>
        <v>0</v>
      </c>
      <c r="CQ39" s="7">
        <f t="shared" si="30"/>
        <v>0</v>
      </c>
      <c r="CR39" s="7">
        <f t="shared" si="31"/>
        <v>0</v>
      </c>
      <c r="CS39" s="7">
        <f t="shared" si="32"/>
        <v>0</v>
      </c>
      <c r="CT39" s="7">
        <f t="shared" si="33"/>
        <v>0</v>
      </c>
      <c r="CU39" s="7">
        <f t="shared" si="34"/>
        <v>0</v>
      </c>
      <c r="CV39" s="7">
        <f t="shared" si="35"/>
        <v>0</v>
      </c>
      <c r="CW39" s="7">
        <f t="shared" si="36"/>
        <v>0</v>
      </c>
      <c r="CX39" s="7">
        <f t="shared" si="37"/>
        <v>0</v>
      </c>
      <c r="CY39" s="7">
        <f t="shared" si="38"/>
        <v>0</v>
      </c>
      <c r="CZ39" s="7">
        <f t="shared" si="39"/>
        <v>0</v>
      </c>
      <c r="DA39" s="7">
        <f t="shared" si="40"/>
        <v>0</v>
      </c>
      <c r="DB39" s="7">
        <f t="shared" si="41"/>
        <v>0</v>
      </c>
      <c r="DC39" s="7">
        <f t="shared" si="42"/>
        <v>0</v>
      </c>
      <c r="DD39" s="7">
        <f t="shared" si="43"/>
        <v>0</v>
      </c>
      <c r="DE39" s="7">
        <f t="shared" si="44"/>
        <v>0</v>
      </c>
      <c r="DF39" s="7">
        <f t="shared" si="45"/>
        <v>0</v>
      </c>
      <c r="DG39" s="7">
        <f t="shared" si="46"/>
        <v>0</v>
      </c>
      <c r="DH39" s="7">
        <f t="shared" si="47"/>
        <v>0</v>
      </c>
      <c r="DI39" s="7">
        <f t="shared" si="48"/>
        <v>0</v>
      </c>
      <c r="DJ39" s="7">
        <f t="shared" si="49"/>
        <v>0</v>
      </c>
      <c r="DK39" s="7">
        <f t="shared" si="50"/>
        <v>0</v>
      </c>
      <c r="DL39" s="7">
        <f t="shared" si="51"/>
        <v>0</v>
      </c>
      <c r="DM39" s="7">
        <f t="shared" si="52"/>
        <v>0</v>
      </c>
      <c r="DN39" s="7">
        <f t="shared" si="53"/>
        <v>0</v>
      </c>
      <c r="DO39" s="7">
        <f t="shared" si="54"/>
        <v>0</v>
      </c>
      <c r="DP39" s="7">
        <f t="shared" si="55"/>
        <v>0</v>
      </c>
      <c r="DQ39" s="7">
        <f t="shared" si="56"/>
        <v>0</v>
      </c>
      <c r="DR39" s="7">
        <f t="shared" si="57"/>
        <v>0</v>
      </c>
      <c r="DS39" s="7">
        <f t="shared" si="58"/>
        <v>0</v>
      </c>
      <c r="DT39" s="7">
        <f t="shared" si="59"/>
        <v>0</v>
      </c>
      <c r="DU39" s="7">
        <f t="shared" si="60"/>
        <v>0</v>
      </c>
    </row>
    <row r="40" spans="1:125" x14ac:dyDescent="0.2">
      <c r="A40" s="3">
        <f>Bonds!A40</f>
        <v>46507</v>
      </c>
      <c r="B40" s="4">
        <f>Bonds!B40</f>
        <v>0.5</v>
      </c>
      <c r="C40">
        <f>Bonds!P40</f>
        <v>2</v>
      </c>
      <c r="D40">
        <f t="shared" si="0"/>
        <v>1</v>
      </c>
      <c r="E40" s="3">
        <f>IF(1&gt;$C40,"",IF($D40=1,EOMONTH(EDATE(Bonds!$H40,6*(1-1)),0),EDATE(Bonds!$H40,6*(1-1))))</f>
        <v>46326</v>
      </c>
      <c r="F40" s="3">
        <f>IF(2&gt;$C40,"",IF($D40=1,EOMONTH(EDATE(Bonds!$H40,6*(2-1)),0),EDATE(Bonds!$H40,6*(2-1))))</f>
        <v>46507</v>
      </c>
      <c r="G40" s="3" t="str">
        <f>IF(3&gt;$C40,"",IF($D40=1,EOMONTH(EDATE(Bonds!$H40,6*(3-1)),0),EDATE(Bonds!$H40,6*(3-1))))</f>
        <v/>
      </c>
      <c r="H40" s="3" t="str">
        <f>IF(4&gt;$C40,"",IF($D40=1,EOMONTH(EDATE(Bonds!$H40,6*(4-1)),0),EDATE(Bonds!$H40,6*(4-1))))</f>
        <v/>
      </c>
      <c r="I40" s="3" t="str">
        <f>IF(5&gt;$C40,"",IF($D40=1,EOMONTH(EDATE(Bonds!$H40,6*(5-1)),0),EDATE(Bonds!$H40,6*(5-1))))</f>
        <v/>
      </c>
      <c r="J40" s="3" t="str">
        <f>IF(6&gt;$C40,"",IF($D40=1,EOMONTH(EDATE(Bonds!$H40,6*(6-1)),0),EDATE(Bonds!$H40,6*(6-1))))</f>
        <v/>
      </c>
      <c r="K40" s="3" t="str">
        <f>IF(7&gt;$C40,"",IF($D40=1,EOMONTH(EDATE(Bonds!$H40,6*(7-1)),0),EDATE(Bonds!$H40,6*(7-1))))</f>
        <v/>
      </c>
      <c r="L40" s="3" t="str">
        <f>IF(8&gt;$C40,"",IF($D40=1,EOMONTH(EDATE(Bonds!$H40,6*(8-1)),0),EDATE(Bonds!$H40,6*(8-1))))</f>
        <v/>
      </c>
      <c r="M40" s="3" t="str">
        <f>IF(9&gt;$C40,"",IF($D40=1,EOMONTH(EDATE(Bonds!$H40,6*(9-1)),0),EDATE(Bonds!$H40,6*(9-1))))</f>
        <v/>
      </c>
      <c r="N40" s="3" t="str">
        <f>IF(10&gt;$C40,"",IF($D40=1,EOMONTH(EDATE(Bonds!$H40,6*(10-1)),0),EDATE(Bonds!$H40,6*(10-1))))</f>
        <v/>
      </c>
      <c r="O40" s="3" t="str">
        <f>IF(11&gt;$C40,"",IF($D40=1,EOMONTH(EDATE(Bonds!$H40,6*(11-1)),0),EDATE(Bonds!$H40,6*(11-1))))</f>
        <v/>
      </c>
      <c r="P40" s="3" t="str">
        <f>IF(12&gt;$C40,"",IF($D40=1,EOMONTH(EDATE(Bonds!$H40,6*(12-1)),0),EDATE(Bonds!$H40,6*(12-1))))</f>
        <v/>
      </c>
      <c r="Q40" s="3" t="str">
        <f>IF(13&gt;$C40,"",IF($D40=1,EOMONTH(EDATE(Bonds!$H40,6*(13-1)),0),EDATE(Bonds!$H40,6*(13-1))))</f>
        <v/>
      </c>
      <c r="R40" s="3" t="str">
        <f>IF(14&gt;$C40,"",IF($D40=1,EOMONTH(EDATE(Bonds!$H40,6*(14-1)),0),EDATE(Bonds!$H40,6*(14-1))))</f>
        <v/>
      </c>
      <c r="S40" s="3" t="str">
        <f>IF(15&gt;$C40,"",IF($D40=1,EOMONTH(EDATE(Bonds!$H40,6*(15-1)),0),EDATE(Bonds!$H40,6*(15-1))))</f>
        <v/>
      </c>
      <c r="T40" s="3" t="str">
        <f>IF(16&gt;$C40,"",IF($D40=1,EOMONTH(EDATE(Bonds!$H40,6*(16-1)),0),EDATE(Bonds!$H40,6*(16-1))))</f>
        <v/>
      </c>
      <c r="U40" s="3" t="str">
        <f>IF(17&gt;$C40,"",IF($D40=1,EOMONTH(EDATE(Bonds!$H40,6*(17-1)),0),EDATE(Bonds!$H40,6*(17-1))))</f>
        <v/>
      </c>
      <c r="V40" s="3" t="str">
        <f>IF(18&gt;$C40,"",IF($D40=1,EOMONTH(EDATE(Bonds!$H40,6*(18-1)),0),EDATE(Bonds!$H40,6*(18-1))))</f>
        <v/>
      </c>
      <c r="W40" s="3" t="str">
        <f>IF(19&gt;$C40,"",IF($D40=1,EOMONTH(EDATE(Bonds!$H40,6*(19-1)),0),EDATE(Bonds!$H40,6*(19-1))))</f>
        <v/>
      </c>
      <c r="X40" s="3" t="str">
        <f>IF(20&gt;$C40,"",IF($D40=1,EOMONTH(EDATE(Bonds!$H40,6*(20-1)),0),EDATE(Bonds!$H40,6*(20-1))))</f>
        <v/>
      </c>
      <c r="Y40" s="3" t="str">
        <f>IF(21&gt;$C40,"",IF($D40=1,EOMONTH(EDATE(Bonds!$H40,6*(21-1)),0),EDATE(Bonds!$H40,6*(21-1))))</f>
        <v/>
      </c>
      <c r="Z40" s="3" t="str">
        <f>IF(22&gt;$C40,"",IF($D40=1,EOMONTH(EDATE(Bonds!$H40,6*(22-1)),0),EDATE(Bonds!$H40,6*(22-1))))</f>
        <v/>
      </c>
      <c r="AA40" s="3" t="str">
        <f>IF(23&gt;$C40,"",IF($D40=1,EOMONTH(EDATE(Bonds!$H40,6*(23-1)),0),EDATE(Bonds!$H40,6*(23-1))))</f>
        <v/>
      </c>
      <c r="AB40" s="3" t="str">
        <f>IF(24&gt;$C40,"",IF($D40=1,EOMONTH(EDATE(Bonds!$H40,6*(24-1)),0),EDATE(Bonds!$H40,6*(24-1))))</f>
        <v/>
      </c>
      <c r="AC40" s="3" t="str">
        <f>IF(25&gt;$C40,"",IF($D40=1,EOMONTH(EDATE(Bonds!$H40,6*(25-1)),0),EDATE(Bonds!$H40,6*(25-1))))</f>
        <v/>
      </c>
      <c r="AD40" s="3" t="str">
        <f>IF(26&gt;$C40,"",IF($D40=1,EOMONTH(EDATE(Bonds!$H40,6*(26-1)),0),EDATE(Bonds!$H40,6*(26-1))))</f>
        <v/>
      </c>
      <c r="AE40" s="3" t="str">
        <f>IF(27&gt;$C40,"",IF($D40=1,EOMONTH(EDATE(Bonds!$H40,6*(27-1)),0),EDATE(Bonds!$H40,6*(27-1))))</f>
        <v/>
      </c>
      <c r="AF40" s="3" t="str">
        <f>IF(28&gt;$C40,"",IF($D40=1,EOMONTH(EDATE(Bonds!$H40,6*(28-1)),0),EDATE(Bonds!$H40,6*(28-1))))</f>
        <v/>
      </c>
      <c r="AG40" s="3" t="str">
        <f>IF(29&gt;$C40,"",IF($D40=1,EOMONTH(EDATE(Bonds!$H40,6*(29-1)),0),EDATE(Bonds!$H40,6*(29-1))))</f>
        <v/>
      </c>
      <c r="AH40" s="3" t="str">
        <f>IF(30&gt;$C40,"",IF($D40=1,EOMONTH(EDATE(Bonds!$H40,6*(30-1)),0),EDATE(Bonds!$H40,6*(30-1))))</f>
        <v/>
      </c>
      <c r="AI40" s="3" t="str">
        <f>IF(31&gt;$C40,"",IF($D40=1,EOMONTH(EDATE(Bonds!$H40,6*(31-1)),0),EDATE(Bonds!$H40,6*(31-1))))</f>
        <v/>
      </c>
      <c r="AJ40" s="3" t="str">
        <f>IF(32&gt;$C40,"",IF($D40=1,EOMONTH(EDATE(Bonds!$H40,6*(32-1)),0),EDATE(Bonds!$H40,6*(32-1))))</f>
        <v/>
      </c>
      <c r="AK40" s="3" t="str">
        <f>IF(33&gt;$C40,"",IF($D40=1,EOMONTH(EDATE(Bonds!$H40,6*(33-1)),0),EDATE(Bonds!$H40,6*(33-1))))</f>
        <v/>
      </c>
      <c r="AL40" s="3" t="str">
        <f>IF(34&gt;$C40,"",IF($D40=1,EOMONTH(EDATE(Bonds!$H40,6*(34-1)),0),EDATE(Bonds!$H40,6*(34-1))))</f>
        <v/>
      </c>
      <c r="AM40" s="3" t="str">
        <f>IF(35&gt;$C40,"",IF($D40=1,EOMONTH(EDATE(Bonds!$H40,6*(35-1)),0),EDATE(Bonds!$H40,6*(35-1))))</f>
        <v/>
      </c>
      <c r="AN40" s="3" t="str">
        <f>IF(36&gt;$C40,"",IF($D40=1,EOMONTH(EDATE(Bonds!$H40,6*(36-1)),0),EDATE(Bonds!$H40,6*(36-1))))</f>
        <v/>
      </c>
      <c r="AO40" s="3" t="str">
        <f>IF(37&gt;$C40,"",IF($D40=1,EOMONTH(EDATE(Bonds!$H40,6*(37-1)),0),EDATE(Bonds!$H40,6*(37-1))))</f>
        <v/>
      </c>
      <c r="AP40" s="3" t="str">
        <f>IF(38&gt;$C40,"",IF($D40=1,EOMONTH(EDATE(Bonds!$H40,6*(38-1)),0),EDATE(Bonds!$H40,6*(38-1))))</f>
        <v/>
      </c>
      <c r="AQ40" s="3" t="str">
        <f>IF(39&gt;$C40,"",IF($D40=1,EOMONTH(EDATE(Bonds!$H40,6*(39-1)),0),EDATE(Bonds!$H40,6*(39-1))))</f>
        <v/>
      </c>
      <c r="AR40" s="3" t="str">
        <f>IF(40&gt;$C40,"",IF($D40=1,EOMONTH(EDATE(Bonds!$H40,6*(40-1)),0),EDATE(Bonds!$H40,6*(40-1))))</f>
        <v/>
      </c>
      <c r="AS40" s="3" t="str">
        <f>IF(41&gt;$C40,"",IF($D40=1,EOMONTH(EDATE(Bonds!$H40,6*(41-1)),0),EDATE(Bonds!$H40,6*(41-1))))</f>
        <v/>
      </c>
      <c r="AT40" s="3" t="str">
        <f>IF(42&gt;$C40,"",IF($D40=1,EOMONTH(EDATE(Bonds!$H40,6*(42-1)),0),EDATE(Bonds!$H40,6*(42-1))))</f>
        <v/>
      </c>
      <c r="AU40" s="3" t="str">
        <f>IF(43&gt;$C40,"",IF($D40=1,EOMONTH(EDATE(Bonds!$H40,6*(43-1)),0),EDATE(Bonds!$H40,6*(43-1))))</f>
        <v/>
      </c>
      <c r="AV40" s="3" t="str">
        <f>IF(44&gt;$C40,"",IF($D40=1,EOMONTH(EDATE(Bonds!$H40,6*(44-1)),0),EDATE(Bonds!$H40,6*(44-1))))</f>
        <v/>
      </c>
      <c r="AW40" s="3" t="str">
        <f>IF(45&gt;$C40,"",IF($D40=1,EOMONTH(EDATE(Bonds!$H40,6*(45-1)),0),EDATE(Bonds!$H40,6*(45-1))))</f>
        <v/>
      </c>
      <c r="AX40" s="3" t="str">
        <f>IF(46&gt;$C40,"",IF($D40=1,EOMONTH(EDATE(Bonds!$H40,6*(46-1)),0),EDATE(Bonds!$H40,6*(46-1))))</f>
        <v/>
      </c>
      <c r="AY40" s="3" t="str">
        <f>IF(47&gt;$C40,"",IF($D40=1,EOMONTH(EDATE(Bonds!$H40,6*(47-1)),0),EDATE(Bonds!$H40,6*(47-1))))</f>
        <v/>
      </c>
      <c r="AZ40" s="3" t="str">
        <f>IF(48&gt;$C40,"",IF($D40=1,EOMONTH(EDATE(Bonds!$H40,6*(48-1)),0),EDATE(Bonds!$H40,6*(48-1))))</f>
        <v/>
      </c>
      <c r="BA40" s="3" t="str">
        <f>IF(49&gt;$C40,"",IF($D40=1,EOMONTH(EDATE(Bonds!$H40,6*(49-1)),0),EDATE(Bonds!$H40,6*(49-1))))</f>
        <v/>
      </c>
      <c r="BB40" s="3" t="str">
        <f>IF(50&gt;$C40,"",IF($D40=1,EOMONTH(EDATE(Bonds!$H40,6*(50-1)),0),EDATE(Bonds!$H40,6*(50-1))))</f>
        <v/>
      </c>
      <c r="BC40" s="3" t="str">
        <f>IF(51&gt;$C40,"",IF($D40=1,EOMONTH(EDATE(Bonds!$H40,6*(51-1)),0),EDATE(Bonds!$H40,6*(51-1))))</f>
        <v/>
      </c>
      <c r="BD40" s="3" t="str">
        <f>IF(52&gt;$C40,"",IF($D40=1,EOMONTH(EDATE(Bonds!$H40,6*(52-1)),0),EDATE(Bonds!$H40,6*(52-1))))</f>
        <v/>
      </c>
      <c r="BE40" s="3" t="str">
        <f>IF(53&gt;$C40,"",IF($D40=1,EOMONTH(EDATE(Bonds!$H40,6*(53-1)),0),EDATE(Bonds!$H40,6*(53-1))))</f>
        <v/>
      </c>
      <c r="BF40" s="3" t="str">
        <f>IF(54&gt;$C40,"",IF($D40=1,EOMONTH(EDATE(Bonds!$H40,6*(54-1)),0),EDATE(Bonds!$H40,6*(54-1))))</f>
        <v/>
      </c>
      <c r="BG40" s="3" t="str">
        <f>IF(55&gt;$C40,"",IF($D40=1,EOMONTH(EDATE(Bonds!$H40,6*(55-1)),0),EDATE(Bonds!$H40,6*(55-1))))</f>
        <v/>
      </c>
      <c r="BH40" s="3" t="str">
        <f>IF(56&gt;$C40,"",IF($D40=1,EOMONTH(EDATE(Bonds!$H40,6*(56-1)),0),EDATE(Bonds!$H40,6*(56-1))))</f>
        <v/>
      </c>
      <c r="BI40" s="3" t="str">
        <f>IF(57&gt;$C40,"",IF($D40=1,EOMONTH(EDATE(Bonds!$H40,6*(57-1)),0),EDATE(Bonds!$H40,6*(57-1))))</f>
        <v/>
      </c>
      <c r="BJ40" s="3" t="str">
        <f>IF(58&gt;$C40,"",IF($D40=1,EOMONTH(EDATE(Bonds!$H40,6*(58-1)),0),EDATE(Bonds!$H40,6*(58-1))))</f>
        <v/>
      </c>
      <c r="BK40" s="3" t="str">
        <f>IF(59&gt;$C40,"",IF($D40=1,EOMONTH(EDATE(Bonds!$H40,6*(59-1)),0),EDATE(Bonds!$H40,6*(59-1))))</f>
        <v/>
      </c>
      <c r="BL40" s="3" t="str">
        <f>IF(60&gt;$C40,"",IF($D40=1,EOMONTH(EDATE(Bonds!$H40,6*(60-1)),0),EDATE(Bonds!$H40,6*(60-1))))</f>
        <v/>
      </c>
      <c r="BN40" s="7">
        <f t="shared" si="1"/>
        <v>0.24864963746601712</v>
      </c>
      <c r="BO40" s="7">
        <f t="shared" si="2"/>
        <v>97.712677198072939</v>
      </c>
      <c r="BP40" s="7">
        <f t="shared" si="3"/>
        <v>0</v>
      </c>
      <c r="BQ40" s="7">
        <f t="shared" si="4"/>
        <v>0</v>
      </c>
      <c r="BR40" s="7">
        <f t="shared" si="5"/>
        <v>0</v>
      </c>
      <c r="BS40" s="7">
        <f t="shared" si="6"/>
        <v>0</v>
      </c>
      <c r="BT40" s="7">
        <f t="shared" si="7"/>
        <v>0</v>
      </c>
      <c r="BU40" s="7">
        <f t="shared" si="8"/>
        <v>0</v>
      </c>
      <c r="BV40" s="7">
        <f t="shared" si="9"/>
        <v>0</v>
      </c>
      <c r="BW40" s="7">
        <f t="shared" si="10"/>
        <v>0</v>
      </c>
      <c r="BX40" s="7">
        <f t="shared" si="11"/>
        <v>0</v>
      </c>
      <c r="BY40" s="7">
        <f t="shared" si="12"/>
        <v>0</v>
      </c>
      <c r="BZ40" s="7">
        <f t="shared" si="13"/>
        <v>0</v>
      </c>
      <c r="CA40" s="7">
        <f t="shared" si="14"/>
        <v>0</v>
      </c>
      <c r="CB40" s="7">
        <f t="shared" si="15"/>
        <v>0</v>
      </c>
      <c r="CC40" s="7">
        <f t="shared" si="16"/>
        <v>0</v>
      </c>
      <c r="CD40" s="7">
        <f t="shared" si="17"/>
        <v>0</v>
      </c>
      <c r="CE40" s="7">
        <f t="shared" si="18"/>
        <v>0</v>
      </c>
      <c r="CF40" s="7">
        <f t="shared" si="19"/>
        <v>0</v>
      </c>
      <c r="CG40" s="7">
        <f t="shared" si="20"/>
        <v>0</v>
      </c>
      <c r="CH40" s="7">
        <f t="shared" si="21"/>
        <v>0</v>
      </c>
      <c r="CI40" s="7">
        <f t="shared" si="22"/>
        <v>0</v>
      </c>
      <c r="CJ40" s="7">
        <f t="shared" si="23"/>
        <v>0</v>
      </c>
      <c r="CK40" s="7">
        <f t="shared" si="24"/>
        <v>0</v>
      </c>
      <c r="CL40" s="7">
        <f t="shared" si="25"/>
        <v>0</v>
      </c>
      <c r="CM40" s="7">
        <f t="shared" si="26"/>
        <v>0</v>
      </c>
      <c r="CN40" s="7">
        <f t="shared" si="27"/>
        <v>0</v>
      </c>
      <c r="CO40" s="7">
        <f t="shared" si="28"/>
        <v>0</v>
      </c>
      <c r="CP40" s="7">
        <f t="shared" si="29"/>
        <v>0</v>
      </c>
      <c r="CQ40" s="7">
        <f t="shared" si="30"/>
        <v>0</v>
      </c>
      <c r="CR40" s="7">
        <f t="shared" si="31"/>
        <v>0</v>
      </c>
      <c r="CS40" s="7">
        <f t="shared" si="32"/>
        <v>0</v>
      </c>
      <c r="CT40" s="7">
        <f t="shared" si="33"/>
        <v>0</v>
      </c>
      <c r="CU40" s="7">
        <f t="shared" si="34"/>
        <v>0</v>
      </c>
      <c r="CV40" s="7">
        <f t="shared" si="35"/>
        <v>0</v>
      </c>
      <c r="CW40" s="7">
        <f t="shared" si="36"/>
        <v>0</v>
      </c>
      <c r="CX40" s="7">
        <f t="shared" si="37"/>
        <v>0</v>
      </c>
      <c r="CY40" s="7">
        <f t="shared" si="38"/>
        <v>0</v>
      </c>
      <c r="CZ40" s="7">
        <f t="shared" si="39"/>
        <v>0</v>
      </c>
      <c r="DA40" s="7">
        <f t="shared" si="40"/>
        <v>0</v>
      </c>
      <c r="DB40" s="7">
        <f t="shared" si="41"/>
        <v>0</v>
      </c>
      <c r="DC40" s="7">
        <f t="shared" si="42"/>
        <v>0</v>
      </c>
      <c r="DD40" s="7">
        <f t="shared" si="43"/>
        <v>0</v>
      </c>
      <c r="DE40" s="7">
        <f t="shared" si="44"/>
        <v>0</v>
      </c>
      <c r="DF40" s="7">
        <f t="shared" si="45"/>
        <v>0</v>
      </c>
      <c r="DG40" s="7">
        <f t="shared" si="46"/>
        <v>0</v>
      </c>
      <c r="DH40" s="7">
        <f t="shared" si="47"/>
        <v>0</v>
      </c>
      <c r="DI40" s="7">
        <f t="shared" si="48"/>
        <v>0</v>
      </c>
      <c r="DJ40" s="7">
        <f t="shared" si="49"/>
        <v>0</v>
      </c>
      <c r="DK40" s="7">
        <f t="shared" si="50"/>
        <v>0</v>
      </c>
      <c r="DL40" s="7">
        <f t="shared" si="51"/>
        <v>0</v>
      </c>
      <c r="DM40" s="7">
        <f t="shared" si="52"/>
        <v>0</v>
      </c>
      <c r="DN40" s="7">
        <f t="shared" si="53"/>
        <v>0</v>
      </c>
      <c r="DO40" s="7">
        <f t="shared" si="54"/>
        <v>0</v>
      </c>
      <c r="DP40" s="7">
        <f t="shared" si="55"/>
        <v>0</v>
      </c>
      <c r="DQ40" s="7">
        <f t="shared" si="56"/>
        <v>0</v>
      </c>
      <c r="DR40" s="7">
        <f t="shared" si="57"/>
        <v>0</v>
      </c>
      <c r="DS40" s="7">
        <f t="shared" si="58"/>
        <v>0</v>
      </c>
      <c r="DT40" s="7">
        <f t="shared" si="59"/>
        <v>0</v>
      </c>
      <c r="DU40" s="7">
        <f t="shared" si="60"/>
        <v>0</v>
      </c>
    </row>
    <row r="41" spans="1:125" x14ac:dyDescent="0.2">
      <c r="A41" s="3">
        <f>Bonds!A41</f>
        <v>46507</v>
      </c>
      <c r="B41" s="4">
        <f>Bonds!B41</f>
        <v>2.75</v>
      </c>
      <c r="C41">
        <f>Bonds!P41</f>
        <v>2</v>
      </c>
      <c r="D41">
        <f t="shared" si="0"/>
        <v>1</v>
      </c>
      <c r="E41" s="3">
        <f>IF(1&gt;$C41,"",IF($D41=1,EOMONTH(EDATE(Bonds!$H41,6*(1-1)),0),EDATE(Bonds!$H41,6*(1-1))))</f>
        <v>46326</v>
      </c>
      <c r="F41" s="3">
        <f>IF(2&gt;$C41,"",IF($D41=1,EOMONTH(EDATE(Bonds!$H41,6*(2-1)),0),EDATE(Bonds!$H41,6*(2-1))))</f>
        <v>46507</v>
      </c>
      <c r="G41" s="3" t="str">
        <f>IF(3&gt;$C41,"",IF($D41=1,EOMONTH(EDATE(Bonds!$H41,6*(3-1)),0),EDATE(Bonds!$H41,6*(3-1))))</f>
        <v/>
      </c>
      <c r="H41" s="3" t="str">
        <f>IF(4&gt;$C41,"",IF($D41=1,EOMONTH(EDATE(Bonds!$H41,6*(4-1)),0),EDATE(Bonds!$H41,6*(4-1))))</f>
        <v/>
      </c>
      <c r="I41" s="3" t="str">
        <f>IF(5&gt;$C41,"",IF($D41=1,EOMONTH(EDATE(Bonds!$H41,6*(5-1)),0),EDATE(Bonds!$H41,6*(5-1))))</f>
        <v/>
      </c>
      <c r="J41" s="3" t="str">
        <f>IF(6&gt;$C41,"",IF($D41=1,EOMONTH(EDATE(Bonds!$H41,6*(6-1)),0),EDATE(Bonds!$H41,6*(6-1))))</f>
        <v/>
      </c>
      <c r="K41" s="3" t="str">
        <f>IF(7&gt;$C41,"",IF($D41=1,EOMONTH(EDATE(Bonds!$H41,6*(7-1)),0),EDATE(Bonds!$H41,6*(7-1))))</f>
        <v/>
      </c>
      <c r="L41" s="3" t="str">
        <f>IF(8&gt;$C41,"",IF($D41=1,EOMONTH(EDATE(Bonds!$H41,6*(8-1)),0),EDATE(Bonds!$H41,6*(8-1))))</f>
        <v/>
      </c>
      <c r="M41" s="3" t="str">
        <f>IF(9&gt;$C41,"",IF($D41=1,EOMONTH(EDATE(Bonds!$H41,6*(9-1)),0),EDATE(Bonds!$H41,6*(9-1))))</f>
        <v/>
      </c>
      <c r="N41" s="3" t="str">
        <f>IF(10&gt;$C41,"",IF($D41=1,EOMONTH(EDATE(Bonds!$H41,6*(10-1)),0),EDATE(Bonds!$H41,6*(10-1))))</f>
        <v/>
      </c>
      <c r="O41" s="3" t="str">
        <f>IF(11&gt;$C41,"",IF($D41=1,EOMONTH(EDATE(Bonds!$H41,6*(11-1)),0),EDATE(Bonds!$H41,6*(11-1))))</f>
        <v/>
      </c>
      <c r="P41" s="3" t="str">
        <f>IF(12&gt;$C41,"",IF($D41=1,EOMONTH(EDATE(Bonds!$H41,6*(12-1)),0),EDATE(Bonds!$H41,6*(12-1))))</f>
        <v/>
      </c>
      <c r="Q41" s="3" t="str">
        <f>IF(13&gt;$C41,"",IF($D41=1,EOMONTH(EDATE(Bonds!$H41,6*(13-1)),0),EDATE(Bonds!$H41,6*(13-1))))</f>
        <v/>
      </c>
      <c r="R41" s="3" t="str">
        <f>IF(14&gt;$C41,"",IF($D41=1,EOMONTH(EDATE(Bonds!$H41,6*(14-1)),0),EDATE(Bonds!$H41,6*(14-1))))</f>
        <v/>
      </c>
      <c r="S41" s="3" t="str">
        <f>IF(15&gt;$C41,"",IF($D41=1,EOMONTH(EDATE(Bonds!$H41,6*(15-1)),0),EDATE(Bonds!$H41,6*(15-1))))</f>
        <v/>
      </c>
      <c r="T41" s="3" t="str">
        <f>IF(16&gt;$C41,"",IF($D41=1,EOMONTH(EDATE(Bonds!$H41,6*(16-1)),0),EDATE(Bonds!$H41,6*(16-1))))</f>
        <v/>
      </c>
      <c r="U41" s="3" t="str">
        <f>IF(17&gt;$C41,"",IF($D41=1,EOMONTH(EDATE(Bonds!$H41,6*(17-1)),0),EDATE(Bonds!$H41,6*(17-1))))</f>
        <v/>
      </c>
      <c r="V41" s="3" t="str">
        <f>IF(18&gt;$C41,"",IF($D41=1,EOMONTH(EDATE(Bonds!$H41,6*(18-1)),0),EDATE(Bonds!$H41,6*(18-1))))</f>
        <v/>
      </c>
      <c r="W41" s="3" t="str">
        <f>IF(19&gt;$C41,"",IF($D41=1,EOMONTH(EDATE(Bonds!$H41,6*(19-1)),0),EDATE(Bonds!$H41,6*(19-1))))</f>
        <v/>
      </c>
      <c r="X41" s="3" t="str">
        <f>IF(20&gt;$C41,"",IF($D41=1,EOMONTH(EDATE(Bonds!$H41,6*(20-1)),0),EDATE(Bonds!$H41,6*(20-1))))</f>
        <v/>
      </c>
      <c r="Y41" s="3" t="str">
        <f>IF(21&gt;$C41,"",IF($D41=1,EOMONTH(EDATE(Bonds!$H41,6*(21-1)),0),EDATE(Bonds!$H41,6*(21-1))))</f>
        <v/>
      </c>
      <c r="Z41" s="3" t="str">
        <f>IF(22&gt;$C41,"",IF($D41=1,EOMONTH(EDATE(Bonds!$H41,6*(22-1)),0),EDATE(Bonds!$H41,6*(22-1))))</f>
        <v/>
      </c>
      <c r="AA41" s="3" t="str">
        <f>IF(23&gt;$C41,"",IF($D41=1,EOMONTH(EDATE(Bonds!$H41,6*(23-1)),0),EDATE(Bonds!$H41,6*(23-1))))</f>
        <v/>
      </c>
      <c r="AB41" s="3" t="str">
        <f>IF(24&gt;$C41,"",IF($D41=1,EOMONTH(EDATE(Bonds!$H41,6*(24-1)),0),EDATE(Bonds!$H41,6*(24-1))))</f>
        <v/>
      </c>
      <c r="AC41" s="3" t="str">
        <f>IF(25&gt;$C41,"",IF($D41=1,EOMONTH(EDATE(Bonds!$H41,6*(25-1)),0),EDATE(Bonds!$H41,6*(25-1))))</f>
        <v/>
      </c>
      <c r="AD41" s="3" t="str">
        <f>IF(26&gt;$C41,"",IF($D41=1,EOMONTH(EDATE(Bonds!$H41,6*(26-1)),0),EDATE(Bonds!$H41,6*(26-1))))</f>
        <v/>
      </c>
      <c r="AE41" s="3" t="str">
        <f>IF(27&gt;$C41,"",IF($D41=1,EOMONTH(EDATE(Bonds!$H41,6*(27-1)),0),EDATE(Bonds!$H41,6*(27-1))))</f>
        <v/>
      </c>
      <c r="AF41" s="3" t="str">
        <f>IF(28&gt;$C41,"",IF($D41=1,EOMONTH(EDATE(Bonds!$H41,6*(28-1)),0),EDATE(Bonds!$H41,6*(28-1))))</f>
        <v/>
      </c>
      <c r="AG41" s="3" t="str">
        <f>IF(29&gt;$C41,"",IF($D41=1,EOMONTH(EDATE(Bonds!$H41,6*(29-1)),0),EDATE(Bonds!$H41,6*(29-1))))</f>
        <v/>
      </c>
      <c r="AH41" s="3" t="str">
        <f>IF(30&gt;$C41,"",IF($D41=1,EOMONTH(EDATE(Bonds!$H41,6*(30-1)),0),EDATE(Bonds!$H41,6*(30-1))))</f>
        <v/>
      </c>
      <c r="AI41" s="3" t="str">
        <f>IF(31&gt;$C41,"",IF($D41=1,EOMONTH(EDATE(Bonds!$H41,6*(31-1)),0),EDATE(Bonds!$H41,6*(31-1))))</f>
        <v/>
      </c>
      <c r="AJ41" s="3" t="str">
        <f>IF(32&gt;$C41,"",IF($D41=1,EOMONTH(EDATE(Bonds!$H41,6*(32-1)),0),EDATE(Bonds!$H41,6*(32-1))))</f>
        <v/>
      </c>
      <c r="AK41" s="3" t="str">
        <f>IF(33&gt;$C41,"",IF($D41=1,EOMONTH(EDATE(Bonds!$H41,6*(33-1)),0),EDATE(Bonds!$H41,6*(33-1))))</f>
        <v/>
      </c>
      <c r="AL41" s="3" t="str">
        <f>IF(34&gt;$C41,"",IF($D41=1,EOMONTH(EDATE(Bonds!$H41,6*(34-1)),0),EDATE(Bonds!$H41,6*(34-1))))</f>
        <v/>
      </c>
      <c r="AM41" s="3" t="str">
        <f>IF(35&gt;$C41,"",IF($D41=1,EOMONTH(EDATE(Bonds!$H41,6*(35-1)),0),EDATE(Bonds!$H41,6*(35-1))))</f>
        <v/>
      </c>
      <c r="AN41" s="3" t="str">
        <f>IF(36&gt;$C41,"",IF($D41=1,EOMONTH(EDATE(Bonds!$H41,6*(36-1)),0),EDATE(Bonds!$H41,6*(36-1))))</f>
        <v/>
      </c>
      <c r="AO41" s="3" t="str">
        <f>IF(37&gt;$C41,"",IF($D41=1,EOMONTH(EDATE(Bonds!$H41,6*(37-1)),0),EDATE(Bonds!$H41,6*(37-1))))</f>
        <v/>
      </c>
      <c r="AP41" s="3" t="str">
        <f>IF(38&gt;$C41,"",IF($D41=1,EOMONTH(EDATE(Bonds!$H41,6*(38-1)),0),EDATE(Bonds!$H41,6*(38-1))))</f>
        <v/>
      </c>
      <c r="AQ41" s="3" t="str">
        <f>IF(39&gt;$C41,"",IF($D41=1,EOMONTH(EDATE(Bonds!$H41,6*(39-1)),0),EDATE(Bonds!$H41,6*(39-1))))</f>
        <v/>
      </c>
      <c r="AR41" s="3" t="str">
        <f>IF(40&gt;$C41,"",IF($D41=1,EOMONTH(EDATE(Bonds!$H41,6*(40-1)),0),EDATE(Bonds!$H41,6*(40-1))))</f>
        <v/>
      </c>
      <c r="AS41" s="3" t="str">
        <f>IF(41&gt;$C41,"",IF($D41=1,EOMONTH(EDATE(Bonds!$H41,6*(41-1)),0),EDATE(Bonds!$H41,6*(41-1))))</f>
        <v/>
      </c>
      <c r="AT41" s="3" t="str">
        <f>IF(42&gt;$C41,"",IF($D41=1,EOMONTH(EDATE(Bonds!$H41,6*(42-1)),0),EDATE(Bonds!$H41,6*(42-1))))</f>
        <v/>
      </c>
      <c r="AU41" s="3" t="str">
        <f>IF(43&gt;$C41,"",IF($D41=1,EOMONTH(EDATE(Bonds!$H41,6*(43-1)),0),EDATE(Bonds!$H41,6*(43-1))))</f>
        <v/>
      </c>
      <c r="AV41" s="3" t="str">
        <f>IF(44&gt;$C41,"",IF($D41=1,EOMONTH(EDATE(Bonds!$H41,6*(44-1)),0),EDATE(Bonds!$H41,6*(44-1))))</f>
        <v/>
      </c>
      <c r="AW41" s="3" t="str">
        <f>IF(45&gt;$C41,"",IF($D41=1,EOMONTH(EDATE(Bonds!$H41,6*(45-1)),0),EDATE(Bonds!$H41,6*(45-1))))</f>
        <v/>
      </c>
      <c r="AX41" s="3" t="str">
        <f>IF(46&gt;$C41,"",IF($D41=1,EOMONTH(EDATE(Bonds!$H41,6*(46-1)),0),EDATE(Bonds!$H41,6*(46-1))))</f>
        <v/>
      </c>
      <c r="AY41" s="3" t="str">
        <f>IF(47&gt;$C41,"",IF($D41=1,EOMONTH(EDATE(Bonds!$H41,6*(47-1)),0),EDATE(Bonds!$H41,6*(47-1))))</f>
        <v/>
      </c>
      <c r="AZ41" s="3" t="str">
        <f>IF(48&gt;$C41,"",IF($D41=1,EOMONTH(EDATE(Bonds!$H41,6*(48-1)),0),EDATE(Bonds!$H41,6*(48-1))))</f>
        <v/>
      </c>
      <c r="BA41" s="3" t="str">
        <f>IF(49&gt;$C41,"",IF($D41=1,EOMONTH(EDATE(Bonds!$H41,6*(49-1)),0),EDATE(Bonds!$H41,6*(49-1))))</f>
        <v/>
      </c>
      <c r="BB41" s="3" t="str">
        <f>IF(50&gt;$C41,"",IF($D41=1,EOMONTH(EDATE(Bonds!$H41,6*(50-1)),0),EDATE(Bonds!$H41,6*(50-1))))</f>
        <v/>
      </c>
      <c r="BC41" s="3" t="str">
        <f>IF(51&gt;$C41,"",IF($D41=1,EOMONTH(EDATE(Bonds!$H41,6*(51-1)),0),EDATE(Bonds!$H41,6*(51-1))))</f>
        <v/>
      </c>
      <c r="BD41" s="3" t="str">
        <f>IF(52&gt;$C41,"",IF($D41=1,EOMONTH(EDATE(Bonds!$H41,6*(52-1)),0),EDATE(Bonds!$H41,6*(52-1))))</f>
        <v/>
      </c>
      <c r="BE41" s="3" t="str">
        <f>IF(53&gt;$C41,"",IF($D41=1,EOMONTH(EDATE(Bonds!$H41,6*(53-1)),0),EDATE(Bonds!$H41,6*(53-1))))</f>
        <v/>
      </c>
      <c r="BF41" s="3" t="str">
        <f>IF(54&gt;$C41,"",IF($D41=1,EOMONTH(EDATE(Bonds!$H41,6*(54-1)),0),EDATE(Bonds!$H41,6*(54-1))))</f>
        <v/>
      </c>
      <c r="BG41" s="3" t="str">
        <f>IF(55&gt;$C41,"",IF($D41=1,EOMONTH(EDATE(Bonds!$H41,6*(55-1)),0),EDATE(Bonds!$H41,6*(55-1))))</f>
        <v/>
      </c>
      <c r="BH41" s="3" t="str">
        <f>IF(56&gt;$C41,"",IF($D41=1,EOMONTH(EDATE(Bonds!$H41,6*(56-1)),0),EDATE(Bonds!$H41,6*(56-1))))</f>
        <v/>
      </c>
      <c r="BI41" s="3" t="str">
        <f>IF(57&gt;$C41,"",IF($D41=1,EOMONTH(EDATE(Bonds!$H41,6*(57-1)),0),EDATE(Bonds!$H41,6*(57-1))))</f>
        <v/>
      </c>
      <c r="BJ41" s="3" t="str">
        <f>IF(58&gt;$C41,"",IF($D41=1,EOMONTH(EDATE(Bonds!$H41,6*(58-1)),0),EDATE(Bonds!$H41,6*(58-1))))</f>
        <v/>
      </c>
      <c r="BK41" s="3" t="str">
        <f>IF(59&gt;$C41,"",IF($D41=1,EOMONTH(EDATE(Bonds!$H41,6*(59-1)),0),EDATE(Bonds!$H41,6*(59-1))))</f>
        <v/>
      </c>
      <c r="BL41" s="3" t="str">
        <f>IF(60&gt;$C41,"",IF($D41=1,EOMONTH(EDATE(Bonds!$H41,6*(60-1)),0),EDATE(Bonds!$H41,6*(60-1))))</f>
        <v/>
      </c>
      <c r="BN41" s="7">
        <f t="shared" si="1"/>
        <v>1.3675730060630942</v>
      </c>
      <c r="BO41" s="7">
        <f t="shared" si="2"/>
        <v>98.809203500794453</v>
      </c>
      <c r="BP41" s="7">
        <f t="shared" si="3"/>
        <v>0</v>
      </c>
      <c r="BQ41" s="7">
        <f t="shared" si="4"/>
        <v>0</v>
      </c>
      <c r="BR41" s="7">
        <f t="shared" si="5"/>
        <v>0</v>
      </c>
      <c r="BS41" s="7">
        <f t="shared" si="6"/>
        <v>0</v>
      </c>
      <c r="BT41" s="7">
        <f t="shared" si="7"/>
        <v>0</v>
      </c>
      <c r="BU41" s="7">
        <f t="shared" si="8"/>
        <v>0</v>
      </c>
      <c r="BV41" s="7">
        <f t="shared" si="9"/>
        <v>0</v>
      </c>
      <c r="BW41" s="7">
        <f t="shared" si="10"/>
        <v>0</v>
      </c>
      <c r="BX41" s="7">
        <f t="shared" si="11"/>
        <v>0</v>
      </c>
      <c r="BY41" s="7">
        <f t="shared" si="12"/>
        <v>0</v>
      </c>
      <c r="BZ41" s="7">
        <f t="shared" si="13"/>
        <v>0</v>
      </c>
      <c r="CA41" s="7">
        <f t="shared" si="14"/>
        <v>0</v>
      </c>
      <c r="CB41" s="7">
        <f t="shared" si="15"/>
        <v>0</v>
      </c>
      <c r="CC41" s="7">
        <f t="shared" si="16"/>
        <v>0</v>
      </c>
      <c r="CD41" s="7">
        <f t="shared" si="17"/>
        <v>0</v>
      </c>
      <c r="CE41" s="7">
        <f t="shared" si="18"/>
        <v>0</v>
      </c>
      <c r="CF41" s="7">
        <f t="shared" si="19"/>
        <v>0</v>
      </c>
      <c r="CG41" s="7">
        <f t="shared" si="20"/>
        <v>0</v>
      </c>
      <c r="CH41" s="7">
        <f t="shared" si="21"/>
        <v>0</v>
      </c>
      <c r="CI41" s="7">
        <f t="shared" si="22"/>
        <v>0</v>
      </c>
      <c r="CJ41" s="7">
        <f t="shared" si="23"/>
        <v>0</v>
      </c>
      <c r="CK41" s="7">
        <f t="shared" si="24"/>
        <v>0</v>
      </c>
      <c r="CL41" s="7">
        <f t="shared" si="25"/>
        <v>0</v>
      </c>
      <c r="CM41" s="7">
        <f t="shared" si="26"/>
        <v>0</v>
      </c>
      <c r="CN41" s="7">
        <f t="shared" si="27"/>
        <v>0</v>
      </c>
      <c r="CO41" s="7">
        <f t="shared" si="28"/>
        <v>0</v>
      </c>
      <c r="CP41" s="7">
        <f t="shared" si="29"/>
        <v>0</v>
      </c>
      <c r="CQ41" s="7">
        <f t="shared" si="30"/>
        <v>0</v>
      </c>
      <c r="CR41" s="7">
        <f t="shared" si="31"/>
        <v>0</v>
      </c>
      <c r="CS41" s="7">
        <f t="shared" si="32"/>
        <v>0</v>
      </c>
      <c r="CT41" s="7">
        <f t="shared" si="33"/>
        <v>0</v>
      </c>
      <c r="CU41" s="7">
        <f t="shared" si="34"/>
        <v>0</v>
      </c>
      <c r="CV41" s="7">
        <f t="shared" si="35"/>
        <v>0</v>
      </c>
      <c r="CW41" s="7">
        <f t="shared" si="36"/>
        <v>0</v>
      </c>
      <c r="CX41" s="7">
        <f t="shared" si="37"/>
        <v>0</v>
      </c>
      <c r="CY41" s="7">
        <f t="shared" si="38"/>
        <v>0</v>
      </c>
      <c r="CZ41" s="7">
        <f t="shared" si="39"/>
        <v>0</v>
      </c>
      <c r="DA41" s="7">
        <f t="shared" si="40"/>
        <v>0</v>
      </c>
      <c r="DB41" s="7">
        <f t="shared" si="41"/>
        <v>0</v>
      </c>
      <c r="DC41" s="7">
        <f t="shared" si="42"/>
        <v>0</v>
      </c>
      <c r="DD41" s="7">
        <f t="shared" si="43"/>
        <v>0</v>
      </c>
      <c r="DE41" s="7">
        <f t="shared" si="44"/>
        <v>0</v>
      </c>
      <c r="DF41" s="7">
        <f t="shared" si="45"/>
        <v>0</v>
      </c>
      <c r="DG41" s="7">
        <f t="shared" si="46"/>
        <v>0</v>
      </c>
      <c r="DH41" s="7">
        <f t="shared" si="47"/>
        <v>0</v>
      </c>
      <c r="DI41" s="7">
        <f t="shared" si="48"/>
        <v>0</v>
      </c>
      <c r="DJ41" s="7">
        <f t="shared" si="49"/>
        <v>0</v>
      </c>
      <c r="DK41" s="7">
        <f t="shared" si="50"/>
        <v>0</v>
      </c>
      <c r="DL41" s="7">
        <f t="shared" si="51"/>
        <v>0</v>
      </c>
      <c r="DM41" s="7">
        <f t="shared" si="52"/>
        <v>0</v>
      </c>
      <c r="DN41" s="7">
        <f t="shared" si="53"/>
        <v>0</v>
      </c>
      <c r="DO41" s="7">
        <f t="shared" si="54"/>
        <v>0</v>
      </c>
      <c r="DP41" s="7">
        <f t="shared" si="55"/>
        <v>0</v>
      </c>
      <c r="DQ41" s="7">
        <f t="shared" si="56"/>
        <v>0</v>
      </c>
      <c r="DR41" s="7">
        <f t="shared" si="57"/>
        <v>0</v>
      </c>
      <c r="DS41" s="7">
        <f t="shared" si="58"/>
        <v>0</v>
      </c>
      <c r="DT41" s="7">
        <f t="shared" si="59"/>
        <v>0</v>
      </c>
      <c r="DU41" s="7">
        <f t="shared" si="60"/>
        <v>0</v>
      </c>
    </row>
    <row r="42" spans="1:125" x14ac:dyDescent="0.2">
      <c r="A42" s="3">
        <f>Bonds!A42</f>
        <v>46507</v>
      </c>
      <c r="B42" s="4">
        <f>Bonds!B42</f>
        <v>3.75</v>
      </c>
      <c r="C42">
        <f>Bonds!P42</f>
        <v>2</v>
      </c>
      <c r="D42">
        <f t="shared" si="0"/>
        <v>1</v>
      </c>
      <c r="E42" s="3">
        <f>IF(1&gt;$C42,"",IF($D42=1,EOMONTH(EDATE(Bonds!$H42,6*(1-1)),0),EDATE(Bonds!$H42,6*(1-1))))</f>
        <v>46326</v>
      </c>
      <c r="F42" s="3">
        <f>IF(2&gt;$C42,"",IF($D42=1,EOMONTH(EDATE(Bonds!$H42,6*(2-1)),0),EDATE(Bonds!$H42,6*(2-1))))</f>
        <v>46507</v>
      </c>
      <c r="G42" s="3" t="str">
        <f>IF(3&gt;$C42,"",IF($D42=1,EOMONTH(EDATE(Bonds!$H42,6*(3-1)),0),EDATE(Bonds!$H42,6*(3-1))))</f>
        <v/>
      </c>
      <c r="H42" s="3" t="str">
        <f>IF(4&gt;$C42,"",IF($D42=1,EOMONTH(EDATE(Bonds!$H42,6*(4-1)),0),EDATE(Bonds!$H42,6*(4-1))))</f>
        <v/>
      </c>
      <c r="I42" s="3" t="str">
        <f>IF(5&gt;$C42,"",IF($D42=1,EOMONTH(EDATE(Bonds!$H42,6*(5-1)),0),EDATE(Bonds!$H42,6*(5-1))))</f>
        <v/>
      </c>
      <c r="J42" s="3" t="str">
        <f>IF(6&gt;$C42,"",IF($D42=1,EOMONTH(EDATE(Bonds!$H42,6*(6-1)),0),EDATE(Bonds!$H42,6*(6-1))))</f>
        <v/>
      </c>
      <c r="K42" s="3" t="str">
        <f>IF(7&gt;$C42,"",IF($D42=1,EOMONTH(EDATE(Bonds!$H42,6*(7-1)),0),EDATE(Bonds!$H42,6*(7-1))))</f>
        <v/>
      </c>
      <c r="L42" s="3" t="str">
        <f>IF(8&gt;$C42,"",IF($D42=1,EOMONTH(EDATE(Bonds!$H42,6*(8-1)),0),EDATE(Bonds!$H42,6*(8-1))))</f>
        <v/>
      </c>
      <c r="M42" s="3" t="str">
        <f>IF(9&gt;$C42,"",IF($D42=1,EOMONTH(EDATE(Bonds!$H42,6*(9-1)),0),EDATE(Bonds!$H42,6*(9-1))))</f>
        <v/>
      </c>
      <c r="N42" s="3" t="str">
        <f>IF(10&gt;$C42,"",IF($D42=1,EOMONTH(EDATE(Bonds!$H42,6*(10-1)),0),EDATE(Bonds!$H42,6*(10-1))))</f>
        <v/>
      </c>
      <c r="O42" s="3" t="str">
        <f>IF(11&gt;$C42,"",IF($D42=1,EOMONTH(EDATE(Bonds!$H42,6*(11-1)),0),EDATE(Bonds!$H42,6*(11-1))))</f>
        <v/>
      </c>
      <c r="P42" s="3" t="str">
        <f>IF(12&gt;$C42,"",IF($D42=1,EOMONTH(EDATE(Bonds!$H42,6*(12-1)),0),EDATE(Bonds!$H42,6*(12-1))))</f>
        <v/>
      </c>
      <c r="Q42" s="3" t="str">
        <f>IF(13&gt;$C42,"",IF($D42=1,EOMONTH(EDATE(Bonds!$H42,6*(13-1)),0),EDATE(Bonds!$H42,6*(13-1))))</f>
        <v/>
      </c>
      <c r="R42" s="3" t="str">
        <f>IF(14&gt;$C42,"",IF($D42=1,EOMONTH(EDATE(Bonds!$H42,6*(14-1)),0),EDATE(Bonds!$H42,6*(14-1))))</f>
        <v/>
      </c>
      <c r="S42" s="3" t="str">
        <f>IF(15&gt;$C42,"",IF($D42=1,EOMONTH(EDATE(Bonds!$H42,6*(15-1)),0),EDATE(Bonds!$H42,6*(15-1))))</f>
        <v/>
      </c>
      <c r="T42" s="3" t="str">
        <f>IF(16&gt;$C42,"",IF($D42=1,EOMONTH(EDATE(Bonds!$H42,6*(16-1)),0),EDATE(Bonds!$H42,6*(16-1))))</f>
        <v/>
      </c>
      <c r="U42" s="3" t="str">
        <f>IF(17&gt;$C42,"",IF($D42=1,EOMONTH(EDATE(Bonds!$H42,6*(17-1)),0),EDATE(Bonds!$H42,6*(17-1))))</f>
        <v/>
      </c>
      <c r="V42" s="3" t="str">
        <f>IF(18&gt;$C42,"",IF($D42=1,EOMONTH(EDATE(Bonds!$H42,6*(18-1)),0),EDATE(Bonds!$H42,6*(18-1))))</f>
        <v/>
      </c>
      <c r="W42" s="3" t="str">
        <f>IF(19&gt;$C42,"",IF($D42=1,EOMONTH(EDATE(Bonds!$H42,6*(19-1)),0),EDATE(Bonds!$H42,6*(19-1))))</f>
        <v/>
      </c>
      <c r="X42" s="3" t="str">
        <f>IF(20&gt;$C42,"",IF($D42=1,EOMONTH(EDATE(Bonds!$H42,6*(20-1)),0),EDATE(Bonds!$H42,6*(20-1))))</f>
        <v/>
      </c>
      <c r="Y42" s="3" t="str">
        <f>IF(21&gt;$C42,"",IF($D42=1,EOMONTH(EDATE(Bonds!$H42,6*(21-1)),0),EDATE(Bonds!$H42,6*(21-1))))</f>
        <v/>
      </c>
      <c r="Z42" s="3" t="str">
        <f>IF(22&gt;$C42,"",IF($D42=1,EOMONTH(EDATE(Bonds!$H42,6*(22-1)),0),EDATE(Bonds!$H42,6*(22-1))))</f>
        <v/>
      </c>
      <c r="AA42" s="3" t="str">
        <f>IF(23&gt;$C42,"",IF($D42=1,EOMONTH(EDATE(Bonds!$H42,6*(23-1)),0),EDATE(Bonds!$H42,6*(23-1))))</f>
        <v/>
      </c>
      <c r="AB42" s="3" t="str">
        <f>IF(24&gt;$C42,"",IF($D42=1,EOMONTH(EDATE(Bonds!$H42,6*(24-1)),0),EDATE(Bonds!$H42,6*(24-1))))</f>
        <v/>
      </c>
      <c r="AC42" s="3" t="str">
        <f>IF(25&gt;$C42,"",IF($D42=1,EOMONTH(EDATE(Bonds!$H42,6*(25-1)),0),EDATE(Bonds!$H42,6*(25-1))))</f>
        <v/>
      </c>
      <c r="AD42" s="3" t="str">
        <f>IF(26&gt;$C42,"",IF($D42=1,EOMONTH(EDATE(Bonds!$H42,6*(26-1)),0),EDATE(Bonds!$H42,6*(26-1))))</f>
        <v/>
      </c>
      <c r="AE42" s="3" t="str">
        <f>IF(27&gt;$C42,"",IF($D42=1,EOMONTH(EDATE(Bonds!$H42,6*(27-1)),0),EDATE(Bonds!$H42,6*(27-1))))</f>
        <v/>
      </c>
      <c r="AF42" s="3" t="str">
        <f>IF(28&gt;$C42,"",IF($D42=1,EOMONTH(EDATE(Bonds!$H42,6*(28-1)),0),EDATE(Bonds!$H42,6*(28-1))))</f>
        <v/>
      </c>
      <c r="AG42" s="3" t="str">
        <f>IF(29&gt;$C42,"",IF($D42=1,EOMONTH(EDATE(Bonds!$H42,6*(29-1)),0),EDATE(Bonds!$H42,6*(29-1))))</f>
        <v/>
      </c>
      <c r="AH42" s="3" t="str">
        <f>IF(30&gt;$C42,"",IF($D42=1,EOMONTH(EDATE(Bonds!$H42,6*(30-1)),0),EDATE(Bonds!$H42,6*(30-1))))</f>
        <v/>
      </c>
      <c r="AI42" s="3" t="str">
        <f>IF(31&gt;$C42,"",IF($D42=1,EOMONTH(EDATE(Bonds!$H42,6*(31-1)),0),EDATE(Bonds!$H42,6*(31-1))))</f>
        <v/>
      </c>
      <c r="AJ42" s="3" t="str">
        <f>IF(32&gt;$C42,"",IF($D42=1,EOMONTH(EDATE(Bonds!$H42,6*(32-1)),0),EDATE(Bonds!$H42,6*(32-1))))</f>
        <v/>
      </c>
      <c r="AK42" s="3" t="str">
        <f>IF(33&gt;$C42,"",IF($D42=1,EOMONTH(EDATE(Bonds!$H42,6*(33-1)),0),EDATE(Bonds!$H42,6*(33-1))))</f>
        <v/>
      </c>
      <c r="AL42" s="3" t="str">
        <f>IF(34&gt;$C42,"",IF($D42=1,EOMONTH(EDATE(Bonds!$H42,6*(34-1)),0),EDATE(Bonds!$H42,6*(34-1))))</f>
        <v/>
      </c>
      <c r="AM42" s="3" t="str">
        <f>IF(35&gt;$C42,"",IF($D42=1,EOMONTH(EDATE(Bonds!$H42,6*(35-1)),0),EDATE(Bonds!$H42,6*(35-1))))</f>
        <v/>
      </c>
      <c r="AN42" s="3" t="str">
        <f>IF(36&gt;$C42,"",IF($D42=1,EOMONTH(EDATE(Bonds!$H42,6*(36-1)),0),EDATE(Bonds!$H42,6*(36-1))))</f>
        <v/>
      </c>
      <c r="AO42" s="3" t="str">
        <f>IF(37&gt;$C42,"",IF($D42=1,EOMONTH(EDATE(Bonds!$H42,6*(37-1)),0),EDATE(Bonds!$H42,6*(37-1))))</f>
        <v/>
      </c>
      <c r="AP42" s="3" t="str">
        <f>IF(38&gt;$C42,"",IF($D42=1,EOMONTH(EDATE(Bonds!$H42,6*(38-1)),0),EDATE(Bonds!$H42,6*(38-1))))</f>
        <v/>
      </c>
      <c r="AQ42" s="3" t="str">
        <f>IF(39&gt;$C42,"",IF($D42=1,EOMONTH(EDATE(Bonds!$H42,6*(39-1)),0),EDATE(Bonds!$H42,6*(39-1))))</f>
        <v/>
      </c>
      <c r="AR42" s="3" t="str">
        <f>IF(40&gt;$C42,"",IF($D42=1,EOMONTH(EDATE(Bonds!$H42,6*(40-1)),0),EDATE(Bonds!$H42,6*(40-1))))</f>
        <v/>
      </c>
      <c r="AS42" s="3" t="str">
        <f>IF(41&gt;$C42,"",IF($D42=1,EOMONTH(EDATE(Bonds!$H42,6*(41-1)),0),EDATE(Bonds!$H42,6*(41-1))))</f>
        <v/>
      </c>
      <c r="AT42" s="3" t="str">
        <f>IF(42&gt;$C42,"",IF($D42=1,EOMONTH(EDATE(Bonds!$H42,6*(42-1)),0),EDATE(Bonds!$H42,6*(42-1))))</f>
        <v/>
      </c>
      <c r="AU42" s="3" t="str">
        <f>IF(43&gt;$C42,"",IF($D42=1,EOMONTH(EDATE(Bonds!$H42,6*(43-1)),0),EDATE(Bonds!$H42,6*(43-1))))</f>
        <v/>
      </c>
      <c r="AV42" s="3" t="str">
        <f>IF(44&gt;$C42,"",IF($D42=1,EOMONTH(EDATE(Bonds!$H42,6*(44-1)),0),EDATE(Bonds!$H42,6*(44-1))))</f>
        <v/>
      </c>
      <c r="AW42" s="3" t="str">
        <f>IF(45&gt;$C42,"",IF($D42=1,EOMONTH(EDATE(Bonds!$H42,6*(45-1)),0),EDATE(Bonds!$H42,6*(45-1))))</f>
        <v/>
      </c>
      <c r="AX42" s="3" t="str">
        <f>IF(46&gt;$C42,"",IF($D42=1,EOMONTH(EDATE(Bonds!$H42,6*(46-1)),0),EDATE(Bonds!$H42,6*(46-1))))</f>
        <v/>
      </c>
      <c r="AY42" s="3" t="str">
        <f>IF(47&gt;$C42,"",IF($D42=1,EOMONTH(EDATE(Bonds!$H42,6*(47-1)),0),EDATE(Bonds!$H42,6*(47-1))))</f>
        <v/>
      </c>
      <c r="AZ42" s="3" t="str">
        <f>IF(48&gt;$C42,"",IF($D42=1,EOMONTH(EDATE(Bonds!$H42,6*(48-1)),0),EDATE(Bonds!$H42,6*(48-1))))</f>
        <v/>
      </c>
      <c r="BA42" s="3" t="str">
        <f>IF(49&gt;$C42,"",IF($D42=1,EOMONTH(EDATE(Bonds!$H42,6*(49-1)),0),EDATE(Bonds!$H42,6*(49-1))))</f>
        <v/>
      </c>
      <c r="BB42" s="3" t="str">
        <f>IF(50&gt;$C42,"",IF($D42=1,EOMONTH(EDATE(Bonds!$H42,6*(50-1)),0),EDATE(Bonds!$H42,6*(50-1))))</f>
        <v/>
      </c>
      <c r="BC42" s="3" t="str">
        <f>IF(51&gt;$C42,"",IF($D42=1,EOMONTH(EDATE(Bonds!$H42,6*(51-1)),0),EDATE(Bonds!$H42,6*(51-1))))</f>
        <v/>
      </c>
      <c r="BD42" s="3" t="str">
        <f>IF(52&gt;$C42,"",IF($D42=1,EOMONTH(EDATE(Bonds!$H42,6*(52-1)),0),EDATE(Bonds!$H42,6*(52-1))))</f>
        <v/>
      </c>
      <c r="BE42" s="3" t="str">
        <f>IF(53&gt;$C42,"",IF($D42=1,EOMONTH(EDATE(Bonds!$H42,6*(53-1)),0),EDATE(Bonds!$H42,6*(53-1))))</f>
        <v/>
      </c>
      <c r="BF42" s="3" t="str">
        <f>IF(54&gt;$C42,"",IF($D42=1,EOMONTH(EDATE(Bonds!$H42,6*(54-1)),0),EDATE(Bonds!$H42,6*(54-1))))</f>
        <v/>
      </c>
      <c r="BG42" s="3" t="str">
        <f>IF(55&gt;$C42,"",IF($D42=1,EOMONTH(EDATE(Bonds!$H42,6*(55-1)),0),EDATE(Bonds!$H42,6*(55-1))))</f>
        <v/>
      </c>
      <c r="BH42" s="3" t="str">
        <f>IF(56&gt;$C42,"",IF($D42=1,EOMONTH(EDATE(Bonds!$H42,6*(56-1)),0),EDATE(Bonds!$H42,6*(56-1))))</f>
        <v/>
      </c>
      <c r="BI42" s="3" t="str">
        <f>IF(57&gt;$C42,"",IF($D42=1,EOMONTH(EDATE(Bonds!$H42,6*(57-1)),0),EDATE(Bonds!$H42,6*(57-1))))</f>
        <v/>
      </c>
      <c r="BJ42" s="3" t="str">
        <f>IF(58&gt;$C42,"",IF($D42=1,EOMONTH(EDATE(Bonds!$H42,6*(58-1)),0),EDATE(Bonds!$H42,6*(58-1))))</f>
        <v/>
      </c>
      <c r="BK42" s="3" t="str">
        <f>IF(59&gt;$C42,"",IF($D42=1,EOMONTH(EDATE(Bonds!$H42,6*(59-1)),0),EDATE(Bonds!$H42,6*(59-1))))</f>
        <v/>
      </c>
      <c r="BL42" s="3" t="str">
        <f>IF(60&gt;$C42,"",IF($D42=1,EOMONTH(EDATE(Bonds!$H42,6*(60-1)),0),EDATE(Bonds!$H42,6*(60-1))))</f>
        <v/>
      </c>
      <c r="BN42" s="7">
        <f t="shared" si="1"/>
        <v>1.8648722809951284</v>
      </c>
      <c r="BO42" s="7">
        <f t="shared" si="2"/>
        <v>99.296548524226239</v>
      </c>
      <c r="BP42" s="7">
        <f t="shared" si="3"/>
        <v>0</v>
      </c>
      <c r="BQ42" s="7">
        <f t="shared" si="4"/>
        <v>0</v>
      </c>
      <c r="BR42" s="7">
        <f t="shared" si="5"/>
        <v>0</v>
      </c>
      <c r="BS42" s="7">
        <f t="shared" si="6"/>
        <v>0</v>
      </c>
      <c r="BT42" s="7">
        <f t="shared" si="7"/>
        <v>0</v>
      </c>
      <c r="BU42" s="7">
        <f t="shared" si="8"/>
        <v>0</v>
      </c>
      <c r="BV42" s="7">
        <f t="shared" si="9"/>
        <v>0</v>
      </c>
      <c r="BW42" s="7">
        <f t="shared" si="10"/>
        <v>0</v>
      </c>
      <c r="BX42" s="7">
        <f t="shared" si="11"/>
        <v>0</v>
      </c>
      <c r="BY42" s="7">
        <f t="shared" si="12"/>
        <v>0</v>
      </c>
      <c r="BZ42" s="7">
        <f t="shared" si="13"/>
        <v>0</v>
      </c>
      <c r="CA42" s="7">
        <f t="shared" si="14"/>
        <v>0</v>
      </c>
      <c r="CB42" s="7">
        <f t="shared" si="15"/>
        <v>0</v>
      </c>
      <c r="CC42" s="7">
        <f t="shared" si="16"/>
        <v>0</v>
      </c>
      <c r="CD42" s="7">
        <f t="shared" si="17"/>
        <v>0</v>
      </c>
      <c r="CE42" s="7">
        <f t="shared" si="18"/>
        <v>0</v>
      </c>
      <c r="CF42" s="7">
        <f t="shared" si="19"/>
        <v>0</v>
      </c>
      <c r="CG42" s="7">
        <f t="shared" si="20"/>
        <v>0</v>
      </c>
      <c r="CH42" s="7">
        <f t="shared" si="21"/>
        <v>0</v>
      </c>
      <c r="CI42" s="7">
        <f t="shared" si="22"/>
        <v>0</v>
      </c>
      <c r="CJ42" s="7">
        <f t="shared" si="23"/>
        <v>0</v>
      </c>
      <c r="CK42" s="7">
        <f t="shared" si="24"/>
        <v>0</v>
      </c>
      <c r="CL42" s="7">
        <f t="shared" si="25"/>
        <v>0</v>
      </c>
      <c r="CM42" s="7">
        <f t="shared" si="26"/>
        <v>0</v>
      </c>
      <c r="CN42" s="7">
        <f t="shared" si="27"/>
        <v>0</v>
      </c>
      <c r="CO42" s="7">
        <f t="shared" si="28"/>
        <v>0</v>
      </c>
      <c r="CP42" s="7">
        <f t="shared" si="29"/>
        <v>0</v>
      </c>
      <c r="CQ42" s="7">
        <f t="shared" si="30"/>
        <v>0</v>
      </c>
      <c r="CR42" s="7">
        <f t="shared" si="31"/>
        <v>0</v>
      </c>
      <c r="CS42" s="7">
        <f t="shared" si="32"/>
        <v>0</v>
      </c>
      <c r="CT42" s="7">
        <f t="shared" si="33"/>
        <v>0</v>
      </c>
      <c r="CU42" s="7">
        <f t="shared" si="34"/>
        <v>0</v>
      </c>
      <c r="CV42" s="7">
        <f t="shared" si="35"/>
        <v>0</v>
      </c>
      <c r="CW42" s="7">
        <f t="shared" si="36"/>
        <v>0</v>
      </c>
      <c r="CX42" s="7">
        <f t="shared" si="37"/>
        <v>0</v>
      </c>
      <c r="CY42" s="7">
        <f t="shared" si="38"/>
        <v>0</v>
      </c>
      <c r="CZ42" s="7">
        <f t="shared" si="39"/>
        <v>0</v>
      </c>
      <c r="DA42" s="7">
        <f t="shared" si="40"/>
        <v>0</v>
      </c>
      <c r="DB42" s="7">
        <f t="shared" si="41"/>
        <v>0</v>
      </c>
      <c r="DC42" s="7">
        <f t="shared" si="42"/>
        <v>0</v>
      </c>
      <c r="DD42" s="7">
        <f t="shared" si="43"/>
        <v>0</v>
      </c>
      <c r="DE42" s="7">
        <f t="shared" si="44"/>
        <v>0</v>
      </c>
      <c r="DF42" s="7">
        <f t="shared" si="45"/>
        <v>0</v>
      </c>
      <c r="DG42" s="7">
        <f t="shared" si="46"/>
        <v>0</v>
      </c>
      <c r="DH42" s="7">
        <f t="shared" si="47"/>
        <v>0</v>
      </c>
      <c r="DI42" s="7">
        <f t="shared" si="48"/>
        <v>0</v>
      </c>
      <c r="DJ42" s="7">
        <f t="shared" si="49"/>
        <v>0</v>
      </c>
      <c r="DK42" s="7">
        <f t="shared" si="50"/>
        <v>0</v>
      </c>
      <c r="DL42" s="7">
        <f t="shared" si="51"/>
        <v>0</v>
      </c>
      <c r="DM42" s="7">
        <f t="shared" si="52"/>
        <v>0</v>
      </c>
      <c r="DN42" s="7">
        <f t="shared" si="53"/>
        <v>0</v>
      </c>
      <c r="DO42" s="7">
        <f t="shared" si="54"/>
        <v>0</v>
      </c>
      <c r="DP42" s="7">
        <f t="shared" si="55"/>
        <v>0</v>
      </c>
      <c r="DQ42" s="7">
        <f t="shared" si="56"/>
        <v>0</v>
      </c>
      <c r="DR42" s="7">
        <f t="shared" si="57"/>
        <v>0</v>
      </c>
      <c r="DS42" s="7">
        <f t="shared" si="58"/>
        <v>0</v>
      </c>
      <c r="DT42" s="7">
        <f t="shared" si="59"/>
        <v>0</v>
      </c>
      <c r="DU42" s="7">
        <f t="shared" si="60"/>
        <v>0</v>
      </c>
    </row>
    <row r="43" spans="1:125" x14ac:dyDescent="0.2">
      <c r="A43" s="3">
        <f>Bonds!A43</f>
        <v>46522</v>
      </c>
      <c r="B43" s="4">
        <f>Bonds!B43</f>
        <v>2.375</v>
      </c>
      <c r="C43">
        <f>Bonds!P43</f>
        <v>2</v>
      </c>
      <c r="D43">
        <f t="shared" si="0"/>
        <v>0</v>
      </c>
      <c r="E43" s="3">
        <f>IF(1&gt;$C43,"",IF($D43=1,EOMONTH(EDATE(Bonds!$H43,6*(1-1)),0),EDATE(Bonds!$H43,6*(1-1))))</f>
        <v>46341</v>
      </c>
      <c r="F43" s="3">
        <f>IF(2&gt;$C43,"",IF($D43=1,EOMONTH(EDATE(Bonds!$H43,6*(2-1)),0),EDATE(Bonds!$H43,6*(2-1))))</f>
        <v>46522</v>
      </c>
      <c r="G43" s="3" t="str">
        <f>IF(3&gt;$C43,"",IF($D43=1,EOMONTH(EDATE(Bonds!$H43,6*(3-1)),0),EDATE(Bonds!$H43,6*(3-1))))</f>
        <v/>
      </c>
      <c r="H43" s="3" t="str">
        <f>IF(4&gt;$C43,"",IF($D43=1,EOMONTH(EDATE(Bonds!$H43,6*(4-1)),0),EDATE(Bonds!$H43,6*(4-1))))</f>
        <v/>
      </c>
      <c r="I43" s="3" t="str">
        <f>IF(5&gt;$C43,"",IF($D43=1,EOMONTH(EDATE(Bonds!$H43,6*(5-1)),0),EDATE(Bonds!$H43,6*(5-1))))</f>
        <v/>
      </c>
      <c r="J43" s="3" t="str">
        <f>IF(6&gt;$C43,"",IF($D43=1,EOMONTH(EDATE(Bonds!$H43,6*(6-1)),0),EDATE(Bonds!$H43,6*(6-1))))</f>
        <v/>
      </c>
      <c r="K43" s="3" t="str">
        <f>IF(7&gt;$C43,"",IF($D43=1,EOMONTH(EDATE(Bonds!$H43,6*(7-1)),0),EDATE(Bonds!$H43,6*(7-1))))</f>
        <v/>
      </c>
      <c r="L43" s="3" t="str">
        <f>IF(8&gt;$C43,"",IF($D43=1,EOMONTH(EDATE(Bonds!$H43,6*(8-1)),0),EDATE(Bonds!$H43,6*(8-1))))</f>
        <v/>
      </c>
      <c r="M43" s="3" t="str">
        <f>IF(9&gt;$C43,"",IF($D43=1,EOMONTH(EDATE(Bonds!$H43,6*(9-1)),0),EDATE(Bonds!$H43,6*(9-1))))</f>
        <v/>
      </c>
      <c r="N43" s="3" t="str">
        <f>IF(10&gt;$C43,"",IF($D43=1,EOMONTH(EDATE(Bonds!$H43,6*(10-1)),0),EDATE(Bonds!$H43,6*(10-1))))</f>
        <v/>
      </c>
      <c r="O43" s="3" t="str">
        <f>IF(11&gt;$C43,"",IF($D43=1,EOMONTH(EDATE(Bonds!$H43,6*(11-1)),0),EDATE(Bonds!$H43,6*(11-1))))</f>
        <v/>
      </c>
      <c r="P43" s="3" t="str">
        <f>IF(12&gt;$C43,"",IF($D43=1,EOMONTH(EDATE(Bonds!$H43,6*(12-1)),0),EDATE(Bonds!$H43,6*(12-1))))</f>
        <v/>
      </c>
      <c r="Q43" s="3" t="str">
        <f>IF(13&gt;$C43,"",IF($D43=1,EOMONTH(EDATE(Bonds!$H43,6*(13-1)),0),EDATE(Bonds!$H43,6*(13-1))))</f>
        <v/>
      </c>
      <c r="R43" s="3" t="str">
        <f>IF(14&gt;$C43,"",IF($D43=1,EOMONTH(EDATE(Bonds!$H43,6*(14-1)),0),EDATE(Bonds!$H43,6*(14-1))))</f>
        <v/>
      </c>
      <c r="S43" s="3" t="str">
        <f>IF(15&gt;$C43,"",IF($D43=1,EOMONTH(EDATE(Bonds!$H43,6*(15-1)),0),EDATE(Bonds!$H43,6*(15-1))))</f>
        <v/>
      </c>
      <c r="T43" s="3" t="str">
        <f>IF(16&gt;$C43,"",IF($D43=1,EOMONTH(EDATE(Bonds!$H43,6*(16-1)),0),EDATE(Bonds!$H43,6*(16-1))))</f>
        <v/>
      </c>
      <c r="U43" s="3" t="str">
        <f>IF(17&gt;$C43,"",IF($D43=1,EOMONTH(EDATE(Bonds!$H43,6*(17-1)),0),EDATE(Bonds!$H43,6*(17-1))))</f>
        <v/>
      </c>
      <c r="V43" s="3" t="str">
        <f>IF(18&gt;$C43,"",IF($D43=1,EOMONTH(EDATE(Bonds!$H43,6*(18-1)),0),EDATE(Bonds!$H43,6*(18-1))))</f>
        <v/>
      </c>
      <c r="W43" s="3" t="str">
        <f>IF(19&gt;$C43,"",IF($D43=1,EOMONTH(EDATE(Bonds!$H43,6*(19-1)),0),EDATE(Bonds!$H43,6*(19-1))))</f>
        <v/>
      </c>
      <c r="X43" s="3" t="str">
        <f>IF(20&gt;$C43,"",IF($D43=1,EOMONTH(EDATE(Bonds!$H43,6*(20-1)),0),EDATE(Bonds!$H43,6*(20-1))))</f>
        <v/>
      </c>
      <c r="Y43" s="3" t="str">
        <f>IF(21&gt;$C43,"",IF($D43=1,EOMONTH(EDATE(Bonds!$H43,6*(21-1)),0),EDATE(Bonds!$H43,6*(21-1))))</f>
        <v/>
      </c>
      <c r="Z43" s="3" t="str">
        <f>IF(22&gt;$C43,"",IF($D43=1,EOMONTH(EDATE(Bonds!$H43,6*(22-1)),0),EDATE(Bonds!$H43,6*(22-1))))</f>
        <v/>
      </c>
      <c r="AA43" s="3" t="str">
        <f>IF(23&gt;$C43,"",IF($D43=1,EOMONTH(EDATE(Bonds!$H43,6*(23-1)),0),EDATE(Bonds!$H43,6*(23-1))))</f>
        <v/>
      </c>
      <c r="AB43" s="3" t="str">
        <f>IF(24&gt;$C43,"",IF($D43=1,EOMONTH(EDATE(Bonds!$H43,6*(24-1)),0),EDATE(Bonds!$H43,6*(24-1))))</f>
        <v/>
      </c>
      <c r="AC43" s="3" t="str">
        <f>IF(25&gt;$C43,"",IF($D43=1,EOMONTH(EDATE(Bonds!$H43,6*(25-1)),0),EDATE(Bonds!$H43,6*(25-1))))</f>
        <v/>
      </c>
      <c r="AD43" s="3" t="str">
        <f>IF(26&gt;$C43,"",IF($D43=1,EOMONTH(EDATE(Bonds!$H43,6*(26-1)),0),EDATE(Bonds!$H43,6*(26-1))))</f>
        <v/>
      </c>
      <c r="AE43" s="3" t="str">
        <f>IF(27&gt;$C43,"",IF($D43=1,EOMONTH(EDATE(Bonds!$H43,6*(27-1)),0),EDATE(Bonds!$H43,6*(27-1))))</f>
        <v/>
      </c>
      <c r="AF43" s="3" t="str">
        <f>IF(28&gt;$C43,"",IF($D43=1,EOMONTH(EDATE(Bonds!$H43,6*(28-1)),0),EDATE(Bonds!$H43,6*(28-1))))</f>
        <v/>
      </c>
      <c r="AG43" s="3" t="str">
        <f>IF(29&gt;$C43,"",IF($D43=1,EOMONTH(EDATE(Bonds!$H43,6*(29-1)),0),EDATE(Bonds!$H43,6*(29-1))))</f>
        <v/>
      </c>
      <c r="AH43" s="3" t="str">
        <f>IF(30&gt;$C43,"",IF($D43=1,EOMONTH(EDATE(Bonds!$H43,6*(30-1)),0),EDATE(Bonds!$H43,6*(30-1))))</f>
        <v/>
      </c>
      <c r="AI43" s="3" t="str">
        <f>IF(31&gt;$C43,"",IF($D43=1,EOMONTH(EDATE(Bonds!$H43,6*(31-1)),0),EDATE(Bonds!$H43,6*(31-1))))</f>
        <v/>
      </c>
      <c r="AJ43" s="3" t="str">
        <f>IF(32&gt;$C43,"",IF($D43=1,EOMONTH(EDATE(Bonds!$H43,6*(32-1)),0),EDATE(Bonds!$H43,6*(32-1))))</f>
        <v/>
      </c>
      <c r="AK43" s="3" t="str">
        <f>IF(33&gt;$C43,"",IF($D43=1,EOMONTH(EDATE(Bonds!$H43,6*(33-1)),0),EDATE(Bonds!$H43,6*(33-1))))</f>
        <v/>
      </c>
      <c r="AL43" s="3" t="str">
        <f>IF(34&gt;$C43,"",IF($D43=1,EOMONTH(EDATE(Bonds!$H43,6*(34-1)),0),EDATE(Bonds!$H43,6*(34-1))))</f>
        <v/>
      </c>
      <c r="AM43" s="3" t="str">
        <f>IF(35&gt;$C43,"",IF($D43=1,EOMONTH(EDATE(Bonds!$H43,6*(35-1)),0),EDATE(Bonds!$H43,6*(35-1))))</f>
        <v/>
      </c>
      <c r="AN43" s="3" t="str">
        <f>IF(36&gt;$C43,"",IF($D43=1,EOMONTH(EDATE(Bonds!$H43,6*(36-1)),0),EDATE(Bonds!$H43,6*(36-1))))</f>
        <v/>
      </c>
      <c r="AO43" s="3" t="str">
        <f>IF(37&gt;$C43,"",IF($D43=1,EOMONTH(EDATE(Bonds!$H43,6*(37-1)),0),EDATE(Bonds!$H43,6*(37-1))))</f>
        <v/>
      </c>
      <c r="AP43" s="3" t="str">
        <f>IF(38&gt;$C43,"",IF($D43=1,EOMONTH(EDATE(Bonds!$H43,6*(38-1)),0),EDATE(Bonds!$H43,6*(38-1))))</f>
        <v/>
      </c>
      <c r="AQ43" s="3" t="str">
        <f>IF(39&gt;$C43,"",IF($D43=1,EOMONTH(EDATE(Bonds!$H43,6*(39-1)),0),EDATE(Bonds!$H43,6*(39-1))))</f>
        <v/>
      </c>
      <c r="AR43" s="3" t="str">
        <f>IF(40&gt;$C43,"",IF($D43=1,EOMONTH(EDATE(Bonds!$H43,6*(40-1)),0),EDATE(Bonds!$H43,6*(40-1))))</f>
        <v/>
      </c>
      <c r="AS43" s="3" t="str">
        <f>IF(41&gt;$C43,"",IF($D43=1,EOMONTH(EDATE(Bonds!$H43,6*(41-1)),0),EDATE(Bonds!$H43,6*(41-1))))</f>
        <v/>
      </c>
      <c r="AT43" s="3" t="str">
        <f>IF(42&gt;$C43,"",IF($D43=1,EOMONTH(EDATE(Bonds!$H43,6*(42-1)),0),EDATE(Bonds!$H43,6*(42-1))))</f>
        <v/>
      </c>
      <c r="AU43" s="3" t="str">
        <f>IF(43&gt;$C43,"",IF($D43=1,EOMONTH(EDATE(Bonds!$H43,6*(43-1)),0),EDATE(Bonds!$H43,6*(43-1))))</f>
        <v/>
      </c>
      <c r="AV43" s="3" t="str">
        <f>IF(44&gt;$C43,"",IF($D43=1,EOMONTH(EDATE(Bonds!$H43,6*(44-1)),0),EDATE(Bonds!$H43,6*(44-1))))</f>
        <v/>
      </c>
      <c r="AW43" s="3" t="str">
        <f>IF(45&gt;$C43,"",IF($D43=1,EOMONTH(EDATE(Bonds!$H43,6*(45-1)),0),EDATE(Bonds!$H43,6*(45-1))))</f>
        <v/>
      </c>
      <c r="AX43" s="3" t="str">
        <f>IF(46&gt;$C43,"",IF($D43=1,EOMONTH(EDATE(Bonds!$H43,6*(46-1)),0),EDATE(Bonds!$H43,6*(46-1))))</f>
        <v/>
      </c>
      <c r="AY43" s="3" t="str">
        <f>IF(47&gt;$C43,"",IF($D43=1,EOMONTH(EDATE(Bonds!$H43,6*(47-1)),0),EDATE(Bonds!$H43,6*(47-1))))</f>
        <v/>
      </c>
      <c r="AZ43" s="3" t="str">
        <f>IF(48&gt;$C43,"",IF($D43=1,EOMONTH(EDATE(Bonds!$H43,6*(48-1)),0),EDATE(Bonds!$H43,6*(48-1))))</f>
        <v/>
      </c>
      <c r="BA43" s="3" t="str">
        <f>IF(49&gt;$C43,"",IF($D43=1,EOMONTH(EDATE(Bonds!$H43,6*(49-1)),0),EDATE(Bonds!$H43,6*(49-1))))</f>
        <v/>
      </c>
      <c r="BB43" s="3" t="str">
        <f>IF(50&gt;$C43,"",IF($D43=1,EOMONTH(EDATE(Bonds!$H43,6*(50-1)),0),EDATE(Bonds!$H43,6*(50-1))))</f>
        <v/>
      </c>
      <c r="BC43" s="3" t="str">
        <f>IF(51&gt;$C43,"",IF($D43=1,EOMONTH(EDATE(Bonds!$H43,6*(51-1)),0),EDATE(Bonds!$H43,6*(51-1))))</f>
        <v/>
      </c>
      <c r="BD43" s="3" t="str">
        <f>IF(52&gt;$C43,"",IF($D43=1,EOMONTH(EDATE(Bonds!$H43,6*(52-1)),0),EDATE(Bonds!$H43,6*(52-1))))</f>
        <v/>
      </c>
      <c r="BE43" s="3" t="str">
        <f>IF(53&gt;$C43,"",IF($D43=1,EOMONTH(EDATE(Bonds!$H43,6*(53-1)),0),EDATE(Bonds!$H43,6*(53-1))))</f>
        <v/>
      </c>
      <c r="BF43" s="3" t="str">
        <f>IF(54&gt;$C43,"",IF($D43=1,EOMONTH(EDATE(Bonds!$H43,6*(54-1)),0),EDATE(Bonds!$H43,6*(54-1))))</f>
        <v/>
      </c>
      <c r="BG43" s="3" t="str">
        <f>IF(55&gt;$C43,"",IF($D43=1,EOMONTH(EDATE(Bonds!$H43,6*(55-1)),0),EDATE(Bonds!$H43,6*(55-1))))</f>
        <v/>
      </c>
      <c r="BH43" s="3" t="str">
        <f>IF(56&gt;$C43,"",IF($D43=1,EOMONTH(EDATE(Bonds!$H43,6*(56-1)),0),EDATE(Bonds!$H43,6*(56-1))))</f>
        <v/>
      </c>
      <c r="BI43" s="3" t="str">
        <f>IF(57&gt;$C43,"",IF($D43=1,EOMONTH(EDATE(Bonds!$H43,6*(57-1)),0),EDATE(Bonds!$H43,6*(57-1))))</f>
        <v/>
      </c>
      <c r="BJ43" s="3" t="str">
        <f>IF(58&gt;$C43,"",IF($D43=1,EOMONTH(EDATE(Bonds!$H43,6*(58-1)),0),EDATE(Bonds!$H43,6*(58-1))))</f>
        <v/>
      </c>
      <c r="BK43" s="3" t="str">
        <f>IF(59&gt;$C43,"",IF($D43=1,EOMONTH(EDATE(Bonds!$H43,6*(59-1)),0),EDATE(Bonds!$H43,6*(59-1))))</f>
        <v/>
      </c>
      <c r="BL43" s="3" t="str">
        <f>IF(60&gt;$C43,"",IF($D43=1,EOMONTH(EDATE(Bonds!$H43,6*(60-1)),0),EDATE(Bonds!$H43,6*(60-1))))</f>
        <v/>
      </c>
      <c r="BN43" s="7">
        <f t="shared" si="1"/>
        <v>1.1792178793375221</v>
      </c>
      <c r="BO43" s="7">
        <f t="shared" si="2"/>
        <v>98.452703949238938</v>
      </c>
      <c r="BP43" s="7">
        <f t="shared" si="3"/>
        <v>0</v>
      </c>
      <c r="BQ43" s="7">
        <f t="shared" si="4"/>
        <v>0</v>
      </c>
      <c r="BR43" s="7">
        <f t="shared" si="5"/>
        <v>0</v>
      </c>
      <c r="BS43" s="7">
        <f t="shared" si="6"/>
        <v>0</v>
      </c>
      <c r="BT43" s="7">
        <f t="shared" si="7"/>
        <v>0</v>
      </c>
      <c r="BU43" s="7">
        <f t="shared" si="8"/>
        <v>0</v>
      </c>
      <c r="BV43" s="7">
        <f t="shared" si="9"/>
        <v>0</v>
      </c>
      <c r="BW43" s="7">
        <f t="shared" si="10"/>
        <v>0</v>
      </c>
      <c r="BX43" s="7">
        <f t="shared" si="11"/>
        <v>0</v>
      </c>
      <c r="BY43" s="7">
        <f t="shared" si="12"/>
        <v>0</v>
      </c>
      <c r="BZ43" s="7">
        <f t="shared" si="13"/>
        <v>0</v>
      </c>
      <c r="CA43" s="7">
        <f t="shared" si="14"/>
        <v>0</v>
      </c>
      <c r="CB43" s="7">
        <f t="shared" si="15"/>
        <v>0</v>
      </c>
      <c r="CC43" s="7">
        <f t="shared" si="16"/>
        <v>0</v>
      </c>
      <c r="CD43" s="7">
        <f t="shared" si="17"/>
        <v>0</v>
      </c>
      <c r="CE43" s="7">
        <f t="shared" si="18"/>
        <v>0</v>
      </c>
      <c r="CF43" s="7">
        <f t="shared" si="19"/>
        <v>0</v>
      </c>
      <c r="CG43" s="7">
        <f t="shared" si="20"/>
        <v>0</v>
      </c>
      <c r="CH43" s="7">
        <f t="shared" si="21"/>
        <v>0</v>
      </c>
      <c r="CI43" s="7">
        <f t="shared" si="22"/>
        <v>0</v>
      </c>
      <c r="CJ43" s="7">
        <f t="shared" si="23"/>
        <v>0</v>
      </c>
      <c r="CK43" s="7">
        <f t="shared" si="24"/>
        <v>0</v>
      </c>
      <c r="CL43" s="7">
        <f t="shared" si="25"/>
        <v>0</v>
      </c>
      <c r="CM43" s="7">
        <f t="shared" si="26"/>
        <v>0</v>
      </c>
      <c r="CN43" s="7">
        <f t="shared" si="27"/>
        <v>0</v>
      </c>
      <c r="CO43" s="7">
        <f t="shared" si="28"/>
        <v>0</v>
      </c>
      <c r="CP43" s="7">
        <f t="shared" si="29"/>
        <v>0</v>
      </c>
      <c r="CQ43" s="7">
        <f t="shared" si="30"/>
        <v>0</v>
      </c>
      <c r="CR43" s="7">
        <f t="shared" si="31"/>
        <v>0</v>
      </c>
      <c r="CS43" s="7">
        <f t="shared" si="32"/>
        <v>0</v>
      </c>
      <c r="CT43" s="7">
        <f t="shared" si="33"/>
        <v>0</v>
      </c>
      <c r="CU43" s="7">
        <f t="shared" si="34"/>
        <v>0</v>
      </c>
      <c r="CV43" s="7">
        <f t="shared" si="35"/>
        <v>0</v>
      </c>
      <c r="CW43" s="7">
        <f t="shared" si="36"/>
        <v>0</v>
      </c>
      <c r="CX43" s="7">
        <f t="shared" si="37"/>
        <v>0</v>
      </c>
      <c r="CY43" s="7">
        <f t="shared" si="38"/>
        <v>0</v>
      </c>
      <c r="CZ43" s="7">
        <f t="shared" si="39"/>
        <v>0</v>
      </c>
      <c r="DA43" s="7">
        <f t="shared" si="40"/>
        <v>0</v>
      </c>
      <c r="DB43" s="7">
        <f t="shared" si="41"/>
        <v>0</v>
      </c>
      <c r="DC43" s="7">
        <f t="shared" si="42"/>
        <v>0</v>
      </c>
      <c r="DD43" s="7">
        <f t="shared" si="43"/>
        <v>0</v>
      </c>
      <c r="DE43" s="7">
        <f t="shared" si="44"/>
        <v>0</v>
      </c>
      <c r="DF43" s="7">
        <f t="shared" si="45"/>
        <v>0</v>
      </c>
      <c r="DG43" s="7">
        <f t="shared" si="46"/>
        <v>0</v>
      </c>
      <c r="DH43" s="7">
        <f t="shared" si="47"/>
        <v>0</v>
      </c>
      <c r="DI43" s="7">
        <f t="shared" si="48"/>
        <v>0</v>
      </c>
      <c r="DJ43" s="7">
        <f t="shared" si="49"/>
        <v>0</v>
      </c>
      <c r="DK43" s="7">
        <f t="shared" si="50"/>
        <v>0</v>
      </c>
      <c r="DL43" s="7">
        <f t="shared" si="51"/>
        <v>0</v>
      </c>
      <c r="DM43" s="7">
        <f t="shared" si="52"/>
        <v>0</v>
      </c>
      <c r="DN43" s="7">
        <f t="shared" si="53"/>
        <v>0</v>
      </c>
      <c r="DO43" s="7">
        <f t="shared" si="54"/>
        <v>0</v>
      </c>
      <c r="DP43" s="7">
        <f t="shared" si="55"/>
        <v>0</v>
      </c>
      <c r="DQ43" s="7">
        <f t="shared" si="56"/>
        <v>0</v>
      </c>
      <c r="DR43" s="7">
        <f t="shared" si="57"/>
        <v>0</v>
      </c>
      <c r="DS43" s="7">
        <f t="shared" si="58"/>
        <v>0</v>
      </c>
      <c r="DT43" s="7">
        <f t="shared" si="59"/>
        <v>0</v>
      </c>
      <c r="DU43" s="7">
        <f t="shared" si="60"/>
        <v>0</v>
      </c>
    </row>
    <row r="44" spans="1:125" x14ac:dyDescent="0.2">
      <c r="A44" s="3">
        <f>Bonds!A44</f>
        <v>46522</v>
      </c>
      <c r="B44" s="4">
        <f>Bonds!B44</f>
        <v>4.5</v>
      </c>
      <c r="C44">
        <f>Bonds!P44</f>
        <v>2</v>
      </c>
      <c r="D44">
        <f t="shared" si="0"/>
        <v>0</v>
      </c>
      <c r="E44" s="3">
        <f>IF(1&gt;$C44,"",IF($D44=1,EOMONTH(EDATE(Bonds!$H44,6*(1-1)),0),EDATE(Bonds!$H44,6*(1-1))))</f>
        <v>46341</v>
      </c>
      <c r="F44" s="3">
        <f>IF(2&gt;$C44,"",IF($D44=1,EOMONTH(EDATE(Bonds!$H44,6*(2-1)),0),EDATE(Bonds!$H44,6*(2-1))))</f>
        <v>46522</v>
      </c>
      <c r="G44" s="3" t="str">
        <f>IF(3&gt;$C44,"",IF($D44=1,EOMONTH(EDATE(Bonds!$H44,6*(3-1)),0),EDATE(Bonds!$H44,6*(3-1))))</f>
        <v/>
      </c>
      <c r="H44" s="3" t="str">
        <f>IF(4&gt;$C44,"",IF($D44=1,EOMONTH(EDATE(Bonds!$H44,6*(4-1)),0),EDATE(Bonds!$H44,6*(4-1))))</f>
        <v/>
      </c>
      <c r="I44" s="3" t="str">
        <f>IF(5&gt;$C44,"",IF($D44=1,EOMONTH(EDATE(Bonds!$H44,6*(5-1)),0),EDATE(Bonds!$H44,6*(5-1))))</f>
        <v/>
      </c>
      <c r="J44" s="3" t="str">
        <f>IF(6&gt;$C44,"",IF($D44=1,EOMONTH(EDATE(Bonds!$H44,6*(6-1)),0),EDATE(Bonds!$H44,6*(6-1))))</f>
        <v/>
      </c>
      <c r="K44" s="3" t="str">
        <f>IF(7&gt;$C44,"",IF($D44=1,EOMONTH(EDATE(Bonds!$H44,6*(7-1)),0),EDATE(Bonds!$H44,6*(7-1))))</f>
        <v/>
      </c>
      <c r="L44" s="3" t="str">
        <f>IF(8&gt;$C44,"",IF($D44=1,EOMONTH(EDATE(Bonds!$H44,6*(8-1)),0),EDATE(Bonds!$H44,6*(8-1))))</f>
        <v/>
      </c>
      <c r="M44" s="3" t="str">
        <f>IF(9&gt;$C44,"",IF($D44=1,EOMONTH(EDATE(Bonds!$H44,6*(9-1)),0),EDATE(Bonds!$H44,6*(9-1))))</f>
        <v/>
      </c>
      <c r="N44" s="3" t="str">
        <f>IF(10&gt;$C44,"",IF($D44=1,EOMONTH(EDATE(Bonds!$H44,6*(10-1)),0),EDATE(Bonds!$H44,6*(10-1))))</f>
        <v/>
      </c>
      <c r="O44" s="3" t="str">
        <f>IF(11&gt;$C44,"",IF($D44=1,EOMONTH(EDATE(Bonds!$H44,6*(11-1)),0),EDATE(Bonds!$H44,6*(11-1))))</f>
        <v/>
      </c>
      <c r="P44" s="3" t="str">
        <f>IF(12&gt;$C44,"",IF($D44=1,EOMONTH(EDATE(Bonds!$H44,6*(12-1)),0),EDATE(Bonds!$H44,6*(12-1))))</f>
        <v/>
      </c>
      <c r="Q44" s="3" t="str">
        <f>IF(13&gt;$C44,"",IF($D44=1,EOMONTH(EDATE(Bonds!$H44,6*(13-1)),0),EDATE(Bonds!$H44,6*(13-1))))</f>
        <v/>
      </c>
      <c r="R44" s="3" t="str">
        <f>IF(14&gt;$C44,"",IF($D44=1,EOMONTH(EDATE(Bonds!$H44,6*(14-1)),0),EDATE(Bonds!$H44,6*(14-1))))</f>
        <v/>
      </c>
      <c r="S44" s="3" t="str">
        <f>IF(15&gt;$C44,"",IF($D44=1,EOMONTH(EDATE(Bonds!$H44,6*(15-1)),0),EDATE(Bonds!$H44,6*(15-1))))</f>
        <v/>
      </c>
      <c r="T44" s="3" t="str">
        <f>IF(16&gt;$C44,"",IF($D44=1,EOMONTH(EDATE(Bonds!$H44,6*(16-1)),0),EDATE(Bonds!$H44,6*(16-1))))</f>
        <v/>
      </c>
      <c r="U44" s="3" t="str">
        <f>IF(17&gt;$C44,"",IF($D44=1,EOMONTH(EDATE(Bonds!$H44,6*(17-1)),0),EDATE(Bonds!$H44,6*(17-1))))</f>
        <v/>
      </c>
      <c r="V44" s="3" t="str">
        <f>IF(18&gt;$C44,"",IF($D44=1,EOMONTH(EDATE(Bonds!$H44,6*(18-1)),0),EDATE(Bonds!$H44,6*(18-1))))</f>
        <v/>
      </c>
      <c r="W44" s="3" t="str">
        <f>IF(19&gt;$C44,"",IF($D44=1,EOMONTH(EDATE(Bonds!$H44,6*(19-1)),0),EDATE(Bonds!$H44,6*(19-1))))</f>
        <v/>
      </c>
      <c r="X44" s="3" t="str">
        <f>IF(20&gt;$C44,"",IF($D44=1,EOMONTH(EDATE(Bonds!$H44,6*(20-1)),0),EDATE(Bonds!$H44,6*(20-1))))</f>
        <v/>
      </c>
      <c r="Y44" s="3" t="str">
        <f>IF(21&gt;$C44,"",IF($D44=1,EOMONTH(EDATE(Bonds!$H44,6*(21-1)),0),EDATE(Bonds!$H44,6*(21-1))))</f>
        <v/>
      </c>
      <c r="Z44" s="3" t="str">
        <f>IF(22&gt;$C44,"",IF($D44=1,EOMONTH(EDATE(Bonds!$H44,6*(22-1)),0),EDATE(Bonds!$H44,6*(22-1))))</f>
        <v/>
      </c>
      <c r="AA44" s="3" t="str">
        <f>IF(23&gt;$C44,"",IF($D44=1,EOMONTH(EDATE(Bonds!$H44,6*(23-1)),0),EDATE(Bonds!$H44,6*(23-1))))</f>
        <v/>
      </c>
      <c r="AB44" s="3" t="str">
        <f>IF(24&gt;$C44,"",IF($D44=1,EOMONTH(EDATE(Bonds!$H44,6*(24-1)),0),EDATE(Bonds!$H44,6*(24-1))))</f>
        <v/>
      </c>
      <c r="AC44" s="3" t="str">
        <f>IF(25&gt;$C44,"",IF($D44=1,EOMONTH(EDATE(Bonds!$H44,6*(25-1)),0),EDATE(Bonds!$H44,6*(25-1))))</f>
        <v/>
      </c>
      <c r="AD44" s="3" t="str">
        <f>IF(26&gt;$C44,"",IF($D44=1,EOMONTH(EDATE(Bonds!$H44,6*(26-1)),0),EDATE(Bonds!$H44,6*(26-1))))</f>
        <v/>
      </c>
      <c r="AE44" s="3" t="str">
        <f>IF(27&gt;$C44,"",IF($D44=1,EOMONTH(EDATE(Bonds!$H44,6*(27-1)),0),EDATE(Bonds!$H44,6*(27-1))))</f>
        <v/>
      </c>
      <c r="AF44" s="3" t="str">
        <f>IF(28&gt;$C44,"",IF($D44=1,EOMONTH(EDATE(Bonds!$H44,6*(28-1)),0),EDATE(Bonds!$H44,6*(28-1))))</f>
        <v/>
      </c>
      <c r="AG44" s="3" t="str">
        <f>IF(29&gt;$C44,"",IF($D44=1,EOMONTH(EDATE(Bonds!$H44,6*(29-1)),0),EDATE(Bonds!$H44,6*(29-1))))</f>
        <v/>
      </c>
      <c r="AH44" s="3" t="str">
        <f>IF(30&gt;$C44,"",IF($D44=1,EOMONTH(EDATE(Bonds!$H44,6*(30-1)),0),EDATE(Bonds!$H44,6*(30-1))))</f>
        <v/>
      </c>
      <c r="AI44" s="3" t="str">
        <f>IF(31&gt;$C44,"",IF($D44=1,EOMONTH(EDATE(Bonds!$H44,6*(31-1)),0),EDATE(Bonds!$H44,6*(31-1))))</f>
        <v/>
      </c>
      <c r="AJ44" s="3" t="str">
        <f>IF(32&gt;$C44,"",IF($D44=1,EOMONTH(EDATE(Bonds!$H44,6*(32-1)),0),EDATE(Bonds!$H44,6*(32-1))))</f>
        <v/>
      </c>
      <c r="AK44" s="3" t="str">
        <f>IF(33&gt;$C44,"",IF($D44=1,EOMONTH(EDATE(Bonds!$H44,6*(33-1)),0),EDATE(Bonds!$H44,6*(33-1))))</f>
        <v/>
      </c>
      <c r="AL44" s="3" t="str">
        <f>IF(34&gt;$C44,"",IF($D44=1,EOMONTH(EDATE(Bonds!$H44,6*(34-1)),0),EDATE(Bonds!$H44,6*(34-1))))</f>
        <v/>
      </c>
      <c r="AM44" s="3" t="str">
        <f>IF(35&gt;$C44,"",IF($D44=1,EOMONTH(EDATE(Bonds!$H44,6*(35-1)),0),EDATE(Bonds!$H44,6*(35-1))))</f>
        <v/>
      </c>
      <c r="AN44" s="3" t="str">
        <f>IF(36&gt;$C44,"",IF($D44=1,EOMONTH(EDATE(Bonds!$H44,6*(36-1)),0),EDATE(Bonds!$H44,6*(36-1))))</f>
        <v/>
      </c>
      <c r="AO44" s="3" t="str">
        <f>IF(37&gt;$C44,"",IF($D44=1,EOMONTH(EDATE(Bonds!$H44,6*(37-1)),0),EDATE(Bonds!$H44,6*(37-1))))</f>
        <v/>
      </c>
      <c r="AP44" s="3" t="str">
        <f>IF(38&gt;$C44,"",IF($D44=1,EOMONTH(EDATE(Bonds!$H44,6*(38-1)),0),EDATE(Bonds!$H44,6*(38-1))))</f>
        <v/>
      </c>
      <c r="AQ44" s="3" t="str">
        <f>IF(39&gt;$C44,"",IF($D44=1,EOMONTH(EDATE(Bonds!$H44,6*(39-1)),0),EDATE(Bonds!$H44,6*(39-1))))</f>
        <v/>
      </c>
      <c r="AR44" s="3" t="str">
        <f>IF(40&gt;$C44,"",IF($D44=1,EOMONTH(EDATE(Bonds!$H44,6*(40-1)),0),EDATE(Bonds!$H44,6*(40-1))))</f>
        <v/>
      </c>
      <c r="AS44" s="3" t="str">
        <f>IF(41&gt;$C44,"",IF($D44=1,EOMONTH(EDATE(Bonds!$H44,6*(41-1)),0),EDATE(Bonds!$H44,6*(41-1))))</f>
        <v/>
      </c>
      <c r="AT44" s="3" t="str">
        <f>IF(42&gt;$C44,"",IF($D44=1,EOMONTH(EDATE(Bonds!$H44,6*(42-1)),0),EDATE(Bonds!$H44,6*(42-1))))</f>
        <v/>
      </c>
      <c r="AU44" s="3" t="str">
        <f>IF(43&gt;$C44,"",IF($D44=1,EOMONTH(EDATE(Bonds!$H44,6*(43-1)),0),EDATE(Bonds!$H44,6*(43-1))))</f>
        <v/>
      </c>
      <c r="AV44" s="3" t="str">
        <f>IF(44&gt;$C44,"",IF($D44=1,EOMONTH(EDATE(Bonds!$H44,6*(44-1)),0),EDATE(Bonds!$H44,6*(44-1))))</f>
        <v/>
      </c>
      <c r="AW44" s="3" t="str">
        <f>IF(45&gt;$C44,"",IF($D44=1,EOMONTH(EDATE(Bonds!$H44,6*(45-1)),0),EDATE(Bonds!$H44,6*(45-1))))</f>
        <v/>
      </c>
      <c r="AX44" s="3" t="str">
        <f>IF(46&gt;$C44,"",IF($D44=1,EOMONTH(EDATE(Bonds!$H44,6*(46-1)),0),EDATE(Bonds!$H44,6*(46-1))))</f>
        <v/>
      </c>
      <c r="AY44" s="3" t="str">
        <f>IF(47&gt;$C44,"",IF($D44=1,EOMONTH(EDATE(Bonds!$H44,6*(47-1)),0),EDATE(Bonds!$H44,6*(47-1))))</f>
        <v/>
      </c>
      <c r="AZ44" s="3" t="str">
        <f>IF(48&gt;$C44,"",IF($D44=1,EOMONTH(EDATE(Bonds!$H44,6*(48-1)),0),EDATE(Bonds!$H44,6*(48-1))))</f>
        <v/>
      </c>
      <c r="BA44" s="3" t="str">
        <f>IF(49&gt;$C44,"",IF($D44=1,EOMONTH(EDATE(Bonds!$H44,6*(49-1)),0),EDATE(Bonds!$H44,6*(49-1))))</f>
        <v/>
      </c>
      <c r="BB44" s="3" t="str">
        <f>IF(50&gt;$C44,"",IF($D44=1,EOMONTH(EDATE(Bonds!$H44,6*(50-1)),0),EDATE(Bonds!$H44,6*(50-1))))</f>
        <v/>
      </c>
      <c r="BC44" s="3" t="str">
        <f>IF(51&gt;$C44,"",IF($D44=1,EOMONTH(EDATE(Bonds!$H44,6*(51-1)),0),EDATE(Bonds!$H44,6*(51-1))))</f>
        <v/>
      </c>
      <c r="BD44" s="3" t="str">
        <f>IF(52&gt;$C44,"",IF($D44=1,EOMONTH(EDATE(Bonds!$H44,6*(52-1)),0),EDATE(Bonds!$H44,6*(52-1))))</f>
        <v/>
      </c>
      <c r="BE44" s="3" t="str">
        <f>IF(53&gt;$C44,"",IF($D44=1,EOMONTH(EDATE(Bonds!$H44,6*(53-1)),0),EDATE(Bonds!$H44,6*(53-1))))</f>
        <v/>
      </c>
      <c r="BF44" s="3" t="str">
        <f>IF(54&gt;$C44,"",IF($D44=1,EOMONTH(EDATE(Bonds!$H44,6*(54-1)),0),EDATE(Bonds!$H44,6*(54-1))))</f>
        <v/>
      </c>
      <c r="BG44" s="3" t="str">
        <f>IF(55&gt;$C44,"",IF($D44=1,EOMONTH(EDATE(Bonds!$H44,6*(55-1)),0),EDATE(Bonds!$H44,6*(55-1))))</f>
        <v/>
      </c>
      <c r="BH44" s="3" t="str">
        <f>IF(56&gt;$C44,"",IF($D44=1,EOMONTH(EDATE(Bonds!$H44,6*(56-1)),0),EDATE(Bonds!$H44,6*(56-1))))</f>
        <v/>
      </c>
      <c r="BI44" s="3" t="str">
        <f>IF(57&gt;$C44,"",IF($D44=1,EOMONTH(EDATE(Bonds!$H44,6*(57-1)),0),EDATE(Bonds!$H44,6*(57-1))))</f>
        <v/>
      </c>
      <c r="BJ44" s="3" t="str">
        <f>IF(58&gt;$C44,"",IF($D44=1,EOMONTH(EDATE(Bonds!$H44,6*(58-1)),0),EDATE(Bonds!$H44,6*(58-1))))</f>
        <v/>
      </c>
      <c r="BK44" s="3" t="str">
        <f>IF(59&gt;$C44,"",IF($D44=1,EOMONTH(EDATE(Bonds!$H44,6*(59-1)),0),EDATE(Bonds!$H44,6*(59-1))))</f>
        <v/>
      </c>
      <c r="BL44" s="3" t="str">
        <f>IF(60&gt;$C44,"",IF($D44=1,EOMONTH(EDATE(Bonds!$H44,6*(60-1)),0),EDATE(Bonds!$H44,6*(60-1))))</f>
        <v/>
      </c>
      <c r="BN44" s="7">
        <f t="shared" si="1"/>
        <v>2.2343075608500418</v>
      </c>
      <c r="BO44" s="7">
        <f t="shared" si="2"/>
        <v>99.486487746111735</v>
      </c>
      <c r="BP44" s="7">
        <f t="shared" si="3"/>
        <v>0</v>
      </c>
      <c r="BQ44" s="7">
        <f t="shared" si="4"/>
        <v>0</v>
      </c>
      <c r="BR44" s="7">
        <f t="shared" si="5"/>
        <v>0</v>
      </c>
      <c r="BS44" s="7">
        <f t="shared" si="6"/>
        <v>0</v>
      </c>
      <c r="BT44" s="7">
        <f t="shared" si="7"/>
        <v>0</v>
      </c>
      <c r="BU44" s="7">
        <f t="shared" si="8"/>
        <v>0</v>
      </c>
      <c r="BV44" s="7">
        <f t="shared" si="9"/>
        <v>0</v>
      </c>
      <c r="BW44" s="7">
        <f t="shared" si="10"/>
        <v>0</v>
      </c>
      <c r="BX44" s="7">
        <f t="shared" si="11"/>
        <v>0</v>
      </c>
      <c r="BY44" s="7">
        <f t="shared" si="12"/>
        <v>0</v>
      </c>
      <c r="BZ44" s="7">
        <f t="shared" si="13"/>
        <v>0</v>
      </c>
      <c r="CA44" s="7">
        <f t="shared" si="14"/>
        <v>0</v>
      </c>
      <c r="CB44" s="7">
        <f t="shared" si="15"/>
        <v>0</v>
      </c>
      <c r="CC44" s="7">
        <f t="shared" si="16"/>
        <v>0</v>
      </c>
      <c r="CD44" s="7">
        <f t="shared" si="17"/>
        <v>0</v>
      </c>
      <c r="CE44" s="7">
        <f t="shared" si="18"/>
        <v>0</v>
      </c>
      <c r="CF44" s="7">
        <f t="shared" si="19"/>
        <v>0</v>
      </c>
      <c r="CG44" s="7">
        <f t="shared" si="20"/>
        <v>0</v>
      </c>
      <c r="CH44" s="7">
        <f t="shared" si="21"/>
        <v>0</v>
      </c>
      <c r="CI44" s="7">
        <f t="shared" si="22"/>
        <v>0</v>
      </c>
      <c r="CJ44" s="7">
        <f t="shared" si="23"/>
        <v>0</v>
      </c>
      <c r="CK44" s="7">
        <f t="shared" si="24"/>
        <v>0</v>
      </c>
      <c r="CL44" s="7">
        <f t="shared" si="25"/>
        <v>0</v>
      </c>
      <c r="CM44" s="7">
        <f t="shared" si="26"/>
        <v>0</v>
      </c>
      <c r="CN44" s="7">
        <f t="shared" si="27"/>
        <v>0</v>
      </c>
      <c r="CO44" s="7">
        <f t="shared" si="28"/>
        <v>0</v>
      </c>
      <c r="CP44" s="7">
        <f t="shared" si="29"/>
        <v>0</v>
      </c>
      <c r="CQ44" s="7">
        <f t="shared" si="30"/>
        <v>0</v>
      </c>
      <c r="CR44" s="7">
        <f t="shared" si="31"/>
        <v>0</v>
      </c>
      <c r="CS44" s="7">
        <f t="shared" si="32"/>
        <v>0</v>
      </c>
      <c r="CT44" s="7">
        <f t="shared" si="33"/>
        <v>0</v>
      </c>
      <c r="CU44" s="7">
        <f t="shared" si="34"/>
        <v>0</v>
      </c>
      <c r="CV44" s="7">
        <f t="shared" si="35"/>
        <v>0</v>
      </c>
      <c r="CW44" s="7">
        <f t="shared" si="36"/>
        <v>0</v>
      </c>
      <c r="CX44" s="7">
        <f t="shared" si="37"/>
        <v>0</v>
      </c>
      <c r="CY44" s="7">
        <f t="shared" si="38"/>
        <v>0</v>
      </c>
      <c r="CZ44" s="7">
        <f t="shared" si="39"/>
        <v>0</v>
      </c>
      <c r="DA44" s="7">
        <f t="shared" si="40"/>
        <v>0</v>
      </c>
      <c r="DB44" s="7">
        <f t="shared" si="41"/>
        <v>0</v>
      </c>
      <c r="DC44" s="7">
        <f t="shared" si="42"/>
        <v>0</v>
      </c>
      <c r="DD44" s="7">
        <f t="shared" si="43"/>
        <v>0</v>
      </c>
      <c r="DE44" s="7">
        <f t="shared" si="44"/>
        <v>0</v>
      </c>
      <c r="DF44" s="7">
        <f t="shared" si="45"/>
        <v>0</v>
      </c>
      <c r="DG44" s="7">
        <f t="shared" si="46"/>
        <v>0</v>
      </c>
      <c r="DH44" s="7">
        <f t="shared" si="47"/>
        <v>0</v>
      </c>
      <c r="DI44" s="7">
        <f t="shared" si="48"/>
        <v>0</v>
      </c>
      <c r="DJ44" s="7">
        <f t="shared" si="49"/>
        <v>0</v>
      </c>
      <c r="DK44" s="7">
        <f t="shared" si="50"/>
        <v>0</v>
      </c>
      <c r="DL44" s="7">
        <f t="shared" si="51"/>
        <v>0</v>
      </c>
      <c r="DM44" s="7">
        <f t="shared" si="52"/>
        <v>0</v>
      </c>
      <c r="DN44" s="7">
        <f t="shared" si="53"/>
        <v>0</v>
      </c>
      <c r="DO44" s="7">
        <f t="shared" si="54"/>
        <v>0</v>
      </c>
      <c r="DP44" s="7">
        <f t="shared" si="55"/>
        <v>0</v>
      </c>
      <c r="DQ44" s="7">
        <f t="shared" si="56"/>
        <v>0</v>
      </c>
      <c r="DR44" s="7">
        <f t="shared" si="57"/>
        <v>0</v>
      </c>
      <c r="DS44" s="7">
        <f t="shared" si="58"/>
        <v>0</v>
      </c>
      <c r="DT44" s="7">
        <f t="shared" si="59"/>
        <v>0</v>
      </c>
      <c r="DU44" s="7">
        <f t="shared" si="60"/>
        <v>0</v>
      </c>
    </row>
    <row r="45" spans="1:125" x14ac:dyDescent="0.2">
      <c r="A45" s="3">
        <f>Bonds!A45</f>
        <v>46538</v>
      </c>
      <c r="B45" s="4">
        <f>Bonds!B45</f>
        <v>0.5</v>
      </c>
      <c r="C45">
        <f>Bonds!P45</f>
        <v>2</v>
      </c>
      <c r="D45">
        <f t="shared" si="0"/>
        <v>1</v>
      </c>
      <c r="E45" s="3">
        <f>IF(1&gt;$C45,"",IF($D45=1,EOMONTH(EDATE(Bonds!$H45,6*(1-1)),0),EDATE(Bonds!$H45,6*(1-1))))</f>
        <v>46356</v>
      </c>
      <c r="F45" s="3">
        <f>IF(2&gt;$C45,"",IF($D45=1,EOMONTH(EDATE(Bonds!$H45,6*(2-1)),0),EDATE(Bonds!$H45,6*(2-1))))</f>
        <v>46538</v>
      </c>
      <c r="G45" s="3" t="str">
        <f>IF(3&gt;$C45,"",IF($D45=1,EOMONTH(EDATE(Bonds!$H45,6*(3-1)),0),EDATE(Bonds!$H45,6*(3-1))))</f>
        <v/>
      </c>
      <c r="H45" s="3" t="str">
        <f>IF(4&gt;$C45,"",IF($D45=1,EOMONTH(EDATE(Bonds!$H45,6*(4-1)),0),EDATE(Bonds!$H45,6*(4-1))))</f>
        <v/>
      </c>
      <c r="I45" s="3" t="str">
        <f>IF(5&gt;$C45,"",IF($D45=1,EOMONTH(EDATE(Bonds!$H45,6*(5-1)),0),EDATE(Bonds!$H45,6*(5-1))))</f>
        <v/>
      </c>
      <c r="J45" s="3" t="str">
        <f>IF(6&gt;$C45,"",IF($D45=1,EOMONTH(EDATE(Bonds!$H45,6*(6-1)),0),EDATE(Bonds!$H45,6*(6-1))))</f>
        <v/>
      </c>
      <c r="K45" s="3" t="str">
        <f>IF(7&gt;$C45,"",IF($D45=1,EOMONTH(EDATE(Bonds!$H45,6*(7-1)),0),EDATE(Bonds!$H45,6*(7-1))))</f>
        <v/>
      </c>
      <c r="L45" s="3" t="str">
        <f>IF(8&gt;$C45,"",IF($D45=1,EOMONTH(EDATE(Bonds!$H45,6*(8-1)),0),EDATE(Bonds!$H45,6*(8-1))))</f>
        <v/>
      </c>
      <c r="M45" s="3" t="str">
        <f>IF(9&gt;$C45,"",IF($D45=1,EOMONTH(EDATE(Bonds!$H45,6*(9-1)),0),EDATE(Bonds!$H45,6*(9-1))))</f>
        <v/>
      </c>
      <c r="N45" s="3" t="str">
        <f>IF(10&gt;$C45,"",IF($D45=1,EOMONTH(EDATE(Bonds!$H45,6*(10-1)),0),EDATE(Bonds!$H45,6*(10-1))))</f>
        <v/>
      </c>
      <c r="O45" s="3" t="str">
        <f>IF(11&gt;$C45,"",IF($D45=1,EOMONTH(EDATE(Bonds!$H45,6*(11-1)),0),EDATE(Bonds!$H45,6*(11-1))))</f>
        <v/>
      </c>
      <c r="P45" s="3" t="str">
        <f>IF(12&gt;$C45,"",IF($D45=1,EOMONTH(EDATE(Bonds!$H45,6*(12-1)),0),EDATE(Bonds!$H45,6*(12-1))))</f>
        <v/>
      </c>
      <c r="Q45" s="3" t="str">
        <f>IF(13&gt;$C45,"",IF($D45=1,EOMONTH(EDATE(Bonds!$H45,6*(13-1)),0),EDATE(Bonds!$H45,6*(13-1))))</f>
        <v/>
      </c>
      <c r="R45" s="3" t="str">
        <f>IF(14&gt;$C45,"",IF($D45=1,EOMONTH(EDATE(Bonds!$H45,6*(14-1)),0),EDATE(Bonds!$H45,6*(14-1))))</f>
        <v/>
      </c>
      <c r="S45" s="3" t="str">
        <f>IF(15&gt;$C45,"",IF($D45=1,EOMONTH(EDATE(Bonds!$H45,6*(15-1)),0),EDATE(Bonds!$H45,6*(15-1))))</f>
        <v/>
      </c>
      <c r="T45" s="3" t="str">
        <f>IF(16&gt;$C45,"",IF($D45=1,EOMONTH(EDATE(Bonds!$H45,6*(16-1)),0),EDATE(Bonds!$H45,6*(16-1))))</f>
        <v/>
      </c>
      <c r="U45" s="3" t="str">
        <f>IF(17&gt;$C45,"",IF($D45=1,EOMONTH(EDATE(Bonds!$H45,6*(17-1)),0),EDATE(Bonds!$H45,6*(17-1))))</f>
        <v/>
      </c>
      <c r="V45" s="3" t="str">
        <f>IF(18&gt;$C45,"",IF($D45=1,EOMONTH(EDATE(Bonds!$H45,6*(18-1)),0),EDATE(Bonds!$H45,6*(18-1))))</f>
        <v/>
      </c>
      <c r="W45" s="3" t="str">
        <f>IF(19&gt;$C45,"",IF($D45=1,EOMONTH(EDATE(Bonds!$H45,6*(19-1)),0),EDATE(Bonds!$H45,6*(19-1))))</f>
        <v/>
      </c>
      <c r="X45" s="3" t="str">
        <f>IF(20&gt;$C45,"",IF($D45=1,EOMONTH(EDATE(Bonds!$H45,6*(20-1)),0),EDATE(Bonds!$H45,6*(20-1))))</f>
        <v/>
      </c>
      <c r="Y45" s="3" t="str">
        <f>IF(21&gt;$C45,"",IF($D45=1,EOMONTH(EDATE(Bonds!$H45,6*(21-1)),0),EDATE(Bonds!$H45,6*(21-1))))</f>
        <v/>
      </c>
      <c r="Z45" s="3" t="str">
        <f>IF(22&gt;$C45,"",IF($D45=1,EOMONTH(EDATE(Bonds!$H45,6*(22-1)),0),EDATE(Bonds!$H45,6*(22-1))))</f>
        <v/>
      </c>
      <c r="AA45" s="3" t="str">
        <f>IF(23&gt;$C45,"",IF($D45=1,EOMONTH(EDATE(Bonds!$H45,6*(23-1)),0),EDATE(Bonds!$H45,6*(23-1))))</f>
        <v/>
      </c>
      <c r="AB45" s="3" t="str">
        <f>IF(24&gt;$C45,"",IF($D45=1,EOMONTH(EDATE(Bonds!$H45,6*(24-1)),0),EDATE(Bonds!$H45,6*(24-1))))</f>
        <v/>
      </c>
      <c r="AC45" s="3" t="str">
        <f>IF(25&gt;$C45,"",IF($D45=1,EOMONTH(EDATE(Bonds!$H45,6*(25-1)),0),EDATE(Bonds!$H45,6*(25-1))))</f>
        <v/>
      </c>
      <c r="AD45" s="3" t="str">
        <f>IF(26&gt;$C45,"",IF($D45=1,EOMONTH(EDATE(Bonds!$H45,6*(26-1)),0),EDATE(Bonds!$H45,6*(26-1))))</f>
        <v/>
      </c>
      <c r="AE45" s="3" t="str">
        <f>IF(27&gt;$C45,"",IF($D45=1,EOMONTH(EDATE(Bonds!$H45,6*(27-1)),0),EDATE(Bonds!$H45,6*(27-1))))</f>
        <v/>
      </c>
      <c r="AF45" s="3" t="str">
        <f>IF(28&gt;$C45,"",IF($D45=1,EOMONTH(EDATE(Bonds!$H45,6*(28-1)),0),EDATE(Bonds!$H45,6*(28-1))))</f>
        <v/>
      </c>
      <c r="AG45" s="3" t="str">
        <f>IF(29&gt;$C45,"",IF($D45=1,EOMONTH(EDATE(Bonds!$H45,6*(29-1)),0),EDATE(Bonds!$H45,6*(29-1))))</f>
        <v/>
      </c>
      <c r="AH45" s="3" t="str">
        <f>IF(30&gt;$C45,"",IF($D45=1,EOMONTH(EDATE(Bonds!$H45,6*(30-1)),0),EDATE(Bonds!$H45,6*(30-1))))</f>
        <v/>
      </c>
      <c r="AI45" s="3" t="str">
        <f>IF(31&gt;$C45,"",IF($D45=1,EOMONTH(EDATE(Bonds!$H45,6*(31-1)),0),EDATE(Bonds!$H45,6*(31-1))))</f>
        <v/>
      </c>
      <c r="AJ45" s="3" t="str">
        <f>IF(32&gt;$C45,"",IF($D45=1,EOMONTH(EDATE(Bonds!$H45,6*(32-1)),0),EDATE(Bonds!$H45,6*(32-1))))</f>
        <v/>
      </c>
      <c r="AK45" s="3" t="str">
        <f>IF(33&gt;$C45,"",IF($D45=1,EOMONTH(EDATE(Bonds!$H45,6*(33-1)),0),EDATE(Bonds!$H45,6*(33-1))))</f>
        <v/>
      </c>
      <c r="AL45" s="3" t="str">
        <f>IF(34&gt;$C45,"",IF($D45=1,EOMONTH(EDATE(Bonds!$H45,6*(34-1)),0),EDATE(Bonds!$H45,6*(34-1))))</f>
        <v/>
      </c>
      <c r="AM45" s="3" t="str">
        <f>IF(35&gt;$C45,"",IF($D45=1,EOMONTH(EDATE(Bonds!$H45,6*(35-1)),0),EDATE(Bonds!$H45,6*(35-1))))</f>
        <v/>
      </c>
      <c r="AN45" s="3" t="str">
        <f>IF(36&gt;$C45,"",IF($D45=1,EOMONTH(EDATE(Bonds!$H45,6*(36-1)),0),EDATE(Bonds!$H45,6*(36-1))))</f>
        <v/>
      </c>
      <c r="AO45" s="3" t="str">
        <f>IF(37&gt;$C45,"",IF($D45=1,EOMONTH(EDATE(Bonds!$H45,6*(37-1)),0),EDATE(Bonds!$H45,6*(37-1))))</f>
        <v/>
      </c>
      <c r="AP45" s="3" t="str">
        <f>IF(38&gt;$C45,"",IF($D45=1,EOMONTH(EDATE(Bonds!$H45,6*(38-1)),0),EDATE(Bonds!$H45,6*(38-1))))</f>
        <v/>
      </c>
      <c r="AQ45" s="3" t="str">
        <f>IF(39&gt;$C45,"",IF($D45=1,EOMONTH(EDATE(Bonds!$H45,6*(39-1)),0),EDATE(Bonds!$H45,6*(39-1))))</f>
        <v/>
      </c>
      <c r="AR45" s="3" t="str">
        <f>IF(40&gt;$C45,"",IF($D45=1,EOMONTH(EDATE(Bonds!$H45,6*(40-1)),0),EDATE(Bonds!$H45,6*(40-1))))</f>
        <v/>
      </c>
      <c r="AS45" s="3" t="str">
        <f>IF(41&gt;$C45,"",IF($D45=1,EOMONTH(EDATE(Bonds!$H45,6*(41-1)),0),EDATE(Bonds!$H45,6*(41-1))))</f>
        <v/>
      </c>
      <c r="AT45" s="3" t="str">
        <f>IF(42&gt;$C45,"",IF($D45=1,EOMONTH(EDATE(Bonds!$H45,6*(42-1)),0),EDATE(Bonds!$H45,6*(42-1))))</f>
        <v/>
      </c>
      <c r="AU45" s="3" t="str">
        <f>IF(43&gt;$C45,"",IF($D45=1,EOMONTH(EDATE(Bonds!$H45,6*(43-1)),0),EDATE(Bonds!$H45,6*(43-1))))</f>
        <v/>
      </c>
      <c r="AV45" s="3" t="str">
        <f>IF(44&gt;$C45,"",IF($D45=1,EOMONTH(EDATE(Bonds!$H45,6*(44-1)),0),EDATE(Bonds!$H45,6*(44-1))))</f>
        <v/>
      </c>
      <c r="AW45" s="3" t="str">
        <f>IF(45&gt;$C45,"",IF($D45=1,EOMONTH(EDATE(Bonds!$H45,6*(45-1)),0),EDATE(Bonds!$H45,6*(45-1))))</f>
        <v/>
      </c>
      <c r="AX45" s="3" t="str">
        <f>IF(46&gt;$C45,"",IF($D45=1,EOMONTH(EDATE(Bonds!$H45,6*(46-1)),0),EDATE(Bonds!$H45,6*(46-1))))</f>
        <v/>
      </c>
      <c r="AY45" s="3" t="str">
        <f>IF(47&gt;$C45,"",IF($D45=1,EOMONTH(EDATE(Bonds!$H45,6*(47-1)),0),EDATE(Bonds!$H45,6*(47-1))))</f>
        <v/>
      </c>
      <c r="AZ45" s="3" t="str">
        <f>IF(48&gt;$C45,"",IF($D45=1,EOMONTH(EDATE(Bonds!$H45,6*(48-1)),0),EDATE(Bonds!$H45,6*(48-1))))</f>
        <v/>
      </c>
      <c r="BA45" s="3" t="str">
        <f>IF(49&gt;$C45,"",IF($D45=1,EOMONTH(EDATE(Bonds!$H45,6*(49-1)),0),EDATE(Bonds!$H45,6*(49-1))))</f>
        <v/>
      </c>
      <c r="BB45" s="3" t="str">
        <f>IF(50&gt;$C45,"",IF($D45=1,EOMONTH(EDATE(Bonds!$H45,6*(50-1)),0),EDATE(Bonds!$H45,6*(50-1))))</f>
        <v/>
      </c>
      <c r="BC45" s="3" t="str">
        <f>IF(51&gt;$C45,"",IF($D45=1,EOMONTH(EDATE(Bonds!$H45,6*(51-1)),0),EDATE(Bonds!$H45,6*(51-1))))</f>
        <v/>
      </c>
      <c r="BD45" s="3" t="str">
        <f>IF(52&gt;$C45,"",IF($D45=1,EOMONTH(EDATE(Bonds!$H45,6*(52-1)),0),EDATE(Bonds!$H45,6*(52-1))))</f>
        <v/>
      </c>
      <c r="BE45" s="3" t="str">
        <f>IF(53&gt;$C45,"",IF($D45=1,EOMONTH(EDATE(Bonds!$H45,6*(53-1)),0),EDATE(Bonds!$H45,6*(53-1))))</f>
        <v/>
      </c>
      <c r="BF45" s="3" t="str">
        <f>IF(54&gt;$C45,"",IF($D45=1,EOMONTH(EDATE(Bonds!$H45,6*(54-1)),0),EDATE(Bonds!$H45,6*(54-1))))</f>
        <v/>
      </c>
      <c r="BG45" s="3" t="str">
        <f>IF(55&gt;$C45,"",IF($D45=1,EOMONTH(EDATE(Bonds!$H45,6*(55-1)),0),EDATE(Bonds!$H45,6*(55-1))))</f>
        <v/>
      </c>
      <c r="BH45" s="3" t="str">
        <f>IF(56&gt;$C45,"",IF($D45=1,EOMONTH(EDATE(Bonds!$H45,6*(56-1)),0),EDATE(Bonds!$H45,6*(56-1))))</f>
        <v/>
      </c>
      <c r="BI45" s="3" t="str">
        <f>IF(57&gt;$C45,"",IF($D45=1,EOMONTH(EDATE(Bonds!$H45,6*(57-1)),0),EDATE(Bonds!$H45,6*(57-1))))</f>
        <v/>
      </c>
      <c r="BJ45" s="3" t="str">
        <f>IF(58&gt;$C45,"",IF($D45=1,EOMONTH(EDATE(Bonds!$H45,6*(58-1)),0),EDATE(Bonds!$H45,6*(58-1))))</f>
        <v/>
      </c>
      <c r="BK45" s="3" t="str">
        <f>IF(59&gt;$C45,"",IF($D45=1,EOMONTH(EDATE(Bonds!$H45,6*(59-1)),0),EDATE(Bonds!$H45,6*(59-1))))</f>
        <v/>
      </c>
      <c r="BL45" s="3" t="str">
        <f>IF(60&gt;$C45,"",IF($D45=1,EOMONTH(EDATE(Bonds!$H45,6*(60-1)),0),EDATE(Bonds!$H45,6*(60-1))))</f>
        <v/>
      </c>
      <c r="BN45" s="7">
        <f t="shared" si="1"/>
        <v>0.24785882665897918</v>
      </c>
      <c r="BO45" s="7">
        <f t="shared" si="2"/>
        <v>97.356195848128721</v>
      </c>
      <c r="BP45" s="7">
        <f t="shared" si="3"/>
        <v>0</v>
      </c>
      <c r="BQ45" s="7">
        <f t="shared" si="4"/>
        <v>0</v>
      </c>
      <c r="BR45" s="7">
        <f t="shared" si="5"/>
        <v>0</v>
      </c>
      <c r="BS45" s="7">
        <f t="shared" si="6"/>
        <v>0</v>
      </c>
      <c r="BT45" s="7">
        <f t="shared" si="7"/>
        <v>0</v>
      </c>
      <c r="BU45" s="7">
        <f t="shared" si="8"/>
        <v>0</v>
      </c>
      <c r="BV45" s="7">
        <f t="shared" si="9"/>
        <v>0</v>
      </c>
      <c r="BW45" s="7">
        <f t="shared" si="10"/>
        <v>0</v>
      </c>
      <c r="BX45" s="7">
        <f t="shared" si="11"/>
        <v>0</v>
      </c>
      <c r="BY45" s="7">
        <f t="shared" si="12"/>
        <v>0</v>
      </c>
      <c r="BZ45" s="7">
        <f t="shared" si="13"/>
        <v>0</v>
      </c>
      <c r="CA45" s="7">
        <f t="shared" si="14"/>
        <v>0</v>
      </c>
      <c r="CB45" s="7">
        <f t="shared" si="15"/>
        <v>0</v>
      </c>
      <c r="CC45" s="7">
        <f t="shared" si="16"/>
        <v>0</v>
      </c>
      <c r="CD45" s="7">
        <f t="shared" si="17"/>
        <v>0</v>
      </c>
      <c r="CE45" s="7">
        <f t="shared" si="18"/>
        <v>0</v>
      </c>
      <c r="CF45" s="7">
        <f t="shared" si="19"/>
        <v>0</v>
      </c>
      <c r="CG45" s="7">
        <f t="shared" si="20"/>
        <v>0</v>
      </c>
      <c r="CH45" s="7">
        <f t="shared" si="21"/>
        <v>0</v>
      </c>
      <c r="CI45" s="7">
        <f t="shared" si="22"/>
        <v>0</v>
      </c>
      <c r="CJ45" s="7">
        <f t="shared" si="23"/>
        <v>0</v>
      </c>
      <c r="CK45" s="7">
        <f t="shared" si="24"/>
        <v>0</v>
      </c>
      <c r="CL45" s="7">
        <f t="shared" si="25"/>
        <v>0</v>
      </c>
      <c r="CM45" s="7">
        <f t="shared" si="26"/>
        <v>0</v>
      </c>
      <c r="CN45" s="7">
        <f t="shared" si="27"/>
        <v>0</v>
      </c>
      <c r="CO45" s="7">
        <f t="shared" si="28"/>
        <v>0</v>
      </c>
      <c r="CP45" s="7">
        <f t="shared" si="29"/>
        <v>0</v>
      </c>
      <c r="CQ45" s="7">
        <f t="shared" si="30"/>
        <v>0</v>
      </c>
      <c r="CR45" s="7">
        <f t="shared" si="31"/>
        <v>0</v>
      </c>
      <c r="CS45" s="7">
        <f t="shared" si="32"/>
        <v>0</v>
      </c>
      <c r="CT45" s="7">
        <f t="shared" si="33"/>
        <v>0</v>
      </c>
      <c r="CU45" s="7">
        <f t="shared" si="34"/>
        <v>0</v>
      </c>
      <c r="CV45" s="7">
        <f t="shared" si="35"/>
        <v>0</v>
      </c>
      <c r="CW45" s="7">
        <f t="shared" si="36"/>
        <v>0</v>
      </c>
      <c r="CX45" s="7">
        <f t="shared" si="37"/>
        <v>0</v>
      </c>
      <c r="CY45" s="7">
        <f t="shared" si="38"/>
        <v>0</v>
      </c>
      <c r="CZ45" s="7">
        <f t="shared" si="39"/>
        <v>0</v>
      </c>
      <c r="DA45" s="7">
        <f t="shared" si="40"/>
        <v>0</v>
      </c>
      <c r="DB45" s="7">
        <f t="shared" si="41"/>
        <v>0</v>
      </c>
      <c r="DC45" s="7">
        <f t="shared" si="42"/>
        <v>0</v>
      </c>
      <c r="DD45" s="7">
        <f t="shared" si="43"/>
        <v>0</v>
      </c>
      <c r="DE45" s="7">
        <f t="shared" si="44"/>
        <v>0</v>
      </c>
      <c r="DF45" s="7">
        <f t="shared" si="45"/>
        <v>0</v>
      </c>
      <c r="DG45" s="7">
        <f t="shared" si="46"/>
        <v>0</v>
      </c>
      <c r="DH45" s="7">
        <f t="shared" si="47"/>
        <v>0</v>
      </c>
      <c r="DI45" s="7">
        <f t="shared" si="48"/>
        <v>0</v>
      </c>
      <c r="DJ45" s="7">
        <f t="shared" si="49"/>
        <v>0</v>
      </c>
      <c r="DK45" s="7">
        <f t="shared" si="50"/>
        <v>0</v>
      </c>
      <c r="DL45" s="7">
        <f t="shared" si="51"/>
        <v>0</v>
      </c>
      <c r="DM45" s="7">
        <f t="shared" si="52"/>
        <v>0</v>
      </c>
      <c r="DN45" s="7">
        <f t="shared" si="53"/>
        <v>0</v>
      </c>
      <c r="DO45" s="7">
        <f t="shared" si="54"/>
        <v>0</v>
      </c>
      <c r="DP45" s="7">
        <f t="shared" si="55"/>
        <v>0</v>
      </c>
      <c r="DQ45" s="7">
        <f t="shared" si="56"/>
        <v>0</v>
      </c>
      <c r="DR45" s="7">
        <f t="shared" si="57"/>
        <v>0</v>
      </c>
      <c r="DS45" s="7">
        <f t="shared" si="58"/>
        <v>0</v>
      </c>
      <c r="DT45" s="7">
        <f t="shared" si="59"/>
        <v>0</v>
      </c>
      <c r="DU45" s="7">
        <f t="shared" si="60"/>
        <v>0</v>
      </c>
    </row>
    <row r="46" spans="1:125" x14ac:dyDescent="0.2">
      <c r="A46" s="3">
        <f>Bonds!A46</f>
        <v>46538</v>
      </c>
      <c r="B46" s="4">
        <f>Bonds!B46</f>
        <v>2.625</v>
      </c>
      <c r="C46">
        <f>Bonds!P46</f>
        <v>2</v>
      </c>
      <c r="D46">
        <f t="shared" si="0"/>
        <v>1</v>
      </c>
      <c r="E46" s="3">
        <f>IF(1&gt;$C46,"",IF($D46=1,EOMONTH(EDATE(Bonds!$H46,6*(1-1)),0),EDATE(Bonds!$H46,6*(1-1))))</f>
        <v>46356</v>
      </c>
      <c r="F46" s="3">
        <f>IF(2&gt;$C46,"",IF($D46=1,EOMONTH(EDATE(Bonds!$H46,6*(2-1)),0),EDATE(Bonds!$H46,6*(2-1))))</f>
        <v>46538</v>
      </c>
      <c r="G46" s="3" t="str">
        <f>IF(3&gt;$C46,"",IF($D46=1,EOMONTH(EDATE(Bonds!$H46,6*(3-1)),0),EDATE(Bonds!$H46,6*(3-1))))</f>
        <v/>
      </c>
      <c r="H46" s="3" t="str">
        <f>IF(4&gt;$C46,"",IF($D46=1,EOMONTH(EDATE(Bonds!$H46,6*(4-1)),0),EDATE(Bonds!$H46,6*(4-1))))</f>
        <v/>
      </c>
      <c r="I46" s="3" t="str">
        <f>IF(5&gt;$C46,"",IF($D46=1,EOMONTH(EDATE(Bonds!$H46,6*(5-1)),0),EDATE(Bonds!$H46,6*(5-1))))</f>
        <v/>
      </c>
      <c r="J46" s="3" t="str">
        <f>IF(6&gt;$C46,"",IF($D46=1,EOMONTH(EDATE(Bonds!$H46,6*(6-1)),0),EDATE(Bonds!$H46,6*(6-1))))</f>
        <v/>
      </c>
      <c r="K46" s="3" t="str">
        <f>IF(7&gt;$C46,"",IF($D46=1,EOMONTH(EDATE(Bonds!$H46,6*(7-1)),0),EDATE(Bonds!$H46,6*(7-1))))</f>
        <v/>
      </c>
      <c r="L46" s="3" t="str">
        <f>IF(8&gt;$C46,"",IF($D46=1,EOMONTH(EDATE(Bonds!$H46,6*(8-1)),0),EDATE(Bonds!$H46,6*(8-1))))</f>
        <v/>
      </c>
      <c r="M46" s="3" t="str">
        <f>IF(9&gt;$C46,"",IF($D46=1,EOMONTH(EDATE(Bonds!$H46,6*(9-1)),0),EDATE(Bonds!$H46,6*(9-1))))</f>
        <v/>
      </c>
      <c r="N46" s="3" t="str">
        <f>IF(10&gt;$C46,"",IF($D46=1,EOMONTH(EDATE(Bonds!$H46,6*(10-1)),0),EDATE(Bonds!$H46,6*(10-1))))</f>
        <v/>
      </c>
      <c r="O46" s="3" t="str">
        <f>IF(11&gt;$C46,"",IF($D46=1,EOMONTH(EDATE(Bonds!$H46,6*(11-1)),0),EDATE(Bonds!$H46,6*(11-1))))</f>
        <v/>
      </c>
      <c r="P46" s="3" t="str">
        <f>IF(12&gt;$C46,"",IF($D46=1,EOMONTH(EDATE(Bonds!$H46,6*(12-1)),0),EDATE(Bonds!$H46,6*(12-1))))</f>
        <v/>
      </c>
      <c r="Q46" s="3" t="str">
        <f>IF(13&gt;$C46,"",IF($D46=1,EOMONTH(EDATE(Bonds!$H46,6*(13-1)),0),EDATE(Bonds!$H46,6*(13-1))))</f>
        <v/>
      </c>
      <c r="R46" s="3" t="str">
        <f>IF(14&gt;$C46,"",IF($D46=1,EOMONTH(EDATE(Bonds!$H46,6*(14-1)),0),EDATE(Bonds!$H46,6*(14-1))))</f>
        <v/>
      </c>
      <c r="S46" s="3" t="str">
        <f>IF(15&gt;$C46,"",IF($D46=1,EOMONTH(EDATE(Bonds!$H46,6*(15-1)),0),EDATE(Bonds!$H46,6*(15-1))))</f>
        <v/>
      </c>
      <c r="T46" s="3" t="str">
        <f>IF(16&gt;$C46,"",IF($D46=1,EOMONTH(EDATE(Bonds!$H46,6*(16-1)),0),EDATE(Bonds!$H46,6*(16-1))))</f>
        <v/>
      </c>
      <c r="U46" s="3" t="str">
        <f>IF(17&gt;$C46,"",IF($D46=1,EOMONTH(EDATE(Bonds!$H46,6*(17-1)),0),EDATE(Bonds!$H46,6*(17-1))))</f>
        <v/>
      </c>
      <c r="V46" s="3" t="str">
        <f>IF(18&gt;$C46,"",IF($D46=1,EOMONTH(EDATE(Bonds!$H46,6*(18-1)),0),EDATE(Bonds!$H46,6*(18-1))))</f>
        <v/>
      </c>
      <c r="W46" s="3" t="str">
        <f>IF(19&gt;$C46,"",IF($D46=1,EOMONTH(EDATE(Bonds!$H46,6*(19-1)),0),EDATE(Bonds!$H46,6*(19-1))))</f>
        <v/>
      </c>
      <c r="X46" s="3" t="str">
        <f>IF(20&gt;$C46,"",IF($D46=1,EOMONTH(EDATE(Bonds!$H46,6*(20-1)),0),EDATE(Bonds!$H46,6*(20-1))))</f>
        <v/>
      </c>
      <c r="Y46" s="3" t="str">
        <f>IF(21&gt;$C46,"",IF($D46=1,EOMONTH(EDATE(Bonds!$H46,6*(21-1)),0),EDATE(Bonds!$H46,6*(21-1))))</f>
        <v/>
      </c>
      <c r="Z46" s="3" t="str">
        <f>IF(22&gt;$C46,"",IF($D46=1,EOMONTH(EDATE(Bonds!$H46,6*(22-1)),0),EDATE(Bonds!$H46,6*(22-1))))</f>
        <v/>
      </c>
      <c r="AA46" s="3" t="str">
        <f>IF(23&gt;$C46,"",IF($D46=1,EOMONTH(EDATE(Bonds!$H46,6*(23-1)),0),EDATE(Bonds!$H46,6*(23-1))))</f>
        <v/>
      </c>
      <c r="AB46" s="3" t="str">
        <f>IF(24&gt;$C46,"",IF($D46=1,EOMONTH(EDATE(Bonds!$H46,6*(24-1)),0),EDATE(Bonds!$H46,6*(24-1))))</f>
        <v/>
      </c>
      <c r="AC46" s="3" t="str">
        <f>IF(25&gt;$C46,"",IF($D46=1,EOMONTH(EDATE(Bonds!$H46,6*(25-1)),0),EDATE(Bonds!$H46,6*(25-1))))</f>
        <v/>
      </c>
      <c r="AD46" s="3" t="str">
        <f>IF(26&gt;$C46,"",IF($D46=1,EOMONTH(EDATE(Bonds!$H46,6*(26-1)),0),EDATE(Bonds!$H46,6*(26-1))))</f>
        <v/>
      </c>
      <c r="AE46" s="3" t="str">
        <f>IF(27&gt;$C46,"",IF($D46=1,EOMONTH(EDATE(Bonds!$H46,6*(27-1)),0),EDATE(Bonds!$H46,6*(27-1))))</f>
        <v/>
      </c>
      <c r="AF46" s="3" t="str">
        <f>IF(28&gt;$C46,"",IF($D46=1,EOMONTH(EDATE(Bonds!$H46,6*(28-1)),0),EDATE(Bonds!$H46,6*(28-1))))</f>
        <v/>
      </c>
      <c r="AG46" s="3" t="str">
        <f>IF(29&gt;$C46,"",IF($D46=1,EOMONTH(EDATE(Bonds!$H46,6*(29-1)),0),EDATE(Bonds!$H46,6*(29-1))))</f>
        <v/>
      </c>
      <c r="AH46" s="3" t="str">
        <f>IF(30&gt;$C46,"",IF($D46=1,EOMONTH(EDATE(Bonds!$H46,6*(30-1)),0),EDATE(Bonds!$H46,6*(30-1))))</f>
        <v/>
      </c>
      <c r="AI46" s="3" t="str">
        <f>IF(31&gt;$C46,"",IF($D46=1,EOMONTH(EDATE(Bonds!$H46,6*(31-1)),0),EDATE(Bonds!$H46,6*(31-1))))</f>
        <v/>
      </c>
      <c r="AJ46" s="3" t="str">
        <f>IF(32&gt;$C46,"",IF($D46=1,EOMONTH(EDATE(Bonds!$H46,6*(32-1)),0),EDATE(Bonds!$H46,6*(32-1))))</f>
        <v/>
      </c>
      <c r="AK46" s="3" t="str">
        <f>IF(33&gt;$C46,"",IF($D46=1,EOMONTH(EDATE(Bonds!$H46,6*(33-1)),0),EDATE(Bonds!$H46,6*(33-1))))</f>
        <v/>
      </c>
      <c r="AL46" s="3" t="str">
        <f>IF(34&gt;$C46,"",IF($D46=1,EOMONTH(EDATE(Bonds!$H46,6*(34-1)),0),EDATE(Bonds!$H46,6*(34-1))))</f>
        <v/>
      </c>
      <c r="AM46" s="3" t="str">
        <f>IF(35&gt;$C46,"",IF($D46=1,EOMONTH(EDATE(Bonds!$H46,6*(35-1)),0),EDATE(Bonds!$H46,6*(35-1))))</f>
        <v/>
      </c>
      <c r="AN46" s="3" t="str">
        <f>IF(36&gt;$C46,"",IF($D46=1,EOMONTH(EDATE(Bonds!$H46,6*(36-1)),0),EDATE(Bonds!$H46,6*(36-1))))</f>
        <v/>
      </c>
      <c r="AO46" s="3" t="str">
        <f>IF(37&gt;$C46,"",IF($D46=1,EOMONTH(EDATE(Bonds!$H46,6*(37-1)),0),EDATE(Bonds!$H46,6*(37-1))))</f>
        <v/>
      </c>
      <c r="AP46" s="3" t="str">
        <f>IF(38&gt;$C46,"",IF($D46=1,EOMONTH(EDATE(Bonds!$H46,6*(38-1)),0),EDATE(Bonds!$H46,6*(38-1))))</f>
        <v/>
      </c>
      <c r="AQ46" s="3" t="str">
        <f>IF(39&gt;$C46,"",IF($D46=1,EOMONTH(EDATE(Bonds!$H46,6*(39-1)),0),EDATE(Bonds!$H46,6*(39-1))))</f>
        <v/>
      </c>
      <c r="AR46" s="3" t="str">
        <f>IF(40&gt;$C46,"",IF($D46=1,EOMONTH(EDATE(Bonds!$H46,6*(40-1)),0),EDATE(Bonds!$H46,6*(40-1))))</f>
        <v/>
      </c>
      <c r="AS46" s="3" t="str">
        <f>IF(41&gt;$C46,"",IF($D46=1,EOMONTH(EDATE(Bonds!$H46,6*(41-1)),0),EDATE(Bonds!$H46,6*(41-1))))</f>
        <v/>
      </c>
      <c r="AT46" s="3" t="str">
        <f>IF(42&gt;$C46,"",IF($D46=1,EOMONTH(EDATE(Bonds!$H46,6*(42-1)),0),EDATE(Bonds!$H46,6*(42-1))))</f>
        <v/>
      </c>
      <c r="AU46" s="3" t="str">
        <f>IF(43&gt;$C46,"",IF($D46=1,EOMONTH(EDATE(Bonds!$H46,6*(43-1)),0),EDATE(Bonds!$H46,6*(43-1))))</f>
        <v/>
      </c>
      <c r="AV46" s="3" t="str">
        <f>IF(44&gt;$C46,"",IF($D46=1,EOMONTH(EDATE(Bonds!$H46,6*(44-1)),0),EDATE(Bonds!$H46,6*(44-1))))</f>
        <v/>
      </c>
      <c r="AW46" s="3" t="str">
        <f>IF(45&gt;$C46,"",IF($D46=1,EOMONTH(EDATE(Bonds!$H46,6*(45-1)),0),EDATE(Bonds!$H46,6*(45-1))))</f>
        <v/>
      </c>
      <c r="AX46" s="3" t="str">
        <f>IF(46&gt;$C46,"",IF($D46=1,EOMONTH(EDATE(Bonds!$H46,6*(46-1)),0),EDATE(Bonds!$H46,6*(46-1))))</f>
        <v/>
      </c>
      <c r="AY46" s="3" t="str">
        <f>IF(47&gt;$C46,"",IF($D46=1,EOMONTH(EDATE(Bonds!$H46,6*(47-1)),0),EDATE(Bonds!$H46,6*(47-1))))</f>
        <v/>
      </c>
      <c r="AZ46" s="3" t="str">
        <f>IF(48&gt;$C46,"",IF($D46=1,EOMONTH(EDATE(Bonds!$H46,6*(48-1)),0),EDATE(Bonds!$H46,6*(48-1))))</f>
        <v/>
      </c>
      <c r="BA46" s="3" t="str">
        <f>IF(49&gt;$C46,"",IF($D46=1,EOMONTH(EDATE(Bonds!$H46,6*(49-1)),0),EDATE(Bonds!$H46,6*(49-1))))</f>
        <v/>
      </c>
      <c r="BB46" s="3" t="str">
        <f>IF(50&gt;$C46,"",IF($D46=1,EOMONTH(EDATE(Bonds!$H46,6*(50-1)),0),EDATE(Bonds!$H46,6*(50-1))))</f>
        <v/>
      </c>
      <c r="BC46" s="3" t="str">
        <f>IF(51&gt;$C46,"",IF($D46=1,EOMONTH(EDATE(Bonds!$H46,6*(51-1)),0),EDATE(Bonds!$H46,6*(51-1))))</f>
        <v/>
      </c>
      <c r="BD46" s="3" t="str">
        <f>IF(52&gt;$C46,"",IF($D46=1,EOMONTH(EDATE(Bonds!$H46,6*(52-1)),0),EDATE(Bonds!$H46,6*(52-1))))</f>
        <v/>
      </c>
      <c r="BE46" s="3" t="str">
        <f>IF(53&gt;$C46,"",IF($D46=1,EOMONTH(EDATE(Bonds!$H46,6*(53-1)),0),EDATE(Bonds!$H46,6*(53-1))))</f>
        <v/>
      </c>
      <c r="BF46" s="3" t="str">
        <f>IF(54&gt;$C46,"",IF($D46=1,EOMONTH(EDATE(Bonds!$H46,6*(54-1)),0),EDATE(Bonds!$H46,6*(54-1))))</f>
        <v/>
      </c>
      <c r="BG46" s="3" t="str">
        <f>IF(55&gt;$C46,"",IF($D46=1,EOMONTH(EDATE(Bonds!$H46,6*(55-1)),0),EDATE(Bonds!$H46,6*(55-1))))</f>
        <v/>
      </c>
      <c r="BH46" s="3" t="str">
        <f>IF(56&gt;$C46,"",IF($D46=1,EOMONTH(EDATE(Bonds!$H46,6*(56-1)),0),EDATE(Bonds!$H46,6*(56-1))))</f>
        <v/>
      </c>
      <c r="BI46" s="3" t="str">
        <f>IF(57&gt;$C46,"",IF($D46=1,EOMONTH(EDATE(Bonds!$H46,6*(57-1)),0),EDATE(Bonds!$H46,6*(57-1))))</f>
        <v/>
      </c>
      <c r="BJ46" s="3" t="str">
        <f>IF(58&gt;$C46,"",IF($D46=1,EOMONTH(EDATE(Bonds!$H46,6*(58-1)),0),EDATE(Bonds!$H46,6*(58-1))))</f>
        <v/>
      </c>
      <c r="BK46" s="3" t="str">
        <f>IF(59&gt;$C46,"",IF($D46=1,EOMONTH(EDATE(Bonds!$H46,6*(59-1)),0),EDATE(Bonds!$H46,6*(59-1))))</f>
        <v/>
      </c>
      <c r="BL46" s="3" t="str">
        <f>IF(60&gt;$C46,"",IF($D46=1,EOMONTH(EDATE(Bonds!$H46,6*(60-1)),0),EDATE(Bonds!$H46,6*(60-1))))</f>
        <v/>
      </c>
      <c r="BN46" s="7">
        <f t="shared" si="1"/>
        <v>1.3012588399596408</v>
      </c>
      <c r="BO46" s="7">
        <f t="shared" si="2"/>
        <v>98.388025854000404</v>
      </c>
      <c r="BP46" s="7">
        <f t="shared" si="3"/>
        <v>0</v>
      </c>
      <c r="BQ46" s="7">
        <f t="shared" si="4"/>
        <v>0</v>
      </c>
      <c r="BR46" s="7">
        <f t="shared" si="5"/>
        <v>0</v>
      </c>
      <c r="BS46" s="7">
        <f t="shared" si="6"/>
        <v>0</v>
      </c>
      <c r="BT46" s="7">
        <f t="shared" si="7"/>
        <v>0</v>
      </c>
      <c r="BU46" s="7">
        <f t="shared" si="8"/>
        <v>0</v>
      </c>
      <c r="BV46" s="7">
        <f t="shared" si="9"/>
        <v>0</v>
      </c>
      <c r="BW46" s="7">
        <f t="shared" si="10"/>
        <v>0</v>
      </c>
      <c r="BX46" s="7">
        <f t="shared" si="11"/>
        <v>0</v>
      </c>
      <c r="BY46" s="7">
        <f t="shared" si="12"/>
        <v>0</v>
      </c>
      <c r="BZ46" s="7">
        <f t="shared" si="13"/>
        <v>0</v>
      </c>
      <c r="CA46" s="7">
        <f t="shared" si="14"/>
        <v>0</v>
      </c>
      <c r="CB46" s="7">
        <f t="shared" si="15"/>
        <v>0</v>
      </c>
      <c r="CC46" s="7">
        <f t="shared" si="16"/>
        <v>0</v>
      </c>
      <c r="CD46" s="7">
        <f t="shared" si="17"/>
        <v>0</v>
      </c>
      <c r="CE46" s="7">
        <f t="shared" si="18"/>
        <v>0</v>
      </c>
      <c r="CF46" s="7">
        <f t="shared" si="19"/>
        <v>0</v>
      </c>
      <c r="CG46" s="7">
        <f t="shared" si="20"/>
        <v>0</v>
      </c>
      <c r="CH46" s="7">
        <f t="shared" si="21"/>
        <v>0</v>
      </c>
      <c r="CI46" s="7">
        <f t="shared" si="22"/>
        <v>0</v>
      </c>
      <c r="CJ46" s="7">
        <f t="shared" si="23"/>
        <v>0</v>
      </c>
      <c r="CK46" s="7">
        <f t="shared" si="24"/>
        <v>0</v>
      </c>
      <c r="CL46" s="7">
        <f t="shared" si="25"/>
        <v>0</v>
      </c>
      <c r="CM46" s="7">
        <f t="shared" si="26"/>
        <v>0</v>
      </c>
      <c r="CN46" s="7">
        <f t="shared" si="27"/>
        <v>0</v>
      </c>
      <c r="CO46" s="7">
        <f t="shared" si="28"/>
        <v>0</v>
      </c>
      <c r="CP46" s="7">
        <f t="shared" si="29"/>
        <v>0</v>
      </c>
      <c r="CQ46" s="7">
        <f t="shared" si="30"/>
        <v>0</v>
      </c>
      <c r="CR46" s="7">
        <f t="shared" si="31"/>
        <v>0</v>
      </c>
      <c r="CS46" s="7">
        <f t="shared" si="32"/>
        <v>0</v>
      </c>
      <c r="CT46" s="7">
        <f t="shared" si="33"/>
        <v>0</v>
      </c>
      <c r="CU46" s="7">
        <f t="shared" si="34"/>
        <v>0</v>
      </c>
      <c r="CV46" s="7">
        <f t="shared" si="35"/>
        <v>0</v>
      </c>
      <c r="CW46" s="7">
        <f t="shared" si="36"/>
        <v>0</v>
      </c>
      <c r="CX46" s="7">
        <f t="shared" si="37"/>
        <v>0</v>
      </c>
      <c r="CY46" s="7">
        <f t="shared" si="38"/>
        <v>0</v>
      </c>
      <c r="CZ46" s="7">
        <f t="shared" si="39"/>
        <v>0</v>
      </c>
      <c r="DA46" s="7">
        <f t="shared" si="40"/>
        <v>0</v>
      </c>
      <c r="DB46" s="7">
        <f t="shared" si="41"/>
        <v>0</v>
      </c>
      <c r="DC46" s="7">
        <f t="shared" si="42"/>
        <v>0</v>
      </c>
      <c r="DD46" s="7">
        <f t="shared" si="43"/>
        <v>0</v>
      </c>
      <c r="DE46" s="7">
        <f t="shared" si="44"/>
        <v>0</v>
      </c>
      <c r="DF46" s="7">
        <f t="shared" si="45"/>
        <v>0</v>
      </c>
      <c r="DG46" s="7">
        <f t="shared" si="46"/>
        <v>0</v>
      </c>
      <c r="DH46" s="7">
        <f t="shared" si="47"/>
        <v>0</v>
      </c>
      <c r="DI46" s="7">
        <f t="shared" si="48"/>
        <v>0</v>
      </c>
      <c r="DJ46" s="7">
        <f t="shared" si="49"/>
        <v>0</v>
      </c>
      <c r="DK46" s="7">
        <f t="shared" si="50"/>
        <v>0</v>
      </c>
      <c r="DL46" s="7">
        <f t="shared" si="51"/>
        <v>0</v>
      </c>
      <c r="DM46" s="7">
        <f t="shared" si="52"/>
        <v>0</v>
      </c>
      <c r="DN46" s="7">
        <f t="shared" si="53"/>
        <v>0</v>
      </c>
      <c r="DO46" s="7">
        <f t="shared" si="54"/>
        <v>0</v>
      </c>
      <c r="DP46" s="7">
        <f t="shared" si="55"/>
        <v>0</v>
      </c>
      <c r="DQ46" s="7">
        <f t="shared" si="56"/>
        <v>0</v>
      </c>
      <c r="DR46" s="7">
        <f t="shared" si="57"/>
        <v>0</v>
      </c>
      <c r="DS46" s="7">
        <f t="shared" si="58"/>
        <v>0</v>
      </c>
      <c r="DT46" s="7">
        <f t="shared" si="59"/>
        <v>0</v>
      </c>
      <c r="DU46" s="7">
        <f t="shared" si="60"/>
        <v>0</v>
      </c>
    </row>
    <row r="47" spans="1:125" x14ac:dyDescent="0.2">
      <c r="A47" s="3">
        <f>Bonds!A47</f>
        <v>46538</v>
      </c>
      <c r="B47" s="4">
        <f>Bonds!B47</f>
        <v>3.875</v>
      </c>
      <c r="C47">
        <f>Bonds!P47</f>
        <v>2</v>
      </c>
      <c r="D47">
        <f t="shared" si="0"/>
        <v>1</v>
      </c>
      <c r="E47" s="3">
        <f>IF(1&gt;$C47,"",IF($D47=1,EOMONTH(EDATE(Bonds!$H47,6*(1-1)),0),EDATE(Bonds!$H47,6*(1-1))))</f>
        <v>46356</v>
      </c>
      <c r="F47" s="3">
        <f>IF(2&gt;$C47,"",IF($D47=1,EOMONTH(EDATE(Bonds!$H47,6*(2-1)),0),EDATE(Bonds!$H47,6*(2-1))))</f>
        <v>46538</v>
      </c>
      <c r="G47" s="3" t="str">
        <f>IF(3&gt;$C47,"",IF($D47=1,EOMONTH(EDATE(Bonds!$H47,6*(3-1)),0),EDATE(Bonds!$H47,6*(3-1))))</f>
        <v/>
      </c>
      <c r="H47" s="3" t="str">
        <f>IF(4&gt;$C47,"",IF($D47=1,EOMONTH(EDATE(Bonds!$H47,6*(4-1)),0),EDATE(Bonds!$H47,6*(4-1))))</f>
        <v/>
      </c>
      <c r="I47" s="3" t="str">
        <f>IF(5&gt;$C47,"",IF($D47=1,EOMONTH(EDATE(Bonds!$H47,6*(5-1)),0),EDATE(Bonds!$H47,6*(5-1))))</f>
        <v/>
      </c>
      <c r="J47" s="3" t="str">
        <f>IF(6&gt;$C47,"",IF($D47=1,EOMONTH(EDATE(Bonds!$H47,6*(6-1)),0),EDATE(Bonds!$H47,6*(6-1))))</f>
        <v/>
      </c>
      <c r="K47" s="3" t="str">
        <f>IF(7&gt;$C47,"",IF($D47=1,EOMONTH(EDATE(Bonds!$H47,6*(7-1)),0),EDATE(Bonds!$H47,6*(7-1))))</f>
        <v/>
      </c>
      <c r="L47" s="3" t="str">
        <f>IF(8&gt;$C47,"",IF($D47=1,EOMONTH(EDATE(Bonds!$H47,6*(8-1)),0),EDATE(Bonds!$H47,6*(8-1))))</f>
        <v/>
      </c>
      <c r="M47" s="3" t="str">
        <f>IF(9&gt;$C47,"",IF($D47=1,EOMONTH(EDATE(Bonds!$H47,6*(9-1)),0),EDATE(Bonds!$H47,6*(9-1))))</f>
        <v/>
      </c>
      <c r="N47" s="3" t="str">
        <f>IF(10&gt;$C47,"",IF($D47=1,EOMONTH(EDATE(Bonds!$H47,6*(10-1)),0),EDATE(Bonds!$H47,6*(10-1))))</f>
        <v/>
      </c>
      <c r="O47" s="3" t="str">
        <f>IF(11&gt;$C47,"",IF($D47=1,EOMONTH(EDATE(Bonds!$H47,6*(11-1)),0),EDATE(Bonds!$H47,6*(11-1))))</f>
        <v/>
      </c>
      <c r="P47" s="3" t="str">
        <f>IF(12&gt;$C47,"",IF($D47=1,EOMONTH(EDATE(Bonds!$H47,6*(12-1)),0),EDATE(Bonds!$H47,6*(12-1))))</f>
        <v/>
      </c>
      <c r="Q47" s="3" t="str">
        <f>IF(13&gt;$C47,"",IF($D47=1,EOMONTH(EDATE(Bonds!$H47,6*(13-1)),0),EDATE(Bonds!$H47,6*(13-1))))</f>
        <v/>
      </c>
      <c r="R47" s="3" t="str">
        <f>IF(14&gt;$C47,"",IF($D47=1,EOMONTH(EDATE(Bonds!$H47,6*(14-1)),0),EDATE(Bonds!$H47,6*(14-1))))</f>
        <v/>
      </c>
      <c r="S47" s="3" t="str">
        <f>IF(15&gt;$C47,"",IF($D47=1,EOMONTH(EDATE(Bonds!$H47,6*(15-1)),0),EDATE(Bonds!$H47,6*(15-1))))</f>
        <v/>
      </c>
      <c r="T47" s="3" t="str">
        <f>IF(16&gt;$C47,"",IF($D47=1,EOMONTH(EDATE(Bonds!$H47,6*(16-1)),0),EDATE(Bonds!$H47,6*(16-1))))</f>
        <v/>
      </c>
      <c r="U47" s="3" t="str">
        <f>IF(17&gt;$C47,"",IF($D47=1,EOMONTH(EDATE(Bonds!$H47,6*(17-1)),0),EDATE(Bonds!$H47,6*(17-1))))</f>
        <v/>
      </c>
      <c r="V47" s="3" t="str">
        <f>IF(18&gt;$C47,"",IF($D47=1,EOMONTH(EDATE(Bonds!$H47,6*(18-1)),0),EDATE(Bonds!$H47,6*(18-1))))</f>
        <v/>
      </c>
      <c r="W47" s="3" t="str">
        <f>IF(19&gt;$C47,"",IF($D47=1,EOMONTH(EDATE(Bonds!$H47,6*(19-1)),0),EDATE(Bonds!$H47,6*(19-1))))</f>
        <v/>
      </c>
      <c r="X47" s="3" t="str">
        <f>IF(20&gt;$C47,"",IF($D47=1,EOMONTH(EDATE(Bonds!$H47,6*(20-1)),0),EDATE(Bonds!$H47,6*(20-1))))</f>
        <v/>
      </c>
      <c r="Y47" s="3" t="str">
        <f>IF(21&gt;$C47,"",IF($D47=1,EOMONTH(EDATE(Bonds!$H47,6*(21-1)),0),EDATE(Bonds!$H47,6*(21-1))))</f>
        <v/>
      </c>
      <c r="Z47" s="3" t="str">
        <f>IF(22&gt;$C47,"",IF($D47=1,EOMONTH(EDATE(Bonds!$H47,6*(22-1)),0),EDATE(Bonds!$H47,6*(22-1))))</f>
        <v/>
      </c>
      <c r="AA47" s="3" t="str">
        <f>IF(23&gt;$C47,"",IF($D47=1,EOMONTH(EDATE(Bonds!$H47,6*(23-1)),0),EDATE(Bonds!$H47,6*(23-1))))</f>
        <v/>
      </c>
      <c r="AB47" s="3" t="str">
        <f>IF(24&gt;$C47,"",IF($D47=1,EOMONTH(EDATE(Bonds!$H47,6*(24-1)),0),EDATE(Bonds!$H47,6*(24-1))))</f>
        <v/>
      </c>
      <c r="AC47" s="3" t="str">
        <f>IF(25&gt;$C47,"",IF($D47=1,EOMONTH(EDATE(Bonds!$H47,6*(25-1)),0),EDATE(Bonds!$H47,6*(25-1))))</f>
        <v/>
      </c>
      <c r="AD47" s="3" t="str">
        <f>IF(26&gt;$C47,"",IF($D47=1,EOMONTH(EDATE(Bonds!$H47,6*(26-1)),0),EDATE(Bonds!$H47,6*(26-1))))</f>
        <v/>
      </c>
      <c r="AE47" s="3" t="str">
        <f>IF(27&gt;$C47,"",IF($D47=1,EOMONTH(EDATE(Bonds!$H47,6*(27-1)),0),EDATE(Bonds!$H47,6*(27-1))))</f>
        <v/>
      </c>
      <c r="AF47" s="3" t="str">
        <f>IF(28&gt;$C47,"",IF($D47=1,EOMONTH(EDATE(Bonds!$H47,6*(28-1)),0),EDATE(Bonds!$H47,6*(28-1))))</f>
        <v/>
      </c>
      <c r="AG47" s="3" t="str">
        <f>IF(29&gt;$C47,"",IF($D47=1,EOMONTH(EDATE(Bonds!$H47,6*(29-1)),0),EDATE(Bonds!$H47,6*(29-1))))</f>
        <v/>
      </c>
      <c r="AH47" s="3" t="str">
        <f>IF(30&gt;$C47,"",IF($D47=1,EOMONTH(EDATE(Bonds!$H47,6*(30-1)),0),EDATE(Bonds!$H47,6*(30-1))))</f>
        <v/>
      </c>
      <c r="AI47" s="3" t="str">
        <f>IF(31&gt;$C47,"",IF($D47=1,EOMONTH(EDATE(Bonds!$H47,6*(31-1)),0),EDATE(Bonds!$H47,6*(31-1))))</f>
        <v/>
      </c>
      <c r="AJ47" s="3" t="str">
        <f>IF(32&gt;$C47,"",IF($D47=1,EOMONTH(EDATE(Bonds!$H47,6*(32-1)),0),EDATE(Bonds!$H47,6*(32-1))))</f>
        <v/>
      </c>
      <c r="AK47" s="3" t="str">
        <f>IF(33&gt;$C47,"",IF($D47=1,EOMONTH(EDATE(Bonds!$H47,6*(33-1)),0),EDATE(Bonds!$H47,6*(33-1))))</f>
        <v/>
      </c>
      <c r="AL47" s="3" t="str">
        <f>IF(34&gt;$C47,"",IF($D47=1,EOMONTH(EDATE(Bonds!$H47,6*(34-1)),0),EDATE(Bonds!$H47,6*(34-1))))</f>
        <v/>
      </c>
      <c r="AM47" s="3" t="str">
        <f>IF(35&gt;$C47,"",IF($D47=1,EOMONTH(EDATE(Bonds!$H47,6*(35-1)),0),EDATE(Bonds!$H47,6*(35-1))))</f>
        <v/>
      </c>
      <c r="AN47" s="3" t="str">
        <f>IF(36&gt;$C47,"",IF($D47=1,EOMONTH(EDATE(Bonds!$H47,6*(36-1)),0),EDATE(Bonds!$H47,6*(36-1))))</f>
        <v/>
      </c>
      <c r="AO47" s="3" t="str">
        <f>IF(37&gt;$C47,"",IF($D47=1,EOMONTH(EDATE(Bonds!$H47,6*(37-1)),0),EDATE(Bonds!$H47,6*(37-1))))</f>
        <v/>
      </c>
      <c r="AP47" s="3" t="str">
        <f>IF(38&gt;$C47,"",IF($D47=1,EOMONTH(EDATE(Bonds!$H47,6*(38-1)),0),EDATE(Bonds!$H47,6*(38-1))))</f>
        <v/>
      </c>
      <c r="AQ47" s="3" t="str">
        <f>IF(39&gt;$C47,"",IF($D47=1,EOMONTH(EDATE(Bonds!$H47,6*(39-1)),0),EDATE(Bonds!$H47,6*(39-1))))</f>
        <v/>
      </c>
      <c r="AR47" s="3" t="str">
        <f>IF(40&gt;$C47,"",IF($D47=1,EOMONTH(EDATE(Bonds!$H47,6*(40-1)),0),EDATE(Bonds!$H47,6*(40-1))))</f>
        <v/>
      </c>
      <c r="AS47" s="3" t="str">
        <f>IF(41&gt;$C47,"",IF($D47=1,EOMONTH(EDATE(Bonds!$H47,6*(41-1)),0),EDATE(Bonds!$H47,6*(41-1))))</f>
        <v/>
      </c>
      <c r="AT47" s="3" t="str">
        <f>IF(42&gt;$C47,"",IF($D47=1,EOMONTH(EDATE(Bonds!$H47,6*(42-1)),0),EDATE(Bonds!$H47,6*(42-1))))</f>
        <v/>
      </c>
      <c r="AU47" s="3" t="str">
        <f>IF(43&gt;$C47,"",IF($D47=1,EOMONTH(EDATE(Bonds!$H47,6*(43-1)),0),EDATE(Bonds!$H47,6*(43-1))))</f>
        <v/>
      </c>
      <c r="AV47" s="3" t="str">
        <f>IF(44&gt;$C47,"",IF($D47=1,EOMONTH(EDATE(Bonds!$H47,6*(44-1)),0),EDATE(Bonds!$H47,6*(44-1))))</f>
        <v/>
      </c>
      <c r="AW47" s="3" t="str">
        <f>IF(45&gt;$C47,"",IF($D47=1,EOMONTH(EDATE(Bonds!$H47,6*(45-1)),0),EDATE(Bonds!$H47,6*(45-1))))</f>
        <v/>
      </c>
      <c r="AX47" s="3" t="str">
        <f>IF(46&gt;$C47,"",IF($D47=1,EOMONTH(EDATE(Bonds!$H47,6*(46-1)),0),EDATE(Bonds!$H47,6*(46-1))))</f>
        <v/>
      </c>
      <c r="AY47" s="3" t="str">
        <f>IF(47&gt;$C47,"",IF($D47=1,EOMONTH(EDATE(Bonds!$H47,6*(47-1)),0),EDATE(Bonds!$H47,6*(47-1))))</f>
        <v/>
      </c>
      <c r="AZ47" s="3" t="str">
        <f>IF(48&gt;$C47,"",IF($D47=1,EOMONTH(EDATE(Bonds!$H47,6*(48-1)),0),EDATE(Bonds!$H47,6*(48-1))))</f>
        <v/>
      </c>
      <c r="BA47" s="3" t="str">
        <f>IF(49&gt;$C47,"",IF($D47=1,EOMONTH(EDATE(Bonds!$H47,6*(49-1)),0),EDATE(Bonds!$H47,6*(49-1))))</f>
        <v/>
      </c>
      <c r="BB47" s="3" t="str">
        <f>IF(50&gt;$C47,"",IF($D47=1,EOMONTH(EDATE(Bonds!$H47,6*(50-1)),0),EDATE(Bonds!$H47,6*(50-1))))</f>
        <v/>
      </c>
      <c r="BC47" s="3" t="str">
        <f>IF(51&gt;$C47,"",IF($D47=1,EOMONTH(EDATE(Bonds!$H47,6*(51-1)),0),EDATE(Bonds!$H47,6*(51-1))))</f>
        <v/>
      </c>
      <c r="BD47" s="3" t="str">
        <f>IF(52&gt;$C47,"",IF($D47=1,EOMONTH(EDATE(Bonds!$H47,6*(52-1)),0),EDATE(Bonds!$H47,6*(52-1))))</f>
        <v/>
      </c>
      <c r="BE47" s="3" t="str">
        <f>IF(53&gt;$C47,"",IF($D47=1,EOMONTH(EDATE(Bonds!$H47,6*(53-1)),0),EDATE(Bonds!$H47,6*(53-1))))</f>
        <v/>
      </c>
      <c r="BF47" s="3" t="str">
        <f>IF(54&gt;$C47,"",IF($D47=1,EOMONTH(EDATE(Bonds!$H47,6*(54-1)),0),EDATE(Bonds!$H47,6*(54-1))))</f>
        <v/>
      </c>
      <c r="BG47" s="3" t="str">
        <f>IF(55&gt;$C47,"",IF($D47=1,EOMONTH(EDATE(Bonds!$H47,6*(55-1)),0),EDATE(Bonds!$H47,6*(55-1))))</f>
        <v/>
      </c>
      <c r="BH47" s="3" t="str">
        <f>IF(56&gt;$C47,"",IF($D47=1,EOMONTH(EDATE(Bonds!$H47,6*(56-1)),0),EDATE(Bonds!$H47,6*(56-1))))</f>
        <v/>
      </c>
      <c r="BI47" s="3" t="str">
        <f>IF(57&gt;$C47,"",IF($D47=1,EOMONTH(EDATE(Bonds!$H47,6*(57-1)),0),EDATE(Bonds!$H47,6*(57-1))))</f>
        <v/>
      </c>
      <c r="BJ47" s="3" t="str">
        <f>IF(58&gt;$C47,"",IF($D47=1,EOMONTH(EDATE(Bonds!$H47,6*(58-1)),0),EDATE(Bonds!$H47,6*(58-1))))</f>
        <v/>
      </c>
      <c r="BK47" s="3" t="str">
        <f>IF(59&gt;$C47,"",IF($D47=1,EOMONTH(EDATE(Bonds!$H47,6*(59-1)),0),EDATE(Bonds!$H47,6*(59-1))))</f>
        <v/>
      </c>
      <c r="BL47" s="3" t="str">
        <f>IF(60&gt;$C47,"",IF($D47=1,EOMONTH(EDATE(Bonds!$H47,6*(60-1)),0),EDATE(Bonds!$H47,6*(60-1))))</f>
        <v/>
      </c>
      <c r="BN47" s="7">
        <f t="shared" si="1"/>
        <v>1.9209059066070886</v>
      </c>
      <c r="BO47" s="7">
        <f t="shared" si="2"/>
        <v>98.994984680983748</v>
      </c>
      <c r="BP47" s="7">
        <f t="shared" si="3"/>
        <v>0</v>
      </c>
      <c r="BQ47" s="7">
        <f t="shared" si="4"/>
        <v>0</v>
      </c>
      <c r="BR47" s="7">
        <f t="shared" si="5"/>
        <v>0</v>
      </c>
      <c r="BS47" s="7">
        <f t="shared" si="6"/>
        <v>0</v>
      </c>
      <c r="BT47" s="7">
        <f t="shared" si="7"/>
        <v>0</v>
      </c>
      <c r="BU47" s="7">
        <f t="shared" si="8"/>
        <v>0</v>
      </c>
      <c r="BV47" s="7">
        <f t="shared" si="9"/>
        <v>0</v>
      </c>
      <c r="BW47" s="7">
        <f t="shared" si="10"/>
        <v>0</v>
      </c>
      <c r="BX47" s="7">
        <f t="shared" si="11"/>
        <v>0</v>
      </c>
      <c r="BY47" s="7">
        <f t="shared" si="12"/>
        <v>0</v>
      </c>
      <c r="BZ47" s="7">
        <f t="shared" si="13"/>
        <v>0</v>
      </c>
      <c r="CA47" s="7">
        <f t="shared" si="14"/>
        <v>0</v>
      </c>
      <c r="CB47" s="7">
        <f t="shared" si="15"/>
        <v>0</v>
      </c>
      <c r="CC47" s="7">
        <f t="shared" si="16"/>
        <v>0</v>
      </c>
      <c r="CD47" s="7">
        <f t="shared" si="17"/>
        <v>0</v>
      </c>
      <c r="CE47" s="7">
        <f t="shared" si="18"/>
        <v>0</v>
      </c>
      <c r="CF47" s="7">
        <f t="shared" si="19"/>
        <v>0</v>
      </c>
      <c r="CG47" s="7">
        <f t="shared" si="20"/>
        <v>0</v>
      </c>
      <c r="CH47" s="7">
        <f t="shared" si="21"/>
        <v>0</v>
      </c>
      <c r="CI47" s="7">
        <f t="shared" si="22"/>
        <v>0</v>
      </c>
      <c r="CJ47" s="7">
        <f t="shared" si="23"/>
        <v>0</v>
      </c>
      <c r="CK47" s="7">
        <f t="shared" si="24"/>
        <v>0</v>
      </c>
      <c r="CL47" s="7">
        <f t="shared" si="25"/>
        <v>0</v>
      </c>
      <c r="CM47" s="7">
        <f t="shared" si="26"/>
        <v>0</v>
      </c>
      <c r="CN47" s="7">
        <f t="shared" si="27"/>
        <v>0</v>
      </c>
      <c r="CO47" s="7">
        <f t="shared" si="28"/>
        <v>0</v>
      </c>
      <c r="CP47" s="7">
        <f t="shared" si="29"/>
        <v>0</v>
      </c>
      <c r="CQ47" s="7">
        <f t="shared" si="30"/>
        <v>0</v>
      </c>
      <c r="CR47" s="7">
        <f t="shared" si="31"/>
        <v>0</v>
      </c>
      <c r="CS47" s="7">
        <f t="shared" si="32"/>
        <v>0</v>
      </c>
      <c r="CT47" s="7">
        <f t="shared" si="33"/>
        <v>0</v>
      </c>
      <c r="CU47" s="7">
        <f t="shared" si="34"/>
        <v>0</v>
      </c>
      <c r="CV47" s="7">
        <f t="shared" si="35"/>
        <v>0</v>
      </c>
      <c r="CW47" s="7">
        <f t="shared" si="36"/>
        <v>0</v>
      </c>
      <c r="CX47" s="7">
        <f t="shared" si="37"/>
        <v>0</v>
      </c>
      <c r="CY47" s="7">
        <f t="shared" si="38"/>
        <v>0</v>
      </c>
      <c r="CZ47" s="7">
        <f t="shared" si="39"/>
        <v>0</v>
      </c>
      <c r="DA47" s="7">
        <f t="shared" si="40"/>
        <v>0</v>
      </c>
      <c r="DB47" s="7">
        <f t="shared" si="41"/>
        <v>0</v>
      </c>
      <c r="DC47" s="7">
        <f t="shared" si="42"/>
        <v>0</v>
      </c>
      <c r="DD47" s="7">
        <f t="shared" si="43"/>
        <v>0</v>
      </c>
      <c r="DE47" s="7">
        <f t="shared" si="44"/>
        <v>0</v>
      </c>
      <c r="DF47" s="7">
        <f t="shared" si="45"/>
        <v>0</v>
      </c>
      <c r="DG47" s="7">
        <f t="shared" si="46"/>
        <v>0</v>
      </c>
      <c r="DH47" s="7">
        <f t="shared" si="47"/>
        <v>0</v>
      </c>
      <c r="DI47" s="7">
        <f t="shared" si="48"/>
        <v>0</v>
      </c>
      <c r="DJ47" s="7">
        <f t="shared" si="49"/>
        <v>0</v>
      </c>
      <c r="DK47" s="7">
        <f t="shared" si="50"/>
        <v>0</v>
      </c>
      <c r="DL47" s="7">
        <f t="shared" si="51"/>
        <v>0</v>
      </c>
      <c r="DM47" s="7">
        <f t="shared" si="52"/>
        <v>0</v>
      </c>
      <c r="DN47" s="7">
        <f t="shared" si="53"/>
        <v>0</v>
      </c>
      <c r="DO47" s="7">
        <f t="shared" si="54"/>
        <v>0</v>
      </c>
      <c r="DP47" s="7">
        <f t="shared" si="55"/>
        <v>0</v>
      </c>
      <c r="DQ47" s="7">
        <f t="shared" si="56"/>
        <v>0</v>
      </c>
      <c r="DR47" s="7">
        <f t="shared" si="57"/>
        <v>0</v>
      </c>
      <c r="DS47" s="7">
        <f t="shared" si="58"/>
        <v>0</v>
      </c>
      <c r="DT47" s="7">
        <f t="shared" si="59"/>
        <v>0</v>
      </c>
      <c r="DU47" s="7">
        <f t="shared" si="60"/>
        <v>0</v>
      </c>
    </row>
    <row r="48" spans="1:125" x14ac:dyDescent="0.2">
      <c r="A48" s="3">
        <f>Bonds!A48</f>
        <v>46553</v>
      </c>
      <c r="B48" s="4">
        <f>Bonds!B48</f>
        <v>4.625</v>
      </c>
      <c r="C48">
        <f>Bonds!P48</f>
        <v>2</v>
      </c>
      <c r="D48">
        <f t="shared" si="0"/>
        <v>0</v>
      </c>
      <c r="E48" s="3">
        <f>IF(1&gt;$C48,"",IF($D48=1,EOMONTH(EDATE(Bonds!$H48,6*(1-1)),0),EDATE(Bonds!$H48,6*(1-1))))</f>
        <v>46371</v>
      </c>
      <c r="F48" s="3">
        <f>IF(2&gt;$C48,"",IF($D48=1,EOMONTH(EDATE(Bonds!$H48,6*(2-1)),0),EDATE(Bonds!$H48,6*(2-1))))</f>
        <v>46553</v>
      </c>
      <c r="G48" s="3" t="str">
        <f>IF(3&gt;$C48,"",IF($D48=1,EOMONTH(EDATE(Bonds!$H48,6*(3-1)),0),EDATE(Bonds!$H48,6*(3-1))))</f>
        <v/>
      </c>
      <c r="H48" s="3" t="str">
        <f>IF(4&gt;$C48,"",IF($D48=1,EOMONTH(EDATE(Bonds!$H48,6*(4-1)),0),EDATE(Bonds!$H48,6*(4-1))))</f>
        <v/>
      </c>
      <c r="I48" s="3" t="str">
        <f>IF(5&gt;$C48,"",IF($D48=1,EOMONTH(EDATE(Bonds!$H48,6*(5-1)),0),EDATE(Bonds!$H48,6*(5-1))))</f>
        <v/>
      </c>
      <c r="J48" s="3" t="str">
        <f>IF(6&gt;$C48,"",IF($D48=1,EOMONTH(EDATE(Bonds!$H48,6*(6-1)),0),EDATE(Bonds!$H48,6*(6-1))))</f>
        <v/>
      </c>
      <c r="K48" s="3" t="str">
        <f>IF(7&gt;$C48,"",IF($D48=1,EOMONTH(EDATE(Bonds!$H48,6*(7-1)),0),EDATE(Bonds!$H48,6*(7-1))))</f>
        <v/>
      </c>
      <c r="L48" s="3" t="str">
        <f>IF(8&gt;$C48,"",IF($D48=1,EOMONTH(EDATE(Bonds!$H48,6*(8-1)),0),EDATE(Bonds!$H48,6*(8-1))))</f>
        <v/>
      </c>
      <c r="M48" s="3" t="str">
        <f>IF(9&gt;$C48,"",IF($D48=1,EOMONTH(EDATE(Bonds!$H48,6*(9-1)),0),EDATE(Bonds!$H48,6*(9-1))))</f>
        <v/>
      </c>
      <c r="N48" s="3" t="str">
        <f>IF(10&gt;$C48,"",IF($D48=1,EOMONTH(EDATE(Bonds!$H48,6*(10-1)),0),EDATE(Bonds!$H48,6*(10-1))))</f>
        <v/>
      </c>
      <c r="O48" s="3" t="str">
        <f>IF(11&gt;$C48,"",IF($D48=1,EOMONTH(EDATE(Bonds!$H48,6*(11-1)),0),EDATE(Bonds!$H48,6*(11-1))))</f>
        <v/>
      </c>
      <c r="P48" s="3" t="str">
        <f>IF(12&gt;$C48,"",IF($D48=1,EOMONTH(EDATE(Bonds!$H48,6*(12-1)),0),EDATE(Bonds!$H48,6*(12-1))))</f>
        <v/>
      </c>
      <c r="Q48" s="3" t="str">
        <f>IF(13&gt;$C48,"",IF($D48=1,EOMONTH(EDATE(Bonds!$H48,6*(13-1)),0),EDATE(Bonds!$H48,6*(13-1))))</f>
        <v/>
      </c>
      <c r="R48" s="3" t="str">
        <f>IF(14&gt;$C48,"",IF($D48=1,EOMONTH(EDATE(Bonds!$H48,6*(14-1)),0),EDATE(Bonds!$H48,6*(14-1))))</f>
        <v/>
      </c>
      <c r="S48" s="3" t="str">
        <f>IF(15&gt;$C48,"",IF($D48=1,EOMONTH(EDATE(Bonds!$H48,6*(15-1)),0),EDATE(Bonds!$H48,6*(15-1))))</f>
        <v/>
      </c>
      <c r="T48" s="3" t="str">
        <f>IF(16&gt;$C48,"",IF($D48=1,EOMONTH(EDATE(Bonds!$H48,6*(16-1)),0),EDATE(Bonds!$H48,6*(16-1))))</f>
        <v/>
      </c>
      <c r="U48" s="3" t="str">
        <f>IF(17&gt;$C48,"",IF($D48=1,EOMONTH(EDATE(Bonds!$H48,6*(17-1)),0),EDATE(Bonds!$H48,6*(17-1))))</f>
        <v/>
      </c>
      <c r="V48" s="3" t="str">
        <f>IF(18&gt;$C48,"",IF($D48=1,EOMONTH(EDATE(Bonds!$H48,6*(18-1)),0),EDATE(Bonds!$H48,6*(18-1))))</f>
        <v/>
      </c>
      <c r="W48" s="3" t="str">
        <f>IF(19&gt;$C48,"",IF($D48=1,EOMONTH(EDATE(Bonds!$H48,6*(19-1)),0),EDATE(Bonds!$H48,6*(19-1))))</f>
        <v/>
      </c>
      <c r="X48" s="3" t="str">
        <f>IF(20&gt;$C48,"",IF($D48=1,EOMONTH(EDATE(Bonds!$H48,6*(20-1)),0),EDATE(Bonds!$H48,6*(20-1))))</f>
        <v/>
      </c>
      <c r="Y48" s="3" t="str">
        <f>IF(21&gt;$C48,"",IF($D48=1,EOMONTH(EDATE(Bonds!$H48,6*(21-1)),0),EDATE(Bonds!$H48,6*(21-1))))</f>
        <v/>
      </c>
      <c r="Z48" s="3" t="str">
        <f>IF(22&gt;$C48,"",IF($D48=1,EOMONTH(EDATE(Bonds!$H48,6*(22-1)),0),EDATE(Bonds!$H48,6*(22-1))))</f>
        <v/>
      </c>
      <c r="AA48" s="3" t="str">
        <f>IF(23&gt;$C48,"",IF($D48=1,EOMONTH(EDATE(Bonds!$H48,6*(23-1)),0),EDATE(Bonds!$H48,6*(23-1))))</f>
        <v/>
      </c>
      <c r="AB48" s="3" t="str">
        <f>IF(24&gt;$C48,"",IF($D48=1,EOMONTH(EDATE(Bonds!$H48,6*(24-1)),0),EDATE(Bonds!$H48,6*(24-1))))</f>
        <v/>
      </c>
      <c r="AC48" s="3" t="str">
        <f>IF(25&gt;$C48,"",IF($D48=1,EOMONTH(EDATE(Bonds!$H48,6*(25-1)),0),EDATE(Bonds!$H48,6*(25-1))))</f>
        <v/>
      </c>
      <c r="AD48" s="3" t="str">
        <f>IF(26&gt;$C48,"",IF($D48=1,EOMONTH(EDATE(Bonds!$H48,6*(26-1)),0),EDATE(Bonds!$H48,6*(26-1))))</f>
        <v/>
      </c>
      <c r="AE48" s="3" t="str">
        <f>IF(27&gt;$C48,"",IF($D48=1,EOMONTH(EDATE(Bonds!$H48,6*(27-1)),0),EDATE(Bonds!$H48,6*(27-1))))</f>
        <v/>
      </c>
      <c r="AF48" s="3" t="str">
        <f>IF(28&gt;$C48,"",IF($D48=1,EOMONTH(EDATE(Bonds!$H48,6*(28-1)),0),EDATE(Bonds!$H48,6*(28-1))))</f>
        <v/>
      </c>
      <c r="AG48" s="3" t="str">
        <f>IF(29&gt;$C48,"",IF($D48=1,EOMONTH(EDATE(Bonds!$H48,6*(29-1)),0),EDATE(Bonds!$H48,6*(29-1))))</f>
        <v/>
      </c>
      <c r="AH48" s="3" t="str">
        <f>IF(30&gt;$C48,"",IF($D48=1,EOMONTH(EDATE(Bonds!$H48,6*(30-1)),0),EDATE(Bonds!$H48,6*(30-1))))</f>
        <v/>
      </c>
      <c r="AI48" s="3" t="str">
        <f>IF(31&gt;$C48,"",IF($D48=1,EOMONTH(EDATE(Bonds!$H48,6*(31-1)),0),EDATE(Bonds!$H48,6*(31-1))))</f>
        <v/>
      </c>
      <c r="AJ48" s="3" t="str">
        <f>IF(32&gt;$C48,"",IF($D48=1,EOMONTH(EDATE(Bonds!$H48,6*(32-1)),0),EDATE(Bonds!$H48,6*(32-1))))</f>
        <v/>
      </c>
      <c r="AK48" s="3" t="str">
        <f>IF(33&gt;$C48,"",IF($D48=1,EOMONTH(EDATE(Bonds!$H48,6*(33-1)),0),EDATE(Bonds!$H48,6*(33-1))))</f>
        <v/>
      </c>
      <c r="AL48" s="3" t="str">
        <f>IF(34&gt;$C48,"",IF($D48=1,EOMONTH(EDATE(Bonds!$H48,6*(34-1)),0),EDATE(Bonds!$H48,6*(34-1))))</f>
        <v/>
      </c>
      <c r="AM48" s="3" t="str">
        <f>IF(35&gt;$C48,"",IF($D48=1,EOMONTH(EDATE(Bonds!$H48,6*(35-1)),0),EDATE(Bonds!$H48,6*(35-1))))</f>
        <v/>
      </c>
      <c r="AN48" s="3" t="str">
        <f>IF(36&gt;$C48,"",IF($D48=1,EOMONTH(EDATE(Bonds!$H48,6*(36-1)),0),EDATE(Bonds!$H48,6*(36-1))))</f>
        <v/>
      </c>
      <c r="AO48" s="3" t="str">
        <f>IF(37&gt;$C48,"",IF($D48=1,EOMONTH(EDATE(Bonds!$H48,6*(37-1)),0),EDATE(Bonds!$H48,6*(37-1))))</f>
        <v/>
      </c>
      <c r="AP48" s="3" t="str">
        <f>IF(38&gt;$C48,"",IF($D48=1,EOMONTH(EDATE(Bonds!$H48,6*(38-1)),0),EDATE(Bonds!$H48,6*(38-1))))</f>
        <v/>
      </c>
      <c r="AQ48" s="3" t="str">
        <f>IF(39&gt;$C48,"",IF($D48=1,EOMONTH(EDATE(Bonds!$H48,6*(39-1)),0),EDATE(Bonds!$H48,6*(39-1))))</f>
        <v/>
      </c>
      <c r="AR48" s="3" t="str">
        <f>IF(40&gt;$C48,"",IF($D48=1,EOMONTH(EDATE(Bonds!$H48,6*(40-1)),0),EDATE(Bonds!$H48,6*(40-1))))</f>
        <v/>
      </c>
      <c r="AS48" s="3" t="str">
        <f>IF(41&gt;$C48,"",IF($D48=1,EOMONTH(EDATE(Bonds!$H48,6*(41-1)),0),EDATE(Bonds!$H48,6*(41-1))))</f>
        <v/>
      </c>
      <c r="AT48" s="3" t="str">
        <f>IF(42&gt;$C48,"",IF($D48=1,EOMONTH(EDATE(Bonds!$H48,6*(42-1)),0),EDATE(Bonds!$H48,6*(42-1))))</f>
        <v/>
      </c>
      <c r="AU48" s="3" t="str">
        <f>IF(43&gt;$C48,"",IF($D48=1,EOMONTH(EDATE(Bonds!$H48,6*(43-1)),0),EDATE(Bonds!$H48,6*(43-1))))</f>
        <v/>
      </c>
      <c r="AV48" s="3" t="str">
        <f>IF(44&gt;$C48,"",IF($D48=1,EOMONTH(EDATE(Bonds!$H48,6*(44-1)),0),EDATE(Bonds!$H48,6*(44-1))))</f>
        <v/>
      </c>
      <c r="AW48" s="3" t="str">
        <f>IF(45&gt;$C48,"",IF($D48=1,EOMONTH(EDATE(Bonds!$H48,6*(45-1)),0),EDATE(Bonds!$H48,6*(45-1))))</f>
        <v/>
      </c>
      <c r="AX48" s="3" t="str">
        <f>IF(46&gt;$C48,"",IF($D48=1,EOMONTH(EDATE(Bonds!$H48,6*(46-1)),0),EDATE(Bonds!$H48,6*(46-1))))</f>
        <v/>
      </c>
      <c r="AY48" s="3" t="str">
        <f>IF(47&gt;$C48,"",IF($D48=1,EOMONTH(EDATE(Bonds!$H48,6*(47-1)),0),EDATE(Bonds!$H48,6*(47-1))))</f>
        <v/>
      </c>
      <c r="AZ48" s="3" t="str">
        <f>IF(48&gt;$C48,"",IF($D48=1,EOMONTH(EDATE(Bonds!$H48,6*(48-1)),0),EDATE(Bonds!$H48,6*(48-1))))</f>
        <v/>
      </c>
      <c r="BA48" s="3" t="str">
        <f>IF(49&gt;$C48,"",IF($D48=1,EOMONTH(EDATE(Bonds!$H48,6*(49-1)),0),EDATE(Bonds!$H48,6*(49-1))))</f>
        <v/>
      </c>
      <c r="BB48" s="3" t="str">
        <f>IF(50&gt;$C48,"",IF($D48=1,EOMONTH(EDATE(Bonds!$H48,6*(50-1)),0),EDATE(Bonds!$H48,6*(50-1))))</f>
        <v/>
      </c>
      <c r="BC48" s="3" t="str">
        <f>IF(51&gt;$C48,"",IF($D48=1,EOMONTH(EDATE(Bonds!$H48,6*(51-1)),0),EDATE(Bonds!$H48,6*(51-1))))</f>
        <v/>
      </c>
      <c r="BD48" s="3" t="str">
        <f>IF(52&gt;$C48,"",IF($D48=1,EOMONTH(EDATE(Bonds!$H48,6*(52-1)),0),EDATE(Bonds!$H48,6*(52-1))))</f>
        <v/>
      </c>
      <c r="BE48" s="3" t="str">
        <f>IF(53&gt;$C48,"",IF($D48=1,EOMONTH(EDATE(Bonds!$H48,6*(53-1)),0),EDATE(Bonds!$H48,6*(53-1))))</f>
        <v/>
      </c>
      <c r="BF48" s="3" t="str">
        <f>IF(54&gt;$C48,"",IF($D48=1,EOMONTH(EDATE(Bonds!$H48,6*(54-1)),0),EDATE(Bonds!$H48,6*(54-1))))</f>
        <v/>
      </c>
      <c r="BG48" s="3" t="str">
        <f>IF(55&gt;$C48,"",IF($D48=1,EOMONTH(EDATE(Bonds!$H48,6*(55-1)),0),EDATE(Bonds!$H48,6*(55-1))))</f>
        <v/>
      </c>
      <c r="BH48" s="3" t="str">
        <f>IF(56&gt;$C48,"",IF($D48=1,EOMONTH(EDATE(Bonds!$H48,6*(56-1)),0),EDATE(Bonds!$H48,6*(56-1))))</f>
        <v/>
      </c>
      <c r="BI48" s="3" t="str">
        <f>IF(57&gt;$C48,"",IF($D48=1,EOMONTH(EDATE(Bonds!$H48,6*(57-1)),0),EDATE(Bonds!$H48,6*(57-1))))</f>
        <v/>
      </c>
      <c r="BJ48" s="3" t="str">
        <f>IF(58&gt;$C48,"",IF($D48=1,EOMONTH(EDATE(Bonds!$H48,6*(58-1)),0),EDATE(Bonds!$H48,6*(58-1))))</f>
        <v/>
      </c>
      <c r="BK48" s="3" t="str">
        <f>IF(59&gt;$C48,"",IF($D48=1,EOMONTH(EDATE(Bonds!$H48,6*(59-1)),0),EDATE(Bonds!$H48,6*(59-1))))</f>
        <v/>
      </c>
      <c r="BL48" s="3" t="str">
        <f>IF(60&gt;$C48,"",IF($D48=1,EOMONTH(EDATE(Bonds!$H48,6*(60-1)),0),EDATE(Bonds!$H48,6*(60-1))))</f>
        <v/>
      </c>
      <c r="BN48" s="7">
        <f t="shared" si="1"/>
        <v>2.2889791945847882</v>
      </c>
      <c r="BO48" s="7">
        <f t="shared" si="2"/>
        <v>99.182146017464461</v>
      </c>
      <c r="BP48" s="7">
        <f t="shared" si="3"/>
        <v>0</v>
      </c>
      <c r="BQ48" s="7">
        <f t="shared" si="4"/>
        <v>0</v>
      </c>
      <c r="BR48" s="7">
        <f t="shared" si="5"/>
        <v>0</v>
      </c>
      <c r="BS48" s="7">
        <f t="shared" si="6"/>
        <v>0</v>
      </c>
      <c r="BT48" s="7">
        <f t="shared" si="7"/>
        <v>0</v>
      </c>
      <c r="BU48" s="7">
        <f t="shared" si="8"/>
        <v>0</v>
      </c>
      <c r="BV48" s="7">
        <f t="shared" si="9"/>
        <v>0</v>
      </c>
      <c r="BW48" s="7">
        <f t="shared" si="10"/>
        <v>0</v>
      </c>
      <c r="BX48" s="7">
        <f t="shared" si="11"/>
        <v>0</v>
      </c>
      <c r="BY48" s="7">
        <f t="shared" si="12"/>
        <v>0</v>
      </c>
      <c r="BZ48" s="7">
        <f t="shared" si="13"/>
        <v>0</v>
      </c>
      <c r="CA48" s="7">
        <f t="shared" si="14"/>
        <v>0</v>
      </c>
      <c r="CB48" s="7">
        <f t="shared" si="15"/>
        <v>0</v>
      </c>
      <c r="CC48" s="7">
        <f t="shared" si="16"/>
        <v>0</v>
      </c>
      <c r="CD48" s="7">
        <f t="shared" si="17"/>
        <v>0</v>
      </c>
      <c r="CE48" s="7">
        <f t="shared" si="18"/>
        <v>0</v>
      </c>
      <c r="CF48" s="7">
        <f t="shared" si="19"/>
        <v>0</v>
      </c>
      <c r="CG48" s="7">
        <f t="shared" si="20"/>
        <v>0</v>
      </c>
      <c r="CH48" s="7">
        <f t="shared" si="21"/>
        <v>0</v>
      </c>
      <c r="CI48" s="7">
        <f t="shared" si="22"/>
        <v>0</v>
      </c>
      <c r="CJ48" s="7">
        <f t="shared" si="23"/>
        <v>0</v>
      </c>
      <c r="CK48" s="7">
        <f t="shared" si="24"/>
        <v>0</v>
      </c>
      <c r="CL48" s="7">
        <f t="shared" si="25"/>
        <v>0</v>
      </c>
      <c r="CM48" s="7">
        <f t="shared" si="26"/>
        <v>0</v>
      </c>
      <c r="CN48" s="7">
        <f t="shared" si="27"/>
        <v>0</v>
      </c>
      <c r="CO48" s="7">
        <f t="shared" si="28"/>
        <v>0</v>
      </c>
      <c r="CP48" s="7">
        <f t="shared" si="29"/>
        <v>0</v>
      </c>
      <c r="CQ48" s="7">
        <f t="shared" si="30"/>
        <v>0</v>
      </c>
      <c r="CR48" s="7">
        <f t="shared" si="31"/>
        <v>0</v>
      </c>
      <c r="CS48" s="7">
        <f t="shared" si="32"/>
        <v>0</v>
      </c>
      <c r="CT48" s="7">
        <f t="shared" si="33"/>
        <v>0</v>
      </c>
      <c r="CU48" s="7">
        <f t="shared" si="34"/>
        <v>0</v>
      </c>
      <c r="CV48" s="7">
        <f t="shared" si="35"/>
        <v>0</v>
      </c>
      <c r="CW48" s="7">
        <f t="shared" si="36"/>
        <v>0</v>
      </c>
      <c r="CX48" s="7">
        <f t="shared" si="37"/>
        <v>0</v>
      </c>
      <c r="CY48" s="7">
        <f t="shared" si="38"/>
        <v>0</v>
      </c>
      <c r="CZ48" s="7">
        <f t="shared" si="39"/>
        <v>0</v>
      </c>
      <c r="DA48" s="7">
        <f t="shared" si="40"/>
        <v>0</v>
      </c>
      <c r="DB48" s="7">
        <f t="shared" si="41"/>
        <v>0</v>
      </c>
      <c r="DC48" s="7">
        <f t="shared" si="42"/>
        <v>0</v>
      </c>
      <c r="DD48" s="7">
        <f t="shared" si="43"/>
        <v>0</v>
      </c>
      <c r="DE48" s="7">
        <f t="shared" si="44"/>
        <v>0</v>
      </c>
      <c r="DF48" s="7">
        <f t="shared" si="45"/>
        <v>0</v>
      </c>
      <c r="DG48" s="7">
        <f t="shared" si="46"/>
        <v>0</v>
      </c>
      <c r="DH48" s="7">
        <f t="shared" si="47"/>
        <v>0</v>
      </c>
      <c r="DI48" s="7">
        <f t="shared" si="48"/>
        <v>0</v>
      </c>
      <c r="DJ48" s="7">
        <f t="shared" si="49"/>
        <v>0</v>
      </c>
      <c r="DK48" s="7">
        <f t="shared" si="50"/>
        <v>0</v>
      </c>
      <c r="DL48" s="7">
        <f t="shared" si="51"/>
        <v>0</v>
      </c>
      <c r="DM48" s="7">
        <f t="shared" si="52"/>
        <v>0</v>
      </c>
      <c r="DN48" s="7">
        <f t="shared" si="53"/>
        <v>0</v>
      </c>
      <c r="DO48" s="7">
        <f t="shared" si="54"/>
        <v>0</v>
      </c>
      <c r="DP48" s="7">
        <f t="shared" si="55"/>
        <v>0</v>
      </c>
      <c r="DQ48" s="7">
        <f t="shared" si="56"/>
        <v>0</v>
      </c>
      <c r="DR48" s="7">
        <f t="shared" si="57"/>
        <v>0</v>
      </c>
      <c r="DS48" s="7">
        <f t="shared" si="58"/>
        <v>0</v>
      </c>
      <c r="DT48" s="7">
        <f t="shared" si="59"/>
        <v>0</v>
      </c>
      <c r="DU48" s="7">
        <f t="shared" si="60"/>
        <v>0</v>
      </c>
    </row>
    <row r="49" spans="1:125" x14ac:dyDescent="0.2">
      <c r="A49" s="3">
        <f>Bonds!A49</f>
        <v>46568</v>
      </c>
      <c r="B49" s="4">
        <f>Bonds!B49</f>
        <v>0.5</v>
      </c>
      <c r="C49">
        <f>Bonds!P49</f>
        <v>2</v>
      </c>
      <c r="D49">
        <f t="shared" si="0"/>
        <v>1</v>
      </c>
      <c r="E49" s="3">
        <f>IF(1&gt;$C49,"",IF($D49=1,EOMONTH(EDATE(Bonds!$H49,6*(1-1)),0),EDATE(Bonds!$H49,6*(1-1))))</f>
        <v>46387</v>
      </c>
      <c r="F49" s="3">
        <f>IF(2&gt;$C49,"",IF($D49=1,EOMONTH(EDATE(Bonds!$H49,6*(2-1)),0),EDATE(Bonds!$H49,6*(2-1))))</f>
        <v>46568</v>
      </c>
      <c r="G49" s="3" t="str">
        <f>IF(3&gt;$C49,"",IF($D49=1,EOMONTH(EDATE(Bonds!$H49,6*(3-1)),0),EDATE(Bonds!$H49,6*(3-1))))</f>
        <v/>
      </c>
      <c r="H49" s="3" t="str">
        <f>IF(4&gt;$C49,"",IF($D49=1,EOMONTH(EDATE(Bonds!$H49,6*(4-1)),0),EDATE(Bonds!$H49,6*(4-1))))</f>
        <v/>
      </c>
      <c r="I49" s="3" t="str">
        <f>IF(5&gt;$C49,"",IF($D49=1,EOMONTH(EDATE(Bonds!$H49,6*(5-1)),0),EDATE(Bonds!$H49,6*(5-1))))</f>
        <v/>
      </c>
      <c r="J49" s="3" t="str">
        <f>IF(6&gt;$C49,"",IF($D49=1,EOMONTH(EDATE(Bonds!$H49,6*(6-1)),0),EDATE(Bonds!$H49,6*(6-1))))</f>
        <v/>
      </c>
      <c r="K49" s="3" t="str">
        <f>IF(7&gt;$C49,"",IF($D49=1,EOMONTH(EDATE(Bonds!$H49,6*(7-1)),0),EDATE(Bonds!$H49,6*(7-1))))</f>
        <v/>
      </c>
      <c r="L49" s="3" t="str">
        <f>IF(8&gt;$C49,"",IF($D49=1,EOMONTH(EDATE(Bonds!$H49,6*(8-1)),0),EDATE(Bonds!$H49,6*(8-1))))</f>
        <v/>
      </c>
      <c r="M49" s="3" t="str">
        <f>IF(9&gt;$C49,"",IF($D49=1,EOMONTH(EDATE(Bonds!$H49,6*(9-1)),0),EDATE(Bonds!$H49,6*(9-1))))</f>
        <v/>
      </c>
      <c r="N49" s="3" t="str">
        <f>IF(10&gt;$C49,"",IF($D49=1,EOMONTH(EDATE(Bonds!$H49,6*(10-1)),0),EDATE(Bonds!$H49,6*(10-1))))</f>
        <v/>
      </c>
      <c r="O49" s="3" t="str">
        <f>IF(11&gt;$C49,"",IF($D49=1,EOMONTH(EDATE(Bonds!$H49,6*(11-1)),0),EDATE(Bonds!$H49,6*(11-1))))</f>
        <v/>
      </c>
      <c r="P49" s="3" t="str">
        <f>IF(12&gt;$C49,"",IF($D49=1,EOMONTH(EDATE(Bonds!$H49,6*(12-1)),0),EDATE(Bonds!$H49,6*(12-1))))</f>
        <v/>
      </c>
      <c r="Q49" s="3" t="str">
        <f>IF(13&gt;$C49,"",IF($D49=1,EOMONTH(EDATE(Bonds!$H49,6*(13-1)),0),EDATE(Bonds!$H49,6*(13-1))))</f>
        <v/>
      </c>
      <c r="R49" s="3" t="str">
        <f>IF(14&gt;$C49,"",IF($D49=1,EOMONTH(EDATE(Bonds!$H49,6*(14-1)),0),EDATE(Bonds!$H49,6*(14-1))))</f>
        <v/>
      </c>
      <c r="S49" s="3" t="str">
        <f>IF(15&gt;$C49,"",IF($D49=1,EOMONTH(EDATE(Bonds!$H49,6*(15-1)),0),EDATE(Bonds!$H49,6*(15-1))))</f>
        <v/>
      </c>
      <c r="T49" s="3" t="str">
        <f>IF(16&gt;$C49,"",IF($D49=1,EOMONTH(EDATE(Bonds!$H49,6*(16-1)),0),EDATE(Bonds!$H49,6*(16-1))))</f>
        <v/>
      </c>
      <c r="U49" s="3" t="str">
        <f>IF(17&gt;$C49,"",IF($D49=1,EOMONTH(EDATE(Bonds!$H49,6*(17-1)),0),EDATE(Bonds!$H49,6*(17-1))))</f>
        <v/>
      </c>
      <c r="V49" s="3" t="str">
        <f>IF(18&gt;$C49,"",IF($D49=1,EOMONTH(EDATE(Bonds!$H49,6*(18-1)),0),EDATE(Bonds!$H49,6*(18-1))))</f>
        <v/>
      </c>
      <c r="W49" s="3" t="str">
        <f>IF(19&gt;$C49,"",IF($D49=1,EOMONTH(EDATE(Bonds!$H49,6*(19-1)),0),EDATE(Bonds!$H49,6*(19-1))))</f>
        <v/>
      </c>
      <c r="X49" s="3" t="str">
        <f>IF(20&gt;$C49,"",IF($D49=1,EOMONTH(EDATE(Bonds!$H49,6*(20-1)),0),EDATE(Bonds!$H49,6*(20-1))))</f>
        <v/>
      </c>
      <c r="Y49" s="3" t="str">
        <f>IF(21&gt;$C49,"",IF($D49=1,EOMONTH(EDATE(Bonds!$H49,6*(21-1)),0),EDATE(Bonds!$H49,6*(21-1))))</f>
        <v/>
      </c>
      <c r="Z49" s="3" t="str">
        <f>IF(22&gt;$C49,"",IF($D49=1,EOMONTH(EDATE(Bonds!$H49,6*(22-1)),0),EDATE(Bonds!$H49,6*(22-1))))</f>
        <v/>
      </c>
      <c r="AA49" s="3" t="str">
        <f>IF(23&gt;$C49,"",IF($D49=1,EOMONTH(EDATE(Bonds!$H49,6*(23-1)),0),EDATE(Bonds!$H49,6*(23-1))))</f>
        <v/>
      </c>
      <c r="AB49" s="3" t="str">
        <f>IF(24&gt;$C49,"",IF($D49=1,EOMONTH(EDATE(Bonds!$H49,6*(24-1)),0),EDATE(Bonds!$H49,6*(24-1))))</f>
        <v/>
      </c>
      <c r="AC49" s="3" t="str">
        <f>IF(25&gt;$C49,"",IF($D49=1,EOMONTH(EDATE(Bonds!$H49,6*(25-1)),0),EDATE(Bonds!$H49,6*(25-1))))</f>
        <v/>
      </c>
      <c r="AD49" s="3" t="str">
        <f>IF(26&gt;$C49,"",IF($D49=1,EOMONTH(EDATE(Bonds!$H49,6*(26-1)),0),EDATE(Bonds!$H49,6*(26-1))))</f>
        <v/>
      </c>
      <c r="AE49" s="3" t="str">
        <f>IF(27&gt;$C49,"",IF($D49=1,EOMONTH(EDATE(Bonds!$H49,6*(27-1)),0),EDATE(Bonds!$H49,6*(27-1))))</f>
        <v/>
      </c>
      <c r="AF49" s="3" t="str">
        <f>IF(28&gt;$C49,"",IF($D49=1,EOMONTH(EDATE(Bonds!$H49,6*(28-1)),0),EDATE(Bonds!$H49,6*(28-1))))</f>
        <v/>
      </c>
      <c r="AG49" s="3" t="str">
        <f>IF(29&gt;$C49,"",IF($D49=1,EOMONTH(EDATE(Bonds!$H49,6*(29-1)),0),EDATE(Bonds!$H49,6*(29-1))))</f>
        <v/>
      </c>
      <c r="AH49" s="3" t="str">
        <f>IF(30&gt;$C49,"",IF($D49=1,EOMONTH(EDATE(Bonds!$H49,6*(30-1)),0),EDATE(Bonds!$H49,6*(30-1))))</f>
        <v/>
      </c>
      <c r="AI49" s="3" t="str">
        <f>IF(31&gt;$C49,"",IF($D49=1,EOMONTH(EDATE(Bonds!$H49,6*(31-1)),0),EDATE(Bonds!$H49,6*(31-1))))</f>
        <v/>
      </c>
      <c r="AJ49" s="3" t="str">
        <f>IF(32&gt;$C49,"",IF($D49=1,EOMONTH(EDATE(Bonds!$H49,6*(32-1)),0),EDATE(Bonds!$H49,6*(32-1))))</f>
        <v/>
      </c>
      <c r="AK49" s="3" t="str">
        <f>IF(33&gt;$C49,"",IF($D49=1,EOMONTH(EDATE(Bonds!$H49,6*(33-1)),0),EDATE(Bonds!$H49,6*(33-1))))</f>
        <v/>
      </c>
      <c r="AL49" s="3" t="str">
        <f>IF(34&gt;$C49,"",IF($D49=1,EOMONTH(EDATE(Bonds!$H49,6*(34-1)),0),EDATE(Bonds!$H49,6*(34-1))))</f>
        <v/>
      </c>
      <c r="AM49" s="3" t="str">
        <f>IF(35&gt;$C49,"",IF($D49=1,EOMONTH(EDATE(Bonds!$H49,6*(35-1)),0),EDATE(Bonds!$H49,6*(35-1))))</f>
        <v/>
      </c>
      <c r="AN49" s="3" t="str">
        <f>IF(36&gt;$C49,"",IF($D49=1,EOMONTH(EDATE(Bonds!$H49,6*(36-1)),0),EDATE(Bonds!$H49,6*(36-1))))</f>
        <v/>
      </c>
      <c r="AO49" s="3" t="str">
        <f>IF(37&gt;$C49,"",IF($D49=1,EOMONTH(EDATE(Bonds!$H49,6*(37-1)),0),EDATE(Bonds!$H49,6*(37-1))))</f>
        <v/>
      </c>
      <c r="AP49" s="3" t="str">
        <f>IF(38&gt;$C49,"",IF($D49=1,EOMONTH(EDATE(Bonds!$H49,6*(38-1)),0),EDATE(Bonds!$H49,6*(38-1))))</f>
        <v/>
      </c>
      <c r="AQ49" s="3" t="str">
        <f>IF(39&gt;$C49,"",IF($D49=1,EOMONTH(EDATE(Bonds!$H49,6*(39-1)),0),EDATE(Bonds!$H49,6*(39-1))))</f>
        <v/>
      </c>
      <c r="AR49" s="3" t="str">
        <f>IF(40&gt;$C49,"",IF($D49=1,EOMONTH(EDATE(Bonds!$H49,6*(40-1)),0),EDATE(Bonds!$H49,6*(40-1))))</f>
        <v/>
      </c>
      <c r="AS49" s="3" t="str">
        <f>IF(41&gt;$C49,"",IF($D49=1,EOMONTH(EDATE(Bonds!$H49,6*(41-1)),0),EDATE(Bonds!$H49,6*(41-1))))</f>
        <v/>
      </c>
      <c r="AT49" s="3" t="str">
        <f>IF(42&gt;$C49,"",IF($D49=1,EOMONTH(EDATE(Bonds!$H49,6*(42-1)),0),EDATE(Bonds!$H49,6*(42-1))))</f>
        <v/>
      </c>
      <c r="AU49" s="3" t="str">
        <f>IF(43&gt;$C49,"",IF($D49=1,EOMONTH(EDATE(Bonds!$H49,6*(43-1)),0),EDATE(Bonds!$H49,6*(43-1))))</f>
        <v/>
      </c>
      <c r="AV49" s="3" t="str">
        <f>IF(44&gt;$C49,"",IF($D49=1,EOMONTH(EDATE(Bonds!$H49,6*(44-1)),0),EDATE(Bonds!$H49,6*(44-1))))</f>
        <v/>
      </c>
      <c r="AW49" s="3" t="str">
        <f>IF(45&gt;$C49,"",IF($D49=1,EOMONTH(EDATE(Bonds!$H49,6*(45-1)),0),EDATE(Bonds!$H49,6*(45-1))))</f>
        <v/>
      </c>
      <c r="AX49" s="3" t="str">
        <f>IF(46&gt;$C49,"",IF($D49=1,EOMONTH(EDATE(Bonds!$H49,6*(46-1)),0),EDATE(Bonds!$H49,6*(46-1))))</f>
        <v/>
      </c>
      <c r="AY49" s="3" t="str">
        <f>IF(47&gt;$C49,"",IF($D49=1,EOMONTH(EDATE(Bonds!$H49,6*(47-1)),0),EDATE(Bonds!$H49,6*(47-1))))</f>
        <v/>
      </c>
      <c r="AZ49" s="3" t="str">
        <f>IF(48&gt;$C49,"",IF($D49=1,EOMONTH(EDATE(Bonds!$H49,6*(48-1)),0),EDATE(Bonds!$H49,6*(48-1))))</f>
        <v/>
      </c>
      <c r="BA49" s="3" t="str">
        <f>IF(49&gt;$C49,"",IF($D49=1,EOMONTH(EDATE(Bonds!$H49,6*(49-1)),0),EDATE(Bonds!$H49,6*(49-1))))</f>
        <v/>
      </c>
      <c r="BB49" s="3" t="str">
        <f>IF(50&gt;$C49,"",IF($D49=1,EOMONTH(EDATE(Bonds!$H49,6*(50-1)),0),EDATE(Bonds!$H49,6*(50-1))))</f>
        <v/>
      </c>
      <c r="BC49" s="3" t="str">
        <f>IF(51&gt;$C49,"",IF($D49=1,EOMONTH(EDATE(Bonds!$H49,6*(51-1)),0),EDATE(Bonds!$H49,6*(51-1))))</f>
        <v/>
      </c>
      <c r="BD49" s="3" t="str">
        <f>IF(52&gt;$C49,"",IF($D49=1,EOMONTH(EDATE(Bonds!$H49,6*(52-1)),0),EDATE(Bonds!$H49,6*(52-1))))</f>
        <v/>
      </c>
      <c r="BE49" s="3" t="str">
        <f>IF(53&gt;$C49,"",IF($D49=1,EOMONTH(EDATE(Bonds!$H49,6*(53-1)),0),EDATE(Bonds!$H49,6*(53-1))))</f>
        <v/>
      </c>
      <c r="BF49" s="3" t="str">
        <f>IF(54&gt;$C49,"",IF($D49=1,EOMONTH(EDATE(Bonds!$H49,6*(54-1)),0),EDATE(Bonds!$H49,6*(54-1))))</f>
        <v/>
      </c>
      <c r="BG49" s="3" t="str">
        <f>IF(55&gt;$C49,"",IF($D49=1,EOMONTH(EDATE(Bonds!$H49,6*(55-1)),0),EDATE(Bonds!$H49,6*(55-1))))</f>
        <v/>
      </c>
      <c r="BH49" s="3" t="str">
        <f>IF(56&gt;$C49,"",IF($D49=1,EOMONTH(EDATE(Bonds!$H49,6*(56-1)),0),EDATE(Bonds!$H49,6*(56-1))))</f>
        <v/>
      </c>
      <c r="BI49" s="3" t="str">
        <f>IF(57&gt;$C49,"",IF($D49=1,EOMONTH(EDATE(Bonds!$H49,6*(57-1)),0),EDATE(Bonds!$H49,6*(57-1))))</f>
        <v/>
      </c>
      <c r="BJ49" s="3" t="str">
        <f>IF(58&gt;$C49,"",IF($D49=1,EOMONTH(EDATE(Bonds!$H49,6*(58-1)),0),EDATE(Bonds!$H49,6*(58-1))))</f>
        <v/>
      </c>
      <c r="BK49" s="3" t="str">
        <f>IF(59&gt;$C49,"",IF($D49=1,EOMONTH(EDATE(Bonds!$H49,6*(59-1)),0),EDATE(Bonds!$H49,6*(59-1))))</f>
        <v/>
      </c>
      <c r="BL49" s="3" t="str">
        <f>IF(60&gt;$C49,"",IF($D49=1,EOMONTH(EDATE(Bonds!$H49,6*(60-1)),0),EDATE(Bonds!$H49,6*(60-1))))</f>
        <v/>
      </c>
      <c r="BN49" s="7">
        <f t="shared" si="1"/>
        <v>0.24702465965488801</v>
      </c>
      <c r="BO49" s="7">
        <f t="shared" si="2"/>
        <v>97.008765712221503</v>
      </c>
      <c r="BP49" s="7">
        <f t="shared" si="3"/>
        <v>0</v>
      </c>
      <c r="BQ49" s="7">
        <f t="shared" si="4"/>
        <v>0</v>
      </c>
      <c r="BR49" s="7">
        <f t="shared" si="5"/>
        <v>0</v>
      </c>
      <c r="BS49" s="7">
        <f t="shared" si="6"/>
        <v>0</v>
      </c>
      <c r="BT49" s="7">
        <f t="shared" si="7"/>
        <v>0</v>
      </c>
      <c r="BU49" s="7">
        <f t="shared" si="8"/>
        <v>0</v>
      </c>
      <c r="BV49" s="7">
        <f t="shared" si="9"/>
        <v>0</v>
      </c>
      <c r="BW49" s="7">
        <f t="shared" si="10"/>
        <v>0</v>
      </c>
      <c r="BX49" s="7">
        <f t="shared" si="11"/>
        <v>0</v>
      </c>
      <c r="BY49" s="7">
        <f t="shared" si="12"/>
        <v>0</v>
      </c>
      <c r="BZ49" s="7">
        <f t="shared" si="13"/>
        <v>0</v>
      </c>
      <c r="CA49" s="7">
        <f t="shared" si="14"/>
        <v>0</v>
      </c>
      <c r="CB49" s="7">
        <f t="shared" si="15"/>
        <v>0</v>
      </c>
      <c r="CC49" s="7">
        <f t="shared" si="16"/>
        <v>0</v>
      </c>
      <c r="CD49" s="7">
        <f t="shared" si="17"/>
        <v>0</v>
      </c>
      <c r="CE49" s="7">
        <f t="shared" si="18"/>
        <v>0</v>
      </c>
      <c r="CF49" s="7">
        <f t="shared" si="19"/>
        <v>0</v>
      </c>
      <c r="CG49" s="7">
        <f t="shared" si="20"/>
        <v>0</v>
      </c>
      <c r="CH49" s="7">
        <f t="shared" si="21"/>
        <v>0</v>
      </c>
      <c r="CI49" s="7">
        <f t="shared" si="22"/>
        <v>0</v>
      </c>
      <c r="CJ49" s="7">
        <f t="shared" si="23"/>
        <v>0</v>
      </c>
      <c r="CK49" s="7">
        <f t="shared" si="24"/>
        <v>0</v>
      </c>
      <c r="CL49" s="7">
        <f t="shared" si="25"/>
        <v>0</v>
      </c>
      <c r="CM49" s="7">
        <f t="shared" si="26"/>
        <v>0</v>
      </c>
      <c r="CN49" s="7">
        <f t="shared" si="27"/>
        <v>0</v>
      </c>
      <c r="CO49" s="7">
        <f t="shared" si="28"/>
        <v>0</v>
      </c>
      <c r="CP49" s="7">
        <f t="shared" si="29"/>
        <v>0</v>
      </c>
      <c r="CQ49" s="7">
        <f t="shared" si="30"/>
        <v>0</v>
      </c>
      <c r="CR49" s="7">
        <f t="shared" si="31"/>
        <v>0</v>
      </c>
      <c r="CS49" s="7">
        <f t="shared" si="32"/>
        <v>0</v>
      </c>
      <c r="CT49" s="7">
        <f t="shared" si="33"/>
        <v>0</v>
      </c>
      <c r="CU49" s="7">
        <f t="shared" si="34"/>
        <v>0</v>
      </c>
      <c r="CV49" s="7">
        <f t="shared" si="35"/>
        <v>0</v>
      </c>
      <c r="CW49" s="7">
        <f t="shared" si="36"/>
        <v>0</v>
      </c>
      <c r="CX49" s="7">
        <f t="shared" si="37"/>
        <v>0</v>
      </c>
      <c r="CY49" s="7">
        <f t="shared" si="38"/>
        <v>0</v>
      </c>
      <c r="CZ49" s="7">
        <f t="shared" si="39"/>
        <v>0</v>
      </c>
      <c r="DA49" s="7">
        <f t="shared" si="40"/>
        <v>0</v>
      </c>
      <c r="DB49" s="7">
        <f t="shared" si="41"/>
        <v>0</v>
      </c>
      <c r="DC49" s="7">
        <f t="shared" si="42"/>
        <v>0</v>
      </c>
      <c r="DD49" s="7">
        <f t="shared" si="43"/>
        <v>0</v>
      </c>
      <c r="DE49" s="7">
        <f t="shared" si="44"/>
        <v>0</v>
      </c>
      <c r="DF49" s="7">
        <f t="shared" si="45"/>
        <v>0</v>
      </c>
      <c r="DG49" s="7">
        <f t="shared" si="46"/>
        <v>0</v>
      </c>
      <c r="DH49" s="7">
        <f t="shared" si="47"/>
        <v>0</v>
      </c>
      <c r="DI49" s="7">
        <f t="shared" si="48"/>
        <v>0</v>
      </c>
      <c r="DJ49" s="7">
        <f t="shared" si="49"/>
        <v>0</v>
      </c>
      <c r="DK49" s="7">
        <f t="shared" si="50"/>
        <v>0</v>
      </c>
      <c r="DL49" s="7">
        <f t="shared" si="51"/>
        <v>0</v>
      </c>
      <c r="DM49" s="7">
        <f t="shared" si="52"/>
        <v>0</v>
      </c>
      <c r="DN49" s="7">
        <f t="shared" si="53"/>
        <v>0</v>
      </c>
      <c r="DO49" s="7">
        <f t="shared" si="54"/>
        <v>0</v>
      </c>
      <c r="DP49" s="7">
        <f t="shared" si="55"/>
        <v>0</v>
      </c>
      <c r="DQ49" s="7">
        <f t="shared" si="56"/>
        <v>0</v>
      </c>
      <c r="DR49" s="7">
        <f t="shared" si="57"/>
        <v>0</v>
      </c>
      <c r="DS49" s="7">
        <f t="shared" si="58"/>
        <v>0</v>
      </c>
      <c r="DT49" s="7">
        <f t="shared" si="59"/>
        <v>0</v>
      </c>
      <c r="DU49" s="7">
        <f t="shared" si="60"/>
        <v>0</v>
      </c>
    </row>
    <row r="50" spans="1:125" x14ac:dyDescent="0.2">
      <c r="A50" s="3">
        <f>Bonds!A50</f>
        <v>46568</v>
      </c>
      <c r="B50" s="4">
        <f>Bonds!B50</f>
        <v>3.25</v>
      </c>
      <c r="C50">
        <f>Bonds!P50</f>
        <v>2</v>
      </c>
      <c r="D50">
        <f t="shared" si="0"/>
        <v>1</v>
      </c>
      <c r="E50" s="3">
        <f>IF(1&gt;$C50,"",IF($D50=1,EOMONTH(EDATE(Bonds!$H50,6*(1-1)),0),EDATE(Bonds!$H50,6*(1-1))))</f>
        <v>46387</v>
      </c>
      <c r="F50" s="3">
        <f>IF(2&gt;$C50,"",IF($D50=1,EOMONTH(EDATE(Bonds!$H50,6*(2-1)),0),EDATE(Bonds!$H50,6*(2-1))))</f>
        <v>46568</v>
      </c>
      <c r="G50" s="3" t="str">
        <f>IF(3&gt;$C50,"",IF($D50=1,EOMONTH(EDATE(Bonds!$H50,6*(3-1)),0),EDATE(Bonds!$H50,6*(3-1))))</f>
        <v/>
      </c>
      <c r="H50" s="3" t="str">
        <f>IF(4&gt;$C50,"",IF($D50=1,EOMONTH(EDATE(Bonds!$H50,6*(4-1)),0),EDATE(Bonds!$H50,6*(4-1))))</f>
        <v/>
      </c>
      <c r="I50" s="3" t="str">
        <f>IF(5&gt;$C50,"",IF($D50=1,EOMONTH(EDATE(Bonds!$H50,6*(5-1)),0),EDATE(Bonds!$H50,6*(5-1))))</f>
        <v/>
      </c>
      <c r="J50" s="3" t="str">
        <f>IF(6&gt;$C50,"",IF($D50=1,EOMONTH(EDATE(Bonds!$H50,6*(6-1)),0),EDATE(Bonds!$H50,6*(6-1))))</f>
        <v/>
      </c>
      <c r="K50" s="3" t="str">
        <f>IF(7&gt;$C50,"",IF($D50=1,EOMONTH(EDATE(Bonds!$H50,6*(7-1)),0),EDATE(Bonds!$H50,6*(7-1))))</f>
        <v/>
      </c>
      <c r="L50" s="3" t="str">
        <f>IF(8&gt;$C50,"",IF($D50=1,EOMONTH(EDATE(Bonds!$H50,6*(8-1)),0),EDATE(Bonds!$H50,6*(8-1))))</f>
        <v/>
      </c>
      <c r="M50" s="3" t="str">
        <f>IF(9&gt;$C50,"",IF($D50=1,EOMONTH(EDATE(Bonds!$H50,6*(9-1)),0),EDATE(Bonds!$H50,6*(9-1))))</f>
        <v/>
      </c>
      <c r="N50" s="3" t="str">
        <f>IF(10&gt;$C50,"",IF($D50=1,EOMONTH(EDATE(Bonds!$H50,6*(10-1)),0),EDATE(Bonds!$H50,6*(10-1))))</f>
        <v/>
      </c>
      <c r="O50" s="3" t="str">
        <f>IF(11&gt;$C50,"",IF($D50=1,EOMONTH(EDATE(Bonds!$H50,6*(11-1)),0),EDATE(Bonds!$H50,6*(11-1))))</f>
        <v/>
      </c>
      <c r="P50" s="3" t="str">
        <f>IF(12&gt;$C50,"",IF($D50=1,EOMONTH(EDATE(Bonds!$H50,6*(12-1)),0),EDATE(Bonds!$H50,6*(12-1))))</f>
        <v/>
      </c>
      <c r="Q50" s="3" t="str">
        <f>IF(13&gt;$C50,"",IF($D50=1,EOMONTH(EDATE(Bonds!$H50,6*(13-1)),0),EDATE(Bonds!$H50,6*(13-1))))</f>
        <v/>
      </c>
      <c r="R50" s="3" t="str">
        <f>IF(14&gt;$C50,"",IF($D50=1,EOMONTH(EDATE(Bonds!$H50,6*(14-1)),0),EDATE(Bonds!$H50,6*(14-1))))</f>
        <v/>
      </c>
      <c r="S50" s="3" t="str">
        <f>IF(15&gt;$C50,"",IF($D50=1,EOMONTH(EDATE(Bonds!$H50,6*(15-1)),0),EDATE(Bonds!$H50,6*(15-1))))</f>
        <v/>
      </c>
      <c r="T50" s="3" t="str">
        <f>IF(16&gt;$C50,"",IF($D50=1,EOMONTH(EDATE(Bonds!$H50,6*(16-1)),0),EDATE(Bonds!$H50,6*(16-1))))</f>
        <v/>
      </c>
      <c r="U50" s="3" t="str">
        <f>IF(17&gt;$C50,"",IF($D50=1,EOMONTH(EDATE(Bonds!$H50,6*(17-1)),0),EDATE(Bonds!$H50,6*(17-1))))</f>
        <v/>
      </c>
      <c r="V50" s="3" t="str">
        <f>IF(18&gt;$C50,"",IF($D50=1,EOMONTH(EDATE(Bonds!$H50,6*(18-1)),0),EDATE(Bonds!$H50,6*(18-1))))</f>
        <v/>
      </c>
      <c r="W50" s="3" t="str">
        <f>IF(19&gt;$C50,"",IF($D50=1,EOMONTH(EDATE(Bonds!$H50,6*(19-1)),0),EDATE(Bonds!$H50,6*(19-1))))</f>
        <v/>
      </c>
      <c r="X50" s="3" t="str">
        <f>IF(20&gt;$C50,"",IF($D50=1,EOMONTH(EDATE(Bonds!$H50,6*(20-1)),0),EDATE(Bonds!$H50,6*(20-1))))</f>
        <v/>
      </c>
      <c r="Y50" s="3" t="str">
        <f>IF(21&gt;$C50,"",IF($D50=1,EOMONTH(EDATE(Bonds!$H50,6*(21-1)),0),EDATE(Bonds!$H50,6*(21-1))))</f>
        <v/>
      </c>
      <c r="Z50" s="3" t="str">
        <f>IF(22&gt;$C50,"",IF($D50=1,EOMONTH(EDATE(Bonds!$H50,6*(22-1)),0),EDATE(Bonds!$H50,6*(22-1))))</f>
        <v/>
      </c>
      <c r="AA50" s="3" t="str">
        <f>IF(23&gt;$C50,"",IF($D50=1,EOMONTH(EDATE(Bonds!$H50,6*(23-1)),0),EDATE(Bonds!$H50,6*(23-1))))</f>
        <v/>
      </c>
      <c r="AB50" s="3" t="str">
        <f>IF(24&gt;$C50,"",IF($D50=1,EOMONTH(EDATE(Bonds!$H50,6*(24-1)),0),EDATE(Bonds!$H50,6*(24-1))))</f>
        <v/>
      </c>
      <c r="AC50" s="3" t="str">
        <f>IF(25&gt;$C50,"",IF($D50=1,EOMONTH(EDATE(Bonds!$H50,6*(25-1)),0),EDATE(Bonds!$H50,6*(25-1))))</f>
        <v/>
      </c>
      <c r="AD50" s="3" t="str">
        <f>IF(26&gt;$C50,"",IF($D50=1,EOMONTH(EDATE(Bonds!$H50,6*(26-1)),0),EDATE(Bonds!$H50,6*(26-1))))</f>
        <v/>
      </c>
      <c r="AE50" s="3" t="str">
        <f>IF(27&gt;$C50,"",IF($D50=1,EOMONTH(EDATE(Bonds!$H50,6*(27-1)),0),EDATE(Bonds!$H50,6*(27-1))))</f>
        <v/>
      </c>
      <c r="AF50" s="3" t="str">
        <f>IF(28&gt;$C50,"",IF($D50=1,EOMONTH(EDATE(Bonds!$H50,6*(28-1)),0),EDATE(Bonds!$H50,6*(28-1))))</f>
        <v/>
      </c>
      <c r="AG50" s="3" t="str">
        <f>IF(29&gt;$C50,"",IF($D50=1,EOMONTH(EDATE(Bonds!$H50,6*(29-1)),0),EDATE(Bonds!$H50,6*(29-1))))</f>
        <v/>
      </c>
      <c r="AH50" s="3" t="str">
        <f>IF(30&gt;$C50,"",IF($D50=1,EOMONTH(EDATE(Bonds!$H50,6*(30-1)),0),EDATE(Bonds!$H50,6*(30-1))))</f>
        <v/>
      </c>
      <c r="AI50" s="3" t="str">
        <f>IF(31&gt;$C50,"",IF($D50=1,EOMONTH(EDATE(Bonds!$H50,6*(31-1)),0),EDATE(Bonds!$H50,6*(31-1))))</f>
        <v/>
      </c>
      <c r="AJ50" s="3" t="str">
        <f>IF(32&gt;$C50,"",IF($D50=1,EOMONTH(EDATE(Bonds!$H50,6*(32-1)),0),EDATE(Bonds!$H50,6*(32-1))))</f>
        <v/>
      </c>
      <c r="AK50" s="3" t="str">
        <f>IF(33&gt;$C50,"",IF($D50=1,EOMONTH(EDATE(Bonds!$H50,6*(33-1)),0),EDATE(Bonds!$H50,6*(33-1))))</f>
        <v/>
      </c>
      <c r="AL50" s="3" t="str">
        <f>IF(34&gt;$C50,"",IF($D50=1,EOMONTH(EDATE(Bonds!$H50,6*(34-1)),0),EDATE(Bonds!$H50,6*(34-1))))</f>
        <v/>
      </c>
      <c r="AM50" s="3" t="str">
        <f>IF(35&gt;$C50,"",IF($D50=1,EOMONTH(EDATE(Bonds!$H50,6*(35-1)),0),EDATE(Bonds!$H50,6*(35-1))))</f>
        <v/>
      </c>
      <c r="AN50" s="3" t="str">
        <f>IF(36&gt;$C50,"",IF($D50=1,EOMONTH(EDATE(Bonds!$H50,6*(36-1)),0),EDATE(Bonds!$H50,6*(36-1))))</f>
        <v/>
      </c>
      <c r="AO50" s="3" t="str">
        <f>IF(37&gt;$C50,"",IF($D50=1,EOMONTH(EDATE(Bonds!$H50,6*(37-1)),0),EDATE(Bonds!$H50,6*(37-1))))</f>
        <v/>
      </c>
      <c r="AP50" s="3" t="str">
        <f>IF(38&gt;$C50,"",IF($D50=1,EOMONTH(EDATE(Bonds!$H50,6*(38-1)),0),EDATE(Bonds!$H50,6*(38-1))))</f>
        <v/>
      </c>
      <c r="AQ50" s="3" t="str">
        <f>IF(39&gt;$C50,"",IF($D50=1,EOMONTH(EDATE(Bonds!$H50,6*(39-1)),0),EDATE(Bonds!$H50,6*(39-1))))</f>
        <v/>
      </c>
      <c r="AR50" s="3" t="str">
        <f>IF(40&gt;$C50,"",IF($D50=1,EOMONTH(EDATE(Bonds!$H50,6*(40-1)),0),EDATE(Bonds!$H50,6*(40-1))))</f>
        <v/>
      </c>
      <c r="AS50" s="3" t="str">
        <f>IF(41&gt;$C50,"",IF($D50=1,EOMONTH(EDATE(Bonds!$H50,6*(41-1)),0),EDATE(Bonds!$H50,6*(41-1))))</f>
        <v/>
      </c>
      <c r="AT50" s="3" t="str">
        <f>IF(42&gt;$C50,"",IF($D50=1,EOMONTH(EDATE(Bonds!$H50,6*(42-1)),0),EDATE(Bonds!$H50,6*(42-1))))</f>
        <v/>
      </c>
      <c r="AU50" s="3" t="str">
        <f>IF(43&gt;$C50,"",IF($D50=1,EOMONTH(EDATE(Bonds!$H50,6*(43-1)),0),EDATE(Bonds!$H50,6*(43-1))))</f>
        <v/>
      </c>
      <c r="AV50" s="3" t="str">
        <f>IF(44&gt;$C50,"",IF($D50=1,EOMONTH(EDATE(Bonds!$H50,6*(44-1)),0),EDATE(Bonds!$H50,6*(44-1))))</f>
        <v/>
      </c>
      <c r="AW50" s="3" t="str">
        <f>IF(45&gt;$C50,"",IF($D50=1,EOMONTH(EDATE(Bonds!$H50,6*(45-1)),0),EDATE(Bonds!$H50,6*(45-1))))</f>
        <v/>
      </c>
      <c r="AX50" s="3" t="str">
        <f>IF(46&gt;$C50,"",IF($D50=1,EOMONTH(EDATE(Bonds!$H50,6*(46-1)),0),EDATE(Bonds!$H50,6*(46-1))))</f>
        <v/>
      </c>
      <c r="AY50" s="3" t="str">
        <f>IF(47&gt;$C50,"",IF($D50=1,EOMONTH(EDATE(Bonds!$H50,6*(47-1)),0),EDATE(Bonds!$H50,6*(47-1))))</f>
        <v/>
      </c>
      <c r="AZ50" s="3" t="str">
        <f>IF(48&gt;$C50,"",IF($D50=1,EOMONTH(EDATE(Bonds!$H50,6*(48-1)),0),EDATE(Bonds!$H50,6*(48-1))))</f>
        <v/>
      </c>
      <c r="BA50" s="3" t="str">
        <f>IF(49&gt;$C50,"",IF($D50=1,EOMONTH(EDATE(Bonds!$H50,6*(49-1)),0),EDATE(Bonds!$H50,6*(49-1))))</f>
        <v/>
      </c>
      <c r="BB50" s="3" t="str">
        <f>IF(50&gt;$C50,"",IF($D50=1,EOMONTH(EDATE(Bonds!$H50,6*(50-1)),0),EDATE(Bonds!$H50,6*(50-1))))</f>
        <v/>
      </c>
      <c r="BC50" s="3" t="str">
        <f>IF(51&gt;$C50,"",IF($D50=1,EOMONTH(EDATE(Bonds!$H50,6*(51-1)),0),EDATE(Bonds!$H50,6*(51-1))))</f>
        <v/>
      </c>
      <c r="BD50" s="3" t="str">
        <f>IF(52&gt;$C50,"",IF($D50=1,EOMONTH(EDATE(Bonds!$H50,6*(52-1)),0),EDATE(Bonds!$H50,6*(52-1))))</f>
        <v/>
      </c>
      <c r="BE50" s="3" t="str">
        <f>IF(53&gt;$C50,"",IF($D50=1,EOMONTH(EDATE(Bonds!$H50,6*(53-1)),0),EDATE(Bonds!$H50,6*(53-1))))</f>
        <v/>
      </c>
      <c r="BF50" s="3" t="str">
        <f>IF(54&gt;$C50,"",IF($D50=1,EOMONTH(EDATE(Bonds!$H50,6*(54-1)),0),EDATE(Bonds!$H50,6*(54-1))))</f>
        <v/>
      </c>
      <c r="BG50" s="3" t="str">
        <f>IF(55&gt;$C50,"",IF($D50=1,EOMONTH(EDATE(Bonds!$H50,6*(55-1)),0),EDATE(Bonds!$H50,6*(55-1))))</f>
        <v/>
      </c>
      <c r="BH50" s="3" t="str">
        <f>IF(56&gt;$C50,"",IF($D50=1,EOMONTH(EDATE(Bonds!$H50,6*(56-1)),0),EDATE(Bonds!$H50,6*(56-1))))</f>
        <v/>
      </c>
      <c r="BI50" s="3" t="str">
        <f>IF(57&gt;$C50,"",IF($D50=1,EOMONTH(EDATE(Bonds!$H50,6*(57-1)),0),EDATE(Bonds!$H50,6*(57-1))))</f>
        <v/>
      </c>
      <c r="BJ50" s="3" t="str">
        <f>IF(58&gt;$C50,"",IF($D50=1,EOMONTH(EDATE(Bonds!$H50,6*(58-1)),0),EDATE(Bonds!$H50,6*(58-1))))</f>
        <v/>
      </c>
      <c r="BK50" s="3" t="str">
        <f>IF(59&gt;$C50,"",IF($D50=1,EOMONTH(EDATE(Bonds!$H50,6*(59-1)),0),EDATE(Bonds!$H50,6*(59-1))))</f>
        <v/>
      </c>
      <c r="BL50" s="3" t="str">
        <f>IF(60&gt;$C50,"",IF($D50=1,EOMONTH(EDATE(Bonds!$H50,6*(60-1)),0),EDATE(Bonds!$H50,6*(60-1))))</f>
        <v/>
      </c>
      <c r="BN50" s="7">
        <f t="shared" si="1"/>
        <v>1.6056602877567721</v>
      </c>
      <c r="BO50" s="7">
        <f t="shared" si="2"/>
        <v>98.339309880344246</v>
      </c>
      <c r="BP50" s="7">
        <f t="shared" si="3"/>
        <v>0</v>
      </c>
      <c r="BQ50" s="7">
        <f t="shared" si="4"/>
        <v>0</v>
      </c>
      <c r="BR50" s="7">
        <f t="shared" si="5"/>
        <v>0</v>
      </c>
      <c r="BS50" s="7">
        <f t="shared" si="6"/>
        <v>0</v>
      </c>
      <c r="BT50" s="7">
        <f t="shared" si="7"/>
        <v>0</v>
      </c>
      <c r="BU50" s="7">
        <f t="shared" si="8"/>
        <v>0</v>
      </c>
      <c r="BV50" s="7">
        <f t="shared" si="9"/>
        <v>0</v>
      </c>
      <c r="BW50" s="7">
        <f t="shared" si="10"/>
        <v>0</v>
      </c>
      <c r="BX50" s="7">
        <f t="shared" si="11"/>
        <v>0</v>
      </c>
      <c r="BY50" s="7">
        <f t="shared" si="12"/>
        <v>0</v>
      </c>
      <c r="BZ50" s="7">
        <f t="shared" si="13"/>
        <v>0</v>
      </c>
      <c r="CA50" s="7">
        <f t="shared" si="14"/>
        <v>0</v>
      </c>
      <c r="CB50" s="7">
        <f t="shared" si="15"/>
        <v>0</v>
      </c>
      <c r="CC50" s="7">
        <f t="shared" si="16"/>
        <v>0</v>
      </c>
      <c r="CD50" s="7">
        <f t="shared" si="17"/>
        <v>0</v>
      </c>
      <c r="CE50" s="7">
        <f t="shared" si="18"/>
        <v>0</v>
      </c>
      <c r="CF50" s="7">
        <f t="shared" si="19"/>
        <v>0</v>
      </c>
      <c r="CG50" s="7">
        <f t="shared" si="20"/>
        <v>0</v>
      </c>
      <c r="CH50" s="7">
        <f t="shared" si="21"/>
        <v>0</v>
      </c>
      <c r="CI50" s="7">
        <f t="shared" si="22"/>
        <v>0</v>
      </c>
      <c r="CJ50" s="7">
        <f t="shared" si="23"/>
        <v>0</v>
      </c>
      <c r="CK50" s="7">
        <f t="shared" si="24"/>
        <v>0</v>
      </c>
      <c r="CL50" s="7">
        <f t="shared" si="25"/>
        <v>0</v>
      </c>
      <c r="CM50" s="7">
        <f t="shared" si="26"/>
        <v>0</v>
      </c>
      <c r="CN50" s="7">
        <f t="shared" si="27"/>
        <v>0</v>
      </c>
      <c r="CO50" s="7">
        <f t="shared" si="28"/>
        <v>0</v>
      </c>
      <c r="CP50" s="7">
        <f t="shared" si="29"/>
        <v>0</v>
      </c>
      <c r="CQ50" s="7">
        <f t="shared" si="30"/>
        <v>0</v>
      </c>
      <c r="CR50" s="7">
        <f t="shared" si="31"/>
        <v>0</v>
      </c>
      <c r="CS50" s="7">
        <f t="shared" si="32"/>
        <v>0</v>
      </c>
      <c r="CT50" s="7">
        <f t="shared" si="33"/>
        <v>0</v>
      </c>
      <c r="CU50" s="7">
        <f t="shared" si="34"/>
        <v>0</v>
      </c>
      <c r="CV50" s="7">
        <f t="shared" si="35"/>
        <v>0</v>
      </c>
      <c r="CW50" s="7">
        <f t="shared" si="36"/>
        <v>0</v>
      </c>
      <c r="CX50" s="7">
        <f t="shared" si="37"/>
        <v>0</v>
      </c>
      <c r="CY50" s="7">
        <f t="shared" si="38"/>
        <v>0</v>
      </c>
      <c r="CZ50" s="7">
        <f t="shared" si="39"/>
        <v>0</v>
      </c>
      <c r="DA50" s="7">
        <f t="shared" si="40"/>
        <v>0</v>
      </c>
      <c r="DB50" s="7">
        <f t="shared" si="41"/>
        <v>0</v>
      </c>
      <c r="DC50" s="7">
        <f t="shared" si="42"/>
        <v>0</v>
      </c>
      <c r="DD50" s="7">
        <f t="shared" si="43"/>
        <v>0</v>
      </c>
      <c r="DE50" s="7">
        <f t="shared" si="44"/>
        <v>0</v>
      </c>
      <c r="DF50" s="7">
        <f t="shared" si="45"/>
        <v>0</v>
      </c>
      <c r="DG50" s="7">
        <f t="shared" si="46"/>
        <v>0</v>
      </c>
      <c r="DH50" s="7">
        <f t="shared" si="47"/>
        <v>0</v>
      </c>
      <c r="DI50" s="7">
        <f t="shared" si="48"/>
        <v>0</v>
      </c>
      <c r="DJ50" s="7">
        <f t="shared" si="49"/>
        <v>0</v>
      </c>
      <c r="DK50" s="7">
        <f t="shared" si="50"/>
        <v>0</v>
      </c>
      <c r="DL50" s="7">
        <f t="shared" si="51"/>
        <v>0</v>
      </c>
      <c r="DM50" s="7">
        <f t="shared" si="52"/>
        <v>0</v>
      </c>
      <c r="DN50" s="7">
        <f t="shared" si="53"/>
        <v>0</v>
      </c>
      <c r="DO50" s="7">
        <f t="shared" si="54"/>
        <v>0</v>
      </c>
      <c r="DP50" s="7">
        <f t="shared" si="55"/>
        <v>0</v>
      </c>
      <c r="DQ50" s="7">
        <f t="shared" si="56"/>
        <v>0</v>
      </c>
      <c r="DR50" s="7">
        <f t="shared" si="57"/>
        <v>0</v>
      </c>
      <c r="DS50" s="7">
        <f t="shared" si="58"/>
        <v>0</v>
      </c>
      <c r="DT50" s="7">
        <f t="shared" si="59"/>
        <v>0</v>
      </c>
      <c r="DU50" s="7">
        <f t="shared" si="60"/>
        <v>0</v>
      </c>
    </row>
    <row r="51" spans="1:125" x14ac:dyDescent="0.2">
      <c r="A51" s="3">
        <f>Bonds!A51</f>
        <v>46568</v>
      </c>
      <c r="B51" s="4">
        <f>Bonds!B51</f>
        <v>3.75</v>
      </c>
      <c r="C51">
        <f>Bonds!P51</f>
        <v>2</v>
      </c>
      <c r="D51">
        <f t="shared" si="0"/>
        <v>1</v>
      </c>
      <c r="E51" s="3">
        <f>IF(1&gt;$C51,"",IF($D51=1,EOMONTH(EDATE(Bonds!$H51,6*(1-1)),0),EDATE(Bonds!$H51,6*(1-1))))</f>
        <v>46387</v>
      </c>
      <c r="F51" s="3">
        <f>IF(2&gt;$C51,"",IF($D51=1,EOMONTH(EDATE(Bonds!$H51,6*(2-1)),0),EDATE(Bonds!$H51,6*(2-1))))</f>
        <v>46568</v>
      </c>
      <c r="G51" s="3" t="str">
        <f>IF(3&gt;$C51,"",IF($D51=1,EOMONTH(EDATE(Bonds!$H51,6*(3-1)),0),EDATE(Bonds!$H51,6*(3-1))))</f>
        <v/>
      </c>
      <c r="H51" s="3" t="str">
        <f>IF(4&gt;$C51,"",IF($D51=1,EOMONTH(EDATE(Bonds!$H51,6*(4-1)),0),EDATE(Bonds!$H51,6*(4-1))))</f>
        <v/>
      </c>
      <c r="I51" s="3" t="str">
        <f>IF(5&gt;$C51,"",IF($D51=1,EOMONTH(EDATE(Bonds!$H51,6*(5-1)),0),EDATE(Bonds!$H51,6*(5-1))))</f>
        <v/>
      </c>
      <c r="J51" s="3" t="str">
        <f>IF(6&gt;$C51,"",IF($D51=1,EOMONTH(EDATE(Bonds!$H51,6*(6-1)),0),EDATE(Bonds!$H51,6*(6-1))))</f>
        <v/>
      </c>
      <c r="K51" s="3" t="str">
        <f>IF(7&gt;$C51,"",IF($D51=1,EOMONTH(EDATE(Bonds!$H51,6*(7-1)),0),EDATE(Bonds!$H51,6*(7-1))))</f>
        <v/>
      </c>
      <c r="L51" s="3" t="str">
        <f>IF(8&gt;$C51,"",IF($D51=1,EOMONTH(EDATE(Bonds!$H51,6*(8-1)),0),EDATE(Bonds!$H51,6*(8-1))))</f>
        <v/>
      </c>
      <c r="M51" s="3" t="str">
        <f>IF(9&gt;$C51,"",IF($D51=1,EOMONTH(EDATE(Bonds!$H51,6*(9-1)),0),EDATE(Bonds!$H51,6*(9-1))))</f>
        <v/>
      </c>
      <c r="N51" s="3" t="str">
        <f>IF(10&gt;$C51,"",IF($D51=1,EOMONTH(EDATE(Bonds!$H51,6*(10-1)),0),EDATE(Bonds!$H51,6*(10-1))))</f>
        <v/>
      </c>
      <c r="O51" s="3" t="str">
        <f>IF(11&gt;$C51,"",IF($D51=1,EOMONTH(EDATE(Bonds!$H51,6*(11-1)),0),EDATE(Bonds!$H51,6*(11-1))))</f>
        <v/>
      </c>
      <c r="P51" s="3" t="str">
        <f>IF(12&gt;$C51,"",IF($D51=1,EOMONTH(EDATE(Bonds!$H51,6*(12-1)),0),EDATE(Bonds!$H51,6*(12-1))))</f>
        <v/>
      </c>
      <c r="Q51" s="3" t="str">
        <f>IF(13&gt;$C51,"",IF($D51=1,EOMONTH(EDATE(Bonds!$H51,6*(13-1)),0),EDATE(Bonds!$H51,6*(13-1))))</f>
        <v/>
      </c>
      <c r="R51" s="3" t="str">
        <f>IF(14&gt;$C51,"",IF($D51=1,EOMONTH(EDATE(Bonds!$H51,6*(14-1)),0),EDATE(Bonds!$H51,6*(14-1))))</f>
        <v/>
      </c>
      <c r="S51" s="3" t="str">
        <f>IF(15&gt;$C51,"",IF($D51=1,EOMONTH(EDATE(Bonds!$H51,6*(15-1)),0),EDATE(Bonds!$H51,6*(15-1))))</f>
        <v/>
      </c>
      <c r="T51" s="3" t="str">
        <f>IF(16&gt;$C51,"",IF($D51=1,EOMONTH(EDATE(Bonds!$H51,6*(16-1)),0),EDATE(Bonds!$H51,6*(16-1))))</f>
        <v/>
      </c>
      <c r="U51" s="3" t="str">
        <f>IF(17&gt;$C51,"",IF($D51=1,EOMONTH(EDATE(Bonds!$H51,6*(17-1)),0),EDATE(Bonds!$H51,6*(17-1))))</f>
        <v/>
      </c>
      <c r="V51" s="3" t="str">
        <f>IF(18&gt;$C51,"",IF($D51=1,EOMONTH(EDATE(Bonds!$H51,6*(18-1)),0),EDATE(Bonds!$H51,6*(18-1))))</f>
        <v/>
      </c>
      <c r="W51" s="3" t="str">
        <f>IF(19&gt;$C51,"",IF($D51=1,EOMONTH(EDATE(Bonds!$H51,6*(19-1)),0),EDATE(Bonds!$H51,6*(19-1))))</f>
        <v/>
      </c>
      <c r="X51" s="3" t="str">
        <f>IF(20&gt;$C51,"",IF($D51=1,EOMONTH(EDATE(Bonds!$H51,6*(20-1)),0),EDATE(Bonds!$H51,6*(20-1))))</f>
        <v/>
      </c>
      <c r="Y51" s="3" t="str">
        <f>IF(21&gt;$C51,"",IF($D51=1,EOMONTH(EDATE(Bonds!$H51,6*(21-1)),0),EDATE(Bonds!$H51,6*(21-1))))</f>
        <v/>
      </c>
      <c r="Z51" s="3" t="str">
        <f>IF(22&gt;$C51,"",IF($D51=1,EOMONTH(EDATE(Bonds!$H51,6*(22-1)),0),EDATE(Bonds!$H51,6*(22-1))))</f>
        <v/>
      </c>
      <c r="AA51" s="3" t="str">
        <f>IF(23&gt;$C51,"",IF($D51=1,EOMONTH(EDATE(Bonds!$H51,6*(23-1)),0),EDATE(Bonds!$H51,6*(23-1))))</f>
        <v/>
      </c>
      <c r="AB51" s="3" t="str">
        <f>IF(24&gt;$C51,"",IF($D51=1,EOMONTH(EDATE(Bonds!$H51,6*(24-1)),0),EDATE(Bonds!$H51,6*(24-1))))</f>
        <v/>
      </c>
      <c r="AC51" s="3" t="str">
        <f>IF(25&gt;$C51,"",IF($D51=1,EOMONTH(EDATE(Bonds!$H51,6*(25-1)),0),EDATE(Bonds!$H51,6*(25-1))))</f>
        <v/>
      </c>
      <c r="AD51" s="3" t="str">
        <f>IF(26&gt;$C51,"",IF($D51=1,EOMONTH(EDATE(Bonds!$H51,6*(26-1)),0),EDATE(Bonds!$H51,6*(26-1))))</f>
        <v/>
      </c>
      <c r="AE51" s="3" t="str">
        <f>IF(27&gt;$C51,"",IF($D51=1,EOMONTH(EDATE(Bonds!$H51,6*(27-1)),0),EDATE(Bonds!$H51,6*(27-1))))</f>
        <v/>
      </c>
      <c r="AF51" s="3" t="str">
        <f>IF(28&gt;$C51,"",IF($D51=1,EOMONTH(EDATE(Bonds!$H51,6*(28-1)),0),EDATE(Bonds!$H51,6*(28-1))))</f>
        <v/>
      </c>
      <c r="AG51" s="3" t="str">
        <f>IF(29&gt;$C51,"",IF($D51=1,EOMONTH(EDATE(Bonds!$H51,6*(29-1)),0),EDATE(Bonds!$H51,6*(29-1))))</f>
        <v/>
      </c>
      <c r="AH51" s="3" t="str">
        <f>IF(30&gt;$C51,"",IF($D51=1,EOMONTH(EDATE(Bonds!$H51,6*(30-1)),0),EDATE(Bonds!$H51,6*(30-1))))</f>
        <v/>
      </c>
      <c r="AI51" s="3" t="str">
        <f>IF(31&gt;$C51,"",IF($D51=1,EOMONTH(EDATE(Bonds!$H51,6*(31-1)),0),EDATE(Bonds!$H51,6*(31-1))))</f>
        <v/>
      </c>
      <c r="AJ51" s="3" t="str">
        <f>IF(32&gt;$C51,"",IF($D51=1,EOMONTH(EDATE(Bonds!$H51,6*(32-1)),0),EDATE(Bonds!$H51,6*(32-1))))</f>
        <v/>
      </c>
      <c r="AK51" s="3" t="str">
        <f>IF(33&gt;$C51,"",IF($D51=1,EOMONTH(EDATE(Bonds!$H51,6*(33-1)),0),EDATE(Bonds!$H51,6*(33-1))))</f>
        <v/>
      </c>
      <c r="AL51" s="3" t="str">
        <f>IF(34&gt;$C51,"",IF($D51=1,EOMONTH(EDATE(Bonds!$H51,6*(34-1)),0),EDATE(Bonds!$H51,6*(34-1))))</f>
        <v/>
      </c>
      <c r="AM51" s="3" t="str">
        <f>IF(35&gt;$C51,"",IF($D51=1,EOMONTH(EDATE(Bonds!$H51,6*(35-1)),0),EDATE(Bonds!$H51,6*(35-1))))</f>
        <v/>
      </c>
      <c r="AN51" s="3" t="str">
        <f>IF(36&gt;$C51,"",IF($D51=1,EOMONTH(EDATE(Bonds!$H51,6*(36-1)),0),EDATE(Bonds!$H51,6*(36-1))))</f>
        <v/>
      </c>
      <c r="AO51" s="3" t="str">
        <f>IF(37&gt;$C51,"",IF($D51=1,EOMONTH(EDATE(Bonds!$H51,6*(37-1)),0),EDATE(Bonds!$H51,6*(37-1))))</f>
        <v/>
      </c>
      <c r="AP51" s="3" t="str">
        <f>IF(38&gt;$C51,"",IF($D51=1,EOMONTH(EDATE(Bonds!$H51,6*(38-1)),0),EDATE(Bonds!$H51,6*(38-1))))</f>
        <v/>
      </c>
      <c r="AQ51" s="3" t="str">
        <f>IF(39&gt;$C51,"",IF($D51=1,EOMONTH(EDATE(Bonds!$H51,6*(39-1)),0),EDATE(Bonds!$H51,6*(39-1))))</f>
        <v/>
      </c>
      <c r="AR51" s="3" t="str">
        <f>IF(40&gt;$C51,"",IF($D51=1,EOMONTH(EDATE(Bonds!$H51,6*(40-1)),0),EDATE(Bonds!$H51,6*(40-1))))</f>
        <v/>
      </c>
      <c r="AS51" s="3" t="str">
        <f>IF(41&gt;$C51,"",IF($D51=1,EOMONTH(EDATE(Bonds!$H51,6*(41-1)),0),EDATE(Bonds!$H51,6*(41-1))))</f>
        <v/>
      </c>
      <c r="AT51" s="3" t="str">
        <f>IF(42&gt;$C51,"",IF($D51=1,EOMONTH(EDATE(Bonds!$H51,6*(42-1)),0),EDATE(Bonds!$H51,6*(42-1))))</f>
        <v/>
      </c>
      <c r="AU51" s="3" t="str">
        <f>IF(43&gt;$C51,"",IF($D51=1,EOMONTH(EDATE(Bonds!$H51,6*(43-1)),0),EDATE(Bonds!$H51,6*(43-1))))</f>
        <v/>
      </c>
      <c r="AV51" s="3" t="str">
        <f>IF(44&gt;$C51,"",IF($D51=1,EOMONTH(EDATE(Bonds!$H51,6*(44-1)),0),EDATE(Bonds!$H51,6*(44-1))))</f>
        <v/>
      </c>
      <c r="AW51" s="3" t="str">
        <f>IF(45&gt;$C51,"",IF($D51=1,EOMONTH(EDATE(Bonds!$H51,6*(45-1)),0),EDATE(Bonds!$H51,6*(45-1))))</f>
        <v/>
      </c>
      <c r="AX51" s="3" t="str">
        <f>IF(46&gt;$C51,"",IF($D51=1,EOMONTH(EDATE(Bonds!$H51,6*(46-1)),0),EDATE(Bonds!$H51,6*(46-1))))</f>
        <v/>
      </c>
      <c r="AY51" s="3" t="str">
        <f>IF(47&gt;$C51,"",IF($D51=1,EOMONTH(EDATE(Bonds!$H51,6*(47-1)),0),EDATE(Bonds!$H51,6*(47-1))))</f>
        <v/>
      </c>
      <c r="AZ51" s="3" t="str">
        <f>IF(48&gt;$C51,"",IF($D51=1,EOMONTH(EDATE(Bonds!$H51,6*(48-1)),0),EDATE(Bonds!$H51,6*(48-1))))</f>
        <v/>
      </c>
      <c r="BA51" s="3" t="str">
        <f>IF(49&gt;$C51,"",IF($D51=1,EOMONTH(EDATE(Bonds!$H51,6*(49-1)),0),EDATE(Bonds!$H51,6*(49-1))))</f>
        <v/>
      </c>
      <c r="BB51" s="3" t="str">
        <f>IF(50&gt;$C51,"",IF($D51=1,EOMONTH(EDATE(Bonds!$H51,6*(50-1)),0),EDATE(Bonds!$H51,6*(50-1))))</f>
        <v/>
      </c>
      <c r="BC51" s="3" t="str">
        <f>IF(51&gt;$C51,"",IF($D51=1,EOMONTH(EDATE(Bonds!$H51,6*(51-1)),0),EDATE(Bonds!$H51,6*(51-1))))</f>
        <v/>
      </c>
      <c r="BD51" s="3" t="str">
        <f>IF(52&gt;$C51,"",IF($D51=1,EOMONTH(EDATE(Bonds!$H51,6*(52-1)),0),EDATE(Bonds!$H51,6*(52-1))))</f>
        <v/>
      </c>
      <c r="BE51" s="3" t="str">
        <f>IF(53&gt;$C51,"",IF($D51=1,EOMONTH(EDATE(Bonds!$H51,6*(53-1)),0),EDATE(Bonds!$H51,6*(53-1))))</f>
        <v/>
      </c>
      <c r="BF51" s="3" t="str">
        <f>IF(54&gt;$C51,"",IF($D51=1,EOMONTH(EDATE(Bonds!$H51,6*(54-1)),0),EDATE(Bonds!$H51,6*(54-1))))</f>
        <v/>
      </c>
      <c r="BG51" s="3" t="str">
        <f>IF(55&gt;$C51,"",IF($D51=1,EOMONTH(EDATE(Bonds!$H51,6*(55-1)),0),EDATE(Bonds!$H51,6*(55-1))))</f>
        <v/>
      </c>
      <c r="BH51" s="3" t="str">
        <f>IF(56&gt;$C51,"",IF($D51=1,EOMONTH(EDATE(Bonds!$H51,6*(56-1)),0),EDATE(Bonds!$H51,6*(56-1))))</f>
        <v/>
      </c>
      <c r="BI51" s="3" t="str">
        <f>IF(57&gt;$C51,"",IF($D51=1,EOMONTH(EDATE(Bonds!$H51,6*(57-1)),0),EDATE(Bonds!$H51,6*(57-1))))</f>
        <v/>
      </c>
      <c r="BJ51" s="3" t="str">
        <f>IF(58&gt;$C51,"",IF($D51=1,EOMONTH(EDATE(Bonds!$H51,6*(58-1)),0),EDATE(Bonds!$H51,6*(58-1))))</f>
        <v/>
      </c>
      <c r="BK51" s="3" t="str">
        <f>IF(59&gt;$C51,"",IF($D51=1,EOMONTH(EDATE(Bonds!$H51,6*(59-1)),0),EDATE(Bonds!$H51,6*(59-1))))</f>
        <v/>
      </c>
      <c r="BL51" s="3" t="str">
        <f>IF(60&gt;$C51,"",IF($D51=1,EOMONTH(EDATE(Bonds!$H51,6*(60-1)),0),EDATE(Bonds!$H51,6*(60-1))))</f>
        <v/>
      </c>
      <c r="BN51" s="7">
        <f t="shared" si="1"/>
        <v>1.85268494741166</v>
      </c>
      <c r="BO51" s="7">
        <f t="shared" si="2"/>
        <v>98.581227001821105</v>
      </c>
      <c r="BP51" s="7">
        <f t="shared" si="3"/>
        <v>0</v>
      </c>
      <c r="BQ51" s="7">
        <f t="shared" si="4"/>
        <v>0</v>
      </c>
      <c r="BR51" s="7">
        <f t="shared" si="5"/>
        <v>0</v>
      </c>
      <c r="BS51" s="7">
        <f t="shared" si="6"/>
        <v>0</v>
      </c>
      <c r="BT51" s="7">
        <f t="shared" si="7"/>
        <v>0</v>
      </c>
      <c r="BU51" s="7">
        <f t="shared" si="8"/>
        <v>0</v>
      </c>
      <c r="BV51" s="7">
        <f t="shared" si="9"/>
        <v>0</v>
      </c>
      <c r="BW51" s="7">
        <f t="shared" si="10"/>
        <v>0</v>
      </c>
      <c r="BX51" s="7">
        <f t="shared" si="11"/>
        <v>0</v>
      </c>
      <c r="BY51" s="7">
        <f t="shared" si="12"/>
        <v>0</v>
      </c>
      <c r="BZ51" s="7">
        <f t="shared" si="13"/>
        <v>0</v>
      </c>
      <c r="CA51" s="7">
        <f t="shared" si="14"/>
        <v>0</v>
      </c>
      <c r="CB51" s="7">
        <f t="shared" si="15"/>
        <v>0</v>
      </c>
      <c r="CC51" s="7">
        <f t="shared" si="16"/>
        <v>0</v>
      </c>
      <c r="CD51" s="7">
        <f t="shared" si="17"/>
        <v>0</v>
      </c>
      <c r="CE51" s="7">
        <f t="shared" si="18"/>
        <v>0</v>
      </c>
      <c r="CF51" s="7">
        <f t="shared" si="19"/>
        <v>0</v>
      </c>
      <c r="CG51" s="7">
        <f t="shared" si="20"/>
        <v>0</v>
      </c>
      <c r="CH51" s="7">
        <f t="shared" si="21"/>
        <v>0</v>
      </c>
      <c r="CI51" s="7">
        <f t="shared" si="22"/>
        <v>0</v>
      </c>
      <c r="CJ51" s="7">
        <f t="shared" si="23"/>
        <v>0</v>
      </c>
      <c r="CK51" s="7">
        <f t="shared" si="24"/>
        <v>0</v>
      </c>
      <c r="CL51" s="7">
        <f t="shared" si="25"/>
        <v>0</v>
      </c>
      <c r="CM51" s="7">
        <f t="shared" si="26"/>
        <v>0</v>
      </c>
      <c r="CN51" s="7">
        <f t="shared" si="27"/>
        <v>0</v>
      </c>
      <c r="CO51" s="7">
        <f t="shared" si="28"/>
        <v>0</v>
      </c>
      <c r="CP51" s="7">
        <f t="shared" si="29"/>
        <v>0</v>
      </c>
      <c r="CQ51" s="7">
        <f t="shared" si="30"/>
        <v>0</v>
      </c>
      <c r="CR51" s="7">
        <f t="shared" si="31"/>
        <v>0</v>
      </c>
      <c r="CS51" s="7">
        <f t="shared" si="32"/>
        <v>0</v>
      </c>
      <c r="CT51" s="7">
        <f t="shared" si="33"/>
        <v>0</v>
      </c>
      <c r="CU51" s="7">
        <f t="shared" si="34"/>
        <v>0</v>
      </c>
      <c r="CV51" s="7">
        <f t="shared" si="35"/>
        <v>0</v>
      </c>
      <c r="CW51" s="7">
        <f t="shared" si="36"/>
        <v>0</v>
      </c>
      <c r="CX51" s="7">
        <f t="shared" si="37"/>
        <v>0</v>
      </c>
      <c r="CY51" s="7">
        <f t="shared" si="38"/>
        <v>0</v>
      </c>
      <c r="CZ51" s="7">
        <f t="shared" si="39"/>
        <v>0</v>
      </c>
      <c r="DA51" s="7">
        <f t="shared" si="40"/>
        <v>0</v>
      </c>
      <c r="DB51" s="7">
        <f t="shared" si="41"/>
        <v>0</v>
      </c>
      <c r="DC51" s="7">
        <f t="shared" si="42"/>
        <v>0</v>
      </c>
      <c r="DD51" s="7">
        <f t="shared" si="43"/>
        <v>0</v>
      </c>
      <c r="DE51" s="7">
        <f t="shared" si="44"/>
        <v>0</v>
      </c>
      <c r="DF51" s="7">
        <f t="shared" si="45"/>
        <v>0</v>
      </c>
      <c r="DG51" s="7">
        <f t="shared" si="46"/>
        <v>0</v>
      </c>
      <c r="DH51" s="7">
        <f t="shared" si="47"/>
        <v>0</v>
      </c>
      <c r="DI51" s="7">
        <f t="shared" si="48"/>
        <v>0</v>
      </c>
      <c r="DJ51" s="7">
        <f t="shared" si="49"/>
        <v>0</v>
      </c>
      <c r="DK51" s="7">
        <f t="shared" si="50"/>
        <v>0</v>
      </c>
      <c r="DL51" s="7">
        <f t="shared" si="51"/>
        <v>0</v>
      </c>
      <c r="DM51" s="7">
        <f t="shared" si="52"/>
        <v>0</v>
      </c>
      <c r="DN51" s="7">
        <f t="shared" si="53"/>
        <v>0</v>
      </c>
      <c r="DO51" s="7">
        <f t="shared" si="54"/>
        <v>0</v>
      </c>
      <c r="DP51" s="7">
        <f t="shared" si="55"/>
        <v>0</v>
      </c>
      <c r="DQ51" s="7">
        <f t="shared" si="56"/>
        <v>0</v>
      </c>
      <c r="DR51" s="7">
        <f t="shared" si="57"/>
        <v>0</v>
      </c>
      <c r="DS51" s="7">
        <f t="shared" si="58"/>
        <v>0</v>
      </c>
      <c r="DT51" s="7">
        <f t="shared" si="59"/>
        <v>0</v>
      </c>
      <c r="DU51" s="7">
        <f t="shared" si="60"/>
        <v>0</v>
      </c>
    </row>
    <row r="52" spans="1:125" x14ac:dyDescent="0.2">
      <c r="A52" s="3">
        <f>Bonds!A52</f>
        <v>46583</v>
      </c>
      <c r="B52" s="4">
        <f>Bonds!B52</f>
        <v>4.375</v>
      </c>
      <c r="C52">
        <f>Bonds!P52</f>
        <v>2</v>
      </c>
      <c r="D52">
        <f t="shared" si="0"/>
        <v>0</v>
      </c>
      <c r="E52" s="3">
        <f>IF(1&gt;$C52,"",IF($D52=1,EOMONTH(EDATE(Bonds!$H52,6*(1-1)),0),EDATE(Bonds!$H52,6*(1-1))))</f>
        <v>46402</v>
      </c>
      <c r="F52" s="3">
        <f>IF(2&gt;$C52,"",IF($D52=1,EOMONTH(EDATE(Bonds!$H52,6*(2-1)),0),EDATE(Bonds!$H52,6*(2-1))))</f>
        <v>46583</v>
      </c>
      <c r="G52" s="3" t="str">
        <f>IF(3&gt;$C52,"",IF($D52=1,EOMONTH(EDATE(Bonds!$H52,6*(3-1)),0),EDATE(Bonds!$H52,6*(3-1))))</f>
        <v/>
      </c>
      <c r="H52" s="3" t="str">
        <f>IF(4&gt;$C52,"",IF($D52=1,EOMONTH(EDATE(Bonds!$H52,6*(4-1)),0),EDATE(Bonds!$H52,6*(4-1))))</f>
        <v/>
      </c>
      <c r="I52" s="3" t="str">
        <f>IF(5&gt;$C52,"",IF($D52=1,EOMONTH(EDATE(Bonds!$H52,6*(5-1)),0),EDATE(Bonds!$H52,6*(5-1))))</f>
        <v/>
      </c>
      <c r="J52" s="3" t="str">
        <f>IF(6&gt;$C52,"",IF($D52=1,EOMONTH(EDATE(Bonds!$H52,6*(6-1)),0),EDATE(Bonds!$H52,6*(6-1))))</f>
        <v/>
      </c>
      <c r="K52" s="3" t="str">
        <f>IF(7&gt;$C52,"",IF($D52=1,EOMONTH(EDATE(Bonds!$H52,6*(7-1)),0),EDATE(Bonds!$H52,6*(7-1))))</f>
        <v/>
      </c>
      <c r="L52" s="3" t="str">
        <f>IF(8&gt;$C52,"",IF($D52=1,EOMONTH(EDATE(Bonds!$H52,6*(8-1)),0),EDATE(Bonds!$H52,6*(8-1))))</f>
        <v/>
      </c>
      <c r="M52" s="3" t="str">
        <f>IF(9&gt;$C52,"",IF($D52=1,EOMONTH(EDATE(Bonds!$H52,6*(9-1)),0),EDATE(Bonds!$H52,6*(9-1))))</f>
        <v/>
      </c>
      <c r="N52" s="3" t="str">
        <f>IF(10&gt;$C52,"",IF($D52=1,EOMONTH(EDATE(Bonds!$H52,6*(10-1)),0),EDATE(Bonds!$H52,6*(10-1))))</f>
        <v/>
      </c>
      <c r="O52" s="3" t="str">
        <f>IF(11&gt;$C52,"",IF($D52=1,EOMONTH(EDATE(Bonds!$H52,6*(11-1)),0),EDATE(Bonds!$H52,6*(11-1))))</f>
        <v/>
      </c>
      <c r="P52" s="3" t="str">
        <f>IF(12&gt;$C52,"",IF($D52=1,EOMONTH(EDATE(Bonds!$H52,6*(12-1)),0),EDATE(Bonds!$H52,6*(12-1))))</f>
        <v/>
      </c>
      <c r="Q52" s="3" t="str">
        <f>IF(13&gt;$C52,"",IF($D52=1,EOMONTH(EDATE(Bonds!$H52,6*(13-1)),0),EDATE(Bonds!$H52,6*(13-1))))</f>
        <v/>
      </c>
      <c r="R52" s="3" t="str">
        <f>IF(14&gt;$C52,"",IF($D52=1,EOMONTH(EDATE(Bonds!$H52,6*(14-1)),0),EDATE(Bonds!$H52,6*(14-1))))</f>
        <v/>
      </c>
      <c r="S52" s="3" t="str">
        <f>IF(15&gt;$C52,"",IF($D52=1,EOMONTH(EDATE(Bonds!$H52,6*(15-1)),0),EDATE(Bonds!$H52,6*(15-1))))</f>
        <v/>
      </c>
      <c r="T52" s="3" t="str">
        <f>IF(16&gt;$C52,"",IF($D52=1,EOMONTH(EDATE(Bonds!$H52,6*(16-1)),0),EDATE(Bonds!$H52,6*(16-1))))</f>
        <v/>
      </c>
      <c r="U52" s="3" t="str">
        <f>IF(17&gt;$C52,"",IF($D52=1,EOMONTH(EDATE(Bonds!$H52,6*(17-1)),0),EDATE(Bonds!$H52,6*(17-1))))</f>
        <v/>
      </c>
      <c r="V52" s="3" t="str">
        <f>IF(18&gt;$C52,"",IF($D52=1,EOMONTH(EDATE(Bonds!$H52,6*(18-1)),0),EDATE(Bonds!$H52,6*(18-1))))</f>
        <v/>
      </c>
      <c r="W52" s="3" t="str">
        <f>IF(19&gt;$C52,"",IF($D52=1,EOMONTH(EDATE(Bonds!$H52,6*(19-1)),0),EDATE(Bonds!$H52,6*(19-1))))</f>
        <v/>
      </c>
      <c r="X52" s="3" t="str">
        <f>IF(20&gt;$C52,"",IF($D52=1,EOMONTH(EDATE(Bonds!$H52,6*(20-1)),0),EDATE(Bonds!$H52,6*(20-1))))</f>
        <v/>
      </c>
      <c r="Y52" s="3" t="str">
        <f>IF(21&gt;$C52,"",IF($D52=1,EOMONTH(EDATE(Bonds!$H52,6*(21-1)),0),EDATE(Bonds!$H52,6*(21-1))))</f>
        <v/>
      </c>
      <c r="Z52" s="3" t="str">
        <f>IF(22&gt;$C52,"",IF($D52=1,EOMONTH(EDATE(Bonds!$H52,6*(22-1)),0),EDATE(Bonds!$H52,6*(22-1))))</f>
        <v/>
      </c>
      <c r="AA52" s="3" t="str">
        <f>IF(23&gt;$C52,"",IF($D52=1,EOMONTH(EDATE(Bonds!$H52,6*(23-1)),0),EDATE(Bonds!$H52,6*(23-1))))</f>
        <v/>
      </c>
      <c r="AB52" s="3" t="str">
        <f>IF(24&gt;$C52,"",IF($D52=1,EOMONTH(EDATE(Bonds!$H52,6*(24-1)),0),EDATE(Bonds!$H52,6*(24-1))))</f>
        <v/>
      </c>
      <c r="AC52" s="3" t="str">
        <f>IF(25&gt;$C52,"",IF($D52=1,EOMONTH(EDATE(Bonds!$H52,6*(25-1)),0),EDATE(Bonds!$H52,6*(25-1))))</f>
        <v/>
      </c>
      <c r="AD52" s="3" t="str">
        <f>IF(26&gt;$C52,"",IF($D52=1,EOMONTH(EDATE(Bonds!$H52,6*(26-1)),0),EDATE(Bonds!$H52,6*(26-1))))</f>
        <v/>
      </c>
      <c r="AE52" s="3" t="str">
        <f>IF(27&gt;$C52,"",IF($D52=1,EOMONTH(EDATE(Bonds!$H52,6*(27-1)),0),EDATE(Bonds!$H52,6*(27-1))))</f>
        <v/>
      </c>
      <c r="AF52" s="3" t="str">
        <f>IF(28&gt;$C52,"",IF($D52=1,EOMONTH(EDATE(Bonds!$H52,6*(28-1)),0),EDATE(Bonds!$H52,6*(28-1))))</f>
        <v/>
      </c>
      <c r="AG52" s="3" t="str">
        <f>IF(29&gt;$C52,"",IF($D52=1,EOMONTH(EDATE(Bonds!$H52,6*(29-1)),0),EDATE(Bonds!$H52,6*(29-1))))</f>
        <v/>
      </c>
      <c r="AH52" s="3" t="str">
        <f>IF(30&gt;$C52,"",IF($D52=1,EOMONTH(EDATE(Bonds!$H52,6*(30-1)),0),EDATE(Bonds!$H52,6*(30-1))))</f>
        <v/>
      </c>
      <c r="AI52" s="3" t="str">
        <f>IF(31&gt;$C52,"",IF($D52=1,EOMONTH(EDATE(Bonds!$H52,6*(31-1)),0),EDATE(Bonds!$H52,6*(31-1))))</f>
        <v/>
      </c>
      <c r="AJ52" s="3" t="str">
        <f>IF(32&gt;$C52,"",IF($D52=1,EOMONTH(EDATE(Bonds!$H52,6*(32-1)),0),EDATE(Bonds!$H52,6*(32-1))))</f>
        <v/>
      </c>
      <c r="AK52" s="3" t="str">
        <f>IF(33&gt;$C52,"",IF($D52=1,EOMONTH(EDATE(Bonds!$H52,6*(33-1)),0),EDATE(Bonds!$H52,6*(33-1))))</f>
        <v/>
      </c>
      <c r="AL52" s="3" t="str">
        <f>IF(34&gt;$C52,"",IF($D52=1,EOMONTH(EDATE(Bonds!$H52,6*(34-1)),0),EDATE(Bonds!$H52,6*(34-1))))</f>
        <v/>
      </c>
      <c r="AM52" s="3" t="str">
        <f>IF(35&gt;$C52,"",IF($D52=1,EOMONTH(EDATE(Bonds!$H52,6*(35-1)),0),EDATE(Bonds!$H52,6*(35-1))))</f>
        <v/>
      </c>
      <c r="AN52" s="3" t="str">
        <f>IF(36&gt;$C52,"",IF($D52=1,EOMONTH(EDATE(Bonds!$H52,6*(36-1)),0),EDATE(Bonds!$H52,6*(36-1))))</f>
        <v/>
      </c>
      <c r="AO52" s="3" t="str">
        <f>IF(37&gt;$C52,"",IF($D52=1,EOMONTH(EDATE(Bonds!$H52,6*(37-1)),0),EDATE(Bonds!$H52,6*(37-1))))</f>
        <v/>
      </c>
      <c r="AP52" s="3" t="str">
        <f>IF(38&gt;$C52,"",IF($D52=1,EOMONTH(EDATE(Bonds!$H52,6*(38-1)),0),EDATE(Bonds!$H52,6*(38-1))))</f>
        <v/>
      </c>
      <c r="AQ52" s="3" t="str">
        <f>IF(39&gt;$C52,"",IF($D52=1,EOMONTH(EDATE(Bonds!$H52,6*(39-1)),0),EDATE(Bonds!$H52,6*(39-1))))</f>
        <v/>
      </c>
      <c r="AR52" s="3" t="str">
        <f>IF(40&gt;$C52,"",IF($D52=1,EOMONTH(EDATE(Bonds!$H52,6*(40-1)),0),EDATE(Bonds!$H52,6*(40-1))))</f>
        <v/>
      </c>
      <c r="AS52" s="3" t="str">
        <f>IF(41&gt;$C52,"",IF($D52=1,EOMONTH(EDATE(Bonds!$H52,6*(41-1)),0),EDATE(Bonds!$H52,6*(41-1))))</f>
        <v/>
      </c>
      <c r="AT52" s="3" t="str">
        <f>IF(42&gt;$C52,"",IF($D52=1,EOMONTH(EDATE(Bonds!$H52,6*(42-1)),0),EDATE(Bonds!$H52,6*(42-1))))</f>
        <v/>
      </c>
      <c r="AU52" s="3" t="str">
        <f>IF(43&gt;$C52,"",IF($D52=1,EOMONTH(EDATE(Bonds!$H52,6*(43-1)),0),EDATE(Bonds!$H52,6*(43-1))))</f>
        <v/>
      </c>
      <c r="AV52" s="3" t="str">
        <f>IF(44&gt;$C52,"",IF($D52=1,EOMONTH(EDATE(Bonds!$H52,6*(44-1)),0),EDATE(Bonds!$H52,6*(44-1))))</f>
        <v/>
      </c>
      <c r="AW52" s="3" t="str">
        <f>IF(45&gt;$C52,"",IF($D52=1,EOMONTH(EDATE(Bonds!$H52,6*(45-1)),0),EDATE(Bonds!$H52,6*(45-1))))</f>
        <v/>
      </c>
      <c r="AX52" s="3" t="str">
        <f>IF(46&gt;$C52,"",IF($D52=1,EOMONTH(EDATE(Bonds!$H52,6*(46-1)),0),EDATE(Bonds!$H52,6*(46-1))))</f>
        <v/>
      </c>
      <c r="AY52" s="3" t="str">
        <f>IF(47&gt;$C52,"",IF($D52=1,EOMONTH(EDATE(Bonds!$H52,6*(47-1)),0),EDATE(Bonds!$H52,6*(47-1))))</f>
        <v/>
      </c>
      <c r="AZ52" s="3" t="str">
        <f>IF(48&gt;$C52,"",IF($D52=1,EOMONTH(EDATE(Bonds!$H52,6*(48-1)),0),EDATE(Bonds!$H52,6*(48-1))))</f>
        <v/>
      </c>
      <c r="BA52" s="3" t="str">
        <f>IF(49&gt;$C52,"",IF($D52=1,EOMONTH(EDATE(Bonds!$H52,6*(49-1)),0),EDATE(Bonds!$H52,6*(49-1))))</f>
        <v/>
      </c>
      <c r="BB52" s="3" t="str">
        <f>IF(50&gt;$C52,"",IF($D52=1,EOMONTH(EDATE(Bonds!$H52,6*(50-1)),0),EDATE(Bonds!$H52,6*(50-1))))</f>
        <v/>
      </c>
      <c r="BC52" s="3" t="str">
        <f>IF(51&gt;$C52,"",IF($D52=1,EOMONTH(EDATE(Bonds!$H52,6*(51-1)),0),EDATE(Bonds!$H52,6*(51-1))))</f>
        <v/>
      </c>
      <c r="BD52" s="3" t="str">
        <f>IF(52&gt;$C52,"",IF($D52=1,EOMONTH(EDATE(Bonds!$H52,6*(52-1)),0),EDATE(Bonds!$H52,6*(52-1))))</f>
        <v/>
      </c>
      <c r="BE52" s="3" t="str">
        <f>IF(53&gt;$C52,"",IF($D52=1,EOMONTH(EDATE(Bonds!$H52,6*(53-1)),0),EDATE(Bonds!$H52,6*(53-1))))</f>
        <v/>
      </c>
      <c r="BF52" s="3" t="str">
        <f>IF(54&gt;$C52,"",IF($D52=1,EOMONTH(EDATE(Bonds!$H52,6*(54-1)),0),EDATE(Bonds!$H52,6*(54-1))))</f>
        <v/>
      </c>
      <c r="BG52" s="3" t="str">
        <f>IF(55&gt;$C52,"",IF($D52=1,EOMONTH(EDATE(Bonds!$H52,6*(55-1)),0),EDATE(Bonds!$H52,6*(55-1))))</f>
        <v/>
      </c>
      <c r="BH52" s="3" t="str">
        <f>IF(56&gt;$C52,"",IF($D52=1,EOMONTH(EDATE(Bonds!$H52,6*(56-1)),0),EDATE(Bonds!$H52,6*(56-1))))</f>
        <v/>
      </c>
      <c r="BI52" s="3" t="str">
        <f>IF(57&gt;$C52,"",IF($D52=1,EOMONTH(EDATE(Bonds!$H52,6*(57-1)),0),EDATE(Bonds!$H52,6*(57-1))))</f>
        <v/>
      </c>
      <c r="BJ52" s="3" t="str">
        <f>IF(58&gt;$C52,"",IF($D52=1,EOMONTH(EDATE(Bonds!$H52,6*(58-1)),0),EDATE(Bonds!$H52,6*(58-1))))</f>
        <v/>
      </c>
      <c r="BK52" s="3" t="str">
        <f>IF(59&gt;$C52,"",IF($D52=1,EOMONTH(EDATE(Bonds!$H52,6*(59-1)),0),EDATE(Bonds!$H52,6*(59-1))))</f>
        <v/>
      </c>
      <c r="BL52" s="3" t="str">
        <f>IF(60&gt;$C52,"",IF($D52=1,EOMONTH(EDATE(Bonds!$H52,6*(60-1)),0),EDATE(Bonds!$H52,6*(60-1))))</f>
        <v/>
      </c>
      <c r="BN52" s="7">
        <f t="shared" si="1"/>
        <v>2.1578857473741868</v>
      </c>
      <c r="BO52" s="7">
        <f t="shared" si="2"/>
        <v>98.705785806996261</v>
      </c>
      <c r="BP52" s="7">
        <f t="shared" si="3"/>
        <v>0</v>
      </c>
      <c r="BQ52" s="7">
        <f t="shared" si="4"/>
        <v>0</v>
      </c>
      <c r="BR52" s="7">
        <f t="shared" si="5"/>
        <v>0</v>
      </c>
      <c r="BS52" s="7">
        <f t="shared" si="6"/>
        <v>0</v>
      </c>
      <c r="BT52" s="7">
        <f t="shared" si="7"/>
        <v>0</v>
      </c>
      <c r="BU52" s="7">
        <f t="shared" si="8"/>
        <v>0</v>
      </c>
      <c r="BV52" s="7">
        <f t="shared" si="9"/>
        <v>0</v>
      </c>
      <c r="BW52" s="7">
        <f t="shared" si="10"/>
        <v>0</v>
      </c>
      <c r="BX52" s="7">
        <f t="shared" si="11"/>
        <v>0</v>
      </c>
      <c r="BY52" s="7">
        <f t="shared" si="12"/>
        <v>0</v>
      </c>
      <c r="BZ52" s="7">
        <f t="shared" si="13"/>
        <v>0</v>
      </c>
      <c r="CA52" s="7">
        <f t="shared" si="14"/>
        <v>0</v>
      </c>
      <c r="CB52" s="7">
        <f t="shared" si="15"/>
        <v>0</v>
      </c>
      <c r="CC52" s="7">
        <f t="shared" si="16"/>
        <v>0</v>
      </c>
      <c r="CD52" s="7">
        <f t="shared" si="17"/>
        <v>0</v>
      </c>
      <c r="CE52" s="7">
        <f t="shared" si="18"/>
        <v>0</v>
      </c>
      <c r="CF52" s="7">
        <f t="shared" si="19"/>
        <v>0</v>
      </c>
      <c r="CG52" s="7">
        <f t="shared" si="20"/>
        <v>0</v>
      </c>
      <c r="CH52" s="7">
        <f t="shared" si="21"/>
        <v>0</v>
      </c>
      <c r="CI52" s="7">
        <f t="shared" si="22"/>
        <v>0</v>
      </c>
      <c r="CJ52" s="7">
        <f t="shared" si="23"/>
        <v>0</v>
      </c>
      <c r="CK52" s="7">
        <f t="shared" si="24"/>
        <v>0</v>
      </c>
      <c r="CL52" s="7">
        <f t="shared" si="25"/>
        <v>0</v>
      </c>
      <c r="CM52" s="7">
        <f t="shared" si="26"/>
        <v>0</v>
      </c>
      <c r="CN52" s="7">
        <f t="shared" si="27"/>
        <v>0</v>
      </c>
      <c r="CO52" s="7">
        <f t="shared" si="28"/>
        <v>0</v>
      </c>
      <c r="CP52" s="7">
        <f t="shared" si="29"/>
        <v>0</v>
      </c>
      <c r="CQ52" s="7">
        <f t="shared" si="30"/>
        <v>0</v>
      </c>
      <c r="CR52" s="7">
        <f t="shared" si="31"/>
        <v>0</v>
      </c>
      <c r="CS52" s="7">
        <f t="shared" si="32"/>
        <v>0</v>
      </c>
      <c r="CT52" s="7">
        <f t="shared" si="33"/>
        <v>0</v>
      </c>
      <c r="CU52" s="7">
        <f t="shared" si="34"/>
        <v>0</v>
      </c>
      <c r="CV52" s="7">
        <f t="shared" si="35"/>
        <v>0</v>
      </c>
      <c r="CW52" s="7">
        <f t="shared" si="36"/>
        <v>0</v>
      </c>
      <c r="CX52" s="7">
        <f t="shared" si="37"/>
        <v>0</v>
      </c>
      <c r="CY52" s="7">
        <f t="shared" si="38"/>
        <v>0</v>
      </c>
      <c r="CZ52" s="7">
        <f t="shared" si="39"/>
        <v>0</v>
      </c>
      <c r="DA52" s="7">
        <f t="shared" si="40"/>
        <v>0</v>
      </c>
      <c r="DB52" s="7">
        <f t="shared" si="41"/>
        <v>0</v>
      </c>
      <c r="DC52" s="7">
        <f t="shared" si="42"/>
        <v>0</v>
      </c>
      <c r="DD52" s="7">
        <f t="shared" si="43"/>
        <v>0</v>
      </c>
      <c r="DE52" s="7">
        <f t="shared" si="44"/>
        <v>0</v>
      </c>
      <c r="DF52" s="7">
        <f t="shared" si="45"/>
        <v>0</v>
      </c>
      <c r="DG52" s="7">
        <f t="shared" si="46"/>
        <v>0</v>
      </c>
      <c r="DH52" s="7">
        <f t="shared" si="47"/>
        <v>0</v>
      </c>
      <c r="DI52" s="7">
        <f t="shared" si="48"/>
        <v>0</v>
      </c>
      <c r="DJ52" s="7">
        <f t="shared" si="49"/>
        <v>0</v>
      </c>
      <c r="DK52" s="7">
        <f t="shared" si="50"/>
        <v>0</v>
      </c>
      <c r="DL52" s="7">
        <f t="shared" si="51"/>
        <v>0</v>
      </c>
      <c r="DM52" s="7">
        <f t="shared" si="52"/>
        <v>0</v>
      </c>
      <c r="DN52" s="7">
        <f t="shared" si="53"/>
        <v>0</v>
      </c>
      <c r="DO52" s="7">
        <f t="shared" si="54"/>
        <v>0</v>
      </c>
      <c r="DP52" s="7">
        <f t="shared" si="55"/>
        <v>0</v>
      </c>
      <c r="DQ52" s="7">
        <f t="shared" si="56"/>
        <v>0</v>
      </c>
      <c r="DR52" s="7">
        <f t="shared" si="57"/>
        <v>0</v>
      </c>
      <c r="DS52" s="7">
        <f t="shared" si="58"/>
        <v>0</v>
      </c>
      <c r="DT52" s="7">
        <f t="shared" si="59"/>
        <v>0</v>
      </c>
      <c r="DU52" s="7">
        <f t="shared" si="60"/>
        <v>0</v>
      </c>
    </row>
    <row r="53" spans="1:125" x14ac:dyDescent="0.2">
      <c r="A53" s="3">
        <f>Bonds!A53</f>
        <v>46599</v>
      </c>
      <c r="B53" s="4">
        <f>Bonds!B53</f>
        <v>0.375</v>
      </c>
      <c r="C53">
        <f>Bonds!P53</f>
        <v>2</v>
      </c>
      <c r="D53">
        <f t="shared" si="0"/>
        <v>1</v>
      </c>
      <c r="E53" s="3">
        <f>IF(1&gt;$C53,"",IF($D53=1,EOMONTH(EDATE(Bonds!$H53,6*(1-1)),0),EDATE(Bonds!$H53,6*(1-1))))</f>
        <v>46418</v>
      </c>
      <c r="F53" s="3">
        <f>IF(2&gt;$C53,"",IF($D53=1,EOMONTH(EDATE(Bonds!$H53,6*(2-1)),0),EDATE(Bonds!$H53,6*(2-1))))</f>
        <v>46599</v>
      </c>
      <c r="G53" s="3" t="str">
        <f>IF(3&gt;$C53,"",IF($D53=1,EOMONTH(EDATE(Bonds!$H53,6*(3-1)),0),EDATE(Bonds!$H53,6*(3-1))))</f>
        <v/>
      </c>
      <c r="H53" s="3" t="str">
        <f>IF(4&gt;$C53,"",IF($D53=1,EOMONTH(EDATE(Bonds!$H53,6*(4-1)),0),EDATE(Bonds!$H53,6*(4-1))))</f>
        <v/>
      </c>
      <c r="I53" s="3" t="str">
        <f>IF(5&gt;$C53,"",IF($D53=1,EOMONTH(EDATE(Bonds!$H53,6*(5-1)),0),EDATE(Bonds!$H53,6*(5-1))))</f>
        <v/>
      </c>
      <c r="J53" s="3" t="str">
        <f>IF(6&gt;$C53,"",IF($D53=1,EOMONTH(EDATE(Bonds!$H53,6*(6-1)),0),EDATE(Bonds!$H53,6*(6-1))))</f>
        <v/>
      </c>
      <c r="K53" s="3" t="str">
        <f>IF(7&gt;$C53,"",IF($D53=1,EOMONTH(EDATE(Bonds!$H53,6*(7-1)),0),EDATE(Bonds!$H53,6*(7-1))))</f>
        <v/>
      </c>
      <c r="L53" s="3" t="str">
        <f>IF(8&gt;$C53,"",IF($D53=1,EOMONTH(EDATE(Bonds!$H53,6*(8-1)),0),EDATE(Bonds!$H53,6*(8-1))))</f>
        <v/>
      </c>
      <c r="M53" s="3" t="str">
        <f>IF(9&gt;$C53,"",IF($D53=1,EOMONTH(EDATE(Bonds!$H53,6*(9-1)),0),EDATE(Bonds!$H53,6*(9-1))))</f>
        <v/>
      </c>
      <c r="N53" s="3" t="str">
        <f>IF(10&gt;$C53,"",IF($D53=1,EOMONTH(EDATE(Bonds!$H53,6*(10-1)),0),EDATE(Bonds!$H53,6*(10-1))))</f>
        <v/>
      </c>
      <c r="O53" s="3" t="str">
        <f>IF(11&gt;$C53,"",IF($D53=1,EOMONTH(EDATE(Bonds!$H53,6*(11-1)),0),EDATE(Bonds!$H53,6*(11-1))))</f>
        <v/>
      </c>
      <c r="P53" s="3" t="str">
        <f>IF(12&gt;$C53,"",IF($D53=1,EOMONTH(EDATE(Bonds!$H53,6*(12-1)),0),EDATE(Bonds!$H53,6*(12-1))))</f>
        <v/>
      </c>
      <c r="Q53" s="3" t="str">
        <f>IF(13&gt;$C53,"",IF($D53=1,EOMONTH(EDATE(Bonds!$H53,6*(13-1)),0),EDATE(Bonds!$H53,6*(13-1))))</f>
        <v/>
      </c>
      <c r="R53" s="3" t="str">
        <f>IF(14&gt;$C53,"",IF($D53=1,EOMONTH(EDATE(Bonds!$H53,6*(14-1)),0),EDATE(Bonds!$H53,6*(14-1))))</f>
        <v/>
      </c>
      <c r="S53" s="3" t="str">
        <f>IF(15&gt;$C53,"",IF($D53=1,EOMONTH(EDATE(Bonds!$H53,6*(15-1)),0),EDATE(Bonds!$H53,6*(15-1))))</f>
        <v/>
      </c>
      <c r="T53" s="3" t="str">
        <f>IF(16&gt;$C53,"",IF($D53=1,EOMONTH(EDATE(Bonds!$H53,6*(16-1)),0),EDATE(Bonds!$H53,6*(16-1))))</f>
        <v/>
      </c>
      <c r="U53" s="3" t="str">
        <f>IF(17&gt;$C53,"",IF($D53=1,EOMONTH(EDATE(Bonds!$H53,6*(17-1)),0),EDATE(Bonds!$H53,6*(17-1))))</f>
        <v/>
      </c>
      <c r="V53" s="3" t="str">
        <f>IF(18&gt;$C53,"",IF($D53=1,EOMONTH(EDATE(Bonds!$H53,6*(18-1)),0),EDATE(Bonds!$H53,6*(18-1))))</f>
        <v/>
      </c>
      <c r="W53" s="3" t="str">
        <f>IF(19&gt;$C53,"",IF($D53=1,EOMONTH(EDATE(Bonds!$H53,6*(19-1)),0),EDATE(Bonds!$H53,6*(19-1))))</f>
        <v/>
      </c>
      <c r="X53" s="3" t="str">
        <f>IF(20&gt;$C53,"",IF($D53=1,EOMONTH(EDATE(Bonds!$H53,6*(20-1)),0),EDATE(Bonds!$H53,6*(20-1))))</f>
        <v/>
      </c>
      <c r="Y53" s="3" t="str">
        <f>IF(21&gt;$C53,"",IF($D53=1,EOMONTH(EDATE(Bonds!$H53,6*(21-1)),0),EDATE(Bonds!$H53,6*(21-1))))</f>
        <v/>
      </c>
      <c r="Z53" s="3" t="str">
        <f>IF(22&gt;$C53,"",IF($D53=1,EOMONTH(EDATE(Bonds!$H53,6*(22-1)),0),EDATE(Bonds!$H53,6*(22-1))))</f>
        <v/>
      </c>
      <c r="AA53" s="3" t="str">
        <f>IF(23&gt;$C53,"",IF($D53=1,EOMONTH(EDATE(Bonds!$H53,6*(23-1)),0),EDATE(Bonds!$H53,6*(23-1))))</f>
        <v/>
      </c>
      <c r="AB53" s="3" t="str">
        <f>IF(24&gt;$C53,"",IF($D53=1,EOMONTH(EDATE(Bonds!$H53,6*(24-1)),0),EDATE(Bonds!$H53,6*(24-1))))</f>
        <v/>
      </c>
      <c r="AC53" s="3" t="str">
        <f>IF(25&gt;$C53,"",IF($D53=1,EOMONTH(EDATE(Bonds!$H53,6*(25-1)),0),EDATE(Bonds!$H53,6*(25-1))))</f>
        <v/>
      </c>
      <c r="AD53" s="3" t="str">
        <f>IF(26&gt;$C53,"",IF($D53=1,EOMONTH(EDATE(Bonds!$H53,6*(26-1)),0),EDATE(Bonds!$H53,6*(26-1))))</f>
        <v/>
      </c>
      <c r="AE53" s="3" t="str">
        <f>IF(27&gt;$C53,"",IF($D53=1,EOMONTH(EDATE(Bonds!$H53,6*(27-1)),0),EDATE(Bonds!$H53,6*(27-1))))</f>
        <v/>
      </c>
      <c r="AF53" s="3" t="str">
        <f>IF(28&gt;$C53,"",IF($D53=1,EOMONTH(EDATE(Bonds!$H53,6*(28-1)),0),EDATE(Bonds!$H53,6*(28-1))))</f>
        <v/>
      </c>
      <c r="AG53" s="3" t="str">
        <f>IF(29&gt;$C53,"",IF($D53=1,EOMONTH(EDATE(Bonds!$H53,6*(29-1)),0),EDATE(Bonds!$H53,6*(29-1))))</f>
        <v/>
      </c>
      <c r="AH53" s="3" t="str">
        <f>IF(30&gt;$C53,"",IF($D53=1,EOMONTH(EDATE(Bonds!$H53,6*(30-1)),0),EDATE(Bonds!$H53,6*(30-1))))</f>
        <v/>
      </c>
      <c r="AI53" s="3" t="str">
        <f>IF(31&gt;$C53,"",IF($D53=1,EOMONTH(EDATE(Bonds!$H53,6*(31-1)),0),EDATE(Bonds!$H53,6*(31-1))))</f>
        <v/>
      </c>
      <c r="AJ53" s="3" t="str">
        <f>IF(32&gt;$C53,"",IF($D53=1,EOMONTH(EDATE(Bonds!$H53,6*(32-1)),0),EDATE(Bonds!$H53,6*(32-1))))</f>
        <v/>
      </c>
      <c r="AK53" s="3" t="str">
        <f>IF(33&gt;$C53,"",IF($D53=1,EOMONTH(EDATE(Bonds!$H53,6*(33-1)),0),EDATE(Bonds!$H53,6*(33-1))))</f>
        <v/>
      </c>
      <c r="AL53" s="3" t="str">
        <f>IF(34&gt;$C53,"",IF($D53=1,EOMONTH(EDATE(Bonds!$H53,6*(34-1)),0),EDATE(Bonds!$H53,6*(34-1))))</f>
        <v/>
      </c>
      <c r="AM53" s="3" t="str">
        <f>IF(35&gt;$C53,"",IF($D53=1,EOMONTH(EDATE(Bonds!$H53,6*(35-1)),0),EDATE(Bonds!$H53,6*(35-1))))</f>
        <v/>
      </c>
      <c r="AN53" s="3" t="str">
        <f>IF(36&gt;$C53,"",IF($D53=1,EOMONTH(EDATE(Bonds!$H53,6*(36-1)),0),EDATE(Bonds!$H53,6*(36-1))))</f>
        <v/>
      </c>
      <c r="AO53" s="3" t="str">
        <f>IF(37&gt;$C53,"",IF($D53=1,EOMONTH(EDATE(Bonds!$H53,6*(37-1)),0),EDATE(Bonds!$H53,6*(37-1))))</f>
        <v/>
      </c>
      <c r="AP53" s="3" t="str">
        <f>IF(38&gt;$C53,"",IF($D53=1,EOMONTH(EDATE(Bonds!$H53,6*(38-1)),0),EDATE(Bonds!$H53,6*(38-1))))</f>
        <v/>
      </c>
      <c r="AQ53" s="3" t="str">
        <f>IF(39&gt;$C53,"",IF($D53=1,EOMONTH(EDATE(Bonds!$H53,6*(39-1)),0),EDATE(Bonds!$H53,6*(39-1))))</f>
        <v/>
      </c>
      <c r="AR53" s="3" t="str">
        <f>IF(40&gt;$C53,"",IF($D53=1,EOMONTH(EDATE(Bonds!$H53,6*(40-1)),0),EDATE(Bonds!$H53,6*(40-1))))</f>
        <v/>
      </c>
      <c r="AS53" s="3" t="str">
        <f>IF(41&gt;$C53,"",IF($D53=1,EOMONTH(EDATE(Bonds!$H53,6*(41-1)),0),EDATE(Bonds!$H53,6*(41-1))))</f>
        <v/>
      </c>
      <c r="AT53" s="3" t="str">
        <f>IF(42&gt;$C53,"",IF($D53=1,EOMONTH(EDATE(Bonds!$H53,6*(42-1)),0),EDATE(Bonds!$H53,6*(42-1))))</f>
        <v/>
      </c>
      <c r="AU53" s="3" t="str">
        <f>IF(43&gt;$C53,"",IF($D53=1,EOMONTH(EDATE(Bonds!$H53,6*(43-1)),0),EDATE(Bonds!$H53,6*(43-1))))</f>
        <v/>
      </c>
      <c r="AV53" s="3" t="str">
        <f>IF(44&gt;$C53,"",IF($D53=1,EOMONTH(EDATE(Bonds!$H53,6*(44-1)),0),EDATE(Bonds!$H53,6*(44-1))))</f>
        <v/>
      </c>
      <c r="AW53" s="3" t="str">
        <f>IF(45&gt;$C53,"",IF($D53=1,EOMONTH(EDATE(Bonds!$H53,6*(45-1)),0),EDATE(Bonds!$H53,6*(45-1))))</f>
        <v/>
      </c>
      <c r="AX53" s="3" t="str">
        <f>IF(46&gt;$C53,"",IF($D53=1,EOMONTH(EDATE(Bonds!$H53,6*(46-1)),0),EDATE(Bonds!$H53,6*(46-1))))</f>
        <v/>
      </c>
      <c r="AY53" s="3" t="str">
        <f>IF(47&gt;$C53,"",IF($D53=1,EOMONTH(EDATE(Bonds!$H53,6*(47-1)),0),EDATE(Bonds!$H53,6*(47-1))))</f>
        <v/>
      </c>
      <c r="AZ53" s="3" t="str">
        <f>IF(48&gt;$C53,"",IF($D53=1,EOMONTH(EDATE(Bonds!$H53,6*(48-1)),0),EDATE(Bonds!$H53,6*(48-1))))</f>
        <v/>
      </c>
      <c r="BA53" s="3" t="str">
        <f>IF(49&gt;$C53,"",IF($D53=1,EOMONTH(EDATE(Bonds!$H53,6*(49-1)),0),EDATE(Bonds!$H53,6*(49-1))))</f>
        <v/>
      </c>
      <c r="BB53" s="3" t="str">
        <f>IF(50&gt;$C53,"",IF($D53=1,EOMONTH(EDATE(Bonds!$H53,6*(50-1)),0),EDATE(Bonds!$H53,6*(50-1))))</f>
        <v/>
      </c>
      <c r="BC53" s="3" t="str">
        <f>IF(51&gt;$C53,"",IF($D53=1,EOMONTH(EDATE(Bonds!$H53,6*(51-1)),0),EDATE(Bonds!$H53,6*(51-1))))</f>
        <v/>
      </c>
      <c r="BD53" s="3" t="str">
        <f>IF(52&gt;$C53,"",IF($D53=1,EOMONTH(EDATE(Bonds!$H53,6*(52-1)),0),EDATE(Bonds!$H53,6*(52-1))))</f>
        <v/>
      </c>
      <c r="BE53" s="3" t="str">
        <f>IF(53&gt;$C53,"",IF($D53=1,EOMONTH(EDATE(Bonds!$H53,6*(53-1)),0),EDATE(Bonds!$H53,6*(53-1))))</f>
        <v/>
      </c>
      <c r="BF53" s="3" t="str">
        <f>IF(54&gt;$C53,"",IF($D53=1,EOMONTH(EDATE(Bonds!$H53,6*(54-1)),0),EDATE(Bonds!$H53,6*(54-1))))</f>
        <v/>
      </c>
      <c r="BG53" s="3" t="str">
        <f>IF(55&gt;$C53,"",IF($D53=1,EOMONTH(EDATE(Bonds!$H53,6*(55-1)),0),EDATE(Bonds!$H53,6*(55-1))))</f>
        <v/>
      </c>
      <c r="BH53" s="3" t="str">
        <f>IF(56&gt;$C53,"",IF($D53=1,EOMONTH(EDATE(Bonds!$H53,6*(56-1)),0),EDATE(Bonds!$H53,6*(56-1))))</f>
        <v/>
      </c>
      <c r="BI53" s="3" t="str">
        <f>IF(57&gt;$C53,"",IF($D53=1,EOMONTH(EDATE(Bonds!$H53,6*(57-1)),0),EDATE(Bonds!$H53,6*(57-1))))</f>
        <v/>
      </c>
      <c r="BJ53" s="3" t="str">
        <f>IF(58&gt;$C53,"",IF($D53=1,EOMONTH(EDATE(Bonds!$H53,6*(58-1)),0),EDATE(Bonds!$H53,6*(58-1))))</f>
        <v/>
      </c>
      <c r="BK53" s="3" t="str">
        <f>IF(59&gt;$C53,"",IF($D53=1,EOMONTH(EDATE(Bonds!$H53,6*(59-1)),0),EDATE(Bonds!$H53,6*(59-1))))</f>
        <v/>
      </c>
      <c r="BL53" s="3" t="str">
        <f>IF(60&gt;$C53,"",IF($D53=1,EOMONTH(EDATE(Bonds!$H53,6*(60-1)),0),EDATE(Bonds!$H53,6*(60-1))))</f>
        <v/>
      </c>
      <c r="BN53" s="7">
        <f t="shared" si="1"/>
        <v>0.18463162626296142</v>
      </c>
      <c r="BO53" s="7">
        <f t="shared" si="2"/>
        <v>96.587480444830547</v>
      </c>
      <c r="BP53" s="7">
        <f t="shared" si="3"/>
        <v>0</v>
      </c>
      <c r="BQ53" s="7">
        <f t="shared" si="4"/>
        <v>0</v>
      </c>
      <c r="BR53" s="7">
        <f t="shared" si="5"/>
        <v>0</v>
      </c>
      <c r="BS53" s="7">
        <f t="shared" si="6"/>
        <v>0</v>
      </c>
      <c r="BT53" s="7">
        <f t="shared" si="7"/>
        <v>0</v>
      </c>
      <c r="BU53" s="7">
        <f t="shared" si="8"/>
        <v>0</v>
      </c>
      <c r="BV53" s="7">
        <f t="shared" si="9"/>
        <v>0</v>
      </c>
      <c r="BW53" s="7">
        <f t="shared" si="10"/>
        <v>0</v>
      </c>
      <c r="BX53" s="7">
        <f t="shared" si="11"/>
        <v>0</v>
      </c>
      <c r="BY53" s="7">
        <f t="shared" si="12"/>
        <v>0</v>
      </c>
      <c r="BZ53" s="7">
        <f t="shared" si="13"/>
        <v>0</v>
      </c>
      <c r="CA53" s="7">
        <f t="shared" si="14"/>
        <v>0</v>
      </c>
      <c r="CB53" s="7">
        <f t="shared" si="15"/>
        <v>0</v>
      </c>
      <c r="CC53" s="7">
        <f t="shared" si="16"/>
        <v>0</v>
      </c>
      <c r="CD53" s="7">
        <f t="shared" si="17"/>
        <v>0</v>
      </c>
      <c r="CE53" s="7">
        <f t="shared" si="18"/>
        <v>0</v>
      </c>
      <c r="CF53" s="7">
        <f t="shared" si="19"/>
        <v>0</v>
      </c>
      <c r="CG53" s="7">
        <f t="shared" si="20"/>
        <v>0</v>
      </c>
      <c r="CH53" s="7">
        <f t="shared" si="21"/>
        <v>0</v>
      </c>
      <c r="CI53" s="7">
        <f t="shared" si="22"/>
        <v>0</v>
      </c>
      <c r="CJ53" s="7">
        <f t="shared" si="23"/>
        <v>0</v>
      </c>
      <c r="CK53" s="7">
        <f t="shared" si="24"/>
        <v>0</v>
      </c>
      <c r="CL53" s="7">
        <f t="shared" si="25"/>
        <v>0</v>
      </c>
      <c r="CM53" s="7">
        <f t="shared" si="26"/>
        <v>0</v>
      </c>
      <c r="CN53" s="7">
        <f t="shared" si="27"/>
        <v>0</v>
      </c>
      <c r="CO53" s="7">
        <f t="shared" si="28"/>
        <v>0</v>
      </c>
      <c r="CP53" s="7">
        <f t="shared" si="29"/>
        <v>0</v>
      </c>
      <c r="CQ53" s="7">
        <f t="shared" si="30"/>
        <v>0</v>
      </c>
      <c r="CR53" s="7">
        <f t="shared" si="31"/>
        <v>0</v>
      </c>
      <c r="CS53" s="7">
        <f t="shared" si="32"/>
        <v>0</v>
      </c>
      <c r="CT53" s="7">
        <f t="shared" si="33"/>
        <v>0</v>
      </c>
      <c r="CU53" s="7">
        <f t="shared" si="34"/>
        <v>0</v>
      </c>
      <c r="CV53" s="7">
        <f t="shared" si="35"/>
        <v>0</v>
      </c>
      <c r="CW53" s="7">
        <f t="shared" si="36"/>
        <v>0</v>
      </c>
      <c r="CX53" s="7">
        <f t="shared" si="37"/>
        <v>0</v>
      </c>
      <c r="CY53" s="7">
        <f t="shared" si="38"/>
        <v>0</v>
      </c>
      <c r="CZ53" s="7">
        <f t="shared" si="39"/>
        <v>0</v>
      </c>
      <c r="DA53" s="7">
        <f t="shared" si="40"/>
        <v>0</v>
      </c>
      <c r="DB53" s="7">
        <f t="shared" si="41"/>
        <v>0</v>
      </c>
      <c r="DC53" s="7">
        <f t="shared" si="42"/>
        <v>0</v>
      </c>
      <c r="DD53" s="7">
        <f t="shared" si="43"/>
        <v>0</v>
      </c>
      <c r="DE53" s="7">
        <f t="shared" si="44"/>
        <v>0</v>
      </c>
      <c r="DF53" s="7">
        <f t="shared" si="45"/>
        <v>0</v>
      </c>
      <c r="DG53" s="7">
        <f t="shared" si="46"/>
        <v>0</v>
      </c>
      <c r="DH53" s="7">
        <f t="shared" si="47"/>
        <v>0</v>
      </c>
      <c r="DI53" s="7">
        <f t="shared" si="48"/>
        <v>0</v>
      </c>
      <c r="DJ53" s="7">
        <f t="shared" si="49"/>
        <v>0</v>
      </c>
      <c r="DK53" s="7">
        <f t="shared" si="50"/>
        <v>0</v>
      </c>
      <c r="DL53" s="7">
        <f t="shared" si="51"/>
        <v>0</v>
      </c>
      <c r="DM53" s="7">
        <f t="shared" si="52"/>
        <v>0</v>
      </c>
      <c r="DN53" s="7">
        <f t="shared" si="53"/>
        <v>0</v>
      </c>
      <c r="DO53" s="7">
        <f t="shared" si="54"/>
        <v>0</v>
      </c>
      <c r="DP53" s="7">
        <f t="shared" si="55"/>
        <v>0</v>
      </c>
      <c r="DQ53" s="7">
        <f t="shared" si="56"/>
        <v>0</v>
      </c>
      <c r="DR53" s="7">
        <f t="shared" si="57"/>
        <v>0</v>
      </c>
      <c r="DS53" s="7">
        <f t="shared" si="58"/>
        <v>0</v>
      </c>
      <c r="DT53" s="7">
        <f t="shared" si="59"/>
        <v>0</v>
      </c>
      <c r="DU53" s="7">
        <f t="shared" si="60"/>
        <v>0</v>
      </c>
    </row>
    <row r="54" spans="1:125" x14ac:dyDescent="0.2">
      <c r="A54" s="3">
        <f>Bonds!A54</f>
        <v>46599</v>
      </c>
      <c r="B54" s="4">
        <f>Bonds!B54</f>
        <v>2.75</v>
      </c>
      <c r="C54">
        <f>Bonds!P54</f>
        <v>2</v>
      </c>
      <c r="D54">
        <f t="shared" si="0"/>
        <v>1</v>
      </c>
      <c r="E54" s="3">
        <f>IF(1&gt;$C54,"",IF($D54=1,EOMONTH(EDATE(Bonds!$H54,6*(1-1)),0),EDATE(Bonds!$H54,6*(1-1))))</f>
        <v>46418</v>
      </c>
      <c r="F54" s="3">
        <f>IF(2&gt;$C54,"",IF($D54=1,EOMONTH(EDATE(Bonds!$H54,6*(2-1)),0),EDATE(Bonds!$H54,6*(2-1))))</f>
        <v>46599</v>
      </c>
      <c r="G54" s="3" t="str">
        <f>IF(3&gt;$C54,"",IF($D54=1,EOMONTH(EDATE(Bonds!$H54,6*(3-1)),0),EDATE(Bonds!$H54,6*(3-1))))</f>
        <v/>
      </c>
      <c r="H54" s="3" t="str">
        <f>IF(4&gt;$C54,"",IF($D54=1,EOMONTH(EDATE(Bonds!$H54,6*(4-1)),0),EDATE(Bonds!$H54,6*(4-1))))</f>
        <v/>
      </c>
      <c r="I54" s="3" t="str">
        <f>IF(5&gt;$C54,"",IF($D54=1,EOMONTH(EDATE(Bonds!$H54,6*(5-1)),0),EDATE(Bonds!$H54,6*(5-1))))</f>
        <v/>
      </c>
      <c r="J54" s="3" t="str">
        <f>IF(6&gt;$C54,"",IF($D54=1,EOMONTH(EDATE(Bonds!$H54,6*(6-1)),0),EDATE(Bonds!$H54,6*(6-1))))</f>
        <v/>
      </c>
      <c r="K54" s="3" t="str">
        <f>IF(7&gt;$C54,"",IF($D54=1,EOMONTH(EDATE(Bonds!$H54,6*(7-1)),0),EDATE(Bonds!$H54,6*(7-1))))</f>
        <v/>
      </c>
      <c r="L54" s="3" t="str">
        <f>IF(8&gt;$C54,"",IF($D54=1,EOMONTH(EDATE(Bonds!$H54,6*(8-1)),0),EDATE(Bonds!$H54,6*(8-1))))</f>
        <v/>
      </c>
      <c r="M54" s="3" t="str">
        <f>IF(9&gt;$C54,"",IF($D54=1,EOMONTH(EDATE(Bonds!$H54,6*(9-1)),0),EDATE(Bonds!$H54,6*(9-1))))</f>
        <v/>
      </c>
      <c r="N54" s="3" t="str">
        <f>IF(10&gt;$C54,"",IF($D54=1,EOMONTH(EDATE(Bonds!$H54,6*(10-1)),0),EDATE(Bonds!$H54,6*(10-1))))</f>
        <v/>
      </c>
      <c r="O54" s="3" t="str">
        <f>IF(11&gt;$C54,"",IF($D54=1,EOMONTH(EDATE(Bonds!$H54,6*(11-1)),0),EDATE(Bonds!$H54,6*(11-1))))</f>
        <v/>
      </c>
      <c r="P54" s="3" t="str">
        <f>IF(12&gt;$C54,"",IF($D54=1,EOMONTH(EDATE(Bonds!$H54,6*(12-1)),0),EDATE(Bonds!$H54,6*(12-1))))</f>
        <v/>
      </c>
      <c r="Q54" s="3" t="str">
        <f>IF(13&gt;$C54,"",IF($D54=1,EOMONTH(EDATE(Bonds!$H54,6*(13-1)),0),EDATE(Bonds!$H54,6*(13-1))))</f>
        <v/>
      </c>
      <c r="R54" s="3" t="str">
        <f>IF(14&gt;$C54,"",IF($D54=1,EOMONTH(EDATE(Bonds!$H54,6*(14-1)),0),EDATE(Bonds!$H54,6*(14-1))))</f>
        <v/>
      </c>
      <c r="S54" s="3" t="str">
        <f>IF(15&gt;$C54,"",IF($D54=1,EOMONTH(EDATE(Bonds!$H54,6*(15-1)),0),EDATE(Bonds!$H54,6*(15-1))))</f>
        <v/>
      </c>
      <c r="T54" s="3" t="str">
        <f>IF(16&gt;$C54,"",IF($D54=1,EOMONTH(EDATE(Bonds!$H54,6*(16-1)),0),EDATE(Bonds!$H54,6*(16-1))))</f>
        <v/>
      </c>
      <c r="U54" s="3" t="str">
        <f>IF(17&gt;$C54,"",IF($D54=1,EOMONTH(EDATE(Bonds!$H54,6*(17-1)),0),EDATE(Bonds!$H54,6*(17-1))))</f>
        <v/>
      </c>
      <c r="V54" s="3" t="str">
        <f>IF(18&gt;$C54,"",IF($D54=1,EOMONTH(EDATE(Bonds!$H54,6*(18-1)),0),EDATE(Bonds!$H54,6*(18-1))))</f>
        <v/>
      </c>
      <c r="W54" s="3" t="str">
        <f>IF(19&gt;$C54,"",IF($D54=1,EOMONTH(EDATE(Bonds!$H54,6*(19-1)),0),EDATE(Bonds!$H54,6*(19-1))))</f>
        <v/>
      </c>
      <c r="X54" s="3" t="str">
        <f>IF(20&gt;$C54,"",IF($D54=1,EOMONTH(EDATE(Bonds!$H54,6*(20-1)),0),EDATE(Bonds!$H54,6*(20-1))))</f>
        <v/>
      </c>
      <c r="Y54" s="3" t="str">
        <f>IF(21&gt;$C54,"",IF($D54=1,EOMONTH(EDATE(Bonds!$H54,6*(21-1)),0),EDATE(Bonds!$H54,6*(21-1))))</f>
        <v/>
      </c>
      <c r="Z54" s="3" t="str">
        <f>IF(22&gt;$C54,"",IF($D54=1,EOMONTH(EDATE(Bonds!$H54,6*(22-1)),0),EDATE(Bonds!$H54,6*(22-1))))</f>
        <v/>
      </c>
      <c r="AA54" s="3" t="str">
        <f>IF(23&gt;$C54,"",IF($D54=1,EOMONTH(EDATE(Bonds!$H54,6*(23-1)),0),EDATE(Bonds!$H54,6*(23-1))))</f>
        <v/>
      </c>
      <c r="AB54" s="3" t="str">
        <f>IF(24&gt;$C54,"",IF($D54=1,EOMONTH(EDATE(Bonds!$H54,6*(24-1)),0),EDATE(Bonds!$H54,6*(24-1))))</f>
        <v/>
      </c>
      <c r="AC54" s="3" t="str">
        <f>IF(25&gt;$C54,"",IF($D54=1,EOMONTH(EDATE(Bonds!$H54,6*(25-1)),0),EDATE(Bonds!$H54,6*(25-1))))</f>
        <v/>
      </c>
      <c r="AD54" s="3" t="str">
        <f>IF(26&gt;$C54,"",IF($D54=1,EOMONTH(EDATE(Bonds!$H54,6*(26-1)),0),EDATE(Bonds!$H54,6*(26-1))))</f>
        <v/>
      </c>
      <c r="AE54" s="3" t="str">
        <f>IF(27&gt;$C54,"",IF($D54=1,EOMONTH(EDATE(Bonds!$H54,6*(27-1)),0),EDATE(Bonds!$H54,6*(27-1))))</f>
        <v/>
      </c>
      <c r="AF54" s="3" t="str">
        <f>IF(28&gt;$C54,"",IF($D54=1,EOMONTH(EDATE(Bonds!$H54,6*(28-1)),0),EDATE(Bonds!$H54,6*(28-1))))</f>
        <v/>
      </c>
      <c r="AG54" s="3" t="str">
        <f>IF(29&gt;$C54,"",IF($D54=1,EOMONTH(EDATE(Bonds!$H54,6*(29-1)),0),EDATE(Bonds!$H54,6*(29-1))))</f>
        <v/>
      </c>
      <c r="AH54" s="3" t="str">
        <f>IF(30&gt;$C54,"",IF($D54=1,EOMONTH(EDATE(Bonds!$H54,6*(30-1)),0),EDATE(Bonds!$H54,6*(30-1))))</f>
        <v/>
      </c>
      <c r="AI54" s="3" t="str">
        <f>IF(31&gt;$C54,"",IF($D54=1,EOMONTH(EDATE(Bonds!$H54,6*(31-1)),0),EDATE(Bonds!$H54,6*(31-1))))</f>
        <v/>
      </c>
      <c r="AJ54" s="3" t="str">
        <f>IF(32&gt;$C54,"",IF($D54=1,EOMONTH(EDATE(Bonds!$H54,6*(32-1)),0),EDATE(Bonds!$H54,6*(32-1))))</f>
        <v/>
      </c>
      <c r="AK54" s="3" t="str">
        <f>IF(33&gt;$C54,"",IF($D54=1,EOMONTH(EDATE(Bonds!$H54,6*(33-1)),0),EDATE(Bonds!$H54,6*(33-1))))</f>
        <v/>
      </c>
      <c r="AL54" s="3" t="str">
        <f>IF(34&gt;$C54,"",IF($D54=1,EOMONTH(EDATE(Bonds!$H54,6*(34-1)),0),EDATE(Bonds!$H54,6*(34-1))))</f>
        <v/>
      </c>
      <c r="AM54" s="3" t="str">
        <f>IF(35&gt;$C54,"",IF($D54=1,EOMONTH(EDATE(Bonds!$H54,6*(35-1)),0),EDATE(Bonds!$H54,6*(35-1))))</f>
        <v/>
      </c>
      <c r="AN54" s="3" t="str">
        <f>IF(36&gt;$C54,"",IF($D54=1,EOMONTH(EDATE(Bonds!$H54,6*(36-1)),0),EDATE(Bonds!$H54,6*(36-1))))</f>
        <v/>
      </c>
      <c r="AO54" s="3" t="str">
        <f>IF(37&gt;$C54,"",IF($D54=1,EOMONTH(EDATE(Bonds!$H54,6*(37-1)),0),EDATE(Bonds!$H54,6*(37-1))))</f>
        <v/>
      </c>
      <c r="AP54" s="3" t="str">
        <f>IF(38&gt;$C54,"",IF($D54=1,EOMONTH(EDATE(Bonds!$H54,6*(38-1)),0),EDATE(Bonds!$H54,6*(38-1))))</f>
        <v/>
      </c>
      <c r="AQ54" s="3" t="str">
        <f>IF(39&gt;$C54,"",IF($D54=1,EOMONTH(EDATE(Bonds!$H54,6*(39-1)),0),EDATE(Bonds!$H54,6*(39-1))))</f>
        <v/>
      </c>
      <c r="AR54" s="3" t="str">
        <f>IF(40&gt;$C54,"",IF($D54=1,EOMONTH(EDATE(Bonds!$H54,6*(40-1)),0),EDATE(Bonds!$H54,6*(40-1))))</f>
        <v/>
      </c>
      <c r="AS54" s="3" t="str">
        <f>IF(41&gt;$C54,"",IF($D54=1,EOMONTH(EDATE(Bonds!$H54,6*(41-1)),0),EDATE(Bonds!$H54,6*(41-1))))</f>
        <v/>
      </c>
      <c r="AT54" s="3" t="str">
        <f>IF(42&gt;$C54,"",IF($D54=1,EOMONTH(EDATE(Bonds!$H54,6*(42-1)),0),EDATE(Bonds!$H54,6*(42-1))))</f>
        <v/>
      </c>
      <c r="AU54" s="3" t="str">
        <f>IF(43&gt;$C54,"",IF($D54=1,EOMONTH(EDATE(Bonds!$H54,6*(43-1)),0),EDATE(Bonds!$H54,6*(43-1))))</f>
        <v/>
      </c>
      <c r="AV54" s="3" t="str">
        <f>IF(44&gt;$C54,"",IF($D54=1,EOMONTH(EDATE(Bonds!$H54,6*(44-1)),0),EDATE(Bonds!$H54,6*(44-1))))</f>
        <v/>
      </c>
      <c r="AW54" s="3" t="str">
        <f>IF(45&gt;$C54,"",IF($D54=1,EOMONTH(EDATE(Bonds!$H54,6*(45-1)),0),EDATE(Bonds!$H54,6*(45-1))))</f>
        <v/>
      </c>
      <c r="AX54" s="3" t="str">
        <f>IF(46&gt;$C54,"",IF($D54=1,EOMONTH(EDATE(Bonds!$H54,6*(46-1)),0),EDATE(Bonds!$H54,6*(46-1))))</f>
        <v/>
      </c>
      <c r="AY54" s="3" t="str">
        <f>IF(47&gt;$C54,"",IF($D54=1,EOMONTH(EDATE(Bonds!$H54,6*(47-1)),0),EDATE(Bonds!$H54,6*(47-1))))</f>
        <v/>
      </c>
      <c r="AZ54" s="3" t="str">
        <f>IF(48&gt;$C54,"",IF($D54=1,EOMONTH(EDATE(Bonds!$H54,6*(48-1)),0),EDATE(Bonds!$H54,6*(48-1))))</f>
        <v/>
      </c>
      <c r="BA54" s="3" t="str">
        <f>IF(49&gt;$C54,"",IF($D54=1,EOMONTH(EDATE(Bonds!$H54,6*(49-1)),0),EDATE(Bonds!$H54,6*(49-1))))</f>
        <v/>
      </c>
      <c r="BB54" s="3" t="str">
        <f>IF(50&gt;$C54,"",IF($D54=1,EOMONTH(EDATE(Bonds!$H54,6*(50-1)),0),EDATE(Bonds!$H54,6*(50-1))))</f>
        <v/>
      </c>
      <c r="BC54" s="3" t="str">
        <f>IF(51&gt;$C54,"",IF($D54=1,EOMONTH(EDATE(Bonds!$H54,6*(51-1)),0),EDATE(Bonds!$H54,6*(51-1))))</f>
        <v/>
      </c>
      <c r="BD54" s="3" t="str">
        <f>IF(52&gt;$C54,"",IF($D54=1,EOMONTH(EDATE(Bonds!$H54,6*(52-1)),0),EDATE(Bonds!$H54,6*(52-1))))</f>
        <v/>
      </c>
      <c r="BE54" s="3" t="str">
        <f>IF(53&gt;$C54,"",IF($D54=1,EOMONTH(EDATE(Bonds!$H54,6*(53-1)),0),EDATE(Bonds!$H54,6*(53-1))))</f>
        <v/>
      </c>
      <c r="BF54" s="3" t="str">
        <f>IF(54&gt;$C54,"",IF($D54=1,EOMONTH(EDATE(Bonds!$H54,6*(54-1)),0),EDATE(Bonds!$H54,6*(54-1))))</f>
        <v/>
      </c>
      <c r="BG54" s="3" t="str">
        <f>IF(55&gt;$C54,"",IF($D54=1,EOMONTH(EDATE(Bonds!$H54,6*(55-1)),0),EDATE(Bonds!$H54,6*(55-1))))</f>
        <v/>
      </c>
      <c r="BH54" s="3" t="str">
        <f>IF(56&gt;$C54,"",IF($D54=1,EOMONTH(EDATE(Bonds!$H54,6*(56-1)),0),EDATE(Bonds!$H54,6*(56-1))))</f>
        <v/>
      </c>
      <c r="BI54" s="3" t="str">
        <f>IF(57&gt;$C54,"",IF($D54=1,EOMONTH(EDATE(Bonds!$H54,6*(57-1)),0),EDATE(Bonds!$H54,6*(57-1))))</f>
        <v/>
      </c>
      <c r="BJ54" s="3" t="str">
        <f>IF(58&gt;$C54,"",IF($D54=1,EOMONTH(EDATE(Bonds!$H54,6*(58-1)),0),EDATE(Bonds!$H54,6*(58-1))))</f>
        <v/>
      </c>
      <c r="BK54" s="3" t="str">
        <f>IF(59&gt;$C54,"",IF($D54=1,EOMONTH(EDATE(Bonds!$H54,6*(59-1)),0),EDATE(Bonds!$H54,6*(59-1))))</f>
        <v/>
      </c>
      <c r="BL54" s="3" t="str">
        <f>IF(60&gt;$C54,"",IF($D54=1,EOMONTH(EDATE(Bonds!$H54,6*(60-1)),0),EDATE(Bonds!$H54,6*(60-1))))</f>
        <v/>
      </c>
      <c r="BN54" s="7">
        <f t="shared" si="1"/>
        <v>1.3539652592617171</v>
      </c>
      <c r="BO54" s="7">
        <f t="shared" si="2"/>
        <v>97.732310219285793</v>
      </c>
      <c r="BP54" s="7">
        <f t="shared" si="3"/>
        <v>0</v>
      </c>
      <c r="BQ54" s="7">
        <f t="shared" si="4"/>
        <v>0</v>
      </c>
      <c r="BR54" s="7">
        <f t="shared" si="5"/>
        <v>0</v>
      </c>
      <c r="BS54" s="7">
        <f t="shared" si="6"/>
        <v>0</v>
      </c>
      <c r="BT54" s="7">
        <f t="shared" si="7"/>
        <v>0</v>
      </c>
      <c r="BU54" s="7">
        <f t="shared" si="8"/>
        <v>0</v>
      </c>
      <c r="BV54" s="7">
        <f t="shared" si="9"/>
        <v>0</v>
      </c>
      <c r="BW54" s="7">
        <f t="shared" si="10"/>
        <v>0</v>
      </c>
      <c r="BX54" s="7">
        <f t="shared" si="11"/>
        <v>0</v>
      </c>
      <c r="BY54" s="7">
        <f t="shared" si="12"/>
        <v>0</v>
      </c>
      <c r="BZ54" s="7">
        <f t="shared" si="13"/>
        <v>0</v>
      </c>
      <c r="CA54" s="7">
        <f t="shared" si="14"/>
        <v>0</v>
      </c>
      <c r="CB54" s="7">
        <f t="shared" si="15"/>
        <v>0</v>
      </c>
      <c r="CC54" s="7">
        <f t="shared" si="16"/>
        <v>0</v>
      </c>
      <c r="CD54" s="7">
        <f t="shared" si="17"/>
        <v>0</v>
      </c>
      <c r="CE54" s="7">
        <f t="shared" si="18"/>
        <v>0</v>
      </c>
      <c r="CF54" s="7">
        <f t="shared" si="19"/>
        <v>0</v>
      </c>
      <c r="CG54" s="7">
        <f t="shared" si="20"/>
        <v>0</v>
      </c>
      <c r="CH54" s="7">
        <f t="shared" si="21"/>
        <v>0</v>
      </c>
      <c r="CI54" s="7">
        <f t="shared" si="22"/>
        <v>0</v>
      </c>
      <c r="CJ54" s="7">
        <f t="shared" si="23"/>
        <v>0</v>
      </c>
      <c r="CK54" s="7">
        <f t="shared" si="24"/>
        <v>0</v>
      </c>
      <c r="CL54" s="7">
        <f t="shared" si="25"/>
        <v>0</v>
      </c>
      <c r="CM54" s="7">
        <f t="shared" si="26"/>
        <v>0</v>
      </c>
      <c r="CN54" s="7">
        <f t="shared" si="27"/>
        <v>0</v>
      </c>
      <c r="CO54" s="7">
        <f t="shared" si="28"/>
        <v>0</v>
      </c>
      <c r="CP54" s="7">
        <f t="shared" si="29"/>
        <v>0</v>
      </c>
      <c r="CQ54" s="7">
        <f t="shared" si="30"/>
        <v>0</v>
      </c>
      <c r="CR54" s="7">
        <f t="shared" si="31"/>
        <v>0</v>
      </c>
      <c r="CS54" s="7">
        <f t="shared" si="32"/>
        <v>0</v>
      </c>
      <c r="CT54" s="7">
        <f t="shared" si="33"/>
        <v>0</v>
      </c>
      <c r="CU54" s="7">
        <f t="shared" si="34"/>
        <v>0</v>
      </c>
      <c r="CV54" s="7">
        <f t="shared" si="35"/>
        <v>0</v>
      </c>
      <c r="CW54" s="7">
        <f t="shared" si="36"/>
        <v>0</v>
      </c>
      <c r="CX54" s="7">
        <f t="shared" si="37"/>
        <v>0</v>
      </c>
      <c r="CY54" s="7">
        <f t="shared" si="38"/>
        <v>0</v>
      </c>
      <c r="CZ54" s="7">
        <f t="shared" si="39"/>
        <v>0</v>
      </c>
      <c r="DA54" s="7">
        <f t="shared" si="40"/>
        <v>0</v>
      </c>
      <c r="DB54" s="7">
        <f t="shared" si="41"/>
        <v>0</v>
      </c>
      <c r="DC54" s="7">
        <f t="shared" si="42"/>
        <v>0</v>
      </c>
      <c r="DD54" s="7">
        <f t="shared" si="43"/>
        <v>0</v>
      </c>
      <c r="DE54" s="7">
        <f t="shared" si="44"/>
        <v>0</v>
      </c>
      <c r="DF54" s="7">
        <f t="shared" si="45"/>
        <v>0</v>
      </c>
      <c r="DG54" s="7">
        <f t="shared" si="46"/>
        <v>0</v>
      </c>
      <c r="DH54" s="7">
        <f t="shared" si="47"/>
        <v>0</v>
      </c>
      <c r="DI54" s="7">
        <f t="shared" si="48"/>
        <v>0</v>
      </c>
      <c r="DJ54" s="7">
        <f t="shared" si="49"/>
        <v>0</v>
      </c>
      <c r="DK54" s="7">
        <f t="shared" si="50"/>
        <v>0</v>
      </c>
      <c r="DL54" s="7">
        <f t="shared" si="51"/>
        <v>0</v>
      </c>
      <c r="DM54" s="7">
        <f t="shared" si="52"/>
        <v>0</v>
      </c>
      <c r="DN54" s="7">
        <f t="shared" si="53"/>
        <v>0</v>
      </c>
      <c r="DO54" s="7">
        <f t="shared" si="54"/>
        <v>0</v>
      </c>
      <c r="DP54" s="7">
        <f t="shared" si="55"/>
        <v>0</v>
      </c>
      <c r="DQ54" s="7">
        <f t="shared" si="56"/>
        <v>0</v>
      </c>
      <c r="DR54" s="7">
        <f t="shared" si="57"/>
        <v>0</v>
      </c>
      <c r="DS54" s="7">
        <f t="shared" si="58"/>
        <v>0</v>
      </c>
      <c r="DT54" s="7">
        <f t="shared" si="59"/>
        <v>0</v>
      </c>
      <c r="DU54" s="7">
        <f t="shared" si="60"/>
        <v>0</v>
      </c>
    </row>
    <row r="55" spans="1:125" x14ac:dyDescent="0.2">
      <c r="A55" s="3">
        <f>Bonds!A55</f>
        <v>46599</v>
      </c>
      <c r="B55" s="4">
        <f>Bonds!B55</f>
        <v>3.875</v>
      </c>
      <c r="C55">
        <f>Bonds!P55</f>
        <v>2</v>
      </c>
      <c r="D55">
        <f t="shared" si="0"/>
        <v>1</v>
      </c>
      <c r="E55" s="3">
        <f>IF(1&gt;$C55,"",IF($D55=1,EOMONTH(EDATE(Bonds!$H55,6*(1-1)),0),EDATE(Bonds!$H55,6*(1-1))))</f>
        <v>46418</v>
      </c>
      <c r="F55" s="3">
        <f>IF(2&gt;$C55,"",IF($D55=1,EOMONTH(EDATE(Bonds!$H55,6*(2-1)),0),EDATE(Bonds!$H55,6*(2-1))))</f>
        <v>46599</v>
      </c>
      <c r="G55" s="3" t="str">
        <f>IF(3&gt;$C55,"",IF($D55=1,EOMONTH(EDATE(Bonds!$H55,6*(3-1)),0),EDATE(Bonds!$H55,6*(3-1))))</f>
        <v/>
      </c>
      <c r="H55" s="3" t="str">
        <f>IF(4&gt;$C55,"",IF($D55=1,EOMONTH(EDATE(Bonds!$H55,6*(4-1)),0),EDATE(Bonds!$H55,6*(4-1))))</f>
        <v/>
      </c>
      <c r="I55" s="3" t="str">
        <f>IF(5&gt;$C55,"",IF($D55=1,EOMONTH(EDATE(Bonds!$H55,6*(5-1)),0),EDATE(Bonds!$H55,6*(5-1))))</f>
        <v/>
      </c>
      <c r="J55" s="3" t="str">
        <f>IF(6&gt;$C55,"",IF($D55=1,EOMONTH(EDATE(Bonds!$H55,6*(6-1)),0),EDATE(Bonds!$H55,6*(6-1))))</f>
        <v/>
      </c>
      <c r="K55" s="3" t="str">
        <f>IF(7&gt;$C55,"",IF($D55=1,EOMONTH(EDATE(Bonds!$H55,6*(7-1)),0),EDATE(Bonds!$H55,6*(7-1))))</f>
        <v/>
      </c>
      <c r="L55" s="3" t="str">
        <f>IF(8&gt;$C55,"",IF($D55=1,EOMONTH(EDATE(Bonds!$H55,6*(8-1)),0),EDATE(Bonds!$H55,6*(8-1))))</f>
        <v/>
      </c>
      <c r="M55" s="3" t="str">
        <f>IF(9&gt;$C55,"",IF($D55=1,EOMONTH(EDATE(Bonds!$H55,6*(9-1)),0),EDATE(Bonds!$H55,6*(9-1))))</f>
        <v/>
      </c>
      <c r="N55" s="3" t="str">
        <f>IF(10&gt;$C55,"",IF($D55=1,EOMONTH(EDATE(Bonds!$H55,6*(10-1)),0),EDATE(Bonds!$H55,6*(10-1))))</f>
        <v/>
      </c>
      <c r="O55" s="3" t="str">
        <f>IF(11&gt;$C55,"",IF($D55=1,EOMONTH(EDATE(Bonds!$H55,6*(11-1)),0),EDATE(Bonds!$H55,6*(11-1))))</f>
        <v/>
      </c>
      <c r="P55" s="3" t="str">
        <f>IF(12&gt;$C55,"",IF($D55=1,EOMONTH(EDATE(Bonds!$H55,6*(12-1)),0),EDATE(Bonds!$H55,6*(12-1))))</f>
        <v/>
      </c>
      <c r="Q55" s="3" t="str">
        <f>IF(13&gt;$C55,"",IF($D55=1,EOMONTH(EDATE(Bonds!$H55,6*(13-1)),0),EDATE(Bonds!$H55,6*(13-1))))</f>
        <v/>
      </c>
      <c r="R55" s="3" t="str">
        <f>IF(14&gt;$C55,"",IF($D55=1,EOMONTH(EDATE(Bonds!$H55,6*(14-1)),0),EDATE(Bonds!$H55,6*(14-1))))</f>
        <v/>
      </c>
      <c r="S55" s="3" t="str">
        <f>IF(15&gt;$C55,"",IF($D55=1,EOMONTH(EDATE(Bonds!$H55,6*(15-1)),0),EDATE(Bonds!$H55,6*(15-1))))</f>
        <v/>
      </c>
      <c r="T55" s="3" t="str">
        <f>IF(16&gt;$C55,"",IF($D55=1,EOMONTH(EDATE(Bonds!$H55,6*(16-1)),0),EDATE(Bonds!$H55,6*(16-1))))</f>
        <v/>
      </c>
      <c r="U55" s="3" t="str">
        <f>IF(17&gt;$C55,"",IF($D55=1,EOMONTH(EDATE(Bonds!$H55,6*(17-1)),0),EDATE(Bonds!$H55,6*(17-1))))</f>
        <v/>
      </c>
      <c r="V55" s="3" t="str">
        <f>IF(18&gt;$C55,"",IF($D55=1,EOMONTH(EDATE(Bonds!$H55,6*(18-1)),0),EDATE(Bonds!$H55,6*(18-1))))</f>
        <v/>
      </c>
      <c r="W55" s="3" t="str">
        <f>IF(19&gt;$C55,"",IF($D55=1,EOMONTH(EDATE(Bonds!$H55,6*(19-1)),0),EDATE(Bonds!$H55,6*(19-1))))</f>
        <v/>
      </c>
      <c r="X55" s="3" t="str">
        <f>IF(20&gt;$C55,"",IF($D55=1,EOMONTH(EDATE(Bonds!$H55,6*(20-1)),0),EDATE(Bonds!$H55,6*(20-1))))</f>
        <v/>
      </c>
      <c r="Y55" s="3" t="str">
        <f>IF(21&gt;$C55,"",IF($D55=1,EOMONTH(EDATE(Bonds!$H55,6*(21-1)),0),EDATE(Bonds!$H55,6*(21-1))))</f>
        <v/>
      </c>
      <c r="Z55" s="3" t="str">
        <f>IF(22&gt;$C55,"",IF($D55=1,EOMONTH(EDATE(Bonds!$H55,6*(22-1)),0),EDATE(Bonds!$H55,6*(22-1))))</f>
        <v/>
      </c>
      <c r="AA55" s="3" t="str">
        <f>IF(23&gt;$C55,"",IF($D55=1,EOMONTH(EDATE(Bonds!$H55,6*(23-1)),0),EDATE(Bonds!$H55,6*(23-1))))</f>
        <v/>
      </c>
      <c r="AB55" s="3" t="str">
        <f>IF(24&gt;$C55,"",IF($D55=1,EOMONTH(EDATE(Bonds!$H55,6*(24-1)),0),EDATE(Bonds!$H55,6*(24-1))))</f>
        <v/>
      </c>
      <c r="AC55" s="3" t="str">
        <f>IF(25&gt;$C55,"",IF($D55=1,EOMONTH(EDATE(Bonds!$H55,6*(25-1)),0),EDATE(Bonds!$H55,6*(25-1))))</f>
        <v/>
      </c>
      <c r="AD55" s="3" t="str">
        <f>IF(26&gt;$C55,"",IF($D55=1,EOMONTH(EDATE(Bonds!$H55,6*(26-1)),0),EDATE(Bonds!$H55,6*(26-1))))</f>
        <v/>
      </c>
      <c r="AE55" s="3" t="str">
        <f>IF(27&gt;$C55,"",IF($D55=1,EOMONTH(EDATE(Bonds!$H55,6*(27-1)),0),EDATE(Bonds!$H55,6*(27-1))))</f>
        <v/>
      </c>
      <c r="AF55" s="3" t="str">
        <f>IF(28&gt;$C55,"",IF($D55=1,EOMONTH(EDATE(Bonds!$H55,6*(28-1)),0),EDATE(Bonds!$H55,6*(28-1))))</f>
        <v/>
      </c>
      <c r="AG55" s="3" t="str">
        <f>IF(29&gt;$C55,"",IF($D55=1,EOMONTH(EDATE(Bonds!$H55,6*(29-1)),0),EDATE(Bonds!$H55,6*(29-1))))</f>
        <v/>
      </c>
      <c r="AH55" s="3" t="str">
        <f>IF(30&gt;$C55,"",IF($D55=1,EOMONTH(EDATE(Bonds!$H55,6*(30-1)),0),EDATE(Bonds!$H55,6*(30-1))))</f>
        <v/>
      </c>
      <c r="AI55" s="3" t="str">
        <f>IF(31&gt;$C55,"",IF($D55=1,EOMONTH(EDATE(Bonds!$H55,6*(31-1)),0),EDATE(Bonds!$H55,6*(31-1))))</f>
        <v/>
      </c>
      <c r="AJ55" s="3" t="str">
        <f>IF(32&gt;$C55,"",IF($D55=1,EOMONTH(EDATE(Bonds!$H55,6*(32-1)),0),EDATE(Bonds!$H55,6*(32-1))))</f>
        <v/>
      </c>
      <c r="AK55" s="3" t="str">
        <f>IF(33&gt;$C55,"",IF($D55=1,EOMONTH(EDATE(Bonds!$H55,6*(33-1)),0),EDATE(Bonds!$H55,6*(33-1))))</f>
        <v/>
      </c>
      <c r="AL55" s="3" t="str">
        <f>IF(34&gt;$C55,"",IF($D55=1,EOMONTH(EDATE(Bonds!$H55,6*(34-1)),0),EDATE(Bonds!$H55,6*(34-1))))</f>
        <v/>
      </c>
      <c r="AM55" s="3" t="str">
        <f>IF(35&gt;$C55,"",IF($D55=1,EOMONTH(EDATE(Bonds!$H55,6*(35-1)),0),EDATE(Bonds!$H55,6*(35-1))))</f>
        <v/>
      </c>
      <c r="AN55" s="3" t="str">
        <f>IF(36&gt;$C55,"",IF($D55=1,EOMONTH(EDATE(Bonds!$H55,6*(36-1)),0),EDATE(Bonds!$H55,6*(36-1))))</f>
        <v/>
      </c>
      <c r="AO55" s="3" t="str">
        <f>IF(37&gt;$C55,"",IF($D55=1,EOMONTH(EDATE(Bonds!$H55,6*(37-1)),0),EDATE(Bonds!$H55,6*(37-1))))</f>
        <v/>
      </c>
      <c r="AP55" s="3" t="str">
        <f>IF(38&gt;$C55,"",IF($D55=1,EOMONTH(EDATE(Bonds!$H55,6*(38-1)),0),EDATE(Bonds!$H55,6*(38-1))))</f>
        <v/>
      </c>
      <c r="AQ55" s="3" t="str">
        <f>IF(39&gt;$C55,"",IF($D55=1,EOMONTH(EDATE(Bonds!$H55,6*(39-1)),0),EDATE(Bonds!$H55,6*(39-1))))</f>
        <v/>
      </c>
      <c r="AR55" s="3" t="str">
        <f>IF(40&gt;$C55,"",IF($D55=1,EOMONTH(EDATE(Bonds!$H55,6*(40-1)),0),EDATE(Bonds!$H55,6*(40-1))))</f>
        <v/>
      </c>
      <c r="AS55" s="3" t="str">
        <f>IF(41&gt;$C55,"",IF($D55=1,EOMONTH(EDATE(Bonds!$H55,6*(41-1)),0),EDATE(Bonds!$H55,6*(41-1))))</f>
        <v/>
      </c>
      <c r="AT55" s="3" t="str">
        <f>IF(42&gt;$C55,"",IF($D55=1,EOMONTH(EDATE(Bonds!$H55,6*(42-1)),0),EDATE(Bonds!$H55,6*(42-1))))</f>
        <v/>
      </c>
      <c r="AU55" s="3" t="str">
        <f>IF(43&gt;$C55,"",IF($D55=1,EOMONTH(EDATE(Bonds!$H55,6*(43-1)),0),EDATE(Bonds!$H55,6*(43-1))))</f>
        <v/>
      </c>
      <c r="AV55" s="3" t="str">
        <f>IF(44&gt;$C55,"",IF($D55=1,EOMONTH(EDATE(Bonds!$H55,6*(44-1)),0),EDATE(Bonds!$H55,6*(44-1))))</f>
        <v/>
      </c>
      <c r="AW55" s="3" t="str">
        <f>IF(45&gt;$C55,"",IF($D55=1,EOMONTH(EDATE(Bonds!$H55,6*(45-1)),0),EDATE(Bonds!$H55,6*(45-1))))</f>
        <v/>
      </c>
      <c r="AX55" s="3" t="str">
        <f>IF(46&gt;$C55,"",IF($D55=1,EOMONTH(EDATE(Bonds!$H55,6*(46-1)),0),EDATE(Bonds!$H55,6*(46-1))))</f>
        <v/>
      </c>
      <c r="AY55" s="3" t="str">
        <f>IF(47&gt;$C55,"",IF($D55=1,EOMONTH(EDATE(Bonds!$H55,6*(47-1)),0),EDATE(Bonds!$H55,6*(47-1))))</f>
        <v/>
      </c>
      <c r="AZ55" s="3" t="str">
        <f>IF(48&gt;$C55,"",IF($D55=1,EOMONTH(EDATE(Bonds!$H55,6*(48-1)),0),EDATE(Bonds!$H55,6*(48-1))))</f>
        <v/>
      </c>
      <c r="BA55" s="3" t="str">
        <f>IF(49&gt;$C55,"",IF($D55=1,EOMONTH(EDATE(Bonds!$H55,6*(49-1)),0),EDATE(Bonds!$H55,6*(49-1))))</f>
        <v/>
      </c>
      <c r="BB55" s="3" t="str">
        <f>IF(50&gt;$C55,"",IF($D55=1,EOMONTH(EDATE(Bonds!$H55,6*(50-1)),0),EDATE(Bonds!$H55,6*(50-1))))</f>
        <v/>
      </c>
      <c r="BC55" s="3" t="str">
        <f>IF(51&gt;$C55,"",IF($D55=1,EOMONTH(EDATE(Bonds!$H55,6*(51-1)),0),EDATE(Bonds!$H55,6*(51-1))))</f>
        <v/>
      </c>
      <c r="BD55" s="3" t="str">
        <f>IF(52&gt;$C55,"",IF($D55=1,EOMONTH(EDATE(Bonds!$H55,6*(52-1)),0),EDATE(Bonds!$H55,6*(52-1))))</f>
        <v/>
      </c>
      <c r="BE55" s="3" t="str">
        <f>IF(53&gt;$C55,"",IF($D55=1,EOMONTH(EDATE(Bonds!$H55,6*(53-1)),0),EDATE(Bonds!$H55,6*(53-1))))</f>
        <v/>
      </c>
      <c r="BF55" s="3" t="str">
        <f>IF(54&gt;$C55,"",IF($D55=1,EOMONTH(EDATE(Bonds!$H55,6*(54-1)),0),EDATE(Bonds!$H55,6*(54-1))))</f>
        <v/>
      </c>
      <c r="BG55" s="3" t="str">
        <f>IF(55&gt;$C55,"",IF($D55=1,EOMONTH(EDATE(Bonds!$H55,6*(55-1)),0),EDATE(Bonds!$H55,6*(55-1))))</f>
        <v/>
      </c>
      <c r="BH55" s="3" t="str">
        <f>IF(56&gt;$C55,"",IF($D55=1,EOMONTH(EDATE(Bonds!$H55,6*(56-1)),0),EDATE(Bonds!$H55,6*(56-1))))</f>
        <v/>
      </c>
      <c r="BI55" s="3" t="str">
        <f>IF(57&gt;$C55,"",IF($D55=1,EOMONTH(EDATE(Bonds!$H55,6*(57-1)),0),EDATE(Bonds!$H55,6*(57-1))))</f>
        <v/>
      </c>
      <c r="BJ55" s="3" t="str">
        <f>IF(58&gt;$C55,"",IF($D55=1,EOMONTH(EDATE(Bonds!$H55,6*(58-1)),0),EDATE(Bonds!$H55,6*(58-1))))</f>
        <v/>
      </c>
      <c r="BK55" s="3" t="str">
        <f>IF(59&gt;$C55,"",IF($D55=1,EOMONTH(EDATE(Bonds!$H55,6*(59-1)),0),EDATE(Bonds!$H55,6*(59-1))))</f>
        <v/>
      </c>
      <c r="BL55" s="3" t="str">
        <f>IF(60&gt;$C55,"",IF($D55=1,EOMONTH(EDATE(Bonds!$H55,6*(60-1)),0),EDATE(Bonds!$H55,6*(60-1))))</f>
        <v/>
      </c>
      <c r="BN55" s="7">
        <f t="shared" si="1"/>
        <v>1.9078601380506013</v>
      </c>
      <c r="BO55" s="7">
        <f t="shared" si="2"/>
        <v>98.274598007185659</v>
      </c>
      <c r="BP55" s="7">
        <f t="shared" si="3"/>
        <v>0</v>
      </c>
      <c r="BQ55" s="7">
        <f t="shared" si="4"/>
        <v>0</v>
      </c>
      <c r="BR55" s="7">
        <f t="shared" si="5"/>
        <v>0</v>
      </c>
      <c r="BS55" s="7">
        <f t="shared" si="6"/>
        <v>0</v>
      </c>
      <c r="BT55" s="7">
        <f t="shared" si="7"/>
        <v>0</v>
      </c>
      <c r="BU55" s="7">
        <f t="shared" si="8"/>
        <v>0</v>
      </c>
      <c r="BV55" s="7">
        <f t="shared" si="9"/>
        <v>0</v>
      </c>
      <c r="BW55" s="7">
        <f t="shared" si="10"/>
        <v>0</v>
      </c>
      <c r="BX55" s="7">
        <f t="shared" si="11"/>
        <v>0</v>
      </c>
      <c r="BY55" s="7">
        <f t="shared" si="12"/>
        <v>0</v>
      </c>
      <c r="BZ55" s="7">
        <f t="shared" si="13"/>
        <v>0</v>
      </c>
      <c r="CA55" s="7">
        <f t="shared" si="14"/>
        <v>0</v>
      </c>
      <c r="CB55" s="7">
        <f t="shared" si="15"/>
        <v>0</v>
      </c>
      <c r="CC55" s="7">
        <f t="shared" si="16"/>
        <v>0</v>
      </c>
      <c r="CD55" s="7">
        <f t="shared" si="17"/>
        <v>0</v>
      </c>
      <c r="CE55" s="7">
        <f t="shared" si="18"/>
        <v>0</v>
      </c>
      <c r="CF55" s="7">
        <f t="shared" si="19"/>
        <v>0</v>
      </c>
      <c r="CG55" s="7">
        <f t="shared" si="20"/>
        <v>0</v>
      </c>
      <c r="CH55" s="7">
        <f t="shared" si="21"/>
        <v>0</v>
      </c>
      <c r="CI55" s="7">
        <f t="shared" si="22"/>
        <v>0</v>
      </c>
      <c r="CJ55" s="7">
        <f t="shared" si="23"/>
        <v>0</v>
      </c>
      <c r="CK55" s="7">
        <f t="shared" si="24"/>
        <v>0</v>
      </c>
      <c r="CL55" s="7">
        <f t="shared" si="25"/>
        <v>0</v>
      </c>
      <c r="CM55" s="7">
        <f t="shared" si="26"/>
        <v>0</v>
      </c>
      <c r="CN55" s="7">
        <f t="shared" si="27"/>
        <v>0</v>
      </c>
      <c r="CO55" s="7">
        <f t="shared" si="28"/>
        <v>0</v>
      </c>
      <c r="CP55" s="7">
        <f t="shared" si="29"/>
        <v>0</v>
      </c>
      <c r="CQ55" s="7">
        <f t="shared" si="30"/>
        <v>0</v>
      </c>
      <c r="CR55" s="7">
        <f t="shared" si="31"/>
        <v>0</v>
      </c>
      <c r="CS55" s="7">
        <f t="shared" si="32"/>
        <v>0</v>
      </c>
      <c r="CT55" s="7">
        <f t="shared" si="33"/>
        <v>0</v>
      </c>
      <c r="CU55" s="7">
        <f t="shared" si="34"/>
        <v>0</v>
      </c>
      <c r="CV55" s="7">
        <f t="shared" si="35"/>
        <v>0</v>
      </c>
      <c r="CW55" s="7">
        <f t="shared" si="36"/>
        <v>0</v>
      </c>
      <c r="CX55" s="7">
        <f t="shared" si="37"/>
        <v>0</v>
      </c>
      <c r="CY55" s="7">
        <f t="shared" si="38"/>
        <v>0</v>
      </c>
      <c r="CZ55" s="7">
        <f t="shared" si="39"/>
        <v>0</v>
      </c>
      <c r="DA55" s="7">
        <f t="shared" si="40"/>
        <v>0</v>
      </c>
      <c r="DB55" s="7">
        <f t="shared" si="41"/>
        <v>0</v>
      </c>
      <c r="DC55" s="7">
        <f t="shared" si="42"/>
        <v>0</v>
      </c>
      <c r="DD55" s="7">
        <f t="shared" si="43"/>
        <v>0</v>
      </c>
      <c r="DE55" s="7">
        <f t="shared" si="44"/>
        <v>0</v>
      </c>
      <c r="DF55" s="7">
        <f t="shared" si="45"/>
        <v>0</v>
      </c>
      <c r="DG55" s="7">
        <f t="shared" si="46"/>
        <v>0</v>
      </c>
      <c r="DH55" s="7">
        <f t="shared" si="47"/>
        <v>0</v>
      </c>
      <c r="DI55" s="7">
        <f t="shared" si="48"/>
        <v>0</v>
      </c>
      <c r="DJ55" s="7">
        <f t="shared" si="49"/>
        <v>0</v>
      </c>
      <c r="DK55" s="7">
        <f t="shared" si="50"/>
        <v>0</v>
      </c>
      <c r="DL55" s="7">
        <f t="shared" si="51"/>
        <v>0</v>
      </c>
      <c r="DM55" s="7">
        <f t="shared" si="52"/>
        <v>0</v>
      </c>
      <c r="DN55" s="7">
        <f t="shared" si="53"/>
        <v>0</v>
      </c>
      <c r="DO55" s="7">
        <f t="shared" si="54"/>
        <v>0</v>
      </c>
      <c r="DP55" s="7">
        <f t="shared" si="55"/>
        <v>0</v>
      </c>
      <c r="DQ55" s="7">
        <f t="shared" si="56"/>
        <v>0</v>
      </c>
      <c r="DR55" s="7">
        <f t="shared" si="57"/>
        <v>0</v>
      </c>
      <c r="DS55" s="7">
        <f t="shared" si="58"/>
        <v>0</v>
      </c>
      <c r="DT55" s="7">
        <f t="shared" si="59"/>
        <v>0</v>
      </c>
      <c r="DU55" s="7">
        <f t="shared" si="60"/>
        <v>0</v>
      </c>
    </row>
    <row r="56" spans="1:125" x14ac:dyDescent="0.2">
      <c r="A56" s="3">
        <f>Bonds!A56</f>
        <v>46614</v>
      </c>
      <c r="B56" s="4">
        <f>Bonds!B56</f>
        <v>2.25</v>
      </c>
      <c r="C56">
        <f>Bonds!P56</f>
        <v>2</v>
      </c>
      <c r="D56">
        <f t="shared" si="0"/>
        <v>0</v>
      </c>
      <c r="E56" s="3">
        <f>IF(1&gt;$C56,"",IF($D56=1,EOMONTH(EDATE(Bonds!$H56,6*(1-1)),0),EDATE(Bonds!$H56,6*(1-1))))</f>
        <v>46433</v>
      </c>
      <c r="F56" s="3">
        <f>IF(2&gt;$C56,"",IF($D56=1,EOMONTH(EDATE(Bonds!$H56,6*(2-1)),0),EDATE(Bonds!$H56,6*(2-1))))</f>
        <v>46614</v>
      </c>
      <c r="G56" s="3" t="str">
        <f>IF(3&gt;$C56,"",IF($D56=1,EOMONTH(EDATE(Bonds!$H56,6*(3-1)),0),EDATE(Bonds!$H56,6*(3-1))))</f>
        <v/>
      </c>
      <c r="H56" s="3" t="str">
        <f>IF(4&gt;$C56,"",IF($D56=1,EOMONTH(EDATE(Bonds!$H56,6*(4-1)),0),EDATE(Bonds!$H56,6*(4-1))))</f>
        <v/>
      </c>
      <c r="I56" s="3" t="str">
        <f>IF(5&gt;$C56,"",IF($D56=1,EOMONTH(EDATE(Bonds!$H56,6*(5-1)),0),EDATE(Bonds!$H56,6*(5-1))))</f>
        <v/>
      </c>
      <c r="J56" s="3" t="str">
        <f>IF(6&gt;$C56,"",IF($D56=1,EOMONTH(EDATE(Bonds!$H56,6*(6-1)),0),EDATE(Bonds!$H56,6*(6-1))))</f>
        <v/>
      </c>
      <c r="K56" s="3" t="str">
        <f>IF(7&gt;$C56,"",IF($D56=1,EOMONTH(EDATE(Bonds!$H56,6*(7-1)),0),EDATE(Bonds!$H56,6*(7-1))))</f>
        <v/>
      </c>
      <c r="L56" s="3" t="str">
        <f>IF(8&gt;$C56,"",IF($D56=1,EOMONTH(EDATE(Bonds!$H56,6*(8-1)),0),EDATE(Bonds!$H56,6*(8-1))))</f>
        <v/>
      </c>
      <c r="M56" s="3" t="str">
        <f>IF(9&gt;$C56,"",IF($D56=1,EOMONTH(EDATE(Bonds!$H56,6*(9-1)),0),EDATE(Bonds!$H56,6*(9-1))))</f>
        <v/>
      </c>
      <c r="N56" s="3" t="str">
        <f>IF(10&gt;$C56,"",IF($D56=1,EOMONTH(EDATE(Bonds!$H56,6*(10-1)),0),EDATE(Bonds!$H56,6*(10-1))))</f>
        <v/>
      </c>
      <c r="O56" s="3" t="str">
        <f>IF(11&gt;$C56,"",IF($D56=1,EOMONTH(EDATE(Bonds!$H56,6*(11-1)),0),EDATE(Bonds!$H56,6*(11-1))))</f>
        <v/>
      </c>
      <c r="P56" s="3" t="str">
        <f>IF(12&gt;$C56,"",IF($D56=1,EOMONTH(EDATE(Bonds!$H56,6*(12-1)),0),EDATE(Bonds!$H56,6*(12-1))))</f>
        <v/>
      </c>
      <c r="Q56" s="3" t="str">
        <f>IF(13&gt;$C56,"",IF($D56=1,EOMONTH(EDATE(Bonds!$H56,6*(13-1)),0),EDATE(Bonds!$H56,6*(13-1))))</f>
        <v/>
      </c>
      <c r="R56" s="3" t="str">
        <f>IF(14&gt;$C56,"",IF($D56=1,EOMONTH(EDATE(Bonds!$H56,6*(14-1)),0),EDATE(Bonds!$H56,6*(14-1))))</f>
        <v/>
      </c>
      <c r="S56" s="3" t="str">
        <f>IF(15&gt;$C56,"",IF($D56=1,EOMONTH(EDATE(Bonds!$H56,6*(15-1)),0),EDATE(Bonds!$H56,6*(15-1))))</f>
        <v/>
      </c>
      <c r="T56" s="3" t="str">
        <f>IF(16&gt;$C56,"",IF($D56=1,EOMONTH(EDATE(Bonds!$H56,6*(16-1)),0),EDATE(Bonds!$H56,6*(16-1))))</f>
        <v/>
      </c>
      <c r="U56" s="3" t="str">
        <f>IF(17&gt;$C56,"",IF($D56=1,EOMONTH(EDATE(Bonds!$H56,6*(17-1)),0),EDATE(Bonds!$H56,6*(17-1))))</f>
        <v/>
      </c>
      <c r="V56" s="3" t="str">
        <f>IF(18&gt;$C56,"",IF($D56=1,EOMONTH(EDATE(Bonds!$H56,6*(18-1)),0),EDATE(Bonds!$H56,6*(18-1))))</f>
        <v/>
      </c>
      <c r="W56" s="3" t="str">
        <f>IF(19&gt;$C56,"",IF($D56=1,EOMONTH(EDATE(Bonds!$H56,6*(19-1)),0),EDATE(Bonds!$H56,6*(19-1))))</f>
        <v/>
      </c>
      <c r="X56" s="3" t="str">
        <f>IF(20&gt;$C56,"",IF($D56=1,EOMONTH(EDATE(Bonds!$H56,6*(20-1)),0),EDATE(Bonds!$H56,6*(20-1))))</f>
        <v/>
      </c>
      <c r="Y56" s="3" t="str">
        <f>IF(21&gt;$C56,"",IF($D56=1,EOMONTH(EDATE(Bonds!$H56,6*(21-1)),0),EDATE(Bonds!$H56,6*(21-1))))</f>
        <v/>
      </c>
      <c r="Z56" s="3" t="str">
        <f>IF(22&gt;$C56,"",IF($D56=1,EOMONTH(EDATE(Bonds!$H56,6*(22-1)),0),EDATE(Bonds!$H56,6*(22-1))))</f>
        <v/>
      </c>
      <c r="AA56" s="3" t="str">
        <f>IF(23&gt;$C56,"",IF($D56=1,EOMONTH(EDATE(Bonds!$H56,6*(23-1)),0),EDATE(Bonds!$H56,6*(23-1))))</f>
        <v/>
      </c>
      <c r="AB56" s="3" t="str">
        <f>IF(24&gt;$C56,"",IF($D56=1,EOMONTH(EDATE(Bonds!$H56,6*(24-1)),0),EDATE(Bonds!$H56,6*(24-1))))</f>
        <v/>
      </c>
      <c r="AC56" s="3" t="str">
        <f>IF(25&gt;$C56,"",IF($D56=1,EOMONTH(EDATE(Bonds!$H56,6*(25-1)),0),EDATE(Bonds!$H56,6*(25-1))))</f>
        <v/>
      </c>
      <c r="AD56" s="3" t="str">
        <f>IF(26&gt;$C56,"",IF($D56=1,EOMONTH(EDATE(Bonds!$H56,6*(26-1)),0),EDATE(Bonds!$H56,6*(26-1))))</f>
        <v/>
      </c>
      <c r="AE56" s="3" t="str">
        <f>IF(27&gt;$C56,"",IF($D56=1,EOMONTH(EDATE(Bonds!$H56,6*(27-1)),0),EDATE(Bonds!$H56,6*(27-1))))</f>
        <v/>
      </c>
      <c r="AF56" s="3" t="str">
        <f>IF(28&gt;$C56,"",IF($D56=1,EOMONTH(EDATE(Bonds!$H56,6*(28-1)),0),EDATE(Bonds!$H56,6*(28-1))))</f>
        <v/>
      </c>
      <c r="AG56" s="3" t="str">
        <f>IF(29&gt;$C56,"",IF($D56=1,EOMONTH(EDATE(Bonds!$H56,6*(29-1)),0),EDATE(Bonds!$H56,6*(29-1))))</f>
        <v/>
      </c>
      <c r="AH56" s="3" t="str">
        <f>IF(30&gt;$C56,"",IF($D56=1,EOMONTH(EDATE(Bonds!$H56,6*(30-1)),0),EDATE(Bonds!$H56,6*(30-1))))</f>
        <v/>
      </c>
      <c r="AI56" s="3" t="str">
        <f>IF(31&gt;$C56,"",IF($D56=1,EOMONTH(EDATE(Bonds!$H56,6*(31-1)),0),EDATE(Bonds!$H56,6*(31-1))))</f>
        <v/>
      </c>
      <c r="AJ56" s="3" t="str">
        <f>IF(32&gt;$C56,"",IF($D56=1,EOMONTH(EDATE(Bonds!$H56,6*(32-1)),0),EDATE(Bonds!$H56,6*(32-1))))</f>
        <v/>
      </c>
      <c r="AK56" s="3" t="str">
        <f>IF(33&gt;$C56,"",IF($D56=1,EOMONTH(EDATE(Bonds!$H56,6*(33-1)),0),EDATE(Bonds!$H56,6*(33-1))))</f>
        <v/>
      </c>
      <c r="AL56" s="3" t="str">
        <f>IF(34&gt;$C56,"",IF($D56=1,EOMONTH(EDATE(Bonds!$H56,6*(34-1)),0),EDATE(Bonds!$H56,6*(34-1))))</f>
        <v/>
      </c>
      <c r="AM56" s="3" t="str">
        <f>IF(35&gt;$C56,"",IF($D56=1,EOMONTH(EDATE(Bonds!$H56,6*(35-1)),0),EDATE(Bonds!$H56,6*(35-1))))</f>
        <v/>
      </c>
      <c r="AN56" s="3" t="str">
        <f>IF(36&gt;$C56,"",IF($D56=1,EOMONTH(EDATE(Bonds!$H56,6*(36-1)),0),EDATE(Bonds!$H56,6*(36-1))))</f>
        <v/>
      </c>
      <c r="AO56" s="3" t="str">
        <f>IF(37&gt;$C56,"",IF($D56=1,EOMONTH(EDATE(Bonds!$H56,6*(37-1)),0),EDATE(Bonds!$H56,6*(37-1))))</f>
        <v/>
      </c>
      <c r="AP56" s="3" t="str">
        <f>IF(38&gt;$C56,"",IF($D56=1,EOMONTH(EDATE(Bonds!$H56,6*(38-1)),0),EDATE(Bonds!$H56,6*(38-1))))</f>
        <v/>
      </c>
      <c r="AQ56" s="3" t="str">
        <f>IF(39&gt;$C56,"",IF($D56=1,EOMONTH(EDATE(Bonds!$H56,6*(39-1)),0),EDATE(Bonds!$H56,6*(39-1))))</f>
        <v/>
      </c>
      <c r="AR56" s="3" t="str">
        <f>IF(40&gt;$C56,"",IF($D56=1,EOMONTH(EDATE(Bonds!$H56,6*(40-1)),0),EDATE(Bonds!$H56,6*(40-1))))</f>
        <v/>
      </c>
      <c r="AS56" s="3" t="str">
        <f>IF(41&gt;$C56,"",IF($D56=1,EOMONTH(EDATE(Bonds!$H56,6*(41-1)),0),EDATE(Bonds!$H56,6*(41-1))))</f>
        <v/>
      </c>
      <c r="AT56" s="3" t="str">
        <f>IF(42&gt;$C56,"",IF($D56=1,EOMONTH(EDATE(Bonds!$H56,6*(42-1)),0),EDATE(Bonds!$H56,6*(42-1))))</f>
        <v/>
      </c>
      <c r="AU56" s="3" t="str">
        <f>IF(43&gt;$C56,"",IF($D56=1,EOMONTH(EDATE(Bonds!$H56,6*(43-1)),0),EDATE(Bonds!$H56,6*(43-1))))</f>
        <v/>
      </c>
      <c r="AV56" s="3" t="str">
        <f>IF(44&gt;$C56,"",IF($D56=1,EOMONTH(EDATE(Bonds!$H56,6*(44-1)),0),EDATE(Bonds!$H56,6*(44-1))))</f>
        <v/>
      </c>
      <c r="AW56" s="3" t="str">
        <f>IF(45&gt;$C56,"",IF($D56=1,EOMONTH(EDATE(Bonds!$H56,6*(45-1)),0),EDATE(Bonds!$H56,6*(45-1))))</f>
        <v/>
      </c>
      <c r="AX56" s="3" t="str">
        <f>IF(46&gt;$C56,"",IF($D56=1,EOMONTH(EDATE(Bonds!$H56,6*(46-1)),0),EDATE(Bonds!$H56,6*(46-1))))</f>
        <v/>
      </c>
      <c r="AY56" s="3" t="str">
        <f>IF(47&gt;$C56,"",IF($D56=1,EOMONTH(EDATE(Bonds!$H56,6*(47-1)),0),EDATE(Bonds!$H56,6*(47-1))))</f>
        <v/>
      </c>
      <c r="AZ56" s="3" t="str">
        <f>IF(48&gt;$C56,"",IF($D56=1,EOMONTH(EDATE(Bonds!$H56,6*(48-1)),0),EDATE(Bonds!$H56,6*(48-1))))</f>
        <v/>
      </c>
      <c r="BA56" s="3" t="str">
        <f>IF(49&gt;$C56,"",IF($D56=1,EOMONTH(EDATE(Bonds!$H56,6*(49-1)),0),EDATE(Bonds!$H56,6*(49-1))))</f>
        <v/>
      </c>
      <c r="BB56" s="3" t="str">
        <f>IF(50&gt;$C56,"",IF($D56=1,EOMONTH(EDATE(Bonds!$H56,6*(50-1)),0),EDATE(Bonds!$H56,6*(50-1))))</f>
        <v/>
      </c>
      <c r="BC56" s="3" t="str">
        <f>IF(51&gt;$C56,"",IF($D56=1,EOMONTH(EDATE(Bonds!$H56,6*(51-1)),0),EDATE(Bonds!$H56,6*(51-1))))</f>
        <v/>
      </c>
      <c r="BD56" s="3" t="str">
        <f>IF(52&gt;$C56,"",IF($D56=1,EOMONTH(EDATE(Bonds!$H56,6*(52-1)),0),EDATE(Bonds!$H56,6*(52-1))))</f>
        <v/>
      </c>
      <c r="BE56" s="3" t="str">
        <f>IF(53&gt;$C56,"",IF($D56=1,EOMONTH(EDATE(Bonds!$H56,6*(53-1)),0),EDATE(Bonds!$H56,6*(53-1))))</f>
        <v/>
      </c>
      <c r="BF56" s="3" t="str">
        <f>IF(54&gt;$C56,"",IF($D56=1,EOMONTH(EDATE(Bonds!$H56,6*(54-1)),0),EDATE(Bonds!$H56,6*(54-1))))</f>
        <v/>
      </c>
      <c r="BG56" s="3" t="str">
        <f>IF(55&gt;$C56,"",IF($D56=1,EOMONTH(EDATE(Bonds!$H56,6*(55-1)),0),EDATE(Bonds!$H56,6*(55-1))))</f>
        <v/>
      </c>
      <c r="BH56" s="3" t="str">
        <f>IF(56&gt;$C56,"",IF($D56=1,EOMONTH(EDATE(Bonds!$H56,6*(56-1)),0),EDATE(Bonds!$H56,6*(56-1))))</f>
        <v/>
      </c>
      <c r="BI56" s="3" t="str">
        <f>IF(57&gt;$C56,"",IF($D56=1,EOMONTH(EDATE(Bonds!$H56,6*(57-1)),0),EDATE(Bonds!$H56,6*(57-1))))</f>
        <v/>
      </c>
      <c r="BJ56" s="3" t="str">
        <f>IF(58&gt;$C56,"",IF($D56=1,EOMONTH(EDATE(Bonds!$H56,6*(58-1)),0),EDATE(Bonds!$H56,6*(58-1))))</f>
        <v/>
      </c>
      <c r="BK56" s="3" t="str">
        <f>IF(59&gt;$C56,"",IF($D56=1,EOMONTH(EDATE(Bonds!$H56,6*(59-1)),0),EDATE(Bonds!$H56,6*(59-1))))</f>
        <v/>
      </c>
      <c r="BL56" s="3" t="str">
        <f>IF(60&gt;$C56,"",IF($D56=1,EOMONTH(EDATE(Bonds!$H56,6*(60-1)),0),EDATE(Bonds!$H56,6*(60-1))))</f>
        <v/>
      </c>
      <c r="BN56" s="7">
        <f t="shared" si="1"/>
        <v>1.1059194175661451</v>
      </c>
      <c r="BO56" s="7">
        <f t="shared" si="2"/>
        <v>97.314474274817144</v>
      </c>
      <c r="BP56" s="7">
        <f t="shared" si="3"/>
        <v>0</v>
      </c>
      <c r="BQ56" s="7">
        <f t="shared" si="4"/>
        <v>0</v>
      </c>
      <c r="BR56" s="7">
        <f t="shared" si="5"/>
        <v>0</v>
      </c>
      <c r="BS56" s="7">
        <f t="shared" si="6"/>
        <v>0</v>
      </c>
      <c r="BT56" s="7">
        <f t="shared" si="7"/>
        <v>0</v>
      </c>
      <c r="BU56" s="7">
        <f t="shared" si="8"/>
        <v>0</v>
      </c>
      <c r="BV56" s="7">
        <f t="shared" si="9"/>
        <v>0</v>
      </c>
      <c r="BW56" s="7">
        <f t="shared" si="10"/>
        <v>0</v>
      </c>
      <c r="BX56" s="7">
        <f t="shared" si="11"/>
        <v>0</v>
      </c>
      <c r="BY56" s="7">
        <f t="shared" si="12"/>
        <v>0</v>
      </c>
      <c r="BZ56" s="7">
        <f t="shared" si="13"/>
        <v>0</v>
      </c>
      <c r="CA56" s="7">
        <f t="shared" si="14"/>
        <v>0</v>
      </c>
      <c r="CB56" s="7">
        <f t="shared" si="15"/>
        <v>0</v>
      </c>
      <c r="CC56" s="7">
        <f t="shared" si="16"/>
        <v>0</v>
      </c>
      <c r="CD56" s="7">
        <f t="shared" si="17"/>
        <v>0</v>
      </c>
      <c r="CE56" s="7">
        <f t="shared" si="18"/>
        <v>0</v>
      </c>
      <c r="CF56" s="7">
        <f t="shared" si="19"/>
        <v>0</v>
      </c>
      <c r="CG56" s="7">
        <f t="shared" si="20"/>
        <v>0</v>
      </c>
      <c r="CH56" s="7">
        <f t="shared" si="21"/>
        <v>0</v>
      </c>
      <c r="CI56" s="7">
        <f t="shared" si="22"/>
        <v>0</v>
      </c>
      <c r="CJ56" s="7">
        <f t="shared" si="23"/>
        <v>0</v>
      </c>
      <c r="CK56" s="7">
        <f t="shared" si="24"/>
        <v>0</v>
      </c>
      <c r="CL56" s="7">
        <f t="shared" si="25"/>
        <v>0</v>
      </c>
      <c r="CM56" s="7">
        <f t="shared" si="26"/>
        <v>0</v>
      </c>
      <c r="CN56" s="7">
        <f t="shared" si="27"/>
        <v>0</v>
      </c>
      <c r="CO56" s="7">
        <f t="shared" si="28"/>
        <v>0</v>
      </c>
      <c r="CP56" s="7">
        <f t="shared" si="29"/>
        <v>0</v>
      </c>
      <c r="CQ56" s="7">
        <f t="shared" si="30"/>
        <v>0</v>
      </c>
      <c r="CR56" s="7">
        <f t="shared" si="31"/>
        <v>0</v>
      </c>
      <c r="CS56" s="7">
        <f t="shared" si="32"/>
        <v>0</v>
      </c>
      <c r="CT56" s="7">
        <f t="shared" si="33"/>
        <v>0</v>
      </c>
      <c r="CU56" s="7">
        <f t="shared" si="34"/>
        <v>0</v>
      </c>
      <c r="CV56" s="7">
        <f t="shared" si="35"/>
        <v>0</v>
      </c>
      <c r="CW56" s="7">
        <f t="shared" si="36"/>
        <v>0</v>
      </c>
      <c r="CX56" s="7">
        <f t="shared" si="37"/>
        <v>0</v>
      </c>
      <c r="CY56" s="7">
        <f t="shared" si="38"/>
        <v>0</v>
      </c>
      <c r="CZ56" s="7">
        <f t="shared" si="39"/>
        <v>0</v>
      </c>
      <c r="DA56" s="7">
        <f t="shared" si="40"/>
        <v>0</v>
      </c>
      <c r="DB56" s="7">
        <f t="shared" si="41"/>
        <v>0</v>
      </c>
      <c r="DC56" s="7">
        <f t="shared" si="42"/>
        <v>0</v>
      </c>
      <c r="DD56" s="7">
        <f t="shared" si="43"/>
        <v>0</v>
      </c>
      <c r="DE56" s="7">
        <f t="shared" si="44"/>
        <v>0</v>
      </c>
      <c r="DF56" s="7">
        <f t="shared" si="45"/>
        <v>0</v>
      </c>
      <c r="DG56" s="7">
        <f t="shared" si="46"/>
        <v>0</v>
      </c>
      <c r="DH56" s="7">
        <f t="shared" si="47"/>
        <v>0</v>
      </c>
      <c r="DI56" s="7">
        <f t="shared" si="48"/>
        <v>0</v>
      </c>
      <c r="DJ56" s="7">
        <f t="shared" si="49"/>
        <v>0</v>
      </c>
      <c r="DK56" s="7">
        <f t="shared" si="50"/>
        <v>0</v>
      </c>
      <c r="DL56" s="7">
        <f t="shared" si="51"/>
        <v>0</v>
      </c>
      <c r="DM56" s="7">
        <f t="shared" si="52"/>
        <v>0</v>
      </c>
      <c r="DN56" s="7">
        <f t="shared" si="53"/>
        <v>0</v>
      </c>
      <c r="DO56" s="7">
        <f t="shared" si="54"/>
        <v>0</v>
      </c>
      <c r="DP56" s="7">
        <f t="shared" si="55"/>
        <v>0</v>
      </c>
      <c r="DQ56" s="7">
        <f t="shared" si="56"/>
        <v>0</v>
      </c>
      <c r="DR56" s="7">
        <f t="shared" si="57"/>
        <v>0</v>
      </c>
      <c r="DS56" s="7">
        <f t="shared" si="58"/>
        <v>0</v>
      </c>
      <c r="DT56" s="7">
        <f t="shared" si="59"/>
        <v>0</v>
      </c>
      <c r="DU56" s="7">
        <f t="shared" si="60"/>
        <v>0</v>
      </c>
    </row>
    <row r="57" spans="1:125" x14ac:dyDescent="0.2">
      <c r="A57" s="3">
        <f>Bonds!A57</f>
        <v>46614</v>
      </c>
      <c r="B57" s="4">
        <f>Bonds!B57</f>
        <v>3.75</v>
      </c>
      <c r="C57">
        <f>Bonds!P57</f>
        <v>2</v>
      </c>
      <c r="D57">
        <f t="shared" si="0"/>
        <v>0</v>
      </c>
      <c r="E57" s="3">
        <f>IF(1&gt;$C57,"",IF($D57=1,EOMONTH(EDATE(Bonds!$H57,6*(1-1)),0),EDATE(Bonds!$H57,6*(1-1))))</f>
        <v>46433</v>
      </c>
      <c r="F57" s="3">
        <f>IF(2&gt;$C57,"",IF($D57=1,EOMONTH(EDATE(Bonds!$H57,6*(2-1)),0),EDATE(Bonds!$H57,6*(2-1))))</f>
        <v>46614</v>
      </c>
      <c r="G57" s="3" t="str">
        <f>IF(3&gt;$C57,"",IF($D57=1,EOMONTH(EDATE(Bonds!$H57,6*(3-1)),0),EDATE(Bonds!$H57,6*(3-1))))</f>
        <v/>
      </c>
      <c r="H57" s="3" t="str">
        <f>IF(4&gt;$C57,"",IF($D57=1,EOMONTH(EDATE(Bonds!$H57,6*(4-1)),0),EDATE(Bonds!$H57,6*(4-1))))</f>
        <v/>
      </c>
      <c r="I57" s="3" t="str">
        <f>IF(5&gt;$C57,"",IF($D57=1,EOMONTH(EDATE(Bonds!$H57,6*(5-1)),0),EDATE(Bonds!$H57,6*(5-1))))</f>
        <v/>
      </c>
      <c r="J57" s="3" t="str">
        <f>IF(6&gt;$C57,"",IF($D57=1,EOMONTH(EDATE(Bonds!$H57,6*(6-1)),0),EDATE(Bonds!$H57,6*(6-1))))</f>
        <v/>
      </c>
      <c r="K57" s="3" t="str">
        <f>IF(7&gt;$C57,"",IF($D57=1,EOMONTH(EDATE(Bonds!$H57,6*(7-1)),0),EDATE(Bonds!$H57,6*(7-1))))</f>
        <v/>
      </c>
      <c r="L57" s="3" t="str">
        <f>IF(8&gt;$C57,"",IF($D57=1,EOMONTH(EDATE(Bonds!$H57,6*(8-1)),0),EDATE(Bonds!$H57,6*(8-1))))</f>
        <v/>
      </c>
      <c r="M57" s="3" t="str">
        <f>IF(9&gt;$C57,"",IF($D57=1,EOMONTH(EDATE(Bonds!$H57,6*(9-1)),0),EDATE(Bonds!$H57,6*(9-1))))</f>
        <v/>
      </c>
      <c r="N57" s="3" t="str">
        <f>IF(10&gt;$C57,"",IF($D57=1,EOMONTH(EDATE(Bonds!$H57,6*(10-1)),0),EDATE(Bonds!$H57,6*(10-1))))</f>
        <v/>
      </c>
      <c r="O57" s="3" t="str">
        <f>IF(11&gt;$C57,"",IF($D57=1,EOMONTH(EDATE(Bonds!$H57,6*(11-1)),0),EDATE(Bonds!$H57,6*(11-1))))</f>
        <v/>
      </c>
      <c r="P57" s="3" t="str">
        <f>IF(12&gt;$C57,"",IF($D57=1,EOMONTH(EDATE(Bonds!$H57,6*(12-1)),0),EDATE(Bonds!$H57,6*(12-1))))</f>
        <v/>
      </c>
      <c r="Q57" s="3" t="str">
        <f>IF(13&gt;$C57,"",IF($D57=1,EOMONTH(EDATE(Bonds!$H57,6*(13-1)),0),EDATE(Bonds!$H57,6*(13-1))))</f>
        <v/>
      </c>
      <c r="R57" s="3" t="str">
        <f>IF(14&gt;$C57,"",IF($D57=1,EOMONTH(EDATE(Bonds!$H57,6*(14-1)),0),EDATE(Bonds!$H57,6*(14-1))))</f>
        <v/>
      </c>
      <c r="S57" s="3" t="str">
        <f>IF(15&gt;$C57,"",IF($D57=1,EOMONTH(EDATE(Bonds!$H57,6*(15-1)),0),EDATE(Bonds!$H57,6*(15-1))))</f>
        <v/>
      </c>
      <c r="T57" s="3" t="str">
        <f>IF(16&gt;$C57,"",IF($D57=1,EOMONTH(EDATE(Bonds!$H57,6*(16-1)),0),EDATE(Bonds!$H57,6*(16-1))))</f>
        <v/>
      </c>
      <c r="U57" s="3" t="str">
        <f>IF(17&gt;$C57,"",IF($D57=1,EOMONTH(EDATE(Bonds!$H57,6*(17-1)),0),EDATE(Bonds!$H57,6*(17-1))))</f>
        <v/>
      </c>
      <c r="V57" s="3" t="str">
        <f>IF(18&gt;$C57,"",IF($D57=1,EOMONTH(EDATE(Bonds!$H57,6*(18-1)),0),EDATE(Bonds!$H57,6*(18-1))))</f>
        <v/>
      </c>
      <c r="W57" s="3" t="str">
        <f>IF(19&gt;$C57,"",IF($D57=1,EOMONTH(EDATE(Bonds!$H57,6*(19-1)),0),EDATE(Bonds!$H57,6*(19-1))))</f>
        <v/>
      </c>
      <c r="X57" s="3" t="str">
        <f>IF(20&gt;$C57,"",IF($D57=1,EOMONTH(EDATE(Bonds!$H57,6*(20-1)),0),EDATE(Bonds!$H57,6*(20-1))))</f>
        <v/>
      </c>
      <c r="Y57" s="3" t="str">
        <f>IF(21&gt;$C57,"",IF($D57=1,EOMONTH(EDATE(Bonds!$H57,6*(21-1)),0),EDATE(Bonds!$H57,6*(21-1))))</f>
        <v/>
      </c>
      <c r="Z57" s="3" t="str">
        <f>IF(22&gt;$C57,"",IF($D57=1,EOMONTH(EDATE(Bonds!$H57,6*(22-1)),0),EDATE(Bonds!$H57,6*(22-1))))</f>
        <v/>
      </c>
      <c r="AA57" s="3" t="str">
        <f>IF(23&gt;$C57,"",IF($D57=1,EOMONTH(EDATE(Bonds!$H57,6*(23-1)),0),EDATE(Bonds!$H57,6*(23-1))))</f>
        <v/>
      </c>
      <c r="AB57" s="3" t="str">
        <f>IF(24&gt;$C57,"",IF($D57=1,EOMONTH(EDATE(Bonds!$H57,6*(24-1)),0),EDATE(Bonds!$H57,6*(24-1))))</f>
        <v/>
      </c>
      <c r="AC57" s="3" t="str">
        <f>IF(25&gt;$C57,"",IF($D57=1,EOMONTH(EDATE(Bonds!$H57,6*(25-1)),0),EDATE(Bonds!$H57,6*(25-1))))</f>
        <v/>
      </c>
      <c r="AD57" s="3" t="str">
        <f>IF(26&gt;$C57,"",IF($D57=1,EOMONTH(EDATE(Bonds!$H57,6*(26-1)),0),EDATE(Bonds!$H57,6*(26-1))))</f>
        <v/>
      </c>
      <c r="AE57" s="3" t="str">
        <f>IF(27&gt;$C57,"",IF($D57=1,EOMONTH(EDATE(Bonds!$H57,6*(27-1)),0),EDATE(Bonds!$H57,6*(27-1))))</f>
        <v/>
      </c>
      <c r="AF57" s="3" t="str">
        <f>IF(28&gt;$C57,"",IF($D57=1,EOMONTH(EDATE(Bonds!$H57,6*(28-1)),0),EDATE(Bonds!$H57,6*(28-1))))</f>
        <v/>
      </c>
      <c r="AG57" s="3" t="str">
        <f>IF(29&gt;$C57,"",IF($D57=1,EOMONTH(EDATE(Bonds!$H57,6*(29-1)),0),EDATE(Bonds!$H57,6*(29-1))))</f>
        <v/>
      </c>
      <c r="AH57" s="3" t="str">
        <f>IF(30&gt;$C57,"",IF($D57=1,EOMONTH(EDATE(Bonds!$H57,6*(30-1)),0),EDATE(Bonds!$H57,6*(30-1))))</f>
        <v/>
      </c>
      <c r="AI57" s="3" t="str">
        <f>IF(31&gt;$C57,"",IF($D57=1,EOMONTH(EDATE(Bonds!$H57,6*(31-1)),0),EDATE(Bonds!$H57,6*(31-1))))</f>
        <v/>
      </c>
      <c r="AJ57" s="3" t="str">
        <f>IF(32&gt;$C57,"",IF($D57=1,EOMONTH(EDATE(Bonds!$H57,6*(32-1)),0),EDATE(Bonds!$H57,6*(32-1))))</f>
        <v/>
      </c>
      <c r="AK57" s="3" t="str">
        <f>IF(33&gt;$C57,"",IF($D57=1,EOMONTH(EDATE(Bonds!$H57,6*(33-1)),0),EDATE(Bonds!$H57,6*(33-1))))</f>
        <v/>
      </c>
      <c r="AL57" s="3" t="str">
        <f>IF(34&gt;$C57,"",IF($D57=1,EOMONTH(EDATE(Bonds!$H57,6*(34-1)),0),EDATE(Bonds!$H57,6*(34-1))))</f>
        <v/>
      </c>
      <c r="AM57" s="3" t="str">
        <f>IF(35&gt;$C57,"",IF($D57=1,EOMONTH(EDATE(Bonds!$H57,6*(35-1)),0),EDATE(Bonds!$H57,6*(35-1))))</f>
        <v/>
      </c>
      <c r="AN57" s="3" t="str">
        <f>IF(36&gt;$C57,"",IF($D57=1,EOMONTH(EDATE(Bonds!$H57,6*(36-1)),0),EDATE(Bonds!$H57,6*(36-1))))</f>
        <v/>
      </c>
      <c r="AO57" s="3" t="str">
        <f>IF(37&gt;$C57,"",IF($D57=1,EOMONTH(EDATE(Bonds!$H57,6*(37-1)),0),EDATE(Bonds!$H57,6*(37-1))))</f>
        <v/>
      </c>
      <c r="AP57" s="3" t="str">
        <f>IF(38&gt;$C57,"",IF($D57=1,EOMONTH(EDATE(Bonds!$H57,6*(38-1)),0),EDATE(Bonds!$H57,6*(38-1))))</f>
        <v/>
      </c>
      <c r="AQ57" s="3" t="str">
        <f>IF(39&gt;$C57,"",IF($D57=1,EOMONTH(EDATE(Bonds!$H57,6*(39-1)),0),EDATE(Bonds!$H57,6*(39-1))))</f>
        <v/>
      </c>
      <c r="AR57" s="3" t="str">
        <f>IF(40&gt;$C57,"",IF($D57=1,EOMONTH(EDATE(Bonds!$H57,6*(40-1)),0),EDATE(Bonds!$H57,6*(40-1))))</f>
        <v/>
      </c>
      <c r="AS57" s="3" t="str">
        <f>IF(41&gt;$C57,"",IF($D57=1,EOMONTH(EDATE(Bonds!$H57,6*(41-1)),0),EDATE(Bonds!$H57,6*(41-1))))</f>
        <v/>
      </c>
      <c r="AT57" s="3" t="str">
        <f>IF(42&gt;$C57,"",IF($D57=1,EOMONTH(EDATE(Bonds!$H57,6*(42-1)),0),EDATE(Bonds!$H57,6*(42-1))))</f>
        <v/>
      </c>
      <c r="AU57" s="3" t="str">
        <f>IF(43&gt;$C57,"",IF($D57=1,EOMONTH(EDATE(Bonds!$H57,6*(43-1)),0),EDATE(Bonds!$H57,6*(43-1))))</f>
        <v/>
      </c>
      <c r="AV57" s="3" t="str">
        <f>IF(44&gt;$C57,"",IF($D57=1,EOMONTH(EDATE(Bonds!$H57,6*(44-1)),0),EDATE(Bonds!$H57,6*(44-1))))</f>
        <v/>
      </c>
      <c r="AW57" s="3" t="str">
        <f>IF(45&gt;$C57,"",IF($D57=1,EOMONTH(EDATE(Bonds!$H57,6*(45-1)),0),EDATE(Bonds!$H57,6*(45-1))))</f>
        <v/>
      </c>
      <c r="AX57" s="3" t="str">
        <f>IF(46&gt;$C57,"",IF($D57=1,EOMONTH(EDATE(Bonds!$H57,6*(46-1)),0),EDATE(Bonds!$H57,6*(46-1))))</f>
        <v/>
      </c>
      <c r="AY57" s="3" t="str">
        <f>IF(47&gt;$C57,"",IF($D57=1,EOMONTH(EDATE(Bonds!$H57,6*(47-1)),0),EDATE(Bonds!$H57,6*(47-1))))</f>
        <v/>
      </c>
      <c r="AZ57" s="3" t="str">
        <f>IF(48&gt;$C57,"",IF($D57=1,EOMONTH(EDATE(Bonds!$H57,6*(48-1)),0),EDATE(Bonds!$H57,6*(48-1))))</f>
        <v/>
      </c>
      <c r="BA57" s="3" t="str">
        <f>IF(49&gt;$C57,"",IF($D57=1,EOMONTH(EDATE(Bonds!$H57,6*(49-1)),0),EDATE(Bonds!$H57,6*(49-1))))</f>
        <v/>
      </c>
      <c r="BB57" s="3" t="str">
        <f>IF(50&gt;$C57,"",IF($D57=1,EOMONTH(EDATE(Bonds!$H57,6*(50-1)),0),EDATE(Bonds!$H57,6*(50-1))))</f>
        <v/>
      </c>
      <c r="BC57" s="3" t="str">
        <f>IF(51&gt;$C57,"",IF($D57=1,EOMONTH(EDATE(Bonds!$H57,6*(51-1)),0),EDATE(Bonds!$H57,6*(51-1))))</f>
        <v/>
      </c>
      <c r="BD57" s="3" t="str">
        <f>IF(52&gt;$C57,"",IF($D57=1,EOMONTH(EDATE(Bonds!$H57,6*(52-1)),0),EDATE(Bonds!$H57,6*(52-1))))</f>
        <v/>
      </c>
      <c r="BE57" s="3" t="str">
        <f>IF(53&gt;$C57,"",IF($D57=1,EOMONTH(EDATE(Bonds!$H57,6*(53-1)),0),EDATE(Bonds!$H57,6*(53-1))))</f>
        <v/>
      </c>
      <c r="BF57" s="3" t="str">
        <f>IF(54&gt;$C57,"",IF($D57=1,EOMONTH(EDATE(Bonds!$H57,6*(54-1)),0),EDATE(Bonds!$H57,6*(54-1))))</f>
        <v/>
      </c>
      <c r="BG57" s="3" t="str">
        <f>IF(55&gt;$C57,"",IF($D57=1,EOMONTH(EDATE(Bonds!$H57,6*(55-1)),0),EDATE(Bonds!$H57,6*(55-1))))</f>
        <v/>
      </c>
      <c r="BH57" s="3" t="str">
        <f>IF(56&gt;$C57,"",IF($D57=1,EOMONTH(EDATE(Bonds!$H57,6*(56-1)),0),EDATE(Bonds!$H57,6*(56-1))))</f>
        <v/>
      </c>
      <c r="BI57" s="3" t="str">
        <f>IF(57&gt;$C57,"",IF($D57=1,EOMONTH(EDATE(Bonds!$H57,6*(57-1)),0),EDATE(Bonds!$H57,6*(57-1))))</f>
        <v/>
      </c>
      <c r="BJ57" s="3" t="str">
        <f>IF(58&gt;$C57,"",IF($D57=1,EOMONTH(EDATE(Bonds!$H57,6*(58-1)),0),EDATE(Bonds!$H57,6*(58-1))))</f>
        <v/>
      </c>
      <c r="BK57" s="3" t="str">
        <f>IF(59&gt;$C57,"",IF($D57=1,EOMONTH(EDATE(Bonds!$H57,6*(59-1)),0),EDATE(Bonds!$H57,6*(59-1))))</f>
        <v/>
      </c>
      <c r="BL57" s="3" t="str">
        <f>IF(60&gt;$C57,"",IF($D57=1,EOMONTH(EDATE(Bonds!$H57,6*(60-1)),0),EDATE(Bonds!$H57,6*(60-1))))</f>
        <v/>
      </c>
      <c r="BN57" s="7">
        <f t="shared" si="1"/>
        <v>1.8431990292769085</v>
      </c>
      <c r="BO57" s="7">
        <f t="shared" si="2"/>
        <v>98.036213268202687</v>
      </c>
      <c r="BP57" s="7">
        <f t="shared" si="3"/>
        <v>0</v>
      </c>
      <c r="BQ57" s="7">
        <f t="shared" si="4"/>
        <v>0</v>
      </c>
      <c r="BR57" s="7">
        <f t="shared" si="5"/>
        <v>0</v>
      </c>
      <c r="BS57" s="7">
        <f t="shared" si="6"/>
        <v>0</v>
      </c>
      <c r="BT57" s="7">
        <f t="shared" si="7"/>
        <v>0</v>
      </c>
      <c r="BU57" s="7">
        <f t="shared" si="8"/>
        <v>0</v>
      </c>
      <c r="BV57" s="7">
        <f t="shared" si="9"/>
        <v>0</v>
      </c>
      <c r="BW57" s="7">
        <f t="shared" si="10"/>
        <v>0</v>
      </c>
      <c r="BX57" s="7">
        <f t="shared" si="11"/>
        <v>0</v>
      </c>
      <c r="BY57" s="7">
        <f t="shared" si="12"/>
        <v>0</v>
      </c>
      <c r="BZ57" s="7">
        <f t="shared" si="13"/>
        <v>0</v>
      </c>
      <c r="CA57" s="7">
        <f t="shared" si="14"/>
        <v>0</v>
      </c>
      <c r="CB57" s="7">
        <f t="shared" si="15"/>
        <v>0</v>
      </c>
      <c r="CC57" s="7">
        <f t="shared" si="16"/>
        <v>0</v>
      </c>
      <c r="CD57" s="7">
        <f t="shared" si="17"/>
        <v>0</v>
      </c>
      <c r="CE57" s="7">
        <f t="shared" si="18"/>
        <v>0</v>
      </c>
      <c r="CF57" s="7">
        <f t="shared" si="19"/>
        <v>0</v>
      </c>
      <c r="CG57" s="7">
        <f t="shared" si="20"/>
        <v>0</v>
      </c>
      <c r="CH57" s="7">
        <f t="shared" si="21"/>
        <v>0</v>
      </c>
      <c r="CI57" s="7">
        <f t="shared" si="22"/>
        <v>0</v>
      </c>
      <c r="CJ57" s="7">
        <f t="shared" si="23"/>
        <v>0</v>
      </c>
      <c r="CK57" s="7">
        <f t="shared" si="24"/>
        <v>0</v>
      </c>
      <c r="CL57" s="7">
        <f t="shared" si="25"/>
        <v>0</v>
      </c>
      <c r="CM57" s="7">
        <f t="shared" si="26"/>
        <v>0</v>
      </c>
      <c r="CN57" s="7">
        <f t="shared" si="27"/>
        <v>0</v>
      </c>
      <c r="CO57" s="7">
        <f t="shared" si="28"/>
        <v>0</v>
      </c>
      <c r="CP57" s="7">
        <f t="shared" si="29"/>
        <v>0</v>
      </c>
      <c r="CQ57" s="7">
        <f t="shared" si="30"/>
        <v>0</v>
      </c>
      <c r="CR57" s="7">
        <f t="shared" si="31"/>
        <v>0</v>
      </c>
      <c r="CS57" s="7">
        <f t="shared" si="32"/>
        <v>0</v>
      </c>
      <c r="CT57" s="7">
        <f t="shared" si="33"/>
        <v>0</v>
      </c>
      <c r="CU57" s="7">
        <f t="shared" si="34"/>
        <v>0</v>
      </c>
      <c r="CV57" s="7">
        <f t="shared" si="35"/>
        <v>0</v>
      </c>
      <c r="CW57" s="7">
        <f t="shared" si="36"/>
        <v>0</v>
      </c>
      <c r="CX57" s="7">
        <f t="shared" si="37"/>
        <v>0</v>
      </c>
      <c r="CY57" s="7">
        <f t="shared" si="38"/>
        <v>0</v>
      </c>
      <c r="CZ57" s="7">
        <f t="shared" si="39"/>
        <v>0</v>
      </c>
      <c r="DA57" s="7">
        <f t="shared" si="40"/>
        <v>0</v>
      </c>
      <c r="DB57" s="7">
        <f t="shared" si="41"/>
        <v>0</v>
      </c>
      <c r="DC57" s="7">
        <f t="shared" si="42"/>
        <v>0</v>
      </c>
      <c r="DD57" s="7">
        <f t="shared" si="43"/>
        <v>0</v>
      </c>
      <c r="DE57" s="7">
        <f t="shared" si="44"/>
        <v>0</v>
      </c>
      <c r="DF57" s="7">
        <f t="shared" si="45"/>
        <v>0</v>
      </c>
      <c r="DG57" s="7">
        <f t="shared" si="46"/>
        <v>0</v>
      </c>
      <c r="DH57" s="7">
        <f t="shared" si="47"/>
        <v>0</v>
      </c>
      <c r="DI57" s="7">
        <f t="shared" si="48"/>
        <v>0</v>
      </c>
      <c r="DJ57" s="7">
        <f t="shared" si="49"/>
        <v>0</v>
      </c>
      <c r="DK57" s="7">
        <f t="shared" si="50"/>
        <v>0</v>
      </c>
      <c r="DL57" s="7">
        <f t="shared" si="51"/>
        <v>0</v>
      </c>
      <c r="DM57" s="7">
        <f t="shared" si="52"/>
        <v>0</v>
      </c>
      <c r="DN57" s="7">
        <f t="shared" si="53"/>
        <v>0</v>
      </c>
      <c r="DO57" s="7">
        <f t="shared" si="54"/>
        <v>0</v>
      </c>
      <c r="DP57" s="7">
        <f t="shared" si="55"/>
        <v>0</v>
      </c>
      <c r="DQ57" s="7">
        <f t="shared" si="56"/>
        <v>0</v>
      </c>
      <c r="DR57" s="7">
        <f t="shared" si="57"/>
        <v>0</v>
      </c>
      <c r="DS57" s="7">
        <f t="shared" si="58"/>
        <v>0</v>
      </c>
      <c r="DT57" s="7">
        <f t="shared" si="59"/>
        <v>0</v>
      </c>
      <c r="DU57" s="7">
        <f t="shared" si="60"/>
        <v>0</v>
      </c>
    </row>
    <row r="58" spans="1:125" x14ac:dyDescent="0.2">
      <c r="A58" s="3">
        <f>Bonds!A58</f>
        <v>46614</v>
      </c>
      <c r="B58" s="4">
        <f>Bonds!B58</f>
        <v>6.375</v>
      </c>
      <c r="C58">
        <f>Bonds!P58</f>
        <v>2</v>
      </c>
      <c r="D58">
        <f t="shared" si="0"/>
        <v>0</v>
      </c>
      <c r="E58" s="3">
        <f>IF(1&gt;$C58,"",IF($D58=1,EOMONTH(EDATE(Bonds!$H58,6*(1-1)),0),EDATE(Bonds!$H58,6*(1-1))))</f>
        <v>46433</v>
      </c>
      <c r="F58" s="3">
        <f>IF(2&gt;$C58,"",IF($D58=1,EOMONTH(EDATE(Bonds!$H58,6*(2-1)),0),EDATE(Bonds!$H58,6*(2-1))))</f>
        <v>46614</v>
      </c>
      <c r="G58" s="3" t="str">
        <f>IF(3&gt;$C58,"",IF($D58=1,EOMONTH(EDATE(Bonds!$H58,6*(3-1)),0),EDATE(Bonds!$H58,6*(3-1))))</f>
        <v/>
      </c>
      <c r="H58" s="3" t="str">
        <f>IF(4&gt;$C58,"",IF($D58=1,EOMONTH(EDATE(Bonds!$H58,6*(4-1)),0),EDATE(Bonds!$H58,6*(4-1))))</f>
        <v/>
      </c>
      <c r="I58" s="3" t="str">
        <f>IF(5&gt;$C58,"",IF($D58=1,EOMONTH(EDATE(Bonds!$H58,6*(5-1)),0),EDATE(Bonds!$H58,6*(5-1))))</f>
        <v/>
      </c>
      <c r="J58" s="3" t="str">
        <f>IF(6&gt;$C58,"",IF($D58=1,EOMONTH(EDATE(Bonds!$H58,6*(6-1)),0),EDATE(Bonds!$H58,6*(6-1))))</f>
        <v/>
      </c>
      <c r="K58" s="3" t="str">
        <f>IF(7&gt;$C58,"",IF($D58=1,EOMONTH(EDATE(Bonds!$H58,6*(7-1)),0),EDATE(Bonds!$H58,6*(7-1))))</f>
        <v/>
      </c>
      <c r="L58" s="3" t="str">
        <f>IF(8&gt;$C58,"",IF($D58=1,EOMONTH(EDATE(Bonds!$H58,6*(8-1)),0),EDATE(Bonds!$H58,6*(8-1))))</f>
        <v/>
      </c>
      <c r="M58" s="3" t="str">
        <f>IF(9&gt;$C58,"",IF($D58=1,EOMONTH(EDATE(Bonds!$H58,6*(9-1)),0),EDATE(Bonds!$H58,6*(9-1))))</f>
        <v/>
      </c>
      <c r="N58" s="3" t="str">
        <f>IF(10&gt;$C58,"",IF($D58=1,EOMONTH(EDATE(Bonds!$H58,6*(10-1)),0),EDATE(Bonds!$H58,6*(10-1))))</f>
        <v/>
      </c>
      <c r="O58" s="3" t="str">
        <f>IF(11&gt;$C58,"",IF($D58=1,EOMONTH(EDATE(Bonds!$H58,6*(11-1)),0),EDATE(Bonds!$H58,6*(11-1))))</f>
        <v/>
      </c>
      <c r="P58" s="3" t="str">
        <f>IF(12&gt;$C58,"",IF($D58=1,EOMONTH(EDATE(Bonds!$H58,6*(12-1)),0),EDATE(Bonds!$H58,6*(12-1))))</f>
        <v/>
      </c>
      <c r="Q58" s="3" t="str">
        <f>IF(13&gt;$C58,"",IF($D58=1,EOMONTH(EDATE(Bonds!$H58,6*(13-1)),0),EDATE(Bonds!$H58,6*(13-1))))</f>
        <v/>
      </c>
      <c r="R58" s="3" t="str">
        <f>IF(14&gt;$C58,"",IF($D58=1,EOMONTH(EDATE(Bonds!$H58,6*(14-1)),0),EDATE(Bonds!$H58,6*(14-1))))</f>
        <v/>
      </c>
      <c r="S58" s="3" t="str">
        <f>IF(15&gt;$C58,"",IF($D58=1,EOMONTH(EDATE(Bonds!$H58,6*(15-1)),0),EDATE(Bonds!$H58,6*(15-1))))</f>
        <v/>
      </c>
      <c r="T58" s="3" t="str">
        <f>IF(16&gt;$C58,"",IF($D58=1,EOMONTH(EDATE(Bonds!$H58,6*(16-1)),0),EDATE(Bonds!$H58,6*(16-1))))</f>
        <v/>
      </c>
      <c r="U58" s="3" t="str">
        <f>IF(17&gt;$C58,"",IF($D58=1,EOMONTH(EDATE(Bonds!$H58,6*(17-1)),0),EDATE(Bonds!$H58,6*(17-1))))</f>
        <v/>
      </c>
      <c r="V58" s="3" t="str">
        <f>IF(18&gt;$C58,"",IF($D58=1,EOMONTH(EDATE(Bonds!$H58,6*(18-1)),0),EDATE(Bonds!$H58,6*(18-1))))</f>
        <v/>
      </c>
      <c r="W58" s="3" t="str">
        <f>IF(19&gt;$C58,"",IF($D58=1,EOMONTH(EDATE(Bonds!$H58,6*(19-1)),0),EDATE(Bonds!$H58,6*(19-1))))</f>
        <v/>
      </c>
      <c r="X58" s="3" t="str">
        <f>IF(20&gt;$C58,"",IF($D58=1,EOMONTH(EDATE(Bonds!$H58,6*(20-1)),0),EDATE(Bonds!$H58,6*(20-1))))</f>
        <v/>
      </c>
      <c r="Y58" s="3" t="str">
        <f>IF(21&gt;$C58,"",IF($D58=1,EOMONTH(EDATE(Bonds!$H58,6*(21-1)),0),EDATE(Bonds!$H58,6*(21-1))))</f>
        <v/>
      </c>
      <c r="Z58" s="3" t="str">
        <f>IF(22&gt;$C58,"",IF($D58=1,EOMONTH(EDATE(Bonds!$H58,6*(22-1)),0),EDATE(Bonds!$H58,6*(22-1))))</f>
        <v/>
      </c>
      <c r="AA58" s="3" t="str">
        <f>IF(23&gt;$C58,"",IF($D58=1,EOMONTH(EDATE(Bonds!$H58,6*(23-1)),0),EDATE(Bonds!$H58,6*(23-1))))</f>
        <v/>
      </c>
      <c r="AB58" s="3" t="str">
        <f>IF(24&gt;$C58,"",IF($D58=1,EOMONTH(EDATE(Bonds!$H58,6*(24-1)),0),EDATE(Bonds!$H58,6*(24-1))))</f>
        <v/>
      </c>
      <c r="AC58" s="3" t="str">
        <f>IF(25&gt;$C58,"",IF($D58=1,EOMONTH(EDATE(Bonds!$H58,6*(25-1)),0),EDATE(Bonds!$H58,6*(25-1))))</f>
        <v/>
      </c>
      <c r="AD58" s="3" t="str">
        <f>IF(26&gt;$C58,"",IF($D58=1,EOMONTH(EDATE(Bonds!$H58,6*(26-1)),0),EDATE(Bonds!$H58,6*(26-1))))</f>
        <v/>
      </c>
      <c r="AE58" s="3" t="str">
        <f>IF(27&gt;$C58,"",IF($D58=1,EOMONTH(EDATE(Bonds!$H58,6*(27-1)),0),EDATE(Bonds!$H58,6*(27-1))))</f>
        <v/>
      </c>
      <c r="AF58" s="3" t="str">
        <f>IF(28&gt;$C58,"",IF($D58=1,EOMONTH(EDATE(Bonds!$H58,6*(28-1)),0),EDATE(Bonds!$H58,6*(28-1))))</f>
        <v/>
      </c>
      <c r="AG58" s="3" t="str">
        <f>IF(29&gt;$C58,"",IF($D58=1,EOMONTH(EDATE(Bonds!$H58,6*(29-1)),0),EDATE(Bonds!$H58,6*(29-1))))</f>
        <v/>
      </c>
      <c r="AH58" s="3" t="str">
        <f>IF(30&gt;$C58,"",IF($D58=1,EOMONTH(EDATE(Bonds!$H58,6*(30-1)),0),EDATE(Bonds!$H58,6*(30-1))))</f>
        <v/>
      </c>
      <c r="AI58" s="3" t="str">
        <f>IF(31&gt;$C58,"",IF($D58=1,EOMONTH(EDATE(Bonds!$H58,6*(31-1)),0),EDATE(Bonds!$H58,6*(31-1))))</f>
        <v/>
      </c>
      <c r="AJ58" s="3" t="str">
        <f>IF(32&gt;$C58,"",IF($D58=1,EOMONTH(EDATE(Bonds!$H58,6*(32-1)),0),EDATE(Bonds!$H58,6*(32-1))))</f>
        <v/>
      </c>
      <c r="AK58" s="3" t="str">
        <f>IF(33&gt;$C58,"",IF($D58=1,EOMONTH(EDATE(Bonds!$H58,6*(33-1)),0),EDATE(Bonds!$H58,6*(33-1))))</f>
        <v/>
      </c>
      <c r="AL58" s="3" t="str">
        <f>IF(34&gt;$C58,"",IF($D58=1,EOMONTH(EDATE(Bonds!$H58,6*(34-1)),0),EDATE(Bonds!$H58,6*(34-1))))</f>
        <v/>
      </c>
      <c r="AM58" s="3" t="str">
        <f>IF(35&gt;$C58,"",IF($D58=1,EOMONTH(EDATE(Bonds!$H58,6*(35-1)),0),EDATE(Bonds!$H58,6*(35-1))))</f>
        <v/>
      </c>
      <c r="AN58" s="3" t="str">
        <f>IF(36&gt;$C58,"",IF($D58=1,EOMONTH(EDATE(Bonds!$H58,6*(36-1)),0),EDATE(Bonds!$H58,6*(36-1))))</f>
        <v/>
      </c>
      <c r="AO58" s="3" t="str">
        <f>IF(37&gt;$C58,"",IF($D58=1,EOMONTH(EDATE(Bonds!$H58,6*(37-1)),0),EDATE(Bonds!$H58,6*(37-1))))</f>
        <v/>
      </c>
      <c r="AP58" s="3" t="str">
        <f>IF(38&gt;$C58,"",IF($D58=1,EOMONTH(EDATE(Bonds!$H58,6*(38-1)),0),EDATE(Bonds!$H58,6*(38-1))))</f>
        <v/>
      </c>
      <c r="AQ58" s="3" t="str">
        <f>IF(39&gt;$C58,"",IF($D58=1,EOMONTH(EDATE(Bonds!$H58,6*(39-1)),0),EDATE(Bonds!$H58,6*(39-1))))</f>
        <v/>
      </c>
      <c r="AR58" s="3" t="str">
        <f>IF(40&gt;$C58,"",IF($D58=1,EOMONTH(EDATE(Bonds!$H58,6*(40-1)),0),EDATE(Bonds!$H58,6*(40-1))))</f>
        <v/>
      </c>
      <c r="AS58" s="3" t="str">
        <f>IF(41&gt;$C58,"",IF($D58=1,EOMONTH(EDATE(Bonds!$H58,6*(41-1)),0),EDATE(Bonds!$H58,6*(41-1))))</f>
        <v/>
      </c>
      <c r="AT58" s="3" t="str">
        <f>IF(42&gt;$C58,"",IF($D58=1,EOMONTH(EDATE(Bonds!$H58,6*(42-1)),0),EDATE(Bonds!$H58,6*(42-1))))</f>
        <v/>
      </c>
      <c r="AU58" s="3" t="str">
        <f>IF(43&gt;$C58,"",IF($D58=1,EOMONTH(EDATE(Bonds!$H58,6*(43-1)),0),EDATE(Bonds!$H58,6*(43-1))))</f>
        <v/>
      </c>
      <c r="AV58" s="3" t="str">
        <f>IF(44&gt;$C58,"",IF($D58=1,EOMONTH(EDATE(Bonds!$H58,6*(44-1)),0),EDATE(Bonds!$H58,6*(44-1))))</f>
        <v/>
      </c>
      <c r="AW58" s="3" t="str">
        <f>IF(45&gt;$C58,"",IF($D58=1,EOMONTH(EDATE(Bonds!$H58,6*(45-1)),0),EDATE(Bonds!$H58,6*(45-1))))</f>
        <v/>
      </c>
      <c r="AX58" s="3" t="str">
        <f>IF(46&gt;$C58,"",IF($D58=1,EOMONTH(EDATE(Bonds!$H58,6*(46-1)),0),EDATE(Bonds!$H58,6*(46-1))))</f>
        <v/>
      </c>
      <c r="AY58" s="3" t="str">
        <f>IF(47&gt;$C58,"",IF($D58=1,EOMONTH(EDATE(Bonds!$H58,6*(47-1)),0),EDATE(Bonds!$H58,6*(47-1))))</f>
        <v/>
      </c>
      <c r="AZ58" s="3" t="str">
        <f>IF(48&gt;$C58,"",IF($D58=1,EOMONTH(EDATE(Bonds!$H58,6*(48-1)),0),EDATE(Bonds!$H58,6*(48-1))))</f>
        <v/>
      </c>
      <c r="BA58" s="3" t="str">
        <f>IF(49&gt;$C58,"",IF($D58=1,EOMONTH(EDATE(Bonds!$H58,6*(49-1)),0),EDATE(Bonds!$H58,6*(49-1))))</f>
        <v/>
      </c>
      <c r="BB58" s="3" t="str">
        <f>IF(50&gt;$C58,"",IF($D58=1,EOMONTH(EDATE(Bonds!$H58,6*(50-1)),0),EDATE(Bonds!$H58,6*(50-1))))</f>
        <v/>
      </c>
      <c r="BC58" s="3" t="str">
        <f>IF(51&gt;$C58,"",IF($D58=1,EOMONTH(EDATE(Bonds!$H58,6*(51-1)),0),EDATE(Bonds!$H58,6*(51-1))))</f>
        <v/>
      </c>
      <c r="BD58" s="3" t="str">
        <f>IF(52&gt;$C58,"",IF($D58=1,EOMONTH(EDATE(Bonds!$H58,6*(52-1)),0),EDATE(Bonds!$H58,6*(52-1))))</f>
        <v/>
      </c>
      <c r="BE58" s="3" t="str">
        <f>IF(53&gt;$C58,"",IF($D58=1,EOMONTH(EDATE(Bonds!$H58,6*(53-1)),0),EDATE(Bonds!$H58,6*(53-1))))</f>
        <v/>
      </c>
      <c r="BF58" s="3" t="str">
        <f>IF(54&gt;$C58,"",IF($D58=1,EOMONTH(EDATE(Bonds!$H58,6*(54-1)),0),EDATE(Bonds!$H58,6*(54-1))))</f>
        <v/>
      </c>
      <c r="BG58" s="3" t="str">
        <f>IF(55&gt;$C58,"",IF($D58=1,EOMONTH(EDATE(Bonds!$H58,6*(55-1)),0),EDATE(Bonds!$H58,6*(55-1))))</f>
        <v/>
      </c>
      <c r="BH58" s="3" t="str">
        <f>IF(56&gt;$C58,"",IF($D58=1,EOMONTH(EDATE(Bonds!$H58,6*(56-1)),0),EDATE(Bonds!$H58,6*(56-1))))</f>
        <v/>
      </c>
      <c r="BI58" s="3" t="str">
        <f>IF(57&gt;$C58,"",IF($D58=1,EOMONTH(EDATE(Bonds!$H58,6*(57-1)),0),EDATE(Bonds!$H58,6*(57-1))))</f>
        <v/>
      </c>
      <c r="BJ58" s="3" t="str">
        <f>IF(58&gt;$C58,"",IF($D58=1,EOMONTH(EDATE(Bonds!$H58,6*(58-1)),0),EDATE(Bonds!$H58,6*(58-1))))</f>
        <v/>
      </c>
      <c r="BK58" s="3" t="str">
        <f>IF(59&gt;$C58,"",IF($D58=1,EOMONTH(EDATE(Bonds!$H58,6*(59-1)),0),EDATE(Bonds!$H58,6*(59-1))))</f>
        <v/>
      </c>
      <c r="BL58" s="3" t="str">
        <f>IF(60&gt;$C58,"",IF($D58=1,EOMONTH(EDATE(Bonds!$H58,6*(60-1)),0),EDATE(Bonds!$H58,6*(60-1))))</f>
        <v/>
      </c>
      <c r="BN58" s="7">
        <f t="shared" si="1"/>
        <v>3.1334383497707448</v>
      </c>
      <c r="BO58" s="7">
        <f t="shared" si="2"/>
        <v>99.299256506627387</v>
      </c>
      <c r="BP58" s="7">
        <f t="shared" si="3"/>
        <v>0</v>
      </c>
      <c r="BQ58" s="7">
        <f t="shared" si="4"/>
        <v>0</v>
      </c>
      <c r="BR58" s="7">
        <f t="shared" si="5"/>
        <v>0</v>
      </c>
      <c r="BS58" s="7">
        <f t="shared" si="6"/>
        <v>0</v>
      </c>
      <c r="BT58" s="7">
        <f t="shared" si="7"/>
        <v>0</v>
      </c>
      <c r="BU58" s="7">
        <f t="shared" si="8"/>
        <v>0</v>
      </c>
      <c r="BV58" s="7">
        <f t="shared" si="9"/>
        <v>0</v>
      </c>
      <c r="BW58" s="7">
        <f t="shared" si="10"/>
        <v>0</v>
      </c>
      <c r="BX58" s="7">
        <f t="shared" si="11"/>
        <v>0</v>
      </c>
      <c r="BY58" s="7">
        <f t="shared" si="12"/>
        <v>0</v>
      </c>
      <c r="BZ58" s="7">
        <f t="shared" si="13"/>
        <v>0</v>
      </c>
      <c r="CA58" s="7">
        <f t="shared" si="14"/>
        <v>0</v>
      </c>
      <c r="CB58" s="7">
        <f t="shared" si="15"/>
        <v>0</v>
      </c>
      <c r="CC58" s="7">
        <f t="shared" si="16"/>
        <v>0</v>
      </c>
      <c r="CD58" s="7">
        <f t="shared" si="17"/>
        <v>0</v>
      </c>
      <c r="CE58" s="7">
        <f t="shared" si="18"/>
        <v>0</v>
      </c>
      <c r="CF58" s="7">
        <f t="shared" si="19"/>
        <v>0</v>
      </c>
      <c r="CG58" s="7">
        <f t="shared" si="20"/>
        <v>0</v>
      </c>
      <c r="CH58" s="7">
        <f t="shared" si="21"/>
        <v>0</v>
      </c>
      <c r="CI58" s="7">
        <f t="shared" si="22"/>
        <v>0</v>
      </c>
      <c r="CJ58" s="7">
        <f t="shared" si="23"/>
        <v>0</v>
      </c>
      <c r="CK58" s="7">
        <f t="shared" si="24"/>
        <v>0</v>
      </c>
      <c r="CL58" s="7">
        <f t="shared" si="25"/>
        <v>0</v>
      </c>
      <c r="CM58" s="7">
        <f t="shared" si="26"/>
        <v>0</v>
      </c>
      <c r="CN58" s="7">
        <f t="shared" si="27"/>
        <v>0</v>
      </c>
      <c r="CO58" s="7">
        <f t="shared" si="28"/>
        <v>0</v>
      </c>
      <c r="CP58" s="7">
        <f t="shared" si="29"/>
        <v>0</v>
      </c>
      <c r="CQ58" s="7">
        <f t="shared" si="30"/>
        <v>0</v>
      </c>
      <c r="CR58" s="7">
        <f t="shared" si="31"/>
        <v>0</v>
      </c>
      <c r="CS58" s="7">
        <f t="shared" si="32"/>
        <v>0</v>
      </c>
      <c r="CT58" s="7">
        <f t="shared" si="33"/>
        <v>0</v>
      </c>
      <c r="CU58" s="7">
        <f t="shared" si="34"/>
        <v>0</v>
      </c>
      <c r="CV58" s="7">
        <f t="shared" si="35"/>
        <v>0</v>
      </c>
      <c r="CW58" s="7">
        <f t="shared" si="36"/>
        <v>0</v>
      </c>
      <c r="CX58" s="7">
        <f t="shared" si="37"/>
        <v>0</v>
      </c>
      <c r="CY58" s="7">
        <f t="shared" si="38"/>
        <v>0</v>
      </c>
      <c r="CZ58" s="7">
        <f t="shared" si="39"/>
        <v>0</v>
      </c>
      <c r="DA58" s="7">
        <f t="shared" si="40"/>
        <v>0</v>
      </c>
      <c r="DB58" s="7">
        <f t="shared" si="41"/>
        <v>0</v>
      </c>
      <c r="DC58" s="7">
        <f t="shared" si="42"/>
        <v>0</v>
      </c>
      <c r="DD58" s="7">
        <f t="shared" si="43"/>
        <v>0</v>
      </c>
      <c r="DE58" s="7">
        <f t="shared" si="44"/>
        <v>0</v>
      </c>
      <c r="DF58" s="7">
        <f t="shared" si="45"/>
        <v>0</v>
      </c>
      <c r="DG58" s="7">
        <f t="shared" si="46"/>
        <v>0</v>
      </c>
      <c r="DH58" s="7">
        <f t="shared" si="47"/>
        <v>0</v>
      </c>
      <c r="DI58" s="7">
        <f t="shared" si="48"/>
        <v>0</v>
      </c>
      <c r="DJ58" s="7">
        <f t="shared" si="49"/>
        <v>0</v>
      </c>
      <c r="DK58" s="7">
        <f t="shared" si="50"/>
        <v>0</v>
      </c>
      <c r="DL58" s="7">
        <f t="shared" si="51"/>
        <v>0</v>
      </c>
      <c r="DM58" s="7">
        <f t="shared" si="52"/>
        <v>0</v>
      </c>
      <c r="DN58" s="7">
        <f t="shared" si="53"/>
        <v>0</v>
      </c>
      <c r="DO58" s="7">
        <f t="shared" si="54"/>
        <v>0</v>
      </c>
      <c r="DP58" s="7">
        <f t="shared" si="55"/>
        <v>0</v>
      </c>
      <c r="DQ58" s="7">
        <f t="shared" si="56"/>
        <v>0</v>
      </c>
      <c r="DR58" s="7">
        <f t="shared" si="57"/>
        <v>0</v>
      </c>
      <c r="DS58" s="7">
        <f t="shared" si="58"/>
        <v>0</v>
      </c>
      <c r="DT58" s="7">
        <f t="shared" si="59"/>
        <v>0</v>
      </c>
      <c r="DU58" s="7">
        <f t="shared" si="60"/>
        <v>0</v>
      </c>
    </row>
    <row r="59" spans="1:125" x14ac:dyDescent="0.2">
      <c r="A59" s="3">
        <f>Bonds!A59</f>
        <v>46630</v>
      </c>
      <c r="B59" s="4">
        <f>Bonds!B59</f>
        <v>0.5</v>
      </c>
      <c r="C59">
        <f>Bonds!P59</f>
        <v>2</v>
      </c>
      <c r="D59">
        <f t="shared" si="0"/>
        <v>1</v>
      </c>
      <c r="E59" s="3">
        <f>IF(1&gt;$C59,"",IF($D59=1,EOMONTH(EDATE(Bonds!$H59,6*(1-1)),0),EDATE(Bonds!$H59,6*(1-1))))</f>
        <v>46446</v>
      </c>
      <c r="F59" s="3">
        <f>IF(2&gt;$C59,"",IF($D59=1,EOMONTH(EDATE(Bonds!$H59,6*(2-1)),0),EDATE(Bonds!$H59,6*(2-1))))</f>
        <v>46630</v>
      </c>
      <c r="G59" s="3" t="str">
        <f>IF(3&gt;$C59,"",IF($D59=1,EOMONTH(EDATE(Bonds!$H59,6*(3-1)),0),EDATE(Bonds!$H59,6*(3-1))))</f>
        <v/>
      </c>
      <c r="H59" s="3" t="str">
        <f>IF(4&gt;$C59,"",IF($D59=1,EOMONTH(EDATE(Bonds!$H59,6*(4-1)),0),EDATE(Bonds!$H59,6*(4-1))))</f>
        <v/>
      </c>
      <c r="I59" s="3" t="str">
        <f>IF(5&gt;$C59,"",IF($D59=1,EOMONTH(EDATE(Bonds!$H59,6*(5-1)),0),EDATE(Bonds!$H59,6*(5-1))))</f>
        <v/>
      </c>
      <c r="J59" s="3" t="str">
        <f>IF(6&gt;$C59,"",IF($D59=1,EOMONTH(EDATE(Bonds!$H59,6*(6-1)),0),EDATE(Bonds!$H59,6*(6-1))))</f>
        <v/>
      </c>
      <c r="K59" s="3" t="str">
        <f>IF(7&gt;$C59,"",IF($D59=1,EOMONTH(EDATE(Bonds!$H59,6*(7-1)),0),EDATE(Bonds!$H59,6*(7-1))))</f>
        <v/>
      </c>
      <c r="L59" s="3" t="str">
        <f>IF(8&gt;$C59,"",IF($D59=1,EOMONTH(EDATE(Bonds!$H59,6*(8-1)),0),EDATE(Bonds!$H59,6*(8-1))))</f>
        <v/>
      </c>
      <c r="M59" s="3" t="str">
        <f>IF(9&gt;$C59,"",IF($D59=1,EOMONTH(EDATE(Bonds!$H59,6*(9-1)),0),EDATE(Bonds!$H59,6*(9-1))))</f>
        <v/>
      </c>
      <c r="N59" s="3" t="str">
        <f>IF(10&gt;$C59,"",IF($D59=1,EOMONTH(EDATE(Bonds!$H59,6*(10-1)),0),EDATE(Bonds!$H59,6*(10-1))))</f>
        <v/>
      </c>
      <c r="O59" s="3" t="str">
        <f>IF(11&gt;$C59,"",IF($D59=1,EOMONTH(EDATE(Bonds!$H59,6*(11-1)),0),EDATE(Bonds!$H59,6*(11-1))))</f>
        <v/>
      </c>
      <c r="P59" s="3" t="str">
        <f>IF(12&gt;$C59,"",IF($D59=1,EOMONTH(EDATE(Bonds!$H59,6*(12-1)),0),EDATE(Bonds!$H59,6*(12-1))))</f>
        <v/>
      </c>
      <c r="Q59" s="3" t="str">
        <f>IF(13&gt;$C59,"",IF($D59=1,EOMONTH(EDATE(Bonds!$H59,6*(13-1)),0),EDATE(Bonds!$H59,6*(13-1))))</f>
        <v/>
      </c>
      <c r="R59" s="3" t="str">
        <f>IF(14&gt;$C59,"",IF($D59=1,EOMONTH(EDATE(Bonds!$H59,6*(14-1)),0),EDATE(Bonds!$H59,6*(14-1))))</f>
        <v/>
      </c>
      <c r="S59" s="3" t="str">
        <f>IF(15&gt;$C59,"",IF($D59=1,EOMONTH(EDATE(Bonds!$H59,6*(15-1)),0),EDATE(Bonds!$H59,6*(15-1))))</f>
        <v/>
      </c>
      <c r="T59" s="3" t="str">
        <f>IF(16&gt;$C59,"",IF($D59=1,EOMONTH(EDATE(Bonds!$H59,6*(16-1)),0),EDATE(Bonds!$H59,6*(16-1))))</f>
        <v/>
      </c>
      <c r="U59" s="3" t="str">
        <f>IF(17&gt;$C59,"",IF($D59=1,EOMONTH(EDATE(Bonds!$H59,6*(17-1)),0),EDATE(Bonds!$H59,6*(17-1))))</f>
        <v/>
      </c>
      <c r="V59" s="3" t="str">
        <f>IF(18&gt;$C59,"",IF($D59=1,EOMONTH(EDATE(Bonds!$H59,6*(18-1)),0),EDATE(Bonds!$H59,6*(18-1))))</f>
        <v/>
      </c>
      <c r="W59" s="3" t="str">
        <f>IF(19&gt;$C59,"",IF($D59=1,EOMONTH(EDATE(Bonds!$H59,6*(19-1)),0),EDATE(Bonds!$H59,6*(19-1))))</f>
        <v/>
      </c>
      <c r="X59" s="3" t="str">
        <f>IF(20&gt;$C59,"",IF($D59=1,EOMONTH(EDATE(Bonds!$H59,6*(20-1)),0),EDATE(Bonds!$H59,6*(20-1))))</f>
        <v/>
      </c>
      <c r="Y59" s="3" t="str">
        <f>IF(21&gt;$C59,"",IF($D59=1,EOMONTH(EDATE(Bonds!$H59,6*(21-1)),0),EDATE(Bonds!$H59,6*(21-1))))</f>
        <v/>
      </c>
      <c r="Z59" s="3" t="str">
        <f>IF(22&gt;$C59,"",IF($D59=1,EOMONTH(EDATE(Bonds!$H59,6*(22-1)),0),EDATE(Bonds!$H59,6*(22-1))))</f>
        <v/>
      </c>
      <c r="AA59" s="3" t="str">
        <f>IF(23&gt;$C59,"",IF($D59=1,EOMONTH(EDATE(Bonds!$H59,6*(23-1)),0),EDATE(Bonds!$H59,6*(23-1))))</f>
        <v/>
      </c>
      <c r="AB59" s="3" t="str">
        <f>IF(24&gt;$C59,"",IF($D59=1,EOMONTH(EDATE(Bonds!$H59,6*(24-1)),0),EDATE(Bonds!$H59,6*(24-1))))</f>
        <v/>
      </c>
      <c r="AC59" s="3" t="str">
        <f>IF(25&gt;$C59,"",IF($D59=1,EOMONTH(EDATE(Bonds!$H59,6*(25-1)),0),EDATE(Bonds!$H59,6*(25-1))))</f>
        <v/>
      </c>
      <c r="AD59" s="3" t="str">
        <f>IF(26&gt;$C59,"",IF($D59=1,EOMONTH(EDATE(Bonds!$H59,6*(26-1)),0),EDATE(Bonds!$H59,6*(26-1))))</f>
        <v/>
      </c>
      <c r="AE59" s="3" t="str">
        <f>IF(27&gt;$C59,"",IF($D59=1,EOMONTH(EDATE(Bonds!$H59,6*(27-1)),0),EDATE(Bonds!$H59,6*(27-1))))</f>
        <v/>
      </c>
      <c r="AF59" s="3" t="str">
        <f>IF(28&gt;$C59,"",IF($D59=1,EOMONTH(EDATE(Bonds!$H59,6*(28-1)),0),EDATE(Bonds!$H59,6*(28-1))))</f>
        <v/>
      </c>
      <c r="AG59" s="3" t="str">
        <f>IF(29&gt;$C59,"",IF($D59=1,EOMONTH(EDATE(Bonds!$H59,6*(29-1)),0),EDATE(Bonds!$H59,6*(29-1))))</f>
        <v/>
      </c>
      <c r="AH59" s="3" t="str">
        <f>IF(30&gt;$C59,"",IF($D59=1,EOMONTH(EDATE(Bonds!$H59,6*(30-1)),0),EDATE(Bonds!$H59,6*(30-1))))</f>
        <v/>
      </c>
      <c r="AI59" s="3" t="str">
        <f>IF(31&gt;$C59,"",IF($D59=1,EOMONTH(EDATE(Bonds!$H59,6*(31-1)),0),EDATE(Bonds!$H59,6*(31-1))))</f>
        <v/>
      </c>
      <c r="AJ59" s="3" t="str">
        <f>IF(32&gt;$C59,"",IF($D59=1,EOMONTH(EDATE(Bonds!$H59,6*(32-1)),0),EDATE(Bonds!$H59,6*(32-1))))</f>
        <v/>
      </c>
      <c r="AK59" s="3" t="str">
        <f>IF(33&gt;$C59,"",IF($D59=1,EOMONTH(EDATE(Bonds!$H59,6*(33-1)),0),EDATE(Bonds!$H59,6*(33-1))))</f>
        <v/>
      </c>
      <c r="AL59" s="3" t="str">
        <f>IF(34&gt;$C59,"",IF($D59=1,EOMONTH(EDATE(Bonds!$H59,6*(34-1)),0),EDATE(Bonds!$H59,6*(34-1))))</f>
        <v/>
      </c>
      <c r="AM59" s="3" t="str">
        <f>IF(35&gt;$C59,"",IF($D59=1,EOMONTH(EDATE(Bonds!$H59,6*(35-1)),0),EDATE(Bonds!$H59,6*(35-1))))</f>
        <v/>
      </c>
      <c r="AN59" s="3" t="str">
        <f>IF(36&gt;$C59,"",IF($D59=1,EOMONTH(EDATE(Bonds!$H59,6*(36-1)),0),EDATE(Bonds!$H59,6*(36-1))))</f>
        <v/>
      </c>
      <c r="AO59" s="3" t="str">
        <f>IF(37&gt;$C59,"",IF($D59=1,EOMONTH(EDATE(Bonds!$H59,6*(37-1)),0),EDATE(Bonds!$H59,6*(37-1))))</f>
        <v/>
      </c>
      <c r="AP59" s="3" t="str">
        <f>IF(38&gt;$C59,"",IF($D59=1,EOMONTH(EDATE(Bonds!$H59,6*(38-1)),0),EDATE(Bonds!$H59,6*(38-1))))</f>
        <v/>
      </c>
      <c r="AQ59" s="3" t="str">
        <f>IF(39&gt;$C59,"",IF($D59=1,EOMONTH(EDATE(Bonds!$H59,6*(39-1)),0),EDATE(Bonds!$H59,6*(39-1))))</f>
        <v/>
      </c>
      <c r="AR59" s="3" t="str">
        <f>IF(40&gt;$C59,"",IF($D59=1,EOMONTH(EDATE(Bonds!$H59,6*(40-1)),0),EDATE(Bonds!$H59,6*(40-1))))</f>
        <v/>
      </c>
      <c r="AS59" s="3" t="str">
        <f>IF(41&gt;$C59,"",IF($D59=1,EOMONTH(EDATE(Bonds!$H59,6*(41-1)),0),EDATE(Bonds!$H59,6*(41-1))))</f>
        <v/>
      </c>
      <c r="AT59" s="3" t="str">
        <f>IF(42&gt;$C59,"",IF($D59=1,EOMONTH(EDATE(Bonds!$H59,6*(42-1)),0),EDATE(Bonds!$H59,6*(42-1))))</f>
        <v/>
      </c>
      <c r="AU59" s="3" t="str">
        <f>IF(43&gt;$C59,"",IF($D59=1,EOMONTH(EDATE(Bonds!$H59,6*(43-1)),0),EDATE(Bonds!$H59,6*(43-1))))</f>
        <v/>
      </c>
      <c r="AV59" s="3" t="str">
        <f>IF(44&gt;$C59,"",IF($D59=1,EOMONTH(EDATE(Bonds!$H59,6*(44-1)),0),EDATE(Bonds!$H59,6*(44-1))))</f>
        <v/>
      </c>
      <c r="AW59" s="3" t="str">
        <f>IF(45&gt;$C59,"",IF($D59=1,EOMONTH(EDATE(Bonds!$H59,6*(45-1)),0),EDATE(Bonds!$H59,6*(45-1))))</f>
        <v/>
      </c>
      <c r="AX59" s="3" t="str">
        <f>IF(46&gt;$C59,"",IF($D59=1,EOMONTH(EDATE(Bonds!$H59,6*(46-1)),0),EDATE(Bonds!$H59,6*(46-1))))</f>
        <v/>
      </c>
      <c r="AY59" s="3" t="str">
        <f>IF(47&gt;$C59,"",IF($D59=1,EOMONTH(EDATE(Bonds!$H59,6*(47-1)),0),EDATE(Bonds!$H59,6*(47-1))))</f>
        <v/>
      </c>
      <c r="AZ59" s="3" t="str">
        <f>IF(48&gt;$C59,"",IF($D59=1,EOMONTH(EDATE(Bonds!$H59,6*(48-1)),0),EDATE(Bonds!$H59,6*(48-1))))</f>
        <v/>
      </c>
      <c r="BA59" s="3" t="str">
        <f>IF(49&gt;$C59,"",IF($D59=1,EOMONTH(EDATE(Bonds!$H59,6*(49-1)),0),EDATE(Bonds!$H59,6*(49-1))))</f>
        <v/>
      </c>
      <c r="BB59" s="3" t="str">
        <f>IF(50&gt;$C59,"",IF($D59=1,EOMONTH(EDATE(Bonds!$H59,6*(50-1)),0),EDATE(Bonds!$H59,6*(50-1))))</f>
        <v/>
      </c>
      <c r="BC59" s="3" t="str">
        <f>IF(51&gt;$C59,"",IF($D59=1,EOMONTH(EDATE(Bonds!$H59,6*(51-1)),0),EDATE(Bonds!$H59,6*(51-1))))</f>
        <v/>
      </c>
      <c r="BD59" s="3" t="str">
        <f>IF(52&gt;$C59,"",IF($D59=1,EOMONTH(EDATE(Bonds!$H59,6*(52-1)),0),EDATE(Bonds!$H59,6*(52-1))))</f>
        <v/>
      </c>
      <c r="BE59" s="3" t="str">
        <f>IF(53&gt;$C59,"",IF($D59=1,EOMONTH(EDATE(Bonds!$H59,6*(53-1)),0),EDATE(Bonds!$H59,6*(53-1))))</f>
        <v/>
      </c>
      <c r="BF59" s="3" t="str">
        <f>IF(54&gt;$C59,"",IF($D59=1,EOMONTH(EDATE(Bonds!$H59,6*(54-1)),0),EDATE(Bonds!$H59,6*(54-1))))</f>
        <v/>
      </c>
      <c r="BG59" s="3" t="str">
        <f>IF(55&gt;$C59,"",IF($D59=1,EOMONTH(EDATE(Bonds!$H59,6*(55-1)),0),EDATE(Bonds!$H59,6*(55-1))))</f>
        <v/>
      </c>
      <c r="BH59" s="3" t="str">
        <f>IF(56&gt;$C59,"",IF($D59=1,EOMONTH(EDATE(Bonds!$H59,6*(56-1)),0),EDATE(Bonds!$H59,6*(56-1))))</f>
        <v/>
      </c>
      <c r="BI59" s="3" t="str">
        <f>IF(57&gt;$C59,"",IF($D59=1,EOMONTH(EDATE(Bonds!$H59,6*(57-1)),0),EDATE(Bonds!$H59,6*(57-1))))</f>
        <v/>
      </c>
      <c r="BJ59" s="3" t="str">
        <f>IF(58&gt;$C59,"",IF($D59=1,EOMONTH(EDATE(Bonds!$H59,6*(58-1)),0),EDATE(Bonds!$H59,6*(58-1))))</f>
        <v/>
      </c>
      <c r="BK59" s="3" t="str">
        <f>IF(59&gt;$C59,"",IF($D59=1,EOMONTH(EDATE(Bonds!$H59,6*(59-1)),0),EDATE(Bonds!$H59,6*(59-1))))</f>
        <v/>
      </c>
      <c r="BL59" s="3" t="str">
        <f>IF(60&gt;$C59,"",IF($D59=1,EOMONTH(EDATE(Bonds!$H59,6*(60-1)),0),EDATE(Bonds!$H59,6*(60-1))))</f>
        <v/>
      </c>
      <c r="BN59" s="7">
        <f t="shared" si="1"/>
        <v>0.24539739126479698</v>
      </c>
      <c r="BO59" s="7">
        <f t="shared" si="2"/>
        <v>96.285117291159224</v>
      </c>
      <c r="BP59" s="7">
        <f t="shared" si="3"/>
        <v>0</v>
      </c>
      <c r="BQ59" s="7">
        <f t="shared" si="4"/>
        <v>0</v>
      </c>
      <c r="BR59" s="7">
        <f t="shared" si="5"/>
        <v>0</v>
      </c>
      <c r="BS59" s="7">
        <f t="shared" si="6"/>
        <v>0</v>
      </c>
      <c r="BT59" s="7">
        <f t="shared" si="7"/>
        <v>0</v>
      </c>
      <c r="BU59" s="7">
        <f t="shared" si="8"/>
        <v>0</v>
      </c>
      <c r="BV59" s="7">
        <f t="shared" si="9"/>
        <v>0</v>
      </c>
      <c r="BW59" s="7">
        <f t="shared" si="10"/>
        <v>0</v>
      </c>
      <c r="BX59" s="7">
        <f t="shared" si="11"/>
        <v>0</v>
      </c>
      <c r="BY59" s="7">
        <f t="shared" si="12"/>
        <v>0</v>
      </c>
      <c r="BZ59" s="7">
        <f t="shared" si="13"/>
        <v>0</v>
      </c>
      <c r="CA59" s="7">
        <f t="shared" si="14"/>
        <v>0</v>
      </c>
      <c r="CB59" s="7">
        <f t="shared" si="15"/>
        <v>0</v>
      </c>
      <c r="CC59" s="7">
        <f t="shared" si="16"/>
        <v>0</v>
      </c>
      <c r="CD59" s="7">
        <f t="shared" si="17"/>
        <v>0</v>
      </c>
      <c r="CE59" s="7">
        <f t="shared" si="18"/>
        <v>0</v>
      </c>
      <c r="CF59" s="7">
        <f t="shared" si="19"/>
        <v>0</v>
      </c>
      <c r="CG59" s="7">
        <f t="shared" si="20"/>
        <v>0</v>
      </c>
      <c r="CH59" s="7">
        <f t="shared" si="21"/>
        <v>0</v>
      </c>
      <c r="CI59" s="7">
        <f t="shared" si="22"/>
        <v>0</v>
      </c>
      <c r="CJ59" s="7">
        <f t="shared" si="23"/>
        <v>0</v>
      </c>
      <c r="CK59" s="7">
        <f t="shared" si="24"/>
        <v>0</v>
      </c>
      <c r="CL59" s="7">
        <f t="shared" si="25"/>
        <v>0</v>
      </c>
      <c r="CM59" s="7">
        <f t="shared" si="26"/>
        <v>0</v>
      </c>
      <c r="CN59" s="7">
        <f t="shared" si="27"/>
        <v>0</v>
      </c>
      <c r="CO59" s="7">
        <f t="shared" si="28"/>
        <v>0</v>
      </c>
      <c r="CP59" s="7">
        <f t="shared" si="29"/>
        <v>0</v>
      </c>
      <c r="CQ59" s="7">
        <f t="shared" si="30"/>
        <v>0</v>
      </c>
      <c r="CR59" s="7">
        <f t="shared" si="31"/>
        <v>0</v>
      </c>
      <c r="CS59" s="7">
        <f t="shared" si="32"/>
        <v>0</v>
      </c>
      <c r="CT59" s="7">
        <f t="shared" si="33"/>
        <v>0</v>
      </c>
      <c r="CU59" s="7">
        <f t="shared" si="34"/>
        <v>0</v>
      </c>
      <c r="CV59" s="7">
        <f t="shared" si="35"/>
        <v>0</v>
      </c>
      <c r="CW59" s="7">
        <f t="shared" si="36"/>
        <v>0</v>
      </c>
      <c r="CX59" s="7">
        <f t="shared" si="37"/>
        <v>0</v>
      </c>
      <c r="CY59" s="7">
        <f t="shared" si="38"/>
        <v>0</v>
      </c>
      <c r="CZ59" s="7">
        <f t="shared" si="39"/>
        <v>0</v>
      </c>
      <c r="DA59" s="7">
        <f t="shared" si="40"/>
        <v>0</v>
      </c>
      <c r="DB59" s="7">
        <f t="shared" si="41"/>
        <v>0</v>
      </c>
      <c r="DC59" s="7">
        <f t="shared" si="42"/>
        <v>0</v>
      </c>
      <c r="DD59" s="7">
        <f t="shared" si="43"/>
        <v>0</v>
      </c>
      <c r="DE59" s="7">
        <f t="shared" si="44"/>
        <v>0</v>
      </c>
      <c r="DF59" s="7">
        <f t="shared" si="45"/>
        <v>0</v>
      </c>
      <c r="DG59" s="7">
        <f t="shared" si="46"/>
        <v>0</v>
      </c>
      <c r="DH59" s="7">
        <f t="shared" si="47"/>
        <v>0</v>
      </c>
      <c r="DI59" s="7">
        <f t="shared" si="48"/>
        <v>0</v>
      </c>
      <c r="DJ59" s="7">
        <f t="shared" si="49"/>
        <v>0</v>
      </c>
      <c r="DK59" s="7">
        <f t="shared" si="50"/>
        <v>0</v>
      </c>
      <c r="DL59" s="7">
        <f t="shared" si="51"/>
        <v>0</v>
      </c>
      <c r="DM59" s="7">
        <f t="shared" si="52"/>
        <v>0</v>
      </c>
      <c r="DN59" s="7">
        <f t="shared" si="53"/>
        <v>0</v>
      </c>
      <c r="DO59" s="7">
        <f t="shared" si="54"/>
        <v>0</v>
      </c>
      <c r="DP59" s="7">
        <f t="shared" si="55"/>
        <v>0</v>
      </c>
      <c r="DQ59" s="7">
        <f t="shared" si="56"/>
        <v>0</v>
      </c>
      <c r="DR59" s="7">
        <f t="shared" si="57"/>
        <v>0</v>
      </c>
      <c r="DS59" s="7">
        <f t="shared" si="58"/>
        <v>0</v>
      </c>
      <c r="DT59" s="7">
        <f t="shared" si="59"/>
        <v>0</v>
      </c>
      <c r="DU59" s="7">
        <f t="shared" si="60"/>
        <v>0</v>
      </c>
    </row>
    <row r="60" spans="1:125" x14ac:dyDescent="0.2">
      <c r="A60" s="3">
        <f>Bonds!A60</f>
        <v>46630</v>
      </c>
      <c r="B60" s="4">
        <f>Bonds!B60</f>
        <v>3.125</v>
      </c>
      <c r="C60">
        <f>Bonds!P60</f>
        <v>2</v>
      </c>
      <c r="D60">
        <f t="shared" si="0"/>
        <v>1</v>
      </c>
      <c r="E60" s="3">
        <f>IF(1&gt;$C60,"",IF($D60=1,EOMONTH(EDATE(Bonds!$H60,6*(1-1)),0),EDATE(Bonds!$H60,6*(1-1))))</f>
        <v>46446</v>
      </c>
      <c r="F60" s="3">
        <f>IF(2&gt;$C60,"",IF($D60=1,EOMONTH(EDATE(Bonds!$H60,6*(2-1)),0),EDATE(Bonds!$H60,6*(2-1))))</f>
        <v>46630</v>
      </c>
      <c r="G60" s="3" t="str">
        <f>IF(3&gt;$C60,"",IF($D60=1,EOMONTH(EDATE(Bonds!$H60,6*(3-1)),0),EDATE(Bonds!$H60,6*(3-1))))</f>
        <v/>
      </c>
      <c r="H60" s="3" t="str">
        <f>IF(4&gt;$C60,"",IF($D60=1,EOMONTH(EDATE(Bonds!$H60,6*(4-1)),0),EDATE(Bonds!$H60,6*(4-1))))</f>
        <v/>
      </c>
      <c r="I60" s="3" t="str">
        <f>IF(5&gt;$C60,"",IF($D60=1,EOMONTH(EDATE(Bonds!$H60,6*(5-1)),0),EDATE(Bonds!$H60,6*(5-1))))</f>
        <v/>
      </c>
      <c r="J60" s="3" t="str">
        <f>IF(6&gt;$C60,"",IF($D60=1,EOMONTH(EDATE(Bonds!$H60,6*(6-1)),0),EDATE(Bonds!$H60,6*(6-1))))</f>
        <v/>
      </c>
      <c r="K60" s="3" t="str">
        <f>IF(7&gt;$C60,"",IF($D60=1,EOMONTH(EDATE(Bonds!$H60,6*(7-1)),0),EDATE(Bonds!$H60,6*(7-1))))</f>
        <v/>
      </c>
      <c r="L60" s="3" t="str">
        <f>IF(8&gt;$C60,"",IF($D60=1,EOMONTH(EDATE(Bonds!$H60,6*(8-1)),0),EDATE(Bonds!$H60,6*(8-1))))</f>
        <v/>
      </c>
      <c r="M60" s="3" t="str">
        <f>IF(9&gt;$C60,"",IF($D60=1,EOMONTH(EDATE(Bonds!$H60,6*(9-1)),0),EDATE(Bonds!$H60,6*(9-1))))</f>
        <v/>
      </c>
      <c r="N60" s="3" t="str">
        <f>IF(10&gt;$C60,"",IF($D60=1,EOMONTH(EDATE(Bonds!$H60,6*(10-1)),0),EDATE(Bonds!$H60,6*(10-1))))</f>
        <v/>
      </c>
      <c r="O60" s="3" t="str">
        <f>IF(11&gt;$C60,"",IF($D60=1,EOMONTH(EDATE(Bonds!$H60,6*(11-1)),0),EDATE(Bonds!$H60,6*(11-1))))</f>
        <v/>
      </c>
      <c r="P60" s="3" t="str">
        <f>IF(12&gt;$C60,"",IF($D60=1,EOMONTH(EDATE(Bonds!$H60,6*(12-1)),0),EDATE(Bonds!$H60,6*(12-1))))</f>
        <v/>
      </c>
      <c r="Q60" s="3" t="str">
        <f>IF(13&gt;$C60,"",IF($D60=1,EOMONTH(EDATE(Bonds!$H60,6*(13-1)),0),EDATE(Bonds!$H60,6*(13-1))))</f>
        <v/>
      </c>
      <c r="R60" s="3" t="str">
        <f>IF(14&gt;$C60,"",IF($D60=1,EOMONTH(EDATE(Bonds!$H60,6*(14-1)),0),EDATE(Bonds!$H60,6*(14-1))))</f>
        <v/>
      </c>
      <c r="S60" s="3" t="str">
        <f>IF(15&gt;$C60,"",IF($D60=1,EOMONTH(EDATE(Bonds!$H60,6*(15-1)),0),EDATE(Bonds!$H60,6*(15-1))))</f>
        <v/>
      </c>
      <c r="T60" s="3" t="str">
        <f>IF(16&gt;$C60,"",IF($D60=1,EOMONTH(EDATE(Bonds!$H60,6*(16-1)),0),EDATE(Bonds!$H60,6*(16-1))))</f>
        <v/>
      </c>
      <c r="U60" s="3" t="str">
        <f>IF(17&gt;$C60,"",IF($D60=1,EOMONTH(EDATE(Bonds!$H60,6*(17-1)),0),EDATE(Bonds!$H60,6*(17-1))))</f>
        <v/>
      </c>
      <c r="V60" s="3" t="str">
        <f>IF(18&gt;$C60,"",IF($D60=1,EOMONTH(EDATE(Bonds!$H60,6*(18-1)),0),EDATE(Bonds!$H60,6*(18-1))))</f>
        <v/>
      </c>
      <c r="W60" s="3" t="str">
        <f>IF(19&gt;$C60,"",IF($D60=1,EOMONTH(EDATE(Bonds!$H60,6*(19-1)),0),EDATE(Bonds!$H60,6*(19-1))))</f>
        <v/>
      </c>
      <c r="X60" s="3" t="str">
        <f>IF(20&gt;$C60,"",IF($D60=1,EOMONTH(EDATE(Bonds!$H60,6*(20-1)),0),EDATE(Bonds!$H60,6*(20-1))))</f>
        <v/>
      </c>
      <c r="Y60" s="3" t="str">
        <f>IF(21&gt;$C60,"",IF($D60=1,EOMONTH(EDATE(Bonds!$H60,6*(21-1)),0),EDATE(Bonds!$H60,6*(21-1))))</f>
        <v/>
      </c>
      <c r="Z60" s="3" t="str">
        <f>IF(22&gt;$C60,"",IF($D60=1,EOMONTH(EDATE(Bonds!$H60,6*(22-1)),0),EDATE(Bonds!$H60,6*(22-1))))</f>
        <v/>
      </c>
      <c r="AA60" s="3" t="str">
        <f>IF(23&gt;$C60,"",IF($D60=1,EOMONTH(EDATE(Bonds!$H60,6*(23-1)),0),EDATE(Bonds!$H60,6*(23-1))))</f>
        <v/>
      </c>
      <c r="AB60" s="3" t="str">
        <f>IF(24&gt;$C60,"",IF($D60=1,EOMONTH(EDATE(Bonds!$H60,6*(24-1)),0),EDATE(Bonds!$H60,6*(24-1))))</f>
        <v/>
      </c>
      <c r="AC60" s="3" t="str">
        <f>IF(25&gt;$C60,"",IF($D60=1,EOMONTH(EDATE(Bonds!$H60,6*(25-1)),0),EDATE(Bonds!$H60,6*(25-1))))</f>
        <v/>
      </c>
      <c r="AD60" s="3" t="str">
        <f>IF(26&gt;$C60,"",IF($D60=1,EOMONTH(EDATE(Bonds!$H60,6*(26-1)),0),EDATE(Bonds!$H60,6*(26-1))))</f>
        <v/>
      </c>
      <c r="AE60" s="3" t="str">
        <f>IF(27&gt;$C60,"",IF($D60=1,EOMONTH(EDATE(Bonds!$H60,6*(27-1)),0),EDATE(Bonds!$H60,6*(27-1))))</f>
        <v/>
      </c>
      <c r="AF60" s="3" t="str">
        <f>IF(28&gt;$C60,"",IF($D60=1,EOMONTH(EDATE(Bonds!$H60,6*(28-1)),0),EDATE(Bonds!$H60,6*(28-1))))</f>
        <v/>
      </c>
      <c r="AG60" s="3" t="str">
        <f>IF(29&gt;$C60,"",IF($D60=1,EOMONTH(EDATE(Bonds!$H60,6*(29-1)),0),EDATE(Bonds!$H60,6*(29-1))))</f>
        <v/>
      </c>
      <c r="AH60" s="3" t="str">
        <f>IF(30&gt;$C60,"",IF($D60=1,EOMONTH(EDATE(Bonds!$H60,6*(30-1)),0),EDATE(Bonds!$H60,6*(30-1))))</f>
        <v/>
      </c>
      <c r="AI60" s="3" t="str">
        <f>IF(31&gt;$C60,"",IF($D60=1,EOMONTH(EDATE(Bonds!$H60,6*(31-1)),0),EDATE(Bonds!$H60,6*(31-1))))</f>
        <v/>
      </c>
      <c r="AJ60" s="3" t="str">
        <f>IF(32&gt;$C60,"",IF($D60=1,EOMONTH(EDATE(Bonds!$H60,6*(32-1)),0),EDATE(Bonds!$H60,6*(32-1))))</f>
        <v/>
      </c>
      <c r="AK60" s="3" t="str">
        <f>IF(33&gt;$C60,"",IF($D60=1,EOMONTH(EDATE(Bonds!$H60,6*(33-1)),0),EDATE(Bonds!$H60,6*(33-1))))</f>
        <v/>
      </c>
      <c r="AL60" s="3" t="str">
        <f>IF(34&gt;$C60,"",IF($D60=1,EOMONTH(EDATE(Bonds!$H60,6*(34-1)),0),EDATE(Bonds!$H60,6*(34-1))))</f>
        <v/>
      </c>
      <c r="AM60" s="3" t="str">
        <f>IF(35&gt;$C60,"",IF($D60=1,EOMONTH(EDATE(Bonds!$H60,6*(35-1)),0),EDATE(Bonds!$H60,6*(35-1))))</f>
        <v/>
      </c>
      <c r="AN60" s="3" t="str">
        <f>IF(36&gt;$C60,"",IF($D60=1,EOMONTH(EDATE(Bonds!$H60,6*(36-1)),0),EDATE(Bonds!$H60,6*(36-1))))</f>
        <v/>
      </c>
      <c r="AO60" s="3" t="str">
        <f>IF(37&gt;$C60,"",IF($D60=1,EOMONTH(EDATE(Bonds!$H60,6*(37-1)),0),EDATE(Bonds!$H60,6*(37-1))))</f>
        <v/>
      </c>
      <c r="AP60" s="3" t="str">
        <f>IF(38&gt;$C60,"",IF($D60=1,EOMONTH(EDATE(Bonds!$H60,6*(38-1)),0),EDATE(Bonds!$H60,6*(38-1))))</f>
        <v/>
      </c>
      <c r="AQ60" s="3" t="str">
        <f>IF(39&gt;$C60,"",IF($D60=1,EOMONTH(EDATE(Bonds!$H60,6*(39-1)),0),EDATE(Bonds!$H60,6*(39-1))))</f>
        <v/>
      </c>
      <c r="AR60" s="3" t="str">
        <f>IF(40&gt;$C60,"",IF($D60=1,EOMONTH(EDATE(Bonds!$H60,6*(40-1)),0),EDATE(Bonds!$H60,6*(40-1))))</f>
        <v/>
      </c>
      <c r="AS60" s="3" t="str">
        <f>IF(41&gt;$C60,"",IF($D60=1,EOMONTH(EDATE(Bonds!$H60,6*(41-1)),0),EDATE(Bonds!$H60,6*(41-1))))</f>
        <v/>
      </c>
      <c r="AT60" s="3" t="str">
        <f>IF(42&gt;$C60,"",IF($D60=1,EOMONTH(EDATE(Bonds!$H60,6*(42-1)),0),EDATE(Bonds!$H60,6*(42-1))))</f>
        <v/>
      </c>
      <c r="AU60" s="3" t="str">
        <f>IF(43&gt;$C60,"",IF($D60=1,EOMONTH(EDATE(Bonds!$H60,6*(43-1)),0),EDATE(Bonds!$H60,6*(43-1))))</f>
        <v/>
      </c>
      <c r="AV60" s="3" t="str">
        <f>IF(44&gt;$C60,"",IF($D60=1,EOMONTH(EDATE(Bonds!$H60,6*(44-1)),0),EDATE(Bonds!$H60,6*(44-1))))</f>
        <v/>
      </c>
      <c r="AW60" s="3" t="str">
        <f>IF(45&gt;$C60,"",IF($D60=1,EOMONTH(EDATE(Bonds!$H60,6*(45-1)),0),EDATE(Bonds!$H60,6*(45-1))))</f>
        <v/>
      </c>
      <c r="AX60" s="3" t="str">
        <f>IF(46&gt;$C60,"",IF($D60=1,EOMONTH(EDATE(Bonds!$H60,6*(46-1)),0),EDATE(Bonds!$H60,6*(46-1))))</f>
        <v/>
      </c>
      <c r="AY60" s="3" t="str">
        <f>IF(47&gt;$C60,"",IF($D60=1,EOMONTH(EDATE(Bonds!$H60,6*(47-1)),0),EDATE(Bonds!$H60,6*(47-1))))</f>
        <v/>
      </c>
      <c r="AZ60" s="3" t="str">
        <f>IF(48&gt;$C60,"",IF($D60=1,EOMONTH(EDATE(Bonds!$H60,6*(48-1)),0),EDATE(Bonds!$H60,6*(48-1))))</f>
        <v/>
      </c>
      <c r="BA60" s="3" t="str">
        <f>IF(49&gt;$C60,"",IF($D60=1,EOMONTH(EDATE(Bonds!$H60,6*(49-1)),0),EDATE(Bonds!$H60,6*(49-1))))</f>
        <v/>
      </c>
      <c r="BB60" s="3" t="str">
        <f>IF(50&gt;$C60,"",IF($D60=1,EOMONTH(EDATE(Bonds!$H60,6*(50-1)),0),EDATE(Bonds!$H60,6*(50-1))))</f>
        <v/>
      </c>
      <c r="BC60" s="3" t="str">
        <f>IF(51&gt;$C60,"",IF($D60=1,EOMONTH(EDATE(Bonds!$H60,6*(51-1)),0),EDATE(Bonds!$H60,6*(51-1))))</f>
        <v/>
      </c>
      <c r="BD60" s="3" t="str">
        <f>IF(52&gt;$C60,"",IF($D60=1,EOMONTH(EDATE(Bonds!$H60,6*(52-1)),0),EDATE(Bonds!$H60,6*(52-1))))</f>
        <v/>
      </c>
      <c r="BE60" s="3" t="str">
        <f>IF(53&gt;$C60,"",IF($D60=1,EOMONTH(EDATE(Bonds!$H60,6*(53-1)),0),EDATE(Bonds!$H60,6*(53-1))))</f>
        <v/>
      </c>
      <c r="BF60" s="3" t="str">
        <f>IF(54&gt;$C60,"",IF($D60=1,EOMONTH(EDATE(Bonds!$H60,6*(54-1)),0),EDATE(Bonds!$H60,6*(54-1))))</f>
        <v/>
      </c>
      <c r="BG60" s="3" t="str">
        <f>IF(55&gt;$C60,"",IF($D60=1,EOMONTH(EDATE(Bonds!$H60,6*(55-1)),0),EDATE(Bonds!$H60,6*(55-1))))</f>
        <v/>
      </c>
      <c r="BH60" s="3" t="str">
        <f>IF(56&gt;$C60,"",IF($D60=1,EOMONTH(EDATE(Bonds!$H60,6*(56-1)),0),EDATE(Bonds!$H60,6*(56-1))))</f>
        <v/>
      </c>
      <c r="BI60" s="3" t="str">
        <f>IF(57&gt;$C60,"",IF($D60=1,EOMONTH(EDATE(Bonds!$H60,6*(57-1)),0),EDATE(Bonds!$H60,6*(57-1))))</f>
        <v/>
      </c>
      <c r="BJ60" s="3" t="str">
        <f>IF(58&gt;$C60,"",IF($D60=1,EOMONTH(EDATE(Bonds!$H60,6*(58-1)),0),EDATE(Bonds!$H60,6*(58-1))))</f>
        <v/>
      </c>
      <c r="BK60" s="3" t="str">
        <f>IF(59&gt;$C60,"",IF($D60=1,EOMONTH(EDATE(Bonds!$H60,6*(59-1)),0),EDATE(Bonds!$H60,6*(59-1))))</f>
        <v/>
      </c>
      <c r="BL60" s="3" t="str">
        <f>IF(60&gt;$C60,"",IF($D60=1,EOMONTH(EDATE(Bonds!$H60,6*(60-1)),0),EDATE(Bonds!$H60,6*(60-1))))</f>
        <v/>
      </c>
      <c r="BN60" s="7">
        <f t="shared" si="1"/>
        <v>1.5337336954049812</v>
      </c>
      <c r="BO60" s="7">
        <f t="shared" si="2"/>
        <v>97.545707978886369</v>
      </c>
      <c r="BP60" s="7">
        <f t="shared" si="3"/>
        <v>0</v>
      </c>
      <c r="BQ60" s="7">
        <f t="shared" si="4"/>
        <v>0</v>
      </c>
      <c r="BR60" s="7">
        <f t="shared" si="5"/>
        <v>0</v>
      </c>
      <c r="BS60" s="7">
        <f t="shared" si="6"/>
        <v>0</v>
      </c>
      <c r="BT60" s="7">
        <f t="shared" si="7"/>
        <v>0</v>
      </c>
      <c r="BU60" s="7">
        <f t="shared" si="8"/>
        <v>0</v>
      </c>
      <c r="BV60" s="7">
        <f t="shared" si="9"/>
        <v>0</v>
      </c>
      <c r="BW60" s="7">
        <f t="shared" si="10"/>
        <v>0</v>
      </c>
      <c r="BX60" s="7">
        <f t="shared" si="11"/>
        <v>0</v>
      </c>
      <c r="BY60" s="7">
        <f t="shared" si="12"/>
        <v>0</v>
      </c>
      <c r="BZ60" s="7">
        <f t="shared" si="13"/>
        <v>0</v>
      </c>
      <c r="CA60" s="7">
        <f t="shared" si="14"/>
        <v>0</v>
      </c>
      <c r="CB60" s="7">
        <f t="shared" si="15"/>
        <v>0</v>
      </c>
      <c r="CC60" s="7">
        <f t="shared" si="16"/>
        <v>0</v>
      </c>
      <c r="CD60" s="7">
        <f t="shared" si="17"/>
        <v>0</v>
      </c>
      <c r="CE60" s="7">
        <f t="shared" si="18"/>
        <v>0</v>
      </c>
      <c r="CF60" s="7">
        <f t="shared" si="19"/>
        <v>0</v>
      </c>
      <c r="CG60" s="7">
        <f t="shared" si="20"/>
        <v>0</v>
      </c>
      <c r="CH60" s="7">
        <f t="shared" si="21"/>
        <v>0</v>
      </c>
      <c r="CI60" s="7">
        <f t="shared" si="22"/>
        <v>0</v>
      </c>
      <c r="CJ60" s="7">
        <f t="shared" si="23"/>
        <v>0</v>
      </c>
      <c r="CK60" s="7">
        <f t="shared" si="24"/>
        <v>0</v>
      </c>
      <c r="CL60" s="7">
        <f t="shared" si="25"/>
        <v>0</v>
      </c>
      <c r="CM60" s="7">
        <f t="shared" si="26"/>
        <v>0</v>
      </c>
      <c r="CN60" s="7">
        <f t="shared" si="27"/>
        <v>0</v>
      </c>
      <c r="CO60" s="7">
        <f t="shared" si="28"/>
        <v>0</v>
      </c>
      <c r="CP60" s="7">
        <f t="shared" si="29"/>
        <v>0</v>
      </c>
      <c r="CQ60" s="7">
        <f t="shared" si="30"/>
        <v>0</v>
      </c>
      <c r="CR60" s="7">
        <f t="shared" si="31"/>
        <v>0</v>
      </c>
      <c r="CS60" s="7">
        <f t="shared" si="32"/>
        <v>0</v>
      </c>
      <c r="CT60" s="7">
        <f t="shared" si="33"/>
        <v>0</v>
      </c>
      <c r="CU60" s="7">
        <f t="shared" si="34"/>
        <v>0</v>
      </c>
      <c r="CV60" s="7">
        <f t="shared" si="35"/>
        <v>0</v>
      </c>
      <c r="CW60" s="7">
        <f t="shared" si="36"/>
        <v>0</v>
      </c>
      <c r="CX60" s="7">
        <f t="shared" si="37"/>
        <v>0</v>
      </c>
      <c r="CY60" s="7">
        <f t="shared" si="38"/>
        <v>0</v>
      </c>
      <c r="CZ60" s="7">
        <f t="shared" si="39"/>
        <v>0</v>
      </c>
      <c r="DA60" s="7">
        <f t="shared" si="40"/>
        <v>0</v>
      </c>
      <c r="DB60" s="7">
        <f t="shared" si="41"/>
        <v>0</v>
      </c>
      <c r="DC60" s="7">
        <f t="shared" si="42"/>
        <v>0</v>
      </c>
      <c r="DD60" s="7">
        <f t="shared" si="43"/>
        <v>0</v>
      </c>
      <c r="DE60" s="7">
        <f t="shared" si="44"/>
        <v>0</v>
      </c>
      <c r="DF60" s="7">
        <f t="shared" si="45"/>
        <v>0</v>
      </c>
      <c r="DG60" s="7">
        <f t="shared" si="46"/>
        <v>0</v>
      </c>
      <c r="DH60" s="7">
        <f t="shared" si="47"/>
        <v>0</v>
      </c>
      <c r="DI60" s="7">
        <f t="shared" si="48"/>
        <v>0</v>
      </c>
      <c r="DJ60" s="7">
        <f t="shared" si="49"/>
        <v>0</v>
      </c>
      <c r="DK60" s="7">
        <f t="shared" si="50"/>
        <v>0</v>
      </c>
      <c r="DL60" s="7">
        <f t="shared" si="51"/>
        <v>0</v>
      </c>
      <c r="DM60" s="7">
        <f t="shared" si="52"/>
        <v>0</v>
      </c>
      <c r="DN60" s="7">
        <f t="shared" si="53"/>
        <v>0</v>
      </c>
      <c r="DO60" s="7">
        <f t="shared" si="54"/>
        <v>0</v>
      </c>
      <c r="DP60" s="7">
        <f t="shared" si="55"/>
        <v>0</v>
      </c>
      <c r="DQ60" s="7">
        <f t="shared" si="56"/>
        <v>0</v>
      </c>
      <c r="DR60" s="7">
        <f t="shared" si="57"/>
        <v>0</v>
      </c>
      <c r="DS60" s="7">
        <f t="shared" si="58"/>
        <v>0</v>
      </c>
      <c r="DT60" s="7">
        <f t="shared" si="59"/>
        <v>0</v>
      </c>
      <c r="DU60" s="7">
        <f t="shared" si="60"/>
        <v>0</v>
      </c>
    </row>
    <row r="61" spans="1:125" x14ac:dyDescent="0.2">
      <c r="A61" s="3">
        <f>Bonds!A61</f>
        <v>46630</v>
      </c>
      <c r="B61" s="4">
        <f>Bonds!B61</f>
        <v>3.625</v>
      </c>
      <c r="C61">
        <f>Bonds!P61</f>
        <v>2</v>
      </c>
      <c r="D61">
        <f t="shared" si="0"/>
        <v>1</v>
      </c>
      <c r="E61" s="3">
        <f>IF(1&gt;$C61,"",IF($D61=1,EOMONTH(EDATE(Bonds!$H61,6*(1-1)),0),EDATE(Bonds!$H61,6*(1-1))))</f>
        <v>46446</v>
      </c>
      <c r="F61" s="3">
        <f>IF(2&gt;$C61,"",IF($D61=1,EOMONTH(EDATE(Bonds!$H61,6*(2-1)),0),EDATE(Bonds!$H61,6*(2-1))))</f>
        <v>46630</v>
      </c>
      <c r="G61" s="3" t="str">
        <f>IF(3&gt;$C61,"",IF($D61=1,EOMONTH(EDATE(Bonds!$H61,6*(3-1)),0),EDATE(Bonds!$H61,6*(3-1))))</f>
        <v/>
      </c>
      <c r="H61" s="3" t="str">
        <f>IF(4&gt;$C61,"",IF($D61=1,EOMONTH(EDATE(Bonds!$H61,6*(4-1)),0),EDATE(Bonds!$H61,6*(4-1))))</f>
        <v/>
      </c>
      <c r="I61" s="3" t="str">
        <f>IF(5&gt;$C61,"",IF($D61=1,EOMONTH(EDATE(Bonds!$H61,6*(5-1)),0),EDATE(Bonds!$H61,6*(5-1))))</f>
        <v/>
      </c>
      <c r="J61" s="3" t="str">
        <f>IF(6&gt;$C61,"",IF($D61=1,EOMONTH(EDATE(Bonds!$H61,6*(6-1)),0),EDATE(Bonds!$H61,6*(6-1))))</f>
        <v/>
      </c>
      <c r="K61" s="3" t="str">
        <f>IF(7&gt;$C61,"",IF($D61=1,EOMONTH(EDATE(Bonds!$H61,6*(7-1)),0),EDATE(Bonds!$H61,6*(7-1))))</f>
        <v/>
      </c>
      <c r="L61" s="3" t="str">
        <f>IF(8&gt;$C61,"",IF($D61=1,EOMONTH(EDATE(Bonds!$H61,6*(8-1)),0),EDATE(Bonds!$H61,6*(8-1))))</f>
        <v/>
      </c>
      <c r="M61" s="3" t="str">
        <f>IF(9&gt;$C61,"",IF($D61=1,EOMONTH(EDATE(Bonds!$H61,6*(9-1)),0),EDATE(Bonds!$H61,6*(9-1))))</f>
        <v/>
      </c>
      <c r="N61" s="3" t="str">
        <f>IF(10&gt;$C61,"",IF($D61=1,EOMONTH(EDATE(Bonds!$H61,6*(10-1)),0),EDATE(Bonds!$H61,6*(10-1))))</f>
        <v/>
      </c>
      <c r="O61" s="3" t="str">
        <f>IF(11&gt;$C61,"",IF($D61=1,EOMONTH(EDATE(Bonds!$H61,6*(11-1)),0),EDATE(Bonds!$H61,6*(11-1))))</f>
        <v/>
      </c>
      <c r="P61" s="3" t="str">
        <f>IF(12&gt;$C61,"",IF($D61=1,EOMONTH(EDATE(Bonds!$H61,6*(12-1)),0),EDATE(Bonds!$H61,6*(12-1))))</f>
        <v/>
      </c>
      <c r="Q61" s="3" t="str">
        <f>IF(13&gt;$C61,"",IF($D61=1,EOMONTH(EDATE(Bonds!$H61,6*(13-1)),0),EDATE(Bonds!$H61,6*(13-1))))</f>
        <v/>
      </c>
      <c r="R61" s="3" t="str">
        <f>IF(14&gt;$C61,"",IF($D61=1,EOMONTH(EDATE(Bonds!$H61,6*(14-1)),0),EDATE(Bonds!$H61,6*(14-1))))</f>
        <v/>
      </c>
      <c r="S61" s="3" t="str">
        <f>IF(15&gt;$C61,"",IF($D61=1,EOMONTH(EDATE(Bonds!$H61,6*(15-1)),0),EDATE(Bonds!$H61,6*(15-1))))</f>
        <v/>
      </c>
      <c r="T61" s="3" t="str">
        <f>IF(16&gt;$C61,"",IF($D61=1,EOMONTH(EDATE(Bonds!$H61,6*(16-1)),0),EDATE(Bonds!$H61,6*(16-1))))</f>
        <v/>
      </c>
      <c r="U61" s="3" t="str">
        <f>IF(17&gt;$C61,"",IF($D61=1,EOMONTH(EDATE(Bonds!$H61,6*(17-1)),0),EDATE(Bonds!$H61,6*(17-1))))</f>
        <v/>
      </c>
      <c r="V61" s="3" t="str">
        <f>IF(18&gt;$C61,"",IF($D61=1,EOMONTH(EDATE(Bonds!$H61,6*(18-1)),0),EDATE(Bonds!$H61,6*(18-1))))</f>
        <v/>
      </c>
      <c r="W61" s="3" t="str">
        <f>IF(19&gt;$C61,"",IF($D61=1,EOMONTH(EDATE(Bonds!$H61,6*(19-1)),0),EDATE(Bonds!$H61,6*(19-1))))</f>
        <v/>
      </c>
      <c r="X61" s="3" t="str">
        <f>IF(20&gt;$C61,"",IF($D61=1,EOMONTH(EDATE(Bonds!$H61,6*(20-1)),0),EDATE(Bonds!$H61,6*(20-1))))</f>
        <v/>
      </c>
      <c r="Y61" s="3" t="str">
        <f>IF(21&gt;$C61,"",IF($D61=1,EOMONTH(EDATE(Bonds!$H61,6*(21-1)),0),EDATE(Bonds!$H61,6*(21-1))))</f>
        <v/>
      </c>
      <c r="Z61" s="3" t="str">
        <f>IF(22&gt;$C61,"",IF($D61=1,EOMONTH(EDATE(Bonds!$H61,6*(22-1)),0),EDATE(Bonds!$H61,6*(22-1))))</f>
        <v/>
      </c>
      <c r="AA61" s="3" t="str">
        <f>IF(23&gt;$C61,"",IF($D61=1,EOMONTH(EDATE(Bonds!$H61,6*(23-1)),0),EDATE(Bonds!$H61,6*(23-1))))</f>
        <v/>
      </c>
      <c r="AB61" s="3" t="str">
        <f>IF(24&gt;$C61,"",IF($D61=1,EOMONTH(EDATE(Bonds!$H61,6*(24-1)),0),EDATE(Bonds!$H61,6*(24-1))))</f>
        <v/>
      </c>
      <c r="AC61" s="3" t="str">
        <f>IF(25&gt;$C61,"",IF($D61=1,EOMONTH(EDATE(Bonds!$H61,6*(25-1)),0),EDATE(Bonds!$H61,6*(25-1))))</f>
        <v/>
      </c>
      <c r="AD61" s="3" t="str">
        <f>IF(26&gt;$C61,"",IF($D61=1,EOMONTH(EDATE(Bonds!$H61,6*(26-1)),0),EDATE(Bonds!$H61,6*(26-1))))</f>
        <v/>
      </c>
      <c r="AE61" s="3" t="str">
        <f>IF(27&gt;$C61,"",IF($D61=1,EOMONTH(EDATE(Bonds!$H61,6*(27-1)),0),EDATE(Bonds!$H61,6*(27-1))))</f>
        <v/>
      </c>
      <c r="AF61" s="3" t="str">
        <f>IF(28&gt;$C61,"",IF($D61=1,EOMONTH(EDATE(Bonds!$H61,6*(28-1)),0),EDATE(Bonds!$H61,6*(28-1))))</f>
        <v/>
      </c>
      <c r="AG61" s="3" t="str">
        <f>IF(29&gt;$C61,"",IF($D61=1,EOMONTH(EDATE(Bonds!$H61,6*(29-1)),0),EDATE(Bonds!$H61,6*(29-1))))</f>
        <v/>
      </c>
      <c r="AH61" s="3" t="str">
        <f>IF(30&gt;$C61,"",IF($D61=1,EOMONTH(EDATE(Bonds!$H61,6*(30-1)),0),EDATE(Bonds!$H61,6*(30-1))))</f>
        <v/>
      </c>
      <c r="AI61" s="3" t="str">
        <f>IF(31&gt;$C61,"",IF($D61=1,EOMONTH(EDATE(Bonds!$H61,6*(31-1)),0),EDATE(Bonds!$H61,6*(31-1))))</f>
        <v/>
      </c>
      <c r="AJ61" s="3" t="str">
        <f>IF(32&gt;$C61,"",IF($D61=1,EOMONTH(EDATE(Bonds!$H61,6*(32-1)),0),EDATE(Bonds!$H61,6*(32-1))))</f>
        <v/>
      </c>
      <c r="AK61" s="3" t="str">
        <f>IF(33&gt;$C61,"",IF($D61=1,EOMONTH(EDATE(Bonds!$H61,6*(33-1)),0),EDATE(Bonds!$H61,6*(33-1))))</f>
        <v/>
      </c>
      <c r="AL61" s="3" t="str">
        <f>IF(34&gt;$C61,"",IF($D61=1,EOMONTH(EDATE(Bonds!$H61,6*(34-1)),0),EDATE(Bonds!$H61,6*(34-1))))</f>
        <v/>
      </c>
      <c r="AM61" s="3" t="str">
        <f>IF(35&gt;$C61,"",IF($D61=1,EOMONTH(EDATE(Bonds!$H61,6*(35-1)),0),EDATE(Bonds!$H61,6*(35-1))))</f>
        <v/>
      </c>
      <c r="AN61" s="3" t="str">
        <f>IF(36&gt;$C61,"",IF($D61=1,EOMONTH(EDATE(Bonds!$H61,6*(36-1)),0),EDATE(Bonds!$H61,6*(36-1))))</f>
        <v/>
      </c>
      <c r="AO61" s="3" t="str">
        <f>IF(37&gt;$C61,"",IF($D61=1,EOMONTH(EDATE(Bonds!$H61,6*(37-1)),0),EDATE(Bonds!$H61,6*(37-1))))</f>
        <v/>
      </c>
      <c r="AP61" s="3" t="str">
        <f>IF(38&gt;$C61,"",IF($D61=1,EOMONTH(EDATE(Bonds!$H61,6*(38-1)),0),EDATE(Bonds!$H61,6*(38-1))))</f>
        <v/>
      </c>
      <c r="AQ61" s="3" t="str">
        <f>IF(39&gt;$C61,"",IF($D61=1,EOMONTH(EDATE(Bonds!$H61,6*(39-1)),0),EDATE(Bonds!$H61,6*(39-1))))</f>
        <v/>
      </c>
      <c r="AR61" s="3" t="str">
        <f>IF(40&gt;$C61,"",IF($D61=1,EOMONTH(EDATE(Bonds!$H61,6*(40-1)),0),EDATE(Bonds!$H61,6*(40-1))))</f>
        <v/>
      </c>
      <c r="AS61" s="3" t="str">
        <f>IF(41&gt;$C61,"",IF($D61=1,EOMONTH(EDATE(Bonds!$H61,6*(41-1)),0),EDATE(Bonds!$H61,6*(41-1))))</f>
        <v/>
      </c>
      <c r="AT61" s="3" t="str">
        <f>IF(42&gt;$C61,"",IF($D61=1,EOMONTH(EDATE(Bonds!$H61,6*(42-1)),0),EDATE(Bonds!$H61,6*(42-1))))</f>
        <v/>
      </c>
      <c r="AU61" s="3" t="str">
        <f>IF(43&gt;$C61,"",IF($D61=1,EOMONTH(EDATE(Bonds!$H61,6*(43-1)),0),EDATE(Bonds!$H61,6*(43-1))))</f>
        <v/>
      </c>
      <c r="AV61" s="3" t="str">
        <f>IF(44&gt;$C61,"",IF($D61=1,EOMONTH(EDATE(Bonds!$H61,6*(44-1)),0),EDATE(Bonds!$H61,6*(44-1))))</f>
        <v/>
      </c>
      <c r="AW61" s="3" t="str">
        <f>IF(45&gt;$C61,"",IF($D61=1,EOMONTH(EDATE(Bonds!$H61,6*(45-1)),0),EDATE(Bonds!$H61,6*(45-1))))</f>
        <v/>
      </c>
      <c r="AX61" s="3" t="str">
        <f>IF(46&gt;$C61,"",IF($D61=1,EOMONTH(EDATE(Bonds!$H61,6*(46-1)),0),EDATE(Bonds!$H61,6*(46-1))))</f>
        <v/>
      </c>
      <c r="AY61" s="3" t="str">
        <f>IF(47&gt;$C61,"",IF($D61=1,EOMONTH(EDATE(Bonds!$H61,6*(47-1)),0),EDATE(Bonds!$H61,6*(47-1))))</f>
        <v/>
      </c>
      <c r="AZ61" s="3" t="str">
        <f>IF(48&gt;$C61,"",IF($D61=1,EOMONTH(EDATE(Bonds!$H61,6*(48-1)),0),EDATE(Bonds!$H61,6*(48-1))))</f>
        <v/>
      </c>
      <c r="BA61" s="3" t="str">
        <f>IF(49&gt;$C61,"",IF($D61=1,EOMONTH(EDATE(Bonds!$H61,6*(49-1)),0),EDATE(Bonds!$H61,6*(49-1))))</f>
        <v/>
      </c>
      <c r="BB61" s="3" t="str">
        <f>IF(50&gt;$C61,"",IF($D61=1,EOMONTH(EDATE(Bonds!$H61,6*(50-1)),0),EDATE(Bonds!$H61,6*(50-1))))</f>
        <v/>
      </c>
      <c r="BC61" s="3" t="str">
        <f>IF(51&gt;$C61,"",IF($D61=1,EOMONTH(EDATE(Bonds!$H61,6*(51-1)),0),EDATE(Bonds!$H61,6*(51-1))))</f>
        <v/>
      </c>
      <c r="BD61" s="3" t="str">
        <f>IF(52&gt;$C61,"",IF($D61=1,EOMONTH(EDATE(Bonds!$H61,6*(52-1)),0),EDATE(Bonds!$H61,6*(52-1))))</f>
        <v/>
      </c>
      <c r="BE61" s="3" t="str">
        <f>IF(53&gt;$C61,"",IF($D61=1,EOMONTH(EDATE(Bonds!$H61,6*(53-1)),0),EDATE(Bonds!$H61,6*(53-1))))</f>
        <v/>
      </c>
      <c r="BF61" s="3" t="str">
        <f>IF(54&gt;$C61,"",IF($D61=1,EOMONTH(EDATE(Bonds!$H61,6*(54-1)),0),EDATE(Bonds!$H61,6*(54-1))))</f>
        <v/>
      </c>
      <c r="BG61" s="3" t="str">
        <f>IF(55&gt;$C61,"",IF($D61=1,EOMONTH(EDATE(Bonds!$H61,6*(55-1)),0),EDATE(Bonds!$H61,6*(55-1))))</f>
        <v/>
      </c>
      <c r="BH61" s="3" t="str">
        <f>IF(56&gt;$C61,"",IF($D61=1,EOMONTH(EDATE(Bonds!$H61,6*(56-1)),0),EDATE(Bonds!$H61,6*(56-1))))</f>
        <v/>
      </c>
      <c r="BI61" s="3" t="str">
        <f>IF(57&gt;$C61,"",IF($D61=1,EOMONTH(EDATE(Bonds!$H61,6*(57-1)),0),EDATE(Bonds!$H61,6*(57-1))))</f>
        <v/>
      </c>
      <c r="BJ61" s="3" t="str">
        <f>IF(58&gt;$C61,"",IF($D61=1,EOMONTH(EDATE(Bonds!$H61,6*(58-1)),0),EDATE(Bonds!$H61,6*(58-1))))</f>
        <v/>
      </c>
      <c r="BK61" s="3" t="str">
        <f>IF(59&gt;$C61,"",IF($D61=1,EOMONTH(EDATE(Bonds!$H61,6*(59-1)),0),EDATE(Bonds!$H61,6*(59-1))))</f>
        <v/>
      </c>
      <c r="BL61" s="3" t="str">
        <f>IF(60&gt;$C61,"",IF($D61=1,EOMONTH(EDATE(Bonds!$H61,6*(60-1)),0),EDATE(Bonds!$H61,6*(60-1))))</f>
        <v/>
      </c>
      <c r="BN61" s="7">
        <f t="shared" si="1"/>
        <v>1.779131086669778</v>
      </c>
      <c r="BO61" s="7">
        <f t="shared" si="2"/>
        <v>97.785820490834396</v>
      </c>
      <c r="BP61" s="7">
        <f t="shared" si="3"/>
        <v>0</v>
      </c>
      <c r="BQ61" s="7">
        <f t="shared" si="4"/>
        <v>0</v>
      </c>
      <c r="BR61" s="7">
        <f t="shared" si="5"/>
        <v>0</v>
      </c>
      <c r="BS61" s="7">
        <f t="shared" si="6"/>
        <v>0</v>
      </c>
      <c r="BT61" s="7">
        <f t="shared" si="7"/>
        <v>0</v>
      </c>
      <c r="BU61" s="7">
        <f t="shared" si="8"/>
        <v>0</v>
      </c>
      <c r="BV61" s="7">
        <f t="shared" si="9"/>
        <v>0</v>
      </c>
      <c r="BW61" s="7">
        <f t="shared" si="10"/>
        <v>0</v>
      </c>
      <c r="BX61" s="7">
        <f t="shared" si="11"/>
        <v>0</v>
      </c>
      <c r="BY61" s="7">
        <f t="shared" si="12"/>
        <v>0</v>
      </c>
      <c r="BZ61" s="7">
        <f t="shared" si="13"/>
        <v>0</v>
      </c>
      <c r="CA61" s="7">
        <f t="shared" si="14"/>
        <v>0</v>
      </c>
      <c r="CB61" s="7">
        <f t="shared" si="15"/>
        <v>0</v>
      </c>
      <c r="CC61" s="7">
        <f t="shared" si="16"/>
        <v>0</v>
      </c>
      <c r="CD61" s="7">
        <f t="shared" si="17"/>
        <v>0</v>
      </c>
      <c r="CE61" s="7">
        <f t="shared" si="18"/>
        <v>0</v>
      </c>
      <c r="CF61" s="7">
        <f t="shared" si="19"/>
        <v>0</v>
      </c>
      <c r="CG61" s="7">
        <f t="shared" si="20"/>
        <v>0</v>
      </c>
      <c r="CH61" s="7">
        <f t="shared" si="21"/>
        <v>0</v>
      </c>
      <c r="CI61" s="7">
        <f t="shared" si="22"/>
        <v>0</v>
      </c>
      <c r="CJ61" s="7">
        <f t="shared" si="23"/>
        <v>0</v>
      </c>
      <c r="CK61" s="7">
        <f t="shared" si="24"/>
        <v>0</v>
      </c>
      <c r="CL61" s="7">
        <f t="shared" si="25"/>
        <v>0</v>
      </c>
      <c r="CM61" s="7">
        <f t="shared" si="26"/>
        <v>0</v>
      </c>
      <c r="CN61" s="7">
        <f t="shared" si="27"/>
        <v>0</v>
      </c>
      <c r="CO61" s="7">
        <f t="shared" si="28"/>
        <v>0</v>
      </c>
      <c r="CP61" s="7">
        <f t="shared" si="29"/>
        <v>0</v>
      </c>
      <c r="CQ61" s="7">
        <f t="shared" si="30"/>
        <v>0</v>
      </c>
      <c r="CR61" s="7">
        <f t="shared" si="31"/>
        <v>0</v>
      </c>
      <c r="CS61" s="7">
        <f t="shared" si="32"/>
        <v>0</v>
      </c>
      <c r="CT61" s="7">
        <f t="shared" si="33"/>
        <v>0</v>
      </c>
      <c r="CU61" s="7">
        <f t="shared" si="34"/>
        <v>0</v>
      </c>
      <c r="CV61" s="7">
        <f t="shared" si="35"/>
        <v>0</v>
      </c>
      <c r="CW61" s="7">
        <f t="shared" si="36"/>
        <v>0</v>
      </c>
      <c r="CX61" s="7">
        <f t="shared" si="37"/>
        <v>0</v>
      </c>
      <c r="CY61" s="7">
        <f t="shared" si="38"/>
        <v>0</v>
      </c>
      <c r="CZ61" s="7">
        <f t="shared" si="39"/>
        <v>0</v>
      </c>
      <c r="DA61" s="7">
        <f t="shared" si="40"/>
        <v>0</v>
      </c>
      <c r="DB61" s="7">
        <f t="shared" si="41"/>
        <v>0</v>
      </c>
      <c r="DC61" s="7">
        <f t="shared" si="42"/>
        <v>0</v>
      </c>
      <c r="DD61" s="7">
        <f t="shared" si="43"/>
        <v>0</v>
      </c>
      <c r="DE61" s="7">
        <f t="shared" si="44"/>
        <v>0</v>
      </c>
      <c r="DF61" s="7">
        <f t="shared" si="45"/>
        <v>0</v>
      </c>
      <c r="DG61" s="7">
        <f t="shared" si="46"/>
        <v>0</v>
      </c>
      <c r="DH61" s="7">
        <f t="shared" si="47"/>
        <v>0</v>
      </c>
      <c r="DI61" s="7">
        <f t="shared" si="48"/>
        <v>0</v>
      </c>
      <c r="DJ61" s="7">
        <f t="shared" si="49"/>
        <v>0</v>
      </c>
      <c r="DK61" s="7">
        <f t="shared" si="50"/>
        <v>0</v>
      </c>
      <c r="DL61" s="7">
        <f t="shared" si="51"/>
        <v>0</v>
      </c>
      <c r="DM61" s="7">
        <f t="shared" si="52"/>
        <v>0</v>
      </c>
      <c r="DN61" s="7">
        <f t="shared" si="53"/>
        <v>0</v>
      </c>
      <c r="DO61" s="7">
        <f t="shared" si="54"/>
        <v>0</v>
      </c>
      <c r="DP61" s="7">
        <f t="shared" si="55"/>
        <v>0</v>
      </c>
      <c r="DQ61" s="7">
        <f t="shared" si="56"/>
        <v>0</v>
      </c>
      <c r="DR61" s="7">
        <f t="shared" si="57"/>
        <v>0</v>
      </c>
      <c r="DS61" s="7">
        <f t="shared" si="58"/>
        <v>0</v>
      </c>
      <c r="DT61" s="7">
        <f t="shared" si="59"/>
        <v>0</v>
      </c>
      <c r="DU61" s="7">
        <f t="shared" si="60"/>
        <v>0</v>
      </c>
    </row>
    <row r="62" spans="1:125" x14ac:dyDescent="0.2">
      <c r="A62" s="3">
        <f>Bonds!A62</f>
        <v>46645</v>
      </c>
      <c r="B62" s="4">
        <f>Bonds!B62</f>
        <v>3.375</v>
      </c>
      <c r="C62">
        <f>Bonds!P62</f>
        <v>3</v>
      </c>
      <c r="D62">
        <f t="shared" si="0"/>
        <v>0</v>
      </c>
      <c r="E62" s="3">
        <f>IF(1&gt;$C62,"",IF($D62=1,EOMONTH(EDATE(Bonds!$H62,6*(1-1)),0),EDATE(Bonds!$H62,6*(1-1))))</f>
        <v>46280</v>
      </c>
      <c r="F62" s="3">
        <f>IF(2&gt;$C62,"",IF($D62=1,EOMONTH(EDATE(Bonds!$H62,6*(2-1)),0),EDATE(Bonds!$H62,6*(2-1))))</f>
        <v>46461</v>
      </c>
      <c r="G62" s="3">
        <f>IF(3&gt;$C62,"",IF($D62=1,EOMONTH(EDATE(Bonds!$H62,6*(3-1)),0),EDATE(Bonds!$H62,6*(3-1))))</f>
        <v>46645</v>
      </c>
      <c r="H62" s="3" t="str">
        <f>IF(4&gt;$C62,"",IF($D62=1,EOMONTH(EDATE(Bonds!$H62,6*(4-1)),0),EDATE(Bonds!$H62,6*(4-1))))</f>
        <v/>
      </c>
      <c r="I62" s="3" t="str">
        <f>IF(5&gt;$C62,"",IF($D62=1,EOMONTH(EDATE(Bonds!$H62,6*(5-1)),0),EDATE(Bonds!$H62,6*(5-1))))</f>
        <v/>
      </c>
      <c r="J62" s="3" t="str">
        <f>IF(6&gt;$C62,"",IF($D62=1,EOMONTH(EDATE(Bonds!$H62,6*(6-1)),0),EDATE(Bonds!$H62,6*(6-1))))</f>
        <v/>
      </c>
      <c r="K62" s="3" t="str">
        <f>IF(7&gt;$C62,"",IF($D62=1,EOMONTH(EDATE(Bonds!$H62,6*(7-1)),0),EDATE(Bonds!$H62,6*(7-1))))</f>
        <v/>
      </c>
      <c r="L62" s="3" t="str">
        <f>IF(8&gt;$C62,"",IF($D62=1,EOMONTH(EDATE(Bonds!$H62,6*(8-1)),0),EDATE(Bonds!$H62,6*(8-1))))</f>
        <v/>
      </c>
      <c r="M62" s="3" t="str">
        <f>IF(9&gt;$C62,"",IF($D62=1,EOMONTH(EDATE(Bonds!$H62,6*(9-1)),0),EDATE(Bonds!$H62,6*(9-1))))</f>
        <v/>
      </c>
      <c r="N62" s="3" t="str">
        <f>IF(10&gt;$C62,"",IF($D62=1,EOMONTH(EDATE(Bonds!$H62,6*(10-1)),0),EDATE(Bonds!$H62,6*(10-1))))</f>
        <v/>
      </c>
      <c r="O62" s="3" t="str">
        <f>IF(11&gt;$C62,"",IF($D62=1,EOMONTH(EDATE(Bonds!$H62,6*(11-1)),0),EDATE(Bonds!$H62,6*(11-1))))</f>
        <v/>
      </c>
      <c r="P62" s="3" t="str">
        <f>IF(12&gt;$C62,"",IF($D62=1,EOMONTH(EDATE(Bonds!$H62,6*(12-1)),0),EDATE(Bonds!$H62,6*(12-1))))</f>
        <v/>
      </c>
      <c r="Q62" s="3" t="str">
        <f>IF(13&gt;$C62,"",IF($D62=1,EOMONTH(EDATE(Bonds!$H62,6*(13-1)),0),EDATE(Bonds!$H62,6*(13-1))))</f>
        <v/>
      </c>
      <c r="R62" s="3" t="str">
        <f>IF(14&gt;$C62,"",IF($D62=1,EOMONTH(EDATE(Bonds!$H62,6*(14-1)),0),EDATE(Bonds!$H62,6*(14-1))))</f>
        <v/>
      </c>
      <c r="S62" s="3" t="str">
        <f>IF(15&gt;$C62,"",IF($D62=1,EOMONTH(EDATE(Bonds!$H62,6*(15-1)),0),EDATE(Bonds!$H62,6*(15-1))))</f>
        <v/>
      </c>
      <c r="T62" s="3" t="str">
        <f>IF(16&gt;$C62,"",IF($D62=1,EOMONTH(EDATE(Bonds!$H62,6*(16-1)),0),EDATE(Bonds!$H62,6*(16-1))))</f>
        <v/>
      </c>
      <c r="U62" s="3" t="str">
        <f>IF(17&gt;$C62,"",IF($D62=1,EOMONTH(EDATE(Bonds!$H62,6*(17-1)),0),EDATE(Bonds!$H62,6*(17-1))))</f>
        <v/>
      </c>
      <c r="V62" s="3" t="str">
        <f>IF(18&gt;$C62,"",IF($D62=1,EOMONTH(EDATE(Bonds!$H62,6*(18-1)),0),EDATE(Bonds!$H62,6*(18-1))))</f>
        <v/>
      </c>
      <c r="W62" s="3" t="str">
        <f>IF(19&gt;$C62,"",IF($D62=1,EOMONTH(EDATE(Bonds!$H62,6*(19-1)),0),EDATE(Bonds!$H62,6*(19-1))))</f>
        <v/>
      </c>
      <c r="X62" s="3" t="str">
        <f>IF(20&gt;$C62,"",IF($D62=1,EOMONTH(EDATE(Bonds!$H62,6*(20-1)),0),EDATE(Bonds!$H62,6*(20-1))))</f>
        <v/>
      </c>
      <c r="Y62" s="3" t="str">
        <f>IF(21&gt;$C62,"",IF($D62=1,EOMONTH(EDATE(Bonds!$H62,6*(21-1)),0),EDATE(Bonds!$H62,6*(21-1))))</f>
        <v/>
      </c>
      <c r="Z62" s="3" t="str">
        <f>IF(22&gt;$C62,"",IF($D62=1,EOMONTH(EDATE(Bonds!$H62,6*(22-1)),0),EDATE(Bonds!$H62,6*(22-1))))</f>
        <v/>
      </c>
      <c r="AA62" s="3" t="str">
        <f>IF(23&gt;$C62,"",IF($D62=1,EOMONTH(EDATE(Bonds!$H62,6*(23-1)),0),EDATE(Bonds!$H62,6*(23-1))))</f>
        <v/>
      </c>
      <c r="AB62" s="3" t="str">
        <f>IF(24&gt;$C62,"",IF($D62=1,EOMONTH(EDATE(Bonds!$H62,6*(24-1)),0),EDATE(Bonds!$H62,6*(24-1))))</f>
        <v/>
      </c>
      <c r="AC62" s="3" t="str">
        <f>IF(25&gt;$C62,"",IF($D62=1,EOMONTH(EDATE(Bonds!$H62,6*(25-1)),0),EDATE(Bonds!$H62,6*(25-1))))</f>
        <v/>
      </c>
      <c r="AD62" s="3" t="str">
        <f>IF(26&gt;$C62,"",IF($D62=1,EOMONTH(EDATE(Bonds!$H62,6*(26-1)),0),EDATE(Bonds!$H62,6*(26-1))))</f>
        <v/>
      </c>
      <c r="AE62" s="3" t="str">
        <f>IF(27&gt;$C62,"",IF($D62=1,EOMONTH(EDATE(Bonds!$H62,6*(27-1)),0),EDATE(Bonds!$H62,6*(27-1))))</f>
        <v/>
      </c>
      <c r="AF62" s="3" t="str">
        <f>IF(28&gt;$C62,"",IF($D62=1,EOMONTH(EDATE(Bonds!$H62,6*(28-1)),0),EDATE(Bonds!$H62,6*(28-1))))</f>
        <v/>
      </c>
      <c r="AG62" s="3" t="str">
        <f>IF(29&gt;$C62,"",IF($D62=1,EOMONTH(EDATE(Bonds!$H62,6*(29-1)),0),EDATE(Bonds!$H62,6*(29-1))))</f>
        <v/>
      </c>
      <c r="AH62" s="3" t="str">
        <f>IF(30&gt;$C62,"",IF($D62=1,EOMONTH(EDATE(Bonds!$H62,6*(30-1)),0),EDATE(Bonds!$H62,6*(30-1))))</f>
        <v/>
      </c>
      <c r="AI62" s="3" t="str">
        <f>IF(31&gt;$C62,"",IF($D62=1,EOMONTH(EDATE(Bonds!$H62,6*(31-1)),0),EDATE(Bonds!$H62,6*(31-1))))</f>
        <v/>
      </c>
      <c r="AJ62" s="3" t="str">
        <f>IF(32&gt;$C62,"",IF($D62=1,EOMONTH(EDATE(Bonds!$H62,6*(32-1)),0),EDATE(Bonds!$H62,6*(32-1))))</f>
        <v/>
      </c>
      <c r="AK62" s="3" t="str">
        <f>IF(33&gt;$C62,"",IF($D62=1,EOMONTH(EDATE(Bonds!$H62,6*(33-1)),0),EDATE(Bonds!$H62,6*(33-1))))</f>
        <v/>
      </c>
      <c r="AL62" s="3" t="str">
        <f>IF(34&gt;$C62,"",IF($D62=1,EOMONTH(EDATE(Bonds!$H62,6*(34-1)),0),EDATE(Bonds!$H62,6*(34-1))))</f>
        <v/>
      </c>
      <c r="AM62" s="3" t="str">
        <f>IF(35&gt;$C62,"",IF($D62=1,EOMONTH(EDATE(Bonds!$H62,6*(35-1)),0),EDATE(Bonds!$H62,6*(35-1))))</f>
        <v/>
      </c>
      <c r="AN62" s="3" t="str">
        <f>IF(36&gt;$C62,"",IF($D62=1,EOMONTH(EDATE(Bonds!$H62,6*(36-1)),0),EDATE(Bonds!$H62,6*(36-1))))</f>
        <v/>
      </c>
      <c r="AO62" s="3" t="str">
        <f>IF(37&gt;$C62,"",IF($D62=1,EOMONTH(EDATE(Bonds!$H62,6*(37-1)),0),EDATE(Bonds!$H62,6*(37-1))))</f>
        <v/>
      </c>
      <c r="AP62" s="3" t="str">
        <f>IF(38&gt;$C62,"",IF($D62=1,EOMONTH(EDATE(Bonds!$H62,6*(38-1)),0),EDATE(Bonds!$H62,6*(38-1))))</f>
        <v/>
      </c>
      <c r="AQ62" s="3" t="str">
        <f>IF(39&gt;$C62,"",IF($D62=1,EOMONTH(EDATE(Bonds!$H62,6*(39-1)),0),EDATE(Bonds!$H62,6*(39-1))))</f>
        <v/>
      </c>
      <c r="AR62" s="3" t="str">
        <f>IF(40&gt;$C62,"",IF($D62=1,EOMONTH(EDATE(Bonds!$H62,6*(40-1)),0),EDATE(Bonds!$H62,6*(40-1))))</f>
        <v/>
      </c>
      <c r="AS62" s="3" t="str">
        <f>IF(41&gt;$C62,"",IF($D62=1,EOMONTH(EDATE(Bonds!$H62,6*(41-1)),0),EDATE(Bonds!$H62,6*(41-1))))</f>
        <v/>
      </c>
      <c r="AT62" s="3" t="str">
        <f>IF(42&gt;$C62,"",IF($D62=1,EOMONTH(EDATE(Bonds!$H62,6*(42-1)),0),EDATE(Bonds!$H62,6*(42-1))))</f>
        <v/>
      </c>
      <c r="AU62" s="3" t="str">
        <f>IF(43&gt;$C62,"",IF($D62=1,EOMONTH(EDATE(Bonds!$H62,6*(43-1)),0),EDATE(Bonds!$H62,6*(43-1))))</f>
        <v/>
      </c>
      <c r="AV62" s="3" t="str">
        <f>IF(44&gt;$C62,"",IF($D62=1,EOMONTH(EDATE(Bonds!$H62,6*(44-1)),0),EDATE(Bonds!$H62,6*(44-1))))</f>
        <v/>
      </c>
      <c r="AW62" s="3" t="str">
        <f>IF(45&gt;$C62,"",IF($D62=1,EOMONTH(EDATE(Bonds!$H62,6*(45-1)),0),EDATE(Bonds!$H62,6*(45-1))))</f>
        <v/>
      </c>
      <c r="AX62" s="3" t="str">
        <f>IF(46&gt;$C62,"",IF($D62=1,EOMONTH(EDATE(Bonds!$H62,6*(46-1)),0),EDATE(Bonds!$H62,6*(46-1))))</f>
        <v/>
      </c>
      <c r="AY62" s="3" t="str">
        <f>IF(47&gt;$C62,"",IF($D62=1,EOMONTH(EDATE(Bonds!$H62,6*(47-1)),0),EDATE(Bonds!$H62,6*(47-1))))</f>
        <v/>
      </c>
      <c r="AZ62" s="3" t="str">
        <f>IF(48&gt;$C62,"",IF($D62=1,EOMONTH(EDATE(Bonds!$H62,6*(48-1)),0),EDATE(Bonds!$H62,6*(48-1))))</f>
        <v/>
      </c>
      <c r="BA62" s="3" t="str">
        <f>IF(49&gt;$C62,"",IF($D62=1,EOMONTH(EDATE(Bonds!$H62,6*(49-1)),0),EDATE(Bonds!$H62,6*(49-1))))</f>
        <v/>
      </c>
      <c r="BB62" s="3" t="str">
        <f>IF(50&gt;$C62,"",IF($D62=1,EOMONTH(EDATE(Bonds!$H62,6*(50-1)),0),EDATE(Bonds!$H62,6*(50-1))))</f>
        <v/>
      </c>
      <c r="BC62" s="3" t="str">
        <f>IF(51&gt;$C62,"",IF($D62=1,EOMONTH(EDATE(Bonds!$H62,6*(51-1)),0),EDATE(Bonds!$H62,6*(51-1))))</f>
        <v/>
      </c>
      <c r="BD62" s="3" t="str">
        <f>IF(52&gt;$C62,"",IF($D62=1,EOMONTH(EDATE(Bonds!$H62,6*(52-1)),0),EDATE(Bonds!$H62,6*(52-1))))</f>
        <v/>
      </c>
      <c r="BE62" s="3" t="str">
        <f>IF(53&gt;$C62,"",IF($D62=1,EOMONTH(EDATE(Bonds!$H62,6*(53-1)),0),EDATE(Bonds!$H62,6*(53-1))))</f>
        <v/>
      </c>
      <c r="BF62" s="3" t="str">
        <f>IF(54&gt;$C62,"",IF($D62=1,EOMONTH(EDATE(Bonds!$H62,6*(54-1)),0),EDATE(Bonds!$H62,6*(54-1))))</f>
        <v/>
      </c>
      <c r="BG62" s="3" t="str">
        <f>IF(55&gt;$C62,"",IF($D62=1,EOMONTH(EDATE(Bonds!$H62,6*(55-1)),0),EDATE(Bonds!$H62,6*(55-1))))</f>
        <v/>
      </c>
      <c r="BH62" s="3" t="str">
        <f>IF(56&gt;$C62,"",IF($D62=1,EOMONTH(EDATE(Bonds!$H62,6*(56-1)),0),EDATE(Bonds!$H62,6*(56-1))))</f>
        <v/>
      </c>
      <c r="BI62" s="3" t="str">
        <f>IF(57&gt;$C62,"",IF($D62=1,EOMONTH(EDATE(Bonds!$H62,6*(57-1)),0),EDATE(Bonds!$H62,6*(57-1))))</f>
        <v/>
      </c>
      <c r="BJ62" s="3" t="str">
        <f>IF(58&gt;$C62,"",IF($D62=1,EOMONTH(EDATE(Bonds!$H62,6*(58-1)),0),EDATE(Bonds!$H62,6*(58-1))))</f>
        <v/>
      </c>
      <c r="BK62" s="3" t="str">
        <f>IF(59&gt;$C62,"",IF($D62=1,EOMONTH(EDATE(Bonds!$H62,6*(59-1)),0),EDATE(Bonds!$H62,6*(59-1))))</f>
        <v/>
      </c>
      <c r="BL62" s="3" t="str">
        <f>IF(60&gt;$C62,"",IF($D62=1,EOMONTH(EDATE(Bonds!$H62,6*(60-1)),0),EDATE(Bonds!$H62,6*(60-1))))</f>
        <v/>
      </c>
      <c r="BN62" s="7">
        <f t="shared" si="1"/>
        <v>1.6863217894495288</v>
      </c>
      <c r="BO62" s="7">
        <f t="shared" si="2"/>
        <v>1.6535928714237258</v>
      </c>
      <c r="BP62" s="7">
        <f t="shared" si="3"/>
        <v>97.487340190123916</v>
      </c>
      <c r="BQ62" s="7">
        <f t="shared" si="4"/>
        <v>0</v>
      </c>
      <c r="BR62" s="7">
        <f t="shared" si="5"/>
        <v>0</v>
      </c>
      <c r="BS62" s="7">
        <f t="shared" si="6"/>
        <v>0</v>
      </c>
      <c r="BT62" s="7">
        <f t="shared" si="7"/>
        <v>0</v>
      </c>
      <c r="BU62" s="7">
        <f t="shared" si="8"/>
        <v>0</v>
      </c>
      <c r="BV62" s="7">
        <f t="shared" si="9"/>
        <v>0</v>
      </c>
      <c r="BW62" s="7">
        <f t="shared" si="10"/>
        <v>0</v>
      </c>
      <c r="BX62" s="7">
        <f t="shared" si="11"/>
        <v>0</v>
      </c>
      <c r="BY62" s="7">
        <f t="shared" si="12"/>
        <v>0</v>
      </c>
      <c r="BZ62" s="7">
        <f t="shared" si="13"/>
        <v>0</v>
      </c>
      <c r="CA62" s="7">
        <f t="shared" si="14"/>
        <v>0</v>
      </c>
      <c r="CB62" s="7">
        <f t="shared" si="15"/>
        <v>0</v>
      </c>
      <c r="CC62" s="7">
        <f t="shared" si="16"/>
        <v>0</v>
      </c>
      <c r="CD62" s="7">
        <f t="shared" si="17"/>
        <v>0</v>
      </c>
      <c r="CE62" s="7">
        <f t="shared" si="18"/>
        <v>0</v>
      </c>
      <c r="CF62" s="7">
        <f t="shared" si="19"/>
        <v>0</v>
      </c>
      <c r="CG62" s="7">
        <f t="shared" si="20"/>
        <v>0</v>
      </c>
      <c r="CH62" s="7">
        <f t="shared" si="21"/>
        <v>0</v>
      </c>
      <c r="CI62" s="7">
        <f t="shared" si="22"/>
        <v>0</v>
      </c>
      <c r="CJ62" s="7">
        <f t="shared" si="23"/>
        <v>0</v>
      </c>
      <c r="CK62" s="7">
        <f t="shared" si="24"/>
        <v>0</v>
      </c>
      <c r="CL62" s="7">
        <f t="shared" si="25"/>
        <v>0</v>
      </c>
      <c r="CM62" s="7">
        <f t="shared" si="26"/>
        <v>0</v>
      </c>
      <c r="CN62" s="7">
        <f t="shared" si="27"/>
        <v>0</v>
      </c>
      <c r="CO62" s="7">
        <f t="shared" si="28"/>
        <v>0</v>
      </c>
      <c r="CP62" s="7">
        <f t="shared" si="29"/>
        <v>0</v>
      </c>
      <c r="CQ62" s="7">
        <f t="shared" si="30"/>
        <v>0</v>
      </c>
      <c r="CR62" s="7">
        <f t="shared" si="31"/>
        <v>0</v>
      </c>
      <c r="CS62" s="7">
        <f t="shared" si="32"/>
        <v>0</v>
      </c>
      <c r="CT62" s="7">
        <f t="shared" si="33"/>
        <v>0</v>
      </c>
      <c r="CU62" s="7">
        <f t="shared" si="34"/>
        <v>0</v>
      </c>
      <c r="CV62" s="7">
        <f t="shared" si="35"/>
        <v>0</v>
      </c>
      <c r="CW62" s="7">
        <f t="shared" si="36"/>
        <v>0</v>
      </c>
      <c r="CX62" s="7">
        <f t="shared" si="37"/>
        <v>0</v>
      </c>
      <c r="CY62" s="7">
        <f t="shared" si="38"/>
        <v>0</v>
      </c>
      <c r="CZ62" s="7">
        <f t="shared" si="39"/>
        <v>0</v>
      </c>
      <c r="DA62" s="7">
        <f t="shared" si="40"/>
        <v>0</v>
      </c>
      <c r="DB62" s="7">
        <f t="shared" si="41"/>
        <v>0</v>
      </c>
      <c r="DC62" s="7">
        <f t="shared" si="42"/>
        <v>0</v>
      </c>
      <c r="DD62" s="7">
        <f t="shared" si="43"/>
        <v>0</v>
      </c>
      <c r="DE62" s="7">
        <f t="shared" si="44"/>
        <v>0</v>
      </c>
      <c r="DF62" s="7">
        <f t="shared" si="45"/>
        <v>0</v>
      </c>
      <c r="DG62" s="7">
        <f t="shared" si="46"/>
        <v>0</v>
      </c>
      <c r="DH62" s="7">
        <f t="shared" si="47"/>
        <v>0</v>
      </c>
      <c r="DI62" s="7">
        <f t="shared" si="48"/>
        <v>0</v>
      </c>
      <c r="DJ62" s="7">
        <f t="shared" si="49"/>
        <v>0</v>
      </c>
      <c r="DK62" s="7">
        <f t="shared" si="50"/>
        <v>0</v>
      </c>
      <c r="DL62" s="7">
        <f t="shared" si="51"/>
        <v>0</v>
      </c>
      <c r="DM62" s="7">
        <f t="shared" si="52"/>
        <v>0</v>
      </c>
      <c r="DN62" s="7">
        <f t="shared" si="53"/>
        <v>0</v>
      </c>
      <c r="DO62" s="7">
        <f t="shared" si="54"/>
        <v>0</v>
      </c>
      <c r="DP62" s="7">
        <f t="shared" si="55"/>
        <v>0</v>
      </c>
      <c r="DQ62" s="7">
        <f t="shared" si="56"/>
        <v>0</v>
      </c>
      <c r="DR62" s="7">
        <f t="shared" si="57"/>
        <v>0</v>
      </c>
      <c r="DS62" s="7">
        <f t="shared" si="58"/>
        <v>0</v>
      </c>
      <c r="DT62" s="7">
        <f t="shared" si="59"/>
        <v>0</v>
      </c>
      <c r="DU62" s="7">
        <f t="shared" si="60"/>
        <v>0</v>
      </c>
    </row>
    <row r="63" spans="1:125" x14ac:dyDescent="0.2">
      <c r="A63" s="3">
        <f>Bonds!A63</f>
        <v>46660</v>
      </c>
      <c r="B63" s="4">
        <f>Bonds!B63</f>
        <v>0.375</v>
      </c>
      <c r="C63">
        <f>Bonds!P63</f>
        <v>3</v>
      </c>
      <c r="D63">
        <f t="shared" si="0"/>
        <v>1</v>
      </c>
      <c r="E63" s="3">
        <f>IF(1&gt;$C63,"",IF($D63=1,EOMONTH(EDATE(Bonds!$H63,6*(1-1)),0),EDATE(Bonds!$H63,6*(1-1))))</f>
        <v>46295</v>
      </c>
      <c r="F63" s="3">
        <f>IF(2&gt;$C63,"",IF($D63=1,EOMONTH(EDATE(Bonds!$H63,6*(2-1)),0),EDATE(Bonds!$H63,6*(2-1))))</f>
        <v>46477</v>
      </c>
      <c r="G63" s="3">
        <f>IF(3&gt;$C63,"",IF($D63=1,EOMONTH(EDATE(Bonds!$H63,6*(3-1)),0),EDATE(Bonds!$H63,6*(3-1))))</f>
        <v>46660</v>
      </c>
      <c r="H63" s="3" t="str">
        <f>IF(4&gt;$C63,"",IF($D63=1,EOMONTH(EDATE(Bonds!$H63,6*(4-1)),0),EDATE(Bonds!$H63,6*(4-1))))</f>
        <v/>
      </c>
      <c r="I63" s="3" t="str">
        <f>IF(5&gt;$C63,"",IF($D63=1,EOMONTH(EDATE(Bonds!$H63,6*(5-1)),0),EDATE(Bonds!$H63,6*(5-1))))</f>
        <v/>
      </c>
      <c r="J63" s="3" t="str">
        <f>IF(6&gt;$C63,"",IF($D63=1,EOMONTH(EDATE(Bonds!$H63,6*(6-1)),0),EDATE(Bonds!$H63,6*(6-1))))</f>
        <v/>
      </c>
      <c r="K63" s="3" t="str">
        <f>IF(7&gt;$C63,"",IF($D63=1,EOMONTH(EDATE(Bonds!$H63,6*(7-1)),0),EDATE(Bonds!$H63,6*(7-1))))</f>
        <v/>
      </c>
      <c r="L63" s="3" t="str">
        <f>IF(8&gt;$C63,"",IF($D63=1,EOMONTH(EDATE(Bonds!$H63,6*(8-1)),0),EDATE(Bonds!$H63,6*(8-1))))</f>
        <v/>
      </c>
      <c r="M63" s="3" t="str">
        <f>IF(9&gt;$C63,"",IF($D63=1,EOMONTH(EDATE(Bonds!$H63,6*(9-1)),0),EDATE(Bonds!$H63,6*(9-1))))</f>
        <v/>
      </c>
      <c r="N63" s="3" t="str">
        <f>IF(10&gt;$C63,"",IF($D63=1,EOMONTH(EDATE(Bonds!$H63,6*(10-1)),0),EDATE(Bonds!$H63,6*(10-1))))</f>
        <v/>
      </c>
      <c r="O63" s="3" t="str">
        <f>IF(11&gt;$C63,"",IF($D63=1,EOMONTH(EDATE(Bonds!$H63,6*(11-1)),0),EDATE(Bonds!$H63,6*(11-1))))</f>
        <v/>
      </c>
      <c r="P63" s="3" t="str">
        <f>IF(12&gt;$C63,"",IF($D63=1,EOMONTH(EDATE(Bonds!$H63,6*(12-1)),0),EDATE(Bonds!$H63,6*(12-1))))</f>
        <v/>
      </c>
      <c r="Q63" s="3" t="str">
        <f>IF(13&gt;$C63,"",IF($D63=1,EOMONTH(EDATE(Bonds!$H63,6*(13-1)),0),EDATE(Bonds!$H63,6*(13-1))))</f>
        <v/>
      </c>
      <c r="R63" s="3" t="str">
        <f>IF(14&gt;$C63,"",IF($D63=1,EOMONTH(EDATE(Bonds!$H63,6*(14-1)),0),EDATE(Bonds!$H63,6*(14-1))))</f>
        <v/>
      </c>
      <c r="S63" s="3" t="str">
        <f>IF(15&gt;$C63,"",IF($D63=1,EOMONTH(EDATE(Bonds!$H63,6*(15-1)),0),EDATE(Bonds!$H63,6*(15-1))))</f>
        <v/>
      </c>
      <c r="T63" s="3" t="str">
        <f>IF(16&gt;$C63,"",IF($D63=1,EOMONTH(EDATE(Bonds!$H63,6*(16-1)),0),EDATE(Bonds!$H63,6*(16-1))))</f>
        <v/>
      </c>
      <c r="U63" s="3" t="str">
        <f>IF(17&gt;$C63,"",IF($D63=1,EOMONTH(EDATE(Bonds!$H63,6*(17-1)),0),EDATE(Bonds!$H63,6*(17-1))))</f>
        <v/>
      </c>
      <c r="V63" s="3" t="str">
        <f>IF(18&gt;$C63,"",IF($D63=1,EOMONTH(EDATE(Bonds!$H63,6*(18-1)),0),EDATE(Bonds!$H63,6*(18-1))))</f>
        <v/>
      </c>
      <c r="W63" s="3" t="str">
        <f>IF(19&gt;$C63,"",IF($D63=1,EOMONTH(EDATE(Bonds!$H63,6*(19-1)),0),EDATE(Bonds!$H63,6*(19-1))))</f>
        <v/>
      </c>
      <c r="X63" s="3" t="str">
        <f>IF(20&gt;$C63,"",IF($D63=1,EOMONTH(EDATE(Bonds!$H63,6*(20-1)),0),EDATE(Bonds!$H63,6*(20-1))))</f>
        <v/>
      </c>
      <c r="Y63" s="3" t="str">
        <f>IF(21&gt;$C63,"",IF($D63=1,EOMONTH(EDATE(Bonds!$H63,6*(21-1)),0),EDATE(Bonds!$H63,6*(21-1))))</f>
        <v/>
      </c>
      <c r="Z63" s="3" t="str">
        <f>IF(22&gt;$C63,"",IF($D63=1,EOMONTH(EDATE(Bonds!$H63,6*(22-1)),0),EDATE(Bonds!$H63,6*(22-1))))</f>
        <v/>
      </c>
      <c r="AA63" s="3" t="str">
        <f>IF(23&gt;$C63,"",IF($D63=1,EOMONTH(EDATE(Bonds!$H63,6*(23-1)),0),EDATE(Bonds!$H63,6*(23-1))))</f>
        <v/>
      </c>
      <c r="AB63" s="3" t="str">
        <f>IF(24&gt;$C63,"",IF($D63=1,EOMONTH(EDATE(Bonds!$H63,6*(24-1)),0),EDATE(Bonds!$H63,6*(24-1))))</f>
        <v/>
      </c>
      <c r="AC63" s="3" t="str">
        <f>IF(25&gt;$C63,"",IF($D63=1,EOMONTH(EDATE(Bonds!$H63,6*(25-1)),0),EDATE(Bonds!$H63,6*(25-1))))</f>
        <v/>
      </c>
      <c r="AD63" s="3" t="str">
        <f>IF(26&gt;$C63,"",IF($D63=1,EOMONTH(EDATE(Bonds!$H63,6*(26-1)),0),EDATE(Bonds!$H63,6*(26-1))))</f>
        <v/>
      </c>
      <c r="AE63" s="3" t="str">
        <f>IF(27&gt;$C63,"",IF($D63=1,EOMONTH(EDATE(Bonds!$H63,6*(27-1)),0),EDATE(Bonds!$H63,6*(27-1))))</f>
        <v/>
      </c>
      <c r="AF63" s="3" t="str">
        <f>IF(28&gt;$C63,"",IF($D63=1,EOMONTH(EDATE(Bonds!$H63,6*(28-1)),0),EDATE(Bonds!$H63,6*(28-1))))</f>
        <v/>
      </c>
      <c r="AG63" s="3" t="str">
        <f>IF(29&gt;$C63,"",IF($D63=1,EOMONTH(EDATE(Bonds!$H63,6*(29-1)),0),EDATE(Bonds!$H63,6*(29-1))))</f>
        <v/>
      </c>
      <c r="AH63" s="3" t="str">
        <f>IF(30&gt;$C63,"",IF($D63=1,EOMONTH(EDATE(Bonds!$H63,6*(30-1)),0),EDATE(Bonds!$H63,6*(30-1))))</f>
        <v/>
      </c>
      <c r="AI63" s="3" t="str">
        <f>IF(31&gt;$C63,"",IF($D63=1,EOMONTH(EDATE(Bonds!$H63,6*(31-1)),0),EDATE(Bonds!$H63,6*(31-1))))</f>
        <v/>
      </c>
      <c r="AJ63" s="3" t="str">
        <f>IF(32&gt;$C63,"",IF($D63=1,EOMONTH(EDATE(Bonds!$H63,6*(32-1)),0),EDATE(Bonds!$H63,6*(32-1))))</f>
        <v/>
      </c>
      <c r="AK63" s="3" t="str">
        <f>IF(33&gt;$C63,"",IF($D63=1,EOMONTH(EDATE(Bonds!$H63,6*(33-1)),0),EDATE(Bonds!$H63,6*(33-1))))</f>
        <v/>
      </c>
      <c r="AL63" s="3" t="str">
        <f>IF(34&gt;$C63,"",IF($D63=1,EOMONTH(EDATE(Bonds!$H63,6*(34-1)),0),EDATE(Bonds!$H63,6*(34-1))))</f>
        <v/>
      </c>
      <c r="AM63" s="3" t="str">
        <f>IF(35&gt;$C63,"",IF($D63=1,EOMONTH(EDATE(Bonds!$H63,6*(35-1)),0),EDATE(Bonds!$H63,6*(35-1))))</f>
        <v/>
      </c>
      <c r="AN63" s="3" t="str">
        <f>IF(36&gt;$C63,"",IF($D63=1,EOMONTH(EDATE(Bonds!$H63,6*(36-1)),0),EDATE(Bonds!$H63,6*(36-1))))</f>
        <v/>
      </c>
      <c r="AO63" s="3" t="str">
        <f>IF(37&gt;$C63,"",IF($D63=1,EOMONTH(EDATE(Bonds!$H63,6*(37-1)),0),EDATE(Bonds!$H63,6*(37-1))))</f>
        <v/>
      </c>
      <c r="AP63" s="3" t="str">
        <f>IF(38&gt;$C63,"",IF($D63=1,EOMONTH(EDATE(Bonds!$H63,6*(38-1)),0),EDATE(Bonds!$H63,6*(38-1))))</f>
        <v/>
      </c>
      <c r="AQ63" s="3" t="str">
        <f>IF(39&gt;$C63,"",IF($D63=1,EOMONTH(EDATE(Bonds!$H63,6*(39-1)),0),EDATE(Bonds!$H63,6*(39-1))))</f>
        <v/>
      </c>
      <c r="AR63" s="3" t="str">
        <f>IF(40&gt;$C63,"",IF($D63=1,EOMONTH(EDATE(Bonds!$H63,6*(40-1)),0),EDATE(Bonds!$H63,6*(40-1))))</f>
        <v/>
      </c>
      <c r="AS63" s="3" t="str">
        <f>IF(41&gt;$C63,"",IF($D63=1,EOMONTH(EDATE(Bonds!$H63,6*(41-1)),0),EDATE(Bonds!$H63,6*(41-1))))</f>
        <v/>
      </c>
      <c r="AT63" s="3" t="str">
        <f>IF(42&gt;$C63,"",IF($D63=1,EOMONTH(EDATE(Bonds!$H63,6*(42-1)),0),EDATE(Bonds!$H63,6*(42-1))))</f>
        <v/>
      </c>
      <c r="AU63" s="3" t="str">
        <f>IF(43&gt;$C63,"",IF($D63=1,EOMONTH(EDATE(Bonds!$H63,6*(43-1)),0),EDATE(Bonds!$H63,6*(43-1))))</f>
        <v/>
      </c>
      <c r="AV63" s="3" t="str">
        <f>IF(44&gt;$C63,"",IF($D63=1,EOMONTH(EDATE(Bonds!$H63,6*(44-1)),0),EDATE(Bonds!$H63,6*(44-1))))</f>
        <v/>
      </c>
      <c r="AW63" s="3" t="str">
        <f>IF(45&gt;$C63,"",IF($D63=1,EOMONTH(EDATE(Bonds!$H63,6*(45-1)),0),EDATE(Bonds!$H63,6*(45-1))))</f>
        <v/>
      </c>
      <c r="AX63" s="3" t="str">
        <f>IF(46&gt;$C63,"",IF($D63=1,EOMONTH(EDATE(Bonds!$H63,6*(46-1)),0),EDATE(Bonds!$H63,6*(46-1))))</f>
        <v/>
      </c>
      <c r="AY63" s="3" t="str">
        <f>IF(47&gt;$C63,"",IF($D63=1,EOMONTH(EDATE(Bonds!$H63,6*(47-1)),0),EDATE(Bonds!$H63,6*(47-1))))</f>
        <v/>
      </c>
      <c r="AZ63" s="3" t="str">
        <f>IF(48&gt;$C63,"",IF($D63=1,EOMONTH(EDATE(Bonds!$H63,6*(48-1)),0),EDATE(Bonds!$H63,6*(48-1))))</f>
        <v/>
      </c>
      <c r="BA63" s="3" t="str">
        <f>IF(49&gt;$C63,"",IF($D63=1,EOMONTH(EDATE(Bonds!$H63,6*(49-1)),0),EDATE(Bonds!$H63,6*(49-1))))</f>
        <v/>
      </c>
      <c r="BB63" s="3" t="str">
        <f>IF(50&gt;$C63,"",IF($D63=1,EOMONTH(EDATE(Bonds!$H63,6*(50-1)),0),EDATE(Bonds!$H63,6*(50-1))))</f>
        <v/>
      </c>
      <c r="BC63" s="3" t="str">
        <f>IF(51&gt;$C63,"",IF($D63=1,EOMONTH(EDATE(Bonds!$H63,6*(51-1)),0),EDATE(Bonds!$H63,6*(51-1))))</f>
        <v/>
      </c>
      <c r="BD63" s="3" t="str">
        <f>IF(52&gt;$C63,"",IF($D63=1,EOMONTH(EDATE(Bonds!$H63,6*(52-1)),0),EDATE(Bonds!$H63,6*(52-1))))</f>
        <v/>
      </c>
      <c r="BE63" s="3" t="str">
        <f>IF(53&gt;$C63,"",IF($D63=1,EOMONTH(EDATE(Bonds!$H63,6*(53-1)),0),EDATE(Bonds!$H63,6*(53-1))))</f>
        <v/>
      </c>
      <c r="BF63" s="3" t="str">
        <f>IF(54&gt;$C63,"",IF($D63=1,EOMONTH(EDATE(Bonds!$H63,6*(54-1)),0),EDATE(Bonds!$H63,6*(54-1))))</f>
        <v/>
      </c>
      <c r="BG63" s="3" t="str">
        <f>IF(55&gt;$C63,"",IF($D63=1,EOMONTH(EDATE(Bonds!$H63,6*(55-1)),0),EDATE(Bonds!$H63,6*(55-1))))</f>
        <v/>
      </c>
      <c r="BH63" s="3" t="str">
        <f>IF(56&gt;$C63,"",IF($D63=1,EOMONTH(EDATE(Bonds!$H63,6*(56-1)),0),EDATE(Bonds!$H63,6*(56-1))))</f>
        <v/>
      </c>
      <c r="BI63" s="3" t="str">
        <f>IF(57&gt;$C63,"",IF($D63=1,EOMONTH(EDATE(Bonds!$H63,6*(57-1)),0),EDATE(Bonds!$H63,6*(57-1))))</f>
        <v/>
      </c>
      <c r="BJ63" s="3" t="str">
        <f>IF(58&gt;$C63,"",IF($D63=1,EOMONTH(EDATE(Bonds!$H63,6*(58-1)),0),EDATE(Bonds!$H63,6*(58-1))))</f>
        <v/>
      </c>
      <c r="BK63" s="3" t="str">
        <f>IF(59&gt;$C63,"",IF($D63=1,EOMONTH(EDATE(Bonds!$H63,6*(59-1)),0),EDATE(Bonds!$H63,6*(59-1))))</f>
        <v/>
      </c>
      <c r="BL63" s="3" t="str">
        <f>IF(60&gt;$C63,"",IF($D63=1,EOMONTH(EDATE(Bonds!$H63,6*(60-1)),0),EDATE(Bonds!$H63,6*(60-1))))</f>
        <v/>
      </c>
      <c r="BN63" s="7">
        <f t="shared" si="1"/>
        <v>0.18708551656414513</v>
      </c>
      <c r="BO63" s="7">
        <f t="shared" si="2"/>
        <v>0.18339402296228474</v>
      </c>
      <c r="BP63" s="7">
        <f t="shared" si="3"/>
        <v>95.87327778162053</v>
      </c>
      <c r="BQ63" s="7">
        <f t="shared" si="4"/>
        <v>0</v>
      </c>
      <c r="BR63" s="7">
        <f t="shared" si="5"/>
        <v>0</v>
      </c>
      <c r="BS63" s="7">
        <f t="shared" si="6"/>
        <v>0</v>
      </c>
      <c r="BT63" s="7">
        <f t="shared" si="7"/>
        <v>0</v>
      </c>
      <c r="BU63" s="7">
        <f t="shared" si="8"/>
        <v>0</v>
      </c>
      <c r="BV63" s="7">
        <f t="shared" si="9"/>
        <v>0</v>
      </c>
      <c r="BW63" s="7">
        <f t="shared" si="10"/>
        <v>0</v>
      </c>
      <c r="BX63" s="7">
        <f t="shared" si="11"/>
        <v>0</v>
      </c>
      <c r="BY63" s="7">
        <f t="shared" si="12"/>
        <v>0</v>
      </c>
      <c r="BZ63" s="7">
        <f t="shared" si="13"/>
        <v>0</v>
      </c>
      <c r="CA63" s="7">
        <f t="shared" si="14"/>
        <v>0</v>
      </c>
      <c r="CB63" s="7">
        <f t="shared" si="15"/>
        <v>0</v>
      </c>
      <c r="CC63" s="7">
        <f t="shared" si="16"/>
        <v>0</v>
      </c>
      <c r="CD63" s="7">
        <f t="shared" si="17"/>
        <v>0</v>
      </c>
      <c r="CE63" s="7">
        <f t="shared" si="18"/>
        <v>0</v>
      </c>
      <c r="CF63" s="7">
        <f t="shared" si="19"/>
        <v>0</v>
      </c>
      <c r="CG63" s="7">
        <f t="shared" si="20"/>
        <v>0</v>
      </c>
      <c r="CH63" s="7">
        <f t="shared" si="21"/>
        <v>0</v>
      </c>
      <c r="CI63" s="7">
        <f t="shared" si="22"/>
        <v>0</v>
      </c>
      <c r="CJ63" s="7">
        <f t="shared" si="23"/>
        <v>0</v>
      </c>
      <c r="CK63" s="7">
        <f t="shared" si="24"/>
        <v>0</v>
      </c>
      <c r="CL63" s="7">
        <f t="shared" si="25"/>
        <v>0</v>
      </c>
      <c r="CM63" s="7">
        <f t="shared" si="26"/>
        <v>0</v>
      </c>
      <c r="CN63" s="7">
        <f t="shared" si="27"/>
        <v>0</v>
      </c>
      <c r="CO63" s="7">
        <f t="shared" si="28"/>
        <v>0</v>
      </c>
      <c r="CP63" s="7">
        <f t="shared" si="29"/>
        <v>0</v>
      </c>
      <c r="CQ63" s="7">
        <f t="shared" si="30"/>
        <v>0</v>
      </c>
      <c r="CR63" s="7">
        <f t="shared" si="31"/>
        <v>0</v>
      </c>
      <c r="CS63" s="7">
        <f t="shared" si="32"/>
        <v>0</v>
      </c>
      <c r="CT63" s="7">
        <f t="shared" si="33"/>
        <v>0</v>
      </c>
      <c r="CU63" s="7">
        <f t="shared" si="34"/>
        <v>0</v>
      </c>
      <c r="CV63" s="7">
        <f t="shared" si="35"/>
        <v>0</v>
      </c>
      <c r="CW63" s="7">
        <f t="shared" si="36"/>
        <v>0</v>
      </c>
      <c r="CX63" s="7">
        <f t="shared" si="37"/>
        <v>0</v>
      </c>
      <c r="CY63" s="7">
        <f t="shared" si="38"/>
        <v>0</v>
      </c>
      <c r="CZ63" s="7">
        <f t="shared" si="39"/>
        <v>0</v>
      </c>
      <c r="DA63" s="7">
        <f t="shared" si="40"/>
        <v>0</v>
      </c>
      <c r="DB63" s="7">
        <f t="shared" si="41"/>
        <v>0</v>
      </c>
      <c r="DC63" s="7">
        <f t="shared" si="42"/>
        <v>0</v>
      </c>
      <c r="DD63" s="7">
        <f t="shared" si="43"/>
        <v>0</v>
      </c>
      <c r="DE63" s="7">
        <f t="shared" si="44"/>
        <v>0</v>
      </c>
      <c r="DF63" s="7">
        <f t="shared" si="45"/>
        <v>0</v>
      </c>
      <c r="DG63" s="7">
        <f t="shared" si="46"/>
        <v>0</v>
      </c>
      <c r="DH63" s="7">
        <f t="shared" si="47"/>
        <v>0</v>
      </c>
      <c r="DI63" s="7">
        <f t="shared" si="48"/>
        <v>0</v>
      </c>
      <c r="DJ63" s="7">
        <f t="shared" si="49"/>
        <v>0</v>
      </c>
      <c r="DK63" s="7">
        <f t="shared" si="50"/>
        <v>0</v>
      </c>
      <c r="DL63" s="7">
        <f t="shared" si="51"/>
        <v>0</v>
      </c>
      <c r="DM63" s="7">
        <f t="shared" si="52"/>
        <v>0</v>
      </c>
      <c r="DN63" s="7">
        <f t="shared" si="53"/>
        <v>0</v>
      </c>
      <c r="DO63" s="7">
        <f t="shared" si="54"/>
        <v>0</v>
      </c>
      <c r="DP63" s="7">
        <f t="shared" si="55"/>
        <v>0</v>
      </c>
      <c r="DQ63" s="7">
        <f t="shared" si="56"/>
        <v>0</v>
      </c>
      <c r="DR63" s="7">
        <f t="shared" si="57"/>
        <v>0</v>
      </c>
      <c r="DS63" s="7">
        <f t="shared" si="58"/>
        <v>0</v>
      </c>
      <c r="DT63" s="7">
        <f t="shared" si="59"/>
        <v>0</v>
      </c>
      <c r="DU63" s="7">
        <f t="shared" si="60"/>
        <v>0</v>
      </c>
    </row>
    <row r="64" spans="1:125" x14ac:dyDescent="0.2">
      <c r="A64" s="3">
        <f>Bonds!A64</f>
        <v>46660</v>
      </c>
      <c r="B64" s="4">
        <f>Bonds!B64</f>
        <v>3.5</v>
      </c>
      <c r="C64">
        <f>Bonds!P64</f>
        <v>3</v>
      </c>
      <c r="D64">
        <f t="shared" si="0"/>
        <v>1</v>
      </c>
      <c r="E64" s="3">
        <f>IF(1&gt;$C64,"",IF($D64=1,EOMONTH(EDATE(Bonds!$H64,6*(1-1)),0),EDATE(Bonds!$H64,6*(1-1))))</f>
        <v>46295</v>
      </c>
      <c r="F64" s="3">
        <f>IF(2&gt;$C64,"",IF($D64=1,EOMONTH(EDATE(Bonds!$H64,6*(2-1)),0),EDATE(Bonds!$H64,6*(2-1))))</f>
        <v>46477</v>
      </c>
      <c r="G64" s="3">
        <f>IF(3&gt;$C64,"",IF($D64=1,EOMONTH(EDATE(Bonds!$H64,6*(3-1)),0),EDATE(Bonds!$H64,6*(3-1))))</f>
        <v>46660</v>
      </c>
      <c r="H64" s="3" t="str">
        <f>IF(4&gt;$C64,"",IF($D64=1,EOMONTH(EDATE(Bonds!$H64,6*(4-1)),0),EDATE(Bonds!$H64,6*(4-1))))</f>
        <v/>
      </c>
      <c r="I64" s="3" t="str">
        <f>IF(5&gt;$C64,"",IF($D64=1,EOMONTH(EDATE(Bonds!$H64,6*(5-1)),0),EDATE(Bonds!$H64,6*(5-1))))</f>
        <v/>
      </c>
      <c r="J64" s="3" t="str">
        <f>IF(6&gt;$C64,"",IF($D64=1,EOMONTH(EDATE(Bonds!$H64,6*(6-1)),0),EDATE(Bonds!$H64,6*(6-1))))</f>
        <v/>
      </c>
      <c r="K64" s="3" t="str">
        <f>IF(7&gt;$C64,"",IF($D64=1,EOMONTH(EDATE(Bonds!$H64,6*(7-1)),0),EDATE(Bonds!$H64,6*(7-1))))</f>
        <v/>
      </c>
      <c r="L64" s="3" t="str">
        <f>IF(8&gt;$C64,"",IF($D64=1,EOMONTH(EDATE(Bonds!$H64,6*(8-1)),0),EDATE(Bonds!$H64,6*(8-1))))</f>
        <v/>
      </c>
      <c r="M64" s="3" t="str">
        <f>IF(9&gt;$C64,"",IF($D64=1,EOMONTH(EDATE(Bonds!$H64,6*(9-1)),0),EDATE(Bonds!$H64,6*(9-1))))</f>
        <v/>
      </c>
      <c r="N64" s="3" t="str">
        <f>IF(10&gt;$C64,"",IF($D64=1,EOMONTH(EDATE(Bonds!$H64,6*(10-1)),0),EDATE(Bonds!$H64,6*(10-1))))</f>
        <v/>
      </c>
      <c r="O64" s="3" t="str">
        <f>IF(11&gt;$C64,"",IF($D64=1,EOMONTH(EDATE(Bonds!$H64,6*(11-1)),0),EDATE(Bonds!$H64,6*(11-1))))</f>
        <v/>
      </c>
      <c r="P64" s="3" t="str">
        <f>IF(12&gt;$C64,"",IF($D64=1,EOMONTH(EDATE(Bonds!$H64,6*(12-1)),0),EDATE(Bonds!$H64,6*(12-1))))</f>
        <v/>
      </c>
      <c r="Q64" s="3" t="str">
        <f>IF(13&gt;$C64,"",IF($D64=1,EOMONTH(EDATE(Bonds!$H64,6*(13-1)),0),EDATE(Bonds!$H64,6*(13-1))))</f>
        <v/>
      </c>
      <c r="R64" s="3" t="str">
        <f>IF(14&gt;$C64,"",IF($D64=1,EOMONTH(EDATE(Bonds!$H64,6*(14-1)),0),EDATE(Bonds!$H64,6*(14-1))))</f>
        <v/>
      </c>
      <c r="S64" s="3" t="str">
        <f>IF(15&gt;$C64,"",IF($D64=1,EOMONTH(EDATE(Bonds!$H64,6*(15-1)),0),EDATE(Bonds!$H64,6*(15-1))))</f>
        <v/>
      </c>
      <c r="T64" s="3" t="str">
        <f>IF(16&gt;$C64,"",IF($D64=1,EOMONTH(EDATE(Bonds!$H64,6*(16-1)),0),EDATE(Bonds!$H64,6*(16-1))))</f>
        <v/>
      </c>
      <c r="U64" s="3" t="str">
        <f>IF(17&gt;$C64,"",IF($D64=1,EOMONTH(EDATE(Bonds!$H64,6*(17-1)),0),EDATE(Bonds!$H64,6*(17-1))))</f>
        <v/>
      </c>
      <c r="V64" s="3" t="str">
        <f>IF(18&gt;$C64,"",IF($D64=1,EOMONTH(EDATE(Bonds!$H64,6*(18-1)),0),EDATE(Bonds!$H64,6*(18-1))))</f>
        <v/>
      </c>
      <c r="W64" s="3" t="str">
        <f>IF(19&gt;$C64,"",IF($D64=1,EOMONTH(EDATE(Bonds!$H64,6*(19-1)),0),EDATE(Bonds!$H64,6*(19-1))))</f>
        <v/>
      </c>
      <c r="X64" s="3" t="str">
        <f>IF(20&gt;$C64,"",IF($D64=1,EOMONTH(EDATE(Bonds!$H64,6*(20-1)),0),EDATE(Bonds!$H64,6*(20-1))))</f>
        <v/>
      </c>
      <c r="Y64" s="3" t="str">
        <f>IF(21&gt;$C64,"",IF($D64=1,EOMONTH(EDATE(Bonds!$H64,6*(21-1)),0),EDATE(Bonds!$H64,6*(21-1))))</f>
        <v/>
      </c>
      <c r="Z64" s="3" t="str">
        <f>IF(22&gt;$C64,"",IF($D64=1,EOMONTH(EDATE(Bonds!$H64,6*(22-1)),0),EDATE(Bonds!$H64,6*(22-1))))</f>
        <v/>
      </c>
      <c r="AA64" s="3" t="str">
        <f>IF(23&gt;$C64,"",IF($D64=1,EOMONTH(EDATE(Bonds!$H64,6*(23-1)),0),EDATE(Bonds!$H64,6*(23-1))))</f>
        <v/>
      </c>
      <c r="AB64" s="3" t="str">
        <f>IF(24&gt;$C64,"",IF($D64=1,EOMONTH(EDATE(Bonds!$H64,6*(24-1)),0),EDATE(Bonds!$H64,6*(24-1))))</f>
        <v/>
      </c>
      <c r="AC64" s="3" t="str">
        <f>IF(25&gt;$C64,"",IF($D64=1,EOMONTH(EDATE(Bonds!$H64,6*(25-1)),0),EDATE(Bonds!$H64,6*(25-1))))</f>
        <v/>
      </c>
      <c r="AD64" s="3" t="str">
        <f>IF(26&gt;$C64,"",IF($D64=1,EOMONTH(EDATE(Bonds!$H64,6*(26-1)),0),EDATE(Bonds!$H64,6*(26-1))))</f>
        <v/>
      </c>
      <c r="AE64" s="3" t="str">
        <f>IF(27&gt;$C64,"",IF($D64=1,EOMONTH(EDATE(Bonds!$H64,6*(27-1)),0),EDATE(Bonds!$H64,6*(27-1))))</f>
        <v/>
      </c>
      <c r="AF64" s="3" t="str">
        <f>IF(28&gt;$C64,"",IF($D64=1,EOMONTH(EDATE(Bonds!$H64,6*(28-1)),0),EDATE(Bonds!$H64,6*(28-1))))</f>
        <v/>
      </c>
      <c r="AG64" s="3" t="str">
        <f>IF(29&gt;$C64,"",IF($D64=1,EOMONTH(EDATE(Bonds!$H64,6*(29-1)),0),EDATE(Bonds!$H64,6*(29-1))))</f>
        <v/>
      </c>
      <c r="AH64" s="3" t="str">
        <f>IF(30&gt;$C64,"",IF($D64=1,EOMONTH(EDATE(Bonds!$H64,6*(30-1)),0),EDATE(Bonds!$H64,6*(30-1))))</f>
        <v/>
      </c>
      <c r="AI64" s="3" t="str">
        <f>IF(31&gt;$C64,"",IF($D64=1,EOMONTH(EDATE(Bonds!$H64,6*(31-1)),0),EDATE(Bonds!$H64,6*(31-1))))</f>
        <v/>
      </c>
      <c r="AJ64" s="3" t="str">
        <f>IF(32&gt;$C64,"",IF($D64=1,EOMONTH(EDATE(Bonds!$H64,6*(32-1)),0),EDATE(Bonds!$H64,6*(32-1))))</f>
        <v/>
      </c>
      <c r="AK64" s="3" t="str">
        <f>IF(33&gt;$C64,"",IF($D64=1,EOMONTH(EDATE(Bonds!$H64,6*(33-1)),0),EDATE(Bonds!$H64,6*(33-1))))</f>
        <v/>
      </c>
      <c r="AL64" s="3" t="str">
        <f>IF(34&gt;$C64,"",IF($D64=1,EOMONTH(EDATE(Bonds!$H64,6*(34-1)),0),EDATE(Bonds!$H64,6*(34-1))))</f>
        <v/>
      </c>
      <c r="AM64" s="3" t="str">
        <f>IF(35&gt;$C64,"",IF($D64=1,EOMONTH(EDATE(Bonds!$H64,6*(35-1)),0),EDATE(Bonds!$H64,6*(35-1))))</f>
        <v/>
      </c>
      <c r="AN64" s="3" t="str">
        <f>IF(36&gt;$C64,"",IF($D64=1,EOMONTH(EDATE(Bonds!$H64,6*(36-1)),0),EDATE(Bonds!$H64,6*(36-1))))</f>
        <v/>
      </c>
      <c r="AO64" s="3" t="str">
        <f>IF(37&gt;$C64,"",IF($D64=1,EOMONTH(EDATE(Bonds!$H64,6*(37-1)),0),EDATE(Bonds!$H64,6*(37-1))))</f>
        <v/>
      </c>
      <c r="AP64" s="3" t="str">
        <f>IF(38&gt;$C64,"",IF($D64=1,EOMONTH(EDATE(Bonds!$H64,6*(38-1)),0),EDATE(Bonds!$H64,6*(38-1))))</f>
        <v/>
      </c>
      <c r="AQ64" s="3" t="str">
        <f>IF(39&gt;$C64,"",IF($D64=1,EOMONTH(EDATE(Bonds!$H64,6*(39-1)),0),EDATE(Bonds!$H64,6*(39-1))))</f>
        <v/>
      </c>
      <c r="AR64" s="3" t="str">
        <f>IF(40&gt;$C64,"",IF($D64=1,EOMONTH(EDATE(Bonds!$H64,6*(40-1)),0),EDATE(Bonds!$H64,6*(40-1))))</f>
        <v/>
      </c>
      <c r="AS64" s="3" t="str">
        <f>IF(41&gt;$C64,"",IF($D64=1,EOMONTH(EDATE(Bonds!$H64,6*(41-1)),0),EDATE(Bonds!$H64,6*(41-1))))</f>
        <v/>
      </c>
      <c r="AT64" s="3" t="str">
        <f>IF(42&gt;$C64,"",IF($D64=1,EOMONTH(EDATE(Bonds!$H64,6*(42-1)),0),EDATE(Bonds!$H64,6*(42-1))))</f>
        <v/>
      </c>
      <c r="AU64" s="3" t="str">
        <f>IF(43&gt;$C64,"",IF($D64=1,EOMONTH(EDATE(Bonds!$H64,6*(43-1)),0),EDATE(Bonds!$H64,6*(43-1))))</f>
        <v/>
      </c>
      <c r="AV64" s="3" t="str">
        <f>IF(44&gt;$C64,"",IF($D64=1,EOMONTH(EDATE(Bonds!$H64,6*(44-1)),0),EDATE(Bonds!$H64,6*(44-1))))</f>
        <v/>
      </c>
      <c r="AW64" s="3" t="str">
        <f>IF(45&gt;$C64,"",IF($D64=1,EOMONTH(EDATE(Bonds!$H64,6*(45-1)),0),EDATE(Bonds!$H64,6*(45-1))))</f>
        <v/>
      </c>
      <c r="AX64" s="3" t="str">
        <f>IF(46&gt;$C64,"",IF($D64=1,EOMONTH(EDATE(Bonds!$H64,6*(46-1)),0),EDATE(Bonds!$H64,6*(46-1))))</f>
        <v/>
      </c>
      <c r="AY64" s="3" t="str">
        <f>IF(47&gt;$C64,"",IF($D64=1,EOMONTH(EDATE(Bonds!$H64,6*(47-1)),0),EDATE(Bonds!$H64,6*(47-1))))</f>
        <v/>
      </c>
      <c r="AZ64" s="3" t="str">
        <f>IF(48&gt;$C64,"",IF($D64=1,EOMONTH(EDATE(Bonds!$H64,6*(48-1)),0),EDATE(Bonds!$H64,6*(48-1))))</f>
        <v/>
      </c>
      <c r="BA64" s="3" t="str">
        <f>IF(49&gt;$C64,"",IF($D64=1,EOMONTH(EDATE(Bonds!$H64,6*(49-1)),0),EDATE(Bonds!$H64,6*(49-1))))</f>
        <v/>
      </c>
      <c r="BB64" s="3" t="str">
        <f>IF(50&gt;$C64,"",IF($D64=1,EOMONTH(EDATE(Bonds!$H64,6*(50-1)),0),EDATE(Bonds!$H64,6*(50-1))))</f>
        <v/>
      </c>
      <c r="BC64" s="3" t="str">
        <f>IF(51&gt;$C64,"",IF($D64=1,EOMONTH(EDATE(Bonds!$H64,6*(51-1)),0),EDATE(Bonds!$H64,6*(51-1))))</f>
        <v/>
      </c>
      <c r="BD64" s="3" t="str">
        <f>IF(52&gt;$C64,"",IF($D64=1,EOMONTH(EDATE(Bonds!$H64,6*(52-1)),0),EDATE(Bonds!$H64,6*(52-1))))</f>
        <v/>
      </c>
      <c r="BE64" s="3" t="str">
        <f>IF(53&gt;$C64,"",IF($D64=1,EOMONTH(EDATE(Bonds!$H64,6*(53-1)),0),EDATE(Bonds!$H64,6*(53-1))))</f>
        <v/>
      </c>
      <c r="BF64" s="3" t="str">
        <f>IF(54&gt;$C64,"",IF($D64=1,EOMONTH(EDATE(Bonds!$H64,6*(54-1)),0),EDATE(Bonds!$H64,6*(54-1))))</f>
        <v/>
      </c>
      <c r="BG64" s="3" t="str">
        <f>IF(55&gt;$C64,"",IF($D64=1,EOMONTH(EDATE(Bonds!$H64,6*(55-1)),0),EDATE(Bonds!$H64,6*(55-1))))</f>
        <v/>
      </c>
      <c r="BH64" s="3" t="str">
        <f>IF(56&gt;$C64,"",IF($D64=1,EOMONTH(EDATE(Bonds!$H64,6*(56-1)),0),EDATE(Bonds!$H64,6*(56-1))))</f>
        <v/>
      </c>
      <c r="BI64" s="3" t="str">
        <f>IF(57&gt;$C64,"",IF($D64=1,EOMONTH(EDATE(Bonds!$H64,6*(57-1)),0),EDATE(Bonds!$H64,6*(57-1))))</f>
        <v/>
      </c>
      <c r="BJ64" s="3" t="str">
        <f>IF(58&gt;$C64,"",IF($D64=1,EOMONTH(EDATE(Bonds!$H64,6*(58-1)),0),EDATE(Bonds!$H64,6*(58-1))))</f>
        <v/>
      </c>
      <c r="BK64" s="3" t="str">
        <f>IF(59&gt;$C64,"",IF($D64=1,EOMONTH(EDATE(Bonds!$H64,6*(59-1)),0),EDATE(Bonds!$H64,6*(59-1))))</f>
        <v/>
      </c>
      <c r="BL64" s="3" t="str">
        <f>IF(60&gt;$C64,"",IF($D64=1,EOMONTH(EDATE(Bonds!$H64,6*(60-1)),0),EDATE(Bonds!$H64,6*(60-1))))</f>
        <v/>
      </c>
      <c r="BN64" s="7">
        <f t="shared" si="1"/>
        <v>1.7461314879320211</v>
      </c>
      <c r="BO64" s="7">
        <f t="shared" si="2"/>
        <v>1.7116775476479911</v>
      </c>
      <c r="BP64" s="7">
        <f t="shared" si="3"/>
        <v>97.368494216143617</v>
      </c>
      <c r="BQ64" s="7">
        <f t="shared" si="4"/>
        <v>0</v>
      </c>
      <c r="BR64" s="7">
        <f t="shared" si="5"/>
        <v>0</v>
      </c>
      <c r="BS64" s="7">
        <f t="shared" si="6"/>
        <v>0</v>
      </c>
      <c r="BT64" s="7">
        <f t="shared" si="7"/>
        <v>0</v>
      </c>
      <c r="BU64" s="7">
        <f t="shared" si="8"/>
        <v>0</v>
      </c>
      <c r="BV64" s="7">
        <f t="shared" si="9"/>
        <v>0</v>
      </c>
      <c r="BW64" s="7">
        <f t="shared" si="10"/>
        <v>0</v>
      </c>
      <c r="BX64" s="7">
        <f t="shared" si="11"/>
        <v>0</v>
      </c>
      <c r="BY64" s="7">
        <f t="shared" si="12"/>
        <v>0</v>
      </c>
      <c r="BZ64" s="7">
        <f t="shared" si="13"/>
        <v>0</v>
      </c>
      <c r="CA64" s="7">
        <f t="shared" si="14"/>
        <v>0</v>
      </c>
      <c r="CB64" s="7">
        <f t="shared" si="15"/>
        <v>0</v>
      </c>
      <c r="CC64" s="7">
        <f t="shared" si="16"/>
        <v>0</v>
      </c>
      <c r="CD64" s="7">
        <f t="shared" si="17"/>
        <v>0</v>
      </c>
      <c r="CE64" s="7">
        <f t="shared" si="18"/>
        <v>0</v>
      </c>
      <c r="CF64" s="7">
        <f t="shared" si="19"/>
        <v>0</v>
      </c>
      <c r="CG64" s="7">
        <f t="shared" si="20"/>
        <v>0</v>
      </c>
      <c r="CH64" s="7">
        <f t="shared" si="21"/>
        <v>0</v>
      </c>
      <c r="CI64" s="7">
        <f t="shared" si="22"/>
        <v>0</v>
      </c>
      <c r="CJ64" s="7">
        <f t="shared" si="23"/>
        <v>0</v>
      </c>
      <c r="CK64" s="7">
        <f t="shared" si="24"/>
        <v>0</v>
      </c>
      <c r="CL64" s="7">
        <f t="shared" si="25"/>
        <v>0</v>
      </c>
      <c r="CM64" s="7">
        <f t="shared" si="26"/>
        <v>0</v>
      </c>
      <c r="CN64" s="7">
        <f t="shared" si="27"/>
        <v>0</v>
      </c>
      <c r="CO64" s="7">
        <f t="shared" si="28"/>
        <v>0</v>
      </c>
      <c r="CP64" s="7">
        <f t="shared" si="29"/>
        <v>0</v>
      </c>
      <c r="CQ64" s="7">
        <f t="shared" si="30"/>
        <v>0</v>
      </c>
      <c r="CR64" s="7">
        <f t="shared" si="31"/>
        <v>0</v>
      </c>
      <c r="CS64" s="7">
        <f t="shared" si="32"/>
        <v>0</v>
      </c>
      <c r="CT64" s="7">
        <f t="shared" si="33"/>
        <v>0</v>
      </c>
      <c r="CU64" s="7">
        <f t="shared" si="34"/>
        <v>0</v>
      </c>
      <c r="CV64" s="7">
        <f t="shared" si="35"/>
        <v>0</v>
      </c>
      <c r="CW64" s="7">
        <f t="shared" si="36"/>
        <v>0</v>
      </c>
      <c r="CX64" s="7">
        <f t="shared" si="37"/>
        <v>0</v>
      </c>
      <c r="CY64" s="7">
        <f t="shared" si="38"/>
        <v>0</v>
      </c>
      <c r="CZ64" s="7">
        <f t="shared" si="39"/>
        <v>0</v>
      </c>
      <c r="DA64" s="7">
        <f t="shared" si="40"/>
        <v>0</v>
      </c>
      <c r="DB64" s="7">
        <f t="shared" si="41"/>
        <v>0</v>
      </c>
      <c r="DC64" s="7">
        <f t="shared" si="42"/>
        <v>0</v>
      </c>
      <c r="DD64" s="7">
        <f t="shared" si="43"/>
        <v>0</v>
      </c>
      <c r="DE64" s="7">
        <f t="shared" si="44"/>
        <v>0</v>
      </c>
      <c r="DF64" s="7">
        <f t="shared" si="45"/>
        <v>0</v>
      </c>
      <c r="DG64" s="7">
        <f t="shared" si="46"/>
        <v>0</v>
      </c>
      <c r="DH64" s="7">
        <f t="shared" si="47"/>
        <v>0</v>
      </c>
      <c r="DI64" s="7">
        <f t="shared" si="48"/>
        <v>0</v>
      </c>
      <c r="DJ64" s="7">
        <f t="shared" si="49"/>
        <v>0</v>
      </c>
      <c r="DK64" s="7">
        <f t="shared" si="50"/>
        <v>0</v>
      </c>
      <c r="DL64" s="7">
        <f t="shared" si="51"/>
        <v>0</v>
      </c>
      <c r="DM64" s="7">
        <f t="shared" si="52"/>
        <v>0</v>
      </c>
      <c r="DN64" s="7">
        <f t="shared" si="53"/>
        <v>0</v>
      </c>
      <c r="DO64" s="7">
        <f t="shared" si="54"/>
        <v>0</v>
      </c>
      <c r="DP64" s="7">
        <f t="shared" si="55"/>
        <v>0</v>
      </c>
      <c r="DQ64" s="7">
        <f t="shared" si="56"/>
        <v>0</v>
      </c>
      <c r="DR64" s="7">
        <f t="shared" si="57"/>
        <v>0</v>
      </c>
      <c r="DS64" s="7">
        <f t="shared" si="58"/>
        <v>0</v>
      </c>
      <c r="DT64" s="7">
        <f t="shared" si="59"/>
        <v>0</v>
      </c>
      <c r="DU64" s="7">
        <f t="shared" si="60"/>
        <v>0</v>
      </c>
    </row>
    <row r="65" spans="1:125" x14ac:dyDescent="0.2">
      <c r="A65" s="3">
        <f>Bonds!A65</f>
        <v>46660</v>
      </c>
      <c r="B65" s="4">
        <f>Bonds!B65</f>
        <v>4.125</v>
      </c>
      <c r="C65">
        <f>Bonds!P65</f>
        <v>3</v>
      </c>
      <c r="D65">
        <f t="shared" si="0"/>
        <v>1</v>
      </c>
      <c r="E65" s="3">
        <f>IF(1&gt;$C65,"",IF($D65=1,EOMONTH(EDATE(Bonds!$H65,6*(1-1)),0),EDATE(Bonds!$H65,6*(1-1))))</f>
        <v>46295</v>
      </c>
      <c r="F65" s="3">
        <f>IF(2&gt;$C65,"",IF($D65=1,EOMONTH(EDATE(Bonds!$H65,6*(2-1)),0),EDATE(Bonds!$H65,6*(2-1))))</f>
        <v>46477</v>
      </c>
      <c r="G65" s="3">
        <f>IF(3&gt;$C65,"",IF($D65=1,EOMONTH(EDATE(Bonds!$H65,6*(3-1)),0),EDATE(Bonds!$H65,6*(3-1))))</f>
        <v>46660</v>
      </c>
      <c r="H65" s="3" t="str">
        <f>IF(4&gt;$C65,"",IF($D65=1,EOMONTH(EDATE(Bonds!$H65,6*(4-1)),0),EDATE(Bonds!$H65,6*(4-1))))</f>
        <v/>
      </c>
      <c r="I65" s="3" t="str">
        <f>IF(5&gt;$C65,"",IF($D65=1,EOMONTH(EDATE(Bonds!$H65,6*(5-1)),0),EDATE(Bonds!$H65,6*(5-1))))</f>
        <v/>
      </c>
      <c r="J65" s="3" t="str">
        <f>IF(6&gt;$C65,"",IF($D65=1,EOMONTH(EDATE(Bonds!$H65,6*(6-1)),0),EDATE(Bonds!$H65,6*(6-1))))</f>
        <v/>
      </c>
      <c r="K65" s="3" t="str">
        <f>IF(7&gt;$C65,"",IF($D65=1,EOMONTH(EDATE(Bonds!$H65,6*(7-1)),0),EDATE(Bonds!$H65,6*(7-1))))</f>
        <v/>
      </c>
      <c r="L65" s="3" t="str">
        <f>IF(8&gt;$C65,"",IF($D65=1,EOMONTH(EDATE(Bonds!$H65,6*(8-1)),0),EDATE(Bonds!$H65,6*(8-1))))</f>
        <v/>
      </c>
      <c r="M65" s="3" t="str">
        <f>IF(9&gt;$C65,"",IF($D65=1,EOMONTH(EDATE(Bonds!$H65,6*(9-1)),0),EDATE(Bonds!$H65,6*(9-1))))</f>
        <v/>
      </c>
      <c r="N65" s="3" t="str">
        <f>IF(10&gt;$C65,"",IF($D65=1,EOMONTH(EDATE(Bonds!$H65,6*(10-1)),0),EDATE(Bonds!$H65,6*(10-1))))</f>
        <v/>
      </c>
      <c r="O65" s="3" t="str">
        <f>IF(11&gt;$C65,"",IF($D65=1,EOMONTH(EDATE(Bonds!$H65,6*(11-1)),0),EDATE(Bonds!$H65,6*(11-1))))</f>
        <v/>
      </c>
      <c r="P65" s="3" t="str">
        <f>IF(12&gt;$C65,"",IF($D65=1,EOMONTH(EDATE(Bonds!$H65,6*(12-1)),0),EDATE(Bonds!$H65,6*(12-1))))</f>
        <v/>
      </c>
      <c r="Q65" s="3" t="str">
        <f>IF(13&gt;$C65,"",IF($D65=1,EOMONTH(EDATE(Bonds!$H65,6*(13-1)),0),EDATE(Bonds!$H65,6*(13-1))))</f>
        <v/>
      </c>
      <c r="R65" s="3" t="str">
        <f>IF(14&gt;$C65,"",IF($D65=1,EOMONTH(EDATE(Bonds!$H65,6*(14-1)),0),EDATE(Bonds!$H65,6*(14-1))))</f>
        <v/>
      </c>
      <c r="S65" s="3" t="str">
        <f>IF(15&gt;$C65,"",IF($D65=1,EOMONTH(EDATE(Bonds!$H65,6*(15-1)),0),EDATE(Bonds!$H65,6*(15-1))))</f>
        <v/>
      </c>
      <c r="T65" s="3" t="str">
        <f>IF(16&gt;$C65,"",IF($D65=1,EOMONTH(EDATE(Bonds!$H65,6*(16-1)),0),EDATE(Bonds!$H65,6*(16-1))))</f>
        <v/>
      </c>
      <c r="U65" s="3" t="str">
        <f>IF(17&gt;$C65,"",IF($D65=1,EOMONTH(EDATE(Bonds!$H65,6*(17-1)),0),EDATE(Bonds!$H65,6*(17-1))))</f>
        <v/>
      </c>
      <c r="V65" s="3" t="str">
        <f>IF(18&gt;$C65,"",IF($D65=1,EOMONTH(EDATE(Bonds!$H65,6*(18-1)),0),EDATE(Bonds!$H65,6*(18-1))))</f>
        <v/>
      </c>
      <c r="W65" s="3" t="str">
        <f>IF(19&gt;$C65,"",IF($D65=1,EOMONTH(EDATE(Bonds!$H65,6*(19-1)),0),EDATE(Bonds!$H65,6*(19-1))))</f>
        <v/>
      </c>
      <c r="X65" s="3" t="str">
        <f>IF(20&gt;$C65,"",IF($D65=1,EOMONTH(EDATE(Bonds!$H65,6*(20-1)),0),EDATE(Bonds!$H65,6*(20-1))))</f>
        <v/>
      </c>
      <c r="Y65" s="3" t="str">
        <f>IF(21&gt;$C65,"",IF($D65=1,EOMONTH(EDATE(Bonds!$H65,6*(21-1)),0),EDATE(Bonds!$H65,6*(21-1))))</f>
        <v/>
      </c>
      <c r="Z65" s="3" t="str">
        <f>IF(22&gt;$C65,"",IF($D65=1,EOMONTH(EDATE(Bonds!$H65,6*(22-1)),0),EDATE(Bonds!$H65,6*(22-1))))</f>
        <v/>
      </c>
      <c r="AA65" s="3" t="str">
        <f>IF(23&gt;$C65,"",IF($D65=1,EOMONTH(EDATE(Bonds!$H65,6*(23-1)),0),EDATE(Bonds!$H65,6*(23-1))))</f>
        <v/>
      </c>
      <c r="AB65" s="3" t="str">
        <f>IF(24&gt;$C65,"",IF($D65=1,EOMONTH(EDATE(Bonds!$H65,6*(24-1)),0),EDATE(Bonds!$H65,6*(24-1))))</f>
        <v/>
      </c>
      <c r="AC65" s="3" t="str">
        <f>IF(25&gt;$C65,"",IF($D65=1,EOMONTH(EDATE(Bonds!$H65,6*(25-1)),0),EDATE(Bonds!$H65,6*(25-1))))</f>
        <v/>
      </c>
      <c r="AD65" s="3" t="str">
        <f>IF(26&gt;$C65,"",IF($D65=1,EOMONTH(EDATE(Bonds!$H65,6*(26-1)),0),EDATE(Bonds!$H65,6*(26-1))))</f>
        <v/>
      </c>
      <c r="AE65" s="3" t="str">
        <f>IF(27&gt;$C65,"",IF($D65=1,EOMONTH(EDATE(Bonds!$H65,6*(27-1)),0),EDATE(Bonds!$H65,6*(27-1))))</f>
        <v/>
      </c>
      <c r="AF65" s="3" t="str">
        <f>IF(28&gt;$C65,"",IF($D65=1,EOMONTH(EDATE(Bonds!$H65,6*(28-1)),0),EDATE(Bonds!$H65,6*(28-1))))</f>
        <v/>
      </c>
      <c r="AG65" s="3" t="str">
        <f>IF(29&gt;$C65,"",IF($D65=1,EOMONTH(EDATE(Bonds!$H65,6*(29-1)),0),EDATE(Bonds!$H65,6*(29-1))))</f>
        <v/>
      </c>
      <c r="AH65" s="3" t="str">
        <f>IF(30&gt;$C65,"",IF($D65=1,EOMONTH(EDATE(Bonds!$H65,6*(30-1)),0),EDATE(Bonds!$H65,6*(30-1))))</f>
        <v/>
      </c>
      <c r="AI65" s="3" t="str">
        <f>IF(31&gt;$C65,"",IF($D65=1,EOMONTH(EDATE(Bonds!$H65,6*(31-1)),0),EDATE(Bonds!$H65,6*(31-1))))</f>
        <v/>
      </c>
      <c r="AJ65" s="3" t="str">
        <f>IF(32&gt;$C65,"",IF($D65=1,EOMONTH(EDATE(Bonds!$H65,6*(32-1)),0),EDATE(Bonds!$H65,6*(32-1))))</f>
        <v/>
      </c>
      <c r="AK65" s="3" t="str">
        <f>IF(33&gt;$C65,"",IF($D65=1,EOMONTH(EDATE(Bonds!$H65,6*(33-1)),0),EDATE(Bonds!$H65,6*(33-1))))</f>
        <v/>
      </c>
      <c r="AL65" s="3" t="str">
        <f>IF(34&gt;$C65,"",IF($D65=1,EOMONTH(EDATE(Bonds!$H65,6*(34-1)),0),EDATE(Bonds!$H65,6*(34-1))))</f>
        <v/>
      </c>
      <c r="AM65" s="3" t="str">
        <f>IF(35&gt;$C65,"",IF($D65=1,EOMONTH(EDATE(Bonds!$H65,6*(35-1)),0),EDATE(Bonds!$H65,6*(35-1))))</f>
        <v/>
      </c>
      <c r="AN65" s="3" t="str">
        <f>IF(36&gt;$C65,"",IF($D65=1,EOMONTH(EDATE(Bonds!$H65,6*(36-1)),0),EDATE(Bonds!$H65,6*(36-1))))</f>
        <v/>
      </c>
      <c r="AO65" s="3" t="str">
        <f>IF(37&gt;$C65,"",IF($D65=1,EOMONTH(EDATE(Bonds!$H65,6*(37-1)),0),EDATE(Bonds!$H65,6*(37-1))))</f>
        <v/>
      </c>
      <c r="AP65" s="3" t="str">
        <f>IF(38&gt;$C65,"",IF($D65=1,EOMONTH(EDATE(Bonds!$H65,6*(38-1)),0),EDATE(Bonds!$H65,6*(38-1))))</f>
        <v/>
      </c>
      <c r="AQ65" s="3" t="str">
        <f>IF(39&gt;$C65,"",IF($D65=1,EOMONTH(EDATE(Bonds!$H65,6*(39-1)),0),EDATE(Bonds!$H65,6*(39-1))))</f>
        <v/>
      </c>
      <c r="AR65" s="3" t="str">
        <f>IF(40&gt;$C65,"",IF($D65=1,EOMONTH(EDATE(Bonds!$H65,6*(40-1)),0),EDATE(Bonds!$H65,6*(40-1))))</f>
        <v/>
      </c>
      <c r="AS65" s="3" t="str">
        <f>IF(41&gt;$C65,"",IF($D65=1,EOMONTH(EDATE(Bonds!$H65,6*(41-1)),0),EDATE(Bonds!$H65,6*(41-1))))</f>
        <v/>
      </c>
      <c r="AT65" s="3" t="str">
        <f>IF(42&gt;$C65,"",IF($D65=1,EOMONTH(EDATE(Bonds!$H65,6*(42-1)),0),EDATE(Bonds!$H65,6*(42-1))))</f>
        <v/>
      </c>
      <c r="AU65" s="3" t="str">
        <f>IF(43&gt;$C65,"",IF($D65=1,EOMONTH(EDATE(Bonds!$H65,6*(43-1)),0),EDATE(Bonds!$H65,6*(43-1))))</f>
        <v/>
      </c>
      <c r="AV65" s="3" t="str">
        <f>IF(44&gt;$C65,"",IF($D65=1,EOMONTH(EDATE(Bonds!$H65,6*(44-1)),0),EDATE(Bonds!$H65,6*(44-1))))</f>
        <v/>
      </c>
      <c r="AW65" s="3" t="str">
        <f>IF(45&gt;$C65,"",IF($D65=1,EOMONTH(EDATE(Bonds!$H65,6*(45-1)),0),EDATE(Bonds!$H65,6*(45-1))))</f>
        <v/>
      </c>
      <c r="AX65" s="3" t="str">
        <f>IF(46&gt;$C65,"",IF($D65=1,EOMONTH(EDATE(Bonds!$H65,6*(46-1)),0),EDATE(Bonds!$H65,6*(46-1))))</f>
        <v/>
      </c>
      <c r="AY65" s="3" t="str">
        <f>IF(47&gt;$C65,"",IF($D65=1,EOMONTH(EDATE(Bonds!$H65,6*(47-1)),0),EDATE(Bonds!$H65,6*(47-1))))</f>
        <v/>
      </c>
      <c r="AZ65" s="3" t="str">
        <f>IF(48&gt;$C65,"",IF($D65=1,EOMONTH(EDATE(Bonds!$H65,6*(48-1)),0),EDATE(Bonds!$H65,6*(48-1))))</f>
        <v/>
      </c>
      <c r="BA65" s="3" t="str">
        <f>IF(49&gt;$C65,"",IF($D65=1,EOMONTH(EDATE(Bonds!$H65,6*(49-1)),0),EDATE(Bonds!$H65,6*(49-1))))</f>
        <v/>
      </c>
      <c r="BB65" s="3" t="str">
        <f>IF(50&gt;$C65,"",IF($D65=1,EOMONTH(EDATE(Bonds!$H65,6*(50-1)),0),EDATE(Bonds!$H65,6*(50-1))))</f>
        <v/>
      </c>
      <c r="BC65" s="3" t="str">
        <f>IF(51&gt;$C65,"",IF($D65=1,EOMONTH(EDATE(Bonds!$H65,6*(51-1)),0),EDATE(Bonds!$H65,6*(51-1))))</f>
        <v/>
      </c>
      <c r="BD65" s="3" t="str">
        <f>IF(52&gt;$C65,"",IF($D65=1,EOMONTH(EDATE(Bonds!$H65,6*(52-1)),0),EDATE(Bonds!$H65,6*(52-1))))</f>
        <v/>
      </c>
      <c r="BE65" s="3" t="str">
        <f>IF(53&gt;$C65,"",IF($D65=1,EOMONTH(EDATE(Bonds!$H65,6*(53-1)),0),EDATE(Bonds!$H65,6*(53-1))))</f>
        <v/>
      </c>
      <c r="BF65" s="3" t="str">
        <f>IF(54&gt;$C65,"",IF($D65=1,EOMONTH(EDATE(Bonds!$H65,6*(54-1)),0),EDATE(Bonds!$H65,6*(54-1))))</f>
        <v/>
      </c>
      <c r="BG65" s="3" t="str">
        <f>IF(55&gt;$C65,"",IF($D65=1,EOMONTH(EDATE(Bonds!$H65,6*(55-1)),0),EDATE(Bonds!$H65,6*(55-1))))</f>
        <v/>
      </c>
      <c r="BH65" s="3" t="str">
        <f>IF(56&gt;$C65,"",IF($D65=1,EOMONTH(EDATE(Bonds!$H65,6*(56-1)),0),EDATE(Bonds!$H65,6*(56-1))))</f>
        <v/>
      </c>
      <c r="BI65" s="3" t="str">
        <f>IF(57&gt;$C65,"",IF($D65=1,EOMONTH(EDATE(Bonds!$H65,6*(57-1)),0),EDATE(Bonds!$H65,6*(57-1))))</f>
        <v/>
      </c>
      <c r="BJ65" s="3" t="str">
        <f>IF(58&gt;$C65,"",IF($D65=1,EOMONTH(EDATE(Bonds!$H65,6*(58-1)),0),EDATE(Bonds!$H65,6*(58-1))))</f>
        <v/>
      </c>
      <c r="BK65" s="3" t="str">
        <f>IF(59&gt;$C65,"",IF($D65=1,EOMONTH(EDATE(Bonds!$H65,6*(59-1)),0),EDATE(Bonds!$H65,6*(59-1))))</f>
        <v/>
      </c>
      <c r="BL65" s="3" t="str">
        <f>IF(60&gt;$C65,"",IF($D65=1,EOMONTH(EDATE(Bonds!$H65,6*(60-1)),0),EDATE(Bonds!$H65,6*(60-1))))</f>
        <v/>
      </c>
      <c r="BN65" s="7">
        <f t="shared" si="1"/>
        <v>2.0579406822055963</v>
      </c>
      <c r="BO65" s="7">
        <f t="shared" si="2"/>
        <v>2.0173342525851323</v>
      </c>
      <c r="BP65" s="7">
        <f t="shared" si="3"/>
        <v>97.667537503048237</v>
      </c>
      <c r="BQ65" s="7">
        <f t="shared" si="4"/>
        <v>0</v>
      </c>
      <c r="BR65" s="7">
        <f t="shared" si="5"/>
        <v>0</v>
      </c>
      <c r="BS65" s="7">
        <f t="shared" si="6"/>
        <v>0</v>
      </c>
      <c r="BT65" s="7">
        <f t="shared" si="7"/>
        <v>0</v>
      </c>
      <c r="BU65" s="7">
        <f t="shared" si="8"/>
        <v>0</v>
      </c>
      <c r="BV65" s="7">
        <f t="shared" si="9"/>
        <v>0</v>
      </c>
      <c r="BW65" s="7">
        <f t="shared" si="10"/>
        <v>0</v>
      </c>
      <c r="BX65" s="7">
        <f t="shared" si="11"/>
        <v>0</v>
      </c>
      <c r="BY65" s="7">
        <f t="shared" si="12"/>
        <v>0</v>
      </c>
      <c r="BZ65" s="7">
        <f t="shared" si="13"/>
        <v>0</v>
      </c>
      <c r="CA65" s="7">
        <f t="shared" si="14"/>
        <v>0</v>
      </c>
      <c r="CB65" s="7">
        <f t="shared" si="15"/>
        <v>0</v>
      </c>
      <c r="CC65" s="7">
        <f t="shared" si="16"/>
        <v>0</v>
      </c>
      <c r="CD65" s="7">
        <f t="shared" si="17"/>
        <v>0</v>
      </c>
      <c r="CE65" s="7">
        <f t="shared" si="18"/>
        <v>0</v>
      </c>
      <c r="CF65" s="7">
        <f t="shared" si="19"/>
        <v>0</v>
      </c>
      <c r="CG65" s="7">
        <f t="shared" si="20"/>
        <v>0</v>
      </c>
      <c r="CH65" s="7">
        <f t="shared" si="21"/>
        <v>0</v>
      </c>
      <c r="CI65" s="7">
        <f t="shared" si="22"/>
        <v>0</v>
      </c>
      <c r="CJ65" s="7">
        <f t="shared" si="23"/>
        <v>0</v>
      </c>
      <c r="CK65" s="7">
        <f t="shared" si="24"/>
        <v>0</v>
      </c>
      <c r="CL65" s="7">
        <f t="shared" si="25"/>
        <v>0</v>
      </c>
      <c r="CM65" s="7">
        <f t="shared" si="26"/>
        <v>0</v>
      </c>
      <c r="CN65" s="7">
        <f t="shared" si="27"/>
        <v>0</v>
      </c>
      <c r="CO65" s="7">
        <f t="shared" si="28"/>
        <v>0</v>
      </c>
      <c r="CP65" s="7">
        <f t="shared" si="29"/>
        <v>0</v>
      </c>
      <c r="CQ65" s="7">
        <f t="shared" si="30"/>
        <v>0</v>
      </c>
      <c r="CR65" s="7">
        <f t="shared" si="31"/>
        <v>0</v>
      </c>
      <c r="CS65" s="7">
        <f t="shared" si="32"/>
        <v>0</v>
      </c>
      <c r="CT65" s="7">
        <f t="shared" si="33"/>
        <v>0</v>
      </c>
      <c r="CU65" s="7">
        <f t="shared" si="34"/>
        <v>0</v>
      </c>
      <c r="CV65" s="7">
        <f t="shared" si="35"/>
        <v>0</v>
      </c>
      <c r="CW65" s="7">
        <f t="shared" si="36"/>
        <v>0</v>
      </c>
      <c r="CX65" s="7">
        <f t="shared" si="37"/>
        <v>0</v>
      </c>
      <c r="CY65" s="7">
        <f t="shared" si="38"/>
        <v>0</v>
      </c>
      <c r="CZ65" s="7">
        <f t="shared" si="39"/>
        <v>0</v>
      </c>
      <c r="DA65" s="7">
        <f t="shared" si="40"/>
        <v>0</v>
      </c>
      <c r="DB65" s="7">
        <f t="shared" si="41"/>
        <v>0</v>
      </c>
      <c r="DC65" s="7">
        <f t="shared" si="42"/>
        <v>0</v>
      </c>
      <c r="DD65" s="7">
        <f t="shared" si="43"/>
        <v>0</v>
      </c>
      <c r="DE65" s="7">
        <f t="shared" si="44"/>
        <v>0</v>
      </c>
      <c r="DF65" s="7">
        <f t="shared" si="45"/>
        <v>0</v>
      </c>
      <c r="DG65" s="7">
        <f t="shared" si="46"/>
        <v>0</v>
      </c>
      <c r="DH65" s="7">
        <f t="shared" si="47"/>
        <v>0</v>
      </c>
      <c r="DI65" s="7">
        <f t="shared" si="48"/>
        <v>0</v>
      </c>
      <c r="DJ65" s="7">
        <f t="shared" si="49"/>
        <v>0</v>
      </c>
      <c r="DK65" s="7">
        <f t="shared" si="50"/>
        <v>0</v>
      </c>
      <c r="DL65" s="7">
        <f t="shared" si="51"/>
        <v>0</v>
      </c>
      <c r="DM65" s="7">
        <f t="shared" si="52"/>
        <v>0</v>
      </c>
      <c r="DN65" s="7">
        <f t="shared" si="53"/>
        <v>0</v>
      </c>
      <c r="DO65" s="7">
        <f t="shared" si="54"/>
        <v>0</v>
      </c>
      <c r="DP65" s="7">
        <f t="shared" si="55"/>
        <v>0</v>
      </c>
      <c r="DQ65" s="7">
        <f t="shared" si="56"/>
        <v>0</v>
      </c>
      <c r="DR65" s="7">
        <f t="shared" si="57"/>
        <v>0</v>
      </c>
      <c r="DS65" s="7">
        <f t="shared" si="58"/>
        <v>0</v>
      </c>
      <c r="DT65" s="7">
        <f t="shared" si="59"/>
        <v>0</v>
      </c>
      <c r="DU65" s="7">
        <f t="shared" si="60"/>
        <v>0</v>
      </c>
    </row>
    <row r="66" spans="1:125" x14ac:dyDescent="0.2">
      <c r="A66" s="3">
        <f>Bonds!A66</f>
        <v>46675</v>
      </c>
      <c r="B66" s="4">
        <f>Bonds!B66</f>
        <v>3.875</v>
      </c>
      <c r="C66">
        <f>Bonds!P66</f>
        <v>3</v>
      </c>
      <c r="D66">
        <f t="shared" si="0"/>
        <v>0</v>
      </c>
      <c r="E66" s="3">
        <f>IF(1&gt;$C66,"",IF($D66=1,EOMONTH(EDATE(Bonds!$H66,6*(1-1)),0),EDATE(Bonds!$H66,6*(1-1))))</f>
        <v>46310</v>
      </c>
      <c r="F66" s="3">
        <f>IF(2&gt;$C66,"",IF($D66=1,EOMONTH(EDATE(Bonds!$H66,6*(2-1)),0),EDATE(Bonds!$H66,6*(2-1))))</f>
        <v>46492</v>
      </c>
      <c r="G66" s="3">
        <f>IF(3&gt;$C66,"",IF($D66=1,EOMONTH(EDATE(Bonds!$H66,6*(3-1)),0),EDATE(Bonds!$H66,6*(3-1))))</f>
        <v>46675</v>
      </c>
      <c r="H66" s="3" t="str">
        <f>IF(4&gt;$C66,"",IF($D66=1,EOMONTH(EDATE(Bonds!$H66,6*(4-1)),0),EDATE(Bonds!$H66,6*(4-1))))</f>
        <v/>
      </c>
      <c r="I66" s="3" t="str">
        <f>IF(5&gt;$C66,"",IF($D66=1,EOMONTH(EDATE(Bonds!$H66,6*(5-1)),0),EDATE(Bonds!$H66,6*(5-1))))</f>
        <v/>
      </c>
      <c r="J66" s="3" t="str">
        <f>IF(6&gt;$C66,"",IF($D66=1,EOMONTH(EDATE(Bonds!$H66,6*(6-1)),0),EDATE(Bonds!$H66,6*(6-1))))</f>
        <v/>
      </c>
      <c r="K66" s="3" t="str">
        <f>IF(7&gt;$C66,"",IF($D66=1,EOMONTH(EDATE(Bonds!$H66,6*(7-1)),0),EDATE(Bonds!$H66,6*(7-1))))</f>
        <v/>
      </c>
      <c r="L66" s="3" t="str">
        <f>IF(8&gt;$C66,"",IF($D66=1,EOMONTH(EDATE(Bonds!$H66,6*(8-1)),0),EDATE(Bonds!$H66,6*(8-1))))</f>
        <v/>
      </c>
      <c r="M66" s="3" t="str">
        <f>IF(9&gt;$C66,"",IF($D66=1,EOMONTH(EDATE(Bonds!$H66,6*(9-1)),0),EDATE(Bonds!$H66,6*(9-1))))</f>
        <v/>
      </c>
      <c r="N66" s="3" t="str">
        <f>IF(10&gt;$C66,"",IF($D66=1,EOMONTH(EDATE(Bonds!$H66,6*(10-1)),0),EDATE(Bonds!$H66,6*(10-1))))</f>
        <v/>
      </c>
      <c r="O66" s="3" t="str">
        <f>IF(11&gt;$C66,"",IF($D66=1,EOMONTH(EDATE(Bonds!$H66,6*(11-1)),0),EDATE(Bonds!$H66,6*(11-1))))</f>
        <v/>
      </c>
      <c r="P66" s="3" t="str">
        <f>IF(12&gt;$C66,"",IF($D66=1,EOMONTH(EDATE(Bonds!$H66,6*(12-1)),0),EDATE(Bonds!$H66,6*(12-1))))</f>
        <v/>
      </c>
      <c r="Q66" s="3" t="str">
        <f>IF(13&gt;$C66,"",IF($D66=1,EOMONTH(EDATE(Bonds!$H66,6*(13-1)),0),EDATE(Bonds!$H66,6*(13-1))))</f>
        <v/>
      </c>
      <c r="R66" s="3" t="str">
        <f>IF(14&gt;$C66,"",IF($D66=1,EOMONTH(EDATE(Bonds!$H66,6*(14-1)),0),EDATE(Bonds!$H66,6*(14-1))))</f>
        <v/>
      </c>
      <c r="S66" s="3" t="str">
        <f>IF(15&gt;$C66,"",IF($D66=1,EOMONTH(EDATE(Bonds!$H66,6*(15-1)),0),EDATE(Bonds!$H66,6*(15-1))))</f>
        <v/>
      </c>
      <c r="T66" s="3" t="str">
        <f>IF(16&gt;$C66,"",IF($D66=1,EOMONTH(EDATE(Bonds!$H66,6*(16-1)),0),EDATE(Bonds!$H66,6*(16-1))))</f>
        <v/>
      </c>
      <c r="U66" s="3" t="str">
        <f>IF(17&gt;$C66,"",IF($D66=1,EOMONTH(EDATE(Bonds!$H66,6*(17-1)),0),EDATE(Bonds!$H66,6*(17-1))))</f>
        <v/>
      </c>
      <c r="V66" s="3" t="str">
        <f>IF(18&gt;$C66,"",IF($D66=1,EOMONTH(EDATE(Bonds!$H66,6*(18-1)),0),EDATE(Bonds!$H66,6*(18-1))))</f>
        <v/>
      </c>
      <c r="W66" s="3" t="str">
        <f>IF(19&gt;$C66,"",IF($D66=1,EOMONTH(EDATE(Bonds!$H66,6*(19-1)),0),EDATE(Bonds!$H66,6*(19-1))))</f>
        <v/>
      </c>
      <c r="X66" s="3" t="str">
        <f>IF(20&gt;$C66,"",IF($D66=1,EOMONTH(EDATE(Bonds!$H66,6*(20-1)),0),EDATE(Bonds!$H66,6*(20-1))))</f>
        <v/>
      </c>
      <c r="Y66" s="3" t="str">
        <f>IF(21&gt;$C66,"",IF($D66=1,EOMONTH(EDATE(Bonds!$H66,6*(21-1)),0),EDATE(Bonds!$H66,6*(21-1))))</f>
        <v/>
      </c>
      <c r="Z66" s="3" t="str">
        <f>IF(22&gt;$C66,"",IF($D66=1,EOMONTH(EDATE(Bonds!$H66,6*(22-1)),0),EDATE(Bonds!$H66,6*(22-1))))</f>
        <v/>
      </c>
      <c r="AA66" s="3" t="str">
        <f>IF(23&gt;$C66,"",IF($D66=1,EOMONTH(EDATE(Bonds!$H66,6*(23-1)),0),EDATE(Bonds!$H66,6*(23-1))))</f>
        <v/>
      </c>
      <c r="AB66" s="3" t="str">
        <f>IF(24&gt;$C66,"",IF($D66=1,EOMONTH(EDATE(Bonds!$H66,6*(24-1)),0),EDATE(Bonds!$H66,6*(24-1))))</f>
        <v/>
      </c>
      <c r="AC66" s="3" t="str">
        <f>IF(25&gt;$C66,"",IF($D66=1,EOMONTH(EDATE(Bonds!$H66,6*(25-1)),0),EDATE(Bonds!$H66,6*(25-1))))</f>
        <v/>
      </c>
      <c r="AD66" s="3" t="str">
        <f>IF(26&gt;$C66,"",IF($D66=1,EOMONTH(EDATE(Bonds!$H66,6*(26-1)),0),EDATE(Bonds!$H66,6*(26-1))))</f>
        <v/>
      </c>
      <c r="AE66" s="3" t="str">
        <f>IF(27&gt;$C66,"",IF($D66=1,EOMONTH(EDATE(Bonds!$H66,6*(27-1)),0),EDATE(Bonds!$H66,6*(27-1))))</f>
        <v/>
      </c>
      <c r="AF66" s="3" t="str">
        <f>IF(28&gt;$C66,"",IF($D66=1,EOMONTH(EDATE(Bonds!$H66,6*(28-1)),0),EDATE(Bonds!$H66,6*(28-1))))</f>
        <v/>
      </c>
      <c r="AG66" s="3" t="str">
        <f>IF(29&gt;$C66,"",IF($D66=1,EOMONTH(EDATE(Bonds!$H66,6*(29-1)),0),EDATE(Bonds!$H66,6*(29-1))))</f>
        <v/>
      </c>
      <c r="AH66" s="3" t="str">
        <f>IF(30&gt;$C66,"",IF($D66=1,EOMONTH(EDATE(Bonds!$H66,6*(30-1)),0),EDATE(Bonds!$H66,6*(30-1))))</f>
        <v/>
      </c>
      <c r="AI66" s="3" t="str">
        <f>IF(31&gt;$C66,"",IF($D66=1,EOMONTH(EDATE(Bonds!$H66,6*(31-1)),0),EDATE(Bonds!$H66,6*(31-1))))</f>
        <v/>
      </c>
      <c r="AJ66" s="3" t="str">
        <f>IF(32&gt;$C66,"",IF($D66=1,EOMONTH(EDATE(Bonds!$H66,6*(32-1)),0),EDATE(Bonds!$H66,6*(32-1))))</f>
        <v/>
      </c>
      <c r="AK66" s="3" t="str">
        <f>IF(33&gt;$C66,"",IF($D66=1,EOMONTH(EDATE(Bonds!$H66,6*(33-1)),0),EDATE(Bonds!$H66,6*(33-1))))</f>
        <v/>
      </c>
      <c r="AL66" s="3" t="str">
        <f>IF(34&gt;$C66,"",IF($D66=1,EOMONTH(EDATE(Bonds!$H66,6*(34-1)),0),EDATE(Bonds!$H66,6*(34-1))))</f>
        <v/>
      </c>
      <c r="AM66" s="3" t="str">
        <f>IF(35&gt;$C66,"",IF($D66=1,EOMONTH(EDATE(Bonds!$H66,6*(35-1)),0),EDATE(Bonds!$H66,6*(35-1))))</f>
        <v/>
      </c>
      <c r="AN66" s="3" t="str">
        <f>IF(36&gt;$C66,"",IF($D66=1,EOMONTH(EDATE(Bonds!$H66,6*(36-1)),0),EDATE(Bonds!$H66,6*(36-1))))</f>
        <v/>
      </c>
      <c r="AO66" s="3" t="str">
        <f>IF(37&gt;$C66,"",IF($D66=1,EOMONTH(EDATE(Bonds!$H66,6*(37-1)),0),EDATE(Bonds!$H66,6*(37-1))))</f>
        <v/>
      </c>
      <c r="AP66" s="3" t="str">
        <f>IF(38&gt;$C66,"",IF($D66=1,EOMONTH(EDATE(Bonds!$H66,6*(38-1)),0),EDATE(Bonds!$H66,6*(38-1))))</f>
        <v/>
      </c>
      <c r="AQ66" s="3" t="str">
        <f>IF(39&gt;$C66,"",IF($D66=1,EOMONTH(EDATE(Bonds!$H66,6*(39-1)),0),EDATE(Bonds!$H66,6*(39-1))))</f>
        <v/>
      </c>
      <c r="AR66" s="3" t="str">
        <f>IF(40&gt;$C66,"",IF($D66=1,EOMONTH(EDATE(Bonds!$H66,6*(40-1)),0),EDATE(Bonds!$H66,6*(40-1))))</f>
        <v/>
      </c>
      <c r="AS66" s="3" t="str">
        <f>IF(41&gt;$C66,"",IF($D66=1,EOMONTH(EDATE(Bonds!$H66,6*(41-1)),0),EDATE(Bonds!$H66,6*(41-1))))</f>
        <v/>
      </c>
      <c r="AT66" s="3" t="str">
        <f>IF(42&gt;$C66,"",IF($D66=1,EOMONTH(EDATE(Bonds!$H66,6*(42-1)),0),EDATE(Bonds!$H66,6*(42-1))))</f>
        <v/>
      </c>
      <c r="AU66" s="3" t="str">
        <f>IF(43&gt;$C66,"",IF($D66=1,EOMONTH(EDATE(Bonds!$H66,6*(43-1)),0),EDATE(Bonds!$H66,6*(43-1))))</f>
        <v/>
      </c>
      <c r="AV66" s="3" t="str">
        <f>IF(44&gt;$C66,"",IF($D66=1,EOMONTH(EDATE(Bonds!$H66,6*(44-1)),0),EDATE(Bonds!$H66,6*(44-1))))</f>
        <v/>
      </c>
      <c r="AW66" s="3" t="str">
        <f>IF(45&gt;$C66,"",IF($D66=1,EOMONTH(EDATE(Bonds!$H66,6*(45-1)),0),EDATE(Bonds!$H66,6*(45-1))))</f>
        <v/>
      </c>
      <c r="AX66" s="3" t="str">
        <f>IF(46&gt;$C66,"",IF($D66=1,EOMONTH(EDATE(Bonds!$H66,6*(46-1)),0),EDATE(Bonds!$H66,6*(46-1))))</f>
        <v/>
      </c>
      <c r="AY66" s="3" t="str">
        <f>IF(47&gt;$C66,"",IF($D66=1,EOMONTH(EDATE(Bonds!$H66,6*(47-1)),0),EDATE(Bonds!$H66,6*(47-1))))</f>
        <v/>
      </c>
      <c r="AZ66" s="3" t="str">
        <f>IF(48&gt;$C66,"",IF($D66=1,EOMONTH(EDATE(Bonds!$H66,6*(48-1)),0),EDATE(Bonds!$H66,6*(48-1))))</f>
        <v/>
      </c>
      <c r="BA66" s="3" t="str">
        <f>IF(49&gt;$C66,"",IF($D66=1,EOMONTH(EDATE(Bonds!$H66,6*(49-1)),0),EDATE(Bonds!$H66,6*(49-1))))</f>
        <v/>
      </c>
      <c r="BB66" s="3" t="str">
        <f>IF(50&gt;$C66,"",IF($D66=1,EOMONTH(EDATE(Bonds!$H66,6*(50-1)),0),EDATE(Bonds!$H66,6*(50-1))))</f>
        <v/>
      </c>
      <c r="BC66" s="3" t="str">
        <f>IF(51&gt;$C66,"",IF($D66=1,EOMONTH(EDATE(Bonds!$H66,6*(51-1)),0),EDATE(Bonds!$H66,6*(51-1))))</f>
        <v/>
      </c>
      <c r="BD66" s="3" t="str">
        <f>IF(52&gt;$C66,"",IF($D66=1,EOMONTH(EDATE(Bonds!$H66,6*(52-1)),0),EDATE(Bonds!$H66,6*(52-1))))</f>
        <v/>
      </c>
      <c r="BE66" s="3" t="str">
        <f>IF(53&gt;$C66,"",IF($D66=1,EOMONTH(EDATE(Bonds!$H66,6*(53-1)),0),EDATE(Bonds!$H66,6*(53-1))))</f>
        <v/>
      </c>
      <c r="BF66" s="3" t="str">
        <f>IF(54&gt;$C66,"",IF($D66=1,EOMONTH(EDATE(Bonds!$H66,6*(54-1)),0),EDATE(Bonds!$H66,6*(54-1))))</f>
        <v/>
      </c>
      <c r="BG66" s="3" t="str">
        <f>IF(55&gt;$C66,"",IF($D66=1,EOMONTH(EDATE(Bonds!$H66,6*(55-1)),0),EDATE(Bonds!$H66,6*(55-1))))</f>
        <v/>
      </c>
      <c r="BH66" s="3" t="str">
        <f>IF(56&gt;$C66,"",IF($D66=1,EOMONTH(EDATE(Bonds!$H66,6*(56-1)),0),EDATE(Bonds!$H66,6*(56-1))))</f>
        <v/>
      </c>
      <c r="BI66" s="3" t="str">
        <f>IF(57&gt;$C66,"",IF($D66=1,EOMONTH(EDATE(Bonds!$H66,6*(57-1)),0),EDATE(Bonds!$H66,6*(57-1))))</f>
        <v/>
      </c>
      <c r="BJ66" s="3" t="str">
        <f>IF(58&gt;$C66,"",IF($D66=1,EOMONTH(EDATE(Bonds!$H66,6*(58-1)),0),EDATE(Bonds!$H66,6*(58-1))))</f>
        <v/>
      </c>
      <c r="BK66" s="3" t="str">
        <f>IF(59&gt;$C66,"",IF($D66=1,EOMONTH(EDATE(Bonds!$H66,6*(59-1)),0),EDATE(Bonds!$H66,6*(59-1))))</f>
        <v/>
      </c>
      <c r="BL66" s="3" t="str">
        <f>IF(60&gt;$C66,"",IF($D66=1,EOMONTH(EDATE(Bonds!$H66,6*(60-1)),0),EDATE(Bonds!$H66,6*(60-1))))</f>
        <v/>
      </c>
      <c r="BN66" s="7">
        <f t="shared" si="1"/>
        <v>1.9302459730968637</v>
      </c>
      <c r="BO66" s="7">
        <f t="shared" si="2"/>
        <v>1.8917745585532051</v>
      </c>
      <c r="BP66" s="7">
        <f t="shared" si="3"/>
        <v>97.368637712833788</v>
      </c>
      <c r="BQ66" s="7">
        <f t="shared" si="4"/>
        <v>0</v>
      </c>
      <c r="BR66" s="7">
        <f t="shared" si="5"/>
        <v>0</v>
      </c>
      <c r="BS66" s="7">
        <f t="shared" si="6"/>
        <v>0</v>
      </c>
      <c r="BT66" s="7">
        <f t="shared" si="7"/>
        <v>0</v>
      </c>
      <c r="BU66" s="7">
        <f t="shared" si="8"/>
        <v>0</v>
      </c>
      <c r="BV66" s="7">
        <f t="shared" si="9"/>
        <v>0</v>
      </c>
      <c r="BW66" s="7">
        <f t="shared" si="10"/>
        <v>0</v>
      </c>
      <c r="BX66" s="7">
        <f t="shared" si="11"/>
        <v>0</v>
      </c>
      <c r="BY66" s="7">
        <f t="shared" si="12"/>
        <v>0</v>
      </c>
      <c r="BZ66" s="7">
        <f t="shared" si="13"/>
        <v>0</v>
      </c>
      <c r="CA66" s="7">
        <f t="shared" si="14"/>
        <v>0</v>
      </c>
      <c r="CB66" s="7">
        <f t="shared" si="15"/>
        <v>0</v>
      </c>
      <c r="CC66" s="7">
        <f t="shared" si="16"/>
        <v>0</v>
      </c>
      <c r="CD66" s="7">
        <f t="shared" si="17"/>
        <v>0</v>
      </c>
      <c r="CE66" s="7">
        <f t="shared" si="18"/>
        <v>0</v>
      </c>
      <c r="CF66" s="7">
        <f t="shared" si="19"/>
        <v>0</v>
      </c>
      <c r="CG66" s="7">
        <f t="shared" si="20"/>
        <v>0</v>
      </c>
      <c r="CH66" s="7">
        <f t="shared" si="21"/>
        <v>0</v>
      </c>
      <c r="CI66" s="7">
        <f t="shared" si="22"/>
        <v>0</v>
      </c>
      <c r="CJ66" s="7">
        <f t="shared" si="23"/>
        <v>0</v>
      </c>
      <c r="CK66" s="7">
        <f t="shared" si="24"/>
        <v>0</v>
      </c>
      <c r="CL66" s="7">
        <f t="shared" si="25"/>
        <v>0</v>
      </c>
      <c r="CM66" s="7">
        <f t="shared" si="26"/>
        <v>0</v>
      </c>
      <c r="CN66" s="7">
        <f t="shared" si="27"/>
        <v>0</v>
      </c>
      <c r="CO66" s="7">
        <f t="shared" si="28"/>
        <v>0</v>
      </c>
      <c r="CP66" s="7">
        <f t="shared" si="29"/>
        <v>0</v>
      </c>
      <c r="CQ66" s="7">
        <f t="shared" si="30"/>
        <v>0</v>
      </c>
      <c r="CR66" s="7">
        <f t="shared" si="31"/>
        <v>0</v>
      </c>
      <c r="CS66" s="7">
        <f t="shared" si="32"/>
        <v>0</v>
      </c>
      <c r="CT66" s="7">
        <f t="shared" si="33"/>
        <v>0</v>
      </c>
      <c r="CU66" s="7">
        <f t="shared" si="34"/>
        <v>0</v>
      </c>
      <c r="CV66" s="7">
        <f t="shared" si="35"/>
        <v>0</v>
      </c>
      <c r="CW66" s="7">
        <f t="shared" si="36"/>
        <v>0</v>
      </c>
      <c r="CX66" s="7">
        <f t="shared" si="37"/>
        <v>0</v>
      </c>
      <c r="CY66" s="7">
        <f t="shared" si="38"/>
        <v>0</v>
      </c>
      <c r="CZ66" s="7">
        <f t="shared" si="39"/>
        <v>0</v>
      </c>
      <c r="DA66" s="7">
        <f t="shared" si="40"/>
        <v>0</v>
      </c>
      <c r="DB66" s="7">
        <f t="shared" si="41"/>
        <v>0</v>
      </c>
      <c r="DC66" s="7">
        <f t="shared" si="42"/>
        <v>0</v>
      </c>
      <c r="DD66" s="7">
        <f t="shared" si="43"/>
        <v>0</v>
      </c>
      <c r="DE66" s="7">
        <f t="shared" si="44"/>
        <v>0</v>
      </c>
      <c r="DF66" s="7">
        <f t="shared" si="45"/>
        <v>0</v>
      </c>
      <c r="DG66" s="7">
        <f t="shared" si="46"/>
        <v>0</v>
      </c>
      <c r="DH66" s="7">
        <f t="shared" si="47"/>
        <v>0</v>
      </c>
      <c r="DI66" s="7">
        <f t="shared" si="48"/>
        <v>0</v>
      </c>
      <c r="DJ66" s="7">
        <f t="shared" si="49"/>
        <v>0</v>
      </c>
      <c r="DK66" s="7">
        <f t="shared" si="50"/>
        <v>0</v>
      </c>
      <c r="DL66" s="7">
        <f t="shared" si="51"/>
        <v>0</v>
      </c>
      <c r="DM66" s="7">
        <f t="shared" si="52"/>
        <v>0</v>
      </c>
      <c r="DN66" s="7">
        <f t="shared" si="53"/>
        <v>0</v>
      </c>
      <c r="DO66" s="7">
        <f t="shared" si="54"/>
        <v>0</v>
      </c>
      <c r="DP66" s="7">
        <f t="shared" si="55"/>
        <v>0</v>
      </c>
      <c r="DQ66" s="7">
        <f t="shared" si="56"/>
        <v>0</v>
      </c>
      <c r="DR66" s="7">
        <f t="shared" si="57"/>
        <v>0</v>
      </c>
      <c r="DS66" s="7">
        <f t="shared" si="58"/>
        <v>0</v>
      </c>
      <c r="DT66" s="7">
        <f t="shared" si="59"/>
        <v>0</v>
      </c>
      <c r="DU66" s="7">
        <f t="shared" si="60"/>
        <v>0</v>
      </c>
    </row>
    <row r="67" spans="1:125" x14ac:dyDescent="0.2">
      <c r="A67" s="3">
        <f>Bonds!A67</f>
        <v>46691</v>
      </c>
      <c r="B67" s="4">
        <f>Bonds!B67</f>
        <v>0.5</v>
      </c>
      <c r="C67">
        <f>Bonds!P67</f>
        <v>3</v>
      </c>
      <c r="D67">
        <f t="shared" si="0"/>
        <v>1</v>
      </c>
      <c r="E67" s="3">
        <f>IF(1&gt;$C67,"",IF($D67=1,EOMONTH(EDATE(Bonds!$H67,6*(1-1)),0),EDATE(Bonds!$H67,6*(1-1))))</f>
        <v>46326</v>
      </c>
      <c r="F67" s="3">
        <f>IF(2&gt;$C67,"",IF($D67=1,EOMONTH(EDATE(Bonds!$H67,6*(2-1)),0),EDATE(Bonds!$H67,6*(2-1))))</f>
        <v>46507</v>
      </c>
      <c r="G67" s="3">
        <f>IF(3&gt;$C67,"",IF($D67=1,EOMONTH(EDATE(Bonds!$H67,6*(3-1)),0),EDATE(Bonds!$H67,6*(3-1))))</f>
        <v>46691</v>
      </c>
      <c r="H67" s="3" t="str">
        <f>IF(4&gt;$C67,"",IF($D67=1,EOMONTH(EDATE(Bonds!$H67,6*(4-1)),0),EDATE(Bonds!$H67,6*(4-1))))</f>
        <v/>
      </c>
      <c r="I67" s="3" t="str">
        <f>IF(5&gt;$C67,"",IF($D67=1,EOMONTH(EDATE(Bonds!$H67,6*(5-1)),0),EDATE(Bonds!$H67,6*(5-1))))</f>
        <v/>
      </c>
      <c r="J67" s="3" t="str">
        <f>IF(6&gt;$C67,"",IF($D67=1,EOMONTH(EDATE(Bonds!$H67,6*(6-1)),0),EDATE(Bonds!$H67,6*(6-1))))</f>
        <v/>
      </c>
      <c r="K67" s="3" t="str">
        <f>IF(7&gt;$C67,"",IF($D67=1,EOMONTH(EDATE(Bonds!$H67,6*(7-1)),0),EDATE(Bonds!$H67,6*(7-1))))</f>
        <v/>
      </c>
      <c r="L67" s="3" t="str">
        <f>IF(8&gt;$C67,"",IF($D67=1,EOMONTH(EDATE(Bonds!$H67,6*(8-1)),0),EDATE(Bonds!$H67,6*(8-1))))</f>
        <v/>
      </c>
      <c r="M67" s="3" t="str">
        <f>IF(9&gt;$C67,"",IF($D67=1,EOMONTH(EDATE(Bonds!$H67,6*(9-1)),0),EDATE(Bonds!$H67,6*(9-1))))</f>
        <v/>
      </c>
      <c r="N67" s="3" t="str">
        <f>IF(10&gt;$C67,"",IF($D67=1,EOMONTH(EDATE(Bonds!$H67,6*(10-1)),0),EDATE(Bonds!$H67,6*(10-1))))</f>
        <v/>
      </c>
      <c r="O67" s="3" t="str">
        <f>IF(11&gt;$C67,"",IF($D67=1,EOMONTH(EDATE(Bonds!$H67,6*(11-1)),0),EDATE(Bonds!$H67,6*(11-1))))</f>
        <v/>
      </c>
      <c r="P67" s="3" t="str">
        <f>IF(12&gt;$C67,"",IF($D67=1,EOMONTH(EDATE(Bonds!$H67,6*(12-1)),0),EDATE(Bonds!$H67,6*(12-1))))</f>
        <v/>
      </c>
      <c r="Q67" s="3" t="str">
        <f>IF(13&gt;$C67,"",IF($D67=1,EOMONTH(EDATE(Bonds!$H67,6*(13-1)),0),EDATE(Bonds!$H67,6*(13-1))))</f>
        <v/>
      </c>
      <c r="R67" s="3" t="str">
        <f>IF(14&gt;$C67,"",IF($D67=1,EOMONTH(EDATE(Bonds!$H67,6*(14-1)),0),EDATE(Bonds!$H67,6*(14-1))))</f>
        <v/>
      </c>
      <c r="S67" s="3" t="str">
        <f>IF(15&gt;$C67,"",IF($D67=1,EOMONTH(EDATE(Bonds!$H67,6*(15-1)),0),EDATE(Bonds!$H67,6*(15-1))))</f>
        <v/>
      </c>
      <c r="T67" s="3" t="str">
        <f>IF(16&gt;$C67,"",IF($D67=1,EOMONTH(EDATE(Bonds!$H67,6*(16-1)),0),EDATE(Bonds!$H67,6*(16-1))))</f>
        <v/>
      </c>
      <c r="U67" s="3" t="str">
        <f>IF(17&gt;$C67,"",IF($D67=1,EOMONTH(EDATE(Bonds!$H67,6*(17-1)),0),EDATE(Bonds!$H67,6*(17-1))))</f>
        <v/>
      </c>
      <c r="V67" s="3" t="str">
        <f>IF(18&gt;$C67,"",IF($D67=1,EOMONTH(EDATE(Bonds!$H67,6*(18-1)),0),EDATE(Bonds!$H67,6*(18-1))))</f>
        <v/>
      </c>
      <c r="W67" s="3" t="str">
        <f>IF(19&gt;$C67,"",IF($D67=1,EOMONTH(EDATE(Bonds!$H67,6*(19-1)),0),EDATE(Bonds!$H67,6*(19-1))))</f>
        <v/>
      </c>
      <c r="X67" s="3" t="str">
        <f>IF(20&gt;$C67,"",IF($D67=1,EOMONTH(EDATE(Bonds!$H67,6*(20-1)),0),EDATE(Bonds!$H67,6*(20-1))))</f>
        <v/>
      </c>
      <c r="Y67" s="3" t="str">
        <f>IF(21&gt;$C67,"",IF($D67=1,EOMONTH(EDATE(Bonds!$H67,6*(21-1)),0),EDATE(Bonds!$H67,6*(21-1))))</f>
        <v/>
      </c>
      <c r="Z67" s="3" t="str">
        <f>IF(22&gt;$C67,"",IF($D67=1,EOMONTH(EDATE(Bonds!$H67,6*(22-1)),0),EDATE(Bonds!$H67,6*(22-1))))</f>
        <v/>
      </c>
      <c r="AA67" s="3" t="str">
        <f>IF(23&gt;$C67,"",IF($D67=1,EOMONTH(EDATE(Bonds!$H67,6*(23-1)),0),EDATE(Bonds!$H67,6*(23-1))))</f>
        <v/>
      </c>
      <c r="AB67" s="3" t="str">
        <f>IF(24&gt;$C67,"",IF($D67=1,EOMONTH(EDATE(Bonds!$H67,6*(24-1)),0),EDATE(Bonds!$H67,6*(24-1))))</f>
        <v/>
      </c>
      <c r="AC67" s="3" t="str">
        <f>IF(25&gt;$C67,"",IF($D67=1,EOMONTH(EDATE(Bonds!$H67,6*(25-1)),0),EDATE(Bonds!$H67,6*(25-1))))</f>
        <v/>
      </c>
      <c r="AD67" s="3" t="str">
        <f>IF(26&gt;$C67,"",IF($D67=1,EOMONTH(EDATE(Bonds!$H67,6*(26-1)),0),EDATE(Bonds!$H67,6*(26-1))))</f>
        <v/>
      </c>
      <c r="AE67" s="3" t="str">
        <f>IF(27&gt;$C67,"",IF($D67=1,EOMONTH(EDATE(Bonds!$H67,6*(27-1)),0),EDATE(Bonds!$H67,6*(27-1))))</f>
        <v/>
      </c>
      <c r="AF67" s="3" t="str">
        <f>IF(28&gt;$C67,"",IF($D67=1,EOMONTH(EDATE(Bonds!$H67,6*(28-1)),0),EDATE(Bonds!$H67,6*(28-1))))</f>
        <v/>
      </c>
      <c r="AG67" s="3" t="str">
        <f>IF(29&gt;$C67,"",IF($D67=1,EOMONTH(EDATE(Bonds!$H67,6*(29-1)),0),EDATE(Bonds!$H67,6*(29-1))))</f>
        <v/>
      </c>
      <c r="AH67" s="3" t="str">
        <f>IF(30&gt;$C67,"",IF($D67=1,EOMONTH(EDATE(Bonds!$H67,6*(30-1)),0),EDATE(Bonds!$H67,6*(30-1))))</f>
        <v/>
      </c>
      <c r="AI67" s="3" t="str">
        <f>IF(31&gt;$C67,"",IF($D67=1,EOMONTH(EDATE(Bonds!$H67,6*(31-1)),0),EDATE(Bonds!$H67,6*(31-1))))</f>
        <v/>
      </c>
      <c r="AJ67" s="3" t="str">
        <f>IF(32&gt;$C67,"",IF($D67=1,EOMONTH(EDATE(Bonds!$H67,6*(32-1)),0),EDATE(Bonds!$H67,6*(32-1))))</f>
        <v/>
      </c>
      <c r="AK67" s="3" t="str">
        <f>IF(33&gt;$C67,"",IF($D67=1,EOMONTH(EDATE(Bonds!$H67,6*(33-1)),0),EDATE(Bonds!$H67,6*(33-1))))</f>
        <v/>
      </c>
      <c r="AL67" s="3" t="str">
        <f>IF(34&gt;$C67,"",IF($D67=1,EOMONTH(EDATE(Bonds!$H67,6*(34-1)),0),EDATE(Bonds!$H67,6*(34-1))))</f>
        <v/>
      </c>
      <c r="AM67" s="3" t="str">
        <f>IF(35&gt;$C67,"",IF($D67=1,EOMONTH(EDATE(Bonds!$H67,6*(35-1)),0),EDATE(Bonds!$H67,6*(35-1))))</f>
        <v/>
      </c>
      <c r="AN67" s="3" t="str">
        <f>IF(36&gt;$C67,"",IF($D67=1,EOMONTH(EDATE(Bonds!$H67,6*(36-1)),0),EDATE(Bonds!$H67,6*(36-1))))</f>
        <v/>
      </c>
      <c r="AO67" s="3" t="str">
        <f>IF(37&gt;$C67,"",IF($D67=1,EOMONTH(EDATE(Bonds!$H67,6*(37-1)),0),EDATE(Bonds!$H67,6*(37-1))))</f>
        <v/>
      </c>
      <c r="AP67" s="3" t="str">
        <f>IF(38&gt;$C67,"",IF($D67=1,EOMONTH(EDATE(Bonds!$H67,6*(38-1)),0),EDATE(Bonds!$H67,6*(38-1))))</f>
        <v/>
      </c>
      <c r="AQ67" s="3" t="str">
        <f>IF(39&gt;$C67,"",IF($D67=1,EOMONTH(EDATE(Bonds!$H67,6*(39-1)),0),EDATE(Bonds!$H67,6*(39-1))))</f>
        <v/>
      </c>
      <c r="AR67" s="3" t="str">
        <f>IF(40&gt;$C67,"",IF($D67=1,EOMONTH(EDATE(Bonds!$H67,6*(40-1)),0),EDATE(Bonds!$H67,6*(40-1))))</f>
        <v/>
      </c>
      <c r="AS67" s="3" t="str">
        <f>IF(41&gt;$C67,"",IF($D67=1,EOMONTH(EDATE(Bonds!$H67,6*(41-1)),0),EDATE(Bonds!$H67,6*(41-1))))</f>
        <v/>
      </c>
      <c r="AT67" s="3" t="str">
        <f>IF(42&gt;$C67,"",IF($D67=1,EOMONTH(EDATE(Bonds!$H67,6*(42-1)),0),EDATE(Bonds!$H67,6*(42-1))))</f>
        <v/>
      </c>
      <c r="AU67" s="3" t="str">
        <f>IF(43&gt;$C67,"",IF($D67=1,EOMONTH(EDATE(Bonds!$H67,6*(43-1)),0),EDATE(Bonds!$H67,6*(43-1))))</f>
        <v/>
      </c>
      <c r="AV67" s="3" t="str">
        <f>IF(44&gt;$C67,"",IF($D67=1,EOMONTH(EDATE(Bonds!$H67,6*(44-1)),0),EDATE(Bonds!$H67,6*(44-1))))</f>
        <v/>
      </c>
      <c r="AW67" s="3" t="str">
        <f>IF(45&gt;$C67,"",IF($D67=1,EOMONTH(EDATE(Bonds!$H67,6*(45-1)),0),EDATE(Bonds!$H67,6*(45-1))))</f>
        <v/>
      </c>
      <c r="AX67" s="3" t="str">
        <f>IF(46&gt;$C67,"",IF($D67=1,EOMONTH(EDATE(Bonds!$H67,6*(46-1)),0),EDATE(Bonds!$H67,6*(46-1))))</f>
        <v/>
      </c>
      <c r="AY67" s="3" t="str">
        <f>IF(47&gt;$C67,"",IF($D67=1,EOMONTH(EDATE(Bonds!$H67,6*(47-1)),0),EDATE(Bonds!$H67,6*(47-1))))</f>
        <v/>
      </c>
      <c r="AZ67" s="3" t="str">
        <f>IF(48&gt;$C67,"",IF($D67=1,EOMONTH(EDATE(Bonds!$H67,6*(48-1)),0),EDATE(Bonds!$H67,6*(48-1))))</f>
        <v/>
      </c>
      <c r="BA67" s="3" t="str">
        <f>IF(49&gt;$C67,"",IF($D67=1,EOMONTH(EDATE(Bonds!$H67,6*(49-1)),0),EDATE(Bonds!$H67,6*(49-1))))</f>
        <v/>
      </c>
      <c r="BB67" s="3" t="str">
        <f>IF(50&gt;$C67,"",IF($D67=1,EOMONTH(EDATE(Bonds!$H67,6*(50-1)),0),EDATE(Bonds!$H67,6*(50-1))))</f>
        <v/>
      </c>
      <c r="BC67" s="3" t="str">
        <f>IF(51&gt;$C67,"",IF($D67=1,EOMONTH(EDATE(Bonds!$H67,6*(51-1)),0),EDATE(Bonds!$H67,6*(51-1))))</f>
        <v/>
      </c>
      <c r="BD67" s="3" t="str">
        <f>IF(52&gt;$C67,"",IF($D67=1,EOMONTH(EDATE(Bonds!$H67,6*(52-1)),0),EDATE(Bonds!$H67,6*(52-1))))</f>
        <v/>
      </c>
      <c r="BE67" s="3" t="str">
        <f>IF(53&gt;$C67,"",IF($D67=1,EOMONTH(EDATE(Bonds!$H67,6*(53-1)),0),EDATE(Bonds!$H67,6*(53-1))))</f>
        <v/>
      </c>
      <c r="BF67" s="3" t="str">
        <f>IF(54&gt;$C67,"",IF($D67=1,EOMONTH(EDATE(Bonds!$H67,6*(54-1)),0),EDATE(Bonds!$H67,6*(54-1))))</f>
        <v/>
      </c>
      <c r="BG67" s="3" t="str">
        <f>IF(55&gt;$C67,"",IF($D67=1,EOMONTH(EDATE(Bonds!$H67,6*(55-1)),0),EDATE(Bonds!$H67,6*(55-1))))</f>
        <v/>
      </c>
      <c r="BH67" s="3" t="str">
        <f>IF(56&gt;$C67,"",IF($D67=1,EOMONTH(EDATE(Bonds!$H67,6*(56-1)),0),EDATE(Bonds!$H67,6*(56-1))))</f>
        <v/>
      </c>
      <c r="BI67" s="3" t="str">
        <f>IF(57&gt;$C67,"",IF($D67=1,EOMONTH(EDATE(Bonds!$H67,6*(57-1)),0),EDATE(Bonds!$H67,6*(57-1))))</f>
        <v/>
      </c>
      <c r="BJ67" s="3" t="str">
        <f>IF(58&gt;$C67,"",IF($D67=1,EOMONTH(EDATE(Bonds!$H67,6*(58-1)),0),EDATE(Bonds!$H67,6*(58-1))))</f>
        <v/>
      </c>
      <c r="BK67" s="3" t="str">
        <f>IF(59&gt;$C67,"",IF($D67=1,EOMONTH(EDATE(Bonds!$H67,6*(59-1)),0),EDATE(Bonds!$H67,6*(59-1))))</f>
        <v/>
      </c>
      <c r="BL67" s="3" t="str">
        <f>IF(60&gt;$C67,"",IF($D67=1,EOMONTH(EDATE(Bonds!$H67,6*(60-1)),0),EDATE(Bonds!$H67,6*(60-1))))</f>
        <v/>
      </c>
      <c r="BN67" s="7">
        <f t="shared" si="1"/>
        <v>0.24864963746601712</v>
      </c>
      <c r="BO67" s="7">
        <f t="shared" si="2"/>
        <v>0.2436725117158926</v>
      </c>
      <c r="BP67" s="7">
        <f t="shared" si="3"/>
        <v>95.568543047578345</v>
      </c>
      <c r="BQ67" s="7">
        <f t="shared" si="4"/>
        <v>0</v>
      </c>
      <c r="BR67" s="7">
        <f t="shared" si="5"/>
        <v>0</v>
      </c>
      <c r="BS67" s="7">
        <f t="shared" si="6"/>
        <v>0</v>
      </c>
      <c r="BT67" s="7">
        <f t="shared" si="7"/>
        <v>0</v>
      </c>
      <c r="BU67" s="7">
        <f t="shared" si="8"/>
        <v>0</v>
      </c>
      <c r="BV67" s="7">
        <f t="shared" si="9"/>
        <v>0</v>
      </c>
      <c r="BW67" s="7">
        <f t="shared" si="10"/>
        <v>0</v>
      </c>
      <c r="BX67" s="7">
        <f t="shared" si="11"/>
        <v>0</v>
      </c>
      <c r="BY67" s="7">
        <f t="shared" si="12"/>
        <v>0</v>
      </c>
      <c r="BZ67" s="7">
        <f t="shared" si="13"/>
        <v>0</v>
      </c>
      <c r="CA67" s="7">
        <f t="shared" si="14"/>
        <v>0</v>
      </c>
      <c r="CB67" s="7">
        <f t="shared" si="15"/>
        <v>0</v>
      </c>
      <c r="CC67" s="7">
        <f t="shared" si="16"/>
        <v>0</v>
      </c>
      <c r="CD67" s="7">
        <f t="shared" si="17"/>
        <v>0</v>
      </c>
      <c r="CE67" s="7">
        <f t="shared" si="18"/>
        <v>0</v>
      </c>
      <c r="CF67" s="7">
        <f t="shared" si="19"/>
        <v>0</v>
      </c>
      <c r="CG67" s="7">
        <f t="shared" si="20"/>
        <v>0</v>
      </c>
      <c r="CH67" s="7">
        <f t="shared" si="21"/>
        <v>0</v>
      </c>
      <c r="CI67" s="7">
        <f t="shared" si="22"/>
        <v>0</v>
      </c>
      <c r="CJ67" s="7">
        <f t="shared" si="23"/>
        <v>0</v>
      </c>
      <c r="CK67" s="7">
        <f t="shared" si="24"/>
        <v>0</v>
      </c>
      <c r="CL67" s="7">
        <f t="shared" si="25"/>
        <v>0</v>
      </c>
      <c r="CM67" s="7">
        <f t="shared" si="26"/>
        <v>0</v>
      </c>
      <c r="CN67" s="7">
        <f t="shared" si="27"/>
        <v>0</v>
      </c>
      <c r="CO67" s="7">
        <f t="shared" si="28"/>
        <v>0</v>
      </c>
      <c r="CP67" s="7">
        <f t="shared" si="29"/>
        <v>0</v>
      </c>
      <c r="CQ67" s="7">
        <f t="shared" si="30"/>
        <v>0</v>
      </c>
      <c r="CR67" s="7">
        <f t="shared" si="31"/>
        <v>0</v>
      </c>
      <c r="CS67" s="7">
        <f t="shared" si="32"/>
        <v>0</v>
      </c>
      <c r="CT67" s="7">
        <f t="shared" si="33"/>
        <v>0</v>
      </c>
      <c r="CU67" s="7">
        <f t="shared" si="34"/>
        <v>0</v>
      </c>
      <c r="CV67" s="7">
        <f t="shared" si="35"/>
        <v>0</v>
      </c>
      <c r="CW67" s="7">
        <f t="shared" si="36"/>
        <v>0</v>
      </c>
      <c r="CX67" s="7">
        <f t="shared" si="37"/>
        <v>0</v>
      </c>
      <c r="CY67" s="7">
        <f t="shared" si="38"/>
        <v>0</v>
      </c>
      <c r="CZ67" s="7">
        <f t="shared" si="39"/>
        <v>0</v>
      </c>
      <c r="DA67" s="7">
        <f t="shared" si="40"/>
        <v>0</v>
      </c>
      <c r="DB67" s="7">
        <f t="shared" si="41"/>
        <v>0</v>
      </c>
      <c r="DC67" s="7">
        <f t="shared" si="42"/>
        <v>0</v>
      </c>
      <c r="DD67" s="7">
        <f t="shared" si="43"/>
        <v>0</v>
      </c>
      <c r="DE67" s="7">
        <f t="shared" si="44"/>
        <v>0</v>
      </c>
      <c r="DF67" s="7">
        <f t="shared" si="45"/>
        <v>0</v>
      </c>
      <c r="DG67" s="7">
        <f t="shared" si="46"/>
        <v>0</v>
      </c>
      <c r="DH67" s="7">
        <f t="shared" si="47"/>
        <v>0</v>
      </c>
      <c r="DI67" s="7">
        <f t="shared" si="48"/>
        <v>0</v>
      </c>
      <c r="DJ67" s="7">
        <f t="shared" si="49"/>
        <v>0</v>
      </c>
      <c r="DK67" s="7">
        <f t="shared" si="50"/>
        <v>0</v>
      </c>
      <c r="DL67" s="7">
        <f t="shared" si="51"/>
        <v>0</v>
      </c>
      <c r="DM67" s="7">
        <f t="shared" si="52"/>
        <v>0</v>
      </c>
      <c r="DN67" s="7">
        <f t="shared" si="53"/>
        <v>0</v>
      </c>
      <c r="DO67" s="7">
        <f t="shared" si="54"/>
        <v>0</v>
      </c>
      <c r="DP67" s="7">
        <f t="shared" si="55"/>
        <v>0</v>
      </c>
      <c r="DQ67" s="7">
        <f t="shared" si="56"/>
        <v>0</v>
      </c>
      <c r="DR67" s="7">
        <f t="shared" si="57"/>
        <v>0</v>
      </c>
      <c r="DS67" s="7">
        <f t="shared" si="58"/>
        <v>0</v>
      </c>
      <c r="DT67" s="7">
        <f t="shared" si="59"/>
        <v>0</v>
      </c>
      <c r="DU67" s="7">
        <f t="shared" si="60"/>
        <v>0</v>
      </c>
    </row>
    <row r="68" spans="1:125" x14ac:dyDescent="0.2">
      <c r="A68" s="3">
        <f>Bonds!A68</f>
        <v>46691</v>
      </c>
      <c r="B68" s="4">
        <f>Bonds!B68</f>
        <v>3.5</v>
      </c>
      <c r="C68">
        <f>Bonds!P68</f>
        <v>3</v>
      </c>
      <c r="D68">
        <f t="shared" si="0"/>
        <v>1</v>
      </c>
      <c r="E68" s="3">
        <f>IF(1&gt;$C68,"",IF($D68=1,EOMONTH(EDATE(Bonds!$H68,6*(1-1)),0),EDATE(Bonds!$H68,6*(1-1))))</f>
        <v>46326</v>
      </c>
      <c r="F68" s="3">
        <f>IF(2&gt;$C68,"",IF($D68=1,EOMONTH(EDATE(Bonds!$H68,6*(2-1)),0),EDATE(Bonds!$H68,6*(2-1))))</f>
        <v>46507</v>
      </c>
      <c r="G68" s="3">
        <f>IF(3&gt;$C68,"",IF($D68=1,EOMONTH(EDATE(Bonds!$H68,6*(3-1)),0),EDATE(Bonds!$H68,6*(3-1))))</f>
        <v>46691</v>
      </c>
      <c r="H68" s="3" t="str">
        <f>IF(4&gt;$C68,"",IF($D68=1,EOMONTH(EDATE(Bonds!$H68,6*(4-1)),0),EDATE(Bonds!$H68,6*(4-1))))</f>
        <v/>
      </c>
      <c r="I68" s="3" t="str">
        <f>IF(5&gt;$C68,"",IF($D68=1,EOMONTH(EDATE(Bonds!$H68,6*(5-1)),0),EDATE(Bonds!$H68,6*(5-1))))</f>
        <v/>
      </c>
      <c r="J68" s="3" t="str">
        <f>IF(6&gt;$C68,"",IF($D68=1,EOMONTH(EDATE(Bonds!$H68,6*(6-1)),0),EDATE(Bonds!$H68,6*(6-1))))</f>
        <v/>
      </c>
      <c r="K68" s="3" t="str">
        <f>IF(7&gt;$C68,"",IF($D68=1,EOMONTH(EDATE(Bonds!$H68,6*(7-1)),0),EDATE(Bonds!$H68,6*(7-1))))</f>
        <v/>
      </c>
      <c r="L68" s="3" t="str">
        <f>IF(8&gt;$C68,"",IF($D68=1,EOMONTH(EDATE(Bonds!$H68,6*(8-1)),0),EDATE(Bonds!$H68,6*(8-1))))</f>
        <v/>
      </c>
      <c r="M68" s="3" t="str">
        <f>IF(9&gt;$C68,"",IF($D68=1,EOMONTH(EDATE(Bonds!$H68,6*(9-1)),0),EDATE(Bonds!$H68,6*(9-1))))</f>
        <v/>
      </c>
      <c r="N68" s="3" t="str">
        <f>IF(10&gt;$C68,"",IF($D68=1,EOMONTH(EDATE(Bonds!$H68,6*(10-1)),0),EDATE(Bonds!$H68,6*(10-1))))</f>
        <v/>
      </c>
      <c r="O68" s="3" t="str">
        <f>IF(11&gt;$C68,"",IF($D68=1,EOMONTH(EDATE(Bonds!$H68,6*(11-1)),0),EDATE(Bonds!$H68,6*(11-1))))</f>
        <v/>
      </c>
      <c r="P68" s="3" t="str">
        <f>IF(12&gt;$C68,"",IF($D68=1,EOMONTH(EDATE(Bonds!$H68,6*(12-1)),0),EDATE(Bonds!$H68,6*(12-1))))</f>
        <v/>
      </c>
      <c r="Q68" s="3" t="str">
        <f>IF(13&gt;$C68,"",IF($D68=1,EOMONTH(EDATE(Bonds!$H68,6*(13-1)),0),EDATE(Bonds!$H68,6*(13-1))))</f>
        <v/>
      </c>
      <c r="R68" s="3" t="str">
        <f>IF(14&gt;$C68,"",IF($D68=1,EOMONTH(EDATE(Bonds!$H68,6*(14-1)),0),EDATE(Bonds!$H68,6*(14-1))))</f>
        <v/>
      </c>
      <c r="S68" s="3" t="str">
        <f>IF(15&gt;$C68,"",IF($D68=1,EOMONTH(EDATE(Bonds!$H68,6*(15-1)),0),EDATE(Bonds!$H68,6*(15-1))))</f>
        <v/>
      </c>
      <c r="T68" s="3" t="str">
        <f>IF(16&gt;$C68,"",IF($D68=1,EOMONTH(EDATE(Bonds!$H68,6*(16-1)),0),EDATE(Bonds!$H68,6*(16-1))))</f>
        <v/>
      </c>
      <c r="U68" s="3" t="str">
        <f>IF(17&gt;$C68,"",IF($D68=1,EOMONTH(EDATE(Bonds!$H68,6*(17-1)),0),EDATE(Bonds!$H68,6*(17-1))))</f>
        <v/>
      </c>
      <c r="V68" s="3" t="str">
        <f>IF(18&gt;$C68,"",IF($D68=1,EOMONTH(EDATE(Bonds!$H68,6*(18-1)),0),EDATE(Bonds!$H68,6*(18-1))))</f>
        <v/>
      </c>
      <c r="W68" s="3" t="str">
        <f>IF(19&gt;$C68,"",IF($D68=1,EOMONTH(EDATE(Bonds!$H68,6*(19-1)),0),EDATE(Bonds!$H68,6*(19-1))))</f>
        <v/>
      </c>
      <c r="X68" s="3" t="str">
        <f>IF(20&gt;$C68,"",IF($D68=1,EOMONTH(EDATE(Bonds!$H68,6*(20-1)),0),EDATE(Bonds!$H68,6*(20-1))))</f>
        <v/>
      </c>
      <c r="Y68" s="3" t="str">
        <f>IF(21&gt;$C68,"",IF($D68=1,EOMONTH(EDATE(Bonds!$H68,6*(21-1)),0),EDATE(Bonds!$H68,6*(21-1))))</f>
        <v/>
      </c>
      <c r="Z68" s="3" t="str">
        <f>IF(22&gt;$C68,"",IF($D68=1,EOMONTH(EDATE(Bonds!$H68,6*(22-1)),0),EDATE(Bonds!$H68,6*(22-1))))</f>
        <v/>
      </c>
      <c r="AA68" s="3" t="str">
        <f>IF(23&gt;$C68,"",IF($D68=1,EOMONTH(EDATE(Bonds!$H68,6*(23-1)),0),EDATE(Bonds!$H68,6*(23-1))))</f>
        <v/>
      </c>
      <c r="AB68" s="3" t="str">
        <f>IF(24&gt;$C68,"",IF($D68=1,EOMONTH(EDATE(Bonds!$H68,6*(24-1)),0),EDATE(Bonds!$H68,6*(24-1))))</f>
        <v/>
      </c>
      <c r="AC68" s="3" t="str">
        <f>IF(25&gt;$C68,"",IF($D68=1,EOMONTH(EDATE(Bonds!$H68,6*(25-1)),0),EDATE(Bonds!$H68,6*(25-1))))</f>
        <v/>
      </c>
      <c r="AD68" s="3" t="str">
        <f>IF(26&gt;$C68,"",IF($D68=1,EOMONTH(EDATE(Bonds!$H68,6*(26-1)),0),EDATE(Bonds!$H68,6*(26-1))))</f>
        <v/>
      </c>
      <c r="AE68" s="3" t="str">
        <f>IF(27&gt;$C68,"",IF($D68=1,EOMONTH(EDATE(Bonds!$H68,6*(27-1)),0),EDATE(Bonds!$H68,6*(27-1))))</f>
        <v/>
      </c>
      <c r="AF68" s="3" t="str">
        <f>IF(28&gt;$C68,"",IF($D68=1,EOMONTH(EDATE(Bonds!$H68,6*(28-1)),0),EDATE(Bonds!$H68,6*(28-1))))</f>
        <v/>
      </c>
      <c r="AG68" s="3" t="str">
        <f>IF(29&gt;$C68,"",IF($D68=1,EOMONTH(EDATE(Bonds!$H68,6*(29-1)),0),EDATE(Bonds!$H68,6*(29-1))))</f>
        <v/>
      </c>
      <c r="AH68" s="3" t="str">
        <f>IF(30&gt;$C68,"",IF($D68=1,EOMONTH(EDATE(Bonds!$H68,6*(30-1)),0),EDATE(Bonds!$H68,6*(30-1))))</f>
        <v/>
      </c>
      <c r="AI68" s="3" t="str">
        <f>IF(31&gt;$C68,"",IF($D68=1,EOMONTH(EDATE(Bonds!$H68,6*(31-1)),0),EDATE(Bonds!$H68,6*(31-1))))</f>
        <v/>
      </c>
      <c r="AJ68" s="3" t="str">
        <f>IF(32&gt;$C68,"",IF($D68=1,EOMONTH(EDATE(Bonds!$H68,6*(32-1)),0),EDATE(Bonds!$H68,6*(32-1))))</f>
        <v/>
      </c>
      <c r="AK68" s="3" t="str">
        <f>IF(33&gt;$C68,"",IF($D68=1,EOMONTH(EDATE(Bonds!$H68,6*(33-1)),0),EDATE(Bonds!$H68,6*(33-1))))</f>
        <v/>
      </c>
      <c r="AL68" s="3" t="str">
        <f>IF(34&gt;$C68,"",IF($D68=1,EOMONTH(EDATE(Bonds!$H68,6*(34-1)),0),EDATE(Bonds!$H68,6*(34-1))))</f>
        <v/>
      </c>
      <c r="AM68" s="3" t="str">
        <f>IF(35&gt;$C68,"",IF($D68=1,EOMONTH(EDATE(Bonds!$H68,6*(35-1)),0),EDATE(Bonds!$H68,6*(35-1))))</f>
        <v/>
      </c>
      <c r="AN68" s="3" t="str">
        <f>IF(36&gt;$C68,"",IF($D68=1,EOMONTH(EDATE(Bonds!$H68,6*(36-1)),0),EDATE(Bonds!$H68,6*(36-1))))</f>
        <v/>
      </c>
      <c r="AO68" s="3" t="str">
        <f>IF(37&gt;$C68,"",IF($D68=1,EOMONTH(EDATE(Bonds!$H68,6*(37-1)),0),EDATE(Bonds!$H68,6*(37-1))))</f>
        <v/>
      </c>
      <c r="AP68" s="3" t="str">
        <f>IF(38&gt;$C68,"",IF($D68=1,EOMONTH(EDATE(Bonds!$H68,6*(38-1)),0),EDATE(Bonds!$H68,6*(38-1))))</f>
        <v/>
      </c>
      <c r="AQ68" s="3" t="str">
        <f>IF(39&gt;$C68,"",IF($D68=1,EOMONTH(EDATE(Bonds!$H68,6*(39-1)),0),EDATE(Bonds!$H68,6*(39-1))))</f>
        <v/>
      </c>
      <c r="AR68" s="3" t="str">
        <f>IF(40&gt;$C68,"",IF($D68=1,EOMONTH(EDATE(Bonds!$H68,6*(40-1)),0),EDATE(Bonds!$H68,6*(40-1))))</f>
        <v/>
      </c>
      <c r="AS68" s="3" t="str">
        <f>IF(41&gt;$C68,"",IF($D68=1,EOMONTH(EDATE(Bonds!$H68,6*(41-1)),0),EDATE(Bonds!$H68,6*(41-1))))</f>
        <v/>
      </c>
      <c r="AT68" s="3" t="str">
        <f>IF(42&gt;$C68,"",IF($D68=1,EOMONTH(EDATE(Bonds!$H68,6*(42-1)),0),EDATE(Bonds!$H68,6*(42-1))))</f>
        <v/>
      </c>
      <c r="AU68" s="3" t="str">
        <f>IF(43&gt;$C68,"",IF($D68=1,EOMONTH(EDATE(Bonds!$H68,6*(43-1)),0),EDATE(Bonds!$H68,6*(43-1))))</f>
        <v/>
      </c>
      <c r="AV68" s="3" t="str">
        <f>IF(44&gt;$C68,"",IF($D68=1,EOMONTH(EDATE(Bonds!$H68,6*(44-1)),0),EDATE(Bonds!$H68,6*(44-1))))</f>
        <v/>
      </c>
      <c r="AW68" s="3" t="str">
        <f>IF(45&gt;$C68,"",IF($D68=1,EOMONTH(EDATE(Bonds!$H68,6*(45-1)),0),EDATE(Bonds!$H68,6*(45-1))))</f>
        <v/>
      </c>
      <c r="AX68" s="3" t="str">
        <f>IF(46&gt;$C68,"",IF($D68=1,EOMONTH(EDATE(Bonds!$H68,6*(46-1)),0),EDATE(Bonds!$H68,6*(46-1))))</f>
        <v/>
      </c>
      <c r="AY68" s="3" t="str">
        <f>IF(47&gt;$C68,"",IF($D68=1,EOMONTH(EDATE(Bonds!$H68,6*(47-1)),0),EDATE(Bonds!$H68,6*(47-1))))</f>
        <v/>
      </c>
      <c r="AZ68" s="3" t="str">
        <f>IF(48&gt;$C68,"",IF($D68=1,EOMONTH(EDATE(Bonds!$H68,6*(48-1)),0),EDATE(Bonds!$H68,6*(48-1))))</f>
        <v/>
      </c>
      <c r="BA68" s="3" t="str">
        <f>IF(49&gt;$C68,"",IF($D68=1,EOMONTH(EDATE(Bonds!$H68,6*(49-1)),0),EDATE(Bonds!$H68,6*(49-1))))</f>
        <v/>
      </c>
      <c r="BB68" s="3" t="str">
        <f>IF(50&gt;$C68,"",IF($D68=1,EOMONTH(EDATE(Bonds!$H68,6*(50-1)),0),EDATE(Bonds!$H68,6*(50-1))))</f>
        <v/>
      </c>
      <c r="BC68" s="3" t="str">
        <f>IF(51&gt;$C68,"",IF($D68=1,EOMONTH(EDATE(Bonds!$H68,6*(51-1)),0),EDATE(Bonds!$H68,6*(51-1))))</f>
        <v/>
      </c>
      <c r="BD68" s="3" t="str">
        <f>IF(52&gt;$C68,"",IF($D68=1,EOMONTH(EDATE(Bonds!$H68,6*(52-1)),0),EDATE(Bonds!$H68,6*(52-1))))</f>
        <v/>
      </c>
      <c r="BE68" s="3" t="str">
        <f>IF(53&gt;$C68,"",IF($D68=1,EOMONTH(EDATE(Bonds!$H68,6*(53-1)),0),EDATE(Bonds!$H68,6*(53-1))))</f>
        <v/>
      </c>
      <c r="BF68" s="3" t="str">
        <f>IF(54&gt;$C68,"",IF($D68=1,EOMONTH(EDATE(Bonds!$H68,6*(54-1)),0),EDATE(Bonds!$H68,6*(54-1))))</f>
        <v/>
      </c>
      <c r="BG68" s="3" t="str">
        <f>IF(55&gt;$C68,"",IF($D68=1,EOMONTH(EDATE(Bonds!$H68,6*(55-1)),0),EDATE(Bonds!$H68,6*(55-1))))</f>
        <v/>
      </c>
      <c r="BH68" s="3" t="str">
        <f>IF(56&gt;$C68,"",IF($D68=1,EOMONTH(EDATE(Bonds!$H68,6*(56-1)),0),EDATE(Bonds!$H68,6*(56-1))))</f>
        <v/>
      </c>
      <c r="BI68" s="3" t="str">
        <f>IF(57&gt;$C68,"",IF($D68=1,EOMONTH(EDATE(Bonds!$H68,6*(57-1)),0),EDATE(Bonds!$H68,6*(57-1))))</f>
        <v/>
      </c>
      <c r="BJ68" s="3" t="str">
        <f>IF(58&gt;$C68,"",IF($D68=1,EOMONTH(EDATE(Bonds!$H68,6*(58-1)),0),EDATE(Bonds!$H68,6*(58-1))))</f>
        <v/>
      </c>
      <c r="BK68" s="3" t="str">
        <f>IF(59&gt;$C68,"",IF($D68=1,EOMONTH(EDATE(Bonds!$H68,6*(59-1)),0),EDATE(Bonds!$H68,6*(59-1))))</f>
        <v/>
      </c>
      <c r="BL68" s="3" t="str">
        <f>IF(60&gt;$C68,"",IF($D68=1,EOMONTH(EDATE(Bonds!$H68,6*(60-1)),0),EDATE(Bonds!$H68,6*(60-1))))</f>
        <v/>
      </c>
      <c r="BN68" s="7">
        <f t="shared" si="1"/>
        <v>1.7405474622621198</v>
      </c>
      <c r="BO68" s="7">
        <f t="shared" si="2"/>
        <v>1.7057075820112482</v>
      </c>
      <c r="BP68" s="7">
        <f t="shared" si="3"/>
        <v>96.998496310135636</v>
      </c>
      <c r="BQ68" s="7">
        <f t="shared" si="4"/>
        <v>0</v>
      </c>
      <c r="BR68" s="7">
        <f t="shared" si="5"/>
        <v>0</v>
      </c>
      <c r="BS68" s="7">
        <f t="shared" si="6"/>
        <v>0</v>
      </c>
      <c r="BT68" s="7">
        <f t="shared" si="7"/>
        <v>0</v>
      </c>
      <c r="BU68" s="7">
        <f t="shared" si="8"/>
        <v>0</v>
      </c>
      <c r="BV68" s="7">
        <f t="shared" si="9"/>
        <v>0</v>
      </c>
      <c r="BW68" s="7">
        <f t="shared" si="10"/>
        <v>0</v>
      </c>
      <c r="BX68" s="7">
        <f t="shared" si="11"/>
        <v>0</v>
      </c>
      <c r="BY68" s="7">
        <f t="shared" si="12"/>
        <v>0</v>
      </c>
      <c r="BZ68" s="7">
        <f t="shared" si="13"/>
        <v>0</v>
      </c>
      <c r="CA68" s="7">
        <f t="shared" si="14"/>
        <v>0</v>
      </c>
      <c r="CB68" s="7">
        <f t="shared" si="15"/>
        <v>0</v>
      </c>
      <c r="CC68" s="7">
        <f t="shared" si="16"/>
        <v>0</v>
      </c>
      <c r="CD68" s="7">
        <f t="shared" si="17"/>
        <v>0</v>
      </c>
      <c r="CE68" s="7">
        <f t="shared" si="18"/>
        <v>0</v>
      </c>
      <c r="CF68" s="7">
        <f t="shared" si="19"/>
        <v>0</v>
      </c>
      <c r="CG68" s="7">
        <f t="shared" si="20"/>
        <v>0</v>
      </c>
      <c r="CH68" s="7">
        <f t="shared" si="21"/>
        <v>0</v>
      </c>
      <c r="CI68" s="7">
        <f t="shared" si="22"/>
        <v>0</v>
      </c>
      <c r="CJ68" s="7">
        <f t="shared" si="23"/>
        <v>0</v>
      </c>
      <c r="CK68" s="7">
        <f t="shared" si="24"/>
        <v>0</v>
      </c>
      <c r="CL68" s="7">
        <f t="shared" si="25"/>
        <v>0</v>
      </c>
      <c r="CM68" s="7">
        <f t="shared" si="26"/>
        <v>0</v>
      </c>
      <c r="CN68" s="7">
        <f t="shared" si="27"/>
        <v>0</v>
      </c>
      <c r="CO68" s="7">
        <f t="shared" si="28"/>
        <v>0</v>
      </c>
      <c r="CP68" s="7">
        <f t="shared" si="29"/>
        <v>0</v>
      </c>
      <c r="CQ68" s="7">
        <f t="shared" si="30"/>
        <v>0</v>
      </c>
      <c r="CR68" s="7">
        <f t="shared" si="31"/>
        <v>0</v>
      </c>
      <c r="CS68" s="7">
        <f t="shared" si="32"/>
        <v>0</v>
      </c>
      <c r="CT68" s="7">
        <f t="shared" si="33"/>
        <v>0</v>
      </c>
      <c r="CU68" s="7">
        <f t="shared" si="34"/>
        <v>0</v>
      </c>
      <c r="CV68" s="7">
        <f t="shared" si="35"/>
        <v>0</v>
      </c>
      <c r="CW68" s="7">
        <f t="shared" si="36"/>
        <v>0</v>
      </c>
      <c r="CX68" s="7">
        <f t="shared" si="37"/>
        <v>0</v>
      </c>
      <c r="CY68" s="7">
        <f t="shared" si="38"/>
        <v>0</v>
      </c>
      <c r="CZ68" s="7">
        <f t="shared" si="39"/>
        <v>0</v>
      </c>
      <c r="DA68" s="7">
        <f t="shared" si="40"/>
        <v>0</v>
      </c>
      <c r="DB68" s="7">
        <f t="shared" si="41"/>
        <v>0</v>
      </c>
      <c r="DC68" s="7">
        <f t="shared" si="42"/>
        <v>0</v>
      </c>
      <c r="DD68" s="7">
        <f t="shared" si="43"/>
        <v>0</v>
      </c>
      <c r="DE68" s="7">
        <f t="shared" si="44"/>
        <v>0</v>
      </c>
      <c r="DF68" s="7">
        <f t="shared" si="45"/>
        <v>0</v>
      </c>
      <c r="DG68" s="7">
        <f t="shared" si="46"/>
        <v>0</v>
      </c>
      <c r="DH68" s="7">
        <f t="shared" si="47"/>
        <v>0</v>
      </c>
      <c r="DI68" s="7">
        <f t="shared" si="48"/>
        <v>0</v>
      </c>
      <c r="DJ68" s="7">
        <f t="shared" si="49"/>
        <v>0</v>
      </c>
      <c r="DK68" s="7">
        <f t="shared" si="50"/>
        <v>0</v>
      </c>
      <c r="DL68" s="7">
        <f t="shared" si="51"/>
        <v>0</v>
      </c>
      <c r="DM68" s="7">
        <f t="shared" si="52"/>
        <v>0</v>
      </c>
      <c r="DN68" s="7">
        <f t="shared" si="53"/>
        <v>0</v>
      </c>
      <c r="DO68" s="7">
        <f t="shared" si="54"/>
        <v>0</v>
      </c>
      <c r="DP68" s="7">
        <f t="shared" si="55"/>
        <v>0</v>
      </c>
      <c r="DQ68" s="7">
        <f t="shared" si="56"/>
        <v>0</v>
      </c>
      <c r="DR68" s="7">
        <f t="shared" si="57"/>
        <v>0</v>
      </c>
      <c r="DS68" s="7">
        <f t="shared" si="58"/>
        <v>0</v>
      </c>
      <c r="DT68" s="7">
        <f t="shared" si="59"/>
        <v>0</v>
      </c>
      <c r="DU68" s="7">
        <f t="shared" si="60"/>
        <v>0</v>
      </c>
    </row>
    <row r="69" spans="1:125" x14ac:dyDescent="0.2">
      <c r="A69" s="3">
        <f>Bonds!A69</f>
        <v>46691</v>
      </c>
      <c r="B69" s="4">
        <f>Bonds!B69</f>
        <v>4.125</v>
      </c>
      <c r="C69">
        <f>Bonds!P69</f>
        <v>3</v>
      </c>
      <c r="D69">
        <f t="shared" si="0"/>
        <v>1</v>
      </c>
      <c r="E69" s="3">
        <f>IF(1&gt;$C69,"",IF($D69=1,EOMONTH(EDATE(Bonds!$H69,6*(1-1)),0),EDATE(Bonds!$H69,6*(1-1))))</f>
        <v>46326</v>
      </c>
      <c r="F69" s="3">
        <f>IF(2&gt;$C69,"",IF($D69=1,EOMONTH(EDATE(Bonds!$H69,6*(2-1)),0),EDATE(Bonds!$H69,6*(2-1))))</f>
        <v>46507</v>
      </c>
      <c r="G69" s="3">
        <f>IF(3&gt;$C69,"",IF($D69=1,EOMONTH(EDATE(Bonds!$H69,6*(3-1)),0),EDATE(Bonds!$H69,6*(3-1))))</f>
        <v>46691</v>
      </c>
      <c r="H69" s="3" t="str">
        <f>IF(4&gt;$C69,"",IF($D69=1,EOMONTH(EDATE(Bonds!$H69,6*(4-1)),0),EDATE(Bonds!$H69,6*(4-1))))</f>
        <v/>
      </c>
      <c r="I69" s="3" t="str">
        <f>IF(5&gt;$C69,"",IF($D69=1,EOMONTH(EDATE(Bonds!$H69,6*(5-1)),0),EDATE(Bonds!$H69,6*(5-1))))</f>
        <v/>
      </c>
      <c r="J69" s="3" t="str">
        <f>IF(6&gt;$C69,"",IF($D69=1,EOMONTH(EDATE(Bonds!$H69,6*(6-1)),0),EDATE(Bonds!$H69,6*(6-1))))</f>
        <v/>
      </c>
      <c r="K69" s="3" t="str">
        <f>IF(7&gt;$C69,"",IF($D69=1,EOMONTH(EDATE(Bonds!$H69,6*(7-1)),0),EDATE(Bonds!$H69,6*(7-1))))</f>
        <v/>
      </c>
      <c r="L69" s="3" t="str">
        <f>IF(8&gt;$C69,"",IF($D69=1,EOMONTH(EDATE(Bonds!$H69,6*(8-1)),0),EDATE(Bonds!$H69,6*(8-1))))</f>
        <v/>
      </c>
      <c r="M69" s="3" t="str">
        <f>IF(9&gt;$C69,"",IF($D69=1,EOMONTH(EDATE(Bonds!$H69,6*(9-1)),0),EDATE(Bonds!$H69,6*(9-1))))</f>
        <v/>
      </c>
      <c r="N69" s="3" t="str">
        <f>IF(10&gt;$C69,"",IF($D69=1,EOMONTH(EDATE(Bonds!$H69,6*(10-1)),0),EDATE(Bonds!$H69,6*(10-1))))</f>
        <v/>
      </c>
      <c r="O69" s="3" t="str">
        <f>IF(11&gt;$C69,"",IF($D69=1,EOMONTH(EDATE(Bonds!$H69,6*(11-1)),0),EDATE(Bonds!$H69,6*(11-1))))</f>
        <v/>
      </c>
      <c r="P69" s="3" t="str">
        <f>IF(12&gt;$C69,"",IF($D69=1,EOMONTH(EDATE(Bonds!$H69,6*(12-1)),0),EDATE(Bonds!$H69,6*(12-1))))</f>
        <v/>
      </c>
      <c r="Q69" s="3" t="str">
        <f>IF(13&gt;$C69,"",IF($D69=1,EOMONTH(EDATE(Bonds!$H69,6*(13-1)),0),EDATE(Bonds!$H69,6*(13-1))))</f>
        <v/>
      </c>
      <c r="R69" s="3" t="str">
        <f>IF(14&gt;$C69,"",IF($D69=1,EOMONTH(EDATE(Bonds!$H69,6*(14-1)),0),EDATE(Bonds!$H69,6*(14-1))))</f>
        <v/>
      </c>
      <c r="S69" s="3" t="str">
        <f>IF(15&gt;$C69,"",IF($D69=1,EOMONTH(EDATE(Bonds!$H69,6*(15-1)),0),EDATE(Bonds!$H69,6*(15-1))))</f>
        <v/>
      </c>
      <c r="T69" s="3" t="str">
        <f>IF(16&gt;$C69,"",IF($D69=1,EOMONTH(EDATE(Bonds!$H69,6*(16-1)),0),EDATE(Bonds!$H69,6*(16-1))))</f>
        <v/>
      </c>
      <c r="U69" s="3" t="str">
        <f>IF(17&gt;$C69,"",IF($D69=1,EOMONTH(EDATE(Bonds!$H69,6*(17-1)),0),EDATE(Bonds!$H69,6*(17-1))))</f>
        <v/>
      </c>
      <c r="V69" s="3" t="str">
        <f>IF(18&gt;$C69,"",IF($D69=1,EOMONTH(EDATE(Bonds!$H69,6*(18-1)),0),EDATE(Bonds!$H69,6*(18-1))))</f>
        <v/>
      </c>
      <c r="W69" s="3" t="str">
        <f>IF(19&gt;$C69,"",IF($D69=1,EOMONTH(EDATE(Bonds!$H69,6*(19-1)),0),EDATE(Bonds!$H69,6*(19-1))))</f>
        <v/>
      </c>
      <c r="X69" s="3" t="str">
        <f>IF(20&gt;$C69,"",IF($D69=1,EOMONTH(EDATE(Bonds!$H69,6*(20-1)),0),EDATE(Bonds!$H69,6*(20-1))))</f>
        <v/>
      </c>
      <c r="Y69" s="3" t="str">
        <f>IF(21&gt;$C69,"",IF($D69=1,EOMONTH(EDATE(Bonds!$H69,6*(21-1)),0),EDATE(Bonds!$H69,6*(21-1))))</f>
        <v/>
      </c>
      <c r="Z69" s="3" t="str">
        <f>IF(22&gt;$C69,"",IF($D69=1,EOMONTH(EDATE(Bonds!$H69,6*(22-1)),0),EDATE(Bonds!$H69,6*(22-1))))</f>
        <v/>
      </c>
      <c r="AA69" s="3" t="str">
        <f>IF(23&gt;$C69,"",IF($D69=1,EOMONTH(EDATE(Bonds!$H69,6*(23-1)),0),EDATE(Bonds!$H69,6*(23-1))))</f>
        <v/>
      </c>
      <c r="AB69" s="3" t="str">
        <f>IF(24&gt;$C69,"",IF($D69=1,EOMONTH(EDATE(Bonds!$H69,6*(24-1)),0),EDATE(Bonds!$H69,6*(24-1))))</f>
        <v/>
      </c>
      <c r="AC69" s="3" t="str">
        <f>IF(25&gt;$C69,"",IF($D69=1,EOMONTH(EDATE(Bonds!$H69,6*(25-1)),0),EDATE(Bonds!$H69,6*(25-1))))</f>
        <v/>
      </c>
      <c r="AD69" s="3" t="str">
        <f>IF(26&gt;$C69,"",IF($D69=1,EOMONTH(EDATE(Bonds!$H69,6*(26-1)),0),EDATE(Bonds!$H69,6*(26-1))))</f>
        <v/>
      </c>
      <c r="AE69" s="3" t="str">
        <f>IF(27&gt;$C69,"",IF($D69=1,EOMONTH(EDATE(Bonds!$H69,6*(27-1)),0),EDATE(Bonds!$H69,6*(27-1))))</f>
        <v/>
      </c>
      <c r="AF69" s="3" t="str">
        <f>IF(28&gt;$C69,"",IF($D69=1,EOMONTH(EDATE(Bonds!$H69,6*(28-1)),0),EDATE(Bonds!$H69,6*(28-1))))</f>
        <v/>
      </c>
      <c r="AG69" s="3" t="str">
        <f>IF(29&gt;$C69,"",IF($D69=1,EOMONTH(EDATE(Bonds!$H69,6*(29-1)),0),EDATE(Bonds!$H69,6*(29-1))))</f>
        <v/>
      </c>
      <c r="AH69" s="3" t="str">
        <f>IF(30&gt;$C69,"",IF($D69=1,EOMONTH(EDATE(Bonds!$H69,6*(30-1)),0),EDATE(Bonds!$H69,6*(30-1))))</f>
        <v/>
      </c>
      <c r="AI69" s="3" t="str">
        <f>IF(31&gt;$C69,"",IF($D69=1,EOMONTH(EDATE(Bonds!$H69,6*(31-1)),0),EDATE(Bonds!$H69,6*(31-1))))</f>
        <v/>
      </c>
      <c r="AJ69" s="3" t="str">
        <f>IF(32&gt;$C69,"",IF($D69=1,EOMONTH(EDATE(Bonds!$H69,6*(32-1)),0),EDATE(Bonds!$H69,6*(32-1))))</f>
        <v/>
      </c>
      <c r="AK69" s="3" t="str">
        <f>IF(33&gt;$C69,"",IF($D69=1,EOMONTH(EDATE(Bonds!$H69,6*(33-1)),0),EDATE(Bonds!$H69,6*(33-1))))</f>
        <v/>
      </c>
      <c r="AL69" s="3" t="str">
        <f>IF(34&gt;$C69,"",IF($D69=1,EOMONTH(EDATE(Bonds!$H69,6*(34-1)),0),EDATE(Bonds!$H69,6*(34-1))))</f>
        <v/>
      </c>
      <c r="AM69" s="3" t="str">
        <f>IF(35&gt;$C69,"",IF($D69=1,EOMONTH(EDATE(Bonds!$H69,6*(35-1)),0),EDATE(Bonds!$H69,6*(35-1))))</f>
        <v/>
      </c>
      <c r="AN69" s="3" t="str">
        <f>IF(36&gt;$C69,"",IF($D69=1,EOMONTH(EDATE(Bonds!$H69,6*(36-1)),0),EDATE(Bonds!$H69,6*(36-1))))</f>
        <v/>
      </c>
      <c r="AO69" s="3" t="str">
        <f>IF(37&gt;$C69,"",IF($D69=1,EOMONTH(EDATE(Bonds!$H69,6*(37-1)),0),EDATE(Bonds!$H69,6*(37-1))))</f>
        <v/>
      </c>
      <c r="AP69" s="3" t="str">
        <f>IF(38&gt;$C69,"",IF($D69=1,EOMONTH(EDATE(Bonds!$H69,6*(38-1)),0),EDATE(Bonds!$H69,6*(38-1))))</f>
        <v/>
      </c>
      <c r="AQ69" s="3" t="str">
        <f>IF(39&gt;$C69,"",IF($D69=1,EOMONTH(EDATE(Bonds!$H69,6*(39-1)),0),EDATE(Bonds!$H69,6*(39-1))))</f>
        <v/>
      </c>
      <c r="AR69" s="3" t="str">
        <f>IF(40&gt;$C69,"",IF($D69=1,EOMONTH(EDATE(Bonds!$H69,6*(40-1)),0),EDATE(Bonds!$H69,6*(40-1))))</f>
        <v/>
      </c>
      <c r="AS69" s="3" t="str">
        <f>IF(41&gt;$C69,"",IF($D69=1,EOMONTH(EDATE(Bonds!$H69,6*(41-1)),0),EDATE(Bonds!$H69,6*(41-1))))</f>
        <v/>
      </c>
      <c r="AT69" s="3" t="str">
        <f>IF(42&gt;$C69,"",IF($D69=1,EOMONTH(EDATE(Bonds!$H69,6*(42-1)),0),EDATE(Bonds!$H69,6*(42-1))))</f>
        <v/>
      </c>
      <c r="AU69" s="3" t="str">
        <f>IF(43&gt;$C69,"",IF($D69=1,EOMONTH(EDATE(Bonds!$H69,6*(43-1)),0),EDATE(Bonds!$H69,6*(43-1))))</f>
        <v/>
      </c>
      <c r="AV69" s="3" t="str">
        <f>IF(44&gt;$C69,"",IF($D69=1,EOMONTH(EDATE(Bonds!$H69,6*(44-1)),0),EDATE(Bonds!$H69,6*(44-1))))</f>
        <v/>
      </c>
      <c r="AW69" s="3" t="str">
        <f>IF(45&gt;$C69,"",IF($D69=1,EOMONTH(EDATE(Bonds!$H69,6*(45-1)),0),EDATE(Bonds!$H69,6*(45-1))))</f>
        <v/>
      </c>
      <c r="AX69" s="3" t="str">
        <f>IF(46&gt;$C69,"",IF($D69=1,EOMONTH(EDATE(Bonds!$H69,6*(46-1)),0),EDATE(Bonds!$H69,6*(46-1))))</f>
        <v/>
      </c>
      <c r="AY69" s="3" t="str">
        <f>IF(47&gt;$C69,"",IF($D69=1,EOMONTH(EDATE(Bonds!$H69,6*(47-1)),0),EDATE(Bonds!$H69,6*(47-1))))</f>
        <v/>
      </c>
      <c r="AZ69" s="3" t="str">
        <f>IF(48&gt;$C69,"",IF($D69=1,EOMONTH(EDATE(Bonds!$H69,6*(48-1)),0),EDATE(Bonds!$H69,6*(48-1))))</f>
        <v/>
      </c>
      <c r="BA69" s="3" t="str">
        <f>IF(49&gt;$C69,"",IF($D69=1,EOMONTH(EDATE(Bonds!$H69,6*(49-1)),0),EDATE(Bonds!$H69,6*(49-1))))</f>
        <v/>
      </c>
      <c r="BB69" s="3" t="str">
        <f>IF(50&gt;$C69,"",IF($D69=1,EOMONTH(EDATE(Bonds!$H69,6*(50-1)),0),EDATE(Bonds!$H69,6*(50-1))))</f>
        <v/>
      </c>
      <c r="BC69" s="3" t="str">
        <f>IF(51&gt;$C69,"",IF($D69=1,EOMONTH(EDATE(Bonds!$H69,6*(51-1)),0),EDATE(Bonds!$H69,6*(51-1))))</f>
        <v/>
      </c>
      <c r="BD69" s="3" t="str">
        <f>IF(52&gt;$C69,"",IF($D69=1,EOMONTH(EDATE(Bonds!$H69,6*(52-1)),0),EDATE(Bonds!$H69,6*(52-1))))</f>
        <v/>
      </c>
      <c r="BE69" s="3" t="str">
        <f>IF(53&gt;$C69,"",IF($D69=1,EOMONTH(EDATE(Bonds!$H69,6*(53-1)),0),EDATE(Bonds!$H69,6*(53-1))))</f>
        <v/>
      </c>
      <c r="BF69" s="3" t="str">
        <f>IF(54&gt;$C69,"",IF($D69=1,EOMONTH(EDATE(Bonds!$H69,6*(54-1)),0),EDATE(Bonds!$H69,6*(54-1))))</f>
        <v/>
      </c>
      <c r="BG69" s="3" t="str">
        <f>IF(55&gt;$C69,"",IF($D69=1,EOMONTH(EDATE(Bonds!$H69,6*(55-1)),0),EDATE(Bonds!$H69,6*(55-1))))</f>
        <v/>
      </c>
      <c r="BH69" s="3" t="str">
        <f>IF(56&gt;$C69,"",IF($D69=1,EOMONTH(EDATE(Bonds!$H69,6*(56-1)),0),EDATE(Bonds!$H69,6*(56-1))))</f>
        <v/>
      </c>
      <c r="BI69" s="3" t="str">
        <f>IF(57&gt;$C69,"",IF($D69=1,EOMONTH(EDATE(Bonds!$H69,6*(57-1)),0),EDATE(Bonds!$H69,6*(57-1))))</f>
        <v/>
      </c>
      <c r="BJ69" s="3" t="str">
        <f>IF(58&gt;$C69,"",IF($D69=1,EOMONTH(EDATE(Bonds!$H69,6*(58-1)),0),EDATE(Bonds!$H69,6*(58-1))))</f>
        <v/>
      </c>
      <c r="BK69" s="3" t="str">
        <f>IF(59&gt;$C69,"",IF($D69=1,EOMONTH(EDATE(Bonds!$H69,6*(59-1)),0),EDATE(Bonds!$H69,6*(59-1))))</f>
        <v/>
      </c>
      <c r="BL69" s="3" t="str">
        <f>IF(60&gt;$C69,"",IF($D69=1,EOMONTH(EDATE(Bonds!$H69,6*(60-1)),0),EDATE(Bonds!$H69,6*(60-1))))</f>
        <v/>
      </c>
      <c r="BN69" s="7">
        <f t="shared" si="1"/>
        <v>2.0513595090946413</v>
      </c>
      <c r="BO69" s="7">
        <f t="shared" si="2"/>
        <v>2.010298221656114</v>
      </c>
      <c r="BP69" s="7">
        <f t="shared" si="3"/>
        <v>97.296403239835072</v>
      </c>
      <c r="BQ69" s="7">
        <f t="shared" si="4"/>
        <v>0</v>
      </c>
      <c r="BR69" s="7">
        <f t="shared" si="5"/>
        <v>0</v>
      </c>
      <c r="BS69" s="7">
        <f t="shared" si="6"/>
        <v>0</v>
      </c>
      <c r="BT69" s="7">
        <f t="shared" si="7"/>
        <v>0</v>
      </c>
      <c r="BU69" s="7">
        <f t="shared" si="8"/>
        <v>0</v>
      </c>
      <c r="BV69" s="7">
        <f t="shared" si="9"/>
        <v>0</v>
      </c>
      <c r="BW69" s="7">
        <f t="shared" si="10"/>
        <v>0</v>
      </c>
      <c r="BX69" s="7">
        <f t="shared" si="11"/>
        <v>0</v>
      </c>
      <c r="BY69" s="7">
        <f t="shared" si="12"/>
        <v>0</v>
      </c>
      <c r="BZ69" s="7">
        <f t="shared" si="13"/>
        <v>0</v>
      </c>
      <c r="CA69" s="7">
        <f t="shared" si="14"/>
        <v>0</v>
      </c>
      <c r="CB69" s="7">
        <f t="shared" si="15"/>
        <v>0</v>
      </c>
      <c r="CC69" s="7">
        <f t="shared" si="16"/>
        <v>0</v>
      </c>
      <c r="CD69" s="7">
        <f t="shared" si="17"/>
        <v>0</v>
      </c>
      <c r="CE69" s="7">
        <f t="shared" si="18"/>
        <v>0</v>
      </c>
      <c r="CF69" s="7">
        <f t="shared" si="19"/>
        <v>0</v>
      </c>
      <c r="CG69" s="7">
        <f t="shared" si="20"/>
        <v>0</v>
      </c>
      <c r="CH69" s="7">
        <f t="shared" si="21"/>
        <v>0</v>
      </c>
      <c r="CI69" s="7">
        <f t="shared" si="22"/>
        <v>0</v>
      </c>
      <c r="CJ69" s="7">
        <f t="shared" si="23"/>
        <v>0</v>
      </c>
      <c r="CK69" s="7">
        <f t="shared" si="24"/>
        <v>0</v>
      </c>
      <c r="CL69" s="7">
        <f t="shared" si="25"/>
        <v>0</v>
      </c>
      <c r="CM69" s="7">
        <f t="shared" si="26"/>
        <v>0</v>
      </c>
      <c r="CN69" s="7">
        <f t="shared" si="27"/>
        <v>0</v>
      </c>
      <c r="CO69" s="7">
        <f t="shared" si="28"/>
        <v>0</v>
      </c>
      <c r="CP69" s="7">
        <f t="shared" si="29"/>
        <v>0</v>
      </c>
      <c r="CQ69" s="7">
        <f t="shared" si="30"/>
        <v>0</v>
      </c>
      <c r="CR69" s="7">
        <f t="shared" si="31"/>
        <v>0</v>
      </c>
      <c r="CS69" s="7">
        <f t="shared" si="32"/>
        <v>0</v>
      </c>
      <c r="CT69" s="7">
        <f t="shared" si="33"/>
        <v>0</v>
      </c>
      <c r="CU69" s="7">
        <f t="shared" si="34"/>
        <v>0</v>
      </c>
      <c r="CV69" s="7">
        <f t="shared" si="35"/>
        <v>0</v>
      </c>
      <c r="CW69" s="7">
        <f t="shared" si="36"/>
        <v>0</v>
      </c>
      <c r="CX69" s="7">
        <f t="shared" si="37"/>
        <v>0</v>
      </c>
      <c r="CY69" s="7">
        <f t="shared" si="38"/>
        <v>0</v>
      </c>
      <c r="CZ69" s="7">
        <f t="shared" si="39"/>
        <v>0</v>
      </c>
      <c r="DA69" s="7">
        <f t="shared" si="40"/>
        <v>0</v>
      </c>
      <c r="DB69" s="7">
        <f t="shared" si="41"/>
        <v>0</v>
      </c>
      <c r="DC69" s="7">
        <f t="shared" si="42"/>
        <v>0</v>
      </c>
      <c r="DD69" s="7">
        <f t="shared" si="43"/>
        <v>0</v>
      </c>
      <c r="DE69" s="7">
        <f t="shared" si="44"/>
        <v>0</v>
      </c>
      <c r="DF69" s="7">
        <f t="shared" si="45"/>
        <v>0</v>
      </c>
      <c r="DG69" s="7">
        <f t="shared" si="46"/>
        <v>0</v>
      </c>
      <c r="DH69" s="7">
        <f t="shared" si="47"/>
        <v>0</v>
      </c>
      <c r="DI69" s="7">
        <f t="shared" si="48"/>
        <v>0</v>
      </c>
      <c r="DJ69" s="7">
        <f t="shared" si="49"/>
        <v>0</v>
      </c>
      <c r="DK69" s="7">
        <f t="shared" si="50"/>
        <v>0</v>
      </c>
      <c r="DL69" s="7">
        <f t="shared" si="51"/>
        <v>0</v>
      </c>
      <c r="DM69" s="7">
        <f t="shared" si="52"/>
        <v>0</v>
      </c>
      <c r="DN69" s="7">
        <f t="shared" si="53"/>
        <v>0</v>
      </c>
      <c r="DO69" s="7">
        <f t="shared" si="54"/>
        <v>0</v>
      </c>
      <c r="DP69" s="7">
        <f t="shared" si="55"/>
        <v>0</v>
      </c>
      <c r="DQ69" s="7">
        <f t="shared" si="56"/>
        <v>0</v>
      </c>
      <c r="DR69" s="7">
        <f t="shared" si="57"/>
        <v>0</v>
      </c>
      <c r="DS69" s="7">
        <f t="shared" si="58"/>
        <v>0</v>
      </c>
      <c r="DT69" s="7">
        <f t="shared" si="59"/>
        <v>0</v>
      </c>
      <c r="DU69" s="7">
        <f t="shared" si="60"/>
        <v>0</v>
      </c>
    </row>
    <row r="70" spans="1:125" x14ac:dyDescent="0.2">
      <c r="A70" s="3">
        <f>Bonds!A70</f>
        <v>46706</v>
      </c>
      <c r="B70" s="4">
        <f>Bonds!B70</f>
        <v>2.25</v>
      </c>
      <c r="C70">
        <f>Bonds!P70</f>
        <v>3</v>
      </c>
      <c r="D70">
        <f t="shared" si="0"/>
        <v>0</v>
      </c>
      <c r="E70" s="3">
        <f>IF(1&gt;$C70,"",IF($D70=1,EOMONTH(EDATE(Bonds!$H70,6*(1-1)),0),EDATE(Bonds!$H70,6*(1-1))))</f>
        <v>46341</v>
      </c>
      <c r="F70" s="3">
        <f>IF(2&gt;$C70,"",IF($D70=1,EOMONTH(EDATE(Bonds!$H70,6*(2-1)),0),EDATE(Bonds!$H70,6*(2-1))))</f>
        <v>46522</v>
      </c>
      <c r="G70" s="3">
        <f>IF(3&gt;$C70,"",IF($D70=1,EOMONTH(EDATE(Bonds!$H70,6*(3-1)),0),EDATE(Bonds!$H70,6*(3-1))))</f>
        <v>46706</v>
      </c>
      <c r="H70" s="3" t="str">
        <f>IF(4&gt;$C70,"",IF($D70=1,EOMONTH(EDATE(Bonds!$H70,6*(4-1)),0),EDATE(Bonds!$H70,6*(4-1))))</f>
        <v/>
      </c>
      <c r="I70" s="3" t="str">
        <f>IF(5&gt;$C70,"",IF($D70=1,EOMONTH(EDATE(Bonds!$H70,6*(5-1)),0),EDATE(Bonds!$H70,6*(5-1))))</f>
        <v/>
      </c>
      <c r="J70" s="3" t="str">
        <f>IF(6&gt;$C70,"",IF($D70=1,EOMONTH(EDATE(Bonds!$H70,6*(6-1)),0),EDATE(Bonds!$H70,6*(6-1))))</f>
        <v/>
      </c>
      <c r="K70" s="3" t="str">
        <f>IF(7&gt;$C70,"",IF($D70=1,EOMONTH(EDATE(Bonds!$H70,6*(7-1)),0),EDATE(Bonds!$H70,6*(7-1))))</f>
        <v/>
      </c>
      <c r="L70" s="3" t="str">
        <f>IF(8&gt;$C70,"",IF($D70=1,EOMONTH(EDATE(Bonds!$H70,6*(8-1)),0),EDATE(Bonds!$H70,6*(8-1))))</f>
        <v/>
      </c>
      <c r="M70" s="3" t="str">
        <f>IF(9&gt;$C70,"",IF($D70=1,EOMONTH(EDATE(Bonds!$H70,6*(9-1)),0),EDATE(Bonds!$H70,6*(9-1))))</f>
        <v/>
      </c>
      <c r="N70" s="3" t="str">
        <f>IF(10&gt;$C70,"",IF($D70=1,EOMONTH(EDATE(Bonds!$H70,6*(10-1)),0),EDATE(Bonds!$H70,6*(10-1))))</f>
        <v/>
      </c>
      <c r="O70" s="3" t="str">
        <f>IF(11&gt;$C70,"",IF($D70=1,EOMONTH(EDATE(Bonds!$H70,6*(11-1)),0),EDATE(Bonds!$H70,6*(11-1))))</f>
        <v/>
      </c>
      <c r="P70" s="3" t="str">
        <f>IF(12&gt;$C70,"",IF($D70=1,EOMONTH(EDATE(Bonds!$H70,6*(12-1)),0),EDATE(Bonds!$H70,6*(12-1))))</f>
        <v/>
      </c>
      <c r="Q70" s="3" t="str">
        <f>IF(13&gt;$C70,"",IF($D70=1,EOMONTH(EDATE(Bonds!$H70,6*(13-1)),0),EDATE(Bonds!$H70,6*(13-1))))</f>
        <v/>
      </c>
      <c r="R70" s="3" t="str">
        <f>IF(14&gt;$C70,"",IF($D70=1,EOMONTH(EDATE(Bonds!$H70,6*(14-1)),0),EDATE(Bonds!$H70,6*(14-1))))</f>
        <v/>
      </c>
      <c r="S70" s="3" t="str">
        <f>IF(15&gt;$C70,"",IF($D70=1,EOMONTH(EDATE(Bonds!$H70,6*(15-1)),0),EDATE(Bonds!$H70,6*(15-1))))</f>
        <v/>
      </c>
      <c r="T70" s="3" t="str">
        <f>IF(16&gt;$C70,"",IF($D70=1,EOMONTH(EDATE(Bonds!$H70,6*(16-1)),0),EDATE(Bonds!$H70,6*(16-1))))</f>
        <v/>
      </c>
      <c r="U70" s="3" t="str">
        <f>IF(17&gt;$C70,"",IF($D70=1,EOMONTH(EDATE(Bonds!$H70,6*(17-1)),0),EDATE(Bonds!$H70,6*(17-1))))</f>
        <v/>
      </c>
      <c r="V70" s="3" t="str">
        <f>IF(18&gt;$C70,"",IF($D70=1,EOMONTH(EDATE(Bonds!$H70,6*(18-1)),0),EDATE(Bonds!$H70,6*(18-1))))</f>
        <v/>
      </c>
      <c r="W70" s="3" t="str">
        <f>IF(19&gt;$C70,"",IF($D70=1,EOMONTH(EDATE(Bonds!$H70,6*(19-1)),0),EDATE(Bonds!$H70,6*(19-1))))</f>
        <v/>
      </c>
      <c r="X70" s="3" t="str">
        <f>IF(20&gt;$C70,"",IF($D70=1,EOMONTH(EDATE(Bonds!$H70,6*(20-1)),0),EDATE(Bonds!$H70,6*(20-1))))</f>
        <v/>
      </c>
      <c r="Y70" s="3" t="str">
        <f>IF(21&gt;$C70,"",IF($D70=1,EOMONTH(EDATE(Bonds!$H70,6*(21-1)),0),EDATE(Bonds!$H70,6*(21-1))))</f>
        <v/>
      </c>
      <c r="Z70" s="3" t="str">
        <f>IF(22&gt;$C70,"",IF($D70=1,EOMONTH(EDATE(Bonds!$H70,6*(22-1)),0),EDATE(Bonds!$H70,6*(22-1))))</f>
        <v/>
      </c>
      <c r="AA70" s="3" t="str">
        <f>IF(23&gt;$C70,"",IF($D70=1,EOMONTH(EDATE(Bonds!$H70,6*(23-1)),0),EDATE(Bonds!$H70,6*(23-1))))</f>
        <v/>
      </c>
      <c r="AB70" s="3" t="str">
        <f>IF(24&gt;$C70,"",IF($D70=1,EOMONTH(EDATE(Bonds!$H70,6*(24-1)),0),EDATE(Bonds!$H70,6*(24-1))))</f>
        <v/>
      </c>
      <c r="AC70" s="3" t="str">
        <f>IF(25&gt;$C70,"",IF($D70=1,EOMONTH(EDATE(Bonds!$H70,6*(25-1)),0),EDATE(Bonds!$H70,6*(25-1))))</f>
        <v/>
      </c>
      <c r="AD70" s="3" t="str">
        <f>IF(26&gt;$C70,"",IF($D70=1,EOMONTH(EDATE(Bonds!$H70,6*(26-1)),0),EDATE(Bonds!$H70,6*(26-1))))</f>
        <v/>
      </c>
      <c r="AE70" s="3" t="str">
        <f>IF(27&gt;$C70,"",IF($D70=1,EOMONTH(EDATE(Bonds!$H70,6*(27-1)),0),EDATE(Bonds!$H70,6*(27-1))))</f>
        <v/>
      </c>
      <c r="AF70" s="3" t="str">
        <f>IF(28&gt;$C70,"",IF($D70=1,EOMONTH(EDATE(Bonds!$H70,6*(28-1)),0),EDATE(Bonds!$H70,6*(28-1))))</f>
        <v/>
      </c>
      <c r="AG70" s="3" t="str">
        <f>IF(29&gt;$C70,"",IF($D70=1,EOMONTH(EDATE(Bonds!$H70,6*(29-1)),0),EDATE(Bonds!$H70,6*(29-1))))</f>
        <v/>
      </c>
      <c r="AH70" s="3" t="str">
        <f>IF(30&gt;$C70,"",IF($D70=1,EOMONTH(EDATE(Bonds!$H70,6*(30-1)),0),EDATE(Bonds!$H70,6*(30-1))))</f>
        <v/>
      </c>
      <c r="AI70" s="3" t="str">
        <f>IF(31&gt;$C70,"",IF($D70=1,EOMONTH(EDATE(Bonds!$H70,6*(31-1)),0),EDATE(Bonds!$H70,6*(31-1))))</f>
        <v/>
      </c>
      <c r="AJ70" s="3" t="str">
        <f>IF(32&gt;$C70,"",IF($D70=1,EOMONTH(EDATE(Bonds!$H70,6*(32-1)),0),EDATE(Bonds!$H70,6*(32-1))))</f>
        <v/>
      </c>
      <c r="AK70" s="3" t="str">
        <f>IF(33&gt;$C70,"",IF($D70=1,EOMONTH(EDATE(Bonds!$H70,6*(33-1)),0),EDATE(Bonds!$H70,6*(33-1))))</f>
        <v/>
      </c>
      <c r="AL70" s="3" t="str">
        <f>IF(34&gt;$C70,"",IF($D70=1,EOMONTH(EDATE(Bonds!$H70,6*(34-1)),0),EDATE(Bonds!$H70,6*(34-1))))</f>
        <v/>
      </c>
      <c r="AM70" s="3" t="str">
        <f>IF(35&gt;$C70,"",IF($D70=1,EOMONTH(EDATE(Bonds!$H70,6*(35-1)),0),EDATE(Bonds!$H70,6*(35-1))))</f>
        <v/>
      </c>
      <c r="AN70" s="3" t="str">
        <f>IF(36&gt;$C70,"",IF($D70=1,EOMONTH(EDATE(Bonds!$H70,6*(36-1)),0),EDATE(Bonds!$H70,6*(36-1))))</f>
        <v/>
      </c>
      <c r="AO70" s="3" t="str">
        <f>IF(37&gt;$C70,"",IF($D70=1,EOMONTH(EDATE(Bonds!$H70,6*(37-1)),0),EDATE(Bonds!$H70,6*(37-1))))</f>
        <v/>
      </c>
      <c r="AP70" s="3" t="str">
        <f>IF(38&gt;$C70,"",IF($D70=1,EOMONTH(EDATE(Bonds!$H70,6*(38-1)),0),EDATE(Bonds!$H70,6*(38-1))))</f>
        <v/>
      </c>
      <c r="AQ70" s="3" t="str">
        <f>IF(39&gt;$C70,"",IF($D70=1,EOMONTH(EDATE(Bonds!$H70,6*(39-1)),0),EDATE(Bonds!$H70,6*(39-1))))</f>
        <v/>
      </c>
      <c r="AR70" s="3" t="str">
        <f>IF(40&gt;$C70,"",IF($D70=1,EOMONTH(EDATE(Bonds!$H70,6*(40-1)),0),EDATE(Bonds!$H70,6*(40-1))))</f>
        <v/>
      </c>
      <c r="AS70" s="3" t="str">
        <f>IF(41&gt;$C70,"",IF($D70=1,EOMONTH(EDATE(Bonds!$H70,6*(41-1)),0),EDATE(Bonds!$H70,6*(41-1))))</f>
        <v/>
      </c>
      <c r="AT70" s="3" t="str">
        <f>IF(42&gt;$C70,"",IF($D70=1,EOMONTH(EDATE(Bonds!$H70,6*(42-1)),0),EDATE(Bonds!$H70,6*(42-1))))</f>
        <v/>
      </c>
      <c r="AU70" s="3" t="str">
        <f>IF(43&gt;$C70,"",IF($D70=1,EOMONTH(EDATE(Bonds!$H70,6*(43-1)),0),EDATE(Bonds!$H70,6*(43-1))))</f>
        <v/>
      </c>
      <c r="AV70" s="3" t="str">
        <f>IF(44&gt;$C70,"",IF($D70=1,EOMONTH(EDATE(Bonds!$H70,6*(44-1)),0),EDATE(Bonds!$H70,6*(44-1))))</f>
        <v/>
      </c>
      <c r="AW70" s="3" t="str">
        <f>IF(45&gt;$C70,"",IF($D70=1,EOMONTH(EDATE(Bonds!$H70,6*(45-1)),0),EDATE(Bonds!$H70,6*(45-1))))</f>
        <v/>
      </c>
      <c r="AX70" s="3" t="str">
        <f>IF(46&gt;$C70,"",IF($D70=1,EOMONTH(EDATE(Bonds!$H70,6*(46-1)),0),EDATE(Bonds!$H70,6*(46-1))))</f>
        <v/>
      </c>
      <c r="AY70" s="3" t="str">
        <f>IF(47&gt;$C70,"",IF($D70=1,EOMONTH(EDATE(Bonds!$H70,6*(47-1)),0),EDATE(Bonds!$H70,6*(47-1))))</f>
        <v/>
      </c>
      <c r="AZ70" s="3" t="str">
        <f>IF(48&gt;$C70,"",IF($D70=1,EOMONTH(EDATE(Bonds!$H70,6*(48-1)),0),EDATE(Bonds!$H70,6*(48-1))))</f>
        <v/>
      </c>
      <c r="BA70" s="3" t="str">
        <f>IF(49&gt;$C70,"",IF($D70=1,EOMONTH(EDATE(Bonds!$H70,6*(49-1)),0),EDATE(Bonds!$H70,6*(49-1))))</f>
        <v/>
      </c>
      <c r="BB70" s="3" t="str">
        <f>IF(50&gt;$C70,"",IF($D70=1,EOMONTH(EDATE(Bonds!$H70,6*(50-1)),0),EDATE(Bonds!$H70,6*(50-1))))</f>
        <v/>
      </c>
      <c r="BC70" s="3" t="str">
        <f>IF(51&gt;$C70,"",IF($D70=1,EOMONTH(EDATE(Bonds!$H70,6*(51-1)),0),EDATE(Bonds!$H70,6*(51-1))))</f>
        <v/>
      </c>
      <c r="BD70" s="3" t="str">
        <f>IF(52&gt;$C70,"",IF($D70=1,EOMONTH(EDATE(Bonds!$H70,6*(52-1)),0),EDATE(Bonds!$H70,6*(52-1))))</f>
        <v/>
      </c>
      <c r="BE70" s="3" t="str">
        <f>IF(53&gt;$C70,"",IF($D70=1,EOMONTH(EDATE(Bonds!$H70,6*(53-1)),0),EDATE(Bonds!$H70,6*(53-1))))</f>
        <v/>
      </c>
      <c r="BF70" s="3" t="str">
        <f>IF(54&gt;$C70,"",IF($D70=1,EOMONTH(EDATE(Bonds!$H70,6*(54-1)),0),EDATE(Bonds!$H70,6*(54-1))))</f>
        <v/>
      </c>
      <c r="BG70" s="3" t="str">
        <f>IF(55&gt;$C70,"",IF($D70=1,EOMONTH(EDATE(Bonds!$H70,6*(55-1)),0),EDATE(Bonds!$H70,6*(55-1))))</f>
        <v/>
      </c>
      <c r="BH70" s="3" t="str">
        <f>IF(56&gt;$C70,"",IF($D70=1,EOMONTH(EDATE(Bonds!$H70,6*(56-1)),0),EDATE(Bonds!$H70,6*(56-1))))</f>
        <v/>
      </c>
      <c r="BI70" s="3" t="str">
        <f>IF(57&gt;$C70,"",IF($D70=1,EOMONTH(EDATE(Bonds!$H70,6*(57-1)),0),EDATE(Bonds!$H70,6*(57-1))))</f>
        <v/>
      </c>
      <c r="BJ70" s="3" t="str">
        <f>IF(58&gt;$C70,"",IF($D70=1,EOMONTH(EDATE(Bonds!$H70,6*(58-1)),0),EDATE(Bonds!$H70,6*(58-1))))</f>
        <v/>
      </c>
      <c r="BK70" s="3" t="str">
        <f>IF(59&gt;$C70,"",IF($D70=1,EOMONTH(EDATE(Bonds!$H70,6*(59-1)),0),EDATE(Bonds!$H70,6*(59-1))))</f>
        <v/>
      </c>
      <c r="BL70" s="3" t="str">
        <f>IF(60&gt;$C70,"",IF($D70=1,EOMONTH(EDATE(Bonds!$H70,6*(60-1)),0),EDATE(Bonds!$H70,6*(60-1))))</f>
        <v/>
      </c>
      <c r="BN70" s="7">
        <f t="shared" si="1"/>
        <v>1.1171537804250209</v>
      </c>
      <c r="BO70" s="7">
        <f t="shared" si="2"/>
        <v>1.0945946084535521</v>
      </c>
      <c r="BP70" s="7">
        <f t="shared" si="3"/>
        <v>96.224566287079995</v>
      </c>
      <c r="BQ70" s="7">
        <f t="shared" si="4"/>
        <v>0</v>
      </c>
      <c r="BR70" s="7">
        <f t="shared" si="5"/>
        <v>0</v>
      </c>
      <c r="BS70" s="7">
        <f t="shared" si="6"/>
        <v>0</v>
      </c>
      <c r="BT70" s="7">
        <f t="shared" si="7"/>
        <v>0</v>
      </c>
      <c r="BU70" s="7">
        <f t="shared" si="8"/>
        <v>0</v>
      </c>
      <c r="BV70" s="7">
        <f t="shared" si="9"/>
        <v>0</v>
      </c>
      <c r="BW70" s="7">
        <f t="shared" si="10"/>
        <v>0</v>
      </c>
      <c r="BX70" s="7">
        <f t="shared" si="11"/>
        <v>0</v>
      </c>
      <c r="BY70" s="7">
        <f t="shared" si="12"/>
        <v>0</v>
      </c>
      <c r="BZ70" s="7">
        <f t="shared" si="13"/>
        <v>0</v>
      </c>
      <c r="CA70" s="7">
        <f t="shared" si="14"/>
        <v>0</v>
      </c>
      <c r="CB70" s="7">
        <f t="shared" si="15"/>
        <v>0</v>
      </c>
      <c r="CC70" s="7">
        <f t="shared" si="16"/>
        <v>0</v>
      </c>
      <c r="CD70" s="7">
        <f t="shared" si="17"/>
        <v>0</v>
      </c>
      <c r="CE70" s="7">
        <f t="shared" si="18"/>
        <v>0</v>
      </c>
      <c r="CF70" s="7">
        <f t="shared" si="19"/>
        <v>0</v>
      </c>
      <c r="CG70" s="7">
        <f t="shared" si="20"/>
        <v>0</v>
      </c>
      <c r="CH70" s="7">
        <f t="shared" si="21"/>
        <v>0</v>
      </c>
      <c r="CI70" s="7">
        <f t="shared" si="22"/>
        <v>0</v>
      </c>
      <c r="CJ70" s="7">
        <f t="shared" si="23"/>
        <v>0</v>
      </c>
      <c r="CK70" s="7">
        <f t="shared" si="24"/>
        <v>0</v>
      </c>
      <c r="CL70" s="7">
        <f t="shared" si="25"/>
        <v>0</v>
      </c>
      <c r="CM70" s="7">
        <f t="shared" si="26"/>
        <v>0</v>
      </c>
      <c r="CN70" s="7">
        <f t="shared" si="27"/>
        <v>0</v>
      </c>
      <c r="CO70" s="7">
        <f t="shared" si="28"/>
        <v>0</v>
      </c>
      <c r="CP70" s="7">
        <f t="shared" si="29"/>
        <v>0</v>
      </c>
      <c r="CQ70" s="7">
        <f t="shared" si="30"/>
        <v>0</v>
      </c>
      <c r="CR70" s="7">
        <f t="shared" si="31"/>
        <v>0</v>
      </c>
      <c r="CS70" s="7">
        <f t="shared" si="32"/>
        <v>0</v>
      </c>
      <c r="CT70" s="7">
        <f t="shared" si="33"/>
        <v>0</v>
      </c>
      <c r="CU70" s="7">
        <f t="shared" si="34"/>
        <v>0</v>
      </c>
      <c r="CV70" s="7">
        <f t="shared" si="35"/>
        <v>0</v>
      </c>
      <c r="CW70" s="7">
        <f t="shared" si="36"/>
        <v>0</v>
      </c>
      <c r="CX70" s="7">
        <f t="shared" si="37"/>
        <v>0</v>
      </c>
      <c r="CY70" s="7">
        <f t="shared" si="38"/>
        <v>0</v>
      </c>
      <c r="CZ70" s="7">
        <f t="shared" si="39"/>
        <v>0</v>
      </c>
      <c r="DA70" s="7">
        <f t="shared" si="40"/>
        <v>0</v>
      </c>
      <c r="DB70" s="7">
        <f t="shared" si="41"/>
        <v>0</v>
      </c>
      <c r="DC70" s="7">
        <f t="shared" si="42"/>
        <v>0</v>
      </c>
      <c r="DD70" s="7">
        <f t="shared" si="43"/>
        <v>0</v>
      </c>
      <c r="DE70" s="7">
        <f t="shared" si="44"/>
        <v>0</v>
      </c>
      <c r="DF70" s="7">
        <f t="shared" si="45"/>
        <v>0</v>
      </c>
      <c r="DG70" s="7">
        <f t="shared" si="46"/>
        <v>0</v>
      </c>
      <c r="DH70" s="7">
        <f t="shared" si="47"/>
        <v>0</v>
      </c>
      <c r="DI70" s="7">
        <f t="shared" si="48"/>
        <v>0</v>
      </c>
      <c r="DJ70" s="7">
        <f t="shared" si="49"/>
        <v>0</v>
      </c>
      <c r="DK70" s="7">
        <f t="shared" si="50"/>
        <v>0</v>
      </c>
      <c r="DL70" s="7">
        <f t="shared" si="51"/>
        <v>0</v>
      </c>
      <c r="DM70" s="7">
        <f t="shared" si="52"/>
        <v>0</v>
      </c>
      <c r="DN70" s="7">
        <f t="shared" si="53"/>
        <v>0</v>
      </c>
      <c r="DO70" s="7">
        <f t="shared" si="54"/>
        <v>0</v>
      </c>
      <c r="DP70" s="7">
        <f t="shared" si="55"/>
        <v>0</v>
      </c>
      <c r="DQ70" s="7">
        <f t="shared" si="56"/>
        <v>0</v>
      </c>
      <c r="DR70" s="7">
        <f t="shared" si="57"/>
        <v>0</v>
      </c>
      <c r="DS70" s="7">
        <f t="shared" si="58"/>
        <v>0</v>
      </c>
      <c r="DT70" s="7">
        <f t="shared" si="59"/>
        <v>0</v>
      </c>
      <c r="DU70" s="7">
        <f t="shared" si="60"/>
        <v>0</v>
      </c>
    </row>
    <row r="71" spans="1:125" x14ac:dyDescent="0.2">
      <c r="A71" s="3">
        <f>Bonds!A71</f>
        <v>46706</v>
      </c>
      <c r="B71" s="4">
        <f>Bonds!B71</f>
        <v>4.125</v>
      </c>
      <c r="C71">
        <f>Bonds!P71</f>
        <v>3</v>
      </c>
      <c r="D71">
        <f t="shared" si="0"/>
        <v>0</v>
      </c>
      <c r="E71" s="3">
        <f>IF(1&gt;$C71,"",IF($D71=1,EOMONTH(EDATE(Bonds!$H71,6*(1-1)),0),EDATE(Bonds!$H71,6*(1-1))))</f>
        <v>46341</v>
      </c>
      <c r="F71" s="3">
        <f>IF(2&gt;$C71,"",IF($D71=1,EOMONTH(EDATE(Bonds!$H71,6*(2-1)),0),EDATE(Bonds!$H71,6*(2-1))))</f>
        <v>46522</v>
      </c>
      <c r="G71" s="3">
        <f>IF(3&gt;$C71,"",IF($D71=1,EOMONTH(EDATE(Bonds!$H71,6*(3-1)),0),EDATE(Bonds!$H71,6*(3-1))))</f>
        <v>46706</v>
      </c>
      <c r="H71" s="3" t="str">
        <f>IF(4&gt;$C71,"",IF($D71=1,EOMONTH(EDATE(Bonds!$H71,6*(4-1)),0),EDATE(Bonds!$H71,6*(4-1))))</f>
        <v/>
      </c>
      <c r="I71" s="3" t="str">
        <f>IF(5&gt;$C71,"",IF($D71=1,EOMONTH(EDATE(Bonds!$H71,6*(5-1)),0),EDATE(Bonds!$H71,6*(5-1))))</f>
        <v/>
      </c>
      <c r="J71" s="3" t="str">
        <f>IF(6&gt;$C71,"",IF($D71=1,EOMONTH(EDATE(Bonds!$H71,6*(6-1)),0),EDATE(Bonds!$H71,6*(6-1))))</f>
        <v/>
      </c>
      <c r="K71" s="3" t="str">
        <f>IF(7&gt;$C71,"",IF($D71=1,EOMONTH(EDATE(Bonds!$H71,6*(7-1)),0),EDATE(Bonds!$H71,6*(7-1))))</f>
        <v/>
      </c>
      <c r="L71" s="3" t="str">
        <f>IF(8&gt;$C71,"",IF($D71=1,EOMONTH(EDATE(Bonds!$H71,6*(8-1)),0),EDATE(Bonds!$H71,6*(8-1))))</f>
        <v/>
      </c>
      <c r="M71" s="3" t="str">
        <f>IF(9&gt;$C71,"",IF($D71=1,EOMONTH(EDATE(Bonds!$H71,6*(9-1)),0),EDATE(Bonds!$H71,6*(9-1))))</f>
        <v/>
      </c>
      <c r="N71" s="3" t="str">
        <f>IF(10&gt;$C71,"",IF($D71=1,EOMONTH(EDATE(Bonds!$H71,6*(10-1)),0),EDATE(Bonds!$H71,6*(10-1))))</f>
        <v/>
      </c>
      <c r="O71" s="3" t="str">
        <f>IF(11&gt;$C71,"",IF($D71=1,EOMONTH(EDATE(Bonds!$H71,6*(11-1)),0),EDATE(Bonds!$H71,6*(11-1))))</f>
        <v/>
      </c>
      <c r="P71" s="3" t="str">
        <f>IF(12&gt;$C71,"",IF($D71=1,EOMONTH(EDATE(Bonds!$H71,6*(12-1)),0),EDATE(Bonds!$H71,6*(12-1))))</f>
        <v/>
      </c>
      <c r="Q71" s="3" t="str">
        <f>IF(13&gt;$C71,"",IF($D71=1,EOMONTH(EDATE(Bonds!$H71,6*(13-1)),0),EDATE(Bonds!$H71,6*(13-1))))</f>
        <v/>
      </c>
      <c r="R71" s="3" t="str">
        <f>IF(14&gt;$C71,"",IF($D71=1,EOMONTH(EDATE(Bonds!$H71,6*(14-1)),0),EDATE(Bonds!$H71,6*(14-1))))</f>
        <v/>
      </c>
      <c r="S71" s="3" t="str">
        <f>IF(15&gt;$C71,"",IF($D71=1,EOMONTH(EDATE(Bonds!$H71,6*(15-1)),0),EDATE(Bonds!$H71,6*(15-1))))</f>
        <v/>
      </c>
      <c r="T71" s="3" t="str">
        <f>IF(16&gt;$C71,"",IF($D71=1,EOMONTH(EDATE(Bonds!$H71,6*(16-1)),0),EDATE(Bonds!$H71,6*(16-1))))</f>
        <v/>
      </c>
      <c r="U71" s="3" t="str">
        <f>IF(17&gt;$C71,"",IF($D71=1,EOMONTH(EDATE(Bonds!$H71,6*(17-1)),0),EDATE(Bonds!$H71,6*(17-1))))</f>
        <v/>
      </c>
      <c r="V71" s="3" t="str">
        <f>IF(18&gt;$C71,"",IF($D71=1,EOMONTH(EDATE(Bonds!$H71,6*(18-1)),0),EDATE(Bonds!$H71,6*(18-1))))</f>
        <v/>
      </c>
      <c r="W71" s="3" t="str">
        <f>IF(19&gt;$C71,"",IF($D71=1,EOMONTH(EDATE(Bonds!$H71,6*(19-1)),0),EDATE(Bonds!$H71,6*(19-1))))</f>
        <v/>
      </c>
      <c r="X71" s="3" t="str">
        <f>IF(20&gt;$C71,"",IF($D71=1,EOMONTH(EDATE(Bonds!$H71,6*(20-1)),0),EDATE(Bonds!$H71,6*(20-1))))</f>
        <v/>
      </c>
      <c r="Y71" s="3" t="str">
        <f>IF(21&gt;$C71,"",IF($D71=1,EOMONTH(EDATE(Bonds!$H71,6*(21-1)),0),EDATE(Bonds!$H71,6*(21-1))))</f>
        <v/>
      </c>
      <c r="Z71" s="3" t="str">
        <f>IF(22&gt;$C71,"",IF($D71=1,EOMONTH(EDATE(Bonds!$H71,6*(22-1)),0),EDATE(Bonds!$H71,6*(22-1))))</f>
        <v/>
      </c>
      <c r="AA71" s="3" t="str">
        <f>IF(23&gt;$C71,"",IF($D71=1,EOMONTH(EDATE(Bonds!$H71,6*(23-1)),0),EDATE(Bonds!$H71,6*(23-1))))</f>
        <v/>
      </c>
      <c r="AB71" s="3" t="str">
        <f>IF(24&gt;$C71,"",IF($D71=1,EOMONTH(EDATE(Bonds!$H71,6*(24-1)),0),EDATE(Bonds!$H71,6*(24-1))))</f>
        <v/>
      </c>
      <c r="AC71" s="3" t="str">
        <f>IF(25&gt;$C71,"",IF($D71=1,EOMONTH(EDATE(Bonds!$H71,6*(25-1)),0),EDATE(Bonds!$H71,6*(25-1))))</f>
        <v/>
      </c>
      <c r="AD71" s="3" t="str">
        <f>IF(26&gt;$C71,"",IF($D71=1,EOMONTH(EDATE(Bonds!$H71,6*(26-1)),0),EDATE(Bonds!$H71,6*(26-1))))</f>
        <v/>
      </c>
      <c r="AE71" s="3" t="str">
        <f>IF(27&gt;$C71,"",IF($D71=1,EOMONTH(EDATE(Bonds!$H71,6*(27-1)),0),EDATE(Bonds!$H71,6*(27-1))))</f>
        <v/>
      </c>
      <c r="AF71" s="3" t="str">
        <f>IF(28&gt;$C71,"",IF($D71=1,EOMONTH(EDATE(Bonds!$H71,6*(28-1)),0),EDATE(Bonds!$H71,6*(28-1))))</f>
        <v/>
      </c>
      <c r="AG71" s="3" t="str">
        <f>IF(29&gt;$C71,"",IF($D71=1,EOMONTH(EDATE(Bonds!$H71,6*(29-1)),0),EDATE(Bonds!$H71,6*(29-1))))</f>
        <v/>
      </c>
      <c r="AH71" s="3" t="str">
        <f>IF(30&gt;$C71,"",IF($D71=1,EOMONTH(EDATE(Bonds!$H71,6*(30-1)),0),EDATE(Bonds!$H71,6*(30-1))))</f>
        <v/>
      </c>
      <c r="AI71" s="3" t="str">
        <f>IF(31&gt;$C71,"",IF($D71=1,EOMONTH(EDATE(Bonds!$H71,6*(31-1)),0),EDATE(Bonds!$H71,6*(31-1))))</f>
        <v/>
      </c>
      <c r="AJ71" s="3" t="str">
        <f>IF(32&gt;$C71,"",IF($D71=1,EOMONTH(EDATE(Bonds!$H71,6*(32-1)),0),EDATE(Bonds!$H71,6*(32-1))))</f>
        <v/>
      </c>
      <c r="AK71" s="3" t="str">
        <f>IF(33&gt;$C71,"",IF($D71=1,EOMONTH(EDATE(Bonds!$H71,6*(33-1)),0),EDATE(Bonds!$H71,6*(33-1))))</f>
        <v/>
      </c>
      <c r="AL71" s="3" t="str">
        <f>IF(34&gt;$C71,"",IF($D71=1,EOMONTH(EDATE(Bonds!$H71,6*(34-1)),0),EDATE(Bonds!$H71,6*(34-1))))</f>
        <v/>
      </c>
      <c r="AM71" s="3" t="str">
        <f>IF(35&gt;$C71,"",IF($D71=1,EOMONTH(EDATE(Bonds!$H71,6*(35-1)),0),EDATE(Bonds!$H71,6*(35-1))))</f>
        <v/>
      </c>
      <c r="AN71" s="3" t="str">
        <f>IF(36&gt;$C71,"",IF($D71=1,EOMONTH(EDATE(Bonds!$H71,6*(36-1)),0),EDATE(Bonds!$H71,6*(36-1))))</f>
        <v/>
      </c>
      <c r="AO71" s="3" t="str">
        <f>IF(37&gt;$C71,"",IF($D71=1,EOMONTH(EDATE(Bonds!$H71,6*(37-1)),0),EDATE(Bonds!$H71,6*(37-1))))</f>
        <v/>
      </c>
      <c r="AP71" s="3" t="str">
        <f>IF(38&gt;$C71,"",IF($D71=1,EOMONTH(EDATE(Bonds!$H71,6*(38-1)),0),EDATE(Bonds!$H71,6*(38-1))))</f>
        <v/>
      </c>
      <c r="AQ71" s="3" t="str">
        <f>IF(39&gt;$C71,"",IF($D71=1,EOMONTH(EDATE(Bonds!$H71,6*(39-1)),0),EDATE(Bonds!$H71,6*(39-1))))</f>
        <v/>
      </c>
      <c r="AR71" s="3" t="str">
        <f>IF(40&gt;$C71,"",IF($D71=1,EOMONTH(EDATE(Bonds!$H71,6*(40-1)),0),EDATE(Bonds!$H71,6*(40-1))))</f>
        <v/>
      </c>
      <c r="AS71" s="3" t="str">
        <f>IF(41&gt;$C71,"",IF($D71=1,EOMONTH(EDATE(Bonds!$H71,6*(41-1)),0),EDATE(Bonds!$H71,6*(41-1))))</f>
        <v/>
      </c>
      <c r="AT71" s="3" t="str">
        <f>IF(42&gt;$C71,"",IF($D71=1,EOMONTH(EDATE(Bonds!$H71,6*(42-1)),0),EDATE(Bonds!$H71,6*(42-1))))</f>
        <v/>
      </c>
      <c r="AU71" s="3" t="str">
        <f>IF(43&gt;$C71,"",IF($D71=1,EOMONTH(EDATE(Bonds!$H71,6*(43-1)),0),EDATE(Bonds!$H71,6*(43-1))))</f>
        <v/>
      </c>
      <c r="AV71" s="3" t="str">
        <f>IF(44&gt;$C71,"",IF($D71=1,EOMONTH(EDATE(Bonds!$H71,6*(44-1)),0),EDATE(Bonds!$H71,6*(44-1))))</f>
        <v/>
      </c>
      <c r="AW71" s="3" t="str">
        <f>IF(45&gt;$C71,"",IF($D71=1,EOMONTH(EDATE(Bonds!$H71,6*(45-1)),0),EDATE(Bonds!$H71,6*(45-1))))</f>
        <v/>
      </c>
      <c r="AX71" s="3" t="str">
        <f>IF(46&gt;$C71,"",IF($D71=1,EOMONTH(EDATE(Bonds!$H71,6*(46-1)),0),EDATE(Bonds!$H71,6*(46-1))))</f>
        <v/>
      </c>
      <c r="AY71" s="3" t="str">
        <f>IF(47&gt;$C71,"",IF($D71=1,EOMONTH(EDATE(Bonds!$H71,6*(47-1)),0),EDATE(Bonds!$H71,6*(47-1))))</f>
        <v/>
      </c>
      <c r="AZ71" s="3" t="str">
        <f>IF(48&gt;$C71,"",IF($D71=1,EOMONTH(EDATE(Bonds!$H71,6*(48-1)),0),EDATE(Bonds!$H71,6*(48-1))))</f>
        <v/>
      </c>
      <c r="BA71" s="3" t="str">
        <f>IF(49&gt;$C71,"",IF($D71=1,EOMONTH(EDATE(Bonds!$H71,6*(49-1)),0),EDATE(Bonds!$H71,6*(49-1))))</f>
        <v/>
      </c>
      <c r="BB71" s="3" t="str">
        <f>IF(50&gt;$C71,"",IF($D71=1,EOMONTH(EDATE(Bonds!$H71,6*(50-1)),0),EDATE(Bonds!$H71,6*(50-1))))</f>
        <v/>
      </c>
      <c r="BC71" s="3" t="str">
        <f>IF(51&gt;$C71,"",IF($D71=1,EOMONTH(EDATE(Bonds!$H71,6*(51-1)),0),EDATE(Bonds!$H71,6*(51-1))))</f>
        <v/>
      </c>
      <c r="BD71" s="3" t="str">
        <f>IF(52&gt;$C71,"",IF($D71=1,EOMONTH(EDATE(Bonds!$H71,6*(52-1)),0),EDATE(Bonds!$H71,6*(52-1))))</f>
        <v/>
      </c>
      <c r="BE71" s="3" t="str">
        <f>IF(53&gt;$C71,"",IF($D71=1,EOMONTH(EDATE(Bonds!$H71,6*(53-1)),0),EDATE(Bonds!$H71,6*(53-1))))</f>
        <v/>
      </c>
      <c r="BF71" s="3" t="str">
        <f>IF(54&gt;$C71,"",IF($D71=1,EOMONTH(EDATE(Bonds!$H71,6*(54-1)),0),EDATE(Bonds!$H71,6*(54-1))))</f>
        <v/>
      </c>
      <c r="BG71" s="3" t="str">
        <f>IF(55&gt;$C71,"",IF($D71=1,EOMONTH(EDATE(Bonds!$H71,6*(55-1)),0),EDATE(Bonds!$H71,6*(55-1))))</f>
        <v/>
      </c>
      <c r="BH71" s="3" t="str">
        <f>IF(56&gt;$C71,"",IF($D71=1,EOMONTH(EDATE(Bonds!$H71,6*(56-1)),0),EDATE(Bonds!$H71,6*(56-1))))</f>
        <v/>
      </c>
      <c r="BI71" s="3" t="str">
        <f>IF(57&gt;$C71,"",IF($D71=1,EOMONTH(EDATE(Bonds!$H71,6*(57-1)),0),EDATE(Bonds!$H71,6*(57-1))))</f>
        <v/>
      </c>
      <c r="BJ71" s="3" t="str">
        <f>IF(58&gt;$C71,"",IF($D71=1,EOMONTH(EDATE(Bonds!$H71,6*(58-1)),0),EDATE(Bonds!$H71,6*(58-1))))</f>
        <v/>
      </c>
      <c r="BK71" s="3" t="str">
        <f>IF(59&gt;$C71,"",IF($D71=1,EOMONTH(EDATE(Bonds!$H71,6*(59-1)),0),EDATE(Bonds!$H71,6*(59-1))))</f>
        <v/>
      </c>
      <c r="BL71" s="3" t="str">
        <f>IF(60&gt;$C71,"",IF($D71=1,EOMONTH(EDATE(Bonds!$H71,6*(60-1)),0),EDATE(Bonds!$H71,6*(60-1))))</f>
        <v/>
      </c>
      <c r="BN71" s="7">
        <f t="shared" si="1"/>
        <v>2.0481152641125382</v>
      </c>
      <c r="BO71" s="7">
        <f t="shared" si="2"/>
        <v>2.0067567821648455</v>
      </c>
      <c r="BP71" s="7">
        <f t="shared" si="3"/>
        <v>97.116635813845264</v>
      </c>
      <c r="BQ71" s="7">
        <f t="shared" si="4"/>
        <v>0</v>
      </c>
      <c r="BR71" s="7">
        <f t="shared" si="5"/>
        <v>0</v>
      </c>
      <c r="BS71" s="7">
        <f t="shared" si="6"/>
        <v>0</v>
      </c>
      <c r="BT71" s="7">
        <f t="shared" si="7"/>
        <v>0</v>
      </c>
      <c r="BU71" s="7">
        <f t="shared" si="8"/>
        <v>0</v>
      </c>
      <c r="BV71" s="7">
        <f t="shared" si="9"/>
        <v>0</v>
      </c>
      <c r="BW71" s="7">
        <f t="shared" si="10"/>
        <v>0</v>
      </c>
      <c r="BX71" s="7">
        <f t="shared" si="11"/>
        <v>0</v>
      </c>
      <c r="BY71" s="7">
        <f t="shared" si="12"/>
        <v>0</v>
      </c>
      <c r="BZ71" s="7">
        <f t="shared" si="13"/>
        <v>0</v>
      </c>
      <c r="CA71" s="7">
        <f t="shared" si="14"/>
        <v>0</v>
      </c>
      <c r="CB71" s="7">
        <f t="shared" si="15"/>
        <v>0</v>
      </c>
      <c r="CC71" s="7">
        <f t="shared" si="16"/>
        <v>0</v>
      </c>
      <c r="CD71" s="7">
        <f t="shared" si="17"/>
        <v>0</v>
      </c>
      <c r="CE71" s="7">
        <f t="shared" si="18"/>
        <v>0</v>
      </c>
      <c r="CF71" s="7">
        <f t="shared" si="19"/>
        <v>0</v>
      </c>
      <c r="CG71" s="7">
        <f t="shared" si="20"/>
        <v>0</v>
      </c>
      <c r="CH71" s="7">
        <f t="shared" si="21"/>
        <v>0</v>
      </c>
      <c r="CI71" s="7">
        <f t="shared" si="22"/>
        <v>0</v>
      </c>
      <c r="CJ71" s="7">
        <f t="shared" si="23"/>
        <v>0</v>
      </c>
      <c r="CK71" s="7">
        <f t="shared" si="24"/>
        <v>0</v>
      </c>
      <c r="CL71" s="7">
        <f t="shared" si="25"/>
        <v>0</v>
      </c>
      <c r="CM71" s="7">
        <f t="shared" si="26"/>
        <v>0</v>
      </c>
      <c r="CN71" s="7">
        <f t="shared" si="27"/>
        <v>0</v>
      </c>
      <c r="CO71" s="7">
        <f t="shared" si="28"/>
        <v>0</v>
      </c>
      <c r="CP71" s="7">
        <f t="shared" si="29"/>
        <v>0</v>
      </c>
      <c r="CQ71" s="7">
        <f t="shared" si="30"/>
        <v>0</v>
      </c>
      <c r="CR71" s="7">
        <f t="shared" si="31"/>
        <v>0</v>
      </c>
      <c r="CS71" s="7">
        <f t="shared" si="32"/>
        <v>0</v>
      </c>
      <c r="CT71" s="7">
        <f t="shared" si="33"/>
        <v>0</v>
      </c>
      <c r="CU71" s="7">
        <f t="shared" si="34"/>
        <v>0</v>
      </c>
      <c r="CV71" s="7">
        <f t="shared" si="35"/>
        <v>0</v>
      </c>
      <c r="CW71" s="7">
        <f t="shared" si="36"/>
        <v>0</v>
      </c>
      <c r="CX71" s="7">
        <f t="shared" si="37"/>
        <v>0</v>
      </c>
      <c r="CY71" s="7">
        <f t="shared" si="38"/>
        <v>0</v>
      </c>
      <c r="CZ71" s="7">
        <f t="shared" si="39"/>
        <v>0</v>
      </c>
      <c r="DA71" s="7">
        <f t="shared" si="40"/>
        <v>0</v>
      </c>
      <c r="DB71" s="7">
        <f t="shared" si="41"/>
        <v>0</v>
      </c>
      <c r="DC71" s="7">
        <f t="shared" si="42"/>
        <v>0</v>
      </c>
      <c r="DD71" s="7">
        <f t="shared" si="43"/>
        <v>0</v>
      </c>
      <c r="DE71" s="7">
        <f t="shared" si="44"/>
        <v>0</v>
      </c>
      <c r="DF71" s="7">
        <f t="shared" si="45"/>
        <v>0</v>
      </c>
      <c r="DG71" s="7">
        <f t="shared" si="46"/>
        <v>0</v>
      </c>
      <c r="DH71" s="7">
        <f t="shared" si="47"/>
        <v>0</v>
      </c>
      <c r="DI71" s="7">
        <f t="shared" si="48"/>
        <v>0</v>
      </c>
      <c r="DJ71" s="7">
        <f t="shared" si="49"/>
        <v>0</v>
      </c>
      <c r="DK71" s="7">
        <f t="shared" si="50"/>
        <v>0</v>
      </c>
      <c r="DL71" s="7">
        <f t="shared" si="51"/>
        <v>0</v>
      </c>
      <c r="DM71" s="7">
        <f t="shared" si="52"/>
        <v>0</v>
      </c>
      <c r="DN71" s="7">
        <f t="shared" si="53"/>
        <v>0</v>
      </c>
      <c r="DO71" s="7">
        <f t="shared" si="54"/>
        <v>0</v>
      </c>
      <c r="DP71" s="7">
        <f t="shared" si="55"/>
        <v>0</v>
      </c>
      <c r="DQ71" s="7">
        <f t="shared" si="56"/>
        <v>0</v>
      </c>
      <c r="DR71" s="7">
        <f t="shared" si="57"/>
        <v>0</v>
      </c>
      <c r="DS71" s="7">
        <f t="shared" si="58"/>
        <v>0</v>
      </c>
      <c r="DT71" s="7">
        <f t="shared" si="59"/>
        <v>0</v>
      </c>
      <c r="DU71" s="7">
        <f t="shared" si="60"/>
        <v>0</v>
      </c>
    </row>
    <row r="72" spans="1:125" x14ac:dyDescent="0.2">
      <c r="A72" s="3">
        <f>Bonds!A72</f>
        <v>46706</v>
      </c>
      <c r="B72" s="4">
        <f>Bonds!B72</f>
        <v>6.125</v>
      </c>
      <c r="C72">
        <f>Bonds!P72</f>
        <v>3</v>
      </c>
      <c r="D72">
        <f t="shared" ref="D72:D135" si="61">IF(DAY(A72)=DAY(EOMONTH(A72,0)),1,0)</f>
        <v>0</v>
      </c>
      <c r="E72" s="3">
        <f>IF(1&gt;$C72,"",IF($D72=1,EOMONTH(EDATE(Bonds!$H72,6*(1-1)),0),EDATE(Bonds!$H72,6*(1-1))))</f>
        <v>46341</v>
      </c>
      <c r="F72" s="3">
        <f>IF(2&gt;$C72,"",IF($D72=1,EOMONTH(EDATE(Bonds!$H72,6*(2-1)),0),EDATE(Bonds!$H72,6*(2-1))))</f>
        <v>46522</v>
      </c>
      <c r="G72" s="3">
        <f>IF(3&gt;$C72,"",IF($D72=1,EOMONTH(EDATE(Bonds!$H72,6*(3-1)),0),EDATE(Bonds!$H72,6*(3-1))))</f>
        <v>46706</v>
      </c>
      <c r="H72" s="3" t="str">
        <f>IF(4&gt;$C72,"",IF($D72=1,EOMONTH(EDATE(Bonds!$H72,6*(4-1)),0),EDATE(Bonds!$H72,6*(4-1))))</f>
        <v/>
      </c>
      <c r="I72" s="3" t="str">
        <f>IF(5&gt;$C72,"",IF($D72=1,EOMONTH(EDATE(Bonds!$H72,6*(5-1)),0),EDATE(Bonds!$H72,6*(5-1))))</f>
        <v/>
      </c>
      <c r="J72" s="3" t="str">
        <f>IF(6&gt;$C72,"",IF($D72=1,EOMONTH(EDATE(Bonds!$H72,6*(6-1)),0),EDATE(Bonds!$H72,6*(6-1))))</f>
        <v/>
      </c>
      <c r="K72" s="3" t="str">
        <f>IF(7&gt;$C72,"",IF($D72=1,EOMONTH(EDATE(Bonds!$H72,6*(7-1)),0),EDATE(Bonds!$H72,6*(7-1))))</f>
        <v/>
      </c>
      <c r="L72" s="3" t="str">
        <f>IF(8&gt;$C72,"",IF($D72=1,EOMONTH(EDATE(Bonds!$H72,6*(8-1)),0),EDATE(Bonds!$H72,6*(8-1))))</f>
        <v/>
      </c>
      <c r="M72" s="3" t="str">
        <f>IF(9&gt;$C72,"",IF($D72=1,EOMONTH(EDATE(Bonds!$H72,6*(9-1)),0),EDATE(Bonds!$H72,6*(9-1))))</f>
        <v/>
      </c>
      <c r="N72" s="3" t="str">
        <f>IF(10&gt;$C72,"",IF($D72=1,EOMONTH(EDATE(Bonds!$H72,6*(10-1)),0),EDATE(Bonds!$H72,6*(10-1))))</f>
        <v/>
      </c>
      <c r="O72" s="3" t="str">
        <f>IF(11&gt;$C72,"",IF($D72=1,EOMONTH(EDATE(Bonds!$H72,6*(11-1)),0),EDATE(Bonds!$H72,6*(11-1))))</f>
        <v/>
      </c>
      <c r="P72" s="3" t="str">
        <f>IF(12&gt;$C72,"",IF($D72=1,EOMONTH(EDATE(Bonds!$H72,6*(12-1)),0),EDATE(Bonds!$H72,6*(12-1))))</f>
        <v/>
      </c>
      <c r="Q72" s="3" t="str">
        <f>IF(13&gt;$C72,"",IF($D72=1,EOMONTH(EDATE(Bonds!$H72,6*(13-1)),0),EDATE(Bonds!$H72,6*(13-1))))</f>
        <v/>
      </c>
      <c r="R72" s="3" t="str">
        <f>IF(14&gt;$C72,"",IF($D72=1,EOMONTH(EDATE(Bonds!$H72,6*(14-1)),0),EDATE(Bonds!$H72,6*(14-1))))</f>
        <v/>
      </c>
      <c r="S72" s="3" t="str">
        <f>IF(15&gt;$C72,"",IF($D72=1,EOMONTH(EDATE(Bonds!$H72,6*(15-1)),0),EDATE(Bonds!$H72,6*(15-1))))</f>
        <v/>
      </c>
      <c r="T72" s="3" t="str">
        <f>IF(16&gt;$C72,"",IF($D72=1,EOMONTH(EDATE(Bonds!$H72,6*(16-1)),0),EDATE(Bonds!$H72,6*(16-1))))</f>
        <v/>
      </c>
      <c r="U72" s="3" t="str">
        <f>IF(17&gt;$C72,"",IF($D72=1,EOMONTH(EDATE(Bonds!$H72,6*(17-1)),0),EDATE(Bonds!$H72,6*(17-1))))</f>
        <v/>
      </c>
      <c r="V72" s="3" t="str">
        <f>IF(18&gt;$C72,"",IF($D72=1,EOMONTH(EDATE(Bonds!$H72,6*(18-1)),0),EDATE(Bonds!$H72,6*(18-1))))</f>
        <v/>
      </c>
      <c r="W72" s="3" t="str">
        <f>IF(19&gt;$C72,"",IF($D72=1,EOMONTH(EDATE(Bonds!$H72,6*(19-1)),0),EDATE(Bonds!$H72,6*(19-1))))</f>
        <v/>
      </c>
      <c r="X72" s="3" t="str">
        <f>IF(20&gt;$C72,"",IF($D72=1,EOMONTH(EDATE(Bonds!$H72,6*(20-1)),0),EDATE(Bonds!$H72,6*(20-1))))</f>
        <v/>
      </c>
      <c r="Y72" s="3" t="str">
        <f>IF(21&gt;$C72,"",IF($D72=1,EOMONTH(EDATE(Bonds!$H72,6*(21-1)),0),EDATE(Bonds!$H72,6*(21-1))))</f>
        <v/>
      </c>
      <c r="Z72" s="3" t="str">
        <f>IF(22&gt;$C72,"",IF($D72=1,EOMONTH(EDATE(Bonds!$H72,6*(22-1)),0),EDATE(Bonds!$H72,6*(22-1))))</f>
        <v/>
      </c>
      <c r="AA72" s="3" t="str">
        <f>IF(23&gt;$C72,"",IF($D72=1,EOMONTH(EDATE(Bonds!$H72,6*(23-1)),0),EDATE(Bonds!$H72,6*(23-1))))</f>
        <v/>
      </c>
      <c r="AB72" s="3" t="str">
        <f>IF(24&gt;$C72,"",IF($D72=1,EOMONTH(EDATE(Bonds!$H72,6*(24-1)),0),EDATE(Bonds!$H72,6*(24-1))))</f>
        <v/>
      </c>
      <c r="AC72" s="3" t="str">
        <f>IF(25&gt;$C72,"",IF($D72=1,EOMONTH(EDATE(Bonds!$H72,6*(25-1)),0),EDATE(Bonds!$H72,6*(25-1))))</f>
        <v/>
      </c>
      <c r="AD72" s="3" t="str">
        <f>IF(26&gt;$C72,"",IF($D72=1,EOMONTH(EDATE(Bonds!$H72,6*(26-1)),0),EDATE(Bonds!$H72,6*(26-1))))</f>
        <v/>
      </c>
      <c r="AE72" s="3" t="str">
        <f>IF(27&gt;$C72,"",IF($D72=1,EOMONTH(EDATE(Bonds!$H72,6*(27-1)),0),EDATE(Bonds!$H72,6*(27-1))))</f>
        <v/>
      </c>
      <c r="AF72" s="3" t="str">
        <f>IF(28&gt;$C72,"",IF($D72=1,EOMONTH(EDATE(Bonds!$H72,6*(28-1)),0),EDATE(Bonds!$H72,6*(28-1))))</f>
        <v/>
      </c>
      <c r="AG72" s="3" t="str">
        <f>IF(29&gt;$C72,"",IF($D72=1,EOMONTH(EDATE(Bonds!$H72,6*(29-1)),0),EDATE(Bonds!$H72,6*(29-1))))</f>
        <v/>
      </c>
      <c r="AH72" s="3" t="str">
        <f>IF(30&gt;$C72,"",IF($D72=1,EOMONTH(EDATE(Bonds!$H72,6*(30-1)),0),EDATE(Bonds!$H72,6*(30-1))))</f>
        <v/>
      </c>
      <c r="AI72" s="3" t="str">
        <f>IF(31&gt;$C72,"",IF($D72=1,EOMONTH(EDATE(Bonds!$H72,6*(31-1)),0),EDATE(Bonds!$H72,6*(31-1))))</f>
        <v/>
      </c>
      <c r="AJ72" s="3" t="str">
        <f>IF(32&gt;$C72,"",IF($D72=1,EOMONTH(EDATE(Bonds!$H72,6*(32-1)),0),EDATE(Bonds!$H72,6*(32-1))))</f>
        <v/>
      </c>
      <c r="AK72" s="3" t="str">
        <f>IF(33&gt;$C72,"",IF($D72=1,EOMONTH(EDATE(Bonds!$H72,6*(33-1)),0),EDATE(Bonds!$H72,6*(33-1))))</f>
        <v/>
      </c>
      <c r="AL72" s="3" t="str">
        <f>IF(34&gt;$C72,"",IF($D72=1,EOMONTH(EDATE(Bonds!$H72,6*(34-1)),0),EDATE(Bonds!$H72,6*(34-1))))</f>
        <v/>
      </c>
      <c r="AM72" s="3" t="str">
        <f>IF(35&gt;$C72,"",IF($D72=1,EOMONTH(EDATE(Bonds!$H72,6*(35-1)),0),EDATE(Bonds!$H72,6*(35-1))))</f>
        <v/>
      </c>
      <c r="AN72" s="3" t="str">
        <f>IF(36&gt;$C72,"",IF($D72=1,EOMONTH(EDATE(Bonds!$H72,6*(36-1)),0),EDATE(Bonds!$H72,6*(36-1))))</f>
        <v/>
      </c>
      <c r="AO72" s="3" t="str">
        <f>IF(37&gt;$C72,"",IF($D72=1,EOMONTH(EDATE(Bonds!$H72,6*(37-1)),0),EDATE(Bonds!$H72,6*(37-1))))</f>
        <v/>
      </c>
      <c r="AP72" s="3" t="str">
        <f>IF(38&gt;$C72,"",IF($D72=1,EOMONTH(EDATE(Bonds!$H72,6*(38-1)),0),EDATE(Bonds!$H72,6*(38-1))))</f>
        <v/>
      </c>
      <c r="AQ72" s="3" t="str">
        <f>IF(39&gt;$C72,"",IF($D72=1,EOMONTH(EDATE(Bonds!$H72,6*(39-1)),0),EDATE(Bonds!$H72,6*(39-1))))</f>
        <v/>
      </c>
      <c r="AR72" s="3" t="str">
        <f>IF(40&gt;$C72,"",IF($D72=1,EOMONTH(EDATE(Bonds!$H72,6*(40-1)),0),EDATE(Bonds!$H72,6*(40-1))))</f>
        <v/>
      </c>
      <c r="AS72" s="3" t="str">
        <f>IF(41&gt;$C72,"",IF($D72=1,EOMONTH(EDATE(Bonds!$H72,6*(41-1)),0),EDATE(Bonds!$H72,6*(41-1))))</f>
        <v/>
      </c>
      <c r="AT72" s="3" t="str">
        <f>IF(42&gt;$C72,"",IF($D72=1,EOMONTH(EDATE(Bonds!$H72,6*(42-1)),0),EDATE(Bonds!$H72,6*(42-1))))</f>
        <v/>
      </c>
      <c r="AU72" s="3" t="str">
        <f>IF(43&gt;$C72,"",IF($D72=1,EOMONTH(EDATE(Bonds!$H72,6*(43-1)),0),EDATE(Bonds!$H72,6*(43-1))))</f>
        <v/>
      </c>
      <c r="AV72" s="3" t="str">
        <f>IF(44&gt;$C72,"",IF($D72=1,EOMONTH(EDATE(Bonds!$H72,6*(44-1)),0),EDATE(Bonds!$H72,6*(44-1))))</f>
        <v/>
      </c>
      <c r="AW72" s="3" t="str">
        <f>IF(45&gt;$C72,"",IF($D72=1,EOMONTH(EDATE(Bonds!$H72,6*(45-1)),0),EDATE(Bonds!$H72,6*(45-1))))</f>
        <v/>
      </c>
      <c r="AX72" s="3" t="str">
        <f>IF(46&gt;$C72,"",IF($D72=1,EOMONTH(EDATE(Bonds!$H72,6*(46-1)),0),EDATE(Bonds!$H72,6*(46-1))))</f>
        <v/>
      </c>
      <c r="AY72" s="3" t="str">
        <f>IF(47&gt;$C72,"",IF($D72=1,EOMONTH(EDATE(Bonds!$H72,6*(47-1)),0),EDATE(Bonds!$H72,6*(47-1))))</f>
        <v/>
      </c>
      <c r="AZ72" s="3" t="str">
        <f>IF(48&gt;$C72,"",IF($D72=1,EOMONTH(EDATE(Bonds!$H72,6*(48-1)),0),EDATE(Bonds!$H72,6*(48-1))))</f>
        <v/>
      </c>
      <c r="BA72" s="3" t="str">
        <f>IF(49&gt;$C72,"",IF($D72=1,EOMONTH(EDATE(Bonds!$H72,6*(49-1)),0),EDATE(Bonds!$H72,6*(49-1))))</f>
        <v/>
      </c>
      <c r="BB72" s="3" t="str">
        <f>IF(50&gt;$C72,"",IF($D72=1,EOMONTH(EDATE(Bonds!$H72,6*(50-1)),0),EDATE(Bonds!$H72,6*(50-1))))</f>
        <v/>
      </c>
      <c r="BC72" s="3" t="str">
        <f>IF(51&gt;$C72,"",IF($D72=1,EOMONTH(EDATE(Bonds!$H72,6*(51-1)),0),EDATE(Bonds!$H72,6*(51-1))))</f>
        <v/>
      </c>
      <c r="BD72" s="3" t="str">
        <f>IF(52&gt;$C72,"",IF($D72=1,EOMONTH(EDATE(Bonds!$H72,6*(52-1)),0),EDATE(Bonds!$H72,6*(52-1))))</f>
        <v/>
      </c>
      <c r="BE72" s="3" t="str">
        <f>IF(53&gt;$C72,"",IF($D72=1,EOMONTH(EDATE(Bonds!$H72,6*(53-1)),0),EDATE(Bonds!$H72,6*(53-1))))</f>
        <v/>
      </c>
      <c r="BF72" s="3" t="str">
        <f>IF(54&gt;$C72,"",IF($D72=1,EOMONTH(EDATE(Bonds!$H72,6*(54-1)),0),EDATE(Bonds!$H72,6*(54-1))))</f>
        <v/>
      </c>
      <c r="BG72" s="3" t="str">
        <f>IF(55&gt;$C72,"",IF($D72=1,EOMONTH(EDATE(Bonds!$H72,6*(55-1)),0),EDATE(Bonds!$H72,6*(55-1))))</f>
        <v/>
      </c>
      <c r="BH72" s="3" t="str">
        <f>IF(56&gt;$C72,"",IF($D72=1,EOMONTH(EDATE(Bonds!$H72,6*(56-1)),0),EDATE(Bonds!$H72,6*(56-1))))</f>
        <v/>
      </c>
      <c r="BI72" s="3" t="str">
        <f>IF(57&gt;$C72,"",IF($D72=1,EOMONTH(EDATE(Bonds!$H72,6*(57-1)),0),EDATE(Bonds!$H72,6*(57-1))))</f>
        <v/>
      </c>
      <c r="BJ72" s="3" t="str">
        <f>IF(58&gt;$C72,"",IF($D72=1,EOMONTH(EDATE(Bonds!$H72,6*(58-1)),0),EDATE(Bonds!$H72,6*(58-1))))</f>
        <v/>
      </c>
      <c r="BK72" s="3" t="str">
        <f>IF(59&gt;$C72,"",IF($D72=1,EOMONTH(EDATE(Bonds!$H72,6*(59-1)),0),EDATE(Bonds!$H72,6*(59-1))))</f>
        <v/>
      </c>
      <c r="BL72" s="3" t="str">
        <f>IF(60&gt;$C72,"",IF($D72=1,EOMONTH(EDATE(Bonds!$H72,6*(60-1)),0),EDATE(Bonds!$H72,6*(60-1))))</f>
        <v/>
      </c>
      <c r="BN72" s="7">
        <f t="shared" ref="BN72:BN135" si="62">IF(E72="",0,($B72/2+IF(1=$C72,100,0))*EXP(-(beta_0+beta_1*(1-EXP(-((E72-Settle)/365)/tau_1))/(((E72-Settle)/365)/tau_1)+beta_2*((1-EXP(-((E72-Settle)/365)/tau_1))/(((E72-Settle)/365)/tau_1)-EXP(-((E72-Settle)/365)/tau_1))+beta_3*((1-EXP(-((E72-Settle)/365)/tau_2))/(((E72-Settle)/365)/tau_2)-EXP(-((E72-Settle)/365)/tau_2)))*((E72-Settle)/365)))</f>
        <v>3.0411408467125569</v>
      </c>
      <c r="BO72" s="7">
        <f t="shared" ref="BO72:BO135" si="63">IF(F72="",0,($B72/2+IF(2=$C72,100,0))*EXP(-(beta_0+beta_1*(1-EXP(-((F72-Settle)/365)/tau_1))/(((F72-Settle)/365)/tau_1)+beta_2*((1-EXP(-((F72-Settle)/365)/tau_1))/(((F72-Settle)/365)/tau_1)-EXP(-((F72-Settle)/365)/tau_1))+beta_3*((1-EXP(-((F72-Settle)/365)/tau_2))/(((F72-Settle)/365)/tau_2)-EXP(-((F72-Settle)/365)/tau_2)))*((F72-Settle)/365)))</f>
        <v>2.9797297674568921</v>
      </c>
      <c r="BP72" s="7">
        <f t="shared" ref="BP72:BP135" si="64">IF(G72="",0,($B72/2+IF(3=$C72,100,0))*EXP(-(beta_0+beta_1*(1-EXP(-((G72-Settle)/365)/tau_1))/(((G72-Settle)/365)/tau_1)+beta_2*((1-EXP(-((G72-Settle)/365)/tau_1))/(((G72-Settle)/365)/tau_1)-EXP(-((G72-Settle)/365)/tau_1))+beta_3*((1-EXP(-((G72-Settle)/365)/tau_2))/(((G72-Settle)/365)/tau_2)-EXP(-((G72-Settle)/365)/tau_2)))*((G72-Settle)/365)))</f>
        <v>98.068176642394874</v>
      </c>
      <c r="BQ72" s="7">
        <f t="shared" ref="BQ72:BQ135" si="65">IF(H72="",0,($B72/2+IF(4=$C72,100,0))*EXP(-(beta_0+beta_1*(1-EXP(-((H72-Settle)/365)/tau_1))/(((H72-Settle)/365)/tau_1)+beta_2*((1-EXP(-((H72-Settle)/365)/tau_1))/(((H72-Settle)/365)/tau_1)-EXP(-((H72-Settle)/365)/tau_1))+beta_3*((1-EXP(-((H72-Settle)/365)/tau_2))/(((H72-Settle)/365)/tau_2)-EXP(-((H72-Settle)/365)/tau_2)))*((H72-Settle)/365)))</f>
        <v>0</v>
      </c>
      <c r="BR72" s="7">
        <f t="shared" ref="BR72:BR135" si="66">IF(I72="",0,($B72/2+IF(5=$C72,100,0))*EXP(-(beta_0+beta_1*(1-EXP(-((I72-Settle)/365)/tau_1))/(((I72-Settle)/365)/tau_1)+beta_2*((1-EXP(-((I72-Settle)/365)/tau_1))/(((I72-Settle)/365)/tau_1)-EXP(-((I72-Settle)/365)/tau_1))+beta_3*((1-EXP(-((I72-Settle)/365)/tau_2))/(((I72-Settle)/365)/tau_2)-EXP(-((I72-Settle)/365)/tau_2)))*((I72-Settle)/365)))</f>
        <v>0</v>
      </c>
      <c r="BS72" s="7">
        <f t="shared" ref="BS72:BS135" si="67">IF(J72="",0,($B72/2+IF(6=$C72,100,0))*EXP(-(beta_0+beta_1*(1-EXP(-((J72-Settle)/365)/tau_1))/(((J72-Settle)/365)/tau_1)+beta_2*((1-EXP(-((J72-Settle)/365)/tau_1))/(((J72-Settle)/365)/tau_1)-EXP(-((J72-Settle)/365)/tau_1))+beta_3*((1-EXP(-((J72-Settle)/365)/tau_2))/(((J72-Settle)/365)/tau_2)-EXP(-((J72-Settle)/365)/tau_2)))*((J72-Settle)/365)))</f>
        <v>0</v>
      </c>
      <c r="BT72" s="7">
        <f t="shared" ref="BT72:BT135" si="68">IF(K72="",0,($B72/2+IF(7=$C72,100,0))*EXP(-(beta_0+beta_1*(1-EXP(-((K72-Settle)/365)/tau_1))/(((K72-Settle)/365)/tau_1)+beta_2*((1-EXP(-((K72-Settle)/365)/tau_1))/(((K72-Settle)/365)/tau_1)-EXP(-((K72-Settle)/365)/tau_1))+beta_3*((1-EXP(-((K72-Settle)/365)/tau_2))/(((K72-Settle)/365)/tau_2)-EXP(-((K72-Settle)/365)/tau_2)))*((K72-Settle)/365)))</f>
        <v>0</v>
      </c>
      <c r="BU72" s="7">
        <f t="shared" ref="BU72:BU135" si="69">IF(L72="",0,($B72/2+IF(8=$C72,100,0))*EXP(-(beta_0+beta_1*(1-EXP(-((L72-Settle)/365)/tau_1))/(((L72-Settle)/365)/tau_1)+beta_2*((1-EXP(-((L72-Settle)/365)/tau_1))/(((L72-Settle)/365)/tau_1)-EXP(-((L72-Settle)/365)/tau_1))+beta_3*((1-EXP(-((L72-Settle)/365)/tau_2))/(((L72-Settle)/365)/tau_2)-EXP(-((L72-Settle)/365)/tau_2)))*((L72-Settle)/365)))</f>
        <v>0</v>
      </c>
      <c r="BV72" s="7">
        <f t="shared" ref="BV72:BV135" si="70">IF(M72="",0,($B72/2+IF(9=$C72,100,0))*EXP(-(beta_0+beta_1*(1-EXP(-((M72-Settle)/365)/tau_1))/(((M72-Settle)/365)/tau_1)+beta_2*((1-EXP(-((M72-Settle)/365)/tau_1))/(((M72-Settle)/365)/tau_1)-EXP(-((M72-Settle)/365)/tau_1))+beta_3*((1-EXP(-((M72-Settle)/365)/tau_2))/(((M72-Settle)/365)/tau_2)-EXP(-((M72-Settle)/365)/tau_2)))*((M72-Settle)/365)))</f>
        <v>0</v>
      </c>
      <c r="BW72" s="7">
        <f t="shared" ref="BW72:BW135" si="71">IF(N72="",0,($B72/2+IF(10=$C72,100,0))*EXP(-(beta_0+beta_1*(1-EXP(-((N72-Settle)/365)/tau_1))/(((N72-Settle)/365)/tau_1)+beta_2*((1-EXP(-((N72-Settle)/365)/tau_1))/(((N72-Settle)/365)/tau_1)-EXP(-((N72-Settle)/365)/tau_1))+beta_3*((1-EXP(-((N72-Settle)/365)/tau_2))/(((N72-Settle)/365)/tau_2)-EXP(-((N72-Settle)/365)/tau_2)))*((N72-Settle)/365)))</f>
        <v>0</v>
      </c>
      <c r="BX72" s="7">
        <f t="shared" ref="BX72:BX135" si="72">IF(O72="",0,($B72/2+IF(11=$C72,100,0))*EXP(-(beta_0+beta_1*(1-EXP(-((O72-Settle)/365)/tau_1))/(((O72-Settle)/365)/tau_1)+beta_2*((1-EXP(-((O72-Settle)/365)/tau_1))/(((O72-Settle)/365)/tau_1)-EXP(-((O72-Settle)/365)/tau_1))+beta_3*((1-EXP(-((O72-Settle)/365)/tau_2))/(((O72-Settle)/365)/tau_2)-EXP(-((O72-Settle)/365)/tau_2)))*((O72-Settle)/365)))</f>
        <v>0</v>
      </c>
      <c r="BY72" s="7">
        <f t="shared" ref="BY72:BY135" si="73">IF(P72="",0,($B72/2+IF(12=$C72,100,0))*EXP(-(beta_0+beta_1*(1-EXP(-((P72-Settle)/365)/tau_1))/(((P72-Settle)/365)/tau_1)+beta_2*((1-EXP(-((P72-Settle)/365)/tau_1))/(((P72-Settle)/365)/tau_1)-EXP(-((P72-Settle)/365)/tau_1))+beta_3*((1-EXP(-((P72-Settle)/365)/tau_2))/(((P72-Settle)/365)/tau_2)-EXP(-((P72-Settle)/365)/tau_2)))*((P72-Settle)/365)))</f>
        <v>0</v>
      </c>
      <c r="BZ72" s="7">
        <f t="shared" ref="BZ72:BZ135" si="74">IF(Q72="",0,($B72/2+IF(13=$C72,100,0))*EXP(-(beta_0+beta_1*(1-EXP(-((Q72-Settle)/365)/tau_1))/(((Q72-Settle)/365)/tau_1)+beta_2*((1-EXP(-((Q72-Settle)/365)/tau_1))/(((Q72-Settle)/365)/tau_1)-EXP(-((Q72-Settle)/365)/tau_1))+beta_3*((1-EXP(-((Q72-Settle)/365)/tau_2))/(((Q72-Settle)/365)/tau_2)-EXP(-((Q72-Settle)/365)/tau_2)))*((Q72-Settle)/365)))</f>
        <v>0</v>
      </c>
      <c r="CA72" s="7">
        <f t="shared" ref="CA72:CA135" si="75">IF(R72="",0,($B72/2+IF(14=$C72,100,0))*EXP(-(beta_0+beta_1*(1-EXP(-((R72-Settle)/365)/tau_1))/(((R72-Settle)/365)/tau_1)+beta_2*((1-EXP(-((R72-Settle)/365)/tau_1))/(((R72-Settle)/365)/tau_1)-EXP(-((R72-Settle)/365)/tau_1))+beta_3*((1-EXP(-((R72-Settle)/365)/tau_2))/(((R72-Settle)/365)/tau_2)-EXP(-((R72-Settle)/365)/tau_2)))*((R72-Settle)/365)))</f>
        <v>0</v>
      </c>
      <c r="CB72" s="7">
        <f t="shared" ref="CB72:CB135" si="76">IF(S72="",0,($B72/2+IF(15=$C72,100,0))*EXP(-(beta_0+beta_1*(1-EXP(-((S72-Settle)/365)/tau_1))/(((S72-Settle)/365)/tau_1)+beta_2*((1-EXP(-((S72-Settle)/365)/tau_1))/(((S72-Settle)/365)/tau_1)-EXP(-((S72-Settle)/365)/tau_1))+beta_3*((1-EXP(-((S72-Settle)/365)/tau_2))/(((S72-Settle)/365)/tau_2)-EXP(-((S72-Settle)/365)/tau_2)))*((S72-Settle)/365)))</f>
        <v>0</v>
      </c>
      <c r="CC72" s="7">
        <f t="shared" ref="CC72:CC135" si="77">IF(T72="",0,($B72/2+IF(16=$C72,100,0))*EXP(-(beta_0+beta_1*(1-EXP(-((T72-Settle)/365)/tau_1))/(((T72-Settle)/365)/tau_1)+beta_2*((1-EXP(-((T72-Settle)/365)/tau_1))/(((T72-Settle)/365)/tau_1)-EXP(-((T72-Settle)/365)/tau_1))+beta_3*((1-EXP(-((T72-Settle)/365)/tau_2))/(((T72-Settle)/365)/tau_2)-EXP(-((T72-Settle)/365)/tau_2)))*((T72-Settle)/365)))</f>
        <v>0</v>
      </c>
      <c r="CD72" s="7">
        <f t="shared" ref="CD72:CD135" si="78">IF(U72="",0,($B72/2+IF(17=$C72,100,0))*EXP(-(beta_0+beta_1*(1-EXP(-((U72-Settle)/365)/tau_1))/(((U72-Settle)/365)/tau_1)+beta_2*((1-EXP(-((U72-Settle)/365)/tau_1))/(((U72-Settle)/365)/tau_1)-EXP(-((U72-Settle)/365)/tau_1))+beta_3*((1-EXP(-((U72-Settle)/365)/tau_2))/(((U72-Settle)/365)/tau_2)-EXP(-((U72-Settle)/365)/tau_2)))*((U72-Settle)/365)))</f>
        <v>0</v>
      </c>
      <c r="CE72" s="7">
        <f t="shared" ref="CE72:CE135" si="79">IF(V72="",0,($B72/2+IF(18=$C72,100,0))*EXP(-(beta_0+beta_1*(1-EXP(-((V72-Settle)/365)/tau_1))/(((V72-Settle)/365)/tau_1)+beta_2*((1-EXP(-((V72-Settle)/365)/tau_1))/(((V72-Settle)/365)/tau_1)-EXP(-((V72-Settle)/365)/tau_1))+beta_3*((1-EXP(-((V72-Settle)/365)/tau_2))/(((V72-Settle)/365)/tau_2)-EXP(-((V72-Settle)/365)/tau_2)))*((V72-Settle)/365)))</f>
        <v>0</v>
      </c>
      <c r="CF72" s="7">
        <f t="shared" ref="CF72:CF135" si="80">IF(W72="",0,($B72/2+IF(19=$C72,100,0))*EXP(-(beta_0+beta_1*(1-EXP(-((W72-Settle)/365)/tau_1))/(((W72-Settle)/365)/tau_1)+beta_2*((1-EXP(-((W72-Settle)/365)/tau_1))/(((W72-Settle)/365)/tau_1)-EXP(-((W72-Settle)/365)/tau_1))+beta_3*((1-EXP(-((W72-Settle)/365)/tau_2))/(((W72-Settle)/365)/tau_2)-EXP(-((W72-Settle)/365)/tau_2)))*((W72-Settle)/365)))</f>
        <v>0</v>
      </c>
      <c r="CG72" s="7">
        <f t="shared" ref="CG72:CG135" si="81">IF(X72="",0,($B72/2+IF(20=$C72,100,0))*EXP(-(beta_0+beta_1*(1-EXP(-((X72-Settle)/365)/tau_1))/(((X72-Settle)/365)/tau_1)+beta_2*((1-EXP(-((X72-Settle)/365)/tau_1))/(((X72-Settle)/365)/tau_1)-EXP(-((X72-Settle)/365)/tau_1))+beta_3*((1-EXP(-((X72-Settle)/365)/tau_2))/(((X72-Settle)/365)/tau_2)-EXP(-((X72-Settle)/365)/tau_2)))*((X72-Settle)/365)))</f>
        <v>0</v>
      </c>
      <c r="CH72" s="7">
        <f t="shared" ref="CH72:CH135" si="82">IF(Y72="",0,($B72/2+IF(21=$C72,100,0))*EXP(-(beta_0+beta_1*(1-EXP(-((Y72-Settle)/365)/tau_1))/(((Y72-Settle)/365)/tau_1)+beta_2*((1-EXP(-((Y72-Settle)/365)/tau_1))/(((Y72-Settle)/365)/tau_1)-EXP(-((Y72-Settle)/365)/tau_1))+beta_3*((1-EXP(-((Y72-Settle)/365)/tau_2))/(((Y72-Settle)/365)/tau_2)-EXP(-((Y72-Settle)/365)/tau_2)))*((Y72-Settle)/365)))</f>
        <v>0</v>
      </c>
      <c r="CI72" s="7">
        <f t="shared" ref="CI72:CI135" si="83">IF(Z72="",0,($B72/2+IF(22=$C72,100,0))*EXP(-(beta_0+beta_1*(1-EXP(-((Z72-Settle)/365)/tau_1))/(((Z72-Settle)/365)/tau_1)+beta_2*((1-EXP(-((Z72-Settle)/365)/tau_1))/(((Z72-Settle)/365)/tau_1)-EXP(-((Z72-Settle)/365)/tau_1))+beta_3*((1-EXP(-((Z72-Settle)/365)/tau_2))/(((Z72-Settle)/365)/tau_2)-EXP(-((Z72-Settle)/365)/tau_2)))*((Z72-Settle)/365)))</f>
        <v>0</v>
      </c>
      <c r="CJ72" s="7">
        <f t="shared" ref="CJ72:CJ135" si="84">IF(AA72="",0,($B72/2+IF(23=$C72,100,0))*EXP(-(beta_0+beta_1*(1-EXP(-((AA72-Settle)/365)/tau_1))/(((AA72-Settle)/365)/tau_1)+beta_2*((1-EXP(-((AA72-Settle)/365)/tau_1))/(((AA72-Settle)/365)/tau_1)-EXP(-((AA72-Settle)/365)/tau_1))+beta_3*((1-EXP(-((AA72-Settle)/365)/tau_2))/(((AA72-Settle)/365)/tau_2)-EXP(-((AA72-Settle)/365)/tau_2)))*((AA72-Settle)/365)))</f>
        <v>0</v>
      </c>
      <c r="CK72" s="7">
        <f t="shared" ref="CK72:CK135" si="85">IF(AB72="",0,($B72/2+IF(24=$C72,100,0))*EXP(-(beta_0+beta_1*(1-EXP(-((AB72-Settle)/365)/tau_1))/(((AB72-Settle)/365)/tau_1)+beta_2*((1-EXP(-((AB72-Settle)/365)/tau_1))/(((AB72-Settle)/365)/tau_1)-EXP(-((AB72-Settle)/365)/tau_1))+beta_3*((1-EXP(-((AB72-Settle)/365)/tau_2))/(((AB72-Settle)/365)/tau_2)-EXP(-((AB72-Settle)/365)/tau_2)))*((AB72-Settle)/365)))</f>
        <v>0</v>
      </c>
      <c r="CL72" s="7">
        <f t="shared" ref="CL72:CL135" si="86">IF(AC72="",0,($B72/2+IF(25=$C72,100,0))*EXP(-(beta_0+beta_1*(1-EXP(-((AC72-Settle)/365)/tau_1))/(((AC72-Settle)/365)/tau_1)+beta_2*((1-EXP(-((AC72-Settle)/365)/tau_1))/(((AC72-Settle)/365)/tau_1)-EXP(-((AC72-Settle)/365)/tau_1))+beta_3*((1-EXP(-((AC72-Settle)/365)/tau_2))/(((AC72-Settle)/365)/tau_2)-EXP(-((AC72-Settle)/365)/tau_2)))*((AC72-Settle)/365)))</f>
        <v>0</v>
      </c>
      <c r="CM72" s="7">
        <f t="shared" ref="CM72:CM135" si="87">IF(AD72="",0,($B72/2+IF(26=$C72,100,0))*EXP(-(beta_0+beta_1*(1-EXP(-((AD72-Settle)/365)/tau_1))/(((AD72-Settle)/365)/tau_1)+beta_2*((1-EXP(-((AD72-Settle)/365)/tau_1))/(((AD72-Settle)/365)/tau_1)-EXP(-((AD72-Settle)/365)/tau_1))+beta_3*((1-EXP(-((AD72-Settle)/365)/tau_2))/(((AD72-Settle)/365)/tau_2)-EXP(-((AD72-Settle)/365)/tau_2)))*((AD72-Settle)/365)))</f>
        <v>0</v>
      </c>
      <c r="CN72" s="7">
        <f t="shared" ref="CN72:CN135" si="88">IF(AE72="",0,($B72/2+IF(27=$C72,100,0))*EXP(-(beta_0+beta_1*(1-EXP(-((AE72-Settle)/365)/tau_1))/(((AE72-Settle)/365)/tau_1)+beta_2*((1-EXP(-((AE72-Settle)/365)/tau_1))/(((AE72-Settle)/365)/tau_1)-EXP(-((AE72-Settle)/365)/tau_1))+beta_3*((1-EXP(-((AE72-Settle)/365)/tau_2))/(((AE72-Settle)/365)/tau_2)-EXP(-((AE72-Settle)/365)/tau_2)))*((AE72-Settle)/365)))</f>
        <v>0</v>
      </c>
      <c r="CO72" s="7">
        <f t="shared" ref="CO72:CO135" si="89">IF(AF72="",0,($B72/2+IF(28=$C72,100,0))*EXP(-(beta_0+beta_1*(1-EXP(-((AF72-Settle)/365)/tau_1))/(((AF72-Settle)/365)/tau_1)+beta_2*((1-EXP(-((AF72-Settle)/365)/tau_1))/(((AF72-Settle)/365)/tau_1)-EXP(-((AF72-Settle)/365)/tau_1))+beta_3*((1-EXP(-((AF72-Settle)/365)/tau_2))/(((AF72-Settle)/365)/tau_2)-EXP(-((AF72-Settle)/365)/tau_2)))*((AF72-Settle)/365)))</f>
        <v>0</v>
      </c>
      <c r="CP72" s="7">
        <f t="shared" ref="CP72:CP135" si="90">IF(AG72="",0,($B72/2+IF(29=$C72,100,0))*EXP(-(beta_0+beta_1*(1-EXP(-((AG72-Settle)/365)/tau_1))/(((AG72-Settle)/365)/tau_1)+beta_2*((1-EXP(-((AG72-Settle)/365)/tau_1))/(((AG72-Settle)/365)/tau_1)-EXP(-((AG72-Settle)/365)/tau_1))+beta_3*((1-EXP(-((AG72-Settle)/365)/tau_2))/(((AG72-Settle)/365)/tau_2)-EXP(-((AG72-Settle)/365)/tau_2)))*((AG72-Settle)/365)))</f>
        <v>0</v>
      </c>
      <c r="CQ72" s="7">
        <f t="shared" ref="CQ72:CQ135" si="91">IF(AH72="",0,($B72/2+IF(30=$C72,100,0))*EXP(-(beta_0+beta_1*(1-EXP(-((AH72-Settle)/365)/tau_1))/(((AH72-Settle)/365)/tau_1)+beta_2*((1-EXP(-((AH72-Settle)/365)/tau_1))/(((AH72-Settle)/365)/tau_1)-EXP(-((AH72-Settle)/365)/tau_1))+beta_3*((1-EXP(-((AH72-Settle)/365)/tau_2))/(((AH72-Settle)/365)/tau_2)-EXP(-((AH72-Settle)/365)/tau_2)))*((AH72-Settle)/365)))</f>
        <v>0</v>
      </c>
      <c r="CR72" s="7">
        <f t="shared" ref="CR72:CR135" si="92">IF(AI72="",0,($B72/2+IF(31=$C72,100,0))*EXP(-(beta_0+beta_1*(1-EXP(-((AI72-Settle)/365)/tau_1))/(((AI72-Settle)/365)/tau_1)+beta_2*((1-EXP(-((AI72-Settle)/365)/tau_1))/(((AI72-Settle)/365)/tau_1)-EXP(-((AI72-Settle)/365)/tau_1))+beta_3*((1-EXP(-((AI72-Settle)/365)/tau_2))/(((AI72-Settle)/365)/tau_2)-EXP(-((AI72-Settle)/365)/tau_2)))*((AI72-Settle)/365)))</f>
        <v>0</v>
      </c>
      <c r="CS72" s="7">
        <f t="shared" ref="CS72:CS135" si="93">IF(AJ72="",0,($B72/2+IF(32=$C72,100,0))*EXP(-(beta_0+beta_1*(1-EXP(-((AJ72-Settle)/365)/tau_1))/(((AJ72-Settle)/365)/tau_1)+beta_2*((1-EXP(-((AJ72-Settle)/365)/tau_1))/(((AJ72-Settle)/365)/tau_1)-EXP(-((AJ72-Settle)/365)/tau_1))+beta_3*((1-EXP(-((AJ72-Settle)/365)/tau_2))/(((AJ72-Settle)/365)/tau_2)-EXP(-((AJ72-Settle)/365)/tau_2)))*((AJ72-Settle)/365)))</f>
        <v>0</v>
      </c>
      <c r="CT72" s="7">
        <f t="shared" ref="CT72:CT135" si="94">IF(AK72="",0,($B72/2+IF(33=$C72,100,0))*EXP(-(beta_0+beta_1*(1-EXP(-((AK72-Settle)/365)/tau_1))/(((AK72-Settle)/365)/tau_1)+beta_2*((1-EXP(-((AK72-Settle)/365)/tau_1))/(((AK72-Settle)/365)/tau_1)-EXP(-((AK72-Settle)/365)/tau_1))+beta_3*((1-EXP(-((AK72-Settle)/365)/tau_2))/(((AK72-Settle)/365)/tau_2)-EXP(-((AK72-Settle)/365)/tau_2)))*((AK72-Settle)/365)))</f>
        <v>0</v>
      </c>
      <c r="CU72" s="7">
        <f t="shared" ref="CU72:CU135" si="95">IF(AL72="",0,($B72/2+IF(34=$C72,100,0))*EXP(-(beta_0+beta_1*(1-EXP(-((AL72-Settle)/365)/tau_1))/(((AL72-Settle)/365)/tau_1)+beta_2*((1-EXP(-((AL72-Settle)/365)/tau_1))/(((AL72-Settle)/365)/tau_1)-EXP(-((AL72-Settle)/365)/tau_1))+beta_3*((1-EXP(-((AL72-Settle)/365)/tau_2))/(((AL72-Settle)/365)/tau_2)-EXP(-((AL72-Settle)/365)/tau_2)))*((AL72-Settle)/365)))</f>
        <v>0</v>
      </c>
      <c r="CV72" s="7">
        <f t="shared" ref="CV72:CV135" si="96">IF(AM72="",0,($B72/2+IF(35=$C72,100,0))*EXP(-(beta_0+beta_1*(1-EXP(-((AM72-Settle)/365)/tau_1))/(((AM72-Settle)/365)/tau_1)+beta_2*((1-EXP(-((AM72-Settle)/365)/tau_1))/(((AM72-Settle)/365)/tau_1)-EXP(-((AM72-Settle)/365)/tau_1))+beta_3*((1-EXP(-((AM72-Settle)/365)/tau_2))/(((AM72-Settle)/365)/tau_2)-EXP(-((AM72-Settle)/365)/tau_2)))*((AM72-Settle)/365)))</f>
        <v>0</v>
      </c>
      <c r="CW72" s="7">
        <f t="shared" ref="CW72:CW135" si="97">IF(AN72="",0,($B72/2+IF(36=$C72,100,0))*EXP(-(beta_0+beta_1*(1-EXP(-((AN72-Settle)/365)/tau_1))/(((AN72-Settle)/365)/tau_1)+beta_2*((1-EXP(-((AN72-Settle)/365)/tau_1))/(((AN72-Settle)/365)/tau_1)-EXP(-((AN72-Settle)/365)/tau_1))+beta_3*((1-EXP(-((AN72-Settle)/365)/tau_2))/(((AN72-Settle)/365)/tau_2)-EXP(-((AN72-Settle)/365)/tau_2)))*((AN72-Settle)/365)))</f>
        <v>0</v>
      </c>
      <c r="CX72" s="7">
        <f t="shared" ref="CX72:CX135" si="98">IF(AO72="",0,($B72/2+IF(37=$C72,100,0))*EXP(-(beta_0+beta_1*(1-EXP(-((AO72-Settle)/365)/tau_1))/(((AO72-Settle)/365)/tau_1)+beta_2*((1-EXP(-((AO72-Settle)/365)/tau_1))/(((AO72-Settle)/365)/tau_1)-EXP(-((AO72-Settle)/365)/tau_1))+beta_3*((1-EXP(-((AO72-Settle)/365)/tau_2))/(((AO72-Settle)/365)/tau_2)-EXP(-((AO72-Settle)/365)/tau_2)))*((AO72-Settle)/365)))</f>
        <v>0</v>
      </c>
      <c r="CY72" s="7">
        <f t="shared" ref="CY72:CY135" si="99">IF(AP72="",0,($B72/2+IF(38=$C72,100,0))*EXP(-(beta_0+beta_1*(1-EXP(-((AP72-Settle)/365)/tau_1))/(((AP72-Settle)/365)/tau_1)+beta_2*((1-EXP(-((AP72-Settle)/365)/tau_1))/(((AP72-Settle)/365)/tau_1)-EXP(-((AP72-Settle)/365)/tau_1))+beta_3*((1-EXP(-((AP72-Settle)/365)/tau_2))/(((AP72-Settle)/365)/tau_2)-EXP(-((AP72-Settle)/365)/tau_2)))*((AP72-Settle)/365)))</f>
        <v>0</v>
      </c>
      <c r="CZ72" s="7">
        <f t="shared" ref="CZ72:CZ135" si="100">IF(AQ72="",0,($B72/2+IF(39=$C72,100,0))*EXP(-(beta_0+beta_1*(1-EXP(-((AQ72-Settle)/365)/tau_1))/(((AQ72-Settle)/365)/tau_1)+beta_2*((1-EXP(-((AQ72-Settle)/365)/tau_1))/(((AQ72-Settle)/365)/tau_1)-EXP(-((AQ72-Settle)/365)/tau_1))+beta_3*((1-EXP(-((AQ72-Settle)/365)/tau_2))/(((AQ72-Settle)/365)/tau_2)-EXP(-((AQ72-Settle)/365)/tau_2)))*((AQ72-Settle)/365)))</f>
        <v>0</v>
      </c>
      <c r="DA72" s="7">
        <f t="shared" ref="DA72:DA135" si="101">IF(AR72="",0,($B72/2+IF(40=$C72,100,0))*EXP(-(beta_0+beta_1*(1-EXP(-((AR72-Settle)/365)/tau_1))/(((AR72-Settle)/365)/tau_1)+beta_2*((1-EXP(-((AR72-Settle)/365)/tau_1))/(((AR72-Settle)/365)/tau_1)-EXP(-((AR72-Settle)/365)/tau_1))+beta_3*((1-EXP(-((AR72-Settle)/365)/tau_2))/(((AR72-Settle)/365)/tau_2)-EXP(-((AR72-Settle)/365)/tau_2)))*((AR72-Settle)/365)))</f>
        <v>0</v>
      </c>
      <c r="DB72" s="7">
        <f t="shared" ref="DB72:DB135" si="102">IF(AS72="",0,($B72/2+IF(41=$C72,100,0))*EXP(-(beta_0+beta_1*(1-EXP(-((AS72-Settle)/365)/tau_1))/(((AS72-Settle)/365)/tau_1)+beta_2*((1-EXP(-((AS72-Settle)/365)/tau_1))/(((AS72-Settle)/365)/tau_1)-EXP(-((AS72-Settle)/365)/tau_1))+beta_3*((1-EXP(-((AS72-Settle)/365)/tau_2))/(((AS72-Settle)/365)/tau_2)-EXP(-((AS72-Settle)/365)/tau_2)))*((AS72-Settle)/365)))</f>
        <v>0</v>
      </c>
      <c r="DC72" s="7">
        <f t="shared" ref="DC72:DC135" si="103">IF(AT72="",0,($B72/2+IF(42=$C72,100,0))*EXP(-(beta_0+beta_1*(1-EXP(-((AT72-Settle)/365)/tau_1))/(((AT72-Settle)/365)/tau_1)+beta_2*((1-EXP(-((AT72-Settle)/365)/tau_1))/(((AT72-Settle)/365)/tau_1)-EXP(-((AT72-Settle)/365)/tau_1))+beta_3*((1-EXP(-((AT72-Settle)/365)/tau_2))/(((AT72-Settle)/365)/tau_2)-EXP(-((AT72-Settle)/365)/tau_2)))*((AT72-Settle)/365)))</f>
        <v>0</v>
      </c>
      <c r="DD72" s="7">
        <f t="shared" ref="DD72:DD135" si="104">IF(AU72="",0,($B72/2+IF(43=$C72,100,0))*EXP(-(beta_0+beta_1*(1-EXP(-((AU72-Settle)/365)/tau_1))/(((AU72-Settle)/365)/tau_1)+beta_2*((1-EXP(-((AU72-Settle)/365)/tau_1))/(((AU72-Settle)/365)/tau_1)-EXP(-((AU72-Settle)/365)/tau_1))+beta_3*((1-EXP(-((AU72-Settle)/365)/tau_2))/(((AU72-Settle)/365)/tau_2)-EXP(-((AU72-Settle)/365)/tau_2)))*((AU72-Settle)/365)))</f>
        <v>0</v>
      </c>
      <c r="DE72" s="7">
        <f t="shared" ref="DE72:DE135" si="105">IF(AV72="",0,($B72/2+IF(44=$C72,100,0))*EXP(-(beta_0+beta_1*(1-EXP(-((AV72-Settle)/365)/tau_1))/(((AV72-Settle)/365)/tau_1)+beta_2*((1-EXP(-((AV72-Settle)/365)/tau_1))/(((AV72-Settle)/365)/tau_1)-EXP(-((AV72-Settle)/365)/tau_1))+beta_3*((1-EXP(-((AV72-Settle)/365)/tau_2))/(((AV72-Settle)/365)/tau_2)-EXP(-((AV72-Settle)/365)/tau_2)))*((AV72-Settle)/365)))</f>
        <v>0</v>
      </c>
      <c r="DF72" s="7">
        <f t="shared" ref="DF72:DF135" si="106">IF(AW72="",0,($B72/2+IF(45=$C72,100,0))*EXP(-(beta_0+beta_1*(1-EXP(-((AW72-Settle)/365)/tau_1))/(((AW72-Settle)/365)/tau_1)+beta_2*((1-EXP(-((AW72-Settle)/365)/tau_1))/(((AW72-Settle)/365)/tau_1)-EXP(-((AW72-Settle)/365)/tau_1))+beta_3*((1-EXP(-((AW72-Settle)/365)/tau_2))/(((AW72-Settle)/365)/tau_2)-EXP(-((AW72-Settle)/365)/tau_2)))*((AW72-Settle)/365)))</f>
        <v>0</v>
      </c>
      <c r="DG72" s="7">
        <f t="shared" ref="DG72:DG135" si="107">IF(AX72="",0,($B72/2+IF(46=$C72,100,0))*EXP(-(beta_0+beta_1*(1-EXP(-((AX72-Settle)/365)/tau_1))/(((AX72-Settle)/365)/tau_1)+beta_2*((1-EXP(-((AX72-Settle)/365)/tau_1))/(((AX72-Settle)/365)/tau_1)-EXP(-((AX72-Settle)/365)/tau_1))+beta_3*((1-EXP(-((AX72-Settle)/365)/tau_2))/(((AX72-Settle)/365)/tau_2)-EXP(-((AX72-Settle)/365)/tau_2)))*((AX72-Settle)/365)))</f>
        <v>0</v>
      </c>
      <c r="DH72" s="7">
        <f t="shared" ref="DH72:DH135" si="108">IF(AY72="",0,($B72/2+IF(47=$C72,100,0))*EXP(-(beta_0+beta_1*(1-EXP(-((AY72-Settle)/365)/tau_1))/(((AY72-Settle)/365)/tau_1)+beta_2*((1-EXP(-((AY72-Settle)/365)/tau_1))/(((AY72-Settle)/365)/tau_1)-EXP(-((AY72-Settle)/365)/tau_1))+beta_3*((1-EXP(-((AY72-Settle)/365)/tau_2))/(((AY72-Settle)/365)/tau_2)-EXP(-((AY72-Settle)/365)/tau_2)))*((AY72-Settle)/365)))</f>
        <v>0</v>
      </c>
      <c r="DI72" s="7">
        <f t="shared" ref="DI72:DI135" si="109">IF(AZ72="",0,($B72/2+IF(48=$C72,100,0))*EXP(-(beta_0+beta_1*(1-EXP(-((AZ72-Settle)/365)/tau_1))/(((AZ72-Settle)/365)/tau_1)+beta_2*((1-EXP(-((AZ72-Settle)/365)/tau_1))/(((AZ72-Settle)/365)/tau_1)-EXP(-((AZ72-Settle)/365)/tau_1))+beta_3*((1-EXP(-((AZ72-Settle)/365)/tau_2))/(((AZ72-Settle)/365)/tau_2)-EXP(-((AZ72-Settle)/365)/tau_2)))*((AZ72-Settle)/365)))</f>
        <v>0</v>
      </c>
      <c r="DJ72" s="7">
        <f t="shared" ref="DJ72:DJ135" si="110">IF(BA72="",0,($B72/2+IF(49=$C72,100,0))*EXP(-(beta_0+beta_1*(1-EXP(-((BA72-Settle)/365)/tau_1))/(((BA72-Settle)/365)/tau_1)+beta_2*((1-EXP(-((BA72-Settle)/365)/tau_1))/(((BA72-Settle)/365)/tau_1)-EXP(-((BA72-Settle)/365)/tau_1))+beta_3*((1-EXP(-((BA72-Settle)/365)/tau_2))/(((BA72-Settle)/365)/tau_2)-EXP(-((BA72-Settle)/365)/tau_2)))*((BA72-Settle)/365)))</f>
        <v>0</v>
      </c>
      <c r="DK72" s="7">
        <f t="shared" ref="DK72:DK135" si="111">IF(BB72="",0,($B72/2+IF(50=$C72,100,0))*EXP(-(beta_0+beta_1*(1-EXP(-((BB72-Settle)/365)/tau_1))/(((BB72-Settle)/365)/tau_1)+beta_2*((1-EXP(-((BB72-Settle)/365)/tau_1))/(((BB72-Settle)/365)/tau_1)-EXP(-((BB72-Settle)/365)/tau_1))+beta_3*((1-EXP(-((BB72-Settle)/365)/tau_2))/(((BB72-Settle)/365)/tau_2)-EXP(-((BB72-Settle)/365)/tau_2)))*((BB72-Settle)/365)))</f>
        <v>0</v>
      </c>
      <c r="DL72" s="7">
        <f t="shared" ref="DL72:DL135" si="112">IF(BC72="",0,($B72/2+IF(51=$C72,100,0))*EXP(-(beta_0+beta_1*(1-EXP(-((BC72-Settle)/365)/tau_1))/(((BC72-Settle)/365)/tau_1)+beta_2*((1-EXP(-((BC72-Settle)/365)/tau_1))/(((BC72-Settle)/365)/tau_1)-EXP(-((BC72-Settle)/365)/tau_1))+beta_3*((1-EXP(-((BC72-Settle)/365)/tau_2))/(((BC72-Settle)/365)/tau_2)-EXP(-((BC72-Settle)/365)/tau_2)))*((BC72-Settle)/365)))</f>
        <v>0</v>
      </c>
      <c r="DM72" s="7">
        <f t="shared" ref="DM72:DM135" si="113">IF(BD72="",0,($B72/2+IF(52=$C72,100,0))*EXP(-(beta_0+beta_1*(1-EXP(-((BD72-Settle)/365)/tau_1))/(((BD72-Settle)/365)/tau_1)+beta_2*((1-EXP(-((BD72-Settle)/365)/tau_1))/(((BD72-Settle)/365)/tau_1)-EXP(-((BD72-Settle)/365)/tau_1))+beta_3*((1-EXP(-((BD72-Settle)/365)/tau_2))/(((BD72-Settle)/365)/tau_2)-EXP(-((BD72-Settle)/365)/tau_2)))*((BD72-Settle)/365)))</f>
        <v>0</v>
      </c>
      <c r="DN72" s="7">
        <f t="shared" ref="DN72:DN135" si="114">IF(BE72="",0,($B72/2+IF(53=$C72,100,0))*EXP(-(beta_0+beta_1*(1-EXP(-((BE72-Settle)/365)/tau_1))/(((BE72-Settle)/365)/tau_1)+beta_2*((1-EXP(-((BE72-Settle)/365)/tau_1))/(((BE72-Settle)/365)/tau_1)-EXP(-((BE72-Settle)/365)/tau_1))+beta_3*((1-EXP(-((BE72-Settle)/365)/tau_2))/(((BE72-Settle)/365)/tau_2)-EXP(-((BE72-Settle)/365)/tau_2)))*((BE72-Settle)/365)))</f>
        <v>0</v>
      </c>
      <c r="DO72" s="7">
        <f t="shared" ref="DO72:DO135" si="115">IF(BF72="",0,($B72/2+IF(54=$C72,100,0))*EXP(-(beta_0+beta_1*(1-EXP(-((BF72-Settle)/365)/tau_1))/(((BF72-Settle)/365)/tau_1)+beta_2*((1-EXP(-((BF72-Settle)/365)/tau_1))/(((BF72-Settle)/365)/tau_1)-EXP(-((BF72-Settle)/365)/tau_1))+beta_3*((1-EXP(-((BF72-Settle)/365)/tau_2))/(((BF72-Settle)/365)/tau_2)-EXP(-((BF72-Settle)/365)/tau_2)))*((BF72-Settle)/365)))</f>
        <v>0</v>
      </c>
      <c r="DP72" s="7">
        <f t="shared" ref="DP72:DP135" si="116">IF(BG72="",0,($B72/2+IF(55=$C72,100,0))*EXP(-(beta_0+beta_1*(1-EXP(-((BG72-Settle)/365)/tau_1))/(((BG72-Settle)/365)/tau_1)+beta_2*((1-EXP(-((BG72-Settle)/365)/tau_1))/(((BG72-Settle)/365)/tau_1)-EXP(-((BG72-Settle)/365)/tau_1))+beta_3*((1-EXP(-((BG72-Settle)/365)/tau_2))/(((BG72-Settle)/365)/tau_2)-EXP(-((BG72-Settle)/365)/tau_2)))*((BG72-Settle)/365)))</f>
        <v>0</v>
      </c>
      <c r="DQ72" s="7">
        <f t="shared" ref="DQ72:DQ135" si="117">IF(BH72="",0,($B72/2+IF(56=$C72,100,0))*EXP(-(beta_0+beta_1*(1-EXP(-((BH72-Settle)/365)/tau_1))/(((BH72-Settle)/365)/tau_1)+beta_2*((1-EXP(-((BH72-Settle)/365)/tau_1))/(((BH72-Settle)/365)/tau_1)-EXP(-((BH72-Settle)/365)/tau_1))+beta_3*((1-EXP(-((BH72-Settle)/365)/tau_2))/(((BH72-Settle)/365)/tau_2)-EXP(-((BH72-Settle)/365)/tau_2)))*((BH72-Settle)/365)))</f>
        <v>0</v>
      </c>
      <c r="DR72" s="7">
        <f t="shared" ref="DR72:DR135" si="118">IF(BI72="",0,($B72/2+IF(57=$C72,100,0))*EXP(-(beta_0+beta_1*(1-EXP(-((BI72-Settle)/365)/tau_1))/(((BI72-Settle)/365)/tau_1)+beta_2*((1-EXP(-((BI72-Settle)/365)/tau_1))/(((BI72-Settle)/365)/tau_1)-EXP(-((BI72-Settle)/365)/tau_1))+beta_3*((1-EXP(-((BI72-Settle)/365)/tau_2))/(((BI72-Settle)/365)/tau_2)-EXP(-((BI72-Settle)/365)/tau_2)))*((BI72-Settle)/365)))</f>
        <v>0</v>
      </c>
      <c r="DS72" s="7">
        <f t="shared" ref="DS72:DS135" si="119">IF(BJ72="",0,($B72/2+IF(58=$C72,100,0))*EXP(-(beta_0+beta_1*(1-EXP(-((BJ72-Settle)/365)/tau_1))/(((BJ72-Settle)/365)/tau_1)+beta_2*((1-EXP(-((BJ72-Settle)/365)/tau_1))/(((BJ72-Settle)/365)/tau_1)-EXP(-((BJ72-Settle)/365)/tau_1))+beta_3*((1-EXP(-((BJ72-Settle)/365)/tau_2))/(((BJ72-Settle)/365)/tau_2)-EXP(-((BJ72-Settle)/365)/tau_2)))*((BJ72-Settle)/365)))</f>
        <v>0</v>
      </c>
      <c r="DT72" s="7">
        <f t="shared" ref="DT72:DT135" si="120">IF(BK72="",0,($B72/2+IF(59=$C72,100,0))*EXP(-(beta_0+beta_1*(1-EXP(-((BK72-Settle)/365)/tau_1))/(((BK72-Settle)/365)/tau_1)+beta_2*((1-EXP(-((BK72-Settle)/365)/tau_1))/(((BK72-Settle)/365)/tau_1)-EXP(-((BK72-Settle)/365)/tau_1))+beta_3*((1-EXP(-((BK72-Settle)/365)/tau_2))/(((BK72-Settle)/365)/tau_2)-EXP(-((BK72-Settle)/365)/tau_2)))*((BK72-Settle)/365)))</f>
        <v>0</v>
      </c>
      <c r="DU72" s="7">
        <f t="shared" ref="DU72:DU135" si="121">IF(BL72="",0,($B72/2+IF(60=$C72,100,0))*EXP(-(beta_0+beta_1*(1-EXP(-((BL72-Settle)/365)/tau_1))/(((BL72-Settle)/365)/tau_1)+beta_2*((1-EXP(-((BL72-Settle)/365)/tau_1))/(((BL72-Settle)/365)/tau_1)-EXP(-((BL72-Settle)/365)/tau_1))+beta_3*((1-EXP(-((BL72-Settle)/365)/tau_2))/(((BL72-Settle)/365)/tau_2)-EXP(-((BL72-Settle)/365)/tau_2)))*((BL72-Settle)/365)))</f>
        <v>0</v>
      </c>
    </row>
    <row r="73" spans="1:125" x14ac:dyDescent="0.2">
      <c r="A73" s="3">
        <f>Bonds!A73</f>
        <v>46721</v>
      </c>
      <c r="B73" s="4">
        <f>Bonds!B73</f>
        <v>0.625</v>
      </c>
      <c r="C73">
        <f>Bonds!P73</f>
        <v>3</v>
      </c>
      <c r="D73">
        <f t="shared" si="61"/>
        <v>1</v>
      </c>
      <c r="E73" s="3">
        <f>IF(1&gt;$C73,"",IF($D73=1,EOMONTH(EDATE(Bonds!$H73,6*(1-1)),0),EDATE(Bonds!$H73,6*(1-1))))</f>
        <v>46356</v>
      </c>
      <c r="F73" s="3">
        <f>IF(2&gt;$C73,"",IF($D73=1,EOMONTH(EDATE(Bonds!$H73,6*(2-1)),0),EDATE(Bonds!$H73,6*(2-1))))</f>
        <v>46538</v>
      </c>
      <c r="G73" s="3">
        <f>IF(3&gt;$C73,"",IF($D73=1,EOMONTH(EDATE(Bonds!$H73,6*(3-1)),0),EDATE(Bonds!$H73,6*(3-1))))</f>
        <v>46721</v>
      </c>
      <c r="H73" s="3" t="str">
        <f>IF(4&gt;$C73,"",IF($D73=1,EOMONTH(EDATE(Bonds!$H73,6*(4-1)),0),EDATE(Bonds!$H73,6*(4-1))))</f>
        <v/>
      </c>
      <c r="I73" s="3" t="str">
        <f>IF(5&gt;$C73,"",IF($D73=1,EOMONTH(EDATE(Bonds!$H73,6*(5-1)),0),EDATE(Bonds!$H73,6*(5-1))))</f>
        <v/>
      </c>
      <c r="J73" s="3" t="str">
        <f>IF(6&gt;$C73,"",IF($D73=1,EOMONTH(EDATE(Bonds!$H73,6*(6-1)),0),EDATE(Bonds!$H73,6*(6-1))))</f>
        <v/>
      </c>
      <c r="K73" s="3" t="str">
        <f>IF(7&gt;$C73,"",IF($D73=1,EOMONTH(EDATE(Bonds!$H73,6*(7-1)),0),EDATE(Bonds!$H73,6*(7-1))))</f>
        <v/>
      </c>
      <c r="L73" s="3" t="str">
        <f>IF(8&gt;$C73,"",IF($D73=1,EOMONTH(EDATE(Bonds!$H73,6*(8-1)),0),EDATE(Bonds!$H73,6*(8-1))))</f>
        <v/>
      </c>
      <c r="M73" s="3" t="str">
        <f>IF(9&gt;$C73,"",IF($D73=1,EOMONTH(EDATE(Bonds!$H73,6*(9-1)),0),EDATE(Bonds!$H73,6*(9-1))))</f>
        <v/>
      </c>
      <c r="N73" s="3" t="str">
        <f>IF(10&gt;$C73,"",IF($D73=1,EOMONTH(EDATE(Bonds!$H73,6*(10-1)),0),EDATE(Bonds!$H73,6*(10-1))))</f>
        <v/>
      </c>
      <c r="O73" s="3" t="str">
        <f>IF(11&gt;$C73,"",IF($D73=1,EOMONTH(EDATE(Bonds!$H73,6*(11-1)),0),EDATE(Bonds!$H73,6*(11-1))))</f>
        <v/>
      </c>
      <c r="P73" s="3" t="str">
        <f>IF(12&gt;$C73,"",IF($D73=1,EOMONTH(EDATE(Bonds!$H73,6*(12-1)),0),EDATE(Bonds!$H73,6*(12-1))))</f>
        <v/>
      </c>
      <c r="Q73" s="3" t="str">
        <f>IF(13&gt;$C73,"",IF($D73=1,EOMONTH(EDATE(Bonds!$H73,6*(13-1)),0),EDATE(Bonds!$H73,6*(13-1))))</f>
        <v/>
      </c>
      <c r="R73" s="3" t="str">
        <f>IF(14&gt;$C73,"",IF($D73=1,EOMONTH(EDATE(Bonds!$H73,6*(14-1)),0),EDATE(Bonds!$H73,6*(14-1))))</f>
        <v/>
      </c>
      <c r="S73" s="3" t="str">
        <f>IF(15&gt;$C73,"",IF($D73=1,EOMONTH(EDATE(Bonds!$H73,6*(15-1)),0),EDATE(Bonds!$H73,6*(15-1))))</f>
        <v/>
      </c>
      <c r="T73" s="3" t="str">
        <f>IF(16&gt;$C73,"",IF($D73=1,EOMONTH(EDATE(Bonds!$H73,6*(16-1)),0),EDATE(Bonds!$H73,6*(16-1))))</f>
        <v/>
      </c>
      <c r="U73" s="3" t="str">
        <f>IF(17&gt;$C73,"",IF($D73=1,EOMONTH(EDATE(Bonds!$H73,6*(17-1)),0),EDATE(Bonds!$H73,6*(17-1))))</f>
        <v/>
      </c>
      <c r="V73" s="3" t="str">
        <f>IF(18&gt;$C73,"",IF($D73=1,EOMONTH(EDATE(Bonds!$H73,6*(18-1)),0),EDATE(Bonds!$H73,6*(18-1))))</f>
        <v/>
      </c>
      <c r="W73" s="3" t="str">
        <f>IF(19&gt;$C73,"",IF($D73=1,EOMONTH(EDATE(Bonds!$H73,6*(19-1)),0),EDATE(Bonds!$H73,6*(19-1))))</f>
        <v/>
      </c>
      <c r="X73" s="3" t="str">
        <f>IF(20&gt;$C73,"",IF($D73=1,EOMONTH(EDATE(Bonds!$H73,6*(20-1)),0),EDATE(Bonds!$H73,6*(20-1))))</f>
        <v/>
      </c>
      <c r="Y73" s="3" t="str">
        <f>IF(21&gt;$C73,"",IF($D73=1,EOMONTH(EDATE(Bonds!$H73,6*(21-1)),0),EDATE(Bonds!$H73,6*(21-1))))</f>
        <v/>
      </c>
      <c r="Z73" s="3" t="str">
        <f>IF(22&gt;$C73,"",IF($D73=1,EOMONTH(EDATE(Bonds!$H73,6*(22-1)),0),EDATE(Bonds!$H73,6*(22-1))))</f>
        <v/>
      </c>
      <c r="AA73" s="3" t="str">
        <f>IF(23&gt;$C73,"",IF($D73=1,EOMONTH(EDATE(Bonds!$H73,6*(23-1)),0),EDATE(Bonds!$H73,6*(23-1))))</f>
        <v/>
      </c>
      <c r="AB73" s="3" t="str">
        <f>IF(24&gt;$C73,"",IF($D73=1,EOMONTH(EDATE(Bonds!$H73,6*(24-1)),0),EDATE(Bonds!$H73,6*(24-1))))</f>
        <v/>
      </c>
      <c r="AC73" s="3" t="str">
        <f>IF(25&gt;$C73,"",IF($D73=1,EOMONTH(EDATE(Bonds!$H73,6*(25-1)),0),EDATE(Bonds!$H73,6*(25-1))))</f>
        <v/>
      </c>
      <c r="AD73" s="3" t="str">
        <f>IF(26&gt;$C73,"",IF($D73=1,EOMONTH(EDATE(Bonds!$H73,6*(26-1)),0),EDATE(Bonds!$H73,6*(26-1))))</f>
        <v/>
      </c>
      <c r="AE73" s="3" t="str">
        <f>IF(27&gt;$C73,"",IF($D73=1,EOMONTH(EDATE(Bonds!$H73,6*(27-1)),0),EDATE(Bonds!$H73,6*(27-1))))</f>
        <v/>
      </c>
      <c r="AF73" s="3" t="str">
        <f>IF(28&gt;$C73,"",IF($D73=1,EOMONTH(EDATE(Bonds!$H73,6*(28-1)),0),EDATE(Bonds!$H73,6*(28-1))))</f>
        <v/>
      </c>
      <c r="AG73" s="3" t="str">
        <f>IF(29&gt;$C73,"",IF($D73=1,EOMONTH(EDATE(Bonds!$H73,6*(29-1)),0),EDATE(Bonds!$H73,6*(29-1))))</f>
        <v/>
      </c>
      <c r="AH73" s="3" t="str">
        <f>IF(30&gt;$C73,"",IF($D73=1,EOMONTH(EDATE(Bonds!$H73,6*(30-1)),0),EDATE(Bonds!$H73,6*(30-1))))</f>
        <v/>
      </c>
      <c r="AI73" s="3" t="str">
        <f>IF(31&gt;$C73,"",IF($D73=1,EOMONTH(EDATE(Bonds!$H73,6*(31-1)),0),EDATE(Bonds!$H73,6*(31-1))))</f>
        <v/>
      </c>
      <c r="AJ73" s="3" t="str">
        <f>IF(32&gt;$C73,"",IF($D73=1,EOMONTH(EDATE(Bonds!$H73,6*(32-1)),0),EDATE(Bonds!$H73,6*(32-1))))</f>
        <v/>
      </c>
      <c r="AK73" s="3" t="str">
        <f>IF(33&gt;$C73,"",IF($D73=1,EOMONTH(EDATE(Bonds!$H73,6*(33-1)),0),EDATE(Bonds!$H73,6*(33-1))))</f>
        <v/>
      </c>
      <c r="AL73" s="3" t="str">
        <f>IF(34&gt;$C73,"",IF($D73=1,EOMONTH(EDATE(Bonds!$H73,6*(34-1)),0),EDATE(Bonds!$H73,6*(34-1))))</f>
        <v/>
      </c>
      <c r="AM73" s="3" t="str">
        <f>IF(35&gt;$C73,"",IF($D73=1,EOMONTH(EDATE(Bonds!$H73,6*(35-1)),0),EDATE(Bonds!$H73,6*(35-1))))</f>
        <v/>
      </c>
      <c r="AN73" s="3" t="str">
        <f>IF(36&gt;$C73,"",IF($D73=1,EOMONTH(EDATE(Bonds!$H73,6*(36-1)),0),EDATE(Bonds!$H73,6*(36-1))))</f>
        <v/>
      </c>
      <c r="AO73" s="3" t="str">
        <f>IF(37&gt;$C73,"",IF($D73=1,EOMONTH(EDATE(Bonds!$H73,6*(37-1)),0),EDATE(Bonds!$H73,6*(37-1))))</f>
        <v/>
      </c>
      <c r="AP73" s="3" t="str">
        <f>IF(38&gt;$C73,"",IF($D73=1,EOMONTH(EDATE(Bonds!$H73,6*(38-1)),0),EDATE(Bonds!$H73,6*(38-1))))</f>
        <v/>
      </c>
      <c r="AQ73" s="3" t="str">
        <f>IF(39&gt;$C73,"",IF($D73=1,EOMONTH(EDATE(Bonds!$H73,6*(39-1)),0),EDATE(Bonds!$H73,6*(39-1))))</f>
        <v/>
      </c>
      <c r="AR73" s="3" t="str">
        <f>IF(40&gt;$C73,"",IF($D73=1,EOMONTH(EDATE(Bonds!$H73,6*(40-1)),0),EDATE(Bonds!$H73,6*(40-1))))</f>
        <v/>
      </c>
      <c r="AS73" s="3" t="str">
        <f>IF(41&gt;$C73,"",IF($D73=1,EOMONTH(EDATE(Bonds!$H73,6*(41-1)),0),EDATE(Bonds!$H73,6*(41-1))))</f>
        <v/>
      </c>
      <c r="AT73" s="3" t="str">
        <f>IF(42&gt;$C73,"",IF($D73=1,EOMONTH(EDATE(Bonds!$H73,6*(42-1)),0),EDATE(Bonds!$H73,6*(42-1))))</f>
        <v/>
      </c>
      <c r="AU73" s="3" t="str">
        <f>IF(43&gt;$C73,"",IF($D73=1,EOMONTH(EDATE(Bonds!$H73,6*(43-1)),0),EDATE(Bonds!$H73,6*(43-1))))</f>
        <v/>
      </c>
      <c r="AV73" s="3" t="str">
        <f>IF(44&gt;$C73,"",IF($D73=1,EOMONTH(EDATE(Bonds!$H73,6*(44-1)),0),EDATE(Bonds!$H73,6*(44-1))))</f>
        <v/>
      </c>
      <c r="AW73" s="3" t="str">
        <f>IF(45&gt;$C73,"",IF($D73=1,EOMONTH(EDATE(Bonds!$H73,6*(45-1)),0),EDATE(Bonds!$H73,6*(45-1))))</f>
        <v/>
      </c>
      <c r="AX73" s="3" t="str">
        <f>IF(46&gt;$C73,"",IF($D73=1,EOMONTH(EDATE(Bonds!$H73,6*(46-1)),0),EDATE(Bonds!$H73,6*(46-1))))</f>
        <v/>
      </c>
      <c r="AY73" s="3" t="str">
        <f>IF(47&gt;$C73,"",IF($D73=1,EOMONTH(EDATE(Bonds!$H73,6*(47-1)),0),EDATE(Bonds!$H73,6*(47-1))))</f>
        <v/>
      </c>
      <c r="AZ73" s="3" t="str">
        <f>IF(48&gt;$C73,"",IF($D73=1,EOMONTH(EDATE(Bonds!$H73,6*(48-1)),0),EDATE(Bonds!$H73,6*(48-1))))</f>
        <v/>
      </c>
      <c r="BA73" s="3" t="str">
        <f>IF(49&gt;$C73,"",IF($D73=1,EOMONTH(EDATE(Bonds!$H73,6*(49-1)),0),EDATE(Bonds!$H73,6*(49-1))))</f>
        <v/>
      </c>
      <c r="BB73" s="3" t="str">
        <f>IF(50&gt;$C73,"",IF($D73=1,EOMONTH(EDATE(Bonds!$H73,6*(50-1)),0),EDATE(Bonds!$H73,6*(50-1))))</f>
        <v/>
      </c>
      <c r="BC73" s="3" t="str">
        <f>IF(51&gt;$C73,"",IF($D73=1,EOMONTH(EDATE(Bonds!$H73,6*(51-1)),0),EDATE(Bonds!$H73,6*(51-1))))</f>
        <v/>
      </c>
      <c r="BD73" s="3" t="str">
        <f>IF(52&gt;$C73,"",IF($D73=1,EOMONTH(EDATE(Bonds!$H73,6*(52-1)),0),EDATE(Bonds!$H73,6*(52-1))))</f>
        <v/>
      </c>
      <c r="BE73" s="3" t="str">
        <f>IF(53&gt;$C73,"",IF($D73=1,EOMONTH(EDATE(Bonds!$H73,6*(53-1)),0),EDATE(Bonds!$H73,6*(53-1))))</f>
        <v/>
      </c>
      <c r="BF73" s="3" t="str">
        <f>IF(54&gt;$C73,"",IF($D73=1,EOMONTH(EDATE(Bonds!$H73,6*(54-1)),0),EDATE(Bonds!$H73,6*(54-1))))</f>
        <v/>
      </c>
      <c r="BG73" s="3" t="str">
        <f>IF(55&gt;$C73,"",IF($D73=1,EOMONTH(EDATE(Bonds!$H73,6*(55-1)),0),EDATE(Bonds!$H73,6*(55-1))))</f>
        <v/>
      </c>
      <c r="BH73" s="3" t="str">
        <f>IF(56&gt;$C73,"",IF($D73=1,EOMONTH(EDATE(Bonds!$H73,6*(56-1)),0),EDATE(Bonds!$H73,6*(56-1))))</f>
        <v/>
      </c>
      <c r="BI73" s="3" t="str">
        <f>IF(57&gt;$C73,"",IF($D73=1,EOMONTH(EDATE(Bonds!$H73,6*(57-1)),0),EDATE(Bonds!$H73,6*(57-1))))</f>
        <v/>
      </c>
      <c r="BJ73" s="3" t="str">
        <f>IF(58&gt;$C73,"",IF($D73=1,EOMONTH(EDATE(Bonds!$H73,6*(58-1)),0),EDATE(Bonds!$H73,6*(58-1))))</f>
        <v/>
      </c>
      <c r="BK73" s="3" t="str">
        <f>IF(59&gt;$C73,"",IF($D73=1,EOMONTH(EDATE(Bonds!$H73,6*(59-1)),0),EDATE(Bonds!$H73,6*(59-1))))</f>
        <v/>
      </c>
      <c r="BL73" s="3" t="str">
        <f>IF(60&gt;$C73,"",IF($D73=1,EOMONTH(EDATE(Bonds!$H73,6*(60-1)),0),EDATE(Bonds!$H73,6*(60-1))))</f>
        <v/>
      </c>
      <c r="BN73" s="7">
        <f t="shared" si="62"/>
        <v>0.30982353332372398</v>
      </c>
      <c r="BO73" s="7">
        <f t="shared" si="63"/>
        <v>0.30347941349167307</v>
      </c>
      <c r="BP73" s="7">
        <f t="shared" si="64"/>
        <v>95.274683339569577</v>
      </c>
      <c r="BQ73" s="7">
        <f t="shared" si="65"/>
        <v>0</v>
      </c>
      <c r="BR73" s="7">
        <f t="shared" si="66"/>
        <v>0</v>
      </c>
      <c r="BS73" s="7">
        <f t="shared" si="67"/>
        <v>0</v>
      </c>
      <c r="BT73" s="7">
        <f t="shared" si="68"/>
        <v>0</v>
      </c>
      <c r="BU73" s="7">
        <f t="shared" si="69"/>
        <v>0</v>
      </c>
      <c r="BV73" s="7">
        <f t="shared" si="70"/>
        <v>0</v>
      </c>
      <c r="BW73" s="7">
        <f t="shared" si="71"/>
        <v>0</v>
      </c>
      <c r="BX73" s="7">
        <f t="shared" si="72"/>
        <v>0</v>
      </c>
      <c r="BY73" s="7">
        <f t="shared" si="73"/>
        <v>0</v>
      </c>
      <c r="BZ73" s="7">
        <f t="shared" si="74"/>
        <v>0</v>
      </c>
      <c r="CA73" s="7">
        <f t="shared" si="75"/>
        <v>0</v>
      </c>
      <c r="CB73" s="7">
        <f t="shared" si="76"/>
        <v>0</v>
      </c>
      <c r="CC73" s="7">
        <f t="shared" si="77"/>
        <v>0</v>
      </c>
      <c r="CD73" s="7">
        <f t="shared" si="78"/>
        <v>0</v>
      </c>
      <c r="CE73" s="7">
        <f t="shared" si="79"/>
        <v>0</v>
      </c>
      <c r="CF73" s="7">
        <f t="shared" si="80"/>
        <v>0</v>
      </c>
      <c r="CG73" s="7">
        <f t="shared" si="81"/>
        <v>0</v>
      </c>
      <c r="CH73" s="7">
        <f t="shared" si="82"/>
        <v>0</v>
      </c>
      <c r="CI73" s="7">
        <f t="shared" si="83"/>
        <v>0</v>
      </c>
      <c r="CJ73" s="7">
        <f t="shared" si="84"/>
        <v>0</v>
      </c>
      <c r="CK73" s="7">
        <f t="shared" si="85"/>
        <v>0</v>
      </c>
      <c r="CL73" s="7">
        <f t="shared" si="86"/>
        <v>0</v>
      </c>
      <c r="CM73" s="7">
        <f t="shared" si="87"/>
        <v>0</v>
      </c>
      <c r="CN73" s="7">
        <f t="shared" si="88"/>
        <v>0</v>
      </c>
      <c r="CO73" s="7">
        <f t="shared" si="89"/>
        <v>0</v>
      </c>
      <c r="CP73" s="7">
        <f t="shared" si="90"/>
        <v>0</v>
      </c>
      <c r="CQ73" s="7">
        <f t="shared" si="91"/>
        <v>0</v>
      </c>
      <c r="CR73" s="7">
        <f t="shared" si="92"/>
        <v>0</v>
      </c>
      <c r="CS73" s="7">
        <f t="shared" si="93"/>
        <v>0</v>
      </c>
      <c r="CT73" s="7">
        <f t="shared" si="94"/>
        <v>0</v>
      </c>
      <c r="CU73" s="7">
        <f t="shared" si="95"/>
        <v>0</v>
      </c>
      <c r="CV73" s="7">
        <f t="shared" si="96"/>
        <v>0</v>
      </c>
      <c r="CW73" s="7">
        <f t="shared" si="97"/>
        <v>0</v>
      </c>
      <c r="CX73" s="7">
        <f t="shared" si="98"/>
        <v>0</v>
      </c>
      <c r="CY73" s="7">
        <f t="shared" si="99"/>
        <v>0</v>
      </c>
      <c r="CZ73" s="7">
        <f t="shared" si="100"/>
        <v>0</v>
      </c>
      <c r="DA73" s="7">
        <f t="shared" si="101"/>
        <v>0</v>
      </c>
      <c r="DB73" s="7">
        <f t="shared" si="102"/>
        <v>0</v>
      </c>
      <c r="DC73" s="7">
        <f t="shared" si="103"/>
        <v>0</v>
      </c>
      <c r="DD73" s="7">
        <f t="shared" si="104"/>
        <v>0</v>
      </c>
      <c r="DE73" s="7">
        <f t="shared" si="105"/>
        <v>0</v>
      </c>
      <c r="DF73" s="7">
        <f t="shared" si="106"/>
        <v>0</v>
      </c>
      <c r="DG73" s="7">
        <f t="shared" si="107"/>
        <v>0</v>
      </c>
      <c r="DH73" s="7">
        <f t="shared" si="108"/>
        <v>0</v>
      </c>
      <c r="DI73" s="7">
        <f t="shared" si="109"/>
        <v>0</v>
      </c>
      <c r="DJ73" s="7">
        <f t="shared" si="110"/>
        <v>0</v>
      </c>
      <c r="DK73" s="7">
        <f t="shared" si="111"/>
        <v>0</v>
      </c>
      <c r="DL73" s="7">
        <f t="shared" si="112"/>
        <v>0</v>
      </c>
      <c r="DM73" s="7">
        <f t="shared" si="113"/>
        <v>0</v>
      </c>
      <c r="DN73" s="7">
        <f t="shared" si="114"/>
        <v>0</v>
      </c>
      <c r="DO73" s="7">
        <f t="shared" si="115"/>
        <v>0</v>
      </c>
      <c r="DP73" s="7">
        <f t="shared" si="116"/>
        <v>0</v>
      </c>
      <c r="DQ73" s="7">
        <f t="shared" si="117"/>
        <v>0</v>
      </c>
      <c r="DR73" s="7">
        <f t="shared" si="118"/>
        <v>0</v>
      </c>
      <c r="DS73" s="7">
        <f t="shared" si="119"/>
        <v>0</v>
      </c>
      <c r="DT73" s="7">
        <f t="shared" si="120"/>
        <v>0</v>
      </c>
      <c r="DU73" s="7">
        <f t="shared" si="121"/>
        <v>0</v>
      </c>
    </row>
    <row r="74" spans="1:125" x14ac:dyDescent="0.2">
      <c r="A74" s="3">
        <f>Bonds!A74</f>
        <v>46721</v>
      </c>
      <c r="B74" s="4">
        <f>Bonds!B74</f>
        <v>3.375</v>
      </c>
      <c r="C74">
        <f>Bonds!P74</f>
        <v>3</v>
      </c>
      <c r="D74">
        <f t="shared" si="61"/>
        <v>1</v>
      </c>
      <c r="E74" s="3">
        <f>IF(1&gt;$C74,"",IF($D74=1,EOMONTH(EDATE(Bonds!$H74,6*(1-1)),0),EDATE(Bonds!$H74,6*(1-1))))</f>
        <v>46356</v>
      </c>
      <c r="F74" s="3">
        <f>IF(2&gt;$C74,"",IF($D74=1,EOMONTH(EDATE(Bonds!$H74,6*(2-1)),0),EDATE(Bonds!$H74,6*(2-1))))</f>
        <v>46538</v>
      </c>
      <c r="G74" s="3">
        <f>IF(3&gt;$C74,"",IF($D74=1,EOMONTH(EDATE(Bonds!$H74,6*(3-1)),0),EDATE(Bonds!$H74,6*(3-1))))</f>
        <v>46721</v>
      </c>
      <c r="H74" s="3" t="str">
        <f>IF(4&gt;$C74,"",IF($D74=1,EOMONTH(EDATE(Bonds!$H74,6*(4-1)),0),EDATE(Bonds!$H74,6*(4-1))))</f>
        <v/>
      </c>
      <c r="I74" s="3" t="str">
        <f>IF(5&gt;$C74,"",IF($D74=1,EOMONTH(EDATE(Bonds!$H74,6*(5-1)),0),EDATE(Bonds!$H74,6*(5-1))))</f>
        <v/>
      </c>
      <c r="J74" s="3" t="str">
        <f>IF(6&gt;$C74,"",IF($D74=1,EOMONTH(EDATE(Bonds!$H74,6*(6-1)),0),EDATE(Bonds!$H74,6*(6-1))))</f>
        <v/>
      </c>
      <c r="K74" s="3" t="str">
        <f>IF(7&gt;$C74,"",IF($D74=1,EOMONTH(EDATE(Bonds!$H74,6*(7-1)),0),EDATE(Bonds!$H74,6*(7-1))))</f>
        <v/>
      </c>
      <c r="L74" s="3" t="str">
        <f>IF(8&gt;$C74,"",IF($D74=1,EOMONTH(EDATE(Bonds!$H74,6*(8-1)),0),EDATE(Bonds!$H74,6*(8-1))))</f>
        <v/>
      </c>
      <c r="M74" s="3" t="str">
        <f>IF(9&gt;$C74,"",IF($D74=1,EOMONTH(EDATE(Bonds!$H74,6*(9-1)),0),EDATE(Bonds!$H74,6*(9-1))))</f>
        <v/>
      </c>
      <c r="N74" s="3" t="str">
        <f>IF(10&gt;$C74,"",IF($D74=1,EOMONTH(EDATE(Bonds!$H74,6*(10-1)),0),EDATE(Bonds!$H74,6*(10-1))))</f>
        <v/>
      </c>
      <c r="O74" s="3" t="str">
        <f>IF(11&gt;$C74,"",IF($D74=1,EOMONTH(EDATE(Bonds!$H74,6*(11-1)),0),EDATE(Bonds!$H74,6*(11-1))))</f>
        <v/>
      </c>
      <c r="P74" s="3" t="str">
        <f>IF(12&gt;$C74,"",IF($D74=1,EOMONTH(EDATE(Bonds!$H74,6*(12-1)),0),EDATE(Bonds!$H74,6*(12-1))))</f>
        <v/>
      </c>
      <c r="Q74" s="3" t="str">
        <f>IF(13&gt;$C74,"",IF($D74=1,EOMONTH(EDATE(Bonds!$H74,6*(13-1)),0),EDATE(Bonds!$H74,6*(13-1))))</f>
        <v/>
      </c>
      <c r="R74" s="3" t="str">
        <f>IF(14&gt;$C74,"",IF($D74=1,EOMONTH(EDATE(Bonds!$H74,6*(14-1)),0),EDATE(Bonds!$H74,6*(14-1))))</f>
        <v/>
      </c>
      <c r="S74" s="3" t="str">
        <f>IF(15&gt;$C74,"",IF($D74=1,EOMONTH(EDATE(Bonds!$H74,6*(15-1)),0),EDATE(Bonds!$H74,6*(15-1))))</f>
        <v/>
      </c>
      <c r="T74" s="3" t="str">
        <f>IF(16&gt;$C74,"",IF($D74=1,EOMONTH(EDATE(Bonds!$H74,6*(16-1)),0),EDATE(Bonds!$H74,6*(16-1))))</f>
        <v/>
      </c>
      <c r="U74" s="3" t="str">
        <f>IF(17&gt;$C74,"",IF($D74=1,EOMONTH(EDATE(Bonds!$H74,6*(17-1)),0),EDATE(Bonds!$H74,6*(17-1))))</f>
        <v/>
      </c>
      <c r="V74" s="3" t="str">
        <f>IF(18&gt;$C74,"",IF($D74=1,EOMONTH(EDATE(Bonds!$H74,6*(18-1)),0),EDATE(Bonds!$H74,6*(18-1))))</f>
        <v/>
      </c>
      <c r="W74" s="3" t="str">
        <f>IF(19&gt;$C74,"",IF($D74=1,EOMONTH(EDATE(Bonds!$H74,6*(19-1)),0),EDATE(Bonds!$H74,6*(19-1))))</f>
        <v/>
      </c>
      <c r="X74" s="3" t="str">
        <f>IF(20&gt;$C74,"",IF($D74=1,EOMONTH(EDATE(Bonds!$H74,6*(20-1)),0),EDATE(Bonds!$H74,6*(20-1))))</f>
        <v/>
      </c>
      <c r="Y74" s="3" t="str">
        <f>IF(21&gt;$C74,"",IF($D74=1,EOMONTH(EDATE(Bonds!$H74,6*(21-1)),0),EDATE(Bonds!$H74,6*(21-1))))</f>
        <v/>
      </c>
      <c r="Z74" s="3" t="str">
        <f>IF(22&gt;$C74,"",IF($D74=1,EOMONTH(EDATE(Bonds!$H74,6*(22-1)),0),EDATE(Bonds!$H74,6*(22-1))))</f>
        <v/>
      </c>
      <c r="AA74" s="3" t="str">
        <f>IF(23&gt;$C74,"",IF($D74=1,EOMONTH(EDATE(Bonds!$H74,6*(23-1)),0),EDATE(Bonds!$H74,6*(23-1))))</f>
        <v/>
      </c>
      <c r="AB74" s="3" t="str">
        <f>IF(24&gt;$C74,"",IF($D74=1,EOMONTH(EDATE(Bonds!$H74,6*(24-1)),0),EDATE(Bonds!$H74,6*(24-1))))</f>
        <v/>
      </c>
      <c r="AC74" s="3" t="str">
        <f>IF(25&gt;$C74,"",IF($D74=1,EOMONTH(EDATE(Bonds!$H74,6*(25-1)),0),EDATE(Bonds!$H74,6*(25-1))))</f>
        <v/>
      </c>
      <c r="AD74" s="3" t="str">
        <f>IF(26&gt;$C74,"",IF($D74=1,EOMONTH(EDATE(Bonds!$H74,6*(26-1)),0),EDATE(Bonds!$H74,6*(26-1))))</f>
        <v/>
      </c>
      <c r="AE74" s="3" t="str">
        <f>IF(27&gt;$C74,"",IF($D74=1,EOMONTH(EDATE(Bonds!$H74,6*(27-1)),0),EDATE(Bonds!$H74,6*(27-1))))</f>
        <v/>
      </c>
      <c r="AF74" s="3" t="str">
        <f>IF(28&gt;$C74,"",IF($D74=1,EOMONTH(EDATE(Bonds!$H74,6*(28-1)),0),EDATE(Bonds!$H74,6*(28-1))))</f>
        <v/>
      </c>
      <c r="AG74" s="3" t="str">
        <f>IF(29&gt;$C74,"",IF($D74=1,EOMONTH(EDATE(Bonds!$H74,6*(29-1)),0),EDATE(Bonds!$H74,6*(29-1))))</f>
        <v/>
      </c>
      <c r="AH74" s="3" t="str">
        <f>IF(30&gt;$C74,"",IF($D74=1,EOMONTH(EDATE(Bonds!$H74,6*(30-1)),0),EDATE(Bonds!$H74,6*(30-1))))</f>
        <v/>
      </c>
      <c r="AI74" s="3" t="str">
        <f>IF(31&gt;$C74,"",IF($D74=1,EOMONTH(EDATE(Bonds!$H74,6*(31-1)),0),EDATE(Bonds!$H74,6*(31-1))))</f>
        <v/>
      </c>
      <c r="AJ74" s="3" t="str">
        <f>IF(32&gt;$C74,"",IF($D74=1,EOMONTH(EDATE(Bonds!$H74,6*(32-1)),0),EDATE(Bonds!$H74,6*(32-1))))</f>
        <v/>
      </c>
      <c r="AK74" s="3" t="str">
        <f>IF(33&gt;$C74,"",IF($D74=1,EOMONTH(EDATE(Bonds!$H74,6*(33-1)),0),EDATE(Bonds!$H74,6*(33-1))))</f>
        <v/>
      </c>
      <c r="AL74" s="3" t="str">
        <f>IF(34&gt;$C74,"",IF($D74=1,EOMONTH(EDATE(Bonds!$H74,6*(34-1)),0),EDATE(Bonds!$H74,6*(34-1))))</f>
        <v/>
      </c>
      <c r="AM74" s="3" t="str">
        <f>IF(35&gt;$C74,"",IF($D74=1,EOMONTH(EDATE(Bonds!$H74,6*(35-1)),0),EDATE(Bonds!$H74,6*(35-1))))</f>
        <v/>
      </c>
      <c r="AN74" s="3" t="str">
        <f>IF(36&gt;$C74,"",IF($D74=1,EOMONTH(EDATE(Bonds!$H74,6*(36-1)),0),EDATE(Bonds!$H74,6*(36-1))))</f>
        <v/>
      </c>
      <c r="AO74" s="3" t="str">
        <f>IF(37&gt;$C74,"",IF($D74=1,EOMONTH(EDATE(Bonds!$H74,6*(37-1)),0),EDATE(Bonds!$H74,6*(37-1))))</f>
        <v/>
      </c>
      <c r="AP74" s="3" t="str">
        <f>IF(38&gt;$C74,"",IF($D74=1,EOMONTH(EDATE(Bonds!$H74,6*(38-1)),0),EDATE(Bonds!$H74,6*(38-1))))</f>
        <v/>
      </c>
      <c r="AQ74" s="3" t="str">
        <f>IF(39&gt;$C74,"",IF($D74=1,EOMONTH(EDATE(Bonds!$H74,6*(39-1)),0),EDATE(Bonds!$H74,6*(39-1))))</f>
        <v/>
      </c>
      <c r="AR74" s="3" t="str">
        <f>IF(40&gt;$C74,"",IF($D74=1,EOMONTH(EDATE(Bonds!$H74,6*(40-1)),0),EDATE(Bonds!$H74,6*(40-1))))</f>
        <v/>
      </c>
      <c r="AS74" s="3" t="str">
        <f>IF(41&gt;$C74,"",IF($D74=1,EOMONTH(EDATE(Bonds!$H74,6*(41-1)),0),EDATE(Bonds!$H74,6*(41-1))))</f>
        <v/>
      </c>
      <c r="AT74" s="3" t="str">
        <f>IF(42&gt;$C74,"",IF($D74=1,EOMONTH(EDATE(Bonds!$H74,6*(42-1)),0),EDATE(Bonds!$H74,6*(42-1))))</f>
        <v/>
      </c>
      <c r="AU74" s="3" t="str">
        <f>IF(43&gt;$C74,"",IF($D74=1,EOMONTH(EDATE(Bonds!$H74,6*(43-1)),0),EDATE(Bonds!$H74,6*(43-1))))</f>
        <v/>
      </c>
      <c r="AV74" s="3" t="str">
        <f>IF(44&gt;$C74,"",IF($D74=1,EOMONTH(EDATE(Bonds!$H74,6*(44-1)),0),EDATE(Bonds!$H74,6*(44-1))))</f>
        <v/>
      </c>
      <c r="AW74" s="3" t="str">
        <f>IF(45&gt;$C74,"",IF($D74=1,EOMONTH(EDATE(Bonds!$H74,6*(45-1)),0),EDATE(Bonds!$H74,6*(45-1))))</f>
        <v/>
      </c>
      <c r="AX74" s="3" t="str">
        <f>IF(46&gt;$C74,"",IF($D74=1,EOMONTH(EDATE(Bonds!$H74,6*(46-1)),0),EDATE(Bonds!$H74,6*(46-1))))</f>
        <v/>
      </c>
      <c r="AY74" s="3" t="str">
        <f>IF(47&gt;$C74,"",IF($D74=1,EOMONTH(EDATE(Bonds!$H74,6*(47-1)),0),EDATE(Bonds!$H74,6*(47-1))))</f>
        <v/>
      </c>
      <c r="AZ74" s="3" t="str">
        <f>IF(48&gt;$C74,"",IF($D74=1,EOMONTH(EDATE(Bonds!$H74,6*(48-1)),0),EDATE(Bonds!$H74,6*(48-1))))</f>
        <v/>
      </c>
      <c r="BA74" s="3" t="str">
        <f>IF(49&gt;$C74,"",IF($D74=1,EOMONTH(EDATE(Bonds!$H74,6*(49-1)),0),EDATE(Bonds!$H74,6*(49-1))))</f>
        <v/>
      </c>
      <c r="BB74" s="3" t="str">
        <f>IF(50&gt;$C74,"",IF($D74=1,EOMONTH(EDATE(Bonds!$H74,6*(50-1)),0),EDATE(Bonds!$H74,6*(50-1))))</f>
        <v/>
      </c>
      <c r="BC74" s="3" t="str">
        <f>IF(51&gt;$C74,"",IF($D74=1,EOMONTH(EDATE(Bonds!$H74,6*(51-1)),0),EDATE(Bonds!$H74,6*(51-1))))</f>
        <v/>
      </c>
      <c r="BD74" s="3" t="str">
        <f>IF(52&gt;$C74,"",IF($D74=1,EOMONTH(EDATE(Bonds!$H74,6*(52-1)),0),EDATE(Bonds!$H74,6*(52-1))))</f>
        <v/>
      </c>
      <c r="BE74" s="3" t="str">
        <f>IF(53&gt;$C74,"",IF($D74=1,EOMONTH(EDATE(Bonds!$H74,6*(53-1)),0),EDATE(Bonds!$H74,6*(53-1))))</f>
        <v/>
      </c>
      <c r="BF74" s="3" t="str">
        <f>IF(54&gt;$C74,"",IF($D74=1,EOMONTH(EDATE(Bonds!$H74,6*(54-1)),0),EDATE(Bonds!$H74,6*(54-1))))</f>
        <v/>
      </c>
      <c r="BG74" s="3" t="str">
        <f>IF(55&gt;$C74,"",IF($D74=1,EOMONTH(EDATE(Bonds!$H74,6*(55-1)),0),EDATE(Bonds!$H74,6*(55-1))))</f>
        <v/>
      </c>
      <c r="BH74" s="3" t="str">
        <f>IF(56&gt;$C74,"",IF($D74=1,EOMONTH(EDATE(Bonds!$H74,6*(56-1)),0),EDATE(Bonds!$H74,6*(56-1))))</f>
        <v/>
      </c>
      <c r="BI74" s="3" t="str">
        <f>IF(57&gt;$C74,"",IF($D74=1,EOMONTH(EDATE(Bonds!$H74,6*(57-1)),0),EDATE(Bonds!$H74,6*(57-1))))</f>
        <v/>
      </c>
      <c r="BJ74" s="3" t="str">
        <f>IF(58&gt;$C74,"",IF($D74=1,EOMONTH(EDATE(Bonds!$H74,6*(58-1)),0),EDATE(Bonds!$H74,6*(58-1))))</f>
        <v/>
      </c>
      <c r="BK74" s="3" t="str">
        <f>IF(59&gt;$C74,"",IF($D74=1,EOMONTH(EDATE(Bonds!$H74,6*(59-1)),0),EDATE(Bonds!$H74,6*(59-1))))</f>
        <v/>
      </c>
      <c r="BL74" s="3" t="str">
        <f>IF(60&gt;$C74,"",IF($D74=1,EOMONTH(EDATE(Bonds!$H74,6*(60-1)),0),EDATE(Bonds!$H74,6*(60-1))))</f>
        <v/>
      </c>
      <c r="BN74" s="7">
        <f t="shared" si="62"/>
        <v>1.6730470799481094</v>
      </c>
      <c r="BO74" s="7">
        <f t="shared" si="63"/>
        <v>1.6387888328550346</v>
      </c>
      <c r="BP74" s="7">
        <f t="shared" si="64"/>
        <v>96.580629154816023</v>
      </c>
      <c r="BQ74" s="7">
        <f t="shared" si="65"/>
        <v>0</v>
      </c>
      <c r="BR74" s="7">
        <f t="shared" si="66"/>
        <v>0</v>
      </c>
      <c r="BS74" s="7">
        <f t="shared" si="67"/>
        <v>0</v>
      </c>
      <c r="BT74" s="7">
        <f t="shared" si="68"/>
        <v>0</v>
      </c>
      <c r="BU74" s="7">
        <f t="shared" si="69"/>
        <v>0</v>
      </c>
      <c r="BV74" s="7">
        <f t="shared" si="70"/>
        <v>0</v>
      </c>
      <c r="BW74" s="7">
        <f t="shared" si="71"/>
        <v>0</v>
      </c>
      <c r="BX74" s="7">
        <f t="shared" si="72"/>
        <v>0</v>
      </c>
      <c r="BY74" s="7">
        <f t="shared" si="73"/>
        <v>0</v>
      </c>
      <c r="BZ74" s="7">
        <f t="shared" si="74"/>
        <v>0</v>
      </c>
      <c r="CA74" s="7">
        <f t="shared" si="75"/>
        <v>0</v>
      </c>
      <c r="CB74" s="7">
        <f t="shared" si="76"/>
        <v>0</v>
      </c>
      <c r="CC74" s="7">
        <f t="shared" si="77"/>
        <v>0</v>
      </c>
      <c r="CD74" s="7">
        <f t="shared" si="78"/>
        <v>0</v>
      </c>
      <c r="CE74" s="7">
        <f t="shared" si="79"/>
        <v>0</v>
      </c>
      <c r="CF74" s="7">
        <f t="shared" si="80"/>
        <v>0</v>
      </c>
      <c r="CG74" s="7">
        <f t="shared" si="81"/>
        <v>0</v>
      </c>
      <c r="CH74" s="7">
        <f t="shared" si="82"/>
        <v>0</v>
      </c>
      <c r="CI74" s="7">
        <f t="shared" si="83"/>
        <v>0</v>
      </c>
      <c r="CJ74" s="7">
        <f t="shared" si="84"/>
        <v>0</v>
      </c>
      <c r="CK74" s="7">
        <f t="shared" si="85"/>
        <v>0</v>
      </c>
      <c r="CL74" s="7">
        <f t="shared" si="86"/>
        <v>0</v>
      </c>
      <c r="CM74" s="7">
        <f t="shared" si="87"/>
        <v>0</v>
      </c>
      <c r="CN74" s="7">
        <f t="shared" si="88"/>
        <v>0</v>
      </c>
      <c r="CO74" s="7">
        <f t="shared" si="89"/>
        <v>0</v>
      </c>
      <c r="CP74" s="7">
        <f t="shared" si="90"/>
        <v>0</v>
      </c>
      <c r="CQ74" s="7">
        <f t="shared" si="91"/>
        <v>0</v>
      </c>
      <c r="CR74" s="7">
        <f t="shared" si="92"/>
        <v>0</v>
      </c>
      <c r="CS74" s="7">
        <f t="shared" si="93"/>
        <v>0</v>
      </c>
      <c r="CT74" s="7">
        <f t="shared" si="94"/>
        <v>0</v>
      </c>
      <c r="CU74" s="7">
        <f t="shared" si="95"/>
        <v>0</v>
      </c>
      <c r="CV74" s="7">
        <f t="shared" si="96"/>
        <v>0</v>
      </c>
      <c r="CW74" s="7">
        <f t="shared" si="97"/>
        <v>0</v>
      </c>
      <c r="CX74" s="7">
        <f t="shared" si="98"/>
        <v>0</v>
      </c>
      <c r="CY74" s="7">
        <f t="shared" si="99"/>
        <v>0</v>
      </c>
      <c r="CZ74" s="7">
        <f t="shared" si="100"/>
        <v>0</v>
      </c>
      <c r="DA74" s="7">
        <f t="shared" si="101"/>
        <v>0</v>
      </c>
      <c r="DB74" s="7">
        <f t="shared" si="102"/>
        <v>0</v>
      </c>
      <c r="DC74" s="7">
        <f t="shared" si="103"/>
        <v>0</v>
      </c>
      <c r="DD74" s="7">
        <f t="shared" si="104"/>
        <v>0</v>
      </c>
      <c r="DE74" s="7">
        <f t="shared" si="105"/>
        <v>0</v>
      </c>
      <c r="DF74" s="7">
        <f t="shared" si="106"/>
        <v>0</v>
      </c>
      <c r="DG74" s="7">
        <f t="shared" si="107"/>
        <v>0</v>
      </c>
      <c r="DH74" s="7">
        <f t="shared" si="108"/>
        <v>0</v>
      </c>
      <c r="DI74" s="7">
        <f t="shared" si="109"/>
        <v>0</v>
      </c>
      <c r="DJ74" s="7">
        <f t="shared" si="110"/>
        <v>0</v>
      </c>
      <c r="DK74" s="7">
        <f t="shared" si="111"/>
        <v>0</v>
      </c>
      <c r="DL74" s="7">
        <f t="shared" si="112"/>
        <v>0</v>
      </c>
      <c r="DM74" s="7">
        <f t="shared" si="113"/>
        <v>0</v>
      </c>
      <c r="DN74" s="7">
        <f t="shared" si="114"/>
        <v>0</v>
      </c>
      <c r="DO74" s="7">
        <f t="shared" si="115"/>
        <v>0</v>
      </c>
      <c r="DP74" s="7">
        <f t="shared" si="116"/>
        <v>0</v>
      </c>
      <c r="DQ74" s="7">
        <f t="shared" si="117"/>
        <v>0</v>
      </c>
      <c r="DR74" s="7">
        <f t="shared" si="118"/>
        <v>0</v>
      </c>
      <c r="DS74" s="7">
        <f t="shared" si="119"/>
        <v>0</v>
      </c>
      <c r="DT74" s="7">
        <f t="shared" si="120"/>
        <v>0</v>
      </c>
      <c r="DU74" s="7">
        <f t="shared" si="121"/>
        <v>0</v>
      </c>
    </row>
    <row r="75" spans="1:125" x14ac:dyDescent="0.2">
      <c r="A75" s="3">
        <f>Bonds!A75</f>
        <v>46721</v>
      </c>
      <c r="B75" s="4">
        <f>Bonds!B75</f>
        <v>3.875</v>
      </c>
      <c r="C75">
        <f>Bonds!P75</f>
        <v>3</v>
      </c>
      <c r="D75">
        <f t="shared" si="61"/>
        <v>1</v>
      </c>
      <c r="E75" s="3">
        <f>IF(1&gt;$C75,"",IF($D75=1,EOMONTH(EDATE(Bonds!$H75,6*(1-1)),0),EDATE(Bonds!$H75,6*(1-1))))</f>
        <v>46356</v>
      </c>
      <c r="F75" s="3">
        <f>IF(2&gt;$C75,"",IF($D75=1,EOMONTH(EDATE(Bonds!$H75,6*(2-1)),0),EDATE(Bonds!$H75,6*(2-1))))</f>
        <v>46538</v>
      </c>
      <c r="G75" s="3">
        <f>IF(3&gt;$C75,"",IF($D75=1,EOMONTH(EDATE(Bonds!$H75,6*(3-1)),0),EDATE(Bonds!$H75,6*(3-1))))</f>
        <v>46721</v>
      </c>
      <c r="H75" s="3" t="str">
        <f>IF(4&gt;$C75,"",IF($D75=1,EOMONTH(EDATE(Bonds!$H75,6*(4-1)),0),EDATE(Bonds!$H75,6*(4-1))))</f>
        <v/>
      </c>
      <c r="I75" s="3" t="str">
        <f>IF(5&gt;$C75,"",IF($D75=1,EOMONTH(EDATE(Bonds!$H75,6*(5-1)),0),EDATE(Bonds!$H75,6*(5-1))))</f>
        <v/>
      </c>
      <c r="J75" s="3" t="str">
        <f>IF(6&gt;$C75,"",IF($D75=1,EOMONTH(EDATE(Bonds!$H75,6*(6-1)),0),EDATE(Bonds!$H75,6*(6-1))))</f>
        <v/>
      </c>
      <c r="K75" s="3" t="str">
        <f>IF(7&gt;$C75,"",IF($D75=1,EOMONTH(EDATE(Bonds!$H75,6*(7-1)),0),EDATE(Bonds!$H75,6*(7-1))))</f>
        <v/>
      </c>
      <c r="L75" s="3" t="str">
        <f>IF(8&gt;$C75,"",IF($D75=1,EOMONTH(EDATE(Bonds!$H75,6*(8-1)),0),EDATE(Bonds!$H75,6*(8-1))))</f>
        <v/>
      </c>
      <c r="M75" s="3" t="str">
        <f>IF(9&gt;$C75,"",IF($D75=1,EOMONTH(EDATE(Bonds!$H75,6*(9-1)),0),EDATE(Bonds!$H75,6*(9-1))))</f>
        <v/>
      </c>
      <c r="N75" s="3" t="str">
        <f>IF(10&gt;$C75,"",IF($D75=1,EOMONTH(EDATE(Bonds!$H75,6*(10-1)),0),EDATE(Bonds!$H75,6*(10-1))))</f>
        <v/>
      </c>
      <c r="O75" s="3" t="str">
        <f>IF(11&gt;$C75,"",IF($D75=1,EOMONTH(EDATE(Bonds!$H75,6*(11-1)),0),EDATE(Bonds!$H75,6*(11-1))))</f>
        <v/>
      </c>
      <c r="P75" s="3" t="str">
        <f>IF(12&gt;$C75,"",IF($D75=1,EOMONTH(EDATE(Bonds!$H75,6*(12-1)),0),EDATE(Bonds!$H75,6*(12-1))))</f>
        <v/>
      </c>
      <c r="Q75" s="3" t="str">
        <f>IF(13&gt;$C75,"",IF($D75=1,EOMONTH(EDATE(Bonds!$H75,6*(13-1)),0),EDATE(Bonds!$H75,6*(13-1))))</f>
        <v/>
      </c>
      <c r="R75" s="3" t="str">
        <f>IF(14&gt;$C75,"",IF($D75=1,EOMONTH(EDATE(Bonds!$H75,6*(14-1)),0),EDATE(Bonds!$H75,6*(14-1))))</f>
        <v/>
      </c>
      <c r="S75" s="3" t="str">
        <f>IF(15&gt;$C75,"",IF($D75=1,EOMONTH(EDATE(Bonds!$H75,6*(15-1)),0),EDATE(Bonds!$H75,6*(15-1))))</f>
        <v/>
      </c>
      <c r="T75" s="3" t="str">
        <f>IF(16&gt;$C75,"",IF($D75=1,EOMONTH(EDATE(Bonds!$H75,6*(16-1)),0),EDATE(Bonds!$H75,6*(16-1))))</f>
        <v/>
      </c>
      <c r="U75" s="3" t="str">
        <f>IF(17&gt;$C75,"",IF($D75=1,EOMONTH(EDATE(Bonds!$H75,6*(17-1)),0),EDATE(Bonds!$H75,6*(17-1))))</f>
        <v/>
      </c>
      <c r="V75" s="3" t="str">
        <f>IF(18&gt;$C75,"",IF($D75=1,EOMONTH(EDATE(Bonds!$H75,6*(18-1)),0),EDATE(Bonds!$H75,6*(18-1))))</f>
        <v/>
      </c>
      <c r="W75" s="3" t="str">
        <f>IF(19&gt;$C75,"",IF($D75=1,EOMONTH(EDATE(Bonds!$H75,6*(19-1)),0),EDATE(Bonds!$H75,6*(19-1))))</f>
        <v/>
      </c>
      <c r="X75" s="3" t="str">
        <f>IF(20&gt;$C75,"",IF($D75=1,EOMONTH(EDATE(Bonds!$H75,6*(20-1)),0),EDATE(Bonds!$H75,6*(20-1))))</f>
        <v/>
      </c>
      <c r="Y75" s="3" t="str">
        <f>IF(21&gt;$C75,"",IF($D75=1,EOMONTH(EDATE(Bonds!$H75,6*(21-1)),0),EDATE(Bonds!$H75,6*(21-1))))</f>
        <v/>
      </c>
      <c r="Z75" s="3" t="str">
        <f>IF(22&gt;$C75,"",IF($D75=1,EOMONTH(EDATE(Bonds!$H75,6*(22-1)),0),EDATE(Bonds!$H75,6*(22-1))))</f>
        <v/>
      </c>
      <c r="AA75" s="3" t="str">
        <f>IF(23&gt;$C75,"",IF($D75=1,EOMONTH(EDATE(Bonds!$H75,6*(23-1)),0),EDATE(Bonds!$H75,6*(23-1))))</f>
        <v/>
      </c>
      <c r="AB75" s="3" t="str">
        <f>IF(24&gt;$C75,"",IF($D75=1,EOMONTH(EDATE(Bonds!$H75,6*(24-1)),0),EDATE(Bonds!$H75,6*(24-1))))</f>
        <v/>
      </c>
      <c r="AC75" s="3" t="str">
        <f>IF(25&gt;$C75,"",IF($D75=1,EOMONTH(EDATE(Bonds!$H75,6*(25-1)),0),EDATE(Bonds!$H75,6*(25-1))))</f>
        <v/>
      </c>
      <c r="AD75" s="3" t="str">
        <f>IF(26&gt;$C75,"",IF($D75=1,EOMONTH(EDATE(Bonds!$H75,6*(26-1)),0),EDATE(Bonds!$H75,6*(26-1))))</f>
        <v/>
      </c>
      <c r="AE75" s="3" t="str">
        <f>IF(27&gt;$C75,"",IF($D75=1,EOMONTH(EDATE(Bonds!$H75,6*(27-1)),0),EDATE(Bonds!$H75,6*(27-1))))</f>
        <v/>
      </c>
      <c r="AF75" s="3" t="str">
        <f>IF(28&gt;$C75,"",IF($D75=1,EOMONTH(EDATE(Bonds!$H75,6*(28-1)),0),EDATE(Bonds!$H75,6*(28-1))))</f>
        <v/>
      </c>
      <c r="AG75" s="3" t="str">
        <f>IF(29&gt;$C75,"",IF($D75=1,EOMONTH(EDATE(Bonds!$H75,6*(29-1)),0),EDATE(Bonds!$H75,6*(29-1))))</f>
        <v/>
      </c>
      <c r="AH75" s="3" t="str">
        <f>IF(30&gt;$C75,"",IF($D75=1,EOMONTH(EDATE(Bonds!$H75,6*(30-1)),0),EDATE(Bonds!$H75,6*(30-1))))</f>
        <v/>
      </c>
      <c r="AI75" s="3" t="str">
        <f>IF(31&gt;$C75,"",IF($D75=1,EOMONTH(EDATE(Bonds!$H75,6*(31-1)),0),EDATE(Bonds!$H75,6*(31-1))))</f>
        <v/>
      </c>
      <c r="AJ75" s="3" t="str">
        <f>IF(32&gt;$C75,"",IF($D75=1,EOMONTH(EDATE(Bonds!$H75,6*(32-1)),0),EDATE(Bonds!$H75,6*(32-1))))</f>
        <v/>
      </c>
      <c r="AK75" s="3" t="str">
        <f>IF(33&gt;$C75,"",IF($D75=1,EOMONTH(EDATE(Bonds!$H75,6*(33-1)),0),EDATE(Bonds!$H75,6*(33-1))))</f>
        <v/>
      </c>
      <c r="AL75" s="3" t="str">
        <f>IF(34&gt;$C75,"",IF($D75=1,EOMONTH(EDATE(Bonds!$H75,6*(34-1)),0),EDATE(Bonds!$H75,6*(34-1))))</f>
        <v/>
      </c>
      <c r="AM75" s="3" t="str">
        <f>IF(35&gt;$C75,"",IF($D75=1,EOMONTH(EDATE(Bonds!$H75,6*(35-1)),0),EDATE(Bonds!$H75,6*(35-1))))</f>
        <v/>
      </c>
      <c r="AN75" s="3" t="str">
        <f>IF(36&gt;$C75,"",IF($D75=1,EOMONTH(EDATE(Bonds!$H75,6*(36-1)),0),EDATE(Bonds!$H75,6*(36-1))))</f>
        <v/>
      </c>
      <c r="AO75" s="3" t="str">
        <f>IF(37&gt;$C75,"",IF($D75=1,EOMONTH(EDATE(Bonds!$H75,6*(37-1)),0),EDATE(Bonds!$H75,6*(37-1))))</f>
        <v/>
      </c>
      <c r="AP75" s="3" t="str">
        <f>IF(38&gt;$C75,"",IF($D75=1,EOMONTH(EDATE(Bonds!$H75,6*(38-1)),0),EDATE(Bonds!$H75,6*(38-1))))</f>
        <v/>
      </c>
      <c r="AQ75" s="3" t="str">
        <f>IF(39&gt;$C75,"",IF($D75=1,EOMONTH(EDATE(Bonds!$H75,6*(39-1)),0),EDATE(Bonds!$H75,6*(39-1))))</f>
        <v/>
      </c>
      <c r="AR75" s="3" t="str">
        <f>IF(40&gt;$C75,"",IF($D75=1,EOMONTH(EDATE(Bonds!$H75,6*(40-1)),0),EDATE(Bonds!$H75,6*(40-1))))</f>
        <v/>
      </c>
      <c r="AS75" s="3" t="str">
        <f>IF(41&gt;$C75,"",IF($D75=1,EOMONTH(EDATE(Bonds!$H75,6*(41-1)),0),EDATE(Bonds!$H75,6*(41-1))))</f>
        <v/>
      </c>
      <c r="AT75" s="3" t="str">
        <f>IF(42&gt;$C75,"",IF($D75=1,EOMONTH(EDATE(Bonds!$H75,6*(42-1)),0),EDATE(Bonds!$H75,6*(42-1))))</f>
        <v/>
      </c>
      <c r="AU75" s="3" t="str">
        <f>IF(43&gt;$C75,"",IF($D75=1,EOMONTH(EDATE(Bonds!$H75,6*(43-1)),0),EDATE(Bonds!$H75,6*(43-1))))</f>
        <v/>
      </c>
      <c r="AV75" s="3" t="str">
        <f>IF(44&gt;$C75,"",IF($D75=1,EOMONTH(EDATE(Bonds!$H75,6*(44-1)),0),EDATE(Bonds!$H75,6*(44-1))))</f>
        <v/>
      </c>
      <c r="AW75" s="3" t="str">
        <f>IF(45&gt;$C75,"",IF($D75=1,EOMONTH(EDATE(Bonds!$H75,6*(45-1)),0),EDATE(Bonds!$H75,6*(45-1))))</f>
        <v/>
      </c>
      <c r="AX75" s="3" t="str">
        <f>IF(46&gt;$C75,"",IF($D75=1,EOMONTH(EDATE(Bonds!$H75,6*(46-1)),0),EDATE(Bonds!$H75,6*(46-1))))</f>
        <v/>
      </c>
      <c r="AY75" s="3" t="str">
        <f>IF(47&gt;$C75,"",IF($D75=1,EOMONTH(EDATE(Bonds!$H75,6*(47-1)),0),EDATE(Bonds!$H75,6*(47-1))))</f>
        <v/>
      </c>
      <c r="AZ75" s="3" t="str">
        <f>IF(48&gt;$C75,"",IF($D75=1,EOMONTH(EDATE(Bonds!$H75,6*(48-1)),0),EDATE(Bonds!$H75,6*(48-1))))</f>
        <v/>
      </c>
      <c r="BA75" s="3" t="str">
        <f>IF(49&gt;$C75,"",IF($D75=1,EOMONTH(EDATE(Bonds!$H75,6*(49-1)),0),EDATE(Bonds!$H75,6*(49-1))))</f>
        <v/>
      </c>
      <c r="BB75" s="3" t="str">
        <f>IF(50&gt;$C75,"",IF($D75=1,EOMONTH(EDATE(Bonds!$H75,6*(50-1)),0),EDATE(Bonds!$H75,6*(50-1))))</f>
        <v/>
      </c>
      <c r="BC75" s="3" t="str">
        <f>IF(51&gt;$C75,"",IF($D75=1,EOMONTH(EDATE(Bonds!$H75,6*(51-1)),0),EDATE(Bonds!$H75,6*(51-1))))</f>
        <v/>
      </c>
      <c r="BD75" s="3" t="str">
        <f>IF(52&gt;$C75,"",IF($D75=1,EOMONTH(EDATE(Bonds!$H75,6*(52-1)),0),EDATE(Bonds!$H75,6*(52-1))))</f>
        <v/>
      </c>
      <c r="BE75" s="3" t="str">
        <f>IF(53&gt;$C75,"",IF($D75=1,EOMONTH(EDATE(Bonds!$H75,6*(53-1)),0),EDATE(Bonds!$H75,6*(53-1))))</f>
        <v/>
      </c>
      <c r="BF75" s="3" t="str">
        <f>IF(54&gt;$C75,"",IF($D75=1,EOMONTH(EDATE(Bonds!$H75,6*(54-1)),0),EDATE(Bonds!$H75,6*(54-1))))</f>
        <v/>
      </c>
      <c r="BG75" s="3" t="str">
        <f>IF(55&gt;$C75,"",IF($D75=1,EOMONTH(EDATE(Bonds!$H75,6*(55-1)),0),EDATE(Bonds!$H75,6*(55-1))))</f>
        <v/>
      </c>
      <c r="BH75" s="3" t="str">
        <f>IF(56&gt;$C75,"",IF($D75=1,EOMONTH(EDATE(Bonds!$H75,6*(56-1)),0),EDATE(Bonds!$H75,6*(56-1))))</f>
        <v/>
      </c>
      <c r="BI75" s="3" t="str">
        <f>IF(57&gt;$C75,"",IF($D75=1,EOMONTH(EDATE(Bonds!$H75,6*(57-1)),0),EDATE(Bonds!$H75,6*(57-1))))</f>
        <v/>
      </c>
      <c r="BJ75" s="3" t="str">
        <f>IF(58&gt;$C75,"",IF($D75=1,EOMONTH(EDATE(Bonds!$H75,6*(58-1)),0),EDATE(Bonds!$H75,6*(58-1))))</f>
        <v/>
      </c>
      <c r="BK75" s="3" t="str">
        <f>IF(59&gt;$C75,"",IF($D75=1,EOMONTH(EDATE(Bonds!$H75,6*(59-1)),0),EDATE(Bonds!$H75,6*(59-1))))</f>
        <v/>
      </c>
      <c r="BL75" s="3" t="str">
        <f>IF(60&gt;$C75,"",IF($D75=1,EOMONTH(EDATE(Bonds!$H75,6*(60-1)),0),EDATE(Bonds!$H75,6*(60-1))))</f>
        <v/>
      </c>
      <c r="BN75" s="7">
        <f t="shared" si="62"/>
        <v>1.9209059066070886</v>
      </c>
      <c r="BO75" s="7">
        <f t="shared" si="63"/>
        <v>1.881572363648373</v>
      </c>
      <c r="BP75" s="7">
        <f t="shared" si="64"/>
        <v>96.818073848497193</v>
      </c>
      <c r="BQ75" s="7">
        <f t="shared" si="65"/>
        <v>0</v>
      </c>
      <c r="BR75" s="7">
        <f t="shared" si="66"/>
        <v>0</v>
      </c>
      <c r="BS75" s="7">
        <f t="shared" si="67"/>
        <v>0</v>
      </c>
      <c r="BT75" s="7">
        <f t="shared" si="68"/>
        <v>0</v>
      </c>
      <c r="BU75" s="7">
        <f t="shared" si="69"/>
        <v>0</v>
      </c>
      <c r="BV75" s="7">
        <f t="shared" si="70"/>
        <v>0</v>
      </c>
      <c r="BW75" s="7">
        <f t="shared" si="71"/>
        <v>0</v>
      </c>
      <c r="BX75" s="7">
        <f t="shared" si="72"/>
        <v>0</v>
      </c>
      <c r="BY75" s="7">
        <f t="shared" si="73"/>
        <v>0</v>
      </c>
      <c r="BZ75" s="7">
        <f t="shared" si="74"/>
        <v>0</v>
      </c>
      <c r="CA75" s="7">
        <f t="shared" si="75"/>
        <v>0</v>
      </c>
      <c r="CB75" s="7">
        <f t="shared" si="76"/>
        <v>0</v>
      </c>
      <c r="CC75" s="7">
        <f t="shared" si="77"/>
        <v>0</v>
      </c>
      <c r="CD75" s="7">
        <f t="shared" si="78"/>
        <v>0</v>
      </c>
      <c r="CE75" s="7">
        <f t="shared" si="79"/>
        <v>0</v>
      </c>
      <c r="CF75" s="7">
        <f t="shared" si="80"/>
        <v>0</v>
      </c>
      <c r="CG75" s="7">
        <f t="shared" si="81"/>
        <v>0</v>
      </c>
      <c r="CH75" s="7">
        <f t="shared" si="82"/>
        <v>0</v>
      </c>
      <c r="CI75" s="7">
        <f t="shared" si="83"/>
        <v>0</v>
      </c>
      <c r="CJ75" s="7">
        <f t="shared" si="84"/>
        <v>0</v>
      </c>
      <c r="CK75" s="7">
        <f t="shared" si="85"/>
        <v>0</v>
      </c>
      <c r="CL75" s="7">
        <f t="shared" si="86"/>
        <v>0</v>
      </c>
      <c r="CM75" s="7">
        <f t="shared" si="87"/>
        <v>0</v>
      </c>
      <c r="CN75" s="7">
        <f t="shared" si="88"/>
        <v>0</v>
      </c>
      <c r="CO75" s="7">
        <f t="shared" si="89"/>
        <v>0</v>
      </c>
      <c r="CP75" s="7">
        <f t="shared" si="90"/>
        <v>0</v>
      </c>
      <c r="CQ75" s="7">
        <f t="shared" si="91"/>
        <v>0</v>
      </c>
      <c r="CR75" s="7">
        <f t="shared" si="92"/>
        <v>0</v>
      </c>
      <c r="CS75" s="7">
        <f t="shared" si="93"/>
        <v>0</v>
      </c>
      <c r="CT75" s="7">
        <f t="shared" si="94"/>
        <v>0</v>
      </c>
      <c r="CU75" s="7">
        <f t="shared" si="95"/>
        <v>0</v>
      </c>
      <c r="CV75" s="7">
        <f t="shared" si="96"/>
        <v>0</v>
      </c>
      <c r="CW75" s="7">
        <f t="shared" si="97"/>
        <v>0</v>
      </c>
      <c r="CX75" s="7">
        <f t="shared" si="98"/>
        <v>0</v>
      </c>
      <c r="CY75" s="7">
        <f t="shared" si="99"/>
        <v>0</v>
      </c>
      <c r="CZ75" s="7">
        <f t="shared" si="100"/>
        <v>0</v>
      </c>
      <c r="DA75" s="7">
        <f t="shared" si="101"/>
        <v>0</v>
      </c>
      <c r="DB75" s="7">
        <f t="shared" si="102"/>
        <v>0</v>
      </c>
      <c r="DC75" s="7">
        <f t="shared" si="103"/>
        <v>0</v>
      </c>
      <c r="DD75" s="7">
        <f t="shared" si="104"/>
        <v>0</v>
      </c>
      <c r="DE75" s="7">
        <f t="shared" si="105"/>
        <v>0</v>
      </c>
      <c r="DF75" s="7">
        <f t="shared" si="106"/>
        <v>0</v>
      </c>
      <c r="DG75" s="7">
        <f t="shared" si="107"/>
        <v>0</v>
      </c>
      <c r="DH75" s="7">
        <f t="shared" si="108"/>
        <v>0</v>
      </c>
      <c r="DI75" s="7">
        <f t="shared" si="109"/>
        <v>0</v>
      </c>
      <c r="DJ75" s="7">
        <f t="shared" si="110"/>
        <v>0</v>
      </c>
      <c r="DK75" s="7">
        <f t="shared" si="111"/>
        <v>0</v>
      </c>
      <c r="DL75" s="7">
        <f t="shared" si="112"/>
        <v>0</v>
      </c>
      <c r="DM75" s="7">
        <f t="shared" si="113"/>
        <v>0</v>
      </c>
      <c r="DN75" s="7">
        <f t="shared" si="114"/>
        <v>0</v>
      </c>
      <c r="DO75" s="7">
        <f t="shared" si="115"/>
        <v>0</v>
      </c>
      <c r="DP75" s="7">
        <f t="shared" si="116"/>
        <v>0</v>
      </c>
      <c r="DQ75" s="7">
        <f t="shared" si="117"/>
        <v>0</v>
      </c>
      <c r="DR75" s="7">
        <f t="shared" si="118"/>
        <v>0</v>
      </c>
      <c r="DS75" s="7">
        <f t="shared" si="119"/>
        <v>0</v>
      </c>
      <c r="DT75" s="7">
        <f t="shared" si="120"/>
        <v>0</v>
      </c>
      <c r="DU75" s="7">
        <f t="shared" si="121"/>
        <v>0</v>
      </c>
    </row>
    <row r="76" spans="1:125" x14ac:dyDescent="0.2">
      <c r="A76" s="3">
        <f>Bonds!A76</f>
        <v>46736</v>
      </c>
      <c r="B76" s="4">
        <f>Bonds!B76</f>
        <v>4</v>
      </c>
      <c r="C76">
        <f>Bonds!P76</f>
        <v>3</v>
      </c>
      <c r="D76">
        <f t="shared" si="61"/>
        <v>0</v>
      </c>
      <c r="E76" s="3">
        <f>IF(1&gt;$C76,"",IF($D76=1,EOMONTH(EDATE(Bonds!$H76,6*(1-1)),0),EDATE(Bonds!$H76,6*(1-1))))</f>
        <v>46371</v>
      </c>
      <c r="F76" s="3">
        <f>IF(2&gt;$C76,"",IF($D76=1,EOMONTH(EDATE(Bonds!$H76,6*(2-1)),0),EDATE(Bonds!$H76,6*(2-1))))</f>
        <v>46553</v>
      </c>
      <c r="G76" s="3">
        <f>IF(3&gt;$C76,"",IF($D76=1,EOMONTH(EDATE(Bonds!$H76,6*(3-1)),0),EDATE(Bonds!$H76,6*(3-1))))</f>
        <v>46736</v>
      </c>
      <c r="H76" s="3" t="str">
        <f>IF(4&gt;$C76,"",IF($D76=1,EOMONTH(EDATE(Bonds!$H76,6*(4-1)),0),EDATE(Bonds!$H76,6*(4-1))))</f>
        <v/>
      </c>
      <c r="I76" s="3" t="str">
        <f>IF(5&gt;$C76,"",IF($D76=1,EOMONTH(EDATE(Bonds!$H76,6*(5-1)),0),EDATE(Bonds!$H76,6*(5-1))))</f>
        <v/>
      </c>
      <c r="J76" s="3" t="str">
        <f>IF(6&gt;$C76,"",IF($D76=1,EOMONTH(EDATE(Bonds!$H76,6*(6-1)),0),EDATE(Bonds!$H76,6*(6-1))))</f>
        <v/>
      </c>
      <c r="K76" s="3" t="str">
        <f>IF(7&gt;$C76,"",IF($D76=1,EOMONTH(EDATE(Bonds!$H76,6*(7-1)),0),EDATE(Bonds!$H76,6*(7-1))))</f>
        <v/>
      </c>
      <c r="L76" s="3" t="str">
        <f>IF(8&gt;$C76,"",IF($D76=1,EOMONTH(EDATE(Bonds!$H76,6*(8-1)),0),EDATE(Bonds!$H76,6*(8-1))))</f>
        <v/>
      </c>
      <c r="M76" s="3" t="str">
        <f>IF(9&gt;$C76,"",IF($D76=1,EOMONTH(EDATE(Bonds!$H76,6*(9-1)),0),EDATE(Bonds!$H76,6*(9-1))))</f>
        <v/>
      </c>
      <c r="N76" s="3" t="str">
        <f>IF(10&gt;$C76,"",IF($D76=1,EOMONTH(EDATE(Bonds!$H76,6*(10-1)),0),EDATE(Bonds!$H76,6*(10-1))))</f>
        <v/>
      </c>
      <c r="O76" s="3" t="str">
        <f>IF(11&gt;$C76,"",IF($D76=1,EOMONTH(EDATE(Bonds!$H76,6*(11-1)),0),EDATE(Bonds!$H76,6*(11-1))))</f>
        <v/>
      </c>
      <c r="P76" s="3" t="str">
        <f>IF(12&gt;$C76,"",IF($D76=1,EOMONTH(EDATE(Bonds!$H76,6*(12-1)),0),EDATE(Bonds!$H76,6*(12-1))))</f>
        <v/>
      </c>
      <c r="Q76" s="3" t="str">
        <f>IF(13&gt;$C76,"",IF($D76=1,EOMONTH(EDATE(Bonds!$H76,6*(13-1)),0),EDATE(Bonds!$H76,6*(13-1))))</f>
        <v/>
      </c>
      <c r="R76" s="3" t="str">
        <f>IF(14&gt;$C76,"",IF($D76=1,EOMONTH(EDATE(Bonds!$H76,6*(14-1)),0),EDATE(Bonds!$H76,6*(14-1))))</f>
        <v/>
      </c>
      <c r="S76" s="3" t="str">
        <f>IF(15&gt;$C76,"",IF($D76=1,EOMONTH(EDATE(Bonds!$H76,6*(15-1)),0),EDATE(Bonds!$H76,6*(15-1))))</f>
        <v/>
      </c>
      <c r="T76" s="3" t="str">
        <f>IF(16&gt;$C76,"",IF($D76=1,EOMONTH(EDATE(Bonds!$H76,6*(16-1)),0),EDATE(Bonds!$H76,6*(16-1))))</f>
        <v/>
      </c>
      <c r="U76" s="3" t="str">
        <f>IF(17&gt;$C76,"",IF($D76=1,EOMONTH(EDATE(Bonds!$H76,6*(17-1)),0),EDATE(Bonds!$H76,6*(17-1))))</f>
        <v/>
      </c>
      <c r="V76" s="3" t="str">
        <f>IF(18&gt;$C76,"",IF($D76=1,EOMONTH(EDATE(Bonds!$H76,6*(18-1)),0),EDATE(Bonds!$H76,6*(18-1))))</f>
        <v/>
      </c>
      <c r="W76" s="3" t="str">
        <f>IF(19&gt;$C76,"",IF($D76=1,EOMONTH(EDATE(Bonds!$H76,6*(19-1)),0),EDATE(Bonds!$H76,6*(19-1))))</f>
        <v/>
      </c>
      <c r="X76" s="3" t="str">
        <f>IF(20&gt;$C76,"",IF($D76=1,EOMONTH(EDATE(Bonds!$H76,6*(20-1)),0),EDATE(Bonds!$H76,6*(20-1))))</f>
        <v/>
      </c>
      <c r="Y76" s="3" t="str">
        <f>IF(21&gt;$C76,"",IF($D76=1,EOMONTH(EDATE(Bonds!$H76,6*(21-1)),0),EDATE(Bonds!$H76,6*(21-1))))</f>
        <v/>
      </c>
      <c r="Z76" s="3" t="str">
        <f>IF(22&gt;$C76,"",IF($D76=1,EOMONTH(EDATE(Bonds!$H76,6*(22-1)),0),EDATE(Bonds!$H76,6*(22-1))))</f>
        <v/>
      </c>
      <c r="AA76" s="3" t="str">
        <f>IF(23&gt;$C76,"",IF($D76=1,EOMONTH(EDATE(Bonds!$H76,6*(23-1)),0),EDATE(Bonds!$H76,6*(23-1))))</f>
        <v/>
      </c>
      <c r="AB76" s="3" t="str">
        <f>IF(24&gt;$C76,"",IF($D76=1,EOMONTH(EDATE(Bonds!$H76,6*(24-1)),0),EDATE(Bonds!$H76,6*(24-1))))</f>
        <v/>
      </c>
      <c r="AC76" s="3" t="str">
        <f>IF(25&gt;$C76,"",IF($D76=1,EOMONTH(EDATE(Bonds!$H76,6*(25-1)),0),EDATE(Bonds!$H76,6*(25-1))))</f>
        <v/>
      </c>
      <c r="AD76" s="3" t="str">
        <f>IF(26&gt;$C76,"",IF($D76=1,EOMONTH(EDATE(Bonds!$H76,6*(26-1)),0),EDATE(Bonds!$H76,6*(26-1))))</f>
        <v/>
      </c>
      <c r="AE76" s="3" t="str">
        <f>IF(27&gt;$C76,"",IF($D76=1,EOMONTH(EDATE(Bonds!$H76,6*(27-1)),0),EDATE(Bonds!$H76,6*(27-1))))</f>
        <v/>
      </c>
      <c r="AF76" s="3" t="str">
        <f>IF(28&gt;$C76,"",IF($D76=1,EOMONTH(EDATE(Bonds!$H76,6*(28-1)),0),EDATE(Bonds!$H76,6*(28-1))))</f>
        <v/>
      </c>
      <c r="AG76" s="3" t="str">
        <f>IF(29&gt;$C76,"",IF($D76=1,EOMONTH(EDATE(Bonds!$H76,6*(29-1)),0),EDATE(Bonds!$H76,6*(29-1))))</f>
        <v/>
      </c>
      <c r="AH76" s="3" t="str">
        <f>IF(30&gt;$C76,"",IF($D76=1,EOMONTH(EDATE(Bonds!$H76,6*(30-1)),0),EDATE(Bonds!$H76,6*(30-1))))</f>
        <v/>
      </c>
      <c r="AI76" s="3" t="str">
        <f>IF(31&gt;$C76,"",IF($D76=1,EOMONTH(EDATE(Bonds!$H76,6*(31-1)),0),EDATE(Bonds!$H76,6*(31-1))))</f>
        <v/>
      </c>
      <c r="AJ76" s="3" t="str">
        <f>IF(32&gt;$C76,"",IF($D76=1,EOMONTH(EDATE(Bonds!$H76,6*(32-1)),0),EDATE(Bonds!$H76,6*(32-1))))</f>
        <v/>
      </c>
      <c r="AK76" s="3" t="str">
        <f>IF(33&gt;$C76,"",IF($D76=1,EOMONTH(EDATE(Bonds!$H76,6*(33-1)),0),EDATE(Bonds!$H76,6*(33-1))))</f>
        <v/>
      </c>
      <c r="AL76" s="3" t="str">
        <f>IF(34&gt;$C76,"",IF($D76=1,EOMONTH(EDATE(Bonds!$H76,6*(34-1)),0),EDATE(Bonds!$H76,6*(34-1))))</f>
        <v/>
      </c>
      <c r="AM76" s="3" t="str">
        <f>IF(35&gt;$C76,"",IF($D76=1,EOMONTH(EDATE(Bonds!$H76,6*(35-1)),0),EDATE(Bonds!$H76,6*(35-1))))</f>
        <v/>
      </c>
      <c r="AN76" s="3" t="str">
        <f>IF(36&gt;$C76,"",IF($D76=1,EOMONTH(EDATE(Bonds!$H76,6*(36-1)),0),EDATE(Bonds!$H76,6*(36-1))))</f>
        <v/>
      </c>
      <c r="AO76" s="3" t="str">
        <f>IF(37&gt;$C76,"",IF($D76=1,EOMONTH(EDATE(Bonds!$H76,6*(37-1)),0),EDATE(Bonds!$H76,6*(37-1))))</f>
        <v/>
      </c>
      <c r="AP76" s="3" t="str">
        <f>IF(38&gt;$C76,"",IF($D76=1,EOMONTH(EDATE(Bonds!$H76,6*(38-1)),0),EDATE(Bonds!$H76,6*(38-1))))</f>
        <v/>
      </c>
      <c r="AQ76" s="3" t="str">
        <f>IF(39&gt;$C76,"",IF($D76=1,EOMONTH(EDATE(Bonds!$H76,6*(39-1)),0),EDATE(Bonds!$H76,6*(39-1))))</f>
        <v/>
      </c>
      <c r="AR76" s="3" t="str">
        <f>IF(40&gt;$C76,"",IF($D76=1,EOMONTH(EDATE(Bonds!$H76,6*(40-1)),0),EDATE(Bonds!$H76,6*(40-1))))</f>
        <v/>
      </c>
      <c r="AS76" s="3" t="str">
        <f>IF(41&gt;$C76,"",IF($D76=1,EOMONTH(EDATE(Bonds!$H76,6*(41-1)),0),EDATE(Bonds!$H76,6*(41-1))))</f>
        <v/>
      </c>
      <c r="AT76" s="3" t="str">
        <f>IF(42&gt;$C76,"",IF($D76=1,EOMONTH(EDATE(Bonds!$H76,6*(42-1)),0),EDATE(Bonds!$H76,6*(42-1))))</f>
        <v/>
      </c>
      <c r="AU76" s="3" t="str">
        <f>IF(43&gt;$C76,"",IF($D76=1,EOMONTH(EDATE(Bonds!$H76,6*(43-1)),0),EDATE(Bonds!$H76,6*(43-1))))</f>
        <v/>
      </c>
      <c r="AV76" s="3" t="str">
        <f>IF(44&gt;$C76,"",IF($D76=1,EOMONTH(EDATE(Bonds!$H76,6*(44-1)),0),EDATE(Bonds!$H76,6*(44-1))))</f>
        <v/>
      </c>
      <c r="AW76" s="3" t="str">
        <f>IF(45&gt;$C76,"",IF($D76=1,EOMONTH(EDATE(Bonds!$H76,6*(45-1)),0),EDATE(Bonds!$H76,6*(45-1))))</f>
        <v/>
      </c>
      <c r="AX76" s="3" t="str">
        <f>IF(46&gt;$C76,"",IF($D76=1,EOMONTH(EDATE(Bonds!$H76,6*(46-1)),0),EDATE(Bonds!$H76,6*(46-1))))</f>
        <v/>
      </c>
      <c r="AY76" s="3" t="str">
        <f>IF(47&gt;$C76,"",IF($D76=1,EOMONTH(EDATE(Bonds!$H76,6*(47-1)),0),EDATE(Bonds!$H76,6*(47-1))))</f>
        <v/>
      </c>
      <c r="AZ76" s="3" t="str">
        <f>IF(48&gt;$C76,"",IF($D76=1,EOMONTH(EDATE(Bonds!$H76,6*(48-1)),0),EDATE(Bonds!$H76,6*(48-1))))</f>
        <v/>
      </c>
      <c r="BA76" s="3" t="str">
        <f>IF(49&gt;$C76,"",IF($D76=1,EOMONTH(EDATE(Bonds!$H76,6*(49-1)),0),EDATE(Bonds!$H76,6*(49-1))))</f>
        <v/>
      </c>
      <c r="BB76" s="3" t="str">
        <f>IF(50&gt;$C76,"",IF($D76=1,EOMONTH(EDATE(Bonds!$H76,6*(50-1)),0),EDATE(Bonds!$H76,6*(50-1))))</f>
        <v/>
      </c>
      <c r="BC76" s="3" t="str">
        <f>IF(51&gt;$C76,"",IF($D76=1,EOMONTH(EDATE(Bonds!$H76,6*(51-1)),0),EDATE(Bonds!$H76,6*(51-1))))</f>
        <v/>
      </c>
      <c r="BD76" s="3" t="str">
        <f>IF(52&gt;$C76,"",IF($D76=1,EOMONTH(EDATE(Bonds!$H76,6*(52-1)),0),EDATE(Bonds!$H76,6*(52-1))))</f>
        <v/>
      </c>
      <c r="BE76" s="3" t="str">
        <f>IF(53&gt;$C76,"",IF($D76=1,EOMONTH(EDATE(Bonds!$H76,6*(53-1)),0),EDATE(Bonds!$H76,6*(53-1))))</f>
        <v/>
      </c>
      <c r="BF76" s="3" t="str">
        <f>IF(54&gt;$C76,"",IF($D76=1,EOMONTH(EDATE(Bonds!$H76,6*(54-1)),0),EDATE(Bonds!$H76,6*(54-1))))</f>
        <v/>
      </c>
      <c r="BG76" s="3" t="str">
        <f>IF(55&gt;$C76,"",IF($D76=1,EOMONTH(EDATE(Bonds!$H76,6*(55-1)),0),EDATE(Bonds!$H76,6*(55-1))))</f>
        <v/>
      </c>
      <c r="BH76" s="3" t="str">
        <f>IF(56&gt;$C76,"",IF($D76=1,EOMONTH(EDATE(Bonds!$H76,6*(56-1)),0),EDATE(Bonds!$H76,6*(56-1))))</f>
        <v/>
      </c>
      <c r="BI76" s="3" t="str">
        <f>IF(57&gt;$C76,"",IF($D76=1,EOMONTH(EDATE(Bonds!$H76,6*(57-1)),0),EDATE(Bonds!$H76,6*(57-1))))</f>
        <v/>
      </c>
      <c r="BJ76" s="3" t="str">
        <f>IF(58&gt;$C76,"",IF($D76=1,EOMONTH(EDATE(Bonds!$H76,6*(58-1)),0),EDATE(Bonds!$H76,6*(58-1))))</f>
        <v/>
      </c>
      <c r="BK76" s="3" t="str">
        <f>IF(59&gt;$C76,"",IF($D76=1,EOMONTH(EDATE(Bonds!$H76,6*(59-1)),0),EDATE(Bonds!$H76,6*(59-1))))</f>
        <v/>
      </c>
      <c r="BL76" s="3" t="str">
        <f>IF(60&gt;$C76,"",IF($D76=1,EOMONTH(EDATE(Bonds!$H76,6*(60-1)),0),EDATE(Bonds!$H76,6*(60-1))))</f>
        <v/>
      </c>
      <c r="BN76" s="7">
        <f t="shared" si="62"/>
        <v>1.97965768180306</v>
      </c>
      <c r="BO76" s="7">
        <f t="shared" si="63"/>
        <v>1.9388079856804292</v>
      </c>
      <c r="BP76" s="7">
        <f t="shared" si="64"/>
        <v>96.697667161738792</v>
      </c>
      <c r="BQ76" s="7">
        <f t="shared" si="65"/>
        <v>0</v>
      </c>
      <c r="BR76" s="7">
        <f t="shared" si="66"/>
        <v>0</v>
      </c>
      <c r="BS76" s="7">
        <f t="shared" si="67"/>
        <v>0</v>
      </c>
      <c r="BT76" s="7">
        <f t="shared" si="68"/>
        <v>0</v>
      </c>
      <c r="BU76" s="7">
        <f t="shared" si="69"/>
        <v>0</v>
      </c>
      <c r="BV76" s="7">
        <f t="shared" si="70"/>
        <v>0</v>
      </c>
      <c r="BW76" s="7">
        <f t="shared" si="71"/>
        <v>0</v>
      </c>
      <c r="BX76" s="7">
        <f t="shared" si="72"/>
        <v>0</v>
      </c>
      <c r="BY76" s="7">
        <f t="shared" si="73"/>
        <v>0</v>
      </c>
      <c r="BZ76" s="7">
        <f t="shared" si="74"/>
        <v>0</v>
      </c>
      <c r="CA76" s="7">
        <f t="shared" si="75"/>
        <v>0</v>
      </c>
      <c r="CB76" s="7">
        <f t="shared" si="76"/>
        <v>0</v>
      </c>
      <c r="CC76" s="7">
        <f t="shared" si="77"/>
        <v>0</v>
      </c>
      <c r="CD76" s="7">
        <f t="shared" si="78"/>
        <v>0</v>
      </c>
      <c r="CE76" s="7">
        <f t="shared" si="79"/>
        <v>0</v>
      </c>
      <c r="CF76" s="7">
        <f t="shared" si="80"/>
        <v>0</v>
      </c>
      <c r="CG76" s="7">
        <f t="shared" si="81"/>
        <v>0</v>
      </c>
      <c r="CH76" s="7">
        <f t="shared" si="82"/>
        <v>0</v>
      </c>
      <c r="CI76" s="7">
        <f t="shared" si="83"/>
        <v>0</v>
      </c>
      <c r="CJ76" s="7">
        <f t="shared" si="84"/>
        <v>0</v>
      </c>
      <c r="CK76" s="7">
        <f t="shared" si="85"/>
        <v>0</v>
      </c>
      <c r="CL76" s="7">
        <f t="shared" si="86"/>
        <v>0</v>
      </c>
      <c r="CM76" s="7">
        <f t="shared" si="87"/>
        <v>0</v>
      </c>
      <c r="CN76" s="7">
        <f t="shared" si="88"/>
        <v>0</v>
      </c>
      <c r="CO76" s="7">
        <f t="shared" si="89"/>
        <v>0</v>
      </c>
      <c r="CP76" s="7">
        <f t="shared" si="90"/>
        <v>0</v>
      </c>
      <c r="CQ76" s="7">
        <f t="shared" si="91"/>
        <v>0</v>
      </c>
      <c r="CR76" s="7">
        <f t="shared" si="92"/>
        <v>0</v>
      </c>
      <c r="CS76" s="7">
        <f t="shared" si="93"/>
        <v>0</v>
      </c>
      <c r="CT76" s="7">
        <f t="shared" si="94"/>
        <v>0</v>
      </c>
      <c r="CU76" s="7">
        <f t="shared" si="95"/>
        <v>0</v>
      </c>
      <c r="CV76" s="7">
        <f t="shared" si="96"/>
        <v>0</v>
      </c>
      <c r="CW76" s="7">
        <f t="shared" si="97"/>
        <v>0</v>
      </c>
      <c r="CX76" s="7">
        <f t="shared" si="98"/>
        <v>0</v>
      </c>
      <c r="CY76" s="7">
        <f t="shared" si="99"/>
        <v>0</v>
      </c>
      <c r="CZ76" s="7">
        <f t="shared" si="100"/>
        <v>0</v>
      </c>
      <c r="DA76" s="7">
        <f t="shared" si="101"/>
        <v>0</v>
      </c>
      <c r="DB76" s="7">
        <f t="shared" si="102"/>
        <v>0</v>
      </c>
      <c r="DC76" s="7">
        <f t="shared" si="103"/>
        <v>0</v>
      </c>
      <c r="DD76" s="7">
        <f t="shared" si="104"/>
        <v>0</v>
      </c>
      <c r="DE76" s="7">
        <f t="shared" si="105"/>
        <v>0</v>
      </c>
      <c r="DF76" s="7">
        <f t="shared" si="106"/>
        <v>0</v>
      </c>
      <c r="DG76" s="7">
        <f t="shared" si="107"/>
        <v>0</v>
      </c>
      <c r="DH76" s="7">
        <f t="shared" si="108"/>
        <v>0</v>
      </c>
      <c r="DI76" s="7">
        <f t="shared" si="109"/>
        <v>0</v>
      </c>
      <c r="DJ76" s="7">
        <f t="shared" si="110"/>
        <v>0</v>
      </c>
      <c r="DK76" s="7">
        <f t="shared" si="111"/>
        <v>0</v>
      </c>
      <c r="DL76" s="7">
        <f t="shared" si="112"/>
        <v>0</v>
      </c>
      <c r="DM76" s="7">
        <f t="shared" si="113"/>
        <v>0</v>
      </c>
      <c r="DN76" s="7">
        <f t="shared" si="114"/>
        <v>0</v>
      </c>
      <c r="DO76" s="7">
        <f t="shared" si="115"/>
        <v>0</v>
      </c>
      <c r="DP76" s="7">
        <f t="shared" si="116"/>
        <v>0</v>
      </c>
      <c r="DQ76" s="7">
        <f t="shared" si="117"/>
        <v>0</v>
      </c>
      <c r="DR76" s="7">
        <f t="shared" si="118"/>
        <v>0</v>
      </c>
      <c r="DS76" s="7">
        <f t="shared" si="119"/>
        <v>0</v>
      </c>
      <c r="DT76" s="7">
        <f t="shared" si="120"/>
        <v>0</v>
      </c>
      <c r="DU76" s="7">
        <f t="shared" si="121"/>
        <v>0</v>
      </c>
    </row>
    <row r="77" spans="1:125" x14ac:dyDescent="0.2">
      <c r="A77" s="3">
        <f>Bonds!A77</f>
        <v>46752</v>
      </c>
      <c r="B77" s="4">
        <f>Bonds!B77</f>
        <v>0.625</v>
      </c>
      <c r="C77">
        <f>Bonds!P77</f>
        <v>3</v>
      </c>
      <c r="D77">
        <f t="shared" si="61"/>
        <v>1</v>
      </c>
      <c r="E77" s="3">
        <f>IF(1&gt;$C77,"",IF($D77=1,EOMONTH(EDATE(Bonds!$H77,6*(1-1)),0),EDATE(Bonds!$H77,6*(1-1))))</f>
        <v>46387</v>
      </c>
      <c r="F77" s="3">
        <f>IF(2&gt;$C77,"",IF($D77=1,EOMONTH(EDATE(Bonds!$H77,6*(2-1)),0),EDATE(Bonds!$H77,6*(2-1))))</f>
        <v>46568</v>
      </c>
      <c r="G77" s="3">
        <f>IF(3&gt;$C77,"",IF($D77=1,EOMONTH(EDATE(Bonds!$H77,6*(3-1)),0),EDATE(Bonds!$H77,6*(3-1))))</f>
        <v>46752</v>
      </c>
      <c r="H77" s="3" t="str">
        <f>IF(4&gt;$C77,"",IF($D77=1,EOMONTH(EDATE(Bonds!$H77,6*(4-1)),0),EDATE(Bonds!$H77,6*(4-1))))</f>
        <v/>
      </c>
      <c r="I77" s="3" t="str">
        <f>IF(5&gt;$C77,"",IF($D77=1,EOMONTH(EDATE(Bonds!$H77,6*(5-1)),0),EDATE(Bonds!$H77,6*(5-1))))</f>
        <v/>
      </c>
      <c r="J77" s="3" t="str">
        <f>IF(6&gt;$C77,"",IF($D77=1,EOMONTH(EDATE(Bonds!$H77,6*(6-1)),0),EDATE(Bonds!$H77,6*(6-1))))</f>
        <v/>
      </c>
      <c r="K77" s="3" t="str">
        <f>IF(7&gt;$C77,"",IF($D77=1,EOMONTH(EDATE(Bonds!$H77,6*(7-1)),0),EDATE(Bonds!$H77,6*(7-1))))</f>
        <v/>
      </c>
      <c r="L77" s="3" t="str">
        <f>IF(8&gt;$C77,"",IF($D77=1,EOMONTH(EDATE(Bonds!$H77,6*(8-1)),0),EDATE(Bonds!$H77,6*(8-1))))</f>
        <v/>
      </c>
      <c r="M77" s="3" t="str">
        <f>IF(9&gt;$C77,"",IF($D77=1,EOMONTH(EDATE(Bonds!$H77,6*(9-1)),0),EDATE(Bonds!$H77,6*(9-1))))</f>
        <v/>
      </c>
      <c r="N77" s="3" t="str">
        <f>IF(10&gt;$C77,"",IF($D77=1,EOMONTH(EDATE(Bonds!$H77,6*(10-1)),0),EDATE(Bonds!$H77,6*(10-1))))</f>
        <v/>
      </c>
      <c r="O77" s="3" t="str">
        <f>IF(11&gt;$C77,"",IF($D77=1,EOMONTH(EDATE(Bonds!$H77,6*(11-1)),0),EDATE(Bonds!$H77,6*(11-1))))</f>
        <v/>
      </c>
      <c r="P77" s="3" t="str">
        <f>IF(12&gt;$C77,"",IF($D77=1,EOMONTH(EDATE(Bonds!$H77,6*(12-1)),0),EDATE(Bonds!$H77,6*(12-1))))</f>
        <v/>
      </c>
      <c r="Q77" s="3" t="str">
        <f>IF(13&gt;$C77,"",IF($D77=1,EOMONTH(EDATE(Bonds!$H77,6*(13-1)),0),EDATE(Bonds!$H77,6*(13-1))))</f>
        <v/>
      </c>
      <c r="R77" s="3" t="str">
        <f>IF(14&gt;$C77,"",IF($D77=1,EOMONTH(EDATE(Bonds!$H77,6*(14-1)),0),EDATE(Bonds!$H77,6*(14-1))))</f>
        <v/>
      </c>
      <c r="S77" s="3" t="str">
        <f>IF(15&gt;$C77,"",IF($D77=1,EOMONTH(EDATE(Bonds!$H77,6*(15-1)),0),EDATE(Bonds!$H77,6*(15-1))))</f>
        <v/>
      </c>
      <c r="T77" s="3" t="str">
        <f>IF(16&gt;$C77,"",IF($D77=1,EOMONTH(EDATE(Bonds!$H77,6*(16-1)),0),EDATE(Bonds!$H77,6*(16-1))))</f>
        <v/>
      </c>
      <c r="U77" s="3" t="str">
        <f>IF(17&gt;$C77,"",IF($D77=1,EOMONTH(EDATE(Bonds!$H77,6*(17-1)),0),EDATE(Bonds!$H77,6*(17-1))))</f>
        <v/>
      </c>
      <c r="V77" s="3" t="str">
        <f>IF(18&gt;$C77,"",IF($D77=1,EOMONTH(EDATE(Bonds!$H77,6*(18-1)),0),EDATE(Bonds!$H77,6*(18-1))))</f>
        <v/>
      </c>
      <c r="W77" s="3" t="str">
        <f>IF(19&gt;$C77,"",IF($D77=1,EOMONTH(EDATE(Bonds!$H77,6*(19-1)),0),EDATE(Bonds!$H77,6*(19-1))))</f>
        <v/>
      </c>
      <c r="X77" s="3" t="str">
        <f>IF(20&gt;$C77,"",IF($D77=1,EOMONTH(EDATE(Bonds!$H77,6*(20-1)),0),EDATE(Bonds!$H77,6*(20-1))))</f>
        <v/>
      </c>
      <c r="Y77" s="3" t="str">
        <f>IF(21&gt;$C77,"",IF($D77=1,EOMONTH(EDATE(Bonds!$H77,6*(21-1)),0),EDATE(Bonds!$H77,6*(21-1))))</f>
        <v/>
      </c>
      <c r="Z77" s="3" t="str">
        <f>IF(22&gt;$C77,"",IF($D77=1,EOMONTH(EDATE(Bonds!$H77,6*(22-1)),0),EDATE(Bonds!$H77,6*(22-1))))</f>
        <v/>
      </c>
      <c r="AA77" s="3" t="str">
        <f>IF(23&gt;$C77,"",IF($D77=1,EOMONTH(EDATE(Bonds!$H77,6*(23-1)),0),EDATE(Bonds!$H77,6*(23-1))))</f>
        <v/>
      </c>
      <c r="AB77" s="3" t="str">
        <f>IF(24&gt;$C77,"",IF($D77=1,EOMONTH(EDATE(Bonds!$H77,6*(24-1)),0),EDATE(Bonds!$H77,6*(24-1))))</f>
        <v/>
      </c>
      <c r="AC77" s="3" t="str">
        <f>IF(25&gt;$C77,"",IF($D77=1,EOMONTH(EDATE(Bonds!$H77,6*(25-1)),0),EDATE(Bonds!$H77,6*(25-1))))</f>
        <v/>
      </c>
      <c r="AD77" s="3" t="str">
        <f>IF(26&gt;$C77,"",IF($D77=1,EOMONTH(EDATE(Bonds!$H77,6*(26-1)),0),EDATE(Bonds!$H77,6*(26-1))))</f>
        <v/>
      </c>
      <c r="AE77" s="3" t="str">
        <f>IF(27&gt;$C77,"",IF($D77=1,EOMONTH(EDATE(Bonds!$H77,6*(27-1)),0),EDATE(Bonds!$H77,6*(27-1))))</f>
        <v/>
      </c>
      <c r="AF77" s="3" t="str">
        <f>IF(28&gt;$C77,"",IF($D77=1,EOMONTH(EDATE(Bonds!$H77,6*(28-1)),0),EDATE(Bonds!$H77,6*(28-1))))</f>
        <v/>
      </c>
      <c r="AG77" s="3" t="str">
        <f>IF(29&gt;$C77,"",IF($D77=1,EOMONTH(EDATE(Bonds!$H77,6*(29-1)),0),EDATE(Bonds!$H77,6*(29-1))))</f>
        <v/>
      </c>
      <c r="AH77" s="3" t="str">
        <f>IF(30&gt;$C77,"",IF($D77=1,EOMONTH(EDATE(Bonds!$H77,6*(30-1)),0),EDATE(Bonds!$H77,6*(30-1))))</f>
        <v/>
      </c>
      <c r="AI77" s="3" t="str">
        <f>IF(31&gt;$C77,"",IF($D77=1,EOMONTH(EDATE(Bonds!$H77,6*(31-1)),0),EDATE(Bonds!$H77,6*(31-1))))</f>
        <v/>
      </c>
      <c r="AJ77" s="3" t="str">
        <f>IF(32&gt;$C77,"",IF($D77=1,EOMONTH(EDATE(Bonds!$H77,6*(32-1)),0),EDATE(Bonds!$H77,6*(32-1))))</f>
        <v/>
      </c>
      <c r="AK77" s="3" t="str">
        <f>IF(33&gt;$C77,"",IF($D77=1,EOMONTH(EDATE(Bonds!$H77,6*(33-1)),0),EDATE(Bonds!$H77,6*(33-1))))</f>
        <v/>
      </c>
      <c r="AL77" s="3" t="str">
        <f>IF(34&gt;$C77,"",IF($D77=1,EOMONTH(EDATE(Bonds!$H77,6*(34-1)),0),EDATE(Bonds!$H77,6*(34-1))))</f>
        <v/>
      </c>
      <c r="AM77" s="3" t="str">
        <f>IF(35&gt;$C77,"",IF($D77=1,EOMONTH(EDATE(Bonds!$H77,6*(35-1)),0),EDATE(Bonds!$H77,6*(35-1))))</f>
        <v/>
      </c>
      <c r="AN77" s="3" t="str">
        <f>IF(36&gt;$C77,"",IF($D77=1,EOMONTH(EDATE(Bonds!$H77,6*(36-1)),0),EDATE(Bonds!$H77,6*(36-1))))</f>
        <v/>
      </c>
      <c r="AO77" s="3" t="str">
        <f>IF(37&gt;$C77,"",IF($D77=1,EOMONTH(EDATE(Bonds!$H77,6*(37-1)),0),EDATE(Bonds!$H77,6*(37-1))))</f>
        <v/>
      </c>
      <c r="AP77" s="3" t="str">
        <f>IF(38&gt;$C77,"",IF($D77=1,EOMONTH(EDATE(Bonds!$H77,6*(38-1)),0),EDATE(Bonds!$H77,6*(38-1))))</f>
        <v/>
      </c>
      <c r="AQ77" s="3" t="str">
        <f>IF(39&gt;$C77,"",IF($D77=1,EOMONTH(EDATE(Bonds!$H77,6*(39-1)),0),EDATE(Bonds!$H77,6*(39-1))))</f>
        <v/>
      </c>
      <c r="AR77" s="3" t="str">
        <f>IF(40&gt;$C77,"",IF($D77=1,EOMONTH(EDATE(Bonds!$H77,6*(40-1)),0),EDATE(Bonds!$H77,6*(40-1))))</f>
        <v/>
      </c>
      <c r="AS77" s="3" t="str">
        <f>IF(41&gt;$C77,"",IF($D77=1,EOMONTH(EDATE(Bonds!$H77,6*(41-1)),0),EDATE(Bonds!$H77,6*(41-1))))</f>
        <v/>
      </c>
      <c r="AT77" s="3" t="str">
        <f>IF(42&gt;$C77,"",IF($D77=1,EOMONTH(EDATE(Bonds!$H77,6*(42-1)),0),EDATE(Bonds!$H77,6*(42-1))))</f>
        <v/>
      </c>
      <c r="AU77" s="3" t="str">
        <f>IF(43&gt;$C77,"",IF($D77=1,EOMONTH(EDATE(Bonds!$H77,6*(43-1)),0),EDATE(Bonds!$H77,6*(43-1))))</f>
        <v/>
      </c>
      <c r="AV77" s="3" t="str">
        <f>IF(44&gt;$C77,"",IF($D77=1,EOMONTH(EDATE(Bonds!$H77,6*(44-1)),0),EDATE(Bonds!$H77,6*(44-1))))</f>
        <v/>
      </c>
      <c r="AW77" s="3" t="str">
        <f>IF(45&gt;$C77,"",IF($D77=1,EOMONTH(EDATE(Bonds!$H77,6*(45-1)),0),EDATE(Bonds!$H77,6*(45-1))))</f>
        <v/>
      </c>
      <c r="AX77" s="3" t="str">
        <f>IF(46&gt;$C77,"",IF($D77=1,EOMONTH(EDATE(Bonds!$H77,6*(46-1)),0),EDATE(Bonds!$H77,6*(46-1))))</f>
        <v/>
      </c>
      <c r="AY77" s="3" t="str">
        <f>IF(47&gt;$C77,"",IF($D77=1,EOMONTH(EDATE(Bonds!$H77,6*(47-1)),0),EDATE(Bonds!$H77,6*(47-1))))</f>
        <v/>
      </c>
      <c r="AZ77" s="3" t="str">
        <f>IF(48&gt;$C77,"",IF($D77=1,EOMONTH(EDATE(Bonds!$H77,6*(48-1)),0),EDATE(Bonds!$H77,6*(48-1))))</f>
        <v/>
      </c>
      <c r="BA77" s="3" t="str">
        <f>IF(49&gt;$C77,"",IF($D77=1,EOMONTH(EDATE(Bonds!$H77,6*(49-1)),0),EDATE(Bonds!$H77,6*(49-1))))</f>
        <v/>
      </c>
      <c r="BB77" s="3" t="str">
        <f>IF(50&gt;$C77,"",IF($D77=1,EOMONTH(EDATE(Bonds!$H77,6*(50-1)),0),EDATE(Bonds!$H77,6*(50-1))))</f>
        <v/>
      </c>
      <c r="BC77" s="3" t="str">
        <f>IF(51&gt;$C77,"",IF($D77=1,EOMONTH(EDATE(Bonds!$H77,6*(51-1)),0),EDATE(Bonds!$H77,6*(51-1))))</f>
        <v/>
      </c>
      <c r="BD77" s="3" t="str">
        <f>IF(52&gt;$C77,"",IF($D77=1,EOMONTH(EDATE(Bonds!$H77,6*(52-1)),0),EDATE(Bonds!$H77,6*(52-1))))</f>
        <v/>
      </c>
      <c r="BE77" s="3" t="str">
        <f>IF(53&gt;$C77,"",IF($D77=1,EOMONTH(EDATE(Bonds!$H77,6*(53-1)),0),EDATE(Bonds!$H77,6*(53-1))))</f>
        <v/>
      </c>
      <c r="BF77" s="3" t="str">
        <f>IF(54&gt;$C77,"",IF($D77=1,EOMONTH(EDATE(Bonds!$H77,6*(54-1)),0),EDATE(Bonds!$H77,6*(54-1))))</f>
        <v/>
      </c>
      <c r="BG77" s="3" t="str">
        <f>IF(55&gt;$C77,"",IF($D77=1,EOMONTH(EDATE(Bonds!$H77,6*(55-1)),0),EDATE(Bonds!$H77,6*(55-1))))</f>
        <v/>
      </c>
      <c r="BH77" s="3" t="str">
        <f>IF(56&gt;$C77,"",IF($D77=1,EOMONTH(EDATE(Bonds!$H77,6*(56-1)),0),EDATE(Bonds!$H77,6*(56-1))))</f>
        <v/>
      </c>
      <c r="BI77" s="3" t="str">
        <f>IF(57&gt;$C77,"",IF($D77=1,EOMONTH(EDATE(Bonds!$H77,6*(57-1)),0),EDATE(Bonds!$H77,6*(57-1))))</f>
        <v/>
      </c>
      <c r="BJ77" s="3" t="str">
        <f>IF(58&gt;$C77,"",IF($D77=1,EOMONTH(EDATE(Bonds!$H77,6*(58-1)),0),EDATE(Bonds!$H77,6*(58-1))))</f>
        <v/>
      </c>
      <c r="BK77" s="3" t="str">
        <f>IF(59&gt;$C77,"",IF($D77=1,EOMONTH(EDATE(Bonds!$H77,6*(59-1)),0),EDATE(Bonds!$H77,6*(59-1))))</f>
        <v/>
      </c>
      <c r="BL77" s="3" t="str">
        <f>IF(60&gt;$C77,"",IF($D77=1,EOMONTH(EDATE(Bonds!$H77,6*(60-1)),0),EDATE(Bonds!$H77,6*(60-1))))</f>
        <v/>
      </c>
      <c r="BN77" s="7">
        <f t="shared" si="62"/>
        <v>0.30878082456861</v>
      </c>
      <c r="BO77" s="7">
        <f t="shared" si="63"/>
        <v>0.30239640184607702</v>
      </c>
      <c r="BP77" s="7">
        <f t="shared" si="64"/>
        <v>94.909303218562812</v>
      </c>
      <c r="BQ77" s="7">
        <f t="shared" si="65"/>
        <v>0</v>
      </c>
      <c r="BR77" s="7">
        <f t="shared" si="66"/>
        <v>0</v>
      </c>
      <c r="BS77" s="7">
        <f t="shared" si="67"/>
        <v>0</v>
      </c>
      <c r="BT77" s="7">
        <f t="shared" si="68"/>
        <v>0</v>
      </c>
      <c r="BU77" s="7">
        <f t="shared" si="69"/>
        <v>0</v>
      </c>
      <c r="BV77" s="7">
        <f t="shared" si="70"/>
        <v>0</v>
      </c>
      <c r="BW77" s="7">
        <f t="shared" si="71"/>
        <v>0</v>
      </c>
      <c r="BX77" s="7">
        <f t="shared" si="72"/>
        <v>0</v>
      </c>
      <c r="BY77" s="7">
        <f t="shared" si="73"/>
        <v>0</v>
      </c>
      <c r="BZ77" s="7">
        <f t="shared" si="74"/>
        <v>0</v>
      </c>
      <c r="CA77" s="7">
        <f t="shared" si="75"/>
        <v>0</v>
      </c>
      <c r="CB77" s="7">
        <f t="shared" si="76"/>
        <v>0</v>
      </c>
      <c r="CC77" s="7">
        <f t="shared" si="77"/>
        <v>0</v>
      </c>
      <c r="CD77" s="7">
        <f t="shared" si="78"/>
        <v>0</v>
      </c>
      <c r="CE77" s="7">
        <f t="shared" si="79"/>
        <v>0</v>
      </c>
      <c r="CF77" s="7">
        <f t="shared" si="80"/>
        <v>0</v>
      </c>
      <c r="CG77" s="7">
        <f t="shared" si="81"/>
        <v>0</v>
      </c>
      <c r="CH77" s="7">
        <f t="shared" si="82"/>
        <v>0</v>
      </c>
      <c r="CI77" s="7">
        <f t="shared" si="83"/>
        <v>0</v>
      </c>
      <c r="CJ77" s="7">
        <f t="shared" si="84"/>
        <v>0</v>
      </c>
      <c r="CK77" s="7">
        <f t="shared" si="85"/>
        <v>0</v>
      </c>
      <c r="CL77" s="7">
        <f t="shared" si="86"/>
        <v>0</v>
      </c>
      <c r="CM77" s="7">
        <f t="shared" si="87"/>
        <v>0</v>
      </c>
      <c r="CN77" s="7">
        <f t="shared" si="88"/>
        <v>0</v>
      </c>
      <c r="CO77" s="7">
        <f t="shared" si="89"/>
        <v>0</v>
      </c>
      <c r="CP77" s="7">
        <f t="shared" si="90"/>
        <v>0</v>
      </c>
      <c r="CQ77" s="7">
        <f t="shared" si="91"/>
        <v>0</v>
      </c>
      <c r="CR77" s="7">
        <f t="shared" si="92"/>
        <v>0</v>
      </c>
      <c r="CS77" s="7">
        <f t="shared" si="93"/>
        <v>0</v>
      </c>
      <c r="CT77" s="7">
        <f t="shared" si="94"/>
        <v>0</v>
      </c>
      <c r="CU77" s="7">
        <f t="shared" si="95"/>
        <v>0</v>
      </c>
      <c r="CV77" s="7">
        <f t="shared" si="96"/>
        <v>0</v>
      </c>
      <c r="CW77" s="7">
        <f t="shared" si="97"/>
        <v>0</v>
      </c>
      <c r="CX77" s="7">
        <f t="shared" si="98"/>
        <v>0</v>
      </c>
      <c r="CY77" s="7">
        <f t="shared" si="99"/>
        <v>0</v>
      </c>
      <c r="CZ77" s="7">
        <f t="shared" si="100"/>
        <v>0</v>
      </c>
      <c r="DA77" s="7">
        <f t="shared" si="101"/>
        <v>0</v>
      </c>
      <c r="DB77" s="7">
        <f t="shared" si="102"/>
        <v>0</v>
      </c>
      <c r="DC77" s="7">
        <f t="shared" si="103"/>
        <v>0</v>
      </c>
      <c r="DD77" s="7">
        <f t="shared" si="104"/>
        <v>0</v>
      </c>
      <c r="DE77" s="7">
        <f t="shared" si="105"/>
        <v>0</v>
      </c>
      <c r="DF77" s="7">
        <f t="shared" si="106"/>
        <v>0</v>
      </c>
      <c r="DG77" s="7">
        <f t="shared" si="107"/>
        <v>0</v>
      </c>
      <c r="DH77" s="7">
        <f t="shared" si="108"/>
        <v>0</v>
      </c>
      <c r="DI77" s="7">
        <f t="shared" si="109"/>
        <v>0</v>
      </c>
      <c r="DJ77" s="7">
        <f t="shared" si="110"/>
        <v>0</v>
      </c>
      <c r="DK77" s="7">
        <f t="shared" si="111"/>
        <v>0</v>
      </c>
      <c r="DL77" s="7">
        <f t="shared" si="112"/>
        <v>0</v>
      </c>
      <c r="DM77" s="7">
        <f t="shared" si="113"/>
        <v>0</v>
      </c>
      <c r="DN77" s="7">
        <f t="shared" si="114"/>
        <v>0</v>
      </c>
      <c r="DO77" s="7">
        <f t="shared" si="115"/>
        <v>0</v>
      </c>
      <c r="DP77" s="7">
        <f t="shared" si="116"/>
        <v>0</v>
      </c>
      <c r="DQ77" s="7">
        <f t="shared" si="117"/>
        <v>0</v>
      </c>
      <c r="DR77" s="7">
        <f t="shared" si="118"/>
        <v>0</v>
      </c>
      <c r="DS77" s="7">
        <f t="shared" si="119"/>
        <v>0</v>
      </c>
      <c r="DT77" s="7">
        <f t="shared" si="120"/>
        <v>0</v>
      </c>
      <c r="DU77" s="7">
        <f t="shared" si="121"/>
        <v>0</v>
      </c>
    </row>
    <row r="78" spans="1:125" x14ac:dyDescent="0.2">
      <c r="A78" s="3">
        <f>Bonds!A78</f>
        <v>46752</v>
      </c>
      <c r="B78" s="4">
        <f>Bonds!B78</f>
        <v>3.375</v>
      </c>
      <c r="C78">
        <f>Bonds!P78</f>
        <v>3</v>
      </c>
      <c r="D78">
        <f t="shared" si="61"/>
        <v>1</v>
      </c>
      <c r="E78" s="3">
        <f>IF(1&gt;$C78,"",IF($D78=1,EOMONTH(EDATE(Bonds!$H78,6*(1-1)),0),EDATE(Bonds!$H78,6*(1-1))))</f>
        <v>46387</v>
      </c>
      <c r="F78" s="3">
        <f>IF(2&gt;$C78,"",IF($D78=1,EOMONTH(EDATE(Bonds!$H78,6*(2-1)),0),EDATE(Bonds!$H78,6*(2-1))))</f>
        <v>46568</v>
      </c>
      <c r="G78" s="3">
        <f>IF(3&gt;$C78,"",IF($D78=1,EOMONTH(EDATE(Bonds!$H78,6*(3-1)),0),EDATE(Bonds!$H78,6*(3-1))))</f>
        <v>46752</v>
      </c>
      <c r="H78" s="3" t="str">
        <f>IF(4&gt;$C78,"",IF($D78=1,EOMONTH(EDATE(Bonds!$H78,6*(4-1)),0),EDATE(Bonds!$H78,6*(4-1))))</f>
        <v/>
      </c>
      <c r="I78" s="3" t="str">
        <f>IF(5&gt;$C78,"",IF($D78=1,EOMONTH(EDATE(Bonds!$H78,6*(5-1)),0),EDATE(Bonds!$H78,6*(5-1))))</f>
        <v/>
      </c>
      <c r="J78" s="3" t="str">
        <f>IF(6&gt;$C78,"",IF($D78=1,EOMONTH(EDATE(Bonds!$H78,6*(6-1)),0),EDATE(Bonds!$H78,6*(6-1))))</f>
        <v/>
      </c>
      <c r="K78" s="3" t="str">
        <f>IF(7&gt;$C78,"",IF($D78=1,EOMONTH(EDATE(Bonds!$H78,6*(7-1)),0),EDATE(Bonds!$H78,6*(7-1))))</f>
        <v/>
      </c>
      <c r="L78" s="3" t="str">
        <f>IF(8&gt;$C78,"",IF($D78=1,EOMONTH(EDATE(Bonds!$H78,6*(8-1)),0),EDATE(Bonds!$H78,6*(8-1))))</f>
        <v/>
      </c>
      <c r="M78" s="3" t="str">
        <f>IF(9&gt;$C78,"",IF($D78=1,EOMONTH(EDATE(Bonds!$H78,6*(9-1)),0),EDATE(Bonds!$H78,6*(9-1))))</f>
        <v/>
      </c>
      <c r="N78" s="3" t="str">
        <f>IF(10&gt;$C78,"",IF($D78=1,EOMONTH(EDATE(Bonds!$H78,6*(10-1)),0),EDATE(Bonds!$H78,6*(10-1))))</f>
        <v/>
      </c>
      <c r="O78" s="3" t="str">
        <f>IF(11&gt;$C78,"",IF($D78=1,EOMONTH(EDATE(Bonds!$H78,6*(11-1)),0),EDATE(Bonds!$H78,6*(11-1))))</f>
        <v/>
      </c>
      <c r="P78" s="3" t="str">
        <f>IF(12&gt;$C78,"",IF($D78=1,EOMONTH(EDATE(Bonds!$H78,6*(12-1)),0),EDATE(Bonds!$H78,6*(12-1))))</f>
        <v/>
      </c>
      <c r="Q78" s="3" t="str">
        <f>IF(13&gt;$C78,"",IF($D78=1,EOMONTH(EDATE(Bonds!$H78,6*(13-1)),0),EDATE(Bonds!$H78,6*(13-1))))</f>
        <v/>
      </c>
      <c r="R78" s="3" t="str">
        <f>IF(14&gt;$C78,"",IF($D78=1,EOMONTH(EDATE(Bonds!$H78,6*(14-1)),0),EDATE(Bonds!$H78,6*(14-1))))</f>
        <v/>
      </c>
      <c r="S78" s="3" t="str">
        <f>IF(15&gt;$C78,"",IF($D78=1,EOMONTH(EDATE(Bonds!$H78,6*(15-1)),0),EDATE(Bonds!$H78,6*(15-1))))</f>
        <v/>
      </c>
      <c r="T78" s="3" t="str">
        <f>IF(16&gt;$C78,"",IF($D78=1,EOMONTH(EDATE(Bonds!$H78,6*(16-1)),0),EDATE(Bonds!$H78,6*(16-1))))</f>
        <v/>
      </c>
      <c r="U78" s="3" t="str">
        <f>IF(17&gt;$C78,"",IF($D78=1,EOMONTH(EDATE(Bonds!$H78,6*(17-1)),0),EDATE(Bonds!$H78,6*(17-1))))</f>
        <v/>
      </c>
      <c r="V78" s="3" t="str">
        <f>IF(18&gt;$C78,"",IF($D78=1,EOMONTH(EDATE(Bonds!$H78,6*(18-1)),0),EDATE(Bonds!$H78,6*(18-1))))</f>
        <v/>
      </c>
      <c r="W78" s="3" t="str">
        <f>IF(19&gt;$C78,"",IF($D78=1,EOMONTH(EDATE(Bonds!$H78,6*(19-1)),0),EDATE(Bonds!$H78,6*(19-1))))</f>
        <v/>
      </c>
      <c r="X78" s="3" t="str">
        <f>IF(20&gt;$C78,"",IF($D78=1,EOMONTH(EDATE(Bonds!$H78,6*(20-1)),0),EDATE(Bonds!$H78,6*(20-1))))</f>
        <v/>
      </c>
      <c r="Y78" s="3" t="str">
        <f>IF(21&gt;$C78,"",IF($D78=1,EOMONTH(EDATE(Bonds!$H78,6*(21-1)),0),EDATE(Bonds!$H78,6*(21-1))))</f>
        <v/>
      </c>
      <c r="Z78" s="3" t="str">
        <f>IF(22&gt;$C78,"",IF($D78=1,EOMONTH(EDATE(Bonds!$H78,6*(22-1)),0),EDATE(Bonds!$H78,6*(22-1))))</f>
        <v/>
      </c>
      <c r="AA78" s="3" t="str">
        <f>IF(23&gt;$C78,"",IF($D78=1,EOMONTH(EDATE(Bonds!$H78,6*(23-1)),0),EDATE(Bonds!$H78,6*(23-1))))</f>
        <v/>
      </c>
      <c r="AB78" s="3" t="str">
        <f>IF(24&gt;$C78,"",IF($D78=1,EOMONTH(EDATE(Bonds!$H78,6*(24-1)),0),EDATE(Bonds!$H78,6*(24-1))))</f>
        <v/>
      </c>
      <c r="AC78" s="3" t="str">
        <f>IF(25&gt;$C78,"",IF($D78=1,EOMONTH(EDATE(Bonds!$H78,6*(25-1)),0),EDATE(Bonds!$H78,6*(25-1))))</f>
        <v/>
      </c>
      <c r="AD78" s="3" t="str">
        <f>IF(26&gt;$C78,"",IF($D78=1,EOMONTH(EDATE(Bonds!$H78,6*(26-1)),0),EDATE(Bonds!$H78,6*(26-1))))</f>
        <v/>
      </c>
      <c r="AE78" s="3" t="str">
        <f>IF(27&gt;$C78,"",IF($D78=1,EOMONTH(EDATE(Bonds!$H78,6*(27-1)),0),EDATE(Bonds!$H78,6*(27-1))))</f>
        <v/>
      </c>
      <c r="AF78" s="3" t="str">
        <f>IF(28&gt;$C78,"",IF($D78=1,EOMONTH(EDATE(Bonds!$H78,6*(28-1)),0),EDATE(Bonds!$H78,6*(28-1))))</f>
        <v/>
      </c>
      <c r="AG78" s="3" t="str">
        <f>IF(29&gt;$C78,"",IF($D78=1,EOMONTH(EDATE(Bonds!$H78,6*(29-1)),0),EDATE(Bonds!$H78,6*(29-1))))</f>
        <v/>
      </c>
      <c r="AH78" s="3" t="str">
        <f>IF(30&gt;$C78,"",IF($D78=1,EOMONTH(EDATE(Bonds!$H78,6*(30-1)),0),EDATE(Bonds!$H78,6*(30-1))))</f>
        <v/>
      </c>
      <c r="AI78" s="3" t="str">
        <f>IF(31&gt;$C78,"",IF($D78=1,EOMONTH(EDATE(Bonds!$H78,6*(31-1)),0),EDATE(Bonds!$H78,6*(31-1))))</f>
        <v/>
      </c>
      <c r="AJ78" s="3" t="str">
        <f>IF(32&gt;$C78,"",IF($D78=1,EOMONTH(EDATE(Bonds!$H78,6*(32-1)),0),EDATE(Bonds!$H78,6*(32-1))))</f>
        <v/>
      </c>
      <c r="AK78" s="3" t="str">
        <f>IF(33&gt;$C78,"",IF($D78=1,EOMONTH(EDATE(Bonds!$H78,6*(33-1)),0),EDATE(Bonds!$H78,6*(33-1))))</f>
        <v/>
      </c>
      <c r="AL78" s="3" t="str">
        <f>IF(34&gt;$C78,"",IF($D78=1,EOMONTH(EDATE(Bonds!$H78,6*(34-1)),0),EDATE(Bonds!$H78,6*(34-1))))</f>
        <v/>
      </c>
      <c r="AM78" s="3" t="str">
        <f>IF(35&gt;$C78,"",IF($D78=1,EOMONTH(EDATE(Bonds!$H78,6*(35-1)),0),EDATE(Bonds!$H78,6*(35-1))))</f>
        <v/>
      </c>
      <c r="AN78" s="3" t="str">
        <f>IF(36&gt;$C78,"",IF($D78=1,EOMONTH(EDATE(Bonds!$H78,6*(36-1)),0),EDATE(Bonds!$H78,6*(36-1))))</f>
        <v/>
      </c>
      <c r="AO78" s="3" t="str">
        <f>IF(37&gt;$C78,"",IF($D78=1,EOMONTH(EDATE(Bonds!$H78,6*(37-1)),0),EDATE(Bonds!$H78,6*(37-1))))</f>
        <v/>
      </c>
      <c r="AP78" s="3" t="str">
        <f>IF(38&gt;$C78,"",IF($D78=1,EOMONTH(EDATE(Bonds!$H78,6*(38-1)),0),EDATE(Bonds!$H78,6*(38-1))))</f>
        <v/>
      </c>
      <c r="AQ78" s="3" t="str">
        <f>IF(39&gt;$C78,"",IF($D78=1,EOMONTH(EDATE(Bonds!$H78,6*(39-1)),0),EDATE(Bonds!$H78,6*(39-1))))</f>
        <v/>
      </c>
      <c r="AR78" s="3" t="str">
        <f>IF(40&gt;$C78,"",IF($D78=1,EOMONTH(EDATE(Bonds!$H78,6*(40-1)),0),EDATE(Bonds!$H78,6*(40-1))))</f>
        <v/>
      </c>
      <c r="AS78" s="3" t="str">
        <f>IF(41&gt;$C78,"",IF($D78=1,EOMONTH(EDATE(Bonds!$H78,6*(41-1)),0),EDATE(Bonds!$H78,6*(41-1))))</f>
        <v/>
      </c>
      <c r="AT78" s="3" t="str">
        <f>IF(42&gt;$C78,"",IF($D78=1,EOMONTH(EDATE(Bonds!$H78,6*(42-1)),0),EDATE(Bonds!$H78,6*(42-1))))</f>
        <v/>
      </c>
      <c r="AU78" s="3" t="str">
        <f>IF(43&gt;$C78,"",IF($D78=1,EOMONTH(EDATE(Bonds!$H78,6*(43-1)),0),EDATE(Bonds!$H78,6*(43-1))))</f>
        <v/>
      </c>
      <c r="AV78" s="3" t="str">
        <f>IF(44&gt;$C78,"",IF($D78=1,EOMONTH(EDATE(Bonds!$H78,6*(44-1)),0),EDATE(Bonds!$H78,6*(44-1))))</f>
        <v/>
      </c>
      <c r="AW78" s="3" t="str">
        <f>IF(45&gt;$C78,"",IF($D78=1,EOMONTH(EDATE(Bonds!$H78,6*(45-1)),0),EDATE(Bonds!$H78,6*(45-1))))</f>
        <v/>
      </c>
      <c r="AX78" s="3" t="str">
        <f>IF(46&gt;$C78,"",IF($D78=1,EOMONTH(EDATE(Bonds!$H78,6*(46-1)),0),EDATE(Bonds!$H78,6*(46-1))))</f>
        <v/>
      </c>
      <c r="AY78" s="3" t="str">
        <f>IF(47&gt;$C78,"",IF($D78=1,EOMONTH(EDATE(Bonds!$H78,6*(47-1)),0),EDATE(Bonds!$H78,6*(47-1))))</f>
        <v/>
      </c>
      <c r="AZ78" s="3" t="str">
        <f>IF(48&gt;$C78,"",IF($D78=1,EOMONTH(EDATE(Bonds!$H78,6*(48-1)),0),EDATE(Bonds!$H78,6*(48-1))))</f>
        <v/>
      </c>
      <c r="BA78" s="3" t="str">
        <f>IF(49&gt;$C78,"",IF($D78=1,EOMONTH(EDATE(Bonds!$H78,6*(49-1)),0),EDATE(Bonds!$H78,6*(49-1))))</f>
        <v/>
      </c>
      <c r="BB78" s="3" t="str">
        <f>IF(50&gt;$C78,"",IF($D78=1,EOMONTH(EDATE(Bonds!$H78,6*(50-1)),0),EDATE(Bonds!$H78,6*(50-1))))</f>
        <v/>
      </c>
      <c r="BC78" s="3" t="str">
        <f>IF(51&gt;$C78,"",IF($D78=1,EOMONTH(EDATE(Bonds!$H78,6*(51-1)),0),EDATE(Bonds!$H78,6*(51-1))))</f>
        <v/>
      </c>
      <c r="BD78" s="3" t="str">
        <f>IF(52&gt;$C78,"",IF($D78=1,EOMONTH(EDATE(Bonds!$H78,6*(52-1)),0),EDATE(Bonds!$H78,6*(52-1))))</f>
        <v/>
      </c>
      <c r="BE78" s="3" t="str">
        <f>IF(53&gt;$C78,"",IF($D78=1,EOMONTH(EDATE(Bonds!$H78,6*(53-1)),0),EDATE(Bonds!$H78,6*(53-1))))</f>
        <v/>
      </c>
      <c r="BF78" s="3" t="str">
        <f>IF(54&gt;$C78,"",IF($D78=1,EOMONTH(EDATE(Bonds!$H78,6*(54-1)),0),EDATE(Bonds!$H78,6*(54-1))))</f>
        <v/>
      </c>
      <c r="BG78" s="3" t="str">
        <f>IF(55&gt;$C78,"",IF($D78=1,EOMONTH(EDATE(Bonds!$H78,6*(55-1)),0),EDATE(Bonds!$H78,6*(55-1))))</f>
        <v/>
      </c>
      <c r="BH78" s="3" t="str">
        <f>IF(56&gt;$C78,"",IF($D78=1,EOMONTH(EDATE(Bonds!$H78,6*(56-1)),0),EDATE(Bonds!$H78,6*(56-1))))</f>
        <v/>
      </c>
      <c r="BI78" s="3" t="str">
        <f>IF(57&gt;$C78,"",IF($D78=1,EOMONTH(EDATE(Bonds!$H78,6*(57-1)),0),EDATE(Bonds!$H78,6*(57-1))))</f>
        <v/>
      </c>
      <c r="BJ78" s="3" t="str">
        <f>IF(58&gt;$C78,"",IF($D78=1,EOMONTH(EDATE(Bonds!$H78,6*(58-1)),0),EDATE(Bonds!$H78,6*(58-1))))</f>
        <v/>
      </c>
      <c r="BK78" s="3" t="str">
        <f>IF(59&gt;$C78,"",IF($D78=1,EOMONTH(EDATE(Bonds!$H78,6*(59-1)),0),EDATE(Bonds!$H78,6*(59-1))))</f>
        <v/>
      </c>
      <c r="BL78" s="3" t="str">
        <f>IF(60&gt;$C78,"",IF($D78=1,EOMONTH(EDATE(Bonds!$H78,6*(60-1)),0),EDATE(Bonds!$H78,6*(60-1))))</f>
        <v/>
      </c>
      <c r="BN78" s="7">
        <f t="shared" si="62"/>
        <v>1.667416452670494</v>
      </c>
      <c r="BO78" s="7">
        <f t="shared" si="63"/>
        <v>1.632940569968816</v>
      </c>
      <c r="BP78" s="7">
        <f t="shared" si="64"/>
        <v>96.210240708163056</v>
      </c>
      <c r="BQ78" s="7">
        <f t="shared" si="65"/>
        <v>0</v>
      </c>
      <c r="BR78" s="7">
        <f t="shared" si="66"/>
        <v>0</v>
      </c>
      <c r="BS78" s="7">
        <f t="shared" si="67"/>
        <v>0</v>
      </c>
      <c r="BT78" s="7">
        <f t="shared" si="68"/>
        <v>0</v>
      </c>
      <c r="BU78" s="7">
        <f t="shared" si="69"/>
        <v>0</v>
      </c>
      <c r="BV78" s="7">
        <f t="shared" si="70"/>
        <v>0</v>
      </c>
      <c r="BW78" s="7">
        <f t="shared" si="71"/>
        <v>0</v>
      </c>
      <c r="BX78" s="7">
        <f t="shared" si="72"/>
        <v>0</v>
      </c>
      <c r="BY78" s="7">
        <f t="shared" si="73"/>
        <v>0</v>
      </c>
      <c r="BZ78" s="7">
        <f t="shared" si="74"/>
        <v>0</v>
      </c>
      <c r="CA78" s="7">
        <f t="shared" si="75"/>
        <v>0</v>
      </c>
      <c r="CB78" s="7">
        <f t="shared" si="76"/>
        <v>0</v>
      </c>
      <c r="CC78" s="7">
        <f t="shared" si="77"/>
        <v>0</v>
      </c>
      <c r="CD78" s="7">
        <f t="shared" si="78"/>
        <v>0</v>
      </c>
      <c r="CE78" s="7">
        <f t="shared" si="79"/>
        <v>0</v>
      </c>
      <c r="CF78" s="7">
        <f t="shared" si="80"/>
        <v>0</v>
      </c>
      <c r="CG78" s="7">
        <f t="shared" si="81"/>
        <v>0</v>
      </c>
      <c r="CH78" s="7">
        <f t="shared" si="82"/>
        <v>0</v>
      </c>
      <c r="CI78" s="7">
        <f t="shared" si="83"/>
        <v>0</v>
      </c>
      <c r="CJ78" s="7">
        <f t="shared" si="84"/>
        <v>0</v>
      </c>
      <c r="CK78" s="7">
        <f t="shared" si="85"/>
        <v>0</v>
      </c>
      <c r="CL78" s="7">
        <f t="shared" si="86"/>
        <v>0</v>
      </c>
      <c r="CM78" s="7">
        <f t="shared" si="87"/>
        <v>0</v>
      </c>
      <c r="CN78" s="7">
        <f t="shared" si="88"/>
        <v>0</v>
      </c>
      <c r="CO78" s="7">
        <f t="shared" si="89"/>
        <v>0</v>
      </c>
      <c r="CP78" s="7">
        <f t="shared" si="90"/>
        <v>0</v>
      </c>
      <c r="CQ78" s="7">
        <f t="shared" si="91"/>
        <v>0</v>
      </c>
      <c r="CR78" s="7">
        <f t="shared" si="92"/>
        <v>0</v>
      </c>
      <c r="CS78" s="7">
        <f t="shared" si="93"/>
        <v>0</v>
      </c>
      <c r="CT78" s="7">
        <f t="shared" si="94"/>
        <v>0</v>
      </c>
      <c r="CU78" s="7">
        <f t="shared" si="95"/>
        <v>0</v>
      </c>
      <c r="CV78" s="7">
        <f t="shared" si="96"/>
        <v>0</v>
      </c>
      <c r="CW78" s="7">
        <f t="shared" si="97"/>
        <v>0</v>
      </c>
      <c r="CX78" s="7">
        <f t="shared" si="98"/>
        <v>0</v>
      </c>
      <c r="CY78" s="7">
        <f t="shared" si="99"/>
        <v>0</v>
      </c>
      <c r="CZ78" s="7">
        <f t="shared" si="100"/>
        <v>0</v>
      </c>
      <c r="DA78" s="7">
        <f t="shared" si="101"/>
        <v>0</v>
      </c>
      <c r="DB78" s="7">
        <f t="shared" si="102"/>
        <v>0</v>
      </c>
      <c r="DC78" s="7">
        <f t="shared" si="103"/>
        <v>0</v>
      </c>
      <c r="DD78" s="7">
        <f t="shared" si="104"/>
        <v>0</v>
      </c>
      <c r="DE78" s="7">
        <f t="shared" si="105"/>
        <v>0</v>
      </c>
      <c r="DF78" s="7">
        <f t="shared" si="106"/>
        <v>0</v>
      </c>
      <c r="DG78" s="7">
        <f t="shared" si="107"/>
        <v>0</v>
      </c>
      <c r="DH78" s="7">
        <f t="shared" si="108"/>
        <v>0</v>
      </c>
      <c r="DI78" s="7">
        <f t="shared" si="109"/>
        <v>0</v>
      </c>
      <c r="DJ78" s="7">
        <f t="shared" si="110"/>
        <v>0</v>
      </c>
      <c r="DK78" s="7">
        <f t="shared" si="111"/>
        <v>0</v>
      </c>
      <c r="DL78" s="7">
        <f t="shared" si="112"/>
        <v>0</v>
      </c>
      <c r="DM78" s="7">
        <f t="shared" si="113"/>
        <v>0</v>
      </c>
      <c r="DN78" s="7">
        <f t="shared" si="114"/>
        <v>0</v>
      </c>
      <c r="DO78" s="7">
        <f t="shared" si="115"/>
        <v>0</v>
      </c>
      <c r="DP78" s="7">
        <f t="shared" si="116"/>
        <v>0</v>
      </c>
      <c r="DQ78" s="7">
        <f t="shared" si="117"/>
        <v>0</v>
      </c>
      <c r="DR78" s="7">
        <f t="shared" si="118"/>
        <v>0</v>
      </c>
      <c r="DS78" s="7">
        <f t="shared" si="119"/>
        <v>0</v>
      </c>
      <c r="DT78" s="7">
        <f t="shared" si="120"/>
        <v>0</v>
      </c>
      <c r="DU78" s="7">
        <f t="shared" si="121"/>
        <v>0</v>
      </c>
    </row>
    <row r="79" spans="1:125" x14ac:dyDescent="0.2">
      <c r="A79" s="3">
        <f>Bonds!A79</f>
        <v>46752</v>
      </c>
      <c r="B79" s="4">
        <f>Bonds!B79</f>
        <v>3.875</v>
      </c>
      <c r="C79">
        <f>Bonds!P79</f>
        <v>3</v>
      </c>
      <c r="D79">
        <f t="shared" si="61"/>
        <v>1</v>
      </c>
      <c r="E79" s="3">
        <f>IF(1&gt;$C79,"",IF($D79=1,EOMONTH(EDATE(Bonds!$H79,6*(1-1)),0),EDATE(Bonds!$H79,6*(1-1))))</f>
        <v>46387</v>
      </c>
      <c r="F79" s="3">
        <f>IF(2&gt;$C79,"",IF($D79=1,EOMONTH(EDATE(Bonds!$H79,6*(2-1)),0),EDATE(Bonds!$H79,6*(2-1))))</f>
        <v>46568</v>
      </c>
      <c r="G79" s="3">
        <f>IF(3&gt;$C79,"",IF($D79=1,EOMONTH(EDATE(Bonds!$H79,6*(3-1)),0),EDATE(Bonds!$H79,6*(3-1))))</f>
        <v>46752</v>
      </c>
      <c r="H79" s="3" t="str">
        <f>IF(4&gt;$C79,"",IF($D79=1,EOMONTH(EDATE(Bonds!$H79,6*(4-1)),0),EDATE(Bonds!$H79,6*(4-1))))</f>
        <v/>
      </c>
      <c r="I79" s="3" t="str">
        <f>IF(5&gt;$C79,"",IF($D79=1,EOMONTH(EDATE(Bonds!$H79,6*(5-1)),0),EDATE(Bonds!$H79,6*(5-1))))</f>
        <v/>
      </c>
      <c r="J79" s="3" t="str">
        <f>IF(6&gt;$C79,"",IF($D79=1,EOMONTH(EDATE(Bonds!$H79,6*(6-1)),0),EDATE(Bonds!$H79,6*(6-1))))</f>
        <v/>
      </c>
      <c r="K79" s="3" t="str">
        <f>IF(7&gt;$C79,"",IF($D79=1,EOMONTH(EDATE(Bonds!$H79,6*(7-1)),0),EDATE(Bonds!$H79,6*(7-1))))</f>
        <v/>
      </c>
      <c r="L79" s="3" t="str">
        <f>IF(8&gt;$C79,"",IF($D79=1,EOMONTH(EDATE(Bonds!$H79,6*(8-1)),0),EDATE(Bonds!$H79,6*(8-1))))</f>
        <v/>
      </c>
      <c r="M79" s="3" t="str">
        <f>IF(9&gt;$C79,"",IF($D79=1,EOMONTH(EDATE(Bonds!$H79,6*(9-1)),0),EDATE(Bonds!$H79,6*(9-1))))</f>
        <v/>
      </c>
      <c r="N79" s="3" t="str">
        <f>IF(10&gt;$C79,"",IF($D79=1,EOMONTH(EDATE(Bonds!$H79,6*(10-1)),0),EDATE(Bonds!$H79,6*(10-1))))</f>
        <v/>
      </c>
      <c r="O79" s="3" t="str">
        <f>IF(11&gt;$C79,"",IF($D79=1,EOMONTH(EDATE(Bonds!$H79,6*(11-1)),0),EDATE(Bonds!$H79,6*(11-1))))</f>
        <v/>
      </c>
      <c r="P79" s="3" t="str">
        <f>IF(12&gt;$C79,"",IF($D79=1,EOMONTH(EDATE(Bonds!$H79,6*(12-1)),0),EDATE(Bonds!$H79,6*(12-1))))</f>
        <v/>
      </c>
      <c r="Q79" s="3" t="str">
        <f>IF(13&gt;$C79,"",IF($D79=1,EOMONTH(EDATE(Bonds!$H79,6*(13-1)),0),EDATE(Bonds!$H79,6*(13-1))))</f>
        <v/>
      </c>
      <c r="R79" s="3" t="str">
        <f>IF(14&gt;$C79,"",IF($D79=1,EOMONTH(EDATE(Bonds!$H79,6*(14-1)),0),EDATE(Bonds!$H79,6*(14-1))))</f>
        <v/>
      </c>
      <c r="S79" s="3" t="str">
        <f>IF(15&gt;$C79,"",IF($D79=1,EOMONTH(EDATE(Bonds!$H79,6*(15-1)),0),EDATE(Bonds!$H79,6*(15-1))))</f>
        <v/>
      </c>
      <c r="T79" s="3" t="str">
        <f>IF(16&gt;$C79,"",IF($D79=1,EOMONTH(EDATE(Bonds!$H79,6*(16-1)),0),EDATE(Bonds!$H79,6*(16-1))))</f>
        <v/>
      </c>
      <c r="U79" s="3" t="str">
        <f>IF(17&gt;$C79,"",IF($D79=1,EOMONTH(EDATE(Bonds!$H79,6*(17-1)),0),EDATE(Bonds!$H79,6*(17-1))))</f>
        <v/>
      </c>
      <c r="V79" s="3" t="str">
        <f>IF(18&gt;$C79,"",IF($D79=1,EOMONTH(EDATE(Bonds!$H79,6*(18-1)),0),EDATE(Bonds!$H79,6*(18-1))))</f>
        <v/>
      </c>
      <c r="W79" s="3" t="str">
        <f>IF(19&gt;$C79,"",IF($D79=1,EOMONTH(EDATE(Bonds!$H79,6*(19-1)),0),EDATE(Bonds!$H79,6*(19-1))))</f>
        <v/>
      </c>
      <c r="X79" s="3" t="str">
        <f>IF(20&gt;$C79,"",IF($D79=1,EOMONTH(EDATE(Bonds!$H79,6*(20-1)),0),EDATE(Bonds!$H79,6*(20-1))))</f>
        <v/>
      </c>
      <c r="Y79" s="3" t="str">
        <f>IF(21&gt;$C79,"",IF($D79=1,EOMONTH(EDATE(Bonds!$H79,6*(21-1)),0),EDATE(Bonds!$H79,6*(21-1))))</f>
        <v/>
      </c>
      <c r="Z79" s="3" t="str">
        <f>IF(22&gt;$C79,"",IF($D79=1,EOMONTH(EDATE(Bonds!$H79,6*(22-1)),0),EDATE(Bonds!$H79,6*(22-1))))</f>
        <v/>
      </c>
      <c r="AA79" s="3" t="str">
        <f>IF(23&gt;$C79,"",IF($D79=1,EOMONTH(EDATE(Bonds!$H79,6*(23-1)),0),EDATE(Bonds!$H79,6*(23-1))))</f>
        <v/>
      </c>
      <c r="AB79" s="3" t="str">
        <f>IF(24&gt;$C79,"",IF($D79=1,EOMONTH(EDATE(Bonds!$H79,6*(24-1)),0),EDATE(Bonds!$H79,6*(24-1))))</f>
        <v/>
      </c>
      <c r="AC79" s="3" t="str">
        <f>IF(25&gt;$C79,"",IF($D79=1,EOMONTH(EDATE(Bonds!$H79,6*(25-1)),0),EDATE(Bonds!$H79,6*(25-1))))</f>
        <v/>
      </c>
      <c r="AD79" s="3" t="str">
        <f>IF(26&gt;$C79,"",IF($D79=1,EOMONTH(EDATE(Bonds!$H79,6*(26-1)),0),EDATE(Bonds!$H79,6*(26-1))))</f>
        <v/>
      </c>
      <c r="AE79" s="3" t="str">
        <f>IF(27&gt;$C79,"",IF($D79=1,EOMONTH(EDATE(Bonds!$H79,6*(27-1)),0),EDATE(Bonds!$H79,6*(27-1))))</f>
        <v/>
      </c>
      <c r="AF79" s="3" t="str">
        <f>IF(28&gt;$C79,"",IF($D79=1,EOMONTH(EDATE(Bonds!$H79,6*(28-1)),0),EDATE(Bonds!$H79,6*(28-1))))</f>
        <v/>
      </c>
      <c r="AG79" s="3" t="str">
        <f>IF(29&gt;$C79,"",IF($D79=1,EOMONTH(EDATE(Bonds!$H79,6*(29-1)),0),EDATE(Bonds!$H79,6*(29-1))))</f>
        <v/>
      </c>
      <c r="AH79" s="3" t="str">
        <f>IF(30&gt;$C79,"",IF($D79=1,EOMONTH(EDATE(Bonds!$H79,6*(30-1)),0),EDATE(Bonds!$H79,6*(30-1))))</f>
        <v/>
      </c>
      <c r="AI79" s="3" t="str">
        <f>IF(31&gt;$C79,"",IF($D79=1,EOMONTH(EDATE(Bonds!$H79,6*(31-1)),0),EDATE(Bonds!$H79,6*(31-1))))</f>
        <v/>
      </c>
      <c r="AJ79" s="3" t="str">
        <f>IF(32&gt;$C79,"",IF($D79=1,EOMONTH(EDATE(Bonds!$H79,6*(32-1)),0),EDATE(Bonds!$H79,6*(32-1))))</f>
        <v/>
      </c>
      <c r="AK79" s="3" t="str">
        <f>IF(33&gt;$C79,"",IF($D79=1,EOMONTH(EDATE(Bonds!$H79,6*(33-1)),0),EDATE(Bonds!$H79,6*(33-1))))</f>
        <v/>
      </c>
      <c r="AL79" s="3" t="str">
        <f>IF(34&gt;$C79,"",IF($D79=1,EOMONTH(EDATE(Bonds!$H79,6*(34-1)),0),EDATE(Bonds!$H79,6*(34-1))))</f>
        <v/>
      </c>
      <c r="AM79" s="3" t="str">
        <f>IF(35&gt;$C79,"",IF($D79=1,EOMONTH(EDATE(Bonds!$H79,6*(35-1)),0),EDATE(Bonds!$H79,6*(35-1))))</f>
        <v/>
      </c>
      <c r="AN79" s="3" t="str">
        <f>IF(36&gt;$C79,"",IF($D79=1,EOMONTH(EDATE(Bonds!$H79,6*(36-1)),0),EDATE(Bonds!$H79,6*(36-1))))</f>
        <v/>
      </c>
      <c r="AO79" s="3" t="str">
        <f>IF(37&gt;$C79,"",IF($D79=1,EOMONTH(EDATE(Bonds!$H79,6*(37-1)),0),EDATE(Bonds!$H79,6*(37-1))))</f>
        <v/>
      </c>
      <c r="AP79" s="3" t="str">
        <f>IF(38&gt;$C79,"",IF($D79=1,EOMONTH(EDATE(Bonds!$H79,6*(38-1)),0),EDATE(Bonds!$H79,6*(38-1))))</f>
        <v/>
      </c>
      <c r="AQ79" s="3" t="str">
        <f>IF(39&gt;$C79,"",IF($D79=1,EOMONTH(EDATE(Bonds!$H79,6*(39-1)),0),EDATE(Bonds!$H79,6*(39-1))))</f>
        <v/>
      </c>
      <c r="AR79" s="3" t="str">
        <f>IF(40&gt;$C79,"",IF($D79=1,EOMONTH(EDATE(Bonds!$H79,6*(40-1)),0),EDATE(Bonds!$H79,6*(40-1))))</f>
        <v/>
      </c>
      <c r="AS79" s="3" t="str">
        <f>IF(41&gt;$C79,"",IF($D79=1,EOMONTH(EDATE(Bonds!$H79,6*(41-1)),0),EDATE(Bonds!$H79,6*(41-1))))</f>
        <v/>
      </c>
      <c r="AT79" s="3" t="str">
        <f>IF(42&gt;$C79,"",IF($D79=1,EOMONTH(EDATE(Bonds!$H79,6*(42-1)),0),EDATE(Bonds!$H79,6*(42-1))))</f>
        <v/>
      </c>
      <c r="AU79" s="3" t="str">
        <f>IF(43&gt;$C79,"",IF($D79=1,EOMONTH(EDATE(Bonds!$H79,6*(43-1)),0),EDATE(Bonds!$H79,6*(43-1))))</f>
        <v/>
      </c>
      <c r="AV79" s="3" t="str">
        <f>IF(44&gt;$C79,"",IF($D79=1,EOMONTH(EDATE(Bonds!$H79,6*(44-1)),0),EDATE(Bonds!$H79,6*(44-1))))</f>
        <v/>
      </c>
      <c r="AW79" s="3" t="str">
        <f>IF(45&gt;$C79,"",IF($D79=1,EOMONTH(EDATE(Bonds!$H79,6*(45-1)),0),EDATE(Bonds!$H79,6*(45-1))))</f>
        <v/>
      </c>
      <c r="AX79" s="3" t="str">
        <f>IF(46&gt;$C79,"",IF($D79=1,EOMONTH(EDATE(Bonds!$H79,6*(46-1)),0),EDATE(Bonds!$H79,6*(46-1))))</f>
        <v/>
      </c>
      <c r="AY79" s="3" t="str">
        <f>IF(47&gt;$C79,"",IF($D79=1,EOMONTH(EDATE(Bonds!$H79,6*(47-1)),0),EDATE(Bonds!$H79,6*(47-1))))</f>
        <v/>
      </c>
      <c r="AZ79" s="3" t="str">
        <f>IF(48&gt;$C79,"",IF($D79=1,EOMONTH(EDATE(Bonds!$H79,6*(48-1)),0),EDATE(Bonds!$H79,6*(48-1))))</f>
        <v/>
      </c>
      <c r="BA79" s="3" t="str">
        <f>IF(49&gt;$C79,"",IF($D79=1,EOMONTH(EDATE(Bonds!$H79,6*(49-1)),0),EDATE(Bonds!$H79,6*(49-1))))</f>
        <v/>
      </c>
      <c r="BB79" s="3" t="str">
        <f>IF(50&gt;$C79,"",IF($D79=1,EOMONTH(EDATE(Bonds!$H79,6*(50-1)),0),EDATE(Bonds!$H79,6*(50-1))))</f>
        <v/>
      </c>
      <c r="BC79" s="3" t="str">
        <f>IF(51&gt;$C79,"",IF($D79=1,EOMONTH(EDATE(Bonds!$H79,6*(51-1)),0),EDATE(Bonds!$H79,6*(51-1))))</f>
        <v/>
      </c>
      <c r="BD79" s="3" t="str">
        <f>IF(52&gt;$C79,"",IF($D79=1,EOMONTH(EDATE(Bonds!$H79,6*(52-1)),0),EDATE(Bonds!$H79,6*(52-1))))</f>
        <v/>
      </c>
      <c r="BE79" s="3" t="str">
        <f>IF(53&gt;$C79,"",IF($D79=1,EOMONTH(EDATE(Bonds!$H79,6*(53-1)),0),EDATE(Bonds!$H79,6*(53-1))))</f>
        <v/>
      </c>
      <c r="BF79" s="3" t="str">
        <f>IF(54&gt;$C79,"",IF($D79=1,EOMONTH(EDATE(Bonds!$H79,6*(54-1)),0),EDATE(Bonds!$H79,6*(54-1))))</f>
        <v/>
      </c>
      <c r="BG79" s="3" t="str">
        <f>IF(55&gt;$C79,"",IF($D79=1,EOMONTH(EDATE(Bonds!$H79,6*(55-1)),0),EDATE(Bonds!$H79,6*(55-1))))</f>
        <v/>
      </c>
      <c r="BH79" s="3" t="str">
        <f>IF(56&gt;$C79,"",IF($D79=1,EOMONTH(EDATE(Bonds!$H79,6*(56-1)),0),EDATE(Bonds!$H79,6*(56-1))))</f>
        <v/>
      </c>
      <c r="BI79" s="3" t="str">
        <f>IF(57&gt;$C79,"",IF($D79=1,EOMONTH(EDATE(Bonds!$H79,6*(57-1)),0),EDATE(Bonds!$H79,6*(57-1))))</f>
        <v/>
      </c>
      <c r="BJ79" s="3" t="str">
        <f>IF(58&gt;$C79,"",IF($D79=1,EOMONTH(EDATE(Bonds!$H79,6*(58-1)),0),EDATE(Bonds!$H79,6*(58-1))))</f>
        <v/>
      </c>
      <c r="BK79" s="3" t="str">
        <f>IF(59&gt;$C79,"",IF($D79=1,EOMONTH(EDATE(Bonds!$H79,6*(59-1)),0),EDATE(Bonds!$H79,6*(59-1))))</f>
        <v/>
      </c>
      <c r="BL79" s="3" t="str">
        <f>IF(60&gt;$C79,"",IF($D79=1,EOMONTH(EDATE(Bonds!$H79,6*(60-1)),0),EDATE(Bonds!$H79,6*(60-1))))</f>
        <v/>
      </c>
      <c r="BN79" s="7">
        <f t="shared" si="62"/>
        <v>1.9144411123253822</v>
      </c>
      <c r="BO79" s="7">
        <f t="shared" si="63"/>
        <v>1.8748576914456776</v>
      </c>
      <c r="BP79" s="7">
        <f t="shared" si="64"/>
        <v>96.446774797181277</v>
      </c>
      <c r="BQ79" s="7">
        <f t="shared" si="65"/>
        <v>0</v>
      </c>
      <c r="BR79" s="7">
        <f t="shared" si="66"/>
        <v>0</v>
      </c>
      <c r="BS79" s="7">
        <f t="shared" si="67"/>
        <v>0</v>
      </c>
      <c r="BT79" s="7">
        <f t="shared" si="68"/>
        <v>0</v>
      </c>
      <c r="BU79" s="7">
        <f t="shared" si="69"/>
        <v>0</v>
      </c>
      <c r="BV79" s="7">
        <f t="shared" si="70"/>
        <v>0</v>
      </c>
      <c r="BW79" s="7">
        <f t="shared" si="71"/>
        <v>0</v>
      </c>
      <c r="BX79" s="7">
        <f t="shared" si="72"/>
        <v>0</v>
      </c>
      <c r="BY79" s="7">
        <f t="shared" si="73"/>
        <v>0</v>
      </c>
      <c r="BZ79" s="7">
        <f t="shared" si="74"/>
        <v>0</v>
      </c>
      <c r="CA79" s="7">
        <f t="shared" si="75"/>
        <v>0</v>
      </c>
      <c r="CB79" s="7">
        <f t="shared" si="76"/>
        <v>0</v>
      </c>
      <c r="CC79" s="7">
        <f t="shared" si="77"/>
        <v>0</v>
      </c>
      <c r="CD79" s="7">
        <f t="shared" si="78"/>
        <v>0</v>
      </c>
      <c r="CE79" s="7">
        <f t="shared" si="79"/>
        <v>0</v>
      </c>
      <c r="CF79" s="7">
        <f t="shared" si="80"/>
        <v>0</v>
      </c>
      <c r="CG79" s="7">
        <f t="shared" si="81"/>
        <v>0</v>
      </c>
      <c r="CH79" s="7">
        <f t="shared" si="82"/>
        <v>0</v>
      </c>
      <c r="CI79" s="7">
        <f t="shared" si="83"/>
        <v>0</v>
      </c>
      <c r="CJ79" s="7">
        <f t="shared" si="84"/>
        <v>0</v>
      </c>
      <c r="CK79" s="7">
        <f t="shared" si="85"/>
        <v>0</v>
      </c>
      <c r="CL79" s="7">
        <f t="shared" si="86"/>
        <v>0</v>
      </c>
      <c r="CM79" s="7">
        <f t="shared" si="87"/>
        <v>0</v>
      </c>
      <c r="CN79" s="7">
        <f t="shared" si="88"/>
        <v>0</v>
      </c>
      <c r="CO79" s="7">
        <f t="shared" si="89"/>
        <v>0</v>
      </c>
      <c r="CP79" s="7">
        <f t="shared" si="90"/>
        <v>0</v>
      </c>
      <c r="CQ79" s="7">
        <f t="shared" si="91"/>
        <v>0</v>
      </c>
      <c r="CR79" s="7">
        <f t="shared" si="92"/>
        <v>0</v>
      </c>
      <c r="CS79" s="7">
        <f t="shared" si="93"/>
        <v>0</v>
      </c>
      <c r="CT79" s="7">
        <f t="shared" si="94"/>
        <v>0</v>
      </c>
      <c r="CU79" s="7">
        <f t="shared" si="95"/>
        <v>0</v>
      </c>
      <c r="CV79" s="7">
        <f t="shared" si="96"/>
        <v>0</v>
      </c>
      <c r="CW79" s="7">
        <f t="shared" si="97"/>
        <v>0</v>
      </c>
      <c r="CX79" s="7">
        <f t="shared" si="98"/>
        <v>0</v>
      </c>
      <c r="CY79" s="7">
        <f t="shared" si="99"/>
        <v>0</v>
      </c>
      <c r="CZ79" s="7">
        <f t="shared" si="100"/>
        <v>0</v>
      </c>
      <c r="DA79" s="7">
        <f t="shared" si="101"/>
        <v>0</v>
      </c>
      <c r="DB79" s="7">
        <f t="shared" si="102"/>
        <v>0</v>
      </c>
      <c r="DC79" s="7">
        <f t="shared" si="103"/>
        <v>0</v>
      </c>
      <c r="DD79" s="7">
        <f t="shared" si="104"/>
        <v>0</v>
      </c>
      <c r="DE79" s="7">
        <f t="shared" si="105"/>
        <v>0</v>
      </c>
      <c r="DF79" s="7">
        <f t="shared" si="106"/>
        <v>0</v>
      </c>
      <c r="DG79" s="7">
        <f t="shared" si="107"/>
        <v>0</v>
      </c>
      <c r="DH79" s="7">
        <f t="shared" si="108"/>
        <v>0</v>
      </c>
      <c r="DI79" s="7">
        <f t="shared" si="109"/>
        <v>0</v>
      </c>
      <c r="DJ79" s="7">
        <f t="shared" si="110"/>
        <v>0</v>
      </c>
      <c r="DK79" s="7">
        <f t="shared" si="111"/>
        <v>0</v>
      </c>
      <c r="DL79" s="7">
        <f t="shared" si="112"/>
        <v>0</v>
      </c>
      <c r="DM79" s="7">
        <f t="shared" si="113"/>
        <v>0</v>
      </c>
      <c r="DN79" s="7">
        <f t="shared" si="114"/>
        <v>0</v>
      </c>
      <c r="DO79" s="7">
        <f t="shared" si="115"/>
        <v>0</v>
      </c>
      <c r="DP79" s="7">
        <f t="shared" si="116"/>
        <v>0</v>
      </c>
      <c r="DQ79" s="7">
        <f t="shared" si="117"/>
        <v>0</v>
      </c>
      <c r="DR79" s="7">
        <f t="shared" si="118"/>
        <v>0</v>
      </c>
      <c r="DS79" s="7">
        <f t="shared" si="119"/>
        <v>0</v>
      </c>
      <c r="DT79" s="7">
        <f t="shared" si="120"/>
        <v>0</v>
      </c>
      <c r="DU79" s="7">
        <f t="shared" si="121"/>
        <v>0</v>
      </c>
    </row>
    <row r="80" spans="1:125" x14ac:dyDescent="0.2">
      <c r="A80" s="3">
        <f>Bonds!A80</f>
        <v>46767</v>
      </c>
      <c r="B80" s="4">
        <f>Bonds!B80</f>
        <v>4.25</v>
      </c>
      <c r="C80">
        <f>Bonds!P80</f>
        <v>3</v>
      </c>
      <c r="D80">
        <f t="shared" si="61"/>
        <v>0</v>
      </c>
      <c r="E80" s="3">
        <f>IF(1&gt;$C80,"",IF($D80=1,EOMONTH(EDATE(Bonds!$H80,6*(1-1)),0),EDATE(Bonds!$H80,6*(1-1))))</f>
        <v>46402</v>
      </c>
      <c r="F80" s="3">
        <f>IF(2&gt;$C80,"",IF($D80=1,EOMONTH(EDATE(Bonds!$H80,6*(2-1)),0),EDATE(Bonds!$H80,6*(2-1))))</f>
        <v>46583</v>
      </c>
      <c r="G80" s="3">
        <f>IF(3&gt;$C80,"",IF($D80=1,EOMONTH(EDATE(Bonds!$H80,6*(3-1)),0),EDATE(Bonds!$H80,6*(3-1))))</f>
        <v>46767</v>
      </c>
      <c r="H80" s="3" t="str">
        <f>IF(4&gt;$C80,"",IF($D80=1,EOMONTH(EDATE(Bonds!$H80,6*(4-1)),0),EDATE(Bonds!$H80,6*(4-1))))</f>
        <v/>
      </c>
      <c r="I80" s="3" t="str">
        <f>IF(5&gt;$C80,"",IF($D80=1,EOMONTH(EDATE(Bonds!$H80,6*(5-1)),0),EDATE(Bonds!$H80,6*(5-1))))</f>
        <v/>
      </c>
      <c r="J80" s="3" t="str">
        <f>IF(6&gt;$C80,"",IF($D80=1,EOMONTH(EDATE(Bonds!$H80,6*(6-1)),0),EDATE(Bonds!$H80,6*(6-1))))</f>
        <v/>
      </c>
      <c r="K80" s="3" t="str">
        <f>IF(7&gt;$C80,"",IF($D80=1,EOMONTH(EDATE(Bonds!$H80,6*(7-1)),0),EDATE(Bonds!$H80,6*(7-1))))</f>
        <v/>
      </c>
      <c r="L80" s="3" t="str">
        <f>IF(8&gt;$C80,"",IF($D80=1,EOMONTH(EDATE(Bonds!$H80,6*(8-1)),0),EDATE(Bonds!$H80,6*(8-1))))</f>
        <v/>
      </c>
      <c r="M80" s="3" t="str">
        <f>IF(9&gt;$C80,"",IF($D80=1,EOMONTH(EDATE(Bonds!$H80,6*(9-1)),0),EDATE(Bonds!$H80,6*(9-1))))</f>
        <v/>
      </c>
      <c r="N80" s="3" t="str">
        <f>IF(10&gt;$C80,"",IF($D80=1,EOMONTH(EDATE(Bonds!$H80,6*(10-1)),0),EDATE(Bonds!$H80,6*(10-1))))</f>
        <v/>
      </c>
      <c r="O80" s="3" t="str">
        <f>IF(11&gt;$C80,"",IF($D80=1,EOMONTH(EDATE(Bonds!$H80,6*(11-1)),0),EDATE(Bonds!$H80,6*(11-1))))</f>
        <v/>
      </c>
      <c r="P80" s="3" t="str">
        <f>IF(12&gt;$C80,"",IF($D80=1,EOMONTH(EDATE(Bonds!$H80,6*(12-1)),0),EDATE(Bonds!$H80,6*(12-1))))</f>
        <v/>
      </c>
      <c r="Q80" s="3" t="str">
        <f>IF(13&gt;$C80,"",IF($D80=1,EOMONTH(EDATE(Bonds!$H80,6*(13-1)),0),EDATE(Bonds!$H80,6*(13-1))))</f>
        <v/>
      </c>
      <c r="R80" s="3" t="str">
        <f>IF(14&gt;$C80,"",IF($D80=1,EOMONTH(EDATE(Bonds!$H80,6*(14-1)),0),EDATE(Bonds!$H80,6*(14-1))))</f>
        <v/>
      </c>
      <c r="S80" s="3" t="str">
        <f>IF(15&gt;$C80,"",IF($D80=1,EOMONTH(EDATE(Bonds!$H80,6*(15-1)),0),EDATE(Bonds!$H80,6*(15-1))))</f>
        <v/>
      </c>
      <c r="T80" s="3" t="str">
        <f>IF(16&gt;$C80,"",IF($D80=1,EOMONTH(EDATE(Bonds!$H80,6*(16-1)),0),EDATE(Bonds!$H80,6*(16-1))))</f>
        <v/>
      </c>
      <c r="U80" s="3" t="str">
        <f>IF(17&gt;$C80,"",IF($D80=1,EOMONTH(EDATE(Bonds!$H80,6*(17-1)),0),EDATE(Bonds!$H80,6*(17-1))))</f>
        <v/>
      </c>
      <c r="V80" s="3" t="str">
        <f>IF(18&gt;$C80,"",IF($D80=1,EOMONTH(EDATE(Bonds!$H80,6*(18-1)),0),EDATE(Bonds!$H80,6*(18-1))))</f>
        <v/>
      </c>
      <c r="W80" s="3" t="str">
        <f>IF(19&gt;$C80,"",IF($D80=1,EOMONTH(EDATE(Bonds!$H80,6*(19-1)),0),EDATE(Bonds!$H80,6*(19-1))))</f>
        <v/>
      </c>
      <c r="X80" s="3" t="str">
        <f>IF(20&gt;$C80,"",IF($D80=1,EOMONTH(EDATE(Bonds!$H80,6*(20-1)),0),EDATE(Bonds!$H80,6*(20-1))))</f>
        <v/>
      </c>
      <c r="Y80" s="3" t="str">
        <f>IF(21&gt;$C80,"",IF($D80=1,EOMONTH(EDATE(Bonds!$H80,6*(21-1)),0),EDATE(Bonds!$H80,6*(21-1))))</f>
        <v/>
      </c>
      <c r="Z80" s="3" t="str">
        <f>IF(22&gt;$C80,"",IF($D80=1,EOMONTH(EDATE(Bonds!$H80,6*(22-1)),0),EDATE(Bonds!$H80,6*(22-1))))</f>
        <v/>
      </c>
      <c r="AA80" s="3" t="str">
        <f>IF(23&gt;$C80,"",IF($D80=1,EOMONTH(EDATE(Bonds!$H80,6*(23-1)),0),EDATE(Bonds!$H80,6*(23-1))))</f>
        <v/>
      </c>
      <c r="AB80" s="3" t="str">
        <f>IF(24&gt;$C80,"",IF($D80=1,EOMONTH(EDATE(Bonds!$H80,6*(24-1)),0),EDATE(Bonds!$H80,6*(24-1))))</f>
        <v/>
      </c>
      <c r="AC80" s="3" t="str">
        <f>IF(25&gt;$C80,"",IF($D80=1,EOMONTH(EDATE(Bonds!$H80,6*(25-1)),0),EDATE(Bonds!$H80,6*(25-1))))</f>
        <v/>
      </c>
      <c r="AD80" s="3" t="str">
        <f>IF(26&gt;$C80,"",IF($D80=1,EOMONTH(EDATE(Bonds!$H80,6*(26-1)),0),EDATE(Bonds!$H80,6*(26-1))))</f>
        <v/>
      </c>
      <c r="AE80" s="3" t="str">
        <f>IF(27&gt;$C80,"",IF($D80=1,EOMONTH(EDATE(Bonds!$H80,6*(27-1)),0),EDATE(Bonds!$H80,6*(27-1))))</f>
        <v/>
      </c>
      <c r="AF80" s="3" t="str">
        <f>IF(28&gt;$C80,"",IF($D80=1,EOMONTH(EDATE(Bonds!$H80,6*(28-1)),0),EDATE(Bonds!$H80,6*(28-1))))</f>
        <v/>
      </c>
      <c r="AG80" s="3" t="str">
        <f>IF(29&gt;$C80,"",IF($D80=1,EOMONTH(EDATE(Bonds!$H80,6*(29-1)),0),EDATE(Bonds!$H80,6*(29-1))))</f>
        <v/>
      </c>
      <c r="AH80" s="3" t="str">
        <f>IF(30&gt;$C80,"",IF($D80=1,EOMONTH(EDATE(Bonds!$H80,6*(30-1)),0),EDATE(Bonds!$H80,6*(30-1))))</f>
        <v/>
      </c>
      <c r="AI80" s="3" t="str">
        <f>IF(31&gt;$C80,"",IF($D80=1,EOMONTH(EDATE(Bonds!$H80,6*(31-1)),0),EDATE(Bonds!$H80,6*(31-1))))</f>
        <v/>
      </c>
      <c r="AJ80" s="3" t="str">
        <f>IF(32&gt;$C80,"",IF($D80=1,EOMONTH(EDATE(Bonds!$H80,6*(32-1)),0),EDATE(Bonds!$H80,6*(32-1))))</f>
        <v/>
      </c>
      <c r="AK80" s="3" t="str">
        <f>IF(33&gt;$C80,"",IF($D80=1,EOMONTH(EDATE(Bonds!$H80,6*(33-1)),0),EDATE(Bonds!$H80,6*(33-1))))</f>
        <v/>
      </c>
      <c r="AL80" s="3" t="str">
        <f>IF(34&gt;$C80,"",IF($D80=1,EOMONTH(EDATE(Bonds!$H80,6*(34-1)),0),EDATE(Bonds!$H80,6*(34-1))))</f>
        <v/>
      </c>
      <c r="AM80" s="3" t="str">
        <f>IF(35&gt;$C80,"",IF($D80=1,EOMONTH(EDATE(Bonds!$H80,6*(35-1)),0),EDATE(Bonds!$H80,6*(35-1))))</f>
        <v/>
      </c>
      <c r="AN80" s="3" t="str">
        <f>IF(36&gt;$C80,"",IF($D80=1,EOMONTH(EDATE(Bonds!$H80,6*(36-1)),0),EDATE(Bonds!$H80,6*(36-1))))</f>
        <v/>
      </c>
      <c r="AO80" s="3" t="str">
        <f>IF(37&gt;$C80,"",IF($D80=1,EOMONTH(EDATE(Bonds!$H80,6*(37-1)),0),EDATE(Bonds!$H80,6*(37-1))))</f>
        <v/>
      </c>
      <c r="AP80" s="3" t="str">
        <f>IF(38&gt;$C80,"",IF($D80=1,EOMONTH(EDATE(Bonds!$H80,6*(38-1)),0),EDATE(Bonds!$H80,6*(38-1))))</f>
        <v/>
      </c>
      <c r="AQ80" s="3" t="str">
        <f>IF(39&gt;$C80,"",IF($D80=1,EOMONTH(EDATE(Bonds!$H80,6*(39-1)),0),EDATE(Bonds!$H80,6*(39-1))))</f>
        <v/>
      </c>
      <c r="AR80" s="3" t="str">
        <f>IF(40&gt;$C80,"",IF($D80=1,EOMONTH(EDATE(Bonds!$H80,6*(40-1)),0),EDATE(Bonds!$H80,6*(40-1))))</f>
        <v/>
      </c>
      <c r="AS80" s="3" t="str">
        <f>IF(41&gt;$C80,"",IF($D80=1,EOMONTH(EDATE(Bonds!$H80,6*(41-1)),0),EDATE(Bonds!$H80,6*(41-1))))</f>
        <v/>
      </c>
      <c r="AT80" s="3" t="str">
        <f>IF(42&gt;$C80,"",IF($D80=1,EOMONTH(EDATE(Bonds!$H80,6*(42-1)),0),EDATE(Bonds!$H80,6*(42-1))))</f>
        <v/>
      </c>
      <c r="AU80" s="3" t="str">
        <f>IF(43&gt;$C80,"",IF($D80=1,EOMONTH(EDATE(Bonds!$H80,6*(43-1)),0),EDATE(Bonds!$H80,6*(43-1))))</f>
        <v/>
      </c>
      <c r="AV80" s="3" t="str">
        <f>IF(44&gt;$C80,"",IF($D80=1,EOMONTH(EDATE(Bonds!$H80,6*(44-1)),0),EDATE(Bonds!$H80,6*(44-1))))</f>
        <v/>
      </c>
      <c r="AW80" s="3" t="str">
        <f>IF(45&gt;$C80,"",IF($D80=1,EOMONTH(EDATE(Bonds!$H80,6*(45-1)),0),EDATE(Bonds!$H80,6*(45-1))))</f>
        <v/>
      </c>
      <c r="AX80" s="3" t="str">
        <f>IF(46&gt;$C80,"",IF($D80=1,EOMONTH(EDATE(Bonds!$H80,6*(46-1)),0),EDATE(Bonds!$H80,6*(46-1))))</f>
        <v/>
      </c>
      <c r="AY80" s="3" t="str">
        <f>IF(47&gt;$C80,"",IF($D80=1,EOMONTH(EDATE(Bonds!$H80,6*(47-1)),0),EDATE(Bonds!$H80,6*(47-1))))</f>
        <v/>
      </c>
      <c r="AZ80" s="3" t="str">
        <f>IF(48&gt;$C80,"",IF($D80=1,EOMONTH(EDATE(Bonds!$H80,6*(48-1)),0),EDATE(Bonds!$H80,6*(48-1))))</f>
        <v/>
      </c>
      <c r="BA80" s="3" t="str">
        <f>IF(49&gt;$C80,"",IF($D80=1,EOMONTH(EDATE(Bonds!$H80,6*(49-1)),0),EDATE(Bonds!$H80,6*(49-1))))</f>
        <v/>
      </c>
      <c r="BB80" s="3" t="str">
        <f>IF(50&gt;$C80,"",IF($D80=1,EOMONTH(EDATE(Bonds!$H80,6*(50-1)),0),EDATE(Bonds!$H80,6*(50-1))))</f>
        <v/>
      </c>
      <c r="BC80" s="3" t="str">
        <f>IF(51&gt;$C80,"",IF($D80=1,EOMONTH(EDATE(Bonds!$H80,6*(51-1)),0),EDATE(Bonds!$H80,6*(51-1))))</f>
        <v/>
      </c>
      <c r="BD80" s="3" t="str">
        <f>IF(52&gt;$C80,"",IF($D80=1,EOMONTH(EDATE(Bonds!$H80,6*(52-1)),0),EDATE(Bonds!$H80,6*(52-1))))</f>
        <v/>
      </c>
      <c r="BE80" s="3" t="str">
        <f>IF(53&gt;$C80,"",IF($D80=1,EOMONTH(EDATE(Bonds!$H80,6*(53-1)),0),EDATE(Bonds!$H80,6*(53-1))))</f>
        <v/>
      </c>
      <c r="BF80" s="3" t="str">
        <f>IF(54&gt;$C80,"",IF($D80=1,EOMONTH(EDATE(Bonds!$H80,6*(54-1)),0),EDATE(Bonds!$H80,6*(54-1))))</f>
        <v/>
      </c>
      <c r="BG80" s="3" t="str">
        <f>IF(55&gt;$C80,"",IF($D80=1,EOMONTH(EDATE(Bonds!$H80,6*(55-1)),0),EDATE(Bonds!$H80,6*(55-1))))</f>
        <v/>
      </c>
      <c r="BH80" s="3" t="str">
        <f>IF(56&gt;$C80,"",IF($D80=1,EOMONTH(EDATE(Bonds!$H80,6*(56-1)),0),EDATE(Bonds!$H80,6*(56-1))))</f>
        <v/>
      </c>
      <c r="BI80" s="3" t="str">
        <f>IF(57&gt;$C80,"",IF($D80=1,EOMONTH(EDATE(Bonds!$H80,6*(57-1)),0),EDATE(Bonds!$H80,6*(57-1))))</f>
        <v/>
      </c>
      <c r="BJ80" s="3" t="str">
        <f>IF(58&gt;$C80,"",IF($D80=1,EOMONTH(EDATE(Bonds!$H80,6*(58-1)),0),EDATE(Bonds!$H80,6*(58-1))))</f>
        <v/>
      </c>
      <c r="BK80" s="3" t="str">
        <f>IF(59&gt;$C80,"",IF($D80=1,EOMONTH(EDATE(Bonds!$H80,6*(59-1)),0),EDATE(Bonds!$H80,6*(59-1))))</f>
        <v/>
      </c>
      <c r="BL80" s="3" t="str">
        <f>IF(60&gt;$C80,"",IF($D80=1,EOMONTH(EDATE(Bonds!$H80,6*(60-1)),0),EDATE(Bonds!$H80,6*(60-1))))</f>
        <v/>
      </c>
      <c r="BN80" s="7">
        <f t="shared" si="62"/>
        <v>2.0962318688777817</v>
      </c>
      <c r="BO80" s="7">
        <f t="shared" si="63"/>
        <v>2.0525973806959468</v>
      </c>
      <c r="BP80" s="7">
        <f t="shared" si="64"/>
        <v>96.444206711001968</v>
      </c>
      <c r="BQ80" s="7">
        <f t="shared" si="65"/>
        <v>0</v>
      </c>
      <c r="BR80" s="7">
        <f t="shared" si="66"/>
        <v>0</v>
      </c>
      <c r="BS80" s="7">
        <f t="shared" si="67"/>
        <v>0</v>
      </c>
      <c r="BT80" s="7">
        <f t="shared" si="68"/>
        <v>0</v>
      </c>
      <c r="BU80" s="7">
        <f t="shared" si="69"/>
        <v>0</v>
      </c>
      <c r="BV80" s="7">
        <f t="shared" si="70"/>
        <v>0</v>
      </c>
      <c r="BW80" s="7">
        <f t="shared" si="71"/>
        <v>0</v>
      </c>
      <c r="BX80" s="7">
        <f t="shared" si="72"/>
        <v>0</v>
      </c>
      <c r="BY80" s="7">
        <f t="shared" si="73"/>
        <v>0</v>
      </c>
      <c r="BZ80" s="7">
        <f t="shared" si="74"/>
        <v>0</v>
      </c>
      <c r="CA80" s="7">
        <f t="shared" si="75"/>
        <v>0</v>
      </c>
      <c r="CB80" s="7">
        <f t="shared" si="76"/>
        <v>0</v>
      </c>
      <c r="CC80" s="7">
        <f t="shared" si="77"/>
        <v>0</v>
      </c>
      <c r="CD80" s="7">
        <f t="shared" si="78"/>
        <v>0</v>
      </c>
      <c r="CE80" s="7">
        <f t="shared" si="79"/>
        <v>0</v>
      </c>
      <c r="CF80" s="7">
        <f t="shared" si="80"/>
        <v>0</v>
      </c>
      <c r="CG80" s="7">
        <f t="shared" si="81"/>
        <v>0</v>
      </c>
      <c r="CH80" s="7">
        <f t="shared" si="82"/>
        <v>0</v>
      </c>
      <c r="CI80" s="7">
        <f t="shared" si="83"/>
        <v>0</v>
      </c>
      <c r="CJ80" s="7">
        <f t="shared" si="84"/>
        <v>0</v>
      </c>
      <c r="CK80" s="7">
        <f t="shared" si="85"/>
        <v>0</v>
      </c>
      <c r="CL80" s="7">
        <f t="shared" si="86"/>
        <v>0</v>
      </c>
      <c r="CM80" s="7">
        <f t="shared" si="87"/>
        <v>0</v>
      </c>
      <c r="CN80" s="7">
        <f t="shared" si="88"/>
        <v>0</v>
      </c>
      <c r="CO80" s="7">
        <f t="shared" si="89"/>
        <v>0</v>
      </c>
      <c r="CP80" s="7">
        <f t="shared" si="90"/>
        <v>0</v>
      </c>
      <c r="CQ80" s="7">
        <f t="shared" si="91"/>
        <v>0</v>
      </c>
      <c r="CR80" s="7">
        <f t="shared" si="92"/>
        <v>0</v>
      </c>
      <c r="CS80" s="7">
        <f t="shared" si="93"/>
        <v>0</v>
      </c>
      <c r="CT80" s="7">
        <f t="shared" si="94"/>
        <v>0</v>
      </c>
      <c r="CU80" s="7">
        <f t="shared" si="95"/>
        <v>0</v>
      </c>
      <c r="CV80" s="7">
        <f t="shared" si="96"/>
        <v>0</v>
      </c>
      <c r="CW80" s="7">
        <f t="shared" si="97"/>
        <v>0</v>
      </c>
      <c r="CX80" s="7">
        <f t="shared" si="98"/>
        <v>0</v>
      </c>
      <c r="CY80" s="7">
        <f t="shared" si="99"/>
        <v>0</v>
      </c>
      <c r="CZ80" s="7">
        <f t="shared" si="100"/>
        <v>0</v>
      </c>
      <c r="DA80" s="7">
        <f t="shared" si="101"/>
        <v>0</v>
      </c>
      <c r="DB80" s="7">
        <f t="shared" si="102"/>
        <v>0</v>
      </c>
      <c r="DC80" s="7">
        <f t="shared" si="103"/>
        <v>0</v>
      </c>
      <c r="DD80" s="7">
        <f t="shared" si="104"/>
        <v>0</v>
      </c>
      <c r="DE80" s="7">
        <f t="shared" si="105"/>
        <v>0</v>
      </c>
      <c r="DF80" s="7">
        <f t="shared" si="106"/>
        <v>0</v>
      </c>
      <c r="DG80" s="7">
        <f t="shared" si="107"/>
        <v>0</v>
      </c>
      <c r="DH80" s="7">
        <f t="shared" si="108"/>
        <v>0</v>
      </c>
      <c r="DI80" s="7">
        <f t="shared" si="109"/>
        <v>0</v>
      </c>
      <c r="DJ80" s="7">
        <f t="shared" si="110"/>
        <v>0</v>
      </c>
      <c r="DK80" s="7">
        <f t="shared" si="111"/>
        <v>0</v>
      </c>
      <c r="DL80" s="7">
        <f t="shared" si="112"/>
        <v>0</v>
      </c>
      <c r="DM80" s="7">
        <f t="shared" si="113"/>
        <v>0</v>
      </c>
      <c r="DN80" s="7">
        <f t="shared" si="114"/>
        <v>0</v>
      </c>
      <c r="DO80" s="7">
        <f t="shared" si="115"/>
        <v>0</v>
      </c>
      <c r="DP80" s="7">
        <f t="shared" si="116"/>
        <v>0</v>
      </c>
      <c r="DQ80" s="7">
        <f t="shared" si="117"/>
        <v>0</v>
      </c>
      <c r="DR80" s="7">
        <f t="shared" si="118"/>
        <v>0</v>
      </c>
      <c r="DS80" s="7">
        <f t="shared" si="119"/>
        <v>0</v>
      </c>
      <c r="DT80" s="7">
        <f t="shared" si="120"/>
        <v>0</v>
      </c>
      <c r="DU80" s="7">
        <f t="shared" si="121"/>
        <v>0</v>
      </c>
    </row>
    <row r="81" spans="1:125" x14ac:dyDescent="0.2">
      <c r="A81" s="3">
        <f>Bonds!A81</f>
        <v>46783</v>
      </c>
      <c r="B81" s="4">
        <f>Bonds!B81</f>
        <v>0.75</v>
      </c>
      <c r="C81">
        <f>Bonds!P81</f>
        <v>3</v>
      </c>
      <c r="D81">
        <f t="shared" si="61"/>
        <v>1</v>
      </c>
      <c r="E81" s="3">
        <f>IF(1&gt;$C81,"",IF($D81=1,EOMONTH(EDATE(Bonds!$H81,6*(1-1)),0),EDATE(Bonds!$H81,6*(1-1))))</f>
        <v>46418</v>
      </c>
      <c r="F81" s="3">
        <f>IF(2&gt;$C81,"",IF($D81=1,EOMONTH(EDATE(Bonds!$H81,6*(2-1)),0),EDATE(Bonds!$H81,6*(2-1))))</f>
        <v>46599</v>
      </c>
      <c r="G81" s="3">
        <f>IF(3&gt;$C81,"",IF($D81=1,EOMONTH(EDATE(Bonds!$H81,6*(3-1)),0),EDATE(Bonds!$H81,6*(3-1))))</f>
        <v>46783</v>
      </c>
      <c r="H81" s="3" t="str">
        <f>IF(4&gt;$C81,"",IF($D81=1,EOMONTH(EDATE(Bonds!$H81,6*(4-1)),0),EDATE(Bonds!$H81,6*(4-1))))</f>
        <v/>
      </c>
      <c r="I81" s="3" t="str">
        <f>IF(5&gt;$C81,"",IF($D81=1,EOMONTH(EDATE(Bonds!$H81,6*(5-1)),0),EDATE(Bonds!$H81,6*(5-1))))</f>
        <v/>
      </c>
      <c r="J81" s="3" t="str">
        <f>IF(6&gt;$C81,"",IF($D81=1,EOMONTH(EDATE(Bonds!$H81,6*(6-1)),0),EDATE(Bonds!$H81,6*(6-1))))</f>
        <v/>
      </c>
      <c r="K81" s="3" t="str">
        <f>IF(7&gt;$C81,"",IF($D81=1,EOMONTH(EDATE(Bonds!$H81,6*(7-1)),0),EDATE(Bonds!$H81,6*(7-1))))</f>
        <v/>
      </c>
      <c r="L81" s="3" t="str">
        <f>IF(8&gt;$C81,"",IF($D81=1,EOMONTH(EDATE(Bonds!$H81,6*(8-1)),0),EDATE(Bonds!$H81,6*(8-1))))</f>
        <v/>
      </c>
      <c r="M81" s="3" t="str">
        <f>IF(9&gt;$C81,"",IF($D81=1,EOMONTH(EDATE(Bonds!$H81,6*(9-1)),0),EDATE(Bonds!$H81,6*(9-1))))</f>
        <v/>
      </c>
      <c r="N81" s="3" t="str">
        <f>IF(10&gt;$C81,"",IF($D81=1,EOMONTH(EDATE(Bonds!$H81,6*(10-1)),0),EDATE(Bonds!$H81,6*(10-1))))</f>
        <v/>
      </c>
      <c r="O81" s="3" t="str">
        <f>IF(11&gt;$C81,"",IF($D81=1,EOMONTH(EDATE(Bonds!$H81,6*(11-1)),0),EDATE(Bonds!$H81,6*(11-1))))</f>
        <v/>
      </c>
      <c r="P81" s="3" t="str">
        <f>IF(12&gt;$C81,"",IF($D81=1,EOMONTH(EDATE(Bonds!$H81,6*(12-1)),0),EDATE(Bonds!$H81,6*(12-1))))</f>
        <v/>
      </c>
      <c r="Q81" s="3" t="str">
        <f>IF(13&gt;$C81,"",IF($D81=1,EOMONTH(EDATE(Bonds!$H81,6*(13-1)),0),EDATE(Bonds!$H81,6*(13-1))))</f>
        <v/>
      </c>
      <c r="R81" s="3" t="str">
        <f>IF(14&gt;$C81,"",IF($D81=1,EOMONTH(EDATE(Bonds!$H81,6*(14-1)),0),EDATE(Bonds!$H81,6*(14-1))))</f>
        <v/>
      </c>
      <c r="S81" s="3" t="str">
        <f>IF(15&gt;$C81,"",IF($D81=1,EOMONTH(EDATE(Bonds!$H81,6*(15-1)),0),EDATE(Bonds!$H81,6*(15-1))))</f>
        <v/>
      </c>
      <c r="T81" s="3" t="str">
        <f>IF(16&gt;$C81,"",IF($D81=1,EOMONTH(EDATE(Bonds!$H81,6*(16-1)),0),EDATE(Bonds!$H81,6*(16-1))))</f>
        <v/>
      </c>
      <c r="U81" s="3" t="str">
        <f>IF(17&gt;$C81,"",IF($D81=1,EOMONTH(EDATE(Bonds!$H81,6*(17-1)),0),EDATE(Bonds!$H81,6*(17-1))))</f>
        <v/>
      </c>
      <c r="V81" s="3" t="str">
        <f>IF(18&gt;$C81,"",IF($D81=1,EOMONTH(EDATE(Bonds!$H81,6*(18-1)),0),EDATE(Bonds!$H81,6*(18-1))))</f>
        <v/>
      </c>
      <c r="W81" s="3" t="str">
        <f>IF(19&gt;$C81,"",IF($D81=1,EOMONTH(EDATE(Bonds!$H81,6*(19-1)),0),EDATE(Bonds!$H81,6*(19-1))))</f>
        <v/>
      </c>
      <c r="X81" s="3" t="str">
        <f>IF(20&gt;$C81,"",IF($D81=1,EOMONTH(EDATE(Bonds!$H81,6*(20-1)),0),EDATE(Bonds!$H81,6*(20-1))))</f>
        <v/>
      </c>
      <c r="Y81" s="3" t="str">
        <f>IF(21&gt;$C81,"",IF($D81=1,EOMONTH(EDATE(Bonds!$H81,6*(21-1)),0),EDATE(Bonds!$H81,6*(21-1))))</f>
        <v/>
      </c>
      <c r="Z81" s="3" t="str">
        <f>IF(22&gt;$C81,"",IF($D81=1,EOMONTH(EDATE(Bonds!$H81,6*(22-1)),0),EDATE(Bonds!$H81,6*(22-1))))</f>
        <v/>
      </c>
      <c r="AA81" s="3" t="str">
        <f>IF(23&gt;$C81,"",IF($D81=1,EOMONTH(EDATE(Bonds!$H81,6*(23-1)),0),EDATE(Bonds!$H81,6*(23-1))))</f>
        <v/>
      </c>
      <c r="AB81" s="3" t="str">
        <f>IF(24&gt;$C81,"",IF($D81=1,EOMONTH(EDATE(Bonds!$H81,6*(24-1)),0),EDATE(Bonds!$H81,6*(24-1))))</f>
        <v/>
      </c>
      <c r="AC81" s="3" t="str">
        <f>IF(25&gt;$C81,"",IF($D81=1,EOMONTH(EDATE(Bonds!$H81,6*(25-1)),0),EDATE(Bonds!$H81,6*(25-1))))</f>
        <v/>
      </c>
      <c r="AD81" s="3" t="str">
        <f>IF(26&gt;$C81,"",IF($D81=1,EOMONTH(EDATE(Bonds!$H81,6*(26-1)),0),EDATE(Bonds!$H81,6*(26-1))))</f>
        <v/>
      </c>
      <c r="AE81" s="3" t="str">
        <f>IF(27&gt;$C81,"",IF($D81=1,EOMONTH(EDATE(Bonds!$H81,6*(27-1)),0),EDATE(Bonds!$H81,6*(27-1))))</f>
        <v/>
      </c>
      <c r="AF81" s="3" t="str">
        <f>IF(28&gt;$C81,"",IF($D81=1,EOMONTH(EDATE(Bonds!$H81,6*(28-1)),0),EDATE(Bonds!$H81,6*(28-1))))</f>
        <v/>
      </c>
      <c r="AG81" s="3" t="str">
        <f>IF(29&gt;$C81,"",IF($D81=1,EOMONTH(EDATE(Bonds!$H81,6*(29-1)),0),EDATE(Bonds!$H81,6*(29-1))))</f>
        <v/>
      </c>
      <c r="AH81" s="3" t="str">
        <f>IF(30&gt;$C81,"",IF($D81=1,EOMONTH(EDATE(Bonds!$H81,6*(30-1)),0),EDATE(Bonds!$H81,6*(30-1))))</f>
        <v/>
      </c>
      <c r="AI81" s="3" t="str">
        <f>IF(31&gt;$C81,"",IF($D81=1,EOMONTH(EDATE(Bonds!$H81,6*(31-1)),0),EDATE(Bonds!$H81,6*(31-1))))</f>
        <v/>
      </c>
      <c r="AJ81" s="3" t="str">
        <f>IF(32&gt;$C81,"",IF($D81=1,EOMONTH(EDATE(Bonds!$H81,6*(32-1)),0),EDATE(Bonds!$H81,6*(32-1))))</f>
        <v/>
      </c>
      <c r="AK81" s="3" t="str">
        <f>IF(33&gt;$C81,"",IF($D81=1,EOMONTH(EDATE(Bonds!$H81,6*(33-1)),0),EDATE(Bonds!$H81,6*(33-1))))</f>
        <v/>
      </c>
      <c r="AL81" s="3" t="str">
        <f>IF(34&gt;$C81,"",IF($D81=1,EOMONTH(EDATE(Bonds!$H81,6*(34-1)),0),EDATE(Bonds!$H81,6*(34-1))))</f>
        <v/>
      </c>
      <c r="AM81" s="3" t="str">
        <f>IF(35&gt;$C81,"",IF($D81=1,EOMONTH(EDATE(Bonds!$H81,6*(35-1)),0),EDATE(Bonds!$H81,6*(35-1))))</f>
        <v/>
      </c>
      <c r="AN81" s="3" t="str">
        <f>IF(36&gt;$C81,"",IF($D81=1,EOMONTH(EDATE(Bonds!$H81,6*(36-1)),0),EDATE(Bonds!$H81,6*(36-1))))</f>
        <v/>
      </c>
      <c r="AO81" s="3" t="str">
        <f>IF(37&gt;$C81,"",IF($D81=1,EOMONTH(EDATE(Bonds!$H81,6*(37-1)),0),EDATE(Bonds!$H81,6*(37-1))))</f>
        <v/>
      </c>
      <c r="AP81" s="3" t="str">
        <f>IF(38&gt;$C81,"",IF($D81=1,EOMONTH(EDATE(Bonds!$H81,6*(38-1)),0),EDATE(Bonds!$H81,6*(38-1))))</f>
        <v/>
      </c>
      <c r="AQ81" s="3" t="str">
        <f>IF(39&gt;$C81,"",IF($D81=1,EOMONTH(EDATE(Bonds!$H81,6*(39-1)),0),EDATE(Bonds!$H81,6*(39-1))))</f>
        <v/>
      </c>
      <c r="AR81" s="3" t="str">
        <f>IF(40&gt;$C81,"",IF($D81=1,EOMONTH(EDATE(Bonds!$H81,6*(40-1)),0),EDATE(Bonds!$H81,6*(40-1))))</f>
        <v/>
      </c>
      <c r="AS81" s="3" t="str">
        <f>IF(41&gt;$C81,"",IF($D81=1,EOMONTH(EDATE(Bonds!$H81,6*(41-1)),0),EDATE(Bonds!$H81,6*(41-1))))</f>
        <v/>
      </c>
      <c r="AT81" s="3" t="str">
        <f>IF(42&gt;$C81,"",IF($D81=1,EOMONTH(EDATE(Bonds!$H81,6*(42-1)),0),EDATE(Bonds!$H81,6*(42-1))))</f>
        <v/>
      </c>
      <c r="AU81" s="3" t="str">
        <f>IF(43&gt;$C81,"",IF($D81=1,EOMONTH(EDATE(Bonds!$H81,6*(43-1)),0),EDATE(Bonds!$H81,6*(43-1))))</f>
        <v/>
      </c>
      <c r="AV81" s="3" t="str">
        <f>IF(44&gt;$C81,"",IF($D81=1,EOMONTH(EDATE(Bonds!$H81,6*(44-1)),0),EDATE(Bonds!$H81,6*(44-1))))</f>
        <v/>
      </c>
      <c r="AW81" s="3" t="str">
        <f>IF(45&gt;$C81,"",IF($D81=1,EOMONTH(EDATE(Bonds!$H81,6*(45-1)),0),EDATE(Bonds!$H81,6*(45-1))))</f>
        <v/>
      </c>
      <c r="AX81" s="3" t="str">
        <f>IF(46&gt;$C81,"",IF($D81=1,EOMONTH(EDATE(Bonds!$H81,6*(46-1)),0),EDATE(Bonds!$H81,6*(46-1))))</f>
        <v/>
      </c>
      <c r="AY81" s="3" t="str">
        <f>IF(47&gt;$C81,"",IF($D81=1,EOMONTH(EDATE(Bonds!$H81,6*(47-1)),0),EDATE(Bonds!$H81,6*(47-1))))</f>
        <v/>
      </c>
      <c r="AZ81" s="3" t="str">
        <f>IF(48&gt;$C81,"",IF($D81=1,EOMONTH(EDATE(Bonds!$H81,6*(48-1)),0),EDATE(Bonds!$H81,6*(48-1))))</f>
        <v/>
      </c>
      <c r="BA81" s="3" t="str">
        <f>IF(49&gt;$C81,"",IF($D81=1,EOMONTH(EDATE(Bonds!$H81,6*(49-1)),0),EDATE(Bonds!$H81,6*(49-1))))</f>
        <v/>
      </c>
      <c r="BB81" s="3" t="str">
        <f>IF(50&gt;$C81,"",IF($D81=1,EOMONTH(EDATE(Bonds!$H81,6*(50-1)),0),EDATE(Bonds!$H81,6*(50-1))))</f>
        <v/>
      </c>
      <c r="BC81" s="3" t="str">
        <f>IF(51&gt;$C81,"",IF($D81=1,EOMONTH(EDATE(Bonds!$H81,6*(51-1)),0),EDATE(Bonds!$H81,6*(51-1))))</f>
        <v/>
      </c>
      <c r="BD81" s="3" t="str">
        <f>IF(52&gt;$C81,"",IF($D81=1,EOMONTH(EDATE(Bonds!$H81,6*(52-1)),0),EDATE(Bonds!$H81,6*(52-1))))</f>
        <v/>
      </c>
      <c r="BE81" s="3" t="str">
        <f>IF(53&gt;$C81,"",IF($D81=1,EOMONTH(EDATE(Bonds!$H81,6*(53-1)),0),EDATE(Bonds!$H81,6*(53-1))))</f>
        <v/>
      </c>
      <c r="BF81" s="3" t="str">
        <f>IF(54&gt;$C81,"",IF($D81=1,EOMONTH(EDATE(Bonds!$H81,6*(54-1)),0),EDATE(Bonds!$H81,6*(54-1))))</f>
        <v/>
      </c>
      <c r="BG81" s="3" t="str">
        <f>IF(55&gt;$C81,"",IF($D81=1,EOMONTH(EDATE(Bonds!$H81,6*(55-1)),0),EDATE(Bonds!$H81,6*(55-1))))</f>
        <v/>
      </c>
      <c r="BH81" s="3" t="str">
        <f>IF(56&gt;$C81,"",IF($D81=1,EOMONTH(EDATE(Bonds!$H81,6*(56-1)),0),EDATE(Bonds!$H81,6*(56-1))))</f>
        <v/>
      </c>
      <c r="BI81" s="3" t="str">
        <f>IF(57&gt;$C81,"",IF($D81=1,EOMONTH(EDATE(Bonds!$H81,6*(57-1)),0),EDATE(Bonds!$H81,6*(57-1))))</f>
        <v/>
      </c>
      <c r="BJ81" s="3" t="str">
        <f>IF(58&gt;$C81,"",IF($D81=1,EOMONTH(EDATE(Bonds!$H81,6*(58-1)),0),EDATE(Bonds!$H81,6*(58-1))))</f>
        <v/>
      </c>
      <c r="BK81" s="3" t="str">
        <f>IF(59&gt;$C81,"",IF($D81=1,EOMONTH(EDATE(Bonds!$H81,6*(59-1)),0),EDATE(Bonds!$H81,6*(59-1))))</f>
        <v/>
      </c>
      <c r="BL81" s="3" t="str">
        <f>IF(60&gt;$C81,"",IF($D81=1,EOMONTH(EDATE(Bonds!$H81,6*(60-1)),0),EDATE(Bonds!$H81,6*(60-1))))</f>
        <v/>
      </c>
      <c r="BN81" s="7">
        <f t="shared" si="62"/>
        <v>0.36926325252592285</v>
      </c>
      <c r="BO81" s="7">
        <f t="shared" si="63"/>
        <v>0.36152519193323973</v>
      </c>
      <c r="BP81" s="7">
        <f t="shared" si="64"/>
        <v>94.602933566557127</v>
      </c>
      <c r="BQ81" s="7">
        <f t="shared" si="65"/>
        <v>0</v>
      </c>
      <c r="BR81" s="7">
        <f t="shared" si="66"/>
        <v>0</v>
      </c>
      <c r="BS81" s="7">
        <f t="shared" si="67"/>
        <v>0</v>
      </c>
      <c r="BT81" s="7">
        <f t="shared" si="68"/>
        <v>0</v>
      </c>
      <c r="BU81" s="7">
        <f t="shared" si="69"/>
        <v>0</v>
      </c>
      <c r="BV81" s="7">
        <f t="shared" si="70"/>
        <v>0</v>
      </c>
      <c r="BW81" s="7">
        <f t="shared" si="71"/>
        <v>0</v>
      </c>
      <c r="BX81" s="7">
        <f t="shared" si="72"/>
        <v>0</v>
      </c>
      <c r="BY81" s="7">
        <f t="shared" si="73"/>
        <v>0</v>
      </c>
      <c r="BZ81" s="7">
        <f t="shared" si="74"/>
        <v>0</v>
      </c>
      <c r="CA81" s="7">
        <f t="shared" si="75"/>
        <v>0</v>
      </c>
      <c r="CB81" s="7">
        <f t="shared" si="76"/>
        <v>0</v>
      </c>
      <c r="CC81" s="7">
        <f t="shared" si="77"/>
        <v>0</v>
      </c>
      <c r="CD81" s="7">
        <f t="shared" si="78"/>
        <v>0</v>
      </c>
      <c r="CE81" s="7">
        <f t="shared" si="79"/>
        <v>0</v>
      </c>
      <c r="CF81" s="7">
        <f t="shared" si="80"/>
        <v>0</v>
      </c>
      <c r="CG81" s="7">
        <f t="shared" si="81"/>
        <v>0</v>
      </c>
      <c r="CH81" s="7">
        <f t="shared" si="82"/>
        <v>0</v>
      </c>
      <c r="CI81" s="7">
        <f t="shared" si="83"/>
        <v>0</v>
      </c>
      <c r="CJ81" s="7">
        <f t="shared" si="84"/>
        <v>0</v>
      </c>
      <c r="CK81" s="7">
        <f t="shared" si="85"/>
        <v>0</v>
      </c>
      <c r="CL81" s="7">
        <f t="shared" si="86"/>
        <v>0</v>
      </c>
      <c r="CM81" s="7">
        <f t="shared" si="87"/>
        <v>0</v>
      </c>
      <c r="CN81" s="7">
        <f t="shared" si="88"/>
        <v>0</v>
      </c>
      <c r="CO81" s="7">
        <f t="shared" si="89"/>
        <v>0</v>
      </c>
      <c r="CP81" s="7">
        <f t="shared" si="90"/>
        <v>0</v>
      </c>
      <c r="CQ81" s="7">
        <f t="shared" si="91"/>
        <v>0</v>
      </c>
      <c r="CR81" s="7">
        <f t="shared" si="92"/>
        <v>0</v>
      </c>
      <c r="CS81" s="7">
        <f t="shared" si="93"/>
        <v>0</v>
      </c>
      <c r="CT81" s="7">
        <f t="shared" si="94"/>
        <v>0</v>
      </c>
      <c r="CU81" s="7">
        <f t="shared" si="95"/>
        <v>0</v>
      </c>
      <c r="CV81" s="7">
        <f t="shared" si="96"/>
        <v>0</v>
      </c>
      <c r="CW81" s="7">
        <f t="shared" si="97"/>
        <v>0</v>
      </c>
      <c r="CX81" s="7">
        <f t="shared" si="98"/>
        <v>0</v>
      </c>
      <c r="CY81" s="7">
        <f t="shared" si="99"/>
        <v>0</v>
      </c>
      <c r="CZ81" s="7">
        <f t="shared" si="100"/>
        <v>0</v>
      </c>
      <c r="DA81" s="7">
        <f t="shared" si="101"/>
        <v>0</v>
      </c>
      <c r="DB81" s="7">
        <f t="shared" si="102"/>
        <v>0</v>
      </c>
      <c r="DC81" s="7">
        <f t="shared" si="103"/>
        <v>0</v>
      </c>
      <c r="DD81" s="7">
        <f t="shared" si="104"/>
        <v>0</v>
      </c>
      <c r="DE81" s="7">
        <f t="shared" si="105"/>
        <v>0</v>
      </c>
      <c r="DF81" s="7">
        <f t="shared" si="106"/>
        <v>0</v>
      </c>
      <c r="DG81" s="7">
        <f t="shared" si="107"/>
        <v>0</v>
      </c>
      <c r="DH81" s="7">
        <f t="shared" si="108"/>
        <v>0</v>
      </c>
      <c r="DI81" s="7">
        <f t="shared" si="109"/>
        <v>0</v>
      </c>
      <c r="DJ81" s="7">
        <f t="shared" si="110"/>
        <v>0</v>
      </c>
      <c r="DK81" s="7">
        <f t="shared" si="111"/>
        <v>0</v>
      </c>
      <c r="DL81" s="7">
        <f t="shared" si="112"/>
        <v>0</v>
      </c>
      <c r="DM81" s="7">
        <f t="shared" si="113"/>
        <v>0</v>
      </c>
      <c r="DN81" s="7">
        <f t="shared" si="114"/>
        <v>0</v>
      </c>
      <c r="DO81" s="7">
        <f t="shared" si="115"/>
        <v>0</v>
      </c>
      <c r="DP81" s="7">
        <f t="shared" si="116"/>
        <v>0</v>
      </c>
      <c r="DQ81" s="7">
        <f t="shared" si="117"/>
        <v>0</v>
      </c>
      <c r="DR81" s="7">
        <f t="shared" si="118"/>
        <v>0</v>
      </c>
      <c r="DS81" s="7">
        <f t="shared" si="119"/>
        <v>0</v>
      </c>
      <c r="DT81" s="7">
        <f t="shared" si="120"/>
        <v>0</v>
      </c>
      <c r="DU81" s="7">
        <f t="shared" si="121"/>
        <v>0</v>
      </c>
    </row>
    <row r="82" spans="1:125" x14ac:dyDescent="0.2">
      <c r="A82" s="3">
        <f>Bonds!A82</f>
        <v>46783</v>
      </c>
      <c r="B82" s="4">
        <f>Bonds!B82</f>
        <v>3.5</v>
      </c>
      <c r="C82">
        <f>Bonds!P82</f>
        <v>3</v>
      </c>
      <c r="D82">
        <f t="shared" si="61"/>
        <v>1</v>
      </c>
      <c r="E82" s="3">
        <f>IF(1&gt;$C82,"",IF($D82=1,EOMONTH(EDATE(Bonds!$H82,6*(1-1)),0),EDATE(Bonds!$H82,6*(1-1))))</f>
        <v>46418</v>
      </c>
      <c r="F82" s="3">
        <f>IF(2&gt;$C82,"",IF($D82=1,EOMONTH(EDATE(Bonds!$H82,6*(2-1)),0),EDATE(Bonds!$H82,6*(2-1))))</f>
        <v>46599</v>
      </c>
      <c r="G82" s="3">
        <f>IF(3&gt;$C82,"",IF($D82=1,EOMONTH(EDATE(Bonds!$H82,6*(3-1)),0),EDATE(Bonds!$H82,6*(3-1))))</f>
        <v>46783</v>
      </c>
      <c r="H82" s="3" t="str">
        <f>IF(4&gt;$C82,"",IF($D82=1,EOMONTH(EDATE(Bonds!$H82,6*(4-1)),0),EDATE(Bonds!$H82,6*(4-1))))</f>
        <v/>
      </c>
      <c r="I82" s="3" t="str">
        <f>IF(5&gt;$C82,"",IF($D82=1,EOMONTH(EDATE(Bonds!$H82,6*(5-1)),0),EDATE(Bonds!$H82,6*(5-1))))</f>
        <v/>
      </c>
      <c r="J82" s="3" t="str">
        <f>IF(6&gt;$C82,"",IF($D82=1,EOMONTH(EDATE(Bonds!$H82,6*(6-1)),0),EDATE(Bonds!$H82,6*(6-1))))</f>
        <v/>
      </c>
      <c r="K82" s="3" t="str">
        <f>IF(7&gt;$C82,"",IF($D82=1,EOMONTH(EDATE(Bonds!$H82,6*(7-1)),0),EDATE(Bonds!$H82,6*(7-1))))</f>
        <v/>
      </c>
      <c r="L82" s="3" t="str">
        <f>IF(8&gt;$C82,"",IF($D82=1,EOMONTH(EDATE(Bonds!$H82,6*(8-1)),0),EDATE(Bonds!$H82,6*(8-1))))</f>
        <v/>
      </c>
      <c r="M82" s="3" t="str">
        <f>IF(9&gt;$C82,"",IF($D82=1,EOMONTH(EDATE(Bonds!$H82,6*(9-1)),0),EDATE(Bonds!$H82,6*(9-1))))</f>
        <v/>
      </c>
      <c r="N82" s="3" t="str">
        <f>IF(10&gt;$C82,"",IF($D82=1,EOMONTH(EDATE(Bonds!$H82,6*(10-1)),0),EDATE(Bonds!$H82,6*(10-1))))</f>
        <v/>
      </c>
      <c r="O82" s="3" t="str">
        <f>IF(11&gt;$C82,"",IF($D82=1,EOMONTH(EDATE(Bonds!$H82,6*(11-1)),0),EDATE(Bonds!$H82,6*(11-1))))</f>
        <v/>
      </c>
      <c r="P82" s="3" t="str">
        <f>IF(12&gt;$C82,"",IF($D82=1,EOMONTH(EDATE(Bonds!$H82,6*(12-1)),0),EDATE(Bonds!$H82,6*(12-1))))</f>
        <v/>
      </c>
      <c r="Q82" s="3" t="str">
        <f>IF(13&gt;$C82,"",IF($D82=1,EOMONTH(EDATE(Bonds!$H82,6*(13-1)),0),EDATE(Bonds!$H82,6*(13-1))))</f>
        <v/>
      </c>
      <c r="R82" s="3" t="str">
        <f>IF(14&gt;$C82,"",IF($D82=1,EOMONTH(EDATE(Bonds!$H82,6*(14-1)),0),EDATE(Bonds!$H82,6*(14-1))))</f>
        <v/>
      </c>
      <c r="S82" s="3" t="str">
        <f>IF(15&gt;$C82,"",IF($D82=1,EOMONTH(EDATE(Bonds!$H82,6*(15-1)),0),EDATE(Bonds!$H82,6*(15-1))))</f>
        <v/>
      </c>
      <c r="T82" s="3" t="str">
        <f>IF(16&gt;$C82,"",IF($D82=1,EOMONTH(EDATE(Bonds!$H82,6*(16-1)),0),EDATE(Bonds!$H82,6*(16-1))))</f>
        <v/>
      </c>
      <c r="U82" s="3" t="str">
        <f>IF(17&gt;$C82,"",IF($D82=1,EOMONTH(EDATE(Bonds!$H82,6*(17-1)),0),EDATE(Bonds!$H82,6*(17-1))))</f>
        <v/>
      </c>
      <c r="V82" s="3" t="str">
        <f>IF(18&gt;$C82,"",IF($D82=1,EOMONTH(EDATE(Bonds!$H82,6*(18-1)),0),EDATE(Bonds!$H82,6*(18-1))))</f>
        <v/>
      </c>
      <c r="W82" s="3" t="str">
        <f>IF(19&gt;$C82,"",IF($D82=1,EOMONTH(EDATE(Bonds!$H82,6*(19-1)),0),EDATE(Bonds!$H82,6*(19-1))))</f>
        <v/>
      </c>
      <c r="X82" s="3" t="str">
        <f>IF(20&gt;$C82,"",IF($D82=1,EOMONTH(EDATE(Bonds!$H82,6*(20-1)),0),EDATE(Bonds!$H82,6*(20-1))))</f>
        <v/>
      </c>
      <c r="Y82" s="3" t="str">
        <f>IF(21&gt;$C82,"",IF($D82=1,EOMONTH(EDATE(Bonds!$H82,6*(21-1)),0),EDATE(Bonds!$H82,6*(21-1))))</f>
        <v/>
      </c>
      <c r="Z82" s="3" t="str">
        <f>IF(22&gt;$C82,"",IF($D82=1,EOMONTH(EDATE(Bonds!$H82,6*(22-1)),0),EDATE(Bonds!$H82,6*(22-1))))</f>
        <v/>
      </c>
      <c r="AA82" s="3" t="str">
        <f>IF(23&gt;$C82,"",IF($D82=1,EOMONTH(EDATE(Bonds!$H82,6*(23-1)),0),EDATE(Bonds!$H82,6*(23-1))))</f>
        <v/>
      </c>
      <c r="AB82" s="3" t="str">
        <f>IF(24&gt;$C82,"",IF($D82=1,EOMONTH(EDATE(Bonds!$H82,6*(24-1)),0),EDATE(Bonds!$H82,6*(24-1))))</f>
        <v/>
      </c>
      <c r="AC82" s="3" t="str">
        <f>IF(25&gt;$C82,"",IF($D82=1,EOMONTH(EDATE(Bonds!$H82,6*(25-1)),0),EDATE(Bonds!$H82,6*(25-1))))</f>
        <v/>
      </c>
      <c r="AD82" s="3" t="str">
        <f>IF(26&gt;$C82,"",IF($D82=1,EOMONTH(EDATE(Bonds!$H82,6*(26-1)),0),EDATE(Bonds!$H82,6*(26-1))))</f>
        <v/>
      </c>
      <c r="AE82" s="3" t="str">
        <f>IF(27&gt;$C82,"",IF($D82=1,EOMONTH(EDATE(Bonds!$H82,6*(27-1)),0),EDATE(Bonds!$H82,6*(27-1))))</f>
        <v/>
      </c>
      <c r="AF82" s="3" t="str">
        <f>IF(28&gt;$C82,"",IF($D82=1,EOMONTH(EDATE(Bonds!$H82,6*(28-1)),0),EDATE(Bonds!$H82,6*(28-1))))</f>
        <v/>
      </c>
      <c r="AG82" s="3" t="str">
        <f>IF(29&gt;$C82,"",IF($D82=1,EOMONTH(EDATE(Bonds!$H82,6*(29-1)),0),EDATE(Bonds!$H82,6*(29-1))))</f>
        <v/>
      </c>
      <c r="AH82" s="3" t="str">
        <f>IF(30&gt;$C82,"",IF($D82=1,EOMONTH(EDATE(Bonds!$H82,6*(30-1)),0),EDATE(Bonds!$H82,6*(30-1))))</f>
        <v/>
      </c>
      <c r="AI82" s="3" t="str">
        <f>IF(31&gt;$C82,"",IF($D82=1,EOMONTH(EDATE(Bonds!$H82,6*(31-1)),0),EDATE(Bonds!$H82,6*(31-1))))</f>
        <v/>
      </c>
      <c r="AJ82" s="3" t="str">
        <f>IF(32&gt;$C82,"",IF($D82=1,EOMONTH(EDATE(Bonds!$H82,6*(32-1)),0),EDATE(Bonds!$H82,6*(32-1))))</f>
        <v/>
      </c>
      <c r="AK82" s="3" t="str">
        <f>IF(33&gt;$C82,"",IF($D82=1,EOMONTH(EDATE(Bonds!$H82,6*(33-1)),0),EDATE(Bonds!$H82,6*(33-1))))</f>
        <v/>
      </c>
      <c r="AL82" s="3" t="str">
        <f>IF(34&gt;$C82,"",IF($D82=1,EOMONTH(EDATE(Bonds!$H82,6*(34-1)),0),EDATE(Bonds!$H82,6*(34-1))))</f>
        <v/>
      </c>
      <c r="AM82" s="3" t="str">
        <f>IF(35&gt;$C82,"",IF($D82=1,EOMONTH(EDATE(Bonds!$H82,6*(35-1)),0),EDATE(Bonds!$H82,6*(35-1))))</f>
        <v/>
      </c>
      <c r="AN82" s="3" t="str">
        <f>IF(36&gt;$C82,"",IF($D82=1,EOMONTH(EDATE(Bonds!$H82,6*(36-1)),0),EDATE(Bonds!$H82,6*(36-1))))</f>
        <v/>
      </c>
      <c r="AO82" s="3" t="str">
        <f>IF(37&gt;$C82,"",IF($D82=1,EOMONTH(EDATE(Bonds!$H82,6*(37-1)),0),EDATE(Bonds!$H82,6*(37-1))))</f>
        <v/>
      </c>
      <c r="AP82" s="3" t="str">
        <f>IF(38&gt;$C82,"",IF($D82=1,EOMONTH(EDATE(Bonds!$H82,6*(38-1)),0),EDATE(Bonds!$H82,6*(38-1))))</f>
        <v/>
      </c>
      <c r="AQ82" s="3" t="str">
        <f>IF(39&gt;$C82,"",IF($D82=1,EOMONTH(EDATE(Bonds!$H82,6*(39-1)),0),EDATE(Bonds!$H82,6*(39-1))))</f>
        <v/>
      </c>
      <c r="AR82" s="3" t="str">
        <f>IF(40&gt;$C82,"",IF($D82=1,EOMONTH(EDATE(Bonds!$H82,6*(40-1)),0),EDATE(Bonds!$H82,6*(40-1))))</f>
        <v/>
      </c>
      <c r="AS82" s="3" t="str">
        <f>IF(41&gt;$C82,"",IF($D82=1,EOMONTH(EDATE(Bonds!$H82,6*(41-1)),0),EDATE(Bonds!$H82,6*(41-1))))</f>
        <v/>
      </c>
      <c r="AT82" s="3" t="str">
        <f>IF(42&gt;$C82,"",IF($D82=1,EOMONTH(EDATE(Bonds!$H82,6*(42-1)),0),EDATE(Bonds!$H82,6*(42-1))))</f>
        <v/>
      </c>
      <c r="AU82" s="3" t="str">
        <f>IF(43&gt;$C82,"",IF($D82=1,EOMONTH(EDATE(Bonds!$H82,6*(43-1)),0),EDATE(Bonds!$H82,6*(43-1))))</f>
        <v/>
      </c>
      <c r="AV82" s="3" t="str">
        <f>IF(44&gt;$C82,"",IF($D82=1,EOMONTH(EDATE(Bonds!$H82,6*(44-1)),0),EDATE(Bonds!$H82,6*(44-1))))</f>
        <v/>
      </c>
      <c r="AW82" s="3" t="str">
        <f>IF(45&gt;$C82,"",IF($D82=1,EOMONTH(EDATE(Bonds!$H82,6*(45-1)),0),EDATE(Bonds!$H82,6*(45-1))))</f>
        <v/>
      </c>
      <c r="AX82" s="3" t="str">
        <f>IF(46&gt;$C82,"",IF($D82=1,EOMONTH(EDATE(Bonds!$H82,6*(46-1)),0),EDATE(Bonds!$H82,6*(46-1))))</f>
        <v/>
      </c>
      <c r="AY82" s="3" t="str">
        <f>IF(47&gt;$C82,"",IF($D82=1,EOMONTH(EDATE(Bonds!$H82,6*(47-1)),0),EDATE(Bonds!$H82,6*(47-1))))</f>
        <v/>
      </c>
      <c r="AZ82" s="3" t="str">
        <f>IF(48&gt;$C82,"",IF($D82=1,EOMONTH(EDATE(Bonds!$H82,6*(48-1)),0),EDATE(Bonds!$H82,6*(48-1))))</f>
        <v/>
      </c>
      <c r="BA82" s="3" t="str">
        <f>IF(49&gt;$C82,"",IF($D82=1,EOMONTH(EDATE(Bonds!$H82,6*(49-1)),0),EDATE(Bonds!$H82,6*(49-1))))</f>
        <v/>
      </c>
      <c r="BB82" s="3" t="str">
        <f>IF(50&gt;$C82,"",IF($D82=1,EOMONTH(EDATE(Bonds!$H82,6*(50-1)),0),EDATE(Bonds!$H82,6*(50-1))))</f>
        <v/>
      </c>
      <c r="BC82" s="3" t="str">
        <f>IF(51&gt;$C82,"",IF($D82=1,EOMONTH(EDATE(Bonds!$H82,6*(51-1)),0),EDATE(Bonds!$H82,6*(51-1))))</f>
        <v/>
      </c>
      <c r="BD82" s="3" t="str">
        <f>IF(52&gt;$C82,"",IF($D82=1,EOMONTH(EDATE(Bonds!$H82,6*(52-1)),0),EDATE(Bonds!$H82,6*(52-1))))</f>
        <v/>
      </c>
      <c r="BE82" s="3" t="str">
        <f>IF(53&gt;$C82,"",IF($D82=1,EOMONTH(EDATE(Bonds!$H82,6*(53-1)),0),EDATE(Bonds!$H82,6*(53-1))))</f>
        <v/>
      </c>
      <c r="BF82" s="3" t="str">
        <f>IF(54&gt;$C82,"",IF($D82=1,EOMONTH(EDATE(Bonds!$H82,6*(54-1)),0),EDATE(Bonds!$H82,6*(54-1))))</f>
        <v/>
      </c>
      <c r="BG82" s="3" t="str">
        <f>IF(55&gt;$C82,"",IF($D82=1,EOMONTH(EDATE(Bonds!$H82,6*(55-1)),0),EDATE(Bonds!$H82,6*(55-1))))</f>
        <v/>
      </c>
      <c r="BH82" s="3" t="str">
        <f>IF(56&gt;$C82,"",IF($D82=1,EOMONTH(EDATE(Bonds!$H82,6*(56-1)),0),EDATE(Bonds!$H82,6*(56-1))))</f>
        <v/>
      </c>
      <c r="BI82" s="3" t="str">
        <f>IF(57&gt;$C82,"",IF($D82=1,EOMONTH(EDATE(Bonds!$H82,6*(57-1)),0),EDATE(Bonds!$H82,6*(57-1))))</f>
        <v/>
      </c>
      <c r="BJ82" s="3" t="str">
        <f>IF(58&gt;$C82,"",IF($D82=1,EOMONTH(EDATE(Bonds!$H82,6*(58-1)),0),EDATE(Bonds!$H82,6*(58-1))))</f>
        <v/>
      </c>
      <c r="BK82" s="3" t="str">
        <f>IF(59&gt;$C82,"",IF($D82=1,EOMONTH(EDATE(Bonds!$H82,6*(59-1)),0),EDATE(Bonds!$H82,6*(59-1))))</f>
        <v/>
      </c>
      <c r="BL82" s="3" t="str">
        <f>IF(60&gt;$C82,"",IF($D82=1,EOMONTH(EDATE(Bonds!$H82,6*(60-1)),0),EDATE(Bonds!$H82,6*(60-1))))</f>
        <v/>
      </c>
      <c r="BN82" s="7">
        <f t="shared" si="62"/>
        <v>1.7232285117876398</v>
      </c>
      <c r="BO82" s="7">
        <f t="shared" si="63"/>
        <v>1.6871175623551187</v>
      </c>
      <c r="BP82" s="7">
        <f t="shared" si="64"/>
        <v>95.898864163359278</v>
      </c>
      <c r="BQ82" s="7">
        <f t="shared" si="65"/>
        <v>0</v>
      </c>
      <c r="BR82" s="7">
        <f t="shared" si="66"/>
        <v>0</v>
      </c>
      <c r="BS82" s="7">
        <f t="shared" si="67"/>
        <v>0</v>
      </c>
      <c r="BT82" s="7">
        <f t="shared" si="68"/>
        <v>0</v>
      </c>
      <c r="BU82" s="7">
        <f t="shared" si="69"/>
        <v>0</v>
      </c>
      <c r="BV82" s="7">
        <f t="shared" si="70"/>
        <v>0</v>
      </c>
      <c r="BW82" s="7">
        <f t="shared" si="71"/>
        <v>0</v>
      </c>
      <c r="BX82" s="7">
        <f t="shared" si="72"/>
        <v>0</v>
      </c>
      <c r="BY82" s="7">
        <f t="shared" si="73"/>
        <v>0</v>
      </c>
      <c r="BZ82" s="7">
        <f t="shared" si="74"/>
        <v>0</v>
      </c>
      <c r="CA82" s="7">
        <f t="shared" si="75"/>
        <v>0</v>
      </c>
      <c r="CB82" s="7">
        <f t="shared" si="76"/>
        <v>0</v>
      </c>
      <c r="CC82" s="7">
        <f t="shared" si="77"/>
        <v>0</v>
      </c>
      <c r="CD82" s="7">
        <f t="shared" si="78"/>
        <v>0</v>
      </c>
      <c r="CE82" s="7">
        <f t="shared" si="79"/>
        <v>0</v>
      </c>
      <c r="CF82" s="7">
        <f t="shared" si="80"/>
        <v>0</v>
      </c>
      <c r="CG82" s="7">
        <f t="shared" si="81"/>
        <v>0</v>
      </c>
      <c r="CH82" s="7">
        <f t="shared" si="82"/>
        <v>0</v>
      </c>
      <c r="CI82" s="7">
        <f t="shared" si="83"/>
        <v>0</v>
      </c>
      <c r="CJ82" s="7">
        <f t="shared" si="84"/>
        <v>0</v>
      </c>
      <c r="CK82" s="7">
        <f t="shared" si="85"/>
        <v>0</v>
      </c>
      <c r="CL82" s="7">
        <f t="shared" si="86"/>
        <v>0</v>
      </c>
      <c r="CM82" s="7">
        <f t="shared" si="87"/>
        <v>0</v>
      </c>
      <c r="CN82" s="7">
        <f t="shared" si="88"/>
        <v>0</v>
      </c>
      <c r="CO82" s="7">
        <f t="shared" si="89"/>
        <v>0</v>
      </c>
      <c r="CP82" s="7">
        <f t="shared" si="90"/>
        <v>0</v>
      </c>
      <c r="CQ82" s="7">
        <f t="shared" si="91"/>
        <v>0</v>
      </c>
      <c r="CR82" s="7">
        <f t="shared" si="92"/>
        <v>0</v>
      </c>
      <c r="CS82" s="7">
        <f t="shared" si="93"/>
        <v>0</v>
      </c>
      <c r="CT82" s="7">
        <f t="shared" si="94"/>
        <v>0</v>
      </c>
      <c r="CU82" s="7">
        <f t="shared" si="95"/>
        <v>0</v>
      </c>
      <c r="CV82" s="7">
        <f t="shared" si="96"/>
        <v>0</v>
      </c>
      <c r="CW82" s="7">
        <f t="shared" si="97"/>
        <v>0</v>
      </c>
      <c r="CX82" s="7">
        <f t="shared" si="98"/>
        <v>0</v>
      </c>
      <c r="CY82" s="7">
        <f t="shared" si="99"/>
        <v>0</v>
      </c>
      <c r="CZ82" s="7">
        <f t="shared" si="100"/>
        <v>0</v>
      </c>
      <c r="DA82" s="7">
        <f t="shared" si="101"/>
        <v>0</v>
      </c>
      <c r="DB82" s="7">
        <f t="shared" si="102"/>
        <v>0</v>
      </c>
      <c r="DC82" s="7">
        <f t="shared" si="103"/>
        <v>0</v>
      </c>
      <c r="DD82" s="7">
        <f t="shared" si="104"/>
        <v>0</v>
      </c>
      <c r="DE82" s="7">
        <f t="shared" si="105"/>
        <v>0</v>
      </c>
      <c r="DF82" s="7">
        <f t="shared" si="106"/>
        <v>0</v>
      </c>
      <c r="DG82" s="7">
        <f t="shared" si="107"/>
        <v>0</v>
      </c>
      <c r="DH82" s="7">
        <f t="shared" si="108"/>
        <v>0</v>
      </c>
      <c r="DI82" s="7">
        <f t="shared" si="109"/>
        <v>0</v>
      </c>
      <c r="DJ82" s="7">
        <f t="shared" si="110"/>
        <v>0</v>
      </c>
      <c r="DK82" s="7">
        <f t="shared" si="111"/>
        <v>0</v>
      </c>
      <c r="DL82" s="7">
        <f t="shared" si="112"/>
        <v>0</v>
      </c>
      <c r="DM82" s="7">
        <f t="shared" si="113"/>
        <v>0</v>
      </c>
      <c r="DN82" s="7">
        <f t="shared" si="114"/>
        <v>0</v>
      </c>
      <c r="DO82" s="7">
        <f t="shared" si="115"/>
        <v>0</v>
      </c>
      <c r="DP82" s="7">
        <f t="shared" si="116"/>
        <v>0</v>
      </c>
      <c r="DQ82" s="7">
        <f t="shared" si="117"/>
        <v>0</v>
      </c>
      <c r="DR82" s="7">
        <f t="shared" si="118"/>
        <v>0</v>
      </c>
      <c r="DS82" s="7">
        <f t="shared" si="119"/>
        <v>0</v>
      </c>
      <c r="DT82" s="7">
        <f t="shared" si="120"/>
        <v>0</v>
      </c>
      <c r="DU82" s="7">
        <f t="shared" si="121"/>
        <v>0</v>
      </c>
    </row>
    <row r="83" spans="1:125" x14ac:dyDescent="0.2">
      <c r="A83" s="3">
        <f>Bonds!A83</f>
        <v>46798</v>
      </c>
      <c r="B83" s="4">
        <f>Bonds!B83</f>
        <v>2.75</v>
      </c>
      <c r="C83">
        <f>Bonds!P83</f>
        <v>3</v>
      </c>
      <c r="D83">
        <f t="shared" si="61"/>
        <v>0</v>
      </c>
      <c r="E83" s="3">
        <f>IF(1&gt;$C83,"",IF($D83=1,EOMONTH(EDATE(Bonds!$H83,6*(1-1)),0),EDATE(Bonds!$H83,6*(1-1))))</f>
        <v>46433</v>
      </c>
      <c r="F83" s="3">
        <f>IF(2&gt;$C83,"",IF($D83=1,EOMONTH(EDATE(Bonds!$H83,6*(2-1)),0),EDATE(Bonds!$H83,6*(2-1))))</f>
        <v>46614</v>
      </c>
      <c r="G83" s="3">
        <f>IF(3&gt;$C83,"",IF($D83=1,EOMONTH(EDATE(Bonds!$H83,6*(3-1)),0),EDATE(Bonds!$H83,6*(3-1))))</f>
        <v>46798</v>
      </c>
      <c r="H83" s="3" t="str">
        <f>IF(4&gt;$C83,"",IF($D83=1,EOMONTH(EDATE(Bonds!$H83,6*(4-1)),0),EDATE(Bonds!$H83,6*(4-1))))</f>
        <v/>
      </c>
      <c r="I83" s="3" t="str">
        <f>IF(5&gt;$C83,"",IF($D83=1,EOMONTH(EDATE(Bonds!$H83,6*(5-1)),0),EDATE(Bonds!$H83,6*(5-1))))</f>
        <v/>
      </c>
      <c r="J83" s="3" t="str">
        <f>IF(6&gt;$C83,"",IF($D83=1,EOMONTH(EDATE(Bonds!$H83,6*(6-1)),0),EDATE(Bonds!$H83,6*(6-1))))</f>
        <v/>
      </c>
      <c r="K83" s="3" t="str">
        <f>IF(7&gt;$C83,"",IF($D83=1,EOMONTH(EDATE(Bonds!$H83,6*(7-1)),0),EDATE(Bonds!$H83,6*(7-1))))</f>
        <v/>
      </c>
      <c r="L83" s="3" t="str">
        <f>IF(8&gt;$C83,"",IF($D83=1,EOMONTH(EDATE(Bonds!$H83,6*(8-1)),0),EDATE(Bonds!$H83,6*(8-1))))</f>
        <v/>
      </c>
      <c r="M83" s="3" t="str">
        <f>IF(9&gt;$C83,"",IF($D83=1,EOMONTH(EDATE(Bonds!$H83,6*(9-1)),0),EDATE(Bonds!$H83,6*(9-1))))</f>
        <v/>
      </c>
      <c r="N83" s="3" t="str">
        <f>IF(10&gt;$C83,"",IF($D83=1,EOMONTH(EDATE(Bonds!$H83,6*(10-1)),0),EDATE(Bonds!$H83,6*(10-1))))</f>
        <v/>
      </c>
      <c r="O83" s="3" t="str">
        <f>IF(11&gt;$C83,"",IF($D83=1,EOMONTH(EDATE(Bonds!$H83,6*(11-1)),0),EDATE(Bonds!$H83,6*(11-1))))</f>
        <v/>
      </c>
      <c r="P83" s="3" t="str">
        <f>IF(12&gt;$C83,"",IF($D83=1,EOMONTH(EDATE(Bonds!$H83,6*(12-1)),0),EDATE(Bonds!$H83,6*(12-1))))</f>
        <v/>
      </c>
      <c r="Q83" s="3" t="str">
        <f>IF(13&gt;$C83,"",IF($D83=1,EOMONTH(EDATE(Bonds!$H83,6*(13-1)),0),EDATE(Bonds!$H83,6*(13-1))))</f>
        <v/>
      </c>
      <c r="R83" s="3" t="str">
        <f>IF(14&gt;$C83,"",IF($D83=1,EOMONTH(EDATE(Bonds!$H83,6*(14-1)),0),EDATE(Bonds!$H83,6*(14-1))))</f>
        <v/>
      </c>
      <c r="S83" s="3" t="str">
        <f>IF(15&gt;$C83,"",IF($D83=1,EOMONTH(EDATE(Bonds!$H83,6*(15-1)),0),EDATE(Bonds!$H83,6*(15-1))))</f>
        <v/>
      </c>
      <c r="T83" s="3" t="str">
        <f>IF(16&gt;$C83,"",IF($D83=1,EOMONTH(EDATE(Bonds!$H83,6*(16-1)),0),EDATE(Bonds!$H83,6*(16-1))))</f>
        <v/>
      </c>
      <c r="U83" s="3" t="str">
        <f>IF(17&gt;$C83,"",IF($D83=1,EOMONTH(EDATE(Bonds!$H83,6*(17-1)),0),EDATE(Bonds!$H83,6*(17-1))))</f>
        <v/>
      </c>
      <c r="V83" s="3" t="str">
        <f>IF(18&gt;$C83,"",IF($D83=1,EOMONTH(EDATE(Bonds!$H83,6*(18-1)),0),EDATE(Bonds!$H83,6*(18-1))))</f>
        <v/>
      </c>
      <c r="W83" s="3" t="str">
        <f>IF(19&gt;$C83,"",IF($D83=1,EOMONTH(EDATE(Bonds!$H83,6*(19-1)),0),EDATE(Bonds!$H83,6*(19-1))))</f>
        <v/>
      </c>
      <c r="X83" s="3" t="str">
        <f>IF(20&gt;$C83,"",IF($D83=1,EOMONTH(EDATE(Bonds!$H83,6*(20-1)),0),EDATE(Bonds!$H83,6*(20-1))))</f>
        <v/>
      </c>
      <c r="Y83" s="3" t="str">
        <f>IF(21&gt;$C83,"",IF($D83=1,EOMONTH(EDATE(Bonds!$H83,6*(21-1)),0),EDATE(Bonds!$H83,6*(21-1))))</f>
        <v/>
      </c>
      <c r="Z83" s="3" t="str">
        <f>IF(22&gt;$C83,"",IF($D83=1,EOMONTH(EDATE(Bonds!$H83,6*(22-1)),0),EDATE(Bonds!$H83,6*(22-1))))</f>
        <v/>
      </c>
      <c r="AA83" s="3" t="str">
        <f>IF(23&gt;$C83,"",IF($D83=1,EOMONTH(EDATE(Bonds!$H83,6*(23-1)),0),EDATE(Bonds!$H83,6*(23-1))))</f>
        <v/>
      </c>
      <c r="AB83" s="3" t="str">
        <f>IF(24&gt;$C83,"",IF($D83=1,EOMONTH(EDATE(Bonds!$H83,6*(24-1)),0),EDATE(Bonds!$H83,6*(24-1))))</f>
        <v/>
      </c>
      <c r="AC83" s="3" t="str">
        <f>IF(25&gt;$C83,"",IF($D83=1,EOMONTH(EDATE(Bonds!$H83,6*(25-1)),0),EDATE(Bonds!$H83,6*(25-1))))</f>
        <v/>
      </c>
      <c r="AD83" s="3" t="str">
        <f>IF(26&gt;$C83,"",IF($D83=1,EOMONTH(EDATE(Bonds!$H83,6*(26-1)),0),EDATE(Bonds!$H83,6*(26-1))))</f>
        <v/>
      </c>
      <c r="AE83" s="3" t="str">
        <f>IF(27&gt;$C83,"",IF($D83=1,EOMONTH(EDATE(Bonds!$H83,6*(27-1)),0),EDATE(Bonds!$H83,6*(27-1))))</f>
        <v/>
      </c>
      <c r="AF83" s="3" t="str">
        <f>IF(28&gt;$C83,"",IF($D83=1,EOMONTH(EDATE(Bonds!$H83,6*(28-1)),0),EDATE(Bonds!$H83,6*(28-1))))</f>
        <v/>
      </c>
      <c r="AG83" s="3" t="str">
        <f>IF(29&gt;$C83,"",IF($D83=1,EOMONTH(EDATE(Bonds!$H83,6*(29-1)),0),EDATE(Bonds!$H83,6*(29-1))))</f>
        <v/>
      </c>
      <c r="AH83" s="3" t="str">
        <f>IF(30&gt;$C83,"",IF($D83=1,EOMONTH(EDATE(Bonds!$H83,6*(30-1)),0),EDATE(Bonds!$H83,6*(30-1))))</f>
        <v/>
      </c>
      <c r="AI83" s="3" t="str">
        <f>IF(31&gt;$C83,"",IF($D83=1,EOMONTH(EDATE(Bonds!$H83,6*(31-1)),0),EDATE(Bonds!$H83,6*(31-1))))</f>
        <v/>
      </c>
      <c r="AJ83" s="3" t="str">
        <f>IF(32&gt;$C83,"",IF($D83=1,EOMONTH(EDATE(Bonds!$H83,6*(32-1)),0),EDATE(Bonds!$H83,6*(32-1))))</f>
        <v/>
      </c>
      <c r="AK83" s="3" t="str">
        <f>IF(33&gt;$C83,"",IF($D83=1,EOMONTH(EDATE(Bonds!$H83,6*(33-1)),0),EDATE(Bonds!$H83,6*(33-1))))</f>
        <v/>
      </c>
      <c r="AL83" s="3" t="str">
        <f>IF(34&gt;$C83,"",IF($D83=1,EOMONTH(EDATE(Bonds!$H83,6*(34-1)),0),EDATE(Bonds!$H83,6*(34-1))))</f>
        <v/>
      </c>
      <c r="AM83" s="3" t="str">
        <f>IF(35&gt;$C83,"",IF($D83=1,EOMONTH(EDATE(Bonds!$H83,6*(35-1)),0),EDATE(Bonds!$H83,6*(35-1))))</f>
        <v/>
      </c>
      <c r="AN83" s="3" t="str">
        <f>IF(36&gt;$C83,"",IF($D83=1,EOMONTH(EDATE(Bonds!$H83,6*(36-1)),0),EDATE(Bonds!$H83,6*(36-1))))</f>
        <v/>
      </c>
      <c r="AO83" s="3" t="str">
        <f>IF(37&gt;$C83,"",IF($D83=1,EOMONTH(EDATE(Bonds!$H83,6*(37-1)),0),EDATE(Bonds!$H83,6*(37-1))))</f>
        <v/>
      </c>
      <c r="AP83" s="3" t="str">
        <f>IF(38&gt;$C83,"",IF($D83=1,EOMONTH(EDATE(Bonds!$H83,6*(38-1)),0),EDATE(Bonds!$H83,6*(38-1))))</f>
        <v/>
      </c>
      <c r="AQ83" s="3" t="str">
        <f>IF(39&gt;$C83,"",IF($D83=1,EOMONTH(EDATE(Bonds!$H83,6*(39-1)),0),EDATE(Bonds!$H83,6*(39-1))))</f>
        <v/>
      </c>
      <c r="AR83" s="3" t="str">
        <f>IF(40&gt;$C83,"",IF($D83=1,EOMONTH(EDATE(Bonds!$H83,6*(40-1)),0),EDATE(Bonds!$H83,6*(40-1))))</f>
        <v/>
      </c>
      <c r="AS83" s="3" t="str">
        <f>IF(41&gt;$C83,"",IF($D83=1,EOMONTH(EDATE(Bonds!$H83,6*(41-1)),0),EDATE(Bonds!$H83,6*(41-1))))</f>
        <v/>
      </c>
      <c r="AT83" s="3" t="str">
        <f>IF(42&gt;$C83,"",IF($D83=1,EOMONTH(EDATE(Bonds!$H83,6*(42-1)),0),EDATE(Bonds!$H83,6*(42-1))))</f>
        <v/>
      </c>
      <c r="AU83" s="3" t="str">
        <f>IF(43&gt;$C83,"",IF($D83=1,EOMONTH(EDATE(Bonds!$H83,6*(43-1)),0),EDATE(Bonds!$H83,6*(43-1))))</f>
        <v/>
      </c>
      <c r="AV83" s="3" t="str">
        <f>IF(44&gt;$C83,"",IF($D83=1,EOMONTH(EDATE(Bonds!$H83,6*(44-1)),0),EDATE(Bonds!$H83,6*(44-1))))</f>
        <v/>
      </c>
      <c r="AW83" s="3" t="str">
        <f>IF(45&gt;$C83,"",IF($D83=1,EOMONTH(EDATE(Bonds!$H83,6*(45-1)),0),EDATE(Bonds!$H83,6*(45-1))))</f>
        <v/>
      </c>
      <c r="AX83" s="3" t="str">
        <f>IF(46&gt;$C83,"",IF($D83=1,EOMONTH(EDATE(Bonds!$H83,6*(46-1)),0),EDATE(Bonds!$H83,6*(46-1))))</f>
        <v/>
      </c>
      <c r="AY83" s="3" t="str">
        <f>IF(47&gt;$C83,"",IF($D83=1,EOMONTH(EDATE(Bonds!$H83,6*(47-1)),0),EDATE(Bonds!$H83,6*(47-1))))</f>
        <v/>
      </c>
      <c r="AZ83" s="3" t="str">
        <f>IF(48&gt;$C83,"",IF($D83=1,EOMONTH(EDATE(Bonds!$H83,6*(48-1)),0),EDATE(Bonds!$H83,6*(48-1))))</f>
        <v/>
      </c>
      <c r="BA83" s="3" t="str">
        <f>IF(49&gt;$C83,"",IF($D83=1,EOMONTH(EDATE(Bonds!$H83,6*(49-1)),0),EDATE(Bonds!$H83,6*(49-1))))</f>
        <v/>
      </c>
      <c r="BB83" s="3" t="str">
        <f>IF(50&gt;$C83,"",IF($D83=1,EOMONTH(EDATE(Bonds!$H83,6*(50-1)),0),EDATE(Bonds!$H83,6*(50-1))))</f>
        <v/>
      </c>
      <c r="BC83" s="3" t="str">
        <f>IF(51&gt;$C83,"",IF($D83=1,EOMONTH(EDATE(Bonds!$H83,6*(51-1)),0),EDATE(Bonds!$H83,6*(51-1))))</f>
        <v/>
      </c>
      <c r="BD83" s="3" t="str">
        <f>IF(52&gt;$C83,"",IF($D83=1,EOMONTH(EDATE(Bonds!$H83,6*(52-1)),0),EDATE(Bonds!$H83,6*(52-1))))</f>
        <v/>
      </c>
      <c r="BE83" s="3" t="str">
        <f>IF(53&gt;$C83,"",IF($D83=1,EOMONTH(EDATE(Bonds!$H83,6*(53-1)),0),EDATE(Bonds!$H83,6*(53-1))))</f>
        <v/>
      </c>
      <c r="BF83" s="3" t="str">
        <f>IF(54&gt;$C83,"",IF($D83=1,EOMONTH(EDATE(Bonds!$H83,6*(54-1)),0),EDATE(Bonds!$H83,6*(54-1))))</f>
        <v/>
      </c>
      <c r="BG83" s="3" t="str">
        <f>IF(55&gt;$C83,"",IF($D83=1,EOMONTH(EDATE(Bonds!$H83,6*(55-1)),0),EDATE(Bonds!$H83,6*(55-1))))</f>
        <v/>
      </c>
      <c r="BH83" s="3" t="str">
        <f>IF(56&gt;$C83,"",IF($D83=1,EOMONTH(EDATE(Bonds!$H83,6*(56-1)),0),EDATE(Bonds!$H83,6*(56-1))))</f>
        <v/>
      </c>
      <c r="BI83" s="3" t="str">
        <f>IF(57&gt;$C83,"",IF($D83=1,EOMONTH(EDATE(Bonds!$H83,6*(57-1)),0),EDATE(Bonds!$H83,6*(57-1))))</f>
        <v/>
      </c>
      <c r="BJ83" s="3" t="str">
        <f>IF(58&gt;$C83,"",IF($D83=1,EOMONTH(EDATE(Bonds!$H83,6*(58-1)),0),EDATE(Bonds!$H83,6*(58-1))))</f>
        <v/>
      </c>
      <c r="BK83" s="3" t="str">
        <f>IF(59&gt;$C83,"",IF($D83=1,EOMONTH(EDATE(Bonds!$H83,6*(59-1)),0),EDATE(Bonds!$H83,6*(59-1))))</f>
        <v/>
      </c>
      <c r="BL83" s="3" t="str">
        <f>IF(60&gt;$C83,"",IF($D83=1,EOMONTH(EDATE(Bonds!$H83,6*(60-1)),0),EDATE(Bonds!$H83,6*(60-1))))</f>
        <v/>
      </c>
      <c r="BN83" s="7">
        <f t="shared" si="62"/>
        <v>1.3516792881363997</v>
      </c>
      <c r="BO83" s="7">
        <f t="shared" si="63"/>
        <v>1.3231881545401589</v>
      </c>
      <c r="BP83" s="7">
        <f t="shared" si="64"/>
        <v>95.366920182012478</v>
      </c>
      <c r="BQ83" s="7">
        <f t="shared" si="65"/>
        <v>0</v>
      </c>
      <c r="BR83" s="7">
        <f t="shared" si="66"/>
        <v>0</v>
      </c>
      <c r="BS83" s="7">
        <f t="shared" si="67"/>
        <v>0</v>
      </c>
      <c r="BT83" s="7">
        <f t="shared" si="68"/>
        <v>0</v>
      </c>
      <c r="BU83" s="7">
        <f t="shared" si="69"/>
        <v>0</v>
      </c>
      <c r="BV83" s="7">
        <f t="shared" si="70"/>
        <v>0</v>
      </c>
      <c r="BW83" s="7">
        <f t="shared" si="71"/>
        <v>0</v>
      </c>
      <c r="BX83" s="7">
        <f t="shared" si="72"/>
        <v>0</v>
      </c>
      <c r="BY83" s="7">
        <f t="shared" si="73"/>
        <v>0</v>
      </c>
      <c r="BZ83" s="7">
        <f t="shared" si="74"/>
        <v>0</v>
      </c>
      <c r="CA83" s="7">
        <f t="shared" si="75"/>
        <v>0</v>
      </c>
      <c r="CB83" s="7">
        <f t="shared" si="76"/>
        <v>0</v>
      </c>
      <c r="CC83" s="7">
        <f t="shared" si="77"/>
        <v>0</v>
      </c>
      <c r="CD83" s="7">
        <f t="shared" si="78"/>
        <v>0</v>
      </c>
      <c r="CE83" s="7">
        <f t="shared" si="79"/>
        <v>0</v>
      </c>
      <c r="CF83" s="7">
        <f t="shared" si="80"/>
        <v>0</v>
      </c>
      <c r="CG83" s="7">
        <f t="shared" si="81"/>
        <v>0</v>
      </c>
      <c r="CH83" s="7">
        <f t="shared" si="82"/>
        <v>0</v>
      </c>
      <c r="CI83" s="7">
        <f t="shared" si="83"/>
        <v>0</v>
      </c>
      <c r="CJ83" s="7">
        <f t="shared" si="84"/>
        <v>0</v>
      </c>
      <c r="CK83" s="7">
        <f t="shared" si="85"/>
        <v>0</v>
      </c>
      <c r="CL83" s="7">
        <f t="shared" si="86"/>
        <v>0</v>
      </c>
      <c r="CM83" s="7">
        <f t="shared" si="87"/>
        <v>0</v>
      </c>
      <c r="CN83" s="7">
        <f t="shared" si="88"/>
        <v>0</v>
      </c>
      <c r="CO83" s="7">
        <f t="shared" si="89"/>
        <v>0</v>
      </c>
      <c r="CP83" s="7">
        <f t="shared" si="90"/>
        <v>0</v>
      </c>
      <c r="CQ83" s="7">
        <f t="shared" si="91"/>
        <v>0</v>
      </c>
      <c r="CR83" s="7">
        <f t="shared" si="92"/>
        <v>0</v>
      </c>
      <c r="CS83" s="7">
        <f t="shared" si="93"/>
        <v>0</v>
      </c>
      <c r="CT83" s="7">
        <f t="shared" si="94"/>
        <v>0</v>
      </c>
      <c r="CU83" s="7">
        <f t="shared" si="95"/>
        <v>0</v>
      </c>
      <c r="CV83" s="7">
        <f t="shared" si="96"/>
        <v>0</v>
      </c>
      <c r="CW83" s="7">
        <f t="shared" si="97"/>
        <v>0</v>
      </c>
      <c r="CX83" s="7">
        <f t="shared" si="98"/>
        <v>0</v>
      </c>
      <c r="CY83" s="7">
        <f t="shared" si="99"/>
        <v>0</v>
      </c>
      <c r="CZ83" s="7">
        <f t="shared" si="100"/>
        <v>0</v>
      </c>
      <c r="DA83" s="7">
        <f t="shared" si="101"/>
        <v>0</v>
      </c>
      <c r="DB83" s="7">
        <f t="shared" si="102"/>
        <v>0</v>
      </c>
      <c r="DC83" s="7">
        <f t="shared" si="103"/>
        <v>0</v>
      </c>
      <c r="DD83" s="7">
        <f t="shared" si="104"/>
        <v>0</v>
      </c>
      <c r="DE83" s="7">
        <f t="shared" si="105"/>
        <v>0</v>
      </c>
      <c r="DF83" s="7">
        <f t="shared" si="106"/>
        <v>0</v>
      </c>
      <c r="DG83" s="7">
        <f t="shared" si="107"/>
        <v>0</v>
      </c>
      <c r="DH83" s="7">
        <f t="shared" si="108"/>
        <v>0</v>
      </c>
      <c r="DI83" s="7">
        <f t="shared" si="109"/>
        <v>0</v>
      </c>
      <c r="DJ83" s="7">
        <f t="shared" si="110"/>
        <v>0</v>
      </c>
      <c r="DK83" s="7">
        <f t="shared" si="111"/>
        <v>0</v>
      </c>
      <c r="DL83" s="7">
        <f t="shared" si="112"/>
        <v>0</v>
      </c>
      <c r="DM83" s="7">
        <f t="shared" si="113"/>
        <v>0</v>
      </c>
      <c r="DN83" s="7">
        <f t="shared" si="114"/>
        <v>0</v>
      </c>
      <c r="DO83" s="7">
        <f t="shared" si="115"/>
        <v>0</v>
      </c>
      <c r="DP83" s="7">
        <f t="shared" si="116"/>
        <v>0</v>
      </c>
      <c r="DQ83" s="7">
        <f t="shared" si="117"/>
        <v>0</v>
      </c>
      <c r="DR83" s="7">
        <f t="shared" si="118"/>
        <v>0</v>
      </c>
      <c r="DS83" s="7">
        <f t="shared" si="119"/>
        <v>0</v>
      </c>
      <c r="DT83" s="7">
        <f t="shared" si="120"/>
        <v>0</v>
      </c>
      <c r="DU83" s="7">
        <f t="shared" si="121"/>
        <v>0</v>
      </c>
    </row>
    <row r="84" spans="1:125" x14ac:dyDescent="0.2">
      <c r="A84" s="3">
        <f>Bonds!A84</f>
        <v>46798</v>
      </c>
      <c r="B84" s="4">
        <f>Bonds!B84</f>
        <v>4.25</v>
      </c>
      <c r="C84">
        <f>Bonds!P84</f>
        <v>3</v>
      </c>
      <c r="D84">
        <f t="shared" si="61"/>
        <v>0</v>
      </c>
      <c r="E84" s="3">
        <f>IF(1&gt;$C84,"",IF($D84=1,EOMONTH(EDATE(Bonds!$H84,6*(1-1)),0),EDATE(Bonds!$H84,6*(1-1))))</f>
        <v>46433</v>
      </c>
      <c r="F84" s="3">
        <f>IF(2&gt;$C84,"",IF($D84=1,EOMONTH(EDATE(Bonds!$H84,6*(2-1)),0),EDATE(Bonds!$H84,6*(2-1))))</f>
        <v>46614</v>
      </c>
      <c r="G84" s="3">
        <f>IF(3&gt;$C84,"",IF($D84=1,EOMONTH(EDATE(Bonds!$H84,6*(3-1)),0),EDATE(Bonds!$H84,6*(3-1))))</f>
        <v>46798</v>
      </c>
      <c r="H84" s="3" t="str">
        <f>IF(4&gt;$C84,"",IF($D84=1,EOMONTH(EDATE(Bonds!$H84,6*(4-1)),0),EDATE(Bonds!$H84,6*(4-1))))</f>
        <v/>
      </c>
      <c r="I84" s="3" t="str">
        <f>IF(5&gt;$C84,"",IF($D84=1,EOMONTH(EDATE(Bonds!$H84,6*(5-1)),0),EDATE(Bonds!$H84,6*(5-1))))</f>
        <v/>
      </c>
      <c r="J84" s="3" t="str">
        <f>IF(6&gt;$C84,"",IF($D84=1,EOMONTH(EDATE(Bonds!$H84,6*(6-1)),0),EDATE(Bonds!$H84,6*(6-1))))</f>
        <v/>
      </c>
      <c r="K84" s="3" t="str">
        <f>IF(7&gt;$C84,"",IF($D84=1,EOMONTH(EDATE(Bonds!$H84,6*(7-1)),0),EDATE(Bonds!$H84,6*(7-1))))</f>
        <v/>
      </c>
      <c r="L84" s="3" t="str">
        <f>IF(8&gt;$C84,"",IF($D84=1,EOMONTH(EDATE(Bonds!$H84,6*(8-1)),0),EDATE(Bonds!$H84,6*(8-1))))</f>
        <v/>
      </c>
      <c r="M84" s="3" t="str">
        <f>IF(9&gt;$C84,"",IF($D84=1,EOMONTH(EDATE(Bonds!$H84,6*(9-1)),0),EDATE(Bonds!$H84,6*(9-1))))</f>
        <v/>
      </c>
      <c r="N84" s="3" t="str">
        <f>IF(10&gt;$C84,"",IF($D84=1,EOMONTH(EDATE(Bonds!$H84,6*(10-1)),0),EDATE(Bonds!$H84,6*(10-1))))</f>
        <v/>
      </c>
      <c r="O84" s="3" t="str">
        <f>IF(11&gt;$C84,"",IF($D84=1,EOMONTH(EDATE(Bonds!$H84,6*(11-1)),0),EDATE(Bonds!$H84,6*(11-1))))</f>
        <v/>
      </c>
      <c r="P84" s="3" t="str">
        <f>IF(12&gt;$C84,"",IF($D84=1,EOMONTH(EDATE(Bonds!$H84,6*(12-1)),0),EDATE(Bonds!$H84,6*(12-1))))</f>
        <v/>
      </c>
      <c r="Q84" s="3" t="str">
        <f>IF(13&gt;$C84,"",IF($D84=1,EOMONTH(EDATE(Bonds!$H84,6*(13-1)),0),EDATE(Bonds!$H84,6*(13-1))))</f>
        <v/>
      </c>
      <c r="R84" s="3" t="str">
        <f>IF(14&gt;$C84,"",IF($D84=1,EOMONTH(EDATE(Bonds!$H84,6*(14-1)),0),EDATE(Bonds!$H84,6*(14-1))))</f>
        <v/>
      </c>
      <c r="S84" s="3" t="str">
        <f>IF(15&gt;$C84,"",IF($D84=1,EOMONTH(EDATE(Bonds!$H84,6*(15-1)),0),EDATE(Bonds!$H84,6*(15-1))))</f>
        <v/>
      </c>
      <c r="T84" s="3" t="str">
        <f>IF(16&gt;$C84,"",IF($D84=1,EOMONTH(EDATE(Bonds!$H84,6*(16-1)),0),EDATE(Bonds!$H84,6*(16-1))))</f>
        <v/>
      </c>
      <c r="U84" s="3" t="str">
        <f>IF(17&gt;$C84,"",IF($D84=1,EOMONTH(EDATE(Bonds!$H84,6*(17-1)),0),EDATE(Bonds!$H84,6*(17-1))))</f>
        <v/>
      </c>
      <c r="V84" s="3" t="str">
        <f>IF(18&gt;$C84,"",IF($D84=1,EOMONTH(EDATE(Bonds!$H84,6*(18-1)),0),EDATE(Bonds!$H84,6*(18-1))))</f>
        <v/>
      </c>
      <c r="W84" s="3" t="str">
        <f>IF(19&gt;$C84,"",IF($D84=1,EOMONTH(EDATE(Bonds!$H84,6*(19-1)),0),EDATE(Bonds!$H84,6*(19-1))))</f>
        <v/>
      </c>
      <c r="X84" s="3" t="str">
        <f>IF(20&gt;$C84,"",IF($D84=1,EOMONTH(EDATE(Bonds!$H84,6*(20-1)),0),EDATE(Bonds!$H84,6*(20-1))))</f>
        <v/>
      </c>
      <c r="Y84" s="3" t="str">
        <f>IF(21&gt;$C84,"",IF($D84=1,EOMONTH(EDATE(Bonds!$H84,6*(21-1)),0),EDATE(Bonds!$H84,6*(21-1))))</f>
        <v/>
      </c>
      <c r="Z84" s="3" t="str">
        <f>IF(22&gt;$C84,"",IF($D84=1,EOMONTH(EDATE(Bonds!$H84,6*(22-1)),0),EDATE(Bonds!$H84,6*(22-1))))</f>
        <v/>
      </c>
      <c r="AA84" s="3" t="str">
        <f>IF(23&gt;$C84,"",IF($D84=1,EOMONTH(EDATE(Bonds!$H84,6*(23-1)),0),EDATE(Bonds!$H84,6*(23-1))))</f>
        <v/>
      </c>
      <c r="AB84" s="3" t="str">
        <f>IF(24&gt;$C84,"",IF($D84=1,EOMONTH(EDATE(Bonds!$H84,6*(24-1)),0),EDATE(Bonds!$H84,6*(24-1))))</f>
        <v/>
      </c>
      <c r="AC84" s="3" t="str">
        <f>IF(25&gt;$C84,"",IF($D84=1,EOMONTH(EDATE(Bonds!$H84,6*(25-1)),0),EDATE(Bonds!$H84,6*(25-1))))</f>
        <v/>
      </c>
      <c r="AD84" s="3" t="str">
        <f>IF(26&gt;$C84,"",IF($D84=1,EOMONTH(EDATE(Bonds!$H84,6*(26-1)),0),EDATE(Bonds!$H84,6*(26-1))))</f>
        <v/>
      </c>
      <c r="AE84" s="3" t="str">
        <f>IF(27&gt;$C84,"",IF($D84=1,EOMONTH(EDATE(Bonds!$H84,6*(27-1)),0),EDATE(Bonds!$H84,6*(27-1))))</f>
        <v/>
      </c>
      <c r="AF84" s="3" t="str">
        <f>IF(28&gt;$C84,"",IF($D84=1,EOMONTH(EDATE(Bonds!$H84,6*(28-1)),0),EDATE(Bonds!$H84,6*(28-1))))</f>
        <v/>
      </c>
      <c r="AG84" s="3" t="str">
        <f>IF(29&gt;$C84,"",IF($D84=1,EOMONTH(EDATE(Bonds!$H84,6*(29-1)),0),EDATE(Bonds!$H84,6*(29-1))))</f>
        <v/>
      </c>
      <c r="AH84" s="3" t="str">
        <f>IF(30&gt;$C84,"",IF($D84=1,EOMONTH(EDATE(Bonds!$H84,6*(30-1)),0),EDATE(Bonds!$H84,6*(30-1))))</f>
        <v/>
      </c>
      <c r="AI84" s="3" t="str">
        <f>IF(31&gt;$C84,"",IF($D84=1,EOMONTH(EDATE(Bonds!$H84,6*(31-1)),0),EDATE(Bonds!$H84,6*(31-1))))</f>
        <v/>
      </c>
      <c r="AJ84" s="3" t="str">
        <f>IF(32&gt;$C84,"",IF($D84=1,EOMONTH(EDATE(Bonds!$H84,6*(32-1)),0),EDATE(Bonds!$H84,6*(32-1))))</f>
        <v/>
      </c>
      <c r="AK84" s="3" t="str">
        <f>IF(33&gt;$C84,"",IF($D84=1,EOMONTH(EDATE(Bonds!$H84,6*(33-1)),0),EDATE(Bonds!$H84,6*(33-1))))</f>
        <v/>
      </c>
      <c r="AL84" s="3" t="str">
        <f>IF(34&gt;$C84,"",IF($D84=1,EOMONTH(EDATE(Bonds!$H84,6*(34-1)),0),EDATE(Bonds!$H84,6*(34-1))))</f>
        <v/>
      </c>
      <c r="AM84" s="3" t="str">
        <f>IF(35&gt;$C84,"",IF($D84=1,EOMONTH(EDATE(Bonds!$H84,6*(35-1)),0),EDATE(Bonds!$H84,6*(35-1))))</f>
        <v/>
      </c>
      <c r="AN84" s="3" t="str">
        <f>IF(36&gt;$C84,"",IF($D84=1,EOMONTH(EDATE(Bonds!$H84,6*(36-1)),0),EDATE(Bonds!$H84,6*(36-1))))</f>
        <v/>
      </c>
      <c r="AO84" s="3" t="str">
        <f>IF(37&gt;$C84,"",IF($D84=1,EOMONTH(EDATE(Bonds!$H84,6*(37-1)),0),EDATE(Bonds!$H84,6*(37-1))))</f>
        <v/>
      </c>
      <c r="AP84" s="3" t="str">
        <f>IF(38&gt;$C84,"",IF($D84=1,EOMONTH(EDATE(Bonds!$H84,6*(38-1)),0),EDATE(Bonds!$H84,6*(38-1))))</f>
        <v/>
      </c>
      <c r="AQ84" s="3" t="str">
        <f>IF(39&gt;$C84,"",IF($D84=1,EOMONTH(EDATE(Bonds!$H84,6*(39-1)),0),EDATE(Bonds!$H84,6*(39-1))))</f>
        <v/>
      </c>
      <c r="AR84" s="3" t="str">
        <f>IF(40&gt;$C84,"",IF($D84=1,EOMONTH(EDATE(Bonds!$H84,6*(40-1)),0),EDATE(Bonds!$H84,6*(40-1))))</f>
        <v/>
      </c>
      <c r="AS84" s="3" t="str">
        <f>IF(41&gt;$C84,"",IF($D84=1,EOMONTH(EDATE(Bonds!$H84,6*(41-1)),0),EDATE(Bonds!$H84,6*(41-1))))</f>
        <v/>
      </c>
      <c r="AT84" s="3" t="str">
        <f>IF(42&gt;$C84,"",IF($D84=1,EOMONTH(EDATE(Bonds!$H84,6*(42-1)),0),EDATE(Bonds!$H84,6*(42-1))))</f>
        <v/>
      </c>
      <c r="AU84" s="3" t="str">
        <f>IF(43&gt;$C84,"",IF($D84=1,EOMONTH(EDATE(Bonds!$H84,6*(43-1)),0),EDATE(Bonds!$H84,6*(43-1))))</f>
        <v/>
      </c>
      <c r="AV84" s="3" t="str">
        <f>IF(44&gt;$C84,"",IF($D84=1,EOMONTH(EDATE(Bonds!$H84,6*(44-1)),0),EDATE(Bonds!$H84,6*(44-1))))</f>
        <v/>
      </c>
      <c r="AW84" s="3" t="str">
        <f>IF(45&gt;$C84,"",IF($D84=1,EOMONTH(EDATE(Bonds!$H84,6*(45-1)),0),EDATE(Bonds!$H84,6*(45-1))))</f>
        <v/>
      </c>
      <c r="AX84" s="3" t="str">
        <f>IF(46&gt;$C84,"",IF($D84=1,EOMONTH(EDATE(Bonds!$H84,6*(46-1)),0),EDATE(Bonds!$H84,6*(46-1))))</f>
        <v/>
      </c>
      <c r="AY84" s="3" t="str">
        <f>IF(47&gt;$C84,"",IF($D84=1,EOMONTH(EDATE(Bonds!$H84,6*(47-1)),0),EDATE(Bonds!$H84,6*(47-1))))</f>
        <v/>
      </c>
      <c r="AZ84" s="3" t="str">
        <f>IF(48&gt;$C84,"",IF($D84=1,EOMONTH(EDATE(Bonds!$H84,6*(48-1)),0),EDATE(Bonds!$H84,6*(48-1))))</f>
        <v/>
      </c>
      <c r="BA84" s="3" t="str">
        <f>IF(49&gt;$C84,"",IF($D84=1,EOMONTH(EDATE(Bonds!$H84,6*(49-1)),0),EDATE(Bonds!$H84,6*(49-1))))</f>
        <v/>
      </c>
      <c r="BB84" s="3" t="str">
        <f>IF(50&gt;$C84,"",IF($D84=1,EOMONTH(EDATE(Bonds!$H84,6*(50-1)),0),EDATE(Bonds!$H84,6*(50-1))))</f>
        <v/>
      </c>
      <c r="BC84" s="3" t="str">
        <f>IF(51&gt;$C84,"",IF($D84=1,EOMONTH(EDATE(Bonds!$H84,6*(51-1)),0),EDATE(Bonds!$H84,6*(51-1))))</f>
        <v/>
      </c>
      <c r="BD84" s="3" t="str">
        <f>IF(52&gt;$C84,"",IF($D84=1,EOMONTH(EDATE(Bonds!$H84,6*(52-1)),0),EDATE(Bonds!$H84,6*(52-1))))</f>
        <v/>
      </c>
      <c r="BE84" s="3" t="str">
        <f>IF(53&gt;$C84,"",IF($D84=1,EOMONTH(EDATE(Bonds!$H84,6*(53-1)),0),EDATE(Bonds!$H84,6*(53-1))))</f>
        <v/>
      </c>
      <c r="BF84" s="3" t="str">
        <f>IF(54&gt;$C84,"",IF($D84=1,EOMONTH(EDATE(Bonds!$H84,6*(54-1)),0),EDATE(Bonds!$H84,6*(54-1))))</f>
        <v/>
      </c>
      <c r="BG84" s="3" t="str">
        <f>IF(55&gt;$C84,"",IF($D84=1,EOMONTH(EDATE(Bonds!$H84,6*(55-1)),0),EDATE(Bonds!$H84,6*(55-1))))</f>
        <v/>
      </c>
      <c r="BH84" s="3" t="str">
        <f>IF(56&gt;$C84,"",IF($D84=1,EOMONTH(EDATE(Bonds!$H84,6*(56-1)),0),EDATE(Bonds!$H84,6*(56-1))))</f>
        <v/>
      </c>
      <c r="BI84" s="3" t="str">
        <f>IF(57&gt;$C84,"",IF($D84=1,EOMONTH(EDATE(Bonds!$H84,6*(57-1)),0),EDATE(Bonds!$H84,6*(57-1))))</f>
        <v/>
      </c>
      <c r="BJ84" s="3" t="str">
        <f>IF(58&gt;$C84,"",IF($D84=1,EOMONTH(EDATE(Bonds!$H84,6*(58-1)),0),EDATE(Bonds!$H84,6*(58-1))))</f>
        <v/>
      </c>
      <c r="BK84" s="3" t="str">
        <f>IF(59&gt;$C84,"",IF($D84=1,EOMONTH(EDATE(Bonds!$H84,6*(59-1)),0),EDATE(Bonds!$H84,6*(59-1))))</f>
        <v/>
      </c>
      <c r="BL84" s="3" t="str">
        <f>IF(60&gt;$C84,"",IF($D84=1,EOMONTH(EDATE(Bonds!$H84,6*(60-1)),0),EDATE(Bonds!$H84,6*(60-1))))</f>
        <v/>
      </c>
      <c r="BN84" s="7">
        <f t="shared" si="62"/>
        <v>2.0889588998471629</v>
      </c>
      <c r="BO84" s="7">
        <f t="shared" si="63"/>
        <v>2.0449271479257001</v>
      </c>
      <c r="BP84" s="7">
        <f t="shared" si="64"/>
        <v>96.072470762890504</v>
      </c>
      <c r="BQ84" s="7">
        <f t="shared" si="65"/>
        <v>0</v>
      </c>
      <c r="BR84" s="7">
        <f t="shared" si="66"/>
        <v>0</v>
      </c>
      <c r="BS84" s="7">
        <f t="shared" si="67"/>
        <v>0</v>
      </c>
      <c r="BT84" s="7">
        <f t="shared" si="68"/>
        <v>0</v>
      </c>
      <c r="BU84" s="7">
        <f t="shared" si="69"/>
        <v>0</v>
      </c>
      <c r="BV84" s="7">
        <f t="shared" si="70"/>
        <v>0</v>
      </c>
      <c r="BW84" s="7">
        <f t="shared" si="71"/>
        <v>0</v>
      </c>
      <c r="BX84" s="7">
        <f t="shared" si="72"/>
        <v>0</v>
      </c>
      <c r="BY84" s="7">
        <f t="shared" si="73"/>
        <v>0</v>
      </c>
      <c r="BZ84" s="7">
        <f t="shared" si="74"/>
        <v>0</v>
      </c>
      <c r="CA84" s="7">
        <f t="shared" si="75"/>
        <v>0</v>
      </c>
      <c r="CB84" s="7">
        <f t="shared" si="76"/>
        <v>0</v>
      </c>
      <c r="CC84" s="7">
        <f t="shared" si="77"/>
        <v>0</v>
      </c>
      <c r="CD84" s="7">
        <f t="shared" si="78"/>
        <v>0</v>
      </c>
      <c r="CE84" s="7">
        <f t="shared" si="79"/>
        <v>0</v>
      </c>
      <c r="CF84" s="7">
        <f t="shared" si="80"/>
        <v>0</v>
      </c>
      <c r="CG84" s="7">
        <f t="shared" si="81"/>
        <v>0</v>
      </c>
      <c r="CH84" s="7">
        <f t="shared" si="82"/>
        <v>0</v>
      </c>
      <c r="CI84" s="7">
        <f t="shared" si="83"/>
        <v>0</v>
      </c>
      <c r="CJ84" s="7">
        <f t="shared" si="84"/>
        <v>0</v>
      </c>
      <c r="CK84" s="7">
        <f t="shared" si="85"/>
        <v>0</v>
      </c>
      <c r="CL84" s="7">
        <f t="shared" si="86"/>
        <v>0</v>
      </c>
      <c r="CM84" s="7">
        <f t="shared" si="87"/>
        <v>0</v>
      </c>
      <c r="CN84" s="7">
        <f t="shared" si="88"/>
        <v>0</v>
      </c>
      <c r="CO84" s="7">
        <f t="shared" si="89"/>
        <v>0</v>
      </c>
      <c r="CP84" s="7">
        <f t="shared" si="90"/>
        <v>0</v>
      </c>
      <c r="CQ84" s="7">
        <f t="shared" si="91"/>
        <v>0</v>
      </c>
      <c r="CR84" s="7">
        <f t="shared" si="92"/>
        <v>0</v>
      </c>
      <c r="CS84" s="7">
        <f t="shared" si="93"/>
        <v>0</v>
      </c>
      <c r="CT84" s="7">
        <f t="shared" si="94"/>
        <v>0</v>
      </c>
      <c r="CU84" s="7">
        <f t="shared" si="95"/>
        <v>0</v>
      </c>
      <c r="CV84" s="7">
        <f t="shared" si="96"/>
        <v>0</v>
      </c>
      <c r="CW84" s="7">
        <f t="shared" si="97"/>
        <v>0</v>
      </c>
      <c r="CX84" s="7">
        <f t="shared" si="98"/>
        <v>0</v>
      </c>
      <c r="CY84" s="7">
        <f t="shared" si="99"/>
        <v>0</v>
      </c>
      <c r="CZ84" s="7">
        <f t="shared" si="100"/>
        <v>0</v>
      </c>
      <c r="DA84" s="7">
        <f t="shared" si="101"/>
        <v>0</v>
      </c>
      <c r="DB84" s="7">
        <f t="shared" si="102"/>
        <v>0</v>
      </c>
      <c r="DC84" s="7">
        <f t="shared" si="103"/>
        <v>0</v>
      </c>
      <c r="DD84" s="7">
        <f t="shared" si="104"/>
        <v>0</v>
      </c>
      <c r="DE84" s="7">
        <f t="shared" si="105"/>
        <v>0</v>
      </c>
      <c r="DF84" s="7">
        <f t="shared" si="106"/>
        <v>0</v>
      </c>
      <c r="DG84" s="7">
        <f t="shared" si="107"/>
        <v>0</v>
      </c>
      <c r="DH84" s="7">
        <f t="shared" si="108"/>
        <v>0</v>
      </c>
      <c r="DI84" s="7">
        <f t="shared" si="109"/>
        <v>0</v>
      </c>
      <c r="DJ84" s="7">
        <f t="shared" si="110"/>
        <v>0</v>
      </c>
      <c r="DK84" s="7">
        <f t="shared" si="111"/>
        <v>0</v>
      </c>
      <c r="DL84" s="7">
        <f t="shared" si="112"/>
        <v>0</v>
      </c>
      <c r="DM84" s="7">
        <f t="shared" si="113"/>
        <v>0</v>
      </c>
      <c r="DN84" s="7">
        <f t="shared" si="114"/>
        <v>0</v>
      </c>
      <c r="DO84" s="7">
        <f t="shared" si="115"/>
        <v>0</v>
      </c>
      <c r="DP84" s="7">
        <f t="shared" si="116"/>
        <v>0</v>
      </c>
      <c r="DQ84" s="7">
        <f t="shared" si="117"/>
        <v>0</v>
      </c>
      <c r="DR84" s="7">
        <f t="shared" si="118"/>
        <v>0</v>
      </c>
      <c r="DS84" s="7">
        <f t="shared" si="119"/>
        <v>0</v>
      </c>
      <c r="DT84" s="7">
        <f t="shared" si="120"/>
        <v>0</v>
      </c>
      <c r="DU84" s="7">
        <f t="shared" si="121"/>
        <v>0</v>
      </c>
    </row>
    <row r="85" spans="1:125" x14ac:dyDescent="0.2">
      <c r="A85" s="3">
        <f>Bonds!A85</f>
        <v>46812</v>
      </c>
      <c r="B85" s="4">
        <f>Bonds!B85</f>
        <v>1.125</v>
      </c>
      <c r="C85">
        <f>Bonds!P85</f>
        <v>3</v>
      </c>
      <c r="D85">
        <f t="shared" si="61"/>
        <v>1</v>
      </c>
      <c r="E85" s="3">
        <f>IF(1&gt;$C85,"",IF($D85=1,EOMONTH(EDATE(Bonds!$H85,6*(1-1)),0),EDATE(Bonds!$H85,6*(1-1))))</f>
        <v>46446</v>
      </c>
      <c r="F85" s="3">
        <f>IF(2&gt;$C85,"",IF($D85=1,EOMONTH(EDATE(Bonds!$H85,6*(2-1)),0),EDATE(Bonds!$H85,6*(2-1))))</f>
        <v>46630</v>
      </c>
      <c r="G85" s="3">
        <f>IF(3&gt;$C85,"",IF($D85=1,EOMONTH(EDATE(Bonds!$H85,6*(3-1)),0),EDATE(Bonds!$H85,6*(3-1))))</f>
        <v>46812</v>
      </c>
      <c r="H85" s="3" t="str">
        <f>IF(4&gt;$C85,"",IF($D85=1,EOMONTH(EDATE(Bonds!$H85,6*(4-1)),0),EDATE(Bonds!$H85,6*(4-1))))</f>
        <v/>
      </c>
      <c r="I85" s="3" t="str">
        <f>IF(5&gt;$C85,"",IF($D85=1,EOMONTH(EDATE(Bonds!$H85,6*(5-1)),0),EDATE(Bonds!$H85,6*(5-1))))</f>
        <v/>
      </c>
      <c r="J85" s="3" t="str">
        <f>IF(6&gt;$C85,"",IF($D85=1,EOMONTH(EDATE(Bonds!$H85,6*(6-1)),0),EDATE(Bonds!$H85,6*(6-1))))</f>
        <v/>
      </c>
      <c r="K85" s="3" t="str">
        <f>IF(7&gt;$C85,"",IF($D85=1,EOMONTH(EDATE(Bonds!$H85,6*(7-1)),0),EDATE(Bonds!$H85,6*(7-1))))</f>
        <v/>
      </c>
      <c r="L85" s="3" t="str">
        <f>IF(8&gt;$C85,"",IF($D85=1,EOMONTH(EDATE(Bonds!$H85,6*(8-1)),0),EDATE(Bonds!$H85,6*(8-1))))</f>
        <v/>
      </c>
      <c r="M85" s="3" t="str">
        <f>IF(9&gt;$C85,"",IF($D85=1,EOMONTH(EDATE(Bonds!$H85,6*(9-1)),0),EDATE(Bonds!$H85,6*(9-1))))</f>
        <v/>
      </c>
      <c r="N85" s="3" t="str">
        <f>IF(10&gt;$C85,"",IF($D85=1,EOMONTH(EDATE(Bonds!$H85,6*(10-1)),0),EDATE(Bonds!$H85,6*(10-1))))</f>
        <v/>
      </c>
      <c r="O85" s="3" t="str">
        <f>IF(11&gt;$C85,"",IF($D85=1,EOMONTH(EDATE(Bonds!$H85,6*(11-1)),0),EDATE(Bonds!$H85,6*(11-1))))</f>
        <v/>
      </c>
      <c r="P85" s="3" t="str">
        <f>IF(12&gt;$C85,"",IF($D85=1,EOMONTH(EDATE(Bonds!$H85,6*(12-1)),0),EDATE(Bonds!$H85,6*(12-1))))</f>
        <v/>
      </c>
      <c r="Q85" s="3" t="str">
        <f>IF(13&gt;$C85,"",IF($D85=1,EOMONTH(EDATE(Bonds!$H85,6*(13-1)),0),EDATE(Bonds!$H85,6*(13-1))))</f>
        <v/>
      </c>
      <c r="R85" s="3" t="str">
        <f>IF(14&gt;$C85,"",IF($D85=1,EOMONTH(EDATE(Bonds!$H85,6*(14-1)),0),EDATE(Bonds!$H85,6*(14-1))))</f>
        <v/>
      </c>
      <c r="S85" s="3" t="str">
        <f>IF(15&gt;$C85,"",IF($D85=1,EOMONTH(EDATE(Bonds!$H85,6*(15-1)),0),EDATE(Bonds!$H85,6*(15-1))))</f>
        <v/>
      </c>
      <c r="T85" s="3" t="str">
        <f>IF(16&gt;$C85,"",IF($D85=1,EOMONTH(EDATE(Bonds!$H85,6*(16-1)),0),EDATE(Bonds!$H85,6*(16-1))))</f>
        <v/>
      </c>
      <c r="U85" s="3" t="str">
        <f>IF(17&gt;$C85,"",IF($D85=1,EOMONTH(EDATE(Bonds!$H85,6*(17-1)),0),EDATE(Bonds!$H85,6*(17-1))))</f>
        <v/>
      </c>
      <c r="V85" s="3" t="str">
        <f>IF(18&gt;$C85,"",IF($D85=1,EOMONTH(EDATE(Bonds!$H85,6*(18-1)),0),EDATE(Bonds!$H85,6*(18-1))))</f>
        <v/>
      </c>
      <c r="W85" s="3" t="str">
        <f>IF(19&gt;$C85,"",IF($D85=1,EOMONTH(EDATE(Bonds!$H85,6*(19-1)),0),EDATE(Bonds!$H85,6*(19-1))))</f>
        <v/>
      </c>
      <c r="X85" s="3" t="str">
        <f>IF(20&gt;$C85,"",IF($D85=1,EOMONTH(EDATE(Bonds!$H85,6*(20-1)),0),EDATE(Bonds!$H85,6*(20-1))))</f>
        <v/>
      </c>
      <c r="Y85" s="3" t="str">
        <f>IF(21&gt;$C85,"",IF($D85=1,EOMONTH(EDATE(Bonds!$H85,6*(21-1)),0),EDATE(Bonds!$H85,6*(21-1))))</f>
        <v/>
      </c>
      <c r="Z85" s="3" t="str">
        <f>IF(22&gt;$C85,"",IF($D85=1,EOMONTH(EDATE(Bonds!$H85,6*(22-1)),0),EDATE(Bonds!$H85,6*(22-1))))</f>
        <v/>
      </c>
      <c r="AA85" s="3" t="str">
        <f>IF(23&gt;$C85,"",IF($D85=1,EOMONTH(EDATE(Bonds!$H85,6*(23-1)),0),EDATE(Bonds!$H85,6*(23-1))))</f>
        <v/>
      </c>
      <c r="AB85" s="3" t="str">
        <f>IF(24&gt;$C85,"",IF($D85=1,EOMONTH(EDATE(Bonds!$H85,6*(24-1)),0),EDATE(Bonds!$H85,6*(24-1))))</f>
        <v/>
      </c>
      <c r="AC85" s="3" t="str">
        <f>IF(25&gt;$C85,"",IF($D85=1,EOMONTH(EDATE(Bonds!$H85,6*(25-1)),0),EDATE(Bonds!$H85,6*(25-1))))</f>
        <v/>
      </c>
      <c r="AD85" s="3" t="str">
        <f>IF(26&gt;$C85,"",IF($D85=1,EOMONTH(EDATE(Bonds!$H85,6*(26-1)),0),EDATE(Bonds!$H85,6*(26-1))))</f>
        <v/>
      </c>
      <c r="AE85" s="3" t="str">
        <f>IF(27&gt;$C85,"",IF($D85=1,EOMONTH(EDATE(Bonds!$H85,6*(27-1)),0),EDATE(Bonds!$H85,6*(27-1))))</f>
        <v/>
      </c>
      <c r="AF85" s="3" t="str">
        <f>IF(28&gt;$C85,"",IF($D85=1,EOMONTH(EDATE(Bonds!$H85,6*(28-1)),0),EDATE(Bonds!$H85,6*(28-1))))</f>
        <v/>
      </c>
      <c r="AG85" s="3" t="str">
        <f>IF(29&gt;$C85,"",IF($D85=1,EOMONTH(EDATE(Bonds!$H85,6*(29-1)),0),EDATE(Bonds!$H85,6*(29-1))))</f>
        <v/>
      </c>
      <c r="AH85" s="3" t="str">
        <f>IF(30&gt;$C85,"",IF($D85=1,EOMONTH(EDATE(Bonds!$H85,6*(30-1)),0),EDATE(Bonds!$H85,6*(30-1))))</f>
        <v/>
      </c>
      <c r="AI85" s="3" t="str">
        <f>IF(31&gt;$C85,"",IF($D85=1,EOMONTH(EDATE(Bonds!$H85,6*(31-1)),0),EDATE(Bonds!$H85,6*(31-1))))</f>
        <v/>
      </c>
      <c r="AJ85" s="3" t="str">
        <f>IF(32&gt;$C85,"",IF($D85=1,EOMONTH(EDATE(Bonds!$H85,6*(32-1)),0),EDATE(Bonds!$H85,6*(32-1))))</f>
        <v/>
      </c>
      <c r="AK85" s="3" t="str">
        <f>IF(33&gt;$C85,"",IF($D85=1,EOMONTH(EDATE(Bonds!$H85,6*(33-1)),0),EDATE(Bonds!$H85,6*(33-1))))</f>
        <v/>
      </c>
      <c r="AL85" s="3" t="str">
        <f>IF(34&gt;$C85,"",IF($D85=1,EOMONTH(EDATE(Bonds!$H85,6*(34-1)),0),EDATE(Bonds!$H85,6*(34-1))))</f>
        <v/>
      </c>
      <c r="AM85" s="3" t="str">
        <f>IF(35&gt;$C85,"",IF($D85=1,EOMONTH(EDATE(Bonds!$H85,6*(35-1)),0),EDATE(Bonds!$H85,6*(35-1))))</f>
        <v/>
      </c>
      <c r="AN85" s="3" t="str">
        <f>IF(36&gt;$C85,"",IF($D85=1,EOMONTH(EDATE(Bonds!$H85,6*(36-1)),0),EDATE(Bonds!$H85,6*(36-1))))</f>
        <v/>
      </c>
      <c r="AO85" s="3" t="str">
        <f>IF(37&gt;$C85,"",IF($D85=1,EOMONTH(EDATE(Bonds!$H85,6*(37-1)),0),EDATE(Bonds!$H85,6*(37-1))))</f>
        <v/>
      </c>
      <c r="AP85" s="3" t="str">
        <f>IF(38&gt;$C85,"",IF($D85=1,EOMONTH(EDATE(Bonds!$H85,6*(38-1)),0),EDATE(Bonds!$H85,6*(38-1))))</f>
        <v/>
      </c>
      <c r="AQ85" s="3" t="str">
        <f>IF(39&gt;$C85,"",IF($D85=1,EOMONTH(EDATE(Bonds!$H85,6*(39-1)),0),EDATE(Bonds!$H85,6*(39-1))))</f>
        <v/>
      </c>
      <c r="AR85" s="3" t="str">
        <f>IF(40&gt;$C85,"",IF($D85=1,EOMONTH(EDATE(Bonds!$H85,6*(40-1)),0),EDATE(Bonds!$H85,6*(40-1))))</f>
        <v/>
      </c>
      <c r="AS85" s="3" t="str">
        <f>IF(41&gt;$C85,"",IF($D85=1,EOMONTH(EDATE(Bonds!$H85,6*(41-1)),0),EDATE(Bonds!$H85,6*(41-1))))</f>
        <v/>
      </c>
      <c r="AT85" s="3" t="str">
        <f>IF(42&gt;$C85,"",IF($D85=1,EOMONTH(EDATE(Bonds!$H85,6*(42-1)),0),EDATE(Bonds!$H85,6*(42-1))))</f>
        <v/>
      </c>
      <c r="AU85" s="3" t="str">
        <f>IF(43&gt;$C85,"",IF($D85=1,EOMONTH(EDATE(Bonds!$H85,6*(43-1)),0),EDATE(Bonds!$H85,6*(43-1))))</f>
        <v/>
      </c>
      <c r="AV85" s="3" t="str">
        <f>IF(44&gt;$C85,"",IF($D85=1,EOMONTH(EDATE(Bonds!$H85,6*(44-1)),0),EDATE(Bonds!$H85,6*(44-1))))</f>
        <v/>
      </c>
      <c r="AW85" s="3" t="str">
        <f>IF(45&gt;$C85,"",IF($D85=1,EOMONTH(EDATE(Bonds!$H85,6*(45-1)),0),EDATE(Bonds!$H85,6*(45-1))))</f>
        <v/>
      </c>
      <c r="AX85" s="3" t="str">
        <f>IF(46&gt;$C85,"",IF($D85=1,EOMONTH(EDATE(Bonds!$H85,6*(46-1)),0),EDATE(Bonds!$H85,6*(46-1))))</f>
        <v/>
      </c>
      <c r="AY85" s="3" t="str">
        <f>IF(47&gt;$C85,"",IF($D85=1,EOMONTH(EDATE(Bonds!$H85,6*(47-1)),0),EDATE(Bonds!$H85,6*(47-1))))</f>
        <v/>
      </c>
      <c r="AZ85" s="3" t="str">
        <f>IF(48&gt;$C85,"",IF($D85=1,EOMONTH(EDATE(Bonds!$H85,6*(48-1)),0),EDATE(Bonds!$H85,6*(48-1))))</f>
        <v/>
      </c>
      <c r="BA85" s="3" t="str">
        <f>IF(49&gt;$C85,"",IF($D85=1,EOMONTH(EDATE(Bonds!$H85,6*(49-1)),0),EDATE(Bonds!$H85,6*(49-1))))</f>
        <v/>
      </c>
      <c r="BB85" s="3" t="str">
        <f>IF(50&gt;$C85,"",IF($D85=1,EOMONTH(EDATE(Bonds!$H85,6*(50-1)),0),EDATE(Bonds!$H85,6*(50-1))))</f>
        <v/>
      </c>
      <c r="BC85" s="3" t="str">
        <f>IF(51&gt;$C85,"",IF($D85=1,EOMONTH(EDATE(Bonds!$H85,6*(51-1)),0),EDATE(Bonds!$H85,6*(51-1))))</f>
        <v/>
      </c>
      <c r="BD85" s="3" t="str">
        <f>IF(52&gt;$C85,"",IF($D85=1,EOMONTH(EDATE(Bonds!$H85,6*(52-1)),0),EDATE(Bonds!$H85,6*(52-1))))</f>
        <v/>
      </c>
      <c r="BE85" s="3" t="str">
        <f>IF(53&gt;$C85,"",IF($D85=1,EOMONTH(EDATE(Bonds!$H85,6*(53-1)),0),EDATE(Bonds!$H85,6*(53-1))))</f>
        <v/>
      </c>
      <c r="BF85" s="3" t="str">
        <f>IF(54&gt;$C85,"",IF($D85=1,EOMONTH(EDATE(Bonds!$H85,6*(54-1)),0),EDATE(Bonds!$H85,6*(54-1))))</f>
        <v/>
      </c>
      <c r="BG85" s="3" t="str">
        <f>IF(55&gt;$C85,"",IF($D85=1,EOMONTH(EDATE(Bonds!$H85,6*(55-1)),0),EDATE(Bonds!$H85,6*(55-1))))</f>
        <v/>
      </c>
      <c r="BH85" s="3" t="str">
        <f>IF(56&gt;$C85,"",IF($D85=1,EOMONTH(EDATE(Bonds!$H85,6*(56-1)),0),EDATE(Bonds!$H85,6*(56-1))))</f>
        <v/>
      </c>
      <c r="BI85" s="3" t="str">
        <f>IF(57&gt;$C85,"",IF($D85=1,EOMONTH(EDATE(Bonds!$H85,6*(57-1)),0),EDATE(Bonds!$H85,6*(57-1))))</f>
        <v/>
      </c>
      <c r="BJ85" s="3" t="str">
        <f>IF(58&gt;$C85,"",IF($D85=1,EOMONTH(EDATE(Bonds!$H85,6*(58-1)),0),EDATE(Bonds!$H85,6*(58-1))))</f>
        <v/>
      </c>
      <c r="BK85" s="3" t="str">
        <f>IF(59&gt;$C85,"",IF($D85=1,EOMONTH(EDATE(Bonds!$H85,6*(59-1)),0),EDATE(Bonds!$H85,6*(59-1))))</f>
        <v/>
      </c>
      <c r="BL85" s="3" t="str">
        <f>IF(60&gt;$C85,"",IF($D85=1,EOMONTH(EDATE(Bonds!$H85,6*(60-1)),0),EDATE(Bonds!$H85,6*(60-1))))</f>
        <v/>
      </c>
      <c r="BN85" s="7">
        <f t="shared" si="62"/>
        <v>0.55214413034579324</v>
      </c>
      <c r="BO85" s="7">
        <f t="shared" si="63"/>
        <v>0.540253151883063</v>
      </c>
      <c r="BP85" s="7">
        <f t="shared" si="64"/>
        <v>94.437395177112251</v>
      </c>
      <c r="BQ85" s="7">
        <f t="shared" si="65"/>
        <v>0</v>
      </c>
      <c r="BR85" s="7">
        <f t="shared" si="66"/>
        <v>0</v>
      </c>
      <c r="BS85" s="7">
        <f t="shared" si="67"/>
        <v>0</v>
      </c>
      <c r="BT85" s="7">
        <f t="shared" si="68"/>
        <v>0</v>
      </c>
      <c r="BU85" s="7">
        <f t="shared" si="69"/>
        <v>0</v>
      </c>
      <c r="BV85" s="7">
        <f t="shared" si="70"/>
        <v>0</v>
      </c>
      <c r="BW85" s="7">
        <f t="shared" si="71"/>
        <v>0</v>
      </c>
      <c r="BX85" s="7">
        <f t="shared" si="72"/>
        <v>0</v>
      </c>
      <c r="BY85" s="7">
        <f t="shared" si="73"/>
        <v>0</v>
      </c>
      <c r="BZ85" s="7">
        <f t="shared" si="74"/>
        <v>0</v>
      </c>
      <c r="CA85" s="7">
        <f t="shared" si="75"/>
        <v>0</v>
      </c>
      <c r="CB85" s="7">
        <f t="shared" si="76"/>
        <v>0</v>
      </c>
      <c r="CC85" s="7">
        <f t="shared" si="77"/>
        <v>0</v>
      </c>
      <c r="CD85" s="7">
        <f t="shared" si="78"/>
        <v>0</v>
      </c>
      <c r="CE85" s="7">
        <f t="shared" si="79"/>
        <v>0</v>
      </c>
      <c r="CF85" s="7">
        <f t="shared" si="80"/>
        <v>0</v>
      </c>
      <c r="CG85" s="7">
        <f t="shared" si="81"/>
        <v>0</v>
      </c>
      <c r="CH85" s="7">
        <f t="shared" si="82"/>
        <v>0</v>
      </c>
      <c r="CI85" s="7">
        <f t="shared" si="83"/>
        <v>0</v>
      </c>
      <c r="CJ85" s="7">
        <f t="shared" si="84"/>
        <v>0</v>
      </c>
      <c r="CK85" s="7">
        <f t="shared" si="85"/>
        <v>0</v>
      </c>
      <c r="CL85" s="7">
        <f t="shared" si="86"/>
        <v>0</v>
      </c>
      <c r="CM85" s="7">
        <f t="shared" si="87"/>
        <v>0</v>
      </c>
      <c r="CN85" s="7">
        <f t="shared" si="88"/>
        <v>0</v>
      </c>
      <c r="CO85" s="7">
        <f t="shared" si="89"/>
        <v>0</v>
      </c>
      <c r="CP85" s="7">
        <f t="shared" si="90"/>
        <v>0</v>
      </c>
      <c r="CQ85" s="7">
        <f t="shared" si="91"/>
        <v>0</v>
      </c>
      <c r="CR85" s="7">
        <f t="shared" si="92"/>
        <v>0</v>
      </c>
      <c r="CS85" s="7">
        <f t="shared" si="93"/>
        <v>0</v>
      </c>
      <c r="CT85" s="7">
        <f t="shared" si="94"/>
        <v>0</v>
      </c>
      <c r="CU85" s="7">
        <f t="shared" si="95"/>
        <v>0</v>
      </c>
      <c r="CV85" s="7">
        <f t="shared" si="96"/>
        <v>0</v>
      </c>
      <c r="CW85" s="7">
        <f t="shared" si="97"/>
        <v>0</v>
      </c>
      <c r="CX85" s="7">
        <f t="shared" si="98"/>
        <v>0</v>
      </c>
      <c r="CY85" s="7">
        <f t="shared" si="99"/>
        <v>0</v>
      </c>
      <c r="CZ85" s="7">
        <f t="shared" si="100"/>
        <v>0</v>
      </c>
      <c r="DA85" s="7">
        <f t="shared" si="101"/>
        <v>0</v>
      </c>
      <c r="DB85" s="7">
        <f t="shared" si="102"/>
        <v>0</v>
      </c>
      <c r="DC85" s="7">
        <f t="shared" si="103"/>
        <v>0</v>
      </c>
      <c r="DD85" s="7">
        <f t="shared" si="104"/>
        <v>0</v>
      </c>
      <c r="DE85" s="7">
        <f t="shared" si="105"/>
        <v>0</v>
      </c>
      <c r="DF85" s="7">
        <f t="shared" si="106"/>
        <v>0</v>
      </c>
      <c r="DG85" s="7">
        <f t="shared" si="107"/>
        <v>0</v>
      </c>
      <c r="DH85" s="7">
        <f t="shared" si="108"/>
        <v>0</v>
      </c>
      <c r="DI85" s="7">
        <f t="shared" si="109"/>
        <v>0</v>
      </c>
      <c r="DJ85" s="7">
        <f t="shared" si="110"/>
        <v>0</v>
      </c>
      <c r="DK85" s="7">
        <f t="shared" si="111"/>
        <v>0</v>
      </c>
      <c r="DL85" s="7">
        <f t="shared" si="112"/>
        <v>0</v>
      </c>
      <c r="DM85" s="7">
        <f t="shared" si="113"/>
        <v>0</v>
      </c>
      <c r="DN85" s="7">
        <f t="shared" si="114"/>
        <v>0</v>
      </c>
      <c r="DO85" s="7">
        <f t="shared" si="115"/>
        <v>0</v>
      </c>
      <c r="DP85" s="7">
        <f t="shared" si="116"/>
        <v>0</v>
      </c>
      <c r="DQ85" s="7">
        <f t="shared" si="117"/>
        <v>0</v>
      </c>
      <c r="DR85" s="7">
        <f t="shared" si="118"/>
        <v>0</v>
      </c>
      <c r="DS85" s="7">
        <f t="shared" si="119"/>
        <v>0</v>
      </c>
      <c r="DT85" s="7">
        <f t="shared" si="120"/>
        <v>0</v>
      </c>
      <c r="DU85" s="7">
        <f t="shared" si="121"/>
        <v>0</v>
      </c>
    </row>
    <row r="86" spans="1:125" x14ac:dyDescent="0.2">
      <c r="A86" s="3">
        <f>Bonds!A86</f>
        <v>46812</v>
      </c>
      <c r="B86" s="4">
        <f>Bonds!B86</f>
        <v>3.375</v>
      </c>
      <c r="C86">
        <f>Bonds!P86</f>
        <v>3</v>
      </c>
      <c r="D86">
        <f t="shared" si="61"/>
        <v>1</v>
      </c>
      <c r="E86" s="3">
        <f>IF(1&gt;$C86,"",IF($D86=1,EOMONTH(EDATE(Bonds!$H86,6*(1-1)),0),EDATE(Bonds!$H86,6*(1-1))))</f>
        <v>46446</v>
      </c>
      <c r="F86" s="3">
        <f>IF(2&gt;$C86,"",IF($D86=1,EOMONTH(EDATE(Bonds!$H86,6*(2-1)),0),EDATE(Bonds!$H86,6*(2-1))))</f>
        <v>46630</v>
      </c>
      <c r="G86" s="3">
        <f>IF(3&gt;$C86,"",IF($D86=1,EOMONTH(EDATE(Bonds!$H86,6*(3-1)),0),EDATE(Bonds!$H86,6*(3-1))))</f>
        <v>46812</v>
      </c>
      <c r="H86" s="3" t="str">
        <f>IF(4&gt;$C86,"",IF($D86=1,EOMONTH(EDATE(Bonds!$H86,6*(4-1)),0),EDATE(Bonds!$H86,6*(4-1))))</f>
        <v/>
      </c>
      <c r="I86" s="3" t="str">
        <f>IF(5&gt;$C86,"",IF($D86=1,EOMONTH(EDATE(Bonds!$H86,6*(5-1)),0),EDATE(Bonds!$H86,6*(5-1))))</f>
        <v/>
      </c>
      <c r="J86" s="3" t="str">
        <f>IF(6&gt;$C86,"",IF($D86=1,EOMONTH(EDATE(Bonds!$H86,6*(6-1)),0),EDATE(Bonds!$H86,6*(6-1))))</f>
        <v/>
      </c>
      <c r="K86" s="3" t="str">
        <f>IF(7&gt;$C86,"",IF($D86=1,EOMONTH(EDATE(Bonds!$H86,6*(7-1)),0),EDATE(Bonds!$H86,6*(7-1))))</f>
        <v/>
      </c>
      <c r="L86" s="3" t="str">
        <f>IF(8&gt;$C86,"",IF($D86=1,EOMONTH(EDATE(Bonds!$H86,6*(8-1)),0),EDATE(Bonds!$H86,6*(8-1))))</f>
        <v/>
      </c>
      <c r="M86" s="3" t="str">
        <f>IF(9&gt;$C86,"",IF($D86=1,EOMONTH(EDATE(Bonds!$H86,6*(9-1)),0),EDATE(Bonds!$H86,6*(9-1))))</f>
        <v/>
      </c>
      <c r="N86" s="3" t="str">
        <f>IF(10&gt;$C86,"",IF($D86=1,EOMONTH(EDATE(Bonds!$H86,6*(10-1)),0),EDATE(Bonds!$H86,6*(10-1))))</f>
        <v/>
      </c>
      <c r="O86" s="3" t="str">
        <f>IF(11&gt;$C86,"",IF($D86=1,EOMONTH(EDATE(Bonds!$H86,6*(11-1)),0),EDATE(Bonds!$H86,6*(11-1))))</f>
        <v/>
      </c>
      <c r="P86" s="3" t="str">
        <f>IF(12&gt;$C86,"",IF($D86=1,EOMONTH(EDATE(Bonds!$H86,6*(12-1)),0),EDATE(Bonds!$H86,6*(12-1))))</f>
        <v/>
      </c>
      <c r="Q86" s="3" t="str">
        <f>IF(13&gt;$C86,"",IF($D86=1,EOMONTH(EDATE(Bonds!$H86,6*(13-1)),0),EDATE(Bonds!$H86,6*(13-1))))</f>
        <v/>
      </c>
      <c r="R86" s="3" t="str">
        <f>IF(14&gt;$C86,"",IF($D86=1,EOMONTH(EDATE(Bonds!$H86,6*(14-1)),0),EDATE(Bonds!$H86,6*(14-1))))</f>
        <v/>
      </c>
      <c r="S86" s="3" t="str">
        <f>IF(15&gt;$C86,"",IF($D86=1,EOMONTH(EDATE(Bonds!$H86,6*(15-1)),0),EDATE(Bonds!$H86,6*(15-1))))</f>
        <v/>
      </c>
      <c r="T86" s="3" t="str">
        <f>IF(16&gt;$C86,"",IF($D86=1,EOMONTH(EDATE(Bonds!$H86,6*(16-1)),0),EDATE(Bonds!$H86,6*(16-1))))</f>
        <v/>
      </c>
      <c r="U86" s="3" t="str">
        <f>IF(17&gt;$C86,"",IF($D86=1,EOMONTH(EDATE(Bonds!$H86,6*(17-1)),0),EDATE(Bonds!$H86,6*(17-1))))</f>
        <v/>
      </c>
      <c r="V86" s="3" t="str">
        <f>IF(18&gt;$C86,"",IF($D86=1,EOMONTH(EDATE(Bonds!$H86,6*(18-1)),0),EDATE(Bonds!$H86,6*(18-1))))</f>
        <v/>
      </c>
      <c r="W86" s="3" t="str">
        <f>IF(19&gt;$C86,"",IF($D86=1,EOMONTH(EDATE(Bonds!$H86,6*(19-1)),0),EDATE(Bonds!$H86,6*(19-1))))</f>
        <v/>
      </c>
      <c r="X86" s="3" t="str">
        <f>IF(20&gt;$C86,"",IF($D86=1,EOMONTH(EDATE(Bonds!$H86,6*(20-1)),0),EDATE(Bonds!$H86,6*(20-1))))</f>
        <v/>
      </c>
      <c r="Y86" s="3" t="str">
        <f>IF(21&gt;$C86,"",IF($D86=1,EOMONTH(EDATE(Bonds!$H86,6*(21-1)),0),EDATE(Bonds!$H86,6*(21-1))))</f>
        <v/>
      </c>
      <c r="Z86" s="3" t="str">
        <f>IF(22&gt;$C86,"",IF($D86=1,EOMONTH(EDATE(Bonds!$H86,6*(22-1)),0),EDATE(Bonds!$H86,6*(22-1))))</f>
        <v/>
      </c>
      <c r="AA86" s="3" t="str">
        <f>IF(23&gt;$C86,"",IF($D86=1,EOMONTH(EDATE(Bonds!$H86,6*(23-1)),0),EDATE(Bonds!$H86,6*(23-1))))</f>
        <v/>
      </c>
      <c r="AB86" s="3" t="str">
        <f>IF(24&gt;$C86,"",IF($D86=1,EOMONTH(EDATE(Bonds!$H86,6*(24-1)),0),EDATE(Bonds!$H86,6*(24-1))))</f>
        <v/>
      </c>
      <c r="AC86" s="3" t="str">
        <f>IF(25&gt;$C86,"",IF($D86=1,EOMONTH(EDATE(Bonds!$H86,6*(25-1)),0),EDATE(Bonds!$H86,6*(25-1))))</f>
        <v/>
      </c>
      <c r="AD86" s="3" t="str">
        <f>IF(26&gt;$C86,"",IF($D86=1,EOMONTH(EDATE(Bonds!$H86,6*(26-1)),0),EDATE(Bonds!$H86,6*(26-1))))</f>
        <v/>
      </c>
      <c r="AE86" s="3" t="str">
        <f>IF(27&gt;$C86,"",IF($D86=1,EOMONTH(EDATE(Bonds!$H86,6*(27-1)),0),EDATE(Bonds!$H86,6*(27-1))))</f>
        <v/>
      </c>
      <c r="AF86" s="3" t="str">
        <f>IF(28&gt;$C86,"",IF($D86=1,EOMONTH(EDATE(Bonds!$H86,6*(28-1)),0),EDATE(Bonds!$H86,6*(28-1))))</f>
        <v/>
      </c>
      <c r="AG86" s="3" t="str">
        <f>IF(29&gt;$C86,"",IF($D86=1,EOMONTH(EDATE(Bonds!$H86,6*(29-1)),0),EDATE(Bonds!$H86,6*(29-1))))</f>
        <v/>
      </c>
      <c r="AH86" s="3" t="str">
        <f>IF(30&gt;$C86,"",IF($D86=1,EOMONTH(EDATE(Bonds!$H86,6*(30-1)),0),EDATE(Bonds!$H86,6*(30-1))))</f>
        <v/>
      </c>
      <c r="AI86" s="3" t="str">
        <f>IF(31&gt;$C86,"",IF($D86=1,EOMONTH(EDATE(Bonds!$H86,6*(31-1)),0),EDATE(Bonds!$H86,6*(31-1))))</f>
        <v/>
      </c>
      <c r="AJ86" s="3" t="str">
        <f>IF(32&gt;$C86,"",IF($D86=1,EOMONTH(EDATE(Bonds!$H86,6*(32-1)),0),EDATE(Bonds!$H86,6*(32-1))))</f>
        <v/>
      </c>
      <c r="AK86" s="3" t="str">
        <f>IF(33&gt;$C86,"",IF($D86=1,EOMONTH(EDATE(Bonds!$H86,6*(33-1)),0),EDATE(Bonds!$H86,6*(33-1))))</f>
        <v/>
      </c>
      <c r="AL86" s="3" t="str">
        <f>IF(34&gt;$C86,"",IF($D86=1,EOMONTH(EDATE(Bonds!$H86,6*(34-1)),0),EDATE(Bonds!$H86,6*(34-1))))</f>
        <v/>
      </c>
      <c r="AM86" s="3" t="str">
        <f>IF(35&gt;$C86,"",IF($D86=1,EOMONTH(EDATE(Bonds!$H86,6*(35-1)),0),EDATE(Bonds!$H86,6*(35-1))))</f>
        <v/>
      </c>
      <c r="AN86" s="3" t="str">
        <f>IF(36&gt;$C86,"",IF($D86=1,EOMONTH(EDATE(Bonds!$H86,6*(36-1)),0),EDATE(Bonds!$H86,6*(36-1))))</f>
        <v/>
      </c>
      <c r="AO86" s="3" t="str">
        <f>IF(37&gt;$C86,"",IF($D86=1,EOMONTH(EDATE(Bonds!$H86,6*(37-1)),0),EDATE(Bonds!$H86,6*(37-1))))</f>
        <v/>
      </c>
      <c r="AP86" s="3" t="str">
        <f>IF(38&gt;$C86,"",IF($D86=1,EOMONTH(EDATE(Bonds!$H86,6*(38-1)),0),EDATE(Bonds!$H86,6*(38-1))))</f>
        <v/>
      </c>
      <c r="AQ86" s="3" t="str">
        <f>IF(39&gt;$C86,"",IF($D86=1,EOMONTH(EDATE(Bonds!$H86,6*(39-1)),0),EDATE(Bonds!$H86,6*(39-1))))</f>
        <v/>
      </c>
      <c r="AR86" s="3" t="str">
        <f>IF(40&gt;$C86,"",IF($D86=1,EOMONTH(EDATE(Bonds!$H86,6*(40-1)),0),EDATE(Bonds!$H86,6*(40-1))))</f>
        <v/>
      </c>
      <c r="AS86" s="3" t="str">
        <f>IF(41&gt;$C86,"",IF($D86=1,EOMONTH(EDATE(Bonds!$H86,6*(41-1)),0),EDATE(Bonds!$H86,6*(41-1))))</f>
        <v/>
      </c>
      <c r="AT86" s="3" t="str">
        <f>IF(42&gt;$C86,"",IF($D86=1,EOMONTH(EDATE(Bonds!$H86,6*(42-1)),0),EDATE(Bonds!$H86,6*(42-1))))</f>
        <v/>
      </c>
      <c r="AU86" s="3" t="str">
        <f>IF(43&gt;$C86,"",IF($D86=1,EOMONTH(EDATE(Bonds!$H86,6*(43-1)),0),EDATE(Bonds!$H86,6*(43-1))))</f>
        <v/>
      </c>
      <c r="AV86" s="3" t="str">
        <f>IF(44&gt;$C86,"",IF($D86=1,EOMONTH(EDATE(Bonds!$H86,6*(44-1)),0),EDATE(Bonds!$H86,6*(44-1))))</f>
        <v/>
      </c>
      <c r="AW86" s="3" t="str">
        <f>IF(45&gt;$C86,"",IF($D86=1,EOMONTH(EDATE(Bonds!$H86,6*(45-1)),0),EDATE(Bonds!$H86,6*(45-1))))</f>
        <v/>
      </c>
      <c r="AX86" s="3" t="str">
        <f>IF(46&gt;$C86,"",IF($D86=1,EOMONTH(EDATE(Bonds!$H86,6*(46-1)),0),EDATE(Bonds!$H86,6*(46-1))))</f>
        <v/>
      </c>
      <c r="AY86" s="3" t="str">
        <f>IF(47&gt;$C86,"",IF($D86=1,EOMONTH(EDATE(Bonds!$H86,6*(47-1)),0),EDATE(Bonds!$H86,6*(47-1))))</f>
        <v/>
      </c>
      <c r="AZ86" s="3" t="str">
        <f>IF(48&gt;$C86,"",IF($D86=1,EOMONTH(EDATE(Bonds!$H86,6*(48-1)),0),EDATE(Bonds!$H86,6*(48-1))))</f>
        <v/>
      </c>
      <c r="BA86" s="3" t="str">
        <f>IF(49&gt;$C86,"",IF($D86=1,EOMONTH(EDATE(Bonds!$H86,6*(49-1)),0),EDATE(Bonds!$H86,6*(49-1))))</f>
        <v/>
      </c>
      <c r="BB86" s="3" t="str">
        <f>IF(50&gt;$C86,"",IF($D86=1,EOMONTH(EDATE(Bonds!$H86,6*(50-1)),0),EDATE(Bonds!$H86,6*(50-1))))</f>
        <v/>
      </c>
      <c r="BC86" s="3" t="str">
        <f>IF(51&gt;$C86,"",IF($D86=1,EOMONTH(EDATE(Bonds!$H86,6*(51-1)),0),EDATE(Bonds!$H86,6*(51-1))))</f>
        <v/>
      </c>
      <c r="BD86" s="3" t="str">
        <f>IF(52&gt;$C86,"",IF($D86=1,EOMONTH(EDATE(Bonds!$H86,6*(52-1)),0),EDATE(Bonds!$H86,6*(52-1))))</f>
        <v/>
      </c>
      <c r="BE86" s="3" t="str">
        <f>IF(53&gt;$C86,"",IF($D86=1,EOMONTH(EDATE(Bonds!$H86,6*(53-1)),0),EDATE(Bonds!$H86,6*(53-1))))</f>
        <v/>
      </c>
      <c r="BF86" s="3" t="str">
        <f>IF(54&gt;$C86,"",IF($D86=1,EOMONTH(EDATE(Bonds!$H86,6*(54-1)),0),EDATE(Bonds!$H86,6*(54-1))))</f>
        <v/>
      </c>
      <c r="BG86" s="3" t="str">
        <f>IF(55&gt;$C86,"",IF($D86=1,EOMONTH(EDATE(Bonds!$H86,6*(55-1)),0),EDATE(Bonds!$H86,6*(55-1))))</f>
        <v/>
      </c>
      <c r="BH86" s="3" t="str">
        <f>IF(56&gt;$C86,"",IF($D86=1,EOMONTH(EDATE(Bonds!$H86,6*(56-1)),0),EDATE(Bonds!$H86,6*(56-1))))</f>
        <v/>
      </c>
      <c r="BI86" s="3" t="str">
        <f>IF(57&gt;$C86,"",IF($D86=1,EOMONTH(EDATE(Bonds!$H86,6*(57-1)),0),EDATE(Bonds!$H86,6*(57-1))))</f>
        <v/>
      </c>
      <c r="BJ86" s="3" t="str">
        <f>IF(58&gt;$C86,"",IF($D86=1,EOMONTH(EDATE(Bonds!$H86,6*(58-1)),0),EDATE(Bonds!$H86,6*(58-1))))</f>
        <v/>
      </c>
      <c r="BK86" s="3" t="str">
        <f>IF(59&gt;$C86,"",IF($D86=1,EOMONTH(EDATE(Bonds!$H86,6*(59-1)),0),EDATE(Bonds!$H86,6*(59-1))))</f>
        <v/>
      </c>
      <c r="BL86" s="3" t="str">
        <f>IF(60&gt;$C86,"",IF($D86=1,EOMONTH(EDATE(Bonds!$H86,6*(60-1)),0),EDATE(Bonds!$H86,6*(60-1))))</f>
        <v/>
      </c>
      <c r="BN86" s="7">
        <f t="shared" si="62"/>
        <v>1.6564323910373797</v>
      </c>
      <c r="BO86" s="7">
        <f t="shared" si="63"/>
        <v>1.6207594556491889</v>
      </c>
      <c r="BP86" s="7">
        <f t="shared" si="64"/>
        <v>95.493873184065649</v>
      </c>
      <c r="BQ86" s="7">
        <f t="shared" si="65"/>
        <v>0</v>
      </c>
      <c r="BR86" s="7">
        <f t="shared" si="66"/>
        <v>0</v>
      </c>
      <c r="BS86" s="7">
        <f t="shared" si="67"/>
        <v>0</v>
      </c>
      <c r="BT86" s="7">
        <f t="shared" si="68"/>
        <v>0</v>
      </c>
      <c r="BU86" s="7">
        <f t="shared" si="69"/>
        <v>0</v>
      </c>
      <c r="BV86" s="7">
        <f t="shared" si="70"/>
        <v>0</v>
      </c>
      <c r="BW86" s="7">
        <f t="shared" si="71"/>
        <v>0</v>
      </c>
      <c r="BX86" s="7">
        <f t="shared" si="72"/>
        <v>0</v>
      </c>
      <c r="BY86" s="7">
        <f t="shared" si="73"/>
        <v>0</v>
      </c>
      <c r="BZ86" s="7">
        <f t="shared" si="74"/>
        <v>0</v>
      </c>
      <c r="CA86" s="7">
        <f t="shared" si="75"/>
        <v>0</v>
      </c>
      <c r="CB86" s="7">
        <f t="shared" si="76"/>
        <v>0</v>
      </c>
      <c r="CC86" s="7">
        <f t="shared" si="77"/>
        <v>0</v>
      </c>
      <c r="CD86" s="7">
        <f t="shared" si="78"/>
        <v>0</v>
      </c>
      <c r="CE86" s="7">
        <f t="shared" si="79"/>
        <v>0</v>
      </c>
      <c r="CF86" s="7">
        <f t="shared" si="80"/>
        <v>0</v>
      </c>
      <c r="CG86" s="7">
        <f t="shared" si="81"/>
        <v>0</v>
      </c>
      <c r="CH86" s="7">
        <f t="shared" si="82"/>
        <v>0</v>
      </c>
      <c r="CI86" s="7">
        <f t="shared" si="83"/>
        <v>0</v>
      </c>
      <c r="CJ86" s="7">
        <f t="shared" si="84"/>
        <v>0</v>
      </c>
      <c r="CK86" s="7">
        <f t="shared" si="85"/>
        <v>0</v>
      </c>
      <c r="CL86" s="7">
        <f t="shared" si="86"/>
        <v>0</v>
      </c>
      <c r="CM86" s="7">
        <f t="shared" si="87"/>
        <v>0</v>
      </c>
      <c r="CN86" s="7">
        <f t="shared" si="88"/>
        <v>0</v>
      </c>
      <c r="CO86" s="7">
        <f t="shared" si="89"/>
        <v>0</v>
      </c>
      <c r="CP86" s="7">
        <f t="shared" si="90"/>
        <v>0</v>
      </c>
      <c r="CQ86" s="7">
        <f t="shared" si="91"/>
        <v>0</v>
      </c>
      <c r="CR86" s="7">
        <f t="shared" si="92"/>
        <v>0</v>
      </c>
      <c r="CS86" s="7">
        <f t="shared" si="93"/>
        <v>0</v>
      </c>
      <c r="CT86" s="7">
        <f t="shared" si="94"/>
        <v>0</v>
      </c>
      <c r="CU86" s="7">
        <f t="shared" si="95"/>
        <v>0</v>
      </c>
      <c r="CV86" s="7">
        <f t="shared" si="96"/>
        <v>0</v>
      </c>
      <c r="CW86" s="7">
        <f t="shared" si="97"/>
        <v>0</v>
      </c>
      <c r="CX86" s="7">
        <f t="shared" si="98"/>
        <v>0</v>
      </c>
      <c r="CY86" s="7">
        <f t="shared" si="99"/>
        <v>0</v>
      </c>
      <c r="CZ86" s="7">
        <f t="shared" si="100"/>
        <v>0</v>
      </c>
      <c r="DA86" s="7">
        <f t="shared" si="101"/>
        <v>0</v>
      </c>
      <c r="DB86" s="7">
        <f t="shared" si="102"/>
        <v>0</v>
      </c>
      <c r="DC86" s="7">
        <f t="shared" si="103"/>
        <v>0</v>
      </c>
      <c r="DD86" s="7">
        <f t="shared" si="104"/>
        <v>0</v>
      </c>
      <c r="DE86" s="7">
        <f t="shared" si="105"/>
        <v>0</v>
      </c>
      <c r="DF86" s="7">
        <f t="shared" si="106"/>
        <v>0</v>
      </c>
      <c r="DG86" s="7">
        <f t="shared" si="107"/>
        <v>0</v>
      </c>
      <c r="DH86" s="7">
        <f t="shared" si="108"/>
        <v>0</v>
      </c>
      <c r="DI86" s="7">
        <f t="shared" si="109"/>
        <v>0</v>
      </c>
      <c r="DJ86" s="7">
        <f t="shared" si="110"/>
        <v>0</v>
      </c>
      <c r="DK86" s="7">
        <f t="shared" si="111"/>
        <v>0</v>
      </c>
      <c r="DL86" s="7">
        <f t="shared" si="112"/>
        <v>0</v>
      </c>
      <c r="DM86" s="7">
        <f t="shared" si="113"/>
        <v>0</v>
      </c>
      <c r="DN86" s="7">
        <f t="shared" si="114"/>
        <v>0</v>
      </c>
      <c r="DO86" s="7">
        <f t="shared" si="115"/>
        <v>0</v>
      </c>
      <c r="DP86" s="7">
        <f t="shared" si="116"/>
        <v>0</v>
      </c>
      <c r="DQ86" s="7">
        <f t="shared" si="117"/>
        <v>0</v>
      </c>
      <c r="DR86" s="7">
        <f t="shared" si="118"/>
        <v>0</v>
      </c>
      <c r="DS86" s="7">
        <f t="shared" si="119"/>
        <v>0</v>
      </c>
      <c r="DT86" s="7">
        <f t="shared" si="120"/>
        <v>0</v>
      </c>
      <c r="DU86" s="7">
        <f t="shared" si="121"/>
        <v>0</v>
      </c>
    </row>
    <row r="87" spans="1:125" x14ac:dyDescent="0.2">
      <c r="A87" s="3">
        <f>Bonds!A87</f>
        <v>46812</v>
      </c>
      <c r="B87" s="4">
        <f>Bonds!B87</f>
        <v>4</v>
      </c>
      <c r="C87">
        <f>Bonds!P87</f>
        <v>3</v>
      </c>
      <c r="D87">
        <f t="shared" si="61"/>
        <v>1</v>
      </c>
      <c r="E87" s="3">
        <f>IF(1&gt;$C87,"",IF($D87=1,EOMONTH(EDATE(Bonds!$H87,6*(1-1)),0),EDATE(Bonds!$H87,6*(1-1))))</f>
        <v>46446</v>
      </c>
      <c r="F87" s="3">
        <f>IF(2&gt;$C87,"",IF($D87=1,EOMONTH(EDATE(Bonds!$H87,6*(2-1)),0),EDATE(Bonds!$H87,6*(2-1))))</f>
        <v>46630</v>
      </c>
      <c r="G87" s="3">
        <f>IF(3&gt;$C87,"",IF($D87=1,EOMONTH(EDATE(Bonds!$H87,6*(3-1)),0),EDATE(Bonds!$H87,6*(3-1))))</f>
        <v>46812</v>
      </c>
      <c r="H87" s="3" t="str">
        <f>IF(4&gt;$C87,"",IF($D87=1,EOMONTH(EDATE(Bonds!$H87,6*(4-1)),0),EDATE(Bonds!$H87,6*(4-1))))</f>
        <v/>
      </c>
      <c r="I87" s="3" t="str">
        <f>IF(5&gt;$C87,"",IF($D87=1,EOMONTH(EDATE(Bonds!$H87,6*(5-1)),0),EDATE(Bonds!$H87,6*(5-1))))</f>
        <v/>
      </c>
      <c r="J87" s="3" t="str">
        <f>IF(6&gt;$C87,"",IF($D87=1,EOMONTH(EDATE(Bonds!$H87,6*(6-1)),0),EDATE(Bonds!$H87,6*(6-1))))</f>
        <v/>
      </c>
      <c r="K87" s="3" t="str">
        <f>IF(7&gt;$C87,"",IF($D87=1,EOMONTH(EDATE(Bonds!$H87,6*(7-1)),0),EDATE(Bonds!$H87,6*(7-1))))</f>
        <v/>
      </c>
      <c r="L87" s="3" t="str">
        <f>IF(8&gt;$C87,"",IF($D87=1,EOMONTH(EDATE(Bonds!$H87,6*(8-1)),0),EDATE(Bonds!$H87,6*(8-1))))</f>
        <v/>
      </c>
      <c r="M87" s="3" t="str">
        <f>IF(9&gt;$C87,"",IF($D87=1,EOMONTH(EDATE(Bonds!$H87,6*(9-1)),0),EDATE(Bonds!$H87,6*(9-1))))</f>
        <v/>
      </c>
      <c r="N87" s="3" t="str">
        <f>IF(10&gt;$C87,"",IF($D87=1,EOMONTH(EDATE(Bonds!$H87,6*(10-1)),0),EDATE(Bonds!$H87,6*(10-1))))</f>
        <v/>
      </c>
      <c r="O87" s="3" t="str">
        <f>IF(11&gt;$C87,"",IF($D87=1,EOMONTH(EDATE(Bonds!$H87,6*(11-1)),0),EDATE(Bonds!$H87,6*(11-1))))</f>
        <v/>
      </c>
      <c r="P87" s="3" t="str">
        <f>IF(12&gt;$C87,"",IF($D87=1,EOMONTH(EDATE(Bonds!$H87,6*(12-1)),0),EDATE(Bonds!$H87,6*(12-1))))</f>
        <v/>
      </c>
      <c r="Q87" s="3" t="str">
        <f>IF(13&gt;$C87,"",IF($D87=1,EOMONTH(EDATE(Bonds!$H87,6*(13-1)),0),EDATE(Bonds!$H87,6*(13-1))))</f>
        <v/>
      </c>
      <c r="R87" s="3" t="str">
        <f>IF(14&gt;$C87,"",IF($D87=1,EOMONTH(EDATE(Bonds!$H87,6*(14-1)),0),EDATE(Bonds!$H87,6*(14-1))))</f>
        <v/>
      </c>
      <c r="S87" s="3" t="str">
        <f>IF(15&gt;$C87,"",IF($D87=1,EOMONTH(EDATE(Bonds!$H87,6*(15-1)),0),EDATE(Bonds!$H87,6*(15-1))))</f>
        <v/>
      </c>
      <c r="T87" s="3" t="str">
        <f>IF(16&gt;$C87,"",IF($D87=1,EOMONTH(EDATE(Bonds!$H87,6*(16-1)),0),EDATE(Bonds!$H87,6*(16-1))))</f>
        <v/>
      </c>
      <c r="U87" s="3" t="str">
        <f>IF(17&gt;$C87,"",IF($D87=1,EOMONTH(EDATE(Bonds!$H87,6*(17-1)),0),EDATE(Bonds!$H87,6*(17-1))))</f>
        <v/>
      </c>
      <c r="V87" s="3" t="str">
        <f>IF(18&gt;$C87,"",IF($D87=1,EOMONTH(EDATE(Bonds!$H87,6*(18-1)),0),EDATE(Bonds!$H87,6*(18-1))))</f>
        <v/>
      </c>
      <c r="W87" s="3" t="str">
        <f>IF(19&gt;$C87,"",IF($D87=1,EOMONTH(EDATE(Bonds!$H87,6*(19-1)),0),EDATE(Bonds!$H87,6*(19-1))))</f>
        <v/>
      </c>
      <c r="X87" s="3" t="str">
        <f>IF(20&gt;$C87,"",IF($D87=1,EOMONTH(EDATE(Bonds!$H87,6*(20-1)),0),EDATE(Bonds!$H87,6*(20-1))))</f>
        <v/>
      </c>
      <c r="Y87" s="3" t="str">
        <f>IF(21&gt;$C87,"",IF($D87=1,EOMONTH(EDATE(Bonds!$H87,6*(21-1)),0),EDATE(Bonds!$H87,6*(21-1))))</f>
        <v/>
      </c>
      <c r="Z87" s="3" t="str">
        <f>IF(22&gt;$C87,"",IF($D87=1,EOMONTH(EDATE(Bonds!$H87,6*(22-1)),0),EDATE(Bonds!$H87,6*(22-1))))</f>
        <v/>
      </c>
      <c r="AA87" s="3" t="str">
        <f>IF(23&gt;$C87,"",IF($D87=1,EOMONTH(EDATE(Bonds!$H87,6*(23-1)),0),EDATE(Bonds!$H87,6*(23-1))))</f>
        <v/>
      </c>
      <c r="AB87" s="3" t="str">
        <f>IF(24&gt;$C87,"",IF($D87=1,EOMONTH(EDATE(Bonds!$H87,6*(24-1)),0),EDATE(Bonds!$H87,6*(24-1))))</f>
        <v/>
      </c>
      <c r="AC87" s="3" t="str">
        <f>IF(25&gt;$C87,"",IF($D87=1,EOMONTH(EDATE(Bonds!$H87,6*(25-1)),0),EDATE(Bonds!$H87,6*(25-1))))</f>
        <v/>
      </c>
      <c r="AD87" s="3" t="str">
        <f>IF(26&gt;$C87,"",IF($D87=1,EOMONTH(EDATE(Bonds!$H87,6*(26-1)),0),EDATE(Bonds!$H87,6*(26-1))))</f>
        <v/>
      </c>
      <c r="AE87" s="3" t="str">
        <f>IF(27&gt;$C87,"",IF($D87=1,EOMONTH(EDATE(Bonds!$H87,6*(27-1)),0),EDATE(Bonds!$H87,6*(27-1))))</f>
        <v/>
      </c>
      <c r="AF87" s="3" t="str">
        <f>IF(28&gt;$C87,"",IF($D87=1,EOMONTH(EDATE(Bonds!$H87,6*(28-1)),0),EDATE(Bonds!$H87,6*(28-1))))</f>
        <v/>
      </c>
      <c r="AG87" s="3" t="str">
        <f>IF(29&gt;$C87,"",IF($D87=1,EOMONTH(EDATE(Bonds!$H87,6*(29-1)),0),EDATE(Bonds!$H87,6*(29-1))))</f>
        <v/>
      </c>
      <c r="AH87" s="3" t="str">
        <f>IF(30&gt;$C87,"",IF($D87=1,EOMONTH(EDATE(Bonds!$H87,6*(30-1)),0),EDATE(Bonds!$H87,6*(30-1))))</f>
        <v/>
      </c>
      <c r="AI87" s="3" t="str">
        <f>IF(31&gt;$C87,"",IF($D87=1,EOMONTH(EDATE(Bonds!$H87,6*(31-1)),0),EDATE(Bonds!$H87,6*(31-1))))</f>
        <v/>
      </c>
      <c r="AJ87" s="3" t="str">
        <f>IF(32&gt;$C87,"",IF($D87=1,EOMONTH(EDATE(Bonds!$H87,6*(32-1)),0),EDATE(Bonds!$H87,6*(32-1))))</f>
        <v/>
      </c>
      <c r="AK87" s="3" t="str">
        <f>IF(33&gt;$C87,"",IF($D87=1,EOMONTH(EDATE(Bonds!$H87,6*(33-1)),0),EDATE(Bonds!$H87,6*(33-1))))</f>
        <v/>
      </c>
      <c r="AL87" s="3" t="str">
        <f>IF(34&gt;$C87,"",IF($D87=1,EOMONTH(EDATE(Bonds!$H87,6*(34-1)),0),EDATE(Bonds!$H87,6*(34-1))))</f>
        <v/>
      </c>
      <c r="AM87" s="3" t="str">
        <f>IF(35&gt;$C87,"",IF($D87=1,EOMONTH(EDATE(Bonds!$H87,6*(35-1)),0),EDATE(Bonds!$H87,6*(35-1))))</f>
        <v/>
      </c>
      <c r="AN87" s="3" t="str">
        <f>IF(36&gt;$C87,"",IF($D87=1,EOMONTH(EDATE(Bonds!$H87,6*(36-1)),0),EDATE(Bonds!$H87,6*(36-1))))</f>
        <v/>
      </c>
      <c r="AO87" s="3" t="str">
        <f>IF(37&gt;$C87,"",IF($D87=1,EOMONTH(EDATE(Bonds!$H87,6*(37-1)),0),EDATE(Bonds!$H87,6*(37-1))))</f>
        <v/>
      </c>
      <c r="AP87" s="3" t="str">
        <f>IF(38&gt;$C87,"",IF($D87=1,EOMONTH(EDATE(Bonds!$H87,6*(38-1)),0),EDATE(Bonds!$H87,6*(38-1))))</f>
        <v/>
      </c>
      <c r="AQ87" s="3" t="str">
        <f>IF(39&gt;$C87,"",IF($D87=1,EOMONTH(EDATE(Bonds!$H87,6*(39-1)),0),EDATE(Bonds!$H87,6*(39-1))))</f>
        <v/>
      </c>
      <c r="AR87" s="3" t="str">
        <f>IF(40&gt;$C87,"",IF($D87=1,EOMONTH(EDATE(Bonds!$H87,6*(40-1)),0),EDATE(Bonds!$H87,6*(40-1))))</f>
        <v/>
      </c>
      <c r="AS87" s="3" t="str">
        <f>IF(41&gt;$C87,"",IF($D87=1,EOMONTH(EDATE(Bonds!$H87,6*(41-1)),0),EDATE(Bonds!$H87,6*(41-1))))</f>
        <v/>
      </c>
      <c r="AT87" s="3" t="str">
        <f>IF(42&gt;$C87,"",IF($D87=1,EOMONTH(EDATE(Bonds!$H87,6*(42-1)),0),EDATE(Bonds!$H87,6*(42-1))))</f>
        <v/>
      </c>
      <c r="AU87" s="3" t="str">
        <f>IF(43&gt;$C87,"",IF($D87=1,EOMONTH(EDATE(Bonds!$H87,6*(43-1)),0),EDATE(Bonds!$H87,6*(43-1))))</f>
        <v/>
      </c>
      <c r="AV87" s="3" t="str">
        <f>IF(44&gt;$C87,"",IF($D87=1,EOMONTH(EDATE(Bonds!$H87,6*(44-1)),0),EDATE(Bonds!$H87,6*(44-1))))</f>
        <v/>
      </c>
      <c r="AW87" s="3" t="str">
        <f>IF(45&gt;$C87,"",IF($D87=1,EOMONTH(EDATE(Bonds!$H87,6*(45-1)),0),EDATE(Bonds!$H87,6*(45-1))))</f>
        <v/>
      </c>
      <c r="AX87" s="3" t="str">
        <f>IF(46&gt;$C87,"",IF($D87=1,EOMONTH(EDATE(Bonds!$H87,6*(46-1)),0),EDATE(Bonds!$H87,6*(46-1))))</f>
        <v/>
      </c>
      <c r="AY87" s="3" t="str">
        <f>IF(47&gt;$C87,"",IF($D87=1,EOMONTH(EDATE(Bonds!$H87,6*(47-1)),0),EDATE(Bonds!$H87,6*(47-1))))</f>
        <v/>
      </c>
      <c r="AZ87" s="3" t="str">
        <f>IF(48&gt;$C87,"",IF($D87=1,EOMONTH(EDATE(Bonds!$H87,6*(48-1)),0),EDATE(Bonds!$H87,6*(48-1))))</f>
        <v/>
      </c>
      <c r="BA87" s="3" t="str">
        <f>IF(49&gt;$C87,"",IF($D87=1,EOMONTH(EDATE(Bonds!$H87,6*(49-1)),0),EDATE(Bonds!$H87,6*(49-1))))</f>
        <v/>
      </c>
      <c r="BB87" s="3" t="str">
        <f>IF(50&gt;$C87,"",IF($D87=1,EOMONTH(EDATE(Bonds!$H87,6*(50-1)),0),EDATE(Bonds!$H87,6*(50-1))))</f>
        <v/>
      </c>
      <c r="BC87" s="3" t="str">
        <f>IF(51&gt;$C87,"",IF($D87=1,EOMONTH(EDATE(Bonds!$H87,6*(51-1)),0),EDATE(Bonds!$H87,6*(51-1))))</f>
        <v/>
      </c>
      <c r="BD87" s="3" t="str">
        <f>IF(52&gt;$C87,"",IF($D87=1,EOMONTH(EDATE(Bonds!$H87,6*(52-1)),0),EDATE(Bonds!$H87,6*(52-1))))</f>
        <v/>
      </c>
      <c r="BE87" s="3" t="str">
        <f>IF(53&gt;$C87,"",IF($D87=1,EOMONTH(EDATE(Bonds!$H87,6*(53-1)),0),EDATE(Bonds!$H87,6*(53-1))))</f>
        <v/>
      </c>
      <c r="BF87" s="3" t="str">
        <f>IF(54&gt;$C87,"",IF($D87=1,EOMONTH(EDATE(Bonds!$H87,6*(54-1)),0),EDATE(Bonds!$H87,6*(54-1))))</f>
        <v/>
      </c>
      <c r="BG87" s="3" t="str">
        <f>IF(55&gt;$C87,"",IF($D87=1,EOMONTH(EDATE(Bonds!$H87,6*(55-1)),0),EDATE(Bonds!$H87,6*(55-1))))</f>
        <v/>
      </c>
      <c r="BH87" s="3" t="str">
        <f>IF(56&gt;$C87,"",IF($D87=1,EOMONTH(EDATE(Bonds!$H87,6*(56-1)),0),EDATE(Bonds!$H87,6*(56-1))))</f>
        <v/>
      </c>
      <c r="BI87" s="3" t="str">
        <f>IF(57&gt;$C87,"",IF($D87=1,EOMONTH(EDATE(Bonds!$H87,6*(57-1)),0),EDATE(Bonds!$H87,6*(57-1))))</f>
        <v/>
      </c>
      <c r="BJ87" s="3" t="str">
        <f>IF(58&gt;$C87,"",IF($D87=1,EOMONTH(EDATE(Bonds!$H87,6*(58-1)),0),EDATE(Bonds!$H87,6*(58-1))))</f>
        <v/>
      </c>
      <c r="BK87" s="3" t="str">
        <f>IF(59&gt;$C87,"",IF($D87=1,EOMONTH(EDATE(Bonds!$H87,6*(59-1)),0),EDATE(Bonds!$H87,6*(59-1))))</f>
        <v/>
      </c>
      <c r="BL87" s="3" t="str">
        <f>IF(60&gt;$C87,"",IF($D87=1,EOMONTH(EDATE(Bonds!$H87,6*(60-1)),0),EDATE(Bonds!$H87,6*(60-1))))</f>
        <v/>
      </c>
      <c r="BN87" s="7">
        <f t="shared" si="62"/>
        <v>1.9631791301183759</v>
      </c>
      <c r="BO87" s="7">
        <f t="shared" si="63"/>
        <v>1.9209000955842239</v>
      </c>
      <c r="BP87" s="7">
        <f t="shared" si="64"/>
        <v>95.787339297108261</v>
      </c>
      <c r="BQ87" s="7">
        <f t="shared" si="65"/>
        <v>0</v>
      </c>
      <c r="BR87" s="7">
        <f t="shared" si="66"/>
        <v>0</v>
      </c>
      <c r="BS87" s="7">
        <f t="shared" si="67"/>
        <v>0</v>
      </c>
      <c r="BT87" s="7">
        <f t="shared" si="68"/>
        <v>0</v>
      </c>
      <c r="BU87" s="7">
        <f t="shared" si="69"/>
        <v>0</v>
      </c>
      <c r="BV87" s="7">
        <f t="shared" si="70"/>
        <v>0</v>
      </c>
      <c r="BW87" s="7">
        <f t="shared" si="71"/>
        <v>0</v>
      </c>
      <c r="BX87" s="7">
        <f t="shared" si="72"/>
        <v>0</v>
      </c>
      <c r="BY87" s="7">
        <f t="shared" si="73"/>
        <v>0</v>
      </c>
      <c r="BZ87" s="7">
        <f t="shared" si="74"/>
        <v>0</v>
      </c>
      <c r="CA87" s="7">
        <f t="shared" si="75"/>
        <v>0</v>
      </c>
      <c r="CB87" s="7">
        <f t="shared" si="76"/>
        <v>0</v>
      </c>
      <c r="CC87" s="7">
        <f t="shared" si="77"/>
        <v>0</v>
      </c>
      <c r="CD87" s="7">
        <f t="shared" si="78"/>
        <v>0</v>
      </c>
      <c r="CE87" s="7">
        <f t="shared" si="79"/>
        <v>0</v>
      </c>
      <c r="CF87" s="7">
        <f t="shared" si="80"/>
        <v>0</v>
      </c>
      <c r="CG87" s="7">
        <f t="shared" si="81"/>
        <v>0</v>
      </c>
      <c r="CH87" s="7">
        <f t="shared" si="82"/>
        <v>0</v>
      </c>
      <c r="CI87" s="7">
        <f t="shared" si="83"/>
        <v>0</v>
      </c>
      <c r="CJ87" s="7">
        <f t="shared" si="84"/>
        <v>0</v>
      </c>
      <c r="CK87" s="7">
        <f t="shared" si="85"/>
        <v>0</v>
      </c>
      <c r="CL87" s="7">
        <f t="shared" si="86"/>
        <v>0</v>
      </c>
      <c r="CM87" s="7">
        <f t="shared" si="87"/>
        <v>0</v>
      </c>
      <c r="CN87" s="7">
        <f t="shared" si="88"/>
        <v>0</v>
      </c>
      <c r="CO87" s="7">
        <f t="shared" si="89"/>
        <v>0</v>
      </c>
      <c r="CP87" s="7">
        <f t="shared" si="90"/>
        <v>0</v>
      </c>
      <c r="CQ87" s="7">
        <f t="shared" si="91"/>
        <v>0</v>
      </c>
      <c r="CR87" s="7">
        <f t="shared" si="92"/>
        <v>0</v>
      </c>
      <c r="CS87" s="7">
        <f t="shared" si="93"/>
        <v>0</v>
      </c>
      <c r="CT87" s="7">
        <f t="shared" si="94"/>
        <v>0</v>
      </c>
      <c r="CU87" s="7">
        <f t="shared" si="95"/>
        <v>0</v>
      </c>
      <c r="CV87" s="7">
        <f t="shared" si="96"/>
        <v>0</v>
      </c>
      <c r="CW87" s="7">
        <f t="shared" si="97"/>
        <v>0</v>
      </c>
      <c r="CX87" s="7">
        <f t="shared" si="98"/>
        <v>0</v>
      </c>
      <c r="CY87" s="7">
        <f t="shared" si="99"/>
        <v>0</v>
      </c>
      <c r="CZ87" s="7">
        <f t="shared" si="100"/>
        <v>0</v>
      </c>
      <c r="DA87" s="7">
        <f t="shared" si="101"/>
        <v>0</v>
      </c>
      <c r="DB87" s="7">
        <f t="shared" si="102"/>
        <v>0</v>
      </c>
      <c r="DC87" s="7">
        <f t="shared" si="103"/>
        <v>0</v>
      </c>
      <c r="DD87" s="7">
        <f t="shared" si="104"/>
        <v>0</v>
      </c>
      <c r="DE87" s="7">
        <f t="shared" si="105"/>
        <v>0</v>
      </c>
      <c r="DF87" s="7">
        <f t="shared" si="106"/>
        <v>0</v>
      </c>
      <c r="DG87" s="7">
        <f t="shared" si="107"/>
        <v>0</v>
      </c>
      <c r="DH87" s="7">
        <f t="shared" si="108"/>
        <v>0</v>
      </c>
      <c r="DI87" s="7">
        <f t="shared" si="109"/>
        <v>0</v>
      </c>
      <c r="DJ87" s="7">
        <f t="shared" si="110"/>
        <v>0</v>
      </c>
      <c r="DK87" s="7">
        <f t="shared" si="111"/>
        <v>0</v>
      </c>
      <c r="DL87" s="7">
        <f t="shared" si="112"/>
        <v>0</v>
      </c>
      <c r="DM87" s="7">
        <f t="shared" si="113"/>
        <v>0</v>
      </c>
      <c r="DN87" s="7">
        <f t="shared" si="114"/>
        <v>0</v>
      </c>
      <c r="DO87" s="7">
        <f t="shared" si="115"/>
        <v>0</v>
      </c>
      <c r="DP87" s="7">
        <f t="shared" si="116"/>
        <v>0</v>
      </c>
      <c r="DQ87" s="7">
        <f t="shared" si="117"/>
        <v>0</v>
      </c>
      <c r="DR87" s="7">
        <f t="shared" si="118"/>
        <v>0</v>
      </c>
      <c r="DS87" s="7">
        <f t="shared" si="119"/>
        <v>0</v>
      </c>
      <c r="DT87" s="7">
        <f t="shared" si="120"/>
        <v>0</v>
      </c>
      <c r="DU87" s="7">
        <f t="shared" si="121"/>
        <v>0</v>
      </c>
    </row>
    <row r="88" spans="1:125" x14ac:dyDescent="0.2">
      <c r="A88" s="3">
        <f>Bonds!A88</f>
        <v>46827</v>
      </c>
      <c r="B88" s="4">
        <f>Bonds!B88</f>
        <v>3.875</v>
      </c>
      <c r="C88">
        <f>Bonds!P88</f>
        <v>4</v>
      </c>
      <c r="D88">
        <f t="shared" si="61"/>
        <v>0</v>
      </c>
      <c r="E88" s="3">
        <f>IF(1&gt;$C88,"",IF($D88=1,EOMONTH(EDATE(Bonds!$H88,6*(1-1)),0),EDATE(Bonds!$H88,6*(1-1))))</f>
        <v>46280</v>
      </c>
      <c r="F88" s="3">
        <f>IF(2&gt;$C88,"",IF($D88=1,EOMONTH(EDATE(Bonds!$H88,6*(2-1)),0),EDATE(Bonds!$H88,6*(2-1))))</f>
        <v>46461</v>
      </c>
      <c r="G88" s="3">
        <f>IF(3&gt;$C88,"",IF($D88=1,EOMONTH(EDATE(Bonds!$H88,6*(3-1)),0),EDATE(Bonds!$H88,6*(3-1))))</f>
        <v>46645</v>
      </c>
      <c r="H88" s="3">
        <f>IF(4&gt;$C88,"",IF($D88=1,EOMONTH(EDATE(Bonds!$H88,6*(4-1)),0),EDATE(Bonds!$H88,6*(4-1))))</f>
        <v>46827</v>
      </c>
      <c r="I88" s="3" t="str">
        <f>IF(5&gt;$C88,"",IF($D88=1,EOMONTH(EDATE(Bonds!$H88,6*(5-1)),0),EDATE(Bonds!$H88,6*(5-1))))</f>
        <v/>
      </c>
      <c r="J88" s="3" t="str">
        <f>IF(6&gt;$C88,"",IF($D88=1,EOMONTH(EDATE(Bonds!$H88,6*(6-1)),0),EDATE(Bonds!$H88,6*(6-1))))</f>
        <v/>
      </c>
      <c r="K88" s="3" t="str">
        <f>IF(7&gt;$C88,"",IF($D88=1,EOMONTH(EDATE(Bonds!$H88,6*(7-1)),0),EDATE(Bonds!$H88,6*(7-1))))</f>
        <v/>
      </c>
      <c r="L88" s="3" t="str">
        <f>IF(8&gt;$C88,"",IF($D88=1,EOMONTH(EDATE(Bonds!$H88,6*(8-1)),0),EDATE(Bonds!$H88,6*(8-1))))</f>
        <v/>
      </c>
      <c r="M88" s="3" t="str">
        <f>IF(9&gt;$C88,"",IF($D88=1,EOMONTH(EDATE(Bonds!$H88,6*(9-1)),0),EDATE(Bonds!$H88,6*(9-1))))</f>
        <v/>
      </c>
      <c r="N88" s="3" t="str">
        <f>IF(10&gt;$C88,"",IF($D88=1,EOMONTH(EDATE(Bonds!$H88,6*(10-1)),0),EDATE(Bonds!$H88,6*(10-1))))</f>
        <v/>
      </c>
      <c r="O88" s="3" t="str">
        <f>IF(11&gt;$C88,"",IF($D88=1,EOMONTH(EDATE(Bonds!$H88,6*(11-1)),0),EDATE(Bonds!$H88,6*(11-1))))</f>
        <v/>
      </c>
      <c r="P88" s="3" t="str">
        <f>IF(12&gt;$C88,"",IF($D88=1,EOMONTH(EDATE(Bonds!$H88,6*(12-1)),0),EDATE(Bonds!$H88,6*(12-1))))</f>
        <v/>
      </c>
      <c r="Q88" s="3" t="str">
        <f>IF(13&gt;$C88,"",IF($D88=1,EOMONTH(EDATE(Bonds!$H88,6*(13-1)),0),EDATE(Bonds!$H88,6*(13-1))))</f>
        <v/>
      </c>
      <c r="R88" s="3" t="str">
        <f>IF(14&gt;$C88,"",IF($D88=1,EOMONTH(EDATE(Bonds!$H88,6*(14-1)),0),EDATE(Bonds!$H88,6*(14-1))))</f>
        <v/>
      </c>
      <c r="S88" s="3" t="str">
        <f>IF(15&gt;$C88,"",IF($D88=1,EOMONTH(EDATE(Bonds!$H88,6*(15-1)),0),EDATE(Bonds!$H88,6*(15-1))))</f>
        <v/>
      </c>
      <c r="T88" s="3" t="str">
        <f>IF(16&gt;$C88,"",IF($D88=1,EOMONTH(EDATE(Bonds!$H88,6*(16-1)),0),EDATE(Bonds!$H88,6*(16-1))))</f>
        <v/>
      </c>
      <c r="U88" s="3" t="str">
        <f>IF(17&gt;$C88,"",IF($D88=1,EOMONTH(EDATE(Bonds!$H88,6*(17-1)),0),EDATE(Bonds!$H88,6*(17-1))))</f>
        <v/>
      </c>
      <c r="V88" s="3" t="str">
        <f>IF(18&gt;$C88,"",IF($D88=1,EOMONTH(EDATE(Bonds!$H88,6*(18-1)),0),EDATE(Bonds!$H88,6*(18-1))))</f>
        <v/>
      </c>
      <c r="W88" s="3" t="str">
        <f>IF(19&gt;$C88,"",IF($D88=1,EOMONTH(EDATE(Bonds!$H88,6*(19-1)),0),EDATE(Bonds!$H88,6*(19-1))))</f>
        <v/>
      </c>
      <c r="X88" s="3" t="str">
        <f>IF(20&gt;$C88,"",IF($D88=1,EOMONTH(EDATE(Bonds!$H88,6*(20-1)),0),EDATE(Bonds!$H88,6*(20-1))))</f>
        <v/>
      </c>
      <c r="Y88" s="3" t="str">
        <f>IF(21&gt;$C88,"",IF($D88=1,EOMONTH(EDATE(Bonds!$H88,6*(21-1)),0),EDATE(Bonds!$H88,6*(21-1))))</f>
        <v/>
      </c>
      <c r="Z88" s="3" t="str">
        <f>IF(22&gt;$C88,"",IF($D88=1,EOMONTH(EDATE(Bonds!$H88,6*(22-1)),0),EDATE(Bonds!$H88,6*(22-1))))</f>
        <v/>
      </c>
      <c r="AA88" s="3" t="str">
        <f>IF(23&gt;$C88,"",IF($D88=1,EOMONTH(EDATE(Bonds!$H88,6*(23-1)),0),EDATE(Bonds!$H88,6*(23-1))))</f>
        <v/>
      </c>
      <c r="AB88" s="3" t="str">
        <f>IF(24&gt;$C88,"",IF($D88=1,EOMONTH(EDATE(Bonds!$H88,6*(24-1)),0),EDATE(Bonds!$H88,6*(24-1))))</f>
        <v/>
      </c>
      <c r="AC88" s="3" t="str">
        <f>IF(25&gt;$C88,"",IF($D88=1,EOMONTH(EDATE(Bonds!$H88,6*(25-1)),0),EDATE(Bonds!$H88,6*(25-1))))</f>
        <v/>
      </c>
      <c r="AD88" s="3" t="str">
        <f>IF(26&gt;$C88,"",IF($D88=1,EOMONTH(EDATE(Bonds!$H88,6*(26-1)),0),EDATE(Bonds!$H88,6*(26-1))))</f>
        <v/>
      </c>
      <c r="AE88" s="3" t="str">
        <f>IF(27&gt;$C88,"",IF($D88=1,EOMONTH(EDATE(Bonds!$H88,6*(27-1)),0),EDATE(Bonds!$H88,6*(27-1))))</f>
        <v/>
      </c>
      <c r="AF88" s="3" t="str">
        <f>IF(28&gt;$C88,"",IF($D88=1,EOMONTH(EDATE(Bonds!$H88,6*(28-1)),0),EDATE(Bonds!$H88,6*(28-1))))</f>
        <v/>
      </c>
      <c r="AG88" s="3" t="str">
        <f>IF(29&gt;$C88,"",IF($D88=1,EOMONTH(EDATE(Bonds!$H88,6*(29-1)),0),EDATE(Bonds!$H88,6*(29-1))))</f>
        <v/>
      </c>
      <c r="AH88" s="3" t="str">
        <f>IF(30&gt;$C88,"",IF($D88=1,EOMONTH(EDATE(Bonds!$H88,6*(30-1)),0),EDATE(Bonds!$H88,6*(30-1))))</f>
        <v/>
      </c>
      <c r="AI88" s="3" t="str">
        <f>IF(31&gt;$C88,"",IF($D88=1,EOMONTH(EDATE(Bonds!$H88,6*(31-1)),0),EDATE(Bonds!$H88,6*(31-1))))</f>
        <v/>
      </c>
      <c r="AJ88" s="3" t="str">
        <f>IF(32&gt;$C88,"",IF($D88=1,EOMONTH(EDATE(Bonds!$H88,6*(32-1)),0),EDATE(Bonds!$H88,6*(32-1))))</f>
        <v/>
      </c>
      <c r="AK88" s="3" t="str">
        <f>IF(33&gt;$C88,"",IF($D88=1,EOMONTH(EDATE(Bonds!$H88,6*(33-1)),0),EDATE(Bonds!$H88,6*(33-1))))</f>
        <v/>
      </c>
      <c r="AL88" s="3" t="str">
        <f>IF(34&gt;$C88,"",IF($D88=1,EOMONTH(EDATE(Bonds!$H88,6*(34-1)),0),EDATE(Bonds!$H88,6*(34-1))))</f>
        <v/>
      </c>
      <c r="AM88" s="3" t="str">
        <f>IF(35&gt;$C88,"",IF($D88=1,EOMONTH(EDATE(Bonds!$H88,6*(35-1)),0),EDATE(Bonds!$H88,6*(35-1))))</f>
        <v/>
      </c>
      <c r="AN88" s="3" t="str">
        <f>IF(36&gt;$C88,"",IF($D88=1,EOMONTH(EDATE(Bonds!$H88,6*(36-1)),0),EDATE(Bonds!$H88,6*(36-1))))</f>
        <v/>
      </c>
      <c r="AO88" s="3" t="str">
        <f>IF(37&gt;$C88,"",IF($D88=1,EOMONTH(EDATE(Bonds!$H88,6*(37-1)),0),EDATE(Bonds!$H88,6*(37-1))))</f>
        <v/>
      </c>
      <c r="AP88" s="3" t="str">
        <f>IF(38&gt;$C88,"",IF($D88=1,EOMONTH(EDATE(Bonds!$H88,6*(38-1)),0),EDATE(Bonds!$H88,6*(38-1))))</f>
        <v/>
      </c>
      <c r="AQ88" s="3" t="str">
        <f>IF(39&gt;$C88,"",IF($D88=1,EOMONTH(EDATE(Bonds!$H88,6*(39-1)),0),EDATE(Bonds!$H88,6*(39-1))))</f>
        <v/>
      </c>
      <c r="AR88" s="3" t="str">
        <f>IF(40&gt;$C88,"",IF($D88=1,EOMONTH(EDATE(Bonds!$H88,6*(40-1)),0),EDATE(Bonds!$H88,6*(40-1))))</f>
        <v/>
      </c>
      <c r="AS88" s="3" t="str">
        <f>IF(41&gt;$C88,"",IF($D88=1,EOMONTH(EDATE(Bonds!$H88,6*(41-1)),0),EDATE(Bonds!$H88,6*(41-1))))</f>
        <v/>
      </c>
      <c r="AT88" s="3" t="str">
        <f>IF(42&gt;$C88,"",IF($D88=1,EOMONTH(EDATE(Bonds!$H88,6*(42-1)),0),EDATE(Bonds!$H88,6*(42-1))))</f>
        <v/>
      </c>
      <c r="AU88" s="3" t="str">
        <f>IF(43&gt;$C88,"",IF($D88=1,EOMONTH(EDATE(Bonds!$H88,6*(43-1)),0),EDATE(Bonds!$H88,6*(43-1))))</f>
        <v/>
      </c>
      <c r="AV88" s="3" t="str">
        <f>IF(44&gt;$C88,"",IF($D88=1,EOMONTH(EDATE(Bonds!$H88,6*(44-1)),0),EDATE(Bonds!$H88,6*(44-1))))</f>
        <v/>
      </c>
      <c r="AW88" s="3" t="str">
        <f>IF(45&gt;$C88,"",IF($D88=1,EOMONTH(EDATE(Bonds!$H88,6*(45-1)),0),EDATE(Bonds!$H88,6*(45-1))))</f>
        <v/>
      </c>
      <c r="AX88" s="3" t="str">
        <f>IF(46&gt;$C88,"",IF($D88=1,EOMONTH(EDATE(Bonds!$H88,6*(46-1)),0),EDATE(Bonds!$H88,6*(46-1))))</f>
        <v/>
      </c>
      <c r="AY88" s="3" t="str">
        <f>IF(47&gt;$C88,"",IF($D88=1,EOMONTH(EDATE(Bonds!$H88,6*(47-1)),0),EDATE(Bonds!$H88,6*(47-1))))</f>
        <v/>
      </c>
      <c r="AZ88" s="3" t="str">
        <f>IF(48&gt;$C88,"",IF($D88=1,EOMONTH(EDATE(Bonds!$H88,6*(48-1)),0),EDATE(Bonds!$H88,6*(48-1))))</f>
        <v/>
      </c>
      <c r="BA88" s="3" t="str">
        <f>IF(49&gt;$C88,"",IF($D88=1,EOMONTH(EDATE(Bonds!$H88,6*(49-1)),0),EDATE(Bonds!$H88,6*(49-1))))</f>
        <v/>
      </c>
      <c r="BB88" s="3" t="str">
        <f>IF(50&gt;$C88,"",IF($D88=1,EOMONTH(EDATE(Bonds!$H88,6*(50-1)),0),EDATE(Bonds!$H88,6*(50-1))))</f>
        <v/>
      </c>
      <c r="BC88" s="3" t="str">
        <f>IF(51&gt;$C88,"",IF($D88=1,EOMONTH(EDATE(Bonds!$H88,6*(51-1)),0),EDATE(Bonds!$H88,6*(51-1))))</f>
        <v/>
      </c>
      <c r="BD88" s="3" t="str">
        <f>IF(52&gt;$C88,"",IF($D88=1,EOMONTH(EDATE(Bonds!$H88,6*(52-1)),0),EDATE(Bonds!$H88,6*(52-1))))</f>
        <v/>
      </c>
      <c r="BE88" s="3" t="str">
        <f>IF(53&gt;$C88,"",IF($D88=1,EOMONTH(EDATE(Bonds!$H88,6*(53-1)),0),EDATE(Bonds!$H88,6*(53-1))))</f>
        <v/>
      </c>
      <c r="BF88" s="3" t="str">
        <f>IF(54&gt;$C88,"",IF($D88=1,EOMONTH(EDATE(Bonds!$H88,6*(54-1)),0),EDATE(Bonds!$H88,6*(54-1))))</f>
        <v/>
      </c>
      <c r="BG88" s="3" t="str">
        <f>IF(55&gt;$C88,"",IF($D88=1,EOMONTH(EDATE(Bonds!$H88,6*(55-1)),0),EDATE(Bonds!$H88,6*(55-1))))</f>
        <v/>
      </c>
      <c r="BH88" s="3" t="str">
        <f>IF(56&gt;$C88,"",IF($D88=1,EOMONTH(EDATE(Bonds!$H88,6*(56-1)),0),EDATE(Bonds!$H88,6*(56-1))))</f>
        <v/>
      </c>
      <c r="BI88" s="3" t="str">
        <f>IF(57&gt;$C88,"",IF($D88=1,EOMONTH(EDATE(Bonds!$H88,6*(57-1)),0),EDATE(Bonds!$H88,6*(57-1))))</f>
        <v/>
      </c>
      <c r="BJ88" s="3" t="str">
        <f>IF(58&gt;$C88,"",IF($D88=1,EOMONTH(EDATE(Bonds!$H88,6*(58-1)),0),EDATE(Bonds!$H88,6*(58-1))))</f>
        <v/>
      </c>
      <c r="BK88" s="3" t="str">
        <f>IF(59&gt;$C88,"",IF($D88=1,EOMONTH(EDATE(Bonds!$H88,6*(59-1)),0),EDATE(Bonds!$H88,6*(59-1))))</f>
        <v/>
      </c>
      <c r="BL88" s="3" t="str">
        <f>IF(60&gt;$C88,"",IF($D88=1,EOMONTH(EDATE(Bonds!$H88,6*(60-1)),0),EDATE(Bonds!$H88,6*(60-1))))</f>
        <v/>
      </c>
      <c r="BN88" s="7">
        <f t="shared" si="62"/>
        <v>1.9361472397383479</v>
      </c>
      <c r="BO88" s="7">
        <f t="shared" si="63"/>
        <v>1.8985695931161295</v>
      </c>
      <c r="BP88" s="7">
        <f t="shared" si="64"/>
        <v>1.8574723699408981</v>
      </c>
      <c r="BQ88" s="7">
        <f t="shared" si="65"/>
        <v>95.549373097049155</v>
      </c>
      <c r="BR88" s="7">
        <f t="shared" si="66"/>
        <v>0</v>
      </c>
      <c r="BS88" s="7">
        <f t="shared" si="67"/>
        <v>0</v>
      </c>
      <c r="BT88" s="7">
        <f t="shared" si="68"/>
        <v>0</v>
      </c>
      <c r="BU88" s="7">
        <f t="shared" si="69"/>
        <v>0</v>
      </c>
      <c r="BV88" s="7">
        <f t="shared" si="70"/>
        <v>0</v>
      </c>
      <c r="BW88" s="7">
        <f t="shared" si="71"/>
        <v>0</v>
      </c>
      <c r="BX88" s="7">
        <f t="shared" si="72"/>
        <v>0</v>
      </c>
      <c r="BY88" s="7">
        <f t="shared" si="73"/>
        <v>0</v>
      </c>
      <c r="BZ88" s="7">
        <f t="shared" si="74"/>
        <v>0</v>
      </c>
      <c r="CA88" s="7">
        <f t="shared" si="75"/>
        <v>0</v>
      </c>
      <c r="CB88" s="7">
        <f t="shared" si="76"/>
        <v>0</v>
      </c>
      <c r="CC88" s="7">
        <f t="shared" si="77"/>
        <v>0</v>
      </c>
      <c r="CD88" s="7">
        <f t="shared" si="78"/>
        <v>0</v>
      </c>
      <c r="CE88" s="7">
        <f t="shared" si="79"/>
        <v>0</v>
      </c>
      <c r="CF88" s="7">
        <f t="shared" si="80"/>
        <v>0</v>
      </c>
      <c r="CG88" s="7">
        <f t="shared" si="81"/>
        <v>0</v>
      </c>
      <c r="CH88" s="7">
        <f t="shared" si="82"/>
        <v>0</v>
      </c>
      <c r="CI88" s="7">
        <f t="shared" si="83"/>
        <v>0</v>
      </c>
      <c r="CJ88" s="7">
        <f t="shared" si="84"/>
        <v>0</v>
      </c>
      <c r="CK88" s="7">
        <f t="shared" si="85"/>
        <v>0</v>
      </c>
      <c r="CL88" s="7">
        <f t="shared" si="86"/>
        <v>0</v>
      </c>
      <c r="CM88" s="7">
        <f t="shared" si="87"/>
        <v>0</v>
      </c>
      <c r="CN88" s="7">
        <f t="shared" si="88"/>
        <v>0</v>
      </c>
      <c r="CO88" s="7">
        <f t="shared" si="89"/>
        <v>0</v>
      </c>
      <c r="CP88" s="7">
        <f t="shared" si="90"/>
        <v>0</v>
      </c>
      <c r="CQ88" s="7">
        <f t="shared" si="91"/>
        <v>0</v>
      </c>
      <c r="CR88" s="7">
        <f t="shared" si="92"/>
        <v>0</v>
      </c>
      <c r="CS88" s="7">
        <f t="shared" si="93"/>
        <v>0</v>
      </c>
      <c r="CT88" s="7">
        <f t="shared" si="94"/>
        <v>0</v>
      </c>
      <c r="CU88" s="7">
        <f t="shared" si="95"/>
        <v>0</v>
      </c>
      <c r="CV88" s="7">
        <f t="shared" si="96"/>
        <v>0</v>
      </c>
      <c r="CW88" s="7">
        <f t="shared" si="97"/>
        <v>0</v>
      </c>
      <c r="CX88" s="7">
        <f t="shared" si="98"/>
        <v>0</v>
      </c>
      <c r="CY88" s="7">
        <f t="shared" si="99"/>
        <v>0</v>
      </c>
      <c r="CZ88" s="7">
        <f t="shared" si="100"/>
        <v>0</v>
      </c>
      <c r="DA88" s="7">
        <f t="shared" si="101"/>
        <v>0</v>
      </c>
      <c r="DB88" s="7">
        <f t="shared" si="102"/>
        <v>0</v>
      </c>
      <c r="DC88" s="7">
        <f t="shared" si="103"/>
        <v>0</v>
      </c>
      <c r="DD88" s="7">
        <f t="shared" si="104"/>
        <v>0</v>
      </c>
      <c r="DE88" s="7">
        <f t="shared" si="105"/>
        <v>0</v>
      </c>
      <c r="DF88" s="7">
        <f t="shared" si="106"/>
        <v>0</v>
      </c>
      <c r="DG88" s="7">
        <f t="shared" si="107"/>
        <v>0</v>
      </c>
      <c r="DH88" s="7">
        <f t="shared" si="108"/>
        <v>0</v>
      </c>
      <c r="DI88" s="7">
        <f t="shared" si="109"/>
        <v>0</v>
      </c>
      <c r="DJ88" s="7">
        <f t="shared" si="110"/>
        <v>0</v>
      </c>
      <c r="DK88" s="7">
        <f t="shared" si="111"/>
        <v>0</v>
      </c>
      <c r="DL88" s="7">
        <f t="shared" si="112"/>
        <v>0</v>
      </c>
      <c r="DM88" s="7">
        <f t="shared" si="113"/>
        <v>0</v>
      </c>
      <c r="DN88" s="7">
        <f t="shared" si="114"/>
        <v>0</v>
      </c>
      <c r="DO88" s="7">
        <f t="shared" si="115"/>
        <v>0</v>
      </c>
      <c r="DP88" s="7">
        <f t="shared" si="116"/>
        <v>0</v>
      </c>
      <c r="DQ88" s="7">
        <f t="shared" si="117"/>
        <v>0</v>
      </c>
      <c r="DR88" s="7">
        <f t="shared" si="118"/>
        <v>0</v>
      </c>
      <c r="DS88" s="7">
        <f t="shared" si="119"/>
        <v>0</v>
      </c>
      <c r="DT88" s="7">
        <f t="shared" si="120"/>
        <v>0</v>
      </c>
      <c r="DU88" s="7">
        <f t="shared" si="121"/>
        <v>0</v>
      </c>
    </row>
    <row r="89" spans="1:125" x14ac:dyDescent="0.2">
      <c r="A89" s="3">
        <f>Bonds!A89</f>
        <v>46843</v>
      </c>
      <c r="B89" s="4">
        <f>Bonds!B89</f>
        <v>1.25</v>
      </c>
      <c r="C89">
        <f>Bonds!P89</f>
        <v>4</v>
      </c>
      <c r="D89">
        <f t="shared" si="61"/>
        <v>1</v>
      </c>
      <c r="E89" s="3">
        <f>IF(1&gt;$C89,"",IF($D89=1,EOMONTH(EDATE(Bonds!$H89,6*(1-1)),0),EDATE(Bonds!$H89,6*(1-1))))</f>
        <v>46295</v>
      </c>
      <c r="F89" s="3">
        <f>IF(2&gt;$C89,"",IF($D89=1,EOMONTH(EDATE(Bonds!$H89,6*(2-1)),0),EDATE(Bonds!$H89,6*(2-1))))</f>
        <v>46477</v>
      </c>
      <c r="G89" s="3">
        <f>IF(3&gt;$C89,"",IF($D89=1,EOMONTH(EDATE(Bonds!$H89,6*(3-1)),0),EDATE(Bonds!$H89,6*(3-1))))</f>
        <v>46660</v>
      </c>
      <c r="H89" s="3">
        <f>IF(4&gt;$C89,"",IF($D89=1,EOMONTH(EDATE(Bonds!$H89,6*(4-1)),0),EDATE(Bonds!$H89,6*(4-1))))</f>
        <v>46843</v>
      </c>
      <c r="I89" s="3" t="str">
        <f>IF(5&gt;$C89,"",IF($D89=1,EOMONTH(EDATE(Bonds!$H89,6*(5-1)),0),EDATE(Bonds!$H89,6*(5-1))))</f>
        <v/>
      </c>
      <c r="J89" s="3" t="str">
        <f>IF(6&gt;$C89,"",IF($D89=1,EOMONTH(EDATE(Bonds!$H89,6*(6-1)),0),EDATE(Bonds!$H89,6*(6-1))))</f>
        <v/>
      </c>
      <c r="K89" s="3" t="str">
        <f>IF(7&gt;$C89,"",IF($D89=1,EOMONTH(EDATE(Bonds!$H89,6*(7-1)),0),EDATE(Bonds!$H89,6*(7-1))))</f>
        <v/>
      </c>
      <c r="L89" s="3" t="str">
        <f>IF(8&gt;$C89,"",IF($D89=1,EOMONTH(EDATE(Bonds!$H89,6*(8-1)),0),EDATE(Bonds!$H89,6*(8-1))))</f>
        <v/>
      </c>
      <c r="M89" s="3" t="str">
        <f>IF(9&gt;$C89,"",IF($D89=1,EOMONTH(EDATE(Bonds!$H89,6*(9-1)),0),EDATE(Bonds!$H89,6*(9-1))))</f>
        <v/>
      </c>
      <c r="N89" s="3" t="str">
        <f>IF(10&gt;$C89,"",IF($D89=1,EOMONTH(EDATE(Bonds!$H89,6*(10-1)),0),EDATE(Bonds!$H89,6*(10-1))))</f>
        <v/>
      </c>
      <c r="O89" s="3" t="str">
        <f>IF(11&gt;$C89,"",IF($D89=1,EOMONTH(EDATE(Bonds!$H89,6*(11-1)),0),EDATE(Bonds!$H89,6*(11-1))))</f>
        <v/>
      </c>
      <c r="P89" s="3" t="str">
        <f>IF(12&gt;$C89,"",IF($D89=1,EOMONTH(EDATE(Bonds!$H89,6*(12-1)),0),EDATE(Bonds!$H89,6*(12-1))))</f>
        <v/>
      </c>
      <c r="Q89" s="3" t="str">
        <f>IF(13&gt;$C89,"",IF($D89=1,EOMONTH(EDATE(Bonds!$H89,6*(13-1)),0),EDATE(Bonds!$H89,6*(13-1))))</f>
        <v/>
      </c>
      <c r="R89" s="3" t="str">
        <f>IF(14&gt;$C89,"",IF($D89=1,EOMONTH(EDATE(Bonds!$H89,6*(14-1)),0),EDATE(Bonds!$H89,6*(14-1))))</f>
        <v/>
      </c>
      <c r="S89" s="3" t="str">
        <f>IF(15&gt;$C89,"",IF($D89=1,EOMONTH(EDATE(Bonds!$H89,6*(15-1)),0),EDATE(Bonds!$H89,6*(15-1))))</f>
        <v/>
      </c>
      <c r="T89" s="3" t="str">
        <f>IF(16&gt;$C89,"",IF($D89=1,EOMONTH(EDATE(Bonds!$H89,6*(16-1)),0),EDATE(Bonds!$H89,6*(16-1))))</f>
        <v/>
      </c>
      <c r="U89" s="3" t="str">
        <f>IF(17&gt;$C89,"",IF($D89=1,EOMONTH(EDATE(Bonds!$H89,6*(17-1)),0),EDATE(Bonds!$H89,6*(17-1))))</f>
        <v/>
      </c>
      <c r="V89" s="3" t="str">
        <f>IF(18&gt;$C89,"",IF($D89=1,EOMONTH(EDATE(Bonds!$H89,6*(18-1)),0),EDATE(Bonds!$H89,6*(18-1))))</f>
        <v/>
      </c>
      <c r="W89" s="3" t="str">
        <f>IF(19&gt;$C89,"",IF($D89=1,EOMONTH(EDATE(Bonds!$H89,6*(19-1)),0),EDATE(Bonds!$H89,6*(19-1))))</f>
        <v/>
      </c>
      <c r="X89" s="3" t="str">
        <f>IF(20&gt;$C89,"",IF($D89=1,EOMONTH(EDATE(Bonds!$H89,6*(20-1)),0),EDATE(Bonds!$H89,6*(20-1))))</f>
        <v/>
      </c>
      <c r="Y89" s="3" t="str">
        <f>IF(21&gt;$C89,"",IF($D89=1,EOMONTH(EDATE(Bonds!$H89,6*(21-1)),0),EDATE(Bonds!$H89,6*(21-1))))</f>
        <v/>
      </c>
      <c r="Z89" s="3" t="str">
        <f>IF(22&gt;$C89,"",IF($D89=1,EOMONTH(EDATE(Bonds!$H89,6*(22-1)),0),EDATE(Bonds!$H89,6*(22-1))))</f>
        <v/>
      </c>
      <c r="AA89" s="3" t="str">
        <f>IF(23&gt;$C89,"",IF($D89=1,EOMONTH(EDATE(Bonds!$H89,6*(23-1)),0),EDATE(Bonds!$H89,6*(23-1))))</f>
        <v/>
      </c>
      <c r="AB89" s="3" t="str">
        <f>IF(24&gt;$C89,"",IF($D89=1,EOMONTH(EDATE(Bonds!$H89,6*(24-1)),0),EDATE(Bonds!$H89,6*(24-1))))</f>
        <v/>
      </c>
      <c r="AC89" s="3" t="str">
        <f>IF(25&gt;$C89,"",IF($D89=1,EOMONTH(EDATE(Bonds!$H89,6*(25-1)),0),EDATE(Bonds!$H89,6*(25-1))))</f>
        <v/>
      </c>
      <c r="AD89" s="3" t="str">
        <f>IF(26&gt;$C89,"",IF($D89=1,EOMONTH(EDATE(Bonds!$H89,6*(26-1)),0),EDATE(Bonds!$H89,6*(26-1))))</f>
        <v/>
      </c>
      <c r="AE89" s="3" t="str">
        <f>IF(27&gt;$C89,"",IF($D89=1,EOMONTH(EDATE(Bonds!$H89,6*(27-1)),0),EDATE(Bonds!$H89,6*(27-1))))</f>
        <v/>
      </c>
      <c r="AF89" s="3" t="str">
        <f>IF(28&gt;$C89,"",IF($D89=1,EOMONTH(EDATE(Bonds!$H89,6*(28-1)),0),EDATE(Bonds!$H89,6*(28-1))))</f>
        <v/>
      </c>
      <c r="AG89" s="3" t="str">
        <f>IF(29&gt;$C89,"",IF($D89=1,EOMONTH(EDATE(Bonds!$H89,6*(29-1)),0),EDATE(Bonds!$H89,6*(29-1))))</f>
        <v/>
      </c>
      <c r="AH89" s="3" t="str">
        <f>IF(30&gt;$C89,"",IF($D89=1,EOMONTH(EDATE(Bonds!$H89,6*(30-1)),0),EDATE(Bonds!$H89,6*(30-1))))</f>
        <v/>
      </c>
      <c r="AI89" s="3" t="str">
        <f>IF(31&gt;$C89,"",IF($D89=1,EOMONTH(EDATE(Bonds!$H89,6*(31-1)),0),EDATE(Bonds!$H89,6*(31-1))))</f>
        <v/>
      </c>
      <c r="AJ89" s="3" t="str">
        <f>IF(32&gt;$C89,"",IF($D89=1,EOMONTH(EDATE(Bonds!$H89,6*(32-1)),0),EDATE(Bonds!$H89,6*(32-1))))</f>
        <v/>
      </c>
      <c r="AK89" s="3" t="str">
        <f>IF(33&gt;$C89,"",IF($D89=1,EOMONTH(EDATE(Bonds!$H89,6*(33-1)),0),EDATE(Bonds!$H89,6*(33-1))))</f>
        <v/>
      </c>
      <c r="AL89" s="3" t="str">
        <f>IF(34&gt;$C89,"",IF($D89=1,EOMONTH(EDATE(Bonds!$H89,6*(34-1)),0),EDATE(Bonds!$H89,6*(34-1))))</f>
        <v/>
      </c>
      <c r="AM89" s="3" t="str">
        <f>IF(35&gt;$C89,"",IF($D89=1,EOMONTH(EDATE(Bonds!$H89,6*(35-1)),0),EDATE(Bonds!$H89,6*(35-1))))</f>
        <v/>
      </c>
      <c r="AN89" s="3" t="str">
        <f>IF(36&gt;$C89,"",IF($D89=1,EOMONTH(EDATE(Bonds!$H89,6*(36-1)),0),EDATE(Bonds!$H89,6*(36-1))))</f>
        <v/>
      </c>
      <c r="AO89" s="3" t="str">
        <f>IF(37&gt;$C89,"",IF($D89=1,EOMONTH(EDATE(Bonds!$H89,6*(37-1)),0),EDATE(Bonds!$H89,6*(37-1))))</f>
        <v/>
      </c>
      <c r="AP89" s="3" t="str">
        <f>IF(38&gt;$C89,"",IF($D89=1,EOMONTH(EDATE(Bonds!$H89,6*(38-1)),0),EDATE(Bonds!$H89,6*(38-1))))</f>
        <v/>
      </c>
      <c r="AQ89" s="3" t="str">
        <f>IF(39&gt;$C89,"",IF($D89=1,EOMONTH(EDATE(Bonds!$H89,6*(39-1)),0),EDATE(Bonds!$H89,6*(39-1))))</f>
        <v/>
      </c>
      <c r="AR89" s="3" t="str">
        <f>IF(40&gt;$C89,"",IF($D89=1,EOMONTH(EDATE(Bonds!$H89,6*(40-1)),0),EDATE(Bonds!$H89,6*(40-1))))</f>
        <v/>
      </c>
      <c r="AS89" s="3" t="str">
        <f>IF(41&gt;$C89,"",IF($D89=1,EOMONTH(EDATE(Bonds!$H89,6*(41-1)),0),EDATE(Bonds!$H89,6*(41-1))))</f>
        <v/>
      </c>
      <c r="AT89" s="3" t="str">
        <f>IF(42&gt;$C89,"",IF($D89=1,EOMONTH(EDATE(Bonds!$H89,6*(42-1)),0),EDATE(Bonds!$H89,6*(42-1))))</f>
        <v/>
      </c>
      <c r="AU89" s="3" t="str">
        <f>IF(43&gt;$C89,"",IF($D89=1,EOMONTH(EDATE(Bonds!$H89,6*(43-1)),0),EDATE(Bonds!$H89,6*(43-1))))</f>
        <v/>
      </c>
      <c r="AV89" s="3" t="str">
        <f>IF(44&gt;$C89,"",IF($D89=1,EOMONTH(EDATE(Bonds!$H89,6*(44-1)),0),EDATE(Bonds!$H89,6*(44-1))))</f>
        <v/>
      </c>
      <c r="AW89" s="3" t="str">
        <f>IF(45&gt;$C89,"",IF($D89=1,EOMONTH(EDATE(Bonds!$H89,6*(45-1)),0),EDATE(Bonds!$H89,6*(45-1))))</f>
        <v/>
      </c>
      <c r="AX89" s="3" t="str">
        <f>IF(46&gt;$C89,"",IF($D89=1,EOMONTH(EDATE(Bonds!$H89,6*(46-1)),0),EDATE(Bonds!$H89,6*(46-1))))</f>
        <v/>
      </c>
      <c r="AY89" s="3" t="str">
        <f>IF(47&gt;$C89,"",IF($D89=1,EOMONTH(EDATE(Bonds!$H89,6*(47-1)),0),EDATE(Bonds!$H89,6*(47-1))))</f>
        <v/>
      </c>
      <c r="AZ89" s="3" t="str">
        <f>IF(48&gt;$C89,"",IF($D89=1,EOMONTH(EDATE(Bonds!$H89,6*(48-1)),0),EDATE(Bonds!$H89,6*(48-1))))</f>
        <v/>
      </c>
      <c r="BA89" s="3" t="str">
        <f>IF(49&gt;$C89,"",IF($D89=1,EOMONTH(EDATE(Bonds!$H89,6*(49-1)),0),EDATE(Bonds!$H89,6*(49-1))))</f>
        <v/>
      </c>
      <c r="BB89" s="3" t="str">
        <f>IF(50&gt;$C89,"",IF($D89=1,EOMONTH(EDATE(Bonds!$H89,6*(50-1)),0),EDATE(Bonds!$H89,6*(50-1))))</f>
        <v/>
      </c>
      <c r="BC89" s="3" t="str">
        <f>IF(51&gt;$C89,"",IF($D89=1,EOMONTH(EDATE(Bonds!$H89,6*(51-1)),0),EDATE(Bonds!$H89,6*(51-1))))</f>
        <v/>
      </c>
      <c r="BD89" s="3" t="str">
        <f>IF(52&gt;$C89,"",IF($D89=1,EOMONTH(EDATE(Bonds!$H89,6*(52-1)),0),EDATE(Bonds!$H89,6*(52-1))))</f>
        <v/>
      </c>
      <c r="BE89" s="3" t="str">
        <f>IF(53&gt;$C89,"",IF($D89=1,EOMONTH(EDATE(Bonds!$H89,6*(53-1)),0),EDATE(Bonds!$H89,6*(53-1))))</f>
        <v/>
      </c>
      <c r="BF89" s="3" t="str">
        <f>IF(54&gt;$C89,"",IF($D89=1,EOMONTH(EDATE(Bonds!$H89,6*(54-1)),0),EDATE(Bonds!$H89,6*(54-1))))</f>
        <v/>
      </c>
      <c r="BG89" s="3" t="str">
        <f>IF(55&gt;$C89,"",IF($D89=1,EOMONTH(EDATE(Bonds!$H89,6*(55-1)),0),EDATE(Bonds!$H89,6*(55-1))))</f>
        <v/>
      </c>
      <c r="BH89" s="3" t="str">
        <f>IF(56&gt;$C89,"",IF($D89=1,EOMONTH(EDATE(Bonds!$H89,6*(56-1)),0),EDATE(Bonds!$H89,6*(56-1))))</f>
        <v/>
      </c>
      <c r="BI89" s="3" t="str">
        <f>IF(57&gt;$C89,"",IF($D89=1,EOMONTH(EDATE(Bonds!$H89,6*(57-1)),0),EDATE(Bonds!$H89,6*(57-1))))</f>
        <v/>
      </c>
      <c r="BJ89" s="3" t="str">
        <f>IF(58&gt;$C89,"",IF($D89=1,EOMONTH(EDATE(Bonds!$H89,6*(58-1)),0),EDATE(Bonds!$H89,6*(58-1))))</f>
        <v/>
      </c>
      <c r="BK89" s="3" t="str">
        <f>IF(59&gt;$C89,"",IF($D89=1,EOMONTH(EDATE(Bonds!$H89,6*(59-1)),0),EDATE(Bonds!$H89,6*(59-1))))</f>
        <v/>
      </c>
      <c r="BL89" s="3" t="str">
        <f>IF(60&gt;$C89,"",IF($D89=1,EOMONTH(EDATE(Bonds!$H89,6*(60-1)),0),EDATE(Bonds!$H89,6*(60-1))))</f>
        <v/>
      </c>
      <c r="BN89" s="7">
        <f t="shared" si="62"/>
        <v>0.62361838854715035</v>
      </c>
      <c r="BO89" s="7">
        <f t="shared" si="63"/>
        <v>0.61131340987428251</v>
      </c>
      <c r="BP89" s="7">
        <f t="shared" si="64"/>
        <v>0.59808657380923602</v>
      </c>
      <c r="BQ89" s="7">
        <f t="shared" si="65"/>
        <v>94.130524176589105</v>
      </c>
      <c r="BR89" s="7">
        <f t="shared" si="66"/>
        <v>0</v>
      </c>
      <c r="BS89" s="7">
        <f t="shared" si="67"/>
        <v>0</v>
      </c>
      <c r="BT89" s="7">
        <f t="shared" si="68"/>
        <v>0</v>
      </c>
      <c r="BU89" s="7">
        <f t="shared" si="69"/>
        <v>0</v>
      </c>
      <c r="BV89" s="7">
        <f t="shared" si="70"/>
        <v>0</v>
      </c>
      <c r="BW89" s="7">
        <f t="shared" si="71"/>
        <v>0</v>
      </c>
      <c r="BX89" s="7">
        <f t="shared" si="72"/>
        <v>0</v>
      </c>
      <c r="BY89" s="7">
        <f t="shared" si="73"/>
        <v>0</v>
      </c>
      <c r="BZ89" s="7">
        <f t="shared" si="74"/>
        <v>0</v>
      </c>
      <c r="CA89" s="7">
        <f t="shared" si="75"/>
        <v>0</v>
      </c>
      <c r="CB89" s="7">
        <f t="shared" si="76"/>
        <v>0</v>
      </c>
      <c r="CC89" s="7">
        <f t="shared" si="77"/>
        <v>0</v>
      </c>
      <c r="CD89" s="7">
        <f t="shared" si="78"/>
        <v>0</v>
      </c>
      <c r="CE89" s="7">
        <f t="shared" si="79"/>
        <v>0</v>
      </c>
      <c r="CF89" s="7">
        <f t="shared" si="80"/>
        <v>0</v>
      </c>
      <c r="CG89" s="7">
        <f t="shared" si="81"/>
        <v>0</v>
      </c>
      <c r="CH89" s="7">
        <f t="shared" si="82"/>
        <v>0</v>
      </c>
      <c r="CI89" s="7">
        <f t="shared" si="83"/>
        <v>0</v>
      </c>
      <c r="CJ89" s="7">
        <f t="shared" si="84"/>
        <v>0</v>
      </c>
      <c r="CK89" s="7">
        <f t="shared" si="85"/>
        <v>0</v>
      </c>
      <c r="CL89" s="7">
        <f t="shared" si="86"/>
        <v>0</v>
      </c>
      <c r="CM89" s="7">
        <f t="shared" si="87"/>
        <v>0</v>
      </c>
      <c r="CN89" s="7">
        <f t="shared" si="88"/>
        <v>0</v>
      </c>
      <c r="CO89" s="7">
        <f t="shared" si="89"/>
        <v>0</v>
      </c>
      <c r="CP89" s="7">
        <f t="shared" si="90"/>
        <v>0</v>
      </c>
      <c r="CQ89" s="7">
        <f t="shared" si="91"/>
        <v>0</v>
      </c>
      <c r="CR89" s="7">
        <f t="shared" si="92"/>
        <v>0</v>
      </c>
      <c r="CS89" s="7">
        <f t="shared" si="93"/>
        <v>0</v>
      </c>
      <c r="CT89" s="7">
        <f t="shared" si="94"/>
        <v>0</v>
      </c>
      <c r="CU89" s="7">
        <f t="shared" si="95"/>
        <v>0</v>
      </c>
      <c r="CV89" s="7">
        <f t="shared" si="96"/>
        <v>0</v>
      </c>
      <c r="CW89" s="7">
        <f t="shared" si="97"/>
        <v>0</v>
      </c>
      <c r="CX89" s="7">
        <f t="shared" si="98"/>
        <v>0</v>
      </c>
      <c r="CY89" s="7">
        <f t="shared" si="99"/>
        <v>0</v>
      </c>
      <c r="CZ89" s="7">
        <f t="shared" si="100"/>
        <v>0</v>
      </c>
      <c r="DA89" s="7">
        <f t="shared" si="101"/>
        <v>0</v>
      </c>
      <c r="DB89" s="7">
        <f t="shared" si="102"/>
        <v>0</v>
      </c>
      <c r="DC89" s="7">
        <f t="shared" si="103"/>
        <v>0</v>
      </c>
      <c r="DD89" s="7">
        <f t="shared" si="104"/>
        <v>0</v>
      </c>
      <c r="DE89" s="7">
        <f t="shared" si="105"/>
        <v>0</v>
      </c>
      <c r="DF89" s="7">
        <f t="shared" si="106"/>
        <v>0</v>
      </c>
      <c r="DG89" s="7">
        <f t="shared" si="107"/>
        <v>0</v>
      </c>
      <c r="DH89" s="7">
        <f t="shared" si="108"/>
        <v>0</v>
      </c>
      <c r="DI89" s="7">
        <f t="shared" si="109"/>
        <v>0</v>
      </c>
      <c r="DJ89" s="7">
        <f t="shared" si="110"/>
        <v>0</v>
      </c>
      <c r="DK89" s="7">
        <f t="shared" si="111"/>
        <v>0</v>
      </c>
      <c r="DL89" s="7">
        <f t="shared" si="112"/>
        <v>0</v>
      </c>
      <c r="DM89" s="7">
        <f t="shared" si="113"/>
        <v>0</v>
      </c>
      <c r="DN89" s="7">
        <f t="shared" si="114"/>
        <v>0</v>
      </c>
      <c r="DO89" s="7">
        <f t="shared" si="115"/>
        <v>0</v>
      </c>
      <c r="DP89" s="7">
        <f t="shared" si="116"/>
        <v>0</v>
      </c>
      <c r="DQ89" s="7">
        <f t="shared" si="117"/>
        <v>0</v>
      </c>
      <c r="DR89" s="7">
        <f t="shared" si="118"/>
        <v>0</v>
      </c>
      <c r="DS89" s="7">
        <f t="shared" si="119"/>
        <v>0</v>
      </c>
      <c r="DT89" s="7">
        <f t="shared" si="120"/>
        <v>0</v>
      </c>
      <c r="DU89" s="7">
        <f t="shared" si="121"/>
        <v>0</v>
      </c>
    </row>
    <row r="90" spans="1:125" x14ac:dyDescent="0.2">
      <c r="A90" s="3">
        <f>Bonds!A90</f>
        <v>46843</v>
      </c>
      <c r="B90" s="4">
        <f>Bonds!B90</f>
        <v>3.625</v>
      </c>
      <c r="C90">
        <f>Bonds!P90</f>
        <v>4</v>
      </c>
      <c r="D90">
        <f t="shared" si="61"/>
        <v>1</v>
      </c>
      <c r="E90" s="3">
        <f>IF(1&gt;$C90,"",IF($D90=1,EOMONTH(EDATE(Bonds!$H90,6*(1-1)),0),EDATE(Bonds!$H90,6*(1-1))))</f>
        <v>46295</v>
      </c>
      <c r="F90" s="3">
        <f>IF(2&gt;$C90,"",IF($D90=1,EOMONTH(EDATE(Bonds!$H90,6*(2-1)),0),EDATE(Bonds!$H90,6*(2-1))))</f>
        <v>46477</v>
      </c>
      <c r="G90" s="3">
        <f>IF(3&gt;$C90,"",IF($D90=1,EOMONTH(EDATE(Bonds!$H90,6*(3-1)),0),EDATE(Bonds!$H90,6*(3-1))))</f>
        <v>46660</v>
      </c>
      <c r="H90" s="3">
        <f>IF(4&gt;$C90,"",IF($D90=1,EOMONTH(EDATE(Bonds!$H90,6*(4-1)),0),EDATE(Bonds!$H90,6*(4-1))))</f>
        <v>46843</v>
      </c>
      <c r="I90" s="3" t="str">
        <f>IF(5&gt;$C90,"",IF($D90=1,EOMONTH(EDATE(Bonds!$H90,6*(5-1)),0),EDATE(Bonds!$H90,6*(5-1))))</f>
        <v/>
      </c>
      <c r="J90" s="3" t="str">
        <f>IF(6&gt;$C90,"",IF($D90=1,EOMONTH(EDATE(Bonds!$H90,6*(6-1)),0),EDATE(Bonds!$H90,6*(6-1))))</f>
        <v/>
      </c>
      <c r="K90" s="3" t="str">
        <f>IF(7&gt;$C90,"",IF($D90=1,EOMONTH(EDATE(Bonds!$H90,6*(7-1)),0),EDATE(Bonds!$H90,6*(7-1))))</f>
        <v/>
      </c>
      <c r="L90" s="3" t="str">
        <f>IF(8&gt;$C90,"",IF($D90=1,EOMONTH(EDATE(Bonds!$H90,6*(8-1)),0),EDATE(Bonds!$H90,6*(8-1))))</f>
        <v/>
      </c>
      <c r="M90" s="3" t="str">
        <f>IF(9&gt;$C90,"",IF($D90=1,EOMONTH(EDATE(Bonds!$H90,6*(9-1)),0),EDATE(Bonds!$H90,6*(9-1))))</f>
        <v/>
      </c>
      <c r="N90" s="3" t="str">
        <f>IF(10&gt;$C90,"",IF($D90=1,EOMONTH(EDATE(Bonds!$H90,6*(10-1)),0),EDATE(Bonds!$H90,6*(10-1))))</f>
        <v/>
      </c>
      <c r="O90" s="3" t="str">
        <f>IF(11&gt;$C90,"",IF($D90=1,EOMONTH(EDATE(Bonds!$H90,6*(11-1)),0),EDATE(Bonds!$H90,6*(11-1))))</f>
        <v/>
      </c>
      <c r="P90" s="3" t="str">
        <f>IF(12&gt;$C90,"",IF($D90=1,EOMONTH(EDATE(Bonds!$H90,6*(12-1)),0),EDATE(Bonds!$H90,6*(12-1))))</f>
        <v/>
      </c>
      <c r="Q90" s="3" t="str">
        <f>IF(13&gt;$C90,"",IF($D90=1,EOMONTH(EDATE(Bonds!$H90,6*(13-1)),0),EDATE(Bonds!$H90,6*(13-1))))</f>
        <v/>
      </c>
      <c r="R90" s="3" t="str">
        <f>IF(14&gt;$C90,"",IF($D90=1,EOMONTH(EDATE(Bonds!$H90,6*(14-1)),0),EDATE(Bonds!$H90,6*(14-1))))</f>
        <v/>
      </c>
      <c r="S90" s="3" t="str">
        <f>IF(15&gt;$C90,"",IF($D90=1,EOMONTH(EDATE(Bonds!$H90,6*(15-1)),0),EDATE(Bonds!$H90,6*(15-1))))</f>
        <v/>
      </c>
      <c r="T90" s="3" t="str">
        <f>IF(16&gt;$C90,"",IF($D90=1,EOMONTH(EDATE(Bonds!$H90,6*(16-1)),0),EDATE(Bonds!$H90,6*(16-1))))</f>
        <v/>
      </c>
      <c r="U90" s="3" t="str">
        <f>IF(17&gt;$C90,"",IF($D90=1,EOMONTH(EDATE(Bonds!$H90,6*(17-1)),0),EDATE(Bonds!$H90,6*(17-1))))</f>
        <v/>
      </c>
      <c r="V90" s="3" t="str">
        <f>IF(18&gt;$C90,"",IF($D90=1,EOMONTH(EDATE(Bonds!$H90,6*(18-1)),0),EDATE(Bonds!$H90,6*(18-1))))</f>
        <v/>
      </c>
      <c r="W90" s="3" t="str">
        <f>IF(19&gt;$C90,"",IF($D90=1,EOMONTH(EDATE(Bonds!$H90,6*(19-1)),0),EDATE(Bonds!$H90,6*(19-1))))</f>
        <v/>
      </c>
      <c r="X90" s="3" t="str">
        <f>IF(20&gt;$C90,"",IF($D90=1,EOMONTH(EDATE(Bonds!$H90,6*(20-1)),0),EDATE(Bonds!$H90,6*(20-1))))</f>
        <v/>
      </c>
      <c r="Y90" s="3" t="str">
        <f>IF(21&gt;$C90,"",IF($D90=1,EOMONTH(EDATE(Bonds!$H90,6*(21-1)),0),EDATE(Bonds!$H90,6*(21-1))))</f>
        <v/>
      </c>
      <c r="Z90" s="3" t="str">
        <f>IF(22&gt;$C90,"",IF($D90=1,EOMONTH(EDATE(Bonds!$H90,6*(22-1)),0),EDATE(Bonds!$H90,6*(22-1))))</f>
        <v/>
      </c>
      <c r="AA90" s="3" t="str">
        <f>IF(23&gt;$C90,"",IF($D90=1,EOMONTH(EDATE(Bonds!$H90,6*(23-1)),0),EDATE(Bonds!$H90,6*(23-1))))</f>
        <v/>
      </c>
      <c r="AB90" s="3" t="str">
        <f>IF(24&gt;$C90,"",IF($D90=1,EOMONTH(EDATE(Bonds!$H90,6*(24-1)),0),EDATE(Bonds!$H90,6*(24-1))))</f>
        <v/>
      </c>
      <c r="AC90" s="3" t="str">
        <f>IF(25&gt;$C90,"",IF($D90=1,EOMONTH(EDATE(Bonds!$H90,6*(25-1)),0),EDATE(Bonds!$H90,6*(25-1))))</f>
        <v/>
      </c>
      <c r="AD90" s="3" t="str">
        <f>IF(26&gt;$C90,"",IF($D90=1,EOMONTH(EDATE(Bonds!$H90,6*(26-1)),0),EDATE(Bonds!$H90,6*(26-1))))</f>
        <v/>
      </c>
      <c r="AE90" s="3" t="str">
        <f>IF(27&gt;$C90,"",IF($D90=1,EOMONTH(EDATE(Bonds!$H90,6*(27-1)),0),EDATE(Bonds!$H90,6*(27-1))))</f>
        <v/>
      </c>
      <c r="AF90" s="3" t="str">
        <f>IF(28&gt;$C90,"",IF($D90=1,EOMONTH(EDATE(Bonds!$H90,6*(28-1)),0),EDATE(Bonds!$H90,6*(28-1))))</f>
        <v/>
      </c>
      <c r="AG90" s="3" t="str">
        <f>IF(29&gt;$C90,"",IF($D90=1,EOMONTH(EDATE(Bonds!$H90,6*(29-1)),0),EDATE(Bonds!$H90,6*(29-1))))</f>
        <v/>
      </c>
      <c r="AH90" s="3" t="str">
        <f>IF(30&gt;$C90,"",IF($D90=1,EOMONTH(EDATE(Bonds!$H90,6*(30-1)),0),EDATE(Bonds!$H90,6*(30-1))))</f>
        <v/>
      </c>
      <c r="AI90" s="3" t="str">
        <f>IF(31&gt;$C90,"",IF($D90=1,EOMONTH(EDATE(Bonds!$H90,6*(31-1)),0),EDATE(Bonds!$H90,6*(31-1))))</f>
        <v/>
      </c>
      <c r="AJ90" s="3" t="str">
        <f>IF(32&gt;$C90,"",IF($D90=1,EOMONTH(EDATE(Bonds!$H90,6*(32-1)),0),EDATE(Bonds!$H90,6*(32-1))))</f>
        <v/>
      </c>
      <c r="AK90" s="3" t="str">
        <f>IF(33&gt;$C90,"",IF($D90=1,EOMONTH(EDATE(Bonds!$H90,6*(33-1)),0),EDATE(Bonds!$H90,6*(33-1))))</f>
        <v/>
      </c>
      <c r="AL90" s="3" t="str">
        <f>IF(34&gt;$C90,"",IF($D90=1,EOMONTH(EDATE(Bonds!$H90,6*(34-1)),0),EDATE(Bonds!$H90,6*(34-1))))</f>
        <v/>
      </c>
      <c r="AM90" s="3" t="str">
        <f>IF(35&gt;$C90,"",IF($D90=1,EOMONTH(EDATE(Bonds!$H90,6*(35-1)),0),EDATE(Bonds!$H90,6*(35-1))))</f>
        <v/>
      </c>
      <c r="AN90" s="3" t="str">
        <f>IF(36&gt;$C90,"",IF($D90=1,EOMONTH(EDATE(Bonds!$H90,6*(36-1)),0),EDATE(Bonds!$H90,6*(36-1))))</f>
        <v/>
      </c>
      <c r="AO90" s="3" t="str">
        <f>IF(37&gt;$C90,"",IF($D90=1,EOMONTH(EDATE(Bonds!$H90,6*(37-1)),0),EDATE(Bonds!$H90,6*(37-1))))</f>
        <v/>
      </c>
      <c r="AP90" s="3" t="str">
        <f>IF(38&gt;$C90,"",IF($D90=1,EOMONTH(EDATE(Bonds!$H90,6*(38-1)),0),EDATE(Bonds!$H90,6*(38-1))))</f>
        <v/>
      </c>
      <c r="AQ90" s="3" t="str">
        <f>IF(39&gt;$C90,"",IF($D90=1,EOMONTH(EDATE(Bonds!$H90,6*(39-1)),0),EDATE(Bonds!$H90,6*(39-1))))</f>
        <v/>
      </c>
      <c r="AR90" s="3" t="str">
        <f>IF(40&gt;$C90,"",IF($D90=1,EOMONTH(EDATE(Bonds!$H90,6*(40-1)),0),EDATE(Bonds!$H90,6*(40-1))))</f>
        <v/>
      </c>
      <c r="AS90" s="3" t="str">
        <f>IF(41&gt;$C90,"",IF($D90=1,EOMONTH(EDATE(Bonds!$H90,6*(41-1)),0),EDATE(Bonds!$H90,6*(41-1))))</f>
        <v/>
      </c>
      <c r="AT90" s="3" t="str">
        <f>IF(42&gt;$C90,"",IF($D90=1,EOMONTH(EDATE(Bonds!$H90,6*(42-1)),0),EDATE(Bonds!$H90,6*(42-1))))</f>
        <v/>
      </c>
      <c r="AU90" s="3" t="str">
        <f>IF(43&gt;$C90,"",IF($D90=1,EOMONTH(EDATE(Bonds!$H90,6*(43-1)),0),EDATE(Bonds!$H90,6*(43-1))))</f>
        <v/>
      </c>
      <c r="AV90" s="3" t="str">
        <f>IF(44&gt;$C90,"",IF($D90=1,EOMONTH(EDATE(Bonds!$H90,6*(44-1)),0),EDATE(Bonds!$H90,6*(44-1))))</f>
        <v/>
      </c>
      <c r="AW90" s="3" t="str">
        <f>IF(45&gt;$C90,"",IF($D90=1,EOMONTH(EDATE(Bonds!$H90,6*(45-1)),0),EDATE(Bonds!$H90,6*(45-1))))</f>
        <v/>
      </c>
      <c r="AX90" s="3" t="str">
        <f>IF(46&gt;$C90,"",IF($D90=1,EOMONTH(EDATE(Bonds!$H90,6*(46-1)),0),EDATE(Bonds!$H90,6*(46-1))))</f>
        <v/>
      </c>
      <c r="AY90" s="3" t="str">
        <f>IF(47&gt;$C90,"",IF($D90=1,EOMONTH(EDATE(Bonds!$H90,6*(47-1)),0),EDATE(Bonds!$H90,6*(47-1))))</f>
        <v/>
      </c>
      <c r="AZ90" s="3" t="str">
        <f>IF(48&gt;$C90,"",IF($D90=1,EOMONTH(EDATE(Bonds!$H90,6*(48-1)),0),EDATE(Bonds!$H90,6*(48-1))))</f>
        <v/>
      </c>
      <c r="BA90" s="3" t="str">
        <f>IF(49&gt;$C90,"",IF($D90=1,EOMONTH(EDATE(Bonds!$H90,6*(49-1)),0),EDATE(Bonds!$H90,6*(49-1))))</f>
        <v/>
      </c>
      <c r="BB90" s="3" t="str">
        <f>IF(50&gt;$C90,"",IF($D90=1,EOMONTH(EDATE(Bonds!$H90,6*(50-1)),0),EDATE(Bonds!$H90,6*(50-1))))</f>
        <v/>
      </c>
      <c r="BC90" s="3" t="str">
        <f>IF(51&gt;$C90,"",IF($D90=1,EOMONTH(EDATE(Bonds!$H90,6*(51-1)),0),EDATE(Bonds!$H90,6*(51-1))))</f>
        <v/>
      </c>
      <c r="BD90" s="3" t="str">
        <f>IF(52&gt;$C90,"",IF($D90=1,EOMONTH(EDATE(Bonds!$H90,6*(52-1)),0),EDATE(Bonds!$H90,6*(52-1))))</f>
        <v/>
      </c>
      <c r="BE90" s="3" t="str">
        <f>IF(53&gt;$C90,"",IF($D90=1,EOMONTH(EDATE(Bonds!$H90,6*(53-1)),0),EDATE(Bonds!$H90,6*(53-1))))</f>
        <v/>
      </c>
      <c r="BF90" s="3" t="str">
        <f>IF(54&gt;$C90,"",IF($D90=1,EOMONTH(EDATE(Bonds!$H90,6*(54-1)),0),EDATE(Bonds!$H90,6*(54-1))))</f>
        <v/>
      </c>
      <c r="BG90" s="3" t="str">
        <f>IF(55&gt;$C90,"",IF($D90=1,EOMONTH(EDATE(Bonds!$H90,6*(55-1)),0),EDATE(Bonds!$H90,6*(55-1))))</f>
        <v/>
      </c>
      <c r="BH90" s="3" t="str">
        <f>IF(56&gt;$C90,"",IF($D90=1,EOMONTH(EDATE(Bonds!$H90,6*(56-1)),0),EDATE(Bonds!$H90,6*(56-1))))</f>
        <v/>
      </c>
      <c r="BI90" s="3" t="str">
        <f>IF(57&gt;$C90,"",IF($D90=1,EOMONTH(EDATE(Bonds!$H90,6*(57-1)),0),EDATE(Bonds!$H90,6*(57-1))))</f>
        <v/>
      </c>
      <c r="BJ90" s="3" t="str">
        <f>IF(58&gt;$C90,"",IF($D90=1,EOMONTH(EDATE(Bonds!$H90,6*(58-1)),0),EDATE(Bonds!$H90,6*(58-1))))</f>
        <v/>
      </c>
      <c r="BK90" s="3" t="str">
        <f>IF(59&gt;$C90,"",IF($D90=1,EOMONTH(EDATE(Bonds!$H90,6*(59-1)),0),EDATE(Bonds!$H90,6*(59-1))))</f>
        <v/>
      </c>
      <c r="BL90" s="3" t="str">
        <f>IF(60&gt;$C90,"",IF($D90=1,EOMONTH(EDATE(Bonds!$H90,6*(60-1)),0),EDATE(Bonds!$H90,6*(60-1))))</f>
        <v/>
      </c>
      <c r="BN90" s="7">
        <f t="shared" si="62"/>
        <v>1.808493326786736</v>
      </c>
      <c r="BO90" s="7">
        <f t="shared" si="63"/>
        <v>1.7728088886354192</v>
      </c>
      <c r="BP90" s="7">
        <f t="shared" si="64"/>
        <v>1.7344510640467843</v>
      </c>
      <c r="BQ90" s="7">
        <f t="shared" si="65"/>
        <v>95.24138129420102</v>
      </c>
      <c r="BR90" s="7">
        <f t="shared" si="66"/>
        <v>0</v>
      </c>
      <c r="BS90" s="7">
        <f t="shared" si="67"/>
        <v>0</v>
      </c>
      <c r="BT90" s="7">
        <f t="shared" si="68"/>
        <v>0</v>
      </c>
      <c r="BU90" s="7">
        <f t="shared" si="69"/>
        <v>0</v>
      </c>
      <c r="BV90" s="7">
        <f t="shared" si="70"/>
        <v>0</v>
      </c>
      <c r="BW90" s="7">
        <f t="shared" si="71"/>
        <v>0</v>
      </c>
      <c r="BX90" s="7">
        <f t="shared" si="72"/>
        <v>0</v>
      </c>
      <c r="BY90" s="7">
        <f t="shared" si="73"/>
        <v>0</v>
      </c>
      <c r="BZ90" s="7">
        <f t="shared" si="74"/>
        <v>0</v>
      </c>
      <c r="CA90" s="7">
        <f t="shared" si="75"/>
        <v>0</v>
      </c>
      <c r="CB90" s="7">
        <f t="shared" si="76"/>
        <v>0</v>
      </c>
      <c r="CC90" s="7">
        <f t="shared" si="77"/>
        <v>0</v>
      </c>
      <c r="CD90" s="7">
        <f t="shared" si="78"/>
        <v>0</v>
      </c>
      <c r="CE90" s="7">
        <f t="shared" si="79"/>
        <v>0</v>
      </c>
      <c r="CF90" s="7">
        <f t="shared" si="80"/>
        <v>0</v>
      </c>
      <c r="CG90" s="7">
        <f t="shared" si="81"/>
        <v>0</v>
      </c>
      <c r="CH90" s="7">
        <f t="shared" si="82"/>
        <v>0</v>
      </c>
      <c r="CI90" s="7">
        <f t="shared" si="83"/>
        <v>0</v>
      </c>
      <c r="CJ90" s="7">
        <f t="shared" si="84"/>
        <v>0</v>
      </c>
      <c r="CK90" s="7">
        <f t="shared" si="85"/>
        <v>0</v>
      </c>
      <c r="CL90" s="7">
        <f t="shared" si="86"/>
        <v>0</v>
      </c>
      <c r="CM90" s="7">
        <f t="shared" si="87"/>
        <v>0</v>
      </c>
      <c r="CN90" s="7">
        <f t="shared" si="88"/>
        <v>0</v>
      </c>
      <c r="CO90" s="7">
        <f t="shared" si="89"/>
        <v>0</v>
      </c>
      <c r="CP90" s="7">
        <f t="shared" si="90"/>
        <v>0</v>
      </c>
      <c r="CQ90" s="7">
        <f t="shared" si="91"/>
        <v>0</v>
      </c>
      <c r="CR90" s="7">
        <f t="shared" si="92"/>
        <v>0</v>
      </c>
      <c r="CS90" s="7">
        <f t="shared" si="93"/>
        <v>0</v>
      </c>
      <c r="CT90" s="7">
        <f t="shared" si="94"/>
        <v>0</v>
      </c>
      <c r="CU90" s="7">
        <f t="shared" si="95"/>
        <v>0</v>
      </c>
      <c r="CV90" s="7">
        <f t="shared" si="96"/>
        <v>0</v>
      </c>
      <c r="CW90" s="7">
        <f t="shared" si="97"/>
        <v>0</v>
      </c>
      <c r="CX90" s="7">
        <f t="shared" si="98"/>
        <v>0</v>
      </c>
      <c r="CY90" s="7">
        <f t="shared" si="99"/>
        <v>0</v>
      </c>
      <c r="CZ90" s="7">
        <f t="shared" si="100"/>
        <v>0</v>
      </c>
      <c r="DA90" s="7">
        <f t="shared" si="101"/>
        <v>0</v>
      </c>
      <c r="DB90" s="7">
        <f t="shared" si="102"/>
        <v>0</v>
      </c>
      <c r="DC90" s="7">
        <f t="shared" si="103"/>
        <v>0</v>
      </c>
      <c r="DD90" s="7">
        <f t="shared" si="104"/>
        <v>0</v>
      </c>
      <c r="DE90" s="7">
        <f t="shared" si="105"/>
        <v>0</v>
      </c>
      <c r="DF90" s="7">
        <f t="shared" si="106"/>
        <v>0</v>
      </c>
      <c r="DG90" s="7">
        <f t="shared" si="107"/>
        <v>0</v>
      </c>
      <c r="DH90" s="7">
        <f t="shared" si="108"/>
        <v>0</v>
      </c>
      <c r="DI90" s="7">
        <f t="shared" si="109"/>
        <v>0</v>
      </c>
      <c r="DJ90" s="7">
        <f t="shared" si="110"/>
        <v>0</v>
      </c>
      <c r="DK90" s="7">
        <f t="shared" si="111"/>
        <v>0</v>
      </c>
      <c r="DL90" s="7">
        <f t="shared" si="112"/>
        <v>0</v>
      </c>
      <c r="DM90" s="7">
        <f t="shared" si="113"/>
        <v>0</v>
      </c>
      <c r="DN90" s="7">
        <f t="shared" si="114"/>
        <v>0</v>
      </c>
      <c r="DO90" s="7">
        <f t="shared" si="115"/>
        <v>0</v>
      </c>
      <c r="DP90" s="7">
        <f t="shared" si="116"/>
        <v>0</v>
      </c>
      <c r="DQ90" s="7">
        <f t="shared" si="117"/>
        <v>0</v>
      </c>
      <c r="DR90" s="7">
        <f t="shared" si="118"/>
        <v>0</v>
      </c>
      <c r="DS90" s="7">
        <f t="shared" si="119"/>
        <v>0</v>
      </c>
      <c r="DT90" s="7">
        <f t="shared" si="120"/>
        <v>0</v>
      </c>
      <c r="DU90" s="7">
        <f t="shared" si="121"/>
        <v>0</v>
      </c>
    </row>
    <row r="91" spans="1:125" x14ac:dyDescent="0.2">
      <c r="A91" s="3">
        <f>Bonds!A91</f>
        <v>46843</v>
      </c>
      <c r="B91" s="4">
        <f>Bonds!B91</f>
        <v>3.875</v>
      </c>
      <c r="C91">
        <f>Bonds!P91</f>
        <v>4</v>
      </c>
      <c r="D91">
        <f t="shared" si="61"/>
        <v>1</v>
      </c>
      <c r="E91" s="3">
        <f>IF(1&gt;$C91,"",IF($D91=1,EOMONTH(EDATE(Bonds!$H91,6*(1-1)),0),EDATE(Bonds!$H91,6*(1-1))))</f>
        <v>46295</v>
      </c>
      <c r="F91" s="3">
        <f>IF(2&gt;$C91,"",IF($D91=1,EOMONTH(EDATE(Bonds!$H91,6*(2-1)),0),EDATE(Bonds!$H91,6*(2-1))))</f>
        <v>46477</v>
      </c>
      <c r="G91" s="3">
        <f>IF(3&gt;$C91,"",IF($D91=1,EOMONTH(EDATE(Bonds!$H91,6*(3-1)),0),EDATE(Bonds!$H91,6*(3-1))))</f>
        <v>46660</v>
      </c>
      <c r="H91" s="3">
        <f>IF(4&gt;$C91,"",IF($D91=1,EOMONTH(EDATE(Bonds!$H91,6*(4-1)),0),EDATE(Bonds!$H91,6*(4-1))))</f>
        <v>46843</v>
      </c>
      <c r="I91" s="3" t="str">
        <f>IF(5&gt;$C91,"",IF($D91=1,EOMONTH(EDATE(Bonds!$H91,6*(5-1)),0),EDATE(Bonds!$H91,6*(5-1))))</f>
        <v/>
      </c>
      <c r="J91" s="3" t="str">
        <f>IF(6&gt;$C91,"",IF($D91=1,EOMONTH(EDATE(Bonds!$H91,6*(6-1)),0),EDATE(Bonds!$H91,6*(6-1))))</f>
        <v/>
      </c>
      <c r="K91" s="3" t="str">
        <f>IF(7&gt;$C91,"",IF($D91=1,EOMONTH(EDATE(Bonds!$H91,6*(7-1)),0),EDATE(Bonds!$H91,6*(7-1))))</f>
        <v/>
      </c>
      <c r="L91" s="3" t="str">
        <f>IF(8&gt;$C91,"",IF($D91=1,EOMONTH(EDATE(Bonds!$H91,6*(8-1)),0),EDATE(Bonds!$H91,6*(8-1))))</f>
        <v/>
      </c>
      <c r="M91" s="3" t="str">
        <f>IF(9&gt;$C91,"",IF($D91=1,EOMONTH(EDATE(Bonds!$H91,6*(9-1)),0),EDATE(Bonds!$H91,6*(9-1))))</f>
        <v/>
      </c>
      <c r="N91" s="3" t="str">
        <f>IF(10&gt;$C91,"",IF($D91=1,EOMONTH(EDATE(Bonds!$H91,6*(10-1)),0),EDATE(Bonds!$H91,6*(10-1))))</f>
        <v/>
      </c>
      <c r="O91" s="3" t="str">
        <f>IF(11&gt;$C91,"",IF($D91=1,EOMONTH(EDATE(Bonds!$H91,6*(11-1)),0),EDATE(Bonds!$H91,6*(11-1))))</f>
        <v/>
      </c>
      <c r="P91" s="3" t="str">
        <f>IF(12&gt;$C91,"",IF($D91=1,EOMONTH(EDATE(Bonds!$H91,6*(12-1)),0),EDATE(Bonds!$H91,6*(12-1))))</f>
        <v/>
      </c>
      <c r="Q91" s="3" t="str">
        <f>IF(13&gt;$C91,"",IF($D91=1,EOMONTH(EDATE(Bonds!$H91,6*(13-1)),0),EDATE(Bonds!$H91,6*(13-1))))</f>
        <v/>
      </c>
      <c r="R91" s="3" t="str">
        <f>IF(14&gt;$C91,"",IF($D91=1,EOMONTH(EDATE(Bonds!$H91,6*(14-1)),0),EDATE(Bonds!$H91,6*(14-1))))</f>
        <v/>
      </c>
      <c r="S91" s="3" t="str">
        <f>IF(15&gt;$C91,"",IF($D91=1,EOMONTH(EDATE(Bonds!$H91,6*(15-1)),0),EDATE(Bonds!$H91,6*(15-1))))</f>
        <v/>
      </c>
      <c r="T91" s="3" t="str">
        <f>IF(16&gt;$C91,"",IF($D91=1,EOMONTH(EDATE(Bonds!$H91,6*(16-1)),0),EDATE(Bonds!$H91,6*(16-1))))</f>
        <v/>
      </c>
      <c r="U91" s="3" t="str">
        <f>IF(17&gt;$C91,"",IF($D91=1,EOMONTH(EDATE(Bonds!$H91,6*(17-1)),0),EDATE(Bonds!$H91,6*(17-1))))</f>
        <v/>
      </c>
      <c r="V91" s="3" t="str">
        <f>IF(18&gt;$C91,"",IF($D91=1,EOMONTH(EDATE(Bonds!$H91,6*(18-1)),0),EDATE(Bonds!$H91,6*(18-1))))</f>
        <v/>
      </c>
      <c r="W91" s="3" t="str">
        <f>IF(19&gt;$C91,"",IF($D91=1,EOMONTH(EDATE(Bonds!$H91,6*(19-1)),0),EDATE(Bonds!$H91,6*(19-1))))</f>
        <v/>
      </c>
      <c r="X91" s="3" t="str">
        <f>IF(20&gt;$C91,"",IF($D91=1,EOMONTH(EDATE(Bonds!$H91,6*(20-1)),0),EDATE(Bonds!$H91,6*(20-1))))</f>
        <v/>
      </c>
      <c r="Y91" s="3" t="str">
        <f>IF(21&gt;$C91,"",IF($D91=1,EOMONTH(EDATE(Bonds!$H91,6*(21-1)),0),EDATE(Bonds!$H91,6*(21-1))))</f>
        <v/>
      </c>
      <c r="Z91" s="3" t="str">
        <f>IF(22&gt;$C91,"",IF($D91=1,EOMONTH(EDATE(Bonds!$H91,6*(22-1)),0),EDATE(Bonds!$H91,6*(22-1))))</f>
        <v/>
      </c>
      <c r="AA91" s="3" t="str">
        <f>IF(23&gt;$C91,"",IF($D91=1,EOMONTH(EDATE(Bonds!$H91,6*(23-1)),0),EDATE(Bonds!$H91,6*(23-1))))</f>
        <v/>
      </c>
      <c r="AB91" s="3" t="str">
        <f>IF(24&gt;$C91,"",IF($D91=1,EOMONTH(EDATE(Bonds!$H91,6*(24-1)),0),EDATE(Bonds!$H91,6*(24-1))))</f>
        <v/>
      </c>
      <c r="AC91" s="3" t="str">
        <f>IF(25&gt;$C91,"",IF($D91=1,EOMONTH(EDATE(Bonds!$H91,6*(25-1)),0),EDATE(Bonds!$H91,6*(25-1))))</f>
        <v/>
      </c>
      <c r="AD91" s="3" t="str">
        <f>IF(26&gt;$C91,"",IF($D91=1,EOMONTH(EDATE(Bonds!$H91,6*(26-1)),0),EDATE(Bonds!$H91,6*(26-1))))</f>
        <v/>
      </c>
      <c r="AE91" s="3" t="str">
        <f>IF(27&gt;$C91,"",IF($D91=1,EOMONTH(EDATE(Bonds!$H91,6*(27-1)),0),EDATE(Bonds!$H91,6*(27-1))))</f>
        <v/>
      </c>
      <c r="AF91" s="3" t="str">
        <f>IF(28&gt;$C91,"",IF($D91=1,EOMONTH(EDATE(Bonds!$H91,6*(28-1)),0),EDATE(Bonds!$H91,6*(28-1))))</f>
        <v/>
      </c>
      <c r="AG91" s="3" t="str">
        <f>IF(29&gt;$C91,"",IF($D91=1,EOMONTH(EDATE(Bonds!$H91,6*(29-1)),0),EDATE(Bonds!$H91,6*(29-1))))</f>
        <v/>
      </c>
      <c r="AH91" s="3" t="str">
        <f>IF(30&gt;$C91,"",IF($D91=1,EOMONTH(EDATE(Bonds!$H91,6*(30-1)),0),EDATE(Bonds!$H91,6*(30-1))))</f>
        <v/>
      </c>
      <c r="AI91" s="3" t="str">
        <f>IF(31&gt;$C91,"",IF($D91=1,EOMONTH(EDATE(Bonds!$H91,6*(31-1)),0),EDATE(Bonds!$H91,6*(31-1))))</f>
        <v/>
      </c>
      <c r="AJ91" s="3" t="str">
        <f>IF(32&gt;$C91,"",IF($D91=1,EOMONTH(EDATE(Bonds!$H91,6*(32-1)),0),EDATE(Bonds!$H91,6*(32-1))))</f>
        <v/>
      </c>
      <c r="AK91" s="3" t="str">
        <f>IF(33&gt;$C91,"",IF($D91=1,EOMONTH(EDATE(Bonds!$H91,6*(33-1)),0),EDATE(Bonds!$H91,6*(33-1))))</f>
        <v/>
      </c>
      <c r="AL91" s="3" t="str">
        <f>IF(34&gt;$C91,"",IF($D91=1,EOMONTH(EDATE(Bonds!$H91,6*(34-1)),0),EDATE(Bonds!$H91,6*(34-1))))</f>
        <v/>
      </c>
      <c r="AM91" s="3" t="str">
        <f>IF(35&gt;$C91,"",IF($D91=1,EOMONTH(EDATE(Bonds!$H91,6*(35-1)),0),EDATE(Bonds!$H91,6*(35-1))))</f>
        <v/>
      </c>
      <c r="AN91" s="3" t="str">
        <f>IF(36&gt;$C91,"",IF($D91=1,EOMONTH(EDATE(Bonds!$H91,6*(36-1)),0),EDATE(Bonds!$H91,6*(36-1))))</f>
        <v/>
      </c>
      <c r="AO91" s="3" t="str">
        <f>IF(37&gt;$C91,"",IF($D91=1,EOMONTH(EDATE(Bonds!$H91,6*(37-1)),0),EDATE(Bonds!$H91,6*(37-1))))</f>
        <v/>
      </c>
      <c r="AP91" s="3" t="str">
        <f>IF(38&gt;$C91,"",IF($D91=1,EOMONTH(EDATE(Bonds!$H91,6*(38-1)),0),EDATE(Bonds!$H91,6*(38-1))))</f>
        <v/>
      </c>
      <c r="AQ91" s="3" t="str">
        <f>IF(39&gt;$C91,"",IF($D91=1,EOMONTH(EDATE(Bonds!$H91,6*(39-1)),0),EDATE(Bonds!$H91,6*(39-1))))</f>
        <v/>
      </c>
      <c r="AR91" s="3" t="str">
        <f>IF(40&gt;$C91,"",IF($D91=1,EOMONTH(EDATE(Bonds!$H91,6*(40-1)),0),EDATE(Bonds!$H91,6*(40-1))))</f>
        <v/>
      </c>
      <c r="AS91" s="3" t="str">
        <f>IF(41&gt;$C91,"",IF($D91=1,EOMONTH(EDATE(Bonds!$H91,6*(41-1)),0),EDATE(Bonds!$H91,6*(41-1))))</f>
        <v/>
      </c>
      <c r="AT91" s="3" t="str">
        <f>IF(42&gt;$C91,"",IF($D91=1,EOMONTH(EDATE(Bonds!$H91,6*(42-1)),0),EDATE(Bonds!$H91,6*(42-1))))</f>
        <v/>
      </c>
      <c r="AU91" s="3" t="str">
        <f>IF(43&gt;$C91,"",IF($D91=1,EOMONTH(EDATE(Bonds!$H91,6*(43-1)),0),EDATE(Bonds!$H91,6*(43-1))))</f>
        <v/>
      </c>
      <c r="AV91" s="3" t="str">
        <f>IF(44&gt;$C91,"",IF($D91=1,EOMONTH(EDATE(Bonds!$H91,6*(44-1)),0),EDATE(Bonds!$H91,6*(44-1))))</f>
        <v/>
      </c>
      <c r="AW91" s="3" t="str">
        <f>IF(45&gt;$C91,"",IF($D91=1,EOMONTH(EDATE(Bonds!$H91,6*(45-1)),0),EDATE(Bonds!$H91,6*(45-1))))</f>
        <v/>
      </c>
      <c r="AX91" s="3" t="str">
        <f>IF(46&gt;$C91,"",IF($D91=1,EOMONTH(EDATE(Bonds!$H91,6*(46-1)),0),EDATE(Bonds!$H91,6*(46-1))))</f>
        <v/>
      </c>
      <c r="AY91" s="3" t="str">
        <f>IF(47&gt;$C91,"",IF($D91=1,EOMONTH(EDATE(Bonds!$H91,6*(47-1)),0),EDATE(Bonds!$H91,6*(47-1))))</f>
        <v/>
      </c>
      <c r="AZ91" s="3" t="str">
        <f>IF(48&gt;$C91,"",IF($D91=1,EOMONTH(EDATE(Bonds!$H91,6*(48-1)),0),EDATE(Bonds!$H91,6*(48-1))))</f>
        <v/>
      </c>
      <c r="BA91" s="3" t="str">
        <f>IF(49&gt;$C91,"",IF($D91=1,EOMONTH(EDATE(Bonds!$H91,6*(49-1)),0),EDATE(Bonds!$H91,6*(49-1))))</f>
        <v/>
      </c>
      <c r="BB91" s="3" t="str">
        <f>IF(50&gt;$C91,"",IF($D91=1,EOMONTH(EDATE(Bonds!$H91,6*(50-1)),0),EDATE(Bonds!$H91,6*(50-1))))</f>
        <v/>
      </c>
      <c r="BC91" s="3" t="str">
        <f>IF(51&gt;$C91,"",IF($D91=1,EOMONTH(EDATE(Bonds!$H91,6*(51-1)),0),EDATE(Bonds!$H91,6*(51-1))))</f>
        <v/>
      </c>
      <c r="BD91" s="3" t="str">
        <f>IF(52&gt;$C91,"",IF($D91=1,EOMONTH(EDATE(Bonds!$H91,6*(52-1)),0),EDATE(Bonds!$H91,6*(52-1))))</f>
        <v/>
      </c>
      <c r="BE91" s="3" t="str">
        <f>IF(53&gt;$C91,"",IF($D91=1,EOMONTH(EDATE(Bonds!$H91,6*(53-1)),0),EDATE(Bonds!$H91,6*(53-1))))</f>
        <v/>
      </c>
      <c r="BF91" s="3" t="str">
        <f>IF(54&gt;$C91,"",IF($D91=1,EOMONTH(EDATE(Bonds!$H91,6*(54-1)),0),EDATE(Bonds!$H91,6*(54-1))))</f>
        <v/>
      </c>
      <c r="BG91" s="3" t="str">
        <f>IF(55&gt;$C91,"",IF($D91=1,EOMONTH(EDATE(Bonds!$H91,6*(55-1)),0),EDATE(Bonds!$H91,6*(55-1))))</f>
        <v/>
      </c>
      <c r="BH91" s="3" t="str">
        <f>IF(56&gt;$C91,"",IF($D91=1,EOMONTH(EDATE(Bonds!$H91,6*(56-1)),0),EDATE(Bonds!$H91,6*(56-1))))</f>
        <v/>
      </c>
      <c r="BI91" s="3" t="str">
        <f>IF(57&gt;$C91,"",IF($D91=1,EOMONTH(EDATE(Bonds!$H91,6*(57-1)),0),EDATE(Bonds!$H91,6*(57-1))))</f>
        <v/>
      </c>
      <c r="BJ91" s="3" t="str">
        <f>IF(58&gt;$C91,"",IF($D91=1,EOMONTH(EDATE(Bonds!$H91,6*(58-1)),0),EDATE(Bonds!$H91,6*(58-1))))</f>
        <v/>
      </c>
      <c r="BK91" s="3" t="str">
        <f>IF(59&gt;$C91,"",IF($D91=1,EOMONTH(EDATE(Bonds!$H91,6*(59-1)),0),EDATE(Bonds!$H91,6*(59-1))))</f>
        <v/>
      </c>
      <c r="BL91" s="3" t="str">
        <f>IF(60&gt;$C91,"",IF($D91=1,EOMONTH(EDATE(Bonds!$H91,6*(60-1)),0),EDATE(Bonds!$H91,6*(60-1))))</f>
        <v/>
      </c>
      <c r="BN91" s="7">
        <f t="shared" si="62"/>
        <v>1.9332170044961661</v>
      </c>
      <c r="BO91" s="7">
        <f t="shared" si="63"/>
        <v>1.8950715706102756</v>
      </c>
      <c r="BP91" s="7">
        <f t="shared" si="64"/>
        <v>1.8540683788086316</v>
      </c>
      <c r="BQ91" s="7">
        <f t="shared" si="65"/>
        <v>95.358313622370702</v>
      </c>
      <c r="BR91" s="7">
        <f t="shared" si="66"/>
        <v>0</v>
      </c>
      <c r="BS91" s="7">
        <f t="shared" si="67"/>
        <v>0</v>
      </c>
      <c r="BT91" s="7">
        <f t="shared" si="68"/>
        <v>0</v>
      </c>
      <c r="BU91" s="7">
        <f t="shared" si="69"/>
        <v>0</v>
      </c>
      <c r="BV91" s="7">
        <f t="shared" si="70"/>
        <v>0</v>
      </c>
      <c r="BW91" s="7">
        <f t="shared" si="71"/>
        <v>0</v>
      </c>
      <c r="BX91" s="7">
        <f t="shared" si="72"/>
        <v>0</v>
      </c>
      <c r="BY91" s="7">
        <f t="shared" si="73"/>
        <v>0</v>
      </c>
      <c r="BZ91" s="7">
        <f t="shared" si="74"/>
        <v>0</v>
      </c>
      <c r="CA91" s="7">
        <f t="shared" si="75"/>
        <v>0</v>
      </c>
      <c r="CB91" s="7">
        <f t="shared" si="76"/>
        <v>0</v>
      </c>
      <c r="CC91" s="7">
        <f t="shared" si="77"/>
        <v>0</v>
      </c>
      <c r="CD91" s="7">
        <f t="shared" si="78"/>
        <v>0</v>
      </c>
      <c r="CE91" s="7">
        <f t="shared" si="79"/>
        <v>0</v>
      </c>
      <c r="CF91" s="7">
        <f t="shared" si="80"/>
        <v>0</v>
      </c>
      <c r="CG91" s="7">
        <f t="shared" si="81"/>
        <v>0</v>
      </c>
      <c r="CH91" s="7">
        <f t="shared" si="82"/>
        <v>0</v>
      </c>
      <c r="CI91" s="7">
        <f t="shared" si="83"/>
        <v>0</v>
      </c>
      <c r="CJ91" s="7">
        <f t="shared" si="84"/>
        <v>0</v>
      </c>
      <c r="CK91" s="7">
        <f t="shared" si="85"/>
        <v>0</v>
      </c>
      <c r="CL91" s="7">
        <f t="shared" si="86"/>
        <v>0</v>
      </c>
      <c r="CM91" s="7">
        <f t="shared" si="87"/>
        <v>0</v>
      </c>
      <c r="CN91" s="7">
        <f t="shared" si="88"/>
        <v>0</v>
      </c>
      <c r="CO91" s="7">
        <f t="shared" si="89"/>
        <v>0</v>
      </c>
      <c r="CP91" s="7">
        <f t="shared" si="90"/>
        <v>0</v>
      </c>
      <c r="CQ91" s="7">
        <f t="shared" si="91"/>
        <v>0</v>
      </c>
      <c r="CR91" s="7">
        <f t="shared" si="92"/>
        <v>0</v>
      </c>
      <c r="CS91" s="7">
        <f t="shared" si="93"/>
        <v>0</v>
      </c>
      <c r="CT91" s="7">
        <f t="shared" si="94"/>
        <v>0</v>
      </c>
      <c r="CU91" s="7">
        <f t="shared" si="95"/>
        <v>0</v>
      </c>
      <c r="CV91" s="7">
        <f t="shared" si="96"/>
        <v>0</v>
      </c>
      <c r="CW91" s="7">
        <f t="shared" si="97"/>
        <v>0</v>
      </c>
      <c r="CX91" s="7">
        <f t="shared" si="98"/>
        <v>0</v>
      </c>
      <c r="CY91" s="7">
        <f t="shared" si="99"/>
        <v>0</v>
      </c>
      <c r="CZ91" s="7">
        <f t="shared" si="100"/>
        <v>0</v>
      </c>
      <c r="DA91" s="7">
        <f t="shared" si="101"/>
        <v>0</v>
      </c>
      <c r="DB91" s="7">
        <f t="shared" si="102"/>
        <v>0</v>
      </c>
      <c r="DC91" s="7">
        <f t="shared" si="103"/>
        <v>0</v>
      </c>
      <c r="DD91" s="7">
        <f t="shared" si="104"/>
        <v>0</v>
      </c>
      <c r="DE91" s="7">
        <f t="shared" si="105"/>
        <v>0</v>
      </c>
      <c r="DF91" s="7">
        <f t="shared" si="106"/>
        <v>0</v>
      </c>
      <c r="DG91" s="7">
        <f t="shared" si="107"/>
        <v>0</v>
      </c>
      <c r="DH91" s="7">
        <f t="shared" si="108"/>
        <v>0</v>
      </c>
      <c r="DI91" s="7">
        <f t="shared" si="109"/>
        <v>0</v>
      </c>
      <c r="DJ91" s="7">
        <f t="shared" si="110"/>
        <v>0</v>
      </c>
      <c r="DK91" s="7">
        <f t="shared" si="111"/>
        <v>0</v>
      </c>
      <c r="DL91" s="7">
        <f t="shared" si="112"/>
        <v>0</v>
      </c>
      <c r="DM91" s="7">
        <f t="shared" si="113"/>
        <v>0</v>
      </c>
      <c r="DN91" s="7">
        <f t="shared" si="114"/>
        <v>0</v>
      </c>
      <c r="DO91" s="7">
        <f t="shared" si="115"/>
        <v>0</v>
      </c>
      <c r="DP91" s="7">
        <f t="shared" si="116"/>
        <v>0</v>
      </c>
      <c r="DQ91" s="7">
        <f t="shared" si="117"/>
        <v>0</v>
      </c>
      <c r="DR91" s="7">
        <f t="shared" si="118"/>
        <v>0</v>
      </c>
      <c r="DS91" s="7">
        <f t="shared" si="119"/>
        <v>0</v>
      </c>
      <c r="DT91" s="7">
        <f t="shared" si="120"/>
        <v>0</v>
      </c>
      <c r="DU91" s="7">
        <f t="shared" si="121"/>
        <v>0</v>
      </c>
    </row>
    <row r="92" spans="1:125" x14ac:dyDescent="0.2">
      <c r="A92" s="3">
        <f>Bonds!A92</f>
        <v>46858</v>
      </c>
      <c r="B92" s="4">
        <f>Bonds!B92</f>
        <v>3.75</v>
      </c>
      <c r="C92">
        <f>Bonds!P92</f>
        <v>4</v>
      </c>
      <c r="D92">
        <f t="shared" si="61"/>
        <v>0</v>
      </c>
      <c r="E92" s="3">
        <f>IF(1&gt;$C92,"",IF($D92=1,EOMONTH(EDATE(Bonds!$H92,6*(1-1)),0),EDATE(Bonds!$H92,6*(1-1))))</f>
        <v>46310</v>
      </c>
      <c r="F92" s="3">
        <f>IF(2&gt;$C92,"",IF($D92=1,EOMONTH(EDATE(Bonds!$H92,6*(2-1)),0),EDATE(Bonds!$H92,6*(2-1))))</f>
        <v>46492</v>
      </c>
      <c r="G92" s="3">
        <f>IF(3&gt;$C92,"",IF($D92=1,EOMONTH(EDATE(Bonds!$H92,6*(3-1)),0),EDATE(Bonds!$H92,6*(3-1))))</f>
        <v>46675</v>
      </c>
      <c r="H92" s="3">
        <f>IF(4&gt;$C92,"",IF($D92=1,EOMONTH(EDATE(Bonds!$H92,6*(4-1)),0),EDATE(Bonds!$H92,6*(4-1))))</f>
        <v>46858</v>
      </c>
      <c r="I92" s="3" t="str">
        <f>IF(5&gt;$C92,"",IF($D92=1,EOMONTH(EDATE(Bonds!$H92,6*(5-1)),0),EDATE(Bonds!$H92,6*(5-1))))</f>
        <v/>
      </c>
      <c r="J92" s="3" t="str">
        <f>IF(6&gt;$C92,"",IF($D92=1,EOMONTH(EDATE(Bonds!$H92,6*(6-1)),0),EDATE(Bonds!$H92,6*(6-1))))</f>
        <v/>
      </c>
      <c r="K92" s="3" t="str">
        <f>IF(7&gt;$C92,"",IF($D92=1,EOMONTH(EDATE(Bonds!$H92,6*(7-1)),0),EDATE(Bonds!$H92,6*(7-1))))</f>
        <v/>
      </c>
      <c r="L92" s="3" t="str">
        <f>IF(8&gt;$C92,"",IF($D92=1,EOMONTH(EDATE(Bonds!$H92,6*(8-1)),0),EDATE(Bonds!$H92,6*(8-1))))</f>
        <v/>
      </c>
      <c r="M92" s="3" t="str">
        <f>IF(9&gt;$C92,"",IF($D92=1,EOMONTH(EDATE(Bonds!$H92,6*(9-1)),0),EDATE(Bonds!$H92,6*(9-1))))</f>
        <v/>
      </c>
      <c r="N92" s="3" t="str">
        <f>IF(10&gt;$C92,"",IF($D92=1,EOMONTH(EDATE(Bonds!$H92,6*(10-1)),0),EDATE(Bonds!$H92,6*(10-1))))</f>
        <v/>
      </c>
      <c r="O92" s="3" t="str">
        <f>IF(11&gt;$C92,"",IF($D92=1,EOMONTH(EDATE(Bonds!$H92,6*(11-1)),0),EDATE(Bonds!$H92,6*(11-1))))</f>
        <v/>
      </c>
      <c r="P92" s="3" t="str">
        <f>IF(12&gt;$C92,"",IF($D92=1,EOMONTH(EDATE(Bonds!$H92,6*(12-1)),0),EDATE(Bonds!$H92,6*(12-1))))</f>
        <v/>
      </c>
      <c r="Q92" s="3" t="str">
        <f>IF(13&gt;$C92,"",IF($D92=1,EOMONTH(EDATE(Bonds!$H92,6*(13-1)),0),EDATE(Bonds!$H92,6*(13-1))))</f>
        <v/>
      </c>
      <c r="R92" s="3" t="str">
        <f>IF(14&gt;$C92,"",IF($D92=1,EOMONTH(EDATE(Bonds!$H92,6*(14-1)),0),EDATE(Bonds!$H92,6*(14-1))))</f>
        <v/>
      </c>
      <c r="S92" s="3" t="str">
        <f>IF(15&gt;$C92,"",IF($D92=1,EOMONTH(EDATE(Bonds!$H92,6*(15-1)),0),EDATE(Bonds!$H92,6*(15-1))))</f>
        <v/>
      </c>
      <c r="T92" s="3" t="str">
        <f>IF(16&gt;$C92,"",IF($D92=1,EOMONTH(EDATE(Bonds!$H92,6*(16-1)),0),EDATE(Bonds!$H92,6*(16-1))))</f>
        <v/>
      </c>
      <c r="U92" s="3" t="str">
        <f>IF(17&gt;$C92,"",IF($D92=1,EOMONTH(EDATE(Bonds!$H92,6*(17-1)),0),EDATE(Bonds!$H92,6*(17-1))))</f>
        <v/>
      </c>
      <c r="V92" s="3" t="str">
        <f>IF(18&gt;$C92,"",IF($D92=1,EOMONTH(EDATE(Bonds!$H92,6*(18-1)),0),EDATE(Bonds!$H92,6*(18-1))))</f>
        <v/>
      </c>
      <c r="W92" s="3" t="str">
        <f>IF(19&gt;$C92,"",IF($D92=1,EOMONTH(EDATE(Bonds!$H92,6*(19-1)),0),EDATE(Bonds!$H92,6*(19-1))))</f>
        <v/>
      </c>
      <c r="X92" s="3" t="str">
        <f>IF(20&gt;$C92,"",IF($D92=1,EOMONTH(EDATE(Bonds!$H92,6*(20-1)),0),EDATE(Bonds!$H92,6*(20-1))))</f>
        <v/>
      </c>
      <c r="Y92" s="3" t="str">
        <f>IF(21&gt;$C92,"",IF($D92=1,EOMONTH(EDATE(Bonds!$H92,6*(21-1)),0),EDATE(Bonds!$H92,6*(21-1))))</f>
        <v/>
      </c>
      <c r="Z92" s="3" t="str">
        <f>IF(22&gt;$C92,"",IF($D92=1,EOMONTH(EDATE(Bonds!$H92,6*(22-1)),0),EDATE(Bonds!$H92,6*(22-1))))</f>
        <v/>
      </c>
      <c r="AA92" s="3" t="str">
        <f>IF(23&gt;$C92,"",IF($D92=1,EOMONTH(EDATE(Bonds!$H92,6*(23-1)),0),EDATE(Bonds!$H92,6*(23-1))))</f>
        <v/>
      </c>
      <c r="AB92" s="3" t="str">
        <f>IF(24&gt;$C92,"",IF($D92=1,EOMONTH(EDATE(Bonds!$H92,6*(24-1)),0),EDATE(Bonds!$H92,6*(24-1))))</f>
        <v/>
      </c>
      <c r="AC92" s="3" t="str">
        <f>IF(25&gt;$C92,"",IF($D92=1,EOMONTH(EDATE(Bonds!$H92,6*(25-1)),0),EDATE(Bonds!$H92,6*(25-1))))</f>
        <v/>
      </c>
      <c r="AD92" s="3" t="str">
        <f>IF(26&gt;$C92,"",IF($D92=1,EOMONTH(EDATE(Bonds!$H92,6*(26-1)),0),EDATE(Bonds!$H92,6*(26-1))))</f>
        <v/>
      </c>
      <c r="AE92" s="3" t="str">
        <f>IF(27&gt;$C92,"",IF($D92=1,EOMONTH(EDATE(Bonds!$H92,6*(27-1)),0),EDATE(Bonds!$H92,6*(27-1))))</f>
        <v/>
      </c>
      <c r="AF92" s="3" t="str">
        <f>IF(28&gt;$C92,"",IF($D92=1,EOMONTH(EDATE(Bonds!$H92,6*(28-1)),0),EDATE(Bonds!$H92,6*(28-1))))</f>
        <v/>
      </c>
      <c r="AG92" s="3" t="str">
        <f>IF(29&gt;$C92,"",IF($D92=1,EOMONTH(EDATE(Bonds!$H92,6*(29-1)),0),EDATE(Bonds!$H92,6*(29-1))))</f>
        <v/>
      </c>
      <c r="AH92" s="3" t="str">
        <f>IF(30&gt;$C92,"",IF($D92=1,EOMONTH(EDATE(Bonds!$H92,6*(30-1)),0),EDATE(Bonds!$H92,6*(30-1))))</f>
        <v/>
      </c>
      <c r="AI92" s="3" t="str">
        <f>IF(31&gt;$C92,"",IF($D92=1,EOMONTH(EDATE(Bonds!$H92,6*(31-1)),0),EDATE(Bonds!$H92,6*(31-1))))</f>
        <v/>
      </c>
      <c r="AJ92" s="3" t="str">
        <f>IF(32&gt;$C92,"",IF($D92=1,EOMONTH(EDATE(Bonds!$H92,6*(32-1)),0),EDATE(Bonds!$H92,6*(32-1))))</f>
        <v/>
      </c>
      <c r="AK92" s="3" t="str">
        <f>IF(33&gt;$C92,"",IF($D92=1,EOMONTH(EDATE(Bonds!$H92,6*(33-1)),0),EDATE(Bonds!$H92,6*(33-1))))</f>
        <v/>
      </c>
      <c r="AL92" s="3" t="str">
        <f>IF(34&gt;$C92,"",IF($D92=1,EOMONTH(EDATE(Bonds!$H92,6*(34-1)),0),EDATE(Bonds!$H92,6*(34-1))))</f>
        <v/>
      </c>
      <c r="AM92" s="3" t="str">
        <f>IF(35&gt;$C92,"",IF($D92=1,EOMONTH(EDATE(Bonds!$H92,6*(35-1)),0),EDATE(Bonds!$H92,6*(35-1))))</f>
        <v/>
      </c>
      <c r="AN92" s="3" t="str">
        <f>IF(36&gt;$C92,"",IF($D92=1,EOMONTH(EDATE(Bonds!$H92,6*(36-1)),0),EDATE(Bonds!$H92,6*(36-1))))</f>
        <v/>
      </c>
      <c r="AO92" s="3" t="str">
        <f>IF(37&gt;$C92,"",IF($D92=1,EOMONTH(EDATE(Bonds!$H92,6*(37-1)),0),EDATE(Bonds!$H92,6*(37-1))))</f>
        <v/>
      </c>
      <c r="AP92" s="3" t="str">
        <f>IF(38&gt;$C92,"",IF($D92=1,EOMONTH(EDATE(Bonds!$H92,6*(38-1)),0),EDATE(Bonds!$H92,6*(38-1))))</f>
        <v/>
      </c>
      <c r="AQ92" s="3" t="str">
        <f>IF(39&gt;$C92,"",IF($D92=1,EOMONTH(EDATE(Bonds!$H92,6*(39-1)),0),EDATE(Bonds!$H92,6*(39-1))))</f>
        <v/>
      </c>
      <c r="AR92" s="3" t="str">
        <f>IF(40&gt;$C92,"",IF($D92=1,EOMONTH(EDATE(Bonds!$H92,6*(40-1)),0),EDATE(Bonds!$H92,6*(40-1))))</f>
        <v/>
      </c>
      <c r="AS92" s="3" t="str">
        <f>IF(41&gt;$C92,"",IF($D92=1,EOMONTH(EDATE(Bonds!$H92,6*(41-1)),0),EDATE(Bonds!$H92,6*(41-1))))</f>
        <v/>
      </c>
      <c r="AT92" s="3" t="str">
        <f>IF(42&gt;$C92,"",IF($D92=1,EOMONTH(EDATE(Bonds!$H92,6*(42-1)),0),EDATE(Bonds!$H92,6*(42-1))))</f>
        <v/>
      </c>
      <c r="AU92" s="3" t="str">
        <f>IF(43&gt;$C92,"",IF($D92=1,EOMONTH(EDATE(Bonds!$H92,6*(43-1)),0),EDATE(Bonds!$H92,6*(43-1))))</f>
        <v/>
      </c>
      <c r="AV92" s="3" t="str">
        <f>IF(44&gt;$C92,"",IF($D92=1,EOMONTH(EDATE(Bonds!$H92,6*(44-1)),0),EDATE(Bonds!$H92,6*(44-1))))</f>
        <v/>
      </c>
      <c r="AW92" s="3" t="str">
        <f>IF(45&gt;$C92,"",IF($D92=1,EOMONTH(EDATE(Bonds!$H92,6*(45-1)),0),EDATE(Bonds!$H92,6*(45-1))))</f>
        <v/>
      </c>
      <c r="AX92" s="3" t="str">
        <f>IF(46&gt;$C92,"",IF($D92=1,EOMONTH(EDATE(Bonds!$H92,6*(46-1)),0),EDATE(Bonds!$H92,6*(46-1))))</f>
        <v/>
      </c>
      <c r="AY92" s="3" t="str">
        <f>IF(47&gt;$C92,"",IF($D92=1,EOMONTH(EDATE(Bonds!$H92,6*(47-1)),0),EDATE(Bonds!$H92,6*(47-1))))</f>
        <v/>
      </c>
      <c r="AZ92" s="3" t="str">
        <f>IF(48&gt;$C92,"",IF($D92=1,EOMONTH(EDATE(Bonds!$H92,6*(48-1)),0),EDATE(Bonds!$H92,6*(48-1))))</f>
        <v/>
      </c>
      <c r="BA92" s="3" t="str">
        <f>IF(49&gt;$C92,"",IF($D92=1,EOMONTH(EDATE(Bonds!$H92,6*(49-1)),0),EDATE(Bonds!$H92,6*(49-1))))</f>
        <v/>
      </c>
      <c r="BB92" s="3" t="str">
        <f>IF(50&gt;$C92,"",IF($D92=1,EOMONTH(EDATE(Bonds!$H92,6*(50-1)),0),EDATE(Bonds!$H92,6*(50-1))))</f>
        <v/>
      </c>
      <c r="BC92" s="3" t="str">
        <f>IF(51&gt;$C92,"",IF($D92=1,EOMONTH(EDATE(Bonds!$H92,6*(51-1)),0),EDATE(Bonds!$H92,6*(51-1))))</f>
        <v/>
      </c>
      <c r="BD92" s="3" t="str">
        <f>IF(52&gt;$C92,"",IF($D92=1,EOMONTH(EDATE(Bonds!$H92,6*(52-1)),0),EDATE(Bonds!$H92,6*(52-1))))</f>
        <v/>
      </c>
      <c r="BE92" s="3" t="str">
        <f>IF(53&gt;$C92,"",IF($D92=1,EOMONTH(EDATE(Bonds!$H92,6*(53-1)),0),EDATE(Bonds!$H92,6*(53-1))))</f>
        <v/>
      </c>
      <c r="BF92" s="3" t="str">
        <f>IF(54&gt;$C92,"",IF($D92=1,EOMONTH(EDATE(Bonds!$H92,6*(54-1)),0),EDATE(Bonds!$H92,6*(54-1))))</f>
        <v/>
      </c>
      <c r="BG92" s="3" t="str">
        <f>IF(55&gt;$C92,"",IF($D92=1,EOMONTH(EDATE(Bonds!$H92,6*(55-1)),0),EDATE(Bonds!$H92,6*(55-1))))</f>
        <v/>
      </c>
      <c r="BH92" s="3" t="str">
        <f>IF(56&gt;$C92,"",IF($D92=1,EOMONTH(EDATE(Bonds!$H92,6*(56-1)),0),EDATE(Bonds!$H92,6*(56-1))))</f>
        <v/>
      </c>
      <c r="BI92" s="3" t="str">
        <f>IF(57&gt;$C92,"",IF($D92=1,EOMONTH(EDATE(Bonds!$H92,6*(57-1)),0),EDATE(Bonds!$H92,6*(57-1))))</f>
        <v/>
      </c>
      <c r="BJ92" s="3" t="str">
        <f>IF(58&gt;$C92,"",IF($D92=1,EOMONTH(EDATE(Bonds!$H92,6*(58-1)),0),EDATE(Bonds!$H92,6*(58-1))))</f>
        <v/>
      </c>
      <c r="BK92" s="3" t="str">
        <f>IF(59&gt;$C92,"",IF($D92=1,EOMONTH(EDATE(Bonds!$H92,6*(59-1)),0),EDATE(Bonds!$H92,6*(59-1))))</f>
        <v/>
      </c>
      <c r="BL92" s="3" t="str">
        <f>IF(60&gt;$C92,"",IF($D92=1,EOMONTH(EDATE(Bonds!$H92,6*(60-1)),0),EDATE(Bonds!$H92,6*(60-1))))</f>
        <v/>
      </c>
      <c r="BN92" s="7">
        <f t="shared" si="62"/>
        <v>1.8679799739647067</v>
      </c>
      <c r="BO92" s="7">
        <f t="shared" si="63"/>
        <v>1.8307495727934244</v>
      </c>
      <c r="BP92" s="7">
        <f t="shared" si="64"/>
        <v>1.7909620670662254</v>
      </c>
      <c r="BQ92" s="7">
        <f t="shared" si="65"/>
        <v>95.121014943066442</v>
      </c>
      <c r="BR92" s="7">
        <f t="shared" si="66"/>
        <v>0</v>
      </c>
      <c r="BS92" s="7">
        <f t="shared" si="67"/>
        <v>0</v>
      </c>
      <c r="BT92" s="7">
        <f t="shared" si="68"/>
        <v>0</v>
      </c>
      <c r="BU92" s="7">
        <f t="shared" si="69"/>
        <v>0</v>
      </c>
      <c r="BV92" s="7">
        <f t="shared" si="70"/>
        <v>0</v>
      </c>
      <c r="BW92" s="7">
        <f t="shared" si="71"/>
        <v>0</v>
      </c>
      <c r="BX92" s="7">
        <f t="shared" si="72"/>
        <v>0</v>
      </c>
      <c r="BY92" s="7">
        <f t="shared" si="73"/>
        <v>0</v>
      </c>
      <c r="BZ92" s="7">
        <f t="shared" si="74"/>
        <v>0</v>
      </c>
      <c r="CA92" s="7">
        <f t="shared" si="75"/>
        <v>0</v>
      </c>
      <c r="CB92" s="7">
        <f t="shared" si="76"/>
        <v>0</v>
      </c>
      <c r="CC92" s="7">
        <f t="shared" si="77"/>
        <v>0</v>
      </c>
      <c r="CD92" s="7">
        <f t="shared" si="78"/>
        <v>0</v>
      </c>
      <c r="CE92" s="7">
        <f t="shared" si="79"/>
        <v>0</v>
      </c>
      <c r="CF92" s="7">
        <f t="shared" si="80"/>
        <v>0</v>
      </c>
      <c r="CG92" s="7">
        <f t="shared" si="81"/>
        <v>0</v>
      </c>
      <c r="CH92" s="7">
        <f t="shared" si="82"/>
        <v>0</v>
      </c>
      <c r="CI92" s="7">
        <f t="shared" si="83"/>
        <v>0</v>
      </c>
      <c r="CJ92" s="7">
        <f t="shared" si="84"/>
        <v>0</v>
      </c>
      <c r="CK92" s="7">
        <f t="shared" si="85"/>
        <v>0</v>
      </c>
      <c r="CL92" s="7">
        <f t="shared" si="86"/>
        <v>0</v>
      </c>
      <c r="CM92" s="7">
        <f t="shared" si="87"/>
        <v>0</v>
      </c>
      <c r="CN92" s="7">
        <f t="shared" si="88"/>
        <v>0</v>
      </c>
      <c r="CO92" s="7">
        <f t="shared" si="89"/>
        <v>0</v>
      </c>
      <c r="CP92" s="7">
        <f t="shared" si="90"/>
        <v>0</v>
      </c>
      <c r="CQ92" s="7">
        <f t="shared" si="91"/>
        <v>0</v>
      </c>
      <c r="CR92" s="7">
        <f t="shared" si="92"/>
        <v>0</v>
      </c>
      <c r="CS92" s="7">
        <f t="shared" si="93"/>
        <v>0</v>
      </c>
      <c r="CT92" s="7">
        <f t="shared" si="94"/>
        <v>0</v>
      </c>
      <c r="CU92" s="7">
        <f t="shared" si="95"/>
        <v>0</v>
      </c>
      <c r="CV92" s="7">
        <f t="shared" si="96"/>
        <v>0</v>
      </c>
      <c r="CW92" s="7">
        <f t="shared" si="97"/>
        <v>0</v>
      </c>
      <c r="CX92" s="7">
        <f t="shared" si="98"/>
        <v>0</v>
      </c>
      <c r="CY92" s="7">
        <f t="shared" si="99"/>
        <v>0</v>
      </c>
      <c r="CZ92" s="7">
        <f t="shared" si="100"/>
        <v>0</v>
      </c>
      <c r="DA92" s="7">
        <f t="shared" si="101"/>
        <v>0</v>
      </c>
      <c r="DB92" s="7">
        <f t="shared" si="102"/>
        <v>0</v>
      </c>
      <c r="DC92" s="7">
        <f t="shared" si="103"/>
        <v>0</v>
      </c>
      <c r="DD92" s="7">
        <f t="shared" si="104"/>
        <v>0</v>
      </c>
      <c r="DE92" s="7">
        <f t="shared" si="105"/>
        <v>0</v>
      </c>
      <c r="DF92" s="7">
        <f t="shared" si="106"/>
        <v>0</v>
      </c>
      <c r="DG92" s="7">
        <f t="shared" si="107"/>
        <v>0</v>
      </c>
      <c r="DH92" s="7">
        <f t="shared" si="108"/>
        <v>0</v>
      </c>
      <c r="DI92" s="7">
        <f t="shared" si="109"/>
        <v>0</v>
      </c>
      <c r="DJ92" s="7">
        <f t="shared" si="110"/>
        <v>0</v>
      </c>
      <c r="DK92" s="7">
        <f t="shared" si="111"/>
        <v>0</v>
      </c>
      <c r="DL92" s="7">
        <f t="shared" si="112"/>
        <v>0</v>
      </c>
      <c r="DM92" s="7">
        <f t="shared" si="113"/>
        <v>0</v>
      </c>
      <c r="DN92" s="7">
        <f t="shared" si="114"/>
        <v>0</v>
      </c>
      <c r="DO92" s="7">
        <f t="shared" si="115"/>
        <v>0</v>
      </c>
      <c r="DP92" s="7">
        <f t="shared" si="116"/>
        <v>0</v>
      </c>
      <c r="DQ92" s="7">
        <f t="shared" si="117"/>
        <v>0</v>
      </c>
      <c r="DR92" s="7">
        <f t="shared" si="118"/>
        <v>0</v>
      </c>
      <c r="DS92" s="7">
        <f t="shared" si="119"/>
        <v>0</v>
      </c>
      <c r="DT92" s="7">
        <f t="shared" si="120"/>
        <v>0</v>
      </c>
      <c r="DU92" s="7">
        <f t="shared" si="121"/>
        <v>0</v>
      </c>
    </row>
    <row r="93" spans="1:125" x14ac:dyDescent="0.2">
      <c r="A93" s="3">
        <f>Bonds!A93</f>
        <v>46873</v>
      </c>
      <c r="B93" s="4">
        <f>Bonds!B93</f>
        <v>1.25</v>
      </c>
      <c r="C93">
        <f>Bonds!P93</f>
        <v>4</v>
      </c>
      <c r="D93">
        <f t="shared" si="61"/>
        <v>1</v>
      </c>
      <c r="E93" s="3">
        <f>IF(1&gt;$C93,"",IF($D93=1,EOMONTH(EDATE(Bonds!$H93,6*(1-1)),0),EDATE(Bonds!$H93,6*(1-1))))</f>
        <v>46326</v>
      </c>
      <c r="F93" s="3">
        <f>IF(2&gt;$C93,"",IF($D93=1,EOMONTH(EDATE(Bonds!$H93,6*(2-1)),0),EDATE(Bonds!$H93,6*(2-1))))</f>
        <v>46507</v>
      </c>
      <c r="G93" s="3">
        <f>IF(3&gt;$C93,"",IF($D93=1,EOMONTH(EDATE(Bonds!$H93,6*(3-1)),0),EDATE(Bonds!$H93,6*(3-1))))</f>
        <v>46691</v>
      </c>
      <c r="H93" s="3">
        <f>IF(4&gt;$C93,"",IF($D93=1,EOMONTH(EDATE(Bonds!$H93,6*(4-1)),0),EDATE(Bonds!$H93,6*(4-1))))</f>
        <v>46873</v>
      </c>
      <c r="I93" s="3" t="str">
        <f>IF(5&gt;$C93,"",IF($D93=1,EOMONTH(EDATE(Bonds!$H93,6*(5-1)),0),EDATE(Bonds!$H93,6*(5-1))))</f>
        <v/>
      </c>
      <c r="J93" s="3" t="str">
        <f>IF(6&gt;$C93,"",IF($D93=1,EOMONTH(EDATE(Bonds!$H93,6*(6-1)),0),EDATE(Bonds!$H93,6*(6-1))))</f>
        <v/>
      </c>
      <c r="K93" s="3" t="str">
        <f>IF(7&gt;$C93,"",IF($D93=1,EOMONTH(EDATE(Bonds!$H93,6*(7-1)),0),EDATE(Bonds!$H93,6*(7-1))))</f>
        <v/>
      </c>
      <c r="L93" s="3" t="str">
        <f>IF(8&gt;$C93,"",IF($D93=1,EOMONTH(EDATE(Bonds!$H93,6*(8-1)),0),EDATE(Bonds!$H93,6*(8-1))))</f>
        <v/>
      </c>
      <c r="M93" s="3" t="str">
        <f>IF(9&gt;$C93,"",IF($D93=1,EOMONTH(EDATE(Bonds!$H93,6*(9-1)),0),EDATE(Bonds!$H93,6*(9-1))))</f>
        <v/>
      </c>
      <c r="N93" s="3" t="str">
        <f>IF(10&gt;$C93,"",IF($D93=1,EOMONTH(EDATE(Bonds!$H93,6*(10-1)),0),EDATE(Bonds!$H93,6*(10-1))))</f>
        <v/>
      </c>
      <c r="O93" s="3" t="str">
        <f>IF(11&gt;$C93,"",IF($D93=1,EOMONTH(EDATE(Bonds!$H93,6*(11-1)),0),EDATE(Bonds!$H93,6*(11-1))))</f>
        <v/>
      </c>
      <c r="P93" s="3" t="str">
        <f>IF(12&gt;$C93,"",IF($D93=1,EOMONTH(EDATE(Bonds!$H93,6*(12-1)),0),EDATE(Bonds!$H93,6*(12-1))))</f>
        <v/>
      </c>
      <c r="Q93" s="3" t="str">
        <f>IF(13&gt;$C93,"",IF($D93=1,EOMONTH(EDATE(Bonds!$H93,6*(13-1)),0),EDATE(Bonds!$H93,6*(13-1))))</f>
        <v/>
      </c>
      <c r="R93" s="3" t="str">
        <f>IF(14&gt;$C93,"",IF($D93=1,EOMONTH(EDATE(Bonds!$H93,6*(14-1)),0),EDATE(Bonds!$H93,6*(14-1))))</f>
        <v/>
      </c>
      <c r="S93" s="3" t="str">
        <f>IF(15&gt;$C93,"",IF($D93=1,EOMONTH(EDATE(Bonds!$H93,6*(15-1)),0),EDATE(Bonds!$H93,6*(15-1))))</f>
        <v/>
      </c>
      <c r="T93" s="3" t="str">
        <f>IF(16&gt;$C93,"",IF($D93=1,EOMONTH(EDATE(Bonds!$H93,6*(16-1)),0),EDATE(Bonds!$H93,6*(16-1))))</f>
        <v/>
      </c>
      <c r="U93" s="3" t="str">
        <f>IF(17&gt;$C93,"",IF($D93=1,EOMONTH(EDATE(Bonds!$H93,6*(17-1)),0),EDATE(Bonds!$H93,6*(17-1))))</f>
        <v/>
      </c>
      <c r="V93" s="3" t="str">
        <f>IF(18&gt;$C93,"",IF($D93=1,EOMONTH(EDATE(Bonds!$H93,6*(18-1)),0),EDATE(Bonds!$H93,6*(18-1))))</f>
        <v/>
      </c>
      <c r="W93" s="3" t="str">
        <f>IF(19&gt;$C93,"",IF($D93=1,EOMONTH(EDATE(Bonds!$H93,6*(19-1)),0),EDATE(Bonds!$H93,6*(19-1))))</f>
        <v/>
      </c>
      <c r="X93" s="3" t="str">
        <f>IF(20&gt;$C93,"",IF($D93=1,EOMONTH(EDATE(Bonds!$H93,6*(20-1)),0),EDATE(Bonds!$H93,6*(20-1))))</f>
        <v/>
      </c>
      <c r="Y93" s="3" t="str">
        <f>IF(21&gt;$C93,"",IF($D93=1,EOMONTH(EDATE(Bonds!$H93,6*(21-1)),0),EDATE(Bonds!$H93,6*(21-1))))</f>
        <v/>
      </c>
      <c r="Z93" s="3" t="str">
        <f>IF(22&gt;$C93,"",IF($D93=1,EOMONTH(EDATE(Bonds!$H93,6*(22-1)),0),EDATE(Bonds!$H93,6*(22-1))))</f>
        <v/>
      </c>
      <c r="AA93" s="3" t="str">
        <f>IF(23&gt;$C93,"",IF($D93=1,EOMONTH(EDATE(Bonds!$H93,6*(23-1)),0),EDATE(Bonds!$H93,6*(23-1))))</f>
        <v/>
      </c>
      <c r="AB93" s="3" t="str">
        <f>IF(24&gt;$C93,"",IF($D93=1,EOMONTH(EDATE(Bonds!$H93,6*(24-1)),0),EDATE(Bonds!$H93,6*(24-1))))</f>
        <v/>
      </c>
      <c r="AC93" s="3" t="str">
        <f>IF(25&gt;$C93,"",IF($D93=1,EOMONTH(EDATE(Bonds!$H93,6*(25-1)),0),EDATE(Bonds!$H93,6*(25-1))))</f>
        <v/>
      </c>
      <c r="AD93" s="3" t="str">
        <f>IF(26&gt;$C93,"",IF($D93=1,EOMONTH(EDATE(Bonds!$H93,6*(26-1)),0),EDATE(Bonds!$H93,6*(26-1))))</f>
        <v/>
      </c>
      <c r="AE93" s="3" t="str">
        <f>IF(27&gt;$C93,"",IF($D93=1,EOMONTH(EDATE(Bonds!$H93,6*(27-1)),0),EDATE(Bonds!$H93,6*(27-1))))</f>
        <v/>
      </c>
      <c r="AF93" s="3" t="str">
        <f>IF(28&gt;$C93,"",IF($D93=1,EOMONTH(EDATE(Bonds!$H93,6*(28-1)),0),EDATE(Bonds!$H93,6*(28-1))))</f>
        <v/>
      </c>
      <c r="AG93" s="3" t="str">
        <f>IF(29&gt;$C93,"",IF($D93=1,EOMONTH(EDATE(Bonds!$H93,6*(29-1)),0),EDATE(Bonds!$H93,6*(29-1))))</f>
        <v/>
      </c>
      <c r="AH93" s="3" t="str">
        <f>IF(30&gt;$C93,"",IF($D93=1,EOMONTH(EDATE(Bonds!$H93,6*(30-1)),0),EDATE(Bonds!$H93,6*(30-1))))</f>
        <v/>
      </c>
      <c r="AI93" s="3" t="str">
        <f>IF(31&gt;$C93,"",IF($D93=1,EOMONTH(EDATE(Bonds!$H93,6*(31-1)),0),EDATE(Bonds!$H93,6*(31-1))))</f>
        <v/>
      </c>
      <c r="AJ93" s="3" t="str">
        <f>IF(32&gt;$C93,"",IF($D93=1,EOMONTH(EDATE(Bonds!$H93,6*(32-1)),0),EDATE(Bonds!$H93,6*(32-1))))</f>
        <v/>
      </c>
      <c r="AK93" s="3" t="str">
        <f>IF(33&gt;$C93,"",IF($D93=1,EOMONTH(EDATE(Bonds!$H93,6*(33-1)),0),EDATE(Bonds!$H93,6*(33-1))))</f>
        <v/>
      </c>
      <c r="AL93" s="3" t="str">
        <f>IF(34&gt;$C93,"",IF($D93=1,EOMONTH(EDATE(Bonds!$H93,6*(34-1)),0),EDATE(Bonds!$H93,6*(34-1))))</f>
        <v/>
      </c>
      <c r="AM93" s="3" t="str">
        <f>IF(35&gt;$C93,"",IF($D93=1,EOMONTH(EDATE(Bonds!$H93,6*(35-1)),0),EDATE(Bonds!$H93,6*(35-1))))</f>
        <v/>
      </c>
      <c r="AN93" s="3" t="str">
        <f>IF(36&gt;$C93,"",IF($D93=1,EOMONTH(EDATE(Bonds!$H93,6*(36-1)),0),EDATE(Bonds!$H93,6*(36-1))))</f>
        <v/>
      </c>
      <c r="AO93" s="3" t="str">
        <f>IF(37&gt;$C93,"",IF($D93=1,EOMONTH(EDATE(Bonds!$H93,6*(37-1)),0),EDATE(Bonds!$H93,6*(37-1))))</f>
        <v/>
      </c>
      <c r="AP93" s="3" t="str">
        <f>IF(38&gt;$C93,"",IF($D93=1,EOMONTH(EDATE(Bonds!$H93,6*(38-1)),0),EDATE(Bonds!$H93,6*(38-1))))</f>
        <v/>
      </c>
      <c r="AQ93" s="3" t="str">
        <f>IF(39&gt;$C93,"",IF($D93=1,EOMONTH(EDATE(Bonds!$H93,6*(39-1)),0),EDATE(Bonds!$H93,6*(39-1))))</f>
        <v/>
      </c>
      <c r="AR93" s="3" t="str">
        <f>IF(40&gt;$C93,"",IF($D93=1,EOMONTH(EDATE(Bonds!$H93,6*(40-1)),0),EDATE(Bonds!$H93,6*(40-1))))</f>
        <v/>
      </c>
      <c r="AS93" s="3" t="str">
        <f>IF(41&gt;$C93,"",IF($D93=1,EOMONTH(EDATE(Bonds!$H93,6*(41-1)),0),EDATE(Bonds!$H93,6*(41-1))))</f>
        <v/>
      </c>
      <c r="AT93" s="3" t="str">
        <f>IF(42&gt;$C93,"",IF($D93=1,EOMONTH(EDATE(Bonds!$H93,6*(42-1)),0),EDATE(Bonds!$H93,6*(42-1))))</f>
        <v/>
      </c>
      <c r="AU93" s="3" t="str">
        <f>IF(43&gt;$C93,"",IF($D93=1,EOMONTH(EDATE(Bonds!$H93,6*(43-1)),0),EDATE(Bonds!$H93,6*(43-1))))</f>
        <v/>
      </c>
      <c r="AV93" s="3" t="str">
        <f>IF(44&gt;$C93,"",IF($D93=1,EOMONTH(EDATE(Bonds!$H93,6*(44-1)),0),EDATE(Bonds!$H93,6*(44-1))))</f>
        <v/>
      </c>
      <c r="AW93" s="3" t="str">
        <f>IF(45&gt;$C93,"",IF($D93=1,EOMONTH(EDATE(Bonds!$H93,6*(45-1)),0),EDATE(Bonds!$H93,6*(45-1))))</f>
        <v/>
      </c>
      <c r="AX93" s="3" t="str">
        <f>IF(46&gt;$C93,"",IF($D93=1,EOMONTH(EDATE(Bonds!$H93,6*(46-1)),0),EDATE(Bonds!$H93,6*(46-1))))</f>
        <v/>
      </c>
      <c r="AY93" s="3" t="str">
        <f>IF(47&gt;$C93,"",IF($D93=1,EOMONTH(EDATE(Bonds!$H93,6*(47-1)),0),EDATE(Bonds!$H93,6*(47-1))))</f>
        <v/>
      </c>
      <c r="AZ93" s="3" t="str">
        <f>IF(48&gt;$C93,"",IF($D93=1,EOMONTH(EDATE(Bonds!$H93,6*(48-1)),0),EDATE(Bonds!$H93,6*(48-1))))</f>
        <v/>
      </c>
      <c r="BA93" s="3" t="str">
        <f>IF(49&gt;$C93,"",IF($D93=1,EOMONTH(EDATE(Bonds!$H93,6*(49-1)),0),EDATE(Bonds!$H93,6*(49-1))))</f>
        <v/>
      </c>
      <c r="BB93" s="3" t="str">
        <f>IF(50&gt;$C93,"",IF($D93=1,EOMONTH(EDATE(Bonds!$H93,6*(50-1)),0),EDATE(Bonds!$H93,6*(50-1))))</f>
        <v/>
      </c>
      <c r="BC93" s="3" t="str">
        <f>IF(51&gt;$C93,"",IF($D93=1,EOMONTH(EDATE(Bonds!$H93,6*(51-1)),0),EDATE(Bonds!$H93,6*(51-1))))</f>
        <v/>
      </c>
      <c r="BD93" s="3" t="str">
        <f>IF(52&gt;$C93,"",IF($D93=1,EOMONTH(EDATE(Bonds!$H93,6*(52-1)),0),EDATE(Bonds!$H93,6*(52-1))))</f>
        <v/>
      </c>
      <c r="BE93" s="3" t="str">
        <f>IF(53&gt;$C93,"",IF($D93=1,EOMONTH(EDATE(Bonds!$H93,6*(53-1)),0),EDATE(Bonds!$H93,6*(53-1))))</f>
        <v/>
      </c>
      <c r="BF93" s="3" t="str">
        <f>IF(54&gt;$C93,"",IF($D93=1,EOMONTH(EDATE(Bonds!$H93,6*(54-1)),0),EDATE(Bonds!$H93,6*(54-1))))</f>
        <v/>
      </c>
      <c r="BG93" s="3" t="str">
        <f>IF(55&gt;$C93,"",IF($D93=1,EOMONTH(EDATE(Bonds!$H93,6*(55-1)),0),EDATE(Bonds!$H93,6*(55-1))))</f>
        <v/>
      </c>
      <c r="BH93" s="3" t="str">
        <f>IF(56&gt;$C93,"",IF($D93=1,EOMONTH(EDATE(Bonds!$H93,6*(56-1)),0),EDATE(Bonds!$H93,6*(56-1))))</f>
        <v/>
      </c>
      <c r="BI93" s="3" t="str">
        <f>IF(57&gt;$C93,"",IF($D93=1,EOMONTH(EDATE(Bonds!$H93,6*(57-1)),0),EDATE(Bonds!$H93,6*(57-1))))</f>
        <v/>
      </c>
      <c r="BJ93" s="3" t="str">
        <f>IF(58&gt;$C93,"",IF($D93=1,EOMONTH(EDATE(Bonds!$H93,6*(58-1)),0),EDATE(Bonds!$H93,6*(58-1))))</f>
        <v/>
      </c>
      <c r="BK93" s="3" t="str">
        <f>IF(59&gt;$C93,"",IF($D93=1,EOMONTH(EDATE(Bonds!$H93,6*(59-1)),0),EDATE(Bonds!$H93,6*(59-1))))</f>
        <v/>
      </c>
      <c r="BL93" s="3" t="str">
        <f>IF(60&gt;$C93,"",IF($D93=1,EOMONTH(EDATE(Bonds!$H93,6*(60-1)),0),EDATE(Bonds!$H93,6*(60-1))))</f>
        <v/>
      </c>
      <c r="BN93" s="7">
        <f t="shared" si="62"/>
        <v>0.62162409366504279</v>
      </c>
      <c r="BO93" s="7">
        <f t="shared" si="63"/>
        <v>0.60918127928973154</v>
      </c>
      <c r="BP93" s="7">
        <f t="shared" si="64"/>
        <v>0.59581385939886755</v>
      </c>
      <c r="BQ93" s="7">
        <f t="shared" si="65"/>
        <v>93.777434784458848</v>
      </c>
      <c r="BR93" s="7">
        <f t="shared" si="66"/>
        <v>0</v>
      </c>
      <c r="BS93" s="7">
        <f t="shared" si="67"/>
        <v>0</v>
      </c>
      <c r="BT93" s="7">
        <f t="shared" si="68"/>
        <v>0</v>
      </c>
      <c r="BU93" s="7">
        <f t="shared" si="69"/>
        <v>0</v>
      </c>
      <c r="BV93" s="7">
        <f t="shared" si="70"/>
        <v>0</v>
      </c>
      <c r="BW93" s="7">
        <f t="shared" si="71"/>
        <v>0</v>
      </c>
      <c r="BX93" s="7">
        <f t="shared" si="72"/>
        <v>0</v>
      </c>
      <c r="BY93" s="7">
        <f t="shared" si="73"/>
        <v>0</v>
      </c>
      <c r="BZ93" s="7">
        <f t="shared" si="74"/>
        <v>0</v>
      </c>
      <c r="CA93" s="7">
        <f t="shared" si="75"/>
        <v>0</v>
      </c>
      <c r="CB93" s="7">
        <f t="shared" si="76"/>
        <v>0</v>
      </c>
      <c r="CC93" s="7">
        <f t="shared" si="77"/>
        <v>0</v>
      </c>
      <c r="CD93" s="7">
        <f t="shared" si="78"/>
        <v>0</v>
      </c>
      <c r="CE93" s="7">
        <f t="shared" si="79"/>
        <v>0</v>
      </c>
      <c r="CF93" s="7">
        <f t="shared" si="80"/>
        <v>0</v>
      </c>
      <c r="CG93" s="7">
        <f t="shared" si="81"/>
        <v>0</v>
      </c>
      <c r="CH93" s="7">
        <f t="shared" si="82"/>
        <v>0</v>
      </c>
      <c r="CI93" s="7">
        <f t="shared" si="83"/>
        <v>0</v>
      </c>
      <c r="CJ93" s="7">
        <f t="shared" si="84"/>
        <v>0</v>
      </c>
      <c r="CK93" s="7">
        <f t="shared" si="85"/>
        <v>0</v>
      </c>
      <c r="CL93" s="7">
        <f t="shared" si="86"/>
        <v>0</v>
      </c>
      <c r="CM93" s="7">
        <f t="shared" si="87"/>
        <v>0</v>
      </c>
      <c r="CN93" s="7">
        <f t="shared" si="88"/>
        <v>0</v>
      </c>
      <c r="CO93" s="7">
        <f t="shared" si="89"/>
        <v>0</v>
      </c>
      <c r="CP93" s="7">
        <f t="shared" si="90"/>
        <v>0</v>
      </c>
      <c r="CQ93" s="7">
        <f t="shared" si="91"/>
        <v>0</v>
      </c>
      <c r="CR93" s="7">
        <f t="shared" si="92"/>
        <v>0</v>
      </c>
      <c r="CS93" s="7">
        <f t="shared" si="93"/>
        <v>0</v>
      </c>
      <c r="CT93" s="7">
        <f t="shared" si="94"/>
        <v>0</v>
      </c>
      <c r="CU93" s="7">
        <f t="shared" si="95"/>
        <v>0</v>
      </c>
      <c r="CV93" s="7">
        <f t="shared" si="96"/>
        <v>0</v>
      </c>
      <c r="CW93" s="7">
        <f t="shared" si="97"/>
        <v>0</v>
      </c>
      <c r="CX93" s="7">
        <f t="shared" si="98"/>
        <v>0</v>
      </c>
      <c r="CY93" s="7">
        <f t="shared" si="99"/>
        <v>0</v>
      </c>
      <c r="CZ93" s="7">
        <f t="shared" si="100"/>
        <v>0</v>
      </c>
      <c r="DA93" s="7">
        <f t="shared" si="101"/>
        <v>0</v>
      </c>
      <c r="DB93" s="7">
        <f t="shared" si="102"/>
        <v>0</v>
      </c>
      <c r="DC93" s="7">
        <f t="shared" si="103"/>
        <v>0</v>
      </c>
      <c r="DD93" s="7">
        <f t="shared" si="104"/>
        <v>0</v>
      </c>
      <c r="DE93" s="7">
        <f t="shared" si="105"/>
        <v>0</v>
      </c>
      <c r="DF93" s="7">
        <f t="shared" si="106"/>
        <v>0</v>
      </c>
      <c r="DG93" s="7">
        <f t="shared" si="107"/>
        <v>0</v>
      </c>
      <c r="DH93" s="7">
        <f t="shared" si="108"/>
        <v>0</v>
      </c>
      <c r="DI93" s="7">
        <f t="shared" si="109"/>
        <v>0</v>
      </c>
      <c r="DJ93" s="7">
        <f t="shared" si="110"/>
        <v>0</v>
      </c>
      <c r="DK93" s="7">
        <f t="shared" si="111"/>
        <v>0</v>
      </c>
      <c r="DL93" s="7">
        <f t="shared" si="112"/>
        <v>0</v>
      </c>
      <c r="DM93" s="7">
        <f t="shared" si="113"/>
        <v>0</v>
      </c>
      <c r="DN93" s="7">
        <f t="shared" si="114"/>
        <v>0</v>
      </c>
      <c r="DO93" s="7">
        <f t="shared" si="115"/>
        <v>0</v>
      </c>
      <c r="DP93" s="7">
        <f t="shared" si="116"/>
        <v>0</v>
      </c>
      <c r="DQ93" s="7">
        <f t="shared" si="117"/>
        <v>0</v>
      </c>
      <c r="DR93" s="7">
        <f t="shared" si="118"/>
        <v>0</v>
      </c>
      <c r="DS93" s="7">
        <f t="shared" si="119"/>
        <v>0</v>
      </c>
      <c r="DT93" s="7">
        <f t="shared" si="120"/>
        <v>0</v>
      </c>
      <c r="DU93" s="7">
        <f t="shared" si="121"/>
        <v>0</v>
      </c>
    </row>
    <row r="94" spans="1:125" x14ac:dyDescent="0.2">
      <c r="A94" s="3">
        <f>Bonds!A94</f>
        <v>46873</v>
      </c>
      <c r="B94" s="4">
        <f>Bonds!B94</f>
        <v>3.5</v>
      </c>
      <c r="C94">
        <f>Bonds!P94</f>
        <v>4</v>
      </c>
      <c r="D94">
        <f t="shared" si="61"/>
        <v>1</v>
      </c>
      <c r="E94" s="3">
        <f>IF(1&gt;$C94,"",IF($D94=1,EOMONTH(EDATE(Bonds!$H94,6*(1-1)),0),EDATE(Bonds!$H94,6*(1-1))))</f>
        <v>46326</v>
      </c>
      <c r="F94" s="3">
        <f>IF(2&gt;$C94,"",IF($D94=1,EOMONTH(EDATE(Bonds!$H94,6*(2-1)),0),EDATE(Bonds!$H94,6*(2-1))))</f>
        <v>46507</v>
      </c>
      <c r="G94" s="3">
        <f>IF(3&gt;$C94,"",IF($D94=1,EOMONTH(EDATE(Bonds!$H94,6*(3-1)),0),EDATE(Bonds!$H94,6*(3-1))))</f>
        <v>46691</v>
      </c>
      <c r="H94" s="3">
        <f>IF(4&gt;$C94,"",IF($D94=1,EOMONTH(EDATE(Bonds!$H94,6*(4-1)),0),EDATE(Bonds!$H94,6*(4-1))))</f>
        <v>46873</v>
      </c>
      <c r="I94" s="3" t="str">
        <f>IF(5&gt;$C94,"",IF($D94=1,EOMONTH(EDATE(Bonds!$H94,6*(5-1)),0),EDATE(Bonds!$H94,6*(5-1))))</f>
        <v/>
      </c>
      <c r="J94" s="3" t="str">
        <f>IF(6&gt;$C94,"",IF($D94=1,EOMONTH(EDATE(Bonds!$H94,6*(6-1)),0),EDATE(Bonds!$H94,6*(6-1))))</f>
        <v/>
      </c>
      <c r="K94" s="3" t="str">
        <f>IF(7&gt;$C94,"",IF($D94=1,EOMONTH(EDATE(Bonds!$H94,6*(7-1)),0),EDATE(Bonds!$H94,6*(7-1))))</f>
        <v/>
      </c>
      <c r="L94" s="3" t="str">
        <f>IF(8&gt;$C94,"",IF($D94=1,EOMONTH(EDATE(Bonds!$H94,6*(8-1)),0),EDATE(Bonds!$H94,6*(8-1))))</f>
        <v/>
      </c>
      <c r="M94" s="3" t="str">
        <f>IF(9&gt;$C94,"",IF($D94=1,EOMONTH(EDATE(Bonds!$H94,6*(9-1)),0),EDATE(Bonds!$H94,6*(9-1))))</f>
        <v/>
      </c>
      <c r="N94" s="3" t="str">
        <f>IF(10&gt;$C94,"",IF($D94=1,EOMONTH(EDATE(Bonds!$H94,6*(10-1)),0),EDATE(Bonds!$H94,6*(10-1))))</f>
        <v/>
      </c>
      <c r="O94" s="3" t="str">
        <f>IF(11&gt;$C94,"",IF($D94=1,EOMONTH(EDATE(Bonds!$H94,6*(11-1)),0),EDATE(Bonds!$H94,6*(11-1))))</f>
        <v/>
      </c>
      <c r="P94" s="3" t="str">
        <f>IF(12&gt;$C94,"",IF($D94=1,EOMONTH(EDATE(Bonds!$H94,6*(12-1)),0),EDATE(Bonds!$H94,6*(12-1))))</f>
        <v/>
      </c>
      <c r="Q94" s="3" t="str">
        <f>IF(13&gt;$C94,"",IF($D94=1,EOMONTH(EDATE(Bonds!$H94,6*(13-1)),0),EDATE(Bonds!$H94,6*(13-1))))</f>
        <v/>
      </c>
      <c r="R94" s="3" t="str">
        <f>IF(14&gt;$C94,"",IF($D94=1,EOMONTH(EDATE(Bonds!$H94,6*(14-1)),0),EDATE(Bonds!$H94,6*(14-1))))</f>
        <v/>
      </c>
      <c r="S94" s="3" t="str">
        <f>IF(15&gt;$C94,"",IF($D94=1,EOMONTH(EDATE(Bonds!$H94,6*(15-1)),0),EDATE(Bonds!$H94,6*(15-1))))</f>
        <v/>
      </c>
      <c r="T94" s="3" t="str">
        <f>IF(16&gt;$C94,"",IF($D94=1,EOMONTH(EDATE(Bonds!$H94,6*(16-1)),0),EDATE(Bonds!$H94,6*(16-1))))</f>
        <v/>
      </c>
      <c r="U94" s="3" t="str">
        <f>IF(17&gt;$C94,"",IF($D94=1,EOMONTH(EDATE(Bonds!$H94,6*(17-1)),0),EDATE(Bonds!$H94,6*(17-1))))</f>
        <v/>
      </c>
      <c r="V94" s="3" t="str">
        <f>IF(18&gt;$C94,"",IF($D94=1,EOMONTH(EDATE(Bonds!$H94,6*(18-1)),0),EDATE(Bonds!$H94,6*(18-1))))</f>
        <v/>
      </c>
      <c r="W94" s="3" t="str">
        <f>IF(19&gt;$C94,"",IF($D94=1,EOMONTH(EDATE(Bonds!$H94,6*(19-1)),0),EDATE(Bonds!$H94,6*(19-1))))</f>
        <v/>
      </c>
      <c r="X94" s="3" t="str">
        <f>IF(20&gt;$C94,"",IF($D94=1,EOMONTH(EDATE(Bonds!$H94,6*(20-1)),0),EDATE(Bonds!$H94,6*(20-1))))</f>
        <v/>
      </c>
      <c r="Y94" s="3" t="str">
        <f>IF(21&gt;$C94,"",IF($D94=1,EOMONTH(EDATE(Bonds!$H94,6*(21-1)),0),EDATE(Bonds!$H94,6*(21-1))))</f>
        <v/>
      </c>
      <c r="Z94" s="3" t="str">
        <f>IF(22&gt;$C94,"",IF($D94=1,EOMONTH(EDATE(Bonds!$H94,6*(22-1)),0),EDATE(Bonds!$H94,6*(22-1))))</f>
        <v/>
      </c>
      <c r="AA94" s="3" t="str">
        <f>IF(23&gt;$C94,"",IF($D94=1,EOMONTH(EDATE(Bonds!$H94,6*(23-1)),0),EDATE(Bonds!$H94,6*(23-1))))</f>
        <v/>
      </c>
      <c r="AB94" s="3" t="str">
        <f>IF(24&gt;$C94,"",IF($D94=1,EOMONTH(EDATE(Bonds!$H94,6*(24-1)),0),EDATE(Bonds!$H94,6*(24-1))))</f>
        <v/>
      </c>
      <c r="AC94" s="3" t="str">
        <f>IF(25&gt;$C94,"",IF($D94=1,EOMONTH(EDATE(Bonds!$H94,6*(25-1)),0),EDATE(Bonds!$H94,6*(25-1))))</f>
        <v/>
      </c>
      <c r="AD94" s="3" t="str">
        <f>IF(26&gt;$C94,"",IF($D94=1,EOMONTH(EDATE(Bonds!$H94,6*(26-1)),0),EDATE(Bonds!$H94,6*(26-1))))</f>
        <v/>
      </c>
      <c r="AE94" s="3" t="str">
        <f>IF(27&gt;$C94,"",IF($D94=1,EOMONTH(EDATE(Bonds!$H94,6*(27-1)),0),EDATE(Bonds!$H94,6*(27-1))))</f>
        <v/>
      </c>
      <c r="AF94" s="3" t="str">
        <f>IF(28&gt;$C94,"",IF($D94=1,EOMONTH(EDATE(Bonds!$H94,6*(28-1)),0),EDATE(Bonds!$H94,6*(28-1))))</f>
        <v/>
      </c>
      <c r="AG94" s="3" t="str">
        <f>IF(29&gt;$C94,"",IF($D94=1,EOMONTH(EDATE(Bonds!$H94,6*(29-1)),0),EDATE(Bonds!$H94,6*(29-1))))</f>
        <v/>
      </c>
      <c r="AH94" s="3" t="str">
        <f>IF(30&gt;$C94,"",IF($D94=1,EOMONTH(EDATE(Bonds!$H94,6*(30-1)),0),EDATE(Bonds!$H94,6*(30-1))))</f>
        <v/>
      </c>
      <c r="AI94" s="3" t="str">
        <f>IF(31&gt;$C94,"",IF($D94=1,EOMONTH(EDATE(Bonds!$H94,6*(31-1)),0),EDATE(Bonds!$H94,6*(31-1))))</f>
        <v/>
      </c>
      <c r="AJ94" s="3" t="str">
        <f>IF(32&gt;$C94,"",IF($D94=1,EOMONTH(EDATE(Bonds!$H94,6*(32-1)),0),EDATE(Bonds!$H94,6*(32-1))))</f>
        <v/>
      </c>
      <c r="AK94" s="3" t="str">
        <f>IF(33&gt;$C94,"",IF($D94=1,EOMONTH(EDATE(Bonds!$H94,6*(33-1)),0),EDATE(Bonds!$H94,6*(33-1))))</f>
        <v/>
      </c>
      <c r="AL94" s="3" t="str">
        <f>IF(34&gt;$C94,"",IF($D94=1,EOMONTH(EDATE(Bonds!$H94,6*(34-1)),0),EDATE(Bonds!$H94,6*(34-1))))</f>
        <v/>
      </c>
      <c r="AM94" s="3" t="str">
        <f>IF(35&gt;$C94,"",IF($D94=1,EOMONTH(EDATE(Bonds!$H94,6*(35-1)),0),EDATE(Bonds!$H94,6*(35-1))))</f>
        <v/>
      </c>
      <c r="AN94" s="3" t="str">
        <f>IF(36&gt;$C94,"",IF($D94=1,EOMONTH(EDATE(Bonds!$H94,6*(36-1)),0),EDATE(Bonds!$H94,6*(36-1))))</f>
        <v/>
      </c>
      <c r="AO94" s="3" t="str">
        <f>IF(37&gt;$C94,"",IF($D94=1,EOMONTH(EDATE(Bonds!$H94,6*(37-1)),0),EDATE(Bonds!$H94,6*(37-1))))</f>
        <v/>
      </c>
      <c r="AP94" s="3" t="str">
        <f>IF(38&gt;$C94,"",IF($D94=1,EOMONTH(EDATE(Bonds!$H94,6*(38-1)),0),EDATE(Bonds!$H94,6*(38-1))))</f>
        <v/>
      </c>
      <c r="AQ94" s="3" t="str">
        <f>IF(39&gt;$C94,"",IF($D94=1,EOMONTH(EDATE(Bonds!$H94,6*(39-1)),0),EDATE(Bonds!$H94,6*(39-1))))</f>
        <v/>
      </c>
      <c r="AR94" s="3" t="str">
        <f>IF(40&gt;$C94,"",IF($D94=1,EOMONTH(EDATE(Bonds!$H94,6*(40-1)),0),EDATE(Bonds!$H94,6*(40-1))))</f>
        <v/>
      </c>
      <c r="AS94" s="3" t="str">
        <f>IF(41&gt;$C94,"",IF($D94=1,EOMONTH(EDATE(Bonds!$H94,6*(41-1)),0),EDATE(Bonds!$H94,6*(41-1))))</f>
        <v/>
      </c>
      <c r="AT94" s="3" t="str">
        <f>IF(42&gt;$C94,"",IF($D94=1,EOMONTH(EDATE(Bonds!$H94,6*(42-1)),0),EDATE(Bonds!$H94,6*(42-1))))</f>
        <v/>
      </c>
      <c r="AU94" s="3" t="str">
        <f>IF(43&gt;$C94,"",IF($D94=1,EOMONTH(EDATE(Bonds!$H94,6*(43-1)),0),EDATE(Bonds!$H94,6*(43-1))))</f>
        <v/>
      </c>
      <c r="AV94" s="3" t="str">
        <f>IF(44&gt;$C94,"",IF($D94=1,EOMONTH(EDATE(Bonds!$H94,6*(44-1)),0),EDATE(Bonds!$H94,6*(44-1))))</f>
        <v/>
      </c>
      <c r="AW94" s="3" t="str">
        <f>IF(45&gt;$C94,"",IF($D94=1,EOMONTH(EDATE(Bonds!$H94,6*(45-1)),0),EDATE(Bonds!$H94,6*(45-1))))</f>
        <v/>
      </c>
      <c r="AX94" s="3" t="str">
        <f>IF(46&gt;$C94,"",IF($D94=1,EOMONTH(EDATE(Bonds!$H94,6*(46-1)),0),EDATE(Bonds!$H94,6*(46-1))))</f>
        <v/>
      </c>
      <c r="AY94" s="3" t="str">
        <f>IF(47&gt;$C94,"",IF($D94=1,EOMONTH(EDATE(Bonds!$H94,6*(47-1)),0),EDATE(Bonds!$H94,6*(47-1))))</f>
        <v/>
      </c>
      <c r="AZ94" s="3" t="str">
        <f>IF(48&gt;$C94,"",IF($D94=1,EOMONTH(EDATE(Bonds!$H94,6*(48-1)),0),EDATE(Bonds!$H94,6*(48-1))))</f>
        <v/>
      </c>
      <c r="BA94" s="3" t="str">
        <f>IF(49&gt;$C94,"",IF($D94=1,EOMONTH(EDATE(Bonds!$H94,6*(49-1)),0),EDATE(Bonds!$H94,6*(49-1))))</f>
        <v/>
      </c>
      <c r="BB94" s="3" t="str">
        <f>IF(50&gt;$C94,"",IF($D94=1,EOMONTH(EDATE(Bonds!$H94,6*(50-1)),0),EDATE(Bonds!$H94,6*(50-1))))</f>
        <v/>
      </c>
      <c r="BC94" s="3" t="str">
        <f>IF(51&gt;$C94,"",IF($D94=1,EOMONTH(EDATE(Bonds!$H94,6*(51-1)),0),EDATE(Bonds!$H94,6*(51-1))))</f>
        <v/>
      </c>
      <c r="BD94" s="3" t="str">
        <f>IF(52&gt;$C94,"",IF($D94=1,EOMONTH(EDATE(Bonds!$H94,6*(52-1)),0),EDATE(Bonds!$H94,6*(52-1))))</f>
        <v/>
      </c>
      <c r="BE94" s="3" t="str">
        <f>IF(53&gt;$C94,"",IF($D94=1,EOMONTH(EDATE(Bonds!$H94,6*(53-1)),0),EDATE(Bonds!$H94,6*(53-1))))</f>
        <v/>
      </c>
      <c r="BF94" s="3" t="str">
        <f>IF(54&gt;$C94,"",IF($D94=1,EOMONTH(EDATE(Bonds!$H94,6*(54-1)),0),EDATE(Bonds!$H94,6*(54-1))))</f>
        <v/>
      </c>
      <c r="BG94" s="3" t="str">
        <f>IF(55&gt;$C94,"",IF($D94=1,EOMONTH(EDATE(Bonds!$H94,6*(55-1)),0),EDATE(Bonds!$H94,6*(55-1))))</f>
        <v/>
      </c>
      <c r="BH94" s="3" t="str">
        <f>IF(56&gt;$C94,"",IF($D94=1,EOMONTH(EDATE(Bonds!$H94,6*(56-1)),0),EDATE(Bonds!$H94,6*(56-1))))</f>
        <v/>
      </c>
      <c r="BI94" s="3" t="str">
        <f>IF(57&gt;$C94,"",IF($D94=1,EOMONTH(EDATE(Bonds!$H94,6*(57-1)),0),EDATE(Bonds!$H94,6*(57-1))))</f>
        <v/>
      </c>
      <c r="BJ94" s="3" t="str">
        <f>IF(58&gt;$C94,"",IF($D94=1,EOMONTH(EDATE(Bonds!$H94,6*(58-1)),0),EDATE(Bonds!$H94,6*(58-1))))</f>
        <v/>
      </c>
      <c r="BK94" s="3" t="str">
        <f>IF(59&gt;$C94,"",IF($D94=1,EOMONTH(EDATE(Bonds!$H94,6*(59-1)),0),EDATE(Bonds!$H94,6*(59-1))))</f>
        <v/>
      </c>
      <c r="BL94" s="3" t="str">
        <f>IF(60&gt;$C94,"",IF($D94=1,EOMONTH(EDATE(Bonds!$H94,6*(60-1)),0),EDATE(Bonds!$H94,6*(60-1))))</f>
        <v/>
      </c>
      <c r="BN94" s="7">
        <f t="shared" si="62"/>
        <v>1.7405474622621198</v>
      </c>
      <c r="BO94" s="7">
        <f t="shared" si="63"/>
        <v>1.7057075820112482</v>
      </c>
      <c r="BP94" s="7">
        <f t="shared" si="64"/>
        <v>1.668278806316829</v>
      </c>
      <c r="BQ94" s="7">
        <f t="shared" si="65"/>
        <v>94.825878154719888</v>
      </c>
      <c r="BR94" s="7">
        <f t="shared" si="66"/>
        <v>0</v>
      </c>
      <c r="BS94" s="7">
        <f t="shared" si="67"/>
        <v>0</v>
      </c>
      <c r="BT94" s="7">
        <f t="shared" si="68"/>
        <v>0</v>
      </c>
      <c r="BU94" s="7">
        <f t="shared" si="69"/>
        <v>0</v>
      </c>
      <c r="BV94" s="7">
        <f t="shared" si="70"/>
        <v>0</v>
      </c>
      <c r="BW94" s="7">
        <f t="shared" si="71"/>
        <v>0</v>
      </c>
      <c r="BX94" s="7">
        <f t="shared" si="72"/>
        <v>0</v>
      </c>
      <c r="BY94" s="7">
        <f t="shared" si="73"/>
        <v>0</v>
      </c>
      <c r="BZ94" s="7">
        <f t="shared" si="74"/>
        <v>0</v>
      </c>
      <c r="CA94" s="7">
        <f t="shared" si="75"/>
        <v>0</v>
      </c>
      <c r="CB94" s="7">
        <f t="shared" si="76"/>
        <v>0</v>
      </c>
      <c r="CC94" s="7">
        <f t="shared" si="77"/>
        <v>0</v>
      </c>
      <c r="CD94" s="7">
        <f t="shared" si="78"/>
        <v>0</v>
      </c>
      <c r="CE94" s="7">
        <f t="shared" si="79"/>
        <v>0</v>
      </c>
      <c r="CF94" s="7">
        <f t="shared" si="80"/>
        <v>0</v>
      </c>
      <c r="CG94" s="7">
        <f t="shared" si="81"/>
        <v>0</v>
      </c>
      <c r="CH94" s="7">
        <f t="shared" si="82"/>
        <v>0</v>
      </c>
      <c r="CI94" s="7">
        <f t="shared" si="83"/>
        <v>0</v>
      </c>
      <c r="CJ94" s="7">
        <f t="shared" si="84"/>
        <v>0</v>
      </c>
      <c r="CK94" s="7">
        <f t="shared" si="85"/>
        <v>0</v>
      </c>
      <c r="CL94" s="7">
        <f t="shared" si="86"/>
        <v>0</v>
      </c>
      <c r="CM94" s="7">
        <f t="shared" si="87"/>
        <v>0</v>
      </c>
      <c r="CN94" s="7">
        <f t="shared" si="88"/>
        <v>0</v>
      </c>
      <c r="CO94" s="7">
        <f t="shared" si="89"/>
        <v>0</v>
      </c>
      <c r="CP94" s="7">
        <f t="shared" si="90"/>
        <v>0</v>
      </c>
      <c r="CQ94" s="7">
        <f t="shared" si="91"/>
        <v>0</v>
      </c>
      <c r="CR94" s="7">
        <f t="shared" si="92"/>
        <v>0</v>
      </c>
      <c r="CS94" s="7">
        <f t="shared" si="93"/>
        <v>0</v>
      </c>
      <c r="CT94" s="7">
        <f t="shared" si="94"/>
        <v>0</v>
      </c>
      <c r="CU94" s="7">
        <f t="shared" si="95"/>
        <v>0</v>
      </c>
      <c r="CV94" s="7">
        <f t="shared" si="96"/>
        <v>0</v>
      </c>
      <c r="CW94" s="7">
        <f t="shared" si="97"/>
        <v>0</v>
      </c>
      <c r="CX94" s="7">
        <f t="shared" si="98"/>
        <v>0</v>
      </c>
      <c r="CY94" s="7">
        <f t="shared" si="99"/>
        <v>0</v>
      </c>
      <c r="CZ94" s="7">
        <f t="shared" si="100"/>
        <v>0</v>
      </c>
      <c r="DA94" s="7">
        <f t="shared" si="101"/>
        <v>0</v>
      </c>
      <c r="DB94" s="7">
        <f t="shared" si="102"/>
        <v>0</v>
      </c>
      <c r="DC94" s="7">
        <f t="shared" si="103"/>
        <v>0</v>
      </c>
      <c r="DD94" s="7">
        <f t="shared" si="104"/>
        <v>0</v>
      </c>
      <c r="DE94" s="7">
        <f t="shared" si="105"/>
        <v>0</v>
      </c>
      <c r="DF94" s="7">
        <f t="shared" si="106"/>
        <v>0</v>
      </c>
      <c r="DG94" s="7">
        <f t="shared" si="107"/>
        <v>0</v>
      </c>
      <c r="DH94" s="7">
        <f t="shared" si="108"/>
        <v>0</v>
      </c>
      <c r="DI94" s="7">
        <f t="shared" si="109"/>
        <v>0</v>
      </c>
      <c r="DJ94" s="7">
        <f t="shared" si="110"/>
        <v>0</v>
      </c>
      <c r="DK94" s="7">
        <f t="shared" si="111"/>
        <v>0</v>
      </c>
      <c r="DL94" s="7">
        <f t="shared" si="112"/>
        <v>0</v>
      </c>
      <c r="DM94" s="7">
        <f t="shared" si="113"/>
        <v>0</v>
      </c>
      <c r="DN94" s="7">
        <f t="shared" si="114"/>
        <v>0</v>
      </c>
      <c r="DO94" s="7">
        <f t="shared" si="115"/>
        <v>0</v>
      </c>
      <c r="DP94" s="7">
        <f t="shared" si="116"/>
        <v>0</v>
      </c>
      <c r="DQ94" s="7">
        <f t="shared" si="117"/>
        <v>0</v>
      </c>
      <c r="DR94" s="7">
        <f t="shared" si="118"/>
        <v>0</v>
      </c>
      <c r="DS94" s="7">
        <f t="shared" si="119"/>
        <v>0</v>
      </c>
      <c r="DT94" s="7">
        <f t="shared" si="120"/>
        <v>0</v>
      </c>
      <c r="DU94" s="7">
        <f t="shared" si="121"/>
        <v>0</v>
      </c>
    </row>
    <row r="95" spans="1:125" x14ac:dyDescent="0.2">
      <c r="A95" s="3">
        <f>Bonds!A95</f>
        <v>46873</v>
      </c>
      <c r="B95" s="4">
        <f>Bonds!B95</f>
        <v>3.75</v>
      </c>
      <c r="C95">
        <f>Bonds!P95</f>
        <v>4</v>
      </c>
      <c r="D95">
        <f t="shared" si="61"/>
        <v>1</v>
      </c>
      <c r="E95" s="3">
        <f>IF(1&gt;$C95,"",IF($D95=1,EOMONTH(EDATE(Bonds!$H95,6*(1-1)),0),EDATE(Bonds!$H95,6*(1-1))))</f>
        <v>46326</v>
      </c>
      <c r="F95" s="3">
        <f>IF(2&gt;$C95,"",IF($D95=1,EOMONTH(EDATE(Bonds!$H95,6*(2-1)),0),EDATE(Bonds!$H95,6*(2-1))))</f>
        <v>46507</v>
      </c>
      <c r="G95" s="3">
        <f>IF(3&gt;$C95,"",IF($D95=1,EOMONTH(EDATE(Bonds!$H95,6*(3-1)),0),EDATE(Bonds!$H95,6*(3-1))))</f>
        <v>46691</v>
      </c>
      <c r="H95" s="3">
        <f>IF(4&gt;$C95,"",IF($D95=1,EOMONTH(EDATE(Bonds!$H95,6*(4-1)),0),EDATE(Bonds!$H95,6*(4-1))))</f>
        <v>46873</v>
      </c>
      <c r="I95" s="3" t="str">
        <f>IF(5&gt;$C95,"",IF($D95=1,EOMONTH(EDATE(Bonds!$H95,6*(5-1)),0),EDATE(Bonds!$H95,6*(5-1))))</f>
        <v/>
      </c>
      <c r="J95" s="3" t="str">
        <f>IF(6&gt;$C95,"",IF($D95=1,EOMONTH(EDATE(Bonds!$H95,6*(6-1)),0),EDATE(Bonds!$H95,6*(6-1))))</f>
        <v/>
      </c>
      <c r="K95" s="3" t="str">
        <f>IF(7&gt;$C95,"",IF($D95=1,EOMONTH(EDATE(Bonds!$H95,6*(7-1)),0),EDATE(Bonds!$H95,6*(7-1))))</f>
        <v/>
      </c>
      <c r="L95" s="3" t="str">
        <f>IF(8&gt;$C95,"",IF($D95=1,EOMONTH(EDATE(Bonds!$H95,6*(8-1)),0),EDATE(Bonds!$H95,6*(8-1))))</f>
        <v/>
      </c>
      <c r="M95" s="3" t="str">
        <f>IF(9&gt;$C95,"",IF($D95=1,EOMONTH(EDATE(Bonds!$H95,6*(9-1)),0),EDATE(Bonds!$H95,6*(9-1))))</f>
        <v/>
      </c>
      <c r="N95" s="3" t="str">
        <f>IF(10&gt;$C95,"",IF($D95=1,EOMONTH(EDATE(Bonds!$H95,6*(10-1)),0),EDATE(Bonds!$H95,6*(10-1))))</f>
        <v/>
      </c>
      <c r="O95" s="3" t="str">
        <f>IF(11&gt;$C95,"",IF($D95=1,EOMONTH(EDATE(Bonds!$H95,6*(11-1)),0),EDATE(Bonds!$H95,6*(11-1))))</f>
        <v/>
      </c>
      <c r="P95" s="3" t="str">
        <f>IF(12&gt;$C95,"",IF($D95=1,EOMONTH(EDATE(Bonds!$H95,6*(12-1)),0),EDATE(Bonds!$H95,6*(12-1))))</f>
        <v/>
      </c>
      <c r="Q95" s="3" t="str">
        <f>IF(13&gt;$C95,"",IF($D95=1,EOMONTH(EDATE(Bonds!$H95,6*(13-1)),0),EDATE(Bonds!$H95,6*(13-1))))</f>
        <v/>
      </c>
      <c r="R95" s="3" t="str">
        <f>IF(14&gt;$C95,"",IF($D95=1,EOMONTH(EDATE(Bonds!$H95,6*(14-1)),0),EDATE(Bonds!$H95,6*(14-1))))</f>
        <v/>
      </c>
      <c r="S95" s="3" t="str">
        <f>IF(15&gt;$C95,"",IF($D95=1,EOMONTH(EDATE(Bonds!$H95,6*(15-1)),0),EDATE(Bonds!$H95,6*(15-1))))</f>
        <v/>
      </c>
      <c r="T95" s="3" t="str">
        <f>IF(16&gt;$C95,"",IF($D95=1,EOMONTH(EDATE(Bonds!$H95,6*(16-1)),0),EDATE(Bonds!$H95,6*(16-1))))</f>
        <v/>
      </c>
      <c r="U95" s="3" t="str">
        <f>IF(17&gt;$C95,"",IF($D95=1,EOMONTH(EDATE(Bonds!$H95,6*(17-1)),0),EDATE(Bonds!$H95,6*(17-1))))</f>
        <v/>
      </c>
      <c r="V95" s="3" t="str">
        <f>IF(18&gt;$C95,"",IF($D95=1,EOMONTH(EDATE(Bonds!$H95,6*(18-1)),0),EDATE(Bonds!$H95,6*(18-1))))</f>
        <v/>
      </c>
      <c r="W95" s="3" t="str">
        <f>IF(19&gt;$C95,"",IF($D95=1,EOMONTH(EDATE(Bonds!$H95,6*(19-1)),0),EDATE(Bonds!$H95,6*(19-1))))</f>
        <v/>
      </c>
      <c r="X95" s="3" t="str">
        <f>IF(20&gt;$C95,"",IF($D95=1,EOMONTH(EDATE(Bonds!$H95,6*(20-1)),0),EDATE(Bonds!$H95,6*(20-1))))</f>
        <v/>
      </c>
      <c r="Y95" s="3" t="str">
        <f>IF(21&gt;$C95,"",IF($D95=1,EOMONTH(EDATE(Bonds!$H95,6*(21-1)),0),EDATE(Bonds!$H95,6*(21-1))))</f>
        <v/>
      </c>
      <c r="Z95" s="3" t="str">
        <f>IF(22&gt;$C95,"",IF($D95=1,EOMONTH(EDATE(Bonds!$H95,6*(22-1)),0),EDATE(Bonds!$H95,6*(22-1))))</f>
        <v/>
      </c>
      <c r="AA95" s="3" t="str">
        <f>IF(23&gt;$C95,"",IF($D95=1,EOMONTH(EDATE(Bonds!$H95,6*(23-1)),0),EDATE(Bonds!$H95,6*(23-1))))</f>
        <v/>
      </c>
      <c r="AB95" s="3" t="str">
        <f>IF(24&gt;$C95,"",IF($D95=1,EOMONTH(EDATE(Bonds!$H95,6*(24-1)),0),EDATE(Bonds!$H95,6*(24-1))))</f>
        <v/>
      </c>
      <c r="AC95" s="3" t="str">
        <f>IF(25&gt;$C95,"",IF($D95=1,EOMONTH(EDATE(Bonds!$H95,6*(25-1)),0),EDATE(Bonds!$H95,6*(25-1))))</f>
        <v/>
      </c>
      <c r="AD95" s="3" t="str">
        <f>IF(26&gt;$C95,"",IF($D95=1,EOMONTH(EDATE(Bonds!$H95,6*(26-1)),0),EDATE(Bonds!$H95,6*(26-1))))</f>
        <v/>
      </c>
      <c r="AE95" s="3" t="str">
        <f>IF(27&gt;$C95,"",IF($D95=1,EOMONTH(EDATE(Bonds!$H95,6*(27-1)),0),EDATE(Bonds!$H95,6*(27-1))))</f>
        <v/>
      </c>
      <c r="AF95" s="3" t="str">
        <f>IF(28&gt;$C95,"",IF($D95=1,EOMONTH(EDATE(Bonds!$H95,6*(28-1)),0),EDATE(Bonds!$H95,6*(28-1))))</f>
        <v/>
      </c>
      <c r="AG95" s="3" t="str">
        <f>IF(29&gt;$C95,"",IF($D95=1,EOMONTH(EDATE(Bonds!$H95,6*(29-1)),0),EDATE(Bonds!$H95,6*(29-1))))</f>
        <v/>
      </c>
      <c r="AH95" s="3" t="str">
        <f>IF(30&gt;$C95,"",IF($D95=1,EOMONTH(EDATE(Bonds!$H95,6*(30-1)),0),EDATE(Bonds!$H95,6*(30-1))))</f>
        <v/>
      </c>
      <c r="AI95" s="3" t="str">
        <f>IF(31&gt;$C95,"",IF($D95=1,EOMONTH(EDATE(Bonds!$H95,6*(31-1)),0),EDATE(Bonds!$H95,6*(31-1))))</f>
        <v/>
      </c>
      <c r="AJ95" s="3" t="str">
        <f>IF(32&gt;$C95,"",IF($D95=1,EOMONTH(EDATE(Bonds!$H95,6*(32-1)),0),EDATE(Bonds!$H95,6*(32-1))))</f>
        <v/>
      </c>
      <c r="AK95" s="3" t="str">
        <f>IF(33&gt;$C95,"",IF($D95=1,EOMONTH(EDATE(Bonds!$H95,6*(33-1)),0),EDATE(Bonds!$H95,6*(33-1))))</f>
        <v/>
      </c>
      <c r="AL95" s="3" t="str">
        <f>IF(34&gt;$C95,"",IF($D95=1,EOMONTH(EDATE(Bonds!$H95,6*(34-1)),0),EDATE(Bonds!$H95,6*(34-1))))</f>
        <v/>
      </c>
      <c r="AM95" s="3" t="str">
        <f>IF(35&gt;$C95,"",IF($D95=1,EOMONTH(EDATE(Bonds!$H95,6*(35-1)),0),EDATE(Bonds!$H95,6*(35-1))))</f>
        <v/>
      </c>
      <c r="AN95" s="3" t="str">
        <f>IF(36&gt;$C95,"",IF($D95=1,EOMONTH(EDATE(Bonds!$H95,6*(36-1)),0),EDATE(Bonds!$H95,6*(36-1))))</f>
        <v/>
      </c>
      <c r="AO95" s="3" t="str">
        <f>IF(37&gt;$C95,"",IF($D95=1,EOMONTH(EDATE(Bonds!$H95,6*(37-1)),0),EDATE(Bonds!$H95,6*(37-1))))</f>
        <v/>
      </c>
      <c r="AP95" s="3" t="str">
        <f>IF(38&gt;$C95,"",IF($D95=1,EOMONTH(EDATE(Bonds!$H95,6*(38-1)),0),EDATE(Bonds!$H95,6*(38-1))))</f>
        <v/>
      </c>
      <c r="AQ95" s="3" t="str">
        <f>IF(39&gt;$C95,"",IF($D95=1,EOMONTH(EDATE(Bonds!$H95,6*(39-1)),0),EDATE(Bonds!$H95,6*(39-1))))</f>
        <v/>
      </c>
      <c r="AR95" s="3" t="str">
        <f>IF(40&gt;$C95,"",IF($D95=1,EOMONTH(EDATE(Bonds!$H95,6*(40-1)),0),EDATE(Bonds!$H95,6*(40-1))))</f>
        <v/>
      </c>
      <c r="AS95" s="3" t="str">
        <f>IF(41&gt;$C95,"",IF($D95=1,EOMONTH(EDATE(Bonds!$H95,6*(41-1)),0),EDATE(Bonds!$H95,6*(41-1))))</f>
        <v/>
      </c>
      <c r="AT95" s="3" t="str">
        <f>IF(42&gt;$C95,"",IF($D95=1,EOMONTH(EDATE(Bonds!$H95,6*(42-1)),0),EDATE(Bonds!$H95,6*(42-1))))</f>
        <v/>
      </c>
      <c r="AU95" s="3" t="str">
        <f>IF(43&gt;$C95,"",IF($D95=1,EOMONTH(EDATE(Bonds!$H95,6*(43-1)),0),EDATE(Bonds!$H95,6*(43-1))))</f>
        <v/>
      </c>
      <c r="AV95" s="3" t="str">
        <f>IF(44&gt;$C95,"",IF($D95=1,EOMONTH(EDATE(Bonds!$H95,6*(44-1)),0),EDATE(Bonds!$H95,6*(44-1))))</f>
        <v/>
      </c>
      <c r="AW95" s="3" t="str">
        <f>IF(45&gt;$C95,"",IF($D95=1,EOMONTH(EDATE(Bonds!$H95,6*(45-1)),0),EDATE(Bonds!$H95,6*(45-1))))</f>
        <v/>
      </c>
      <c r="AX95" s="3" t="str">
        <f>IF(46&gt;$C95,"",IF($D95=1,EOMONTH(EDATE(Bonds!$H95,6*(46-1)),0),EDATE(Bonds!$H95,6*(46-1))))</f>
        <v/>
      </c>
      <c r="AY95" s="3" t="str">
        <f>IF(47&gt;$C95,"",IF($D95=1,EOMONTH(EDATE(Bonds!$H95,6*(47-1)),0),EDATE(Bonds!$H95,6*(47-1))))</f>
        <v/>
      </c>
      <c r="AZ95" s="3" t="str">
        <f>IF(48&gt;$C95,"",IF($D95=1,EOMONTH(EDATE(Bonds!$H95,6*(48-1)),0),EDATE(Bonds!$H95,6*(48-1))))</f>
        <v/>
      </c>
      <c r="BA95" s="3" t="str">
        <f>IF(49&gt;$C95,"",IF($D95=1,EOMONTH(EDATE(Bonds!$H95,6*(49-1)),0),EDATE(Bonds!$H95,6*(49-1))))</f>
        <v/>
      </c>
      <c r="BB95" s="3" t="str">
        <f>IF(50&gt;$C95,"",IF($D95=1,EOMONTH(EDATE(Bonds!$H95,6*(50-1)),0),EDATE(Bonds!$H95,6*(50-1))))</f>
        <v/>
      </c>
      <c r="BC95" s="3" t="str">
        <f>IF(51&gt;$C95,"",IF($D95=1,EOMONTH(EDATE(Bonds!$H95,6*(51-1)),0),EDATE(Bonds!$H95,6*(51-1))))</f>
        <v/>
      </c>
      <c r="BD95" s="3" t="str">
        <f>IF(52&gt;$C95,"",IF($D95=1,EOMONTH(EDATE(Bonds!$H95,6*(52-1)),0),EDATE(Bonds!$H95,6*(52-1))))</f>
        <v/>
      </c>
      <c r="BE95" s="3" t="str">
        <f>IF(53&gt;$C95,"",IF($D95=1,EOMONTH(EDATE(Bonds!$H95,6*(53-1)),0),EDATE(Bonds!$H95,6*(53-1))))</f>
        <v/>
      </c>
      <c r="BF95" s="3" t="str">
        <f>IF(54&gt;$C95,"",IF($D95=1,EOMONTH(EDATE(Bonds!$H95,6*(54-1)),0),EDATE(Bonds!$H95,6*(54-1))))</f>
        <v/>
      </c>
      <c r="BG95" s="3" t="str">
        <f>IF(55&gt;$C95,"",IF($D95=1,EOMONTH(EDATE(Bonds!$H95,6*(55-1)),0),EDATE(Bonds!$H95,6*(55-1))))</f>
        <v/>
      </c>
      <c r="BH95" s="3" t="str">
        <f>IF(56&gt;$C95,"",IF($D95=1,EOMONTH(EDATE(Bonds!$H95,6*(56-1)),0),EDATE(Bonds!$H95,6*(56-1))))</f>
        <v/>
      </c>
      <c r="BI95" s="3" t="str">
        <f>IF(57&gt;$C95,"",IF($D95=1,EOMONTH(EDATE(Bonds!$H95,6*(57-1)),0),EDATE(Bonds!$H95,6*(57-1))))</f>
        <v/>
      </c>
      <c r="BJ95" s="3" t="str">
        <f>IF(58&gt;$C95,"",IF($D95=1,EOMONTH(EDATE(Bonds!$H95,6*(58-1)),0),EDATE(Bonds!$H95,6*(58-1))))</f>
        <v/>
      </c>
      <c r="BK95" s="3" t="str">
        <f>IF(59&gt;$C95,"",IF($D95=1,EOMONTH(EDATE(Bonds!$H95,6*(59-1)),0),EDATE(Bonds!$H95,6*(59-1))))</f>
        <v/>
      </c>
      <c r="BL95" s="3" t="str">
        <f>IF(60&gt;$C95,"",IF($D95=1,EOMONTH(EDATE(Bonds!$H95,6*(60-1)),0),EDATE(Bonds!$H95,6*(60-1))))</f>
        <v/>
      </c>
      <c r="BN95" s="7">
        <f t="shared" si="62"/>
        <v>1.8648722809951284</v>
      </c>
      <c r="BO95" s="7">
        <f t="shared" si="63"/>
        <v>1.8275438378691946</v>
      </c>
      <c r="BP95" s="7">
        <f t="shared" si="64"/>
        <v>1.7874415781966027</v>
      </c>
      <c r="BQ95" s="7">
        <f t="shared" si="65"/>
        <v>94.94237186252667</v>
      </c>
      <c r="BR95" s="7">
        <f t="shared" si="66"/>
        <v>0</v>
      </c>
      <c r="BS95" s="7">
        <f t="shared" si="67"/>
        <v>0</v>
      </c>
      <c r="BT95" s="7">
        <f t="shared" si="68"/>
        <v>0</v>
      </c>
      <c r="BU95" s="7">
        <f t="shared" si="69"/>
        <v>0</v>
      </c>
      <c r="BV95" s="7">
        <f t="shared" si="70"/>
        <v>0</v>
      </c>
      <c r="BW95" s="7">
        <f t="shared" si="71"/>
        <v>0</v>
      </c>
      <c r="BX95" s="7">
        <f t="shared" si="72"/>
        <v>0</v>
      </c>
      <c r="BY95" s="7">
        <f t="shared" si="73"/>
        <v>0</v>
      </c>
      <c r="BZ95" s="7">
        <f t="shared" si="74"/>
        <v>0</v>
      </c>
      <c r="CA95" s="7">
        <f t="shared" si="75"/>
        <v>0</v>
      </c>
      <c r="CB95" s="7">
        <f t="shared" si="76"/>
        <v>0</v>
      </c>
      <c r="CC95" s="7">
        <f t="shared" si="77"/>
        <v>0</v>
      </c>
      <c r="CD95" s="7">
        <f t="shared" si="78"/>
        <v>0</v>
      </c>
      <c r="CE95" s="7">
        <f t="shared" si="79"/>
        <v>0</v>
      </c>
      <c r="CF95" s="7">
        <f t="shared" si="80"/>
        <v>0</v>
      </c>
      <c r="CG95" s="7">
        <f t="shared" si="81"/>
        <v>0</v>
      </c>
      <c r="CH95" s="7">
        <f t="shared" si="82"/>
        <v>0</v>
      </c>
      <c r="CI95" s="7">
        <f t="shared" si="83"/>
        <v>0</v>
      </c>
      <c r="CJ95" s="7">
        <f t="shared" si="84"/>
        <v>0</v>
      </c>
      <c r="CK95" s="7">
        <f t="shared" si="85"/>
        <v>0</v>
      </c>
      <c r="CL95" s="7">
        <f t="shared" si="86"/>
        <v>0</v>
      </c>
      <c r="CM95" s="7">
        <f t="shared" si="87"/>
        <v>0</v>
      </c>
      <c r="CN95" s="7">
        <f t="shared" si="88"/>
        <v>0</v>
      </c>
      <c r="CO95" s="7">
        <f t="shared" si="89"/>
        <v>0</v>
      </c>
      <c r="CP95" s="7">
        <f t="shared" si="90"/>
        <v>0</v>
      </c>
      <c r="CQ95" s="7">
        <f t="shared" si="91"/>
        <v>0</v>
      </c>
      <c r="CR95" s="7">
        <f t="shared" si="92"/>
        <v>0</v>
      </c>
      <c r="CS95" s="7">
        <f t="shared" si="93"/>
        <v>0</v>
      </c>
      <c r="CT95" s="7">
        <f t="shared" si="94"/>
        <v>0</v>
      </c>
      <c r="CU95" s="7">
        <f t="shared" si="95"/>
        <v>0</v>
      </c>
      <c r="CV95" s="7">
        <f t="shared" si="96"/>
        <v>0</v>
      </c>
      <c r="CW95" s="7">
        <f t="shared" si="97"/>
        <v>0</v>
      </c>
      <c r="CX95" s="7">
        <f t="shared" si="98"/>
        <v>0</v>
      </c>
      <c r="CY95" s="7">
        <f t="shared" si="99"/>
        <v>0</v>
      </c>
      <c r="CZ95" s="7">
        <f t="shared" si="100"/>
        <v>0</v>
      </c>
      <c r="DA95" s="7">
        <f t="shared" si="101"/>
        <v>0</v>
      </c>
      <c r="DB95" s="7">
        <f t="shared" si="102"/>
        <v>0</v>
      </c>
      <c r="DC95" s="7">
        <f t="shared" si="103"/>
        <v>0</v>
      </c>
      <c r="DD95" s="7">
        <f t="shared" si="104"/>
        <v>0</v>
      </c>
      <c r="DE95" s="7">
        <f t="shared" si="105"/>
        <v>0</v>
      </c>
      <c r="DF95" s="7">
        <f t="shared" si="106"/>
        <v>0</v>
      </c>
      <c r="DG95" s="7">
        <f t="shared" si="107"/>
        <v>0</v>
      </c>
      <c r="DH95" s="7">
        <f t="shared" si="108"/>
        <v>0</v>
      </c>
      <c r="DI95" s="7">
        <f t="shared" si="109"/>
        <v>0</v>
      </c>
      <c r="DJ95" s="7">
        <f t="shared" si="110"/>
        <v>0</v>
      </c>
      <c r="DK95" s="7">
        <f t="shared" si="111"/>
        <v>0</v>
      </c>
      <c r="DL95" s="7">
        <f t="shared" si="112"/>
        <v>0</v>
      </c>
      <c r="DM95" s="7">
        <f t="shared" si="113"/>
        <v>0</v>
      </c>
      <c r="DN95" s="7">
        <f t="shared" si="114"/>
        <v>0</v>
      </c>
      <c r="DO95" s="7">
        <f t="shared" si="115"/>
        <v>0</v>
      </c>
      <c r="DP95" s="7">
        <f t="shared" si="116"/>
        <v>0</v>
      </c>
      <c r="DQ95" s="7">
        <f t="shared" si="117"/>
        <v>0</v>
      </c>
      <c r="DR95" s="7">
        <f t="shared" si="118"/>
        <v>0</v>
      </c>
      <c r="DS95" s="7">
        <f t="shared" si="119"/>
        <v>0</v>
      </c>
      <c r="DT95" s="7">
        <f t="shared" si="120"/>
        <v>0</v>
      </c>
      <c r="DU95" s="7">
        <f t="shared" si="121"/>
        <v>0</v>
      </c>
    </row>
    <row r="96" spans="1:125" x14ac:dyDescent="0.2">
      <c r="A96" s="3">
        <f>Bonds!A96</f>
        <v>46888</v>
      </c>
      <c r="B96" s="4">
        <f>Bonds!B96</f>
        <v>2.875</v>
      </c>
      <c r="C96">
        <f>Bonds!P96</f>
        <v>4</v>
      </c>
      <c r="D96">
        <f t="shared" si="61"/>
        <v>0</v>
      </c>
      <c r="E96" s="3">
        <f>IF(1&gt;$C96,"",IF($D96=1,EOMONTH(EDATE(Bonds!$H96,6*(1-1)),0),EDATE(Bonds!$H96,6*(1-1))))</f>
        <v>46341</v>
      </c>
      <c r="F96" s="3">
        <f>IF(2&gt;$C96,"",IF($D96=1,EOMONTH(EDATE(Bonds!$H96,6*(2-1)),0),EDATE(Bonds!$H96,6*(2-1))))</f>
        <v>46522</v>
      </c>
      <c r="G96" s="3">
        <f>IF(3&gt;$C96,"",IF($D96=1,EOMONTH(EDATE(Bonds!$H96,6*(3-1)),0),EDATE(Bonds!$H96,6*(3-1))))</f>
        <v>46706</v>
      </c>
      <c r="H96" s="3">
        <f>IF(4&gt;$C96,"",IF($D96=1,EOMONTH(EDATE(Bonds!$H96,6*(4-1)),0),EDATE(Bonds!$H96,6*(4-1))))</f>
        <v>46888</v>
      </c>
      <c r="I96" s="3" t="str">
        <f>IF(5&gt;$C96,"",IF($D96=1,EOMONTH(EDATE(Bonds!$H96,6*(5-1)),0),EDATE(Bonds!$H96,6*(5-1))))</f>
        <v/>
      </c>
      <c r="J96" s="3" t="str">
        <f>IF(6&gt;$C96,"",IF($D96=1,EOMONTH(EDATE(Bonds!$H96,6*(6-1)),0),EDATE(Bonds!$H96,6*(6-1))))</f>
        <v/>
      </c>
      <c r="K96" s="3" t="str">
        <f>IF(7&gt;$C96,"",IF($D96=1,EOMONTH(EDATE(Bonds!$H96,6*(7-1)),0),EDATE(Bonds!$H96,6*(7-1))))</f>
        <v/>
      </c>
      <c r="L96" s="3" t="str">
        <f>IF(8&gt;$C96,"",IF($D96=1,EOMONTH(EDATE(Bonds!$H96,6*(8-1)),0),EDATE(Bonds!$H96,6*(8-1))))</f>
        <v/>
      </c>
      <c r="M96" s="3" t="str">
        <f>IF(9&gt;$C96,"",IF($D96=1,EOMONTH(EDATE(Bonds!$H96,6*(9-1)),0),EDATE(Bonds!$H96,6*(9-1))))</f>
        <v/>
      </c>
      <c r="N96" s="3" t="str">
        <f>IF(10&gt;$C96,"",IF($D96=1,EOMONTH(EDATE(Bonds!$H96,6*(10-1)),0),EDATE(Bonds!$H96,6*(10-1))))</f>
        <v/>
      </c>
      <c r="O96" s="3" t="str">
        <f>IF(11&gt;$C96,"",IF($D96=1,EOMONTH(EDATE(Bonds!$H96,6*(11-1)),0),EDATE(Bonds!$H96,6*(11-1))))</f>
        <v/>
      </c>
      <c r="P96" s="3" t="str">
        <f>IF(12&gt;$C96,"",IF($D96=1,EOMONTH(EDATE(Bonds!$H96,6*(12-1)),0),EDATE(Bonds!$H96,6*(12-1))))</f>
        <v/>
      </c>
      <c r="Q96" s="3" t="str">
        <f>IF(13&gt;$C96,"",IF($D96=1,EOMONTH(EDATE(Bonds!$H96,6*(13-1)),0),EDATE(Bonds!$H96,6*(13-1))))</f>
        <v/>
      </c>
      <c r="R96" s="3" t="str">
        <f>IF(14&gt;$C96,"",IF($D96=1,EOMONTH(EDATE(Bonds!$H96,6*(14-1)),0),EDATE(Bonds!$H96,6*(14-1))))</f>
        <v/>
      </c>
      <c r="S96" s="3" t="str">
        <f>IF(15&gt;$C96,"",IF($D96=1,EOMONTH(EDATE(Bonds!$H96,6*(15-1)),0),EDATE(Bonds!$H96,6*(15-1))))</f>
        <v/>
      </c>
      <c r="T96" s="3" t="str">
        <f>IF(16&gt;$C96,"",IF($D96=1,EOMONTH(EDATE(Bonds!$H96,6*(16-1)),0),EDATE(Bonds!$H96,6*(16-1))))</f>
        <v/>
      </c>
      <c r="U96" s="3" t="str">
        <f>IF(17&gt;$C96,"",IF($D96=1,EOMONTH(EDATE(Bonds!$H96,6*(17-1)),0),EDATE(Bonds!$H96,6*(17-1))))</f>
        <v/>
      </c>
      <c r="V96" s="3" t="str">
        <f>IF(18&gt;$C96,"",IF($D96=1,EOMONTH(EDATE(Bonds!$H96,6*(18-1)),0),EDATE(Bonds!$H96,6*(18-1))))</f>
        <v/>
      </c>
      <c r="W96" s="3" t="str">
        <f>IF(19&gt;$C96,"",IF($D96=1,EOMONTH(EDATE(Bonds!$H96,6*(19-1)),0),EDATE(Bonds!$H96,6*(19-1))))</f>
        <v/>
      </c>
      <c r="X96" s="3" t="str">
        <f>IF(20&gt;$C96,"",IF($D96=1,EOMONTH(EDATE(Bonds!$H96,6*(20-1)),0),EDATE(Bonds!$H96,6*(20-1))))</f>
        <v/>
      </c>
      <c r="Y96" s="3" t="str">
        <f>IF(21&gt;$C96,"",IF($D96=1,EOMONTH(EDATE(Bonds!$H96,6*(21-1)),0),EDATE(Bonds!$H96,6*(21-1))))</f>
        <v/>
      </c>
      <c r="Z96" s="3" t="str">
        <f>IF(22&gt;$C96,"",IF($D96=1,EOMONTH(EDATE(Bonds!$H96,6*(22-1)),0),EDATE(Bonds!$H96,6*(22-1))))</f>
        <v/>
      </c>
      <c r="AA96" s="3" t="str">
        <f>IF(23&gt;$C96,"",IF($D96=1,EOMONTH(EDATE(Bonds!$H96,6*(23-1)),0),EDATE(Bonds!$H96,6*(23-1))))</f>
        <v/>
      </c>
      <c r="AB96" s="3" t="str">
        <f>IF(24&gt;$C96,"",IF($D96=1,EOMONTH(EDATE(Bonds!$H96,6*(24-1)),0),EDATE(Bonds!$H96,6*(24-1))))</f>
        <v/>
      </c>
      <c r="AC96" s="3" t="str">
        <f>IF(25&gt;$C96,"",IF($D96=1,EOMONTH(EDATE(Bonds!$H96,6*(25-1)),0),EDATE(Bonds!$H96,6*(25-1))))</f>
        <v/>
      </c>
      <c r="AD96" s="3" t="str">
        <f>IF(26&gt;$C96,"",IF($D96=1,EOMONTH(EDATE(Bonds!$H96,6*(26-1)),0),EDATE(Bonds!$H96,6*(26-1))))</f>
        <v/>
      </c>
      <c r="AE96" s="3" t="str">
        <f>IF(27&gt;$C96,"",IF($D96=1,EOMONTH(EDATE(Bonds!$H96,6*(27-1)),0),EDATE(Bonds!$H96,6*(27-1))))</f>
        <v/>
      </c>
      <c r="AF96" s="3" t="str">
        <f>IF(28&gt;$C96,"",IF($D96=1,EOMONTH(EDATE(Bonds!$H96,6*(28-1)),0),EDATE(Bonds!$H96,6*(28-1))))</f>
        <v/>
      </c>
      <c r="AG96" s="3" t="str">
        <f>IF(29&gt;$C96,"",IF($D96=1,EOMONTH(EDATE(Bonds!$H96,6*(29-1)),0),EDATE(Bonds!$H96,6*(29-1))))</f>
        <v/>
      </c>
      <c r="AH96" s="3" t="str">
        <f>IF(30&gt;$C96,"",IF($D96=1,EOMONTH(EDATE(Bonds!$H96,6*(30-1)),0),EDATE(Bonds!$H96,6*(30-1))))</f>
        <v/>
      </c>
      <c r="AI96" s="3" t="str">
        <f>IF(31&gt;$C96,"",IF($D96=1,EOMONTH(EDATE(Bonds!$H96,6*(31-1)),0),EDATE(Bonds!$H96,6*(31-1))))</f>
        <v/>
      </c>
      <c r="AJ96" s="3" t="str">
        <f>IF(32&gt;$C96,"",IF($D96=1,EOMONTH(EDATE(Bonds!$H96,6*(32-1)),0),EDATE(Bonds!$H96,6*(32-1))))</f>
        <v/>
      </c>
      <c r="AK96" s="3" t="str">
        <f>IF(33&gt;$C96,"",IF($D96=1,EOMONTH(EDATE(Bonds!$H96,6*(33-1)),0),EDATE(Bonds!$H96,6*(33-1))))</f>
        <v/>
      </c>
      <c r="AL96" s="3" t="str">
        <f>IF(34&gt;$C96,"",IF($D96=1,EOMONTH(EDATE(Bonds!$H96,6*(34-1)),0),EDATE(Bonds!$H96,6*(34-1))))</f>
        <v/>
      </c>
      <c r="AM96" s="3" t="str">
        <f>IF(35&gt;$C96,"",IF($D96=1,EOMONTH(EDATE(Bonds!$H96,6*(35-1)),0),EDATE(Bonds!$H96,6*(35-1))))</f>
        <v/>
      </c>
      <c r="AN96" s="3" t="str">
        <f>IF(36&gt;$C96,"",IF($D96=1,EOMONTH(EDATE(Bonds!$H96,6*(36-1)),0),EDATE(Bonds!$H96,6*(36-1))))</f>
        <v/>
      </c>
      <c r="AO96" s="3" t="str">
        <f>IF(37&gt;$C96,"",IF($D96=1,EOMONTH(EDATE(Bonds!$H96,6*(37-1)),0),EDATE(Bonds!$H96,6*(37-1))))</f>
        <v/>
      </c>
      <c r="AP96" s="3" t="str">
        <f>IF(38&gt;$C96,"",IF($D96=1,EOMONTH(EDATE(Bonds!$H96,6*(38-1)),0),EDATE(Bonds!$H96,6*(38-1))))</f>
        <v/>
      </c>
      <c r="AQ96" s="3" t="str">
        <f>IF(39&gt;$C96,"",IF($D96=1,EOMONTH(EDATE(Bonds!$H96,6*(39-1)),0),EDATE(Bonds!$H96,6*(39-1))))</f>
        <v/>
      </c>
      <c r="AR96" s="3" t="str">
        <f>IF(40&gt;$C96,"",IF($D96=1,EOMONTH(EDATE(Bonds!$H96,6*(40-1)),0),EDATE(Bonds!$H96,6*(40-1))))</f>
        <v/>
      </c>
      <c r="AS96" s="3" t="str">
        <f>IF(41&gt;$C96,"",IF($D96=1,EOMONTH(EDATE(Bonds!$H96,6*(41-1)),0),EDATE(Bonds!$H96,6*(41-1))))</f>
        <v/>
      </c>
      <c r="AT96" s="3" t="str">
        <f>IF(42&gt;$C96,"",IF($D96=1,EOMONTH(EDATE(Bonds!$H96,6*(42-1)),0),EDATE(Bonds!$H96,6*(42-1))))</f>
        <v/>
      </c>
      <c r="AU96" s="3" t="str">
        <f>IF(43&gt;$C96,"",IF($D96=1,EOMONTH(EDATE(Bonds!$H96,6*(43-1)),0),EDATE(Bonds!$H96,6*(43-1))))</f>
        <v/>
      </c>
      <c r="AV96" s="3" t="str">
        <f>IF(44&gt;$C96,"",IF($D96=1,EOMONTH(EDATE(Bonds!$H96,6*(44-1)),0),EDATE(Bonds!$H96,6*(44-1))))</f>
        <v/>
      </c>
      <c r="AW96" s="3" t="str">
        <f>IF(45&gt;$C96,"",IF($D96=1,EOMONTH(EDATE(Bonds!$H96,6*(45-1)),0),EDATE(Bonds!$H96,6*(45-1))))</f>
        <v/>
      </c>
      <c r="AX96" s="3" t="str">
        <f>IF(46&gt;$C96,"",IF($D96=1,EOMONTH(EDATE(Bonds!$H96,6*(46-1)),0),EDATE(Bonds!$H96,6*(46-1))))</f>
        <v/>
      </c>
      <c r="AY96" s="3" t="str">
        <f>IF(47&gt;$C96,"",IF($D96=1,EOMONTH(EDATE(Bonds!$H96,6*(47-1)),0),EDATE(Bonds!$H96,6*(47-1))))</f>
        <v/>
      </c>
      <c r="AZ96" s="3" t="str">
        <f>IF(48&gt;$C96,"",IF($D96=1,EOMONTH(EDATE(Bonds!$H96,6*(48-1)),0),EDATE(Bonds!$H96,6*(48-1))))</f>
        <v/>
      </c>
      <c r="BA96" s="3" t="str">
        <f>IF(49&gt;$C96,"",IF($D96=1,EOMONTH(EDATE(Bonds!$H96,6*(49-1)),0),EDATE(Bonds!$H96,6*(49-1))))</f>
        <v/>
      </c>
      <c r="BB96" s="3" t="str">
        <f>IF(50&gt;$C96,"",IF($D96=1,EOMONTH(EDATE(Bonds!$H96,6*(50-1)),0),EDATE(Bonds!$H96,6*(50-1))))</f>
        <v/>
      </c>
      <c r="BC96" s="3" t="str">
        <f>IF(51&gt;$C96,"",IF($D96=1,EOMONTH(EDATE(Bonds!$H96,6*(51-1)),0),EDATE(Bonds!$H96,6*(51-1))))</f>
        <v/>
      </c>
      <c r="BD96" s="3" t="str">
        <f>IF(52&gt;$C96,"",IF($D96=1,EOMONTH(EDATE(Bonds!$H96,6*(52-1)),0),EDATE(Bonds!$H96,6*(52-1))))</f>
        <v/>
      </c>
      <c r="BE96" s="3" t="str">
        <f>IF(53&gt;$C96,"",IF($D96=1,EOMONTH(EDATE(Bonds!$H96,6*(53-1)),0),EDATE(Bonds!$H96,6*(53-1))))</f>
        <v/>
      </c>
      <c r="BF96" s="3" t="str">
        <f>IF(54&gt;$C96,"",IF($D96=1,EOMONTH(EDATE(Bonds!$H96,6*(54-1)),0),EDATE(Bonds!$H96,6*(54-1))))</f>
        <v/>
      </c>
      <c r="BG96" s="3" t="str">
        <f>IF(55&gt;$C96,"",IF($D96=1,EOMONTH(EDATE(Bonds!$H96,6*(55-1)),0),EDATE(Bonds!$H96,6*(55-1))))</f>
        <v/>
      </c>
      <c r="BH96" s="3" t="str">
        <f>IF(56&gt;$C96,"",IF($D96=1,EOMONTH(EDATE(Bonds!$H96,6*(56-1)),0),EDATE(Bonds!$H96,6*(56-1))))</f>
        <v/>
      </c>
      <c r="BI96" s="3" t="str">
        <f>IF(57&gt;$C96,"",IF($D96=1,EOMONTH(EDATE(Bonds!$H96,6*(57-1)),0),EDATE(Bonds!$H96,6*(57-1))))</f>
        <v/>
      </c>
      <c r="BJ96" s="3" t="str">
        <f>IF(58&gt;$C96,"",IF($D96=1,EOMONTH(EDATE(Bonds!$H96,6*(58-1)),0),EDATE(Bonds!$H96,6*(58-1))))</f>
        <v/>
      </c>
      <c r="BK96" s="3" t="str">
        <f>IF(59&gt;$C96,"",IF($D96=1,EOMONTH(EDATE(Bonds!$H96,6*(59-1)),0),EDATE(Bonds!$H96,6*(59-1))))</f>
        <v/>
      </c>
      <c r="BL96" s="3" t="str">
        <f>IF(60&gt;$C96,"",IF($D96=1,EOMONTH(EDATE(Bonds!$H96,6*(60-1)),0),EDATE(Bonds!$H96,6*(60-1))))</f>
        <v/>
      </c>
      <c r="BN96" s="7">
        <f t="shared" si="62"/>
        <v>1.4274742749875267</v>
      </c>
      <c r="BO96" s="7">
        <f t="shared" si="63"/>
        <v>1.3986486663573166</v>
      </c>
      <c r="BP96" s="7">
        <f t="shared" si="64"/>
        <v>1.3678399410400741</v>
      </c>
      <c r="BQ96" s="7">
        <f t="shared" si="65"/>
        <v>94.356973973028957</v>
      </c>
      <c r="BR96" s="7">
        <f t="shared" si="66"/>
        <v>0</v>
      </c>
      <c r="BS96" s="7">
        <f t="shared" si="67"/>
        <v>0</v>
      </c>
      <c r="BT96" s="7">
        <f t="shared" si="68"/>
        <v>0</v>
      </c>
      <c r="BU96" s="7">
        <f t="shared" si="69"/>
        <v>0</v>
      </c>
      <c r="BV96" s="7">
        <f t="shared" si="70"/>
        <v>0</v>
      </c>
      <c r="BW96" s="7">
        <f t="shared" si="71"/>
        <v>0</v>
      </c>
      <c r="BX96" s="7">
        <f t="shared" si="72"/>
        <v>0</v>
      </c>
      <c r="BY96" s="7">
        <f t="shared" si="73"/>
        <v>0</v>
      </c>
      <c r="BZ96" s="7">
        <f t="shared" si="74"/>
        <v>0</v>
      </c>
      <c r="CA96" s="7">
        <f t="shared" si="75"/>
        <v>0</v>
      </c>
      <c r="CB96" s="7">
        <f t="shared" si="76"/>
        <v>0</v>
      </c>
      <c r="CC96" s="7">
        <f t="shared" si="77"/>
        <v>0</v>
      </c>
      <c r="CD96" s="7">
        <f t="shared" si="78"/>
        <v>0</v>
      </c>
      <c r="CE96" s="7">
        <f t="shared" si="79"/>
        <v>0</v>
      </c>
      <c r="CF96" s="7">
        <f t="shared" si="80"/>
        <v>0</v>
      </c>
      <c r="CG96" s="7">
        <f t="shared" si="81"/>
        <v>0</v>
      </c>
      <c r="CH96" s="7">
        <f t="shared" si="82"/>
        <v>0</v>
      </c>
      <c r="CI96" s="7">
        <f t="shared" si="83"/>
        <v>0</v>
      </c>
      <c r="CJ96" s="7">
        <f t="shared" si="84"/>
        <v>0</v>
      </c>
      <c r="CK96" s="7">
        <f t="shared" si="85"/>
        <v>0</v>
      </c>
      <c r="CL96" s="7">
        <f t="shared" si="86"/>
        <v>0</v>
      </c>
      <c r="CM96" s="7">
        <f t="shared" si="87"/>
        <v>0</v>
      </c>
      <c r="CN96" s="7">
        <f t="shared" si="88"/>
        <v>0</v>
      </c>
      <c r="CO96" s="7">
        <f t="shared" si="89"/>
        <v>0</v>
      </c>
      <c r="CP96" s="7">
        <f t="shared" si="90"/>
        <v>0</v>
      </c>
      <c r="CQ96" s="7">
        <f t="shared" si="91"/>
        <v>0</v>
      </c>
      <c r="CR96" s="7">
        <f t="shared" si="92"/>
        <v>0</v>
      </c>
      <c r="CS96" s="7">
        <f t="shared" si="93"/>
        <v>0</v>
      </c>
      <c r="CT96" s="7">
        <f t="shared" si="94"/>
        <v>0</v>
      </c>
      <c r="CU96" s="7">
        <f t="shared" si="95"/>
        <v>0</v>
      </c>
      <c r="CV96" s="7">
        <f t="shared" si="96"/>
        <v>0</v>
      </c>
      <c r="CW96" s="7">
        <f t="shared" si="97"/>
        <v>0</v>
      </c>
      <c r="CX96" s="7">
        <f t="shared" si="98"/>
        <v>0</v>
      </c>
      <c r="CY96" s="7">
        <f t="shared" si="99"/>
        <v>0</v>
      </c>
      <c r="CZ96" s="7">
        <f t="shared" si="100"/>
        <v>0</v>
      </c>
      <c r="DA96" s="7">
        <f t="shared" si="101"/>
        <v>0</v>
      </c>
      <c r="DB96" s="7">
        <f t="shared" si="102"/>
        <v>0</v>
      </c>
      <c r="DC96" s="7">
        <f t="shared" si="103"/>
        <v>0</v>
      </c>
      <c r="DD96" s="7">
        <f t="shared" si="104"/>
        <v>0</v>
      </c>
      <c r="DE96" s="7">
        <f t="shared" si="105"/>
        <v>0</v>
      </c>
      <c r="DF96" s="7">
        <f t="shared" si="106"/>
        <v>0</v>
      </c>
      <c r="DG96" s="7">
        <f t="shared" si="107"/>
        <v>0</v>
      </c>
      <c r="DH96" s="7">
        <f t="shared" si="108"/>
        <v>0</v>
      </c>
      <c r="DI96" s="7">
        <f t="shared" si="109"/>
        <v>0</v>
      </c>
      <c r="DJ96" s="7">
        <f t="shared" si="110"/>
        <v>0</v>
      </c>
      <c r="DK96" s="7">
        <f t="shared" si="111"/>
        <v>0</v>
      </c>
      <c r="DL96" s="7">
        <f t="shared" si="112"/>
        <v>0</v>
      </c>
      <c r="DM96" s="7">
        <f t="shared" si="113"/>
        <v>0</v>
      </c>
      <c r="DN96" s="7">
        <f t="shared" si="114"/>
        <v>0</v>
      </c>
      <c r="DO96" s="7">
        <f t="shared" si="115"/>
        <v>0</v>
      </c>
      <c r="DP96" s="7">
        <f t="shared" si="116"/>
        <v>0</v>
      </c>
      <c r="DQ96" s="7">
        <f t="shared" si="117"/>
        <v>0</v>
      </c>
      <c r="DR96" s="7">
        <f t="shared" si="118"/>
        <v>0</v>
      </c>
      <c r="DS96" s="7">
        <f t="shared" si="119"/>
        <v>0</v>
      </c>
      <c r="DT96" s="7">
        <f t="shared" si="120"/>
        <v>0</v>
      </c>
      <c r="DU96" s="7">
        <f t="shared" si="121"/>
        <v>0</v>
      </c>
    </row>
    <row r="97" spans="1:125" x14ac:dyDescent="0.2">
      <c r="A97" s="3">
        <f>Bonds!A97</f>
        <v>46888</v>
      </c>
      <c r="B97" s="4">
        <f>Bonds!B97</f>
        <v>3.75</v>
      </c>
      <c r="C97">
        <f>Bonds!P97</f>
        <v>4</v>
      </c>
      <c r="D97">
        <f t="shared" si="61"/>
        <v>0</v>
      </c>
      <c r="E97" s="3">
        <f>IF(1&gt;$C97,"",IF($D97=1,EOMONTH(EDATE(Bonds!$H97,6*(1-1)),0),EDATE(Bonds!$H97,6*(1-1))))</f>
        <v>46341</v>
      </c>
      <c r="F97" s="3">
        <f>IF(2&gt;$C97,"",IF($D97=1,EOMONTH(EDATE(Bonds!$H97,6*(2-1)),0),EDATE(Bonds!$H97,6*(2-1))))</f>
        <v>46522</v>
      </c>
      <c r="G97" s="3">
        <f>IF(3&gt;$C97,"",IF($D97=1,EOMONTH(EDATE(Bonds!$H97,6*(3-1)),0),EDATE(Bonds!$H97,6*(3-1))))</f>
        <v>46706</v>
      </c>
      <c r="H97" s="3">
        <f>IF(4&gt;$C97,"",IF($D97=1,EOMONTH(EDATE(Bonds!$H97,6*(4-1)),0),EDATE(Bonds!$H97,6*(4-1))))</f>
        <v>46888</v>
      </c>
      <c r="I97" s="3" t="str">
        <f>IF(5&gt;$C97,"",IF($D97=1,EOMONTH(EDATE(Bonds!$H97,6*(5-1)),0),EDATE(Bonds!$H97,6*(5-1))))</f>
        <v/>
      </c>
      <c r="J97" s="3" t="str">
        <f>IF(6&gt;$C97,"",IF($D97=1,EOMONTH(EDATE(Bonds!$H97,6*(6-1)),0),EDATE(Bonds!$H97,6*(6-1))))</f>
        <v/>
      </c>
      <c r="K97" s="3" t="str">
        <f>IF(7&gt;$C97,"",IF($D97=1,EOMONTH(EDATE(Bonds!$H97,6*(7-1)),0),EDATE(Bonds!$H97,6*(7-1))))</f>
        <v/>
      </c>
      <c r="L97" s="3" t="str">
        <f>IF(8&gt;$C97,"",IF($D97=1,EOMONTH(EDATE(Bonds!$H97,6*(8-1)),0),EDATE(Bonds!$H97,6*(8-1))))</f>
        <v/>
      </c>
      <c r="M97" s="3" t="str">
        <f>IF(9&gt;$C97,"",IF($D97=1,EOMONTH(EDATE(Bonds!$H97,6*(9-1)),0),EDATE(Bonds!$H97,6*(9-1))))</f>
        <v/>
      </c>
      <c r="N97" s="3" t="str">
        <f>IF(10&gt;$C97,"",IF($D97=1,EOMONTH(EDATE(Bonds!$H97,6*(10-1)),0),EDATE(Bonds!$H97,6*(10-1))))</f>
        <v/>
      </c>
      <c r="O97" s="3" t="str">
        <f>IF(11&gt;$C97,"",IF($D97=1,EOMONTH(EDATE(Bonds!$H97,6*(11-1)),0),EDATE(Bonds!$H97,6*(11-1))))</f>
        <v/>
      </c>
      <c r="P97" s="3" t="str">
        <f>IF(12&gt;$C97,"",IF($D97=1,EOMONTH(EDATE(Bonds!$H97,6*(12-1)),0),EDATE(Bonds!$H97,6*(12-1))))</f>
        <v/>
      </c>
      <c r="Q97" s="3" t="str">
        <f>IF(13&gt;$C97,"",IF($D97=1,EOMONTH(EDATE(Bonds!$H97,6*(13-1)),0),EDATE(Bonds!$H97,6*(13-1))))</f>
        <v/>
      </c>
      <c r="R97" s="3" t="str">
        <f>IF(14&gt;$C97,"",IF($D97=1,EOMONTH(EDATE(Bonds!$H97,6*(14-1)),0),EDATE(Bonds!$H97,6*(14-1))))</f>
        <v/>
      </c>
      <c r="S97" s="3" t="str">
        <f>IF(15&gt;$C97,"",IF($D97=1,EOMONTH(EDATE(Bonds!$H97,6*(15-1)),0),EDATE(Bonds!$H97,6*(15-1))))</f>
        <v/>
      </c>
      <c r="T97" s="3" t="str">
        <f>IF(16&gt;$C97,"",IF($D97=1,EOMONTH(EDATE(Bonds!$H97,6*(16-1)),0),EDATE(Bonds!$H97,6*(16-1))))</f>
        <v/>
      </c>
      <c r="U97" s="3" t="str">
        <f>IF(17&gt;$C97,"",IF($D97=1,EOMONTH(EDATE(Bonds!$H97,6*(17-1)),0),EDATE(Bonds!$H97,6*(17-1))))</f>
        <v/>
      </c>
      <c r="V97" s="3" t="str">
        <f>IF(18&gt;$C97,"",IF($D97=1,EOMONTH(EDATE(Bonds!$H97,6*(18-1)),0),EDATE(Bonds!$H97,6*(18-1))))</f>
        <v/>
      </c>
      <c r="W97" s="3" t="str">
        <f>IF(19&gt;$C97,"",IF($D97=1,EOMONTH(EDATE(Bonds!$H97,6*(19-1)),0),EDATE(Bonds!$H97,6*(19-1))))</f>
        <v/>
      </c>
      <c r="X97" s="3" t="str">
        <f>IF(20&gt;$C97,"",IF($D97=1,EOMONTH(EDATE(Bonds!$H97,6*(20-1)),0),EDATE(Bonds!$H97,6*(20-1))))</f>
        <v/>
      </c>
      <c r="Y97" s="3" t="str">
        <f>IF(21&gt;$C97,"",IF($D97=1,EOMONTH(EDATE(Bonds!$H97,6*(21-1)),0),EDATE(Bonds!$H97,6*(21-1))))</f>
        <v/>
      </c>
      <c r="Z97" s="3" t="str">
        <f>IF(22&gt;$C97,"",IF($D97=1,EOMONTH(EDATE(Bonds!$H97,6*(22-1)),0),EDATE(Bonds!$H97,6*(22-1))))</f>
        <v/>
      </c>
      <c r="AA97" s="3" t="str">
        <f>IF(23&gt;$C97,"",IF($D97=1,EOMONTH(EDATE(Bonds!$H97,6*(23-1)),0),EDATE(Bonds!$H97,6*(23-1))))</f>
        <v/>
      </c>
      <c r="AB97" s="3" t="str">
        <f>IF(24&gt;$C97,"",IF($D97=1,EOMONTH(EDATE(Bonds!$H97,6*(24-1)),0),EDATE(Bonds!$H97,6*(24-1))))</f>
        <v/>
      </c>
      <c r="AC97" s="3" t="str">
        <f>IF(25&gt;$C97,"",IF($D97=1,EOMONTH(EDATE(Bonds!$H97,6*(25-1)),0),EDATE(Bonds!$H97,6*(25-1))))</f>
        <v/>
      </c>
      <c r="AD97" s="3" t="str">
        <f>IF(26&gt;$C97,"",IF($D97=1,EOMONTH(EDATE(Bonds!$H97,6*(26-1)),0),EDATE(Bonds!$H97,6*(26-1))))</f>
        <v/>
      </c>
      <c r="AE97" s="3" t="str">
        <f>IF(27&gt;$C97,"",IF($D97=1,EOMONTH(EDATE(Bonds!$H97,6*(27-1)),0),EDATE(Bonds!$H97,6*(27-1))))</f>
        <v/>
      </c>
      <c r="AF97" s="3" t="str">
        <f>IF(28&gt;$C97,"",IF($D97=1,EOMONTH(EDATE(Bonds!$H97,6*(28-1)),0),EDATE(Bonds!$H97,6*(28-1))))</f>
        <v/>
      </c>
      <c r="AG97" s="3" t="str">
        <f>IF(29&gt;$C97,"",IF($D97=1,EOMONTH(EDATE(Bonds!$H97,6*(29-1)),0),EDATE(Bonds!$H97,6*(29-1))))</f>
        <v/>
      </c>
      <c r="AH97" s="3" t="str">
        <f>IF(30&gt;$C97,"",IF($D97=1,EOMONTH(EDATE(Bonds!$H97,6*(30-1)),0),EDATE(Bonds!$H97,6*(30-1))))</f>
        <v/>
      </c>
      <c r="AI97" s="3" t="str">
        <f>IF(31&gt;$C97,"",IF($D97=1,EOMONTH(EDATE(Bonds!$H97,6*(31-1)),0),EDATE(Bonds!$H97,6*(31-1))))</f>
        <v/>
      </c>
      <c r="AJ97" s="3" t="str">
        <f>IF(32&gt;$C97,"",IF($D97=1,EOMONTH(EDATE(Bonds!$H97,6*(32-1)),0),EDATE(Bonds!$H97,6*(32-1))))</f>
        <v/>
      </c>
      <c r="AK97" s="3" t="str">
        <f>IF(33&gt;$C97,"",IF($D97=1,EOMONTH(EDATE(Bonds!$H97,6*(33-1)),0),EDATE(Bonds!$H97,6*(33-1))))</f>
        <v/>
      </c>
      <c r="AL97" s="3" t="str">
        <f>IF(34&gt;$C97,"",IF($D97=1,EOMONTH(EDATE(Bonds!$H97,6*(34-1)),0),EDATE(Bonds!$H97,6*(34-1))))</f>
        <v/>
      </c>
      <c r="AM97" s="3" t="str">
        <f>IF(35&gt;$C97,"",IF($D97=1,EOMONTH(EDATE(Bonds!$H97,6*(35-1)),0),EDATE(Bonds!$H97,6*(35-1))))</f>
        <v/>
      </c>
      <c r="AN97" s="3" t="str">
        <f>IF(36&gt;$C97,"",IF($D97=1,EOMONTH(EDATE(Bonds!$H97,6*(36-1)),0),EDATE(Bonds!$H97,6*(36-1))))</f>
        <v/>
      </c>
      <c r="AO97" s="3" t="str">
        <f>IF(37&gt;$C97,"",IF($D97=1,EOMONTH(EDATE(Bonds!$H97,6*(37-1)),0),EDATE(Bonds!$H97,6*(37-1))))</f>
        <v/>
      </c>
      <c r="AP97" s="3" t="str">
        <f>IF(38&gt;$C97,"",IF($D97=1,EOMONTH(EDATE(Bonds!$H97,6*(38-1)),0),EDATE(Bonds!$H97,6*(38-1))))</f>
        <v/>
      </c>
      <c r="AQ97" s="3" t="str">
        <f>IF(39&gt;$C97,"",IF($D97=1,EOMONTH(EDATE(Bonds!$H97,6*(39-1)),0),EDATE(Bonds!$H97,6*(39-1))))</f>
        <v/>
      </c>
      <c r="AR97" s="3" t="str">
        <f>IF(40&gt;$C97,"",IF($D97=1,EOMONTH(EDATE(Bonds!$H97,6*(40-1)),0),EDATE(Bonds!$H97,6*(40-1))))</f>
        <v/>
      </c>
      <c r="AS97" s="3" t="str">
        <f>IF(41&gt;$C97,"",IF($D97=1,EOMONTH(EDATE(Bonds!$H97,6*(41-1)),0),EDATE(Bonds!$H97,6*(41-1))))</f>
        <v/>
      </c>
      <c r="AT97" s="3" t="str">
        <f>IF(42&gt;$C97,"",IF($D97=1,EOMONTH(EDATE(Bonds!$H97,6*(42-1)),0),EDATE(Bonds!$H97,6*(42-1))))</f>
        <v/>
      </c>
      <c r="AU97" s="3" t="str">
        <f>IF(43&gt;$C97,"",IF($D97=1,EOMONTH(EDATE(Bonds!$H97,6*(43-1)),0),EDATE(Bonds!$H97,6*(43-1))))</f>
        <v/>
      </c>
      <c r="AV97" s="3" t="str">
        <f>IF(44&gt;$C97,"",IF($D97=1,EOMONTH(EDATE(Bonds!$H97,6*(44-1)),0),EDATE(Bonds!$H97,6*(44-1))))</f>
        <v/>
      </c>
      <c r="AW97" s="3" t="str">
        <f>IF(45&gt;$C97,"",IF($D97=1,EOMONTH(EDATE(Bonds!$H97,6*(45-1)),0),EDATE(Bonds!$H97,6*(45-1))))</f>
        <v/>
      </c>
      <c r="AX97" s="3" t="str">
        <f>IF(46&gt;$C97,"",IF($D97=1,EOMONTH(EDATE(Bonds!$H97,6*(46-1)),0),EDATE(Bonds!$H97,6*(46-1))))</f>
        <v/>
      </c>
      <c r="AY97" s="3" t="str">
        <f>IF(47&gt;$C97,"",IF($D97=1,EOMONTH(EDATE(Bonds!$H97,6*(47-1)),0),EDATE(Bonds!$H97,6*(47-1))))</f>
        <v/>
      </c>
      <c r="AZ97" s="3" t="str">
        <f>IF(48&gt;$C97,"",IF($D97=1,EOMONTH(EDATE(Bonds!$H97,6*(48-1)),0),EDATE(Bonds!$H97,6*(48-1))))</f>
        <v/>
      </c>
      <c r="BA97" s="3" t="str">
        <f>IF(49&gt;$C97,"",IF($D97=1,EOMONTH(EDATE(Bonds!$H97,6*(49-1)),0),EDATE(Bonds!$H97,6*(49-1))))</f>
        <v/>
      </c>
      <c r="BB97" s="3" t="str">
        <f>IF(50&gt;$C97,"",IF($D97=1,EOMONTH(EDATE(Bonds!$H97,6*(50-1)),0),EDATE(Bonds!$H97,6*(50-1))))</f>
        <v/>
      </c>
      <c r="BC97" s="3" t="str">
        <f>IF(51&gt;$C97,"",IF($D97=1,EOMONTH(EDATE(Bonds!$H97,6*(51-1)),0),EDATE(Bonds!$H97,6*(51-1))))</f>
        <v/>
      </c>
      <c r="BD97" s="3" t="str">
        <f>IF(52&gt;$C97,"",IF($D97=1,EOMONTH(EDATE(Bonds!$H97,6*(52-1)),0),EDATE(Bonds!$H97,6*(52-1))))</f>
        <v/>
      </c>
      <c r="BE97" s="3" t="str">
        <f>IF(53&gt;$C97,"",IF($D97=1,EOMONTH(EDATE(Bonds!$H97,6*(53-1)),0),EDATE(Bonds!$H97,6*(53-1))))</f>
        <v/>
      </c>
      <c r="BF97" s="3" t="str">
        <f>IF(54&gt;$C97,"",IF($D97=1,EOMONTH(EDATE(Bonds!$H97,6*(54-1)),0),EDATE(Bonds!$H97,6*(54-1))))</f>
        <v/>
      </c>
      <c r="BG97" s="3" t="str">
        <f>IF(55&gt;$C97,"",IF($D97=1,EOMONTH(EDATE(Bonds!$H97,6*(55-1)),0),EDATE(Bonds!$H97,6*(55-1))))</f>
        <v/>
      </c>
      <c r="BH97" s="3" t="str">
        <f>IF(56&gt;$C97,"",IF($D97=1,EOMONTH(EDATE(Bonds!$H97,6*(56-1)),0),EDATE(Bonds!$H97,6*(56-1))))</f>
        <v/>
      </c>
      <c r="BI97" s="3" t="str">
        <f>IF(57&gt;$C97,"",IF($D97=1,EOMONTH(EDATE(Bonds!$H97,6*(57-1)),0),EDATE(Bonds!$H97,6*(57-1))))</f>
        <v/>
      </c>
      <c r="BJ97" s="3" t="str">
        <f>IF(58&gt;$C97,"",IF($D97=1,EOMONTH(EDATE(Bonds!$H97,6*(58-1)),0),EDATE(Bonds!$H97,6*(58-1))))</f>
        <v/>
      </c>
      <c r="BK97" s="3" t="str">
        <f>IF(59&gt;$C97,"",IF($D97=1,EOMONTH(EDATE(Bonds!$H97,6*(59-1)),0),EDATE(Bonds!$H97,6*(59-1))))</f>
        <v/>
      </c>
      <c r="BL97" s="3" t="str">
        <f>IF(60&gt;$C97,"",IF($D97=1,EOMONTH(EDATE(Bonds!$H97,6*(60-1)),0),EDATE(Bonds!$H97,6*(60-1))))</f>
        <v/>
      </c>
      <c r="BN97" s="7">
        <f t="shared" si="62"/>
        <v>1.8619229673750348</v>
      </c>
      <c r="BO97" s="7">
        <f t="shared" si="63"/>
        <v>1.824324347422587</v>
      </c>
      <c r="BP97" s="7">
        <f t="shared" si="64"/>
        <v>1.7841390535305315</v>
      </c>
      <c r="BQ97" s="7">
        <f t="shared" si="65"/>
        <v>94.763935659912008</v>
      </c>
      <c r="BR97" s="7">
        <f t="shared" si="66"/>
        <v>0</v>
      </c>
      <c r="BS97" s="7">
        <f t="shared" si="67"/>
        <v>0</v>
      </c>
      <c r="BT97" s="7">
        <f t="shared" si="68"/>
        <v>0</v>
      </c>
      <c r="BU97" s="7">
        <f t="shared" si="69"/>
        <v>0</v>
      </c>
      <c r="BV97" s="7">
        <f t="shared" si="70"/>
        <v>0</v>
      </c>
      <c r="BW97" s="7">
        <f t="shared" si="71"/>
        <v>0</v>
      </c>
      <c r="BX97" s="7">
        <f t="shared" si="72"/>
        <v>0</v>
      </c>
      <c r="BY97" s="7">
        <f t="shared" si="73"/>
        <v>0</v>
      </c>
      <c r="BZ97" s="7">
        <f t="shared" si="74"/>
        <v>0</v>
      </c>
      <c r="CA97" s="7">
        <f t="shared" si="75"/>
        <v>0</v>
      </c>
      <c r="CB97" s="7">
        <f t="shared" si="76"/>
        <v>0</v>
      </c>
      <c r="CC97" s="7">
        <f t="shared" si="77"/>
        <v>0</v>
      </c>
      <c r="CD97" s="7">
        <f t="shared" si="78"/>
        <v>0</v>
      </c>
      <c r="CE97" s="7">
        <f t="shared" si="79"/>
        <v>0</v>
      </c>
      <c r="CF97" s="7">
        <f t="shared" si="80"/>
        <v>0</v>
      </c>
      <c r="CG97" s="7">
        <f t="shared" si="81"/>
        <v>0</v>
      </c>
      <c r="CH97" s="7">
        <f t="shared" si="82"/>
        <v>0</v>
      </c>
      <c r="CI97" s="7">
        <f t="shared" si="83"/>
        <v>0</v>
      </c>
      <c r="CJ97" s="7">
        <f t="shared" si="84"/>
        <v>0</v>
      </c>
      <c r="CK97" s="7">
        <f t="shared" si="85"/>
        <v>0</v>
      </c>
      <c r="CL97" s="7">
        <f t="shared" si="86"/>
        <v>0</v>
      </c>
      <c r="CM97" s="7">
        <f t="shared" si="87"/>
        <v>0</v>
      </c>
      <c r="CN97" s="7">
        <f t="shared" si="88"/>
        <v>0</v>
      </c>
      <c r="CO97" s="7">
        <f t="shared" si="89"/>
        <v>0</v>
      </c>
      <c r="CP97" s="7">
        <f t="shared" si="90"/>
        <v>0</v>
      </c>
      <c r="CQ97" s="7">
        <f t="shared" si="91"/>
        <v>0</v>
      </c>
      <c r="CR97" s="7">
        <f t="shared" si="92"/>
        <v>0</v>
      </c>
      <c r="CS97" s="7">
        <f t="shared" si="93"/>
        <v>0</v>
      </c>
      <c r="CT97" s="7">
        <f t="shared" si="94"/>
        <v>0</v>
      </c>
      <c r="CU97" s="7">
        <f t="shared" si="95"/>
        <v>0</v>
      </c>
      <c r="CV97" s="7">
        <f t="shared" si="96"/>
        <v>0</v>
      </c>
      <c r="CW97" s="7">
        <f t="shared" si="97"/>
        <v>0</v>
      </c>
      <c r="CX97" s="7">
        <f t="shared" si="98"/>
        <v>0</v>
      </c>
      <c r="CY97" s="7">
        <f t="shared" si="99"/>
        <v>0</v>
      </c>
      <c r="CZ97" s="7">
        <f t="shared" si="100"/>
        <v>0</v>
      </c>
      <c r="DA97" s="7">
        <f t="shared" si="101"/>
        <v>0</v>
      </c>
      <c r="DB97" s="7">
        <f t="shared" si="102"/>
        <v>0</v>
      </c>
      <c r="DC97" s="7">
        <f t="shared" si="103"/>
        <v>0</v>
      </c>
      <c r="DD97" s="7">
        <f t="shared" si="104"/>
        <v>0</v>
      </c>
      <c r="DE97" s="7">
        <f t="shared" si="105"/>
        <v>0</v>
      </c>
      <c r="DF97" s="7">
        <f t="shared" si="106"/>
        <v>0</v>
      </c>
      <c r="DG97" s="7">
        <f t="shared" si="107"/>
        <v>0</v>
      </c>
      <c r="DH97" s="7">
        <f t="shared" si="108"/>
        <v>0</v>
      </c>
      <c r="DI97" s="7">
        <f t="shared" si="109"/>
        <v>0</v>
      </c>
      <c r="DJ97" s="7">
        <f t="shared" si="110"/>
        <v>0</v>
      </c>
      <c r="DK97" s="7">
        <f t="shared" si="111"/>
        <v>0</v>
      </c>
      <c r="DL97" s="7">
        <f t="shared" si="112"/>
        <v>0</v>
      </c>
      <c r="DM97" s="7">
        <f t="shared" si="113"/>
        <v>0</v>
      </c>
      <c r="DN97" s="7">
        <f t="shared" si="114"/>
        <v>0</v>
      </c>
      <c r="DO97" s="7">
        <f t="shared" si="115"/>
        <v>0</v>
      </c>
      <c r="DP97" s="7">
        <f t="shared" si="116"/>
        <v>0</v>
      </c>
      <c r="DQ97" s="7">
        <f t="shared" si="117"/>
        <v>0</v>
      </c>
      <c r="DR97" s="7">
        <f t="shared" si="118"/>
        <v>0</v>
      </c>
      <c r="DS97" s="7">
        <f t="shared" si="119"/>
        <v>0</v>
      </c>
      <c r="DT97" s="7">
        <f t="shared" si="120"/>
        <v>0</v>
      </c>
      <c r="DU97" s="7">
        <f t="shared" si="121"/>
        <v>0</v>
      </c>
    </row>
    <row r="98" spans="1:125" x14ac:dyDescent="0.2">
      <c r="A98" s="3">
        <f>Bonds!A98</f>
        <v>46904</v>
      </c>
      <c r="B98" s="4">
        <f>Bonds!B98</f>
        <v>1.25</v>
      </c>
      <c r="C98">
        <f>Bonds!P98</f>
        <v>4</v>
      </c>
      <c r="D98">
        <f t="shared" si="61"/>
        <v>1</v>
      </c>
      <c r="E98" s="3">
        <f>IF(1&gt;$C98,"",IF($D98=1,EOMONTH(EDATE(Bonds!$H98,6*(1-1)),0),EDATE(Bonds!$H98,6*(1-1))))</f>
        <v>46356</v>
      </c>
      <c r="F98" s="3">
        <f>IF(2&gt;$C98,"",IF($D98=1,EOMONTH(EDATE(Bonds!$H98,6*(2-1)),0),EDATE(Bonds!$H98,6*(2-1))))</f>
        <v>46538</v>
      </c>
      <c r="G98" s="3">
        <f>IF(3&gt;$C98,"",IF($D98=1,EOMONTH(EDATE(Bonds!$H98,6*(3-1)),0),EDATE(Bonds!$H98,6*(3-1))))</f>
        <v>46721</v>
      </c>
      <c r="H98" s="3">
        <f>IF(4&gt;$C98,"",IF($D98=1,EOMONTH(EDATE(Bonds!$H98,6*(4-1)),0),EDATE(Bonds!$H98,6*(4-1))))</f>
        <v>46904</v>
      </c>
      <c r="I98" s="3" t="str">
        <f>IF(5&gt;$C98,"",IF($D98=1,EOMONTH(EDATE(Bonds!$H98,6*(5-1)),0),EDATE(Bonds!$H98,6*(5-1))))</f>
        <v/>
      </c>
      <c r="J98" s="3" t="str">
        <f>IF(6&gt;$C98,"",IF($D98=1,EOMONTH(EDATE(Bonds!$H98,6*(6-1)),0),EDATE(Bonds!$H98,6*(6-1))))</f>
        <v/>
      </c>
      <c r="K98" s="3" t="str">
        <f>IF(7&gt;$C98,"",IF($D98=1,EOMONTH(EDATE(Bonds!$H98,6*(7-1)),0),EDATE(Bonds!$H98,6*(7-1))))</f>
        <v/>
      </c>
      <c r="L98" s="3" t="str">
        <f>IF(8&gt;$C98,"",IF($D98=1,EOMONTH(EDATE(Bonds!$H98,6*(8-1)),0),EDATE(Bonds!$H98,6*(8-1))))</f>
        <v/>
      </c>
      <c r="M98" s="3" t="str">
        <f>IF(9&gt;$C98,"",IF($D98=1,EOMONTH(EDATE(Bonds!$H98,6*(9-1)),0),EDATE(Bonds!$H98,6*(9-1))))</f>
        <v/>
      </c>
      <c r="N98" s="3" t="str">
        <f>IF(10&gt;$C98,"",IF($D98=1,EOMONTH(EDATE(Bonds!$H98,6*(10-1)),0),EDATE(Bonds!$H98,6*(10-1))))</f>
        <v/>
      </c>
      <c r="O98" s="3" t="str">
        <f>IF(11&gt;$C98,"",IF($D98=1,EOMONTH(EDATE(Bonds!$H98,6*(11-1)),0),EDATE(Bonds!$H98,6*(11-1))))</f>
        <v/>
      </c>
      <c r="P98" s="3" t="str">
        <f>IF(12&gt;$C98,"",IF($D98=1,EOMONTH(EDATE(Bonds!$H98,6*(12-1)),0),EDATE(Bonds!$H98,6*(12-1))))</f>
        <v/>
      </c>
      <c r="Q98" s="3" t="str">
        <f>IF(13&gt;$C98,"",IF($D98=1,EOMONTH(EDATE(Bonds!$H98,6*(13-1)),0),EDATE(Bonds!$H98,6*(13-1))))</f>
        <v/>
      </c>
      <c r="R98" s="3" t="str">
        <f>IF(14&gt;$C98,"",IF($D98=1,EOMONTH(EDATE(Bonds!$H98,6*(14-1)),0),EDATE(Bonds!$H98,6*(14-1))))</f>
        <v/>
      </c>
      <c r="S98" s="3" t="str">
        <f>IF(15&gt;$C98,"",IF($D98=1,EOMONTH(EDATE(Bonds!$H98,6*(15-1)),0),EDATE(Bonds!$H98,6*(15-1))))</f>
        <v/>
      </c>
      <c r="T98" s="3" t="str">
        <f>IF(16&gt;$C98,"",IF($D98=1,EOMONTH(EDATE(Bonds!$H98,6*(16-1)),0),EDATE(Bonds!$H98,6*(16-1))))</f>
        <v/>
      </c>
      <c r="U98" s="3" t="str">
        <f>IF(17&gt;$C98,"",IF($D98=1,EOMONTH(EDATE(Bonds!$H98,6*(17-1)),0),EDATE(Bonds!$H98,6*(17-1))))</f>
        <v/>
      </c>
      <c r="V98" s="3" t="str">
        <f>IF(18&gt;$C98,"",IF($D98=1,EOMONTH(EDATE(Bonds!$H98,6*(18-1)),0),EDATE(Bonds!$H98,6*(18-1))))</f>
        <v/>
      </c>
      <c r="W98" s="3" t="str">
        <f>IF(19&gt;$C98,"",IF($D98=1,EOMONTH(EDATE(Bonds!$H98,6*(19-1)),0),EDATE(Bonds!$H98,6*(19-1))))</f>
        <v/>
      </c>
      <c r="X98" s="3" t="str">
        <f>IF(20&gt;$C98,"",IF($D98=1,EOMONTH(EDATE(Bonds!$H98,6*(20-1)),0),EDATE(Bonds!$H98,6*(20-1))))</f>
        <v/>
      </c>
      <c r="Y98" s="3" t="str">
        <f>IF(21&gt;$C98,"",IF($D98=1,EOMONTH(EDATE(Bonds!$H98,6*(21-1)),0),EDATE(Bonds!$H98,6*(21-1))))</f>
        <v/>
      </c>
      <c r="Z98" s="3" t="str">
        <f>IF(22&gt;$C98,"",IF($D98=1,EOMONTH(EDATE(Bonds!$H98,6*(22-1)),0),EDATE(Bonds!$H98,6*(22-1))))</f>
        <v/>
      </c>
      <c r="AA98" s="3" t="str">
        <f>IF(23&gt;$C98,"",IF($D98=1,EOMONTH(EDATE(Bonds!$H98,6*(23-1)),0),EDATE(Bonds!$H98,6*(23-1))))</f>
        <v/>
      </c>
      <c r="AB98" s="3" t="str">
        <f>IF(24&gt;$C98,"",IF($D98=1,EOMONTH(EDATE(Bonds!$H98,6*(24-1)),0),EDATE(Bonds!$H98,6*(24-1))))</f>
        <v/>
      </c>
      <c r="AC98" s="3" t="str">
        <f>IF(25&gt;$C98,"",IF($D98=1,EOMONTH(EDATE(Bonds!$H98,6*(25-1)),0),EDATE(Bonds!$H98,6*(25-1))))</f>
        <v/>
      </c>
      <c r="AD98" s="3" t="str">
        <f>IF(26&gt;$C98,"",IF($D98=1,EOMONTH(EDATE(Bonds!$H98,6*(26-1)),0),EDATE(Bonds!$H98,6*(26-1))))</f>
        <v/>
      </c>
      <c r="AE98" s="3" t="str">
        <f>IF(27&gt;$C98,"",IF($D98=1,EOMONTH(EDATE(Bonds!$H98,6*(27-1)),0),EDATE(Bonds!$H98,6*(27-1))))</f>
        <v/>
      </c>
      <c r="AF98" s="3" t="str">
        <f>IF(28&gt;$C98,"",IF($D98=1,EOMONTH(EDATE(Bonds!$H98,6*(28-1)),0),EDATE(Bonds!$H98,6*(28-1))))</f>
        <v/>
      </c>
      <c r="AG98" s="3" t="str">
        <f>IF(29&gt;$C98,"",IF($D98=1,EOMONTH(EDATE(Bonds!$H98,6*(29-1)),0),EDATE(Bonds!$H98,6*(29-1))))</f>
        <v/>
      </c>
      <c r="AH98" s="3" t="str">
        <f>IF(30&gt;$C98,"",IF($D98=1,EOMONTH(EDATE(Bonds!$H98,6*(30-1)),0),EDATE(Bonds!$H98,6*(30-1))))</f>
        <v/>
      </c>
      <c r="AI98" s="3" t="str">
        <f>IF(31&gt;$C98,"",IF($D98=1,EOMONTH(EDATE(Bonds!$H98,6*(31-1)),0),EDATE(Bonds!$H98,6*(31-1))))</f>
        <v/>
      </c>
      <c r="AJ98" s="3" t="str">
        <f>IF(32&gt;$C98,"",IF($D98=1,EOMONTH(EDATE(Bonds!$H98,6*(32-1)),0),EDATE(Bonds!$H98,6*(32-1))))</f>
        <v/>
      </c>
      <c r="AK98" s="3" t="str">
        <f>IF(33&gt;$C98,"",IF($D98=1,EOMONTH(EDATE(Bonds!$H98,6*(33-1)),0),EDATE(Bonds!$H98,6*(33-1))))</f>
        <v/>
      </c>
      <c r="AL98" s="3" t="str">
        <f>IF(34&gt;$C98,"",IF($D98=1,EOMONTH(EDATE(Bonds!$H98,6*(34-1)),0),EDATE(Bonds!$H98,6*(34-1))))</f>
        <v/>
      </c>
      <c r="AM98" s="3" t="str">
        <f>IF(35&gt;$C98,"",IF($D98=1,EOMONTH(EDATE(Bonds!$H98,6*(35-1)),0),EDATE(Bonds!$H98,6*(35-1))))</f>
        <v/>
      </c>
      <c r="AN98" s="3" t="str">
        <f>IF(36&gt;$C98,"",IF($D98=1,EOMONTH(EDATE(Bonds!$H98,6*(36-1)),0),EDATE(Bonds!$H98,6*(36-1))))</f>
        <v/>
      </c>
      <c r="AO98" s="3" t="str">
        <f>IF(37&gt;$C98,"",IF($D98=1,EOMONTH(EDATE(Bonds!$H98,6*(37-1)),0),EDATE(Bonds!$H98,6*(37-1))))</f>
        <v/>
      </c>
      <c r="AP98" s="3" t="str">
        <f>IF(38&gt;$C98,"",IF($D98=1,EOMONTH(EDATE(Bonds!$H98,6*(38-1)),0),EDATE(Bonds!$H98,6*(38-1))))</f>
        <v/>
      </c>
      <c r="AQ98" s="3" t="str">
        <f>IF(39&gt;$C98,"",IF($D98=1,EOMONTH(EDATE(Bonds!$H98,6*(39-1)),0),EDATE(Bonds!$H98,6*(39-1))))</f>
        <v/>
      </c>
      <c r="AR98" s="3" t="str">
        <f>IF(40&gt;$C98,"",IF($D98=1,EOMONTH(EDATE(Bonds!$H98,6*(40-1)),0),EDATE(Bonds!$H98,6*(40-1))))</f>
        <v/>
      </c>
      <c r="AS98" s="3" t="str">
        <f>IF(41&gt;$C98,"",IF($D98=1,EOMONTH(EDATE(Bonds!$H98,6*(41-1)),0),EDATE(Bonds!$H98,6*(41-1))))</f>
        <v/>
      </c>
      <c r="AT98" s="3" t="str">
        <f>IF(42&gt;$C98,"",IF($D98=1,EOMONTH(EDATE(Bonds!$H98,6*(42-1)),0),EDATE(Bonds!$H98,6*(42-1))))</f>
        <v/>
      </c>
      <c r="AU98" s="3" t="str">
        <f>IF(43&gt;$C98,"",IF($D98=1,EOMONTH(EDATE(Bonds!$H98,6*(43-1)),0),EDATE(Bonds!$H98,6*(43-1))))</f>
        <v/>
      </c>
      <c r="AV98" s="3" t="str">
        <f>IF(44&gt;$C98,"",IF($D98=1,EOMONTH(EDATE(Bonds!$H98,6*(44-1)),0),EDATE(Bonds!$H98,6*(44-1))))</f>
        <v/>
      </c>
      <c r="AW98" s="3" t="str">
        <f>IF(45&gt;$C98,"",IF($D98=1,EOMONTH(EDATE(Bonds!$H98,6*(45-1)),0),EDATE(Bonds!$H98,6*(45-1))))</f>
        <v/>
      </c>
      <c r="AX98" s="3" t="str">
        <f>IF(46&gt;$C98,"",IF($D98=1,EOMONTH(EDATE(Bonds!$H98,6*(46-1)),0),EDATE(Bonds!$H98,6*(46-1))))</f>
        <v/>
      </c>
      <c r="AY98" s="3" t="str">
        <f>IF(47&gt;$C98,"",IF($D98=1,EOMONTH(EDATE(Bonds!$H98,6*(47-1)),0),EDATE(Bonds!$H98,6*(47-1))))</f>
        <v/>
      </c>
      <c r="AZ98" s="3" t="str">
        <f>IF(48&gt;$C98,"",IF($D98=1,EOMONTH(EDATE(Bonds!$H98,6*(48-1)),0),EDATE(Bonds!$H98,6*(48-1))))</f>
        <v/>
      </c>
      <c r="BA98" s="3" t="str">
        <f>IF(49&gt;$C98,"",IF($D98=1,EOMONTH(EDATE(Bonds!$H98,6*(49-1)),0),EDATE(Bonds!$H98,6*(49-1))))</f>
        <v/>
      </c>
      <c r="BB98" s="3" t="str">
        <f>IF(50&gt;$C98,"",IF($D98=1,EOMONTH(EDATE(Bonds!$H98,6*(50-1)),0),EDATE(Bonds!$H98,6*(50-1))))</f>
        <v/>
      </c>
      <c r="BC98" s="3" t="str">
        <f>IF(51&gt;$C98,"",IF($D98=1,EOMONTH(EDATE(Bonds!$H98,6*(51-1)),0),EDATE(Bonds!$H98,6*(51-1))))</f>
        <v/>
      </c>
      <c r="BD98" s="3" t="str">
        <f>IF(52&gt;$C98,"",IF($D98=1,EOMONTH(EDATE(Bonds!$H98,6*(52-1)),0),EDATE(Bonds!$H98,6*(52-1))))</f>
        <v/>
      </c>
      <c r="BE98" s="3" t="str">
        <f>IF(53&gt;$C98,"",IF($D98=1,EOMONTH(EDATE(Bonds!$H98,6*(53-1)),0),EDATE(Bonds!$H98,6*(53-1))))</f>
        <v/>
      </c>
      <c r="BF98" s="3" t="str">
        <f>IF(54&gt;$C98,"",IF($D98=1,EOMONTH(EDATE(Bonds!$H98,6*(54-1)),0),EDATE(Bonds!$H98,6*(54-1))))</f>
        <v/>
      </c>
      <c r="BG98" s="3" t="str">
        <f>IF(55&gt;$C98,"",IF($D98=1,EOMONTH(EDATE(Bonds!$H98,6*(55-1)),0),EDATE(Bonds!$H98,6*(55-1))))</f>
        <v/>
      </c>
      <c r="BH98" s="3" t="str">
        <f>IF(56&gt;$C98,"",IF($D98=1,EOMONTH(EDATE(Bonds!$H98,6*(56-1)),0),EDATE(Bonds!$H98,6*(56-1))))</f>
        <v/>
      </c>
      <c r="BI98" s="3" t="str">
        <f>IF(57&gt;$C98,"",IF($D98=1,EOMONTH(EDATE(Bonds!$H98,6*(57-1)),0),EDATE(Bonds!$H98,6*(57-1))))</f>
        <v/>
      </c>
      <c r="BJ98" s="3" t="str">
        <f>IF(58&gt;$C98,"",IF($D98=1,EOMONTH(EDATE(Bonds!$H98,6*(58-1)),0),EDATE(Bonds!$H98,6*(58-1))))</f>
        <v/>
      </c>
      <c r="BK98" s="3" t="str">
        <f>IF(59&gt;$C98,"",IF($D98=1,EOMONTH(EDATE(Bonds!$H98,6*(59-1)),0),EDATE(Bonds!$H98,6*(59-1))))</f>
        <v/>
      </c>
      <c r="BL98" s="3" t="str">
        <f>IF(60&gt;$C98,"",IF($D98=1,EOMONTH(EDATE(Bonds!$H98,6*(60-1)),0),EDATE(Bonds!$H98,6*(60-1))))</f>
        <v/>
      </c>
      <c r="BN98" s="7">
        <f t="shared" si="62"/>
        <v>0.61964706664744795</v>
      </c>
      <c r="BO98" s="7">
        <f t="shared" si="63"/>
        <v>0.60695882698334613</v>
      </c>
      <c r="BP98" s="7">
        <f t="shared" si="64"/>
        <v>0.59361173420292579</v>
      </c>
      <c r="BQ98" s="7">
        <f t="shared" si="65"/>
        <v>93.413434624278722</v>
      </c>
      <c r="BR98" s="7">
        <f t="shared" si="66"/>
        <v>0</v>
      </c>
      <c r="BS98" s="7">
        <f t="shared" si="67"/>
        <v>0</v>
      </c>
      <c r="BT98" s="7">
        <f t="shared" si="68"/>
        <v>0</v>
      </c>
      <c r="BU98" s="7">
        <f t="shared" si="69"/>
        <v>0</v>
      </c>
      <c r="BV98" s="7">
        <f t="shared" si="70"/>
        <v>0</v>
      </c>
      <c r="BW98" s="7">
        <f t="shared" si="71"/>
        <v>0</v>
      </c>
      <c r="BX98" s="7">
        <f t="shared" si="72"/>
        <v>0</v>
      </c>
      <c r="BY98" s="7">
        <f t="shared" si="73"/>
        <v>0</v>
      </c>
      <c r="BZ98" s="7">
        <f t="shared" si="74"/>
        <v>0</v>
      </c>
      <c r="CA98" s="7">
        <f t="shared" si="75"/>
        <v>0</v>
      </c>
      <c r="CB98" s="7">
        <f t="shared" si="76"/>
        <v>0</v>
      </c>
      <c r="CC98" s="7">
        <f t="shared" si="77"/>
        <v>0</v>
      </c>
      <c r="CD98" s="7">
        <f t="shared" si="78"/>
        <v>0</v>
      </c>
      <c r="CE98" s="7">
        <f t="shared" si="79"/>
        <v>0</v>
      </c>
      <c r="CF98" s="7">
        <f t="shared" si="80"/>
        <v>0</v>
      </c>
      <c r="CG98" s="7">
        <f t="shared" si="81"/>
        <v>0</v>
      </c>
      <c r="CH98" s="7">
        <f t="shared" si="82"/>
        <v>0</v>
      </c>
      <c r="CI98" s="7">
        <f t="shared" si="83"/>
        <v>0</v>
      </c>
      <c r="CJ98" s="7">
        <f t="shared" si="84"/>
        <v>0</v>
      </c>
      <c r="CK98" s="7">
        <f t="shared" si="85"/>
        <v>0</v>
      </c>
      <c r="CL98" s="7">
        <f t="shared" si="86"/>
        <v>0</v>
      </c>
      <c r="CM98" s="7">
        <f t="shared" si="87"/>
        <v>0</v>
      </c>
      <c r="CN98" s="7">
        <f t="shared" si="88"/>
        <v>0</v>
      </c>
      <c r="CO98" s="7">
        <f t="shared" si="89"/>
        <v>0</v>
      </c>
      <c r="CP98" s="7">
        <f t="shared" si="90"/>
        <v>0</v>
      </c>
      <c r="CQ98" s="7">
        <f t="shared" si="91"/>
        <v>0</v>
      </c>
      <c r="CR98" s="7">
        <f t="shared" si="92"/>
        <v>0</v>
      </c>
      <c r="CS98" s="7">
        <f t="shared" si="93"/>
        <v>0</v>
      </c>
      <c r="CT98" s="7">
        <f t="shared" si="94"/>
        <v>0</v>
      </c>
      <c r="CU98" s="7">
        <f t="shared" si="95"/>
        <v>0</v>
      </c>
      <c r="CV98" s="7">
        <f t="shared" si="96"/>
        <v>0</v>
      </c>
      <c r="CW98" s="7">
        <f t="shared" si="97"/>
        <v>0</v>
      </c>
      <c r="CX98" s="7">
        <f t="shared" si="98"/>
        <v>0</v>
      </c>
      <c r="CY98" s="7">
        <f t="shared" si="99"/>
        <v>0</v>
      </c>
      <c r="CZ98" s="7">
        <f t="shared" si="100"/>
        <v>0</v>
      </c>
      <c r="DA98" s="7">
        <f t="shared" si="101"/>
        <v>0</v>
      </c>
      <c r="DB98" s="7">
        <f t="shared" si="102"/>
        <v>0</v>
      </c>
      <c r="DC98" s="7">
        <f t="shared" si="103"/>
        <v>0</v>
      </c>
      <c r="DD98" s="7">
        <f t="shared" si="104"/>
        <v>0</v>
      </c>
      <c r="DE98" s="7">
        <f t="shared" si="105"/>
        <v>0</v>
      </c>
      <c r="DF98" s="7">
        <f t="shared" si="106"/>
        <v>0</v>
      </c>
      <c r="DG98" s="7">
        <f t="shared" si="107"/>
        <v>0</v>
      </c>
      <c r="DH98" s="7">
        <f t="shared" si="108"/>
        <v>0</v>
      </c>
      <c r="DI98" s="7">
        <f t="shared" si="109"/>
        <v>0</v>
      </c>
      <c r="DJ98" s="7">
        <f t="shared" si="110"/>
        <v>0</v>
      </c>
      <c r="DK98" s="7">
        <f t="shared" si="111"/>
        <v>0</v>
      </c>
      <c r="DL98" s="7">
        <f t="shared" si="112"/>
        <v>0</v>
      </c>
      <c r="DM98" s="7">
        <f t="shared" si="113"/>
        <v>0</v>
      </c>
      <c r="DN98" s="7">
        <f t="shared" si="114"/>
        <v>0</v>
      </c>
      <c r="DO98" s="7">
        <f t="shared" si="115"/>
        <v>0</v>
      </c>
      <c r="DP98" s="7">
        <f t="shared" si="116"/>
        <v>0</v>
      </c>
      <c r="DQ98" s="7">
        <f t="shared" si="117"/>
        <v>0</v>
      </c>
      <c r="DR98" s="7">
        <f t="shared" si="118"/>
        <v>0</v>
      </c>
      <c r="DS98" s="7">
        <f t="shared" si="119"/>
        <v>0</v>
      </c>
      <c r="DT98" s="7">
        <f t="shared" si="120"/>
        <v>0</v>
      </c>
      <c r="DU98" s="7">
        <f t="shared" si="121"/>
        <v>0</v>
      </c>
    </row>
    <row r="99" spans="1:125" x14ac:dyDescent="0.2">
      <c r="A99" s="3">
        <f>Bonds!A99</f>
        <v>46904</v>
      </c>
      <c r="B99" s="4">
        <f>Bonds!B99</f>
        <v>3.625</v>
      </c>
      <c r="C99">
        <f>Bonds!P99</f>
        <v>4</v>
      </c>
      <c r="D99">
        <f t="shared" si="61"/>
        <v>1</v>
      </c>
      <c r="E99" s="3">
        <f>IF(1&gt;$C99,"",IF($D99=1,EOMONTH(EDATE(Bonds!$H99,6*(1-1)),0),EDATE(Bonds!$H99,6*(1-1))))</f>
        <v>46356</v>
      </c>
      <c r="F99" s="3">
        <f>IF(2&gt;$C99,"",IF($D99=1,EOMONTH(EDATE(Bonds!$H99,6*(2-1)),0),EDATE(Bonds!$H99,6*(2-1))))</f>
        <v>46538</v>
      </c>
      <c r="G99" s="3">
        <f>IF(3&gt;$C99,"",IF($D99=1,EOMONTH(EDATE(Bonds!$H99,6*(3-1)),0),EDATE(Bonds!$H99,6*(3-1))))</f>
        <v>46721</v>
      </c>
      <c r="H99" s="3">
        <f>IF(4&gt;$C99,"",IF($D99=1,EOMONTH(EDATE(Bonds!$H99,6*(4-1)),0),EDATE(Bonds!$H99,6*(4-1))))</f>
        <v>46904</v>
      </c>
      <c r="I99" s="3" t="str">
        <f>IF(5&gt;$C99,"",IF($D99=1,EOMONTH(EDATE(Bonds!$H99,6*(5-1)),0),EDATE(Bonds!$H99,6*(5-1))))</f>
        <v/>
      </c>
      <c r="J99" s="3" t="str">
        <f>IF(6&gt;$C99,"",IF($D99=1,EOMONTH(EDATE(Bonds!$H99,6*(6-1)),0),EDATE(Bonds!$H99,6*(6-1))))</f>
        <v/>
      </c>
      <c r="K99" s="3" t="str">
        <f>IF(7&gt;$C99,"",IF($D99=1,EOMONTH(EDATE(Bonds!$H99,6*(7-1)),0),EDATE(Bonds!$H99,6*(7-1))))</f>
        <v/>
      </c>
      <c r="L99" s="3" t="str">
        <f>IF(8&gt;$C99,"",IF($D99=1,EOMONTH(EDATE(Bonds!$H99,6*(8-1)),0),EDATE(Bonds!$H99,6*(8-1))))</f>
        <v/>
      </c>
      <c r="M99" s="3" t="str">
        <f>IF(9&gt;$C99,"",IF($D99=1,EOMONTH(EDATE(Bonds!$H99,6*(9-1)),0),EDATE(Bonds!$H99,6*(9-1))))</f>
        <v/>
      </c>
      <c r="N99" s="3" t="str">
        <f>IF(10&gt;$C99,"",IF($D99=1,EOMONTH(EDATE(Bonds!$H99,6*(10-1)),0),EDATE(Bonds!$H99,6*(10-1))))</f>
        <v/>
      </c>
      <c r="O99" s="3" t="str">
        <f>IF(11&gt;$C99,"",IF($D99=1,EOMONTH(EDATE(Bonds!$H99,6*(11-1)),0),EDATE(Bonds!$H99,6*(11-1))))</f>
        <v/>
      </c>
      <c r="P99" s="3" t="str">
        <f>IF(12&gt;$C99,"",IF($D99=1,EOMONTH(EDATE(Bonds!$H99,6*(12-1)),0),EDATE(Bonds!$H99,6*(12-1))))</f>
        <v/>
      </c>
      <c r="Q99" s="3" t="str">
        <f>IF(13&gt;$C99,"",IF($D99=1,EOMONTH(EDATE(Bonds!$H99,6*(13-1)),0),EDATE(Bonds!$H99,6*(13-1))))</f>
        <v/>
      </c>
      <c r="R99" s="3" t="str">
        <f>IF(14&gt;$C99,"",IF($D99=1,EOMONTH(EDATE(Bonds!$H99,6*(14-1)),0),EDATE(Bonds!$H99,6*(14-1))))</f>
        <v/>
      </c>
      <c r="S99" s="3" t="str">
        <f>IF(15&gt;$C99,"",IF($D99=1,EOMONTH(EDATE(Bonds!$H99,6*(15-1)),0),EDATE(Bonds!$H99,6*(15-1))))</f>
        <v/>
      </c>
      <c r="T99" s="3" t="str">
        <f>IF(16&gt;$C99,"",IF($D99=1,EOMONTH(EDATE(Bonds!$H99,6*(16-1)),0),EDATE(Bonds!$H99,6*(16-1))))</f>
        <v/>
      </c>
      <c r="U99" s="3" t="str">
        <f>IF(17&gt;$C99,"",IF($D99=1,EOMONTH(EDATE(Bonds!$H99,6*(17-1)),0),EDATE(Bonds!$H99,6*(17-1))))</f>
        <v/>
      </c>
      <c r="V99" s="3" t="str">
        <f>IF(18&gt;$C99,"",IF($D99=1,EOMONTH(EDATE(Bonds!$H99,6*(18-1)),0),EDATE(Bonds!$H99,6*(18-1))))</f>
        <v/>
      </c>
      <c r="W99" s="3" t="str">
        <f>IF(19&gt;$C99,"",IF($D99=1,EOMONTH(EDATE(Bonds!$H99,6*(19-1)),0),EDATE(Bonds!$H99,6*(19-1))))</f>
        <v/>
      </c>
      <c r="X99" s="3" t="str">
        <f>IF(20&gt;$C99,"",IF($D99=1,EOMONTH(EDATE(Bonds!$H99,6*(20-1)),0),EDATE(Bonds!$H99,6*(20-1))))</f>
        <v/>
      </c>
      <c r="Y99" s="3" t="str">
        <f>IF(21&gt;$C99,"",IF($D99=1,EOMONTH(EDATE(Bonds!$H99,6*(21-1)),0),EDATE(Bonds!$H99,6*(21-1))))</f>
        <v/>
      </c>
      <c r="Z99" s="3" t="str">
        <f>IF(22&gt;$C99,"",IF($D99=1,EOMONTH(EDATE(Bonds!$H99,6*(22-1)),0),EDATE(Bonds!$H99,6*(22-1))))</f>
        <v/>
      </c>
      <c r="AA99" s="3" t="str">
        <f>IF(23&gt;$C99,"",IF($D99=1,EOMONTH(EDATE(Bonds!$H99,6*(23-1)),0),EDATE(Bonds!$H99,6*(23-1))))</f>
        <v/>
      </c>
      <c r="AB99" s="3" t="str">
        <f>IF(24&gt;$C99,"",IF($D99=1,EOMONTH(EDATE(Bonds!$H99,6*(24-1)),0),EDATE(Bonds!$H99,6*(24-1))))</f>
        <v/>
      </c>
      <c r="AC99" s="3" t="str">
        <f>IF(25&gt;$C99,"",IF($D99=1,EOMONTH(EDATE(Bonds!$H99,6*(25-1)),0),EDATE(Bonds!$H99,6*(25-1))))</f>
        <v/>
      </c>
      <c r="AD99" s="3" t="str">
        <f>IF(26&gt;$C99,"",IF($D99=1,EOMONTH(EDATE(Bonds!$H99,6*(26-1)),0),EDATE(Bonds!$H99,6*(26-1))))</f>
        <v/>
      </c>
      <c r="AE99" s="3" t="str">
        <f>IF(27&gt;$C99,"",IF($D99=1,EOMONTH(EDATE(Bonds!$H99,6*(27-1)),0),EDATE(Bonds!$H99,6*(27-1))))</f>
        <v/>
      </c>
      <c r="AF99" s="3" t="str">
        <f>IF(28&gt;$C99,"",IF($D99=1,EOMONTH(EDATE(Bonds!$H99,6*(28-1)),0),EDATE(Bonds!$H99,6*(28-1))))</f>
        <v/>
      </c>
      <c r="AG99" s="3" t="str">
        <f>IF(29&gt;$C99,"",IF($D99=1,EOMONTH(EDATE(Bonds!$H99,6*(29-1)),0),EDATE(Bonds!$H99,6*(29-1))))</f>
        <v/>
      </c>
      <c r="AH99" s="3" t="str">
        <f>IF(30&gt;$C99,"",IF($D99=1,EOMONTH(EDATE(Bonds!$H99,6*(30-1)),0),EDATE(Bonds!$H99,6*(30-1))))</f>
        <v/>
      </c>
      <c r="AI99" s="3" t="str">
        <f>IF(31&gt;$C99,"",IF($D99=1,EOMONTH(EDATE(Bonds!$H99,6*(31-1)),0),EDATE(Bonds!$H99,6*(31-1))))</f>
        <v/>
      </c>
      <c r="AJ99" s="3" t="str">
        <f>IF(32&gt;$C99,"",IF($D99=1,EOMONTH(EDATE(Bonds!$H99,6*(32-1)),0),EDATE(Bonds!$H99,6*(32-1))))</f>
        <v/>
      </c>
      <c r="AK99" s="3" t="str">
        <f>IF(33&gt;$C99,"",IF($D99=1,EOMONTH(EDATE(Bonds!$H99,6*(33-1)),0),EDATE(Bonds!$H99,6*(33-1))))</f>
        <v/>
      </c>
      <c r="AL99" s="3" t="str">
        <f>IF(34&gt;$C99,"",IF($D99=1,EOMONTH(EDATE(Bonds!$H99,6*(34-1)),0),EDATE(Bonds!$H99,6*(34-1))))</f>
        <v/>
      </c>
      <c r="AM99" s="3" t="str">
        <f>IF(35&gt;$C99,"",IF($D99=1,EOMONTH(EDATE(Bonds!$H99,6*(35-1)),0),EDATE(Bonds!$H99,6*(35-1))))</f>
        <v/>
      </c>
      <c r="AN99" s="3" t="str">
        <f>IF(36&gt;$C99,"",IF($D99=1,EOMONTH(EDATE(Bonds!$H99,6*(36-1)),0),EDATE(Bonds!$H99,6*(36-1))))</f>
        <v/>
      </c>
      <c r="AO99" s="3" t="str">
        <f>IF(37&gt;$C99,"",IF($D99=1,EOMONTH(EDATE(Bonds!$H99,6*(37-1)),0),EDATE(Bonds!$H99,6*(37-1))))</f>
        <v/>
      </c>
      <c r="AP99" s="3" t="str">
        <f>IF(38&gt;$C99,"",IF($D99=1,EOMONTH(EDATE(Bonds!$H99,6*(38-1)),0),EDATE(Bonds!$H99,6*(38-1))))</f>
        <v/>
      </c>
      <c r="AQ99" s="3" t="str">
        <f>IF(39&gt;$C99,"",IF($D99=1,EOMONTH(EDATE(Bonds!$H99,6*(39-1)),0),EDATE(Bonds!$H99,6*(39-1))))</f>
        <v/>
      </c>
      <c r="AR99" s="3" t="str">
        <f>IF(40&gt;$C99,"",IF($D99=1,EOMONTH(EDATE(Bonds!$H99,6*(40-1)),0),EDATE(Bonds!$H99,6*(40-1))))</f>
        <v/>
      </c>
      <c r="AS99" s="3" t="str">
        <f>IF(41&gt;$C99,"",IF($D99=1,EOMONTH(EDATE(Bonds!$H99,6*(41-1)),0),EDATE(Bonds!$H99,6*(41-1))))</f>
        <v/>
      </c>
      <c r="AT99" s="3" t="str">
        <f>IF(42&gt;$C99,"",IF($D99=1,EOMONTH(EDATE(Bonds!$H99,6*(42-1)),0),EDATE(Bonds!$H99,6*(42-1))))</f>
        <v/>
      </c>
      <c r="AU99" s="3" t="str">
        <f>IF(43&gt;$C99,"",IF($D99=1,EOMONTH(EDATE(Bonds!$H99,6*(43-1)),0),EDATE(Bonds!$H99,6*(43-1))))</f>
        <v/>
      </c>
      <c r="AV99" s="3" t="str">
        <f>IF(44&gt;$C99,"",IF($D99=1,EOMONTH(EDATE(Bonds!$H99,6*(44-1)),0),EDATE(Bonds!$H99,6*(44-1))))</f>
        <v/>
      </c>
      <c r="AW99" s="3" t="str">
        <f>IF(45&gt;$C99,"",IF($D99=1,EOMONTH(EDATE(Bonds!$H99,6*(45-1)),0),EDATE(Bonds!$H99,6*(45-1))))</f>
        <v/>
      </c>
      <c r="AX99" s="3" t="str">
        <f>IF(46&gt;$C99,"",IF($D99=1,EOMONTH(EDATE(Bonds!$H99,6*(46-1)),0),EDATE(Bonds!$H99,6*(46-1))))</f>
        <v/>
      </c>
      <c r="AY99" s="3" t="str">
        <f>IF(47&gt;$C99,"",IF($D99=1,EOMONTH(EDATE(Bonds!$H99,6*(47-1)),0),EDATE(Bonds!$H99,6*(47-1))))</f>
        <v/>
      </c>
      <c r="AZ99" s="3" t="str">
        <f>IF(48&gt;$C99,"",IF($D99=1,EOMONTH(EDATE(Bonds!$H99,6*(48-1)),0),EDATE(Bonds!$H99,6*(48-1))))</f>
        <v/>
      </c>
      <c r="BA99" s="3" t="str">
        <f>IF(49&gt;$C99,"",IF($D99=1,EOMONTH(EDATE(Bonds!$H99,6*(49-1)),0),EDATE(Bonds!$H99,6*(49-1))))</f>
        <v/>
      </c>
      <c r="BB99" s="3" t="str">
        <f>IF(50&gt;$C99,"",IF($D99=1,EOMONTH(EDATE(Bonds!$H99,6*(50-1)),0),EDATE(Bonds!$H99,6*(50-1))))</f>
        <v/>
      </c>
      <c r="BC99" s="3" t="str">
        <f>IF(51&gt;$C99,"",IF($D99=1,EOMONTH(EDATE(Bonds!$H99,6*(51-1)),0),EDATE(Bonds!$H99,6*(51-1))))</f>
        <v/>
      </c>
      <c r="BD99" s="3" t="str">
        <f>IF(52&gt;$C99,"",IF($D99=1,EOMONTH(EDATE(Bonds!$H99,6*(52-1)),0),EDATE(Bonds!$H99,6*(52-1))))</f>
        <v/>
      </c>
      <c r="BE99" s="3" t="str">
        <f>IF(53&gt;$C99,"",IF($D99=1,EOMONTH(EDATE(Bonds!$H99,6*(53-1)),0),EDATE(Bonds!$H99,6*(53-1))))</f>
        <v/>
      </c>
      <c r="BF99" s="3" t="str">
        <f>IF(54&gt;$C99,"",IF($D99=1,EOMONTH(EDATE(Bonds!$H99,6*(54-1)),0),EDATE(Bonds!$H99,6*(54-1))))</f>
        <v/>
      </c>
      <c r="BG99" s="3" t="str">
        <f>IF(55&gt;$C99,"",IF($D99=1,EOMONTH(EDATE(Bonds!$H99,6*(55-1)),0),EDATE(Bonds!$H99,6*(55-1))))</f>
        <v/>
      </c>
      <c r="BH99" s="3" t="str">
        <f>IF(56&gt;$C99,"",IF($D99=1,EOMONTH(EDATE(Bonds!$H99,6*(56-1)),0),EDATE(Bonds!$H99,6*(56-1))))</f>
        <v/>
      </c>
      <c r="BI99" s="3" t="str">
        <f>IF(57&gt;$C99,"",IF($D99=1,EOMONTH(EDATE(Bonds!$H99,6*(57-1)),0),EDATE(Bonds!$H99,6*(57-1))))</f>
        <v/>
      </c>
      <c r="BJ99" s="3" t="str">
        <f>IF(58&gt;$C99,"",IF($D99=1,EOMONTH(EDATE(Bonds!$H99,6*(58-1)),0),EDATE(Bonds!$H99,6*(58-1))))</f>
        <v/>
      </c>
      <c r="BK99" s="3" t="str">
        <f>IF(59&gt;$C99,"",IF($D99=1,EOMONTH(EDATE(Bonds!$H99,6*(59-1)),0),EDATE(Bonds!$H99,6*(59-1))))</f>
        <v/>
      </c>
      <c r="BL99" s="3" t="str">
        <f>IF(60&gt;$C99,"",IF($D99=1,EOMONTH(EDATE(Bonds!$H99,6*(60-1)),0),EDATE(Bonds!$H99,6*(60-1))))</f>
        <v/>
      </c>
      <c r="BN99" s="7">
        <f t="shared" si="62"/>
        <v>1.7969764932775991</v>
      </c>
      <c r="BO99" s="7">
        <f t="shared" si="63"/>
        <v>1.7601805982517038</v>
      </c>
      <c r="BP99" s="7">
        <f t="shared" si="64"/>
        <v>1.7214740291884847</v>
      </c>
      <c r="BQ99" s="7">
        <f t="shared" si="65"/>
        <v>94.515829194378895</v>
      </c>
      <c r="BR99" s="7">
        <f t="shared" si="66"/>
        <v>0</v>
      </c>
      <c r="BS99" s="7">
        <f t="shared" si="67"/>
        <v>0</v>
      </c>
      <c r="BT99" s="7">
        <f t="shared" si="68"/>
        <v>0</v>
      </c>
      <c r="BU99" s="7">
        <f t="shared" si="69"/>
        <v>0</v>
      </c>
      <c r="BV99" s="7">
        <f t="shared" si="70"/>
        <v>0</v>
      </c>
      <c r="BW99" s="7">
        <f t="shared" si="71"/>
        <v>0</v>
      </c>
      <c r="BX99" s="7">
        <f t="shared" si="72"/>
        <v>0</v>
      </c>
      <c r="BY99" s="7">
        <f t="shared" si="73"/>
        <v>0</v>
      </c>
      <c r="BZ99" s="7">
        <f t="shared" si="74"/>
        <v>0</v>
      </c>
      <c r="CA99" s="7">
        <f t="shared" si="75"/>
        <v>0</v>
      </c>
      <c r="CB99" s="7">
        <f t="shared" si="76"/>
        <v>0</v>
      </c>
      <c r="CC99" s="7">
        <f t="shared" si="77"/>
        <v>0</v>
      </c>
      <c r="CD99" s="7">
        <f t="shared" si="78"/>
        <v>0</v>
      </c>
      <c r="CE99" s="7">
        <f t="shared" si="79"/>
        <v>0</v>
      </c>
      <c r="CF99" s="7">
        <f t="shared" si="80"/>
        <v>0</v>
      </c>
      <c r="CG99" s="7">
        <f t="shared" si="81"/>
        <v>0</v>
      </c>
      <c r="CH99" s="7">
        <f t="shared" si="82"/>
        <v>0</v>
      </c>
      <c r="CI99" s="7">
        <f t="shared" si="83"/>
        <v>0</v>
      </c>
      <c r="CJ99" s="7">
        <f t="shared" si="84"/>
        <v>0</v>
      </c>
      <c r="CK99" s="7">
        <f t="shared" si="85"/>
        <v>0</v>
      </c>
      <c r="CL99" s="7">
        <f t="shared" si="86"/>
        <v>0</v>
      </c>
      <c r="CM99" s="7">
        <f t="shared" si="87"/>
        <v>0</v>
      </c>
      <c r="CN99" s="7">
        <f t="shared" si="88"/>
        <v>0</v>
      </c>
      <c r="CO99" s="7">
        <f t="shared" si="89"/>
        <v>0</v>
      </c>
      <c r="CP99" s="7">
        <f t="shared" si="90"/>
        <v>0</v>
      </c>
      <c r="CQ99" s="7">
        <f t="shared" si="91"/>
        <v>0</v>
      </c>
      <c r="CR99" s="7">
        <f t="shared" si="92"/>
        <v>0</v>
      </c>
      <c r="CS99" s="7">
        <f t="shared" si="93"/>
        <v>0</v>
      </c>
      <c r="CT99" s="7">
        <f t="shared" si="94"/>
        <v>0</v>
      </c>
      <c r="CU99" s="7">
        <f t="shared" si="95"/>
        <v>0</v>
      </c>
      <c r="CV99" s="7">
        <f t="shared" si="96"/>
        <v>0</v>
      </c>
      <c r="CW99" s="7">
        <f t="shared" si="97"/>
        <v>0</v>
      </c>
      <c r="CX99" s="7">
        <f t="shared" si="98"/>
        <v>0</v>
      </c>
      <c r="CY99" s="7">
        <f t="shared" si="99"/>
        <v>0</v>
      </c>
      <c r="CZ99" s="7">
        <f t="shared" si="100"/>
        <v>0</v>
      </c>
      <c r="DA99" s="7">
        <f t="shared" si="101"/>
        <v>0</v>
      </c>
      <c r="DB99" s="7">
        <f t="shared" si="102"/>
        <v>0</v>
      </c>
      <c r="DC99" s="7">
        <f t="shared" si="103"/>
        <v>0</v>
      </c>
      <c r="DD99" s="7">
        <f t="shared" si="104"/>
        <v>0</v>
      </c>
      <c r="DE99" s="7">
        <f t="shared" si="105"/>
        <v>0</v>
      </c>
      <c r="DF99" s="7">
        <f t="shared" si="106"/>
        <v>0</v>
      </c>
      <c r="DG99" s="7">
        <f t="shared" si="107"/>
        <v>0</v>
      </c>
      <c r="DH99" s="7">
        <f t="shared" si="108"/>
        <v>0</v>
      </c>
      <c r="DI99" s="7">
        <f t="shared" si="109"/>
        <v>0</v>
      </c>
      <c r="DJ99" s="7">
        <f t="shared" si="110"/>
        <v>0</v>
      </c>
      <c r="DK99" s="7">
        <f t="shared" si="111"/>
        <v>0</v>
      </c>
      <c r="DL99" s="7">
        <f t="shared" si="112"/>
        <v>0</v>
      </c>
      <c r="DM99" s="7">
        <f t="shared" si="113"/>
        <v>0</v>
      </c>
      <c r="DN99" s="7">
        <f t="shared" si="114"/>
        <v>0</v>
      </c>
      <c r="DO99" s="7">
        <f t="shared" si="115"/>
        <v>0</v>
      </c>
      <c r="DP99" s="7">
        <f t="shared" si="116"/>
        <v>0</v>
      </c>
      <c r="DQ99" s="7">
        <f t="shared" si="117"/>
        <v>0</v>
      </c>
      <c r="DR99" s="7">
        <f t="shared" si="118"/>
        <v>0</v>
      </c>
      <c r="DS99" s="7">
        <f t="shared" si="119"/>
        <v>0</v>
      </c>
      <c r="DT99" s="7">
        <f t="shared" si="120"/>
        <v>0</v>
      </c>
      <c r="DU99" s="7">
        <f t="shared" si="121"/>
        <v>0</v>
      </c>
    </row>
    <row r="100" spans="1:125" x14ac:dyDescent="0.2">
      <c r="A100" s="3">
        <f>Bonds!A100</f>
        <v>46904</v>
      </c>
      <c r="B100" s="4">
        <f>Bonds!B100</f>
        <v>4</v>
      </c>
      <c r="C100">
        <f>Bonds!P100</f>
        <v>4</v>
      </c>
      <c r="D100">
        <f t="shared" si="61"/>
        <v>1</v>
      </c>
      <c r="E100" s="3">
        <f>IF(1&gt;$C100,"",IF($D100=1,EOMONTH(EDATE(Bonds!$H100,6*(1-1)),0),EDATE(Bonds!$H100,6*(1-1))))</f>
        <v>46356</v>
      </c>
      <c r="F100" s="3">
        <f>IF(2&gt;$C100,"",IF($D100=1,EOMONTH(EDATE(Bonds!$H100,6*(2-1)),0),EDATE(Bonds!$H100,6*(2-1))))</f>
        <v>46538</v>
      </c>
      <c r="G100" s="3">
        <f>IF(3&gt;$C100,"",IF($D100=1,EOMONTH(EDATE(Bonds!$H100,6*(3-1)),0),EDATE(Bonds!$H100,6*(3-1))))</f>
        <v>46721</v>
      </c>
      <c r="H100" s="3">
        <f>IF(4&gt;$C100,"",IF($D100=1,EOMONTH(EDATE(Bonds!$H100,6*(4-1)),0),EDATE(Bonds!$H100,6*(4-1))))</f>
        <v>46904</v>
      </c>
      <c r="I100" s="3" t="str">
        <f>IF(5&gt;$C100,"",IF($D100=1,EOMONTH(EDATE(Bonds!$H100,6*(5-1)),0),EDATE(Bonds!$H100,6*(5-1))))</f>
        <v/>
      </c>
      <c r="J100" s="3" t="str">
        <f>IF(6&gt;$C100,"",IF($D100=1,EOMONTH(EDATE(Bonds!$H100,6*(6-1)),0),EDATE(Bonds!$H100,6*(6-1))))</f>
        <v/>
      </c>
      <c r="K100" s="3" t="str">
        <f>IF(7&gt;$C100,"",IF($D100=1,EOMONTH(EDATE(Bonds!$H100,6*(7-1)),0),EDATE(Bonds!$H100,6*(7-1))))</f>
        <v/>
      </c>
      <c r="L100" s="3" t="str">
        <f>IF(8&gt;$C100,"",IF($D100=1,EOMONTH(EDATE(Bonds!$H100,6*(8-1)),0),EDATE(Bonds!$H100,6*(8-1))))</f>
        <v/>
      </c>
      <c r="M100" s="3" t="str">
        <f>IF(9&gt;$C100,"",IF($D100=1,EOMONTH(EDATE(Bonds!$H100,6*(9-1)),0),EDATE(Bonds!$H100,6*(9-1))))</f>
        <v/>
      </c>
      <c r="N100" s="3" t="str">
        <f>IF(10&gt;$C100,"",IF($D100=1,EOMONTH(EDATE(Bonds!$H100,6*(10-1)),0),EDATE(Bonds!$H100,6*(10-1))))</f>
        <v/>
      </c>
      <c r="O100" s="3" t="str">
        <f>IF(11&gt;$C100,"",IF($D100=1,EOMONTH(EDATE(Bonds!$H100,6*(11-1)),0),EDATE(Bonds!$H100,6*(11-1))))</f>
        <v/>
      </c>
      <c r="P100" s="3" t="str">
        <f>IF(12&gt;$C100,"",IF($D100=1,EOMONTH(EDATE(Bonds!$H100,6*(12-1)),0),EDATE(Bonds!$H100,6*(12-1))))</f>
        <v/>
      </c>
      <c r="Q100" s="3" t="str">
        <f>IF(13&gt;$C100,"",IF($D100=1,EOMONTH(EDATE(Bonds!$H100,6*(13-1)),0),EDATE(Bonds!$H100,6*(13-1))))</f>
        <v/>
      </c>
      <c r="R100" s="3" t="str">
        <f>IF(14&gt;$C100,"",IF($D100=1,EOMONTH(EDATE(Bonds!$H100,6*(14-1)),0),EDATE(Bonds!$H100,6*(14-1))))</f>
        <v/>
      </c>
      <c r="S100" s="3" t="str">
        <f>IF(15&gt;$C100,"",IF($D100=1,EOMONTH(EDATE(Bonds!$H100,6*(15-1)),0),EDATE(Bonds!$H100,6*(15-1))))</f>
        <v/>
      </c>
      <c r="T100" s="3" t="str">
        <f>IF(16&gt;$C100,"",IF($D100=1,EOMONTH(EDATE(Bonds!$H100,6*(16-1)),0),EDATE(Bonds!$H100,6*(16-1))))</f>
        <v/>
      </c>
      <c r="U100" s="3" t="str">
        <f>IF(17&gt;$C100,"",IF($D100=1,EOMONTH(EDATE(Bonds!$H100,6*(17-1)),0),EDATE(Bonds!$H100,6*(17-1))))</f>
        <v/>
      </c>
      <c r="V100" s="3" t="str">
        <f>IF(18&gt;$C100,"",IF($D100=1,EOMONTH(EDATE(Bonds!$H100,6*(18-1)),0),EDATE(Bonds!$H100,6*(18-1))))</f>
        <v/>
      </c>
      <c r="W100" s="3" t="str">
        <f>IF(19&gt;$C100,"",IF($D100=1,EOMONTH(EDATE(Bonds!$H100,6*(19-1)),0),EDATE(Bonds!$H100,6*(19-1))))</f>
        <v/>
      </c>
      <c r="X100" s="3" t="str">
        <f>IF(20&gt;$C100,"",IF($D100=1,EOMONTH(EDATE(Bonds!$H100,6*(20-1)),0),EDATE(Bonds!$H100,6*(20-1))))</f>
        <v/>
      </c>
      <c r="Y100" s="3" t="str">
        <f>IF(21&gt;$C100,"",IF($D100=1,EOMONTH(EDATE(Bonds!$H100,6*(21-1)),0),EDATE(Bonds!$H100,6*(21-1))))</f>
        <v/>
      </c>
      <c r="Z100" s="3" t="str">
        <f>IF(22&gt;$C100,"",IF($D100=1,EOMONTH(EDATE(Bonds!$H100,6*(22-1)),0),EDATE(Bonds!$H100,6*(22-1))))</f>
        <v/>
      </c>
      <c r="AA100" s="3" t="str">
        <f>IF(23&gt;$C100,"",IF($D100=1,EOMONTH(EDATE(Bonds!$H100,6*(23-1)),0),EDATE(Bonds!$H100,6*(23-1))))</f>
        <v/>
      </c>
      <c r="AB100" s="3" t="str">
        <f>IF(24&gt;$C100,"",IF($D100=1,EOMONTH(EDATE(Bonds!$H100,6*(24-1)),0),EDATE(Bonds!$H100,6*(24-1))))</f>
        <v/>
      </c>
      <c r="AC100" s="3" t="str">
        <f>IF(25&gt;$C100,"",IF($D100=1,EOMONTH(EDATE(Bonds!$H100,6*(25-1)),0),EDATE(Bonds!$H100,6*(25-1))))</f>
        <v/>
      </c>
      <c r="AD100" s="3" t="str">
        <f>IF(26&gt;$C100,"",IF($D100=1,EOMONTH(EDATE(Bonds!$H100,6*(26-1)),0),EDATE(Bonds!$H100,6*(26-1))))</f>
        <v/>
      </c>
      <c r="AE100" s="3" t="str">
        <f>IF(27&gt;$C100,"",IF($D100=1,EOMONTH(EDATE(Bonds!$H100,6*(27-1)),0),EDATE(Bonds!$H100,6*(27-1))))</f>
        <v/>
      </c>
      <c r="AF100" s="3" t="str">
        <f>IF(28&gt;$C100,"",IF($D100=1,EOMONTH(EDATE(Bonds!$H100,6*(28-1)),0),EDATE(Bonds!$H100,6*(28-1))))</f>
        <v/>
      </c>
      <c r="AG100" s="3" t="str">
        <f>IF(29&gt;$C100,"",IF($D100=1,EOMONTH(EDATE(Bonds!$H100,6*(29-1)),0),EDATE(Bonds!$H100,6*(29-1))))</f>
        <v/>
      </c>
      <c r="AH100" s="3" t="str">
        <f>IF(30&gt;$C100,"",IF($D100=1,EOMONTH(EDATE(Bonds!$H100,6*(30-1)),0),EDATE(Bonds!$H100,6*(30-1))))</f>
        <v/>
      </c>
      <c r="AI100" s="3" t="str">
        <f>IF(31&gt;$C100,"",IF($D100=1,EOMONTH(EDATE(Bonds!$H100,6*(31-1)),0),EDATE(Bonds!$H100,6*(31-1))))</f>
        <v/>
      </c>
      <c r="AJ100" s="3" t="str">
        <f>IF(32&gt;$C100,"",IF($D100=1,EOMONTH(EDATE(Bonds!$H100,6*(32-1)),0),EDATE(Bonds!$H100,6*(32-1))))</f>
        <v/>
      </c>
      <c r="AK100" s="3" t="str">
        <f>IF(33&gt;$C100,"",IF($D100=1,EOMONTH(EDATE(Bonds!$H100,6*(33-1)),0),EDATE(Bonds!$H100,6*(33-1))))</f>
        <v/>
      </c>
      <c r="AL100" s="3" t="str">
        <f>IF(34&gt;$C100,"",IF($D100=1,EOMONTH(EDATE(Bonds!$H100,6*(34-1)),0),EDATE(Bonds!$H100,6*(34-1))))</f>
        <v/>
      </c>
      <c r="AM100" s="3" t="str">
        <f>IF(35&gt;$C100,"",IF($D100=1,EOMONTH(EDATE(Bonds!$H100,6*(35-1)),0),EDATE(Bonds!$H100,6*(35-1))))</f>
        <v/>
      </c>
      <c r="AN100" s="3" t="str">
        <f>IF(36&gt;$C100,"",IF($D100=1,EOMONTH(EDATE(Bonds!$H100,6*(36-1)),0),EDATE(Bonds!$H100,6*(36-1))))</f>
        <v/>
      </c>
      <c r="AO100" s="3" t="str">
        <f>IF(37&gt;$C100,"",IF($D100=1,EOMONTH(EDATE(Bonds!$H100,6*(37-1)),0),EDATE(Bonds!$H100,6*(37-1))))</f>
        <v/>
      </c>
      <c r="AP100" s="3" t="str">
        <f>IF(38&gt;$C100,"",IF($D100=1,EOMONTH(EDATE(Bonds!$H100,6*(38-1)),0),EDATE(Bonds!$H100,6*(38-1))))</f>
        <v/>
      </c>
      <c r="AQ100" s="3" t="str">
        <f>IF(39&gt;$C100,"",IF($D100=1,EOMONTH(EDATE(Bonds!$H100,6*(39-1)),0),EDATE(Bonds!$H100,6*(39-1))))</f>
        <v/>
      </c>
      <c r="AR100" s="3" t="str">
        <f>IF(40&gt;$C100,"",IF($D100=1,EOMONTH(EDATE(Bonds!$H100,6*(40-1)),0),EDATE(Bonds!$H100,6*(40-1))))</f>
        <v/>
      </c>
      <c r="AS100" s="3" t="str">
        <f>IF(41&gt;$C100,"",IF($D100=1,EOMONTH(EDATE(Bonds!$H100,6*(41-1)),0),EDATE(Bonds!$H100,6*(41-1))))</f>
        <v/>
      </c>
      <c r="AT100" s="3" t="str">
        <f>IF(42&gt;$C100,"",IF($D100=1,EOMONTH(EDATE(Bonds!$H100,6*(42-1)),0),EDATE(Bonds!$H100,6*(42-1))))</f>
        <v/>
      </c>
      <c r="AU100" s="3" t="str">
        <f>IF(43&gt;$C100,"",IF($D100=1,EOMONTH(EDATE(Bonds!$H100,6*(43-1)),0),EDATE(Bonds!$H100,6*(43-1))))</f>
        <v/>
      </c>
      <c r="AV100" s="3" t="str">
        <f>IF(44&gt;$C100,"",IF($D100=1,EOMONTH(EDATE(Bonds!$H100,6*(44-1)),0),EDATE(Bonds!$H100,6*(44-1))))</f>
        <v/>
      </c>
      <c r="AW100" s="3" t="str">
        <f>IF(45&gt;$C100,"",IF($D100=1,EOMONTH(EDATE(Bonds!$H100,6*(45-1)),0),EDATE(Bonds!$H100,6*(45-1))))</f>
        <v/>
      </c>
      <c r="AX100" s="3" t="str">
        <f>IF(46&gt;$C100,"",IF($D100=1,EOMONTH(EDATE(Bonds!$H100,6*(46-1)),0),EDATE(Bonds!$H100,6*(46-1))))</f>
        <v/>
      </c>
      <c r="AY100" s="3" t="str">
        <f>IF(47&gt;$C100,"",IF($D100=1,EOMONTH(EDATE(Bonds!$H100,6*(47-1)),0),EDATE(Bonds!$H100,6*(47-1))))</f>
        <v/>
      </c>
      <c r="AZ100" s="3" t="str">
        <f>IF(48&gt;$C100,"",IF($D100=1,EOMONTH(EDATE(Bonds!$H100,6*(48-1)),0),EDATE(Bonds!$H100,6*(48-1))))</f>
        <v/>
      </c>
      <c r="BA100" s="3" t="str">
        <f>IF(49&gt;$C100,"",IF($D100=1,EOMONTH(EDATE(Bonds!$H100,6*(49-1)),0),EDATE(Bonds!$H100,6*(49-1))))</f>
        <v/>
      </c>
      <c r="BB100" s="3" t="str">
        <f>IF(50&gt;$C100,"",IF($D100=1,EOMONTH(EDATE(Bonds!$H100,6*(50-1)),0),EDATE(Bonds!$H100,6*(50-1))))</f>
        <v/>
      </c>
      <c r="BC100" s="3" t="str">
        <f>IF(51&gt;$C100,"",IF($D100=1,EOMONTH(EDATE(Bonds!$H100,6*(51-1)),0),EDATE(Bonds!$H100,6*(51-1))))</f>
        <v/>
      </c>
      <c r="BD100" s="3" t="str">
        <f>IF(52&gt;$C100,"",IF($D100=1,EOMONTH(EDATE(Bonds!$H100,6*(52-1)),0),EDATE(Bonds!$H100,6*(52-1))))</f>
        <v/>
      </c>
      <c r="BE100" s="3" t="str">
        <f>IF(53&gt;$C100,"",IF($D100=1,EOMONTH(EDATE(Bonds!$H100,6*(53-1)),0),EDATE(Bonds!$H100,6*(53-1))))</f>
        <v/>
      </c>
      <c r="BF100" s="3" t="str">
        <f>IF(54&gt;$C100,"",IF($D100=1,EOMONTH(EDATE(Bonds!$H100,6*(54-1)),0),EDATE(Bonds!$H100,6*(54-1))))</f>
        <v/>
      </c>
      <c r="BG100" s="3" t="str">
        <f>IF(55&gt;$C100,"",IF($D100=1,EOMONTH(EDATE(Bonds!$H100,6*(55-1)),0),EDATE(Bonds!$H100,6*(55-1))))</f>
        <v/>
      </c>
      <c r="BH100" s="3" t="str">
        <f>IF(56&gt;$C100,"",IF($D100=1,EOMONTH(EDATE(Bonds!$H100,6*(56-1)),0),EDATE(Bonds!$H100,6*(56-1))))</f>
        <v/>
      </c>
      <c r="BI100" s="3" t="str">
        <f>IF(57&gt;$C100,"",IF($D100=1,EOMONTH(EDATE(Bonds!$H100,6*(57-1)),0),EDATE(Bonds!$H100,6*(57-1))))</f>
        <v/>
      </c>
      <c r="BJ100" s="3" t="str">
        <f>IF(58&gt;$C100,"",IF($D100=1,EOMONTH(EDATE(Bonds!$H100,6*(58-1)),0),EDATE(Bonds!$H100,6*(58-1))))</f>
        <v/>
      </c>
      <c r="BK100" s="3" t="str">
        <f>IF(59&gt;$C100,"",IF($D100=1,EOMONTH(EDATE(Bonds!$H100,6*(59-1)),0),EDATE(Bonds!$H100,6*(59-1))))</f>
        <v/>
      </c>
      <c r="BL100" s="3" t="str">
        <f>IF(60&gt;$C100,"",IF($D100=1,EOMONTH(EDATE(Bonds!$H100,6*(60-1)),0),EDATE(Bonds!$H100,6*(60-1))))</f>
        <v/>
      </c>
      <c r="BN100" s="7">
        <f t="shared" si="62"/>
        <v>1.9828706132718334</v>
      </c>
      <c r="BO100" s="7">
        <f t="shared" si="63"/>
        <v>1.9422682463467076</v>
      </c>
      <c r="BP100" s="7">
        <f t="shared" si="64"/>
        <v>1.8995575494493624</v>
      </c>
      <c r="BQ100" s="7">
        <f t="shared" si="65"/>
        <v>94.689891494921042</v>
      </c>
      <c r="BR100" s="7">
        <f t="shared" si="66"/>
        <v>0</v>
      </c>
      <c r="BS100" s="7">
        <f t="shared" si="67"/>
        <v>0</v>
      </c>
      <c r="BT100" s="7">
        <f t="shared" si="68"/>
        <v>0</v>
      </c>
      <c r="BU100" s="7">
        <f t="shared" si="69"/>
        <v>0</v>
      </c>
      <c r="BV100" s="7">
        <f t="shared" si="70"/>
        <v>0</v>
      </c>
      <c r="BW100" s="7">
        <f t="shared" si="71"/>
        <v>0</v>
      </c>
      <c r="BX100" s="7">
        <f t="shared" si="72"/>
        <v>0</v>
      </c>
      <c r="BY100" s="7">
        <f t="shared" si="73"/>
        <v>0</v>
      </c>
      <c r="BZ100" s="7">
        <f t="shared" si="74"/>
        <v>0</v>
      </c>
      <c r="CA100" s="7">
        <f t="shared" si="75"/>
        <v>0</v>
      </c>
      <c r="CB100" s="7">
        <f t="shared" si="76"/>
        <v>0</v>
      </c>
      <c r="CC100" s="7">
        <f t="shared" si="77"/>
        <v>0</v>
      </c>
      <c r="CD100" s="7">
        <f t="shared" si="78"/>
        <v>0</v>
      </c>
      <c r="CE100" s="7">
        <f t="shared" si="79"/>
        <v>0</v>
      </c>
      <c r="CF100" s="7">
        <f t="shared" si="80"/>
        <v>0</v>
      </c>
      <c r="CG100" s="7">
        <f t="shared" si="81"/>
        <v>0</v>
      </c>
      <c r="CH100" s="7">
        <f t="shared" si="82"/>
        <v>0</v>
      </c>
      <c r="CI100" s="7">
        <f t="shared" si="83"/>
        <v>0</v>
      </c>
      <c r="CJ100" s="7">
        <f t="shared" si="84"/>
        <v>0</v>
      </c>
      <c r="CK100" s="7">
        <f t="shared" si="85"/>
        <v>0</v>
      </c>
      <c r="CL100" s="7">
        <f t="shared" si="86"/>
        <v>0</v>
      </c>
      <c r="CM100" s="7">
        <f t="shared" si="87"/>
        <v>0</v>
      </c>
      <c r="CN100" s="7">
        <f t="shared" si="88"/>
        <v>0</v>
      </c>
      <c r="CO100" s="7">
        <f t="shared" si="89"/>
        <v>0</v>
      </c>
      <c r="CP100" s="7">
        <f t="shared" si="90"/>
        <v>0</v>
      </c>
      <c r="CQ100" s="7">
        <f t="shared" si="91"/>
        <v>0</v>
      </c>
      <c r="CR100" s="7">
        <f t="shared" si="92"/>
        <v>0</v>
      </c>
      <c r="CS100" s="7">
        <f t="shared" si="93"/>
        <v>0</v>
      </c>
      <c r="CT100" s="7">
        <f t="shared" si="94"/>
        <v>0</v>
      </c>
      <c r="CU100" s="7">
        <f t="shared" si="95"/>
        <v>0</v>
      </c>
      <c r="CV100" s="7">
        <f t="shared" si="96"/>
        <v>0</v>
      </c>
      <c r="CW100" s="7">
        <f t="shared" si="97"/>
        <v>0</v>
      </c>
      <c r="CX100" s="7">
        <f t="shared" si="98"/>
        <v>0</v>
      </c>
      <c r="CY100" s="7">
        <f t="shared" si="99"/>
        <v>0</v>
      </c>
      <c r="CZ100" s="7">
        <f t="shared" si="100"/>
        <v>0</v>
      </c>
      <c r="DA100" s="7">
        <f t="shared" si="101"/>
        <v>0</v>
      </c>
      <c r="DB100" s="7">
        <f t="shared" si="102"/>
        <v>0</v>
      </c>
      <c r="DC100" s="7">
        <f t="shared" si="103"/>
        <v>0</v>
      </c>
      <c r="DD100" s="7">
        <f t="shared" si="104"/>
        <v>0</v>
      </c>
      <c r="DE100" s="7">
        <f t="shared" si="105"/>
        <v>0</v>
      </c>
      <c r="DF100" s="7">
        <f t="shared" si="106"/>
        <v>0</v>
      </c>
      <c r="DG100" s="7">
        <f t="shared" si="107"/>
        <v>0</v>
      </c>
      <c r="DH100" s="7">
        <f t="shared" si="108"/>
        <v>0</v>
      </c>
      <c r="DI100" s="7">
        <f t="shared" si="109"/>
        <v>0</v>
      </c>
      <c r="DJ100" s="7">
        <f t="shared" si="110"/>
        <v>0</v>
      </c>
      <c r="DK100" s="7">
        <f t="shared" si="111"/>
        <v>0</v>
      </c>
      <c r="DL100" s="7">
        <f t="shared" si="112"/>
        <v>0</v>
      </c>
      <c r="DM100" s="7">
        <f t="shared" si="113"/>
        <v>0</v>
      </c>
      <c r="DN100" s="7">
        <f t="shared" si="114"/>
        <v>0</v>
      </c>
      <c r="DO100" s="7">
        <f t="shared" si="115"/>
        <v>0</v>
      </c>
      <c r="DP100" s="7">
        <f t="shared" si="116"/>
        <v>0</v>
      </c>
      <c r="DQ100" s="7">
        <f t="shared" si="117"/>
        <v>0</v>
      </c>
      <c r="DR100" s="7">
        <f t="shared" si="118"/>
        <v>0</v>
      </c>
      <c r="DS100" s="7">
        <f t="shared" si="119"/>
        <v>0</v>
      </c>
      <c r="DT100" s="7">
        <f t="shared" si="120"/>
        <v>0</v>
      </c>
      <c r="DU100" s="7">
        <f t="shared" si="121"/>
        <v>0</v>
      </c>
    </row>
    <row r="101" spans="1:125" x14ac:dyDescent="0.2">
      <c r="A101" s="3">
        <f>Bonds!A101</f>
        <v>46919</v>
      </c>
      <c r="B101" s="4">
        <f>Bonds!B101</f>
        <v>3.875</v>
      </c>
      <c r="C101">
        <f>Bonds!P101</f>
        <v>4</v>
      </c>
      <c r="D101">
        <f t="shared" si="61"/>
        <v>0</v>
      </c>
      <c r="E101" s="3">
        <f>IF(1&gt;$C101,"",IF($D101=1,EOMONTH(EDATE(Bonds!$H101,6*(1-1)),0),EDATE(Bonds!$H101,6*(1-1))))</f>
        <v>46371</v>
      </c>
      <c r="F101" s="3">
        <f>IF(2&gt;$C101,"",IF($D101=1,EOMONTH(EDATE(Bonds!$H101,6*(2-1)),0),EDATE(Bonds!$H101,6*(2-1))))</f>
        <v>46553</v>
      </c>
      <c r="G101" s="3">
        <f>IF(3&gt;$C101,"",IF($D101=1,EOMONTH(EDATE(Bonds!$H101,6*(3-1)),0),EDATE(Bonds!$H101,6*(3-1))))</f>
        <v>46736</v>
      </c>
      <c r="H101" s="3">
        <f>IF(4&gt;$C101,"",IF($D101=1,EOMONTH(EDATE(Bonds!$H101,6*(4-1)),0),EDATE(Bonds!$H101,6*(4-1))))</f>
        <v>46919</v>
      </c>
      <c r="I101" s="3" t="str">
        <f>IF(5&gt;$C101,"",IF($D101=1,EOMONTH(EDATE(Bonds!$H101,6*(5-1)),0),EDATE(Bonds!$H101,6*(5-1))))</f>
        <v/>
      </c>
      <c r="J101" s="3" t="str">
        <f>IF(6&gt;$C101,"",IF($D101=1,EOMONTH(EDATE(Bonds!$H101,6*(6-1)),0),EDATE(Bonds!$H101,6*(6-1))))</f>
        <v/>
      </c>
      <c r="K101" s="3" t="str">
        <f>IF(7&gt;$C101,"",IF($D101=1,EOMONTH(EDATE(Bonds!$H101,6*(7-1)),0),EDATE(Bonds!$H101,6*(7-1))))</f>
        <v/>
      </c>
      <c r="L101" s="3" t="str">
        <f>IF(8&gt;$C101,"",IF($D101=1,EOMONTH(EDATE(Bonds!$H101,6*(8-1)),0),EDATE(Bonds!$H101,6*(8-1))))</f>
        <v/>
      </c>
      <c r="M101" s="3" t="str">
        <f>IF(9&gt;$C101,"",IF($D101=1,EOMONTH(EDATE(Bonds!$H101,6*(9-1)),0),EDATE(Bonds!$H101,6*(9-1))))</f>
        <v/>
      </c>
      <c r="N101" s="3" t="str">
        <f>IF(10&gt;$C101,"",IF($D101=1,EOMONTH(EDATE(Bonds!$H101,6*(10-1)),0),EDATE(Bonds!$H101,6*(10-1))))</f>
        <v/>
      </c>
      <c r="O101" s="3" t="str">
        <f>IF(11&gt;$C101,"",IF($D101=1,EOMONTH(EDATE(Bonds!$H101,6*(11-1)),0),EDATE(Bonds!$H101,6*(11-1))))</f>
        <v/>
      </c>
      <c r="P101" s="3" t="str">
        <f>IF(12&gt;$C101,"",IF($D101=1,EOMONTH(EDATE(Bonds!$H101,6*(12-1)),0),EDATE(Bonds!$H101,6*(12-1))))</f>
        <v/>
      </c>
      <c r="Q101" s="3" t="str">
        <f>IF(13&gt;$C101,"",IF($D101=1,EOMONTH(EDATE(Bonds!$H101,6*(13-1)),0),EDATE(Bonds!$H101,6*(13-1))))</f>
        <v/>
      </c>
      <c r="R101" s="3" t="str">
        <f>IF(14&gt;$C101,"",IF($D101=1,EOMONTH(EDATE(Bonds!$H101,6*(14-1)),0),EDATE(Bonds!$H101,6*(14-1))))</f>
        <v/>
      </c>
      <c r="S101" s="3" t="str">
        <f>IF(15&gt;$C101,"",IF($D101=1,EOMONTH(EDATE(Bonds!$H101,6*(15-1)),0),EDATE(Bonds!$H101,6*(15-1))))</f>
        <v/>
      </c>
      <c r="T101" s="3" t="str">
        <f>IF(16&gt;$C101,"",IF($D101=1,EOMONTH(EDATE(Bonds!$H101,6*(16-1)),0),EDATE(Bonds!$H101,6*(16-1))))</f>
        <v/>
      </c>
      <c r="U101" s="3" t="str">
        <f>IF(17&gt;$C101,"",IF($D101=1,EOMONTH(EDATE(Bonds!$H101,6*(17-1)),0),EDATE(Bonds!$H101,6*(17-1))))</f>
        <v/>
      </c>
      <c r="V101" s="3" t="str">
        <f>IF(18&gt;$C101,"",IF($D101=1,EOMONTH(EDATE(Bonds!$H101,6*(18-1)),0),EDATE(Bonds!$H101,6*(18-1))))</f>
        <v/>
      </c>
      <c r="W101" s="3" t="str">
        <f>IF(19&gt;$C101,"",IF($D101=1,EOMONTH(EDATE(Bonds!$H101,6*(19-1)),0),EDATE(Bonds!$H101,6*(19-1))))</f>
        <v/>
      </c>
      <c r="X101" s="3" t="str">
        <f>IF(20&gt;$C101,"",IF($D101=1,EOMONTH(EDATE(Bonds!$H101,6*(20-1)),0),EDATE(Bonds!$H101,6*(20-1))))</f>
        <v/>
      </c>
      <c r="Y101" s="3" t="str">
        <f>IF(21&gt;$C101,"",IF($D101=1,EOMONTH(EDATE(Bonds!$H101,6*(21-1)),0),EDATE(Bonds!$H101,6*(21-1))))</f>
        <v/>
      </c>
      <c r="Z101" s="3" t="str">
        <f>IF(22&gt;$C101,"",IF($D101=1,EOMONTH(EDATE(Bonds!$H101,6*(22-1)),0),EDATE(Bonds!$H101,6*(22-1))))</f>
        <v/>
      </c>
      <c r="AA101" s="3" t="str">
        <f>IF(23&gt;$C101,"",IF($D101=1,EOMONTH(EDATE(Bonds!$H101,6*(23-1)),0),EDATE(Bonds!$H101,6*(23-1))))</f>
        <v/>
      </c>
      <c r="AB101" s="3" t="str">
        <f>IF(24&gt;$C101,"",IF($D101=1,EOMONTH(EDATE(Bonds!$H101,6*(24-1)),0),EDATE(Bonds!$H101,6*(24-1))))</f>
        <v/>
      </c>
      <c r="AC101" s="3" t="str">
        <f>IF(25&gt;$C101,"",IF($D101=1,EOMONTH(EDATE(Bonds!$H101,6*(25-1)),0),EDATE(Bonds!$H101,6*(25-1))))</f>
        <v/>
      </c>
      <c r="AD101" s="3" t="str">
        <f>IF(26&gt;$C101,"",IF($D101=1,EOMONTH(EDATE(Bonds!$H101,6*(26-1)),0),EDATE(Bonds!$H101,6*(26-1))))</f>
        <v/>
      </c>
      <c r="AE101" s="3" t="str">
        <f>IF(27&gt;$C101,"",IF($D101=1,EOMONTH(EDATE(Bonds!$H101,6*(27-1)),0),EDATE(Bonds!$H101,6*(27-1))))</f>
        <v/>
      </c>
      <c r="AF101" s="3" t="str">
        <f>IF(28&gt;$C101,"",IF($D101=1,EOMONTH(EDATE(Bonds!$H101,6*(28-1)),0),EDATE(Bonds!$H101,6*(28-1))))</f>
        <v/>
      </c>
      <c r="AG101" s="3" t="str">
        <f>IF(29&gt;$C101,"",IF($D101=1,EOMONTH(EDATE(Bonds!$H101,6*(29-1)),0),EDATE(Bonds!$H101,6*(29-1))))</f>
        <v/>
      </c>
      <c r="AH101" s="3" t="str">
        <f>IF(30&gt;$C101,"",IF($D101=1,EOMONTH(EDATE(Bonds!$H101,6*(30-1)),0),EDATE(Bonds!$H101,6*(30-1))))</f>
        <v/>
      </c>
      <c r="AI101" s="3" t="str">
        <f>IF(31&gt;$C101,"",IF($D101=1,EOMONTH(EDATE(Bonds!$H101,6*(31-1)),0),EDATE(Bonds!$H101,6*(31-1))))</f>
        <v/>
      </c>
      <c r="AJ101" s="3" t="str">
        <f>IF(32&gt;$C101,"",IF($D101=1,EOMONTH(EDATE(Bonds!$H101,6*(32-1)),0),EDATE(Bonds!$H101,6*(32-1))))</f>
        <v/>
      </c>
      <c r="AK101" s="3" t="str">
        <f>IF(33&gt;$C101,"",IF($D101=1,EOMONTH(EDATE(Bonds!$H101,6*(33-1)),0),EDATE(Bonds!$H101,6*(33-1))))</f>
        <v/>
      </c>
      <c r="AL101" s="3" t="str">
        <f>IF(34&gt;$C101,"",IF($D101=1,EOMONTH(EDATE(Bonds!$H101,6*(34-1)),0),EDATE(Bonds!$H101,6*(34-1))))</f>
        <v/>
      </c>
      <c r="AM101" s="3" t="str">
        <f>IF(35&gt;$C101,"",IF($D101=1,EOMONTH(EDATE(Bonds!$H101,6*(35-1)),0),EDATE(Bonds!$H101,6*(35-1))))</f>
        <v/>
      </c>
      <c r="AN101" s="3" t="str">
        <f>IF(36&gt;$C101,"",IF($D101=1,EOMONTH(EDATE(Bonds!$H101,6*(36-1)),0),EDATE(Bonds!$H101,6*(36-1))))</f>
        <v/>
      </c>
      <c r="AO101" s="3" t="str">
        <f>IF(37&gt;$C101,"",IF($D101=1,EOMONTH(EDATE(Bonds!$H101,6*(37-1)),0),EDATE(Bonds!$H101,6*(37-1))))</f>
        <v/>
      </c>
      <c r="AP101" s="3" t="str">
        <f>IF(38&gt;$C101,"",IF($D101=1,EOMONTH(EDATE(Bonds!$H101,6*(38-1)),0),EDATE(Bonds!$H101,6*(38-1))))</f>
        <v/>
      </c>
      <c r="AQ101" s="3" t="str">
        <f>IF(39&gt;$C101,"",IF($D101=1,EOMONTH(EDATE(Bonds!$H101,6*(39-1)),0),EDATE(Bonds!$H101,6*(39-1))))</f>
        <v/>
      </c>
      <c r="AR101" s="3" t="str">
        <f>IF(40&gt;$C101,"",IF($D101=1,EOMONTH(EDATE(Bonds!$H101,6*(40-1)),0),EDATE(Bonds!$H101,6*(40-1))))</f>
        <v/>
      </c>
      <c r="AS101" s="3" t="str">
        <f>IF(41&gt;$C101,"",IF($D101=1,EOMONTH(EDATE(Bonds!$H101,6*(41-1)),0),EDATE(Bonds!$H101,6*(41-1))))</f>
        <v/>
      </c>
      <c r="AT101" s="3" t="str">
        <f>IF(42&gt;$C101,"",IF($D101=1,EOMONTH(EDATE(Bonds!$H101,6*(42-1)),0),EDATE(Bonds!$H101,6*(42-1))))</f>
        <v/>
      </c>
      <c r="AU101" s="3" t="str">
        <f>IF(43&gt;$C101,"",IF($D101=1,EOMONTH(EDATE(Bonds!$H101,6*(43-1)),0),EDATE(Bonds!$H101,6*(43-1))))</f>
        <v/>
      </c>
      <c r="AV101" s="3" t="str">
        <f>IF(44&gt;$C101,"",IF($D101=1,EOMONTH(EDATE(Bonds!$H101,6*(44-1)),0),EDATE(Bonds!$H101,6*(44-1))))</f>
        <v/>
      </c>
      <c r="AW101" s="3" t="str">
        <f>IF(45&gt;$C101,"",IF($D101=1,EOMONTH(EDATE(Bonds!$H101,6*(45-1)),0),EDATE(Bonds!$H101,6*(45-1))))</f>
        <v/>
      </c>
      <c r="AX101" s="3" t="str">
        <f>IF(46&gt;$C101,"",IF($D101=1,EOMONTH(EDATE(Bonds!$H101,6*(46-1)),0),EDATE(Bonds!$H101,6*(46-1))))</f>
        <v/>
      </c>
      <c r="AY101" s="3" t="str">
        <f>IF(47&gt;$C101,"",IF($D101=1,EOMONTH(EDATE(Bonds!$H101,6*(47-1)),0),EDATE(Bonds!$H101,6*(47-1))))</f>
        <v/>
      </c>
      <c r="AZ101" s="3" t="str">
        <f>IF(48&gt;$C101,"",IF($D101=1,EOMONTH(EDATE(Bonds!$H101,6*(48-1)),0),EDATE(Bonds!$H101,6*(48-1))))</f>
        <v/>
      </c>
      <c r="BA101" s="3" t="str">
        <f>IF(49&gt;$C101,"",IF($D101=1,EOMONTH(EDATE(Bonds!$H101,6*(49-1)),0),EDATE(Bonds!$H101,6*(49-1))))</f>
        <v/>
      </c>
      <c r="BB101" s="3" t="str">
        <f>IF(50&gt;$C101,"",IF($D101=1,EOMONTH(EDATE(Bonds!$H101,6*(50-1)),0),EDATE(Bonds!$H101,6*(50-1))))</f>
        <v/>
      </c>
      <c r="BC101" s="3" t="str">
        <f>IF(51&gt;$C101,"",IF($D101=1,EOMONTH(EDATE(Bonds!$H101,6*(51-1)),0),EDATE(Bonds!$H101,6*(51-1))))</f>
        <v/>
      </c>
      <c r="BD101" s="3" t="str">
        <f>IF(52&gt;$C101,"",IF($D101=1,EOMONTH(EDATE(Bonds!$H101,6*(52-1)),0),EDATE(Bonds!$H101,6*(52-1))))</f>
        <v/>
      </c>
      <c r="BE101" s="3" t="str">
        <f>IF(53&gt;$C101,"",IF($D101=1,EOMONTH(EDATE(Bonds!$H101,6*(53-1)),0),EDATE(Bonds!$H101,6*(53-1))))</f>
        <v/>
      </c>
      <c r="BF101" s="3" t="str">
        <f>IF(54&gt;$C101,"",IF($D101=1,EOMONTH(EDATE(Bonds!$H101,6*(54-1)),0),EDATE(Bonds!$H101,6*(54-1))))</f>
        <v/>
      </c>
      <c r="BG101" s="3" t="str">
        <f>IF(55&gt;$C101,"",IF($D101=1,EOMONTH(EDATE(Bonds!$H101,6*(55-1)),0),EDATE(Bonds!$H101,6*(55-1))))</f>
        <v/>
      </c>
      <c r="BH101" s="3" t="str">
        <f>IF(56&gt;$C101,"",IF($D101=1,EOMONTH(EDATE(Bonds!$H101,6*(56-1)),0),EDATE(Bonds!$H101,6*(56-1))))</f>
        <v/>
      </c>
      <c r="BI101" s="3" t="str">
        <f>IF(57&gt;$C101,"",IF($D101=1,EOMONTH(EDATE(Bonds!$H101,6*(57-1)),0),EDATE(Bonds!$H101,6*(57-1))))</f>
        <v/>
      </c>
      <c r="BJ101" s="3" t="str">
        <f>IF(58&gt;$C101,"",IF($D101=1,EOMONTH(EDATE(Bonds!$H101,6*(58-1)),0),EDATE(Bonds!$H101,6*(58-1))))</f>
        <v/>
      </c>
      <c r="BK101" s="3" t="str">
        <f>IF(59&gt;$C101,"",IF($D101=1,EOMONTH(EDATE(Bonds!$H101,6*(59-1)),0),EDATE(Bonds!$H101,6*(59-1))))</f>
        <v/>
      </c>
      <c r="BL101" s="3" t="str">
        <f>IF(60&gt;$C101,"",IF($D101=1,EOMONTH(EDATE(Bonds!$H101,6*(60-1)),0),EDATE(Bonds!$H101,6*(60-1))))</f>
        <v/>
      </c>
      <c r="BN101" s="7">
        <f t="shared" si="62"/>
        <v>1.9177933792467143</v>
      </c>
      <c r="BO101" s="7">
        <f t="shared" si="63"/>
        <v>1.8782202361279159</v>
      </c>
      <c r="BP101" s="7">
        <f t="shared" si="64"/>
        <v>1.8367816679006754</v>
      </c>
      <c r="BQ101" s="7">
        <f t="shared" si="65"/>
        <v>94.453802876443817</v>
      </c>
      <c r="BR101" s="7">
        <f t="shared" si="66"/>
        <v>0</v>
      </c>
      <c r="BS101" s="7">
        <f t="shared" si="67"/>
        <v>0</v>
      </c>
      <c r="BT101" s="7">
        <f t="shared" si="68"/>
        <v>0</v>
      </c>
      <c r="BU101" s="7">
        <f t="shared" si="69"/>
        <v>0</v>
      </c>
      <c r="BV101" s="7">
        <f t="shared" si="70"/>
        <v>0</v>
      </c>
      <c r="BW101" s="7">
        <f t="shared" si="71"/>
        <v>0</v>
      </c>
      <c r="BX101" s="7">
        <f t="shared" si="72"/>
        <v>0</v>
      </c>
      <c r="BY101" s="7">
        <f t="shared" si="73"/>
        <v>0</v>
      </c>
      <c r="BZ101" s="7">
        <f t="shared" si="74"/>
        <v>0</v>
      </c>
      <c r="CA101" s="7">
        <f t="shared" si="75"/>
        <v>0</v>
      </c>
      <c r="CB101" s="7">
        <f t="shared" si="76"/>
        <v>0</v>
      </c>
      <c r="CC101" s="7">
        <f t="shared" si="77"/>
        <v>0</v>
      </c>
      <c r="CD101" s="7">
        <f t="shared" si="78"/>
        <v>0</v>
      </c>
      <c r="CE101" s="7">
        <f t="shared" si="79"/>
        <v>0</v>
      </c>
      <c r="CF101" s="7">
        <f t="shared" si="80"/>
        <v>0</v>
      </c>
      <c r="CG101" s="7">
        <f t="shared" si="81"/>
        <v>0</v>
      </c>
      <c r="CH101" s="7">
        <f t="shared" si="82"/>
        <v>0</v>
      </c>
      <c r="CI101" s="7">
        <f t="shared" si="83"/>
        <v>0</v>
      </c>
      <c r="CJ101" s="7">
        <f t="shared" si="84"/>
        <v>0</v>
      </c>
      <c r="CK101" s="7">
        <f t="shared" si="85"/>
        <v>0</v>
      </c>
      <c r="CL101" s="7">
        <f t="shared" si="86"/>
        <v>0</v>
      </c>
      <c r="CM101" s="7">
        <f t="shared" si="87"/>
        <v>0</v>
      </c>
      <c r="CN101" s="7">
        <f t="shared" si="88"/>
        <v>0</v>
      </c>
      <c r="CO101" s="7">
        <f t="shared" si="89"/>
        <v>0</v>
      </c>
      <c r="CP101" s="7">
        <f t="shared" si="90"/>
        <v>0</v>
      </c>
      <c r="CQ101" s="7">
        <f t="shared" si="91"/>
        <v>0</v>
      </c>
      <c r="CR101" s="7">
        <f t="shared" si="92"/>
        <v>0</v>
      </c>
      <c r="CS101" s="7">
        <f t="shared" si="93"/>
        <v>0</v>
      </c>
      <c r="CT101" s="7">
        <f t="shared" si="94"/>
        <v>0</v>
      </c>
      <c r="CU101" s="7">
        <f t="shared" si="95"/>
        <v>0</v>
      </c>
      <c r="CV101" s="7">
        <f t="shared" si="96"/>
        <v>0</v>
      </c>
      <c r="CW101" s="7">
        <f t="shared" si="97"/>
        <v>0</v>
      </c>
      <c r="CX101" s="7">
        <f t="shared" si="98"/>
        <v>0</v>
      </c>
      <c r="CY101" s="7">
        <f t="shared" si="99"/>
        <v>0</v>
      </c>
      <c r="CZ101" s="7">
        <f t="shared" si="100"/>
        <v>0</v>
      </c>
      <c r="DA101" s="7">
        <f t="shared" si="101"/>
        <v>0</v>
      </c>
      <c r="DB101" s="7">
        <f t="shared" si="102"/>
        <v>0</v>
      </c>
      <c r="DC101" s="7">
        <f t="shared" si="103"/>
        <v>0</v>
      </c>
      <c r="DD101" s="7">
        <f t="shared" si="104"/>
        <v>0</v>
      </c>
      <c r="DE101" s="7">
        <f t="shared" si="105"/>
        <v>0</v>
      </c>
      <c r="DF101" s="7">
        <f t="shared" si="106"/>
        <v>0</v>
      </c>
      <c r="DG101" s="7">
        <f t="shared" si="107"/>
        <v>0</v>
      </c>
      <c r="DH101" s="7">
        <f t="shared" si="108"/>
        <v>0</v>
      </c>
      <c r="DI101" s="7">
        <f t="shared" si="109"/>
        <v>0</v>
      </c>
      <c r="DJ101" s="7">
        <f t="shared" si="110"/>
        <v>0</v>
      </c>
      <c r="DK101" s="7">
        <f t="shared" si="111"/>
        <v>0</v>
      </c>
      <c r="DL101" s="7">
        <f t="shared" si="112"/>
        <v>0</v>
      </c>
      <c r="DM101" s="7">
        <f t="shared" si="113"/>
        <v>0</v>
      </c>
      <c r="DN101" s="7">
        <f t="shared" si="114"/>
        <v>0</v>
      </c>
      <c r="DO101" s="7">
        <f t="shared" si="115"/>
        <v>0</v>
      </c>
      <c r="DP101" s="7">
        <f t="shared" si="116"/>
        <v>0</v>
      </c>
      <c r="DQ101" s="7">
        <f t="shared" si="117"/>
        <v>0</v>
      </c>
      <c r="DR101" s="7">
        <f t="shared" si="118"/>
        <v>0</v>
      </c>
      <c r="DS101" s="7">
        <f t="shared" si="119"/>
        <v>0</v>
      </c>
      <c r="DT101" s="7">
        <f t="shared" si="120"/>
        <v>0</v>
      </c>
      <c r="DU101" s="7">
        <f t="shared" si="121"/>
        <v>0</v>
      </c>
    </row>
    <row r="102" spans="1:125" x14ac:dyDescent="0.2">
      <c r="A102" s="3">
        <f>Bonds!A102</f>
        <v>46934</v>
      </c>
      <c r="B102" s="4">
        <f>Bonds!B102</f>
        <v>1.25</v>
      </c>
      <c r="C102">
        <f>Bonds!P102</f>
        <v>4</v>
      </c>
      <c r="D102">
        <f t="shared" si="61"/>
        <v>1</v>
      </c>
      <c r="E102" s="3">
        <f>IF(1&gt;$C102,"",IF($D102=1,EOMONTH(EDATE(Bonds!$H102,6*(1-1)),0),EDATE(Bonds!$H102,6*(1-1))))</f>
        <v>46387</v>
      </c>
      <c r="F102" s="3">
        <f>IF(2&gt;$C102,"",IF($D102=1,EOMONTH(EDATE(Bonds!$H102,6*(2-1)),0),EDATE(Bonds!$H102,6*(2-1))))</f>
        <v>46568</v>
      </c>
      <c r="G102" s="3">
        <f>IF(3&gt;$C102,"",IF($D102=1,EOMONTH(EDATE(Bonds!$H102,6*(3-1)),0),EDATE(Bonds!$H102,6*(3-1))))</f>
        <v>46752</v>
      </c>
      <c r="H102" s="3">
        <f>IF(4&gt;$C102,"",IF($D102=1,EOMONTH(EDATE(Bonds!$H102,6*(4-1)),0),EDATE(Bonds!$H102,6*(4-1))))</f>
        <v>46934</v>
      </c>
      <c r="I102" s="3" t="str">
        <f>IF(5&gt;$C102,"",IF($D102=1,EOMONTH(EDATE(Bonds!$H102,6*(5-1)),0),EDATE(Bonds!$H102,6*(5-1))))</f>
        <v/>
      </c>
      <c r="J102" s="3" t="str">
        <f>IF(6&gt;$C102,"",IF($D102=1,EOMONTH(EDATE(Bonds!$H102,6*(6-1)),0),EDATE(Bonds!$H102,6*(6-1))))</f>
        <v/>
      </c>
      <c r="K102" s="3" t="str">
        <f>IF(7&gt;$C102,"",IF($D102=1,EOMONTH(EDATE(Bonds!$H102,6*(7-1)),0),EDATE(Bonds!$H102,6*(7-1))))</f>
        <v/>
      </c>
      <c r="L102" s="3" t="str">
        <f>IF(8&gt;$C102,"",IF($D102=1,EOMONTH(EDATE(Bonds!$H102,6*(8-1)),0),EDATE(Bonds!$H102,6*(8-1))))</f>
        <v/>
      </c>
      <c r="M102" s="3" t="str">
        <f>IF(9&gt;$C102,"",IF($D102=1,EOMONTH(EDATE(Bonds!$H102,6*(9-1)),0),EDATE(Bonds!$H102,6*(9-1))))</f>
        <v/>
      </c>
      <c r="N102" s="3" t="str">
        <f>IF(10&gt;$C102,"",IF($D102=1,EOMONTH(EDATE(Bonds!$H102,6*(10-1)),0),EDATE(Bonds!$H102,6*(10-1))))</f>
        <v/>
      </c>
      <c r="O102" s="3" t="str">
        <f>IF(11&gt;$C102,"",IF($D102=1,EOMONTH(EDATE(Bonds!$H102,6*(11-1)),0),EDATE(Bonds!$H102,6*(11-1))))</f>
        <v/>
      </c>
      <c r="P102" s="3" t="str">
        <f>IF(12&gt;$C102,"",IF($D102=1,EOMONTH(EDATE(Bonds!$H102,6*(12-1)),0),EDATE(Bonds!$H102,6*(12-1))))</f>
        <v/>
      </c>
      <c r="Q102" s="3" t="str">
        <f>IF(13&gt;$C102,"",IF($D102=1,EOMONTH(EDATE(Bonds!$H102,6*(13-1)),0),EDATE(Bonds!$H102,6*(13-1))))</f>
        <v/>
      </c>
      <c r="R102" s="3" t="str">
        <f>IF(14&gt;$C102,"",IF($D102=1,EOMONTH(EDATE(Bonds!$H102,6*(14-1)),0),EDATE(Bonds!$H102,6*(14-1))))</f>
        <v/>
      </c>
      <c r="S102" s="3" t="str">
        <f>IF(15&gt;$C102,"",IF($D102=1,EOMONTH(EDATE(Bonds!$H102,6*(15-1)),0),EDATE(Bonds!$H102,6*(15-1))))</f>
        <v/>
      </c>
      <c r="T102" s="3" t="str">
        <f>IF(16&gt;$C102,"",IF($D102=1,EOMONTH(EDATE(Bonds!$H102,6*(16-1)),0),EDATE(Bonds!$H102,6*(16-1))))</f>
        <v/>
      </c>
      <c r="U102" s="3" t="str">
        <f>IF(17&gt;$C102,"",IF($D102=1,EOMONTH(EDATE(Bonds!$H102,6*(17-1)),0),EDATE(Bonds!$H102,6*(17-1))))</f>
        <v/>
      </c>
      <c r="V102" s="3" t="str">
        <f>IF(18&gt;$C102,"",IF($D102=1,EOMONTH(EDATE(Bonds!$H102,6*(18-1)),0),EDATE(Bonds!$H102,6*(18-1))))</f>
        <v/>
      </c>
      <c r="W102" s="3" t="str">
        <f>IF(19&gt;$C102,"",IF($D102=1,EOMONTH(EDATE(Bonds!$H102,6*(19-1)),0),EDATE(Bonds!$H102,6*(19-1))))</f>
        <v/>
      </c>
      <c r="X102" s="3" t="str">
        <f>IF(20&gt;$C102,"",IF($D102=1,EOMONTH(EDATE(Bonds!$H102,6*(20-1)),0),EDATE(Bonds!$H102,6*(20-1))))</f>
        <v/>
      </c>
      <c r="Y102" s="3" t="str">
        <f>IF(21&gt;$C102,"",IF($D102=1,EOMONTH(EDATE(Bonds!$H102,6*(21-1)),0),EDATE(Bonds!$H102,6*(21-1))))</f>
        <v/>
      </c>
      <c r="Z102" s="3" t="str">
        <f>IF(22&gt;$C102,"",IF($D102=1,EOMONTH(EDATE(Bonds!$H102,6*(22-1)),0),EDATE(Bonds!$H102,6*(22-1))))</f>
        <v/>
      </c>
      <c r="AA102" s="3" t="str">
        <f>IF(23&gt;$C102,"",IF($D102=1,EOMONTH(EDATE(Bonds!$H102,6*(23-1)),0),EDATE(Bonds!$H102,6*(23-1))))</f>
        <v/>
      </c>
      <c r="AB102" s="3" t="str">
        <f>IF(24&gt;$C102,"",IF($D102=1,EOMONTH(EDATE(Bonds!$H102,6*(24-1)),0),EDATE(Bonds!$H102,6*(24-1))))</f>
        <v/>
      </c>
      <c r="AC102" s="3" t="str">
        <f>IF(25&gt;$C102,"",IF($D102=1,EOMONTH(EDATE(Bonds!$H102,6*(25-1)),0),EDATE(Bonds!$H102,6*(25-1))))</f>
        <v/>
      </c>
      <c r="AD102" s="3" t="str">
        <f>IF(26&gt;$C102,"",IF($D102=1,EOMONTH(EDATE(Bonds!$H102,6*(26-1)),0),EDATE(Bonds!$H102,6*(26-1))))</f>
        <v/>
      </c>
      <c r="AE102" s="3" t="str">
        <f>IF(27&gt;$C102,"",IF($D102=1,EOMONTH(EDATE(Bonds!$H102,6*(27-1)),0),EDATE(Bonds!$H102,6*(27-1))))</f>
        <v/>
      </c>
      <c r="AF102" s="3" t="str">
        <f>IF(28&gt;$C102,"",IF($D102=1,EOMONTH(EDATE(Bonds!$H102,6*(28-1)),0),EDATE(Bonds!$H102,6*(28-1))))</f>
        <v/>
      </c>
      <c r="AG102" s="3" t="str">
        <f>IF(29&gt;$C102,"",IF($D102=1,EOMONTH(EDATE(Bonds!$H102,6*(29-1)),0),EDATE(Bonds!$H102,6*(29-1))))</f>
        <v/>
      </c>
      <c r="AH102" s="3" t="str">
        <f>IF(30&gt;$C102,"",IF($D102=1,EOMONTH(EDATE(Bonds!$H102,6*(30-1)),0),EDATE(Bonds!$H102,6*(30-1))))</f>
        <v/>
      </c>
      <c r="AI102" s="3" t="str">
        <f>IF(31&gt;$C102,"",IF($D102=1,EOMONTH(EDATE(Bonds!$H102,6*(31-1)),0),EDATE(Bonds!$H102,6*(31-1))))</f>
        <v/>
      </c>
      <c r="AJ102" s="3" t="str">
        <f>IF(32&gt;$C102,"",IF($D102=1,EOMONTH(EDATE(Bonds!$H102,6*(32-1)),0),EDATE(Bonds!$H102,6*(32-1))))</f>
        <v/>
      </c>
      <c r="AK102" s="3" t="str">
        <f>IF(33&gt;$C102,"",IF($D102=1,EOMONTH(EDATE(Bonds!$H102,6*(33-1)),0),EDATE(Bonds!$H102,6*(33-1))))</f>
        <v/>
      </c>
      <c r="AL102" s="3" t="str">
        <f>IF(34&gt;$C102,"",IF($D102=1,EOMONTH(EDATE(Bonds!$H102,6*(34-1)),0),EDATE(Bonds!$H102,6*(34-1))))</f>
        <v/>
      </c>
      <c r="AM102" s="3" t="str">
        <f>IF(35&gt;$C102,"",IF($D102=1,EOMONTH(EDATE(Bonds!$H102,6*(35-1)),0),EDATE(Bonds!$H102,6*(35-1))))</f>
        <v/>
      </c>
      <c r="AN102" s="3" t="str">
        <f>IF(36&gt;$C102,"",IF($D102=1,EOMONTH(EDATE(Bonds!$H102,6*(36-1)),0),EDATE(Bonds!$H102,6*(36-1))))</f>
        <v/>
      </c>
      <c r="AO102" s="3" t="str">
        <f>IF(37&gt;$C102,"",IF($D102=1,EOMONTH(EDATE(Bonds!$H102,6*(37-1)),0),EDATE(Bonds!$H102,6*(37-1))))</f>
        <v/>
      </c>
      <c r="AP102" s="3" t="str">
        <f>IF(38&gt;$C102,"",IF($D102=1,EOMONTH(EDATE(Bonds!$H102,6*(38-1)),0),EDATE(Bonds!$H102,6*(38-1))))</f>
        <v/>
      </c>
      <c r="AQ102" s="3" t="str">
        <f>IF(39&gt;$C102,"",IF($D102=1,EOMONTH(EDATE(Bonds!$H102,6*(39-1)),0),EDATE(Bonds!$H102,6*(39-1))))</f>
        <v/>
      </c>
      <c r="AR102" s="3" t="str">
        <f>IF(40&gt;$C102,"",IF($D102=1,EOMONTH(EDATE(Bonds!$H102,6*(40-1)),0),EDATE(Bonds!$H102,6*(40-1))))</f>
        <v/>
      </c>
      <c r="AS102" s="3" t="str">
        <f>IF(41&gt;$C102,"",IF($D102=1,EOMONTH(EDATE(Bonds!$H102,6*(41-1)),0),EDATE(Bonds!$H102,6*(41-1))))</f>
        <v/>
      </c>
      <c r="AT102" s="3" t="str">
        <f>IF(42&gt;$C102,"",IF($D102=1,EOMONTH(EDATE(Bonds!$H102,6*(42-1)),0),EDATE(Bonds!$H102,6*(42-1))))</f>
        <v/>
      </c>
      <c r="AU102" s="3" t="str">
        <f>IF(43&gt;$C102,"",IF($D102=1,EOMONTH(EDATE(Bonds!$H102,6*(43-1)),0),EDATE(Bonds!$H102,6*(43-1))))</f>
        <v/>
      </c>
      <c r="AV102" s="3" t="str">
        <f>IF(44&gt;$C102,"",IF($D102=1,EOMONTH(EDATE(Bonds!$H102,6*(44-1)),0),EDATE(Bonds!$H102,6*(44-1))))</f>
        <v/>
      </c>
      <c r="AW102" s="3" t="str">
        <f>IF(45&gt;$C102,"",IF($D102=1,EOMONTH(EDATE(Bonds!$H102,6*(45-1)),0),EDATE(Bonds!$H102,6*(45-1))))</f>
        <v/>
      </c>
      <c r="AX102" s="3" t="str">
        <f>IF(46&gt;$C102,"",IF($D102=1,EOMONTH(EDATE(Bonds!$H102,6*(46-1)),0),EDATE(Bonds!$H102,6*(46-1))))</f>
        <v/>
      </c>
      <c r="AY102" s="3" t="str">
        <f>IF(47&gt;$C102,"",IF($D102=1,EOMONTH(EDATE(Bonds!$H102,6*(47-1)),0),EDATE(Bonds!$H102,6*(47-1))))</f>
        <v/>
      </c>
      <c r="AZ102" s="3" t="str">
        <f>IF(48&gt;$C102,"",IF($D102=1,EOMONTH(EDATE(Bonds!$H102,6*(48-1)),0),EDATE(Bonds!$H102,6*(48-1))))</f>
        <v/>
      </c>
      <c r="BA102" s="3" t="str">
        <f>IF(49&gt;$C102,"",IF($D102=1,EOMONTH(EDATE(Bonds!$H102,6*(49-1)),0),EDATE(Bonds!$H102,6*(49-1))))</f>
        <v/>
      </c>
      <c r="BB102" s="3" t="str">
        <f>IF(50&gt;$C102,"",IF($D102=1,EOMONTH(EDATE(Bonds!$H102,6*(50-1)),0),EDATE(Bonds!$H102,6*(50-1))))</f>
        <v/>
      </c>
      <c r="BC102" s="3" t="str">
        <f>IF(51&gt;$C102,"",IF($D102=1,EOMONTH(EDATE(Bonds!$H102,6*(51-1)),0),EDATE(Bonds!$H102,6*(51-1))))</f>
        <v/>
      </c>
      <c r="BD102" s="3" t="str">
        <f>IF(52&gt;$C102,"",IF($D102=1,EOMONTH(EDATE(Bonds!$H102,6*(52-1)),0),EDATE(Bonds!$H102,6*(52-1))))</f>
        <v/>
      </c>
      <c r="BE102" s="3" t="str">
        <f>IF(53&gt;$C102,"",IF($D102=1,EOMONTH(EDATE(Bonds!$H102,6*(53-1)),0),EDATE(Bonds!$H102,6*(53-1))))</f>
        <v/>
      </c>
      <c r="BF102" s="3" t="str">
        <f>IF(54&gt;$C102,"",IF($D102=1,EOMONTH(EDATE(Bonds!$H102,6*(54-1)),0),EDATE(Bonds!$H102,6*(54-1))))</f>
        <v/>
      </c>
      <c r="BG102" s="3" t="str">
        <f>IF(55&gt;$C102,"",IF($D102=1,EOMONTH(EDATE(Bonds!$H102,6*(55-1)),0),EDATE(Bonds!$H102,6*(55-1))))</f>
        <v/>
      </c>
      <c r="BH102" s="3" t="str">
        <f>IF(56&gt;$C102,"",IF($D102=1,EOMONTH(EDATE(Bonds!$H102,6*(56-1)),0),EDATE(Bonds!$H102,6*(56-1))))</f>
        <v/>
      </c>
      <c r="BI102" s="3" t="str">
        <f>IF(57&gt;$C102,"",IF($D102=1,EOMONTH(EDATE(Bonds!$H102,6*(57-1)),0),EDATE(Bonds!$H102,6*(57-1))))</f>
        <v/>
      </c>
      <c r="BJ102" s="3" t="str">
        <f>IF(58&gt;$C102,"",IF($D102=1,EOMONTH(EDATE(Bonds!$H102,6*(58-1)),0),EDATE(Bonds!$H102,6*(58-1))))</f>
        <v/>
      </c>
      <c r="BK102" s="3" t="str">
        <f>IF(59&gt;$C102,"",IF($D102=1,EOMONTH(EDATE(Bonds!$H102,6*(59-1)),0),EDATE(Bonds!$H102,6*(59-1))))</f>
        <v/>
      </c>
      <c r="BL102" s="3" t="str">
        <f>IF(60&gt;$C102,"",IF($D102=1,EOMONTH(EDATE(Bonds!$H102,6*(60-1)),0),EDATE(Bonds!$H102,6*(60-1))))</f>
        <v/>
      </c>
      <c r="BN102" s="7">
        <f t="shared" si="62"/>
        <v>0.61756164913722</v>
      </c>
      <c r="BO102" s="7">
        <f t="shared" si="63"/>
        <v>0.60479280369215405</v>
      </c>
      <c r="BP102" s="7">
        <f t="shared" si="64"/>
        <v>0.5913352225455627</v>
      </c>
      <c r="BQ102" s="7">
        <f t="shared" si="65"/>
        <v>93.062134085431822</v>
      </c>
      <c r="BR102" s="7">
        <f t="shared" si="66"/>
        <v>0</v>
      </c>
      <c r="BS102" s="7">
        <f t="shared" si="67"/>
        <v>0</v>
      </c>
      <c r="BT102" s="7">
        <f t="shared" si="68"/>
        <v>0</v>
      </c>
      <c r="BU102" s="7">
        <f t="shared" si="69"/>
        <v>0</v>
      </c>
      <c r="BV102" s="7">
        <f t="shared" si="70"/>
        <v>0</v>
      </c>
      <c r="BW102" s="7">
        <f t="shared" si="71"/>
        <v>0</v>
      </c>
      <c r="BX102" s="7">
        <f t="shared" si="72"/>
        <v>0</v>
      </c>
      <c r="BY102" s="7">
        <f t="shared" si="73"/>
        <v>0</v>
      </c>
      <c r="BZ102" s="7">
        <f t="shared" si="74"/>
        <v>0</v>
      </c>
      <c r="CA102" s="7">
        <f t="shared" si="75"/>
        <v>0</v>
      </c>
      <c r="CB102" s="7">
        <f t="shared" si="76"/>
        <v>0</v>
      </c>
      <c r="CC102" s="7">
        <f t="shared" si="77"/>
        <v>0</v>
      </c>
      <c r="CD102" s="7">
        <f t="shared" si="78"/>
        <v>0</v>
      </c>
      <c r="CE102" s="7">
        <f t="shared" si="79"/>
        <v>0</v>
      </c>
      <c r="CF102" s="7">
        <f t="shared" si="80"/>
        <v>0</v>
      </c>
      <c r="CG102" s="7">
        <f t="shared" si="81"/>
        <v>0</v>
      </c>
      <c r="CH102" s="7">
        <f t="shared" si="82"/>
        <v>0</v>
      </c>
      <c r="CI102" s="7">
        <f t="shared" si="83"/>
        <v>0</v>
      </c>
      <c r="CJ102" s="7">
        <f t="shared" si="84"/>
        <v>0</v>
      </c>
      <c r="CK102" s="7">
        <f t="shared" si="85"/>
        <v>0</v>
      </c>
      <c r="CL102" s="7">
        <f t="shared" si="86"/>
        <v>0</v>
      </c>
      <c r="CM102" s="7">
        <f t="shared" si="87"/>
        <v>0</v>
      </c>
      <c r="CN102" s="7">
        <f t="shared" si="88"/>
        <v>0</v>
      </c>
      <c r="CO102" s="7">
        <f t="shared" si="89"/>
        <v>0</v>
      </c>
      <c r="CP102" s="7">
        <f t="shared" si="90"/>
        <v>0</v>
      </c>
      <c r="CQ102" s="7">
        <f t="shared" si="91"/>
        <v>0</v>
      </c>
      <c r="CR102" s="7">
        <f t="shared" si="92"/>
        <v>0</v>
      </c>
      <c r="CS102" s="7">
        <f t="shared" si="93"/>
        <v>0</v>
      </c>
      <c r="CT102" s="7">
        <f t="shared" si="94"/>
        <v>0</v>
      </c>
      <c r="CU102" s="7">
        <f t="shared" si="95"/>
        <v>0</v>
      </c>
      <c r="CV102" s="7">
        <f t="shared" si="96"/>
        <v>0</v>
      </c>
      <c r="CW102" s="7">
        <f t="shared" si="97"/>
        <v>0</v>
      </c>
      <c r="CX102" s="7">
        <f t="shared" si="98"/>
        <v>0</v>
      </c>
      <c r="CY102" s="7">
        <f t="shared" si="99"/>
        <v>0</v>
      </c>
      <c r="CZ102" s="7">
        <f t="shared" si="100"/>
        <v>0</v>
      </c>
      <c r="DA102" s="7">
        <f t="shared" si="101"/>
        <v>0</v>
      </c>
      <c r="DB102" s="7">
        <f t="shared" si="102"/>
        <v>0</v>
      </c>
      <c r="DC102" s="7">
        <f t="shared" si="103"/>
        <v>0</v>
      </c>
      <c r="DD102" s="7">
        <f t="shared" si="104"/>
        <v>0</v>
      </c>
      <c r="DE102" s="7">
        <f t="shared" si="105"/>
        <v>0</v>
      </c>
      <c r="DF102" s="7">
        <f t="shared" si="106"/>
        <v>0</v>
      </c>
      <c r="DG102" s="7">
        <f t="shared" si="107"/>
        <v>0</v>
      </c>
      <c r="DH102" s="7">
        <f t="shared" si="108"/>
        <v>0</v>
      </c>
      <c r="DI102" s="7">
        <f t="shared" si="109"/>
        <v>0</v>
      </c>
      <c r="DJ102" s="7">
        <f t="shared" si="110"/>
        <v>0</v>
      </c>
      <c r="DK102" s="7">
        <f t="shared" si="111"/>
        <v>0</v>
      </c>
      <c r="DL102" s="7">
        <f t="shared" si="112"/>
        <v>0</v>
      </c>
      <c r="DM102" s="7">
        <f t="shared" si="113"/>
        <v>0</v>
      </c>
      <c r="DN102" s="7">
        <f t="shared" si="114"/>
        <v>0</v>
      </c>
      <c r="DO102" s="7">
        <f t="shared" si="115"/>
        <v>0</v>
      </c>
      <c r="DP102" s="7">
        <f t="shared" si="116"/>
        <v>0</v>
      </c>
      <c r="DQ102" s="7">
        <f t="shared" si="117"/>
        <v>0</v>
      </c>
      <c r="DR102" s="7">
        <f t="shared" si="118"/>
        <v>0</v>
      </c>
      <c r="DS102" s="7">
        <f t="shared" si="119"/>
        <v>0</v>
      </c>
      <c r="DT102" s="7">
        <f t="shared" si="120"/>
        <v>0</v>
      </c>
      <c r="DU102" s="7">
        <f t="shared" si="121"/>
        <v>0</v>
      </c>
    </row>
    <row r="103" spans="1:125" x14ac:dyDescent="0.2">
      <c r="A103" s="3">
        <f>Bonds!A103</f>
        <v>46934</v>
      </c>
      <c r="B103" s="4">
        <f>Bonds!B103</f>
        <v>4</v>
      </c>
      <c r="C103">
        <f>Bonds!P103</f>
        <v>4</v>
      </c>
      <c r="D103">
        <f t="shared" si="61"/>
        <v>1</v>
      </c>
      <c r="E103" s="3">
        <f>IF(1&gt;$C103,"",IF($D103=1,EOMONTH(EDATE(Bonds!$H103,6*(1-1)),0),EDATE(Bonds!$H103,6*(1-1))))</f>
        <v>46387</v>
      </c>
      <c r="F103" s="3">
        <f>IF(2&gt;$C103,"",IF($D103=1,EOMONTH(EDATE(Bonds!$H103,6*(2-1)),0),EDATE(Bonds!$H103,6*(2-1))))</f>
        <v>46568</v>
      </c>
      <c r="G103" s="3">
        <f>IF(3&gt;$C103,"",IF($D103=1,EOMONTH(EDATE(Bonds!$H103,6*(3-1)),0),EDATE(Bonds!$H103,6*(3-1))))</f>
        <v>46752</v>
      </c>
      <c r="H103" s="3">
        <f>IF(4&gt;$C103,"",IF($D103=1,EOMONTH(EDATE(Bonds!$H103,6*(4-1)),0),EDATE(Bonds!$H103,6*(4-1))))</f>
        <v>46934</v>
      </c>
      <c r="I103" s="3" t="str">
        <f>IF(5&gt;$C103,"",IF($D103=1,EOMONTH(EDATE(Bonds!$H103,6*(5-1)),0),EDATE(Bonds!$H103,6*(5-1))))</f>
        <v/>
      </c>
      <c r="J103" s="3" t="str">
        <f>IF(6&gt;$C103,"",IF($D103=1,EOMONTH(EDATE(Bonds!$H103,6*(6-1)),0),EDATE(Bonds!$H103,6*(6-1))))</f>
        <v/>
      </c>
      <c r="K103" s="3" t="str">
        <f>IF(7&gt;$C103,"",IF($D103=1,EOMONTH(EDATE(Bonds!$H103,6*(7-1)),0),EDATE(Bonds!$H103,6*(7-1))))</f>
        <v/>
      </c>
      <c r="L103" s="3" t="str">
        <f>IF(8&gt;$C103,"",IF($D103=1,EOMONTH(EDATE(Bonds!$H103,6*(8-1)),0),EDATE(Bonds!$H103,6*(8-1))))</f>
        <v/>
      </c>
      <c r="M103" s="3" t="str">
        <f>IF(9&gt;$C103,"",IF($D103=1,EOMONTH(EDATE(Bonds!$H103,6*(9-1)),0),EDATE(Bonds!$H103,6*(9-1))))</f>
        <v/>
      </c>
      <c r="N103" s="3" t="str">
        <f>IF(10&gt;$C103,"",IF($D103=1,EOMONTH(EDATE(Bonds!$H103,6*(10-1)),0),EDATE(Bonds!$H103,6*(10-1))))</f>
        <v/>
      </c>
      <c r="O103" s="3" t="str">
        <f>IF(11&gt;$C103,"",IF($D103=1,EOMONTH(EDATE(Bonds!$H103,6*(11-1)),0),EDATE(Bonds!$H103,6*(11-1))))</f>
        <v/>
      </c>
      <c r="P103" s="3" t="str">
        <f>IF(12&gt;$C103,"",IF($D103=1,EOMONTH(EDATE(Bonds!$H103,6*(12-1)),0),EDATE(Bonds!$H103,6*(12-1))))</f>
        <v/>
      </c>
      <c r="Q103" s="3" t="str">
        <f>IF(13&gt;$C103,"",IF($D103=1,EOMONTH(EDATE(Bonds!$H103,6*(13-1)),0),EDATE(Bonds!$H103,6*(13-1))))</f>
        <v/>
      </c>
      <c r="R103" s="3" t="str">
        <f>IF(14&gt;$C103,"",IF($D103=1,EOMONTH(EDATE(Bonds!$H103,6*(14-1)),0),EDATE(Bonds!$H103,6*(14-1))))</f>
        <v/>
      </c>
      <c r="S103" s="3" t="str">
        <f>IF(15&gt;$C103,"",IF($D103=1,EOMONTH(EDATE(Bonds!$H103,6*(15-1)),0),EDATE(Bonds!$H103,6*(15-1))))</f>
        <v/>
      </c>
      <c r="T103" s="3" t="str">
        <f>IF(16&gt;$C103,"",IF($D103=1,EOMONTH(EDATE(Bonds!$H103,6*(16-1)),0),EDATE(Bonds!$H103,6*(16-1))))</f>
        <v/>
      </c>
      <c r="U103" s="3" t="str">
        <f>IF(17&gt;$C103,"",IF($D103=1,EOMONTH(EDATE(Bonds!$H103,6*(17-1)),0),EDATE(Bonds!$H103,6*(17-1))))</f>
        <v/>
      </c>
      <c r="V103" s="3" t="str">
        <f>IF(18&gt;$C103,"",IF($D103=1,EOMONTH(EDATE(Bonds!$H103,6*(18-1)),0),EDATE(Bonds!$H103,6*(18-1))))</f>
        <v/>
      </c>
      <c r="W103" s="3" t="str">
        <f>IF(19&gt;$C103,"",IF($D103=1,EOMONTH(EDATE(Bonds!$H103,6*(19-1)),0),EDATE(Bonds!$H103,6*(19-1))))</f>
        <v/>
      </c>
      <c r="X103" s="3" t="str">
        <f>IF(20&gt;$C103,"",IF($D103=1,EOMONTH(EDATE(Bonds!$H103,6*(20-1)),0),EDATE(Bonds!$H103,6*(20-1))))</f>
        <v/>
      </c>
      <c r="Y103" s="3" t="str">
        <f>IF(21&gt;$C103,"",IF($D103=1,EOMONTH(EDATE(Bonds!$H103,6*(21-1)),0),EDATE(Bonds!$H103,6*(21-1))))</f>
        <v/>
      </c>
      <c r="Z103" s="3" t="str">
        <f>IF(22&gt;$C103,"",IF($D103=1,EOMONTH(EDATE(Bonds!$H103,6*(22-1)),0),EDATE(Bonds!$H103,6*(22-1))))</f>
        <v/>
      </c>
      <c r="AA103" s="3" t="str">
        <f>IF(23&gt;$C103,"",IF($D103=1,EOMONTH(EDATE(Bonds!$H103,6*(23-1)),0),EDATE(Bonds!$H103,6*(23-1))))</f>
        <v/>
      </c>
      <c r="AB103" s="3" t="str">
        <f>IF(24&gt;$C103,"",IF($D103=1,EOMONTH(EDATE(Bonds!$H103,6*(24-1)),0),EDATE(Bonds!$H103,6*(24-1))))</f>
        <v/>
      </c>
      <c r="AC103" s="3" t="str">
        <f>IF(25&gt;$C103,"",IF($D103=1,EOMONTH(EDATE(Bonds!$H103,6*(25-1)),0),EDATE(Bonds!$H103,6*(25-1))))</f>
        <v/>
      </c>
      <c r="AD103" s="3" t="str">
        <f>IF(26&gt;$C103,"",IF($D103=1,EOMONTH(EDATE(Bonds!$H103,6*(26-1)),0),EDATE(Bonds!$H103,6*(26-1))))</f>
        <v/>
      </c>
      <c r="AE103" s="3" t="str">
        <f>IF(27&gt;$C103,"",IF($D103=1,EOMONTH(EDATE(Bonds!$H103,6*(27-1)),0),EDATE(Bonds!$H103,6*(27-1))))</f>
        <v/>
      </c>
      <c r="AF103" s="3" t="str">
        <f>IF(28&gt;$C103,"",IF($D103=1,EOMONTH(EDATE(Bonds!$H103,6*(28-1)),0),EDATE(Bonds!$H103,6*(28-1))))</f>
        <v/>
      </c>
      <c r="AG103" s="3" t="str">
        <f>IF(29&gt;$C103,"",IF($D103=1,EOMONTH(EDATE(Bonds!$H103,6*(29-1)),0),EDATE(Bonds!$H103,6*(29-1))))</f>
        <v/>
      </c>
      <c r="AH103" s="3" t="str">
        <f>IF(30&gt;$C103,"",IF($D103=1,EOMONTH(EDATE(Bonds!$H103,6*(30-1)),0),EDATE(Bonds!$H103,6*(30-1))))</f>
        <v/>
      </c>
      <c r="AI103" s="3" t="str">
        <f>IF(31&gt;$C103,"",IF($D103=1,EOMONTH(EDATE(Bonds!$H103,6*(31-1)),0),EDATE(Bonds!$H103,6*(31-1))))</f>
        <v/>
      </c>
      <c r="AJ103" s="3" t="str">
        <f>IF(32&gt;$C103,"",IF($D103=1,EOMONTH(EDATE(Bonds!$H103,6*(32-1)),0),EDATE(Bonds!$H103,6*(32-1))))</f>
        <v/>
      </c>
      <c r="AK103" s="3" t="str">
        <f>IF(33&gt;$C103,"",IF($D103=1,EOMONTH(EDATE(Bonds!$H103,6*(33-1)),0),EDATE(Bonds!$H103,6*(33-1))))</f>
        <v/>
      </c>
      <c r="AL103" s="3" t="str">
        <f>IF(34&gt;$C103,"",IF($D103=1,EOMONTH(EDATE(Bonds!$H103,6*(34-1)),0),EDATE(Bonds!$H103,6*(34-1))))</f>
        <v/>
      </c>
      <c r="AM103" s="3" t="str">
        <f>IF(35&gt;$C103,"",IF($D103=1,EOMONTH(EDATE(Bonds!$H103,6*(35-1)),0),EDATE(Bonds!$H103,6*(35-1))))</f>
        <v/>
      </c>
      <c r="AN103" s="3" t="str">
        <f>IF(36&gt;$C103,"",IF($D103=1,EOMONTH(EDATE(Bonds!$H103,6*(36-1)),0),EDATE(Bonds!$H103,6*(36-1))))</f>
        <v/>
      </c>
      <c r="AO103" s="3" t="str">
        <f>IF(37&gt;$C103,"",IF($D103=1,EOMONTH(EDATE(Bonds!$H103,6*(37-1)),0),EDATE(Bonds!$H103,6*(37-1))))</f>
        <v/>
      </c>
      <c r="AP103" s="3" t="str">
        <f>IF(38&gt;$C103,"",IF($D103=1,EOMONTH(EDATE(Bonds!$H103,6*(38-1)),0),EDATE(Bonds!$H103,6*(38-1))))</f>
        <v/>
      </c>
      <c r="AQ103" s="3" t="str">
        <f>IF(39&gt;$C103,"",IF($D103=1,EOMONTH(EDATE(Bonds!$H103,6*(39-1)),0),EDATE(Bonds!$H103,6*(39-1))))</f>
        <v/>
      </c>
      <c r="AR103" s="3" t="str">
        <f>IF(40&gt;$C103,"",IF($D103=1,EOMONTH(EDATE(Bonds!$H103,6*(40-1)),0),EDATE(Bonds!$H103,6*(40-1))))</f>
        <v/>
      </c>
      <c r="AS103" s="3" t="str">
        <f>IF(41&gt;$C103,"",IF($D103=1,EOMONTH(EDATE(Bonds!$H103,6*(41-1)),0),EDATE(Bonds!$H103,6*(41-1))))</f>
        <v/>
      </c>
      <c r="AT103" s="3" t="str">
        <f>IF(42&gt;$C103,"",IF($D103=1,EOMONTH(EDATE(Bonds!$H103,6*(42-1)),0),EDATE(Bonds!$H103,6*(42-1))))</f>
        <v/>
      </c>
      <c r="AU103" s="3" t="str">
        <f>IF(43&gt;$C103,"",IF($D103=1,EOMONTH(EDATE(Bonds!$H103,6*(43-1)),0),EDATE(Bonds!$H103,6*(43-1))))</f>
        <v/>
      </c>
      <c r="AV103" s="3" t="str">
        <f>IF(44&gt;$C103,"",IF($D103=1,EOMONTH(EDATE(Bonds!$H103,6*(44-1)),0),EDATE(Bonds!$H103,6*(44-1))))</f>
        <v/>
      </c>
      <c r="AW103" s="3" t="str">
        <f>IF(45&gt;$C103,"",IF($D103=1,EOMONTH(EDATE(Bonds!$H103,6*(45-1)),0),EDATE(Bonds!$H103,6*(45-1))))</f>
        <v/>
      </c>
      <c r="AX103" s="3" t="str">
        <f>IF(46&gt;$C103,"",IF($D103=1,EOMONTH(EDATE(Bonds!$H103,6*(46-1)),0),EDATE(Bonds!$H103,6*(46-1))))</f>
        <v/>
      </c>
      <c r="AY103" s="3" t="str">
        <f>IF(47&gt;$C103,"",IF($D103=1,EOMONTH(EDATE(Bonds!$H103,6*(47-1)),0),EDATE(Bonds!$H103,6*(47-1))))</f>
        <v/>
      </c>
      <c r="AZ103" s="3" t="str">
        <f>IF(48&gt;$C103,"",IF($D103=1,EOMONTH(EDATE(Bonds!$H103,6*(48-1)),0),EDATE(Bonds!$H103,6*(48-1))))</f>
        <v/>
      </c>
      <c r="BA103" s="3" t="str">
        <f>IF(49&gt;$C103,"",IF($D103=1,EOMONTH(EDATE(Bonds!$H103,6*(49-1)),0),EDATE(Bonds!$H103,6*(49-1))))</f>
        <v/>
      </c>
      <c r="BB103" s="3" t="str">
        <f>IF(50&gt;$C103,"",IF($D103=1,EOMONTH(EDATE(Bonds!$H103,6*(50-1)),0),EDATE(Bonds!$H103,6*(50-1))))</f>
        <v/>
      </c>
      <c r="BC103" s="3" t="str">
        <f>IF(51&gt;$C103,"",IF($D103=1,EOMONTH(EDATE(Bonds!$H103,6*(51-1)),0),EDATE(Bonds!$H103,6*(51-1))))</f>
        <v/>
      </c>
      <c r="BD103" s="3" t="str">
        <f>IF(52&gt;$C103,"",IF($D103=1,EOMONTH(EDATE(Bonds!$H103,6*(52-1)),0),EDATE(Bonds!$H103,6*(52-1))))</f>
        <v/>
      </c>
      <c r="BE103" s="3" t="str">
        <f>IF(53&gt;$C103,"",IF($D103=1,EOMONTH(EDATE(Bonds!$H103,6*(53-1)),0),EDATE(Bonds!$H103,6*(53-1))))</f>
        <v/>
      </c>
      <c r="BF103" s="3" t="str">
        <f>IF(54&gt;$C103,"",IF($D103=1,EOMONTH(EDATE(Bonds!$H103,6*(54-1)),0),EDATE(Bonds!$H103,6*(54-1))))</f>
        <v/>
      </c>
      <c r="BG103" s="3" t="str">
        <f>IF(55&gt;$C103,"",IF($D103=1,EOMONTH(EDATE(Bonds!$H103,6*(55-1)),0),EDATE(Bonds!$H103,6*(55-1))))</f>
        <v/>
      </c>
      <c r="BH103" s="3" t="str">
        <f>IF(56&gt;$C103,"",IF($D103=1,EOMONTH(EDATE(Bonds!$H103,6*(56-1)),0),EDATE(Bonds!$H103,6*(56-1))))</f>
        <v/>
      </c>
      <c r="BI103" s="3" t="str">
        <f>IF(57&gt;$C103,"",IF($D103=1,EOMONTH(EDATE(Bonds!$H103,6*(57-1)),0),EDATE(Bonds!$H103,6*(57-1))))</f>
        <v/>
      </c>
      <c r="BJ103" s="3" t="str">
        <f>IF(58&gt;$C103,"",IF($D103=1,EOMONTH(EDATE(Bonds!$H103,6*(58-1)),0),EDATE(Bonds!$H103,6*(58-1))))</f>
        <v/>
      </c>
      <c r="BK103" s="3" t="str">
        <f>IF(59&gt;$C103,"",IF($D103=1,EOMONTH(EDATE(Bonds!$H103,6*(59-1)),0),EDATE(Bonds!$H103,6*(59-1))))</f>
        <v/>
      </c>
      <c r="BL103" s="3" t="str">
        <f>IF(60&gt;$C103,"",IF($D103=1,EOMONTH(EDATE(Bonds!$H103,6*(60-1)),0),EDATE(Bonds!$H103,6*(60-1))))</f>
        <v/>
      </c>
      <c r="BN103" s="7">
        <f t="shared" si="62"/>
        <v>1.9761972772391041</v>
      </c>
      <c r="BO103" s="7">
        <f t="shared" si="63"/>
        <v>1.9353369718148929</v>
      </c>
      <c r="BP103" s="7">
        <f t="shared" si="64"/>
        <v>1.8922727121458007</v>
      </c>
      <c r="BQ103" s="7">
        <f t="shared" si="65"/>
        <v>94.333790576040215</v>
      </c>
      <c r="BR103" s="7">
        <f t="shared" si="66"/>
        <v>0</v>
      </c>
      <c r="BS103" s="7">
        <f t="shared" si="67"/>
        <v>0</v>
      </c>
      <c r="BT103" s="7">
        <f t="shared" si="68"/>
        <v>0</v>
      </c>
      <c r="BU103" s="7">
        <f t="shared" si="69"/>
        <v>0</v>
      </c>
      <c r="BV103" s="7">
        <f t="shared" si="70"/>
        <v>0</v>
      </c>
      <c r="BW103" s="7">
        <f t="shared" si="71"/>
        <v>0</v>
      </c>
      <c r="BX103" s="7">
        <f t="shared" si="72"/>
        <v>0</v>
      </c>
      <c r="BY103" s="7">
        <f t="shared" si="73"/>
        <v>0</v>
      </c>
      <c r="BZ103" s="7">
        <f t="shared" si="74"/>
        <v>0</v>
      </c>
      <c r="CA103" s="7">
        <f t="shared" si="75"/>
        <v>0</v>
      </c>
      <c r="CB103" s="7">
        <f t="shared" si="76"/>
        <v>0</v>
      </c>
      <c r="CC103" s="7">
        <f t="shared" si="77"/>
        <v>0</v>
      </c>
      <c r="CD103" s="7">
        <f t="shared" si="78"/>
        <v>0</v>
      </c>
      <c r="CE103" s="7">
        <f t="shared" si="79"/>
        <v>0</v>
      </c>
      <c r="CF103" s="7">
        <f t="shared" si="80"/>
        <v>0</v>
      </c>
      <c r="CG103" s="7">
        <f t="shared" si="81"/>
        <v>0</v>
      </c>
      <c r="CH103" s="7">
        <f t="shared" si="82"/>
        <v>0</v>
      </c>
      <c r="CI103" s="7">
        <f t="shared" si="83"/>
        <v>0</v>
      </c>
      <c r="CJ103" s="7">
        <f t="shared" si="84"/>
        <v>0</v>
      </c>
      <c r="CK103" s="7">
        <f t="shared" si="85"/>
        <v>0</v>
      </c>
      <c r="CL103" s="7">
        <f t="shared" si="86"/>
        <v>0</v>
      </c>
      <c r="CM103" s="7">
        <f t="shared" si="87"/>
        <v>0</v>
      </c>
      <c r="CN103" s="7">
        <f t="shared" si="88"/>
        <v>0</v>
      </c>
      <c r="CO103" s="7">
        <f t="shared" si="89"/>
        <v>0</v>
      </c>
      <c r="CP103" s="7">
        <f t="shared" si="90"/>
        <v>0</v>
      </c>
      <c r="CQ103" s="7">
        <f t="shared" si="91"/>
        <v>0</v>
      </c>
      <c r="CR103" s="7">
        <f t="shared" si="92"/>
        <v>0</v>
      </c>
      <c r="CS103" s="7">
        <f t="shared" si="93"/>
        <v>0</v>
      </c>
      <c r="CT103" s="7">
        <f t="shared" si="94"/>
        <v>0</v>
      </c>
      <c r="CU103" s="7">
        <f t="shared" si="95"/>
        <v>0</v>
      </c>
      <c r="CV103" s="7">
        <f t="shared" si="96"/>
        <v>0</v>
      </c>
      <c r="CW103" s="7">
        <f t="shared" si="97"/>
        <v>0</v>
      </c>
      <c r="CX103" s="7">
        <f t="shared" si="98"/>
        <v>0</v>
      </c>
      <c r="CY103" s="7">
        <f t="shared" si="99"/>
        <v>0</v>
      </c>
      <c r="CZ103" s="7">
        <f t="shared" si="100"/>
        <v>0</v>
      </c>
      <c r="DA103" s="7">
        <f t="shared" si="101"/>
        <v>0</v>
      </c>
      <c r="DB103" s="7">
        <f t="shared" si="102"/>
        <v>0</v>
      </c>
      <c r="DC103" s="7">
        <f t="shared" si="103"/>
        <v>0</v>
      </c>
      <c r="DD103" s="7">
        <f t="shared" si="104"/>
        <v>0</v>
      </c>
      <c r="DE103" s="7">
        <f t="shared" si="105"/>
        <v>0</v>
      </c>
      <c r="DF103" s="7">
        <f t="shared" si="106"/>
        <v>0</v>
      </c>
      <c r="DG103" s="7">
        <f t="shared" si="107"/>
        <v>0</v>
      </c>
      <c r="DH103" s="7">
        <f t="shared" si="108"/>
        <v>0</v>
      </c>
      <c r="DI103" s="7">
        <f t="shared" si="109"/>
        <v>0</v>
      </c>
      <c r="DJ103" s="7">
        <f t="shared" si="110"/>
        <v>0</v>
      </c>
      <c r="DK103" s="7">
        <f t="shared" si="111"/>
        <v>0</v>
      </c>
      <c r="DL103" s="7">
        <f t="shared" si="112"/>
        <v>0</v>
      </c>
      <c r="DM103" s="7">
        <f t="shared" si="113"/>
        <v>0</v>
      </c>
      <c r="DN103" s="7">
        <f t="shared" si="114"/>
        <v>0</v>
      </c>
      <c r="DO103" s="7">
        <f t="shared" si="115"/>
        <v>0</v>
      </c>
      <c r="DP103" s="7">
        <f t="shared" si="116"/>
        <v>0</v>
      </c>
      <c r="DQ103" s="7">
        <f t="shared" si="117"/>
        <v>0</v>
      </c>
      <c r="DR103" s="7">
        <f t="shared" si="118"/>
        <v>0</v>
      </c>
      <c r="DS103" s="7">
        <f t="shared" si="119"/>
        <v>0</v>
      </c>
      <c r="DT103" s="7">
        <f t="shared" si="120"/>
        <v>0</v>
      </c>
      <c r="DU103" s="7">
        <f t="shared" si="121"/>
        <v>0</v>
      </c>
    </row>
    <row r="104" spans="1:125" x14ac:dyDescent="0.2">
      <c r="A104" s="3">
        <f>Bonds!A104</f>
        <v>46934</v>
      </c>
      <c r="B104" s="4">
        <f>Bonds!B104</f>
        <v>4.125</v>
      </c>
      <c r="C104">
        <f>Bonds!P104</f>
        <v>4</v>
      </c>
      <c r="D104">
        <f t="shared" si="61"/>
        <v>1</v>
      </c>
      <c r="E104" s="3">
        <f>IF(1&gt;$C104,"",IF($D104=1,EOMONTH(EDATE(Bonds!$H104,6*(1-1)),0),EDATE(Bonds!$H104,6*(1-1))))</f>
        <v>46387</v>
      </c>
      <c r="F104" s="3">
        <f>IF(2&gt;$C104,"",IF($D104=1,EOMONTH(EDATE(Bonds!$H104,6*(2-1)),0),EDATE(Bonds!$H104,6*(2-1))))</f>
        <v>46568</v>
      </c>
      <c r="G104" s="3">
        <f>IF(3&gt;$C104,"",IF($D104=1,EOMONTH(EDATE(Bonds!$H104,6*(3-1)),0),EDATE(Bonds!$H104,6*(3-1))))</f>
        <v>46752</v>
      </c>
      <c r="H104" s="3">
        <f>IF(4&gt;$C104,"",IF($D104=1,EOMONTH(EDATE(Bonds!$H104,6*(4-1)),0),EDATE(Bonds!$H104,6*(4-1))))</f>
        <v>46934</v>
      </c>
      <c r="I104" s="3" t="str">
        <f>IF(5&gt;$C104,"",IF($D104=1,EOMONTH(EDATE(Bonds!$H104,6*(5-1)),0),EDATE(Bonds!$H104,6*(5-1))))</f>
        <v/>
      </c>
      <c r="J104" s="3" t="str">
        <f>IF(6&gt;$C104,"",IF($D104=1,EOMONTH(EDATE(Bonds!$H104,6*(6-1)),0),EDATE(Bonds!$H104,6*(6-1))))</f>
        <v/>
      </c>
      <c r="K104" s="3" t="str">
        <f>IF(7&gt;$C104,"",IF($D104=1,EOMONTH(EDATE(Bonds!$H104,6*(7-1)),0),EDATE(Bonds!$H104,6*(7-1))))</f>
        <v/>
      </c>
      <c r="L104" s="3" t="str">
        <f>IF(8&gt;$C104,"",IF($D104=1,EOMONTH(EDATE(Bonds!$H104,6*(8-1)),0),EDATE(Bonds!$H104,6*(8-1))))</f>
        <v/>
      </c>
      <c r="M104" s="3" t="str">
        <f>IF(9&gt;$C104,"",IF($D104=1,EOMONTH(EDATE(Bonds!$H104,6*(9-1)),0),EDATE(Bonds!$H104,6*(9-1))))</f>
        <v/>
      </c>
      <c r="N104" s="3" t="str">
        <f>IF(10&gt;$C104,"",IF($D104=1,EOMONTH(EDATE(Bonds!$H104,6*(10-1)),0),EDATE(Bonds!$H104,6*(10-1))))</f>
        <v/>
      </c>
      <c r="O104" s="3" t="str">
        <f>IF(11&gt;$C104,"",IF($D104=1,EOMONTH(EDATE(Bonds!$H104,6*(11-1)),0),EDATE(Bonds!$H104,6*(11-1))))</f>
        <v/>
      </c>
      <c r="P104" s="3" t="str">
        <f>IF(12&gt;$C104,"",IF($D104=1,EOMONTH(EDATE(Bonds!$H104,6*(12-1)),0),EDATE(Bonds!$H104,6*(12-1))))</f>
        <v/>
      </c>
      <c r="Q104" s="3" t="str">
        <f>IF(13&gt;$C104,"",IF($D104=1,EOMONTH(EDATE(Bonds!$H104,6*(13-1)),0),EDATE(Bonds!$H104,6*(13-1))))</f>
        <v/>
      </c>
      <c r="R104" s="3" t="str">
        <f>IF(14&gt;$C104,"",IF($D104=1,EOMONTH(EDATE(Bonds!$H104,6*(14-1)),0),EDATE(Bonds!$H104,6*(14-1))))</f>
        <v/>
      </c>
      <c r="S104" s="3" t="str">
        <f>IF(15&gt;$C104,"",IF($D104=1,EOMONTH(EDATE(Bonds!$H104,6*(15-1)),0),EDATE(Bonds!$H104,6*(15-1))))</f>
        <v/>
      </c>
      <c r="T104" s="3" t="str">
        <f>IF(16&gt;$C104,"",IF($D104=1,EOMONTH(EDATE(Bonds!$H104,6*(16-1)),0),EDATE(Bonds!$H104,6*(16-1))))</f>
        <v/>
      </c>
      <c r="U104" s="3" t="str">
        <f>IF(17&gt;$C104,"",IF($D104=1,EOMONTH(EDATE(Bonds!$H104,6*(17-1)),0),EDATE(Bonds!$H104,6*(17-1))))</f>
        <v/>
      </c>
      <c r="V104" s="3" t="str">
        <f>IF(18&gt;$C104,"",IF($D104=1,EOMONTH(EDATE(Bonds!$H104,6*(18-1)),0),EDATE(Bonds!$H104,6*(18-1))))</f>
        <v/>
      </c>
      <c r="W104" s="3" t="str">
        <f>IF(19&gt;$C104,"",IF($D104=1,EOMONTH(EDATE(Bonds!$H104,6*(19-1)),0),EDATE(Bonds!$H104,6*(19-1))))</f>
        <v/>
      </c>
      <c r="X104" s="3" t="str">
        <f>IF(20&gt;$C104,"",IF($D104=1,EOMONTH(EDATE(Bonds!$H104,6*(20-1)),0),EDATE(Bonds!$H104,6*(20-1))))</f>
        <v/>
      </c>
      <c r="Y104" s="3" t="str">
        <f>IF(21&gt;$C104,"",IF($D104=1,EOMONTH(EDATE(Bonds!$H104,6*(21-1)),0),EDATE(Bonds!$H104,6*(21-1))))</f>
        <v/>
      </c>
      <c r="Z104" s="3" t="str">
        <f>IF(22&gt;$C104,"",IF($D104=1,EOMONTH(EDATE(Bonds!$H104,6*(22-1)),0),EDATE(Bonds!$H104,6*(22-1))))</f>
        <v/>
      </c>
      <c r="AA104" s="3" t="str">
        <f>IF(23&gt;$C104,"",IF($D104=1,EOMONTH(EDATE(Bonds!$H104,6*(23-1)),0),EDATE(Bonds!$H104,6*(23-1))))</f>
        <v/>
      </c>
      <c r="AB104" s="3" t="str">
        <f>IF(24&gt;$C104,"",IF($D104=1,EOMONTH(EDATE(Bonds!$H104,6*(24-1)),0),EDATE(Bonds!$H104,6*(24-1))))</f>
        <v/>
      </c>
      <c r="AC104" s="3" t="str">
        <f>IF(25&gt;$C104,"",IF($D104=1,EOMONTH(EDATE(Bonds!$H104,6*(25-1)),0),EDATE(Bonds!$H104,6*(25-1))))</f>
        <v/>
      </c>
      <c r="AD104" s="3" t="str">
        <f>IF(26&gt;$C104,"",IF($D104=1,EOMONTH(EDATE(Bonds!$H104,6*(26-1)),0),EDATE(Bonds!$H104,6*(26-1))))</f>
        <v/>
      </c>
      <c r="AE104" s="3" t="str">
        <f>IF(27&gt;$C104,"",IF($D104=1,EOMONTH(EDATE(Bonds!$H104,6*(27-1)),0),EDATE(Bonds!$H104,6*(27-1))))</f>
        <v/>
      </c>
      <c r="AF104" s="3" t="str">
        <f>IF(28&gt;$C104,"",IF($D104=1,EOMONTH(EDATE(Bonds!$H104,6*(28-1)),0),EDATE(Bonds!$H104,6*(28-1))))</f>
        <v/>
      </c>
      <c r="AG104" s="3" t="str">
        <f>IF(29&gt;$C104,"",IF($D104=1,EOMONTH(EDATE(Bonds!$H104,6*(29-1)),0),EDATE(Bonds!$H104,6*(29-1))))</f>
        <v/>
      </c>
      <c r="AH104" s="3" t="str">
        <f>IF(30&gt;$C104,"",IF($D104=1,EOMONTH(EDATE(Bonds!$H104,6*(30-1)),0),EDATE(Bonds!$H104,6*(30-1))))</f>
        <v/>
      </c>
      <c r="AI104" s="3" t="str">
        <f>IF(31&gt;$C104,"",IF($D104=1,EOMONTH(EDATE(Bonds!$H104,6*(31-1)),0),EDATE(Bonds!$H104,6*(31-1))))</f>
        <v/>
      </c>
      <c r="AJ104" s="3" t="str">
        <f>IF(32&gt;$C104,"",IF($D104=1,EOMONTH(EDATE(Bonds!$H104,6*(32-1)),0),EDATE(Bonds!$H104,6*(32-1))))</f>
        <v/>
      </c>
      <c r="AK104" s="3" t="str">
        <f>IF(33&gt;$C104,"",IF($D104=1,EOMONTH(EDATE(Bonds!$H104,6*(33-1)),0),EDATE(Bonds!$H104,6*(33-1))))</f>
        <v/>
      </c>
      <c r="AL104" s="3" t="str">
        <f>IF(34&gt;$C104,"",IF($D104=1,EOMONTH(EDATE(Bonds!$H104,6*(34-1)),0),EDATE(Bonds!$H104,6*(34-1))))</f>
        <v/>
      </c>
      <c r="AM104" s="3" t="str">
        <f>IF(35&gt;$C104,"",IF($D104=1,EOMONTH(EDATE(Bonds!$H104,6*(35-1)),0),EDATE(Bonds!$H104,6*(35-1))))</f>
        <v/>
      </c>
      <c r="AN104" s="3" t="str">
        <f>IF(36&gt;$C104,"",IF($D104=1,EOMONTH(EDATE(Bonds!$H104,6*(36-1)),0),EDATE(Bonds!$H104,6*(36-1))))</f>
        <v/>
      </c>
      <c r="AO104" s="3" t="str">
        <f>IF(37&gt;$C104,"",IF($D104=1,EOMONTH(EDATE(Bonds!$H104,6*(37-1)),0),EDATE(Bonds!$H104,6*(37-1))))</f>
        <v/>
      </c>
      <c r="AP104" s="3" t="str">
        <f>IF(38&gt;$C104,"",IF($D104=1,EOMONTH(EDATE(Bonds!$H104,6*(38-1)),0),EDATE(Bonds!$H104,6*(38-1))))</f>
        <v/>
      </c>
      <c r="AQ104" s="3" t="str">
        <f>IF(39&gt;$C104,"",IF($D104=1,EOMONTH(EDATE(Bonds!$H104,6*(39-1)),0),EDATE(Bonds!$H104,6*(39-1))))</f>
        <v/>
      </c>
      <c r="AR104" s="3" t="str">
        <f>IF(40&gt;$C104,"",IF($D104=1,EOMONTH(EDATE(Bonds!$H104,6*(40-1)),0),EDATE(Bonds!$H104,6*(40-1))))</f>
        <v/>
      </c>
      <c r="AS104" s="3" t="str">
        <f>IF(41&gt;$C104,"",IF($D104=1,EOMONTH(EDATE(Bonds!$H104,6*(41-1)),0),EDATE(Bonds!$H104,6*(41-1))))</f>
        <v/>
      </c>
      <c r="AT104" s="3" t="str">
        <f>IF(42&gt;$C104,"",IF($D104=1,EOMONTH(EDATE(Bonds!$H104,6*(42-1)),0),EDATE(Bonds!$H104,6*(42-1))))</f>
        <v/>
      </c>
      <c r="AU104" s="3" t="str">
        <f>IF(43&gt;$C104,"",IF($D104=1,EOMONTH(EDATE(Bonds!$H104,6*(43-1)),0),EDATE(Bonds!$H104,6*(43-1))))</f>
        <v/>
      </c>
      <c r="AV104" s="3" t="str">
        <f>IF(44&gt;$C104,"",IF($D104=1,EOMONTH(EDATE(Bonds!$H104,6*(44-1)),0),EDATE(Bonds!$H104,6*(44-1))))</f>
        <v/>
      </c>
      <c r="AW104" s="3" t="str">
        <f>IF(45&gt;$C104,"",IF($D104=1,EOMONTH(EDATE(Bonds!$H104,6*(45-1)),0),EDATE(Bonds!$H104,6*(45-1))))</f>
        <v/>
      </c>
      <c r="AX104" s="3" t="str">
        <f>IF(46&gt;$C104,"",IF($D104=1,EOMONTH(EDATE(Bonds!$H104,6*(46-1)),0),EDATE(Bonds!$H104,6*(46-1))))</f>
        <v/>
      </c>
      <c r="AY104" s="3" t="str">
        <f>IF(47&gt;$C104,"",IF($D104=1,EOMONTH(EDATE(Bonds!$H104,6*(47-1)),0),EDATE(Bonds!$H104,6*(47-1))))</f>
        <v/>
      </c>
      <c r="AZ104" s="3" t="str">
        <f>IF(48&gt;$C104,"",IF($D104=1,EOMONTH(EDATE(Bonds!$H104,6*(48-1)),0),EDATE(Bonds!$H104,6*(48-1))))</f>
        <v/>
      </c>
      <c r="BA104" s="3" t="str">
        <f>IF(49&gt;$C104,"",IF($D104=1,EOMONTH(EDATE(Bonds!$H104,6*(49-1)),0),EDATE(Bonds!$H104,6*(49-1))))</f>
        <v/>
      </c>
      <c r="BB104" s="3" t="str">
        <f>IF(50&gt;$C104,"",IF($D104=1,EOMONTH(EDATE(Bonds!$H104,6*(50-1)),0),EDATE(Bonds!$H104,6*(50-1))))</f>
        <v/>
      </c>
      <c r="BC104" s="3" t="str">
        <f>IF(51&gt;$C104,"",IF($D104=1,EOMONTH(EDATE(Bonds!$H104,6*(51-1)),0),EDATE(Bonds!$H104,6*(51-1))))</f>
        <v/>
      </c>
      <c r="BD104" s="3" t="str">
        <f>IF(52&gt;$C104,"",IF($D104=1,EOMONTH(EDATE(Bonds!$H104,6*(52-1)),0),EDATE(Bonds!$H104,6*(52-1))))</f>
        <v/>
      </c>
      <c r="BE104" s="3" t="str">
        <f>IF(53&gt;$C104,"",IF($D104=1,EOMONTH(EDATE(Bonds!$H104,6*(53-1)),0),EDATE(Bonds!$H104,6*(53-1))))</f>
        <v/>
      </c>
      <c r="BF104" s="3" t="str">
        <f>IF(54&gt;$C104,"",IF($D104=1,EOMONTH(EDATE(Bonds!$H104,6*(54-1)),0),EDATE(Bonds!$H104,6*(54-1))))</f>
        <v/>
      </c>
      <c r="BG104" s="3" t="str">
        <f>IF(55&gt;$C104,"",IF($D104=1,EOMONTH(EDATE(Bonds!$H104,6*(55-1)),0),EDATE(Bonds!$H104,6*(55-1))))</f>
        <v/>
      </c>
      <c r="BH104" s="3" t="str">
        <f>IF(56&gt;$C104,"",IF($D104=1,EOMONTH(EDATE(Bonds!$H104,6*(56-1)),0),EDATE(Bonds!$H104,6*(56-1))))</f>
        <v/>
      </c>
      <c r="BI104" s="3" t="str">
        <f>IF(57&gt;$C104,"",IF($D104=1,EOMONTH(EDATE(Bonds!$H104,6*(57-1)),0),EDATE(Bonds!$H104,6*(57-1))))</f>
        <v/>
      </c>
      <c r="BJ104" s="3" t="str">
        <f>IF(58&gt;$C104,"",IF($D104=1,EOMONTH(EDATE(Bonds!$H104,6*(58-1)),0),EDATE(Bonds!$H104,6*(58-1))))</f>
        <v/>
      </c>
      <c r="BK104" s="3" t="str">
        <f>IF(59&gt;$C104,"",IF($D104=1,EOMONTH(EDATE(Bonds!$H104,6*(59-1)),0),EDATE(Bonds!$H104,6*(59-1))))</f>
        <v/>
      </c>
      <c r="BL104" s="3" t="str">
        <f>IF(60&gt;$C104,"",IF($D104=1,EOMONTH(EDATE(Bonds!$H104,6*(60-1)),0),EDATE(Bonds!$H104,6*(60-1))))</f>
        <v/>
      </c>
      <c r="BN104" s="7">
        <f t="shared" si="62"/>
        <v>2.0379534421528263</v>
      </c>
      <c r="BO104" s="7">
        <f t="shared" si="63"/>
        <v>1.9958162521841083</v>
      </c>
      <c r="BP104" s="7">
        <f t="shared" si="64"/>
        <v>1.9514062344003571</v>
      </c>
      <c r="BQ104" s="7">
        <f t="shared" si="65"/>
        <v>94.391593143795134</v>
      </c>
      <c r="BR104" s="7">
        <f t="shared" si="66"/>
        <v>0</v>
      </c>
      <c r="BS104" s="7">
        <f t="shared" si="67"/>
        <v>0</v>
      </c>
      <c r="BT104" s="7">
        <f t="shared" si="68"/>
        <v>0</v>
      </c>
      <c r="BU104" s="7">
        <f t="shared" si="69"/>
        <v>0</v>
      </c>
      <c r="BV104" s="7">
        <f t="shared" si="70"/>
        <v>0</v>
      </c>
      <c r="BW104" s="7">
        <f t="shared" si="71"/>
        <v>0</v>
      </c>
      <c r="BX104" s="7">
        <f t="shared" si="72"/>
        <v>0</v>
      </c>
      <c r="BY104" s="7">
        <f t="shared" si="73"/>
        <v>0</v>
      </c>
      <c r="BZ104" s="7">
        <f t="shared" si="74"/>
        <v>0</v>
      </c>
      <c r="CA104" s="7">
        <f t="shared" si="75"/>
        <v>0</v>
      </c>
      <c r="CB104" s="7">
        <f t="shared" si="76"/>
        <v>0</v>
      </c>
      <c r="CC104" s="7">
        <f t="shared" si="77"/>
        <v>0</v>
      </c>
      <c r="CD104" s="7">
        <f t="shared" si="78"/>
        <v>0</v>
      </c>
      <c r="CE104" s="7">
        <f t="shared" si="79"/>
        <v>0</v>
      </c>
      <c r="CF104" s="7">
        <f t="shared" si="80"/>
        <v>0</v>
      </c>
      <c r="CG104" s="7">
        <f t="shared" si="81"/>
        <v>0</v>
      </c>
      <c r="CH104" s="7">
        <f t="shared" si="82"/>
        <v>0</v>
      </c>
      <c r="CI104" s="7">
        <f t="shared" si="83"/>
        <v>0</v>
      </c>
      <c r="CJ104" s="7">
        <f t="shared" si="84"/>
        <v>0</v>
      </c>
      <c r="CK104" s="7">
        <f t="shared" si="85"/>
        <v>0</v>
      </c>
      <c r="CL104" s="7">
        <f t="shared" si="86"/>
        <v>0</v>
      </c>
      <c r="CM104" s="7">
        <f t="shared" si="87"/>
        <v>0</v>
      </c>
      <c r="CN104" s="7">
        <f t="shared" si="88"/>
        <v>0</v>
      </c>
      <c r="CO104" s="7">
        <f t="shared" si="89"/>
        <v>0</v>
      </c>
      <c r="CP104" s="7">
        <f t="shared" si="90"/>
        <v>0</v>
      </c>
      <c r="CQ104" s="7">
        <f t="shared" si="91"/>
        <v>0</v>
      </c>
      <c r="CR104" s="7">
        <f t="shared" si="92"/>
        <v>0</v>
      </c>
      <c r="CS104" s="7">
        <f t="shared" si="93"/>
        <v>0</v>
      </c>
      <c r="CT104" s="7">
        <f t="shared" si="94"/>
        <v>0</v>
      </c>
      <c r="CU104" s="7">
        <f t="shared" si="95"/>
        <v>0</v>
      </c>
      <c r="CV104" s="7">
        <f t="shared" si="96"/>
        <v>0</v>
      </c>
      <c r="CW104" s="7">
        <f t="shared" si="97"/>
        <v>0</v>
      </c>
      <c r="CX104" s="7">
        <f t="shared" si="98"/>
        <v>0</v>
      </c>
      <c r="CY104" s="7">
        <f t="shared" si="99"/>
        <v>0</v>
      </c>
      <c r="CZ104" s="7">
        <f t="shared" si="100"/>
        <v>0</v>
      </c>
      <c r="DA104" s="7">
        <f t="shared" si="101"/>
        <v>0</v>
      </c>
      <c r="DB104" s="7">
        <f t="shared" si="102"/>
        <v>0</v>
      </c>
      <c r="DC104" s="7">
        <f t="shared" si="103"/>
        <v>0</v>
      </c>
      <c r="DD104" s="7">
        <f t="shared" si="104"/>
        <v>0</v>
      </c>
      <c r="DE104" s="7">
        <f t="shared" si="105"/>
        <v>0</v>
      </c>
      <c r="DF104" s="7">
        <f t="shared" si="106"/>
        <v>0</v>
      </c>
      <c r="DG104" s="7">
        <f t="shared" si="107"/>
        <v>0</v>
      </c>
      <c r="DH104" s="7">
        <f t="shared" si="108"/>
        <v>0</v>
      </c>
      <c r="DI104" s="7">
        <f t="shared" si="109"/>
        <v>0</v>
      </c>
      <c r="DJ104" s="7">
        <f t="shared" si="110"/>
        <v>0</v>
      </c>
      <c r="DK104" s="7">
        <f t="shared" si="111"/>
        <v>0</v>
      </c>
      <c r="DL104" s="7">
        <f t="shared" si="112"/>
        <v>0</v>
      </c>
      <c r="DM104" s="7">
        <f t="shared" si="113"/>
        <v>0</v>
      </c>
      <c r="DN104" s="7">
        <f t="shared" si="114"/>
        <v>0</v>
      </c>
      <c r="DO104" s="7">
        <f t="shared" si="115"/>
        <v>0</v>
      </c>
      <c r="DP104" s="7">
        <f t="shared" si="116"/>
        <v>0</v>
      </c>
      <c r="DQ104" s="7">
        <f t="shared" si="117"/>
        <v>0</v>
      </c>
      <c r="DR104" s="7">
        <f t="shared" si="118"/>
        <v>0</v>
      </c>
      <c r="DS104" s="7">
        <f t="shared" si="119"/>
        <v>0</v>
      </c>
      <c r="DT104" s="7">
        <f t="shared" si="120"/>
        <v>0</v>
      </c>
      <c r="DU104" s="7">
        <f t="shared" si="121"/>
        <v>0</v>
      </c>
    </row>
    <row r="105" spans="1:125" x14ac:dyDescent="0.2">
      <c r="A105" s="3">
        <f>Bonds!A105</f>
        <v>46949</v>
      </c>
      <c r="B105" s="4">
        <f>Bonds!B105</f>
        <v>3.875</v>
      </c>
      <c r="C105">
        <f>Bonds!P105</f>
        <v>4</v>
      </c>
      <c r="D105">
        <f t="shared" si="61"/>
        <v>0</v>
      </c>
      <c r="E105" s="3">
        <f>IF(1&gt;$C105,"",IF($D105=1,EOMONTH(EDATE(Bonds!$H105,6*(1-1)),0),EDATE(Bonds!$H105,6*(1-1))))</f>
        <v>46402</v>
      </c>
      <c r="F105" s="3">
        <f>IF(2&gt;$C105,"",IF($D105=1,EOMONTH(EDATE(Bonds!$H105,6*(2-1)),0),EDATE(Bonds!$H105,6*(2-1))))</f>
        <v>46583</v>
      </c>
      <c r="G105" s="3">
        <f>IF(3&gt;$C105,"",IF($D105=1,EOMONTH(EDATE(Bonds!$H105,6*(3-1)),0),EDATE(Bonds!$H105,6*(3-1))))</f>
        <v>46767</v>
      </c>
      <c r="H105" s="3">
        <f>IF(4&gt;$C105,"",IF($D105=1,EOMONTH(EDATE(Bonds!$H105,6*(4-1)),0),EDATE(Bonds!$H105,6*(4-1))))</f>
        <v>46949</v>
      </c>
      <c r="I105" s="3" t="str">
        <f>IF(5&gt;$C105,"",IF($D105=1,EOMONTH(EDATE(Bonds!$H105,6*(5-1)),0),EDATE(Bonds!$H105,6*(5-1))))</f>
        <v/>
      </c>
      <c r="J105" s="3" t="str">
        <f>IF(6&gt;$C105,"",IF($D105=1,EOMONTH(EDATE(Bonds!$H105,6*(6-1)),0),EDATE(Bonds!$H105,6*(6-1))))</f>
        <v/>
      </c>
      <c r="K105" s="3" t="str">
        <f>IF(7&gt;$C105,"",IF($D105=1,EOMONTH(EDATE(Bonds!$H105,6*(7-1)),0),EDATE(Bonds!$H105,6*(7-1))))</f>
        <v/>
      </c>
      <c r="L105" s="3" t="str">
        <f>IF(8&gt;$C105,"",IF($D105=1,EOMONTH(EDATE(Bonds!$H105,6*(8-1)),0),EDATE(Bonds!$H105,6*(8-1))))</f>
        <v/>
      </c>
      <c r="M105" s="3" t="str">
        <f>IF(9&gt;$C105,"",IF($D105=1,EOMONTH(EDATE(Bonds!$H105,6*(9-1)),0),EDATE(Bonds!$H105,6*(9-1))))</f>
        <v/>
      </c>
      <c r="N105" s="3" t="str">
        <f>IF(10&gt;$C105,"",IF($D105=1,EOMONTH(EDATE(Bonds!$H105,6*(10-1)),0),EDATE(Bonds!$H105,6*(10-1))))</f>
        <v/>
      </c>
      <c r="O105" s="3" t="str">
        <f>IF(11&gt;$C105,"",IF($D105=1,EOMONTH(EDATE(Bonds!$H105,6*(11-1)),0),EDATE(Bonds!$H105,6*(11-1))))</f>
        <v/>
      </c>
      <c r="P105" s="3" t="str">
        <f>IF(12&gt;$C105,"",IF($D105=1,EOMONTH(EDATE(Bonds!$H105,6*(12-1)),0),EDATE(Bonds!$H105,6*(12-1))))</f>
        <v/>
      </c>
      <c r="Q105" s="3" t="str">
        <f>IF(13&gt;$C105,"",IF($D105=1,EOMONTH(EDATE(Bonds!$H105,6*(13-1)),0),EDATE(Bonds!$H105,6*(13-1))))</f>
        <v/>
      </c>
      <c r="R105" s="3" t="str">
        <f>IF(14&gt;$C105,"",IF($D105=1,EOMONTH(EDATE(Bonds!$H105,6*(14-1)),0),EDATE(Bonds!$H105,6*(14-1))))</f>
        <v/>
      </c>
      <c r="S105" s="3" t="str">
        <f>IF(15&gt;$C105,"",IF($D105=1,EOMONTH(EDATE(Bonds!$H105,6*(15-1)),0),EDATE(Bonds!$H105,6*(15-1))))</f>
        <v/>
      </c>
      <c r="T105" s="3" t="str">
        <f>IF(16&gt;$C105,"",IF($D105=1,EOMONTH(EDATE(Bonds!$H105,6*(16-1)),0),EDATE(Bonds!$H105,6*(16-1))))</f>
        <v/>
      </c>
      <c r="U105" s="3" t="str">
        <f>IF(17&gt;$C105,"",IF($D105=1,EOMONTH(EDATE(Bonds!$H105,6*(17-1)),0),EDATE(Bonds!$H105,6*(17-1))))</f>
        <v/>
      </c>
      <c r="V105" s="3" t="str">
        <f>IF(18&gt;$C105,"",IF($D105=1,EOMONTH(EDATE(Bonds!$H105,6*(18-1)),0),EDATE(Bonds!$H105,6*(18-1))))</f>
        <v/>
      </c>
      <c r="W105" s="3" t="str">
        <f>IF(19&gt;$C105,"",IF($D105=1,EOMONTH(EDATE(Bonds!$H105,6*(19-1)),0),EDATE(Bonds!$H105,6*(19-1))))</f>
        <v/>
      </c>
      <c r="X105" s="3" t="str">
        <f>IF(20&gt;$C105,"",IF($D105=1,EOMONTH(EDATE(Bonds!$H105,6*(20-1)),0),EDATE(Bonds!$H105,6*(20-1))))</f>
        <v/>
      </c>
      <c r="Y105" s="3" t="str">
        <f>IF(21&gt;$C105,"",IF($D105=1,EOMONTH(EDATE(Bonds!$H105,6*(21-1)),0),EDATE(Bonds!$H105,6*(21-1))))</f>
        <v/>
      </c>
      <c r="Z105" s="3" t="str">
        <f>IF(22&gt;$C105,"",IF($D105=1,EOMONTH(EDATE(Bonds!$H105,6*(22-1)),0),EDATE(Bonds!$H105,6*(22-1))))</f>
        <v/>
      </c>
      <c r="AA105" s="3" t="str">
        <f>IF(23&gt;$C105,"",IF($D105=1,EOMONTH(EDATE(Bonds!$H105,6*(23-1)),0),EDATE(Bonds!$H105,6*(23-1))))</f>
        <v/>
      </c>
      <c r="AB105" s="3" t="str">
        <f>IF(24&gt;$C105,"",IF($D105=1,EOMONTH(EDATE(Bonds!$H105,6*(24-1)),0),EDATE(Bonds!$H105,6*(24-1))))</f>
        <v/>
      </c>
      <c r="AC105" s="3" t="str">
        <f>IF(25&gt;$C105,"",IF($D105=1,EOMONTH(EDATE(Bonds!$H105,6*(25-1)),0),EDATE(Bonds!$H105,6*(25-1))))</f>
        <v/>
      </c>
      <c r="AD105" s="3" t="str">
        <f>IF(26&gt;$C105,"",IF($D105=1,EOMONTH(EDATE(Bonds!$H105,6*(26-1)),0),EDATE(Bonds!$H105,6*(26-1))))</f>
        <v/>
      </c>
      <c r="AE105" s="3" t="str">
        <f>IF(27&gt;$C105,"",IF($D105=1,EOMONTH(EDATE(Bonds!$H105,6*(27-1)),0),EDATE(Bonds!$H105,6*(27-1))))</f>
        <v/>
      </c>
      <c r="AF105" s="3" t="str">
        <f>IF(28&gt;$C105,"",IF($D105=1,EOMONTH(EDATE(Bonds!$H105,6*(28-1)),0),EDATE(Bonds!$H105,6*(28-1))))</f>
        <v/>
      </c>
      <c r="AG105" s="3" t="str">
        <f>IF(29&gt;$C105,"",IF($D105=1,EOMONTH(EDATE(Bonds!$H105,6*(29-1)),0),EDATE(Bonds!$H105,6*(29-1))))</f>
        <v/>
      </c>
      <c r="AH105" s="3" t="str">
        <f>IF(30&gt;$C105,"",IF($D105=1,EOMONTH(EDATE(Bonds!$H105,6*(30-1)),0),EDATE(Bonds!$H105,6*(30-1))))</f>
        <v/>
      </c>
      <c r="AI105" s="3" t="str">
        <f>IF(31&gt;$C105,"",IF($D105=1,EOMONTH(EDATE(Bonds!$H105,6*(31-1)),0),EDATE(Bonds!$H105,6*(31-1))))</f>
        <v/>
      </c>
      <c r="AJ105" s="3" t="str">
        <f>IF(32&gt;$C105,"",IF($D105=1,EOMONTH(EDATE(Bonds!$H105,6*(32-1)),0),EDATE(Bonds!$H105,6*(32-1))))</f>
        <v/>
      </c>
      <c r="AK105" s="3" t="str">
        <f>IF(33&gt;$C105,"",IF($D105=1,EOMONTH(EDATE(Bonds!$H105,6*(33-1)),0),EDATE(Bonds!$H105,6*(33-1))))</f>
        <v/>
      </c>
      <c r="AL105" s="3" t="str">
        <f>IF(34&gt;$C105,"",IF($D105=1,EOMONTH(EDATE(Bonds!$H105,6*(34-1)),0),EDATE(Bonds!$H105,6*(34-1))))</f>
        <v/>
      </c>
      <c r="AM105" s="3" t="str">
        <f>IF(35&gt;$C105,"",IF($D105=1,EOMONTH(EDATE(Bonds!$H105,6*(35-1)),0),EDATE(Bonds!$H105,6*(35-1))))</f>
        <v/>
      </c>
      <c r="AN105" s="3" t="str">
        <f>IF(36&gt;$C105,"",IF($D105=1,EOMONTH(EDATE(Bonds!$H105,6*(36-1)),0),EDATE(Bonds!$H105,6*(36-1))))</f>
        <v/>
      </c>
      <c r="AO105" s="3" t="str">
        <f>IF(37&gt;$C105,"",IF($D105=1,EOMONTH(EDATE(Bonds!$H105,6*(37-1)),0),EDATE(Bonds!$H105,6*(37-1))))</f>
        <v/>
      </c>
      <c r="AP105" s="3" t="str">
        <f>IF(38&gt;$C105,"",IF($D105=1,EOMONTH(EDATE(Bonds!$H105,6*(38-1)),0),EDATE(Bonds!$H105,6*(38-1))))</f>
        <v/>
      </c>
      <c r="AQ105" s="3" t="str">
        <f>IF(39&gt;$C105,"",IF($D105=1,EOMONTH(EDATE(Bonds!$H105,6*(39-1)),0),EDATE(Bonds!$H105,6*(39-1))))</f>
        <v/>
      </c>
      <c r="AR105" s="3" t="str">
        <f>IF(40&gt;$C105,"",IF($D105=1,EOMONTH(EDATE(Bonds!$H105,6*(40-1)),0),EDATE(Bonds!$H105,6*(40-1))))</f>
        <v/>
      </c>
      <c r="AS105" s="3" t="str">
        <f>IF(41&gt;$C105,"",IF($D105=1,EOMONTH(EDATE(Bonds!$H105,6*(41-1)),0),EDATE(Bonds!$H105,6*(41-1))))</f>
        <v/>
      </c>
      <c r="AT105" s="3" t="str">
        <f>IF(42&gt;$C105,"",IF($D105=1,EOMONTH(EDATE(Bonds!$H105,6*(42-1)),0),EDATE(Bonds!$H105,6*(42-1))))</f>
        <v/>
      </c>
      <c r="AU105" s="3" t="str">
        <f>IF(43&gt;$C105,"",IF($D105=1,EOMONTH(EDATE(Bonds!$H105,6*(43-1)),0),EDATE(Bonds!$H105,6*(43-1))))</f>
        <v/>
      </c>
      <c r="AV105" s="3" t="str">
        <f>IF(44&gt;$C105,"",IF($D105=1,EOMONTH(EDATE(Bonds!$H105,6*(44-1)),0),EDATE(Bonds!$H105,6*(44-1))))</f>
        <v/>
      </c>
      <c r="AW105" s="3" t="str">
        <f>IF(45&gt;$C105,"",IF($D105=1,EOMONTH(EDATE(Bonds!$H105,6*(45-1)),0),EDATE(Bonds!$H105,6*(45-1))))</f>
        <v/>
      </c>
      <c r="AX105" s="3" t="str">
        <f>IF(46&gt;$C105,"",IF($D105=1,EOMONTH(EDATE(Bonds!$H105,6*(46-1)),0),EDATE(Bonds!$H105,6*(46-1))))</f>
        <v/>
      </c>
      <c r="AY105" s="3" t="str">
        <f>IF(47&gt;$C105,"",IF($D105=1,EOMONTH(EDATE(Bonds!$H105,6*(47-1)),0),EDATE(Bonds!$H105,6*(47-1))))</f>
        <v/>
      </c>
      <c r="AZ105" s="3" t="str">
        <f>IF(48&gt;$C105,"",IF($D105=1,EOMONTH(EDATE(Bonds!$H105,6*(48-1)),0),EDATE(Bonds!$H105,6*(48-1))))</f>
        <v/>
      </c>
      <c r="BA105" s="3" t="str">
        <f>IF(49&gt;$C105,"",IF($D105=1,EOMONTH(EDATE(Bonds!$H105,6*(49-1)),0),EDATE(Bonds!$H105,6*(49-1))))</f>
        <v/>
      </c>
      <c r="BB105" s="3" t="str">
        <f>IF(50&gt;$C105,"",IF($D105=1,EOMONTH(EDATE(Bonds!$H105,6*(50-1)),0),EDATE(Bonds!$H105,6*(50-1))))</f>
        <v/>
      </c>
      <c r="BC105" s="3" t="str">
        <f>IF(51&gt;$C105,"",IF($D105=1,EOMONTH(EDATE(Bonds!$H105,6*(51-1)),0),EDATE(Bonds!$H105,6*(51-1))))</f>
        <v/>
      </c>
      <c r="BD105" s="3" t="str">
        <f>IF(52&gt;$C105,"",IF($D105=1,EOMONTH(EDATE(Bonds!$H105,6*(52-1)),0),EDATE(Bonds!$H105,6*(52-1))))</f>
        <v/>
      </c>
      <c r="BE105" s="3" t="str">
        <f>IF(53&gt;$C105,"",IF($D105=1,EOMONTH(EDATE(Bonds!$H105,6*(53-1)),0),EDATE(Bonds!$H105,6*(53-1))))</f>
        <v/>
      </c>
      <c r="BF105" s="3" t="str">
        <f>IF(54&gt;$C105,"",IF($D105=1,EOMONTH(EDATE(Bonds!$H105,6*(54-1)),0),EDATE(Bonds!$H105,6*(54-1))))</f>
        <v/>
      </c>
      <c r="BG105" s="3" t="str">
        <f>IF(55&gt;$C105,"",IF($D105=1,EOMONTH(EDATE(Bonds!$H105,6*(55-1)),0),EDATE(Bonds!$H105,6*(55-1))))</f>
        <v/>
      </c>
      <c r="BH105" s="3" t="str">
        <f>IF(56&gt;$C105,"",IF($D105=1,EOMONTH(EDATE(Bonds!$H105,6*(56-1)),0),EDATE(Bonds!$H105,6*(56-1))))</f>
        <v/>
      </c>
      <c r="BI105" s="3" t="str">
        <f>IF(57&gt;$C105,"",IF($D105=1,EOMONTH(EDATE(Bonds!$H105,6*(57-1)),0),EDATE(Bonds!$H105,6*(57-1))))</f>
        <v/>
      </c>
      <c r="BJ105" s="3" t="str">
        <f>IF(58&gt;$C105,"",IF($D105=1,EOMONTH(EDATE(Bonds!$H105,6*(58-1)),0),EDATE(Bonds!$H105,6*(58-1))))</f>
        <v/>
      </c>
      <c r="BK105" s="3" t="str">
        <f>IF(59&gt;$C105,"",IF($D105=1,EOMONTH(EDATE(Bonds!$H105,6*(59-1)),0),EDATE(Bonds!$H105,6*(59-1))))</f>
        <v/>
      </c>
      <c r="BL105" s="3" t="str">
        <f>IF(60&gt;$C105,"",IF($D105=1,EOMONTH(EDATE(Bonds!$H105,6*(60-1)),0),EDATE(Bonds!$H105,6*(60-1))))</f>
        <v/>
      </c>
      <c r="BN105" s="7">
        <f t="shared" si="62"/>
        <v>1.9112702333885656</v>
      </c>
      <c r="BO105" s="7">
        <f t="shared" si="63"/>
        <v>1.8714858471051277</v>
      </c>
      <c r="BP105" s="7">
        <f t="shared" si="64"/>
        <v>1.8297248519223139</v>
      </c>
      <c r="BQ105" s="7">
        <f t="shared" si="65"/>
        <v>94.098438840310848</v>
      </c>
      <c r="BR105" s="7">
        <f t="shared" si="66"/>
        <v>0</v>
      </c>
      <c r="BS105" s="7">
        <f t="shared" si="67"/>
        <v>0</v>
      </c>
      <c r="BT105" s="7">
        <f t="shared" si="68"/>
        <v>0</v>
      </c>
      <c r="BU105" s="7">
        <f t="shared" si="69"/>
        <v>0</v>
      </c>
      <c r="BV105" s="7">
        <f t="shared" si="70"/>
        <v>0</v>
      </c>
      <c r="BW105" s="7">
        <f t="shared" si="71"/>
        <v>0</v>
      </c>
      <c r="BX105" s="7">
        <f t="shared" si="72"/>
        <v>0</v>
      </c>
      <c r="BY105" s="7">
        <f t="shared" si="73"/>
        <v>0</v>
      </c>
      <c r="BZ105" s="7">
        <f t="shared" si="74"/>
        <v>0</v>
      </c>
      <c r="CA105" s="7">
        <f t="shared" si="75"/>
        <v>0</v>
      </c>
      <c r="CB105" s="7">
        <f t="shared" si="76"/>
        <v>0</v>
      </c>
      <c r="CC105" s="7">
        <f t="shared" si="77"/>
        <v>0</v>
      </c>
      <c r="CD105" s="7">
        <f t="shared" si="78"/>
        <v>0</v>
      </c>
      <c r="CE105" s="7">
        <f t="shared" si="79"/>
        <v>0</v>
      </c>
      <c r="CF105" s="7">
        <f t="shared" si="80"/>
        <v>0</v>
      </c>
      <c r="CG105" s="7">
        <f t="shared" si="81"/>
        <v>0</v>
      </c>
      <c r="CH105" s="7">
        <f t="shared" si="82"/>
        <v>0</v>
      </c>
      <c r="CI105" s="7">
        <f t="shared" si="83"/>
        <v>0</v>
      </c>
      <c r="CJ105" s="7">
        <f t="shared" si="84"/>
        <v>0</v>
      </c>
      <c r="CK105" s="7">
        <f t="shared" si="85"/>
        <v>0</v>
      </c>
      <c r="CL105" s="7">
        <f t="shared" si="86"/>
        <v>0</v>
      </c>
      <c r="CM105" s="7">
        <f t="shared" si="87"/>
        <v>0</v>
      </c>
      <c r="CN105" s="7">
        <f t="shared" si="88"/>
        <v>0</v>
      </c>
      <c r="CO105" s="7">
        <f t="shared" si="89"/>
        <v>0</v>
      </c>
      <c r="CP105" s="7">
        <f t="shared" si="90"/>
        <v>0</v>
      </c>
      <c r="CQ105" s="7">
        <f t="shared" si="91"/>
        <v>0</v>
      </c>
      <c r="CR105" s="7">
        <f t="shared" si="92"/>
        <v>0</v>
      </c>
      <c r="CS105" s="7">
        <f t="shared" si="93"/>
        <v>0</v>
      </c>
      <c r="CT105" s="7">
        <f t="shared" si="94"/>
        <v>0</v>
      </c>
      <c r="CU105" s="7">
        <f t="shared" si="95"/>
        <v>0</v>
      </c>
      <c r="CV105" s="7">
        <f t="shared" si="96"/>
        <v>0</v>
      </c>
      <c r="CW105" s="7">
        <f t="shared" si="97"/>
        <v>0</v>
      </c>
      <c r="CX105" s="7">
        <f t="shared" si="98"/>
        <v>0</v>
      </c>
      <c r="CY105" s="7">
        <f t="shared" si="99"/>
        <v>0</v>
      </c>
      <c r="CZ105" s="7">
        <f t="shared" si="100"/>
        <v>0</v>
      </c>
      <c r="DA105" s="7">
        <f t="shared" si="101"/>
        <v>0</v>
      </c>
      <c r="DB105" s="7">
        <f t="shared" si="102"/>
        <v>0</v>
      </c>
      <c r="DC105" s="7">
        <f t="shared" si="103"/>
        <v>0</v>
      </c>
      <c r="DD105" s="7">
        <f t="shared" si="104"/>
        <v>0</v>
      </c>
      <c r="DE105" s="7">
        <f t="shared" si="105"/>
        <v>0</v>
      </c>
      <c r="DF105" s="7">
        <f t="shared" si="106"/>
        <v>0</v>
      </c>
      <c r="DG105" s="7">
        <f t="shared" si="107"/>
        <v>0</v>
      </c>
      <c r="DH105" s="7">
        <f t="shared" si="108"/>
        <v>0</v>
      </c>
      <c r="DI105" s="7">
        <f t="shared" si="109"/>
        <v>0</v>
      </c>
      <c r="DJ105" s="7">
        <f t="shared" si="110"/>
        <v>0</v>
      </c>
      <c r="DK105" s="7">
        <f t="shared" si="111"/>
        <v>0</v>
      </c>
      <c r="DL105" s="7">
        <f t="shared" si="112"/>
        <v>0</v>
      </c>
      <c r="DM105" s="7">
        <f t="shared" si="113"/>
        <v>0</v>
      </c>
      <c r="DN105" s="7">
        <f t="shared" si="114"/>
        <v>0</v>
      </c>
      <c r="DO105" s="7">
        <f t="shared" si="115"/>
        <v>0</v>
      </c>
      <c r="DP105" s="7">
        <f t="shared" si="116"/>
        <v>0</v>
      </c>
      <c r="DQ105" s="7">
        <f t="shared" si="117"/>
        <v>0</v>
      </c>
      <c r="DR105" s="7">
        <f t="shared" si="118"/>
        <v>0</v>
      </c>
      <c r="DS105" s="7">
        <f t="shared" si="119"/>
        <v>0</v>
      </c>
      <c r="DT105" s="7">
        <f t="shared" si="120"/>
        <v>0</v>
      </c>
      <c r="DU105" s="7">
        <f t="shared" si="121"/>
        <v>0</v>
      </c>
    </row>
    <row r="106" spans="1:125" x14ac:dyDescent="0.2">
      <c r="A106" s="3">
        <f>Bonds!A106</f>
        <v>46965</v>
      </c>
      <c r="B106" s="4">
        <f>Bonds!B106</f>
        <v>1</v>
      </c>
      <c r="C106">
        <f>Bonds!P106</f>
        <v>4</v>
      </c>
      <c r="D106">
        <f t="shared" si="61"/>
        <v>1</v>
      </c>
      <c r="E106" s="3">
        <f>IF(1&gt;$C106,"",IF($D106=1,EOMONTH(EDATE(Bonds!$H106,6*(1-1)),0),EDATE(Bonds!$H106,6*(1-1))))</f>
        <v>46418</v>
      </c>
      <c r="F106" s="3">
        <f>IF(2&gt;$C106,"",IF($D106=1,EOMONTH(EDATE(Bonds!$H106,6*(2-1)),0),EDATE(Bonds!$H106,6*(2-1))))</f>
        <v>46599</v>
      </c>
      <c r="G106" s="3">
        <f>IF(3&gt;$C106,"",IF($D106=1,EOMONTH(EDATE(Bonds!$H106,6*(3-1)),0),EDATE(Bonds!$H106,6*(3-1))))</f>
        <v>46783</v>
      </c>
      <c r="H106" s="3">
        <f>IF(4&gt;$C106,"",IF($D106=1,EOMONTH(EDATE(Bonds!$H106,6*(4-1)),0),EDATE(Bonds!$H106,6*(4-1))))</f>
        <v>46965</v>
      </c>
      <c r="I106" s="3" t="str">
        <f>IF(5&gt;$C106,"",IF($D106=1,EOMONTH(EDATE(Bonds!$H106,6*(5-1)),0),EDATE(Bonds!$H106,6*(5-1))))</f>
        <v/>
      </c>
      <c r="J106" s="3" t="str">
        <f>IF(6&gt;$C106,"",IF($D106=1,EOMONTH(EDATE(Bonds!$H106,6*(6-1)),0),EDATE(Bonds!$H106,6*(6-1))))</f>
        <v/>
      </c>
      <c r="K106" s="3" t="str">
        <f>IF(7&gt;$C106,"",IF($D106=1,EOMONTH(EDATE(Bonds!$H106,6*(7-1)),0),EDATE(Bonds!$H106,6*(7-1))))</f>
        <v/>
      </c>
      <c r="L106" s="3" t="str">
        <f>IF(8&gt;$C106,"",IF($D106=1,EOMONTH(EDATE(Bonds!$H106,6*(8-1)),0),EDATE(Bonds!$H106,6*(8-1))))</f>
        <v/>
      </c>
      <c r="M106" s="3" t="str">
        <f>IF(9&gt;$C106,"",IF($D106=1,EOMONTH(EDATE(Bonds!$H106,6*(9-1)),0),EDATE(Bonds!$H106,6*(9-1))))</f>
        <v/>
      </c>
      <c r="N106" s="3" t="str">
        <f>IF(10&gt;$C106,"",IF($D106=1,EOMONTH(EDATE(Bonds!$H106,6*(10-1)),0),EDATE(Bonds!$H106,6*(10-1))))</f>
        <v/>
      </c>
      <c r="O106" s="3" t="str">
        <f>IF(11&gt;$C106,"",IF($D106=1,EOMONTH(EDATE(Bonds!$H106,6*(11-1)),0),EDATE(Bonds!$H106,6*(11-1))))</f>
        <v/>
      </c>
      <c r="P106" s="3" t="str">
        <f>IF(12&gt;$C106,"",IF($D106=1,EOMONTH(EDATE(Bonds!$H106,6*(12-1)),0),EDATE(Bonds!$H106,6*(12-1))))</f>
        <v/>
      </c>
      <c r="Q106" s="3" t="str">
        <f>IF(13&gt;$C106,"",IF($D106=1,EOMONTH(EDATE(Bonds!$H106,6*(13-1)),0),EDATE(Bonds!$H106,6*(13-1))))</f>
        <v/>
      </c>
      <c r="R106" s="3" t="str">
        <f>IF(14&gt;$C106,"",IF($D106=1,EOMONTH(EDATE(Bonds!$H106,6*(14-1)),0),EDATE(Bonds!$H106,6*(14-1))))</f>
        <v/>
      </c>
      <c r="S106" s="3" t="str">
        <f>IF(15&gt;$C106,"",IF($D106=1,EOMONTH(EDATE(Bonds!$H106,6*(15-1)),0),EDATE(Bonds!$H106,6*(15-1))))</f>
        <v/>
      </c>
      <c r="T106" s="3" t="str">
        <f>IF(16&gt;$C106,"",IF($D106=1,EOMONTH(EDATE(Bonds!$H106,6*(16-1)),0),EDATE(Bonds!$H106,6*(16-1))))</f>
        <v/>
      </c>
      <c r="U106" s="3" t="str">
        <f>IF(17&gt;$C106,"",IF($D106=1,EOMONTH(EDATE(Bonds!$H106,6*(17-1)),0),EDATE(Bonds!$H106,6*(17-1))))</f>
        <v/>
      </c>
      <c r="V106" s="3" t="str">
        <f>IF(18&gt;$C106,"",IF($D106=1,EOMONTH(EDATE(Bonds!$H106,6*(18-1)),0),EDATE(Bonds!$H106,6*(18-1))))</f>
        <v/>
      </c>
      <c r="W106" s="3" t="str">
        <f>IF(19&gt;$C106,"",IF($D106=1,EOMONTH(EDATE(Bonds!$H106,6*(19-1)),0),EDATE(Bonds!$H106,6*(19-1))))</f>
        <v/>
      </c>
      <c r="X106" s="3" t="str">
        <f>IF(20&gt;$C106,"",IF($D106=1,EOMONTH(EDATE(Bonds!$H106,6*(20-1)),0),EDATE(Bonds!$H106,6*(20-1))))</f>
        <v/>
      </c>
      <c r="Y106" s="3" t="str">
        <f>IF(21&gt;$C106,"",IF($D106=1,EOMONTH(EDATE(Bonds!$H106,6*(21-1)),0),EDATE(Bonds!$H106,6*(21-1))))</f>
        <v/>
      </c>
      <c r="Z106" s="3" t="str">
        <f>IF(22&gt;$C106,"",IF($D106=1,EOMONTH(EDATE(Bonds!$H106,6*(22-1)),0),EDATE(Bonds!$H106,6*(22-1))))</f>
        <v/>
      </c>
      <c r="AA106" s="3" t="str">
        <f>IF(23&gt;$C106,"",IF($D106=1,EOMONTH(EDATE(Bonds!$H106,6*(23-1)),0),EDATE(Bonds!$H106,6*(23-1))))</f>
        <v/>
      </c>
      <c r="AB106" s="3" t="str">
        <f>IF(24&gt;$C106,"",IF($D106=1,EOMONTH(EDATE(Bonds!$H106,6*(24-1)),0),EDATE(Bonds!$H106,6*(24-1))))</f>
        <v/>
      </c>
      <c r="AC106" s="3" t="str">
        <f>IF(25&gt;$C106,"",IF($D106=1,EOMONTH(EDATE(Bonds!$H106,6*(25-1)),0),EDATE(Bonds!$H106,6*(25-1))))</f>
        <v/>
      </c>
      <c r="AD106" s="3" t="str">
        <f>IF(26&gt;$C106,"",IF($D106=1,EOMONTH(EDATE(Bonds!$H106,6*(26-1)),0),EDATE(Bonds!$H106,6*(26-1))))</f>
        <v/>
      </c>
      <c r="AE106" s="3" t="str">
        <f>IF(27&gt;$C106,"",IF($D106=1,EOMONTH(EDATE(Bonds!$H106,6*(27-1)),0),EDATE(Bonds!$H106,6*(27-1))))</f>
        <v/>
      </c>
      <c r="AF106" s="3" t="str">
        <f>IF(28&gt;$C106,"",IF($D106=1,EOMONTH(EDATE(Bonds!$H106,6*(28-1)),0),EDATE(Bonds!$H106,6*(28-1))))</f>
        <v/>
      </c>
      <c r="AG106" s="3" t="str">
        <f>IF(29&gt;$C106,"",IF($D106=1,EOMONTH(EDATE(Bonds!$H106,6*(29-1)),0),EDATE(Bonds!$H106,6*(29-1))))</f>
        <v/>
      </c>
      <c r="AH106" s="3" t="str">
        <f>IF(30&gt;$C106,"",IF($D106=1,EOMONTH(EDATE(Bonds!$H106,6*(30-1)),0),EDATE(Bonds!$H106,6*(30-1))))</f>
        <v/>
      </c>
      <c r="AI106" s="3" t="str">
        <f>IF(31&gt;$C106,"",IF($D106=1,EOMONTH(EDATE(Bonds!$H106,6*(31-1)),0),EDATE(Bonds!$H106,6*(31-1))))</f>
        <v/>
      </c>
      <c r="AJ106" s="3" t="str">
        <f>IF(32&gt;$C106,"",IF($D106=1,EOMONTH(EDATE(Bonds!$H106,6*(32-1)),0),EDATE(Bonds!$H106,6*(32-1))))</f>
        <v/>
      </c>
      <c r="AK106" s="3" t="str">
        <f>IF(33&gt;$C106,"",IF($D106=1,EOMONTH(EDATE(Bonds!$H106,6*(33-1)),0),EDATE(Bonds!$H106,6*(33-1))))</f>
        <v/>
      </c>
      <c r="AL106" s="3" t="str">
        <f>IF(34&gt;$C106,"",IF($D106=1,EOMONTH(EDATE(Bonds!$H106,6*(34-1)),0),EDATE(Bonds!$H106,6*(34-1))))</f>
        <v/>
      </c>
      <c r="AM106" s="3" t="str">
        <f>IF(35&gt;$C106,"",IF($D106=1,EOMONTH(EDATE(Bonds!$H106,6*(35-1)),0),EDATE(Bonds!$H106,6*(35-1))))</f>
        <v/>
      </c>
      <c r="AN106" s="3" t="str">
        <f>IF(36&gt;$C106,"",IF($D106=1,EOMONTH(EDATE(Bonds!$H106,6*(36-1)),0),EDATE(Bonds!$H106,6*(36-1))))</f>
        <v/>
      </c>
      <c r="AO106" s="3" t="str">
        <f>IF(37&gt;$C106,"",IF($D106=1,EOMONTH(EDATE(Bonds!$H106,6*(37-1)),0),EDATE(Bonds!$H106,6*(37-1))))</f>
        <v/>
      </c>
      <c r="AP106" s="3" t="str">
        <f>IF(38&gt;$C106,"",IF($D106=1,EOMONTH(EDATE(Bonds!$H106,6*(38-1)),0),EDATE(Bonds!$H106,6*(38-1))))</f>
        <v/>
      </c>
      <c r="AQ106" s="3" t="str">
        <f>IF(39&gt;$C106,"",IF($D106=1,EOMONTH(EDATE(Bonds!$H106,6*(39-1)),0),EDATE(Bonds!$H106,6*(39-1))))</f>
        <v/>
      </c>
      <c r="AR106" s="3" t="str">
        <f>IF(40&gt;$C106,"",IF($D106=1,EOMONTH(EDATE(Bonds!$H106,6*(40-1)),0),EDATE(Bonds!$H106,6*(40-1))))</f>
        <v/>
      </c>
      <c r="AS106" s="3" t="str">
        <f>IF(41&gt;$C106,"",IF($D106=1,EOMONTH(EDATE(Bonds!$H106,6*(41-1)),0),EDATE(Bonds!$H106,6*(41-1))))</f>
        <v/>
      </c>
      <c r="AT106" s="3" t="str">
        <f>IF(42&gt;$C106,"",IF($D106=1,EOMONTH(EDATE(Bonds!$H106,6*(42-1)),0),EDATE(Bonds!$H106,6*(42-1))))</f>
        <v/>
      </c>
      <c r="AU106" s="3" t="str">
        <f>IF(43&gt;$C106,"",IF($D106=1,EOMONTH(EDATE(Bonds!$H106,6*(43-1)),0),EDATE(Bonds!$H106,6*(43-1))))</f>
        <v/>
      </c>
      <c r="AV106" s="3" t="str">
        <f>IF(44&gt;$C106,"",IF($D106=1,EOMONTH(EDATE(Bonds!$H106,6*(44-1)),0),EDATE(Bonds!$H106,6*(44-1))))</f>
        <v/>
      </c>
      <c r="AW106" s="3" t="str">
        <f>IF(45&gt;$C106,"",IF($D106=1,EOMONTH(EDATE(Bonds!$H106,6*(45-1)),0),EDATE(Bonds!$H106,6*(45-1))))</f>
        <v/>
      </c>
      <c r="AX106" s="3" t="str">
        <f>IF(46&gt;$C106,"",IF($D106=1,EOMONTH(EDATE(Bonds!$H106,6*(46-1)),0),EDATE(Bonds!$H106,6*(46-1))))</f>
        <v/>
      </c>
      <c r="AY106" s="3" t="str">
        <f>IF(47&gt;$C106,"",IF($D106=1,EOMONTH(EDATE(Bonds!$H106,6*(47-1)),0),EDATE(Bonds!$H106,6*(47-1))))</f>
        <v/>
      </c>
      <c r="AZ106" s="3" t="str">
        <f>IF(48&gt;$C106,"",IF($D106=1,EOMONTH(EDATE(Bonds!$H106,6*(48-1)),0),EDATE(Bonds!$H106,6*(48-1))))</f>
        <v/>
      </c>
      <c r="BA106" s="3" t="str">
        <f>IF(49&gt;$C106,"",IF($D106=1,EOMONTH(EDATE(Bonds!$H106,6*(49-1)),0),EDATE(Bonds!$H106,6*(49-1))))</f>
        <v/>
      </c>
      <c r="BB106" s="3" t="str">
        <f>IF(50&gt;$C106,"",IF($D106=1,EOMONTH(EDATE(Bonds!$H106,6*(50-1)),0),EDATE(Bonds!$H106,6*(50-1))))</f>
        <v/>
      </c>
      <c r="BC106" s="3" t="str">
        <f>IF(51&gt;$C106,"",IF($D106=1,EOMONTH(EDATE(Bonds!$H106,6*(51-1)),0),EDATE(Bonds!$H106,6*(51-1))))</f>
        <v/>
      </c>
      <c r="BD106" s="3" t="str">
        <f>IF(52&gt;$C106,"",IF($D106=1,EOMONTH(EDATE(Bonds!$H106,6*(52-1)),0),EDATE(Bonds!$H106,6*(52-1))))</f>
        <v/>
      </c>
      <c r="BE106" s="3" t="str">
        <f>IF(53&gt;$C106,"",IF($D106=1,EOMONTH(EDATE(Bonds!$H106,6*(53-1)),0),EDATE(Bonds!$H106,6*(53-1))))</f>
        <v/>
      </c>
      <c r="BF106" s="3" t="str">
        <f>IF(54&gt;$C106,"",IF($D106=1,EOMONTH(EDATE(Bonds!$H106,6*(54-1)),0),EDATE(Bonds!$H106,6*(54-1))))</f>
        <v/>
      </c>
      <c r="BG106" s="3" t="str">
        <f>IF(55&gt;$C106,"",IF($D106=1,EOMONTH(EDATE(Bonds!$H106,6*(55-1)),0),EDATE(Bonds!$H106,6*(55-1))))</f>
        <v/>
      </c>
      <c r="BH106" s="3" t="str">
        <f>IF(56&gt;$C106,"",IF($D106=1,EOMONTH(EDATE(Bonds!$H106,6*(56-1)),0),EDATE(Bonds!$H106,6*(56-1))))</f>
        <v/>
      </c>
      <c r="BI106" s="3" t="str">
        <f>IF(57&gt;$C106,"",IF($D106=1,EOMONTH(EDATE(Bonds!$H106,6*(57-1)),0),EDATE(Bonds!$H106,6*(57-1))))</f>
        <v/>
      </c>
      <c r="BJ106" s="3" t="str">
        <f>IF(58&gt;$C106,"",IF($D106=1,EOMONTH(EDATE(Bonds!$H106,6*(58-1)),0),EDATE(Bonds!$H106,6*(58-1))))</f>
        <v/>
      </c>
      <c r="BK106" s="3" t="str">
        <f>IF(59&gt;$C106,"",IF($D106=1,EOMONTH(EDATE(Bonds!$H106,6*(59-1)),0),EDATE(Bonds!$H106,6*(59-1))))</f>
        <v/>
      </c>
      <c r="BL106" s="3" t="str">
        <f>IF(60&gt;$C106,"",IF($D106=1,EOMONTH(EDATE(Bonds!$H106,6*(60-1)),0),EDATE(Bonds!$H106,6*(60-1))))</f>
        <v/>
      </c>
      <c r="BN106" s="7">
        <f t="shared" si="62"/>
        <v>0.49235100336789711</v>
      </c>
      <c r="BO106" s="7">
        <f t="shared" si="63"/>
        <v>0.4820335892443196</v>
      </c>
      <c r="BP106" s="7">
        <f t="shared" si="64"/>
        <v>0.47124748974623726</v>
      </c>
      <c r="BQ106" s="7">
        <f t="shared" si="65"/>
        <v>92.585070128189486</v>
      </c>
      <c r="BR106" s="7">
        <f t="shared" si="66"/>
        <v>0</v>
      </c>
      <c r="BS106" s="7">
        <f t="shared" si="67"/>
        <v>0</v>
      </c>
      <c r="BT106" s="7">
        <f t="shared" si="68"/>
        <v>0</v>
      </c>
      <c r="BU106" s="7">
        <f t="shared" si="69"/>
        <v>0</v>
      </c>
      <c r="BV106" s="7">
        <f t="shared" si="70"/>
        <v>0</v>
      </c>
      <c r="BW106" s="7">
        <f t="shared" si="71"/>
        <v>0</v>
      </c>
      <c r="BX106" s="7">
        <f t="shared" si="72"/>
        <v>0</v>
      </c>
      <c r="BY106" s="7">
        <f t="shared" si="73"/>
        <v>0</v>
      </c>
      <c r="BZ106" s="7">
        <f t="shared" si="74"/>
        <v>0</v>
      </c>
      <c r="CA106" s="7">
        <f t="shared" si="75"/>
        <v>0</v>
      </c>
      <c r="CB106" s="7">
        <f t="shared" si="76"/>
        <v>0</v>
      </c>
      <c r="CC106" s="7">
        <f t="shared" si="77"/>
        <v>0</v>
      </c>
      <c r="CD106" s="7">
        <f t="shared" si="78"/>
        <v>0</v>
      </c>
      <c r="CE106" s="7">
        <f t="shared" si="79"/>
        <v>0</v>
      </c>
      <c r="CF106" s="7">
        <f t="shared" si="80"/>
        <v>0</v>
      </c>
      <c r="CG106" s="7">
        <f t="shared" si="81"/>
        <v>0</v>
      </c>
      <c r="CH106" s="7">
        <f t="shared" si="82"/>
        <v>0</v>
      </c>
      <c r="CI106" s="7">
        <f t="shared" si="83"/>
        <v>0</v>
      </c>
      <c r="CJ106" s="7">
        <f t="shared" si="84"/>
        <v>0</v>
      </c>
      <c r="CK106" s="7">
        <f t="shared" si="85"/>
        <v>0</v>
      </c>
      <c r="CL106" s="7">
        <f t="shared" si="86"/>
        <v>0</v>
      </c>
      <c r="CM106" s="7">
        <f t="shared" si="87"/>
        <v>0</v>
      </c>
      <c r="CN106" s="7">
        <f t="shared" si="88"/>
        <v>0</v>
      </c>
      <c r="CO106" s="7">
        <f t="shared" si="89"/>
        <v>0</v>
      </c>
      <c r="CP106" s="7">
        <f t="shared" si="90"/>
        <v>0</v>
      </c>
      <c r="CQ106" s="7">
        <f t="shared" si="91"/>
        <v>0</v>
      </c>
      <c r="CR106" s="7">
        <f t="shared" si="92"/>
        <v>0</v>
      </c>
      <c r="CS106" s="7">
        <f t="shared" si="93"/>
        <v>0</v>
      </c>
      <c r="CT106" s="7">
        <f t="shared" si="94"/>
        <v>0</v>
      </c>
      <c r="CU106" s="7">
        <f t="shared" si="95"/>
        <v>0</v>
      </c>
      <c r="CV106" s="7">
        <f t="shared" si="96"/>
        <v>0</v>
      </c>
      <c r="CW106" s="7">
        <f t="shared" si="97"/>
        <v>0</v>
      </c>
      <c r="CX106" s="7">
        <f t="shared" si="98"/>
        <v>0</v>
      </c>
      <c r="CY106" s="7">
        <f t="shared" si="99"/>
        <v>0</v>
      </c>
      <c r="CZ106" s="7">
        <f t="shared" si="100"/>
        <v>0</v>
      </c>
      <c r="DA106" s="7">
        <f t="shared" si="101"/>
        <v>0</v>
      </c>
      <c r="DB106" s="7">
        <f t="shared" si="102"/>
        <v>0</v>
      </c>
      <c r="DC106" s="7">
        <f t="shared" si="103"/>
        <v>0</v>
      </c>
      <c r="DD106" s="7">
        <f t="shared" si="104"/>
        <v>0</v>
      </c>
      <c r="DE106" s="7">
        <f t="shared" si="105"/>
        <v>0</v>
      </c>
      <c r="DF106" s="7">
        <f t="shared" si="106"/>
        <v>0</v>
      </c>
      <c r="DG106" s="7">
        <f t="shared" si="107"/>
        <v>0</v>
      </c>
      <c r="DH106" s="7">
        <f t="shared" si="108"/>
        <v>0</v>
      </c>
      <c r="DI106" s="7">
        <f t="shared" si="109"/>
        <v>0</v>
      </c>
      <c r="DJ106" s="7">
        <f t="shared" si="110"/>
        <v>0</v>
      </c>
      <c r="DK106" s="7">
        <f t="shared" si="111"/>
        <v>0</v>
      </c>
      <c r="DL106" s="7">
        <f t="shared" si="112"/>
        <v>0</v>
      </c>
      <c r="DM106" s="7">
        <f t="shared" si="113"/>
        <v>0</v>
      </c>
      <c r="DN106" s="7">
        <f t="shared" si="114"/>
        <v>0</v>
      </c>
      <c r="DO106" s="7">
        <f t="shared" si="115"/>
        <v>0</v>
      </c>
      <c r="DP106" s="7">
        <f t="shared" si="116"/>
        <v>0</v>
      </c>
      <c r="DQ106" s="7">
        <f t="shared" si="117"/>
        <v>0</v>
      </c>
      <c r="DR106" s="7">
        <f t="shared" si="118"/>
        <v>0</v>
      </c>
      <c r="DS106" s="7">
        <f t="shared" si="119"/>
        <v>0</v>
      </c>
      <c r="DT106" s="7">
        <f t="shared" si="120"/>
        <v>0</v>
      </c>
      <c r="DU106" s="7">
        <f t="shared" si="121"/>
        <v>0</v>
      </c>
    </row>
    <row r="107" spans="1:125" x14ac:dyDescent="0.2">
      <c r="A107" s="3">
        <f>Bonds!A107</f>
        <v>46965</v>
      </c>
      <c r="B107" s="4">
        <f>Bonds!B107</f>
        <v>4.125</v>
      </c>
      <c r="C107">
        <f>Bonds!P107</f>
        <v>4</v>
      </c>
      <c r="D107">
        <f t="shared" si="61"/>
        <v>1</v>
      </c>
      <c r="E107" s="3">
        <f>IF(1&gt;$C107,"",IF($D107=1,EOMONTH(EDATE(Bonds!$H107,6*(1-1)),0),EDATE(Bonds!$H107,6*(1-1))))</f>
        <v>46418</v>
      </c>
      <c r="F107" s="3">
        <f>IF(2&gt;$C107,"",IF($D107=1,EOMONTH(EDATE(Bonds!$H107,6*(2-1)),0),EDATE(Bonds!$H107,6*(2-1))))</f>
        <v>46599</v>
      </c>
      <c r="G107" s="3">
        <f>IF(3&gt;$C107,"",IF($D107=1,EOMONTH(EDATE(Bonds!$H107,6*(3-1)),0),EDATE(Bonds!$H107,6*(3-1))))</f>
        <v>46783</v>
      </c>
      <c r="H107" s="3">
        <f>IF(4&gt;$C107,"",IF($D107=1,EOMONTH(EDATE(Bonds!$H107,6*(4-1)),0),EDATE(Bonds!$H107,6*(4-1))))</f>
        <v>46965</v>
      </c>
      <c r="I107" s="3" t="str">
        <f>IF(5&gt;$C107,"",IF($D107=1,EOMONTH(EDATE(Bonds!$H107,6*(5-1)),0),EDATE(Bonds!$H107,6*(5-1))))</f>
        <v/>
      </c>
      <c r="J107" s="3" t="str">
        <f>IF(6&gt;$C107,"",IF($D107=1,EOMONTH(EDATE(Bonds!$H107,6*(6-1)),0),EDATE(Bonds!$H107,6*(6-1))))</f>
        <v/>
      </c>
      <c r="K107" s="3" t="str">
        <f>IF(7&gt;$C107,"",IF($D107=1,EOMONTH(EDATE(Bonds!$H107,6*(7-1)),0),EDATE(Bonds!$H107,6*(7-1))))</f>
        <v/>
      </c>
      <c r="L107" s="3" t="str">
        <f>IF(8&gt;$C107,"",IF($D107=1,EOMONTH(EDATE(Bonds!$H107,6*(8-1)),0),EDATE(Bonds!$H107,6*(8-1))))</f>
        <v/>
      </c>
      <c r="M107" s="3" t="str">
        <f>IF(9&gt;$C107,"",IF($D107=1,EOMONTH(EDATE(Bonds!$H107,6*(9-1)),0),EDATE(Bonds!$H107,6*(9-1))))</f>
        <v/>
      </c>
      <c r="N107" s="3" t="str">
        <f>IF(10&gt;$C107,"",IF($D107=1,EOMONTH(EDATE(Bonds!$H107,6*(10-1)),0),EDATE(Bonds!$H107,6*(10-1))))</f>
        <v/>
      </c>
      <c r="O107" s="3" t="str">
        <f>IF(11&gt;$C107,"",IF($D107=1,EOMONTH(EDATE(Bonds!$H107,6*(11-1)),0),EDATE(Bonds!$H107,6*(11-1))))</f>
        <v/>
      </c>
      <c r="P107" s="3" t="str">
        <f>IF(12&gt;$C107,"",IF($D107=1,EOMONTH(EDATE(Bonds!$H107,6*(12-1)),0),EDATE(Bonds!$H107,6*(12-1))))</f>
        <v/>
      </c>
      <c r="Q107" s="3" t="str">
        <f>IF(13&gt;$C107,"",IF($D107=1,EOMONTH(EDATE(Bonds!$H107,6*(13-1)),0),EDATE(Bonds!$H107,6*(13-1))))</f>
        <v/>
      </c>
      <c r="R107" s="3" t="str">
        <f>IF(14&gt;$C107,"",IF($D107=1,EOMONTH(EDATE(Bonds!$H107,6*(14-1)),0),EDATE(Bonds!$H107,6*(14-1))))</f>
        <v/>
      </c>
      <c r="S107" s="3" t="str">
        <f>IF(15&gt;$C107,"",IF($D107=1,EOMONTH(EDATE(Bonds!$H107,6*(15-1)),0),EDATE(Bonds!$H107,6*(15-1))))</f>
        <v/>
      </c>
      <c r="T107" s="3" t="str">
        <f>IF(16&gt;$C107,"",IF($D107=1,EOMONTH(EDATE(Bonds!$H107,6*(16-1)),0),EDATE(Bonds!$H107,6*(16-1))))</f>
        <v/>
      </c>
      <c r="U107" s="3" t="str">
        <f>IF(17&gt;$C107,"",IF($D107=1,EOMONTH(EDATE(Bonds!$H107,6*(17-1)),0),EDATE(Bonds!$H107,6*(17-1))))</f>
        <v/>
      </c>
      <c r="V107" s="3" t="str">
        <f>IF(18&gt;$C107,"",IF($D107=1,EOMONTH(EDATE(Bonds!$H107,6*(18-1)),0),EDATE(Bonds!$H107,6*(18-1))))</f>
        <v/>
      </c>
      <c r="W107" s="3" t="str">
        <f>IF(19&gt;$C107,"",IF($D107=1,EOMONTH(EDATE(Bonds!$H107,6*(19-1)),0),EDATE(Bonds!$H107,6*(19-1))))</f>
        <v/>
      </c>
      <c r="X107" s="3" t="str">
        <f>IF(20&gt;$C107,"",IF($D107=1,EOMONTH(EDATE(Bonds!$H107,6*(20-1)),0),EDATE(Bonds!$H107,6*(20-1))))</f>
        <v/>
      </c>
      <c r="Y107" s="3" t="str">
        <f>IF(21&gt;$C107,"",IF($D107=1,EOMONTH(EDATE(Bonds!$H107,6*(21-1)),0),EDATE(Bonds!$H107,6*(21-1))))</f>
        <v/>
      </c>
      <c r="Z107" s="3" t="str">
        <f>IF(22&gt;$C107,"",IF($D107=1,EOMONTH(EDATE(Bonds!$H107,6*(22-1)),0),EDATE(Bonds!$H107,6*(22-1))))</f>
        <v/>
      </c>
      <c r="AA107" s="3" t="str">
        <f>IF(23&gt;$C107,"",IF($D107=1,EOMONTH(EDATE(Bonds!$H107,6*(23-1)),0),EDATE(Bonds!$H107,6*(23-1))))</f>
        <v/>
      </c>
      <c r="AB107" s="3" t="str">
        <f>IF(24&gt;$C107,"",IF($D107=1,EOMONTH(EDATE(Bonds!$H107,6*(24-1)),0),EDATE(Bonds!$H107,6*(24-1))))</f>
        <v/>
      </c>
      <c r="AC107" s="3" t="str">
        <f>IF(25&gt;$C107,"",IF($D107=1,EOMONTH(EDATE(Bonds!$H107,6*(25-1)),0),EDATE(Bonds!$H107,6*(25-1))))</f>
        <v/>
      </c>
      <c r="AD107" s="3" t="str">
        <f>IF(26&gt;$C107,"",IF($D107=1,EOMONTH(EDATE(Bonds!$H107,6*(26-1)),0),EDATE(Bonds!$H107,6*(26-1))))</f>
        <v/>
      </c>
      <c r="AE107" s="3" t="str">
        <f>IF(27&gt;$C107,"",IF($D107=1,EOMONTH(EDATE(Bonds!$H107,6*(27-1)),0),EDATE(Bonds!$H107,6*(27-1))))</f>
        <v/>
      </c>
      <c r="AF107" s="3" t="str">
        <f>IF(28&gt;$C107,"",IF($D107=1,EOMONTH(EDATE(Bonds!$H107,6*(28-1)),0),EDATE(Bonds!$H107,6*(28-1))))</f>
        <v/>
      </c>
      <c r="AG107" s="3" t="str">
        <f>IF(29&gt;$C107,"",IF($D107=1,EOMONTH(EDATE(Bonds!$H107,6*(29-1)),0),EDATE(Bonds!$H107,6*(29-1))))</f>
        <v/>
      </c>
      <c r="AH107" s="3" t="str">
        <f>IF(30&gt;$C107,"",IF($D107=1,EOMONTH(EDATE(Bonds!$H107,6*(30-1)),0),EDATE(Bonds!$H107,6*(30-1))))</f>
        <v/>
      </c>
      <c r="AI107" s="3" t="str">
        <f>IF(31&gt;$C107,"",IF($D107=1,EOMONTH(EDATE(Bonds!$H107,6*(31-1)),0),EDATE(Bonds!$H107,6*(31-1))))</f>
        <v/>
      </c>
      <c r="AJ107" s="3" t="str">
        <f>IF(32&gt;$C107,"",IF($D107=1,EOMONTH(EDATE(Bonds!$H107,6*(32-1)),0),EDATE(Bonds!$H107,6*(32-1))))</f>
        <v/>
      </c>
      <c r="AK107" s="3" t="str">
        <f>IF(33&gt;$C107,"",IF($D107=1,EOMONTH(EDATE(Bonds!$H107,6*(33-1)),0),EDATE(Bonds!$H107,6*(33-1))))</f>
        <v/>
      </c>
      <c r="AL107" s="3" t="str">
        <f>IF(34&gt;$C107,"",IF($D107=1,EOMONTH(EDATE(Bonds!$H107,6*(34-1)),0),EDATE(Bonds!$H107,6*(34-1))))</f>
        <v/>
      </c>
      <c r="AM107" s="3" t="str">
        <f>IF(35&gt;$C107,"",IF($D107=1,EOMONTH(EDATE(Bonds!$H107,6*(35-1)),0),EDATE(Bonds!$H107,6*(35-1))))</f>
        <v/>
      </c>
      <c r="AN107" s="3" t="str">
        <f>IF(36&gt;$C107,"",IF($D107=1,EOMONTH(EDATE(Bonds!$H107,6*(36-1)),0),EDATE(Bonds!$H107,6*(36-1))))</f>
        <v/>
      </c>
      <c r="AO107" s="3" t="str">
        <f>IF(37&gt;$C107,"",IF($D107=1,EOMONTH(EDATE(Bonds!$H107,6*(37-1)),0),EDATE(Bonds!$H107,6*(37-1))))</f>
        <v/>
      </c>
      <c r="AP107" s="3" t="str">
        <f>IF(38&gt;$C107,"",IF($D107=1,EOMONTH(EDATE(Bonds!$H107,6*(38-1)),0),EDATE(Bonds!$H107,6*(38-1))))</f>
        <v/>
      </c>
      <c r="AQ107" s="3" t="str">
        <f>IF(39&gt;$C107,"",IF($D107=1,EOMONTH(EDATE(Bonds!$H107,6*(39-1)),0),EDATE(Bonds!$H107,6*(39-1))))</f>
        <v/>
      </c>
      <c r="AR107" s="3" t="str">
        <f>IF(40&gt;$C107,"",IF($D107=1,EOMONTH(EDATE(Bonds!$H107,6*(40-1)),0),EDATE(Bonds!$H107,6*(40-1))))</f>
        <v/>
      </c>
      <c r="AS107" s="3" t="str">
        <f>IF(41&gt;$C107,"",IF($D107=1,EOMONTH(EDATE(Bonds!$H107,6*(41-1)),0),EDATE(Bonds!$H107,6*(41-1))))</f>
        <v/>
      </c>
      <c r="AT107" s="3" t="str">
        <f>IF(42&gt;$C107,"",IF($D107=1,EOMONTH(EDATE(Bonds!$H107,6*(42-1)),0),EDATE(Bonds!$H107,6*(42-1))))</f>
        <v/>
      </c>
      <c r="AU107" s="3" t="str">
        <f>IF(43&gt;$C107,"",IF($D107=1,EOMONTH(EDATE(Bonds!$H107,6*(43-1)),0),EDATE(Bonds!$H107,6*(43-1))))</f>
        <v/>
      </c>
      <c r="AV107" s="3" t="str">
        <f>IF(44&gt;$C107,"",IF($D107=1,EOMONTH(EDATE(Bonds!$H107,6*(44-1)),0),EDATE(Bonds!$H107,6*(44-1))))</f>
        <v/>
      </c>
      <c r="AW107" s="3" t="str">
        <f>IF(45&gt;$C107,"",IF($D107=1,EOMONTH(EDATE(Bonds!$H107,6*(45-1)),0),EDATE(Bonds!$H107,6*(45-1))))</f>
        <v/>
      </c>
      <c r="AX107" s="3" t="str">
        <f>IF(46&gt;$C107,"",IF($D107=1,EOMONTH(EDATE(Bonds!$H107,6*(46-1)),0),EDATE(Bonds!$H107,6*(46-1))))</f>
        <v/>
      </c>
      <c r="AY107" s="3" t="str">
        <f>IF(47&gt;$C107,"",IF($D107=1,EOMONTH(EDATE(Bonds!$H107,6*(47-1)),0),EDATE(Bonds!$H107,6*(47-1))))</f>
        <v/>
      </c>
      <c r="AZ107" s="3" t="str">
        <f>IF(48&gt;$C107,"",IF($D107=1,EOMONTH(EDATE(Bonds!$H107,6*(48-1)),0),EDATE(Bonds!$H107,6*(48-1))))</f>
        <v/>
      </c>
      <c r="BA107" s="3" t="str">
        <f>IF(49&gt;$C107,"",IF($D107=1,EOMONTH(EDATE(Bonds!$H107,6*(49-1)),0),EDATE(Bonds!$H107,6*(49-1))))</f>
        <v/>
      </c>
      <c r="BB107" s="3" t="str">
        <f>IF(50&gt;$C107,"",IF($D107=1,EOMONTH(EDATE(Bonds!$H107,6*(50-1)),0),EDATE(Bonds!$H107,6*(50-1))))</f>
        <v/>
      </c>
      <c r="BC107" s="3" t="str">
        <f>IF(51&gt;$C107,"",IF($D107=1,EOMONTH(EDATE(Bonds!$H107,6*(51-1)),0),EDATE(Bonds!$H107,6*(51-1))))</f>
        <v/>
      </c>
      <c r="BD107" s="3" t="str">
        <f>IF(52&gt;$C107,"",IF($D107=1,EOMONTH(EDATE(Bonds!$H107,6*(52-1)),0),EDATE(Bonds!$H107,6*(52-1))))</f>
        <v/>
      </c>
      <c r="BE107" s="3" t="str">
        <f>IF(53&gt;$C107,"",IF($D107=1,EOMONTH(EDATE(Bonds!$H107,6*(53-1)),0),EDATE(Bonds!$H107,6*(53-1))))</f>
        <v/>
      </c>
      <c r="BF107" s="3" t="str">
        <f>IF(54&gt;$C107,"",IF($D107=1,EOMONTH(EDATE(Bonds!$H107,6*(54-1)),0),EDATE(Bonds!$H107,6*(54-1))))</f>
        <v/>
      </c>
      <c r="BG107" s="3" t="str">
        <f>IF(55&gt;$C107,"",IF($D107=1,EOMONTH(EDATE(Bonds!$H107,6*(55-1)),0),EDATE(Bonds!$H107,6*(55-1))))</f>
        <v/>
      </c>
      <c r="BH107" s="3" t="str">
        <f>IF(56&gt;$C107,"",IF($D107=1,EOMONTH(EDATE(Bonds!$H107,6*(56-1)),0),EDATE(Bonds!$H107,6*(56-1))))</f>
        <v/>
      </c>
      <c r="BI107" s="3" t="str">
        <f>IF(57&gt;$C107,"",IF($D107=1,EOMONTH(EDATE(Bonds!$H107,6*(57-1)),0),EDATE(Bonds!$H107,6*(57-1))))</f>
        <v/>
      </c>
      <c r="BJ107" s="3" t="str">
        <f>IF(58&gt;$C107,"",IF($D107=1,EOMONTH(EDATE(Bonds!$H107,6*(58-1)),0),EDATE(Bonds!$H107,6*(58-1))))</f>
        <v/>
      </c>
      <c r="BK107" s="3" t="str">
        <f>IF(59&gt;$C107,"",IF($D107=1,EOMONTH(EDATE(Bonds!$H107,6*(59-1)),0),EDATE(Bonds!$H107,6*(59-1))))</f>
        <v/>
      </c>
      <c r="BL107" s="3" t="str">
        <f>IF(60&gt;$C107,"",IF($D107=1,EOMONTH(EDATE(Bonds!$H107,6*(60-1)),0),EDATE(Bonds!$H107,6*(60-1))))</f>
        <v/>
      </c>
      <c r="BN107" s="7">
        <f t="shared" si="62"/>
        <v>2.0309478888925754</v>
      </c>
      <c r="BO107" s="7">
        <f t="shared" si="63"/>
        <v>1.9883885556328185</v>
      </c>
      <c r="BP107" s="7">
        <f t="shared" si="64"/>
        <v>1.9438958952032286</v>
      </c>
      <c r="BQ107" s="7">
        <f t="shared" si="65"/>
        <v>94.024514626451136</v>
      </c>
      <c r="BR107" s="7">
        <f t="shared" si="66"/>
        <v>0</v>
      </c>
      <c r="BS107" s="7">
        <f t="shared" si="67"/>
        <v>0</v>
      </c>
      <c r="BT107" s="7">
        <f t="shared" si="68"/>
        <v>0</v>
      </c>
      <c r="BU107" s="7">
        <f t="shared" si="69"/>
        <v>0</v>
      </c>
      <c r="BV107" s="7">
        <f t="shared" si="70"/>
        <v>0</v>
      </c>
      <c r="BW107" s="7">
        <f t="shared" si="71"/>
        <v>0</v>
      </c>
      <c r="BX107" s="7">
        <f t="shared" si="72"/>
        <v>0</v>
      </c>
      <c r="BY107" s="7">
        <f t="shared" si="73"/>
        <v>0</v>
      </c>
      <c r="BZ107" s="7">
        <f t="shared" si="74"/>
        <v>0</v>
      </c>
      <c r="CA107" s="7">
        <f t="shared" si="75"/>
        <v>0</v>
      </c>
      <c r="CB107" s="7">
        <f t="shared" si="76"/>
        <v>0</v>
      </c>
      <c r="CC107" s="7">
        <f t="shared" si="77"/>
        <v>0</v>
      </c>
      <c r="CD107" s="7">
        <f t="shared" si="78"/>
        <v>0</v>
      </c>
      <c r="CE107" s="7">
        <f t="shared" si="79"/>
        <v>0</v>
      </c>
      <c r="CF107" s="7">
        <f t="shared" si="80"/>
        <v>0</v>
      </c>
      <c r="CG107" s="7">
        <f t="shared" si="81"/>
        <v>0</v>
      </c>
      <c r="CH107" s="7">
        <f t="shared" si="82"/>
        <v>0</v>
      </c>
      <c r="CI107" s="7">
        <f t="shared" si="83"/>
        <v>0</v>
      </c>
      <c r="CJ107" s="7">
        <f t="shared" si="84"/>
        <v>0</v>
      </c>
      <c r="CK107" s="7">
        <f t="shared" si="85"/>
        <v>0</v>
      </c>
      <c r="CL107" s="7">
        <f t="shared" si="86"/>
        <v>0</v>
      </c>
      <c r="CM107" s="7">
        <f t="shared" si="87"/>
        <v>0</v>
      </c>
      <c r="CN107" s="7">
        <f t="shared" si="88"/>
        <v>0</v>
      </c>
      <c r="CO107" s="7">
        <f t="shared" si="89"/>
        <v>0</v>
      </c>
      <c r="CP107" s="7">
        <f t="shared" si="90"/>
        <v>0</v>
      </c>
      <c r="CQ107" s="7">
        <f t="shared" si="91"/>
        <v>0</v>
      </c>
      <c r="CR107" s="7">
        <f t="shared" si="92"/>
        <v>0</v>
      </c>
      <c r="CS107" s="7">
        <f t="shared" si="93"/>
        <v>0</v>
      </c>
      <c r="CT107" s="7">
        <f t="shared" si="94"/>
        <v>0</v>
      </c>
      <c r="CU107" s="7">
        <f t="shared" si="95"/>
        <v>0</v>
      </c>
      <c r="CV107" s="7">
        <f t="shared" si="96"/>
        <v>0</v>
      </c>
      <c r="CW107" s="7">
        <f t="shared" si="97"/>
        <v>0</v>
      </c>
      <c r="CX107" s="7">
        <f t="shared" si="98"/>
        <v>0</v>
      </c>
      <c r="CY107" s="7">
        <f t="shared" si="99"/>
        <v>0</v>
      </c>
      <c r="CZ107" s="7">
        <f t="shared" si="100"/>
        <v>0</v>
      </c>
      <c r="DA107" s="7">
        <f t="shared" si="101"/>
        <v>0</v>
      </c>
      <c r="DB107" s="7">
        <f t="shared" si="102"/>
        <v>0</v>
      </c>
      <c r="DC107" s="7">
        <f t="shared" si="103"/>
        <v>0</v>
      </c>
      <c r="DD107" s="7">
        <f t="shared" si="104"/>
        <v>0</v>
      </c>
      <c r="DE107" s="7">
        <f t="shared" si="105"/>
        <v>0</v>
      </c>
      <c r="DF107" s="7">
        <f t="shared" si="106"/>
        <v>0</v>
      </c>
      <c r="DG107" s="7">
        <f t="shared" si="107"/>
        <v>0</v>
      </c>
      <c r="DH107" s="7">
        <f t="shared" si="108"/>
        <v>0</v>
      </c>
      <c r="DI107" s="7">
        <f t="shared" si="109"/>
        <v>0</v>
      </c>
      <c r="DJ107" s="7">
        <f t="shared" si="110"/>
        <v>0</v>
      </c>
      <c r="DK107" s="7">
        <f t="shared" si="111"/>
        <v>0</v>
      </c>
      <c r="DL107" s="7">
        <f t="shared" si="112"/>
        <v>0</v>
      </c>
      <c r="DM107" s="7">
        <f t="shared" si="113"/>
        <v>0</v>
      </c>
      <c r="DN107" s="7">
        <f t="shared" si="114"/>
        <v>0</v>
      </c>
      <c r="DO107" s="7">
        <f t="shared" si="115"/>
        <v>0</v>
      </c>
      <c r="DP107" s="7">
        <f t="shared" si="116"/>
        <v>0</v>
      </c>
      <c r="DQ107" s="7">
        <f t="shared" si="117"/>
        <v>0</v>
      </c>
      <c r="DR107" s="7">
        <f t="shared" si="118"/>
        <v>0</v>
      </c>
      <c r="DS107" s="7">
        <f t="shared" si="119"/>
        <v>0</v>
      </c>
      <c r="DT107" s="7">
        <f t="shared" si="120"/>
        <v>0</v>
      </c>
      <c r="DU107" s="7">
        <f t="shared" si="121"/>
        <v>0</v>
      </c>
    </row>
    <row r="108" spans="1:125" x14ac:dyDescent="0.2">
      <c r="A108" s="3">
        <f>Bonds!A108</f>
        <v>46965</v>
      </c>
      <c r="B108" s="4">
        <f>Bonds!B108</f>
        <v>4.25</v>
      </c>
      <c r="C108">
        <f>Bonds!P108</f>
        <v>4</v>
      </c>
      <c r="D108">
        <f t="shared" si="61"/>
        <v>1</v>
      </c>
      <c r="E108" s="3">
        <f>IF(1&gt;$C108,"",IF($D108=1,EOMONTH(EDATE(Bonds!$H108,6*(1-1)),0),EDATE(Bonds!$H108,6*(1-1))))</f>
        <v>46418</v>
      </c>
      <c r="F108" s="3">
        <f>IF(2&gt;$C108,"",IF($D108=1,EOMONTH(EDATE(Bonds!$H108,6*(2-1)),0),EDATE(Bonds!$H108,6*(2-1))))</f>
        <v>46599</v>
      </c>
      <c r="G108" s="3">
        <f>IF(3&gt;$C108,"",IF($D108=1,EOMONTH(EDATE(Bonds!$H108,6*(3-1)),0),EDATE(Bonds!$H108,6*(3-1))))</f>
        <v>46783</v>
      </c>
      <c r="H108" s="3">
        <f>IF(4&gt;$C108,"",IF($D108=1,EOMONTH(EDATE(Bonds!$H108,6*(4-1)),0),EDATE(Bonds!$H108,6*(4-1))))</f>
        <v>46965</v>
      </c>
      <c r="I108" s="3" t="str">
        <f>IF(5&gt;$C108,"",IF($D108=1,EOMONTH(EDATE(Bonds!$H108,6*(5-1)),0),EDATE(Bonds!$H108,6*(5-1))))</f>
        <v/>
      </c>
      <c r="J108" s="3" t="str">
        <f>IF(6&gt;$C108,"",IF($D108=1,EOMONTH(EDATE(Bonds!$H108,6*(6-1)),0),EDATE(Bonds!$H108,6*(6-1))))</f>
        <v/>
      </c>
      <c r="K108" s="3" t="str">
        <f>IF(7&gt;$C108,"",IF($D108=1,EOMONTH(EDATE(Bonds!$H108,6*(7-1)),0),EDATE(Bonds!$H108,6*(7-1))))</f>
        <v/>
      </c>
      <c r="L108" s="3" t="str">
        <f>IF(8&gt;$C108,"",IF($D108=1,EOMONTH(EDATE(Bonds!$H108,6*(8-1)),0),EDATE(Bonds!$H108,6*(8-1))))</f>
        <v/>
      </c>
      <c r="M108" s="3" t="str">
        <f>IF(9&gt;$C108,"",IF($D108=1,EOMONTH(EDATE(Bonds!$H108,6*(9-1)),0),EDATE(Bonds!$H108,6*(9-1))))</f>
        <v/>
      </c>
      <c r="N108" s="3" t="str">
        <f>IF(10&gt;$C108,"",IF($D108=1,EOMONTH(EDATE(Bonds!$H108,6*(10-1)),0),EDATE(Bonds!$H108,6*(10-1))))</f>
        <v/>
      </c>
      <c r="O108" s="3" t="str">
        <f>IF(11&gt;$C108,"",IF($D108=1,EOMONTH(EDATE(Bonds!$H108,6*(11-1)),0),EDATE(Bonds!$H108,6*(11-1))))</f>
        <v/>
      </c>
      <c r="P108" s="3" t="str">
        <f>IF(12&gt;$C108,"",IF($D108=1,EOMONTH(EDATE(Bonds!$H108,6*(12-1)),0),EDATE(Bonds!$H108,6*(12-1))))</f>
        <v/>
      </c>
      <c r="Q108" s="3" t="str">
        <f>IF(13&gt;$C108,"",IF($D108=1,EOMONTH(EDATE(Bonds!$H108,6*(13-1)),0),EDATE(Bonds!$H108,6*(13-1))))</f>
        <v/>
      </c>
      <c r="R108" s="3" t="str">
        <f>IF(14&gt;$C108,"",IF($D108=1,EOMONTH(EDATE(Bonds!$H108,6*(14-1)),0),EDATE(Bonds!$H108,6*(14-1))))</f>
        <v/>
      </c>
      <c r="S108" s="3" t="str">
        <f>IF(15&gt;$C108,"",IF($D108=1,EOMONTH(EDATE(Bonds!$H108,6*(15-1)),0),EDATE(Bonds!$H108,6*(15-1))))</f>
        <v/>
      </c>
      <c r="T108" s="3" t="str">
        <f>IF(16&gt;$C108,"",IF($D108=1,EOMONTH(EDATE(Bonds!$H108,6*(16-1)),0),EDATE(Bonds!$H108,6*(16-1))))</f>
        <v/>
      </c>
      <c r="U108" s="3" t="str">
        <f>IF(17&gt;$C108,"",IF($D108=1,EOMONTH(EDATE(Bonds!$H108,6*(17-1)),0),EDATE(Bonds!$H108,6*(17-1))))</f>
        <v/>
      </c>
      <c r="V108" s="3" t="str">
        <f>IF(18&gt;$C108,"",IF($D108=1,EOMONTH(EDATE(Bonds!$H108,6*(18-1)),0),EDATE(Bonds!$H108,6*(18-1))))</f>
        <v/>
      </c>
      <c r="W108" s="3" t="str">
        <f>IF(19&gt;$C108,"",IF($D108=1,EOMONTH(EDATE(Bonds!$H108,6*(19-1)),0),EDATE(Bonds!$H108,6*(19-1))))</f>
        <v/>
      </c>
      <c r="X108" s="3" t="str">
        <f>IF(20&gt;$C108,"",IF($D108=1,EOMONTH(EDATE(Bonds!$H108,6*(20-1)),0),EDATE(Bonds!$H108,6*(20-1))))</f>
        <v/>
      </c>
      <c r="Y108" s="3" t="str">
        <f>IF(21&gt;$C108,"",IF($D108=1,EOMONTH(EDATE(Bonds!$H108,6*(21-1)),0),EDATE(Bonds!$H108,6*(21-1))))</f>
        <v/>
      </c>
      <c r="Z108" s="3" t="str">
        <f>IF(22&gt;$C108,"",IF($D108=1,EOMONTH(EDATE(Bonds!$H108,6*(22-1)),0),EDATE(Bonds!$H108,6*(22-1))))</f>
        <v/>
      </c>
      <c r="AA108" s="3" t="str">
        <f>IF(23&gt;$C108,"",IF($D108=1,EOMONTH(EDATE(Bonds!$H108,6*(23-1)),0),EDATE(Bonds!$H108,6*(23-1))))</f>
        <v/>
      </c>
      <c r="AB108" s="3" t="str">
        <f>IF(24&gt;$C108,"",IF($D108=1,EOMONTH(EDATE(Bonds!$H108,6*(24-1)),0),EDATE(Bonds!$H108,6*(24-1))))</f>
        <v/>
      </c>
      <c r="AC108" s="3" t="str">
        <f>IF(25&gt;$C108,"",IF($D108=1,EOMONTH(EDATE(Bonds!$H108,6*(25-1)),0),EDATE(Bonds!$H108,6*(25-1))))</f>
        <v/>
      </c>
      <c r="AD108" s="3" t="str">
        <f>IF(26&gt;$C108,"",IF($D108=1,EOMONTH(EDATE(Bonds!$H108,6*(26-1)),0),EDATE(Bonds!$H108,6*(26-1))))</f>
        <v/>
      </c>
      <c r="AE108" s="3" t="str">
        <f>IF(27&gt;$C108,"",IF($D108=1,EOMONTH(EDATE(Bonds!$H108,6*(27-1)),0),EDATE(Bonds!$H108,6*(27-1))))</f>
        <v/>
      </c>
      <c r="AF108" s="3" t="str">
        <f>IF(28&gt;$C108,"",IF($D108=1,EOMONTH(EDATE(Bonds!$H108,6*(28-1)),0),EDATE(Bonds!$H108,6*(28-1))))</f>
        <v/>
      </c>
      <c r="AG108" s="3" t="str">
        <f>IF(29&gt;$C108,"",IF($D108=1,EOMONTH(EDATE(Bonds!$H108,6*(29-1)),0),EDATE(Bonds!$H108,6*(29-1))))</f>
        <v/>
      </c>
      <c r="AH108" s="3" t="str">
        <f>IF(30&gt;$C108,"",IF($D108=1,EOMONTH(EDATE(Bonds!$H108,6*(30-1)),0),EDATE(Bonds!$H108,6*(30-1))))</f>
        <v/>
      </c>
      <c r="AI108" s="3" t="str">
        <f>IF(31&gt;$C108,"",IF($D108=1,EOMONTH(EDATE(Bonds!$H108,6*(31-1)),0),EDATE(Bonds!$H108,6*(31-1))))</f>
        <v/>
      </c>
      <c r="AJ108" s="3" t="str">
        <f>IF(32&gt;$C108,"",IF($D108=1,EOMONTH(EDATE(Bonds!$H108,6*(32-1)),0),EDATE(Bonds!$H108,6*(32-1))))</f>
        <v/>
      </c>
      <c r="AK108" s="3" t="str">
        <f>IF(33&gt;$C108,"",IF($D108=1,EOMONTH(EDATE(Bonds!$H108,6*(33-1)),0),EDATE(Bonds!$H108,6*(33-1))))</f>
        <v/>
      </c>
      <c r="AL108" s="3" t="str">
        <f>IF(34&gt;$C108,"",IF($D108=1,EOMONTH(EDATE(Bonds!$H108,6*(34-1)),0),EDATE(Bonds!$H108,6*(34-1))))</f>
        <v/>
      </c>
      <c r="AM108" s="3" t="str">
        <f>IF(35&gt;$C108,"",IF($D108=1,EOMONTH(EDATE(Bonds!$H108,6*(35-1)),0),EDATE(Bonds!$H108,6*(35-1))))</f>
        <v/>
      </c>
      <c r="AN108" s="3" t="str">
        <f>IF(36&gt;$C108,"",IF($D108=1,EOMONTH(EDATE(Bonds!$H108,6*(36-1)),0),EDATE(Bonds!$H108,6*(36-1))))</f>
        <v/>
      </c>
      <c r="AO108" s="3" t="str">
        <f>IF(37&gt;$C108,"",IF($D108=1,EOMONTH(EDATE(Bonds!$H108,6*(37-1)),0),EDATE(Bonds!$H108,6*(37-1))))</f>
        <v/>
      </c>
      <c r="AP108" s="3" t="str">
        <f>IF(38&gt;$C108,"",IF($D108=1,EOMONTH(EDATE(Bonds!$H108,6*(38-1)),0),EDATE(Bonds!$H108,6*(38-1))))</f>
        <v/>
      </c>
      <c r="AQ108" s="3" t="str">
        <f>IF(39&gt;$C108,"",IF($D108=1,EOMONTH(EDATE(Bonds!$H108,6*(39-1)),0),EDATE(Bonds!$H108,6*(39-1))))</f>
        <v/>
      </c>
      <c r="AR108" s="3" t="str">
        <f>IF(40&gt;$C108,"",IF($D108=1,EOMONTH(EDATE(Bonds!$H108,6*(40-1)),0),EDATE(Bonds!$H108,6*(40-1))))</f>
        <v/>
      </c>
      <c r="AS108" s="3" t="str">
        <f>IF(41&gt;$C108,"",IF($D108=1,EOMONTH(EDATE(Bonds!$H108,6*(41-1)),0),EDATE(Bonds!$H108,6*(41-1))))</f>
        <v/>
      </c>
      <c r="AT108" s="3" t="str">
        <f>IF(42&gt;$C108,"",IF($D108=1,EOMONTH(EDATE(Bonds!$H108,6*(42-1)),0),EDATE(Bonds!$H108,6*(42-1))))</f>
        <v/>
      </c>
      <c r="AU108" s="3" t="str">
        <f>IF(43&gt;$C108,"",IF($D108=1,EOMONTH(EDATE(Bonds!$H108,6*(43-1)),0),EDATE(Bonds!$H108,6*(43-1))))</f>
        <v/>
      </c>
      <c r="AV108" s="3" t="str">
        <f>IF(44&gt;$C108,"",IF($D108=1,EOMONTH(EDATE(Bonds!$H108,6*(44-1)),0),EDATE(Bonds!$H108,6*(44-1))))</f>
        <v/>
      </c>
      <c r="AW108" s="3" t="str">
        <f>IF(45&gt;$C108,"",IF($D108=1,EOMONTH(EDATE(Bonds!$H108,6*(45-1)),0),EDATE(Bonds!$H108,6*(45-1))))</f>
        <v/>
      </c>
      <c r="AX108" s="3" t="str">
        <f>IF(46&gt;$C108,"",IF($D108=1,EOMONTH(EDATE(Bonds!$H108,6*(46-1)),0),EDATE(Bonds!$H108,6*(46-1))))</f>
        <v/>
      </c>
      <c r="AY108" s="3" t="str">
        <f>IF(47&gt;$C108,"",IF($D108=1,EOMONTH(EDATE(Bonds!$H108,6*(47-1)),0),EDATE(Bonds!$H108,6*(47-1))))</f>
        <v/>
      </c>
      <c r="AZ108" s="3" t="str">
        <f>IF(48&gt;$C108,"",IF($D108=1,EOMONTH(EDATE(Bonds!$H108,6*(48-1)),0),EDATE(Bonds!$H108,6*(48-1))))</f>
        <v/>
      </c>
      <c r="BA108" s="3" t="str">
        <f>IF(49&gt;$C108,"",IF($D108=1,EOMONTH(EDATE(Bonds!$H108,6*(49-1)),0),EDATE(Bonds!$H108,6*(49-1))))</f>
        <v/>
      </c>
      <c r="BB108" s="3" t="str">
        <f>IF(50&gt;$C108,"",IF($D108=1,EOMONTH(EDATE(Bonds!$H108,6*(50-1)),0),EDATE(Bonds!$H108,6*(50-1))))</f>
        <v/>
      </c>
      <c r="BC108" s="3" t="str">
        <f>IF(51&gt;$C108,"",IF($D108=1,EOMONTH(EDATE(Bonds!$H108,6*(51-1)),0),EDATE(Bonds!$H108,6*(51-1))))</f>
        <v/>
      </c>
      <c r="BD108" s="3" t="str">
        <f>IF(52&gt;$C108,"",IF($D108=1,EOMONTH(EDATE(Bonds!$H108,6*(52-1)),0),EDATE(Bonds!$H108,6*(52-1))))</f>
        <v/>
      </c>
      <c r="BE108" s="3" t="str">
        <f>IF(53&gt;$C108,"",IF($D108=1,EOMONTH(EDATE(Bonds!$H108,6*(53-1)),0),EDATE(Bonds!$H108,6*(53-1))))</f>
        <v/>
      </c>
      <c r="BF108" s="3" t="str">
        <f>IF(54&gt;$C108,"",IF($D108=1,EOMONTH(EDATE(Bonds!$H108,6*(54-1)),0),EDATE(Bonds!$H108,6*(54-1))))</f>
        <v/>
      </c>
      <c r="BG108" s="3" t="str">
        <f>IF(55&gt;$C108,"",IF($D108=1,EOMONTH(EDATE(Bonds!$H108,6*(55-1)),0),EDATE(Bonds!$H108,6*(55-1))))</f>
        <v/>
      </c>
      <c r="BH108" s="3" t="str">
        <f>IF(56&gt;$C108,"",IF($D108=1,EOMONTH(EDATE(Bonds!$H108,6*(56-1)),0),EDATE(Bonds!$H108,6*(56-1))))</f>
        <v/>
      </c>
      <c r="BI108" s="3" t="str">
        <f>IF(57&gt;$C108,"",IF($D108=1,EOMONTH(EDATE(Bonds!$H108,6*(57-1)),0),EDATE(Bonds!$H108,6*(57-1))))</f>
        <v/>
      </c>
      <c r="BJ108" s="3" t="str">
        <f>IF(58&gt;$C108,"",IF($D108=1,EOMONTH(EDATE(Bonds!$H108,6*(58-1)),0),EDATE(Bonds!$H108,6*(58-1))))</f>
        <v/>
      </c>
      <c r="BK108" s="3" t="str">
        <f>IF(59&gt;$C108,"",IF($D108=1,EOMONTH(EDATE(Bonds!$H108,6*(59-1)),0),EDATE(Bonds!$H108,6*(59-1))))</f>
        <v/>
      </c>
      <c r="BL108" s="3" t="str">
        <f>IF(60&gt;$C108,"",IF($D108=1,EOMONTH(EDATE(Bonds!$H108,6*(60-1)),0),EDATE(Bonds!$H108,6*(60-1))))</f>
        <v/>
      </c>
      <c r="BN108" s="7">
        <f t="shared" si="62"/>
        <v>2.0924917643135625</v>
      </c>
      <c r="BO108" s="7">
        <f t="shared" si="63"/>
        <v>2.0486427542883585</v>
      </c>
      <c r="BP108" s="7">
        <f t="shared" si="64"/>
        <v>2.0028018314215084</v>
      </c>
      <c r="BQ108" s="7">
        <f t="shared" si="65"/>
        <v>94.082092406381605</v>
      </c>
      <c r="BR108" s="7">
        <f t="shared" si="66"/>
        <v>0</v>
      </c>
      <c r="BS108" s="7">
        <f t="shared" si="67"/>
        <v>0</v>
      </c>
      <c r="BT108" s="7">
        <f t="shared" si="68"/>
        <v>0</v>
      </c>
      <c r="BU108" s="7">
        <f t="shared" si="69"/>
        <v>0</v>
      </c>
      <c r="BV108" s="7">
        <f t="shared" si="70"/>
        <v>0</v>
      </c>
      <c r="BW108" s="7">
        <f t="shared" si="71"/>
        <v>0</v>
      </c>
      <c r="BX108" s="7">
        <f t="shared" si="72"/>
        <v>0</v>
      </c>
      <c r="BY108" s="7">
        <f t="shared" si="73"/>
        <v>0</v>
      </c>
      <c r="BZ108" s="7">
        <f t="shared" si="74"/>
        <v>0</v>
      </c>
      <c r="CA108" s="7">
        <f t="shared" si="75"/>
        <v>0</v>
      </c>
      <c r="CB108" s="7">
        <f t="shared" si="76"/>
        <v>0</v>
      </c>
      <c r="CC108" s="7">
        <f t="shared" si="77"/>
        <v>0</v>
      </c>
      <c r="CD108" s="7">
        <f t="shared" si="78"/>
        <v>0</v>
      </c>
      <c r="CE108" s="7">
        <f t="shared" si="79"/>
        <v>0</v>
      </c>
      <c r="CF108" s="7">
        <f t="shared" si="80"/>
        <v>0</v>
      </c>
      <c r="CG108" s="7">
        <f t="shared" si="81"/>
        <v>0</v>
      </c>
      <c r="CH108" s="7">
        <f t="shared" si="82"/>
        <v>0</v>
      </c>
      <c r="CI108" s="7">
        <f t="shared" si="83"/>
        <v>0</v>
      </c>
      <c r="CJ108" s="7">
        <f t="shared" si="84"/>
        <v>0</v>
      </c>
      <c r="CK108" s="7">
        <f t="shared" si="85"/>
        <v>0</v>
      </c>
      <c r="CL108" s="7">
        <f t="shared" si="86"/>
        <v>0</v>
      </c>
      <c r="CM108" s="7">
        <f t="shared" si="87"/>
        <v>0</v>
      </c>
      <c r="CN108" s="7">
        <f t="shared" si="88"/>
        <v>0</v>
      </c>
      <c r="CO108" s="7">
        <f t="shared" si="89"/>
        <v>0</v>
      </c>
      <c r="CP108" s="7">
        <f t="shared" si="90"/>
        <v>0</v>
      </c>
      <c r="CQ108" s="7">
        <f t="shared" si="91"/>
        <v>0</v>
      </c>
      <c r="CR108" s="7">
        <f t="shared" si="92"/>
        <v>0</v>
      </c>
      <c r="CS108" s="7">
        <f t="shared" si="93"/>
        <v>0</v>
      </c>
      <c r="CT108" s="7">
        <f t="shared" si="94"/>
        <v>0</v>
      </c>
      <c r="CU108" s="7">
        <f t="shared" si="95"/>
        <v>0</v>
      </c>
      <c r="CV108" s="7">
        <f t="shared" si="96"/>
        <v>0</v>
      </c>
      <c r="CW108" s="7">
        <f t="shared" si="97"/>
        <v>0</v>
      </c>
      <c r="CX108" s="7">
        <f t="shared" si="98"/>
        <v>0</v>
      </c>
      <c r="CY108" s="7">
        <f t="shared" si="99"/>
        <v>0</v>
      </c>
      <c r="CZ108" s="7">
        <f t="shared" si="100"/>
        <v>0</v>
      </c>
      <c r="DA108" s="7">
        <f t="shared" si="101"/>
        <v>0</v>
      </c>
      <c r="DB108" s="7">
        <f t="shared" si="102"/>
        <v>0</v>
      </c>
      <c r="DC108" s="7">
        <f t="shared" si="103"/>
        <v>0</v>
      </c>
      <c r="DD108" s="7">
        <f t="shared" si="104"/>
        <v>0</v>
      </c>
      <c r="DE108" s="7">
        <f t="shared" si="105"/>
        <v>0</v>
      </c>
      <c r="DF108" s="7">
        <f t="shared" si="106"/>
        <v>0</v>
      </c>
      <c r="DG108" s="7">
        <f t="shared" si="107"/>
        <v>0</v>
      </c>
      <c r="DH108" s="7">
        <f t="shared" si="108"/>
        <v>0</v>
      </c>
      <c r="DI108" s="7">
        <f t="shared" si="109"/>
        <v>0</v>
      </c>
      <c r="DJ108" s="7">
        <f t="shared" si="110"/>
        <v>0</v>
      </c>
      <c r="DK108" s="7">
        <f t="shared" si="111"/>
        <v>0</v>
      </c>
      <c r="DL108" s="7">
        <f t="shared" si="112"/>
        <v>0</v>
      </c>
      <c r="DM108" s="7">
        <f t="shared" si="113"/>
        <v>0</v>
      </c>
      <c r="DN108" s="7">
        <f t="shared" si="114"/>
        <v>0</v>
      </c>
      <c r="DO108" s="7">
        <f t="shared" si="115"/>
        <v>0</v>
      </c>
      <c r="DP108" s="7">
        <f t="shared" si="116"/>
        <v>0</v>
      </c>
      <c r="DQ108" s="7">
        <f t="shared" si="117"/>
        <v>0</v>
      </c>
      <c r="DR108" s="7">
        <f t="shared" si="118"/>
        <v>0</v>
      </c>
      <c r="DS108" s="7">
        <f t="shared" si="119"/>
        <v>0</v>
      </c>
      <c r="DT108" s="7">
        <f t="shared" si="120"/>
        <v>0</v>
      </c>
      <c r="DU108" s="7">
        <f t="shared" si="121"/>
        <v>0</v>
      </c>
    </row>
    <row r="109" spans="1:125" x14ac:dyDescent="0.2">
      <c r="A109" s="3">
        <f>Bonds!A109</f>
        <v>46980</v>
      </c>
      <c r="B109" s="4">
        <f>Bonds!B109</f>
        <v>2.875</v>
      </c>
      <c r="C109">
        <f>Bonds!P109</f>
        <v>4</v>
      </c>
      <c r="D109">
        <f t="shared" si="61"/>
        <v>0</v>
      </c>
      <c r="E109" s="3">
        <f>IF(1&gt;$C109,"",IF($D109=1,EOMONTH(EDATE(Bonds!$H109,6*(1-1)),0),EDATE(Bonds!$H109,6*(1-1))))</f>
        <v>46433</v>
      </c>
      <c r="F109" s="3">
        <f>IF(2&gt;$C109,"",IF($D109=1,EOMONTH(EDATE(Bonds!$H109,6*(2-1)),0),EDATE(Bonds!$H109,6*(2-1))))</f>
        <v>46614</v>
      </c>
      <c r="G109" s="3">
        <f>IF(3&gt;$C109,"",IF($D109=1,EOMONTH(EDATE(Bonds!$H109,6*(3-1)),0),EDATE(Bonds!$H109,6*(3-1))))</f>
        <v>46798</v>
      </c>
      <c r="H109" s="3">
        <f>IF(4&gt;$C109,"",IF($D109=1,EOMONTH(EDATE(Bonds!$H109,6*(4-1)),0),EDATE(Bonds!$H109,6*(4-1))))</f>
        <v>46980</v>
      </c>
      <c r="I109" s="3" t="str">
        <f>IF(5&gt;$C109,"",IF($D109=1,EOMONTH(EDATE(Bonds!$H109,6*(5-1)),0),EDATE(Bonds!$H109,6*(5-1))))</f>
        <v/>
      </c>
      <c r="J109" s="3" t="str">
        <f>IF(6&gt;$C109,"",IF($D109=1,EOMONTH(EDATE(Bonds!$H109,6*(6-1)),0),EDATE(Bonds!$H109,6*(6-1))))</f>
        <v/>
      </c>
      <c r="K109" s="3" t="str">
        <f>IF(7&gt;$C109,"",IF($D109=1,EOMONTH(EDATE(Bonds!$H109,6*(7-1)),0),EDATE(Bonds!$H109,6*(7-1))))</f>
        <v/>
      </c>
      <c r="L109" s="3" t="str">
        <f>IF(8&gt;$C109,"",IF($D109=1,EOMONTH(EDATE(Bonds!$H109,6*(8-1)),0),EDATE(Bonds!$H109,6*(8-1))))</f>
        <v/>
      </c>
      <c r="M109" s="3" t="str">
        <f>IF(9&gt;$C109,"",IF($D109=1,EOMONTH(EDATE(Bonds!$H109,6*(9-1)),0),EDATE(Bonds!$H109,6*(9-1))))</f>
        <v/>
      </c>
      <c r="N109" s="3" t="str">
        <f>IF(10&gt;$C109,"",IF($D109=1,EOMONTH(EDATE(Bonds!$H109,6*(10-1)),0),EDATE(Bonds!$H109,6*(10-1))))</f>
        <v/>
      </c>
      <c r="O109" s="3" t="str">
        <f>IF(11&gt;$C109,"",IF($D109=1,EOMONTH(EDATE(Bonds!$H109,6*(11-1)),0),EDATE(Bonds!$H109,6*(11-1))))</f>
        <v/>
      </c>
      <c r="P109" s="3" t="str">
        <f>IF(12&gt;$C109,"",IF($D109=1,EOMONTH(EDATE(Bonds!$H109,6*(12-1)),0),EDATE(Bonds!$H109,6*(12-1))))</f>
        <v/>
      </c>
      <c r="Q109" s="3" t="str">
        <f>IF(13&gt;$C109,"",IF($D109=1,EOMONTH(EDATE(Bonds!$H109,6*(13-1)),0),EDATE(Bonds!$H109,6*(13-1))))</f>
        <v/>
      </c>
      <c r="R109" s="3" t="str">
        <f>IF(14&gt;$C109,"",IF($D109=1,EOMONTH(EDATE(Bonds!$H109,6*(14-1)),0),EDATE(Bonds!$H109,6*(14-1))))</f>
        <v/>
      </c>
      <c r="S109" s="3" t="str">
        <f>IF(15&gt;$C109,"",IF($D109=1,EOMONTH(EDATE(Bonds!$H109,6*(15-1)),0),EDATE(Bonds!$H109,6*(15-1))))</f>
        <v/>
      </c>
      <c r="T109" s="3" t="str">
        <f>IF(16&gt;$C109,"",IF($D109=1,EOMONTH(EDATE(Bonds!$H109,6*(16-1)),0),EDATE(Bonds!$H109,6*(16-1))))</f>
        <v/>
      </c>
      <c r="U109" s="3" t="str">
        <f>IF(17&gt;$C109,"",IF($D109=1,EOMONTH(EDATE(Bonds!$H109,6*(17-1)),0),EDATE(Bonds!$H109,6*(17-1))))</f>
        <v/>
      </c>
      <c r="V109" s="3" t="str">
        <f>IF(18&gt;$C109,"",IF($D109=1,EOMONTH(EDATE(Bonds!$H109,6*(18-1)),0),EDATE(Bonds!$H109,6*(18-1))))</f>
        <v/>
      </c>
      <c r="W109" s="3" t="str">
        <f>IF(19&gt;$C109,"",IF($D109=1,EOMONTH(EDATE(Bonds!$H109,6*(19-1)),0),EDATE(Bonds!$H109,6*(19-1))))</f>
        <v/>
      </c>
      <c r="X109" s="3" t="str">
        <f>IF(20&gt;$C109,"",IF($D109=1,EOMONTH(EDATE(Bonds!$H109,6*(20-1)),0),EDATE(Bonds!$H109,6*(20-1))))</f>
        <v/>
      </c>
      <c r="Y109" s="3" t="str">
        <f>IF(21&gt;$C109,"",IF($D109=1,EOMONTH(EDATE(Bonds!$H109,6*(21-1)),0),EDATE(Bonds!$H109,6*(21-1))))</f>
        <v/>
      </c>
      <c r="Z109" s="3" t="str">
        <f>IF(22&gt;$C109,"",IF($D109=1,EOMONTH(EDATE(Bonds!$H109,6*(22-1)),0),EDATE(Bonds!$H109,6*(22-1))))</f>
        <v/>
      </c>
      <c r="AA109" s="3" t="str">
        <f>IF(23&gt;$C109,"",IF($D109=1,EOMONTH(EDATE(Bonds!$H109,6*(23-1)),0),EDATE(Bonds!$H109,6*(23-1))))</f>
        <v/>
      </c>
      <c r="AB109" s="3" t="str">
        <f>IF(24&gt;$C109,"",IF($D109=1,EOMONTH(EDATE(Bonds!$H109,6*(24-1)),0),EDATE(Bonds!$H109,6*(24-1))))</f>
        <v/>
      </c>
      <c r="AC109" s="3" t="str">
        <f>IF(25&gt;$C109,"",IF($D109=1,EOMONTH(EDATE(Bonds!$H109,6*(25-1)),0),EDATE(Bonds!$H109,6*(25-1))))</f>
        <v/>
      </c>
      <c r="AD109" s="3" t="str">
        <f>IF(26&gt;$C109,"",IF($D109=1,EOMONTH(EDATE(Bonds!$H109,6*(26-1)),0),EDATE(Bonds!$H109,6*(26-1))))</f>
        <v/>
      </c>
      <c r="AE109" s="3" t="str">
        <f>IF(27&gt;$C109,"",IF($D109=1,EOMONTH(EDATE(Bonds!$H109,6*(27-1)),0),EDATE(Bonds!$H109,6*(27-1))))</f>
        <v/>
      </c>
      <c r="AF109" s="3" t="str">
        <f>IF(28&gt;$C109,"",IF($D109=1,EOMONTH(EDATE(Bonds!$H109,6*(28-1)),0),EDATE(Bonds!$H109,6*(28-1))))</f>
        <v/>
      </c>
      <c r="AG109" s="3" t="str">
        <f>IF(29&gt;$C109,"",IF($D109=1,EOMONTH(EDATE(Bonds!$H109,6*(29-1)),0),EDATE(Bonds!$H109,6*(29-1))))</f>
        <v/>
      </c>
      <c r="AH109" s="3" t="str">
        <f>IF(30&gt;$C109,"",IF($D109=1,EOMONTH(EDATE(Bonds!$H109,6*(30-1)),0),EDATE(Bonds!$H109,6*(30-1))))</f>
        <v/>
      </c>
      <c r="AI109" s="3" t="str">
        <f>IF(31&gt;$C109,"",IF($D109=1,EOMONTH(EDATE(Bonds!$H109,6*(31-1)),0),EDATE(Bonds!$H109,6*(31-1))))</f>
        <v/>
      </c>
      <c r="AJ109" s="3" t="str">
        <f>IF(32&gt;$C109,"",IF($D109=1,EOMONTH(EDATE(Bonds!$H109,6*(32-1)),0),EDATE(Bonds!$H109,6*(32-1))))</f>
        <v/>
      </c>
      <c r="AK109" s="3" t="str">
        <f>IF(33&gt;$C109,"",IF($D109=1,EOMONTH(EDATE(Bonds!$H109,6*(33-1)),0),EDATE(Bonds!$H109,6*(33-1))))</f>
        <v/>
      </c>
      <c r="AL109" s="3" t="str">
        <f>IF(34&gt;$C109,"",IF($D109=1,EOMONTH(EDATE(Bonds!$H109,6*(34-1)),0),EDATE(Bonds!$H109,6*(34-1))))</f>
        <v/>
      </c>
      <c r="AM109" s="3" t="str">
        <f>IF(35&gt;$C109,"",IF($D109=1,EOMONTH(EDATE(Bonds!$H109,6*(35-1)),0),EDATE(Bonds!$H109,6*(35-1))))</f>
        <v/>
      </c>
      <c r="AN109" s="3" t="str">
        <f>IF(36&gt;$C109,"",IF($D109=1,EOMONTH(EDATE(Bonds!$H109,6*(36-1)),0),EDATE(Bonds!$H109,6*(36-1))))</f>
        <v/>
      </c>
      <c r="AO109" s="3" t="str">
        <f>IF(37&gt;$C109,"",IF($D109=1,EOMONTH(EDATE(Bonds!$H109,6*(37-1)),0),EDATE(Bonds!$H109,6*(37-1))))</f>
        <v/>
      </c>
      <c r="AP109" s="3" t="str">
        <f>IF(38&gt;$C109,"",IF($D109=1,EOMONTH(EDATE(Bonds!$H109,6*(38-1)),0),EDATE(Bonds!$H109,6*(38-1))))</f>
        <v/>
      </c>
      <c r="AQ109" s="3" t="str">
        <f>IF(39&gt;$C109,"",IF($D109=1,EOMONTH(EDATE(Bonds!$H109,6*(39-1)),0),EDATE(Bonds!$H109,6*(39-1))))</f>
        <v/>
      </c>
      <c r="AR109" s="3" t="str">
        <f>IF(40&gt;$C109,"",IF($D109=1,EOMONTH(EDATE(Bonds!$H109,6*(40-1)),0),EDATE(Bonds!$H109,6*(40-1))))</f>
        <v/>
      </c>
      <c r="AS109" s="3" t="str">
        <f>IF(41&gt;$C109,"",IF($D109=1,EOMONTH(EDATE(Bonds!$H109,6*(41-1)),0),EDATE(Bonds!$H109,6*(41-1))))</f>
        <v/>
      </c>
      <c r="AT109" s="3" t="str">
        <f>IF(42&gt;$C109,"",IF($D109=1,EOMONTH(EDATE(Bonds!$H109,6*(42-1)),0),EDATE(Bonds!$H109,6*(42-1))))</f>
        <v/>
      </c>
      <c r="AU109" s="3" t="str">
        <f>IF(43&gt;$C109,"",IF($D109=1,EOMONTH(EDATE(Bonds!$H109,6*(43-1)),0),EDATE(Bonds!$H109,6*(43-1))))</f>
        <v/>
      </c>
      <c r="AV109" s="3" t="str">
        <f>IF(44&gt;$C109,"",IF($D109=1,EOMONTH(EDATE(Bonds!$H109,6*(44-1)),0),EDATE(Bonds!$H109,6*(44-1))))</f>
        <v/>
      </c>
      <c r="AW109" s="3" t="str">
        <f>IF(45&gt;$C109,"",IF($D109=1,EOMONTH(EDATE(Bonds!$H109,6*(45-1)),0),EDATE(Bonds!$H109,6*(45-1))))</f>
        <v/>
      </c>
      <c r="AX109" s="3" t="str">
        <f>IF(46&gt;$C109,"",IF($D109=1,EOMONTH(EDATE(Bonds!$H109,6*(46-1)),0),EDATE(Bonds!$H109,6*(46-1))))</f>
        <v/>
      </c>
      <c r="AY109" s="3" t="str">
        <f>IF(47&gt;$C109,"",IF($D109=1,EOMONTH(EDATE(Bonds!$H109,6*(47-1)),0),EDATE(Bonds!$H109,6*(47-1))))</f>
        <v/>
      </c>
      <c r="AZ109" s="3" t="str">
        <f>IF(48&gt;$C109,"",IF($D109=1,EOMONTH(EDATE(Bonds!$H109,6*(48-1)),0),EDATE(Bonds!$H109,6*(48-1))))</f>
        <v/>
      </c>
      <c r="BA109" s="3" t="str">
        <f>IF(49&gt;$C109,"",IF($D109=1,EOMONTH(EDATE(Bonds!$H109,6*(49-1)),0),EDATE(Bonds!$H109,6*(49-1))))</f>
        <v/>
      </c>
      <c r="BB109" s="3" t="str">
        <f>IF(50&gt;$C109,"",IF($D109=1,EOMONTH(EDATE(Bonds!$H109,6*(50-1)),0),EDATE(Bonds!$H109,6*(50-1))))</f>
        <v/>
      </c>
      <c r="BC109" s="3" t="str">
        <f>IF(51&gt;$C109,"",IF($D109=1,EOMONTH(EDATE(Bonds!$H109,6*(51-1)),0),EDATE(Bonds!$H109,6*(51-1))))</f>
        <v/>
      </c>
      <c r="BD109" s="3" t="str">
        <f>IF(52&gt;$C109,"",IF($D109=1,EOMONTH(EDATE(Bonds!$H109,6*(52-1)),0),EDATE(Bonds!$H109,6*(52-1))))</f>
        <v/>
      </c>
      <c r="BE109" s="3" t="str">
        <f>IF(53&gt;$C109,"",IF($D109=1,EOMONTH(EDATE(Bonds!$H109,6*(53-1)),0),EDATE(Bonds!$H109,6*(53-1))))</f>
        <v/>
      </c>
      <c r="BF109" s="3" t="str">
        <f>IF(54&gt;$C109,"",IF($D109=1,EOMONTH(EDATE(Bonds!$H109,6*(54-1)),0),EDATE(Bonds!$H109,6*(54-1))))</f>
        <v/>
      </c>
      <c r="BG109" s="3" t="str">
        <f>IF(55&gt;$C109,"",IF($D109=1,EOMONTH(EDATE(Bonds!$H109,6*(55-1)),0),EDATE(Bonds!$H109,6*(55-1))))</f>
        <v/>
      </c>
      <c r="BH109" s="3" t="str">
        <f>IF(56&gt;$C109,"",IF($D109=1,EOMONTH(EDATE(Bonds!$H109,6*(56-1)),0),EDATE(Bonds!$H109,6*(56-1))))</f>
        <v/>
      </c>
      <c r="BI109" s="3" t="str">
        <f>IF(57&gt;$C109,"",IF($D109=1,EOMONTH(EDATE(Bonds!$H109,6*(57-1)),0),EDATE(Bonds!$H109,6*(57-1))))</f>
        <v/>
      </c>
      <c r="BJ109" s="3" t="str">
        <f>IF(58&gt;$C109,"",IF($D109=1,EOMONTH(EDATE(Bonds!$H109,6*(58-1)),0),EDATE(Bonds!$H109,6*(58-1))))</f>
        <v/>
      </c>
      <c r="BK109" s="3" t="str">
        <f>IF(59&gt;$C109,"",IF($D109=1,EOMONTH(EDATE(Bonds!$H109,6*(59-1)),0),EDATE(Bonds!$H109,6*(59-1))))</f>
        <v/>
      </c>
      <c r="BL109" s="3" t="str">
        <f>IF(60&gt;$C109,"",IF($D109=1,EOMONTH(EDATE(Bonds!$H109,6*(60-1)),0),EDATE(Bonds!$H109,6*(60-1))))</f>
        <v/>
      </c>
      <c r="BN109" s="7">
        <f t="shared" si="62"/>
        <v>1.4131192557789631</v>
      </c>
      <c r="BO109" s="7">
        <f t="shared" si="63"/>
        <v>1.3833330706556208</v>
      </c>
      <c r="BP109" s="7">
        <f t="shared" si="64"/>
        <v>1.3523052800162065</v>
      </c>
      <c r="BQ109" s="7">
        <f t="shared" si="65"/>
        <v>93.272640688645794</v>
      </c>
      <c r="BR109" s="7">
        <f t="shared" si="66"/>
        <v>0</v>
      </c>
      <c r="BS109" s="7">
        <f t="shared" si="67"/>
        <v>0</v>
      </c>
      <c r="BT109" s="7">
        <f t="shared" si="68"/>
        <v>0</v>
      </c>
      <c r="BU109" s="7">
        <f t="shared" si="69"/>
        <v>0</v>
      </c>
      <c r="BV109" s="7">
        <f t="shared" si="70"/>
        <v>0</v>
      </c>
      <c r="BW109" s="7">
        <f t="shared" si="71"/>
        <v>0</v>
      </c>
      <c r="BX109" s="7">
        <f t="shared" si="72"/>
        <v>0</v>
      </c>
      <c r="BY109" s="7">
        <f t="shared" si="73"/>
        <v>0</v>
      </c>
      <c r="BZ109" s="7">
        <f t="shared" si="74"/>
        <v>0</v>
      </c>
      <c r="CA109" s="7">
        <f t="shared" si="75"/>
        <v>0</v>
      </c>
      <c r="CB109" s="7">
        <f t="shared" si="76"/>
        <v>0</v>
      </c>
      <c r="CC109" s="7">
        <f t="shared" si="77"/>
        <v>0</v>
      </c>
      <c r="CD109" s="7">
        <f t="shared" si="78"/>
        <v>0</v>
      </c>
      <c r="CE109" s="7">
        <f t="shared" si="79"/>
        <v>0</v>
      </c>
      <c r="CF109" s="7">
        <f t="shared" si="80"/>
        <v>0</v>
      </c>
      <c r="CG109" s="7">
        <f t="shared" si="81"/>
        <v>0</v>
      </c>
      <c r="CH109" s="7">
        <f t="shared" si="82"/>
        <v>0</v>
      </c>
      <c r="CI109" s="7">
        <f t="shared" si="83"/>
        <v>0</v>
      </c>
      <c r="CJ109" s="7">
        <f t="shared" si="84"/>
        <v>0</v>
      </c>
      <c r="CK109" s="7">
        <f t="shared" si="85"/>
        <v>0</v>
      </c>
      <c r="CL109" s="7">
        <f t="shared" si="86"/>
        <v>0</v>
      </c>
      <c r="CM109" s="7">
        <f t="shared" si="87"/>
        <v>0</v>
      </c>
      <c r="CN109" s="7">
        <f t="shared" si="88"/>
        <v>0</v>
      </c>
      <c r="CO109" s="7">
        <f t="shared" si="89"/>
        <v>0</v>
      </c>
      <c r="CP109" s="7">
        <f t="shared" si="90"/>
        <v>0</v>
      </c>
      <c r="CQ109" s="7">
        <f t="shared" si="91"/>
        <v>0</v>
      </c>
      <c r="CR109" s="7">
        <f t="shared" si="92"/>
        <v>0</v>
      </c>
      <c r="CS109" s="7">
        <f t="shared" si="93"/>
        <v>0</v>
      </c>
      <c r="CT109" s="7">
        <f t="shared" si="94"/>
        <v>0</v>
      </c>
      <c r="CU109" s="7">
        <f t="shared" si="95"/>
        <v>0</v>
      </c>
      <c r="CV109" s="7">
        <f t="shared" si="96"/>
        <v>0</v>
      </c>
      <c r="CW109" s="7">
        <f t="shared" si="97"/>
        <v>0</v>
      </c>
      <c r="CX109" s="7">
        <f t="shared" si="98"/>
        <v>0</v>
      </c>
      <c r="CY109" s="7">
        <f t="shared" si="99"/>
        <v>0</v>
      </c>
      <c r="CZ109" s="7">
        <f t="shared" si="100"/>
        <v>0</v>
      </c>
      <c r="DA109" s="7">
        <f t="shared" si="101"/>
        <v>0</v>
      </c>
      <c r="DB109" s="7">
        <f t="shared" si="102"/>
        <v>0</v>
      </c>
      <c r="DC109" s="7">
        <f t="shared" si="103"/>
        <v>0</v>
      </c>
      <c r="DD109" s="7">
        <f t="shared" si="104"/>
        <v>0</v>
      </c>
      <c r="DE109" s="7">
        <f t="shared" si="105"/>
        <v>0</v>
      </c>
      <c r="DF109" s="7">
        <f t="shared" si="106"/>
        <v>0</v>
      </c>
      <c r="DG109" s="7">
        <f t="shared" si="107"/>
        <v>0</v>
      </c>
      <c r="DH109" s="7">
        <f t="shared" si="108"/>
        <v>0</v>
      </c>
      <c r="DI109" s="7">
        <f t="shared" si="109"/>
        <v>0</v>
      </c>
      <c r="DJ109" s="7">
        <f t="shared" si="110"/>
        <v>0</v>
      </c>
      <c r="DK109" s="7">
        <f t="shared" si="111"/>
        <v>0</v>
      </c>
      <c r="DL109" s="7">
        <f t="shared" si="112"/>
        <v>0</v>
      </c>
      <c r="DM109" s="7">
        <f t="shared" si="113"/>
        <v>0</v>
      </c>
      <c r="DN109" s="7">
        <f t="shared" si="114"/>
        <v>0</v>
      </c>
      <c r="DO109" s="7">
        <f t="shared" si="115"/>
        <v>0</v>
      </c>
      <c r="DP109" s="7">
        <f t="shared" si="116"/>
        <v>0</v>
      </c>
      <c r="DQ109" s="7">
        <f t="shared" si="117"/>
        <v>0</v>
      </c>
      <c r="DR109" s="7">
        <f t="shared" si="118"/>
        <v>0</v>
      </c>
      <c r="DS109" s="7">
        <f t="shared" si="119"/>
        <v>0</v>
      </c>
      <c r="DT109" s="7">
        <f t="shared" si="120"/>
        <v>0</v>
      </c>
      <c r="DU109" s="7">
        <f t="shared" si="121"/>
        <v>0</v>
      </c>
    </row>
    <row r="110" spans="1:125" x14ac:dyDescent="0.2">
      <c r="A110" s="3">
        <f>Bonds!A110</f>
        <v>46980</v>
      </c>
      <c r="B110" s="4">
        <f>Bonds!B110</f>
        <v>3.625</v>
      </c>
      <c r="C110">
        <f>Bonds!P110</f>
        <v>4</v>
      </c>
      <c r="D110">
        <f t="shared" si="61"/>
        <v>0</v>
      </c>
      <c r="E110" s="3">
        <f>IF(1&gt;$C110,"",IF($D110=1,EOMONTH(EDATE(Bonds!$H110,6*(1-1)),0),EDATE(Bonds!$H110,6*(1-1))))</f>
        <v>46433</v>
      </c>
      <c r="F110" s="3">
        <f>IF(2&gt;$C110,"",IF($D110=1,EOMONTH(EDATE(Bonds!$H110,6*(2-1)),0),EDATE(Bonds!$H110,6*(2-1))))</f>
        <v>46614</v>
      </c>
      <c r="G110" s="3">
        <f>IF(3&gt;$C110,"",IF($D110=1,EOMONTH(EDATE(Bonds!$H110,6*(3-1)),0),EDATE(Bonds!$H110,6*(3-1))))</f>
        <v>46798</v>
      </c>
      <c r="H110" s="3">
        <f>IF(4&gt;$C110,"",IF($D110=1,EOMONTH(EDATE(Bonds!$H110,6*(4-1)),0),EDATE(Bonds!$H110,6*(4-1))))</f>
        <v>46980</v>
      </c>
      <c r="I110" s="3" t="str">
        <f>IF(5&gt;$C110,"",IF($D110=1,EOMONTH(EDATE(Bonds!$H110,6*(5-1)),0),EDATE(Bonds!$H110,6*(5-1))))</f>
        <v/>
      </c>
      <c r="J110" s="3" t="str">
        <f>IF(6&gt;$C110,"",IF($D110=1,EOMONTH(EDATE(Bonds!$H110,6*(6-1)),0),EDATE(Bonds!$H110,6*(6-1))))</f>
        <v/>
      </c>
      <c r="K110" s="3" t="str">
        <f>IF(7&gt;$C110,"",IF($D110=1,EOMONTH(EDATE(Bonds!$H110,6*(7-1)),0),EDATE(Bonds!$H110,6*(7-1))))</f>
        <v/>
      </c>
      <c r="L110" s="3" t="str">
        <f>IF(8&gt;$C110,"",IF($D110=1,EOMONTH(EDATE(Bonds!$H110,6*(8-1)),0),EDATE(Bonds!$H110,6*(8-1))))</f>
        <v/>
      </c>
      <c r="M110" s="3" t="str">
        <f>IF(9&gt;$C110,"",IF($D110=1,EOMONTH(EDATE(Bonds!$H110,6*(9-1)),0),EDATE(Bonds!$H110,6*(9-1))))</f>
        <v/>
      </c>
      <c r="N110" s="3" t="str">
        <f>IF(10&gt;$C110,"",IF($D110=1,EOMONTH(EDATE(Bonds!$H110,6*(10-1)),0),EDATE(Bonds!$H110,6*(10-1))))</f>
        <v/>
      </c>
      <c r="O110" s="3" t="str">
        <f>IF(11&gt;$C110,"",IF($D110=1,EOMONTH(EDATE(Bonds!$H110,6*(11-1)),0),EDATE(Bonds!$H110,6*(11-1))))</f>
        <v/>
      </c>
      <c r="P110" s="3" t="str">
        <f>IF(12&gt;$C110,"",IF($D110=1,EOMONTH(EDATE(Bonds!$H110,6*(12-1)),0),EDATE(Bonds!$H110,6*(12-1))))</f>
        <v/>
      </c>
      <c r="Q110" s="3" t="str">
        <f>IF(13&gt;$C110,"",IF($D110=1,EOMONTH(EDATE(Bonds!$H110,6*(13-1)),0),EDATE(Bonds!$H110,6*(13-1))))</f>
        <v/>
      </c>
      <c r="R110" s="3" t="str">
        <f>IF(14&gt;$C110,"",IF($D110=1,EOMONTH(EDATE(Bonds!$H110,6*(14-1)),0),EDATE(Bonds!$H110,6*(14-1))))</f>
        <v/>
      </c>
      <c r="S110" s="3" t="str">
        <f>IF(15&gt;$C110,"",IF($D110=1,EOMONTH(EDATE(Bonds!$H110,6*(15-1)),0),EDATE(Bonds!$H110,6*(15-1))))</f>
        <v/>
      </c>
      <c r="T110" s="3" t="str">
        <f>IF(16&gt;$C110,"",IF($D110=1,EOMONTH(EDATE(Bonds!$H110,6*(16-1)),0),EDATE(Bonds!$H110,6*(16-1))))</f>
        <v/>
      </c>
      <c r="U110" s="3" t="str">
        <f>IF(17&gt;$C110,"",IF($D110=1,EOMONTH(EDATE(Bonds!$H110,6*(17-1)),0),EDATE(Bonds!$H110,6*(17-1))))</f>
        <v/>
      </c>
      <c r="V110" s="3" t="str">
        <f>IF(18&gt;$C110,"",IF($D110=1,EOMONTH(EDATE(Bonds!$H110,6*(18-1)),0),EDATE(Bonds!$H110,6*(18-1))))</f>
        <v/>
      </c>
      <c r="W110" s="3" t="str">
        <f>IF(19&gt;$C110,"",IF($D110=1,EOMONTH(EDATE(Bonds!$H110,6*(19-1)),0),EDATE(Bonds!$H110,6*(19-1))))</f>
        <v/>
      </c>
      <c r="X110" s="3" t="str">
        <f>IF(20&gt;$C110,"",IF($D110=1,EOMONTH(EDATE(Bonds!$H110,6*(20-1)),0),EDATE(Bonds!$H110,6*(20-1))))</f>
        <v/>
      </c>
      <c r="Y110" s="3" t="str">
        <f>IF(21&gt;$C110,"",IF($D110=1,EOMONTH(EDATE(Bonds!$H110,6*(21-1)),0),EDATE(Bonds!$H110,6*(21-1))))</f>
        <v/>
      </c>
      <c r="Z110" s="3" t="str">
        <f>IF(22&gt;$C110,"",IF($D110=1,EOMONTH(EDATE(Bonds!$H110,6*(22-1)),0),EDATE(Bonds!$H110,6*(22-1))))</f>
        <v/>
      </c>
      <c r="AA110" s="3" t="str">
        <f>IF(23&gt;$C110,"",IF($D110=1,EOMONTH(EDATE(Bonds!$H110,6*(23-1)),0),EDATE(Bonds!$H110,6*(23-1))))</f>
        <v/>
      </c>
      <c r="AB110" s="3" t="str">
        <f>IF(24&gt;$C110,"",IF($D110=1,EOMONTH(EDATE(Bonds!$H110,6*(24-1)),0),EDATE(Bonds!$H110,6*(24-1))))</f>
        <v/>
      </c>
      <c r="AC110" s="3" t="str">
        <f>IF(25&gt;$C110,"",IF($D110=1,EOMONTH(EDATE(Bonds!$H110,6*(25-1)),0),EDATE(Bonds!$H110,6*(25-1))))</f>
        <v/>
      </c>
      <c r="AD110" s="3" t="str">
        <f>IF(26&gt;$C110,"",IF($D110=1,EOMONTH(EDATE(Bonds!$H110,6*(26-1)),0),EDATE(Bonds!$H110,6*(26-1))))</f>
        <v/>
      </c>
      <c r="AE110" s="3" t="str">
        <f>IF(27&gt;$C110,"",IF($D110=1,EOMONTH(EDATE(Bonds!$H110,6*(27-1)),0),EDATE(Bonds!$H110,6*(27-1))))</f>
        <v/>
      </c>
      <c r="AF110" s="3" t="str">
        <f>IF(28&gt;$C110,"",IF($D110=1,EOMONTH(EDATE(Bonds!$H110,6*(28-1)),0),EDATE(Bonds!$H110,6*(28-1))))</f>
        <v/>
      </c>
      <c r="AG110" s="3" t="str">
        <f>IF(29&gt;$C110,"",IF($D110=1,EOMONTH(EDATE(Bonds!$H110,6*(29-1)),0),EDATE(Bonds!$H110,6*(29-1))))</f>
        <v/>
      </c>
      <c r="AH110" s="3" t="str">
        <f>IF(30&gt;$C110,"",IF($D110=1,EOMONTH(EDATE(Bonds!$H110,6*(30-1)),0),EDATE(Bonds!$H110,6*(30-1))))</f>
        <v/>
      </c>
      <c r="AI110" s="3" t="str">
        <f>IF(31&gt;$C110,"",IF($D110=1,EOMONTH(EDATE(Bonds!$H110,6*(31-1)),0),EDATE(Bonds!$H110,6*(31-1))))</f>
        <v/>
      </c>
      <c r="AJ110" s="3" t="str">
        <f>IF(32&gt;$C110,"",IF($D110=1,EOMONTH(EDATE(Bonds!$H110,6*(32-1)),0),EDATE(Bonds!$H110,6*(32-1))))</f>
        <v/>
      </c>
      <c r="AK110" s="3" t="str">
        <f>IF(33&gt;$C110,"",IF($D110=1,EOMONTH(EDATE(Bonds!$H110,6*(33-1)),0),EDATE(Bonds!$H110,6*(33-1))))</f>
        <v/>
      </c>
      <c r="AL110" s="3" t="str">
        <f>IF(34&gt;$C110,"",IF($D110=1,EOMONTH(EDATE(Bonds!$H110,6*(34-1)),0),EDATE(Bonds!$H110,6*(34-1))))</f>
        <v/>
      </c>
      <c r="AM110" s="3" t="str">
        <f>IF(35&gt;$C110,"",IF($D110=1,EOMONTH(EDATE(Bonds!$H110,6*(35-1)),0),EDATE(Bonds!$H110,6*(35-1))))</f>
        <v/>
      </c>
      <c r="AN110" s="3" t="str">
        <f>IF(36&gt;$C110,"",IF($D110=1,EOMONTH(EDATE(Bonds!$H110,6*(36-1)),0),EDATE(Bonds!$H110,6*(36-1))))</f>
        <v/>
      </c>
      <c r="AO110" s="3" t="str">
        <f>IF(37&gt;$C110,"",IF($D110=1,EOMONTH(EDATE(Bonds!$H110,6*(37-1)),0),EDATE(Bonds!$H110,6*(37-1))))</f>
        <v/>
      </c>
      <c r="AP110" s="3" t="str">
        <f>IF(38&gt;$C110,"",IF($D110=1,EOMONTH(EDATE(Bonds!$H110,6*(38-1)),0),EDATE(Bonds!$H110,6*(38-1))))</f>
        <v/>
      </c>
      <c r="AQ110" s="3" t="str">
        <f>IF(39&gt;$C110,"",IF($D110=1,EOMONTH(EDATE(Bonds!$H110,6*(39-1)),0),EDATE(Bonds!$H110,6*(39-1))))</f>
        <v/>
      </c>
      <c r="AR110" s="3" t="str">
        <f>IF(40&gt;$C110,"",IF($D110=1,EOMONTH(EDATE(Bonds!$H110,6*(40-1)),0),EDATE(Bonds!$H110,6*(40-1))))</f>
        <v/>
      </c>
      <c r="AS110" s="3" t="str">
        <f>IF(41&gt;$C110,"",IF($D110=1,EOMONTH(EDATE(Bonds!$H110,6*(41-1)),0),EDATE(Bonds!$H110,6*(41-1))))</f>
        <v/>
      </c>
      <c r="AT110" s="3" t="str">
        <f>IF(42&gt;$C110,"",IF($D110=1,EOMONTH(EDATE(Bonds!$H110,6*(42-1)),0),EDATE(Bonds!$H110,6*(42-1))))</f>
        <v/>
      </c>
      <c r="AU110" s="3" t="str">
        <f>IF(43&gt;$C110,"",IF($D110=1,EOMONTH(EDATE(Bonds!$H110,6*(43-1)),0),EDATE(Bonds!$H110,6*(43-1))))</f>
        <v/>
      </c>
      <c r="AV110" s="3" t="str">
        <f>IF(44&gt;$C110,"",IF($D110=1,EOMONTH(EDATE(Bonds!$H110,6*(44-1)),0),EDATE(Bonds!$H110,6*(44-1))))</f>
        <v/>
      </c>
      <c r="AW110" s="3" t="str">
        <f>IF(45&gt;$C110,"",IF($D110=1,EOMONTH(EDATE(Bonds!$H110,6*(45-1)),0),EDATE(Bonds!$H110,6*(45-1))))</f>
        <v/>
      </c>
      <c r="AX110" s="3" t="str">
        <f>IF(46&gt;$C110,"",IF($D110=1,EOMONTH(EDATE(Bonds!$H110,6*(46-1)),0),EDATE(Bonds!$H110,6*(46-1))))</f>
        <v/>
      </c>
      <c r="AY110" s="3" t="str">
        <f>IF(47&gt;$C110,"",IF($D110=1,EOMONTH(EDATE(Bonds!$H110,6*(47-1)),0),EDATE(Bonds!$H110,6*(47-1))))</f>
        <v/>
      </c>
      <c r="AZ110" s="3" t="str">
        <f>IF(48&gt;$C110,"",IF($D110=1,EOMONTH(EDATE(Bonds!$H110,6*(48-1)),0),EDATE(Bonds!$H110,6*(48-1))))</f>
        <v/>
      </c>
      <c r="BA110" s="3" t="str">
        <f>IF(49&gt;$C110,"",IF($D110=1,EOMONTH(EDATE(Bonds!$H110,6*(49-1)),0),EDATE(Bonds!$H110,6*(49-1))))</f>
        <v/>
      </c>
      <c r="BB110" s="3" t="str">
        <f>IF(50&gt;$C110,"",IF($D110=1,EOMONTH(EDATE(Bonds!$H110,6*(50-1)),0),EDATE(Bonds!$H110,6*(50-1))))</f>
        <v/>
      </c>
      <c r="BC110" s="3" t="str">
        <f>IF(51&gt;$C110,"",IF($D110=1,EOMONTH(EDATE(Bonds!$H110,6*(51-1)),0),EDATE(Bonds!$H110,6*(51-1))))</f>
        <v/>
      </c>
      <c r="BD110" s="3" t="str">
        <f>IF(52&gt;$C110,"",IF($D110=1,EOMONTH(EDATE(Bonds!$H110,6*(52-1)),0),EDATE(Bonds!$H110,6*(52-1))))</f>
        <v/>
      </c>
      <c r="BE110" s="3" t="str">
        <f>IF(53&gt;$C110,"",IF($D110=1,EOMONTH(EDATE(Bonds!$H110,6*(53-1)),0),EDATE(Bonds!$H110,6*(53-1))))</f>
        <v/>
      </c>
      <c r="BF110" s="3" t="str">
        <f>IF(54&gt;$C110,"",IF($D110=1,EOMONTH(EDATE(Bonds!$H110,6*(54-1)),0),EDATE(Bonds!$H110,6*(54-1))))</f>
        <v/>
      </c>
      <c r="BG110" s="3" t="str">
        <f>IF(55&gt;$C110,"",IF($D110=1,EOMONTH(EDATE(Bonds!$H110,6*(55-1)),0),EDATE(Bonds!$H110,6*(55-1))))</f>
        <v/>
      </c>
      <c r="BH110" s="3" t="str">
        <f>IF(56&gt;$C110,"",IF($D110=1,EOMONTH(EDATE(Bonds!$H110,6*(56-1)),0),EDATE(Bonds!$H110,6*(56-1))))</f>
        <v/>
      </c>
      <c r="BI110" s="3" t="str">
        <f>IF(57&gt;$C110,"",IF($D110=1,EOMONTH(EDATE(Bonds!$H110,6*(57-1)),0),EDATE(Bonds!$H110,6*(57-1))))</f>
        <v/>
      </c>
      <c r="BJ110" s="3" t="str">
        <f>IF(58&gt;$C110,"",IF($D110=1,EOMONTH(EDATE(Bonds!$H110,6*(58-1)),0),EDATE(Bonds!$H110,6*(58-1))))</f>
        <v/>
      </c>
      <c r="BK110" s="3" t="str">
        <f>IF(59&gt;$C110,"",IF($D110=1,EOMONTH(EDATE(Bonds!$H110,6*(59-1)),0),EDATE(Bonds!$H110,6*(59-1))))</f>
        <v/>
      </c>
      <c r="BL110" s="3" t="str">
        <f>IF(60&gt;$C110,"",IF($D110=1,EOMONTH(EDATE(Bonds!$H110,6*(60-1)),0),EDATE(Bonds!$H110,6*(60-1))))</f>
        <v/>
      </c>
      <c r="BN110" s="7">
        <f t="shared" si="62"/>
        <v>1.7817590616343448</v>
      </c>
      <c r="BO110" s="7">
        <f t="shared" si="63"/>
        <v>1.7442025673483914</v>
      </c>
      <c r="BP110" s="7">
        <f t="shared" si="64"/>
        <v>1.705080570455217</v>
      </c>
      <c r="BQ110" s="7">
        <f t="shared" si="65"/>
        <v>93.617456365868136</v>
      </c>
      <c r="BR110" s="7">
        <f t="shared" si="66"/>
        <v>0</v>
      </c>
      <c r="BS110" s="7">
        <f t="shared" si="67"/>
        <v>0</v>
      </c>
      <c r="BT110" s="7">
        <f t="shared" si="68"/>
        <v>0</v>
      </c>
      <c r="BU110" s="7">
        <f t="shared" si="69"/>
        <v>0</v>
      </c>
      <c r="BV110" s="7">
        <f t="shared" si="70"/>
        <v>0</v>
      </c>
      <c r="BW110" s="7">
        <f t="shared" si="71"/>
        <v>0</v>
      </c>
      <c r="BX110" s="7">
        <f t="shared" si="72"/>
        <v>0</v>
      </c>
      <c r="BY110" s="7">
        <f t="shared" si="73"/>
        <v>0</v>
      </c>
      <c r="BZ110" s="7">
        <f t="shared" si="74"/>
        <v>0</v>
      </c>
      <c r="CA110" s="7">
        <f t="shared" si="75"/>
        <v>0</v>
      </c>
      <c r="CB110" s="7">
        <f t="shared" si="76"/>
        <v>0</v>
      </c>
      <c r="CC110" s="7">
        <f t="shared" si="77"/>
        <v>0</v>
      </c>
      <c r="CD110" s="7">
        <f t="shared" si="78"/>
        <v>0</v>
      </c>
      <c r="CE110" s="7">
        <f t="shared" si="79"/>
        <v>0</v>
      </c>
      <c r="CF110" s="7">
        <f t="shared" si="80"/>
        <v>0</v>
      </c>
      <c r="CG110" s="7">
        <f t="shared" si="81"/>
        <v>0</v>
      </c>
      <c r="CH110" s="7">
        <f t="shared" si="82"/>
        <v>0</v>
      </c>
      <c r="CI110" s="7">
        <f t="shared" si="83"/>
        <v>0</v>
      </c>
      <c r="CJ110" s="7">
        <f t="shared" si="84"/>
        <v>0</v>
      </c>
      <c r="CK110" s="7">
        <f t="shared" si="85"/>
        <v>0</v>
      </c>
      <c r="CL110" s="7">
        <f t="shared" si="86"/>
        <v>0</v>
      </c>
      <c r="CM110" s="7">
        <f t="shared" si="87"/>
        <v>0</v>
      </c>
      <c r="CN110" s="7">
        <f t="shared" si="88"/>
        <v>0</v>
      </c>
      <c r="CO110" s="7">
        <f t="shared" si="89"/>
        <v>0</v>
      </c>
      <c r="CP110" s="7">
        <f t="shared" si="90"/>
        <v>0</v>
      </c>
      <c r="CQ110" s="7">
        <f t="shared" si="91"/>
        <v>0</v>
      </c>
      <c r="CR110" s="7">
        <f t="shared" si="92"/>
        <v>0</v>
      </c>
      <c r="CS110" s="7">
        <f t="shared" si="93"/>
        <v>0</v>
      </c>
      <c r="CT110" s="7">
        <f t="shared" si="94"/>
        <v>0</v>
      </c>
      <c r="CU110" s="7">
        <f t="shared" si="95"/>
        <v>0</v>
      </c>
      <c r="CV110" s="7">
        <f t="shared" si="96"/>
        <v>0</v>
      </c>
      <c r="CW110" s="7">
        <f t="shared" si="97"/>
        <v>0</v>
      </c>
      <c r="CX110" s="7">
        <f t="shared" si="98"/>
        <v>0</v>
      </c>
      <c r="CY110" s="7">
        <f t="shared" si="99"/>
        <v>0</v>
      </c>
      <c r="CZ110" s="7">
        <f t="shared" si="100"/>
        <v>0</v>
      </c>
      <c r="DA110" s="7">
        <f t="shared" si="101"/>
        <v>0</v>
      </c>
      <c r="DB110" s="7">
        <f t="shared" si="102"/>
        <v>0</v>
      </c>
      <c r="DC110" s="7">
        <f t="shared" si="103"/>
        <v>0</v>
      </c>
      <c r="DD110" s="7">
        <f t="shared" si="104"/>
        <v>0</v>
      </c>
      <c r="DE110" s="7">
        <f t="shared" si="105"/>
        <v>0</v>
      </c>
      <c r="DF110" s="7">
        <f t="shared" si="106"/>
        <v>0</v>
      </c>
      <c r="DG110" s="7">
        <f t="shared" si="107"/>
        <v>0</v>
      </c>
      <c r="DH110" s="7">
        <f t="shared" si="108"/>
        <v>0</v>
      </c>
      <c r="DI110" s="7">
        <f t="shared" si="109"/>
        <v>0</v>
      </c>
      <c r="DJ110" s="7">
        <f t="shared" si="110"/>
        <v>0</v>
      </c>
      <c r="DK110" s="7">
        <f t="shared" si="111"/>
        <v>0</v>
      </c>
      <c r="DL110" s="7">
        <f t="shared" si="112"/>
        <v>0</v>
      </c>
      <c r="DM110" s="7">
        <f t="shared" si="113"/>
        <v>0</v>
      </c>
      <c r="DN110" s="7">
        <f t="shared" si="114"/>
        <v>0</v>
      </c>
      <c r="DO110" s="7">
        <f t="shared" si="115"/>
        <v>0</v>
      </c>
      <c r="DP110" s="7">
        <f t="shared" si="116"/>
        <v>0</v>
      </c>
      <c r="DQ110" s="7">
        <f t="shared" si="117"/>
        <v>0</v>
      </c>
      <c r="DR110" s="7">
        <f t="shared" si="118"/>
        <v>0</v>
      </c>
      <c r="DS110" s="7">
        <f t="shared" si="119"/>
        <v>0</v>
      </c>
      <c r="DT110" s="7">
        <f t="shared" si="120"/>
        <v>0</v>
      </c>
      <c r="DU110" s="7">
        <f t="shared" si="121"/>
        <v>0</v>
      </c>
    </row>
    <row r="111" spans="1:125" x14ac:dyDescent="0.2">
      <c r="A111" s="3">
        <f>Bonds!A111</f>
        <v>46980</v>
      </c>
      <c r="B111" s="4">
        <f>Bonds!B111</f>
        <v>5.5</v>
      </c>
      <c r="C111">
        <f>Bonds!P111</f>
        <v>4</v>
      </c>
      <c r="D111">
        <f t="shared" si="61"/>
        <v>0</v>
      </c>
      <c r="E111" s="3">
        <f>IF(1&gt;$C111,"",IF($D111=1,EOMONTH(EDATE(Bonds!$H111,6*(1-1)),0),EDATE(Bonds!$H111,6*(1-1))))</f>
        <v>46433</v>
      </c>
      <c r="F111" s="3">
        <f>IF(2&gt;$C111,"",IF($D111=1,EOMONTH(EDATE(Bonds!$H111,6*(2-1)),0),EDATE(Bonds!$H111,6*(2-1))))</f>
        <v>46614</v>
      </c>
      <c r="G111" s="3">
        <f>IF(3&gt;$C111,"",IF($D111=1,EOMONTH(EDATE(Bonds!$H111,6*(3-1)),0),EDATE(Bonds!$H111,6*(3-1))))</f>
        <v>46798</v>
      </c>
      <c r="H111" s="3">
        <f>IF(4&gt;$C111,"",IF($D111=1,EOMONTH(EDATE(Bonds!$H111,6*(4-1)),0),EDATE(Bonds!$H111,6*(4-1))))</f>
        <v>46980</v>
      </c>
      <c r="I111" s="3" t="str">
        <f>IF(5&gt;$C111,"",IF($D111=1,EOMONTH(EDATE(Bonds!$H111,6*(5-1)),0),EDATE(Bonds!$H111,6*(5-1))))</f>
        <v/>
      </c>
      <c r="J111" s="3" t="str">
        <f>IF(6&gt;$C111,"",IF($D111=1,EOMONTH(EDATE(Bonds!$H111,6*(6-1)),0),EDATE(Bonds!$H111,6*(6-1))))</f>
        <v/>
      </c>
      <c r="K111" s="3" t="str">
        <f>IF(7&gt;$C111,"",IF($D111=1,EOMONTH(EDATE(Bonds!$H111,6*(7-1)),0),EDATE(Bonds!$H111,6*(7-1))))</f>
        <v/>
      </c>
      <c r="L111" s="3" t="str">
        <f>IF(8&gt;$C111,"",IF($D111=1,EOMONTH(EDATE(Bonds!$H111,6*(8-1)),0),EDATE(Bonds!$H111,6*(8-1))))</f>
        <v/>
      </c>
      <c r="M111" s="3" t="str">
        <f>IF(9&gt;$C111,"",IF($D111=1,EOMONTH(EDATE(Bonds!$H111,6*(9-1)),0),EDATE(Bonds!$H111,6*(9-1))))</f>
        <v/>
      </c>
      <c r="N111" s="3" t="str">
        <f>IF(10&gt;$C111,"",IF($D111=1,EOMONTH(EDATE(Bonds!$H111,6*(10-1)),0),EDATE(Bonds!$H111,6*(10-1))))</f>
        <v/>
      </c>
      <c r="O111" s="3" t="str">
        <f>IF(11&gt;$C111,"",IF($D111=1,EOMONTH(EDATE(Bonds!$H111,6*(11-1)),0),EDATE(Bonds!$H111,6*(11-1))))</f>
        <v/>
      </c>
      <c r="P111" s="3" t="str">
        <f>IF(12&gt;$C111,"",IF($D111=1,EOMONTH(EDATE(Bonds!$H111,6*(12-1)),0),EDATE(Bonds!$H111,6*(12-1))))</f>
        <v/>
      </c>
      <c r="Q111" s="3" t="str">
        <f>IF(13&gt;$C111,"",IF($D111=1,EOMONTH(EDATE(Bonds!$H111,6*(13-1)),0),EDATE(Bonds!$H111,6*(13-1))))</f>
        <v/>
      </c>
      <c r="R111" s="3" t="str">
        <f>IF(14&gt;$C111,"",IF($D111=1,EOMONTH(EDATE(Bonds!$H111,6*(14-1)),0),EDATE(Bonds!$H111,6*(14-1))))</f>
        <v/>
      </c>
      <c r="S111" s="3" t="str">
        <f>IF(15&gt;$C111,"",IF($D111=1,EOMONTH(EDATE(Bonds!$H111,6*(15-1)),0),EDATE(Bonds!$H111,6*(15-1))))</f>
        <v/>
      </c>
      <c r="T111" s="3" t="str">
        <f>IF(16&gt;$C111,"",IF($D111=1,EOMONTH(EDATE(Bonds!$H111,6*(16-1)),0),EDATE(Bonds!$H111,6*(16-1))))</f>
        <v/>
      </c>
      <c r="U111" s="3" t="str">
        <f>IF(17&gt;$C111,"",IF($D111=1,EOMONTH(EDATE(Bonds!$H111,6*(17-1)),0),EDATE(Bonds!$H111,6*(17-1))))</f>
        <v/>
      </c>
      <c r="V111" s="3" t="str">
        <f>IF(18&gt;$C111,"",IF($D111=1,EOMONTH(EDATE(Bonds!$H111,6*(18-1)),0),EDATE(Bonds!$H111,6*(18-1))))</f>
        <v/>
      </c>
      <c r="W111" s="3" t="str">
        <f>IF(19&gt;$C111,"",IF($D111=1,EOMONTH(EDATE(Bonds!$H111,6*(19-1)),0),EDATE(Bonds!$H111,6*(19-1))))</f>
        <v/>
      </c>
      <c r="X111" s="3" t="str">
        <f>IF(20&gt;$C111,"",IF($D111=1,EOMONTH(EDATE(Bonds!$H111,6*(20-1)),0),EDATE(Bonds!$H111,6*(20-1))))</f>
        <v/>
      </c>
      <c r="Y111" s="3" t="str">
        <f>IF(21&gt;$C111,"",IF($D111=1,EOMONTH(EDATE(Bonds!$H111,6*(21-1)),0),EDATE(Bonds!$H111,6*(21-1))))</f>
        <v/>
      </c>
      <c r="Z111" s="3" t="str">
        <f>IF(22&gt;$C111,"",IF($D111=1,EOMONTH(EDATE(Bonds!$H111,6*(22-1)),0),EDATE(Bonds!$H111,6*(22-1))))</f>
        <v/>
      </c>
      <c r="AA111" s="3" t="str">
        <f>IF(23&gt;$C111,"",IF($D111=1,EOMONTH(EDATE(Bonds!$H111,6*(23-1)),0),EDATE(Bonds!$H111,6*(23-1))))</f>
        <v/>
      </c>
      <c r="AB111" s="3" t="str">
        <f>IF(24&gt;$C111,"",IF($D111=1,EOMONTH(EDATE(Bonds!$H111,6*(24-1)),0),EDATE(Bonds!$H111,6*(24-1))))</f>
        <v/>
      </c>
      <c r="AC111" s="3" t="str">
        <f>IF(25&gt;$C111,"",IF($D111=1,EOMONTH(EDATE(Bonds!$H111,6*(25-1)),0),EDATE(Bonds!$H111,6*(25-1))))</f>
        <v/>
      </c>
      <c r="AD111" s="3" t="str">
        <f>IF(26&gt;$C111,"",IF($D111=1,EOMONTH(EDATE(Bonds!$H111,6*(26-1)),0),EDATE(Bonds!$H111,6*(26-1))))</f>
        <v/>
      </c>
      <c r="AE111" s="3" t="str">
        <f>IF(27&gt;$C111,"",IF($D111=1,EOMONTH(EDATE(Bonds!$H111,6*(27-1)),0),EDATE(Bonds!$H111,6*(27-1))))</f>
        <v/>
      </c>
      <c r="AF111" s="3" t="str">
        <f>IF(28&gt;$C111,"",IF($D111=1,EOMONTH(EDATE(Bonds!$H111,6*(28-1)),0),EDATE(Bonds!$H111,6*(28-1))))</f>
        <v/>
      </c>
      <c r="AG111" s="3" t="str">
        <f>IF(29&gt;$C111,"",IF($D111=1,EOMONTH(EDATE(Bonds!$H111,6*(29-1)),0),EDATE(Bonds!$H111,6*(29-1))))</f>
        <v/>
      </c>
      <c r="AH111" s="3" t="str">
        <f>IF(30&gt;$C111,"",IF($D111=1,EOMONTH(EDATE(Bonds!$H111,6*(30-1)),0),EDATE(Bonds!$H111,6*(30-1))))</f>
        <v/>
      </c>
      <c r="AI111" s="3" t="str">
        <f>IF(31&gt;$C111,"",IF($D111=1,EOMONTH(EDATE(Bonds!$H111,6*(31-1)),0),EDATE(Bonds!$H111,6*(31-1))))</f>
        <v/>
      </c>
      <c r="AJ111" s="3" t="str">
        <f>IF(32&gt;$C111,"",IF($D111=1,EOMONTH(EDATE(Bonds!$H111,6*(32-1)),0),EDATE(Bonds!$H111,6*(32-1))))</f>
        <v/>
      </c>
      <c r="AK111" s="3" t="str">
        <f>IF(33&gt;$C111,"",IF($D111=1,EOMONTH(EDATE(Bonds!$H111,6*(33-1)),0),EDATE(Bonds!$H111,6*(33-1))))</f>
        <v/>
      </c>
      <c r="AL111" s="3" t="str">
        <f>IF(34&gt;$C111,"",IF($D111=1,EOMONTH(EDATE(Bonds!$H111,6*(34-1)),0),EDATE(Bonds!$H111,6*(34-1))))</f>
        <v/>
      </c>
      <c r="AM111" s="3" t="str">
        <f>IF(35&gt;$C111,"",IF($D111=1,EOMONTH(EDATE(Bonds!$H111,6*(35-1)),0),EDATE(Bonds!$H111,6*(35-1))))</f>
        <v/>
      </c>
      <c r="AN111" s="3" t="str">
        <f>IF(36&gt;$C111,"",IF($D111=1,EOMONTH(EDATE(Bonds!$H111,6*(36-1)),0),EDATE(Bonds!$H111,6*(36-1))))</f>
        <v/>
      </c>
      <c r="AO111" s="3" t="str">
        <f>IF(37&gt;$C111,"",IF($D111=1,EOMONTH(EDATE(Bonds!$H111,6*(37-1)),0),EDATE(Bonds!$H111,6*(37-1))))</f>
        <v/>
      </c>
      <c r="AP111" s="3" t="str">
        <f>IF(38&gt;$C111,"",IF($D111=1,EOMONTH(EDATE(Bonds!$H111,6*(38-1)),0),EDATE(Bonds!$H111,6*(38-1))))</f>
        <v/>
      </c>
      <c r="AQ111" s="3" t="str">
        <f>IF(39&gt;$C111,"",IF($D111=1,EOMONTH(EDATE(Bonds!$H111,6*(39-1)),0),EDATE(Bonds!$H111,6*(39-1))))</f>
        <v/>
      </c>
      <c r="AR111" s="3" t="str">
        <f>IF(40&gt;$C111,"",IF($D111=1,EOMONTH(EDATE(Bonds!$H111,6*(40-1)),0),EDATE(Bonds!$H111,6*(40-1))))</f>
        <v/>
      </c>
      <c r="AS111" s="3" t="str">
        <f>IF(41&gt;$C111,"",IF($D111=1,EOMONTH(EDATE(Bonds!$H111,6*(41-1)),0),EDATE(Bonds!$H111,6*(41-1))))</f>
        <v/>
      </c>
      <c r="AT111" s="3" t="str">
        <f>IF(42&gt;$C111,"",IF($D111=1,EOMONTH(EDATE(Bonds!$H111,6*(42-1)),0),EDATE(Bonds!$H111,6*(42-1))))</f>
        <v/>
      </c>
      <c r="AU111" s="3" t="str">
        <f>IF(43&gt;$C111,"",IF($D111=1,EOMONTH(EDATE(Bonds!$H111,6*(43-1)),0),EDATE(Bonds!$H111,6*(43-1))))</f>
        <v/>
      </c>
      <c r="AV111" s="3" t="str">
        <f>IF(44&gt;$C111,"",IF($D111=1,EOMONTH(EDATE(Bonds!$H111,6*(44-1)),0),EDATE(Bonds!$H111,6*(44-1))))</f>
        <v/>
      </c>
      <c r="AW111" s="3" t="str">
        <f>IF(45&gt;$C111,"",IF($D111=1,EOMONTH(EDATE(Bonds!$H111,6*(45-1)),0),EDATE(Bonds!$H111,6*(45-1))))</f>
        <v/>
      </c>
      <c r="AX111" s="3" t="str">
        <f>IF(46&gt;$C111,"",IF($D111=1,EOMONTH(EDATE(Bonds!$H111,6*(46-1)),0),EDATE(Bonds!$H111,6*(46-1))))</f>
        <v/>
      </c>
      <c r="AY111" s="3" t="str">
        <f>IF(47&gt;$C111,"",IF($D111=1,EOMONTH(EDATE(Bonds!$H111,6*(47-1)),0),EDATE(Bonds!$H111,6*(47-1))))</f>
        <v/>
      </c>
      <c r="AZ111" s="3" t="str">
        <f>IF(48&gt;$C111,"",IF($D111=1,EOMONTH(EDATE(Bonds!$H111,6*(48-1)),0),EDATE(Bonds!$H111,6*(48-1))))</f>
        <v/>
      </c>
      <c r="BA111" s="3" t="str">
        <f>IF(49&gt;$C111,"",IF($D111=1,EOMONTH(EDATE(Bonds!$H111,6*(49-1)),0),EDATE(Bonds!$H111,6*(49-1))))</f>
        <v/>
      </c>
      <c r="BB111" s="3" t="str">
        <f>IF(50&gt;$C111,"",IF($D111=1,EOMONTH(EDATE(Bonds!$H111,6*(50-1)),0),EDATE(Bonds!$H111,6*(50-1))))</f>
        <v/>
      </c>
      <c r="BC111" s="3" t="str">
        <f>IF(51&gt;$C111,"",IF($D111=1,EOMONTH(EDATE(Bonds!$H111,6*(51-1)),0),EDATE(Bonds!$H111,6*(51-1))))</f>
        <v/>
      </c>
      <c r="BD111" s="3" t="str">
        <f>IF(52&gt;$C111,"",IF($D111=1,EOMONTH(EDATE(Bonds!$H111,6*(52-1)),0),EDATE(Bonds!$H111,6*(52-1))))</f>
        <v/>
      </c>
      <c r="BE111" s="3" t="str">
        <f>IF(53&gt;$C111,"",IF($D111=1,EOMONTH(EDATE(Bonds!$H111,6*(53-1)),0),EDATE(Bonds!$H111,6*(53-1))))</f>
        <v/>
      </c>
      <c r="BF111" s="3" t="str">
        <f>IF(54&gt;$C111,"",IF($D111=1,EOMONTH(EDATE(Bonds!$H111,6*(54-1)),0),EDATE(Bonds!$H111,6*(54-1))))</f>
        <v/>
      </c>
      <c r="BG111" s="3" t="str">
        <f>IF(55&gt;$C111,"",IF($D111=1,EOMONTH(EDATE(Bonds!$H111,6*(55-1)),0),EDATE(Bonds!$H111,6*(55-1))))</f>
        <v/>
      </c>
      <c r="BH111" s="3" t="str">
        <f>IF(56&gt;$C111,"",IF($D111=1,EOMONTH(EDATE(Bonds!$H111,6*(56-1)),0),EDATE(Bonds!$H111,6*(56-1))))</f>
        <v/>
      </c>
      <c r="BI111" s="3" t="str">
        <f>IF(57&gt;$C111,"",IF($D111=1,EOMONTH(EDATE(Bonds!$H111,6*(57-1)),0),EDATE(Bonds!$H111,6*(57-1))))</f>
        <v/>
      </c>
      <c r="BJ111" s="3" t="str">
        <f>IF(58&gt;$C111,"",IF($D111=1,EOMONTH(EDATE(Bonds!$H111,6*(58-1)),0),EDATE(Bonds!$H111,6*(58-1))))</f>
        <v/>
      </c>
      <c r="BK111" s="3" t="str">
        <f>IF(59&gt;$C111,"",IF($D111=1,EOMONTH(EDATE(Bonds!$H111,6*(59-1)),0),EDATE(Bonds!$H111,6*(59-1))))</f>
        <v/>
      </c>
      <c r="BL111" s="3" t="str">
        <f>IF(60&gt;$C111,"",IF($D111=1,EOMONTH(EDATE(Bonds!$H111,6*(60-1)),0),EDATE(Bonds!$H111,6*(60-1))))</f>
        <v/>
      </c>
      <c r="BN111" s="7">
        <f t="shared" si="62"/>
        <v>2.7033585762727994</v>
      </c>
      <c r="BO111" s="7">
        <f t="shared" si="63"/>
        <v>2.6463763090803178</v>
      </c>
      <c r="BP111" s="7">
        <f t="shared" si="64"/>
        <v>2.5870187965527429</v>
      </c>
      <c r="BQ111" s="7">
        <f t="shared" si="65"/>
        <v>94.479495558924015</v>
      </c>
      <c r="BR111" s="7">
        <f t="shared" si="66"/>
        <v>0</v>
      </c>
      <c r="BS111" s="7">
        <f t="shared" si="67"/>
        <v>0</v>
      </c>
      <c r="BT111" s="7">
        <f t="shared" si="68"/>
        <v>0</v>
      </c>
      <c r="BU111" s="7">
        <f t="shared" si="69"/>
        <v>0</v>
      </c>
      <c r="BV111" s="7">
        <f t="shared" si="70"/>
        <v>0</v>
      </c>
      <c r="BW111" s="7">
        <f t="shared" si="71"/>
        <v>0</v>
      </c>
      <c r="BX111" s="7">
        <f t="shared" si="72"/>
        <v>0</v>
      </c>
      <c r="BY111" s="7">
        <f t="shared" si="73"/>
        <v>0</v>
      </c>
      <c r="BZ111" s="7">
        <f t="shared" si="74"/>
        <v>0</v>
      </c>
      <c r="CA111" s="7">
        <f t="shared" si="75"/>
        <v>0</v>
      </c>
      <c r="CB111" s="7">
        <f t="shared" si="76"/>
        <v>0</v>
      </c>
      <c r="CC111" s="7">
        <f t="shared" si="77"/>
        <v>0</v>
      </c>
      <c r="CD111" s="7">
        <f t="shared" si="78"/>
        <v>0</v>
      </c>
      <c r="CE111" s="7">
        <f t="shared" si="79"/>
        <v>0</v>
      </c>
      <c r="CF111" s="7">
        <f t="shared" si="80"/>
        <v>0</v>
      </c>
      <c r="CG111" s="7">
        <f t="shared" si="81"/>
        <v>0</v>
      </c>
      <c r="CH111" s="7">
        <f t="shared" si="82"/>
        <v>0</v>
      </c>
      <c r="CI111" s="7">
        <f t="shared" si="83"/>
        <v>0</v>
      </c>
      <c r="CJ111" s="7">
        <f t="shared" si="84"/>
        <v>0</v>
      </c>
      <c r="CK111" s="7">
        <f t="shared" si="85"/>
        <v>0</v>
      </c>
      <c r="CL111" s="7">
        <f t="shared" si="86"/>
        <v>0</v>
      </c>
      <c r="CM111" s="7">
        <f t="shared" si="87"/>
        <v>0</v>
      </c>
      <c r="CN111" s="7">
        <f t="shared" si="88"/>
        <v>0</v>
      </c>
      <c r="CO111" s="7">
        <f t="shared" si="89"/>
        <v>0</v>
      </c>
      <c r="CP111" s="7">
        <f t="shared" si="90"/>
        <v>0</v>
      </c>
      <c r="CQ111" s="7">
        <f t="shared" si="91"/>
        <v>0</v>
      </c>
      <c r="CR111" s="7">
        <f t="shared" si="92"/>
        <v>0</v>
      </c>
      <c r="CS111" s="7">
        <f t="shared" si="93"/>
        <v>0</v>
      </c>
      <c r="CT111" s="7">
        <f t="shared" si="94"/>
        <v>0</v>
      </c>
      <c r="CU111" s="7">
        <f t="shared" si="95"/>
        <v>0</v>
      </c>
      <c r="CV111" s="7">
        <f t="shared" si="96"/>
        <v>0</v>
      </c>
      <c r="CW111" s="7">
        <f t="shared" si="97"/>
        <v>0</v>
      </c>
      <c r="CX111" s="7">
        <f t="shared" si="98"/>
        <v>0</v>
      </c>
      <c r="CY111" s="7">
        <f t="shared" si="99"/>
        <v>0</v>
      </c>
      <c r="CZ111" s="7">
        <f t="shared" si="100"/>
        <v>0</v>
      </c>
      <c r="DA111" s="7">
        <f t="shared" si="101"/>
        <v>0</v>
      </c>
      <c r="DB111" s="7">
        <f t="shared" si="102"/>
        <v>0</v>
      </c>
      <c r="DC111" s="7">
        <f t="shared" si="103"/>
        <v>0</v>
      </c>
      <c r="DD111" s="7">
        <f t="shared" si="104"/>
        <v>0</v>
      </c>
      <c r="DE111" s="7">
        <f t="shared" si="105"/>
        <v>0</v>
      </c>
      <c r="DF111" s="7">
        <f t="shared" si="106"/>
        <v>0</v>
      </c>
      <c r="DG111" s="7">
        <f t="shared" si="107"/>
        <v>0</v>
      </c>
      <c r="DH111" s="7">
        <f t="shared" si="108"/>
        <v>0</v>
      </c>
      <c r="DI111" s="7">
        <f t="shared" si="109"/>
        <v>0</v>
      </c>
      <c r="DJ111" s="7">
        <f t="shared" si="110"/>
        <v>0</v>
      </c>
      <c r="DK111" s="7">
        <f t="shared" si="111"/>
        <v>0</v>
      </c>
      <c r="DL111" s="7">
        <f t="shared" si="112"/>
        <v>0</v>
      </c>
      <c r="DM111" s="7">
        <f t="shared" si="113"/>
        <v>0</v>
      </c>
      <c r="DN111" s="7">
        <f t="shared" si="114"/>
        <v>0</v>
      </c>
      <c r="DO111" s="7">
        <f t="shared" si="115"/>
        <v>0</v>
      </c>
      <c r="DP111" s="7">
        <f t="shared" si="116"/>
        <v>0</v>
      </c>
      <c r="DQ111" s="7">
        <f t="shared" si="117"/>
        <v>0</v>
      </c>
      <c r="DR111" s="7">
        <f t="shared" si="118"/>
        <v>0</v>
      </c>
      <c r="DS111" s="7">
        <f t="shared" si="119"/>
        <v>0</v>
      </c>
      <c r="DT111" s="7">
        <f t="shared" si="120"/>
        <v>0</v>
      </c>
      <c r="DU111" s="7">
        <f t="shared" si="121"/>
        <v>0</v>
      </c>
    </row>
    <row r="112" spans="1:125" x14ac:dyDescent="0.2">
      <c r="A112" s="3">
        <f>Bonds!A112</f>
        <v>46996</v>
      </c>
      <c r="B112" s="4">
        <f>Bonds!B112</f>
        <v>1.125</v>
      </c>
      <c r="C112">
        <f>Bonds!P112</f>
        <v>4</v>
      </c>
      <c r="D112">
        <f t="shared" si="61"/>
        <v>1</v>
      </c>
      <c r="E112" s="3">
        <f>IF(1&gt;$C112,"",IF($D112=1,EOMONTH(EDATE(Bonds!$H112,6*(1-1)),0),EDATE(Bonds!$H112,6*(1-1))))</f>
        <v>46446</v>
      </c>
      <c r="F112" s="3">
        <f>IF(2&gt;$C112,"",IF($D112=1,EOMONTH(EDATE(Bonds!$H112,6*(2-1)),0),EDATE(Bonds!$H112,6*(2-1))))</f>
        <v>46630</v>
      </c>
      <c r="G112" s="3">
        <f>IF(3&gt;$C112,"",IF($D112=1,EOMONTH(EDATE(Bonds!$H112,6*(3-1)),0),EDATE(Bonds!$H112,6*(3-1))))</f>
        <v>46812</v>
      </c>
      <c r="H112" s="3">
        <f>IF(4&gt;$C112,"",IF($D112=1,EOMONTH(EDATE(Bonds!$H112,6*(4-1)),0),EDATE(Bonds!$H112,6*(4-1))))</f>
        <v>46996</v>
      </c>
      <c r="I112" s="3" t="str">
        <f>IF(5&gt;$C112,"",IF($D112=1,EOMONTH(EDATE(Bonds!$H112,6*(5-1)),0),EDATE(Bonds!$H112,6*(5-1))))</f>
        <v/>
      </c>
      <c r="J112" s="3" t="str">
        <f>IF(6&gt;$C112,"",IF($D112=1,EOMONTH(EDATE(Bonds!$H112,6*(6-1)),0),EDATE(Bonds!$H112,6*(6-1))))</f>
        <v/>
      </c>
      <c r="K112" s="3" t="str">
        <f>IF(7&gt;$C112,"",IF($D112=1,EOMONTH(EDATE(Bonds!$H112,6*(7-1)),0),EDATE(Bonds!$H112,6*(7-1))))</f>
        <v/>
      </c>
      <c r="L112" s="3" t="str">
        <f>IF(8&gt;$C112,"",IF($D112=1,EOMONTH(EDATE(Bonds!$H112,6*(8-1)),0),EDATE(Bonds!$H112,6*(8-1))))</f>
        <v/>
      </c>
      <c r="M112" s="3" t="str">
        <f>IF(9&gt;$C112,"",IF($D112=1,EOMONTH(EDATE(Bonds!$H112,6*(9-1)),0),EDATE(Bonds!$H112,6*(9-1))))</f>
        <v/>
      </c>
      <c r="N112" s="3" t="str">
        <f>IF(10&gt;$C112,"",IF($D112=1,EOMONTH(EDATE(Bonds!$H112,6*(10-1)),0),EDATE(Bonds!$H112,6*(10-1))))</f>
        <v/>
      </c>
      <c r="O112" s="3" t="str">
        <f>IF(11&gt;$C112,"",IF($D112=1,EOMONTH(EDATE(Bonds!$H112,6*(11-1)),0),EDATE(Bonds!$H112,6*(11-1))))</f>
        <v/>
      </c>
      <c r="P112" s="3" t="str">
        <f>IF(12&gt;$C112,"",IF($D112=1,EOMONTH(EDATE(Bonds!$H112,6*(12-1)),0),EDATE(Bonds!$H112,6*(12-1))))</f>
        <v/>
      </c>
      <c r="Q112" s="3" t="str">
        <f>IF(13&gt;$C112,"",IF($D112=1,EOMONTH(EDATE(Bonds!$H112,6*(13-1)),0),EDATE(Bonds!$H112,6*(13-1))))</f>
        <v/>
      </c>
      <c r="R112" s="3" t="str">
        <f>IF(14&gt;$C112,"",IF($D112=1,EOMONTH(EDATE(Bonds!$H112,6*(14-1)),0),EDATE(Bonds!$H112,6*(14-1))))</f>
        <v/>
      </c>
      <c r="S112" s="3" t="str">
        <f>IF(15&gt;$C112,"",IF($D112=1,EOMONTH(EDATE(Bonds!$H112,6*(15-1)),0),EDATE(Bonds!$H112,6*(15-1))))</f>
        <v/>
      </c>
      <c r="T112" s="3" t="str">
        <f>IF(16&gt;$C112,"",IF($D112=1,EOMONTH(EDATE(Bonds!$H112,6*(16-1)),0),EDATE(Bonds!$H112,6*(16-1))))</f>
        <v/>
      </c>
      <c r="U112" s="3" t="str">
        <f>IF(17&gt;$C112,"",IF($D112=1,EOMONTH(EDATE(Bonds!$H112,6*(17-1)),0),EDATE(Bonds!$H112,6*(17-1))))</f>
        <v/>
      </c>
      <c r="V112" s="3" t="str">
        <f>IF(18&gt;$C112,"",IF($D112=1,EOMONTH(EDATE(Bonds!$H112,6*(18-1)),0),EDATE(Bonds!$H112,6*(18-1))))</f>
        <v/>
      </c>
      <c r="W112" s="3" t="str">
        <f>IF(19&gt;$C112,"",IF($D112=1,EOMONTH(EDATE(Bonds!$H112,6*(19-1)),0),EDATE(Bonds!$H112,6*(19-1))))</f>
        <v/>
      </c>
      <c r="X112" s="3" t="str">
        <f>IF(20&gt;$C112,"",IF($D112=1,EOMONTH(EDATE(Bonds!$H112,6*(20-1)),0),EDATE(Bonds!$H112,6*(20-1))))</f>
        <v/>
      </c>
      <c r="Y112" s="3" t="str">
        <f>IF(21&gt;$C112,"",IF($D112=1,EOMONTH(EDATE(Bonds!$H112,6*(21-1)),0),EDATE(Bonds!$H112,6*(21-1))))</f>
        <v/>
      </c>
      <c r="Z112" s="3" t="str">
        <f>IF(22&gt;$C112,"",IF($D112=1,EOMONTH(EDATE(Bonds!$H112,6*(22-1)),0),EDATE(Bonds!$H112,6*(22-1))))</f>
        <v/>
      </c>
      <c r="AA112" s="3" t="str">
        <f>IF(23&gt;$C112,"",IF($D112=1,EOMONTH(EDATE(Bonds!$H112,6*(23-1)),0),EDATE(Bonds!$H112,6*(23-1))))</f>
        <v/>
      </c>
      <c r="AB112" s="3" t="str">
        <f>IF(24&gt;$C112,"",IF($D112=1,EOMONTH(EDATE(Bonds!$H112,6*(24-1)),0),EDATE(Bonds!$H112,6*(24-1))))</f>
        <v/>
      </c>
      <c r="AC112" s="3" t="str">
        <f>IF(25&gt;$C112,"",IF($D112=1,EOMONTH(EDATE(Bonds!$H112,6*(25-1)),0),EDATE(Bonds!$H112,6*(25-1))))</f>
        <v/>
      </c>
      <c r="AD112" s="3" t="str">
        <f>IF(26&gt;$C112,"",IF($D112=1,EOMONTH(EDATE(Bonds!$H112,6*(26-1)),0),EDATE(Bonds!$H112,6*(26-1))))</f>
        <v/>
      </c>
      <c r="AE112" s="3" t="str">
        <f>IF(27&gt;$C112,"",IF($D112=1,EOMONTH(EDATE(Bonds!$H112,6*(27-1)),0),EDATE(Bonds!$H112,6*(27-1))))</f>
        <v/>
      </c>
      <c r="AF112" s="3" t="str">
        <f>IF(28&gt;$C112,"",IF($D112=1,EOMONTH(EDATE(Bonds!$H112,6*(28-1)),0),EDATE(Bonds!$H112,6*(28-1))))</f>
        <v/>
      </c>
      <c r="AG112" s="3" t="str">
        <f>IF(29&gt;$C112,"",IF($D112=1,EOMONTH(EDATE(Bonds!$H112,6*(29-1)),0),EDATE(Bonds!$H112,6*(29-1))))</f>
        <v/>
      </c>
      <c r="AH112" s="3" t="str">
        <f>IF(30&gt;$C112,"",IF($D112=1,EOMONTH(EDATE(Bonds!$H112,6*(30-1)),0),EDATE(Bonds!$H112,6*(30-1))))</f>
        <v/>
      </c>
      <c r="AI112" s="3" t="str">
        <f>IF(31&gt;$C112,"",IF($D112=1,EOMONTH(EDATE(Bonds!$H112,6*(31-1)),0),EDATE(Bonds!$H112,6*(31-1))))</f>
        <v/>
      </c>
      <c r="AJ112" s="3" t="str">
        <f>IF(32&gt;$C112,"",IF($D112=1,EOMONTH(EDATE(Bonds!$H112,6*(32-1)),0),EDATE(Bonds!$H112,6*(32-1))))</f>
        <v/>
      </c>
      <c r="AK112" s="3" t="str">
        <f>IF(33&gt;$C112,"",IF($D112=1,EOMONTH(EDATE(Bonds!$H112,6*(33-1)),0),EDATE(Bonds!$H112,6*(33-1))))</f>
        <v/>
      </c>
      <c r="AL112" s="3" t="str">
        <f>IF(34&gt;$C112,"",IF($D112=1,EOMONTH(EDATE(Bonds!$H112,6*(34-1)),0),EDATE(Bonds!$H112,6*(34-1))))</f>
        <v/>
      </c>
      <c r="AM112" s="3" t="str">
        <f>IF(35&gt;$C112,"",IF($D112=1,EOMONTH(EDATE(Bonds!$H112,6*(35-1)),0),EDATE(Bonds!$H112,6*(35-1))))</f>
        <v/>
      </c>
      <c r="AN112" s="3" t="str">
        <f>IF(36&gt;$C112,"",IF($D112=1,EOMONTH(EDATE(Bonds!$H112,6*(36-1)),0),EDATE(Bonds!$H112,6*(36-1))))</f>
        <v/>
      </c>
      <c r="AO112" s="3" t="str">
        <f>IF(37&gt;$C112,"",IF($D112=1,EOMONTH(EDATE(Bonds!$H112,6*(37-1)),0),EDATE(Bonds!$H112,6*(37-1))))</f>
        <v/>
      </c>
      <c r="AP112" s="3" t="str">
        <f>IF(38&gt;$C112,"",IF($D112=1,EOMONTH(EDATE(Bonds!$H112,6*(38-1)),0),EDATE(Bonds!$H112,6*(38-1))))</f>
        <v/>
      </c>
      <c r="AQ112" s="3" t="str">
        <f>IF(39&gt;$C112,"",IF($D112=1,EOMONTH(EDATE(Bonds!$H112,6*(39-1)),0),EDATE(Bonds!$H112,6*(39-1))))</f>
        <v/>
      </c>
      <c r="AR112" s="3" t="str">
        <f>IF(40&gt;$C112,"",IF($D112=1,EOMONTH(EDATE(Bonds!$H112,6*(40-1)),0),EDATE(Bonds!$H112,6*(40-1))))</f>
        <v/>
      </c>
      <c r="AS112" s="3" t="str">
        <f>IF(41&gt;$C112,"",IF($D112=1,EOMONTH(EDATE(Bonds!$H112,6*(41-1)),0),EDATE(Bonds!$H112,6*(41-1))))</f>
        <v/>
      </c>
      <c r="AT112" s="3" t="str">
        <f>IF(42&gt;$C112,"",IF($D112=1,EOMONTH(EDATE(Bonds!$H112,6*(42-1)),0),EDATE(Bonds!$H112,6*(42-1))))</f>
        <v/>
      </c>
      <c r="AU112" s="3" t="str">
        <f>IF(43&gt;$C112,"",IF($D112=1,EOMONTH(EDATE(Bonds!$H112,6*(43-1)),0),EDATE(Bonds!$H112,6*(43-1))))</f>
        <v/>
      </c>
      <c r="AV112" s="3" t="str">
        <f>IF(44&gt;$C112,"",IF($D112=1,EOMONTH(EDATE(Bonds!$H112,6*(44-1)),0),EDATE(Bonds!$H112,6*(44-1))))</f>
        <v/>
      </c>
      <c r="AW112" s="3" t="str">
        <f>IF(45&gt;$C112,"",IF($D112=1,EOMONTH(EDATE(Bonds!$H112,6*(45-1)),0),EDATE(Bonds!$H112,6*(45-1))))</f>
        <v/>
      </c>
      <c r="AX112" s="3" t="str">
        <f>IF(46&gt;$C112,"",IF($D112=1,EOMONTH(EDATE(Bonds!$H112,6*(46-1)),0),EDATE(Bonds!$H112,6*(46-1))))</f>
        <v/>
      </c>
      <c r="AY112" s="3" t="str">
        <f>IF(47&gt;$C112,"",IF($D112=1,EOMONTH(EDATE(Bonds!$H112,6*(47-1)),0),EDATE(Bonds!$H112,6*(47-1))))</f>
        <v/>
      </c>
      <c r="AZ112" s="3" t="str">
        <f>IF(48&gt;$C112,"",IF($D112=1,EOMONTH(EDATE(Bonds!$H112,6*(48-1)),0),EDATE(Bonds!$H112,6*(48-1))))</f>
        <v/>
      </c>
      <c r="BA112" s="3" t="str">
        <f>IF(49&gt;$C112,"",IF($D112=1,EOMONTH(EDATE(Bonds!$H112,6*(49-1)),0),EDATE(Bonds!$H112,6*(49-1))))</f>
        <v/>
      </c>
      <c r="BB112" s="3" t="str">
        <f>IF(50&gt;$C112,"",IF($D112=1,EOMONTH(EDATE(Bonds!$H112,6*(50-1)),0),EDATE(Bonds!$H112,6*(50-1))))</f>
        <v/>
      </c>
      <c r="BC112" s="3" t="str">
        <f>IF(51&gt;$C112,"",IF($D112=1,EOMONTH(EDATE(Bonds!$H112,6*(51-1)),0),EDATE(Bonds!$H112,6*(51-1))))</f>
        <v/>
      </c>
      <c r="BD112" s="3" t="str">
        <f>IF(52&gt;$C112,"",IF($D112=1,EOMONTH(EDATE(Bonds!$H112,6*(52-1)),0),EDATE(Bonds!$H112,6*(52-1))))</f>
        <v/>
      </c>
      <c r="BE112" s="3" t="str">
        <f>IF(53&gt;$C112,"",IF($D112=1,EOMONTH(EDATE(Bonds!$H112,6*(53-1)),0),EDATE(Bonds!$H112,6*(53-1))))</f>
        <v/>
      </c>
      <c r="BF112" s="3" t="str">
        <f>IF(54&gt;$C112,"",IF($D112=1,EOMONTH(EDATE(Bonds!$H112,6*(54-1)),0),EDATE(Bonds!$H112,6*(54-1))))</f>
        <v/>
      </c>
      <c r="BG112" s="3" t="str">
        <f>IF(55&gt;$C112,"",IF($D112=1,EOMONTH(EDATE(Bonds!$H112,6*(55-1)),0),EDATE(Bonds!$H112,6*(55-1))))</f>
        <v/>
      </c>
      <c r="BH112" s="3" t="str">
        <f>IF(56&gt;$C112,"",IF($D112=1,EOMONTH(EDATE(Bonds!$H112,6*(56-1)),0),EDATE(Bonds!$H112,6*(56-1))))</f>
        <v/>
      </c>
      <c r="BI112" s="3" t="str">
        <f>IF(57&gt;$C112,"",IF($D112=1,EOMONTH(EDATE(Bonds!$H112,6*(57-1)),0),EDATE(Bonds!$H112,6*(57-1))))</f>
        <v/>
      </c>
      <c r="BJ112" s="3" t="str">
        <f>IF(58&gt;$C112,"",IF($D112=1,EOMONTH(EDATE(Bonds!$H112,6*(58-1)),0),EDATE(Bonds!$H112,6*(58-1))))</f>
        <v/>
      </c>
      <c r="BK112" s="3" t="str">
        <f>IF(59&gt;$C112,"",IF($D112=1,EOMONTH(EDATE(Bonds!$H112,6*(59-1)),0),EDATE(Bonds!$H112,6*(59-1))))</f>
        <v/>
      </c>
      <c r="BL112" s="3" t="str">
        <f>IF(60&gt;$C112,"",IF($D112=1,EOMONTH(EDATE(Bonds!$H112,6*(60-1)),0),EDATE(Bonds!$H112,6*(60-1))))</f>
        <v/>
      </c>
      <c r="BN112" s="7">
        <f t="shared" si="62"/>
        <v>0.55214413034579324</v>
      </c>
      <c r="BO112" s="7">
        <f t="shared" si="63"/>
        <v>0.540253151883063</v>
      </c>
      <c r="BP112" s="7">
        <f t="shared" si="64"/>
        <v>0.52823900347669994</v>
      </c>
      <c r="BQ112" s="7">
        <f t="shared" si="65"/>
        <v>92.282179912731124</v>
      </c>
      <c r="BR112" s="7">
        <f t="shared" si="66"/>
        <v>0</v>
      </c>
      <c r="BS112" s="7">
        <f t="shared" si="67"/>
        <v>0</v>
      </c>
      <c r="BT112" s="7">
        <f t="shared" si="68"/>
        <v>0</v>
      </c>
      <c r="BU112" s="7">
        <f t="shared" si="69"/>
        <v>0</v>
      </c>
      <c r="BV112" s="7">
        <f t="shared" si="70"/>
        <v>0</v>
      </c>
      <c r="BW112" s="7">
        <f t="shared" si="71"/>
        <v>0</v>
      </c>
      <c r="BX112" s="7">
        <f t="shared" si="72"/>
        <v>0</v>
      </c>
      <c r="BY112" s="7">
        <f t="shared" si="73"/>
        <v>0</v>
      </c>
      <c r="BZ112" s="7">
        <f t="shared" si="74"/>
        <v>0</v>
      </c>
      <c r="CA112" s="7">
        <f t="shared" si="75"/>
        <v>0</v>
      </c>
      <c r="CB112" s="7">
        <f t="shared" si="76"/>
        <v>0</v>
      </c>
      <c r="CC112" s="7">
        <f t="shared" si="77"/>
        <v>0</v>
      </c>
      <c r="CD112" s="7">
        <f t="shared" si="78"/>
        <v>0</v>
      </c>
      <c r="CE112" s="7">
        <f t="shared" si="79"/>
        <v>0</v>
      </c>
      <c r="CF112" s="7">
        <f t="shared" si="80"/>
        <v>0</v>
      </c>
      <c r="CG112" s="7">
        <f t="shared" si="81"/>
        <v>0</v>
      </c>
      <c r="CH112" s="7">
        <f t="shared" si="82"/>
        <v>0</v>
      </c>
      <c r="CI112" s="7">
        <f t="shared" si="83"/>
        <v>0</v>
      </c>
      <c r="CJ112" s="7">
        <f t="shared" si="84"/>
        <v>0</v>
      </c>
      <c r="CK112" s="7">
        <f t="shared" si="85"/>
        <v>0</v>
      </c>
      <c r="CL112" s="7">
        <f t="shared" si="86"/>
        <v>0</v>
      </c>
      <c r="CM112" s="7">
        <f t="shared" si="87"/>
        <v>0</v>
      </c>
      <c r="CN112" s="7">
        <f t="shared" si="88"/>
        <v>0</v>
      </c>
      <c r="CO112" s="7">
        <f t="shared" si="89"/>
        <v>0</v>
      </c>
      <c r="CP112" s="7">
        <f t="shared" si="90"/>
        <v>0</v>
      </c>
      <c r="CQ112" s="7">
        <f t="shared" si="91"/>
        <v>0</v>
      </c>
      <c r="CR112" s="7">
        <f t="shared" si="92"/>
        <v>0</v>
      </c>
      <c r="CS112" s="7">
        <f t="shared" si="93"/>
        <v>0</v>
      </c>
      <c r="CT112" s="7">
        <f t="shared" si="94"/>
        <v>0</v>
      </c>
      <c r="CU112" s="7">
        <f t="shared" si="95"/>
        <v>0</v>
      </c>
      <c r="CV112" s="7">
        <f t="shared" si="96"/>
        <v>0</v>
      </c>
      <c r="CW112" s="7">
        <f t="shared" si="97"/>
        <v>0</v>
      </c>
      <c r="CX112" s="7">
        <f t="shared" si="98"/>
        <v>0</v>
      </c>
      <c r="CY112" s="7">
        <f t="shared" si="99"/>
        <v>0</v>
      </c>
      <c r="CZ112" s="7">
        <f t="shared" si="100"/>
        <v>0</v>
      </c>
      <c r="DA112" s="7">
        <f t="shared" si="101"/>
        <v>0</v>
      </c>
      <c r="DB112" s="7">
        <f t="shared" si="102"/>
        <v>0</v>
      </c>
      <c r="DC112" s="7">
        <f t="shared" si="103"/>
        <v>0</v>
      </c>
      <c r="DD112" s="7">
        <f t="shared" si="104"/>
        <v>0</v>
      </c>
      <c r="DE112" s="7">
        <f t="shared" si="105"/>
        <v>0</v>
      </c>
      <c r="DF112" s="7">
        <f t="shared" si="106"/>
        <v>0</v>
      </c>
      <c r="DG112" s="7">
        <f t="shared" si="107"/>
        <v>0</v>
      </c>
      <c r="DH112" s="7">
        <f t="shared" si="108"/>
        <v>0</v>
      </c>
      <c r="DI112" s="7">
        <f t="shared" si="109"/>
        <v>0</v>
      </c>
      <c r="DJ112" s="7">
        <f t="shared" si="110"/>
        <v>0</v>
      </c>
      <c r="DK112" s="7">
        <f t="shared" si="111"/>
        <v>0</v>
      </c>
      <c r="DL112" s="7">
        <f t="shared" si="112"/>
        <v>0</v>
      </c>
      <c r="DM112" s="7">
        <f t="shared" si="113"/>
        <v>0</v>
      </c>
      <c r="DN112" s="7">
        <f t="shared" si="114"/>
        <v>0</v>
      </c>
      <c r="DO112" s="7">
        <f t="shared" si="115"/>
        <v>0</v>
      </c>
      <c r="DP112" s="7">
        <f t="shared" si="116"/>
        <v>0</v>
      </c>
      <c r="DQ112" s="7">
        <f t="shared" si="117"/>
        <v>0</v>
      </c>
      <c r="DR112" s="7">
        <f t="shared" si="118"/>
        <v>0</v>
      </c>
      <c r="DS112" s="7">
        <f t="shared" si="119"/>
        <v>0</v>
      </c>
      <c r="DT112" s="7">
        <f t="shared" si="120"/>
        <v>0</v>
      </c>
      <c r="DU112" s="7">
        <f t="shared" si="121"/>
        <v>0</v>
      </c>
    </row>
    <row r="113" spans="1:125" x14ac:dyDescent="0.2">
      <c r="A113" s="3">
        <f>Bonds!A113</f>
        <v>46996</v>
      </c>
      <c r="B113" s="4">
        <f>Bonds!B113</f>
        <v>4.125</v>
      </c>
      <c r="C113">
        <f>Bonds!P113</f>
        <v>4</v>
      </c>
      <c r="D113">
        <f t="shared" si="61"/>
        <v>1</v>
      </c>
      <c r="E113" s="3">
        <f>IF(1&gt;$C113,"",IF($D113=1,EOMONTH(EDATE(Bonds!$H113,6*(1-1)),0),EDATE(Bonds!$H113,6*(1-1))))</f>
        <v>46446</v>
      </c>
      <c r="F113" s="3">
        <f>IF(2&gt;$C113,"",IF($D113=1,EOMONTH(EDATE(Bonds!$H113,6*(2-1)),0),EDATE(Bonds!$H113,6*(2-1))))</f>
        <v>46630</v>
      </c>
      <c r="G113" s="3">
        <f>IF(3&gt;$C113,"",IF($D113=1,EOMONTH(EDATE(Bonds!$H113,6*(3-1)),0),EDATE(Bonds!$H113,6*(3-1))))</f>
        <v>46812</v>
      </c>
      <c r="H113" s="3">
        <f>IF(4&gt;$C113,"",IF($D113=1,EOMONTH(EDATE(Bonds!$H113,6*(4-1)),0),EDATE(Bonds!$H113,6*(4-1))))</f>
        <v>46996</v>
      </c>
      <c r="I113" s="3" t="str">
        <f>IF(5&gt;$C113,"",IF($D113=1,EOMONTH(EDATE(Bonds!$H113,6*(5-1)),0),EDATE(Bonds!$H113,6*(5-1))))</f>
        <v/>
      </c>
      <c r="J113" s="3" t="str">
        <f>IF(6&gt;$C113,"",IF($D113=1,EOMONTH(EDATE(Bonds!$H113,6*(6-1)),0),EDATE(Bonds!$H113,6*(6-1))))</f>
        <v/>
      </c>
      <c r="K113" s="3" t="str">
        <f>IF(7&gt;$C113,"",IF($D113=1,EOMONTH(EDATE(Bonds!$H113,6*(7-1)),0),EDATE(Bonds!$H113,6*(7-1))))</f>
        <v/>
      </c>
      <c r="L113" s="3" t="str">
        <f>IF(8&gt;$C113,"",IF($D113=1,EOMONTH(EDATE(Bonds!$H113,6*(8-1)),0),EDATE(Bonds!$H113,6*(8-1))))</f>
        <v/>
      </c>
      <c r="M113" s="3" t="str">
        <f>IF(9&gt;$C113,"",IF($D113=1,EOMONTH(EDATE(Bonds!$H113,6*(9-1)),0),EDATE(Bonds!$H113,6*(9-1))))</f>
        <v/>
      </c>
      <c r="N113" s="3" t="str">
        <f>IF(10&gt;$C113,"",IF($D113=1,EOMONTH(EDATE(Bonds!$H113,6*(10-1)),0),EDATE(Bonds!$H113,6*(10-1))))</f>
        <v/>
      </c>
      <c r="O113" s="3" t="str">
        <f>IF(11&gt;$C113,"",IF($D113=1,EOMONTH(EDATE(Bonds!$H113,6*(11-1)),0),EDATE(Bonds!$H113,6*(11-1))))</f>
        <v/>
      </c>
      <c r="P113" s="3" t="str">
        <f>IF(12&gt;$C113,"",IF($D113=1,EOMONTH(EDATE(Bonds!$H113,6*(12-1)),0),EDATE(Bonds!$H113,6*(12-1))))</f>
        <v/>
      </c>
      <c r="Q113" s="3" t="str">
        <f>IF(13&gt;$C113,"",IF($D113=1,EOMONTH(EDATE(Bonds!$H113,6*(13-1)),0),EDATE(Bonds!$H113,6*(13-1))))</f>
        <v/>
      </c>
      <c r="R113" s="3" t="str">
        <f>IF(14&gt;$C113,"",IF($D113=1,EOMONTH(EDATE(Bonds!$H113,6*(14-1)),0),EDATE(Bonds!$H113,6*(14-1))))</f>
        <v/>
      </c>
      <c r="S113" s="3" t="str">
        <f>IF(15&gt;$C113,"",IF($D113=1,EOMONTH(EDATE(Bonds!$H113,6*(15-1)),0),EDATE(Bonds!$H113,6*(15-1))))</f>
        <v/>
      </c>
      <c r="T113" s="3" t="str">
        <f>IF(16&gt;$C113,"",IF($D113=1,EOMONTH(EDATE(Bonds!$H113,6*(16-1)),0),EDATE(Bonds!$H113,6*(16-1))))</f>
        <v/>
      </c>
      <c r="U113" s="3" t="str">
        <f>IF(17&gt;$C113,"",IF($D113=1,EOMONTH(EDATE(Bonds!$H113,6*(17-1)),0),EDATE(Bonds!$H113,6*(17-1))))</f>
        <v/>
      </c>
      <c r="V113" s="3" t="str">
        <f>IF(18&gt;$C113,"",IF($D113=1,EOMONTH(EDATE(Bonds!$H113,6*(18-1)),0),EDATE(Bonds!$H113,6*(18-1))))</f>
        <v/>
      </c>
      <c r="W113" s="3" t="str">
        <f>IF(19&gt;$C113,"",IF($D113=1,EOMONTH(EDATE(Bonds!$H113,6*(19-1)),0),EDATE(Bonds!$H113,6*(19-1))))</f>
        <v/>
      </c>
      <c r="X113" s="3" t="str">
        <f>IF(20&gt;$C113,"",IF($D113=1,EOMONTH(EDATE(Bonds!$H113,6*(20-1)),0),EDATE(Bonds!$H113,6*(20-1))))</f>
        <v/>
      </c>
      <c r="Y113" s="3" t="str">
        <f>IF(21&gt;$C113,"",IF($D113=1,EOMONTH(EDATE(Bonds!$H113,6*(21-1)),0),EDATE(Bonds!$H113,6*(21-1))))</f>
        <v/>
      </c>
      <c r="Z113" s="3" t="str">
        <f>IF(22&gt;$C113,"",IF($D113=1,EOMONTH(EDATE(Bonds!$H113,6*(22-1)),0),EDATE(Bonds!$H113,6*(22-1))))</f>
        <v/>
      </c>
      <c r="AA113" s="3" t="str">
        <f>IF(23&gt;$C113,"",IF($D113=1,EOMONTH(EDATE(Bonds!$H113,6*(23-1)),0),EDATE(Bonds!$H113,6*(23-1))))</f>
        <v/>
      </c>
      <c r="AB113" s="3" t="str">
        <f>IF(24&gt;$C113,"",IF($D113=1,EOMONTH(EDATE(Bonds!$H113,6*(24-1)),0),EDATE(Bonds!$H113,6*(24-1))))</f>
        <v/>
      </c>
      <c r="AC113" s="3" t="str">
        <f>IF(25&gt;$C113,"",IF($D113=1,EOMONTH(EDATE(Bonds!$H113,6*(25-1)),0),EDATE(Bonds!$H113,6*(25-1))))</f>
        <v/>
      </c>
      <c r="AD113" s="3" t="str">
        <f>IF(26&gt;$C113,"",IF($D113=1,EOMONTH(EDATE(Bonds!$H113,6*(26-1)),0),EDATE(Bonds!$H113,6*(26-1))))</f>
        <v/>
      </c>
      <c r="AE113" s="3" t="str">
        <f>IF(27&gt;$C113,"",IF($D113=1,EOMONTH(EDATE(Bonds!$H113,6*(27-1)),0),EDATE(Bonds!$H113,6*(27-1))))</f>
        <v/>
      </c>
      <c r="AF113" s="3" t="str">
        <f>IF(28&gt;$C113,"",IF($D113=1,EOMONTH(EDATE(Bonds!$H113,6*(28-1)),0),EDATE(Bonds!$H113,6*(28-1))))</f>
        <v/>
      </c>
      <c r="AG113" s="3" t="str">
        <f>IF(29&gt;$C113,"",IF($D113=1,EOMONTH(EDATE(Bonds!$H113,6*(29-1)),0),EDATE(Bonds!$H113,6*(29-1))))</f>
        <v/>
      </c>
      <c r="AH113" s="3" t="str">
        <f>IF(30&gt;$C113,"",IF($D113=1,EOMONTH(EDATE(Bonds!$H113,6*(30-1)),0),EDATE(Bonds!$H113,6*(30-1))))</f>
        <v/>
      </c>
      <c r="AI113" s="3" t="str">
        <f>IF(31&gt;$C113,"",IF($D113=1,EOMONTH(EDATE(Bonds!$H113,6*(31-1)),0),EDATE(Bonds!$H113,6*(31-1))))</f>
        <v/>
      </c>
      <c r="AJ113" s="3" t="str">
        <f>IF(32&gt;$C113,"",IF($D113=1,EOMONTH(EDATE(Bonds!$H113,6*(32-1)),0),EDATE(Bonds!$H113,6*(32-1))))</f>
        <v/>
      </c>
      <c r="AK113" s="3" t="str">
        <f>IF(33&gt;$C113,"",IF($D113=1,EOMONTH(EDATE(Bonds!$H113,6*(33-1)),0),EDATE(Bonds!$H113,6*(33-1))))</f>
        <v/>
      </c>
      <c r="AL113" s="3" t="str">
        <f>IF(34&gt;$C113,"",IF($D113=1,EOMONTH(EDATE(Bonds!$H113,6*(34-1)),0),EDATE(Bonds!$H113,6*(34-1))))</f>
        <v/>
      </c>
      <c r="AM113" s="3" t="str">
        <f>IF(35&gt;$C113,"",IF($D113=1,EOMONTH(EDATE(Bonds!$H113,6*(35-1)),0),EDATE(Bonds!$H113,6*(35-1))))</f>
        <v/>
      </c>
      <c r="AN113" s="3" t="str">
        <f>IF(36&gt;$C113,"",IF($D113=1,EOMONTH(EDATE(Bonds!$H113,6*(36-1)),0),EDATE(Bonds!$H113,6*(36-1))))</f>
        <v/>
      </c>
      <c r="AO113" s="3" t="str">
        <f>IF(37&gt;$C113,"",IF($D113=1,EOMONTH(EDATE(Bonds!$H113,6*(37-1)),0),EDATE(Bonds!$H113,6*(37-1))))</f>
        <v/>
      </c>
      <c r="AP113" s="3" t="str">
        <f>IF(38&gt;$C113,"",IF($D113=1,EOMONTH(EDATE(Bonds!$H113,6*(38-1)),0),EDATE(Bonds!$H113,6*(38-1))))</f>
        <v/>
      </c>
      <c r="AQ113" s="3" t="str">
        <f>IF(39&gt;$C113,"",IF($D113=1,EOMONTH(EDATE(Bonds!$H113,6*(39-1)),0),EDATE(Bonds!$H113,6*(39-1))))</f>
        <v/>
      </c>
      <c r="AR113" s="3" t="str">
        <f>IF(40&gt;$C113,"",IF($D113=1,EOMONTH(EDATE(Bonds!$H113,6*(40-1)),0),EDATE(Bonds!$H113,6*(40-1))))</f>
        <v/>
      </c>
      <c r="AS113" s="3" t="str">
        <f>IF(41&gt;$C113,"",IF($D113=1,EOMONTH(EDATE(Bonds!$H113,6*(41-1)),0),EDATE(Bonds!$H113,6*(41-1))))</f>
        <v/>
      </c>
      <c r="AT113" s="3" t="str">
        <f>IF(42&gt;$C113,"",IF($D113=1,EOMONTH(EDATE(Bonds!$H113,6*(42-1)),0),EDATE(Bonds!$H113,6*(42-1))))</f>
        <v/>
      </c>
      <c r="AU113" s="3" t="str">
        <f>IF(43&gt;$C113,"",IF($D113=1,EOMONTH(EDATE(Bonds!$H113,6*(43-1)),0),EDATE(Bonds!$H113,6*(43-1))))</f>
        <v/>
      </c>
      <c r="AV113" s="3" t="str">
        <f>IF(44&gt;$C113,"",IF($D113=1,EOMONTH(EDATE(Bonds!$H113,6*(44-1)),0),EDATE(Bonds!$H113,6*(44-1))))</f>
        <v/>
      </c>
      <c r="AW113" s="3" t="str">
        <f>IF(45&gt;$C113,"",IF($D113=1,EOMONTH(EDATE(Bonds!$H113,6*(45-1)),0),EDATE(Bonds!$H113,6*(45-1))))</f>
        <v/>
      </c>
      <c r="AX113" s="3" t="str">
        <f>IF(46&gt;$C113,"",IF($D113=1,EOMONTH(EDATE(Bonds!$H113,6*(46-1)),0),EDATE(Bonds!$H113,6*(46-1))))</f>
        <v/>
      </c>
      <c r="AY113" s="3" t="str">
        <f>IF(47&gt;$C113,"",IF($D113=1,EOMONTH(EDATE(Bonds!$H113,6*(47-1)),0),EDATE(Bonds!$H113,6*(47-1))))</f>
        <v/>
      </c>
      <c r="AZ113" s="3" t="str">
        <f>IF(48&gt;$C113,"",IF($D113=1,EOMONTH(EDATE(Bonds!$H113,6*(48-1)),0),EDATE(Bonds!$H113,6*(48-1))))</f>
        <v/>
      </c>
      <c r="BA113" s="3" t="str">
        <f>IF(49&gt;$C113,"",IF($D113=1,EOMONTH(EDATE(Bonds!$H113,6*(49-1)),0),EDATE(Bonds!$H113,6*(49-1))))</f>
        <v/>
      </c>
      <c r="BB113" s="3" t="str">
        <f>IF(50&gt;$C113,"",IF($D113=1,EOMONTH(EDATE(Bonds!$H113,6*(50-1)),0),EDATE(Bonds!$H113,6*(50-1))))</f>
        <v/>
      </c>
      <c r="BC113" s="3" t="str">
        <f>IF(51&gt;$C113,"",IF($D113=1,EOMONTH(EDATE(Bonds!$H113,6*(51-1)),0),EDATE(Bonds!$H113,6*(51-1))))</f>
        <v/>
      </c>
      <c r="BD113" s="3" t="str">
        <f>IF(52&gt;$C113,"",IF($D113=1,EOMONTH(EDATE(Bonds!$H113,6*(52-1)),0),EDATE(Bonds!$H113,6*(52-1))))</f>
        <v/>
      </c>
      <c r="BE113" s="3" t="str">
        <f>IF(53&gt;$C113,"",IF($D113=1,EOMONTH(EDATE(Bonds!$H113,6*(53-1)),0),EDATE(Bonds!$H113,6*(53-1))))</f>
        <v/>
      </c>
      <c r="BF113" s="3" t="str">
        <f>IF(54&gt;$C113,"",IF($D113=1,EOMONTH(EDATE(Bonds!$H113,6*(54-1)),0),EDATE(Bonds!$H113,6*(54-1))))</f>
        <v/>
      </c>
      <c r="BG113" s="3" t="str">
        <f>IF(55&gt;$C113,"",IF($D113=1,EOMONTH(EDATE(Bonds!$H113,6*(55-1)),0),EDATE(Bonds!$H113,6*(55-1))))</f>
        <v/>
      </c>
      <c r="BH113" s="3" t="str">
        <f>IF(56&gt;$C113,"",IF($D113=1,EOMONTH(EDATE(Bonds!$H113,6*(56-1)),0),EDATE(Bonds!$H113,6*(56-1))))</f>
        <v/>
      </c>
      <c r="BI113" s="3" t="str">
        <f>IF(57&gt;$C113,"",IF($D113=1,EOMONTH(EDATE(Bonds!$H113,6*(57-1)),0),EDATE(Bonds!$H113,6*(57-1))))</f>
        <v/>
      </c>
      <c r="BJ113" s="3" t="str">
        <f>IF(58&gt;$C113,"",IF($D113=1,EOMONTH(EDATE(Bonds!$H113,6*(58-1)),0),EDATE(Bonds!$H113,6*(58-1))))</f>
        <v/>
      </c>
      <c r="BK113" s="3" t="str">
        <f>IF(59&gt;$C113,"",IF($D113=1,EOMONTH(EDATE(Bonds!$H113,6*(59-1)),0),EDATE(Bonds!$H113,6*(59-1))))</f>
        <v/>
      </c>
      <c r="BL113" s="3" t="str">
        <f>IF(60&gt;$C113,"",IF($D113=1,EOMONTH(EDATE(Bonds!$H113,6*(60-1)),0),EDATE(Bonds!$H113,6*(60-1))))</f>
        <v/>
      </c>
      <c r="BN113" s="7">
        <f t="shared" si="62"/>
        <v>2.0245284779345751</v>
      </c>
      <c r="BO113" s="7">
        <f t="shared" si="63"/>
        <v>1.9809282235712309</v>
      </c>
      <c r="BP113" s="7">
        <f t="shared" si="64"/>
        <v>1.936876346081233</v>
      </c>
      <c r="BQ113" s="7">
        <f t="shared" si="65"/>
        <v>93.658669855494054</v>
      </c>
      <c r="BR113" s="7">
        <f t="shared" si="66"/>
        <v>0</v>
      </c>
      <c r="BS113" s="7">
        <f t="shared" si="67"/>
        <v>0</v>
      </c>
      <c r="BT113" s="7">
        <f t="shared" si="68"/>
        <v>0</v>
      </c>
      <c r="BU113" s="7">
        <f t="shared" si="69"/>
        <v>0</v>
      </c>
      <c r="BV113" s="7">
        <f t="shared" si="70"/>
        <v>0</v>
      </c>
      <c r="BW113" s="7">
        <f t="shared" si="71"/>
        <v>0</v>
      </c>
      <c r="BX113" s="7">
        <f t="shared" si="72"/>
        <v>0</v>
      </c>
      <c r="BY113" s="7">
        <f t="shared" si="73"/>
        <v>0</v>
      </c>
      <c r="BZ113" s="7">
        <f t="shared" si="74"/>
        <v>0</v>
      </c>
      <c r="CA113" s="7">
        <f t="shared" si="75"/>
        <v>0</v>
      </c>
      <c r="CB113" s="7">
        <f t="shared" si="76"/>
        <v>0</v>
      </c>
      <c r="CC113" s="7">
        <f t="shared" si="77"/>
        <v>0</v>
      </c>
      <c r="CD113" s="7">
        <f t="shared" si="78"/>
        <v>0</v>
      </c>
      <c r="CE113" s="7">
        <f t="shared" si="79"/>
        <v>0</v>
      </c>
      <c r="CF113" s="7">
        <f t="shared" si="80"/>
        <v>0</v>
      </c>
      <c r="CG113" s="7">
        <f t="shared" si="81"/>
        <v>0</v>
      </c>
      <c r="CH113" s="7">
        <f t="shared" si="82"/>
        <v>0</v>
      </c>
      <c r="CI113" s="7">
        <f t="shared" si="83"/>
        <v>0</v>
      </c>
      <c r="CJ113" s="7">
        <f t="shared" si="84"/>
        <v>0</v>
      </c>
      <c r="CK113" s="7">
        <f t="shared" si="85"/>
        <v>0</v>
      </c>
      <c r="CL113" s="7">
        <f t="shared" si="86"/>
        <v>0</v>
      </c>
      <c r="CM113" s="7">
        <f t="shared" si="87"/>
        <v>0</v>
      </c>
      <c r="CN113" s="7">
        <f t="shared" si="88"/>
        <v>0</v>
      </c>
      <c r="CO113" s="7">
        <f t="shared" si="89"/>
        <v>0</v>
      </c>
      <c r="CP113" s="7">
        <f t="shared" si="90"/>
        <v>0</v>
      </c>
      <c r="CQ113" s="7">
        <f t="shared" si="91"/>
        <v>0</v>
      </c>
      <c r="CR113" s="7">
        <f t="shared" si="92"/>
        <v>0</v>
      </c>
      <c r="CS113" s="7">
        <f t="shared" si="93"/>
        <v>0</v>
      </c>
      <c r="CT113" s="7">
        <f t="shared" si="94"/>
        <v>0</v>
      </c>
      <c r="CU113" s="7">
        <f t="shared" si="95"/>
        <v>0</v>
      </c>
      <c r="CV113" s="7">
        <f t="shared" si="96"/>
        <v>0</v>
      </c>
      <c r="CW113" s="7">
        <f t="shared" si="97"/>
        <v>0</v>
      </c>
      <c r="CX113" s="7">
        <f t="shared" si="98"/>
        <v>0</v>
      </c>
      <c r="CY113" s="7">
        <f t="shared" si="99"/>
        <v>0</v>
      </c>
      <c r="CZ113" s="7">
        <f t="shared" si="100"/>
        <v>0</v>
      </c>
      <c r="DA113" s="7">
        <f t="shared" si="101"/>
        <v>0</v>
      </c>
      <c r="DB113" s="7">
        <f t="shared" si="102"/>
        <v>0</v>
      </c>
      <c r="DC113" s="7">
        <f t="shared" si="103"/>
        <v>0</v>
      </c>
      <c r="DD113" s="7">
        <f t="shared" si="104"/>
        <v>0</v>
      </c>
      <c r="DE113" s="7">
        <f t="shared" si="105"/>
        <v>0</v>
      </c>
      <c r="DF113" s="7">
        <f t="shared" si="106"/>
        <v>0</v>
      </c>
      <c r="DG113" s="7">
        <f t="shared" si="107"/>
        <v>0</v>
      </c>
      <c r="DH113" s="7">
        <f t="shared" si="108"/>
        <v>0</v>
      </c>
      <c r="DI113" s="7">
        <f t="shared" si="109"/>
        <v>0</v>
      </c>
      <c r="DJ113" s="7">
        <f t="shared" si="110"/>
        <v>0</v>
      </c>
      <c r="DK113" s="7">
        <f t="shared" si="111"/>
        <v>0</v>
      </c>
      <c r="DL113" s="7">
        <f t="shared" si="112"/>
        <v>0</v>
      </c>
      <c r="DM113" s="7">
        <f t="shared" si="113"/>
        <v>0</v>
      </c>
      <c r="DN113" s="7">
        <f t="shared" si="114"/>
        <v>0</v>
      </c>
      <c r="DO113" s="7">
        <f t="shared" si="115"/>
        <v>0</v>
      </c>
      <c r="DP113" s="7">
        <f t="shared" si="116"/>
        <v>0</v>
      </c>
      <c r="DQ113" s="7">
        <f t="shared" si="117"/>
        <v>0</v>
      </c>
      <c r="DR113" s="7">
        <f t="shared" si="118"/>
        <v>0</v>
      </c>
      <c r="DS113" s="7">
        <f t="shared" si="119"/>
        <v>0</v>
      </c>
      <c r="DT113" s="7">
        <f t="shared" si="120"/>
        <v>0</v>
      </c>
      <c r="DU113" s="7">
        <f t="shared" si="121"/>
        <v>0</v>
      </c>
    </row>
    <row r="114" spans="1:125" x14ac:dyDescent="0.2">
      <c r="A114" s="3">
        <f>Bonds!A114</f>
        <v>46996</v>
      </c>
      <c r="B114" s="4">
        <f>Bonds!B114</f>
        <v>4.375</v>
      </c>
      <c r="C114">
        <f>Bonds!P114</f>
        <v>4</v>
      </c>
      <c r="D114">
        <f t="shared" si="61"/>
        <v>1</v>
      </c>
      <c r="E114" s="3">
        <f>IF(1&gt;$C114,"",IF($D114=1,EOMONTH(EDATE(Bonds!$H114,6*(1-1)),0),EDATE(Bonds!$H114,6*(1-1))))</f>
        <v>46446</v>
      </c>
      <c r="F114" s="3">
        <f>IF(2&gt;$C114,"",IF($D114=1,EOMONTH(EDATE(Bonds!$H114,6*(2-1)),0),EDATE(Bonds!$H114,6*(2-1))))</f>
        <v>46630</v>
      </c>
      <c r="G114" s="3">
        <f>IF(3&gt;$C114,"",IF($D114=1,EOMONTH(EDATE(Bonds!$H114,6*(3-1)),0),EDATE(Bonds!$H114,6*(3-1))))</f>
        <v>46812</v>
      </c>
      <c r="H114" s="3">
        <f>IF(4&gt;$C114,"",IF($D114=1,EOMONTH(EDATE(Bonds!$H114,6*(4-1)),0),EDATE(Bonds!$H114,6*(4-1))))</f>
        <v>46996</v>
      </c>
      <c r="I114" s="3" t="str">
        <f>IF(5&gt;$C114,"",IF($D114=1,EOMONTH(EDATE(Bonds!$H114,6*(5-1)),0),EDATE(Bonds!$H114,6*(5-1))))</f>
        <v/>
      </c>
      <c r="J114" s="3" t="str">
        <f>IF(6&gt;$C114,"",IF($D114=1,EOMONTH(EDATE(Bonds!$H114,6*(6-1)),0),EDATE(Bonds!$H114,6*(6-1))))</f>
        <v/>
      </c>
      <c r="K114" s="3" t="str">
        <f>IF(7&gt;$C114,"",IF($D114=1,EOMONTH(EDATE(Bonds!$H114,6*(7-1)),0),EDATE(Bonds!$H114,6*(7-1))))</f>
        <v/>
      </c>
      <c r="L114" s="3" t="str">
        <f>IF(8&gt;$C114,"",IF($D114=1,EOMONTH(EDATE(Bonds!$H114,6*(8-1)),0),EDATE(Bonds!$H114,6*(8-1))))</f>
        <v/>
      </c>
      <c r="M114" s="3" t="str">
        <f>IF(9&gt;$C114,"",IF($D114=1,EOMONTH(EDATE(Bonds!$H114,6*(9-1)),0),EDATE(Bonds!$H114,6*(9-1))))</f>
        <v/>
      </c>
      <c r="N114" s="3" t="str">
        <f>IF(10&gt;$C114,"",IF($D114=1,EOMONTH(EDATE(Bonds!$H114,6*(10-1)),0),EDATE(Bonds!$H114,6*(10-1))))</f>
        <v/>
      </c>
      <c r="O114" s="3" t="str">
        <f>IF(11&gt;$C114,"",IF($D114=1,EOMONTH(EDATE(Bonds!$H114,6*(11-1)),0),EDATE(Bonds!$H114,6*(11-1))))</f>
        <v/>
      </c>
      <c r="P114" s="3" t="str">
        <f>IF(12&gt;$C114,"",IF($D114=1,EOMONTH(EDATE(Bonds!$H114,6*(12-1)),0),EDATE(Bonds!$H114,6*(12-1))))</f>
        <v/>
      </c>
      <c r="Q114" s="3" t="str">
        <f>IF(13&gt;$C114,"",IF($D114=1,EOMONTH(EDATE(Bonds!$H114,6*(13-1)),0),EDATE(Bonds!$H114,6*(13-1))))</f>
        <v/>
      </c>
      <c r="R114" s="3" t="str">
        <f>IF(14&gt;$C114,"",IF($D114=1,EOMONTH(EDATE(Bonds!$H114,6*(14-1)),0),EDATE(Bonds!$H114,6*(14-1))))</f>
        <v/>
      </c>
      <c r="S114" s="3" t="str">
        <f>IF(15&gt;$C114,"",IF($D114=1,EOMONTH(EDATE(Bonds!$H114,6*(15-1)),0),EDATE(Bonds!$H114,6*(15-1))))</f>
        <v/>
      </c>
      <c r="T114" s="3" t="str">
        <f>IF(16&gt;$C114,"",IF($D114=1,EOMONTH(EDATE(Bonds!$H114,6*(16-1)),0),EDATE(Bonds!$H114,6*(16-1))))</f>
        <v/>
      </c>
      <c r="U114" s="3" t="str">
        <f>IF(17&gt;$C114,"",IF($D114=1,EOMONTH(EDATE(Bonds!$H114,6*(17-1)),0),EDATE(Bonds!$H114,6*(17-1))))</f>
        <v/>
      </c>
      <c r="V114" s="3" t="str">
        <f>IF(18&gt;$C114,"",IF($D114=1,EOMONTH(EDATE(Bonds!$H114,6*(18-1)),0),EDATE(Bonds!$H114,6*(18-1))))</f>
        <v/>
      </c>
      <c r="W114" s="3" t="str">
        <f>IF(19&gt;$C114,"",IF($D114=1,EOMONTH(EDATE(Bonds!$H114,6*(19-1)),0),EDATE(Bonds!$H114,6*(19-1))))</f>
        <v/>
      </c>
      <c r="X114" s="3" t="str">
        <f>IF(20&gt;$C114,"",IF($D114=1,EOMONTH(EDATE(Bonds!$H114,6*(20-1)),0),EDATE(Bonds!$H114,6*(20-1))))</f>
        <v/>
      </c>
      <c r="Y114" s="3" t="str">
        <f>IF(21&gt;$C114,"",IF($D114=1,EOMONTH(EDATE(Bonds!$H114,6*(21-1)),0),EDATE(Bonds!$H114,6*(21-1))))</f>
        <v/>
      </c>
      <c r="Z114" s="3" t="str">
        <f>IF(22&gt;$C114,"",IF($D114=1,EOMONTH(EDATE(Bonds!$H114,6*(22-1)),0),EDATE(Bonds!$H114,6*(22-1))))</f>
        <v/>
      </c>
      <c r="AA114" s="3" t="str">
        <f>IF(23&gt;$C114,"",IF($D114=1,EOMONTH(EDATE(Bonds!$H114,6*(23-1)),0),EDATE(Bonds!$H114,6*(23-1))))</f>
        <v/>
      </c>
      <c r="AB114" s="3" t="str">
        <f>IF(24&gt;$C114,"",IF($D114=1,EOMONTH(EDATE(Bonds!$H114,6*(24-1)),0),EDATE(Bonds!$H114,6*(24-1))))</f>
        <v/>
      </c>
      <c r="AC114" s="3" t="str">
        <f>IF(25&gt;$C114,"",IF($D114=1,EOMONTH(EDATE(Bonds!$H114,6*(25-1)),0),EDATE(Bonds!$H114,6*(25-1))))</f>
        <v/>
      </c>
      <c r="AD114" s="3" t="str">
        <f>IF(26&gt;$C114,"",IF($D114=1,EOMONTH(EDATE(Bonds!$H114,6*(26-1)),0),EDATE(Bonds!$H114,6*(26-1))))</f>
        <v/>
      </c>
      <c r="AE114" s="3" t="str">
        <f>IF(27&gt;$C114,"",IF($D114=1,EOMONTH(EDATE(Bonds!$H114,6*(27-1)),0),EDATE(Bonds!$H114,6*(27-1))))</f>
        <v/>
      </c>
      <c r="AF114" s="3" t="str">
        <f>IF(28&gt;$C114,"",IF($D114=1,EOMONTH(EDATE(Bonds!$H114,6*(28-1)),0),EDATE(Bonds!$H114,6*(28-1))))</f>
        <v/>
      </c>
      <c r="AG114" s="3" t="str">
        <f>IF(29&gt;$C114,"",IF($D114=1,EOMONTH(EDATE(Bonds!$H114,6*(29-1)),0),EDATE(Bonds!$H114,6*(29-1))))</f>
        <v/>
      </c>
      <c r="AH114" s="3" t="str">
        <f>IF(30&gt;$C114,"",IF($D114=1,EOMONTH(EDATE(Bonds!$H114,6*(30-1)),0),EDATE(Bonds!$H114,6*(30-1))))</f>
        <v/>
      </c>
      <c r="AI114" s="3" t="str">
        <f>IF(31&gt;$C114,"",IF($D114=1,EOMONTH(EDATE(Bonds!$H114,6*(31-1)),0),EDATE(Bonds!$H114,6*(31-1))))</f>
        <v/>
      </c>
      <c r="AJ114" s="3" t="str">
        <f>IF(32&gt;$C114,"",IF($D114=1,EOMONTH(EDATE(Bonds!$H114,6*(32-1)),0),EDATE(Bonds!$H114,6*(32-1))))</f>
        <v/>
      </c>
      <c r="AK114" s="3" t="str">
        <f>IF(33&gt;$C114,"",IF($D114=1,EOMONTH(EDATE(Bonds!$H114,6*(33-1)),0),EDATE(Bonds!$H114,6*(33-1))))</f>
        <v/>
      </c>
      <c r="AL114" s="3" t="str">
        <f>IF(34&gt;$C114,"",IF($D114=1,EOMONTH(EDATE(Bonds!$H114,6*(34-1)),0),EDATE(Bonds!$H114,6*(34-1))))</f>
        <v/>
      </c>
      <c r="AM114" s="3" t="str">
        <f>IF(35&gt;$C114,"",IF($D114=1,EOMONTH(EDATE(Bonds!$H114,6*(35-1)),0),EDATE(Bonds!$H114,6*(35-1))))</f>
        <v/>
      </c>
      <c r="AN114" s="3" t="str">
        <f>IF(36&gt;$C114,"",IF($D114=1,EOMONTH(EDATE(Bonds!$H114,6*(36-1)),0),EDATE(Bonds!$H114,6*(36-1))))</f>
        <v/>
      </c>
      <c r="AO114" s="3" t="str">
        <f>IF(37&gt;$C114,"",IF($D114=1,EOMONTH(EDATE(Bonds!$H114,6*(37-1)),0),EDATE(Bonds!$H114,6*(37-1))))</f>
        <v/>
      </c>
      <c r="AP114" s="3" t="str">
        <f>IF(38&gt;$C114,"",IF($D114=1,EOMONTH(EDATE(Bonds!$H114,6*(38-1)),0),EDATE(Bonds!$H114,6*(38-1))))</f>
        <v/>
      </c>
      <c r="AQ114" s="3" t="str">
        <f>IF(39&gt;$C114,"",IF($D114=1,EOMONTH(EDATE(Bonds!$H114,6*(39-1)),0),EDATE(Bonds!$H114,6*(39-1))))</f>
        <v/>
      </c>
      <c r="AR114" s="3" t="str">
        <f>IF(40&gt;$C114,"",IF($D114=1,EOMONTH(EDATE(Bonds!$H114,6*(40-1)),0),EDATE(Bonds!$H114,6*(40-1))))</f>
        <v/>
      </c>
      <c r="AS114" s="3" t="str">
        <f>IF(41&gt;$C114,"",IF($D114=1,EOMONTH(EDATE(Bonds!$H114,6*(41-1)),0),EDATE(Bonds!$H114,6*(41-1))))</f>
        <v/>
      </c>
      <c r="AT114" s="3" t="str">
        <f>IF(42&gt;$C114,"",IF($D114=1,EOMONTH(EDATE(Bonds!$H114,6*(42-1)),0),EDATE(Bonds!$H114,6*(42-1))))</f>
        <v/>
      </c>
      <c r="AU114" s="3" t="str">
        <f>IF(43&gt;$C114,"",IF($D114=1,EOMONTH(EDATE(Bonds!$H114,6*(43-1)),0),EDATE(Bonds!$H114,6*(43-1))))</f>
        <v/>
      </c>
      <c r="AV114" s="3" t="str">
        <f>IF(44&gt;$C114,"",IF($D114=1,EOMONTH(EDATE(Bonds!$H114,6*(44-1)),0),EDATE(Bonds!$H114,6*(44-1))))</f>
        <v/>
      </c>
      <c r="AW114" s="3" t="str">
        <f>IF(45&gt;$C114,"",IF($D114=1,EOMONTH(EDATE(Bonds!$H114,6*(45-1)),0),EDATE(Bonds!$H114,6*(45-1))))</f>
        <v/>
      </c>
      <c r="AX114" s="3" t="str">
        <f>IF(46&gt;$C114,"",IF($D114=1,EOMONTH(EDATE(Bonds!$H114,6*(46-1)),0),EDATE(Bonds!$H114,6*(46-1))))</f>
        <v/>
      </c>
      <c r="AY114" s="3" t="str">
        <f>IF(47&gt;$C114,"",IF($D114=1,EOMONTH(EDATE(Bonds!$H114,6*(47-1)),0),EDATE(Bonds!$H114,6*(47-1))))</f>
        <v/>
      </c>
      <c r="AZ114" s="3" t="str">
        <f>IF(48&gt;$C114,"",IF($D114=1,EOMONTH(EDATE(Bonds!$H114,6*(48-1)),0),EDATE(Bonds!$H114,6*(48-1))))</f>
        <v/>
      </c>
      <c r="BA114" s="3" t="str">
        <f>IF(49&gt;$C114,"",IF($D114=1,EOMONTH(EDATE(Bonds!$H114,6*(49-1)),0),EDATE(Bonds!$H114,6*(49-1))))</f>
        <v/>
      </c>
      <c r="BB114" s="3" t="str">
        <f>IF(50&gt;$C114,"",IF($D114=1,EOMONTH(EDATE(Bonds!$H114,6*(50-1)),0),EDATE(Bonds!$H114,6*(50-1))))</f>
        <v/>
      </c>
      <c r="BC114" s="3" t="str">
        <f>IF(51&gt;$C114,"",IF($D114=1,EOMONTH(EDATE(Bonds!$H114,6*(51-1)),0),EDATE(Bonds!$H114,6*(51-1))))</f>
        <v/>
      </c>
      <c r="BD114" s="3" t="str">
        <f>IF(52&gt;$C114,"",IF($D114=1,EOMONTH(EDATE(Bonds!$H114,6*(52-1)),0),EDATE(Bonds!$H114,6*(52-1))))</f>
        <v/>
      </c>
      <c r="BE114" s="3" t="str">
        <f>IF(53&gt;$C114,"",IF($D114=1,EOMONTH(EDATE(Bonds!$H114,6*(53-1)),0),EDATE(Bonds!$H114,6*(53-1))))</f>
        <v/>
      </c>
      <c r="BF114" s="3" t="str">
        <f>IF(54&gt;$C114,"",IF($D114=1,EOMONTH(EDATE(Bonds!$H114,6*(54-1)),0),EDATE(Bonds!$H114,6*(54-1))))</f>
        <v/>
      </c>
      <c r="BG114" s="3" t="str">
        <f>IF(55&gt;$C114,"",IF($D114=1,EOMONTH(EDATE(Bonds!$H114,6*(55-1)),0),EDATE(Bonds!$H114,6*(55-1))))</f>
        <v/>
      </c>
      <c r="BH114" s="3" t="str">
        <f>IF(56&gt;$C114,"",IF($D114=1,EOMONTH(EDATE(Bonds!$H114,6*(56-1)),0),EDATE(Bonds!$H114,6*(56-1))))</f>
        <v/>
      </c>
      <c r="BI114" s="3" t="str">
        <f>IF(57&gt;$C114,"",IF($D114=1,EOMONTH(EDATE(Bonds!$H114,6*(57-1)),0),EDATE(Bonds!$H114,6*(57-1))))</f>
        <v/>
      </c>
      <c r="BJ114" s="3" t="str">
        <f>IF(58&gt;$C114,"",IF($D114=1,EOMONTH(EDATE(Bonds!$H114,6*(58-1)),0),EDATE(Bonds!$H114,6*(58-1))))</f>
        <v/>
      </c>
      <c r="BK114" s="3" t="str">
        <f>IF(59&gt;$C114,"",IF($D114=1,EOMONTH(EDATE(Bonds!$H114,6*(59-1)),0),EDATE(Bonds!$H114,6*(59-1))))</f>
        <v/>
      </c>
      <c r="BL114" s="3" t="str">
        <f>IF(60&gt;$C114,"",IF($D114=1,EOMONTH(EDATE(Bonds!$H114,6*(60-1)),0),EDATE(Bonds!$H114,6*(60-1))))</f>
        <v/>
      </c>
      <c r="BN114" s="7">
        <f t="shared" si="62"/>
        <v>2.1472271735669737</v>
      </c>
      <c r="BO114" s="7">
        <f t="shared" si="63"/>
        <v>2.1009844795452448</v>
      </c>
      <c r="BP114" s="7">
        <f t="shared" si="64"/>
        <v>2.0542627912982776</v>
      </c>
      <c r="BQ114" s="7">
        <f t="shared" si="65"/>
        <v>93.773377350724303</v>
      </c>
      <c r="BR114" s="7">
        <f t="shared" si="66"/>
        <v>0</v>
      </c>
      <c r="BS114" s="7">
        <f t="shared" si="67"/>
        <v>0</v>
      </c>
      <c r="BT114" s="7">
        <f t="shared" si="68"/>
        <v>0</v>
      </c>
      <c r="BU114" s="7">
        <f t="shared" si="69"/>
        <v>0</v>
      </c>
      <c r="BV114" s="7">
        <f t="shared" si="70"/>
        <v>0</v>
      </c>
      <c r="BW114" s="7">
        <f t="shared" si="71"/>
        <v>0</v>
      </c>
      <c r="BX114" s="7">
        <f t="shared" si="72"/>
        <v>0</v>
      </c>
      <c r="BY114" s="7">
        <f t="shared" si="73"/>
        <v>0</v>
      </c>
      <c r="BZ114" s="7">
        <f t="shared" si="74"/>
        <v>0</v>
      </c>
      <c r="CA114" s="7">
        <f t="shared" si="75"/>
        <v>0</v>
      </c>
      <c r="CB114" s="7">
        <f t="shared" si="76"/>
        <v>0</v>
      </c>
      <c r="CC114" s="7">
        <f t="shared" si="77"/>
        <v>0</v>
      </c>
      <c r="CD114" s="7">
        <f t="shared" si="78"/>
        <v>0</v>
      </c>
      <c r="CE114" s="7">
        <f t="shared" si="79"/>
        <v>0</v>
      </c>
      <c r="CF114" s="7">
        <f t="shared" si="80"/>
        <v>0</v>
      </c>
      <c r="CG114" s="7">
        <f t="shared" si="81"/>
        <v>0</v>
      </c>
      <c r="CH114" s="7">
        <f t="shared" si="82"/>
        <v>0</v>
      </c>
      <c r="CI114" s="7">
        <f t="shared" si="83"/>
        <v>0</v>
      </c>
      <c r="CJ114" s="7">
        <f t="shared" si="84"/>
        <v>0</v>
      </c>
      <c r="CK114" s="7">
        <f t="shared" si="85"/>
        <v>0</v>
      </c>
      <c r="CL114" s="7">
        <f t="shared" si="86"/>
        <v>0</v>
      </c>
      <c r="CM114" s="7">
        <f t="shared" si="87"/>
        <v>0</v>
      </c>
      <c r="CN114" s="7">
        <f t="shared" si="88"/>
        <v>0</v>
      </c>
      <c r="CO114" s="7">
        <f t="shared" si="89"/>
        <v>0</v>
      </c>
      <c r="CP114" s="7">
        <f t="shared" si="90"/>
        <v>0</v>
      </c>
      <c r="CQ114" s="7">
        <f t="shared" si="91"/>
        <v>0</v>
      </c>
      <c r="CR114" s="7">
        <f t="shared" si="92"/>
        <v>0</v>
      </c>
      <c r="CS114" s="7">
        <f t="shared" si="93"/>
        <v>0</v>
      </c>
      <c r="CT114" s="7">
        <f t="shared" si="94"/>
        <v>0</v>
      </c>
      <c r="CU114" s="7">
        <f t="shared" si="95"/>
        <v>0</v>
      </c>
      <c r="CV114" s="7">
        <f t="shared" si="96"/>
        <v>0</v>
      </c>
      <c r="CW114" s="7">
        <f t="shared" si="97"/>
        <v>0</v>
      </c>
      <c r="CX114" s="7">
        <f t="shared" si="98"/>
        <v>0</v>
      </c>
      <c r="CY114" s="7">
        <f t="shared" si="99"/>
        <v>0</v>
      </c>
      <c r="CZ114" s="7">
        <f t="shared" si="100"/>
        <v>0</v>
      </c>
      <c r="DA114" s="7">
        <f t="shared" si="101"/>
        <v>0</v>
      </c>
      <c r="DB114" s="7">
        <f t="shared" si="102"/>
        <v>0</v>
      </c>
      <c r="DC114" s="7">
        <f t="shared" si="103"/>
        <v>0</v>
      </c>
      <c r="DD114" s="7">
        <f t="shared" si="104"/>
        <v>0</v>
      </c>
      <c r="DE114" s="7">
        <f t="shared" si="105"/>
        <v>0</v>
      </c>
      <c r="DF114" s="7">
        <f t="shared" si="106"/>
        <v>0</v>
      </c>
      <c r="DG114" s="7">
        <f t="shared" si="107"/>
        <v>0</v>
      </c>
      <c r="DH114" s="7">
        <f t="shared" si="108"/>
        <v>0</v>
      </c>
      <c r="DI114" s="7">
        <f t="shared" si="109"/>
        <v>0</v>
      </c>
      <c r="DJ114" s="7">
        <f t="shared" si="110"/>
        <v>0</v>
      </c>
      <c r="DK114" s="7">
        <f t="shared" si="111"/>
        <v>0</v>
      </c>
      <c r="DL114" s="7">
        <f t="shared" si="112"/>
        <v>0</v>
      </c>
      <c r="DM114" s="7">
        <f t="shared" si="113"/>
        <v>0</v>
      </c>
      <c r="DN114" s="7">
        <f t="shared" si="114"/>
        <v>0</v>
      </c>
      <c r="DO114" s="7">
        <f t="shared" si="115"/>
        <v>0</v>
      </c>
      <c r="DP114" s="7">
        <f t="shared" si="116"/>
        <v>0</v>
      </c>
      <c r="DQ114" s="7">
        <f t="shared" si="117"/>
        <v>0</v>
      </c>
      <c r="DR114" s="7">
        <f t="shared" si="118"/>
        <v>0</v>
      </c>
      <c r="DS114" s="7">
        <f t="shared" si="119"/>
        <v>0</v>
      </c>
      <c r="DT114" s="7">
        <f t="shared" si="120"/>
        <v>0</v>
      </c>
      <c r="DU114" s="7">
        <f t="shared" si="121"/>
        <v>0</v>
      </c>
    </row>
    <row r="115" spans="1:125" x14ac:dyDescent="0.2">
      <c r="A115" s="3">
        <f>Bonds!A115</f>
        <v>47011</v>
      </c>
      <c r="B115" s="4">
        <f>Bonds!B115</f>
        <v>3.375</v>
      </c>
      <c r="C115">
        <f>Bonds!P115</f>
        <v>5</v>
      </c>
      <c r="D115">
        <f t="shared" si="61"/>
        <v>0</v>
      </c>
      <c r="E115" s="3">
        <f>IF(1&gt;$C115,"",IF($D115=1,EOMONTH(EDATE(Bonds!$H115,6*(1-1)),0),EDATE(Bonds!$H115,6*(1-1))))</f>
        <v>46280</v>
      </c>
      <c r="F115" s="3">
        <f>IF(2&gt;$C115,"",IF($D115=1,EOMONTH(EDATE(Bonds!$H115,6*(2-1)),0),EDATE(Bonds!$H115,6*(2-1))))</f>
        <v>46461</v>
      </c>
      <c r="G115" s="3">
        <f>IF(3&gt;$C115,"",IF($D115=1,EOMONTH(EDATE(Bonds!$H115,6*(3-1)),0),EDATE(Bonds!$H115,6*(3-1))))</f>
        <v>46645</v>
      </c>
      <c r="H115" s="3">
        <f>IF(4&gt;$C115,"",IF($D115=1,EOMONTH(EDATE(Bonds!$H115,6*(4-1)),0),EDATE(Bonds!$H115,6*(4-1))))</f>
        <v>46827</v>
      </c>
      <c r="I115" s="3">
        <f>IF(5&gt;$C115,"",IF($D115=1,EOMONTH(EDATE(Bonds!$H115,6*(5-1)),0),EDATE(Bonds!$H115,6*(5-1))))</f>
        <v>47011</v>
      </c>
      <c r="J115" s="3" t="str">
        <f>IF(6&gt;$C115,"",IF($D115=1,EOMONTH(EDATE(Bonds!$H115,6*(6-1)),0),EDATE(Bonds!$H115,6*(6-1))))</f>
        <v/>
      </c>
      <c r="K115" s="3" t="str">
        <f>IF(7&gt;$C115,"",IF($D115=1,EOMONTH(EDATE(Bonds!$H115,6*(7-1)),0),EDATE(Bonds!$H115,6*(7-1))))</f>
        <v/>
      </c>
      <c r="L115" s="3" t="str">
        <f>IF(8&gt;$C115,"",IF($D115=1,EOMONTH(EDATE(Bonds!$H115,6*(8-1)),0),EDATE(Bonds!$H115,6*(8-1))))</f>
        <v/>
      </c>
      <c r="M115" s="3" t="str">
        <f>IF(9&gt;$C115,"",IF($D115=1,EOMONTH(EDATE(Bonds!$H115,6*(9-1)),0),EDATE(Bonds!$H115,6*(9-1))))</f>
        <v/>
      </c>
      <c r="N115" s="3" t="str">
        <f>IF(10&gt;$C115,"",IF($D115=1,EOMONTH(EDATE(Bonds!$H115,6*(10-1)),0),EDATE(Bonds!$H115,6*(10-1))))</f>
        <v/>
      </c>
      <c r="O115" s="3" t="str">
        <f>IF(11&gt;$C115,"",IF($D115=1,EOMONTH(EDATE(Bonds!$H115,6*(11-1)),0),EDATE(Bonds!$H115,6*(11-1))))</f>
        <v/>
      </c>
      <c r="P115" s="3" t="str">
        <f>IF(12&gt;$C115,"",IF($D115=1,EOMONTH(EDATE(Bonds!$H115,6*(12-1)),0),EDATE(Bonds!$H115,6*(12-1))))</f>
        <v/>
      </c>
      <c r="Q115" s="3" t="str">
        <f>IF(13&gt;$C115,"",IF($D115=1,EOMONTH(EDATE(Bonds!$H115,6*(13-1)),0),EDATE(Bonds!$H115,6*(13-1))))</f>
        <v/>
      </c>
      <c r="R115" s="3" t="str">
        <f>IF(14&gt;$C115,"",IF($D115=1,EOMONTH(EDATE(Bonds!$H115,6*(14-1)),0),EDATE(Bonds!$H115,6*(14-1))))</f>
        <v/>
      </c>
      <c r="S115" s="3" t="str">
        <f>IF(15&gt;$C115,"",IF($D115=1,EOMONTH(EDATE(Bonds!$H115,6*(15-1)),0),EDATE(Bonds!$H115,6*(15-1))))</f>
        <v/>
      </c>
      <c r="T115" s="3" t="str">
        <f>IF(16&gt;$C115,"",IF($D115=1,EOMONTH(EDATE(Bonds!$H115,6*(16-1)),0),EDATE(Bonds!$H115,6*(16-1))))</f>
        <v/>
      </c>
      <c r="U115" s="3" t="str">
        <f>IF(17&gt;$C115,"",IF($D115=1,EOMONTH(EDATE(Bonds!$H115,6*(17-1)),0),EDATE(Bonds!$H115,6*(17-1))))</f>
        <v/>
      </c>
      <c r="V115" s="3" t="str">
        <f>IF(18&gt;$C115,"",IF($D115=1,EOMONTH(EDATE(Bonds!$H115,6*(18-1)),0),EDATE(Bonds!$H115,6*(18-1))))</f>
        <v/>
      </c>
      <c r="W115" s="3" t="str">
        <f>IF(19&gt;$C115,"",IF($D115=1,EOMONTH(EDATE(Bonds!$H115,6*(19-1)),0),EDATE(Bonds!$H115,6*(19-1))))</f>
        <v/>
      </c>
      <c r="X115" s="3" t="str">
        <f>IF(20&gt;$C115,"",IF($D115=1,EOMONTH(EDATE(Bonds!$H115,6*(20-1)),0),EDATE(Bonds!$H115,6*(20-1))))</f>
        <v/>
      </c>
      <c r="Y115" s="3" t="str">
        <f>IF(21&gt;$C115,"",IF($D115=1,EOMONTH(EDATE(Bonds!$H115,6*(21-1)),0),EDATE(Bonds!$H115,6*(21-1))))</f>
        <v/>
      </c>
      <c r="Z115" s="3" t="str">
        <f>IF(22&gt;$C115,"",IF($D115=1,EOMONTH(EDATE(Bonds!$H115,6*(22-1)),0),EDATE(Bonds!$H115,6*(22-1))))</f>
        <v/>
      </c>
      <c r="AA115" s="3" t="str">
        <f>IF(23&gt;$C115,"",IF($D115=1,EOMONTH(EDATE(Bonds!$H115,6*(23-1)),0),EDATE(Bonds!$H115,6*(23-1))))</f>
        <v/>
      </c>
      <c r="AB115" s="3" t="str">
        <f>IF(24&gt;$C115,"",IF($D115=1,EOMONTH(EDATE(Bonds!$H115,6*(24-1)),0),EDATE(Bonds!$H115,6*(24-1))))</f>
        <v/>
      </c>
      <c r="AC115" s="3" t="str">
        <f>IF(25&gt;$C115,"",IF($D115=1,EOMONTH(EDATE(Bonds!$H115,6*(25-1)),0),EDATE(Bonds!$H115,6*(25-1))))</f>
        <v/>
      </c>
      <c r="AD115" s="3" t="str">
        <f>IF(26&gt;$C115,"",IF($D115=1,EOMONTH(EDATE(Bonds!$H115,6*(26-1)),0),EDATE(Bonds!$H115,6*(26-1))))</f>
        <v/>
      </c>
      <c r="AE115" s="3" t="str">
        <f>IF(27&gt;$C115,"",IF($D115=1,EOMONTH(EDATE(Bonds!$H115,6*(27-1)),0),EDATE(Bonds!$H115,6*(27-1))))</f>
        <v/>
      </c>
      <c r="AF115" s="3" t="str">
        <f>IF(28&gt;$C115,"",IF($D115=1,EOMONTH(EDATE(Bonds!$H115,6*(28-1)),0),EDATE(Bonds!$H115,6*(28-1))))</f>
        <v/>
      </c>
      <c r="AG115" s="3" t="str">
        <f>IF(29&gt;$C115,"",IF($D115=1,EOMONTH(EDATE(Bonds!$H115,6*(29-1)),0),EDATE(Bonds!$H115,6*(29-1))))</f>
        <v/>
      </c>
      <c r="AH115" s="3" t="str">
        <f>IF(30&gt;$C115,"",IF($D115=1,EOMONTH(EDATE(Bonds!$H115,6*(30-1)),0),EDATE(Bonds!$H115,6*(30-1))))</f>
        <v/>
      </c>
      <c r="AI115" s="3" t="str">
        <f>IF(31&gt;$C115,"",IF($D115=1,EOMONTH(EDATE(Bonds!$H115,6*(31-1)),0),EDATE(Bonds!$H115,6*(31-1))))</f>
        <v/>
      </c>
      <c r="AJ115" s="3" t="str">
        <f>IF(32&gt;$C115,"",IF($D115=1,EOMONTH(EDATE(Bonds!$H115,6*(32-1)),0),EDATE(Bonds!$H115,6*(32-1))))</f>
        <v/>
      </c>
      <c r="AK115" s="3" t="str">
        <f>IF(33&gt;$C115,"",IF($D115=1,EOMONTH(EDATE(Bonds!$H115,6*(33-1)),0),EDATE(Bonds!$H115,6*(33-1))))</f>
        <v/>
      </c>
      <c r="AL115" s="3" t="str">
        <f>IF(34&gt;$C115,"",IF($D115=1,EOMONTH(EDATE(Bonds!$H115,6*(34-1)),0),EDATE(Bonds!$H115,6*(34-1))))</f>
        <v/>
      </c>
      <c r="AM115" s="3" t="str">
        <f>IF(35&gt;$C115,"",IF($D115=1,EOMONTH(EDATE(Bonds!$H115,6*(35-1)),0),EDATE(Bonds!$H115,6*(35-1))))</f>
        <v/>
      </c>
      <c r="AN115" s="3" t="str">
        <f>IF(36&gt;$C115,"",IF($D115=1,EOMONTH(EDATE(Bonds!$H115,6*(36-1)),0),EDATE(Bonds!$H115,6*(36-1))))</f>
        <v/>
      </c>
      <c r="AO115" s="3" t="str">
        <f>IF(37&gt;$C115,"",IF($D115=1,EOMONTH(EDATE(Bonds!$H115,6*(37-1)),0),EDATE(Bonds!$H115,6*(37-1))))</f>
        <v/>
      </c>
      <c r="AP115" s="3" t="str">
        <f>IF(38&gt;$C115,"",IF($D115=1,EOMONTH(EDATE(Bonds!$H115,6*(38-1)),0),EDATE(Bonds!$H115,6*(38-1))))</f>
        <v/>
      </c>
      <c r="AQ115" s="3" t="str">
        <f>IF(39&gt;$C115,"",IF($D115=1,EOMONTH(EDATE(Bonds!$H115,6*(39-1)),0),EDATE(Bonds!$H115,6*(39-1))))</f>
        <v/>
      </c>
      <c r="AR115" s="3" t="str">
        <f>IF(40&gt;$C115,"",IF($D115=1,EOMONTH(EDATE(Bonds!$H115,6*(40-1)),0),EDATE(Bonds!$H115,6*(40-1))))</f>
        <v/>
      </c>
      <c r="AS115" s="3" t="str">
        <f>IF(41&gt;$C115,"",IF($D115=1,EOMONTH(EDATE(Bonds!$H115,6*(41-1)),0),EDATE(Bonds!$H115,6*(41-1))))</f>
        <v/>
      </c>
      <c r="AT115" s="3" t="str">
        <f>IF(42&gt;$C115,"",IF($D115=1,EOMONTH(EDATE(Bonds!$H115,6*(42-1)),0),EDATE(Bonds!$H115,6*(42-1))))</f>
        <v/>
      </c>
      <c r="AU115" s="3" t="str">
        <f>IF(43&gt;$C115,"",IF($D115=1,EOMONTH(EDATE(Bonds!$H115,6*(43-1)),0),EDATE(Bonds!$H115,6*(43-1))))</f>
        <v/>
      </c>
      <c r="AV115" s="3" t="str">
        <f>IF(44&gt;$C115,"",IF($D115=1,EOMONTH(EDATE(Bonds!$H115,6*(44-1)),0),EDATE(Bonds!$H115,6*(44-1))))</f>
        <v/>
      </c>
      <c r="AW115" s="3" t="str">
        <f>IF(45&gt;$C115,"",IF($D115=1,EOMONTH(EDATE(Bonds!$H115,6*(45-1)),0),EDATE(Bonds!$H115,6*(45-1))))</f>
        <v/>
      </c>
      <c r="AX115" s="3" t="str">
        <f>IF(46&gt;$C115,"",IF($D115=1,EOMONTH(EDATE(Bonds!$H115,6*(46-1)),0),EDATE(Bonds!$H115,6*(46-1))))</f>
        <v/>
      </c>
      <c r="AY115" s="3" t="str">
        <f>IF(47&gt;$C115,"",IF($D115=1,EOMONTH(EDATE(Bonds!$H115,6*(47-1)),0),EDATE(Bonds!$H115,6*(47-1))))</f>
        <v/>
      </c>
      <c r="AZ115" s="3" t="str">
        <f>IF(48&gt;$C115,"",IF($D115=1,EOMONTH(EDATE(Bonds!$H115,6*(48-1)),0),EDATE(Bonds!$H115,6*(48-1))))</f>
        <v/>
      </c>
      <c r="BA115" s="3" t="str">
        <f>IF(49&gt;$C115,"",IF($D115=1,EOMONTH(EDATE(Bonds!$H115,6*(49-1)),0),EDATE(Bonds!$H115,6*(49-1))))</f>
        <v/>
      </c>
      <c r="BB115" s="3" t="str">
        <f>IF(50&gt;$C115,"",IF($D115=1,EOMONTH(EDATE(Bonds!$H115,6*(50-1)),0),EDATE(Bonds!$H115,6*(50-1))))</f>
        <v/>
      </c>
      <c r="BC115" s="3" t="str">
        <f>IF(51&gt;$C115,"",IF($D115=1,EOMONTH(EDATE(Bonds!$H115,6*(51-1)),0),EDATE(Bonds!$H115,6*(51-1))))</f>
        <v/>
      </c>
      <c r="BD115" s="3" t="str">
        <f>IF(52&gt;$C115,"",IF($D115=1,EOMONTH(EDATE(Bonds!$H115,6*(52-1)),0),EDATE(Bonds!$H115,6*(52-1))))</f>
        <v/>
      </c>
      <c r="BE115" s="3" t="str">
        <f>IF(53&gt;$C115,"",IF($D115=1,EOMONTH(EDATE(Bonds!$H115,6*(53-1)),0),EDATE(Bonds!$H115,6*(53-1))))</f>
        <v/>
      </c>
      <c r="BF115" s="3" t="str">
        <f>IF(54&gt;$C115,"",IF($D115=1,EOMONTH(EDATE(Bonds!$H115,6*(54-1)),0),EDATE(Bonds!$H115,6*(54-1))))</f>
        <v/>
      </c>
      <c r="BG115" s="3" t="str">
        <f>IF(55&gt;$C115,"",IF($D115=1,EOMONTH(EDATE(Bonds!$H115,6*(55-1)),0),EDATE(Bonds!$H115,6*(55-1))))</f>
        <v/>
      </c>
      <c r="BH115" s="3" t="str">
        <f>IF(56&gt;$C115,"",IF($D115=1,EOMONTH(EDATE(Bonds!$H115,6*(56-1)),0),EDATE(Bonds!$H115,6*(56-1))))</f>
        <v/>
      </c>
      <c r="BI115" s="3" t="str">
        <f>IF(57&gt;$C115,"",IF($D115=1,EOMONTH(EDATE(Bonds!$H115,6*(57-1)),0),EDATE(Bonds!$H115,6*(57-1))))</f>
        <v/>
      </c>
      <c r="BJ115" s="3" t="str">
        <f>IF(58&gt;$C115,"",IF($D115=1,EOMONTH(EDATE(Bonds!$H115,6*(58-1)),0),EDATE(Bonds!$H115,6*(58-1))))</f>
        <v/>
      </c>
      <c r="BK115" s="3" t="str">
        <f>IF(59&gt;$C115,"",IF($D115=1,EOMONTH(EDATE(Bonds!$H115,6*(59-1)),0),EDATE(Bonds!$H115,6*(59-1))))</f>
        <v/>
      </c>
      <c r="BL115" s="3" t="str">
        <f>IF(60&gt;$C115,"",IF($D115=1,EOMONTH(EDATE(Bonds!$H115,6*(60-1)),0),EDATE(Bonds!$H115,6*(60-1))))</f>
        <v/>
      </c>
      <c r="BN115" s="7">
        <f t="shared" si="62"/>
        <v>1.6863217894495288</v>
      </c>
      <c r="BO115" s="7">
        <f t="shared" si="63"/>
        <v>1.6535928714237258</v>
      </c>
      <c r="BP115" s="7">
        <f t="shared" si="64"/>
        <v>1.6177985157549759</v>
      </c>
      <c r="BQ115" s="7">
        <f t="shared" si="65"/>
        <v>1.5817492787371719</v>
      </c>
      <c r="BR115" s="7">
        <f t="shared" si="66"/>
        <v>93.13864218819289</v>
      </c>
      <c r="BS115" s="7">
        <f t="shared" si="67"/>
        <v>0</v>
      </c>
      <c r="BT115" s="7">
        <f t="shared" si="68"/>
        <v>0</v>
      </c>
      <c r="BU115" s="7">
        <f t="shared" si="69"/>
        <v>0</v>
      </c>
      <c r="BV115" s="7">
        <f t="shared" si="70"/>
        <v>0</v>
      </c>
      <c r="BW115" s="7">
        <f t="shared" si="71"/>
        <v>0</v>
      </c>
      <c r="BX115" s="7">
        <f t="shared" si="72"/>
        <v>0</v>
      </c>
      <c r="BY115" s="7">
        <f t="shared" si="73"/>
        <v>0</v>
      </c>
      <c r="BZ115" s="7">
        <f t="shared" si="74"/>
        <v>0</v>
      </c>
      <c r="CA115" s="7">
        <f t="shared" si="75"/>
        <v>0</v>
      </c>
      <c r="CB115" s="7">
        <f t="shared" si="76"/>
        <v>0</v>
      </c>
      <c r="CC115" s="7">
        <f t="shared" si="77"/>
        <v>0</v>
      </c>
      <c r="CD115" s="7">
        <f t="shared" si="78"/>
        <v>0</v>
      </c>
      <c r="CE115" s="7">
        <f t="shared" si="79"/>
        <v>0</v>
      </c>
      <c r="CF115" s="7">
        <f t="shared" si="80"/>
        <v>0</v>
      </c>
      <c r="CG115" s="7">
        <f t="shared" si="81"/>
        <v>0</v>
      </c>
      <c r="CH115" s="7">
        <f t="shared" si="82"/>
        <v>0</v>
      </c>
      <c r="CI115" s="7">
        <f t="shared" si="83"/>
        <v>0</v>
      </c>
      <c r="CJ115" s="7">
        <f t="shared" si="84"/>
        <v>0</v>
      </c>
      <c r="CK115" s="7">
        <f t="shared" si="85"/>
        <v>0</v>
      </c>
      <c r="CL115" s="7">
        <f t="shared" si="86"/>
        <v>0</v>
      </c>
      <c r="CM115" s="7">
        <f t="shared" si="87"/>
        <v>0</v>
      </c>
      <c r="CN115" s="7">
        <f t="shared" si="88"/>
        <v>0</v>
      </c>
      <c r="CO115" s="7">
        <f t="shared" si="89"/>
        <v>0</v>
      </c>
      <c r="CP115" s="7">
        <f t="shared" si="90"/>
        <v>0</v>
      </c>
      <c r="CQ115" s="7">
        <f t="shared" si="91"/>
        <v>0</v>
      </c>
      <c r="CR115" s="7">
        <f t="shared" si="92"/>
        <v>0</v>
      </c>
      <c r="CS115" s="7">
        <f t="shared" si="93"/>
        <v>0</v>
      </c>
      <c r="CT115" s="7">
        <f t="shared" si="94"/>
        <v>0</v>
      </c>
      <c r="CU115" s="7">
        <f t="shared" si="95"/>
        <v>0</v>
      </c>
      <c r="CV115" s="7">
        <f t="shared" si="96"/>
        <v>0</v>
      </c>
      <c r="CW115" s="7">
        <f t="shared" si="97"/>
        <v>0</v>
      </c>
      <c r="CX115" s="7">
        <f t="shared" si="98"/>
        <v>0</v>
      </c>
      <c r="CY115" s="7">
        <f t="shared" si="99"/>
        <v>0</v>
      </c>
      <c r="CZ115" s="7">
        <f t="shared" si="100"/>
        <v>0</v>
      </c>
      <c r="DA115" s="7">
        <f t="shared" si="101"/>
        <v>0</v>
      </c>
      <c r="DB115" s="7">
        <f t="shared" si="102"/>
        <v>0</v>
      </c>
      <c r="DC115" s="7">
        <f t="shared" si="103"/>
        <v>0</v>
      </c>
      <c r="DD115" s="7">
        <f t="shared" si="104"/>
        <v>0</v>
      </c>
      <c r="DE115" s="7">
        <f t="shared" si="105"/>
        <v>0</v>
      </c>
      <c r="DF115" s="7">
        <f t="shared" si="106"/>
        <v>0</v>
      </c>
      <c r="DG115" s="7">
        <f t="shared" si="107"/>
        <v>0</v>
      </c>
      <c r="DH115" s="7">
        <f t="shared" si="108"/>
        <v>0</v>
      </c>
      <c r="DI115" s="7">
        <f t="shared" si="109"/>
        <v>0</v>
      </c>
      <c r="DJ115" s="7">
        <f t="shared" si="110"/>
        <v>0</v>
      </c>
      <c r="DK115" s="7">
        <f t="shared" si="111"/>
        <v>0</v>
      </c>
      <c r="DL115" s="7">
        <f t="shared" si="112"/>
        <v>0</v>
      </c>
      <c r="DM115" s="7">
        <f t="shared" si="113"/>
        <v>0</v>
      </c>
      <c r="DN115" s="7">
        <f t="shared" si="114"/>
        <v>0</v>
      </c>
      <c r="DO115" s="7">
        <f t="shared" si="115"/>
        <v>0</v>
      </c>
      <c r="DP115" s="7">
        <f t="shared" si="116"/>
        <v>0</v>
      </c>
      <c r="DQ115" s="7">
        <f t="shared" si="117"/>
        <v>0</v>
      </c>
      <c r="DR115" s="7">
        <f t="shared" si="118"/>
        <v>0</v>
      </c>
      <c r="DS115" s="7">
        <f t="shared" si="119"/>
        <v>0</v>
      </c>
      <c r="DT115" s="7">
        <f t="shared" si="120"/>
        <v>0</v>
      </c>
      <c r="DU115" s="7">
        <f t="shared" si="121"/>
        <v>0</v>
      </c>
    </row>
    <row r="116" spans="1:125" x14ac:dyDescent="0.2">
      <c r="A116" s="3">
        <f>Bonds!A116</f>
        <v>47026</v>
      </c>
      <c r="B116" s="4">
        <f>Bonds!B116</f>
        <v>1.25</v>
      </c>
      <c r="C116">
        <f>Bonds!P116</f>
        <v>5</v>
      </c>
      <c r="D116">
        <f t="shared" si="61"/>
        <v>1</v>
      </c>
      <c r="E116" s="3">
        <f>IF(1&gt;$C116,"",IF($D116=1,EOMONTH(EDATE(Bonds!$H116,6*(1-1)),0),EDATE(Bonds!$H116,6*(1-1))))</f>
        <v>46295</v>
      </c>
      <c r="F116" s="3">
        <f>IF(2&gt;$C116,"",IF($D116=1,EOMONTH(EDATE(Bonds!$H116,6*(2-1)),0),EDATE(Bonds!$H116,6*(2-1))))</f>
        <v>46477</v>
      </c>
      <c r="G116" s="3">
        <f>IF(3&gt;$C116,"",IF($D116=1,EOMONTH(EDATE(Bonds!$H116,6*(3-1)),0),EDATE(Bonds!$H116,6*(3-1))))</f>
        <v>46660</v>
      </c>
      <c r="H116" s="3">
        <f>IF(4&gt;$C116,"",IF($D116=1,EOMONTH(EDATE(Bonds!$H116,6*(4-1)),0),EDATE(Bonds!$H116,6*(4-1))))</f>
        <v>46843</v>
      </c>
      <c r="I116" s="3">
        <f>IF(5&gt;$C116,"",IF($D116=1,EOMONTH(EDATE(Bonds!$H116,6*(5-1)),0),EDATE(Bonds!$H116,6*(5-1))))</f>
        <v>47026</v>
      </c>
      <c r="J116" s="3" t="str">
        <f>IF(6&gt;$C116,"",IF($D116=1,EOMONTH(EDATE(Bonds!$H116,6*(6-1)),0),EDATE(Bonds!$H116,6*(6-1))))</f>
        <v/>
      </c>
      <c r="K116" s="3" t="str">
        <f>IF(7&gt;$C116,"",IF($D116=1,EOMONTH(EDATE(Bonds!$H116,6*(7-1)),0),EDATE(Bonds!$H116,6*(7-1))))</f>
        <v/>
      </c>
      <c r="L116" s="3" t="str">
        <f>IF(8&gt;$C116,"",IF($D116=1,EOMONTH(EDATE(Bonds!$H116,6*(8-1)),0),EDATE(Bonds!$H116,6*(8-1))))</f>
        <v/>
      </c>
      <c r="M116" s="3" t="str">
        <f>IF(9&gt;$C116,"",IF($D116=1,EOMONTH(EDATE(Bonds!$H116,6*(9-1)),0),EDATE(Bonds!$H116,6*(9-1))))</f>
        <v/>
      </c>
      <c r="N116" s="3" t="str">
        <f>IF(10&gt;$C116,"",IF($D116=1,EOMONTH(EDATE(Bonds!$H116,6*(10-1)),0),EDATE(Bonds!$H116,6*(10-1))))</f>
        <v/>
      </c>
      <c r="O116" s="3" t="str">
        <f>IF(11&gt;$C116,"",IF($D116=1,EOMONTH(EDATE(Bonds!$H116,6*(11-1)),0),EDATE(Bonds!$H116,6*(11-1))))</f>
        <v/>
      </c>
      <c r="P116" s="3" t="str">
        <f>IF(12&gt;$C116,"",IF($D116=1,EOMONTH(EDATE(Bonds!$H116,6*(12-1)),0),EDATE(Bonds!$H116,6*(12-1))))</f>
        <v/>
      </c>
      <c r="Q116" s="3" t="str">
        <f>IF(13&gt;$C116,"",IF($D116=1,EOMONTH(EDATE(Bonds!$H116,6*(13-1)),0),EDATE(Bonds!$H116,6*(13-1))))</f>
        <v/>
      </c>
      <c r="R116" s="3" t="str">
        <f>IF(14&gt;$C116,"",IF($D116=1,EOMONTH(EDATE(Bonds!$H116,6*(14-1)),0),EDATE(Bonds!$H116,6*(14-1))))</f>
        <v/>
      </c>
      <c r="S116" s="3" t="str">
        <f>IF(15&gt;$C116,"",IF($D116=1,EOMONTH(EDATE(Bonds!$H116,6*(15-1)),0),EDATE(Bonds!$H116,6*(15-1))))</f>
        <v/>
      </c>
      <c r="T116" s="3" t="str">
        <f>IF(16&gt;$C116,"",IF($D116=1,EOMONTH(EDATE(Bonds!$H116,6*(16-1)),0),EDATE(Bonds!$H116,6*(16-1))))</f>
        <v/>
      </c>
      <c r="U116" s="3" t="str">
        <f>IF(17&gt;$C116,"",IF($D116=1,EOMONTH(EDATE(Bonds!$H116,6*(17-1)),0),EDATE(Bonds!$H116,6*(17-1))))</f>
        <v/>
      </c>
      <c r="V116" s="3" t="str">
        <f>IF(18&gt;$C116,"",IF($D116=1,EOMONTH(EDATE(Bonds!$H116,6*(18-1)),0),EDATE(Bonds!$H116,6*(18-1))))</f>
        <v/>
      </c>
      <c r="W116" s="3" t="str">
        <f>IF(19&gt;$C116,"",IF($D116=1,EOMONTH(EDATE(Bonds!$H116,6*(19-1)),0),EDATE(Bonds!$H116,6*(19-1))))</f>
        <v/>
      </c>
      <c r="X116" s="3" t="str">
        <f>IF(20&gt;$C116,"",IF($D116=1,EOMONTH(EDATE(Bonds!$H116,6*(20-1)),0),EDATE(Bonds!$H116,6*(20-1))))</f>
        <v/>
      </c>
      <c r="Y116" s="3" t="str">
        <f>IF(21&gt;$C116,"",IF($D116=1,EOMONTH(EDATE(Bonds!$H116,6*(21-1)),0),EDATE(Bonds!$H116,6*(21-1))))</f>
        <v/>
      </c>
      <c r="Z116" s="3" t="str">
        <f>IF(22&gt;$C116,"",IF($D116=1,EOMONTH(EDATE(Bonds!$H116,6*(22-1)),0),EDATE(Bonds!$H116,6*(22-1))))</f>
        <v/>
      </c>
      <c r="AA116" s="3" t="str">
        <f>IF(23&gt;$C116,"",IF($D116=1,EOMONTH(EDATE(Bonds!$H116,6*(23-1)),0),EDATE(Bonds!$H116,6*(23-1))))</f>
        <v/>
      </c>
      <c r="AB116" s="3" t="str">
        <f>IF(24&gt;$C116,"",IF($D116=1,EOMONTH(EDATE(Bonds!$H116,6*(24-1)),0),EDATE(Bonds!$H116,6*(24-1))))</f>
        <v/>
      </c>
      <c r="AC116" s="3" t="str">
        <f>IF(25&gt;$C116,"",IF($D116=1,EOMONTH(EDATE(Bonds!$H116,6*(25-1)),0),EDATE(Bonds!$H116,6*(25-1))))</f>
        <v/>
      </c>
      <c r="AD116" s="3" t="str">
        <f>IF(26&gt;$C116,"",IF($D116=1,EOMONTH(EDATE(Bonds!$H116,6*(26-1)),0),EDATE(Bonds!$H116,6*(26-1))))</f>
        <v/>
      </c>
      <c r="AE116" s="3" t="str">
        <f>IF(27&gt;$C116,"",IF($D116=1,EOMONTH(EDATE(Bonds!$H116,6*(27-1)),0),EDATE(Bonds!$H116,6*(27-1))))</f>
        <v/>
      </c>
      <c r="AF116" s="3" t="str">
        <f>IF(28&gt;$C116,"",IF($D116=1,EOMONTH(EDATE(Bonds!$H116,6*(28-1)),0),EDATE(Bonds!$H116,6*(28-1))))</f>
        <v/>
      </c>
      <c r="AG116" s="3" t="str">
        <f>IF(29&gt;$C116,"",IF($D116=1,EOMONTH(EDATE(Bonds!$H116,6*(29-1)),0),EDATE(Bonds!$H116,6*(29-1))))</f>
        <v/>
      </c>
      <c r="AH116" s="3" t="str">
        <f>IF(30&gt;$C116,"",IF($D116=1,EOMONTH(EDATE(Bonds!$H116,6*(30-1)),0),EDATE(Bonds!$H116,6*(30-1))))</f>
        <v/>
      </c>
      <c r="AI116" s="3" t="str">
        <f>IF(31&gt;$C116,"",IF($D116=1,EOMONTH(EDATE(Bonds!$H116,6*(31-1)),0),EDATE(Bonds!$H116,6*(31-1))))</f>
        <v/>
      </c>
      <c r="AJ116" s="3" t="str">
        <f>IF(32&gt;$C116,"",IF($D116=1,EOMONTH(EDATE(Bonds!$H116,6*(32-1)),0),EDATE(Bonds!$H116,6*(32-1))))</f>
        <v/>
      </c>
      <c r="AK116" s="3" t="str">
        <f>IF(33&gt;$C116,"",IF($D116=1,EOMONTH(EDATE(Bonds!$H116,6*(33-1)),0),EDATE(Bonds!$H116,6*(33-1))))</f>
        <v/>
      </c>
      <c r="AL116" s="3" t="str">
        <f>IF(34&gt;$C116,"",IF($D116=1,EOMONTH(EDATE(Bonds!$H116,6*(34-1)),0),EDATE(Bonds!$H116,6*(34-1))))</f>
        <v/>
      </c>
      <c r="AM116" s="3" t="str">
        <f>IF(35&gt;$C116,"",IF($D116=1,EOMONTH(EDATE(Bonds!$H116,6*(35-1)),0),EDATE(Bonds!$H116,6*(35-1))))</f>
        <v/>
      </c>
      <c r="AN116" s="3" t="str">
        <f>IF(36&gt;$C116,"",IF($D116=1,EOMONTH(EDATE(Bonds!$H116,6*(36-1)),0),EDATE(Bonds!$H116,6*(36-1))))</f>
        <v/>
      </c>
      <c r="AO116" s="3" t="str">
        <f>IF(37&gt;$C116,"",IF($D116=1,EOMONTH(EDATE(Bonds!$H116,6*(37-1)),0),EDATE(Bonds!$H116,6*(37-1))))</f>
        <v/>
      </c>
      <c r="AP116" s="3" t="str">
        <f>IF(38&gt;$C116,"",IF($D116=1,EOMONTH(EDATE(Bonds!$H116,6*(38-1)),0),EDATE(Bonds!$H116,6*(38-1))))</f>
        <v/>
      </c>
      <c r="AQ116" s="3" t="str">
        <f>IF(39&gt;$C116,"",IF($D116=1,EOMONTH(EDATE(Bonds!$H116,6*(39-1)),0),EDATE(Bonds!$H116,6*(39-1))))</f>
        <v/>
      </c>
      <c r="AR116" s="3" t="str">
        <f>IF(40&gt;$C116,"",IF($D116=1,EOMONTH(EDATE(Bonds!$H116,6*(40-1)),0),EDATE(Bonds!$H116,6*(40-1))))</f>
        <v/>
      </c>
      <c r="AS116" s="3" t="str">
        <f>IF(41&gt;$C116,"",IF($D116=1,EOMONTH(EDATE(Bonds!$H116,6*(41-1)),0),EDATE(Bonds!$H116,6*(41-1))))</f>
        <v/>
      </c>
      <c r="AT116" s="3" t="str">
        <f>IF(42&gt;$C116,"",IF($D116=1,EOMONTH(EDATE(Bonds!$H116,6*(42-1)),0),EDATE(Bonds!$H116,6*(42-1))))</f>
        <v/>
      </c>
      <c r="AU116" s="3" t="str">
        <f>IF(43&gt;$C116,"",IF($D116=1,EOMONTH(EDATE(Bonds!$H116,6*(43-1)),0),EDATE(Bonds!$H116,6*(43-1))))</f>
        <v/>
      </c>
      <c r="AV116" s="3" t="str">
        <f>IF(44&gt;$C116,"",IF($D116=1,EOMONTH(EDATE(Bonds!$H116,6*(44-1)),0),EDATE(Bonds!$H116,6*(44-1))))</f>
        <v/>
      </c>
      <c r="AW116" s="3" t="str">
        <f>IF(45&gt;$C116,"",IF($D116=1,EOMONTH(EDATE(Bonds!$H116,6*(45-1)),0),EDATE(Bonds!$H116,6*(45-1))))</f>
        <v/>
      </c>
      <c r="AX116" s="3" t="str">
        <f>IF(46&gt;$C116,"",IF($D116=1,EOMONTH(EDATE(Bonds!$H116,6*(46-1)),0),EDATE(Bonds!$H116,6*(46-1))))</f>
        <v/>
      </c>
      <c r="AY116" s="3" t="str">
        <f>IF(47&gt;$C116,"",IF($D116=1,EOMONTH(EDATE(Bonds!$H116,6*(47-1)),0),EDATE(Bonds!$H116,6*(47-1))))</f>
        <v/>
      </c>
      <c r="AZ116" s="3" t="str">
        <f>IF(48&gt;$C116,"",IF($D116=1,EOMONTH(EDATE(Bonds!$H116,6*(48-1)),0),EDATE(Bonds!$H116,6*(48-1))))</f>
        <v/>
      </c>
      <c r="BA116" s="3" t="str">
        <f>IF(49&gt;$C116,"",IF($D116=1,EOMONTH(EDATE(Bonds!$H116,6*(49-1)),0),EDATE(Bonds!$H116,6*(49-1))))</f>
        <v/>
      </c>
      <c r="BB116" s="3" t="str">
        <f>IF(50&gt;$C116,"",IF($D116=1,EOMONTH(EDATE(Bonds!$H116,6*(50-1)),0),EDATE(Bonds!$H116,6*(50-1))))</f>
        <v/>
      </c>
      <c r="BC116" s="3" t="str">
        <f>IF(51&gt;$C116,"",IF($D116=1,EOMONTH(EDATE(Bonds!$H116,6*(51-1)),0),EDATE(Bonds!$H116,6*(51-1))))</f>
        <v/>
      </c>
      <c r="BD116" s="3" t="str">
        <f>IF(52&gt;$C116,"",IF($D116=1,EOMONTH(EDATE(Bonds!$H116,6*(52-1)),0),EDATE(Bonds!$H116,6*(52-1))))</f>
        <v/>
      </c>
      <c r="BE116" s="3" t="str">
        <f>IF(53&gt;$C116,"",IF($D116=1,EOMONTH(EDATE(Bonds!$H116,6*(53-1)),0),EDATE(Bonds!$H116,6*(53-1))))</f>
        <v/>
      </c>
      <c r="BF116" s="3" t="str">
        <f>IF(54&gt;$C116,"",IF($D116=1,EOMONTH(EDATE(Bonds!$H116,6*(54-1)),0),EDATE(Bonds!$H116,6*(54-1))))</f>
        <v/>
      </c>
      <c r="BG116" s="3" t="str">
        <f>IF(55&gt;$C116,"",IF($D116=1,EOMONTH(EDATE(Bonds!$H116,6*(55-1)),0),EDATE(Bonds!$H116,6*(55-1))))</f>
        <v/>
      </c>
      <c r="BH116" s="3" t="str">
        <f>IF(56&gt;$C116,"",IF($D116=1,EOMONTH(EDATE(Bonds!$H116,6*(56-1)),0),EDATE(Bonds!$H116,6*(56-1))))</f>
        <v/>
      </c>
      <c r="BI116" s="3" t="str">
        <f>IF(57&gt;$C116,"",IF($D116=1,EOMONTH(EDATE(Bonds!$H116,6*(57-1)),0),EDATE(Bonds!$H116,6*(57-1))))</f>
        <v/>
      </c>
      <c r="BJ116" s="3" t="str">
        <f>IF(58&gt;$C116,"",IF($D116=1,EOMONTH(EDATE(Bonds!$H116,6*(58-1)),0),EDATE(Bonds!$H116,6*(58-1))))</f>
        <v/>
      </c>
      <c r="BK116" s="3" t="str">
        <f>IF(59&gt;$C116,"",IF($D116=1,EOMONTH(EDATE(Bonds!$H116,6*(59-1)),0),EDATE(Bonds!$H116,6*(59-1))))</f>
        <v/>
      </c>
      <c r="BL116" s="3" t="str">
        <f>IF(60&gt;$C116,"",IF($D116=1,EOMONTH(EDATE(Bonds!$H116,6*(60-1)),0),EDATE(Bonds!$H116,6*(60-1))))</f>
        <v/>
      </c>
      <c r="BN116" s="7">
        <f t="shared" si="62"/>
        <v>0.62361838854715035</v>
      </c>
      <c r="BO116" s="7">
        <f t="shared" si="63"/>
        <v>0.61131340987428251</v>
      </c>
      <c r="BP116" s="7">
        <f t="shared" si="64"/>
        <v>0.59808657380923602</v>
      </c>
      <c r="BQ116" s="7">
        <f t="shared" si="65"/>
        <v>0.58466164084837946</v>
      </c>
      <c r="BR116" s="7">
        <f t="shared" si="66"/>
        <v>91.991710904433035</v>
      </c>
      <c r="BS116" s="7">
        <f t="shared" si="67"/>
        <v>0</v>
      </c>
      <c r="BT116" s="7">
        <f t="shared" si="68"/>
        <v>0</v>
      </c>
      <c r="BU116" s="7">
        <f t="shared" si="69"/>
        <v>0</v>
      </c>
      <c r="BV116" s="7">
        <f t="shared" si="70"/>
        <v>0</v>
      </c>
      <c r="BW116" s="7">
        <f t="shared" si="71"/>
        <v>0</v>
      </c>
      <c r="BX116" s="7">
        <f t="shared" si="72"/>
        <v>0</v>
      </c>
      <c r="BY116" s="7">
        <f t="shared" si="73"/>
        <v>0</v>
      </c>
      <c r="BZ116" s="7">
        <f t="shared" si="74"/>
        <v>0</v>
      </c>
      <c r="CA116" s="7">
        <f t="shared" si="75"/>
        <v>0</v>
      </c>
      <c r="CB116" s="7">
        <f t="shared" si="76"/>
        <v>0</v>
      </c>
      <c r="CC116" s="7">
        <f t="shared" si="77"/>
        <v>0</v>
      </c>
      <c r="CD116" s="7">
        <f t="shared" si="78"/>
        <v>0</v>
      </c>
      <c r="CE116" s="7">
        <f t="shared" si="79"/>
        <v>0</v>
      </c>
      <c r="CF116" s="7">
        <f t="shared" si="80"/>
        <v>0</v>
      </c>
      <c r="CG116" s="7">
        <f t="shared" si="81"/>
        <v>0</v>
      </c>
      <c r="CH116" s="7">
        <f t="shared" si="82"/>
        <v>0</v>
      </c>
      <c r="CI116" s="7">
        <f t="shared" si="83"/>
        <v>0</v>
      </c>
      <c r="CJ116" s="7">
        <f t="shared" si="84"/>
        <v>0</v>
      </c>
      <c r="CK116" s="7">
        <f t="shared" si="85"/>
        <v>0</v>
      </c>
      <c r="CL116" s="7">
        <f t="shared" si="86"/>
        <v>0</v>
      </c>
      <c r="CM116" s="7">
        <f t="shared" si="87"/>
        <v>0</v>
      </c>
      <c r="CN116" s="7">
        <f t="shared" si="88"/>
        <v>0</v>
      </c>
      <c r="CO116" s="7">
        <f t="shared" si="89"/>
        <v>0</v>
      </c>
      <c r="CP116" s="7">
        <f t="shared" si="90"/>
        <v>0</v>
      </c>
      <c r="CQ116" s="7">
        <f t="shared" si="91"/>
        <v>0</v>
      </c>
      <c r="CR116" s="7">
        <f t="shared" si="92"/>
        <v>0</v>
      </c>
      <c r="CS116" s="7">
        <f t="shared" si="93"/>
        <v>0</v>
      </c>
      <c r="CT116" s="7">
        <f t="shared" si="94"/>
        <v>0</v>
      </c>
      <c r="CU116" s="7">
        <f t="shared" si="95"/>
        <v>0</v>
      </c>
      <c r="CV116" s="7">
        <f t="shared" si="96"/>
        <v>0</v>
      </c>
      <c r="CW116" s="7">
        <f t="shared" si="97"/>
        <v>0</v>
      </c>
      <c r="CX116" s="7">
        <f t="shared" si="98"/>
        <v>0</v>
      </c>
      <c r="CY116" s="7">
        <f t="shared" si="99"/>
        <v>0</v>
      </c>
      <c r="CZ116" s="7">
        <f t="shared" si="100"/>
        <v>0</v>
      </c>
      <c r="DA116" s="7">
        <f t="shared" si="101"/>
        <v>0</v>
      </c>
      <c r="DB116" s="7">
        <f t="shared" si="102"/>
        <v>0</v>
      </c>
      <c r="DC116" s="7">
        <f t="shared" si="103"/>
        <v>0</v>
      </c>
      <c r="DD116" s="7">
        <f t="shared" si="104"/>
        <v>0</v>
      </c>
      <c r="DE116" s="7">
        <f t="shared" si="105"/>
        <v>0</v>
      </c>
      <c r="DF116" s="7">
        <f t="shared" si="106"/>
        <v>0</v>
      </c>
      <c r="DG116" s="7">
        <f t="shared" si="107"/>
        <v>0</v>
      </c>
      <c r="DH116" s="7">
        <f t="shared" si="108"/>
        <v>0</v>
      </c>
      <c r="DI116" s="7">
        <f t="shared" si="109"/>
        <v>0</v>
      </c>
      <c r="DJ116" s="7">
        <f t="shared" si="110"/>
        <v>0</v>
      </c>
      <c r="DK116" s="7">
        <f t="shared" si="111"/>
        <v>0</v>
      </c>
      <c r="DL116" s="7">
        <f t="shared" si="112"/>
        <v>0</v>
      </c>
      <c r="DM116" s="7">
        <f t="shared" si="113"/>
        <v>0</v>
      </c>
      <c r="DN116" s="7">
        <f t="shared" si="114"/>
        <v>0</v>
      </c>
      <c r="DO116" s="7">
        <f t="shared" si="115"/>
        <v>0</v>
      </c>
      <c r="DP116" s="7">
        <f t="shared" si="116"/>
        <v>0</v>
      </c>
      <c r="DQ116" s="7">
        <f t="shared" si="117"/>
        <v>0</v>
      </c>
      <c r="DR116" s="7">
        <f t="shared" si="118"/>
        <v>0</v>
      </c>
      <c r="DS116" s="7">
        <f t="shared" si="119"/>
        <v>0</v>
      </c>
      <c r="DT116" s="7">
        <f t="shared" si="120"/>
        <v>0</v>
      </c>
      <c r="DU116" s="7">
        <f t="shared" si="121"/>
        <v>0</v>
      </c>
    </row>
    <row r="117" spans="1:125" x14ac:dyDescent="0.2">
      <c r="A117" s="3">
        <f>Bonds!A117</f>
        <v>47026</v>
      </c>
      <c r="B117" s="4">
        <f>Bonds!B117</f>
        <v>4.625</v>
      </c>
      <c r="C117">
        <f>Bonds!P117</f>
        <v>5</v>
      </c>
      <c r="D117">
        <f t="shared" si="61"/>
        <v>1</v>
      </c>
      <c r="E117" s="3">
        <f>IF(1&gt;$C117,"",IF($D117=1,EOMONTH(EDATE(Bonds!$H117,6*(1-1)),0),EDATE(Bonds!$H117,6*(1-1))))</f>
        <v>46295</v>
      </c>
      <c r="F117" s="3">
        <f>IF(2&gt;$C117,"",IF($D117=1,EOMONTH(EDATE(Bonds!$H117,6*(2-1)),0),EDATE(Bonds!$H117,6*(2-1))))</f>
        <v>46477</v>
      </c>
      <c r="G117" s="3">
        <f>IF(3&gt;$C117,"",IF($D117=1,EOMONTH(EDATE(Bonds!$H117,6*(3-1)),0),EDATE(Bonds!$H117,6*(3-1))))</f>
        <v>46660</v>
      </c>
      <c r="H117" s="3">
        <f>IF(4&gt;$C117,"",IF($D117=1,EOMONTH(EDATE(Bonds!$H117,6*(4-1)),0),EDATE(Bonds!$H117,6*(4-1))))</f>
        <v>46843</v>
      </c>
      <c r="I117" s="3">
        <f>IF(5&gt;$C117,"",IF($D117=1,EOMONTH(EDATE(Bonds!$H117,6*(5-1)),0),EDATE(Bonds!$H117,6*(5-1))))</f>
        <v>47026</v>
      </c>
      <c r="J117" s="3" t="str">
        <f>IF(6&gt;$C117,"",IF($D117=1,EOMONTH(EDATE(Bonds!$H117,6*(6-1)),0),EDATE(Bonds!$H117,6*(6-1))))</f>
        <v/>
      </c>
      <c r="K117" s="3" t="str">
        <f>IF(7&gt;$C117,"",IF($D117=1,EOMONTH(EDATE(Bonds!$H117,6*(7-1)),0),EDATE(Bonds!$H117,6*(7-1))))</f>
        <v/>
      </c>
      <c r="L117" s="3" t="str">
        <f>IF(8&gt;$C117,"",IF($D117=1,EOMONTH(EDATE(Bonds!$H117,6*(8-1)),0),EDATE(Bonds!$H117,6*(8-1))))</f>
        <v/>
      </c>
      <c r="M117" s="3" t="str">
        <f>IF(9&gt;$C117,"",IF($D117=1,EOMONTH(EDATE(Bonds!$H117,6*(9-1)),0),EDATE(Bonds!$H117,6*(9-1))))</f>
        <v/>
      </c>
      <c r="N117" s="3" t="str">
        <f>IF(10&gt;$C117,"",IF($D117=1,EOMONTH(EDATE(Bonds!$H117,6*(10-1)),0),EDATE(Bonds!$H117,6*(10-1))))</f>
        <v/>
      </c>
      <c r="O117" s="3" t="str">
        <f>IF(11&gt;$C117,"",IF($D117=1,EOMONTH(EDATE(Bonds!$H117,6*(11-1)),0),EDATE(Bonds!$H117,6*(11-1))))</f>
        <v/>
      </c>
      <c r="P117" s="3" t="str">
        <f>IF(12&gt;$C117,"",IF($D117=1,EOMONTH(EDATE(Bonds!$H117,6*(12-1)),0),EDATE(Bonds!$H117,6*(12-1))))</f>
        <v/>
      </c>
      <c r="Q117" s="3" t="str">
        <f>IF(13&gt;$C117,"",IF($D117=1,EOMONTH(EDATE(Bonds!$H117,6*(13-1)),0),EDATE(Bonds!$H117,6*(13-1))))</f>
        <v/>
      </c>
      <c r="R117" s="3" t="str">
        <f>IF(14&gt;$C117,"",IF($D117=1,EOMONTH(EDATE(Bonds!$H117,6*(14-1)),0),EDATE(Bonds!$H117,6*(14-1))))</f>
        <v/>
      </c>
      <c r="S117" s="3" t="str">
        <f>IF(15&gt;$C117,"",IF($D117=1,EOMONTH(EDATE(Bonds!$H117,6*(15-1)),0),EDATE(Bonds!$H117,6*(15-1))))</f>
        <v/>
      </c>
      <c r="T117" s="3" t="str">
        <f>IF(16&gt;$C117,"",IF($D117=1,EOMONTH(EDATE(Bonds!$H117,6*(16-1)),0),EDATE(Bonds!$H117,6*(16-1))))</f>
        <v/>
      </c>
      <c r="U117" s="3" t="str">
        <f>IF(17&gt;$C117,"",IF($D117=1,EOMONTH(EDATE(Bonds!$H117,6*(17-1)),0),EDATE(Bonds!$H117,6*(17-1))))</f>
        <v/>
      </c>
      <c r="V117" s="3" t="str">
        <f>IF(18&gt;$C117,"",IF($D117=1,EOMONTH(EDATE(Bonds!$H117,6*(18-1)),0),EDATE(Bonds!$H117,6*(18-1))))</f>
        <v/>
      </c>
      <c r="W117" s="3" t="str">
        <f>IF(19&gt;$C117,"",IF($D117=1,EOMONTH(EDATE(Bonds!$H117,6*(19-1)),0),EDATE(Bonds!$H117,6*(19-1))))</f>
        <v/>
      </c>
      <c r="X117" s="3" t="str">
        <f>IF(20&gt;$C117,"",IF($D117=1,EOMONTH(EDATE(Bonds!$H117,6*(20-1)),0),EDATE(Bonds!$H117,6*(20-1))))</f>
        <v/>
      </c>
      <c r="Y117" s="3" t="str">
        <f>IF(21&gt;$C117,"",IF($D117=1,EOMONTH(EDATE(Bonds!$H117,6*(21-1)),0),EDATE(Bonds!$H117,6*(21-1))))</f>
        <v/>
      </c>
      <c r="Z117" s="3" t="str">
        <f>IF(22&gt;$C117,"",IF($D117=1,EOMONTH(EDATE(Bonds!$H117,6*(22-1)),0),EDATE(Bonds!$H117,6*(22-1))))</f>
        <v/>
      </c>
      <c r="AA117" s="3" t="str">
        <f>IF(23&gt;$C117,"",IF($D117=1,EOMONTH(EDATE(Bonds!$H117,6*(23-1)),0),EDATE(Bonds!$H117,6*(23-1))))</f>
        <v/>
      </c>
      <c r="AB117" s="3" t="str">
        <f>IF(24&gt;$C117,"",IF($D117=1,EOMONTH(EDATE(Bonds!$H117,6*(24-1)),0),EDATE(Bonds!$H117,6*(24-1))))</f>
        <v/>
      </c>
      <c r="AC117" s="3" t="str">
        <f>IF(25&gt;$C117,"",IF($D117=1,EOMONTH(EDATE(Bonds!$H117,6*(25-1)),0),EDATE(Bonds!$H117,6*(25-1))))</f>
        <v/>
      </c>
      <c r="AD117" s="3" t="str">
        <f>IF(26&gt;$C117,"",IF($D117=1,EOMONTH(EDATE(Bonds!$H117,6*(26-1)),0),EDATE(Bonds!$H117,6*(26-1))))</f>
        <v/>
      </c>
      <c r="AE117" s="3" t="str">
        <f>IF(27&gt;$C117,"",IF($D117=1,EOMONTH(EDATE(Bonds!$H117,6*(27-1)),0),EDATE(Bonds!$H117,6*(27-1))))</f>
        <v/>
      </c>
      <c r="AF117" s="3" t="str">
        <f>IF(28&gt;$C117,"",IF($D117=1,EOMONTH(EDATE(Bonds!$H117,6*(28-1)),0),EDATE(Bonds!$H117,6*(28-1))))</f>
        <v/>
      </c>
      <c r="AG117" s="3" t="str">
        <f>IF(29&gt;$C117,"",IF($D117=1,EOMONTH(EDATE(Bonds!$H117,6*(29-1)),0),EDATE(Bonds!$H117,6*(29-1))))</f>
        <v/>
      </c>
      <c r="AH117" s="3" t="str">
        <f>IF(30&gt;$C117,"",IF($D117=1,EOMONTH(EDATE(Bonds!$H117,6*(30-1)),0),EDATE(Bonds!$H117,6*(30-1))))</f>
        <v/>
      </c>
      <c r="AI117" s="3" t="str">
        <f>IF(31&gt;$C117,"",IF($D117=1,EOMONTH(EDATE(Bonds!$H117,6*(31-1)),0),EDATE(Bonds!$H117,6*(31-1))))</f>
        <v/>
      </c>
      <c r="AJ117" s="3" t="str">
        <f>IF(32&gt;$C117,"",IF($D117=1,EOMONTH(EDATE(Bonds!$H117,6*(32-1)),0),EDATE(Bonds!$H117,6*(32-1))))</f>
        <v/>
      </c>
      <c r="AK117" s="3" t="str">
        <f>IF(33&gt;$C117,"",IF($D117=1,EOMONTH(EDATE(Bonds!$H117,6*(33-1)),0),EDATE(Bonds!$H117,6*(33-1))))</f>
        <v/>
      </c>
      <c r="AL117" s="3" t="str">
        <f>IF(34&gt;$C117,"",IF($D117=1,EOMONTH(EDATE(Bonds!$H117,6*(34-1)),0),EDATE(Bonds!$H117,6*(34-1))))</f>
        <v/>
      </c>
      <c r="AM117" s="3" t="str">
        <f>IF(35&gt;$C117,"",IF($D117=1,EOMONTH(EDATE(Bonds!$H117,6*(35-1)),0),EDATE(Bonds!$H117,6*(35-1))))</f>
        <v/>
      </c>
      <c r="AN117" s="3" t="str">
        <f>IF(36&gt;$C117,"",IF($D117=1,EOMONTH(EDATE(Bonds!$H117,6*(36-1)),0),EDATE(Bonds!$H117,6*(36-1))))</f>
        <v/>
      </c>
      <c r="AO117" s="3" t="str">
        <f>IF(37&gt;$C117,"",IF($D117=1,EOMONTH(EDATE(Bonds!$H117,6*(37-1)),0),EDATE(Bonds!$H117,6*(37-1))))</f>
        <v/>
      </c>
      <c r="AP117" s="3" t="str">
        <f>IF(38&gt;$C117,"",IF($D117=1,EOMONTH(EDATE(Bonds!$H117,6*(38-1)),0),EDATE(Bonds!$H117,6*(38-1))))</f>
        <v/>
      </c>
      <c r="AQ117" s="3" t="str">
        <f>IF(39&gt;$C117,"",IF($D117=1,EOMONTH(EDATE(Bonds!$H117,6*(39-1)),0),EDATE(Bonds!$H117,6*(39-1))))</f>
        <v/>
      </c>
      <c r="AR117" s="3" t="str">
        <f>IF(40&gt;$C117,"",IF($D117=1,EOMONTH(EDATE(Bonds!$H117,6*(40-1)),0),EDATE(Bonds!$H117,6*(40-1))))</f>
        <v/>
      </c>
      <c r="AS117" s="3" t="str">
        <f>IF(41&gt;$C117,"",IF($D117=1,EOMONTH(EDATE(Bonds!$H117,6*(41-1)),0),EDATE(Bonds!$H117,6*(41-1))))</f>
        <v/>
      </c>
      <c r="AT117" s="3" t="str">
        <f>IF(42&gt;$C117,"",IF($D117=1,EOMONTH(EDATE(Bonds!$H117,6*(42-1)),0),EDATE(Bonds!$H117,6*(42-1))))</f>
        <v/>
      </c>
      <c r="AU117" s="3" t="str">
        <f>IF(43&gt;$C117,"",IF($D117=1,EOMONTH(EDATE(Bonds!$H117,6*(43-1)),0),EDATE(Bonds!$H117,6*(43-1))))</f>
        <v/>
      </c>
      <c r="AV117" s="3" t="str">
        <f>IF(44&gt;$C117,"",IF($D117=1,EOMONTH(EDATE(Bonds!$H117,6*(44-1)),0),EDATE(Bonds!$H117,6*(44-1))))</f>
        <v/>
      </c>
      <c r="AW117" s="3" t="str">
        <f>IF(45&gt;$C117,"",IF($D117=1,EOMONTH(EDATE(Bonds!$H117,6*(45-1)),0),EDATE(Bonds!$H117,6*(45-1))))</f>
        <v/>
      </c>
      <c r="AX117" s="3" t="str">
        <f>IF(46&gt;$C117,"",IF($D117=1,EOMONTH(EDATE(Bonds!$H117,6*(46-1)),0),EDATE(Bonds!$H117,6*(46-1))))</f>
        <v/>
      </c>
      <c r="AY117" s="3" t="str">
        <f>IF(47&gt;$C117,"",IF($D117=1,EOMONTH(EDATE(Bonds!$H117,6*(47-1)),0),EDATE(Bonds!$H117,6*(47-1))))</f>
        <v/>
      </c>
      <c r="AZ117" s="3" t="str">
        <f>IF(48&gt;$C117,"",IF($D117=1,EOMONTH(EDATE(Bonds!$H117,6*(48-1)),0),EDATE(Bonds!$H117,6*(48-1))))</f>
        <v/>
      </c>
      <c r="BA117" s="3" t="str">
        <f>IF(49&gt;$C117,"",IF($D117=1,EOMONTH(EDATE(Bonds!$H117,6*(49-1)),0),EDATE(Bonds!$H117,6*(49-1))))</f>
        <v/>
      </c>
      <c r="BB117" s="3" t="str">
        <f>IF(50&gt;$C117,"",IF($D117=1,EOMONTH(EDATE(Bonds!$H117,6*(50-1)),0),EDATE(Bonds!$H117,6*(50-1))))</f>
        <v/>
      </c>
      <c r="BC117" s="3" t="str">
        <f>IF(51&gt;$C117,"",IF($D117=1,EOMONTH(EDATE(Bonds!$H117,6*(51-1)),0),EDATE(Bonds!$H117,6*(51-1))))</f>
        <v/>
      </c>
      <c r="BD117" s="3" t="str">
        <f>IF(52&gt;$C117,"",IF($D117=1,EOMONTH(EDATE(Bonds!$H117,6*(52-1)),0),EDATE(Bonds!$H117,6*(52-1))))</f>
        <v/>
      </c>
      <c r="BE117" s="3" t="str">
        <f>IF(53&gt;$C117,"",IF($D117=1,EOMONTH(EDATE(Bonds!$H117,6*(53-1)),0),EDATE(Bonds!$H117,6*(53-1))))</f>
        <v/>
      </c>
      <c r="BF117" s="3" t="str">
        <f>IF(54&gt;$C117,"",IF($D117=1,EOMONTH(EDATE(Bonds!$H117,6*(54-1)),0),EDATE(Bonds!$H117,6*(54-1))))</f>
        <v/>
      </c>
      <c r="BG117" s="3" t="str">
        <f>IF(55&gt;$C117,"",IF($D117=1,EOMONTH(EDATE(Bonds!$H117,6*(55-1)),0),EDATE(Bonds!$H117,6*(55-1))))</f>
        <v/>
      </c>
      <c r="BH117" s="3" t="str">
        <f>IF(56&gt;$C117,"",IF($D117=1,EOMONTH(EDATE(Bonds!$H117,6*(56-1)),0),EDATE(Bonds!$H117,6*(56-1))))</f>
        <v/>
      </c>
      <c r="BI117" s="3" t="str">
        <f>IF(57&gt;$C117,"",IF($D117=1,EOMONTH(EDATE(Bonds!$H117,6*(57-1)),0),EDATE(Bonds!$H117,6*(57-1))))</f>
        <v/>
      </c>
      <c r="BJ117" s="3" t="str">
        <f>IF(58&gt;$C117,"",IF($D117=1,EOMONTH(EDATE(Bonds!$H117,6*(58-1)),0),EDATE(Bonds!$H117,6*(58-1))))</f>
        <v/>
      </c>
      <c r="BK117" s="3" t="str">
        <f>IF(59&gt;$C117,"",IF($D117=1,EOMONTH(EDATE(Bonds!$H117,6*(59-1)),0),EDATE(Bonds!$H117,6*(59-1))))</f>
        <v/>
      </c>
      <c r="BL117" s="3" t="str">
        <f>IF(60&gt;$C117,"",IF($D117=1,EOMONTH(EDATE(Bonds!$H117,6*(60-1)),0),EDATE(Bonds!$H117,6*(60-1))))</f>
        <v/>
      </c>
      <c r="BN117" s="7">
        <f t="shared" si="62"/>
        <v>2.3073880376244564</v>
      </c>
      <c r="BO117" s="7">
        <f t="shared" si="63"/>
        <v>2.2618596165348452</v>
      </c>
      <c r="BP117" s="7">
        <f t="shared" si="64"/>
        <v>2.2129203230941732</v>
      </c>
      <c r="BQ117" s="7">
        <f t="shared" si="65"/>
        <v>2.1632480711390043</v>
      </c>
      <c r="BR117" s="7">
        <f t="shared" si="66"/>
        <v>93.534429037612966</v>
      </c>
      <c r="BS117" s="7">
        <f t="shared" si="67"/>
        <v>0</v>
      </c>
      <c r="BT117" s="7">
        <f t="shared" si="68"/>
        <v>0</v>
      </c>
      <c r="BU117" s="7">
        <f t="shared" si="69"/>
        <v>0</v>
      </c>
      <c r="BV117" s="7">
        <f t="shared" si="70"/>
        <v>0</v>
      </c>
      <c r="BW117" s="7">
        <f t="shared" si="71"/>
        <v>0</v>
      </c>
      <c r="BX117" s="7">
        <f t="shared" si="72"/>
        <v>0</v>
      </c>
      <c r="BY117" s="7">
        <f t="shared" si="73"/>
        <v>0</v>
      </c>
      <c r="BZ117" s="7">
        <f t="shared" si="74"/>
        <v>0</v>
      </c>
      <c r="CA117" s="7">
        <f t="shared" si="75"/>
        <v>0</v>
      </c>
      <c r="CB117" s="7">
        <f t="shared" si="76"/>
        <v>0</v>
      </c>
      <c r="CC117" s="7">
        <f t="shared" si="77"/>
        <v>0</v>
      </c>
      <c r="CD117" s="7">
        <f t="shared" si="78"/>
        <v>0</v>
      </c>
      <c r="CE117" s="7">
        <f t="shared" si="79"/>
        <v>0</v>
      </c>
      <c r="CF117" s="7">
        <f t="shared" si="80"/>
        <v>0</v>
      </c>
      <c r="CG117" s="7">
        <f t="shared" si="81"/>
        <v>0</v>
      </c>
      <c r="CH117" s="7">
        <f t="shared" si="82"/>
        <v>0</v>
      </c>
      <c r="CI117" s="7">
        <f t="shared" si="83"/>
        <v>0</v>
      </c>
      <c r="CJ117" s="7">
        <f t="shared" si="84"/>
        <v>0</v>
      </c>
      <c r="CK117" s="7">
        <f t="shared" si="85"/>
        <v>0</v>
      </c>
      <c r="CL117" s="7">
        <f t="shared" si="86"/>
        <v>0</v>
      </c>
      <c r="CM117" s="7">
        <f t="shared" si="87"/>
        <v>0</v>
      </c>
      <c r="CN117" s="7">
        <f t="shared" si="88"/>
        <v>0</v>
      </c>
      <c r="CO117" s="7">
        <f t="shared" si="89"/>
        <v>0</v>
      </c>
      <c r="CP117" s="7">
        <f t="shared" si="90"/>
        <v>0</v>
      </c>
      <c r="CQ117" s="7">
        <f t="shared" si="91"/>
        <v>0</v>
      </c>
      <c r="CR117" s="7">
        <f t="shared" si="92"/>
        <v>0</v>
      </c>
      <c r="CS117" s="7">
        <f t="shared" si="93"/>
        <v>0</v>
      </c>
      <c r="CT117" s="7">
        <f t="shared" si="94"/>
        <v>0</v>
      </c>
      <c r="CU117" s="7">
        <f t="shared" si="95"/>
        <v>0</v>
      </c>
      <c r="CV117" s="7">
        <f t="shared" si="96"/>
        <v>0</v>
      </c>
      <c r="CW117" s="7">
        <f t="shared" si="97"/>
        <v>0</v>
      </c>
      <c r="CX117" s="7">
        <f t="shared" si="98"/>
        <v>0</v>
      </c>
      <c r="CY117" s="7">
        <f t="shared" si="99"/>
        <v>0</v>
      </c>
      <c r="CZ117" s="7">
        <f t="shared" si="100"/>
        <v>0</v>
      </c>
      <c r="DA117" s="7">
        <f t="shared" si="101"/>
        <v>0</v>
      </c>
      <c r="DB117" s="7">
        <f t="shared" si="102"/>
        <v>0</v>
      </c>
      <c r="DC117" s="7">
        <f t="shared" si="103"/>
        <v>0</v>
      </c>
      <c r="DD117" s="7">
        <f t="shared" si="104"/>
        <v>0</v>
      </c>
      <c r="DE117" s="7">
        <f t="shared" si="105"/>
        <v>0</v>
      </c>
      <c r="DF117" s="7">
        <f t="shared" si="106"/>
        <v>0</v>
      </c>
      <c r="DG117" s="7">
        <f t="shared" si="107"/>
        <v>0</v>
      </c>
      <c r="DH117" s="7">
        <f t="shared" si="108"/>
        <v>0</v>
      </c>
      <c r="DI117" s="7">
        <f t="shared" si="109"/>
        <v>0</v>
      </c>
      <c r="DJ117" s="7">
        <f t="shared" si="110"/>
        <v>0</v>
      </c>
      <c r="DK117" s="7">
        <f t="shared" si="111"/>
        <v>0</v>
      </c>
      <c r="DL117" s="7">
        <f t="shared" si="112"/>
        <v>0</v>
      </c>
      <c r="DM117" s="7">
        <f t="shared" si="113"/>
        <v>0</v>
      </c>
      <c r="DN117" s="7">
        <f t="shared" si="114"/>
        <v>0</v>
      </c>
      <c r="DO117" s="7">
        <f t="shared" si="115"/>
        <v>0</v>
      </c>
      <c r="DP117" s="7">
        <f t="shared" si="116"/>
        <v>0</v>
      </c>
      <c r="DQ117" s="7">
        <f t="shared" si="117"/>
        <v>0</v>
      </c>
      <c r="DR117" s="7">
        <f t="shared" si="118"/>
        <v>0</v>
      </c>
      <c r="DS117" s="7">
        <f t="shared" si="119"/>
        <v>0</v>
      </c>
      <c r="DT117" s="7">
        <f t="shared" si="120"/>
        <v>0</v>
      </c>
      <c r="DU117" s="7">
        <f t="shared" si="121"/>
        <v>0</v>
      </c>
    </row>
    <row r="118" spans="1:125" x14ac:dyDescent="0.2">
      <c r="A118" s="3">
        <f>Bonds!A118</f>
        <v>47041</v>
      </c>
      <c r="B118" s="4">
        <f>Bonds!B118</f>
        <v>3.5</v>
      </c>
      <c r="C118">
        <f>Bonds!P118</f>
        <v>5</v>
      </c>
      <c r="D118">
        <f t="shared" si="61"/>
        <v>0</v>
      </c>
      <c r="E118" s="3">
        <f>IF(1&gt;$C118,"",IF($D118=1,EOMONTH(EDATE(Bonds!$H118,6*(1-1)),0),EDATE(Bonds!$H118,6*(1-1))))</f>
        <v>46310</v>
      </c>
      <c r="F118" s="3">
        <f>IF(2&gt;$C118,"",IF($D118=1,EOMONTH(EDATE(Bonds!$H118,6*(2-1)),0),EDATE(Bonds!$H118,6*(2-1))))</f>
        <v>46492</v>
      </c>
      <c r="G118" s="3">
        <f>IF(3&gt;$C118,"",IF($D118=1,EOMONTH(EDATE(Bonds!$H118,6*(3-1)),0),EDATE(Bonds!$H118,6*(3-1))))</f>
        <v>46675</v>
      </c>
      <c r="H118" s="3">
        <f>IF(4&gt;$C118,"",IF($D118=1,EOMONTH(EDATE(Bonds!$H118,6*(4-1)),0),EDATE(Bonds!$H118,6*(4-1))))</f>
        <v>46858</v>
      </c>
      <c r="I118" s="3">
        <f>IF(5&gt;$C118,"",IF($D118=1,EOMONTH(EDATE(Bonds!$H118,6*(5-1)),0),EDATE(Bonds!$H118,6*(5-1))))</f>
        <v>47041</v>
      </c>
      <c r="J118" s="3" t="str">
        <f>IF(6&gt;$C118,"",IF($D118=1,EOMONTH(EDATE(Bonds!$H118,6*(6-1)),0),EDATE(Bonds!$H118,6*(6-1))))</f>
        <v/>
      </c>
      <c r="K118" s="3" t="str">
        <f>IF(7&gt;$C118,"",IF($D118=1,EOMONTH(EDATE(Bonds!$H118,6*(7-1)),0),EDATE(Bonds!$H118,6*(7-1))))</f>
        <v/>
      </c>
      <c r="L118" s="3" t="str">
        <f>IF(8&gt;$C118,"",IF($D118=1,EOMONTH(EDATE(Bonds!$H118,6*(8-1)),0),EDATE(Bonds!$H118,6*(8-1))))</f>
        <v/>
      </c>
      <c r="M118" s="3" t="str">
        <f>IF(9&gt;$C118,"",IF($D118=1,EOMONTH(EDATE(Bonds!$H118,6*(9-1)),0),EDATE(Bonds!$H118,6*(9-1))))</f>
        <v/>
      </c>
      <c r="N118" s="3" t="str">
        <f>IF(10&gt;$C118,"",IF($D118=1,EOMONTH(EDATE(Bonds!$H118,6*(10-1)),0),EDATE(Bonds!$H118,6*(10-1))))</f>
        <v/>
      </c>
      <c r="O118" s="3" t="str">
        <f>IF(11&gt;$C118,"",IF($D118=1,EOMONTH(EDATE(Bonds!$H118,6*(11-1)),0),EDATE(Bonds!$H118,6*(11-1))))</f>
        <v/>
      </c>
      <c r="P118" s="3" t="str">
        <f>IF(12&gt;$C118,"",IF($D118=1,EOMONTH(EDATE(Bonds!$H118,6*(12-1)),0),EDATE(Bonds!$H118,6*(12-1))))</f>
        <v/>
      </c>
      <c r="Q118" s="3" t="str">
        <f>IF(13&gt;$C118,"",IF($D118=1,EOMONTH(EDATE(Bonds!$H118,6*(13-1)),0),EDATE(Bonds!$H118,6*(13-1))))</f>
        <v/>
      </c>
      <c r="R118" s="3" t="str">
        <f>IF(14&gt;$C118,"",IF($D118=1,EOMONTH(EDATE(Bonds!$H118,6*(14-1)),0),EDATE(Bonds!$H118,6*(14-1))))</f>
        <v/>
      </c>
      <c r="S118" s="3" t="str">
        <f>IF(15&gt;$C118,"",IF($D118=1,EOMONTH(EDATE(Bonds!$H118,6*(15-1)),0),EDATE(Bonds!$H118,6*(15-1))))</f>
        <v/>
      </c>
      <c r="T118" s="3" t="str">
        <f>IF(16&gt;$C118,"",IF($D118=1,EOMONTH(EDATE(Bonds!$H118,6*(16-1)),0),EDATE(Bonds!$H118,6*(16-1))))</f>
        <v/>
      </c>
      <c r="U118" s="3" t="str">
        <f>IF(17&gt;$C118,"",IF($D118=1,EOMONTH(EDATE(Bonds!$H118,6*(17-1)),0),EDATE(Bonds!$H118,6*(17-1))))</f>
        <v/>
      </c>
      <c r="V118" s="3" t="str">
        <f>IF(18&gt;$C118,"",IF($D118=1,EOMONTH(EDATE(Bonds!$H118,6*(18-1)),0),EDATE(Bonds!$H118,6*(18-1))))</f>
        <v/>
      </c>
      <c r="W118" s="3" t="str">
        <f>IF(19&gt;$C118,"",IF($D118=1,EOMONTH(EDATE(Bonds!$H118,6*(19-1)),0),EDATE(Bonds!$H118,6*(19-1))))</f>
        <v/>
      </c>
      <c r="X118" s="3" t="str">
        <f>IF(20&gt;$C118,"",IF($D118=1,EOMONTH(EDATE(Bonds!$H118,6*(20-1)),0),EDATE(Bonds!$H118,6*(20-1))))</f>
        <v/>
      </c>
      <c r="Y118" s="3" t="str">
        <f>IF(21&gt;$C118,"",IF($D118=1,EOMONTH(EDATE(Bonds!$H118,6*(21-1)),0),EDATE(Bonds!$H118,6*(21-1))))</f>
        <v/>
      </c>
      <c r="Z118" s="3" t="str">
        <f>IF(22&gt;$C118,"",IF($D118=1,EOMONTH(EDATE(Bonds!$H118,6*(22-1)),0),EDATE(Bonds!$H118,6*(22-1))))</f>
        <v/>
      </c>
      <c r="AA118" s="3" t="str">
        <f>IF(23&gt;$C118,"",IF($D118=1,EOMONTH(EDATE(Bonds!$H118,6*(23-1)),0),EDATE(Bonds!$H118,6*(23-1))))</f>
        <v/>
      </c>
      <c r="AB118" s="3" t="str">
        <f>IF(24&gt;$C118,"",IF($D118=1,EOMONTH(EDATE(Bonds!$H118,6*(24-1)),0),EDATE(Bonds!$H118,6*(24-1))))</f>
        <v/>
      </c>
      <c r="AC118" s="3" t="str">
        <f>IF(25&gt;$C118,"",IF($D118=1,EOMONTH(EDATE(Bonds!$H118,6*(25-1)),0),EDATE(Bonds!$H118,6*(25-1))))</f>
        <v/>
      </c>
      <c r="AD118" s="3" t="str">
        <f>IF(26&gt;$C118,"",IF($D118=1,EOMONTH(EDATE(Bonds!$H118,6*(26-1)),0),EDATE(Bonds!$H118,6*(26-1))))</f>
        <v/>
      </c>
      <c r="AE118" s="3" t="str">
        <f>IF(27&gt;$C118,"",IF($D118=1,EOMONTH(EDATE(Bonds!$H118,6*(27-1)),0),EDATE(Bonds!$H118,6*(27-1))))</f>
        <v/>
      </c>
      <c r="AF118" s="3" t="str">
        <f>IF(28&gt;$C118,"",IF($D118=1,EOMONTH(EDATE(Bonds!$H118,6*(28-1)),0),EDATE(Bonds!$H118,6*(28-1))))</f>
        <v/>
      </c>
      <c r="AG118" s="3" t="str">
        <f>IF(29&gt;$C118,"",IF($D118=1,EOMONTH(EDATE(Bonds!$H118,6*(29-1)),0),EDATE(Bonds!$H118,6*(29-1))))</f>
        <v/>
      </c>
      <c r="AH118" s="3" t="str">
        <f>IF(30&gt;$C118,"",IF($D118=1,EOMONTH(EDATE(Bonds!$H118,6*(30-1)),0),EDATE(Bonds!$H118,6*(30-1))))</f>
        <v/>
      </c>
      <c r="AI118" s="3" t="str">
        <f>IF(31&gt;$C118,"",IF($D118=1,EOMONTH(EDATE(Bonds!$H118,6*(31-1)),0),EDATE(Bonds!$H118,6*(31-1))))</f>
        <v/>
      </c>
      <c r="AJ118" s="3" t="str">
        <f>IF(32&gt;$C118,"",IF($D118=1,EOMONTH(EDATE(Bonds!$H118,6*(32-1)),0),EDATE(Bonds!$H118,6*(32-1))))</f>
        <v/>
      </c>
      <c r="AK118" s="3" t="str">
        <f>IF(33&gt;$C118,"",IF($D118=1,EOMONTH(EDATE(Bonds!$H118,6*(33-1)),0),EDATE(Bonds!$H118,6*(33-1))))</f>
        <v/>
      </c>
      <c r="AL118" s="3" t="str">
        <f>IF(34&gt;$C118,"",IF($D118=1,EOMONTH(EDATE(Bonds!$H118,6*(34-1)),0),EDATE(Bonds!$H118,6*(34-1))))</f>
        <v/>
      </c>
      <c r="AM118" s="3" t="str">
        <f>IF(35&gt;$C118,"",IF($D118=1,EOMONTH(EDATE(Bonds!$H118,6*(35-1)),0),EDATE(Bonds!$H118,6*(35-1))))</f>
        <v/>
      </c>
      <c r="AN118" s="3" t="str">
        <f>IF(36&gt;$C118,"",IF($D118=1,EOMONTH(EDATE(Bonds!$H118,6*(36-1)),0),EDATE(Bonds!$H118,6*(36-1))))</f>
        <v/>
      </c>
      <c r="AO118" s="3" t="str">
        <f>IF(37&gt;$C118,"",IF($D118=1,EOMONTH(EDATE(Bonds!$H118,6*(37-1)),0),EDATE(Bonds!$H118,6*(37-1))))</f>
        <v/>
      </c>
      <c r="AP118" s="3" t="str">
        <f>IF(38&gt;$C118,"",IF($D118=1,EOMONTH(EDATE(Bonds!$H118,6*(38-1)),0),EDATE(Bonds!$H118,6*(38-1))))</f>
        <v/>
      </c>
      <c r="AQ118" s="3" t="str">
        <f>IF(39&gt;$C118,"",IF($D118=1,EOMONTH(EDATE(Bonds!$H118,6*(39-1)),0),EDATE(Bonds!$H118,6*(39-1))))</f>
        <v/>
      </c>
      <c r="AR118" s="3" t="str">
        <f>IF(40&gt;$C118,"",IF($D118=1,EOMONTH(EDATE(Bonds!$H118,6*(40-1)),0),EDATE(Bonds!$H118,6*(40-1))))</f>
        <v/>
      </c>
      <c r="AS118" s="3" t="str">
        <f>IF(41&gt;$C118,"",IF($D118=1,EOMONTH(EDATE(Bonds!$H118,6*(41-1)),0),EDATE(Bonds!$H118,6*(41-1))))</f>
        <v/>
      </c>
      <c r="AT118" s="3" t="str">
        <f>IF(42&gt;$C118,"",IF($D118=1,EOMONTH(EDATE(Bonds!$H118,6*(42-1)),0),EDATE(Bonds!$H118,6*(42-1))))</f>
        <v/>
      </c>
      <c r="AU118" s="3" t="str">
        <f>IF(43&gt;$C118,"",IF($D118=1,EOMONTH(EDATE(Bonds!$H118,6*(43-1)),0),EDATE(Bonds!$H118,6*(43-1))))</f>
        <v/>
      </c>
      <c r="AV118" s="3" t="str">
        <f>IF(44&gt;$C118,"",IF($D118=1,EOMONTH(EDATE(Bonds!$H118,6*(44-1)),0),EDATE(Bonds!$H118,6*(44-1))))</f>
        <v/>
      </c>
      <c r="AW118" s="3" t="str">
        <f>IF(45&gt;$C118,"",IF($D118=1,EOMONTH(EDATE(Bonds!$H118,6*(45-1)),0),EDATE(Bonds!$H118,6*(45-1))))</f>
        <v/>
      </c>
      <c r="AX118" s="3" t="str">
        <f>IF(46&gt;$C118,"",IF($D118=1,EOMONTH(EDATE(Bonds!$H118,6*(46-1)),0),EDATE(Bonds!$H118,6*(46-1))))</f>
        <v/>
      </c>
      <c r="AY118" s="3" t="str">
        <f>IF(47&gt;$C118,"",IF($D118=1,EOMONTH(EDATE(Bonds!$H118,6*(47-1)),0),EDATE(Bonds!$H118,6*(47-1))))</f>
        <v/>
      </c>
      <c r="AZ118" s="3" t="str">
        <f>IF(48&gt;$C118,"",IF($D118=1,EOMONTH(EDATE(Bonds!$H118,6*(48-1)),0),EDATE(Bonds!$H118,6*(48-1))))</f>
        <v/>
      </c>
      <c r="BA118" s="3" t="str">
        <f>IF(49&gt;$C118,"",IF($D118=1,EOMONTH(EDATE(Bonds!$H118,6*(49-1)),0),EDATE(Bonds!$H118,6*(49-1))))</f>
        <v/>
      </c>
      <c r="BB118" s="3" t="str">
        <f>IF(50&gt;$C118,"",IF($D118=1,EOMONTH(EDATE(Bonds!$H118,6*(50-1)),0),EDATE(Bonds!$H118,6*(50-1))))</f>
        <v/>
      </c>
      <c r="BC118" s="3" t="str">
        <f>IF(51&gt;$C118,"",IF($D118=1,EOMONTH(EDATE(Bonds!$H118,6*(51-1)),0),EDATE(Bonds!$H118,6*(51-1))))</f>
        <v/>
      </c>
      <c r="BD118" s="3" t="str">
        <f>IF(52&gt;$C118,"",IF($D118=1,EOMONTH(EDATE(Bonds!$H118,6*(52-1)),0),EDATE(Bonds!$H118,6*(52-1))))</f>
        <v/>
      </c>
      <c r="BE118" s="3" t="str">
        <f>IF(53&gt;$C118,"",IF($D118=1,EOMONTH(EDATE(Bonds!$H118,6*(53-1)),0),EDATE(Bonds!$H118,6*(53-1))))</f>
        <v/>
      </c>
      <c r="BF118" s="3" t="str">
        <f>IF(54&gt;$C118,"",IF($D118=1,EOMONTH(EDATE(Bonds!$H118,6*(54-1)),0),EDATE(Bonds!$H118,6*(54-1))))</f>
        <v/>
      </c>
      <c r="BG118" s="3" t="str">
        <f>IF(55&gt;$C118,"",IF($D118=1,EOMONTH(EDATE(Bonds!$H118,6*(55-1)),0),EDATE(Bonds!$H118,6*(55-1))))</f>
        <v/>
      </c>
      <c r="BH118" s="3" t="str">
        <f>IF(56&gt;$C118,"",IF($D118=1,EOMONTH(EDATE(Bonds!$H118,6*(56-1)),0),EDATE(Bonds!$H118,6*(56-1))))</f>
        <v/>
      </c>
      <c r="BI118" s="3" t="str">
        <f>IF(57&gt;$C118,"",IF($D118=1,EOMONTH(EDATE(Bonds!$H118,6*(57-1)),0),EDATE(Bonds!$H118,6*(57-1))))</f>
        <v/>
      </c>
      <c r="BJ118" s="3" t="str">
        <f>IF(58&gt;$C118,"",IF($D118=1,EOMONTH(EDATE(Bonds!$H118,6*(58-1)),0),EDATE(Bonds!$H118,6*(58-1))))</f>
        <v/>
      </c>
      <c r="BK118" s="3" t="str">
        <f>IF(59&gt;$C118,"",IF($D118=1,EOMONTH(EDATE(Bonds!$H118,6*(59-1)),0),EDATE(Bonds!$H118,6*(59-1))))</f>
        <v/>
      </c>
      <c r="BL118" s="3" t="str">
        <f>IF(60&gt;$C118,"",IF($D118=1,EOMONTH(EDATE(Bonds!$H118,6*(60-1)),0),EDATE(Bonds!$H118,6*(60-1))))</f>
        <v/>
      </c>
      <c r="BN118" s="7">
        <f t="shared" si="62"/>
        <v>1.7434479757003929</v>
      </c>
      <c r="BO118" s="7">
        <f t="shared" si="63"/>
        <v>1.7086996012738627</v>
      </c>
      <c r="BP118" s="7">
        <f t="shared" si="64"/>
        <v>1.6715645959284771</v>
      </c>
      <c r="BQ118" s="7">
        <f t="shared" si="65"/>
        <v>1.6339806247888715</v>
      </c>
      <c r="BR118" s="7">
        <f t="shared" si="66"/>
        <v>92.844813720815722</v>
      </c>
      <c r="BS118" s="7">
        <f t="shared" si="67"/>
        <v>0</v>
      </c>
      <c r="BT118" s="7">
        <f t="shared" si="68"/>
        <v>0</v>
      </c>
      <c r="BU118" s="7">
        <f t="shared" si="69"/>
        <v>0</v>
      </c>
      <c r="BV118" s="7">
        <f t="shared" si="70"/>
        <v>0</v>
      </c>
      <c r="BW118" s="7">
        <f t="shared" si="71"/>
        <v>0</v>
      </c>
      <c r="BX118" s="7">
        <f t="shared" si="72"/>
        <v>0</v>
      </c>
      <c r="BY118" s="7">
        <f t="shared" si="73"/>
        <v>0</v>
      </c>
      <c r="BZ118" s="7">
        <f t="shared" si="74"/>
        <v>0</v>
      </c>
      <c r="CA118" s="7">
        <f t="shared" si="75"/>
        <v>0</v>
      </c>
      <c r="CB118" s="7">
        <f t="shared" si="76"/>
        <v>0</v>
      </c>
      <c r="CC118" s="7">
        <f t="shared" si="77"/>
        <v>0</v>
      </c>
      <c r="CD118" s="7">
        <f t="shared" si="78"/>
        <v>0</v>
      </c>
      <c r="CE118" s="7">
        <f t="shared" si="79"/>
        <v>0</v>
      </c>
      <c r="CF118" s="7">
        <f t="shared" si="80"/>
        <v>0</v>
      </c>
      <c r="CG118" s="7">
        <f t="shared" si="81"/>
        <v>0</v>
      </c>
      <c r="CH118" s="7">
        <f t="shared" si="82"/>
        <v>0</v>
      </c>
      <c r="CI118" s="7">
        <f t="shared" si="83"/>
        <v>0</v>
      </c>
      <c r="CJ118" s="7">
        <f t="shared" si="84"/>
        <v>0</v>
      </c>
      <c r="CK118" s="7">
        <f t="shared" si="85"/>
        <v>0</v>
      </c>
      <c r="CL118" s="7">
        <f t="shared" si="86"/>
        <v>0</v>
      </c>
      <c r="CM118" s="7">
        <f t="shared" si="87"/>
        <v>0</v>
      </c>
      <c r="CN118" s="7">
        <f t="shared" si="88"/>
        <v>0</v>
      </c>
      <c r="CO118" s="7">
        <f t="shared" si="89"/>
        <v>0</v>
      </c>
      <c r="CP118" s="7">
        <f t="shared" si="90"/>
        <v>0</v>
      </c>
      <c r="CQ118" s="7">
        <f t="shared" si="91"/>
        <v>0</v>
      </c>
      <c r="CR118" s="7">
        <f t="shared" si="92"/>
        <v>0</v>
      </c>
      <c r="CS118" s="7">
        <f t="shared" si="93"/>
        <v>0</v>
      </c>
      <c r="CT118" s="7">
        <f t="shared" si="94"/>
        <v>0</v>
      </c>
      <c r="CU118" s="7">
        <f t="shared" si="95"/>
        <v>0</v>
      </c>
      <c r="CV118" s="7">
        <f t="shared" si="96"/>
        <v>0</v>
      </c>
      <c r="CW118" s="7">
        <f t="shared" si="97"/>
        <v>0</v>
      </c>
      <c r="CX118" s="7">
        <f t="shared" si="98"/>
        <v>0</v>
      </c>
      <c r="CY118" s="7">
        <f t="shared" si="99"/>
        <v>0</v>
      </c>
      <c r="CZ118" s="7">
        <f t="shared" si="100"/>
        <v>0</v>
      </c>
      <c r="DA118" s="7">
        <f t="shared" si="101"/>
        <v>0</v>
      </c>
      <c r="DB118" s="7">
        <f t="shared" si="102"/>
        <v>0</v>
      </c>
      <c r="DC118" s="7">
        <f t="shared" si="103"/>
        <v>0</v>
      </c>
      <c r="DD118" s="7">
        <f t="shared" si="104"/>
        <v>0</v>
      </c>
      <c r="DE118" s="7">
        <f t="shared" si="105"/>
        <v>0</v>
      </c>
      <c r="DF118" s="7">
        <f t="shared" si="106"/>
        <v>0</v>
      </c>
      <c r="DG118" s="7">
        <f t="shared" si="107"/>
        <v>0</v>
      </c>
      <c r="DH118" s="7">
        <f t="shared" si="108"/>
        <v>0</v>
      </c>
      <c r="DI118" s="7">
        <f t="shared" si="109"/>
        <v>0</v>
      </c>
      <c r="DJ118" s="7">
        <f t="shared" si="110"/>
        <v>0</v>
      </c>
      <c r="DK118" s="7">
        <f t="shared" si="111"/>
        <v>0</v>
      </c>
      <c r="DL118" s="7">
        <f t="shared" si="112"/>
        <v>0</v>
      </c>
      <c r="DM118" s="7">
        <f t="shared" si="113"/>
        <v>0</v>
      </c>
      <c r="DN118" s="7">
        <f t="shared" si="114"/>
        <v>0</v>
      </c>
      <c r="DO118" s="7">
        <f t="shared" si="115"/>
        <v>0</v>
      </c>
      <c r="DP118" s="7">
        <f t="shared" si="116"/>
        <v>0</v>
      </c>
      <c r="DQ118" s="7">
        <f t="shared" si="117"/>
        <v>0</v>
      </c>
      <c r="DR118" s="7">
        <f t="shared" si="118"/>
        <v>0</v>
      </c>
      <c r="DS118" s="7">
        <f t="shared" si="119"/>
        <v>0</v>
      </c>
      <c r="DT118" s="7">
        <f t="shared" si="120"/>
        <v>0</v>
      </c>
      <c r="DU118" s="7">
        <f t="shared" si="121"/>
        <v>0</v>
      </c>
    </row>
    <row r="119" spans="1:125" x14ac:dyDescent="0.2">
      <c r="A119" s="3">
        <f>Bonds!A119</f>
        <v>47057</v>
      </c>
      <c r="B119" s="4">
        <f>Bonds!B119</f>
        <v>1.375</v>
      </c>
      <c r="C119">
        <f>Bonds!P119</f>
        <v>5</v>
      </c>
      <c r="D119">
        <f t="shared" si="61"/>
        <v>1</v>
      </c>
      <c r="E119" s="3">
        <f>IF(1&gt;$C119,"",IF($D119=1,EOMONTH(EDATE(Bonds!$H119,6*(1-1)),0),EDATE(Bonds!$H119,6*(1-1))))</f>
        <v>46326</v>
      </c>
      <c r="F119" s="3">
        <f>IF(2&gt;$C119,"",IF($D119=1,EOMONTH(EDATE(Bonds!$H119,6*(2-1)),0),EDATE(Bonds!$H119,6*(2-1))))</f>
        <v>46507</v>
      </c>
      <c r="G119" s="3">
        <f>IF(3&gt;$C119,"",IF($D119=1,EOMONTH(EDATE(Bonds!$H119,6*(3-1)),0),EDATE(Bonds!$H119,6*(3-1))))</f>
        <v>46691</v>
      </c>
      <c r="H119" s="3">
        <f>IF(4&gt;$C119,"",IF($D119=1,EOMONTH(EDATE(Bonds!$H119,6*(4-1)),0),EDATE(Bonds!$H119,6*(4-1))))</f>
        <v>46873</v>
      </c>
      <c r="I119" s="3">
        <f>IF(5&gt;$C119,"",IF($D119=1,EOMONTH(EDATE(Bonds!$H119,6*(5-1)),0),EDATE(Bonds!$H119,6*(5-1))))</f>
        <v>47057</v>
      </c>
      <c r="J119" s="3" t="str">
        <f>IF(6&gt;$C119,"",IF($D119=1,EOMONTH(EDATE(Bonds!$H119,6*(6-1)),0),EDATE(Bonds!$H119,6*(6-1))))</f>
        <v/>
      </c>
      <c r="K119" s="3" t="str">
        <f>IF(7&gt;$C119,"",IF($D119=1,EOMONTH(EDATE(Bonds!$H119,6*(7-1)),0),EDATE(Bonds!$H119,6*(7-1))))</f>
        <v/>
      </c>
      <c r="L119" s="3" t="str">
        <f>IF(8&gt;$C119,"",IF($D119=1,EOMONTH(EDATE(Bonds!$H119,6*(8-1)),0),EDATE(Bonds!$H119,6*(8-1))))</f>
        <v/>
      </c>
      <c r="M119" s="3" t="str">
        <f>IF(9&gt;$C119,"",IF($D119=1,EOMONTH(EDATE(Bonds!$H119,6*(9-1)),0),EDATE(Bonds!$H119,6*(9-1))))</f>
        <v/>
      </c>
      <c r="N119" s="3" t="str">
        <f>IF(10&gt;$C119,"",IF($D119=1,EOMONTH(EDATE(Bonds!$H119,6*(10-1)),0),EDATE(Bonds!$H119,6*(10-1))))</f>
        <v/>
      </c>
      <c r="O119" s="3" t="str">
        <f>IF(11&gt;$C119,"",IF($D119=1,EOMONTH(EDATE(Bonds!$H119,6*(11-1)),0),EDATE(Bonds!$H119,6*(11-1))))</f>
        <v/>
      </c>
      <c r="P119" s="3" t="str">
        <f>IF(12&gt;$C119,"",IF($D119=1,EOMONTH(EDATE(Bonds!$H119,6*(12-1)),0),EDATE(Bonds!$H119,6*(12-1))))</f>
        <v/>
      </c>
      <c r="Q119" s="3" t="str">
        <f>IF(13&gt;$C119,"",IF($D119=1,EOMONTH(EDATE(Bonds!$H119,6*(13-1)),0),EDATE(Bonds!$H119,6*(13-1))))</f>
        <v/>
      </c>
      <c r="R119" s="3" t="str">
        <f>IF(14&gt;$C119,"",IF($D119=1,EOMONTH(EDATE(Bonds!$H119,6*(14-1)),0),EDATE(Bonds!$H119,6*(14-1))))</f>
        <v/>
      </c>
      <c r="S119" s="3" t="str">
        <f>IF(15&gt;$C119,"",IF($D119=1,EOMONTH(EDATE(Bonds!$H119,6*(15-1)),0),EDATE(Bonds!$H119,6*(15-1))))</f>
        <v/>
      </c>
      <c r="T119" s="3" t="str">
        <f>IF(16&gt;$C119,"",IF($D119=1,EOMONTH(EDATE(Bonds!$H119,6*(16-1)),0),EDATE(Bonds!$H119,6*(16-1))))</f>
        <v/>
      </c>
      <c r="U119" s="3" t="str">
        <f>IF(17&gt;$C119,"",IF($D119=1,EOMONTH(EDATE(Bonds!$H119,6*(17-1)),0),EDATE(Bonds!$H119,6*(17-1))))</f>
        <v/>
      </c>
      <c r="V119" s="3" t="str">
        <f>IF(18&gt;$C119,"",IF($D119=1,EOMONTH(EDATE(Bonds!$H119,6*(18-1)),0),EDATE(Bonds!$H119,6*(18-1))))</f>
        <v/>
      </c>
      <c r="W119" s="3" t="str">
        <f>IF(19&gt;$C119,"",IF($D119=1,EOMONTH(EDATE(Bonds!$H119,6*(19-1)),0),EDATE(Bonds!$H119,6*(19-1))))</f>
        <v/>
      </c>
      <c r="X119" s="3" t="str">
        <f>IF(20&gt;$C119,"",IF($D119=1,EOMONTH(EDATE(Bonds!$H119,6*(20-1)),0),EDATE(Bonds!$H119,6*(20-1))))</f>
        <v/>
      </c>
      <c r="Y119" s="3" t="str">
        <f>IF(21&gt;$C119,"",IF($D119=1,EOMONTH(EDATE(Bonds!$H119,6*(21-1)),0),EDATE(Bonds!$H119,6*(21-1))))</f>
        <v/>
      </c>
      <c r="Z119" s="3" t="str">
        <f>IF(22&gt;$C119,"",IF($D119=1,EOMONTH(EDATE(Bonds!$H119,6*(22-1)),0),EDATE(Bonds!$H119,6*(22-1))))</f>
        <v/>
      </c>
      <c r="AA119" s="3" t="str">
        <f>IF(23&gt;$C119,"",IF($D119=1,EOMONTH(EDATE(Bonds!$H119,6*(23-1)),0),EDATE(Bonds!$H119,6*(23-1))))</f>
        <v/>
      </c>
      <c r="AB119" s="3" t="str">
        <f>IF(24&gt;$C119,"",IF($D119=1,EOMONTH(EDATE(Bonds!$H119,6*(24-1)),0),EDATE(Bonds!$H119,6*(24-1))))</f>
        <v/>
      </c>
      <c r="AC119" s="3" t="str">
        <f>IF(25&gt;$C119,"",IF($D119=1,EOMONTH(EDATE(Bonds!$H119,6*(25-1)),0),EDATE(Bonds!$H119,6*(25-1))))</f>
        <v/>
      </c>
      <c r="AD119" s="3" t="str">
        <f>IF(26&gt;$C119,"",IF($D119=1,EOMONTH(EDATE(Bonds!$H119,6*(26-1)),0),EDATE(Bonds!$H119,6*(26-1))))</f>
        <v/>
      </c>
      <c r="AE119" s="3" t="str">
        <f>IF(27&gt;$C119,"",IF($D119=1,EOMONTH(EDATE(Bonds!$H119,6*(27-1)),0),EDATE(Bonds!$H119,6*(27-1))))</f>
        <v/>
      </c>
      <c r="AF119" s="3" t="str">
        <f>IF(28&gt;$C119,"",IF($D119=1,EOMONTH(EDATE(Bonds!$H119,6*(28-1)),0),EDATE(Bonds!$H119,6*(28-1))))</f>
        <v/>
      </c>
      <c r="AG119" s="3" t="str">
        <f>IF(29&gt;$C119,"",IF($D119=1,EOMONTH(EDATE(Bonds!$H119,6*(29-1)),0),EDATE(Bonds!$H119,6*(29-1))))</f>
        <v/>
      </c>
      <c r="AH119" s="3" t="str">
        <f>IF(30&gt;$C119,"",IF($D119=1,EOMONTH(EDATE(Bonds!$H119,6*(30-1)),0),EDATE(Bonds!$H119,6*(30-1))))</f>
        <v/>
      </c>
      <c r="AI119" s="3" t="str">
        <f>IF(31&gt;$C119,"",IF($D119=1,EOMONTH(EDATE(Bonds!$H119,6*(31-1)),0),EDATE(Bonds!$H119,6*(31-1))))</f>
        <v/>
      </c>
      <c r="AJ119" s="3" t="str">
        <f>IF(32&gt;$C119,"",IF($D119=1,EOMONTH(EDATE(Bonds!$H119,6*(32-1)),0),EDATE(Bonds!$H119,6*(32-1))))</f>
        <v/>
      </c>
      <c r="AK119" s="3" t="str">
        <f>IF(33&gt;$C119,"",IF($D119=1,EOMONTH(EDATE(Bonds!$H119,6*(33-1)),0),EDATE(Bonds!$H119,6*(33-1))))</f>
        <v/>
      </c>
      <c r="AL119" s="3" t="str">
        <f>IF(34&gt;$C119,"",IF($D119=1,EOMONTH(EDATE(Bonds!$H119,6*(34-1)),0),EDATE(Bonds!$H119,6*(34-1))))</f>
        <v/>
      </c>
      <c r="AM119" s="3" t="str">
        <f>IF(35&gt;$C119,"",IF($D119=1,EOMONTH(EDATE(Bonds!$H119,6*(35-1)),0),EDATE(Bonds!$H119,6*(35-1))))</f>
        <v/>
      </c>
      <c r="AN119" s="3" t="str">
        <f>IF(36&gt;$C119,"",IF($D119=1,EOMONTH(EDATE(Bonds!$H119,6*(36-1)),0),EDATE(Bonds!$H119,6*(36-1))))</f>
        <v/>
      </c>
      <c r="AO119" s="3" t="str">
        <f>IF(37&gt;$C119,"",IF($D119=1,EOMONTH(EDATE(Bonds!$H119,6*(37-1)),0),EDATE(Bonds!$H119,6*(37-1))))</f>
        <v/>
      </c>
      <c r="AP119" s="3" t="str">
        <f>IF(38&gt;$C119,"",IF($D119=1,EOMONTH(EDATE(Bonds!$H119,6*(38-1)),0),EDATE(Bonds!$H119,6*(38-1))))</f>
        <v/>
      </c>
      <c r="AQ119" s="3" t="str">
        <f>IF(39&gt;$C119,"",IF($D119=1,EOMONTH(EDATE(Bonds!$H119,6*(39-1)),0),EDATE(Bonds!$H119,6*(39-1))))</f>
        <v/>
      </c>
      <c r="AR119" s="3" t="str">
        <f>IF(40&gt;$C119,"",IF($D119=1,EOMONTH(EDATE(Bonds!$H119,6*(40-1)),0),EDATE(Bonds!$H119,6*(40-1))))</f>
        <v/>
      </c>
      <c r="AS119" s="3" t="str">
        <f>IF(41&gt;$C119,"",IF($D119=1,EOMONTH(EDATE(Bonds!$H119,6*(41-1)),0),EDATE(Bonds!$H119,6*(41-1))))</f>
        <v/>
      </c>
      <c r="AT119" s="3" t="str">
        <f>IF(42&gt;$C119,"",IF($D119=1,EOMONTH(EDATE(Bonds!$H119,6*(42-1)),0),EDATE(Bonds!$H119,6*(42-1))))</f>
        <v/>
      </c>
      <c r="AU119" s="3" t="str">
        <f>IF(43&gt;$C119,"",IF($D119=1,EOMONTH(EDATE(Bonds!$H119,6*(43-1)),0),EDATE(Bonds!$H119,6*(43-1))))</f>
        <v/>
      </c>
      <c r="AV119" s="3" t="str">
        <f>IF(44&gt;$C119,"",IF($D119=1,EOMONTH(EDATE(Bonds!$H119,6*(44-1)),0),EDATE(Bonds!$H119,6*(44-1))))</f>
        <v/>
      </c>
      <c r="AW119" s="3" t="str">
        <f>IF(45&gt;$C119,"",IF($D119=1,EOMONTH(EDATE(Bonds!$H119,6*(45-1)),0),EDATE(Bonds!$H119,6*(45-1))))</f>
        <v/>
      </c>
      <c r="AX119" s="3" t="str">
        <f>IF(46&gt;$C119,"",IF($D119=1,EOMONTH(EDATE(Bonds!$H119,6*(46-1)),0),EDATE(Bonds!$H119,6*(46-1))))</f>
        <v/>
      </c>
      <c r="AY119" s="3" t="str">
        <f>IF(47&gt;$C119,"",IF($D119=1,EOMONTH(EDATE(Bonds!$H119,6*(47-1)),0),EDATE(Bonds!$H119,6*(47-1))))</f>
        <v/>
      </c>
      <c r="AZ119" s="3" t="str">
        <f>IF(48&gt;$C119,"",IF($D119=1,EOMONTH(EDATE(Bonds!$H119,6*(48-1)),0),EDATE(Bonds!$H119,6*(48-1))))</f>
        <v/>
      </c>
      <c r="BA119" s="3" t="str">
        <f>IF(49&gt;$C119,"",IF($D119=1,EOMONTH(EDATE(Bonds!$H119,6*(49-1)),0),EDATE(Bonds!$H119,6*(49-1))))</f>
        <v/>
      </c>
      <c r="BB119" s="3" t="str">
        <f>IF(50&gt;$C119,"",IF($D119=1,EOMONTH(EDATE(Bonds!$H119,6*(50-1)),0),EDATE(Bonds!$H119,6*(50-1))))</f>
        <v/>
      </c>
      <c r="BC119" s="3" t="str">
        <f>IF(51&gt;$C119,"",IF($D119=1,EOMONTH(EDATE(Bonds!$H119,6*(51-1)),0),EDATE(Bonds!$H119,6*(51-1))))</f>
        <v/>
      </c>
      <c r="BD119" s="3" t="str">
        <f>IF(52&gt;$C119,"",IF($D119=1,EOMONTH(EDATE(Bonds!$H119,6*(52-1)),0),EDATE(Bonds!$H119,6*(52-1))))</f>
        <v/>
      </c>
      <c r="BE119" s="3" t="str">
        <f>IF(53&gt;$C119,"",IF($D119=1,EOMONTH(EDATE(Bonds!$H119,6*(53-1)),0),EDATE(Bonds!$H119,6*(53-1))))</f>
        <v/>
      </c>
      <c r="BF119" s="3" t="str">
        <f>IF(54&gt;$C119,"",IF($D119=1,EOMONTH(EDATE(Bonds!$H119,6*(54-1)),0),EDATE(Bonds!$H119,6*(54-1))))</f>
        <v/>
      </c>
      <c r="BG119" s="3" t="str">
        <f>IF(55&gt;$C119,"",IF($D119=1,EOMONTH(EDATE(Bonds!$H119,6*(55-1)),0),EDATE(Bonds!$H119,6*(55-1))))</f>
        <v/>
      </c>
      <c r="BH119" s="3" t="str">
        <f>IF(56&gt;$C119,"",IF($D119=1,EOMONTH(EDATE(Bonds!$H119,6*(56-1)),0),EDATE(Bonds!$H119,6*(56-1))))</f>
        <v/>
      </c>
      <c r="BI119" s="3" t="str">
        <f>IF(57&gt;$C119,"",IF($D119=1,EOMONTH(EDATE(Bonds!$H119,6*(57-1)),0),EDATE(Bonds!$H119,6*(57-1))))</f>
        <v/>
      </c>
      <c r="BJ119" s="3" t="str">
        <f>IF(58&gt;$C119,"",IF($D119=1,EOMONTH(EDATE(Bonds!$H119,6*(58-1)),0),EDATE(Bonds!$H119,6*(58-1))))</f>
        <v/>
      </c>
      <c r="BK119" s="3" t="str">
        <f>IF(59&gt;$C119,"",IF($D119=1,EOMONTH(EDATE(Bonds!$H119,6*(59-1)),0),EDATE(Bonds!$H119,6*(59-1))))</f>
        <v/>
      </c>
      <c r="BL119" s="3" t="str">
        <f>IF(60&gt;$C119,"",IF($D119=1,EOMONTH(EDATE(Bonds!$H119,6*(60-1)),0),EDATE(Bonds!$H119,6*(60-1))))</f>
        <v/>
      </c>
      <c r="BN119" s="7">
        <f t="shared" si="62"/>
        <v>0.68378650303154709</v>
      </c>
      <c r="BO119" s="7">
        <f t="shared" si="63"/>
        <v>0.67009940721870465</v>
      </c>
      <c r="BP119" s="7">
        <f t="shared" si="64"/>
        <v>0.65539524533875426</v>
      </c>
      <c r="BQ119" s="7">
        <f t="shared" si="65"/>
        <v>0.64071539293729651</v>
      </c>
      <c r="BR119" s="7">
        <f t="shared" si="66"/>
        <v>91.690548216762267</v>
      </c>
      <c r="BS119" s="7">
        <f t="shared" si="67"/>
        <v>0</v>
      </c>
      <c r="BT119" s="7">
        <f t="shared" si="68"/>
        <v>0</v>
      </c>
      <c r="BU119" s="7">
        <f t="shared" si="69"/>
        <v>0</v>
      </c>
      <c r="BV119" s="7">
        <f t="shared" si="70"/>
        <v>0</v>
      </c>
      <c r="BW119" s="7">
        <f t="shared" si="71"/>
        <v>0</v>
      </c>
      <c r="BX119" s="7">
        <f t="shared" si="72"/>
        <v>0</v>
      </c>
      <c r="BY119" s="7">
        <f t="shared" si="73"/>
        <v>0</v>
      </c>
      <c r="BZ119" s="7">
        <f t="shared" si="74"/>
        <v>0</v>
      </c>
      <c r="CA119" s="7">
        <f t="shared" si="75"/>
        <v>0</v>
      </c>
      <c r="CB119" s="7">
        <f t="shared" si="76"/>
        <v>0</v>
      </c>
      <c r="CC119" s="7">
        <f t="shared" si="77"/>
        <v>0</v>
      </c>
      <c r="CD119" s="7">
        <f t="shared" si="78"/>
        <v>0</v>
      </c>
      <c r="CE119" s="7">
        <f t="shared" si="79"/>
        <v>0</v>
      </c>
      <c r="CF119" s="7">
        <f t="shared" si="80"/>
        <v>0</v>
      </c>
      <c r="CG119" s="7">
        <f t="shared" si="81"/>
        <v>0</v>
      </c>
      <c r="CH119" s="7">
        <f t="shared" si="82"/>
        <v>0</v>
      </c>
      <c r="CI119" s="7">
        <f t="shared" si="83"/>
        <v>0</v>
      </c>
      <c r="CJ119" s="7">
        <f t="shared" si="84"/>
        <v>0</v>
      </c>
      <c r="CK119" s="7">
        <f t="shared" si="85"/>
        <v>0</v>
      </c>
      <c r="CL119" s="7">
        <f t="shared" si="86"/>
        <v>0</v>
      </c>
      <c r="CM119" s="7">
        <f t="shared" si="87"/>
        <v>0</v>
      </c>
      <c r="CN119" s="7">
        <f t="shared" si="88"/>
        <v>0</v>
      </c>
      <c r="CO119" s="7">
        <f t="shared" si="89"/>
        <v>0</v>
      </c>
      <c r="CP119" s="7">
        <f t="shared" si="90"/>
        <v>0</v>
      </c>
      <c r="CQ119" s="7">
        <f t="shared" si="91"/>
        <v>0</v>
      </c>
      <c r="CR119" s="7">
        <f t="shared" si="92"/>
        <v>0</v>
      </c>
      <c r="CS119" s="7">
        <f t="shared" si="93"/>
        <v>0</v>
      </c>
      <c r="CT119" s="7">
        <f t="shared" si="94"/>
        <v>0</v>
      </c>
      <c r="CU119" s="7">
        <f t="shared" si="95"/>
        <v>0</v>
      </c>
      <c r="CV119" s="7">
        <f t="shared" si="96"/>
        <v>0</v>
      </c>
      <c r="CW119" s="7">
        <f t="shared" si="97"/>
        <v>0</v>
      </c>
      <c r="CX119" s="7">
        <f t="shared" si="98"/>
        <v>0</v>
      </c>
      <c r="CY119" s="7">
        <f t="shared" si="99"/>
        <v>0</v>
      </c>
      <c r="CZ119" s="7">
        <f t="shared" si="100"/>
        <v>0</v>
      </c>
      <c r="DA119" s="7">
        <f t="shared" si="101"/>
        <v>0</v>
      </c>
      <c r="DB119" s="7">
        <f t="shared" si="102"/>
        <v>0</v>
      </c>
      <c r="DC119" s="7">
        <f t="shared" si="103"/>
        <v>0</v>
      </c>
      <c r="DD119" s="7">
        <f t="shared" si="104"/>
        <v>0</v>
      </c>
      <c r="DE119" s="7">
        <f t="shared" si="105"/>
        <v>0</v>
      </c>
      <c r="DF119" s="7">
        <f t="shared" si="106"/>
        <v>0</v>
      </c>
      <c r="DG119" s="7">
        <f t="shared" si="107"/>
        <v>0</v>
      </c>
      <c r="DH119" s="7">
        <f t="shared" si="108"/>
        <v>0</v>
      </c>
      <c r="DI119" s="7">
        <f t="shared" si="109"/>
        <v>0</v>
      </c>
      <c r="DJ119" s="7">
        <f t="shared" si="110"/>
        <v>0</v>
      </c>
      <c r="DK119" s="7">
        <f t="shared" si="111"/>
        <v>0</v>
      </c>
      <c r="DL119" s="7">
        <f t="shared" si="112"/>
        <v>0</v>
      </c>
      <c r="DM119" s="7">
        <f t="shared" si="113"/>
        <v>0</v>
      </c>
      <c r="DN119" s="7">
        <f t="shared" si="114"/>
        <v>0</v>
      </c>
      <c r="DO119" s="7">
        <f t="shared" si="115"/>
        <v>0</v>
      </c>
      <c r="DP119" s="7">
        <f t="shared" si="116"/>
        <v>0</v>
      </c>
      <c r="DQ119" s="7">
        <f t="shared" si="117"/>
        <v>0</v>
      </c>
      <c r="DR119" s="7">
        <f t="shared" si="118"/>
        <v>0</v>
      </c>
      <c r="DS119" s="7">
        <f t="shared" si="119"/>
        <v>0</v>
      </c>
      <c r="DT119" s="7">
        <f t="shared" si="120"/>
        <v>0</v>
      </c>
      <c r="DU119" s="7">
        <f t="shared" si="121"/>
        <v>0</v>
      </c>
    </row>
    <row r="120" spans="1:125" x14ac:dyDescent="0.2">
      <c r="A120" s="3">
        <f>Bonds!A120</f>
        <v>47057</v>
      </c>
      <c r="B120" s="4">
        <f>Bonds!B120</f>
        <v>4.875</v>
      </c>
      <c r="C120">
        <f>Bonds!P120</f>
        <v>5</v>
      </c>
      <c r="D120">
        <f t="shared" si="61"/>
        <v>1</v>
      </c>
      <c r="E120" s="3">
        <f>IF(1&gt;$C120,"",IF($D120=1,EOMONTH(EDATE(Bonds!$H120,6*(1-1)),0),EDATE(Bonds!$H120,6*(1-1))))</f>
        <v>46326</v>
      </c>
      <c r="F120" s="3">
        <f>IF(2&gt;$C120,"",IF($D120=1,EOMONTH(EDATE(Bonds!$H120,6*(2-1)),0),EDATE(Bonds!$H120,6*(2-1))))</f>
        <v>46507</v>
      </c>
      <c r="G120" s="3">
        <f>IF(3&gt;$C120,"",IF($D120=1,EOMONTH(EDATE(Bonds!$H120,6*(3-1)),0),EDATE(Bonds!$H120,6*(3-1))))</f>
        <v>46691</v>
      </c>
      <c r="H120" s="3">
        <f>IF(4&gt;$C120,"",IF($D120=1,EOMONTH(EDATE(Bonds!$H120,6*(4-1)),0),EDATE(Bonds!$H120,6*(4-1))))</f>
        <v>46873</v>
      </c>
      <c r="I120" s="3">
        <f>IF(5&gt;$C120,"",IF($D120=1,EOMONTH(EDATE(Bonds!$H120,6*(5-1)),0),EDATE(Bonds!$H120,6*(5-1))))</f>
        <v>47057</v>
      </c>
      <c r="J120" s="3" t="str">
        <f>IF(6&gt;$C120,"",IF($D120=1,EOMONTH(EDATE(Bonds!$H120,6*(6-1)),0),EDATE(Bonds!$H120,6*(6-1))))</f>
        <v/>
      </c>
      <c r="K120" s="3" t="str">
        <f>IF(7&gt;$C120,"",IF($D120=1,EOMONTH(EDATE(Bonds!$H120,6*(7-1)),0),EDATE(Bonds!$H120,6*(7-1))))</f>
        <v/>
      </c>
      <c r="L120" s="3" t="str">
        <f>IF(8&gt;$C120,"",IF($D120=1,EOMONTH(EDATE(Bonds!$H120,6*(8-1)),0),EDATE(Bonds!$H120,6*(8-1))))</f>
        <v/>
      </c>
      <c r="M120" s="3" t="str">
        <f>IF(9&gt;$C120,"",IF($D120=1,EOMONTH(EDATE(Bonds!$H120,6*(9-1)),0),EDATE(Bonds!$H120,6*(9-1))))</f>
        <v/>
      </c>
      <c r="N120" s="3" t="str">
        <f>IF(10&gt;$C120,"",IF($D120=1,EOMONTH(EDATE(Bonds!$H120,6*(10-1)),0),EDATE(Bonds!$H120,6*(10-1))))</f>
        <v/>
      </c>
      <c r="O120" s="3" t="str">
        <f>IF(11&gt;$C120,"",IF($D120=1,EOMONTH(EDATE(Bonds!$H120,6*(11-1)),0),EDATE(Bonds!$H120,6*(11-1))))</f>
        <v/>
      </c>
      <c r="P120" s="3" t="str">
        <f>IF(12&gt;$C120,"",IF($D120=1,EOMONTH(EDATE(Bonds!$H120,6*(12-1)),0),EDATE(Bonds!$H120,6*(12-1))))</f>
        <v/>
      </c>
      <c r="Q120" s="3" t="str">
        <f>IF(13&gt;$C120,"",IF($D120=1,EOMONTH(EDATE(Bonds!$H120,6*(13-1)),0),EDATE(Bonds!$H120,6*(13-1))))</f>
        <v/>
      </c>
      <c r="R120" s="3" t="str">
        <f>IF(14&gt;$C120,"",IF($D120=1,EOMONTH(EDATE(Bonds!$H120,6*(14-1)),0),EDATE(Bonds!$H120,6*(14-1))))</f>
        <v/>
      </c>
      <c r="S120" s="3" t="str">
        <f>IF(15&gt;$C120,"",IF($D120=1,EOMONTH(EDATE(Bonds!$H120,6*(15-1)),0),EDATE(Bonds!$H120,6*(15-1))))</f>
        <v/>
      </c>
      <c r="T120" s="3" t="str">
        <f>IF(16&gt;$C120,"",IF($D120=1,EOMONTH(EDATE(Bonds!$H120,6*(16-1)),0),EDATE(Bonds!$H120,6*(16-1))))</f>
        <v/>
      </c>
      <c r="U120" s="3" t="str">
        <f>IF(17&gt;$C120,"",IF($D120=1,EOMONTH(EDATE(Bonds!$H120,6*(17-1)),0),EDATE(Bonds!$H120,6*(17-1))))</f>
        <v/>
      </c>
      <c r="V120" s="3" t="str">
        <f>IF(18&gt;$C120,"",IF($D120=1,EOMONTH(EDATE(Bonds!$H120,6*(18-1)),0),EDATE(Bonds!$H120,6*(18-1))))</f>
        <v/>
      </c>
      <c r="W120" s="3" t="str">
        <f>IF(19&gt;$C120,"",IF($D120=1,EOMONTH(EDATE(Bonds!$H120,6*(19-1)),0),EDATE(Bonds!$H120,6*(19-1))))</f>
        <v/>
      </c>
      <c r="X120" s="3" t="str">
        <f>IF(20&gt;$C120,"",IF($D120=1,EOMONTH(EDATE(Bonds!$H120,6*(20-1)),0),EDATE(Bonds!$H120,6*(20-1))))</f>
        <v/>
      </c>
      <c r="Y120" s="3" t="str">
        <f>IF(21&gt;$C120,"",IF($D120=1,EOMONTH(EDATE(Bonds!$H120,6*(21-1)),0),EDATE(Bonds!$H120,6*(21-1))))</f>
        <v/>
      </c>
      <c r="Z120" s="3" t="str">
        <f>IF(22&gt;$C120,"",IF($D120=1,EOMONTH(EDATE(Bonds!$H120,6*(22-1)),0),EDATE(Bonds!$H120,6*(22-1))))</f>
        <v/>
      </c>
      <c r="AA120" s="3" t="str">
        <f>IF(23&gt;$C120,"",IF($D120=1,EOMONTH(EDATE(Bonds!$H120,6*(23-1)),0),EDATE(Bonds!$H120,6*(23-1))))</f>
        <v/>
      </c>
      <c r="AB120" s="3" t="str">
        <f>IF(24&gt;$C120,"",IF($D120=1,EOMONTH(EDATE(Bonds!$H120,6*(24-1)),0),EDATE(Bonds!$H120,6*(24-1))))</f>
        <v/>
      </c>
      <c r="AC120" s="3" t="str">
        <f>IF(25&gt;$C120,"",IF($D120=1,EOMONTH(EDATE(Bonds!$H120,6*(25-1)),0),EDATE(Bonds!$H120,6*(25-1))))</f>
        <v/>
      </c>
      <c r="AD120" s="3" t="str">
        <f>IF(26&gt;$C120,"",IF($D120=1,EOMONTH(EDATE(Bonds!$H120,6*(26-1)),0),EDATE(Bonds!$H120,6*(26-1))))</f>
        <v/>
      </c>
      <c r="AE120" s="3" t="str">
        <f>IF(27&gt;$C120,"",IF($D120=1,EOMONTH(EDATE(Bonds!$H120,6*(27-1)),0),EDATE(Bonds!$H120,6*(27-1))))</f>
        <v/>
      </c>
      <c r="AF120" s="3" t="str">
        <f>IF(28&gt;$C120,"",IF($D120=1,EOMONTH(EDATE(Bonds!$H120,6*(28-1)),0),EDATE(Bonds!$H120,6*(28-1))))</f>
        <v/>
      </c>
      <c r="AG120" s="3" t="str">
        <f>IF(29&gt;$C120,"",IF($D120=1,EOMONTH(EDATE(Bonds!$H120,6*(29-1)),0),EDATE(Bonds!$H120,6*(29-1))))</f>
        <v/>
      </c>
      <c r="AH120" s="3" t="str">
        <f>IF(30&gt;$C120,"",IF($D120=1,EOMONTH(EDATE(Bonds!$H120,6*(30-1)),0),EDATE(Bonds!$H120,6*(30-1))))</f>
        <v/>
      </c>
      <c r="AI120" s="3" t="str">
        <f>IF(31&gt;$C120,"",IF($D120=1,EOMONTH(EDATE(Bonds!$H120,6*(31-1)),0),EDATE(Bonds!$H120,6*(31-1))))</f>
        <v/>
      </c>
      <c r="AJ120" s="3" t="str">
        <f>IF(32&gt;$C120,"",IF($D120=1,EOMONTH(EDATE(Bonds!$H120,6*(32-1)),0),EDATE(Bonds!$H120,6*(32-1))))</f>
        <v/>
      </c>
      <c r="AK120" s="3" t="str">
        <f>IF(33&gt;$C120,"",IF($D120=1,EOMONTH(EDATE(Bonds!$H120,6*(33-1)),0),EDATE(Bonds!$H120,6*(33-1))))</f>
        <v/>
      </c>
      <c r="AL120" s="3" t="str">
        <f>IF(34&gt;$C120,"",IF($D120=1,EOMONTH(EDATE(Bonds!$H120,6*(34-1)),0),EDATE(Bonds!$H120,6*(34-1))))</f>
        <v/>
      </c>
      <c r="AM120" s="3" t="str">
        <f>IF(35&gt;$C120,"",IF($D120=1,EOMONTH(EDATE(Bonds!$H120,6*(35-1)),0),EDATE(Bonds!$H120,6*(35-1))))</f>
        <v/>
      </c>
      <c r="AN120" s="3" t="str">
        <f>IF(36&gt;$C120,"",IF($D120=1,EOMONTH(EDATE(Bonds!$H120,6*(36-1)),0),EDATE(Bonds!$H120,6*(36-1))))</f>
        <v/>
      </c>
      <c r="AO120" s="3" t="str">
        <f>IF(37&gt;$C120,"",IF($D120=1,EOMONTH(EDATE(Bonds!$H120,6*(37-1)),0),EDATE(Bonds!$H120,6*(37-1))))</f>
        <v/>
      </c>
      <c r="AP120" s="3" t="str">
        <f>IF(38&gt;$C120,"",IF($D120=1,EOMONTH(EDATE(Bonds!$H120,6*(38-1)),0),EDATE(Bonds!$H120,6*(38-1))))</f>
        <v/>
      </c>
      <c r="AQ120" s="3" t="str">
        <f>IF(39&gt;$C120,"",IF($D120=1,EOMONTH(EDATE(Bonds!$H120,6*(39-1)),0),EDATE(Bonds!$H120,6*(39-1))))</f>
        <v/>
      </c>
      <c r="AR120" s="3" t="str">
        <f>IF(40&gt;$C120,"",IF($D120=1,EOMONTH(EDATE(Bonds!$H120,6*(40-1)),0),EDATE(Bonds!$H120,6*(40-1))))</f>
        <v/>
      </c>
      <c r="AS120" s="3" t="str">
        <f>IF(41&gt;$C120,"",IF($D120=1,EOMONTH(EDATE(Bonds!$H120,6*(41-1)),0),EDATE(Bonds!$H120,6*(41-1))))</f>
        <v/>
      </c>
      <c r="AT120" s="3" t="str">
        <f>IF(42&gt;$C120,"",IF($D120=1,EOMONTH(EDATE(Bonds!$H120,6*(42-1)),0),EDATE(Bonds!$H120,6*(42-1))))</f>
        <v/>
      </c>
      <c r="AU120" s="3" t="str">
        <f>IF(43&gt;$C120,"",IF($D120=1,EOMONTH(EDATE(Bonds!$H120,6*(43-1)),0),EDATE(Bonds!$H120,6*(43-1))))</f>
        <v/>
      </c>
      <c r="AV120" s="3" t="str">
        <f>IF(44&gt;$C120,"",IF($D120=1,EOMONTH(EDATE(Bonds!$H120,6*(44-1)),0),EDATE(Bonds!$H120,6*(44-1))))</f>
        <v/>
      </c>
      <c r="AW120" s="3" t="str">
        <f>IF(45&gt;$C120,"",IF($D120=1,EOMONTH(EDATE(Bonds!$H120,6*(45-1)),0),EDATE(Bonds!$H120,6*(45-1))))</f>
        <v/>
      </c>
      <c r="AX120" s="3" t="str">
        <f>IF(46&gt;$C120,"",IF($D120=1,EOMONTH(EDATE(Bonds!$H120,6*(46-1)),0),EDATE(Bonds!$H120,6*(46-1))))</f>
        <v/>
      </c>
      <c r="AY120" s="3" t="str">
        <f>IF(47&gt;$C120,"",IF($D120=1,EOMONTH(EDATE(Bonds!$H120,6*(47-1)),0),EDATE(Bonds!$H120,6*(47-1))))</f>
        <v/>
      </c>
      <c r="AZ120" s="3" t="str">
        <f>IF(48&gt;$C120,"",IF($D120=1,EOMONTH(EDATE(Bonds!$H120,6*(48-1)),0),EDATE(Bonds!$H120,6*(48-1))))</f>
        <v/>
      </c>
      <c r="BA120" s="3" t="str">
        <f>IF(49&gt;$C120,"",IF($D120=1,EOMONTH(EDATE(Bonds!$H120,6*(49-1)),0),EDATE(Bonds!$H120,6*(49-1))))</f>
        <v/>
      </c>
      <c r="BB120" s="3" t="str">
        <f>IF(50&gt;$C120,"",IF($D120=1,EOMONTH(EDATE(Bonds!$H120,6*(50-1)),0),EDATE(Bonds!$H120,6*(50-1))))</f>
        <v/>
      </c>
      <c r="BC120" s="3" t="str">
        <f>IF(51&gt;$C120,"",IF($D120=1,EOMONTH(EDATE(Bonds!$H120,6*(51-1)),0),EDATE(Bonds!$H120,6*(51-1))))</f>
        <v/>
      </c>
      <c r="BD120" s="3" t="str">
        <f>IF(52&gt;$C120,"",IF($D120=1,EOMONTH(EDATE(Bonds!$H120,6*(52-1)),0),EDATE(Bonds!$H120,6*(52-1))))</f>
        <v/>
      </c>
      <c r="BE120" s="3" t="str">
        <f>IF(53&gt;$C120,"",IF($D120=1,EOMONTH(EDATE(Bonds!$H120,6*(53-1)),0),EDATE(Bonds!$H120,6*(53-1))))</f>
        <v/>
      </c>
      <c r="BF120" s="3" t="str">
        <f>IF(54&gt;$C120,"",IF($D120=1,EOMONTH(EDATE(Bonds!$H120,6*(54-1)),0),EDATE(Bonds!$H120,6*(54-1))))</f>
        <v/>
      </c>
      <c r="BG120" s="3" t="str">
        <f>IF(55&gt;$C120,"",IF($D120=1,EOMONTH(EDATE(Bonds!$H120,6*(55-1)),0),EDATE(Bonds!$H120,6*(55-1))))</f>
        <v/>
      </c>
      <c r="BH120" s="3" t="str">
        <f>IF(56&gt;$C120,"",IF($D120=1,EOMONTH(EDATE(Bonds!$H120,6*(56-1)),0),EDATE(Bonds!$H120,6*(56-1))))</f>
        <v/>
      </c>
      <c r="BI120" s="3" t="str">
        <f>IF(57&gt;$C120,"",IF($D120=1,EOMONTH(EDATE(Bonds!$H120,6*(57-1)),0),EDATE(Bonds!$H120,6*(57-1))))</f>
        <v/>
      </c>
      <c r="BJ120" s="3" t="str">
        <f>IF(58&gt;$C120,"",IF($D120=1,EOMONTH(EDATE(Bonds!$H120,6*(58-1)),0),EDATE(Bonds!$H120,6*(58-1))))</f>
        <v/>
      </c>
      <c r="BK120" s="3" t="str">
        <f>IF(59&gt;$C120,"",IF($D120=1,EOMONTH(EDATE(Bonds!$H120,6*(59-1)),0),EDATE(Bonds!$H120,6*(59-1))))</f>
        <v/>
      </c>
      <c r="BL120" s="3" t="str">
        <f>IF(60&gt;$C120,"",IF($D120=1,EOMONTH(EDATE(Bonds!$H120,6*(60-1)),0),EDATE(Bonds!$H120,6*(60-1))))</f>
        <v/>
      </c>
      <c r="BN120" s="7">
        <f t="shared" si="62"/>
        <v>2.4243339652936671</v>
      </c>
      <c r="BO120" s="7">
        <f t="shared" si="63"/>
        <v>2.3758069892299529</v>
      </c>
      <c r="BP120" s="7">
        <f t="shared" si="64"/>
        <v>2.3236740516555834</v>
      </c>
      <c r="BQ120" s="7">
        <f t="shared" si="65"/>
        <v>2.2716273022322331</v>
      </c>
      <c r="BR120" s="7">
        <f t="shared" si="66"/>
        <v>93.284176615315559</v>
      </c>
      <c r="BS120" s="7">
        <f t="shared" si="67"/>
        <v>0</v>
      </c>
      <c r="BT120" s="7">
        <f t="shared" si="68"/>
        <v>0</v>
      </c>
      <c r="BU120" s="7">
        <f t="shared" si="69"/>
        <v>0</v>
      </c>
      <c r="BV120" s="7">
        <f t="shared" si="70"/>
        <v>0</v>
      </c>
      <c r="BW120" s="7">
        <f t="shared" si="71"/>
        <v>0</v>
      </c>
      <c r="BX120" s="7">
        <f t="shared" si="72"/>
        <v>0</v>
      </c>
      <c r="BY120" s="7">
        <f t="shared" si="73"/>
        <v>0</v>
      </c>
      <c r="BZ120" s="7">
        <f t="shared" si="74"/>
        <v>0</v>
      </c>
      <c r="CA120" s="7">
        <f t="shared" si="75"/>
        <v>0</v>
      </c>
      <c r="CB120" s="7">
        <f t="shared" si="76"/>
        <v>0</v>
      </c>
      <c r="CC120" s="7">
        <f t="shared" si="77"/>
        <v>0</v>
      </c>
      <c r="CD120" s="7">
        <f t="shared" si="78"/>
        <v>0</v>
      </c>
      <c r="CE120" s="7">
        <f t="shared" si="79"/>
        <v>0</v>
      </c>
      <c r="CF120" s="7">
        <f t="shared" si="80"/>
        <v>0</v>
      </c>
      <c r="CG120" s="7">
        <f t="shared" si="81"/>
        <v>0</v>
      </c>
      <c r="CH120" s="7">
        <f t="shared" si="82"/>
        <v>0</v>
      </c>
      <c r="CI120" s="7">
        <f t="shared" si="83"/>
        <v>0</v>
      </c>
      <c r="CJ120" s="7">
        <f t="shared" si="84"/>
        <v>0</v>
      </c>
      <c r="CK120" s="7">
        <f t="shared" si="85"/>
        <v>0</v>
      </c>
      <c r="CL120" s="7">
        <f t="shared" si="86"/>
        <v>0</v>
      </c>
      <c r="CM120" s="7">
        <f t="shared" si="87"/>
        <v>0</v>
      </c>
      <c r="CN120" s="7">
        <f t="shared" si="88"/>
        <v>0</v>
      </c>
      <c r="CO120" s="7">
        <f t="shared" si="89"/>
        <v>0</v>
      </c>
      <c r="CP120" s="7">
        <f t="shared" si="90"/>
        <v>0</v>
      </c>
      <c r="CQ120" s="7">
        <f t="shared" si="91"/>
        <v>0</v>
      </c>
      <c r="CR120" s="7">
        <f t="shared" si="92"/>
        <v>0</v>
      </c>
      <c r="CS120" s="7">
        <f t="shared" si="93"/>
        <v>0</v>
      </c>
      <c r="CT120" s="7">
        <f t="shared" si="94"/>
        <v>0</v>
      </c>
      <c r="CU120" s="7">
        <f t="shared" si="95"/>
        <v>0</v>
      </c>
      <c r="CV120" s="7">
        <f t="shared" si="96"/>
        <v>0</v>
      </c>
      <c r="CW120" s="7">
        <f t="shared" si="97"/>
        <v>0</v>
      </c>
      <c r="CX120" s="7">
        <f t="shared" si="98"/>
        <v>0</v>
      </c>
      <c r="CY120" s="7">
        <f t="shared" si="99"/>
        <v>0</v>
      </c>
      <c r="CZ120" s="7">
        <f t="shared" si="100"/>
        <v>0</v>
      </c>
      <c r="DA120" s="7">
        <f t="shared" si="101"/>
        <v>0</v>
      </c>
      <c r="DB120" s="7">
        <f t="shared" si="102"/>
        <v>0</v>
      </c>
      <c r="DC120" s="7">
        <f t="shared" si="103"/>
        <v>0</v>
      </c>
      <c r="DD120" s="7">
        <f t="shared" si="104"/>
        <v>0</v>
      </c>
      <c r="DE120" s="7">
        <f t="shared" si="105"/>
        <v>0</v>
      </c>
      <c r="DF120" s="7">
        <f t="shared" si="106"/>
        <v>0</v>
      </c>
      <c r="DG120" s="7">
        <f t="shared" si="107"/>
        <v>0</v>
      </c>
      <c r="DH120" s="7">
        <f t="shared" si="108"/>
        <v>0</v>
      </c>
      <c r="DI120" s="7">
        <f t="shared" si="109"/>
        <v>0</v>
      </c>
      <c r="DJ120" s="7">
        <f t="shared" si="110"/>
        <v>0</v>
      </c>
      <c r="DK120" s="7">
        <f t="shared" si="111"/>
        <v>0</v>
      </c>
      <c r="DL120" s="7">
        <f t="shared" si="112"/>
        <v>0</v>
      </c>
      <c r="DM120" s="7">
        <f t="shared" si="113"/>
        <v>0</v>
      </c>
      <c r="DN120" s="7">
        <f t="shared" si="114"/>
        <v>0</v>
      </c>
      <c r="DO120" s="7">
        <f t="shared" si="115"/>
        <v>0</v>
      </c>
      <c r="DP120" s="7">
        <f t="shared" si="116"/>
        <v>0</v>
      </c>
      <c r="DQ120" s="7">
        <f t="shared" si="117"/>
        <v>0</v>
      </c>
      <c r="DR120" s="7">
        <f t="shared" si="118"/>
        <v>0</v>
      </c>
      <c r="DS120" s="7">
        <f t="shared" si="119"/>
        <v>0</v>
      </c>
      <c r="DT120" s="7">
        <f t="shared" si="120"/>
        <v>0</v>
      </c>
      <c r="DU120" s="7">
        <f t="shared" si="121"/>
        <v>0</v>
      </c>
    </row>
    <row r="121" spans="1:125" x14ac:dyDescent="0.2">
      <c r="A121" s="3">
        <f>Bonds!A121</f>
        <v>47072</v>
      </c>
      <c r="B121" s="4">
        <f>Bonds!B121</f>
        <v>3.125</v>
      </c>
      <c r="C121">
        <f>Bonds!P121</f>
        <v>5</v>
      </c>
      <c r="D121">
        <f t="shared" si="61"/>
        <v>0</v>
      </c>
      <c r="E121" s="3">
        <f>IF(1&gt;$C121,"",IF($D121=1,EOMONTH(EDATE(Bonds!$H121,6*(1-1)),0),EDATE(Bonds!$H121,6*(1-1))))</f>
        <v>46341</v>
      </c>
      <c r="F121" s="3">
        <f>IF(2&gt;$C121,"",IF($D121=1,EOMONTH(EDATE(Bonds!$H121,6*(2-1)),0),EDATE(Bonds!$H121,6*(2-1))))</f>
        <v>46522</v>
      </c>
      <c r="G121" s="3">
        <f>IF(3&gt;$C121,"",IF($D121=1,EOMONTH(EDATE(Bonds!$H121,6*(3-1)),0),EDATE(Bonds!$H121,6*(3-1))))</f>
        <v>46706</v>
      </c>
      <c r="H121" s="3">
        <f>IF(4&gt;$C121,"",IF($D121=1,EOMONTH(EDATE(Bonds!$H121,6*(4-1)),0),EDATE(Bonds!$H121,6*(4-1))))</f>
        <v>46888</v>
      </c>
      <c r="I121" s="3">
        <f>IF(5&gt;$C121,"",IF($D121=1,EOMONTH(EDATE(Bonds!$H121,6*(5-1)),0),EDATE(Bonds!$H121,6*(5-1))))</f>
        <v>47072</v>
      </c>
      <c r="J121" s="3" t="str">
        <f>IF(6&gt;$C121,"",IF($D121=1,EOMONTH(EDATE(Bonds!$H121,6*(6-1)),0),EDATE(Bonds!$H121,6*(6-1))))</f>
        <v/>
      </c>
      <c r="K121" s="3" t="str">
        <f>IF(7&gt;$C121,"",IF($D121=1,EOMONTH(EDATE(Bonds!$H121,6*(7-1)),0),EDATE(Bonds!$H121,6*(7-1))))</f>
        <v/>
      </c>
      <c r="L121" s="3" t="str">
        <f>IF(8&gt;$C121,"",IF($D121=1,EOMONTH(EDATE(Bonds!$H121,6*(8-1)),0),EDATE(Bonds!$H121,6*(8-1))))</f>
        <v/>
      </c>
      <c r="M121" s="3" t="str">
        <f>IF(9&gt;$C121,"",IF($D121=1,EOMONTH(EDATE(Bonds!$H121,6*(9-1)),0),EDATE(Bonds!$H121,6*(9-1))))</f>
        <v/>
      </c>
      <c r="N121" s="3" t="str">
        <f>IF(10&gt;$C121,"",IF($D121=1,EOMONTH(EDATE(Bonds!$H121,6*(10-1)),0),EDATE(Bonds!$H121,6*(10-1))))</f>
        <v/>
      </c>
      <c r="O121" s="3" t="str">
        <f>IF(11&gt;$C121,"",IF($D121=1,EOMONTH(EDATE(Bonds!$H121,6*(11-1)),0),EDATE(Bonds!$H121,6*(11-1))))</f>
        <v/>
      </c>
      <c r="P121" s="3" t="str">
        <f>IF(12&gt;$C121,"",IF($D121=1,EOMONTH(EDATE(Bonds!$H121,6*(12-1)),0),EDATE(Bonds!$H121,6*(12-1))))</f>
        <v/>
      </c>
      <c r="Q121" s="3" t="str">
        <f>IF(13&gt;$C121,"",IF($D121=1,EOMONTH(EDATE(Bonds!$H121,6*(13-1)),0),EDATE(Bonds!$H121,6*(13-1))))</f>
        <v/>
      </c>
      <c r="R121" s="3" t="str">
        <f>IF(14&gt;$C121,"",IF($D121=1,EOMONTH(EDATE(Bonds!$H121,6*(14-1)),0),EDATE(Bonds!$H121,6*(14-1))))</f>
        <v/>
      </c>
      <c r="S121" s="3" t="str">
        <f>IF(15&gt;$C121,"",IF($D121=1,EOMONTH(EDATE(Bonds!$H121,6*(15-1)),0),EDATE(Bonds!$H121,6*(15-1))))</f>
        <v/>
      </c>
      <c r="T121" s="3" t="str">
        <f>IF(16&gt;$C121,"",IF($D121=1,EOMONTH(EDATE(Bonds!$H121,6*(16-1)),0),EDATE(Bonds!$H121,6*(16-1))))</f>
        <v/>
      </c>
      <c r="U121" s="3" t="str">
        <f>IF(17&gt;$C121,"",IF($D121=1,EOMONTH(EDATE(Bonds!$H121,6*(17-1)),0),EDATE(Bonds!$H121,6*(17-1))))</f>
        <v/>
      </c>
      <c r="V121" s="3" t="str">
        <f>IF(18&gt;$C121,"",IF($D121=1,EOMONTH(EDATE(Bonds!$H121,6*(18-1)),0),EDATE(Bonds!$H121,6*(18-1))))</f>
        <v/>
      </c>
      <c r="W121" s="3" t="str">
        <f>IF(19&gt;$C121,"",IF($D121=1,EOMONTH(EDATE(Bonds!$H121,6*(19-1)),0),EDATE(Bonds!$H121,6*(19-1))))</f>
        <v/>
      </c>
      <c r="X121" s="3" t="str">
        <f>IF(20&gt;$C121,"",IF($D121=1,EOMONTH(EDATE(Bonds!$H121,6*(20-1)),0),EDATE(Bonds!$H121,6*(20-1))))</f>
        <v/>
      </c>
      <c r="Y121" s="3" t="str">
        <f>IF(21&gt;$C121,"",IF($D121=1,EOMONTH(EDATE(Bonds!$H121,6*(21-1)),0),EDATE(Bonds!$H121,6*(21-1))))</f>
        <v/>
      </c>
      <c r="Z121" s="3" t="str">
        <f>IF(22&gt;$C121,"",IF($D121=1,EOMONTH(EDATE(Bonds!$H121,6*(22-1)),0),EDATE(Bonds!$H121,6*(22-1))))</f>
        <v/>
      </c>
      <c r="AA121" s="3" t="str">
        <f>IF(23&gt;$C121,"",IF($D121=1,EOMONTH(EDATE(Bonds!$H121,6*(23-1)),0),EDATE(Bonds!$H121,6*(23-1))))</f>
        <v/>
      </c>
      <c r="AB121" s="3" t="str">
        <f>IF(24&gt;$C121,"",IF($D121=1,EOMONTH(EDATE(Bonds!$H121,6*(24-1)),0),EDATE(Bonds!$H121,6*(24-1))))</f>
        <v/>
      </c>
      <c r="AC121" s="3" t="str">
        <f>IF(25&gt;$C121,"",IF($D121=1,EOMONTH(EDATE(Bonds!$H121,6*(25-1)),0),EDATE(Bonds!$H121,6*(25-1))))</f>
        <v/>
      </c>
      <c r="AD121" s="3" t="str">
        <f>IF(26&gt;$C121,"",IF($D121=1,EOMONTH(EDATE(Bonds!$H121,6*(26-1)),0),EDATE(Bonds!$H121,6*(26-1))))</f>
        <v/>
      </c>
      <c r="AE121" s="3" t="str">
        <f>IF(27&gt;$C121,"",IF($D121=1,EOMONTH(EDATE(Bonds!$H121,6*(27-1)),0),EDATE(Bonds!$H121,6*(27-1))))</f>
        <v/>
      </c>
      <c r="AF121" s="3" t="str">
        <f>IF(28&gt;$C121,"",IF($D121=1,EOMONTH(EDATE(Bonds!$H121,6*(28-1)),0),EDATE(Bonds!$H121,6*(28-1))))</f>
        <v/>
      </c>
      <c r="AG121" s="3" t="str">
        <f>IF(29&gt;$C121,"",IF($D121=1,EOMONTH(EDATE(Bonds!$H121,6*(29-1)),0),EDATE(Bonds!$H121,6*(29-1))))</f>
        <v/>
      </c>
      <c r="AH121" s="3" t="str">
        <f>IF(30&gt;$C121,"",IF($D121=1,EOMONTH(EDATE(Bonds!$H121,6*(30-1)),0),EDATE(Bonds!$H121,6*(30-1))))</f>
        <v/>
      </c>
      <c r="AI121" s="3" t="str">
        <f>IF(31&gt;$C121,"",IF($D121=1,EOMONTH(EDATE(Bonds!$H121,6*(31-1)),0),EDATE(Bonds!$H121,6*(31-1))))</f>
        <v/>
      </c>
      <c r="AJ121" s="3" t="str">
        <f>IF(32&gt;$C121,"",IF($D121=1,EOMONTH(EDATE(Bonds!$H121,6*(32-1)),0),EDATE(Bonds!$H121,6*(32-1))))</f>
        <v/>
      </c>
      <c r="AK121" s="3" t="str">
        <f>IF(33&gt;$C121,"",IF($D121=1,EOMONTH(EDATE(Bonds!$H121,6*(33-1)),0),EDATE(Bonds!$H121,6*(33-1))))</f>
        <v/>
      </c>
      <c r="AL121" s="3" t="str">
        <f>IF(34&gt;$C121,"",IF($D121=1,EOMONTH(EDATE(Bonds!$H121,6*(34-1)),0),EDATE(Bonds!$H121,6*(34-1))))</f>
        <v/>
      </c>
      <c r="AM121" s="3" t="str">
        <f>IF(35&gt;$C121,"",IF($D121=1,EOMONTH(EDATE(Bonds!$H121,6*(35-1)),0),EDATE(Bonds!$H121,6*(35-1))))</f>
        <v/>
      </c>
      <c r="AN121" s="3" t="str">
        <f>IF(36&gt;$C121,"",IF($D121=1,EOMONTH(EDATE(Bonds!$H121,6*(36-1)),0),EDATE(Bonds!$H121,6*(36-1))))</f>
        <v/>
      </c>
      <c r="AO121" s="3" t="str">
        <f>IF(37&gt;$C121,"",IF($D121=1,EOMONTH(EDATE(Bonds!$H121,6*(37-1)),0),EDATE(Bonds!$H121,6*(37-1))))</f>
        <v/>
      </c>
      <c r="AP121" s="3" t="str">
        <f>IF(38&gt;$C121,"",IF($D121=1,EOMONTH(EDATE(Bonds!$H121,6*(38-1)),0),EDATE(Bonds!$H121,6*(38-1))))</f>
        <v/>
      </c>
      <c r="AQ121" s="3" t="str">
        <f>IF(39&gt;$C121,"",IF($D121=1,EOMONTH(EDATE(Bonds!$H121,6*(39-1)),0),EDATE(Bonds!$H121,6*(39-1))))</f>
        <v/>
      </c>
      <c r="AR121" s="3" t="str">
        <f>IF(40&gt;$C121,"",IF($D121=1,EOMONTH(EDATE(Bonds!$H121,6*(40-1)),0),EDATE(Bonds!$H121,6*(40-1))))</f>
        <v/>
      </c>
      <c r="AS121" s="3" t="str">
        <f>IF(41&gt;$C121,"",IF($D121=1,EOMONTH(EDATE(Bonds!$H121,6*(41-1)),0),EDATE(Bonds!$H121,6*(41-1))))</f>
        <v/>
      </c>
      <c r="AT121" s="3" t="str">
        <f>IF(42&gt;$C121,"",IF($D121=1,EOMONTH(EDATE(Bonds!$H121,6*(42-1)),0),EDATE(Bonds!$H121,6*(42-1))))</f>
        <v/>
      </c>
      <c r="AU121" s="3" t="str">
        <f>IF(43&gt;$C121,"",IF($D121=1,EOMONTH(EDATE(Bonds!$H121,6*(43-1)),0),EDATE(Bonds!$H121,6*(43-1))))</f>
        <v/>
      </c>
      <c r="AV121" s="3" t="str">
        <f>IF(44&gt;$C121,"",IF($D121=1,EOMONTH(EDATE(Bonds!$H121,6*(44-1)),0),EDATE(Bonds!$H121,6*(44-1))))</f>
        <v/>
      </c>
      <c r="AW121" s="3" t="str">
        <f>IF(45&gt;$C121,"",IF($D121=1,EOMONTH(EDATE(Bonds!$H121,6*(45-1)),0),EDATE(Bonds!$H121,6*(45-1))))</f>
        <v/>
      </c>
      <c r="AX121" s="3" t="str">
        <f>IF(46&gt;$C121,"",IF($D121=1,EOMONTH(EDATE(Bonds!$H121,6*(46-1)),0),EDATE(Bonds!$H121,6*(46-1))))</f>
        <v/>
      </c>
      <c r="AY121" s="3" t="str">
        <f>IF(47&gt;$C121,"",IF($D121=1,EOMONTH(EDATE(Bonds!$H121,6*(47-1)),0),EDATE(Bonds!$H121,6*(47-1))))</f>
        <v/>
      </c>
      <c r="AZ121" s="3" t="str">
        <f>IF(48&gt;$C121,"",IF($D121=1,EOMONTH(EDATE(Bonds!$H121,6*(48-1)),0),EDATE(Bonds!$H121,6*(48-1))))</f>
        <v/>
      </c>
      <c r="BA121" s="3" t="str">
        <f>IF(49&gt;$C121,"",IF($D121=1,EOMONTH(EDATE(Bonds!$H121,6*(49-1)),0),EDATE(Bonds!$H121,6*(49-1))))</f>
        <v/>
      </c>
      <c r="BB121" s="3" t="str">
        <f>IF(50&gt;$C121,"",IF($D121=1,EOMONTH(EDATE(Bonds!$H121,6*(50-1)),0),EDATE(Bonds!$H121,6*(50-1))))</f>
        <v/>
      </c>
      <c r="BC121" s="3" t="str">
        <f>IF(51&gt;$C121,"",IF($D121=1,EOMONTH(EDATE(Bonds!$H121,6*(51-1)),0),EDATE(Bonds!$H121,6*(51-1))))</f>
        <v/>
      </c>
      <c r="BD121" s="3" t="str">
        <f>IF(52&gt;$C121,"",IF($D121=1,EOMONTH(EDATE(Bonds!$H121,6*(52-1)),0),EDATE(Bonds!$H121,6*(52-1))))</f>
        <v/>
      </c>
      <c r="BE121" s="3" t="str">
        <f>IF(53&gt;$C121,"",IF($D121=1,EOMONTH(EDATE(Bonds!$H121,6*(53-1)),0),EDATE(Bonds!$H121,6*(53-1))))</f>
        <v/>
      </c>
      <c r="BF121" s="3" t="str">
        <f>IF(54&gt;$C121,"",IF($D121=1,EOMONTH(EDATE(Bonds!$H121,6*(54-1)),0),EDATE(Bonds!$H121,6*(54-1))))</f>
        <v/>
      </c>
      <c r="BG121" s="3" t="str">
        <f>IF(55&gt;$C121,"",IF($D121=1,EOMONTH(EDATE(Bonds!$H121,6*(55-1)),0),EDATE(Bonds!$H121,6*(55-1))))</f>
        <v/>
      </c>
      <c r="BH121" s="3" t="str">
        <f>IF(56&gt;$C121,"",IF($D121=1,EOMONTH(EDATE(Bonds!$H121,6*(56-1)),0),EDATE(Bonds!$H121,6*(56-1))))</f>
        <v/>
      </c>
      <c r="BI121" s="3" t="str">
        <f>IF(57&gt;$C121,"",IF($D121=1,EOMONTH(EDATE(Bonds!$H121,6*(57-1)),0),EDATE(Bonds!$H121,6*(57-1))))</f>
        <v/>
      </c>
      <c r="BJ121" s="3" t="str">
        <f>IF(58&gt;$C121,"",IF($D121=1,EOMONTH(EDATE(Bonds!$H121,6*(58-1)),0),EDATE(Bonds!$H121,6*(58-1))))</f>
        <v/>
      </c>
      <c r="BK121" s="3" t="str">
        <f>IF(59&gt;$C121,"",IF($D121=1,EOMONTH(EDATE(Bonds!$H121,6*(59-1)),0),EDATE(Bonds!$H121,6*(59-1))))</f>
        <v/>
      </c>
      <c r="BL121" s="3" t="str">
        <f>IF(60&gt;$C121,"",IF($D121=1,EOMONTH(EDATE(Bonds!$H121,6*(60-1)),0),EDATE(Bonds!$H121,6*(60-1))))</f>
        <v/>
      </c>
      <c r="BN121" s="7">
        <f t="shared" si="62"/>
        <v>1.5516024728125291</v>
      </c>
      <c r="BO121" s="7">
        <f t="shared" si="63"/>
        <v>1.5202702895188225</v>
      </c>
      <c r="BP121" s="7">
        <f t="shared" si="64"/>
        <v>1.4867825446087761</v>
      </c>
      <c r="BQ121" s="7">
        <f t="shared" si="65"/>
        <v>1.4534345960109205</v>
      </c>
      <c r="BR121" s="7">
        <f t="shared" si="66"/>
        <v>92.31299351426604</v>
      </c>
      <c r="BS121" s="7">
        <f t="shared" si="67"/>
        <v>0</v>
      </c>
      <c r="BT121" s="7">
        <f t="shared" si="68"/>
        <v>0</v>
      </c>
      <c r="BU121" s="7">
        <f t="shared" si="69"/>
        <v>0</v>
      </c>
      <c r="BV121" s="7">
        <f t="shared" si="70"/>
        <v>0</v>
      </c>
      <c r="BW121" s="7">
        <f t="shared" si="71"/>
        <v>0</v>
      </c>
      <c r="BX121" s="7">
        <f t="shared" si="72"/>
        <v>0</v>
      </c>
      <c r="BY121" s="7">
        <f t="shared" si="73"/>
        <v>0</v>
      </c>
      <c r="BZ121" s="7">
        <f t="shared" si="74"/>
        <v>0</v>
      </c>
      <c r="CA121" s="7">
        <f t="shared" si="75"/>
        <v>0</v>
      </c>
      <c r="CB121" s="7">
        <f t="shared" si="76"/>
        <v>0</v>
      </c>
      <c r="CC121" s="7">
        <f t="shared" si="77"/>
        <v>0</v>
      </c>
      <c r="CD121" s="7">
        <f t="shared" si="78"/>
        <v>0</v>
      </c>
      <c r="CE121" s="7">
        <f t="shared" si="79"/>
        <v>0</v>
      </c>
      <c r="CF121" s="7">
        <f t="shared" si="80"/>
        <v>0</v>
      </c>
      <c r="CG121" s="7">
        <f t="shared" si="81"/>
        <v>0</v>
      </c>
      <c r="CH121" s="7">
        <f t="shared" si="82"/>
        <v>0</v>
      </c>
      <c r="CI121" s="7">
        <f t="shared" si="83"/>
        <v>0</v>
      </c>
      <c r="CJ121" s="7">
        <f t="shared" si="84"/>
        <v>0</v>
      </c>
      <c r="CK121" s="7">
        <f t="shared" si="85"/>
        <v>0</v>
      </c>
      <c r="CL121" s="7">
        <f t="shared" si="86"/>
        <v>0</v>
      </c>
      <c r="CM121" s="7">
        <f t="shared" si="87"/>
        <v>0</v>
      </c>
      <c r="CN121" s="7">
        <f t="shared" si="88"/>
        <v>0</v>
      </c>
      <c r="CO121" s="7">
        <f t="shared" si="89"/>
        <v>0</v>
      </c>
      <c r="CP121" s="7">
        <f t="shared" si="90"/>
        <v>0</v>
      </c>
      <c r="CQ121" s="7">
        <f t="shared" si="91"/>
        <v>0</v>
      </c>
      <c r="CR121" s="7">
        <f t="shared" si="92"/>
        <v>0</v>
      </c>
      <c r="CS121" s="7">
        <f t="shared" si="93"/>
        <v>0</v>
      </c>
      <c r="CT121" s="7">
        <f t="shared" si="94"/>
        <v>0</v>
      </c>
      <c r="CU121" s="7">
        <f t="shared" si="95"/>
        <v>0</v>
      </c>
      <c r="CV121" s="7">
        <f t="shared" si="96"/>
        <v>0</v>
      </c>
      <c r="CW121" s="7">
        <f t="shared" si="97"/>
        <v>0</v>
      </c>
      <c r="CX121" s="7">
        <f t="shared" si="98"/>
        <v>0</v>
      </c>
      <c r="CY121" s="7">
        <f t="shared" si="99"/>
        <v>0</v>
      </c>
      <c r="CZ121" s="7">
        <f t="shared" si="100"/>
        <v>0</v>
      </c>
      <c r="DA121" s="7">
        <f t="shared" si="101"/>
        <v>0</v>
      </c>
      <c r="DB121" s="7">
        <f t="shared" si="102"/>
        <v>0</v>
      </c>
      <c r="DC121" s="7">
        <f t="shared" si="103"/>
        <v>0</v>
      </c>
      <c r="DD121" s="7">
        <f t="shared" si="104"/>
        <v>0</v>
      </c>
      <c r="DE121" s="7">
        <f t="shared" si="105"/>
        <v>0</v>
      </c>
      <c r="DF121" s="7">
        <f t="shared" si="106"/>
        <v>0</v>
      </c>
      <c r="DG121" s="7">
        <f t="shared" si="107"/>
        <v>0</v>
      </c>
      <c r="DH121" s="7">
        <f t="shared" si="108"/>
        <v>0</v>
      </c>
      <c r="DI121" s="7">
        <f t="shared" si="109"/>
        <v>0</v>
      </c>
      <c r="DJ121" s="7">
        <f t="shared" si="110"/>
        <v>0</v>
      </c>
      <c r="DK121" s="7">
        <f t="shared" si="111"/>
        <v>0</v>
      </c>
      <c r="DL121" s="7">
        <f t="shared" si="112"/>
        <v>0</v>
      </c>
      <c r="DM121" s="7">
        <f t="shared" si="113"/>
        <v>0</v>
      </c>
      <c r="DN121" s="7">
        <f t="shared" si="114"/>
        <v>0</v>
      </c>
      <c r="DO121" s="7">
        <f t="shared" si="115"/>
        <v>0</v>
      </c>
      <c r="DP121" s="7">
        <f t="shared" si="116"/>
        <v>0</v>
      </c>
      <c r="DQ121" s="7">
        <f t="shared" si="117"/>
        <v>0</v>
      </c>
      <c r="DR121" s="7">
        <f t="shared" si="118"/>
        <v>0</v>
      </c>
      <c r="DS121" s="7">
        <f t="shared" si="119"/>
        <v>0</v>
      </c>
      <c r="DT121" s="7">
        <f t="shared" si="120"/>
        <v>0</v>
      </c>
      <c r="DU121" s="7">
        <f t="shared" si="121"/>
        <v>0</v>
      </c>
    </row>
    <row r="122" spans="1:125" x14ac:dyDescent="0.2">
      <c r="A122" s="3">
        <f>Bonds!A122</f>
        <v>47072</v>
      </c>
      <c r="B122" s="4">
        <f>Bonds!B122</f>
        <v>3.5</v>
      </c>
      <c r="C122">
        <f>Bonds!P122</f>
        <v>5</v>
      </c>
      <c r="D122">
        <f t="shared" si="61"/>
        <v>0</v>
      </c>
      <c r="E122" s="3">
        <f>IF(1&gt;$C122,"",IF($D122=1,EOMONTH(EDATE(Bonds!$H122,6*(1-1)),0),EDATE(Bonds!$H122,6*(1-1))))</f>
        <v>46341</v>
      </c>
      <c r="F122" s="3">
        <f>IF(2&gt;$C122,"",IF($D122=1,EOMONTH(EDATE(Bonds!$H122,6*(2-1)),0),EDATE(Bonds!$H122,6*(2-1))))</f>
        <v>46522</v>
      </c>
      <c r="G122" s="3">
        <f>IF(3&gt;$C122,"",IF($D122=1,EOMONTH(EDATE(Bonds!$H122,6*(3-1)),0),EDATE(Bonds!$H122,6*(3-1))))</f>
        <v>46706</v>
      </c>
      <c r="H122" s="3">
        <f>IF(4&gt;$C122,"",IF($D122=1,EOMONTH(EDATE(Bonds!$H122,6*(4-1)),0),EDATE(Bonds!$H122,6*(4-1))))</f>
        <v>46888</v>
      </c>
      <c r="I122" s="3">
        <f>IF(5&gt;$C122,"",IF($D122=1,EOMONTH(EDATE(Bonds!$H122,6*(5-1)),0),EDATE(Bonds!$H122,6*(5-1))))</f>
        <v>47072</v>
      </c>
      <c r="J122" s="3" t="str">
        <f>IF(6&gt;$C122,"",IF($D122=1,EOMONTH(EDATE(Bonds!$H122,6*(6-1)),0),EDATE(Bonds!$H122,6*(6-1))))</f>
        <v/>
      </c>
      <c r="K122" s="3" t="str">
        <f>IF(7&gt;$C122,"",IF($D122=1,EOMONTH(EDATE(Bonds!$H122,6*(7-1)),0),EDATE(Bonds!$H122,6*(7-1))))</f>
        <v/>
      </c>
      <c r="L122" s="3" t="str">
        <f>IF(8&gt;$C122,"",IF($D122=1,EOMONTH(EDATE(Bonds!$H122,6*(8-1)),0),EDATE(Bonds!$H122,6*(8-1))))</f>
        <v/>
      </c>
      <c r="M122" s="3" t="str">
        <f>IF(9&gt;$C122,"",IF($D122=1,EOMONTH(EDATE(Bonds!$H122,6*(9-1)),0),EDATE(Bonds!$H122,6*(9-1))))</f>
        <v/>
      </c>
      <c r="N122" s="3" t="str">
        <f>IF(10&gt;$C122,"",IF($D122=1,EOMONTH(EDATE(Bonds!$H122,6*(10-1)),0),EDATE(Bonds!$H122,6*(10-1))))</f>
        <v/>
      </c>
      <c r="O122" s="3" t="str">
        <f>IF(11&gt;$C122,"",IF($D122=1,EOMONTH(EDATE(Bonds!$H122,6*(11-1)),0),EDATE(Bonds!$H122,6*(11-1))))</f>
        <v/>
      </c>
      <c r="P122" s="3" t="str">
        <f>IF(12&gt;$C122,"",IF($D122=1,EOMONTH(EDATE(Bonds!$H122,6*(12-1)),0),EDATE(Bonds!$H122,6*(12-1))))</f>
        <v/>
      </c>
      <c r="Q122" s="3" t="str">
        <f>IF(13&gt;$C122,"",IF($D122=1,EOMONTH(EDATE(Bonds!$H122,6*(13-1)),0),EDATE(Bonds!$H122,6*(13-1))))</f>
        <v/>
      </c>
      <c r="R122" s="3" t="str">
        <f>IF(14&gt;$C122,"",IF($D122=1,EOMONTH(EDATE(Bonds!$H122,6*(14-1)),0),EDATE(Bonds!$H122,6*(14-1))))</f>
        <v/>
      </c>
      <c r="S122" s="3" t="str">
        <f>IF(15&gt;$C122,"",IF($D122=1,EOMONTH(EDATE(Bonds!$H122,6*(15-1)),0),EDATE(Bonds!$H122,6*(15-1))))</f>
        <v/>
      </c>
      <c r="T122" s="3" t="str">
        <f>IF(16&gt;$C122,"",IF($D122=1,EOMONTH(EDATE(Bonds!$H122,6*(16-1)),0),EDATE(Bonds!$H122,6*(16-1))))</f>
        <v/>
      </c>
      <c r="U122" s="3" t="str">
        <f>IF(17&gt;$C122,"",IF($D122=1,EOMONTH(EDATE(Bonds!$H122,6*(17-1)),0),EDATE(Bonds!$H122,6*(17-1))))</f>
        <v/>
      </c>
      <c r="V122" s="3" t="str">
        <f>IF(18&gt;$C122,"",IF($D122=1,EOMONTH(EDATE(Bonds!$H122,6*(18-1)),0),EDATE(Bonds!$H122,6*(18-1))))</f>
        <v/>
      </c>
      <c r="W122" s="3" t="str">
        <f>IF(19&gt;$C122,"",IF($D122=1,EOMONTH(EDATE(Bonds!$H122,6*(19-1)),0),EDATE(Bonds!$H122,6*(19-1))))</f>
        <v/>
      </c>
      <c r="X122" s="3" t="str">
        <f>IF(20&gt;$C122,"",IF($D122=1,EOMONTH(EDATE(Bonds!$H122,6*(20-1)),0),EDATE(Bonds!$H122,6*(20-1))))</f>
        <v/>
      </c>
      <c r="Y122" s="3" t="str">
        <f>IF(21&gt;$C122,"",IF($D122=1,EOMONTH(EDATE(Bonds!$H122,6*(21-1)),0),EDATE(Bonds!$H122,6*(21-1))))</f>
        <v/>
      </c>
      <c r="Z122" s="3" t="str">
        <f>IF(22&gt;$C122,"",IF($D122=1,EOMONTH(EDATE(Bonds!$H122,6*(22-1)),0),EDATE(Bonds!$H122,6*(22-1))))</f>
        <v/>
      </c>
      <c r="AA122" s="3" t="str">
        <f>IF(23&gt;$C122,"",IF($D122=1,EOMONTH(EDATE(Bonds!$H122,6*(23-1)),0),EDATE(Bonds!$H122,6*(23-1))))</f>
        <v/>
      </c>
      <c r="AB122" s="3" t="str">
        <f>IF(24&gt;$C122,"",IF($D122=1,EOMONTH(EDATE(Bonds!$H122,6*(24-1)),0),EDATE(Bonds!$H122,6*(24-1))))</f>
        <v/>
      </c>
      <c r="AC122" s="3" t="str">
        <f>IF(25&gt;$C122,"",IF($D122=1,EOMONTH(EDATE(Bonds!$H122,6*(25-1)),0),EDATE(Bonds!$H122,6*(25-1))))</f>
        <v/>
      </c>
      <c r="AD122" s="3" t="str">
        <f>IF(26&gt;$C122,"",IF($D122=1,EOMONTH(EDATE(Bonds!$H122,6*(26-1)),0),EDATE(Bonds!$H122,6*(26-1))))</f>
        <v/>
      </c>
      <c r="AE122" s="3" t="str">
        <f>IF(27&gt;$C122,"",IF($D122=1,EOMONTH(EDATE(Bonds!$H122,6*(27-1)),0),EDATE(Bonds!$H122,6*(27-1))))</f>
        <v/>
      </c>
      <c r="AF122" s="3" t="str">
        <f>IF(28&gt;$C122,"",IF($D122=1,EOMONTH(EDATE(Bonds!$H122,6*(28-1)),0),EDATE(Bonds!$H122,6*(28-1))))</f>
        <v/>
      </c>
      <c r="AG122" s="3" t="str">
        <f>IF(29&gt;$C122,"",IF($D122=1,EOMONTH(EDATE(Bonds!$H122,6*(29-1)),0),EDATE(Bonds!$H122,6*(29-1))))</f>
        <v/>
      </c>
      <c r="AH122" s="3" t="str">
        <f>IF(30&gt;$C122,"",IF($D122=1,EOMONTH(EDATE(Bonds!$H122,6*(30-1)),0),EDATE(Bonds!$H122,6*(30-1))))</f>
        <v/>
      </c>
      <c r="AI122" s="3" t="str">
        <f>IF(31&gt;$C122,"",IF($D122=1,EOMONTH(EDATE(Bonds!$H122,6*(31-1)),0),EDATE(Bonds!$H122,6*(31-1))))</f>
        <v/>
      </c>
      <c r="AJ122" s="3" t="str">
        <f>IF(32&gt;$C122,"",IF($D122=1,EOMONTH(EDATE(Bonds!$H122,6*(32-1)),0),EDATE(Bonds!$H122,6*(32-1))))</f>
        <v/>
      </c>
      <c r="AK122" s="3" t="str">
        <f>IF(33&gt;$C122,"",IF($D122=1,EOMONTH(EDATE(Bonds!$H122,6*(33-1)),0),EDATE(Bonds!$H122,6*(33-1))))</f>
        <v/>
      </c>
      <c r="AL122" s="3" t="str">
        <f>IF(34&gt;$C122,"",IF($D122=1,EOMONTH(EDATE(Bonds!$H122,6*(34-1)),0),EDATE(Bonds!$H122,6*(34-1))))</f>
        <v/>
      </c>
      <c r="AM122" s="3" t="str">
        <f>IF(35&gt;$C122,"",IF($D122=1,EOMONTH(EDATE(Bonds!$H122,6*(35-1)),0),EDATE(Bonds!$H122,6*(35-1))))</f>
        <v/>
      </c>
      <c r="AN122" s="3" t="str">
        <f>IF(36&gt;$C122,"",IF($D122=1,EOMONTH(EDATE(Bonds!$H122,6*(36-1)),0),EDATE(Bonds!$H122,6*(36-1))))</f>
        <v/>
      </c>
      <c r="AO122" s="3" t="str">
        <f>IF(37&gt;$C122,"",IF($D122=1,EOMONTH(EDATE(Bonds!$H122,6*(37-1)),0),EDATE(Bonds!$H122,6*(37-1))))</f>
        <v/>
      </c>
      <c r="AP122" s="3" t="str">
        <f>IF(38&gt;$C122,"",IF($D122=1,EOMONTH(EDATE(Bonds!$H122,6*(38-1)),0),EDATE(Bonds!$H122,6*(38-1))))</f>
        <v/>
      </c>
      <c r="AQ122" s="3" t="str">
        <f>IF(39&gt;$C122,"",IF($D122=1,EOMONTH(EDATE(Bonds!$H122,6*(39-1)),0),EDATE(Bonds!$H122,6*(39-1))))</f>
        <v/>
      </c>
      <c r="AR122" s="3" t="str">
        <f>IF(40&gt;$C122,"",IF($D122=1,EOMONTH(EDATE(Bonds!$H122,6*(40-1)),0),EDATE(Bonds!$H122,6*(40-1))))</f>
        <v/>
      </c>
      <c r="AS122" s="3" t="str">
        <f>IF(41&gt;$C122,"",IF($D122=1,EOMONTH(EDATE(Bonds!$H122,6*(41-1)),0),EDATE(Bonds!$H122,6*(41-1))))</f>
        <v/>
      </c>
      <c r="AT122" s="3" t="str">
        <f>IF(42&gt;$C122,"",IF($D122=1,EOMONTH(EDATE(Bonds!$H122,6*(42-1)),0),EDATE(Bonds!$H122,6*(42-1))))</f>
        <v/>
      </c>
      <c r="AU122" s="3" t="str">
        <f>IF(43&gt;$C122,"",IF($D122=1,EOMONTH(EDATE(Bonds!$H122,6*(43-1)),0),EDATE(Bonds!$H122,6*(43-1))))</f>
        <v/>
      </c>
      <c r="AV122" s="3" t="str">
        <f>IF(44&gt;$C122,"",IF($D122=1,EOMONTH(EDATE(Bonds!$H122,6*(44-1)),0),EDATE(Bonds!$H122,6*(44-1))))</f>
        <v/>
      </c>
      <c r="AW122" s="3" t="str">
        <f>IF(45&gt;$C122,"",IF($D122=1,EOMONTH(EDATE(Bonds!$H122,6*(45-1)),0),EDATE(Bonds!$H122,6*(45-1))))</f>
        <v/>
      </c>
      <c r="AX122" s="3" t="str">
        <f>IF(46&gt;$C122,"",IF($D122=1,EOMONTH(EDATE(Bonds!$H122,6*(46-1)),0),EDATE(Bonds!$H122,6*(46-1))))</f>
        <v/>
      </c>
      <c r="AY122" s="3" t="str">
        <f>IF(47&gt;$C122,"",IF($D122=1,EOMONTH(EDATE(Bonds!$H122,6*(47-1)),0),EDATE(Bonds!$H122,6*(47-1))))</f>
        <v/>
      </c>
      <c r="AZ122" s="3" t="str">
        <f>IF(48&gt;$C122,"",IF($D122=1,EOMONTH(EDATE(Bonds!$H122,6*(48-1)),0),EDATE(Bonds!$H122,6*(48-1))))</f>
        <v/>
      </c>
      <c r="BA122" s="3" t="str">
        <f>IF(49&gt;$C122,"",IF($D122=1,EOMONTH(EDATE(Bonds!$H122,6*(49-1)),0),EDATE(Bonds!$H122,6*(49-1))))</f>
        <v/>
      </c>
      <c r="BB122" s="3" t="str">
        <f>IF(50&gt;$C122,"",IF($D122=1,EOMONTH(EDATE(Bonds!$H122,6*(50-1)),0),EDATE(Bonds!$H122,6*(50-1))))</f>
        <v/>
      </c>
      <c r="BC122" s="3" t="str">
        <f>IF(51&gt;$C122,"",IF($D122=1,EOMONTH(EDATE(Bonds!$H122,6*(51-1)),0),EDATE(Bonds!$H122,6*(51-1))))</f>
        <v/>
      </c>
      <c r="BD122" s="3" t="str">
        <f>IF(52&gt;$C122,"",IF($D122=1,EOMONTH(EDATE(Bonds!$H122,6*(52-1)),0),EDATE(Bonds!$H122,6*(52-1))))</f>
        <v/>
      </c>
      <c r="BE122" s="3" t="str">
        <f>IF(53&gt;$C122,"",IF($D122=1,EOMONTH(EDATE(Bonds!$H122,6*(53-1)),0),EDATE(Bonds!$H122,6*(53-1))))</f>
        <v/>
      </c>
      <c r="BF122" s="3" t="str">
        <f>IF(54&gt;$C122,"",IF($D122=1,EOMONTH(EDATE(Bonds!$H122,6*(54-1)),0),EDATE(Bonds!$H122,6*(54-1))))</f>
        <v/>
      </c>
      <c r="BG122" s="3" t="str">
        <f>IF(55&gt;$C122,"",IF($D122=1,EOMONTH(EDATE(Bonds!$H122,6*(55-1)),0),EDATE(Bonds!$H122,6*(55-1))))</f>
        <v/>
      </c>
      <c r="BH122" s="3" t="str">
        <f>IF(56&gt;$C122,"",IF($D122=1,EOMONTH(EDATE(Bonds!$H122,6*(56-1)),0),EDATE(Bonds!$H122,6*(56-1))))</f>
        <v/>
      </c>
      <c r="BI122" s="3" t="str">
        <f>IF(57&gt;$C122,"",IF($D122=1,EOMONTH(EDATE(Bonds!$H122,6*(57-1)),0),EDATE(Bonds!$H122,6*(57-1))))</f>
        <v/>
      </c>
      <c r="BJ122" s="3" t="str">
        <f>IF(58&gt;$C122,"",IF($D122=1,EOMONTH(EDATE(Bonds!$H122,6*(58-1)),0),EDATE(Bonds!$H122,6*(58-1))))</f>
        <v/>
      </c>
      <c r="BK122" s="3" t="str">
        <f>IF(59&gt;$C122,"",IF($D122=1,EOMONTH(EDATE(Bonds!$H122,6*(59-1)),0),EDATE(Bonds!$H122,6*(59-1))))</f>
        <v/>
      </c>
      <c r="BL122" s="3" t="str">
        <f>IF(60&gt;$C122,"",IF($D122=1,EOMONTH(EDATE(Bonds!$H122,6*(60-1)),0),EDATE(Bonds!$H122,6*(60-1))))</f>
        <v/>
      </c>
      <c r="BN122" s="7">
        <f t="shared" si="62"/>
        <v>1.7377947695500326</v>
      </c>
      <c r="BO122" s="7">
        <f t="shared" si="63"/>
        <v>1.702702724261081</v>
      </c>
      <c r="BP122" s="7">
        <f t="shared" si="64"/>
        <v>1.6651964499618293</v>
      </c>
      <c r="BQ122" s="7">
        <f t="shared" si="65"/>
        <v>1.6278467475322309</v>
      </c>
      <c r="BR122" s="7">
        <f t="shared" si="66"/>
        <v>92.483417502292383</v>
      </c>
      <c r="BS122" s="7">
        <f t="shared" si="67"/>
        <v>0</v>
      </c>
      <c r="BT122" s="7">
        <f t="shared" si="68"/>
        <v>0</v>
      </c>
      <c r="BU122" s="7">
        <f t="shared" si="69"/>
        <v>0</v>
      </c>
      <c r="BV122" s="7">
        <f t="shared" si="70"/>
        <v>0</v>
      </c>
      <c r="BW122" s="7">
        <f t="shared" si="71"/>
        <v>0</v>
      </c>
      <c r="BX122" s="7">
        <f t="shared" si="72"/>
        <v>0</v>
      </c>
      <c r="BY122" s="7">
        <f t="shared" si="73"/>
        <v>0</v>
      </c>
      <c r="BZ122" s="7">
        <f t="shared" si="74"/>
        <v>0</v>
      </c>
      <c r="CA122" s="7">
        <f t="shared" si="75"/>
        <v>0</v>
      </c>
      <c r="CB122" s="7">
        <f t="shared" si="76"/>
        <v>0</v>
      </c>
      <c r="CC122" s="7">
        <f t="shared" si="77"/>
        <v>0</v>
      </c>
      <c r="CD122" s="7">
        <f t="shared" si="78"/>
        <v>0</v>
      </c>
      <c r="CE122" s="7">
        <f t="shared" si="79"/>
        <v>0</v>
      </c>
      <c r="CF122" s="7">
        <f t="shared" si="80"/>
        <v>0</v>
      </c>
      <c r="CG122" s="7">
        <f t="shared" si="81"/>
        <v>0</v>
      </c>
      <c r="CH122" s="7">
        <f t="shared" si="82"/>
        <v>0</v>
      </c>
      <c r="CI122" s="7">
        <f t="shared" si="83"/>
        <v>0</v>
      </c>
      <c r="CJ122" s="7">
        <f t="shared" si="84"/>
        <v>0</v>
      </c>
      <c r="CK122" s="7">
        <f t="shared" si="85"/>
        <v>0</v>
      </c>
      <c r="CL122" s="7">
        <f t="shared" si="86"/>
        <v>0</v>
      </c>
      <c r="CM122" s="7">
        <f t="shared" si="87"/>
        <v>0</v>
      </c>
      <c r="CN122" s="7">
        <f t="shared" si="88"/>
        <v>0</v>
      </c>
      <c r="CO122" s="7">
        <f t="shared" si="89"/>
        <v>0</v>
      </c>
      <c r="CP122" s="7">
        <f t="shared" si="90"/>
        <v>0</v>
      </c>
      <c r="CQ122" s="7">
        <f t="shared" si="91"/>
        <v>0</v>
      </c>
      <c r="CR122" s="7">
        <f t="shared" si="92"/>
        <v>0</v>
      </c>
      <c r="CS122" s="7">
        <f t="shared" si="93"/>
        <v>0</v>
      </c>
      <c r="CT122" s="7">
        <f t="shared" si="94"/>
        <v>0</v>
      </c>
      <c r="CU122" s="7">
        <f t="shared" si="95"/>
        <v>0</v>
      </c>
      <c r="CV122" s="7">
        <f t="shared" si="96"/>
        <v>0</v>
      </c>
      <c r="CW122" s="7">
        <f t="shared" si="97"/>
        <v>0</v>
      </c>
      <c r="CX122" s="7">
        <f t="shared" si="98"/>
        <v>0</v>
      </c>
      <c r="CY122" s="7">
        <f t="shared" si="99"/>
        <v>0</v>
      </c>
      <c r="CZ122" s="7">
        <f t="shared" si="100"/>
        <v>0</v>
      </c>
      <c r="DA122" s="7">
        <f t="shared" si="101"/>
        <v>0</v>
      </c>
      <c r="DB122" s="7">
        <f t="shared" si="102"/>
        <v>0</v>
      </c>
      <c r="DC122" s="7">
        <f t="shared" si="103"/>
        <v>0</v>
      </c>
      <c r="DD122" s="7">
        <f t="shared" si="104"/>
        <v>0</v>
      </c>
      <c r="DE122" s="7">
        <f t="shared" si="105"/>
        <v>0</v>
      </c>
      <c r="DF122" s="7">
        <f t="shared" si="106"/>
        <v>0</v>
      </c>
      <c r="DG122" s="7">
        <f t="shared" si="107"/>
        <v>0</v>
      </c>
      <c r="DH122" s="7">
        <f t="shared" si="108"/>
        <v>0</v>
      </c>
      <c r="DI122" s="7">
        <f t="shared" si="109"/>
        <v>0</v>
      </c>
      <c r="DJ122" s="7">
        <f t="shared" si="110"/>
        <v>0</v>
      </c>
      <c r="DK122" s="7">
        <f t="shared" si="111"/>
        <v>0</v>
      </c>
      <c r="DL122" s="7">
        <f t="shared" si="112"/>
        <v>0</v>
      </c>
      <c r="DM122" s="7">
        <f t="shared" si="113"/>
        <v>0</v>
      </c>
      <c r="DN122" s="7">
        <f t="shared" si="114"/>
        <v>0</v>
      </c>
      <c r="DO122" s="7">
        <f t="shared" si="115"/>
        <v>0</v>
      </c>
      <c r="DP122" s="7">
        <f t="shared" si="116"/>
        <v>0</v>
      </c>
      <c r="DQ122" s="7">
        <f t="shared" si="117"/>
        <v>0</v>
      </c>
      <c r="DR122" s="7">
        <f t="shared" si="118"/>
        <v>0</v>
      </c>
      <c r="DS122" s="7">
        <f t="shared" si="119"/>
        <v>0</v>
      </c>
      <c r="DT122" s="7">
        <f t="shared" si="120"/>
        <v>0</v>
      </c>
      <c r="DU122" s="7">
        <f t="shared" si="121"/>
        <v>0</v>
      </c>
    </row>
    <row r="123" spans="1:125" x14ac:dyDescent="0.2">
      <c r="A123" s="3">
        <f>Bonds!A123</f>
        <v>47072</v>
      </c>
      <c r="B123" s="4">
        <f>Bonds!B123</f>
        <v>5.25</v>
      </c>
      <c r="C123">
        <f>Bonds!P123</f>
        <v>5</v>
      </c>
      <c r="D123">
        <f t="shared" si="61"/>
        <v>0</v>
      </c>
      <c r="E123" s="3">
        <f>IF(1&gt;$C123,"",IF($D123=1,EOMONTH(EDATE(Bonds!$H123,6*(1-1)),0),EDATE(Bonds!$H123,6*(1-1))))</f>
        <v>46341</v>
      </c>
      <c r="F123" s="3">
        <f>IF(2&gt;$C123,"",IF($D123=1,EOMONTH(EDATE(Bonds!$H123,6*(2-1)),0),EDATE(Bonds!$H123,6*(2-1))))</f>
        <v>46522</v>
      </c>
      <c r="G123" s="3">
        <f>IF(3&gt;$C123,"",IF($D123=1,EOMONTH(EDATE(Bonds!$H123,6*(3-1)),0),EDATE(Bonds!$H123,6*(3-1))))</f>
        <v>46706</v>
      </c>
      <c r="H123" s="3">
        <f>IF(4&gt;$C123,"",IF($D123=1,EOMONTH(EDATE(Bonds!$H123,6*(4-1)),0),EDATE(Bonds!$H123,6*(4-1))))</f>
        <v>46888</v>
      </c>
      <c r="I123" s="3">
        <f>IF(5&gt;$C123,"",IF($D123=1,EOMONTH(EDATE(Bonds!$H123,6*(5-1)),0),EDATE(Bonds!$H123,6*(5-1))))</f>
        <v>47072</v>
      </c>
      <c r="J123" s="3" t="str">
        <f>IF(6&gt;$C123,"",IF($D123=1,EOMONTH(EDATE(Bonds!$H123,6*(6-1)),0),EDATE(Bonds!$H123,6*(6-1))))</f>
        <v/>
      </c>
      <c r="K123" s="3" t="str">
        <f>IF(7&gt;$C123,"",IF($D123=1,EOMONTH(EDATE(Bonds!$H123,6*(7-1)),0),EDATE(Bonds!$H123,6*(7-1))))</f>
        <v/>
      </c>
      <c r="L123" s="3" t="str">
        <f>IF(8&gt;$C123,"",IF($D123=1,EOMONTH(EDATE(Bonds!$H123,6*(8-1)),0),EDATE(Bonds!$H123,6*(8-1))))</f>
        <v/>
      </c>
      <c r="M123" s="3" t="str">
        <f>IF(9&gt;$C123,"",IF($D123=1,EOMONTH(EDATE(Bonds!$H123,6*(9-1)),0),EDATE(Bonds!$H123,6*(9-1))))</f>
        <v/>
      </c>
      <c r="N123" s="3" t="str">
        <f>IF(10&gt;$C123,"",IF($D123=1,EOMONTH(EDATE(Bonds!$H123,6*(10-1)),0),EDATE(Bonds!$H123,6*(10-1))))</f>
        <v/>
      </c>
      <c r="O123" s="3" t="str">
        <f>IF(11&gt;$C123,"",IF($D123=1,EOMONTH(EDATE(Bonds!$H123,6*(11-1)),0),EDATE(Bonds!$H123,6*(11-1))))</f>
        <v/>
      </c>
      <c r="P123" s="3" t="str">
        <f>IF(12&gt;$C123,"",IF($D123=1,EOMONTH(EDATE(Bonds!$H123,6*(12-1)),0),EDATE(Bonds!$H123,6*(12-1))))</f>
        <v/>
      </c>
      <c r="Q123" s="3" t="str">
        <f>IF(13&gt;$C123,"",IF($D123=1,EOMONTH(EDATE(Bonds!$H123,6*(13-1)),0),EDATE(Bonds!$H123,6*(13-1))))</f>
        <v/>
      </c>
      <c r="R123" s="3" t="str">
        <f>IF(14&gt;$C123,"",IF($D123=1,EOMONTH(EDATE(Bonds!$H123,6*(14-1)),0),EDATE(Bonds!$H123,6*(14-1))))</f>
        <v/>
      </c>
      <c r="S123" s="3" t="str">
        <f>IF(15&gt;$C123,"",IF($D123=1,EOMONTH(EDATE(Bonds!$H123,6*(15-1)),0),EDATE(Bonds!$H123,6*(15-1))))</f>
        <v/>
      </c>
      <c r="T123" s="3" t="str">
        <f>IF(16&gt;$C123,"",IF($D123=1,EOMONTH(EDATE(Bonds!$H123,6*(16-1)),0),EDATE(Bonds!$H123,6*(16-1))))</f>
        <v/>
      </c>
      <c r="U123" s="3" t="str">
        <f>IF(17&gt;$C123,"",IF($D123=1,EOMONTH(EDATE(Bonds!$H123,6*(17-1)),0),EDATE(Bonds!$H123,6*(17-1))))</f>
        <v/>
      </c>
      <c r="V123" s="3" t="str">
        <f>IF(18&gt;$C123,"",IF($D123=1,EOMONTH(EDATE(Bonds!$H123,6*(18-1)),0),EDATE(Bonds!$H123,6*(18-1))))</f>
        <v/>
      </c>
      <c r="W123" s="3" t="str">
        <f>IF(19&gt;$C123,"",IF($D123=1,EOMONTH(EDATE(Bonds!$H123,6*(19-1)),0),EDATE(Bonds!$H123,6*(19-1))))</f>
        <v/>
      </c>
      <c r="X123" s="3" t="str">
        <f>IF(20&gt;$C123,"",IF($D123=1,EOMONTH(EDATE(Bonds!$H123,6*(20-1)),0),EDATE(Bonds!$H123,6*(20-1))))</f>
        <v/>
      </c>
      <c r="Y123" s="3" t="str">
        <f>IF(21&gt;$C123,"",IF($D123=1,EOMONTH(EDATE(Bonds!$H123,6*(21-1)),0),EDATE(Bonds!$H123,6*(21-1))))</f>
        <v/>
      </c>
      <c r="Z123" s="3" t="str">
        <f>IF(22&gt;$C123,"",IF($D123=1,EOMONTH(EDATE(Bonds!$H123,6*(22-1)),0),EDATE(Bonds!$H123,6*(22-1))))</f>
        <v/>
      </c>
      <c r="AA123" s="3" t="str">
        <f>IF(23&gt;$C123,"",IF($D123=1,EOMONTH(EDATE(Bonds!$H123,6*(23-1)),0),EDATE(Bonds!$H123,6*(23-1))))</f>
        <v/>
      </c>
      <c r="AB123" s="3" t="str">
        <f>IF(24&gt;$C123,"",IF($D123=1,EOMONTH(EDATE(Bonds!$H123,6*(24-1)),0),EDATE(Bonds!$H123,6*(24-1))))</f>
        <v/>
      </c>
      <c r="AC123" s="3" t="str">
        <f>IF(25&gt;$C123,"",IF($D123=1,EOMONTH(EDATE(Bonds!$H123,6*(25-1)),0),EDATE(Bonds!$H123,6*(25-1))))</f>
        <v/>
      </c>
      <c r="AD123" s="3" t="str">
        <f>IF(26&gt;$C123,"",IF($D123=1,EOMONTH(EDATE(Bonds!$H123,6*(26-1)),0),EDATE(Bonds!$H123,6*(26-1))))</f>
        <v/>
      </c>
      <c r="AE123" s="3" t="str">
        <f>IF(27&gt;$C123,"",IF($D123=1,EOMONTH(EDATE(Bonds!$H123,6*(27-1)),0),EDATE(Bonds!$H123,6*(27-1))))</f>
        <v/>
      </c>
      <c r="AF123" s="3" t="str">
        <f>IF(28&gt;$C123,"",IF($D123=1,EOMONTH(EDATE(Bonds!$H123,6*(28-1)),0),EDATE(Bonds!$H123,6*(28-1))))</f>
        <v/>
      </c>
      <c r="AG123" s="3" t="str">
        <f>IF(29&gt;$C123,"",IF($D123=1,EOMONTH(EDATE(Bonds!$H123,6*(29-1)),0),EDATE(Bonds!$H123,6*(29-1))))</f>
        <v/>
      </c>
      <c r="AH123" s="3" t="str">
        <f>IF(30&gt;$C123,"",IF($D123=1,EOMONTH(EDATE(Bonds!$H123,6*(30-1)),0),EDATE(Bonds!$H123,6*(30-1))))</f>
        <v/>
      </c>
      <c r="AI123" s="3" t="str">
        <f>IF(31&gt;$C123,"",IF($D123=1,EOMONTH(EDATE(Bonds!$H123,6*(31-1)),0),EDATE(Bonds!$H123,6*(31-1))))</f>
        <v/>
      </c>
      <c r="AJ123" s="3" t="str">
        <f>IF(32&gt;$C123,"",IF($D123=1,EOMONTH(EDATE(Bonds!$H123,6*(32-1)),0),EDATE(Bonds!$H123,6*(32-1))))</f>
        <v/>
      </c>
      <c r="AK123" s="3" t="str">
        <f>IF(33&gt;$C123,"",IF($D123=1,EOMONTH(EDATE(Bonds!$H123,6*(33-1)),0),EDATE(Bonds!$H123,6*(33-1))))</f>
        <v/>
      </c>
      <c r="AL123" s="3" t="str">
        <f>IF(34&gt;$C123,"",IF($D123=1,EOMONTH(EDATE(Bonds!$H123,6*(34-1)),0),EDATE(Bonds!$H123,6*(34-1))))</f>
        <v/>
      </c>
      <c r="AM123" s="3" t="str">
        <f>IF(35&gt;$C123,"",IF($D123=1,EOMONTH(EDATE(Bonds!$H123,6*(35-1)),0),EDATE(Bonds!$H123,6*(35-1))))</f>
        <v/>
      </c>
      <c r="AN123" s="3" t="str">
        <f>IF(36&gt;$C123,"",IF($D123=1,EOMONTH(EDATE(Bonds!$H123,6*(36-1)),0),EDATE(Bonds!$H123,6*(36-1))))</f>
        <v/>
      </c>
      <c r="AO123" s="3" t="str">
        <f>IF(37&gt;$C123,"",IF($D123=1,EOMONTH(EDATE(Bonds!$H123,6*(37-1)),0),EDATE(Bonds!$H123,6*(37-1))))</f>
        <v/>
      </c>
      <c r="AP123" s="3" t="str">
        <f>IF(38&gt;$C123,"",IF($D123=1,EOMONTH(EDATE(Bonds!$H123,6*(38-1)),0),EDATE(Bonds!$H123,6*(38-1))))</f>
        <v/>
      </c>
      <c r="AQ123" s="3" t="str">
        <f>IF(39&gt;$C123,"",IF($D123=1,EOMONTH(EDATE(Bonds!$H123,6*(39-1)),0),EDATE(Bonds!$H123,6*(39-1))))</f>
        <v/>
      </c>
      <c r="AR123" s="3" t="str">
        <f>IF(40&gt;$C123,"",IF($D123=1,EOMONTH(EDATE(Bonds!$H123,6*(40-1)),0),EDATE(Bonds!$H123,6*(40-1))))</f>
        <v/>
      </c>
      <c r="AS123" s="3" t="str">
        <f>IF(41&gt;$C123,"",IF($D123=1,EOMONTH(EDATE(Bonds!$H123,6*(41-1)),0),EDATE(Bonds!$H123,6*(41-1))))</f>
        <v/>
      </c>
      <c r="AT123" s="3" t="str">
        <f>IF(42&gt;$C123,"",IF($D123=1,EOMONTH(EDATE(Bonds!$H123,6*(42-1)),0),EDATE(Bonds!$H123,6*(42-1))))</f>
        <v/>
      </c>
      <c r="AU123" s="3" t="str">
        <f>IF(43&gt;$C123,"",IF($D123=1,EOMONTH(EDATE(Bonds!$H123,6*(43-1)),0),EDATE(Bonds!$H123,6*(43-1))))</f>
        <v/>
      </c>
      <c r="AV123" s="3" t="str">
        <f>IF(44&gt;$C123,"",IF($D123=1,EOMONTH(EDATE(Bonds!$H123,6*(44-1)),0),EDATE(Bonds!$H123,6*(44-1))))</f>
        <v/>
      </c>
      <c r="AW123" s="3" t="str">
        <f>IF(45&gt;$C123,"",IF($D123=1,EOMONTH(EDATE(Bonds!$H123,6*(45-1)),0),EDATE(Bonds!$H123,6*(45-1))))</f>
        <v/>
      </c>
      <c r="AX123" s="3" t="str">
        <f>IF(46&gt;$C123,"",IF($D123=1,EOMONTH(EDATE(Bonds!$H123,6*(46-1)),0),EDATE(Bonds!$H123,6*(46-1))))</f>
        <v/>
      </c>
      <c r="AY123" s="3" t="str">
        <f>IF(47&gt;$C123,"",IF($D123=1,EOMONTH(EDATE(Bonds!$H123,6*(47-1)),0),EDATE(Bonds!$H123,6*(47-1))))</f>
        <v/>
      </c>
      <c r="AZ123" s="3" t="str">
        <f>IF(48&gt;$C123,"",IF($D123=1,EOMONTH(EDATE(Bonds!$H123,6*(48-1)),0),EDATE(Bonds!$H123,6*(48-1))))</f>
        <v/>
      </c>
      <c r="BA123" s="3" t="str">
        <f>IF(49&gt;$C123,"",IF($D123=1,EOMONTH(EDATE(Bonds!$H123,6*(49-1)),0),EDATE(Bonds!$H123,6*(49-1))))</f>
        <v/>
      </c>
      <c r="BB123" s="3" t="str">
        <f>IF(50&gt;$C123,"",IF($D123=1,EOMONTH(EDATE(Bonds!$H123,6*(50-1)),0),EDATE(Bonds!$H123,6*(50-1))))</f>
        <v/>
      </c>
      <c r="BC123" s="3" t="str">
        <f>IF(51&gt;$C123,"",IF($D123=1,EOMONTH(EDATE(Bonds!$H123,6*(51-1)),0),EDATE(Bonds!$H123,6*(51-1))))</f>
        <v/>
      </c>
      <c r="BD123" s="3" t="str">
        <f>IF(52&gt;$C123,"",IF($D123=1,EOMONTH(EDATE(Bonds!$H123,6*(52-1)),0),EDATE(Bonds!$H123,6*(52-1))))</f>
        <v/>
      </c>
      <c r="BE123" s="3" t="str">
        <f>IF(53&gt;$C123,"",IF($D123=1,EOMONTH(EDATE(Bonds!$H123,6*(53-1)),0),EDATE(Bonds!$H123,6*(53-1))))</f>
        <v/>
      </c>
      <c r="BF123" s="3" t="str">
        <f>IF(54&gt;$C123,"",IF($D123=1,EOMONTH(EDATE(Bonds!$H123,6*(54-1)),0),EDATE(Bonds!$H123,6*(54-1))))</f>
        <v/>
      </c>
      <c r="BG123" s="3" t="str">
        <f>IF(55&gt;$C123,"",IF($D123=1,EOMONTH(EDATE(Bonds!$H123,6*(55-1)),0),EDATE(Bonds!$H123,6*(55-1))))</f>
        <v/>
      </c>
      <c r="BH123" s="3" t="str">
        <f>IF(56&gt;$C123,"",IF($D123=1,EOMONTH(EDATE(Bonds!$H123,6*(56-1)),0),EDATE(Bonds!$H123,6*(56-1))))</f>
        <v/>
      </c>
      <c r="BI123" s="3" t="str">
        <f>IF(57&gt;$C123,"",IF($D123=1,EOMONTH(EDATE(Bonds!$H123,6*(57-1)),0),EDATE(Bonds!$H123,6*(57-1))))</f>
        <v/>
      </c>
      <c r="BJ123" s="3" t="str">
        <f>IF(58&gt;$C123,"",IF($D123=1,EOMONTH(EDATE(Bonds!$H123,6*(58-1)),0),EDATE(Bonds!$H123,6*(58-1))))</f>
        <v/>
      </c>
      <c r="BK123" s="3" t="str">
        <f>IF(59&gt;$C123,"",IF($D123=1,EOMONTH(EDATE(Bonds!$H123,6*(59-1)),0),EDATE(Bonds!$H123,6*(59-1))))</f>
        <v/>
      </c>
      <c r="BL123" s="3" t="str">
        <f>IF(60&gt;$C123,"",IF($D123=1,EOMONTH(EDATE(Bonds!$H123,6*(60-1)),0),EDATE(Bonds!$H123,6*(60-1))))</f>
        <v/>
      </c>
      <c r="BN123" s="7">
        <f t="shared" si="62"/>
        <v>2.606692154325049</v>
      </c>
      <c r="BO123" s="7">
        <f t="shared" si="63"/>
        <v>2.5540540863916217</v>
      </c>
      <c r="BP123" s="7">
        <f t="shared" si="64"/>
        <v>2.4977946749427438</v>
      </c>
      <c r="BQ123" s="7">
        <f t="shared" si="65"/>
        <v>2.4417701212983465</v>
      </c>
      <c r="BR123" s="7">
        <f t="shared" si="66"/>
        <v>93.278729446415284</v>
      </c>
      <c r="BS123" s="7">
        <f t="shared" si="67"/>
        <v>0</v>
      </c>
      <c r="BT123" s="7">
        <f t="shared" si="68"/>
        <v>0</v>
      </c>
      <c r="BU123" s="7">
        <f t="shared" si="69"/>
        <v>0</v>
      </c>
      <c r="BV123" s="7">
        <f t="shared" si="70"/>
        <v>0</v>
      </c>
      <c r="BW123" s="7">
        <f t="shared" si="71"/>
        <v>0</v>
      </c>
      <c r="BX123" s="7">
        <f t="shared" si="72"/>
        <v>0</v>
      </c>
      <c r="BY123" s="7">
        <f t="shared" si="73"/>
        <v>0</v>
      </c>
      <c r="BZ123" s="7">
        <f t="shared" si="74"/>
        <v>0</v>
      </c>
      <c r="CA123" s="7">
        <f t="shared" si="75"/>
        <v>0</v>
      </c>
      <c r="CB123" s="7">
        <f t="shared" si="76"/>
        <v>0</v>
      </c>
      <c r="CC123" s="7">
        <f t="shared" si="77"/>
        <v>0</v>
      </c>
      <c r="CD123" s="7">
        <f t="shared" si="78"/>
        <v>0</v>
      </c>
      <c r="CE123" s="7">
        <f t="shared" si="79"/>
        <v>0</v>
      </c>
      <c r="CF123" s="7">
        <f t="shared" si="80"/>
        <v>0</v>
      </c>
      <c r="CG123" s="7">
        <f t="shared" si="81"/>
        <v>0</v>
      </c>
      <c r="CH123" s="7">
        <f t="shared" si="82"/>
        <v>0</v>
      </c>
      <c r="CI123" s="7">
        <f t="shared" si="83"/>
        <v>0</v>
      </c>
      <c r="CJ123" s="7">
        <f t="shared" si="84"/>
        <v>0</v>
      </c>
      <c r="CK123" s="7">
        <f t="shared" si="85"/>
        <v>0</v>
      </c>
      <c r="CL123" s="7">
        <f t="shared" si="86"/>
        <v>0</v>
      </c>
      <c r="CM123" s="7">
        <f t="shared" si="87"/>
        <v>0</v>
      </c>
      <c r="CN123" s="7">
        <f t="shared" si="88"/>
        <v>0</v>
      </c>
      <c r="CO123" s="7">
        <f t="shared" si="89"/>
        <v>0</v>
      </c>
      <c r="CP123" s="7">
        <f t="shared" si="90"/>
        <v>0</v>
      </c>
      <c r="CQ123" s="7">
        <f t="shared" si="91"/>
        <v>0</v>
      </c>
      <c r="CR123" s="7">
        <f t="shared" si="92"/>
        <v>0</v>
      </c>
      <c r="CS123" s="7">
        <f t="shared" si="93"/>
        <v>0</v>
      </c>
      <c r="CT123" s="7">
        <f t="shared" si="94"/>
        <v>0</v>
      </c>
      <c r="CU123" s="7">
        <f t="shared" si="95"/>
        <v>0</v>
      </c>
      <c r="CV123" s="7">
        <f t="shared" si="96"/>
        <v>0</v>
      </c>
      <c r="CW123" s="7">
        <f t="shared" si="97"/>
        <v>0</v>
      </c>
      <c r="CX123" s="7">
        <f t="shared" si="98"/>
        <v>0</v>
      </c>
      <c r="CY123" s="7">
        <f t="shared" si="99"/>
        <v>0</v>
      </c>
      <c r="CZ123" s="7">
        <f t="shared" si="100"/>
        <v>0</v>
      </c>
      <c r="DA123" s="7">
        <f t="shared" si="101"/>
        <v>0</v>
      </c>
      <c r="DB123" s="7">
        <f t="shared" si="102"/>
        <v>0</v>
      </c>
      <c r="DC123" s="7">
        <f t="shared" si="103"/>
        <v>0</v>
      </c>
      <c r="DD123" s="7">
        <f t="shared" si="104"/>
        <v>0</v>
      </c>
      <c r="DE123" s="7">
        <f t="shared" si="105"/>
        <v>0</v>
      </c>
      <c r="DF123" s="7">
        <f t="shared" si="106"/>
        <v>0</v>
      </c>
      <c r="DG123" s="7">
        <f t="shared" si="107"/>
        <v>0</v>
      </c>
      <c r="DH123" s="7">
        <f t="shared" si="108"/>
        <v>0</v>
      </c>
      <c r="DI123" s="7">
        <f t="shared" si="109"/>
        <v>0</v>
      </c>
      <c r="DJ123" s="7">
        <f t="shared" si="110"/>
        <v>0</v>
      </c>
      <c r="DK123" s="7">
        <f t="shared" si="111"/>
        <v>0</v>
      </c>
      <c r="DL123" s="7">
        <f t="shared" si="112"/>
        <v>0</v>
      </c>
      <c r="DM123" s="7">
        <f t="shared" si="113"/>
        <v>0</v>
      </c>
      <c r="DN123" s="7">
        <f t="shared" si="114"/>
        <v>0</v>
      </c>
      <c r="DO123" s="7">
        <f t="shared" si="115"/>
        <v>0</v>
      </c>
      <c r="DP123" s="7">
        <f t="shared" si="116"/>
        <v>0</v>
      </c>
      <c r="DQ123" s="7">
        <f t="shared" si="117"/>
        <v>0</v>
      </c>
      <c r="DR123" s="7">
        <f t="shared" si="118"/>
        <v>0</v>
      </c>
      <c r="DS123" s="7">
        <f t="shared" si="119"/>
        <v>0</v>
      </c>
      <c r="DT123" s="7">
        <f t="shared" si="120"/>
        <v>0</v>
      </c>
      <c r="DU123" s="7">
        <f t="shared" si="121"/>
        <v>0</v>
      </c>
    </row>
    <row r="124" spans="1:125" x14ac:dyDescent="0.2">
      <c r="A124" s="3">
        <f>Bonds!A124</f>
        <v>47087</v>
      </c>
      <c r="B124" s="4">
        <f>Bonds!B124</f>
        <v>1.5</v>
      </c>
      <c r="C124">
        <f>Bonds!P124</f>
        <v>5</v>
      </c>
      <c r="D124">
        <f t="shared" si="61"/>
        <v>1</v>
      </c>
      <c r="E124" s="3">
        <f>IF(1&gt;$C124,"",IF($D124=1,EOMONTH(EDATE(Bonds!$H124,6*(1-1)),0),EDATE(Bonds!$H124,6*(1-1))))</f>
        <v>46356</v>
      </c>
      <c r="F124" s="3">
        <f>IF(2&gt;$C124,"",IF($D124=1,EOMONTH(EDATE(Bonds!$H124,6*(2-1)),0),EDATE(Bonds!$H124,6*(2-1))))</f>
        <v>46538</v>
      </c>
      <c r="G124" s="3">
        <f>IF(3&gt;$C124,"",IF($D124=1,EOMONTH(EDATE(Bonds!$H124,6*(3-1)),0),EDATE(Bonds!$H124,6*(3-1))))</f>
        <v>46721</v>
      </c>
      <c r="H124" s="3">
        <f>IF(4&gt;$C124,"",IF($D124=1,EOMONTH(EDATE(Bonds!$H124,6*(4-1)),0),EDATE(Bonds!$H124,6*(4-1))))</f>
        <v>46904</v>
      </c>
      <c r="I124" s="3">
        <f>IF(5&gt;$C124,"",IF($D124=1,EOMONTH(EDATE(Bonds!$H124,6*(5-1)),0),EDATE(Bonds!$H124,6*(5-1))))</f>
        <v>47087</v>
      </c>
      <c r="J124" s="3" t="str">
        <f>IF(6&gt;$C124,"",IF($D124=1,EOMONTH(EDATE(Bonds!$H124,6*(6-1)),0),EDATE(Bonds!$H124,6*(6-1))))</f>
        <v/>
      </c>
      <c r="K124" s="3" t="str">
        <f>IF(7&gt;$C124,"",IF($D124=1,EOMONTH(EDATE(Bonds!$H124,6*(7-1)),0),EDATE(Bonds!$H124,6*(7-1))))</f>
        <v/>
      </c>
      <c r="L124" s="3" t="str">
        <f>IF(8&gt;$C124,"",IF($D124=1,EOMONTH(EDATE(Bonds!$H124,6*(8-1)),0),EDATE(Bonds!$H124,6*(8-1))))</f>
        <v/>
      </c>
      <c r="M124" s="3" t="str">
        <f>IF(9&gt;$C124,"",IF($D124=1,EOMONTH(EDATE(Bonds!$H124,6*(9-1)),0),EDATE(Bonds!$H124,6*(9-1))))</f>
        <v/>
      </c>
      <c r="N124" s="3" t="str">
        <f>IF(10&gt;$C124,"",IF($D124=1,EOMONTH(EDATE(Bonds!$H124,6*(10-1)),0),EDATE(Bonds!$H124,6*(10-1))))</f>
        <v/>
      </c>
      <c r="O124" s="3" t="str">
        <f>IF(11&gt;$C124,"",IF($D124=1,EOMONTH(EDATE(Bonds!$H124,6*(11-1)),0),EDATE(Bonds!$H124,6*(11-1))))</f>
        <v/>
      </c>
      <c r="P124" s="3" t="str">
        <f>IF(12&gt;$C124,"",IF($D124=1,EOMONTH(EDATE(Bonds!$H124,6*(12-1)),0),EDATE(Bonds!$H124,6*(12-1))))</f>
        <v/>
      </c>
      <c r="Q124" s="3" t="str">
        <f>IF(13&gt;$C124,"",IF($D124=1,EOMONTH(EDATE(Bonds!$H124,6*(13-1)),0),EDATE(Bonds!$H124,6*(13-1))))</f>
        <v/>
      </c>
      <c r="R124" s="3" t="str">
        <f>IF(14&gt;$C124,"",IF($D124=1,EOMONTH(EDATE(Bonds!$H124,6*(14-1)),0),EDATE(Bonds!$H124,6*(14-1))))</f>
        <v/>
      </c>
      <c r="S124" s="3" t="str">
        <f>IF(15&gt;$C124,"",IF($D124=1,EOMONTH(EDATE(Bonds!$H124,6*(15-1)),0),EDATE(Bonds!$H124,6*(15-1))))</f>
        <v/>
      </c>
      <c r="T124" s="3" t="str">
        <f>IF(16&gt;$C124,"",IF($D124=1,EOMONTH(EDATE(Bonds!$H124,6*(16-1)),0),EDATE(Bonds!$H124,6*(16-1))))</f>
        <v/>
      </c>
      <c r="U124" s="3" t="str">
        <f>IF(17&gt;$C124,"",IF($D124=1,EOMONTH(EDATE(Bonds!$H124,6*(17-1)),0),EDATE(Bonds!$H124,6*(17-1))))</f>
        <v/>
      </c>
      <c r="V124" s="3" t="str">
        <f>IF(18&gt;$C124,"",IF($D124=1,EOMONTH(EDATE(Bonds!$H124,6*(18-1)),0),EDATE(Bonds!$H124,6*(18-1))))</f>
        <v/>
      </c>
      <c r="W124" s="3" t="str">
        <f>IF(19&gt;$C124,"",IF($D124=1,EOMONTH(EDATE(Bonds!$H124,6*(19-1)),0),EDATE(Bonds!$H124,6*(19-1))))</f>
        <v/>
      </c>
      <c r="X124" s="3" t="str">
        <f>IF(20&gt;$C124,"",IF($D124=1,EOMONTH(EDATE(Bonds!$H124,6*(20-1)),0),EDATE(Bonds!$H124,6*(20-1))))</f>
        <v/>
      </c>
      <c r="Y124" s="3" t="str">
        <f>IF(21&gt;$C124,"",IF($D124=1,EOMONTH(EDATE(Bonds!$H124,6*(21-1)),0),EDATE(Bonds!$H124,6*(21-1))))</f>
        <v/>
      </c>
      <c r="Z124" s="3" t="str">
        <f>IF(22&gt;$C124,"",IF($D124=1,EOMONTH(EDATE(Bonds!$H124,6*(22-1)),0),EDATE(Bonds!$H124,6*(22-1))))</f>
        <v/>
      </c>
      <c r="AA124" s="3" t="str">
        <f>IF(23&gt;$C124,"",IF($D124=1,EOMONTH(EDATE(Bonds!$H124,6*(23-1)),0),EDATE(Bonds!$H124,6*(23-1))))</f>
        <v/>
      </c>
      <c r="AB124" s="3" t="str">
        <f>IF(24&gt;$C124,"",IF($D124=1,EOMONTH(EDATE(Bonds!$H124,6*(24-1)),0),EDATE(Bonds!$H124,6*(24-1))))</f>
        <v/>
      </c>
      <c r="AC124" s="3" t="str">
        <f>IF(25&gt;$C124,"",IF($D124=1,EOMONTH(EDATE(Bonds!$H124,6*(25-1)),0),EDATE(Bonds!$H124,6*(25-1))))</f>
        <v/>
      </c>
      <c r="AD124" s="3" t="str">
        <f>IF(26&gt;$C124,"",IF($D124=1,EOMONTH(EDATE(Bonds!$H124,6*(26-1)),0),EDATE(Bonds!$H124,6*(26-1))))</f>
        <v/>
      </c>
      <c r="AE124" s="3" t="str">
        <f>IF(27&gt;$C124,"",IF($D124=1,EOMONTH(EDATE(Bonds!$H124,6*(27-1)),0),EDATE(Bonds!$H124,6*(27-1))))</f>
        <v/>
      </c>
      <c r="AF124" s="3" t="str">
        <f>IF(28&gt;$C124,"",IF($D124=1,EOMONTH(EDATE(Bonds!$H124,6*(28-1)),0),EDATE(Bonds!$H124,6*(28-1))))</f>
        <v/>
      </c>
      <c r="AG124" s="3" t="str">
        <f>IF(29&gt;$C124,"",IF($D124=1,EOMONTH(EDATE(Bonds!$H124,6*(29-1)),0),EDATE(Bonds!$H124,6*(29-1))))</f>
        <v/>
      </c>
      <c r="AH124" s="3" t="str">
        <f>IF(30&gt;$C124,"",IF($D124=1,EOMONTH(EDATE(Bonds!$H124,6*(30-1)),0),EDATE(Bonds!$H124,6*(30-1))))</f>
        <v/>
      </c>
      <c r="AI124" s="3" t="str">
        <f>IF(31&gt;$C124,"",IF($D124=1,EOMONTH(EDATE(Bonds!$H124,6*(31-1)),0),EDATE(Bonds!$H124,6*(31-1))))</f>
        <v/>
      </c>
      <c r="AJ124" s="3" t="str">
        <f>IF(32&gt;$C124,"",IF($D124=1,EOMONTH(EDATE(Bonds!$H124,6*(32-1)),0),EDATE(Bonds!$H124,6*(32-1))))</f>
        <v/>
      </c>
      <c r="AK124" s="3" t="str">
        <f>IF(33&gt;$C124,"",IF($D124=1,EOMONTH(EDATE(Bonds!$H124,6*(33-1)),0),EDATE(Bonds!$H124,6*(33-1))))</f>
        <v/>
      </c>
      <c r="AL124" s="3" t="str">
        <f>IF(34&gt;$C124,"",IF($D124=1,EOMONTH(EDATE(Bonds!$H124,6*(34-1)),0),EDATE(Bonds!$H124,6*(34-1))))</f>
        <v/>
      </c>
      <c r="AM124" s="3" t="str">
        <f>IF(35&gt;$C124,"",IF($D124=1,EOMONTH(EDATE(Bonds!$H124,6*(35-1)),0),EDATE(Bonds!$H124,6*(35-1))))</f>
        <v/>
      </c>
      <c r="AN124" s="3" t="str">
        <f>IF(36&gt;$C124,"",IF($D124=1,EOMONTH(EDATE(Bonds!$H124,6*(36-1)),0),EDATE(Bonds!$H124,6*(36-1))))</f>
        <v/>
      </c>
      <c r="AO124" s="3" t="str">
        <f>IF(37&gt;$C124,"",IF($D124=1,EOMONTH(EDATE(Bonds!$H124,6*(37-1)),0),EDATE(Bonds!$H124,6*(37-1))))</f>
        <v/>
      </c>
      <c r="AP124" s="3" t="str">
        <f>IF(38&gt;$C124,"",IF($D124=1,EOMONTH(EDATE(Bonds!$H124,6*(38-1)),0),EDATE(Bonds!$H124,6*(38-1))))</f>
        <v/>
      </c>
      <c r="AQ124" s="3" t="str">
        <f>IF(39&gt;$C124,"",IF($D124=1,EOMONTH(EDATE(Bonds!$H124,6*(39-1)),0),EDATE(Bonds!$H124,6*(39-1))))</f>
        <v/>
      </c>
      <c r="AR124" s="3" t="str">
        <f>IF(40&gt;$C124,"",IF($D124=1,EOMONTH(EDATE(Bonds!$H124,6*(40-1)),0),EDATE(Bonds!$H124,6*(40-1))))</f>
        <v/>
      </c>
      <c r="AS124" s="3" t="str">
        <f>IF(41&gt;$C124,"",IF($D124=1,EOMONTH(EDATE(Bonds!$H124,6*(41-1)),0),EDATE(Bonds!$H124,6*(41-1))))</f>
        <v/>
      </c>
      <c r="AT124" s="3" t="str">
        <f>IF(42&gt;$C124,"",IF($D124=1,EOMONTH(EDATE(Bonds!$H124,6*(42-1)),0),EDATE(Bonds!$H124,6*(42-1))))</f>
        <v/>
      </c>
      <c r="AU124" s="3" t="str">
        <f>IF(43&gt;$C124,"",IF($D124=1,EOMONTH(EDATE(Bonds!$H124,6*(43-1)),0),EDATE(Bonds!$H124,6*(43-1))))</f>
        <v/>
      </c>
      <c r="AV124" s="3" t="str">
        <f>IF(44&gt;$C124,"",IF($D124=1,EOMONTH(EDATE(Bonds!$H124,6*(44-1)),0),EDATE(Bonds!$H124,6*(44-1))))</f>
        <v/>
      </c>
      <c r="AW124" s="3" t="str">
        <f>IF(45&gt;$C124,"",IF($D124=1,EOMONTH(EDATE(Bonds!$H124,6*(45-1)),0),EDATE(Bonds!$H124,6*(45-1))))</f>
        <v/>
      </c>
      <c r="AX124" s="3" t="str">
        <f>IF(46&gt;$C124,"",IF($D124=1,EOMONTH(EDATE(Bonds!$H124,6*(46-1)),0),EDATE(Bonds!$H124,6*(46-1))))</f>
        <v/>
      </c>
      <c r="AY124" s="3" t="str">
        <f>IF(47&gt;$C124,"",IF($D124=1,EOMONTH(EDATE(Bonds!$H124,6*(47-1)),0),EDATE(Bonds!$H124,6*(47-1))))</f>
        <v/>
      </c>
      <c r="AZ124" s="3" t="str">
        <f>IF(48&gt;$C124,"",IF($D124=1,EOMONTH(EDATE(Bonds!$H124,6*(48-1)),0),EDATE(Bonds!$H124,6*(48-1))))</f>
        <v/>
      </c>
      <c r="BA124" s="3" t="str">
        <f>IF(49&gt;$C124,"",IF($D124=1,EOMONTH(EDATE(Bonds!$H124,6*(49-1)),0),EDATE(Bonds!$H124,6*(49-1))))</f>
        <v/>
      </c>
      <c r="BB124" s="3" t="str">
        <f>IF(50&gt;$C124,"",IF($D124=1,EOMONTH(EDATE(Bonds!$H124,6*(50-1)),0),EDATE(Bonds!$H124,6*(50-1))))</f>
        <v/>
      </c>
      <c r="BC124" s="3" t="str">
        <f>IF(51&gt;$C124,"",IF($D124=1,EOMONTH(EDATE(Bonds!$H124,6*(51-1)),0),EDATE(Bonds!$H124,6*(51-1))))</f>
        <v/>
      </c>
      <c r="BD124" s="3" t="str">
        <f>IF(52&gt;$C124,"",IF($D124=1,EOMONTH(EDATE(Bonds!$H124,6*(52-1)),0),EDATE(Bonds!$H124,6*(52-1))))</f>
        <v/>
      </c>
      <c r="BE124" s="3" t="str">
        <f>IF(53&gt;$C124,"",IF($D124=1,EOMONTH(EDATE(Bonds!$H124,6*(53-1)),0),EDATE(Bonds!$H124,6*(53-1))))</f>
        <v/>
      </c>
      <c r="BF124" s="3" t="str">
        <f>IF(54&gt;$C124,"",IF($D124=1,EOMONTH(EDATE(Bonds!$H124,6*(54-1)),0),EDATE(Bonds!$H124,6*(54-1))))</f>
        <v/>
      </c>
      <c r="BG124" s="3" t="str">
        <f>IF(55&gt;$C124,"",IF($D124=1,EOMONTH(EDATE(Bonds!$H124,6*(55-1)),0),EDATE(Bonds!$H124,6*(55-1))))</f>
        <v/>
      </c>
      <c r="BH124" s="3" t="str">
        <f>IF(56&gt;$C124,"",IF($D124=1,EOMONTH(EDATE(Bonds!$H124,6*(56-1)),0),EDATE(Bonds!$H124,6*(56-1))))</f>
        <v/>
      </c>
      <c r="BI124" s="3" t="str">
        <f>IF(57&gt;$C124,"",IF($D124=1,EOMONTH(EDATE(Bonds!$H124,6*(57-1)),0),EDATE(Bonds!$H124,6*(57-1))))</f>
        <v/>
      </c>
      <c r="BJ124" s="3" t="str">
        <f>IF(58&gt;$C124,"",IF($D124=1,EOMONTH(EDATE(Bonds!$H124,6*(58-1)),0),EDATE(Bonds!$H124,6*(58-1))))</f>
        <v/>
      </c>
      <c r="BK124" s="3" t="str">
        <f>IF(59&gt;$C124,"",IF($D124=1,EOMONTH(EDATE(Bonds!$H124,6*(59-1)),0),EDATE(Bonds!$H124,6*(59-1))))</f>
        <v/>
      </c>
      <c r="BL124" s="3" t="str">
        <f>IF(60&gt;$C124,"",IF($D124=1,EOMONTH(EDATE(Bonds!$H124,6*(60-1)),0),EDATE(Bonds!$H124,6*(60-1))))</f>
        <v/>
      </c>
      <c r="BN124" s="7">
        <f t="shared" si="62"/>
        <v>0.74357647997693754</v>
      </c>
      <c r="BO124" s="7">
        <f t="shared" si="63"/>
        <v>0.72835059238001532</v>
      </c>
      <c r="BP124" s="7">
        <f t="shared" si="64"/>
        <v>0.71233408104351092</v>
      </c>
      <c r="BQ124" s="7">
        <f t="shared" si="65"/>
        <v>0.69624920216853703</v>
      </c>
      <c r="BR124" s="7">
        <f t="shared" si="66"/>
        <v>91.401851615138284</v>
      </c>
      <c r="BS124" s="7">
        <f t="shared" si="67"/>
        <v>0</v>
      </c>
      <c r="BT124" s="7">
        <f t="shared" si="68"/>
        <v>0</v>
      </c>
      <c r="BU124" s="7">
        <f t="shared" si="69"/>
        <v>0</v>
      </c>
      <c r="BV124" s="7">
        <f t="shared" si="70"/>
        <v>0</v>
      </c>
      <c r="BW124" s="7">
        <f t="shared" si="71"/>
        <v>0</v>
      </c>
      <c r="BX124" s="7">
        <f t="shared" si="72"/>
        <v>0</v>
      </c>
      <c r="BY124" s="7">
        <f t="shared" si="73"/>
        <v>0</v>
      </c>
      <c r="BZ124" s="7">
        <f t="shared" si="74"/>
        <v>0</v>
      </c>
      <c r="CA124" s="7">
        <f t="shared" si="75"/>
        <v>0</v>
      </c>
      <c r="CB124" s="7">
        <f t="shared" si="76"/>
        <v>0</v>
      </c>
      <c r="CC124" s="7">
        <f t="shared" si="77"/>
        <v>0</v>
      </c>
      <c r="CD124" s="7">
        <f t="shared" si="78"/>
        <v>0</v>
      </c>
      <c r="CE124" s="7">
        <f t="shared" si="79"/>
        <v>0</v>
      </c>
      <c r="CF124" s="7">
        <f t="shared" si="80"/>
        <v>0</v>
      </c>
      <c r="CG124" s="7">
        <f t="shared" si="81"/>
        <v>0</v>
      </c>
      <c r="CH124" s="7">
        <f t="shared" si="82"/>
        <v>0</v>
      </c>
      <c r="CI124" s="7">
        <f t="shared" si="83"/>
        <v>0</v>
      </c>
      <c r="CJ124" s="7">
        <f t="shared" si="84"/>
        <v>0</v>
      </c>
      <c r="CK124" s="7">
        <f t="shared" si="85"/>
        <v>0</v>
      </c>
      <c r="CL124" s="7">
        <f t="shared" si="86"/>
        <v>0</v>
      </c>
      <c r="CM124" s="7">
        <f t="shared" si="87"/>
        <v>0</v>
      </c>
      <c r="CN124" s="7">
        <f t="shared" si="88"/>
        <v>0</v>
      </c>
      <c r="CO124" s="7">
        <f t="shared" si="89"/>
        <v>0</v>
      </c>
      <c r="CP124" s="7">
        <f t="shared" si="90"/>
        <v>0</v>
      </c>
      <c r="CQ124" s="7">
        <f t="shared" si="91"/>
        <v>0</v>
      </c>
      <c r="CR124" s="7">
        <f t="shared" si="92"/>
        <v>0</v>
      </c>
      <c r="CS124" s="7">
        <f t="shared" si="93"/>
        <v>0</v>
      </c>
      <c r="CT124" s="7">
        <f t="shared" si="94"/>
        <v>0</v>
      </c>
      <c r="CU124" s="7">
        <f t="shared" si="95"/>
        <v>0</v>
      </c>
      <c r="CV124" s="7">
        <f t="shared" si="96"/>
        <v>0</v>
      </c>
      <c r="CW124" s="7">
        <f t="shared" si="97"/>
        <v>0</v>
      </c>
      <c r="CX124" s="7">
        <f t="shared" si="98"/>
        <v>0</v>
      </c>
      <c r="CY124" s="7">
        <f t="shared" si="99"/>
        <v>0</v>
      </c>
      <c r="CZ124" s="7">
        <f t="shared" si="100"/>
        <v>0</v>
      </c>
      <c r="DA124" s="7">
        <f t="shared" si="101"/>
        <v>0</v>
      </c>
      <c r="DB124" s="7">
        <f t="shared" si="102"/>
        <v>0</v>
      </c>
      <c r="DC124" s="7">
        <f t="shared" si="103"/>
        <v>0</v>
      </c>
      <c r="DD124" s="7">
        <f t="shared" si="104"/>
        <v>0</v>
      </c>
      <c r="DE124" s="7">
        <f t="shared" si="105"/>
        <v>0</v>
      </c>
      <c r="DF124" s="7">
        <f t="shared" si="106"/>
        <v>0</v>
      </c>
      <c r="DG124" s="7">
        <f t="shared" si="107"/>
        <v>0</v>
      </c>
      <c r="DH124" s="7">
        <f t="shared" si="108"/>
        <v>0</v>
      </c>
      <c r="DI124" s="7">
        <f t="shared" si="109"/>
        <v>0</v>
      </c>
      <c r="DJ124" s="7">
        <f t="shared" si="110"/>
        <v>0</v>
      </c>
      <c r="DK124" s="7">
        <f t="shared" si="111"/>
        <v>0</v>
      </c>
      <c r="DL124" s="7">
        <f t="shared" si="112"/>
        <v>0</v>
      </c>
      <c r="DM124" s="7">
        <f t="shared" si="113"/>
        <v>0</v>
      </c>
      <c r="DN124" s="7">
        <f t="shared" si="114"/>
        <v>0</v>
      </c>
      <c r="DO124" s="7">
        <f t="shared" si="115"/>
        <v>0</v>
      </c>
      <c r="DP124" s="7">
        <f t="shared" si="116"/>
        <v>0</v>
      </c>
      <c r="DQ124" s="7">
        <f t="shared" si="117"/>
        <v>0</v>
      </c>
      <c r="DR124" s="7">
        <f t="shared" si="118"/>
        <v>0</v>
      </c>
      <c r="DS124" s="7">
        <f t="shared" si="119"/>
        <v>0</v>
      </c>
      <c r="DT124" s="7">
        <f t="shared" si="120"/>
        <v>0</v>
      </c>
      <c r="DU124" s="7">
        <f t="shared" si="121"/>
        <v>0</v>
      </c>
    </row>
    <row r="125" spans="1:125" x14ac:dyDescent="0.2">
      <c r="A125" s="3">
        <f>Bonds!A125</f>
        <v>47087</v>
      </c>
      <c r="B125" s="4">
        <f>Bonds!B125</f>
        <v>4.375</v>
      </c>
      <c r="C125">
        <f>Bonds!P125</f>
        <v>5</v>
      </c>
      <c r="D125">
        <f t="shared" si="61"/>
        <v>1</v>
      </c>
      <c r="E125" s="3">
        <f>IF(1&gt;$C125,"",IF($D125=1,EOMONTH(EDATE(Bonds!$H125,6*(1-1)),0),EDATE(Bonds!$H125,6*(1-1))))</f>
        <v>46356</v>
      </c>
      <c r="F125" s="3">
        <f>IF(2&gt;$C125,"",IF($D125=1,EOMONTH(EDATE(Bonds!$H125,6*(2-1)),0),EDATE(Bonds!$H125,6*(2-1))))</f>
        <v>46538</v>
      </c>
      <c r="G125" s="3">
        <f>IF(3&gt;$C125,"",IF($D125=1,EOMONTH(EDATE(Bonds!$H125,6*(3-1)),0),EDATE(Bonds!$H125,6*(3-1))))</f>
        <v>46721</v>
      </c>
      <c r="H125" s="3">
        <f>IF(4&gt;$C125,"",IF($D125=1,EOMONTH(EDATE(Bonds!$H125,6*(4-1)),0),EDATE(Bonds!$H125,6*(4-1))))</f>
        <v>46904</v>
      </c>
      <c r="I125" s="3">
        <f>IF(5&gt;$C125,"",IF($D125=1,EOMONTH(EDATE(Bonds!$H125,6*(5-1)),0),EDATE(Bonds!$H125,6*(5-1))))</f>
        <v>47087</v>
      </c>
      <c r="J125" s="3" t="str">
        <f>IF(6&gt;$C125,"",IF($D125=1,EOMONTH(EDATE(Bonds!$H125,6*(6-1)),0),EDATE(Bonds!$H125,6*(6-1))))</f>
        <v/>
      </c>
      <c r="K125" s="3" t="str">
        <f>IF(7&gt;$C125,"",IF($D125=1,EOMONTH(EDATE(Bonds!$H125,6*(7-1)),0),EDATE(Bonds!$H125,6*(7-1))))</f>
        <v/>
      </c>
      <c r="L125" s="3" t="str">
        <f>IF(8&gt;$C125,"",IF($D125=1,EOMONTH(EDATE(Bonds!$H125,6*(8-1)),0),EDATE(Bonds!$H125,6*(8-1))))</f>
        <v/>
      </c>
      <c r="M125" s="3" t="str">
        <f>IF(9&gt;$C125,"",IF($D125=1,EOMONTH(EDATE(Bonds!$H125,6*(9-1)),0),EDATE(Bonds!$H125,6*(9-1))))</f>
        <v/>
      </c>
      <c r="N125" s="3" t="str">
        <f>IF(10&gt;$C125,"",IF($D125=1,EOMONTH(EDATE(Bonds!$H125,6*(10-1)),0),EDATE(Bonds!$H125,6*(10-1))))</f>
        <v/>
      </c>
      <c r="O125" s="3" t="str">
        <f>IF(11&gt;$C125,"",IF($D125=1,EOMONTH(EDATE(Bonds!$H125,6*(11-1)),0),EDATE(Bonds!$H125,6*(11-1))))</f>
        <v/>
      </c>
      <c r="P125" s="3" t="str">
        <f>IF(12&gt;$C125,"",IF($D125=1,EOMONTH(EDATE(Bonds!$H125,6*(12-1)),0),EDATE(Bonds!$H125,6*(12-1))))</f>
        <v/>
      </c>
      <c r="Q125" s="3" t="str">
        <f>IF(13&gt;$C125,"",IF($D125=1,EOMONTH(EDATE(Bonds!$H125,6*(13-1)),0),EDATE(Bonds!$H125,6*(13-1))))</f>
        <v/>
      </c>
      <c r="R125" s="3" t="str">
        <f>IF(14&gt;$C125,"",IF($D125=1,EOMONTH(EDATE(Bonds!$H125,6*(14-1)),0),EDATE(Bonds!$H125,6*(14-1))))</f>
        <v/>
      </c>
      <c r="S125" s="3" t="str">
        <f>IF(15&gt;$C125,"",IF($D125=1,EOMONTH(EDATE(Bonds!$H125,6*(15-1)),0),EDATE(Bonds!$H125,6*(15-1))))</f>
        <v/>
      </c>
      <c r="T125" s="3" t="str">
        <f>IF(16&gt;$C125,"",IF($D125=1,EOMONTH(EDATE(Bonds!$H125,6*(16-1)),0),EDATE(Bonds!$H125,6*(16-1))))</f>
        <v/>
      </c>
      <c r="U125" s="3" t="str">
        <f>IF(17&gt;$C125,"",IF($D125=1,EOMONTH(EDATE(Bonds!$H125,6*(17-1)),0),EDATE(Bonds!$H125,6*(17-1))))</f>
        <v/>
      </c>
      <c r="V125" s="3" t="str">
        <f>IF(18&gt;$C125,"",IF($D125=1,EOMONTH(EDATE(Bonds!$H125,6*(18-1)),0),EDATE(Bonds!$H125,6*(18-1))))</f>
        <v/>
      </c>
      <c r="W125" s="3" t="str">
        <f>IF(19&gt;$C125,"",IF($D125=1,EOMONTH(EDATE(Bonds!$H125,6*(19-1)),0),EDATE(Bonds!$H125,6*(19-1))))</f>
        <v/>
      </c>
      <c r="X125" s="3" t="str">
        <f>IF(20&gt;$C125,"",IF($D125=1,EOMONTH(EDATE(Bonds!$H125,6*(20-1)),0),EDATE(Bonds!$H125,6*(20-1))))</f>
        <v/>
      </c>
      <c r="Y125" s="3" t="str">
        <f>IF(21&gt;$C125,"",IF($D125=1,EOMONTH(EDATE(Bonds!$H125,6*(21-1)),0),EDATE(Bonds!$H125,6*(21-1))))</f>
        <v/>
      </c>
      <c r="Z125" s="3" t="str">
        <f>IF(22&gt;$C125,"",IF($D125=1,EOMONTH(EDATE(Bonds!$H125,6*(22-1)),0),EDATE(Bonds!$H125,6*(22-1))))</f>
        <v/>
      </c>
      <c r="AA125" s="3" t="str">
        <f>IF(23&gt;$C125,"",IF($D125=1,EOMONTH(EDATE(Bonds!$H125,6*(23-1)),0),EDATE(Bonds!$H125,6*(23-1))))</f>
        <v/>
      </c>
      <c r="AB125" s="3" t="str">
        <f>IF(24&gt;$C125,"",IF($D125=1,EOMONTH(EDATE(Bonds!$H125,6*(24-1)),0),EDATE(Bonds!$H125,6*(24-1))))</f>
        <v/>
      </c>
      <c r="AC125" s="3" t="str">
        <f>IF(25&gt;$C125,"",IF($D125=1,EOMONTH(EDATE(Bonds!$H125,6*(25-1)),0),EDATE(Bonds!$H125,6*(25-1))))</f>
        <v/>
      </c>
      <c r="AD125" s="3" t="str">
        <f>IF(26&gt;$C125,"",IF($D125=1,EOMONTH(EDATE(Bonds!$H125,6*(26-1)),0),EDATE(Bonds!$H125,6*(26-1))))</f>
        <v/>
      </c>
      <c r="AE125" s="3" t="str">
        <f>IF(27&gt;$C125,"",IF($D125=1,EOMONTH(EDATE(Bonds!$H125,6*(27-1)),0),EDATE(Bonds!$H125,6*(27-1))))</f>
        <v/>
      </c>
      <c r="AF125" s="3" t="str">
        <f>IF(28&gt;$C125,"",IF($D125=1,EOMONTH(EDATE(Bonds!$H125,6*(28-1)),0),EDATE(Bonds!$H125,6*(28-1))))</f>
        <v/>
      </c>
      <c r="AG125" s="3" t="str">
        <f>IF(29&gt;$C125,"",IF($D125=1,EOMONTH(EDATE(Bonds!$H125,6*(29-1)),0),EDATE(Bonds!$H125,6*(29-1))))</f>
        <v/>
      </c>
      <c r="AH125" s="3" t="str">
        <f>IF(30&gt;$C125,"",IF($D125=1,EOMONTH(EDATE(Bonds!$H125,6*(30-1)),0),EDATE(Bonds!$H125,6*(30-1))))</f>
        <v/>
      </c>
      <c r="AI125" s="3" t="str">
        <f>IF(31&gt;$C125,"",IF($D125=1,EOMONTH(EDATE(Bonds!$H125,6*(31-1)),0),EDATE(Bonds!$H125,6*(31-1))))</f>
        <v/>
      </c>
      <c r="AJ125" s="3" t="str">
        <f>IF(32&gt;$C125,"",IF($D125=1,EOMONTH(EDATE(Bonds!$H125,6*(32-1)),0),EDATE(Bonds!$H125,6*(32-1))))</f>
        <v/>
      </c>
      <c r="AK125" s="3" t="str">
        <f>IF(33&gt;$C125,"",IF($D125=1,EOMONTH(EDATE(Bonds!$H125,6*(33-1)),0),EDATE(Bonds!$H125,6*(33-1))))</f>
        <v/>
      </c>
      <c r="AL125" s="3" t="str">
        <f>IF(34&gt;$C125,"",IF($D125=1,EOMONTH(EDATE(Bonds!$H125,6*(34-1)),0),EDATE(Bonds!$H125,6*(34-1))))</f>
        <v/>
      </c>
      <c r="AM125" s="3" t="str">
        <f>IF(35&gt;$C125,"",IF($D125=1,EOMONTH(EDATE(Bonds!$H125,6*(35-1)),0),EDATE(Bonds!$H125,6*(35-1))))</f>
        <v/>
      </c>
      <c r="AN125" s="3" t="str">
        <f>IF(36&gt;$C125,"",IF($D125=1,EOMONTH(EDATE(Bonds!$H125,6*(36-1)),0),EDATE(Bonds!$H125,6*(36-1))))</f>
        <v/>
      </c>
      <c r="AO125" s="3" t="str">
        <f>IF(37&gt;$C125,"",IF($D125=1,EOMONTH(EDATE(Bonds!$H125,6*(37-1)),0),EDATE(Bonds!$H125,6*(37-1))))</f>
        <v/>
      </c>
      <c r="AP125" s="3" t="str">
        <f>IF(38&gt;$C125,"",IF($D125=1,EOMONTH(EDATE(Bonds!$H125,6*(38-1)),0),EDATE(Bonds!$H125,6*(38-1))))</f>
        <v/>
      </c>
      <c r="AQ125" s="3" t="str">
        <f>IF(39&gt;$C125,"",IF($D125=1,EOMONTH(EDATE(Bonds!$H125,6*(39-1)),0),EDATE(Bonds!$H125,6*(39-1))))</f>
        <v/>
      </c>
      <c r="AR125" s="3" t="str">
        <f>IF(40&gt;$C125,"",IF($D125=1,EOMONTH(EDATE(Bonds!$H125,6*(40-1)),0),EDATE(Bonds!$H125,6*(40-1))))</f>
        <v/>
      </c>
      <c r="AS125" s="3" t="str">
        <f>IF(41&gt;$C125,"",IF($D125=1,EOMONTH(EDATE(Bonds!$H125,6*(41-1)),0),EDATE(Bonds!$H125,6*(41-1))))</f>
        <v/>
      </c>
      <c r="AT125" s="3" t="str">
        <f>IF(42&gt;$C125,"",IF($D125=1,EOMONTH(EDATE(Bonds!$H125,6*(42-1)),0),EDATE(Bonds!$H125,6*(42-1))))</f>
        <v/>
      </c>
      <c r="AU125" s="3" t="str">
        <f>IF(43&gt;$C125,"",IF($D125=1,EOMONTH(EDATE(Bonds!$H125,6*(43-1)),0),EDATE(Bonds!$H125,6*(43-1))))</f>
        <v/>
      </c>
      <c r="AV125" s="3" t="str">
        <f>IF(44&gt;$C125,"",IF($D125=1,EOMONTH(EDATE(Bonds!$H125,6*(44-1)),0),EDATE(Bonds!$H125,6*(44-1))))</f>
        <v/>
      </c>
      <c r="AW125" s="3" t="str">
        <f>IF(45&gt;$C125,"",IF($D125=1,EOMONTH(EDATE(Bonds!$H125,6*(45-1)),0),EDATE(Bonds!$H125,6*(45-1))))</f>
        <v/>
      </c>
      <c r="AX125" s="3" t="str">
        <f>IF(46&gt;$C125,"",IF($D125=1,EOMONTH(EDATE(Bonds!$H125,6*(46-1)),0),EDATE(Bonds!$H125,6*(46-1))))</f>
        <v/>
      </c>
      <c r="AY125" s="3" t="str">
        <f>IF(47&gt;$C125,"",IF($D125=1,EOMONTH(EDATE(Bonds!$H125,6*(47-1)),0),EDATE(Bonds!$H125,6*(47-1))))</f>
        <v/>
      </c>
      <c r="AZ125" s="3" t="str">
        <f>IF(48&gt;$C125,"",IF($D125=1,EOMONTH(EDATE(Bonds!$H125,6*(48-1)),0),EDATE(Bonds!$H125,6*(48-1))))</f>
        <v/>
      </c>
      <c r="BA125" s="3" t="str">
        <f>IF(49&gt;$C125,"",IF($D125=1,EOMONTH(EDATE(Bonds!$H125,6*(49-1)),0),EDATE(Bonds!$H125,6*(49-1))))</f>
        <v/>
      </c>
      <c r="BB125" s="3" t="str">
        <f>IF(50&gt;$C125,"",IF($D125=1,EOMONTH(EDATE(Bonds!$H125,6*(50-1)),0),EDATE(Bonds!$H125,6*(50-1))))</f>
        <v/>
      </c>
      <c r="BC125" s="3" t="str">
        <f>IF(51&gt;$C125,"",IF($D125=1,EOMONTH(EDATE(Bonds!$H125,6*(51-1)),0),EDATE(Bonds!$H125,6*(51-1))))</f>
        <v/>
      </c>
      <c r="BD125" s="3" t="str">
        <f>IF(52&gt;$C125,"",IF($D125=1,EOMONTH(EDATE(Bonds!$H125,6*(52-1)),0),EDATE(Bonds!$H125,6*(52-1))))</f>
        <v/>
      </c>
      <c r="BE125" s="3" t="str">
        <f>IF(53&gt;$C125,"",IF($D125=1,EOMONTH(EDATE(Bonds!$H125,6*(53-1)),0),EDATE(Bonds!$H125,6*(53-1))))</f>
        <v/>
      </c>
      <c r="BF125" s="3" t="str">
        <f>IF(54&gt;$C125,"",IF($D125=1,EOMONTH(EDATE(Bonds!$H125,6*(54-1)),0),EDATE(Bonds!$H125,6*(54-1))))</f>
        <v/>
      </c>
      <c r="BG125" s="3" t="str">
        <f>IF(55&gt;$C125,"",IF($D125=1,EOMONTH(EDATE(Bonds!$H125,6*(55-1)),0),EDATE(Bonds!$H125,6*(55-1))))</f>
        <v/>
      </c>
      <c r="BH125" s="3" t="str">
        <f>IF(56&gt;$C125,"",IF($D125=1,EOMONTH(EDATE(Bonds!$H125,6*(56-1)),0),EDATE(Bonds!$H125,6*(56-1))))</f>
        <v/>
      </c>
      <c r="BI125" s="3" t="str">
        <f>IF(57&gt;$C125,"",IF($D125=1,EOMONTH(EDATE(Bonds!$H125,6*(57-1)),0),EDATE(Bonds!$H125,6*(57-1))))</f>
        <v/>
      </c>
      <c r="BJ125" s="3" t="str">
        <f>IF(58&gt;$C125,"",IF($D125=1,EOMONTH(EDATE(Bonds!$H125,6*(58-1)),0),EDATE(Bonds!$H125,6*(58-1))))</f>
        <v/>
      </c>
      <c r="BK125" s="3" t="str">
        <f>IF(59&gt;$C125,"",IF($D125=1,EOMONTH(EDATE(Bonds!$H125,6*(59-1)),0),EDATE(Bonds!$H125,6*(59-1))))</f>
        <v/>
      </c>
      <c r="BL125" s="3" t="str">
        <f>IF(60&gt;$C125,"",IF($D125=1,EOMONTH(EDATE(Bonds!$H125,6*(60-1)),0),EDATE(Bonds!$H125,6*(60-1))))</f>
        <v/>
      </c>
      <c r="BN125" s="7">
        <f t="shared" si="62"/>
        <v>2.1687647332660678</v>
      </c>
      <c r="BO125" s="7">
        <f t="shared" si="63"/>
        <v>2.1243558944417114</v>
      </c>
      <c r="BP125" s="7">
        <f t="shared" si="64"/>
        <v>2.0776410697102401</v>
      </c>
      <c r="BQ125" s="7">
        <f t="shared" si="65"/>
        <v>2.0307268396582332</v>
      </c>
      <c r="BR125" s="7">
        <f t="shared" si="66"/>
        <v>92.705972326768659</v>
      </c>
      <c r="BS125" s="7">
        <f t="shared" si="67"/>
        <v>0</v>
      </c>
      <c r="BT125" s="7">
        <f t="shared" si="68"/>
        <v>0</v>
      </c>
      <c r="BU125" s="7">
        <f t="shared" si="69"/>
        <v>0</v>
      </c>
      <c r="BV125" s="7">
        <f t="shared" si="70"/>
        <v>0</v>
      </c>
      <c r="BW125" s="7">
        <f t="shared" si="71"/>
        <v>0</v>
      </c>
      <c r="BX125" s="7">
        <f t="shared" si="72"/>
        <v>0</v>
      </c>
      <c r="BY125" s="7">
        <f t="shared" si="73"/>
        <v>0</v>
      </c>
      <c r="BZ125" s="7">
        <f t="shared" si="74"/>
        <v>0</v>
      </c>
      <c r="CA125" s="7">
        <f t="shared" si="75"/>
        <v>0</v>
      </c>
      <c r="CB125" s="7">
        <f t="shared" si="76"/>
        <v>0</v>
      </c>
      <c r="CC125" s="7">
        <f t="shared" si="77"/>
        <v>0</v>
      </c>
      <c r="CD125" s="7">
        <f t="shared" si="78"/>
        <v>0</v>
      </c>
      <c r="CE125" s="7">
        <f t="shared" si="79"/>
        <v>0</v>
      </c>
      <c r="CF125" s="7">
        <f t="shared" si="80"/>
        <v>0</v>
      </c>
      <c r="CG125" s="7">
        <f t="shared" si="81"/>
        <v>0</v>
      </c>
      <c r="CH125" s="7">
        <f t="shared" si="82"/>
        <v>0</v>
      </c>
      <c r="CI125" s="7">
        <f t="shared" si="83"/>
        <v>0</v>
      </c>
      <c r="CJ125" s="7">
        <f t="shared" si="84"/>
        <v>0</v>
      </c>
      <c r="CK125" s="7">
        <f t="shared" si="85"/>
        <v>0</v>
      </c>
      <c r="CL125" s="7">
        <f t="shared" si="86"/>
        <v>0</v>
      </c>
      <c r="CM125" s="7">
        <f t="shared" si="87"/>
        <v>0</v>
      </c>
      <c r="CN125" s="7">
        <f t="shared" si="88"/>
        <v>0</v>
      </c>
      <c r="CO125" s="7">
        <f t="shared" si="89"/>
        <v>0</v>
      </c>
      <c r="CP125" s="7">
        <f t="shared" si="90"/>
        <v>0</v>
      </c>
      <c r="CQ125" s="7">
        <f t="shared" si="91"/>
        <v>0</v>
      </c>
      <c r="CR125" s="7">
        <f t="shared" si="92"/>
        <v>0</v>
      </c>
      <c r="CS125" s="7">
        <f t="shared" si="93"/>
        <v>0</v>
      </c>
      <c r="CT125" s="7">
        <f t="shared" si="94"/>
        <v>0</v>
      </c>
      <c r="CU125" s="7">
        <f t="shared" si="95"/>
        <v>0</v>
      </c>
      <c r="CV125" s="7">
        <f t="shared" si="96"/>
        <v>0</v>
      </c>
      <c r="CW125" s="7">
        <f t="shared" si="97"/>
        <v>0</v>
      </c>
      <c r="CX125" s="7">
        <f t="shared" si="98"/>
        <v>0</v>
      </c>
      <c r="CY125" s="7">
        <f t="shared" si="99"/>
        <v>0</v>
      </c>
      <c r="CZ125" s="7">
        <f t="shared" si="100"/>
        <v>0</v>
      </c>
      <c r="DA125" s="7">
        <f t="shared" si="101"/>
        <v>0</v>
      </c>
      <c r="DB125" s="7">
        <f t="shared" si="102"/>
        <v>0</v>
      </c>
      <c r="DC125" s="7">
        <f t="shared" si="103"/>
        <v>0</v>
      </c>
      <c r="DD125" s="7">
        <f t="shared" si="104"/>
        <v>0</v>
      </c>
      <c r="DE125" s="7">
        <f t="shared" si="105"/>
        <v>0</v>
      </c>
      <c r="DF125" s="7">
        <f t="shared" si="106"/>
        <v>0</v>
      </c>
      <c r="DG125" s="7">
        <f t="shared" si="107"/>
        <v>0</v>
      </c>
      <c r="DH125" s="7">
        <f t="shared" si="108"/>
        <v>0</v>
      </c>
      <c r="DI125" s="7">
        <f t="shared" si="109"/>
        <v>0</v>
      </c>
      <c r="DJ125" s="7">
        <f t="shared" si="110"/>
        <v>0</v>
      </c>
      <c r="DK125" s="7">
        <f t="shared" si="111"/>
        <v>0</v>
      </c>
      <c r="DL125" s="7">
        <f t="shared" si="112"/>
        <v>0</v>
      </c>
      <c r="DM125" s="7">
        <f t="shared" si="113"/>
        <v>0</v>
      </c>
      <c r="DN125" s="7">
        <f t="shared" si="114"/>
        <v>0</v>
      </c>
      <c r="DO125" s="7">
        <f t="shared" si="115"/>
        <v>0</v>
      </c>
      <c r="DP125" s="7">
        <f t="shared" si="116"/>
        <v>0</v>
      </c>
      <c r="DQ125" s="7">
        <f t="shared" si="117"/>
        <v>0</v>
      </c>
      <c r="DR125" s="7">
        <f t="shared" si="118"/>
        <v>0</v>
      </c>
      <c r="DS125" s="7">
        <f t="shared" si="119"/>
        <v>0</v>
      </c>
      <c r="DT125" s="7">
        <f t="shared" si="120"/>
        <v>0</v>
      </c>
      <c r="DU125" s="7">
        <f t="shared" si="121"/>
        <v>0</v>
      </c>
    </row>
    <row r="126" spans="1:125" x14ac:dyDescent="0.2">
      <c r="A126" s="3">
        <f>Bonds!A126</f>
        <v>47102</v>
      </c>
      <c r="B126" s="4">
        <f>Bonds!B126</f>
        <v>3.5</v>
      </c>
      <c r="C126">
        <f>Bonds!P126</f>
        <v>5</v>
      </c>
      <c r="D126">
        <f t="shared" si="61"/>
        <v>0</v>
      </c>
      <c r="E126" s="3">
        <f>IF(1&gt;$C126,"",IF($D126=1,EOMONTH(EDATE(Bonds!$H126,6*(1-1)),0),EDATE(Bonds!$H126,6*(1-1))))</f>
        <v>46371</v>
      </c>
      <c r="F126" s="3">
        <f>IF(2&gt;$C126,"",IF($D126=1,EOMONTH(EDATE(Bonds!$H126,6*(2-1)),0),EDATE(Bonds!$H126,6*(2-1))))</f>
        <v>46553</v>
      </c>
      <c r="G126" s="3">
        <f>IF(3&gt;$C126,"",IF($D126=1,EOMONTH(EDATE(Bonds!$H126,6*(3-1)),0),EDATE(Bonds!$H126,6*(3-1))))</f>
        <v>46736</v>
      </c>
      <c r="H126" s="3">
        <f>IF(4&gt;$C126,"",IF($D126=1,EOMONTH(EDATE(Bonds!$H126,6*(4-1)),0),EDATE(Bonds!$H126,6*(4-1))))</f>
        <v>46919</v>
      </c>
      <c r="I126" s="3">
        <f>IF(5&gt;$C126,"",IF($D126=1,EOMONTH(EDATE(Bonds!$H126,6*(5-1)),0),EDATE(Bonds!$H126,6*(5-1))))</f>
        <v>47102</v>
      </c>
      <c r="J126" s="3" t="str">
        <f>IF(6&gt;$C126,"",IF($D126=1,EOMONTH(EDATE(Bonds!$H126,6*(6-1)),0),EDATE(Bonds!$H126,6*(6-1))))</f>
        <v/>
      </c>
      <c r="K126" s="3" t="str">
        <f>IF(7&gt;$C126,"",IF($D126=1,EOMONTH(EDATE(Bonds!$H126,6*(7-1)),0),EDATE(Bonds!$H126,6*(7-1))))</f>
        <v/>
      </c>
      <c r="L126" s="3" t="str">
        <f>IF(8&gt;$C126,"",IF($D126=1,EOMONTH(EDATE(Bonds!$H126,6*(8-1)),0),EDATE(Bonds!$H126,6*(8-1))))</f>
        <v/>
      </c>
      <c r="M126" s="3" t="str">
        <f>IF(9&gt;$C126,"",IF($D126=1,EOMONTH(EDATE(Bonds!$H126,6*(9-1)),0),EDATE(Bonds!$H126,6*(9-1))))</f>
        <v/>
      </c>
      <c r="N126" s="3" t="str">
        <f>IF(10&gt;$C126,"",IF($D126=1,EOMONTH(EDATE(Bonds!$H126,6*(10-1)),0),EDATE(Bonds!$H126,6*(10-1))))</f>
        <v/>
      </c>
      <c r="O126" s="3" t="str">
        <f>IF(11&gt;$C126,"",IF($D126=1,EOMONTH(EDATE(Bonds!$H126,6*(11-1)),0),EDATE(Bonds!$H126,6*(11-1))))</f>
        <v/>
      </c>
      <c r="P126" s="3" t="str">
        <f>IF(12&gt;$C126,"",IF($D126=1,EOMONTH(EDATE(Bonds!$H126,6*(12-1)),0),EDATE(Bonds!$H126,6*(12-1))))</f>
        <v/>
      </c>
      <c r="Q126" s="3" t="str">
        <f>IF(13&gt;$C126,"",IF($D126=1,EOMONTH(EDATE(Bonds!$H126,6*(13-1)),0),EDATE(Bonds!$H126,6*(13-1))))</f>
        <v/>
      </c>
      <c r="R126" s="3" t="str">
        <f>IF(14&gt;$C126,"",IF($D126=1,EOMONTH(EDATE(Bonds!$H126,6*(14-1)),0),EDATE(Bonds!$H126,6*(14-1))))</f>
        <v/>
      </c>
      <c r="S126" s="3" t="str">
        <f>IF(15&gt;$C126,"",IF($D126=1,EOMONTH(EDATE(Bonds!$H126,6*(15-1)),0),EDATE(Bonds!$H126,6*(15-1))))</f>
        <v/>
      </c>
      <c r="T126" s="3" t="str">
        <f>IF(16&gt;$C126,"",IF($D126=1,EOMONTH(EDATE(Bonds!$H126,6*(16-1)),0),EDATE(Bonds!$H126,6*(16-1))))</f>
        <v/>
      </c>
      <c r="U126" s="3" t="str">
        <f>IF(17&gt;$C126,"",IF($D126=1,EOMONTH(EDATE(Bonds!$H126,6*(17-1)),0),EDATE(Bonds!$H126,6*(17-1))))</f>
        <v/>
      </c>
      <c r="V126" s="3" t="str">
        <f>IF(18&gt;$C126,"",IF($D126=1,EOMONTH(EDATE(Bonds!$H126,6*(18-1)),0),EDATE(Bonds!$H126,6*(18-1))))</f>
        <v/>
      </c>
      <c r="W126" s="3" t="str">
        <f>IF(19&gt;$C126,"",IF($D126=1,EOMONTH(EDATE(Bonds!$H126,6*(19-1)),0),EDATE(Bonds!$H126,6*(19-1))))</f>
        <v/>
      </c>
      <c r="X126" s="3" t="str">
        <f>IF(20&gt;$C126,"",IF($D126=1,EOMONTH(EDATE(Bonds!$H126,6*(20-1)),0),EDATE(Bonds!$H126,6*(20-1))))</f>
        <v/>
      </c>
      <c r="Y126" s="3" t="str">
        <f>IF(21&gt;$C126,"",IF($D126=1,EOMONTH(EDATE(Bonds!$H126,6*(21-1)),0),EDATE(Bonds!$H126,6*(21-1))))</f>
        <v/>
      </c>
      <c r="Z126" s="3" t="str">
        <f>IF(22&gt;$C126,"",IF($D126=1,EOMONTH(EDATE(Bonds!$H126,6*(22-1)),0),EDATE(Bonds!$H126,6*(22-1))))</f>
        <v/>
      </c>
      <c r="AA126" s="3" t="str">
        <f>IF(23&gt;$C126,"",IF($D126=1,EOMONTH(EDATE(Bonds!$H126,6*(23-1)),0),EDATE(Bonds!$H126,6*(23-1))))</f>
        <v/>
      </c>
      <c r="AB126" s="3" t="str">
        <f>IF(24&gt;$C126,"",IF($D126=1,EOMONTH(EDATE(Bonds!$H126,6*(24-1)),0),EDATE(Bonds!$H126,6*(24-1))))</f>
        <v/>
      </c>
      <c r="AC126" s="3" t="str">
        <f>IF(25&gt;$C126,"",IF($D126=1,EOMONTH(EDATE(Bonds!$H126,6*(25-1)),0),EDATE(Bonds!$H126,6*(25-1))))</f>
        <v/>
      </c>
      <c r="AD126" s="3" t="str">
        <f>IF(26&gt;$C126,"",IF($D126=1,EOMONTH(EDATE(Bonds!$H126,6*(26-1)),0),EDATE(Bonds!$H126,6*(26-1))))</f>
        <v/>
      </c>
      <c r="AE126" s="3" t="str">
        <f>IF(27&gt;$C126,"",IF($D126=1,EOMONTH(EDATE(Bonds!$H126,6*(27-1)),0),EDATE(Bonds!$H126,6*(27-1))))</f>
        <v/>
      </c>
      <c r="AF126" s="3" t="str">
        <f>IF(28&gt;$C126,"",IF($D126=1,EOMONTH(EDATE(Bonds!$H126,6*(28-1)),0),EDATE(Bonds!$H126,6*(28-1))))</f>
        <v/>
      </c>
      <c r="AG126" s="3" t="str">
        <f>IF(29&gt;$C126,"",IF($D126=1,EOMONTH(EDATE(Bonds!$H126,6*(29-1)),0),EDATE(Bonds!$H126,6*(29-1))))</f>
        <v/>
      </c>
      <c r="AH126" s="3" t="str">
        <f>IF(30&gt;$C126,"",IF($D126=1,EOMONTH(EDATE(Bonds!$H126,6*(30-1)),0),EDATE(Bonds!$H126,6*(30-1))))</f>
        <v/>
      </c>
      <c r="AI126" s="3" t="str">
        <f>IF(31&gt;$C126,"",IF($D126=1,EOMONTH(EDATE(Bonds!$H126,6*(31-1)),0),EDATE(Bonds!$H126,6*(31-1))))</f>
        <v/>
      </c>
      <c r="AJ126" s="3" t="str">
        <f>IF(32&gt;$C126,"",IF($D126=1,EOMONTH(EDATE(Bonds!$H126,6*(32-1)),0),EDATE(Bonds!$H126,6*(32-1))))</f>
        <v/>
      </c>
      <c r="AK126" s="3" t="str">
        <f>IF(33&gt;$C126,"",IF($D126=1,EOMONTH(EDATE(Bonds!$H126,6*(33-1)),0),EDATE(Bonds!$H126,6*(33-1))))</f>
        <v/>
      </c>
      <c r="AL126" s="3" t="str">
        <f>IF(34&gt;$C126,"",IF($D126=1,EOMONTH(EDATE(Bonds!$H126,6*(34-1)),0),EDATE(Bonds!$H126,6*(34-1))))</f>
        <v/>
      </c>
      <c r="AM126" s="3" t="str">
        <f>IF(35&gt;$C126,"",IF($D126=1,EOMONTH(EDATE(Bonds!$H126,6*(35-1)),0),EDATE(Bonds!$H126,6*(35-1))))</f>
        <v/>
      </c>
      <c r="AN126" s="3" t="str">
        <f>IF(36&gt;$C126,"",IF($D126=1,EOMONTH(EDATE(Bonds!$H126,6*(36-1)),0),EDATE(Bonds!$H126,6*(36-1))))</f>
        <v/>
      </c>
      <c r="AO126" s="3" t="str">
        <f>IF(37&gt;$C126,"",IF($D126=1,EOMONTH(EDATE(Bonds!$H126,6*(37-1)),0),EDATE(Bonds!$H126,6*(37-1))))</f>
        <v/>
      </c>
      <c r="AP126" s="3" t="str">
        <f>IF(38&gt;$C126,"",IF($D126=1,EOMONTH(EDATE(Bonds!$H126,6*(38-1)),0),EDATE(Bonds!$H126,6*(38-1))))</f>
        <v/>
      </c>
      <c r="AQ126" s="3" t="str">
        <f>IF(39&gt;$C126,"",IF($D126=1,EOMONTH(EDATE(Bonds!$H126,6*(39-1)),0),EDATE(Bonds!$H126,6*(39-1))))</f>
        <v/>
      </c>
      <c r="AR126" s="3" t="str">
        <f>IF(40&gt;$C126,"",IF($D126=1,EOMONTH(EDATE(Bonds!$H126,6*(40-1)),0),EDATE(Bonds!$H126,6*(40-1))))</f>
        <v/>
      </c>
      <c r="AS126" s="3" t="str">
        <f>IF(41&gt;$C126,"",IF($D126=1,EOMONTH(EDATE(Bonds!$H126,6*(41-1)),0),EDATE(Bonds!$H126,6*(41-1))))</f>
        <v/>
      </c>
      <c r="AT126" s="3" t="str">
        <f>IF(42&gt;$C126,"",IF($D126=1,EOMONTH(EDATE(Bonds!$H126,6*(42-1)),0),EDATE(Bonds!$H126,6*(42-1))))</f>
        <v/>
      </c>
      <c r="AU126" s="3" t="str">
        <f>IF(43&gt;$C126,"",IF($D126=1,EOMONTH(EDATE(Bonds!$H126,6*(43-1)),0),EDATE(Bonds!$H126,6*(43-1))))</f>
        <v/>
      </c>
      <c r="AV126" s="3" t="str">
        <f>IF(44&gt;$C126,"",IF($D126=1,EOMONTH(EDATE(Bonds!$H126,6*(44-1)),0),EDATE(Bonds!$H126,6*(44-1))))</f>
        <v/>
      </c>
      <c r="AW126" s="3" t="str">
        <f>IF(45&gt;$C126,"",IF($D126=1,EOMONTH(EDATE(Bonds!$H126,6*(45-1)),0),EDATE(Bonds!$H126,6*(45-1))))</f>
        <v/>
      </c>
      <c r="AX126" s="3" t="str">
        <f>IF(46&gt;$C126,"",IF($D126=1,EOMONTH(EDATE(Bonds!$H126,6*(46-1)),0),EDATE(Bonds!$H126,6*(46-1))))</f>
        <v/>
      </c>
      <c r="AY126" s="3" t="str">
        <f>IF(47&gt;$C126,"",IF($D126=1,EOMONTH(EDATE(Bonds!$H126,6*(47-1)),0),EDATE(Bonds!$H126,6*(47-1))))</f>
        <v/>
      </c>
      <c r="AZ126" s="3" t="str">
        <f>IF(48&gt;$C126,"",IF($D126=1,EOMONTH(EDATE(Bonds!$H126,6*(48-1)),0),EDATE(Bonds!$H126,6*(48-1))))</f>
        <v/>
      </c>
      <c r="BA126" s="3" t="str">
        <f>IF(49&gt;$C126,"",IF($D126=1,EOMONTH(EDATE(Bonds!$H126,6*(49-1)),0),EDATE(Bonds!$H126,6*(49-1))))</f>
        <v/>
      </c>
      <c r="BB126" s="3" t="str">
        <f>IF(50&gt;$C126,"",IF($D126=1,EOMONTH(EDATE(Bonds!$H126,6*(50-1)),0),EDATE(Bonds!$H126,6*(50-1))))</f>
        <v/>
      </c>
      <c r="BC126" s="3" t="str">
        <f>IF(51&gt;$C126,"",IF($D126=1,EOMONTH(EDATE(Bonds!$H126,6*(51-1)),0),EDATE(Bonds!$H126,6*(51-1))))</f>
        <v/>
      </c>
      <c r="BD126" s="3" t="str">
        <f>IF(52&gt;$C126,"",IF($D126=1,EOMONTH(EDATE(Bonds!$H126,6*(52-1)),0),EDATE(Bonds!$H126,6*(52-1))))</f>
        <v/>
      </c>
      <c r="BE126" s="3" t="str">
        <f>IF(53&gt;$C126,"",IF($D126=1,EOMONTH(EDATE(Bonds!$H126,6*(53-1)),0),EDATE(Bonds!$H126,6*(53-1))))</f>
        <v/>
      </c>
      <c r="BF126" s="3" t="str">
        <f>IF(54&gt;$C126,"",IF($D126=1,EOMONTH(EDATE(Bonds!$H126,6*(54-1)),0),EDATE(Bonds!$H126,6*(54-1))))</f>
        <v/>
      </c>
      <c r="BG126" s="3" t="str">
        <f>IF(55&gt;$C126,"",IF($D126=1,EOMONTH(EDATE(Bonds!$H126,6*(55-1)),0),EDATE(Bonds!$H126,6*(55-1))))</f>
        <v/>
      </c>
      <c r="BH126" s="3" t="str">
        <f>IF(56&gt;$C126,"",IF($D126=1,EOMONTH(EDATE(Bonds!$H126,6*(56-1)),0),EDATE(Bonds!$H126,6*(56-1))))</f>
        <v/>
      </c>
      <c r="BI126" s="3" t="str">
        <f>IF(57&gt;$C126,"",IF($D126=1,EOMONTH(EDATE(Bonds!$H126,6*(57-1)),0),EDATE(Bonds!$H126,6*(57-1))))</f>
        <v/>
      </c>
      <c r="BJ126" s="3" t="str">
        <f>IF(58&gt;$C126,"",IF($D126=1,EOMONTH(EDATE(Bonds!$H126,6*(58-1)),0),EDATE(Bonds!$H126,6*(58-1))))</f>
        <v/>
      </c>
      <c r="BK126" s="3" t="str">
        <f>IF(59&gt;$C126,"",IF($D126=1,EOMONTH(EDATE(Bonds!$H126,6*(59-1)),0),EDATE(Bonds!$H126,6*(59-1))))</f>
        <v/>
      </c>
      <c r="BL126" s="3" t="str">
        <f>IF(60&gt;$C126,"",IF($D126=1,EOMONTH(EDATE(Bonds!$H126,6*(60-1)),0),EDATE(Bonds!$H126,6*(60-1))))</f>
        <v/>
      </c>
      <c r="BN126" s="7">
        <f t="shared" si="62"/>
        <v>1.7322004715776775</v>
      </c>
      <c r="BO126" s="7">
        <f t="shared" si="63"/>
        <v>1.6964569874703757</v>
      </c>
      <c r="BP126" s="7">
        <f t="shared" si="64"/>
        <v>1.6590286032651262</v>
      </c>
      <c r="BQ126" s="7">
        <f t="shared" si="65"/>
        <v>1.6215245129003231</v>
      </c>
      <c r="BR126" s="7">
        <f t="shared" si="66"/>
        <v>92.135058082850279</v>
      </c>
      <c r="BS126" s="7">
        <f t="shared" si="67"/>
        <v>0</v>
      </c>
      <c r="BT126" s="7">
        <f t="shared" si="68"/>
        <v>0</v>
      </c>
      <c r="BU126" s="7">
        <f t="shared" si="69"/>
        <v>0</v>
      </c>
      <c r="BV126" s="7">
        <f t="shared" si="70"/>
        <v>0</v>
      </c>
      <c r="BW126" s="7">
        <f t="shared" si="71"/>
        <v>0</v>
      </c>
      <c r="BX126" s="7">
        <f t="shared" si="72"/>
        <v>0</v>
      </c>
      <c r="BY126" s="7">
        <f t="shared" si="73"/>
        <v>0</v>
      </c>
      <c r="BZ126" s="7">
        <f t="shared" si="74"/>
        <v>0</v>
      </c>
      <c r="CA126" s="7">
        <f t="shared" si="75"/>
        <v>0</v>
      </c>
      <c r="CB126" s="7">
        <f t="shared" si="76"/>
        <v>0</v>
      </c>
      <c r="CC126" s="7">
        <f t="shared" si="77"/>
        <v>0</v>
      </c>
      <c r="CD126" s="7">
        <f t="shared" si="78"/>
        <v>0</v>
      </c>
      <c r="CE126" s="7">
        <f t="shared" si="79"/>
        <v>0</v>
      </c>
      <c r="CF126" s="7">
        <f t="shared" si="80"/>
        <v>0</v>
      </c>
      <c r="CG126" s="7">
        <f t="shared" si="81"/>
        <v>0</v>
      </c>
      <c r="CH126" s="7">
        <f t="shared" si="82"/>
        <v>0</v>
      </c>
      <c r="CI126" s="7">
        <f t="shared" si="83"/>
        <v>0</v>
      </c>
      <c r="CJ126" s="7">
        <f t="shared" si="84"/>
        <v>0</v>
      </c>
      <c r="CK126" s="7">
        <f t="shared" si="85"/>
        <v>0</v>
      </c>
      <c r="CL126" s="7">
        <f t="shared" si="86"/>
        <v>0</v>
      </c>
      <c r="CM126" s="7">
        <f t="shared" si="87"/>
        <v>0</v>
      </c>
      <c r="CN126" s="7">
        <f t="shared" si="88"/>
        <v>0</v>
      </c>
      <c r="CO126" s="7">
        <f t="shared" si="89"/>
        <v>0</v>
      </c>
      <c r="CP126" s="7">
        <f t="shared" si="90"/>
        <v>0</v>
      </c>
      <c r="CQ126" s="7">
        <f t="shared" si="91"/>
        <v>0</v>
      </c>
      <c r="CR126" s="7">
        <f t="shared" si="92"/>
        <v>0</v>
      </c>
      <c r="CS126" s="7">
        <f t="shared" si="93"/>
        <v>0</v>
      </c>
      <c r="CT126" s="7">
        <f t="shared" si="94"/>
        <v>0</v>
      </c>
      <c r="CU126" s="7">
        <f t="shared" si="95"/>
        <v>0</v>
      </c>
      <c r="CV126" s="7">
        <f t="shared" si="96"/>
        <v>0</v>
      </c>
      <c r="CW126" s="7">
        <f t="shared" si="97"/>
        <v>0</v>
      </c>
      <c r="CX126" s="7">
        <f t="shared" si="98"/>
        <v>0</v>
      </c>
      <c r="CY126" s="7">
        <f t="shared" si="99"/>
        <v>0</v>
      </c>
      <c r="CZ126" s="7">
        <f t="shared" si="100"/>
        <v>0</v>
      </c>
      <c r="DA126" s="7">
        <f t="shared" si="101"/>
        <v>0</v>
      </c>
      <c r="DB126" s="7">
        <f t="shared" si="102"/>
        <v>0</v>
      </c>
      <c r="DC126" s="7">
        <f t="shared" si="103"/>
        <v>0</v>
      </c>
      <c r="DD126" s="7">
        <f t="shared" si="104"/>
        <v>0</v>
      </c>
      <c r="DE126" s="7">
        <f t="shared" si="105"/>
        <v>0</v>
      </c>
      <c r="DF126" s="7">
        <f t="shared" si="106"/>
        <v>0</v>
      </c>
      <c r="DG126" s="7">
        <f t="shared" si="107"/>
        <v>0</v>
      </c>
      <c r="DH126" s="7">
        <f t="shared" si="108"/>
        <v>0</v>
      </c>
      <c r="DI126" s="7">
        <f t="shared" si="109"/>
        <v>0</v>
      </c>
      <c r="DJ126" s="7">
        <f t="shared" si="110"/>
        <v>0</v>
      </c>
      <c r="DK126" s="7">
        <f t="shared" si="111"/>
        <v>0</v>
      </c>
      <c r="DL126" s="7">
        <f t="shared" si="112"/>
        <v>0</v>
      </c>
      <c r="DM126" s="7">
        <f t="shared" si="113"/>
        <v>0</v>
      </c>
      <c r="DN126" s="7">
        <f t="shared" si="114"/>
        <v>0</v>
      </c>
      <c r="DO126" s="7">
        <f t="shared" si="115"/>
        <v>0</v>
      </c>
      <c r="DP126" s="7">
        <f t="shared" si="116"/>
        <v>0</v>
      </c>
      <c r="DQ126" s="7">
        <f t="shared" si="117"/>
        <v>0</v>
      </c>
      <c r="DR126" s="7">
        <f t="shared" si="118"/>
        <v>0</v>
      </c>
      <c r="DS126" s="7">
        <f t="shared" si="119"/>
        <v>0</v>
      </c>
      <c r="DT126" s="7">
        <f t="shared" si="120"/>
        <v>0</v>
      </c>
      <c r="DU126" s="7">
        <f t="shared" si="121"/>
        <v>0</v>
      </c>
    </row>
    <row r="127" spans="1:125" x14ac:dyDescent="0.2">
      <c r="A127" s="3">
        <f>Bonds!A127</f>
        <v>47118</v>
      </c>
      <c r="B127" s="4">
        <f>Bonds!B127</f>
        <v>1.375</v>
      </c>
      <c r="C127">
        <f>Bonds!P127</f>
        <v>5</v>
      </c>
      <c r="D127">
        <f t="shared" si="61"/>
        <v>1</v>
      </c>
      <c r="E127" s="3">
        <f>IF(1&gt;$C127,"",IF($D127=1,EOMONTH(EDATE(Bonds!$H127,6*(1-1)),0),EDATE(Bonds!$H127,6*(1-1))))</f>
        <v>46387</v>
      </c>
      <c r="F127" s="3">
        <f>IF(2&gt;$C127,"",IF($D127=1,EOMONTH(EDATE(Bonds!$H127,6*(2-1)),0),EDATE(Bonds!$H127,6*(2-1))))</f>
        <v>46568</v>
      </c>
      <c r="G127" s="3">
        <f>IF(3&gt;$C127,"",IF($D127=1,EOMONTH(EDATE(Bonds!$H127,6*(3-1)),0),EDATE(Bonds!$H127,6*(3-1))))</f>
        <v>46752</v>
      </c>
      <c r="H127" s="3">
        <f>IF(4&gt;$C127,"",IF($D127=1,EOMONTH(EDATE(Bonds!$H127,6*(4-1)),0),EDATE(Bonds!$H127,6*(4-1))))</f>
        <v>46934</v>
      </c>
      <c r="I127" s="3">
        <f>IF(5&gt;$C127,"",IF($D127=1,EOMONTH(EDATE(Bonds!$H127,6*(5-1)),0),EDATE(Bonds!$H127,6*(5-1))))</f>
        <v>47118</v>
      </c>
      <c r="J127" s="3" t="str">
        <f>IF(6&gt;$C127,"",IF($D127=1,EOMONTH(EDATE(Bonds!$H127,6*(6-1)),0),EDATE(Bonds!$H127,6*(6-1))))</f>
        <v/>
      </c>
      <c r="K127" s="3" t="str">
        <f>IF(7&gt;$C127,"",IF($D127=1,EOMONTH(EDATE(Bonds!$H127,6*(7-1)),0),EDATE(Bonds!$H127,6*(7-1))))</f>
        <v/>
      </c>
      <c r="L127" s="3" t="str">
        <f>IF(8&gt;$C127,"",IF($D127=1,EOMONTH(EDATE(Bonds!$H127,6*(8-1)),0),EDATE(Bonds!$H127,6*(8-1))))</f>
        <v/>
      </c>
      <c r="M127" s="3" t="str">
        <f>IF(9&gt;$C127,"",IF($D127=1,EOMONTH(EDATE(Bonds!$H127,6*(9-1)),0),EDATE(Bonds!$H127,6*(9-1))))</f>
        <v/>
      </c>
      <c r="N127" s="3" t="str">
        <f>IF(10&gt;$C127,"",IF($D127=1,EOMONTH(EDATE(Bonds!$H127,6*(10-1)),0),EDATE(Bonds!$H127,6*(10-1))))</f>
        <v/>
      </c>
      <c r="O127" s="3" t="str">
        <f>IF(11&gt;$C127,"",IF($D127=1,EOMONTH(EDATE(Bonds!$H127,6*(11-1)),0),EDATE(Bonds!$H127,6*(11-1))))</f>
        <v/>
      </c>
      <c r="P127" s="3" t="str">
        <f>IF(12&gt;$C127,"",IF($D127=1,EOMONTH(EDATE(Bonds!$H127,6*(12-1)),0),EDATE(Bonds!$H127,6*(12-1))))</f>
        <v/>
      </c>
      <c r="Q127" s="3" t="str">
        <f>IF(13&gt;$C127,"",IF($D127=1,EOMONTH(EDATE(Bonds!$H127,6*(13-1)),0),EDATE(Bonds!$H127,6*(13-1))))</f>
        <v/>
      </c>
      <c r="R127" s="3" t="str">
        <f>IF(14&gt;$C127,"",IF($D127=1,EOMONTH(EDATE(Bonds!$H127,6*(14-1)),0),EDATE(Bonds!$H127,6*(14-1))))</f>
        <v/>
      </c>
      <c r="S127" s="3" t="str">
        <f>IF(15&gt;$C127,"",IF($D127=1,EOMONTH(EDATE(Bonds!$H127,6*(15-1)),0),EDATE(Bonds!$H127,6*(15-1))))</f>
        <v/>
      </c>
      <c r="T127" s="3" t="str">
        <f>IF(16&gt;$C127,"",IF($D127=1,EOMONTH(EDATE(Bonds!$H127,6*(16-1)),0),EDATE(Bonds!$H127,6*(16-1))))</f>
        <v/>
      </c>
      <c r="U127" s="3" t="str">
        <f>IF(17&gt;$C127,"",IF($D127=1,EOMONTH(EDATE(Bonds!$H127,6*(17-1)),0),EDATE(Bonds!$H127,6*(17-1))))</f>
        <v/>
      </c>
      <c r="V127" s="3" t="str">
        <f>IF(18&gt;$C127,"",IF($D127=1,EOMONTH(EDATE(Bonds!$H127,6*(18-1)),0),EDATE(Bonds!$H127,6*(18-1))))</f>
        <v/>
      </c>
      <c r="W127" s="3" t="str">
        <f>IF(19&gt;$C127,"",IF($D127=1,EOMONTH(EDATE(Bonds!$H127,6*(19-1)),0),EDATE(Bonds!$H127,6*(19-1))))</f>
        <v/>
      </c>
      <c r="X127" s="3" t="str">
        <f>IF(20&gt;$C127,"",IF($D127=1,EOMONTH(EDATE(Bonds!$H127,6*(20-1)),0),EDATE(Bonds!$H127,6*(20-1))))</f>
        <v/>
      </c>
      <c r="Y127" s="3" t="str">
        <f>IF(21&gt;$C127,"",IF($D127=1,EOMONTH(EDATE(Bonds!$H127,6*(21-1)),0),EDATE(Bonds!$H127,6*(21-1))))</f>
        <v/>
      </c>
      <c r="Z127" s="3" t="str">
        <f>IF(22&gt;$C127,"",IF($D127=1,EOMONTH(EDATE(Bonds!$H127,6*(22-1)),0),EDATE(Bonds!$H127,6*(22-1))))</f>
        <v/>
      </c>
      <c r="AA127" s="3" t="str">
        <f>IF(23&gt;$C127,"",IF($D127=1,EOMONTH(EDATE(Bonds!$H127,6*(23-1)),0),EDATE(Bonds!$H127,6*(23-1))))</f>
        <v/>
      </c>
      <c r="AB127" s="3" t="str">
        <f>IF(24&gt;$C127,"",IF($D127=1,EOMONTH(EDATE(Bonds!$H127,6*(24-1)),0),EDATE(Bonds!$H127,6*(24-1))))</f>
        <v/>
      </c>
      <c r="AC127" s="3" t="str">
        <f>IF(25&gt;$C127,"",IF($D127=1,EOMONTH(EDATE(Bonds!$H127,6*(25-1)),0),EDATE(Bonds!$H127,6*(25-1))))</f>
        <v/>
      </c>
      <c r="AD127" s="3" t="str">
        <f>IF(26&gt;$C127,"",IF($D127=1,EOMONTH(EDATE(Bonds!$H127,6*(26-1)),0),EDATE(Bonds!$H127,6*(26-1))))</f>
        <v/>
      </c>
      <c r="AE127" s="3" t="str">
        <f>IF(27&gt;$C127,"",IF($D127=1,EOMONTH(EDATE(Bonds!$H127,6*(27-1)),0),EDATE(Bonds!$H127,6*(27-1))))</f>
        <v/>
      </c>
      <c r="AF127" s="3" t="str">
        <f>IF(28&gt;$C127,"",IF($D127=1,EOMONTH(EDATE(Bonds!$H127,6*(28-1)),0),EDATE(Bonds!$H127,6*(28-1))))</f>
        <v/>
      </c>
      <c r="AG127" s="3" t="str">
        <f>IF(29&gt;$C127,"",IF($D127=1,EOMONTH(EDATE(Bonds!$H127,6*(29-1)),0),EDATE(Bonds!$H127,6*(29-1))))</f>
        <v/>
      </c>
      <c r="AH127" s="3" t="str">
        <f>IF(30&gt;$C127,"",IF($D127=1,EOMONTH(EDATE(Bonds!$H127,6*(30-1)),0),EDATE(Bonds!$H127,6*(30-1))))</f>
        <v/>
      </c>
      <c r="AI127" s="3" t="str">
        <f>IF(31&gt;$C127,"",IF($D127=1,EOMONTH(EDATE(Bonds!$H127,6*(31-1)),0),EDATE(Bonds!$H127,6*(31-1))))</f>
        <v/>
      </c>
      <c r="AJ127" s="3" t="str">
        <f>IF(32&gt;$C127,"",IF($D127=1,EOMONTH(EDATE(Bonds!$H127,6*(32-1)),0),EDATE(Bonds!$H127,6*(32-1))))</f>
        <v/>
      </c>
      <c r="AK127" s="3" t="str">
        <f>IF(33&gt;$C127,"",IF($D127=1,EOMONTH(EDATE(Bonds!$H127,6*(33-1)),0),EDATE(Bonds!$H127,6*(33-1))))</f>
        <v/>
      </c>
      <c r="AL127" s="3" t="str">
        <f>IF(34&gt;$C127,"",IF($D127=1,EOMONTH(EDATE(Bonds!$H127,6*(34-1)),0),EDATE(Bonds!$H127,6*(34-1))))</f>
        <v/>
      </c>
      <c r="AM127" s="3" t="str">
        <f>IF(35&gt;$C127,"",IF($D127=1,EOMONTH(EDATE(Bonds!$H127,6*(35-1)),0),EDATE(Bonds!$H127,6*(35-1))))</f>
        <v/>
      </c>
      <c r="AN127" s="3" t="str">
        <f>IF(36&gt;$C127,"",IF($D127=1,EOMONTH(EDATE(Bonds!$H127,6*(36-1)),0),EDATE(Bonds!$H127,6*(36-1))))</f>
        <v/>
      </c>
      <c r="AO127" s="3" t="str">
        <f>IF(37&gt;$C127,"",IF($D127=1,EOMONTH(EDATE(Bonds!$H127,6*(37-1)),0),EDATE(Bonds!$H127,6*(37-1))))</f>
        <v/>
      </c>
      <c r="AP127" s="3" t="str">
        <f>IF(38&gt;$C127,"",IF($D127=1,EOMONTH(EDATE(Bonds!$H127,6*(38-1)),0),EDATE(Bonds!$H127,6*(38-1))))</f>
        <v/>
      </c>
      <c r="AQ127" s="3" t="str">
        <f>IF(39&gt;$C127,"",IF($D127=1,EOMONTH(EDATE(Bonds!$H127,6*(39-1)),0),EDATE(Bonds!$H127,6*(39-1))))</f>
        <v/>
      </c>
      <c r="AR127" s="3" t="str">
        <f>IF(40&gt;$C127,"",IF($D127=1,EOMONTH(EDATE(Bonds!$H127,6*(40-1)),0),EDATE(Bonds!$H127,6*(40-1))))</f>
        <v/>
      </c>
      <c r="AS127" s="3" t="str">
        <f>IF(41&gt;$C127,"",IF($D127=1,EOMONTH(EDATE(Bonds!$H127,6*(41-1)),0),EDATE(Bonds!$H127,6*(41-1))))</f>
        <v/>
      </c>
      <c r="AT127" s="3" t="str">
        <f>IF(42&gt;$C127,"",IF($D127=1,EOMONTH(EDATE(Bonds!$H127,6*(42-1)),0),EDATE(Bonds!$H127,6*(42-1))))</f>
        <v/>
      </c>
      <c r="AU127" s="3" t="str">
        <f>IF(43&gt;$C127,"",IF($D127=1,EOMONTH(EDATE(Bonds!$H127,6*(43-1)),0),EDATE(Bonds!$H127,6*(43-1))))</f>
        <v/>
      </c>
      <c r="AV127" s="3" t="str">
        <f>IF(44&gt;$C127,"",IF($D127=1,EOMONTH(EDATE(Bonds!$H127,6*(44-1)),0),EDATE(Bonds!$H127,6*(44-1))))</f>
        <v/>
      </c>
      <c r="AW127" s="3" t="str">
        <f>IF(45&gt;$C127,"",IF($D127=1,EOMONTH(EDATE(Bonds!$H127,6*(45-1)),0),EDATE(Bonds!$H127,6*(45-1))))</f>
        <v/>
      </c>
      <c r="AX127" s="3" t="str">
        <f>IF(46&gt;$C127,"",IF($D127=1,EOMONTH(EDATE(Bonds!$H127,6*(46-1)),0),EDATE(Bonds!$H127,6*(46-1))))</f>
        <v/>
      </c>
      <c r="AY127" s="3" t="str">
        <f>IF(47&gt;$C127,"",IF($D127=1,EOMONTH(EDATE(Bonds!$H127,6*(47-1)),0),EDATE(Bonds!$H127,6*(47-1))))</f>
        <v/>
      </c>
      <c r="AZ127" s="3" t="str">
        <f>IF(48&gt;$C127,"",IF($D127=1,EOMONTH(EDATE(Bonds!$H127,6*(48-1)),0),EDATE(Bonds!$H127,6*(48-1))))</f>
        <v/>
      </c>
      <c r="BA127" s="3" t="str">
        <f>IF(49&gt;$C127,"",IF($D127=1,EOMONTH(EDATE(Bonds!$H127,6*(49-1)),0),EDATE(Bonds!$H127,6*(49-1))))</f>
        <v/>
      </c>
      <c r="BB127" s="3" t="str">
        <f>IF(50&gt;$C127,"",IF($D127=1,EOMONTH(EDATE(Bonds!$H127,6*(50-1)),0),EDATE(Bonds!$H127,6*(50-1))))</f>
        <v/>
      </c>
      <c r="BC127" s="3" t="str">
        <f>IF(51&gt;$C127,"",IF($D127=1,EOMONTH(EDATE(Bonds!$H127,6*(51-1)),0),EDATE(Bonds!$H127,6*(51-1))))</f>
        <v/>
      </c>
      <c r="BD127" s="3" t="str">
        <f>IF(52&gt;$C127,"",IF($D127=1,EOMONTH(EDATE(Bonds!$H127,6*(52-1)),0),EDATE(Bonds!$H127,6*(52-1))))</f>
        <v/>
      </c>
      <c r="BE127" s="3" t="str">
        <f>IF(53&gt;$C127,"",IF($D127=1,EOMONTH(EDATE(Bonds!$H127,6*(53-1)),0),EDATE(Bonds!$H127,6*(53-1))))</f>
        <v/>
      </c>
      <c r="BF127" s="3" t="str">
        <f>IF(54&gt;$C127,"",IF($D127=1,EOMONTH(EDATE(Bonds!$H127,6*(54-1)),0),EDATE(Bonds!$H127,6*(54-1))))</f>
        <v/>
      </c>
      <c r="BG127" s="3" t="str">
        <f>IF(55&gt;$C127,"",IF($D127=1,EOMONTH(EDATE(Bonds!$H127,6*(55-1)),0),EDATE(Bonds!$H127,6*(55-1))))</f>
        <v/>
      </c>
      <c r="BH127" s="3" t="str">
        <f>IF(56&gt;$C127,"",IF($D127=1,EOMONTH(EDATE(Bonds!$H127,6*(56-1)),0),EDATE(Bonds!$H127,6*(56-1))))</f>
        <v/>
      </c>
      <c r="BI127" s="3" t="str">
        <f>IF(57&gt;$C127,"",IF($D127=1,EOMONTH(EDATE(Bonds!$H127,6*(57-1)),0),EDATE(Bonds!$H127,6*(57-1))))</f>
        <v/>
      </c>
      <c r="BJ127" s="3" t="str">
        <f>IF(58&gt;$C127,"",IF($D127=1,EOMONTH(EDATE(Bonds!$H127,6*(58-1)),0),EDATE(Bonds!$H127,6*(58-1))))</f>
        <v/>
      </c>
      <c r="BK127" s="3" t="str">
        <f>IF(59&gt;$C127,"",IF($D127=1,EOMONTH(EDATE(Bonds!$H127,6*(59-1)),0),EDATE(Bonds!$H127,6*(59-1))))</f>
        <v/>
      </c>
      <c r="BL127" s="3" t="str">
        <f>IF(60&gt;$C127,"",IF($D127=1,EOMONTH(EDATE(Bonds!$H127,6*(60-1)),0),EDATE(Bonds!$H127,6*(60-1))))</f>
        <v/>
      </c>
      <c r="BN127" s="7">
        <f t="shared" si="62"/>
        <v>0.67931781405094205</v>
      </c>
      <c r="BO127" s="7">
        <f t="shared" si="63"/>
        <v>0.66527208406136951</v>
      </c>
      <c r="BP127" s="7">
        <f t="shared" si="64"/>
        <v>0.65046874480011896</v>
      </c>
      <c r="BQ127" s="7">
        <f t="shared" si="65"/>
        <v>0.63582824530419257</v>
      </c>
      <c r="BR127" s="7">
        <f t="shared" si="66"/>
        <v>90.989668201015618</v>
      </c>
      <c r="BS127" s="7">
        <f t="shared" si="67"/>
        <v>0</v>
      </c>
      <c r="BT127" s="7">
        <f t="shared" si="68"/>
        <v>0</v>
      </c>
      <c r="BU127" s="7">
        <f t="shared" si="69"/>
        <v>0</v>
      </c>
      <c r="BV127" s="7">
        <f t="shared" si="70"/>
        <v>0</v>
      </c>
      <c r="BW127" s="7">
        <f t="shared" si="71"/>
        <v>0</v>
      </c>
      <c r="BX127" s="7">
        <f t="shared" si="72"/>
        <v>0</v>
      </c>
      <c r="BY127" s="7">
        <f t="shared" si="73"/>
        <v>0</v>
      </c>
      <c r="BZ127" s="7">
        <f t="shared" si="74"/>
        <v>0</v>
      </c>
      <c r="CA127" s="7">
        <f t="shared" si="75"/>
        <v>0</v>
      </c>
      <c r="CB127" s="7">
        <f t="shared" si="76"/>
        <v>0</v>
      </c>
      <c r="CC127" s="7">
        <f t="shared" si="77"/>
        <v>0</v>
      </c>
      <c r="CD127" s="7">
        <f t="shared" si="78"/>
        <v>0</v>
      </c>
      <c r="CE127" s="7">
        <f t="shared" si="79"/>
        <v>0</v>
      </c>
      <c r="CF127" s="7">
        <f t="shared" si="80"/>
        <v>0</v>
      </c>
      <c r="CG127" s="7">
        <f t="shared" si="81"/>
        <v>0</v>
      </c>
      <c r="CH127" s="7">
        <f t="shared" si="82"/>
        <v>0</v>
      </c>
      <c r="CI127" s="7">
        <f t="shared" si="83"/>
        <v>0</v>
      </c>
      <c r="CJ127" s="7">
        <f t="shared" si="84"/>
        <v>0</v>
      </c>
      <c r="CK127" s="7">
        <f t="shared" si="85"/>
        <v>0</v>
      </c>
      <c r="CL127" s="7">
        <f t="shared" si="86"/>
        <v>0</v>
      </c>
      <c r="CM127" s="7">
        <f t="shared" si="87"/>
        <v>0</v>
      </c>
      <c r="CN127" s="7">
        <f t="shared" si="88"/>
        <v>0</v>
      </c>
      <c r="CO127" s="7">
        <f t="shared" si="89"/>
        <v>0</v>
      </c>
      <c r="CP127" s="7">
        <f t="shared" si="90"/>
        <v>0</v>
      </c>
      <c r="CQ127" s="7">
        <f t="shared" si="91"/>
        <v>0</v>
      </c>
      <c r="CR127" s="7">
        <f t="shared" si="92"/>
        <v>0</v>
      </c>
      <c r="CS127" s="7">
        <f t="shared" si="93"/>
        <v>0</v>
      </c>
      <c r="CT127" s="7">
        <f t="shared" si="94"/>
        <v>0</v>
      </c>
      <c r="CU127" s="7">
        <f t="shared" si="95"/>
        <v>0</v>
      </c>
      <c r="CV127" s="7">
        <f t="shared" si="96"/>
        <v>0</v>
      </c>
      <c r="CW127" s="7">
        <f t="shared" si="97"/>
        <v>0</v>
      </c>
      <c r="CX127" s="7">
        <f t="shared" si="98"/>
        <v>0</v>
      </c>
      <c r="CY127" s="7">
        <f t="shared" si="99"/>
        <v>0</v>
      </c>
      <c r="CZ127" s="7">
        <f t="shared" si="100"/>
        <v>0</v>
      </c>
      <c r="DA127" s="7">
        <f t="shared" si="101"/>
        <v>0</v>
      </c>
      <c r="DB127" s="7">
        <f t="shared" si="102"/>
        <v>0</v>
      </c>
      <c r="DC127" s="7">
        <f t="shared" si="103"/>
        <v>0</v>
      </c>
      <c r="DD127" s="7">
        <f t="shared" si="104"/>
        <v>0</v>
      </c>
      <c r="DE127" s="7">
        <f t="shared" si="105"/>
        <v>0</v>
      </c>
      <c r="DF127" s="7">
        <f t="shared" si="106"/>
        <v>0</v>
      </c>
      <c r="DG127" s="7">
        <f t="shared" si="107"/>
        <v>0</v>
      </c>
      <c r="DH127" s="7">
        <f t="shared" si="108"/>
        <v>0</v>
      </c>
      <c r="DI127" s="7">
        <f t="shared" si="109"/>
        <v>0</v>
      </c>
      <c r="DJ127" s="7">
        <f t="shared" si="110"/>
        <v>0</v>
      </c>
      <c r="DK127" s="7">
        <f t="shared" si="111"/>
        <v>0</v>
      </c>
      <c r="DL127" s="7">
        <f t="shared" si="112"/>
        <v>0</v>
      </c>
      <c r="DM127" s="7">
        <f t="shared" si="113"/>
        <v>0</v>
      </c>
      <c r="DN127" s="7">
        <f t="shared" si="114"/>
        <v>0</v>
      </c>
      <c r="DO127" s="7">
        <f t="shared" si="115"/>
        <v>0</v>
      </c>
      <c r="DP127" s="7">
        <f t="shared" si="116"/>
        <v>0</v>
      </c>
      <c r="DQ127" s="7">
        <f t="shared" si="117"/>
        <v>0</v>
      </c>
      <c r="DR127" s="7">
        <f t="shared" si="118"/>
        <v>0</v>
      </c>
      <c r="DS127" s="7">
        <f t="shared" si="119"/>
        <v>0</v>
      </c>
      <c r="DT127" s="7">
        <f t="shared" si="120"/>
        <v>0</v>
      </c>
      <c r="DU127" s="7">
        <f t="shared" si="121"/>
        <v>0</v>
      </c>
    </row>
    <row r="128" spans="1:125" x14ac:dyDescent="0.2">
      <c r="A128" s="3">
        <f>Bonds!A128</f>
        <v>47118</v>
      </c>
      <c r="B128" s="4">
        <f>Bonds!B128</f>
        <v>3.75</v>
      </c>
      <c r="C128">
        <f>Bonds!P128</f>
        <v>5</v>
      </c>
      <c r="D128">
        <f t="shared" si="61"/>
        <v>1</v>
      </c>
      <c r="E128" s="3">
        <f>IF(1&gt;$C128,"",IF($D128=1,EOMONTH(EDATE(Bonds!$H128,6*(1-1)),0),EDATE(Bonds!$H128,6*(1-1))))</f>
        <v>46387</v>
      </c>
      <c r="F128" s="3">
        <f>IF(2&gt;$C128,"",IF($D128=1,EOMONTH(EDATE(Bonds!$H128,6*(2-1)),0),EDATE(Bonds!$H128,6*(2-1))))</f>
        <v>46568</v>
      </c>
      <c r="G128" s="3">
        <f>IF(3&gt;$C128,"",IF($D128=1,EOMONTH(EDATE(Bonds!$H128,6*(3-1)),0),EDATE(Bonds!$H128,6*(3-1))))</f>
        <v>46752</v>
      </c>
      <c r="H128" s="3">
        <f>IF(4&gt;$C128,"",IF($D128=1,EOMONTH(EDATE(Bonds!$H128,6*(4-1)),0),EDATE(Bonds!$H128,6*(4-1))))</f>
        <v>46934</v>
      </c>
      <c r="I128" s="3">
        <f>IF(5&gt;$C128,"",IF($D128=1,EOMONTH(EDATE(Bonds!$H128,6*(5-1)),0),EDATE(Bonds!$H128,6*(5-1))))</f>
        <v>47118</v>
      </c>
      <c r="J128" s="3" t="str">
        <f>IF(6&gt;$C128,"",IF($D128=1,EOMONTH(EDATE(Bonds!$H128,6*(6-1)),0),EDATE(Bonds!$H128,6*(6-1))))</f>
        <v/>
      </c>
      <c r="K128" s="3" t="str">
        <f>IF(7&gt;$C128,"",IF($D128=1,EOMONTH(EDATE(Bonds!$H128,6*(7-1)),0),EDATE(Bonds!$H128,6*(7-1))))</f>
        <v/>
      </c>
      <c r="L128" s="3" t="str">
        <f>IF(8&gt;$C128,"",IF($D128=1,EOMONTH(EDATE(Bonds!$H128,6*(8-1)),0),EDATE(Bonds!$H128,6*(8-1))))</f>
        <v/>
      </c>
      <c r="M128" s="3" t="str">
        <f>IF(9&gt;$C128,"",IF($D128=1,EOMONTH(EDATE(Bonds!$H128,6*(9-1)),0),EDATE(Bonds!$H128,6*(9-1))))</f>
        <v/>
      </c>
      <c r="N128" s="3" t="str">
        <f>IF(10&gt;$C128,"",IF($D128=1,EOMONTH(EDATE(Bonds!$H128,6*(10-1)),0),EDATE(Bonds!$H128,6*(10-1))))</f>
        <v/>
      </c>
      <c r="O128" s="3" t="str">
        <f>IF(11&gt;$C128,"",IF($D128=1,EOMONTH(EDATE(Bonds!$H128,6*(11-1)),0),EDATE(Bonds!$H128,6*(11-1))))</f>
        <v/>
      </c>
      <c r="P128" s="3" t="str">
        <f>IF(12&gt;$C128,"",IF($D128=1,EOMONTH(EDATE(Bonds!$H128,6*(12-1)),0),EDATE(Bonds!$H128,6*(12-1))))</f>
        <v/>
      </c>
      <c r="Q128" s="3" t="str">
        <f>IF(13&gt;$C128,"",IF($D128=1,EOMONTH(EDATE(Bonds!$H128,6*(13-1)),0),EDATE(Bonds!$H128,6*(13-1))))</f>
        <v/>
      </c>
      <c r="R128" s="3" t="str">
        <f>IF(14&gt;$C128,"",IF($D128=1,EOMONTH(EDATE(Bonds!$H128,6*(14-1)),0),EDATE(Bonds!$H128,6*(14-1))))</f>
        <v/>
      </c>
      <c r="S128" s="3" t="str">
        <f>IF(15&gt;$C128,"",IF($D128=1,EOMONTH(EDATE(Bonds!$H128,6*(15-1)),0),EDATE(Bonds!$H128,6*(15-1))))</f>
        <v/>
      </c>
      <c r="T128" s="3" t="str">
        <f>IF(16&gt;$C128,"",IF($D128=1,EOMONTH(EDATE(Bonds!$H128,6*(16-1)),0),EDATE(Bonds!$H128,6*(16-1))))</f>
        <v/>
      </c>
      <c r="U128" s="3" t="str">
        <f>IF(17&gt;$C128,"",IF($D128=1,EOMONTH(EDATE(Bonds!$H128,6*(17-1)),0),EDATE(Bonds!$H128,6*(17-1))))</f>
        <v/>
      </c>
      <c r="V128" s="3" t="str">
        <f>IF(18&gt;$C128,"",IF($D128=1,EOMONTH(EDATE(Bonds!$H128,6*(18-1)),0),EDATE(Bonds!$H128,6*(18-1))))</f>
        <v/>
      </c>
      <c r="W128" s="3" t="str">
        <f>IF(19&gt;$C128,"",IF($D128=1,EOMONTH(EDATE(Bonds!$H128,6*(19-1)),0),EDATE(Bonds!$H128,6*(19-1))))</f>
        <v/>
      </c>
      <c r="X128" s="3" t="str">
        <f>IF(20&gt;$C128,"",IF($D128=1,EOMONTH(EDATE(Bonds!$H128,6*(20-1)),0),EDATE(Bonds!$H128,6*(20-1))))</f>
        <v/>
      </c>
      <c r="Y128" s="3" t="str">
        <f>IF(21&gt;$C128,"",IF($D128=1,EOMONTH(EDATE(Bonds!$H128,6*(21-1)),0),EDATE(Bonds!$H128,6*(21-1))))</f>
        <v/>
      </c>
      <c r="Z128" s="3" t="str">
        <f>IF(22&gt;$C128,"",IF($D128=1,EOMONTH(EDATE(Bonds!$H128,6*(22-1)),0),EDATE(Bonds!$H128,6*(22-1))))</f>
        <v/>
      </c>
      <c r="AA128" s="3" t="str">
        <f>IF(23&gt;$C128,"",IF($D128=1,EOMONTH(EDATE(Bonds!$H128,6*(23-1)),0),EDATE(Bonds!$H128,6*(23-1))))</f>
        <v/>
      </c>
      <c r="AB128" s="3" t="str">
        <f>IF(24&gt;$C128,"",IF($D128=1,EOMONTH(EDATE(Bonds!$H128,6*(24-1)),0),EDATE(Bonds!$H128,6*(24-1))))</f>
        <v/>
      </c>
      <c r="AC128" s="3" t="str">
        <f>IF(25&gt;$C128,"",IF($D128=1,EOMONTH(EDATE(Bonds!$H128,6*(25-1)),0),EDATE(Bonds!$H128,6*(25-1))))</f>
        <v/>
      </c>
      <c r="AD128" s="3" t="str">
        <f>IF(26&gt;$C128,"",IF($D128=1,EOMONTH(EDATE(Bonds!$H128,6*(26-1)),0),EDATE(Bonds!$H128,6*(26-1))))</f>
        <v/>
      </c>
      <c r="AE128" s="3" t="str">
        <f>IF(27&gt;$C128,"",IF($D128=1,EOMONTH(EDATE(Bonds!$H128,6*(27-1)),0),EDATE(Bonds!$H128,6*(27-1))))</f>
        <v/>
      </c>
      <c r="AF128" s="3" t="str">
        <f>IF(28&gt;$C128,"",IF($D128=1,EOMONTH(EDATE(Bonds!$H128,6*(28-1)),0),EDATE(Bonds!$H128,6*(28-1))))</f>
        <v/>
      </c>
      <c r="AG128" s="3" t="str">
        <f>IF(29&gt;$C128,"",IF($D128=1,EOMONTH(EDATE(Bonds!$H128,6*(29-1)),0),EDATE(Bonds!$H128,6*(29-1))))</f>
        <v/>
      </c>
      <c r="AH128" s="3" t="str">
        <f>IF(30&gt;$C128,"",IF($D128=1,EOMONTH(EDATE(Bonds!$H128,6*(30-1)),0),EDATE(Bonds!$H128,6*(30-1))))</f>
        <v/>
      </c>
      <c r="AI128" s="3" t="str">
        <f>IF(31&gt;$C128,"",IF($D128=1,EOMONTH(EDATE(Bonds!$H128,6*(31-1)),0),EDATE(Bonds!$H128,6*(31-1))))</f>
        <v/>
      </c>
      <c r="AJ128" s="3" t="str">
        <f>IF(32&gt;$C128,"",IF($D128=1,EOMONTH(EDATE(Bonds!$H128,6*(32-1)),0),EDATE(Bonds!$H128,6*(32-1))))</f>
        <v/>
      </c>
      <c r="AK128" s="3" t="str">
        <f>IF(33&gt;$C128,"",IF($D128=1,EOMONTH(EDATE(Bonds!$H128,6*(33-1)),0),EDATE(Bonds!$H128,6*(33-1))))</f>
        <v/>
      </c>
      <c r="AL128" s="3" t="str">
        <f>IF(34&gt;$C128,"",IF($D128=1,EOMONTH(EDATE(Bonds!$H128,6*(34-1)),0),EDATE(Bonds!$H128,6*(34-1))))</f>
        <v/>
      </c>
      <c r="AM128" s="3" t="str">
        <f>IF(35&gt;$C128,"",IF($D128=1,EOMONTH(EDATE(Bonds!$H128,6*(35-1)),0),EDATE(Bonds!$H128,6*(35-1))))</f>
        <v/>
      </c>
      <c r="AN128" s="3" t="str">
        <f>IF(36&gt;$C128,"",IF($D128=1,EOMONTH(EDATE(Bonds!$H128,6*(36-1)),0),EDATE(Bonds!$H128,6*(36-1))))</f>
        <v/>
      </c>
      <c r="AO128" s="3" t="str">
        <f>IF(37&gt;$C128,"",IF($D128=1,EOMONTH(EDATE(Bonds!$H128,6*(37-1)),0),EDATE(Bonds!$H128,6*(37-1))))</f>
        <v/>
      </c>
      <c r="AP128" s="3" t="str">
        <f>IF(38&gt;$C128,"",IF($D128=1,EOMONTH(EDATE(Bonds!$H128,6*(38-1)),0),EDATE(Bonds!$H128,6*(38-1))))</f>
        <v/>
      </c>
      <c r="AQ128" s="3" t="str">
        <f>IF(39&gt;$C128,"",IF($D128=1,EOMONTH(EDATE(Bonds!$H128,6*(39-1)),0),EDATE(Bonds!$H128,6*(39-1))))</f>
        <v/>
      </c>
      <c r="AR128" s="3" t="str">
        <f>IF(40&gt;$C128,"",IF($D128=1,EOMONTH(EDATE(Bonds!$H128,6*(40-1)),0),EDATE(Bonds!$H128,6*(40-1))))</f>
        <v/>
      </c>
      <c r="AS128" s="3" t="str">
        <f>IF(41&gt;$C128,"",IF($D128=1,EOMONTH(EDATE(Bonds!$H128,6*(41-1)),0),EDATE(Bonds!$H128,6*(41-1))))</f>
        <v/>
      </c>
      <c r="AT128" s="3" t="str">
        <f>IF(42&gt;$C128,"",IF($D128=1,EOMONTH(EDATE(Bonds!$H128,6*(42-1)),0),EDATE(Bonds!$H128,6*(42-1))))</f>
        <v/>
      </c>
      <c r="AU128" s="3" t="str">
        <f>IF(43&gt;$C128,"",IF($D128=1,EOMONTH(EDATE(Bonds!$H128,6*(43-1)),0),EDATE(Bonds!$H128,6*(43-1))))</f>
        <v/>
      </c>
      <c r="AV128" s="3" t="str">
        <f>IF(44&gt;$C128,"",IF($D128=1,EOMONTH(EDATE(Bonds!$H128,6*(44-1)),0),EDATE(Bonds!$H128,6*(44-1))))</f>
        <v/>
      </c>
      <c r="AW128" s="3" t="str">
        <f>IF(45&gt;$C128,"",IF($D128=1,EOMONTH(EDATE(Bonds!$H128,6*(45-1)),0),EDATE(Bonds!$H128,6*(45-1))))</f>
        <v/>
      </c>
      <c r="AX128" s="3" t="str">
        <f>IF(46&gt;$C128,"",IF($D128=1,EOMONTH(EDATE(Bonds!$H128,6*(46-1)),0),EDATE(Bonds!$H128,6*(46-1))))</f>
        <v/>
      </c>
      <c r="AY128" s="3" t="str">
        <f>IF(47&gt;$C128,"",IF($D128=1,EOMONTH(EDATE(Bonds!$H128,6*(47-1)),0),EDATE(Bonds!$H128,6*(47-1))))</f>
        <v/>
      </c>
      <c r="AZ128" s="3" t="str">
        <f>IF(48&gt;$C128,"",IF($D128=1,EOMONTH(EDATE(Bonds!$H128,6*(48-1)),0),EDATE(Bonds!$H128,6*(48-1))))</f>
        <v/>
      </c>
      <c r="BA128" s="3" t="str">
        <f>IF(49&gt;$C128,"",IF($D128=1,EOMONTH(EDATE(Bonds!$H128,6*(49-1)),0),EDATE(Bonds!$H128,6*(49-1))))</f>
        <v/>
      </c>
      <c r="BB128" s="3" t="str">
        <f>IF(50&gt;$C128,"",IF($D128=1,EOMONTH(EDATE(Bonds!$H128,6*(50-1)),0),EDATE(Bonds!$H128,6*(50-1))))</f>
        <v/>
      </c>
      <c r="BC128" s="3" t="str">
        <f>IF(51&gt;$C128,"",IF($D128=1,EOMONTH(EDATE(Bonds!$H128,6*(51-1)),0),EDATE(Bonds!$H128,6*(51-1))))</f>
        <v/>
      </c>
      <c r="BD128" s="3" t="str">
        <f>IF(52&gt;$C128,"",IF($D128=1,EOMONTH(EDATE(Bonds!$H128,6*(52-1)),0),EDATE(Bonds!$H128,6*(52-1))))</f>
        <v/>
      </c>
      <c r="BE128" s="3" t="str">
        <f>IF(53&gt;$C128,"",IF($D128=1,EOMONTH(EDATE(Bonds!$H128,6*(53-1)),0),EDATE(Bonds!$H128,6*(53-1))))</f>
        <v/>
      </c>
      <c r="BF128" s="3" t="str">
        <f>IF(54&gt;$C128,"",IF($D128=1,EOMONTH(EDATE(Bonds!$H128,6*(54-1)),0),EDATE(Bonds!$H128,6*(54-1))))</f>
        <v/>
      </c>
      <c r="BG128" s="3" t="str">
        <f>IF(55&gt;$C128,"",IF($D128=1,EOMONTH(EDATE(Bonds!$H128,6*(55-1)),0),EDATE(Bonds!$H128,6*(55-1))))</f>
        <v/>
      </c>
      <c r="BH128" s="3" t="str">
        <f>IF(56&gt;$C128,"",IF($D128=1,EOMONTH(EDATE(Bonds!$H128,6*(56-1)),0),EDATE(Bonds!$H128,6*(56-1))))</f>
        <v/>
      </c>
      <c r="BI128" s="3" t="str">
        <f>IF(57&gt;$C128,"",IF($D128=1,EOMONTH(EDATE(Bonds!$H128,6*(57-1)),0),EDATE(Bonds!$H128,6*(57-1))))</f>
        <v/>
      </c>
      <c r="BJ128" s="3" t="str">
        <f>IF(58&gt;$C128,"",IF($D128=1,EOMONTH(EDATE(Bonds!$H128,6*(58-1)),0),EDATE(Bonds!$H128,6*(58-1))))</f>
        <v/>
      </c>
      <c r="BK128" s="3" t="str">
        <f>IF(59&gt;$C128,"",IF($D128=1,EOMONTH(EDATE(Bonds!$H128,6*(59-1)),0),EDATE(Bonds!$H128,6*(59-1))))</f>
        <v/>
      </c>
      <c r="BL128" s="3" t="str">
        <f>IF(60&gt;$C128,"",IF($D128=1,EOMONTH(EDATE(Bonds!$H128,6*(60-1)),0),EDATE(Bonds!$H128,6*(60-1))))</f>
        <v/>
      </c>
      <c r="BN128" s="7">
        <f t="shared" si="62"/>
        <v>1.85268494741166</v>
      </c>
      <c r="BO128" s="7">
        <f t="shared" si="63"/>
        <v>1.8143784110764622</v>
      </c>
      <c r="BP128" s="7">
        <f t="shared" si="64"/>
        <v>1.7740056676366882</v>
      </c>
      <c r="BQ128" s="7">
        <f t="shared" si="65"/>
        <v>1.7340770326477979</v>
      </c>
      <c r="BR128" s="7">
        <f t="shared" si="66"/>
        <v>92.062792779426104</v>
      </c>
      <c r="BS128" s="7">
        <f t="shared" si="67"/>
        <v>0</v>
      </c>
      <c r="BT128" s="7">
        <f t="shared" si="68"/>
        <v>0</v>
      </c>
      <c r="BU128" s="7">
        <f t="shared" si="69"/>
        <v>0</v>
      </c>
      <c r="BV128" s="7">
        <f t="shared" si="70"/>
        <v>0</v>
      </c>
      <c r="BW128" s="7">
        <f t="shared" si="71"/>
        <v>0</v>
      </c>
      <c r="BX128" s="7">
        <f t="shared" si="72"/>
        <v>0</v>
      </c>
      <c r="BY128" s="7">
        <f t="shared" si="73"/>
        <v>0</v>
      </c>
      <c r="BZ128" s="7">
        <f t="shared" si="74"/>
        <v>0</v>
      </c>
      <c r="CA128" s="7">
        <f t="shared" si="75"/>
        <v>0</v>
      </c>
      <c r="CB128" s="7">
        <f t="shared" si="76"/>
        <v>0</v>
      </c>
      <c r="CC128" s="7">
        <f t="shared" si="77"/>
        <v>0</v>
      </c>
      <c r="CD128" s="7">
        <f t="shared" si="78"/>
        <v>0</v>
      </c>
      <c r="CE128" s="7">
        <f t="shared" si="79"/>
        <v>0</v>
      </c>
      <c r="CF128" s="7">
        <f t="shared" si="80"/>
        <v>0</v>
      </c>
      <c r="CG128" s="7">
        <f t="shared" si="81"/>
        <v>0</v>
      </c>
      <c r="CH128" s="7">
        <f t="shared" si="82"/>
        <v>0</v>
      </c>
      <c r="CI128" s="7">
        <f t="shared" si="83"/>
        <v>0</v>
      </c>
      <c r="CJ128" s="7">
        <f t="shared" si="84"/>
        <v>0</v>
      </c>
      <c r="CK128" s="7">
        <f t="shared" si="85"/>
        <v>0</v>
      </c>
      <c r="CL128" s="7">
        <f t="shared" si="86"/>
        <v>0</v>
      </c>
      <c r="CM128" s="7">
        <f t="shared" si="87"/>
        <v>0</v>
      </c>
      <c r="CN128" s="7">
        <f t="shared" si="88"/>
        <v>0</v>
      </c>
      <c r="CO128" s="7">
        <f t="shared" si="89"/>
        <v>0</v>
      </c>
      <c r="CP128" s="7">
        <f t="shared" si="90"/>
        <v>0</v>
      </c>
      <c r="CQ128" s="7">
        <f t="shared" si="91"/>
        <v>0</v>
      </c>
      <c r="CR128" s="7">
        <f t="shared" si="92"/>
        <v>0</v>
      </c>
      <c r="CS128" s="7">
        <f t="shared" si="93"/>
        <v>0</v>
      </c>
      <c r="CT128" s="7">
        <f t="shared" si="94"/>
        <v>0</v>
      </c>
      <c r="CU128" s="7">
        <f t="shared" si="95"/>
        <v>0</v>
      </c>
      <c r="CV128" s="7">
        <f t="shared" si="96"/>
        <v>0</v>
      </c>
      <c r="CW128" s="7">
        <f t="shared" si="97"/>
        <v>0</v>
      </c>
      <c r="CX128" s="7">
        <f t="shared" si="98"/>
        <v>0</v>
      </c>
      <c r="CY128" s="7">
        <f t="shared" si="99"/>
        <v>0</v>
      </c>
      <c r="CZ128" s="7">
        <f t="shared" si="100"/>
        <v>0</v>
      </c>
      <c r="DA128" s="7">
        <f t="shared" si="101"/>
        <v>0</v>
      </c>
      <c r="DB128" s="7">
        <f t="shared" si="102"/>
        <v>0</v>
      </c>
      <c r="DC128" s="7">
        <f t="shared" si="103"/>
        <v>0</v>
      </c>
      <c r="DD128" s="7">
        <f t="shared" si="104"/>
        <v>0</v>
      </c>
      <c r="DE128" s="7">
        <f t="shared" si="105"/>
        <v>0</v>
      </c>
      <c r="DF128" s="7">
        <f t="shared" si="106"/>
        <v>0</v>
      </c>
      <c r="DG128" s="7">
        <f t="shared" si="107"/>
        <v>0</v>
      </c>
      <c r="DH128" s="7">
        <f t="shared" si="108"/>
        <v>0</v>
      </c>
      <c r="DI128" s="7">
        <f t="shared" si="109"/>
        <v>0</v>
      </c>
      <c r="DJ128" s="7">
        <f t="shared" si="110"/>
        <v>0</v>
      </c>
      <c r="DK128" s="7">
        <f t="shared" si="111"/>
        <v>0</v>
      </c>
      <c r="DL128" s="7">
        <f t="shared" si="112"/>
        <v>0</v>
      </c>
      <c r="DM128" s="7">
        <f t="shared" si="113"/>
        <v>0</v>
      </c>
      <c r="DN128" s="7">
        <f t="shared" si="114"/>
        <v>0</v>
      </c>
      <c r="DO128" s="7">
        <f t="shared" si="115"/>
        <v>0</v>
      </c>
      <c r="DP128" s="7">
        <f t="shared" si="116"/>
        <v>0</v>
      </c>
      <c r="DQ128" s="7">
        <f t="shared" si="117"/>
        <v>0</v>
      </c>
      <c r="DR128" s="7">
        <f t="shared" si="118"/>
        <v>0</v>
      </c>
      <c r="DS128" s="7">
        <f t="shared" si="119"/>
        <v>0</v>
      </c>
      <c r="DT128" s="7">
        <f t="shared" si="120"/>
        <v>0</v>
      </c>
      <c r="DU128" s="7">
        <f t="shared" si="121"/>
        <v>0</v>
      </c>
    </row>
    <row r="129" spans="1:125" x14ac:dyDescent="0.2">
      <c r="A129" s="3">
        <f>Bonds!A129</f>
        <v>47133</v>
      </c>
      <c r="B129" s="4">
        <f>Bonds!B129</f>
        <v>3.5</v>
      </c>
      <c r="C129">
        <f>Bonds!P129</f>
        <v>5</v>
      </c>
      <c r="D129">
        <f t="shared" si="61"/>
        <v>0</v>
      </c>
      <c r="E129" s="3">
        <f>IF(1&gt;$C129,"",IF($D129=1,EOMONTH(EDATE(Bonds!$H129,6*(1-1)),0),EDATE(Bonds!$H129,6*(1-1))))</f>
        <v>46402</v>
      </c>
      <c r="F129" s="3">
        <f>IF(2&gt;$C129,"",IF($D129=1,EOMONTH(EDATE(Bonds!$H129,6*(2-1)),0),EDATE(Bonds!$H129,6*(2-1))))</f>
        <v>46583</v>
      </c>
      <c r="G129" s="3">
        <f>IF(3&gt;$C129,"",IF($D129=1,EOMONTH(EDATE(Bonds!$H129,6*(3-1)),0),EDATE(Bonds!$H129,6*(3-1))))</f>
        <v>46767</v>
      </c>
      <c r="H129" s="3">
        <f>IF(4&gt;$C129,"",IF($D129=1,EOMONTH(EDATE(Bonds!$H129,6*(4-1)),0),EDATE(Bonds!$H129,6*(4-1))))</f>
        <v>46949</v>
      </c>
      <c r="I129" s="3">
        <f>IF(5&gt;$C129,"",IF($D129=1,EOMONTH(EDATE(Bonds!$H129,6*(5-1)),0),EDATE(Bonds!$H129,6*(5-1))))</f>
        <v>47133</v>
      </c>
      <c r="J129" s="3" t="str">
        <f>IF(6&gt;$C129,"",IF($D129=1,EOMONTH(EDATE(Bonds!$H129,6*(6-1)),0),EDATE(Bonds!$H129,6*(6-1))))</f>
        <v/>
      </c>
      <c r="K129" s="3" t="str">
        <f>IF(7&gt;$C129,"",IF($D129=1,EOMONTH(EDATE(Bonds!$H129,6*(7-1)),0),EDATE(Bonds!$H129,6*(7-1))))</f>
        <v/>
      </c>
      <c r="L129" s="3" t="str">
        <f>IF(8&gt;$C129,"",IF($D129=1,EOMONTH(EDATE(Bonds!$H129,6*(8-1)),0),EDATE(Bonds!$H129,6*(8-1))))</f>
        <v/>
      </c>
      <c r="M129" s="3" t="str">
        <f>IF(9&gt;$C129,"",IF($D129=1,EOMONTH(EDATE(Bonds!$H129,6*(9-1)),0),EDATE(Bonds!$H129,6*(9-1))))</f>
        <v/>
      </c>
      <c r="N129" s="3" t="str">
        <f>IF(10&gt;$C129,"",IF($D129=1,EOMONTH(EDATE(Bonds!$H129,6*(10-1)),0),EDATE(Bonds!$H129,6*(10-1))))</f>
        <v/>
      </c>
      <c r="O129" s="3" t="str">
        <f>IF(11&gt;$C129,"",IF($D129=1,EOMONTH(EDATE(Bonds!$H129,6*(11-1)),0),EDATE(Bonds!$H129,6*(11-1))))</f>
        <v/>
      </c>
      <c r="P129" s="3" t="str">
        <f>IF(12&gt;$C129,"",IF($D129=1,EOMONTH(EDATE(Bonds!$H129,6*(12-1)),0),EDATE(Bonds!$H129,6*(12-1))))</f>
        <v/>
      </c>
      <c r="Q129" s="3" t="str">
        <f>IF(13&gt;$C129,"",IF($D129=1,EOMONTH(EDATE(Bonds!$H129,6*(13-1)),0),EDATE(Bonds!$H129,6*(13-1))))</f>
        <v/>
      </c>
      <c r="R129" s="3" t="str">
        <f>IF(14&gt;$C129,"",IF($D129=1,EOMONTH(EDATE(Bonds!$H129,6*(14-1)),0),EDATE(Bonds!$H129,6*(14-1))))</f>
        <v/>
      </c>
      <c r="S129" s="3" t="str">
        <f>IF(15&gt;$C129,"",IF($D129=1,EOMONTH(EDATE(Bonds!$H129,6*(15-1)),0),EDATE(Bonds!$H129,6*(15-1))))</f>
        <v/>
      </c>
      <c r="T129" s="3" t="str">
        <f>IF(16&gt;$C129,"",IF($D129=1,EOMONTH(EDATE(Bonds!$H129,6*(16-1)),0),EDATE(Bonds!$H129,6*(16-1))))</f>
        <v/>
      </c>
      <c r="U129" s="3" t="str">
        <f>IF(17&gt;$C129,"",IF($D129=1,EOMONTH(EDATE(Bonds!$H129,6*(17-1)),0),EDATE(Bonds!$H129,6*(17-1))))</f>
        <v/>
      </c>
      <c r="V129" s="3" t="str">
        <f>IF(18&gt;$C129,"",IF($D129=1,EOMONTH(EDATE(Bonds!$H129,6*(18-1)),0),EDATE(Bonds!$H129,6*(18-1))))</f>
        <v/>
      </c>
      <c r="W129" s="3" t="str">
        <f>IF(19&gt;$C129,"",IF($D129=1,EOMONTH(EDATE(Bonds!$H129,6*(19-1)),0),EDATE(Bonds!$H129,6*(19-1))))</f>
        <v/>
      </c>
      <c r="X129" s="3" t="str">
        <f>IF(20&gt;$C129,"",IF($D129=1,EOMONTH(EDATE(Bonds!$H129,6*(20-1)),0),EDATE(Bonds!$H129,6*(20-1))))</f>
        <v/>
      </c>
      <c r="Y129" s="3" t="str">
        <f>IF(21&gt;$C129,"",IF($D129=1,EOMONTH(EDATE(Bonds!$H129,6*(21-1)),0),EDATE(Bonds!$H129,6*(21-1))))</f>
        <v/>
      </c>
      <c r="Z129" s="3" t="str">
        <f>IF(22&gt;$C129,"",IF($D129=1,EOMONTH(EDATE(Bonds!$H129,6*(22-1)),0),EDATE(Bonds!$H129,6*(22-1))))</f>
        <v/>
      </c>
      <c r="AA129" s="3" t="str">
        <f>IF(23&gt;$C129,"",IF($D129=1,EOMONTH(EDATE(Bonds!$H129,6*(23-1)),0),EDATE(Bonds!$H129,6*(23-1))))</f>
        <v/>
      </c>
      <c r="AB129" s="3" t="str">
        <f>IF(24&gt;$C129,"",IF($D129=1,EOMONTH(EDATE(Bonds!$H129,6*(24-1)),0),EDATE(Bonds!$H129,6*(24-1))))</f>
        <v/>
      </c>
      <c r="AC129" s="3" t="str">
        <f>IF(25&gt;$C129,"",IF($D129=1,EOMONTH(EDATE(Bonds!$H129,6*(25-1)),0),EDATE(Bonds!$H129,6*(25-1))))</f>
        <v/>
      </c>
      <c r="AD129" s="3" t="str">
        <f>IF(26&gt;$C129,"",IF($D129=1,EOMONTH(EDATE(Bonds!$H129,6*(26-1)),0),EDATE(Bonds!$H129,6*(26-1))))</f>
        <v/>
      </c>
      <c r="AE129" s="3" t="str">
        <f>IF(27&gt;$C129,"",IF($D129=1,EOMONTH(EDATE(Bonds!$H129,6*(27-1)),0),EDATE(Bonds!$H129,6*(27-1))))</f>
        <v/>
      </c>
      <c r="AF129" s="3" t="str">
        <f>IF(28&gt;$C129,"",IF($D129=1,EOMONTH(EDATE(Bonds!$H129,6*(28-1)),0),EDATE(Bonds!$H129,6*(28-1))))</f>
        <v/>
      </c>
      <c r="AG129" s="3" t="str">
        <f>IF(29&gt;$C129,"",IF($D129=1,EOMONTH(EDATE(Bonds!$H129,6*(29-1)),0),EDATE(Bonds!$H129,6*(29-1))))</f>
        <v/>
      </c>
      <c r="AH129" s="3" t="str">
        <f>IF(30&gt;$C129,"",IF($D129=1,EOMONTH(EDATE(Bonds!$H129,6*(30-1)),0),EDATE(Bonds!$H129,6*(30-1))))</f>
        <v/>
      </c>
      <c r="AI129" s="3" t="str">
        <f>IF(31&gt;$C129,"",IF($D129=1,EOMONTH(EDATE(Bonds!$H129,6*(31-1)),0),EDATE(Bonds!$H129,6*(31-1))))</f>
        <v/>
      </c>
      <c r="AJ129" s="3" t="str">
        <f>IF(32&gt;$C129,"",IF($D129=1,EOMONTH(EDATE(Bonds!$H129,6*(32-1)),0),EDATE(Bonds!$H129,6*(32-1))))</f>
        <v/>
      </c>
      <c r="AK129" s="3" t="str">
        <f>IF(33&gt;$C129,"",IF($D129=1,EOMONTH(EDATE(Bonds!$H129,6*(33-1)),0),EDATE(Bonds!$H129,6*(33-1))))</f>
        <v/>
      </c>
      <c r="AL129" s="3" t="str">
        <f>IF(34&gt;$C129,"",IF($D129=1,EOMONTH(EDATE(Bonds!$H129,6*(34-1)),0),EDATE(Bonds!$H129,6*(34-1))))</f>
        <v/>
      </c>
      <c r="AM129" s="3" t="str">
        <f>IF(35&gt;$C129,"",IF($D129=1,EOMONTH(EDATE(Bonds!$H129,6*(35-1)),0),EDATE(Bonds!$H129,6*(35-1))))</f>
        <v/>
      </c>
      <c r="AN129" s="3" t="str">
        <f>IF(36&gt;$C129,"",IF($D129=1,EOMONTH(EDATE(Bonds!$H129,6*(36-1)),0),EDATE(Bonds!$H129,6*(36-1))))</f>
        <v/>
      </c>
      <c r="AO129" s="3" t="str">
        <f>IF(37&gt;$C129,"",IF($D129=1,EOMONTH(EDATE(Bonds!$H129,6*(37-1)),0),EDATE(Bonds!$H129,6*(37-1))))</f>
        <v/>
      </c>
      <c r="AP129" s="3" t="str">
        <f>IF(38&gt;$C129,"",IF($D129=1,EOMONTH(EDATE(Bonds!$H129,6*(38-1)),0),EDATE(Bonds!$H129,6*(38-1))))</f>
        <v/>
      </c>
      <c r="AQ129" s="3" t="str">
        <f>IF(39&gt;$C129,"",IF($D129=1,EOMONTH(EDATE(Bonds!$H129,6*(39-1)),0),EDATE(Bonds!$H129,6*(39-1))))</f>
        <v/>
      </c>
      <c r="AR129" s="3" t="str">
        <f>IF(40&gt;$C129,"",IF($D129=1,EOMONTH(EDATE(Bonds!$H129,6*(40-1)),0),EDATE(Bonds!$H129,6*(40-1))))</f>
        <v/>
      </c>
      <c r="AS129" s="3" t="str">
        <f>IF(41&gt;$C129,"",IF($D129=1,EOMONTH(EDATE(Bonds!$H129,6*(41-1)),0),EDATE(Bonds!$H129,6*(41-1))))</f>
        <v/>
      </c>
      <c r="AT129" s="3" t="str">
        <f>IF(42&gt;$C129,"",IF($D129=1,EOMONTH(EDATE(Bonds!$H129,6*(42-1)),0),EDATE(Bonds!$H129,6*(42-1))))</f>
        <v/>
      </c>
      <c r="AU129" s="3" t="str">
        <f>IF(43&gt;$C129,"",IF($D129=1,EOMONTH(EDATE(Bonds!$H129,6*(43-1)),0),EDATE(Bonds!$H129,6*(43-1))))</f>
        <v/>
      </c>
      <c r="AV129" s="3" t="str">
        <f>IF(44&gt;$C129,"",IF($D129=1,EOMONTH(EDATE(Bonds!$H129,6*(44-1)),0),EDATE(Bonds!$H129,6*(44-1))))</f>
        <v/>
      </c>
      <c r="AW129" s="3" t="str">
        <f>IF(45&gt;$C129,"",IF($D129=1,EOMONTH(EDATE(Bonds!$H129,6*(45-1)),0),EDATE(Bonds!$H129,6*(45-1))))</f>
        <v/>
      </c>
      <c r="AX129" s="3" t="str">
        <f>IF(46&gt;$C129,"",IF($D129=1,EOMONTH(EDATE(Bonds!$H129,6*(46-1)),0),EDATE(Bonds!$H129,6*(46-1))))</f>
        <v/>
      </c>
      <c r="AY129" s="3" t="str">
        <f>IF(47&gt;$C129,"",IF($D129=1,EOMONTH(EDATE(Bonds!$H129,6*(47-1)),0),EDATE(Bonds!$H129,6*(47-1))))</f>
        <v/>
      </c>
      <c r="AZ129" s="3" t="str">
        <f>IF(48&gt;$C129,"",IF($D129=1,EOMONTH(EDATE(Bonds!$H129,6*(48-1)),0),EDATE(Bonds!$H129,6*(48-1))))</f>
        <v/>
      </c>
      <c r="BA129" s="3" t="str">
        <f>IF(49&gt;$C129,"",IF($D129=1,EOMONTH(EDATE(Bonds!$H129,6*(49-1)),0),EDATE(Bonds!$H129,6*(49-1))))</f>
        <v/>
      </c>
      <c r="BB129" s="3" t="str">
        <f>IF(50&gt;$C129,"",IF($D129=1,EOMONTH(EDATE(Bonds!$H129,6*(50-1)),0),EDATE(Bonds!$H129,6*(50-1))))</f>
        <v/>
      </c>
      <c r="BC129" s="3" t="str">
        <f>IF(51&gt;$C129,"",IF($D129=1,EOMONTH(EDATE(Bonds!$H129,6*(51-1)),0),EDATE(Bonds!$H129,6*(51-1))))</f>
        <v/>
      </c>
      <c r="BD129" s="3" t="str">
        <f>IF(52&gt;$C129,"",IF($D129=1,EOMONTH(EDATE(Bonds!$H129,6*(52-1)),0),EDATE(Bonds!$H129,6*(52-1))))</f>
        <v/>
      </c>
      <c r="BE129" s="3" t="str">
        <f>IF(53&gt;$C129,"",IF($D129=1,EOMONTH(EDATE(Bonds!$H129,6*(53-1)),0),EDATE(Bonds!$H129,6*(53-1))))</f>
        <v/>
      </c>
      <c r="BF129" s="3" t="str">
        <f>IF(54&gt;$C129,"",IF($D129=1,EOMONTH(EDATE(Bonds!$H129,6*(54-1)),0),EDATE(Bonds!$H129,6*(54-1))))</f>
        <v/>
      </c>
      <c r="BG129" s="3" t="str">
        <f>IF(55&gt;$C129,"",IF($D129=1,EOMONTH(EDATE(Bonds!$H129,6*(55-1)),0),EDATE(Bonds!$H129,6*(55-1))))</f>
        <v/>
      </c>
      <c r="BH129" s="3" t="str">
        <f>IF(56&gt;$C129,"",IF($D129=1,EOMONTH(EDATE(Bonds!$H129,6*(56-1)),0),EDATE(Bonds!$H129,6*(56-1))))</f>
        <v/>
      </c>
      <c r="BI129" s="3" t="str">
        <f>IF(57&gt;$C129,"",IF($D129=1,EOMONTH(EDATE(Bonds!$H129,6*(57-1)),0),EDATE(Bonds!$H129,6*(57-1))))</f>
        <v/>
      </c>
      <c r="BJ129" s="3" t="str">
        <f>IF(58&gt;$C129,"",IF($D129=1,EOMONTH(EDATE(Bonds!$H129,6*(58-1)),0),EDATE(Bonds!$H129,6*(58-1))))</f>
        <v/>
      </c>
      <c r="BK129" s="3" t="str">
        <f>IF(59&gt;$C129,"",IF($D129=1,EOMONTH(EDATE(Bonds!$H129,6*(59-1)),0),EDATE(Bonds!$H129,6*(59-1))))</f>
        <v/>
      </c>
      <c r="BL129" s="3" t="str">
        <f>IF(60&gt;$C129,"",IF($D129=1,EOMONTH(EDATE(Bonds!$H129,6*(60-1)),0),EDATE(Bonds!$H129,6*(60-1))))</f>
        <v/>
      </c>
      <c r="BN129" s="7">
        <f t="shared" si="62"/>
        <v>1.7263085978993495</v>
      </c>
      <c r="BO129" s="7">
        <f t="shared" si="63"/>
        <v>1.690374313514309</v>
      </c>
      <c r="BP129" s="7">
        <f t="shared" si="64"/>
        <v>1.6526547049620899</v>
      </c>
      <c r="BQ129" s="7">
        <f t="shared" si="65"/>
        <v>1.6154238427521177</v>
      </c>
      <c r="BR129" s="7">
        <f t="shared" si="66"/>
        <v>91.776545037904313</v>
      </c>
      <c r="BS129" s="7">
        <f t="shared" si="67"/>
        <v>0</v>
      </c>
      <c r="BT129" s="7">
        <f t="shared" si="68"/>
        <v>0</v>
      </c>
      <c r="BU129" s="7">
        <f t="shared" si="69"/>
        <v>0</v>
      </c>
      <c r="BV129" s="7">
        <f t="shared" si="70"/>
        <v>0</v>
      </c>
      <c r="BW129" s="7">
        <f t="shared" si="71"/>
        <v>0</v>
      </c>
      <c r="BX129" s="7">
        <f t="shared" si="72"/>
        <v>0</v>
      </c>
      <c r="BY129" s="7">
        <f t="shared" si="73"/>
        <v>0</v>
      </c>
      <c r="BZ129" s="7">
        <f t="shared" si="74"/>
        <v>0</v>
      </c>
      <c r="CA129" s="7">
        <f t="shared" si="75"/>
        <v>0</v>
      </c>
      <c r="CB129" s="7">
        <f t="shared" si="76"/>
        <v>0</v>
      </c>
      <c r="CC129" s="7">
        <f t="shared" si="77"/>
        <v>0</v>
      </c>
      <c r="CD129" s="7">
        <f t="shared" si="78"/>
        <v>0</v>
      </c>
      <c r="CE129" s="7">
        <f t="shared" si="79"/>
        <v>0</v>
      </c>
      <c r="CF129" s="7">
        <f t="shared" si="80"/>
        <v>0</v>
      </c>
      <c r="CG129" s="7">
        <f t="shared" si="81"/>
        <v>0</v>
      </c>
      <c r="CH129" s="7">
        <f t="shared" si="82"/>
        <v>0</v>
      </c>
      <c r="CI129" s="7">
        <f t="shared" si="83"/>
        <v>0</v>
      </c>
      <c r="CJ129" s="7">
        <f t="shared" si="84"/>
        <v>0</v>
      </c>
      <c r="CK129" s="7">
        <f t="shared" si="85"/>
        <v>0</v>
      </c>
      <c r="CL129" s="7">
        <f t="shared" si="86"/>
        <v>0</v>
      </c>
      <c r="CM129" s="7">
        <f t="shared" si="87"/>
        <v>0</v>
      </c>
      <c r="CN129" s="7">
        <f t="shared" si="88"/>
        <v>0</v>
      </c>
      <c r="CO129" s="7">
        <f t="shared" si="89"/>
        <v>0</v>
      </c>
      <c r="CP129" s="7">
        <f t="shared" si="90"/>
        <v>0</v>
      </c>
      <c r="CQ129" s="7">
        <f t="shared" si="91"/>
        <v>0</v>
      </c>
      <c r="CR129" s="7">
        <f t="shared" si="92"/>
        <v>0</v>
      </c>
      <c r="CS129" s="7">
        <f t="shared" si="93"/>
        <v>0</v>
      </c>
      <c r="CT129" s="7">
        <f t="shared" si="94"/>
        <v>0</v>
      </c>
      <c r="CU129" s="7">
        <f t="shared" si="95"/>
        <v>0</v>
      </c>
      <c r="CV129" s="7">
        <f t="shared" si="96"/>
        <v>0</v>
      </c>
      <c r="CW129" s="7">
        <f t="shared" si="97"/>
        <v>0</v>
      </c>
      <c r="CX129" s="7">
        <f t="shared" si="98"/>
        <v>0</v>
      </c>
      <c r="CY129" s="7">
        <f t="shared" si="99"/>
        <v>0</v>
      </c>
      <c r="CZ129" s="7">
        <f t="shared" si="100"/>
        <v>0</v>
      </c>
      <c r="DA129" s="7">
        <f t="shared" si="101"/>
        <v>0</v>
      </c>
      <c r="DB129" s="7">
        <f t="shared" si="102"/>
        <v>0</v>
      </c>
      <c r="DC129" s="7">
        <f t="shared" si="103"/>
        <v>0</v>
      </c>
      <c r="DD129" s="7">
        <f t="shared" si="104"/>
        <v>0</v>
      </c>
      <c r="DE129" s="7">
        <f t="shared" si="105"/>
        <v>0</v>
      </c>
      <c r="DF129" s="7">
        <f t="shared" si="106"/>
        <v>0</v>
      </c>
      <c r="DG129" s="7">
        <f t="shared" si="107"/>
        <v>0</v>
      </c>
      <c r="DH129" s="7">
        <f t="shared" si="108"/>
        <v>0</v>
      </c>
      <c r="DI129" s="7">
        <f t="shared" si="109"/>
        <v>0</v>
      </c>
      <c r="DJ129" s="7">
        <f t="shared" si="110"/>
        <v>0</v>
      </c>
      <c r="DK129" s="7">
        <f t="shared" si="111"/>
        <v>0</v>
      </c>
      <c r="DL129" s="7">
        <f t="shared" si="112"/>
        <v>0</v>
      </c>
      <c r="DM129" s="7">
        <f t="shared" si="113"/>
        <v>0</v>
      </c>
      <c r="DN129" s="7">
        <f t="shared" si="114"/>
        <v>0</v>
      </c>
      <c r="DO129" s="7">
        <f t="shared" si="115"/>
        <v>0</v>
      </c>
      <c r="DP129" s="7">
        <f t="shared" si="116"/>
        <v>0</v>
      </c>
      <c r="DQ129" s="7">
        <f t="shared" si="117"/>
        <v>0</v>
      </c>
      <c r="DR129" s="7">
        <f t="shared" si="118"/>
        <v>0</v>
      </c>
      <c r="DS129" s="7">
        <f t="shared" si="119"/>
        <v>0</v>
      </c>
      <c r="DT129" s="7">
        <f t="shared" si="120"/>
        <v>0</v>
      </c>
      <c r="DU129" s="7">
        <f t="shared" si="121"/>
        <v>0</v>
      </c>
    </row>
    <row r="130" spans="1:125" x14ac:dyDescent="0.2">
      <c r="A130" s="3">
        <f>Bonds!A130</f>
        <v>47149</v>
      </c>
      <c r="B130" s="4">
        <f>Bonds!B130</f>
        <v>1.75</v>
      </c>
      <c r="C130">
        <f>Bonds!P130</f>
        <v>5</v>
      </c>
      <c r="D130">
        <f t="shared" si="61"/>
        <v>1</v>
      </c>
      <c r="E130" s="3">
        <f>IF(1&gt;$C130,"",IF($D130=1,EOMONTH(EDATE(Bonds!$H130,6*(1-1)),0),EDATE(Bonds!$H130,6*(1-1))))</f>
        <v>46418</v>
      </c>
      <c r="F130" s="3">
        <f>IF(2&gt;$C130,"",IF($D130=1,EOMONTH(EDATE(Bonds!$H130,6*(2-1)),0),EDATE(Bonds!$H130,6*(2-1))))</f>
        <v>46599</v>
      </c>
      <c r="G130" s="3">
        <f>IF(3&gt;$C130,"",IF($D130=1,EOMONTH(EDATE(Bonds!$H130,6*(3-1)),0),EDATE(Bonds!$H130,6*(3-1))))</f>
        <v>46783</v>
      </c>
      <c r="H130" s="3">
        <f>IF(4&gt;$C130,"",IF($D130=1,EOMONTH(EDATE(Bonds!$H130,6*(4-1)),0),EDATE(Bonds!$H130,6*(4-1))))</f>
        <v>46965</v>
      </c>
      <c r="I130" s="3">
        <f>IF(5&gt;$C130,"",IF($D130=1,EOMONTH(EDATE(Bonds!$H130,6*(5-1)),0),EDATE(Bonds!$H130,6*(5-1))))</f>
        <v>47149</v>
      </c>
      <c r="J130" s="3" t="str">
        <f>IF(6&gt;$C130,"",IF($D130=1,EOMONTH(EDATE(Bonds!$H130,6*(6-1)),0),EDATE(Bonds!$H130,6*(6-1))))</f>
        <v/>
      </c>
      <c r="K130" s="3" t="str">
        <f>IF(7&gt;$C130,"",IF($D130=1,EOMONTH(EDATE(Bonds!$H130,6*(7-1)),0),EDATE(Bonds!$H130,6*(7-1))))</f>
        <v/>
      </c>
      <c r="L130" s="3" t="str">
        <f>IF(8&gt;$C130,"",IF($D130=1,EOMONTH(EDATE(Bonds!$H130,6*(8-1)),0),EDATE(Bonds!$H130,6*(8-1))))</f>
        <v/>
      </c>
      <c r="M130" s="3" t="str">
        <f>IF(9&gt;$C130,"",IF($D130=1,EOMONTH(EDATE(Bonds!$H130,6*(9-1)),0),EDATE(Bonds!$H130,6*(9-1))))</f>
        <v/>
      </c>
      <c r="N130" s="3" t="str">
        <f>IF(10&gt;$C130,"",IF($D130=1,EOMONTH(EDATE(Bonds!$H130,6*(10-1)),0),EDATE(Bonds!$H130,6*(10-1))))</f>
        <v/>
      </c>
      <c r="O130" s="3" t="str">
        <f>IF(11&gt;$C130,"",IF($D130=1,EOMONTH(EDATE(Bonds!$H130,6*(11-1)),0),EDATE(Bonds!$H130,6*(11-1))))</f>
        <v/>
      </c>
      <c r="P130" s="3" t="str">
        <f>IF(12&gt;$C130,"",IF($D130=1,EOMONTH(EDATE(Bonds!$H130,6*(12-1)),0),EDATE(Bonds!$H130,6*(12-1))))</f>
        <v/>
      </c>
      <c r="Q130" s="3" t="str">
        <f>IF(13&gt;$C130,"",IF($D130=1,EOMONTH(EDATE(Bonds!$H130,6*(13-1)),0),EDATE(Bonds!$H130,6*(13-1))))</f>
        <v/>
      </c>
      <c r="R130" s="3" t="str">
        <f>IF(14&gt;$C130,"",IF($D130=1,EOMONTH(EDATE(Bonds!$H130,6*(14-1)),0),EDATE(Bonds!$H130,6*(14-1))))</f>
        <v/>
      </c>
      <c r="S130" s="3" t="str">
        <f>IF(15&gt;$C130,"",IF($D130=1,EOMONTH(EDATE(Bonds!$H130,6*(15-1)),0),EDATE(Bonds!$H130,6*(15-1))))</f>
        <v/>
      </c>
      <c r="T130" s="3" t="str">
        <f>IF(16&gt;$C130,"",IF($D130=1,EOMONTH(EDATE(Bonds!$H130,6*(16-1)),0),EDATE(Bonds!$H130,6*(16-1))))</f>
        <v/>
      </c>
      <c r="U130" s="3" t="str">
        <f>IF(17&gt;$C130,"",IF($D130=1,EOMONTH(EDATE(Bonds!$H130,6*(17-1)),0),EDATE(Bonds!$H130,6*(17-1))))</f>
        <v/>
      </c>
      <c r="V130" s="3" t="str">
        <f>IF(18&gt;$C130,"",IF($D130=1,EOMONTH(EDATE(Bonds!$H130,6*(18-1)),0),EDATE(Bonds!$H130,6*(18-1))))</f>
        <v/>
      </c>
      <c r="W130" s="3" t="str">
        <f>IF(19&gt;$C130,"",IF($D130=1,EOMONTH(EDATE(Bonds!$H130,6*(19-1)),0),EDATE(Bonds!$H130,6*(19-1))))</f>
        <v/>
      </c>
      <c r="X130" s="3" t="str">
        <f>IF(20&gt;$C130,"",IF($D130=1,EOMONTH(EDATE(Bonds!$H130,6*(20-1)),0),EDATE(Bonds!$H130,6*(20-1))))</f>
        <v/>
      </c>
      <c r="Y130" s="3" t="str">
        <f>IF(21&gt;$C130,"",IF($D130=1,EOMONTH(EDATE(Bonds!$H130,6*(21-1)),0),EDATE(Bonds!$H130,6*(21-1))))</f>
        <v/>
      </c>
      <c r="Z130" s="3" t="str">
        <f>IF(22&gt;$C130,"",IF($D130=1,EOMONTH(EDATE(Bonds!$H130,6*(22-1)),0),EDATE(Bonds!$H130,6*(22-1))))</f>
        <v/>
      </c>
      <c r="AA130" s="3" t="str">
        <f>IF(23&gt;$C130,"",IF($D130=1,EOMONTH(EDATE(Bonds!$H130,6*(23-1)),0),EDATE(Bonds!$H130,6*(23-1))))</f>
        <v/>
      </c>
      <c r="AB130" s="3" t="str">
        <f>IF(24&gt;$C130,"",IF($D130=1,EOMONTH(EDATE(Bonds!$H130,6*(24-1)),0),EDATE(Bonds!$H130,6*(24-1))))</f>
        <v/>
      </c>
      <c r="AC130" s="3" t="str">
        <f>IF(25&gt;$C130,"",IF($D130=1,EOMONTH(EDATE(Bonds!$H130,6*(25-1)),0),EDATE(Bonds!$H130,6*(25-1))))</f>
        <v/>
      </c>
      <c r="AD130" s="3" t="str">
        <f>IF(26&gt;$C130,"",IF($D130=1,EOMONTH(EDATE(Bonds!$H130,6*(26-1)),0),EDATE(Bonds!$H130,6*(26-1))))</f>
        <v/>
      </c>
      <c r="AE130" s="3" t="str">
        <f>IF(27&gt;$C130,"",IF($D130=1,EOMONTH(EDATE(Bonds!$H130,6*(27-1)),0),EDATE(Bonds!$H130,6*(27-1))))</f>
        <v/>
      </c>
      <c r="AF130" s="3" t="str">
        <f>IF(28&gt;$C130,"",IF($D130=1,EOMONTH(EDATE(Bonds!$H130,6*(28-1)),0),EDATE(Bonds!$H130,6*(28-1))))</f>
        <v/>
      </c>
      <c r="AG130" s="3" t="str">
        <f>IF(29&gt;$C130,"",IF($D130=1,EOMONTH(EDATE(Bonds!$H130,6*(29-1)),0),EDATE(Bonds!$H130,6*(29-1))))</f>
        <v/>
      </c>
      <c r="AH130" s="3" t="str">
        <f>IF(30&gt;$C130,"",IF($D130=1,EOMONTH(EDATE(Bonds!$H130,6*(30-1)),0),EDATE(Bonds!$H130,6*(30-1))))</f>
        <v/>
      </c>
      <c r="AI130" s="3" t="str">
        <f>IF(31&gt;$C130,"",IF($D130=1,EOMONTH(EDATE(Bonds!$H130,6*(31-1)),0),EDATE(Bonds!$H130,6*(31-1))))</f>
        <v/>
      </c>
      <c r="AJ130" s="3" t="str">
        <f>IF(32&gt;$C130,"",IF($D130=1,EOMONTH(EDATE(Bonds!$H130,6*(32-1)),0),EDATE(Bonds!$H130,6*(32-1))))</f>
        <v/>
      </c>
      <c r="AK130" s="3" t="str">
        <f>IF(33&gt;$C130,"",IF($D130=1,EOMONTH(EDATE(Bonds!$H130,6*(33-1)),0),EDATE(Bonds!$H130,6*(33-1))))</f>
        <v/>
      </c>
      <c r="AL130" s="3" t="str">
        <f>IF(34&gt;$C130,"",IF($D130=1,EOMONTH(EDATE(Bonds!$H130,6*(34-1)),0),EDATE(Bonds!$H130,6*(34-1))))</f>
        <v/>
      </c>
      <c r="AM130" s="3" t="str">
        <f>IF(35&gt;$C130,"",IF($D130=1,EOMONTH(EDATE(Bonds!$H130,6*(35-1)),0),EDATE(Bonds!$H130,6*(35-1))))</f>
        <v/>
      </c>
      <c r="AN130" s="3" t="str">
        <f>IF(36&gt;$C130,"",IF($D130=1,EOMONTH(EDATE(Bonds!$H130,6*(36-1)),0),EDATE(Bonds!$H130,6*(36-1))))</f>
        <v/>
      </c>
      <c r="AO130" s="3" t="str">
        <f>IF(37&gt;$C130,"",IF($D130=1,EOMONTH(EDATE(Bonds!$H130,6*(37-1)),0),EDATE(Bonds!$H130,6*(37-1))))</f>
        <v/>
      </c>
      <c r="AP130" s="3" t="str">
        <f>IF(38&gt;$C130,"",IF($D130=1,EOMONTH(EDATE(Bonds!$H130,6*(38-1)),0),EDATE(Bonds!$H130,6*(38-1))))</f>
        <v/>
      </c>
      <c r="AQ130" s="3" t="str">
        <f>IF(39&gt;$C130,"",IF($D130=1,EOMONTH(EDATE(Bonds!$H130,6*(39-1)),0),EDATE(Bonds!$H130,6*(39-1))))</f>
        <v/>
      </c>
      <c r="AR130" s="3" t="str">
        <f>IF(40&gt;$C130,"",IF($D130=1,EOMONTH(EDATE(Bonds!$H130,6*(40-1)),0),EDATE(Bonds!$H130,6*(40-1))))</f>
        <v/>
      </c>
      <c r="AS130" s="3" t="str">
        <f>IF(41&gt;$C130,"",IF($D130=1,EOMONTH(EDATE(Bonds!$H130,6*(41-1)),0),EDATE(Bonds!$H130,6*(41-1))))</f>
        <v/>
      </c>
      <c r="AT130" s="3" t="str">
        <f>IF(42&gt;$C130,"",IF($D130=1,EOMONTH(EDATE(Bonds!$H130,6*(42-1)),0),EDATE(Bonds!$H130,6*(42-1))))</f>
        <v/>
      </c>
      <c r="AU130" s="3" t="str">
        <f>IF(43&gt;$C130,"",IF($D130=1,EOMONTH(EDATE(Bonds!$H130,6*(43-1)),0),EDATE(Bonds!$H130,6*(43-1))))</f>
        <v/>
      </c>
      <c r="AV130" s="3" t="str">
        <f>IF(44&gt;$C130,"",IF($D130=1,EOMONTH(EDATE(Bonds!$H130,6*(44-1)),0),EDATE(Bonds!$H130,6*(44-1))))</f>
        <v/>
      </c>
      <c r="AW130" s="3" t="str">
        <f>IF(45&gt;$C130,"",IF($D130=1,EOMONTH(EDATE(Bonds!$H130,6*(45-1)),0),EDATE(Bonds!$H130,6*(45-1))))</f>
        <v/>
      </c>
      <c r="AX130" s="3" t="str">
        <f>IF(46&gt;$C130,"",IF($D130=1,EOMONTH(EDATE(Bonds!$H130,6*(46-1)),0),EDATE(Bonds!$H130,6*(46-1))))</f>
        <v/>
      </c>
      <c r="AY130" s="3" t="str">
        <f>IF(47&gt;$C130,"",IF($D130=1,EOMONTH(EDATE(Bonds!$H130,6*(47-1)),0),EDATE(Bonds!$H130,6*(47-1))))</f>
        <v/>
      </c>
      <c r="AZ130" s="3" t="str">
        <f>IF(48&gt;$C130,"",IF($D130=1,EOMONTH(EDATE(Bonds!$H130,6*(48-1)),0),EDATE(Bonds!$H130,6*(48-1))))</f>
        <v/>
      </c>
      <c r="BA130" s="3" t="str">
        <f>IF(49&gt;$C130,"",IF($D130=1,EOMONTH(EDATE(Bonds!$H130,6*(49-1)),0),EDATE(Bonds!$H130,6*(49-1))))</f>
        <v/>
      </c>
      <c r="BB130" s="3" t="str">
        <f>IF(50&gt;$C130,"",IF($D130=1,EOMONTH(EDATE(Bonds!$H130,6*(50-1)),0),EDATE(Bonds!$H130,6*(50-1))))</f>
        <v/>
      </c>
      <c r="BC130" s="3" t="str">
        <f>IF(51&gt;$C130,"",IF($D130=1,EOMONTH(EDATE(Bonds!$H130,6*(51-1)),0),EDATE(Bonds!$H130,6*(51-1))))</f>
        <v/>
      </c>
      <c r="BD130" s="3" t="str">
        <f>IF(52&gt;$C130,"",IF($D130=1,EOMONTH(EDATE(Bonds!$H130,6*(52-1)),0),EDATE(Bonds!$H130,6*(52-1))))</f>
        <v/>
      </c>
      <c r="BE130" s="3" t="str">
        <f>IF(53&gt;$C130,"",IF($D130=1,EOMONTH(EDATE(Bonds!$H130,6*(53-1)),0),EDATE(Bonds!$H130,6*(53-1))))</f>
        <v/>
      </c>
      <c r="BF130" s="3" t="str">
        <f>IF(54&gt;$C130,"",IF($D130=1,EOMONTH(EDATE(Bonds!$H130,6*(54-1)),0),EDATE(Bonds!$H130,6*(54-1))))</f>
        <v/>
      </c>
      <c r="BG130" s="3" t="str">
        <f>IF(55&gt;$C130,"",IF($D130=1,EOMONTH(EDATE(Bonds!$H130,6*(55-1)),0),EDATE(Bonds!$H130,6*(55-1))))</f>
        <v/>
      </c>
      <c r="BH130" s="3" t="str">
        <f>IF(56&gt;$C130,"",IF($D130=1,EOMONTH(EDATE(Bonds!$H130,6*(56-1)),0),EDATE(Bonds!$H130,6*(56-1))))</f>
        <v/>
      </c>
      <c r="BI130" s="3" t="str">
        <f>IF(57&gt;$C130,"",IF($D130=1,EOMONTH(EDATE(Bonds!$H130,6*(57-1)),0),EDATE(Bonds!$H130,6*(57-1))))</f>
        <v/>
      </c>
      <c r="BJ130" s="3" t="str">
        <f>IF(58&gt;$C130,"",IF($D130=1,EOMONTH(EDATE(Bonds!$H130,6*(58-1)),0),EDATE(Bonds!$H130,6*(58-1))))</f>
        <v/>
      </c>
      <c r="BK130" s="3" t="str">
        <f>IF(59&gt;$C130,"",IF($D130=1,EOMONTH(EDATE(Bonds!$H130,6*(59-1)),0),EDATE(Bonds!$H130,6*(59-1))))</f>
        <v/>
      </c>
      <c r="BL130" s="3" t="str">
        <f>IF(60&gt;$C130,"",IF($D130=1,EOMONTH(EDATE(Bonds!$H130,6*(60-1)),0),EDATE(Bonds!$H130,6*(60-1))))</f>
        <v/>
      </c>
      <c r="BN130" s="7">
        <f t="shared" si="62"/>
        <v>0.8616142558938199</v>
      </c>
      <c r="BO130" s="7">
        <f t="shared" si="63"/>
        <v>0.84355878117755934</v>
      </c>
      <c r="BP130" s="7">
        <f t="shared" si="64"/>
        <v>0.82468310705591519</v>
      </c>
      <c r="BQ130" s="7">
        <f t="shared" si="65"/>
        <v>0.80608891902652535</v>
      </c>
      <c r="BR130" s="7">
        <f t="shared" si="66"/>
        <v>90.804447106748611</v>
      </c>
      <c r="BS130" s="7">
        <f t="shared" si="67"/>
        <v>0</v>
      </c>
      <c r="BT130" s="7">
        <f t="shared" si="68"/>
        <v>0</v>
      </c>
      <c r="BU130" s="7">
        <f t="shared" si="69"/>
        <v>0</v>
      </c>
      <c r="BV130" s="7">
        <f t="shared" si="70"/>
        <v>0</v>
      </c>
      <c r="BW130" s="7">
        <f t="shared" si="71"/>
        <v>0</v>
      </c>
      <c r="BX130" s="7">
        <f t="shared" si="72"/>
        <v>0</v>
      </c>
      <c r="BY130" s="7">
        <f t="shared" si="73"/>
        <v>0</v>
      </c>
      <c r="BZ130" s="7">
        <f t="shared" si="74"/>
        <v>0</v>
      </c>
      <c r="CA130" s="7">
        <f t="shared" si="75"/>
        <v>0</v>
      </c>
      <c r="CB130" s="7">
        <f t="shared" si="76"/>
        <v>0</v>
      </c>
      <c r="CC130" s="7">
        <f t="shared" si="77"/>
        <v>0</v>
      </c>
      <c r="CD130" s="7">
        <f t="shared" si="78"/>
        <v>0</v>
      </c>
      <c r="CE130" s="7">
        <f t="shared" si="79"/>
        <v>0</v>
      </c>
      <c r="CF130" s="7">
        <f t="shared" si="80"/>
        <v>0</v>
      </c>
      <c r="CG130" s="7">
        <f t="shared" si="81"/>
        <v>0</v>
      </c>
      <c r="CH130" s="7">
        <f t="shared" si="82"/>
        <v>0</v>
      </c>
      <c r="CI130" s="7">
        <f t="shared" si="83"/>
        <v>0</v>
      </c>
      <c r="CJ130" s="7">
        <f t="shared" si="84"/>
        <v>0</v>
      </c>
      <c r="CK130" s="7">
        <f t="shared" si="85"/>
        <v>0</v>
      </c>
      <c r="CL130" s="7">
        <f t="shared" si="86"/>
        <v>0</v>
      </c>
      <c r="CM130" s="7">
        <f t="shared" si="87"/>
        <v>0</v>
      </c>
      <c r="CN130" s="7">
        <f t="shared" si="88"/>
        <v>0</v>
      </c>
      <c r="CO130" s="7">
        <f t="shared" si="89"/>
        <v>0</v>
      </c>
      <c r="CP130" s="7">
        <f t="shared" si="90"/>
        <v>0</v>
      </c>
      <c r="CQ130" s="7">
        <f t="shared" si="91"/>
        <v>0</v>
      </c>
      <c r="CR130" s="7">
        <f t="shared" si="92"/>
        <v>0</v>
      </c>
      <c r="CS130" s="7">
        <f t="shared" si="93"/>
        <v>0</v>
      </c>
      <c r="CT130" s="7">
        <f t="shared" si="94"/>
        <v>0</v>
      </c>
      <c r="CU130" s="7">
        <f t="shared" si="95"/>
        <v>0</v>
      </c>
      <c r="CV130" s="7">
        <f t="shared" si="96"/>
        <v>0</v>
      </c>
      <c r="CW130" s="7">
        <f t="shared" si="97"/>
        <v>0</v>
      </c>
      <c r="CX130" s="7">
        <f t="shared" si="98"/>
        <v>0</v>
      </c>
      <c r="CY130" s="7">
        <f t="shared" si="99"/>
        <v>0</v>
      </c>
      <c r="CZ130" s="7">
        <f t="shared" si="100"/>
        <v>0</v>
      </c>
      <c r="DA130" s="7">
        <f t="shared" si="101"/>
        <v>0</v>
      </c>
      <c r="DB130" s="7">
        <f t="shared" si="102"/>
        <v>0</v>
      </c>
      <c r="DC130" s="7">
        <f t="shared" si="103"/>
        <v>0</v>
      </c>
      <c r="DD130" s="7">
        <f t="shared" si="104"/>
        <v>0</v>
      </c>
      <c r="DE130" s="7">
        <f t="shared" si="105"/>
        <v>0</v>
      </c>
      <c r="DF130" s="7">
        <f t="shared" si="106"/>
        <v>0</v>
      </c>
      <c r="DG130" s="7">
        <f t="shared" si="107"/>
        <v>0</v>
      </c>
      <c r="DH130" s="7">
        <f t="shared" si="108"/>
        <v>0</v>
      </c>
      <c r="DI130" s="7">
        <f t="shared" si="109"/>
        <v>0</v>
      </c>
      <c r="DJ130" s="7">
        <f t="shared" si="110"/>
        <v>0</v>
      </c>
      <c r="DK130" s="7">
        <f t="shared" si="111"/>
        <v>0</v>
      </c>
      <c r="DL130" s="7">
        <f t="shared" si="112"/>
        <v>0</v>
      </c>
      <c r="DM130" s="7">
        <f t="shared" si="113"/>
        <v>0</v>
      </c>
      <c r="DN130" s="7">
        <f t="shared" si="114"/>
        <v>0</v>
      </c>
      <c r="DO130" s="7">
        <f t="shared" si="115"/>
        <v>0</v>
      </c>
      <c r="DP130" s="7">
        <f t="shared" si="116"/>
        <v>0</v>
      </c>
      <c r="DQ130" s="7">
        <f t="shared" si="117"/>
        <v>0</v>
      </c>
      <c r="DR130" s="7">
        <f t="shared" si="118"/>
        <v>0</v>
      </c>
      <c r="DS130" s="7">
        <f t="shared" si="119"/>
        <v>0</v>
      </c>
      <c r="DT130" s="7">
        <f t="shared" si="120"/>
        <v>0</v>
      </c>
      <c r="DU130" s="7">
        <f t="shared" si="121"/>
        <v>0</v>
      </c>
    </row>
    <row r="131" spans="1:125" x14ac:dyDescent="0.2">
      <c r="A131" s="3">
        <f>Bonds!A131</f>
        <v>47149</v>
      </c>
      <c r="B131" s="4">
        <f>Bonds!B131</f>
        <v>4</v>
      </c>
      <c r="C131">
        <f>Bonds!P131</f>
        <v>5</v>
      </c>
      <c r="D131">
        <f t="shared" si="61"/>
        <v>1</v>
      </c>
      <c r="E131" s="3">
        <f>IF(1&gt;$C131,"",IF($D131=1,EOMONTH(EDATE(Bonds!$H131,6*(1-1)),0),EDATE(Bonds!$H131,6*(1-1))))</f>
        <v>46418</v>
      </c>
      <c r="F131" s="3">
        <f>IF(2&gt;$C131,"",IF($D131=1,EOMONTH(EDATE(Bonds!$H131,6*(2-1)),0),EDATE(Bonds!$H131,6*(2-1))))</f>
        <v>46599</v>
      </c>
      <c r="G131" s="3">
        <f>IF(3&gt;$C131,"",IF($D131=1,EOMONTH(EDATE(Bonds!$H131,6*(3-1)),0),EDATE(Bonds!$H131,6*(3-1))))</f>
        <v>46783</v>
      </c>
      <c r="H131" s="3">
        <f>IF(4&gt;$C131,"",IF($D131=1,EOMONTH(EDATE(Bonds!$H131,6*(4-1)),0),EDATE(Bonds!$H131,6*(4-1))))</f>
        <v>46965</v>
      </c>
      <c r="I131" s="3">
        <f>IF(5&gt;$C131,"",IF($D131=1,EOMONTH(EDATE(Bonds!$H131,6*(5-1)),0),EDATE(Bonds!$H131,6*(5-1))))</f>
        <v>47149</v>
      </c>
      <c r="J131" s="3" t="str">
        <f>IF(6&gt;$C131,"",IF($D131=1,EOMONTH(EDATE(Bonds!$H131,6*(6-1)),0),EDATE(Bonds!$H131,6*(6-1))))</f>
        <v/>
      </c>
      <c r="K131" s="3" t="str">
        <f>IF(7&gt;$C131,"",IF($D131=1,EOMONTH(EDATE(Bonds!$H131,6*(7-1)),0),EDATE(Bonds!$H131,6*(7-1))))</f>
        <v/>
      </c>
      <c r="L131" s="3" t="str">
        <f>IF(8&gt;$C131,"",IF($D131=1,EOMONTH(EDATE(Bonds!$H131,6*(8-1)),0),EDATE(Bonds!$H131,6*(8-1))))</f>
        <v/>
      </c>
      <c r="M131" s="3" t="str">
        <f>IF(9&gt;$C131,"",IF($D131=1,EOMONTH(EDATE(Bonds!$H131,6*(9-1)),0),EDATE(Bonds!$H131,6*(9-1))))</f>
        <v/>
      </c>
      <c r="N131" s="3" t="str">
        <f>IF(10&gt;$C131,"",IF($D131=1,EOMONTH(EDATE(Bonds!$H131,6*(10-1)),0),EDATE(Bonds!$H131,6*(10-1))))</f>
        <v/>
      </c>
      <c r="O131" s="3" t="str">
        <f>IF(11&gt;$C131,"",IF($D131=1,EOMONTH(EDATE(Bonds!$H131,6*(11-1)),0),EDATE(Bonds!$H131,6*(11-1))))</f>
        <v/>
      </c>
      <c r="P131" s="3" t="str">
        <f>IF(12&gt;$C131,"",IF($D131=1,EOMONTH(EDATE(Bonds!$H131,6*(12-1)),0),EDATE(Bonds!$H131,6*(12-1))))</f>
        <v/>
      </c>
      <c r="Q131" s="3" t="str">
        <f>IF(13&gt;$C131,"",IF($D131=1,EOMONTH(EDATE(Bonds!$H131,6*(13-1)),0),EDATE(Bonds!$H131,6*(13-1))))</f>
        <v/>
      </c>
      <c r="R131" s="3" t="str">
        <f>IF(14&gt;$C131,"",IF($D131=1,EOMONTH(EDATE(Bonds!$H131,6*(14-1)),0),EDATE(Bonds!$H131,6*(14-1))))</f>
        <v/>
      </c>
      <c r="S131" s="3" t="str">
        <f>IF(15&gt;$C131,"",IF($D131=1,EOMONTH(EDATE(Bonds!$H131,6*(15-1)),0),EDATE(Bonds!$H131,6*(15-1))))</f>
        <v/>
      </c>
      <c r="T131" s="3" t="str">
        <f>IF(16&gt;$C131,"",IF($D131=1,EOMONTH(EDATE(Bonds!$H131,6*(16-1)),0),EDATE(Bonds!$H131,6*(16-1))))</f>
        <v/>
      </c>
      <c r="U131" s="3" t="str">
        <f>IF(17&gt;$C131,"",IF($D131=1,EOMONTH(EDATE(Bonds!$H131,6*(17-1)),0),EDATE(Bonds!$H131,6*(17-1))))</f>
        <v/>
      </c>
      <c r="V131" s="3" t="str">
        <f>IF(18&gt;$C131,"",IF($D131=1,EOMONTH(EDATE(Bonds!$H131,6*(18-1)),0),EDATE(Bonds!$H131,6*(18-1))))</f>
        <v/>
      </c>
      <c r="W131" s="3" t="str">
        <f>IF(19&gt;$C131,"",IF($D131=1,EOMONTH(EDATE(Bonds!$H131,6*(19-1)),0),EDATE(Bonds!$H131,6*(19-1))))</f>
        <v/>
      </c>
      <c r="X131" s="3" t="str">
        <f>IF(20&gt;$C131,"",IF($D131=1,EOMONTH(EDATE(Bonds!$H131,6*(20-1)),0),EDATE(Bonds!$H131,6*(20-1))))</f>
        <v/>
      </c>
      <c r="Y131" s="3" t="str">
        <f>IF(21&gt;$C131,"",IF($D131=1,EOMONTH(EDATE(Bonds!$H131,6*(21-1)),0),EDATE(Bonds!$H131,6*(21-1))))</f>
        <v/>
      </c>
      <c r="Z131" s="3" t="str">
        <f>IF(22&gt;$C131,"",IF($D131=1,EOMONTH(EDATE(Bonds!$H131,6*(22-1)),0),EDATE(Bonds!$H131,6*(22-1))))</f>
        <v/>
      </c>
      <c r="AA131" s="3" t="str">
        <f>IF(23&gt;$C131,"",IF($D131=1,EOMONTH(EDATE(Bonds!$H131,6*(23-1)),0),EDATE(Bonds!$H131,6*(23-1))))</f>
        <v/>
      </c>
      <c r="AB131" s="3" t="str">
        <f>IF(24&gt;$C131,"",IF($D131=1,EOMONTH(EDATE(Bonds!$H131,6*(24-1)),0),EDATE(Bonds!$H131,6*(24-1))))</f>
        <v/>
      </c>
      <c r="AC131" s="3" t="str">
        <f>IF(25&gt;$C131,"",IF($D131=1,EOMONTH(EDATE(Bonds!$H131,6*(25-1)),0),EDATE(Bonds!$H131,6*(25-1))))</f>
        <v/>
      </c>
      <c r="AD131" s="3" t="str">
        <f>IF(26&gt;$C131,"",IF($D131=1,EOMONTH(EDATE(Bonds!$H131,6*(26-1)),0),EDATE(Bonds!$H131,6*(26-1))))</f>
        <v/>
      </c>
      <c r="AE131" s="3" t="str">
        <f>IF(27&gt;$C131,"",IF($D131=1,EOMONTH(EDATE(Bonds!$H131,6*(27-1)),0),EDATE(Bonds!$H131,6*(27-1))))</f>
        <v/>
      </c>
      <c r="AF131" s="3" t="str">
        <f>IF(28&gt;$C131,"",IF($D131=1,EOMONTH(EDATE(Bonds!$H131,6*(28-1)),0),EDATE(Bonds!$H131,6*(28-1))))</f>
        <v/>
      </c>
      <c r="AG131" s="3" t="str">
        <f>IF(29&gt;$C131,"",IF($D131=1,EOMONTH(EDATE(Bonds!$H131,6*(29-1)),0),EDATE(Bonds!$H131,6*(29-1))))</f>
        <v/>
      </c>
      <c r="AH131" s="3" t="str">
        <f>IF(30&gt;$C131,"",IF($D131=1,EOMONTH(EDATE(Bonds!$H131,6*(30-1)),0),EDATE(Bonds!$H131,6*(30-1))))</f>
        <v/>
      </c>
      <c r="AI131" s="3" t="str">
        <f>IF(31&gt;$C131,"",IF($D131=1,EOMONTH(EDATE(Bonds!$H131,6*(31-1)),0),EDATE(Bonds!$H131,6*(31-1))))</f>
        <v/>
      </c>
      <c r="AJ131" s="3" t="str">
        <f>IF(32&gt;$C131,"",IF($D131=1,EOMONTH(EDATE(Bonds!$H131,6*(32-1)),0),EDATE(Bonds!$H131,6*(32-1))))</f>
        <v/>
      </c>
      <c r="AK131" s="3" t="str">
        <f>IF(33&gt;$C131,"",IF($D131=1,EOMONTH(EDATE(Bonds!$H131,6*(33-1)),0),EDATE(Bonds!$H131,6*(33-1))))</f>
        <v/>
      </c>
      <c r="AL131" s="3" t="str">
        <f>IF(34&gt;$C131,"",IF($D131=1,EOMONTH(EDATE(Bonds!$H131,6*(34-1)),0),EDATE(Bonds!$H131,6*(34-1))))</f>
        <v/>
      </c>
      <c r="AM131" s="3" t="str">
        <f>IF(35&gt;$C131,"",IF($D131=1,EOMONTH(EDATE(Bonds!$H131,6*(35-1)),0),EDATE(Bonds!$H131,6*(35-1))))</f>
        <v/>
      </c>
      <c r="AN131" s="3" t="str">
        <f>IF(36&gt;$C131,"",IF($D131=1,EOMONTH(EDATE(Bonds!$H131,6*(36-1)),0),EDATE(Bonds!$H131,6*(36-1))))</f>
        <v/>
      </c>
      <c r="AO131" s="3" t="str">
        <f>IF(37&gt;$C131,"",IF($D131=1,EOMONTH(EDATE(Bonds!$H131,6*(37-1)),0),EDATE(Bonds!$H131,6*(37-1))))</f>
        <v/>
      </c>
      <c r="AP131" s="3" t="str">
        <f>IF(38&gt;$C131,"",IF($D131=1,EOMONTH(EDATE(Bonds!$H131,6*(38-1)),0),EDATE(Bonds!$H131,6*(38-1))))</f>
        <v/>
      </c>
      <c r="AQ131" s="3" t="str">
        <f>IF(39&gt;$C131,"",IF($D131=1,EOMONTH(EDATE(Bonds!$H131,6*(39-1)),0),EDATE(Bonds!$H131,6*(39-1))))</f>
        <v/>
      </c>
      <c r="AR131" s="3" t="str">
        <f>IF(40&gt;$C131,"",IF($D131=1,EOMONTH(EDATE(Bonds!$H131,6*(40-1)),0),EDATE(Bonds!$H131,6*(40-1))))</f>
        <v/>
      </c>
      <c r="AS131" s="3" t="str">
        <f>IF(41&gt;$C131,"",IF($D131=1,EOMONTH(EDATE(Bonds!$H131,6*(41-1)),0),EDATE(Bonds!$H131,6*(41-1))))</f>
        <v/>
      </c>
      <c r="AT131" s="3" t="str">
        <f>IF(42&gt;$C131,"",IF($D131=1,EOMONTH(EDATE(Bonds!$H131,6*(42-1)),0),EDATE(Bonds!$H131,6*(42-1))))</f>
        <v/>
      </c>
      <c r="AU131" s="3" t="str">
        <f>IF(43&gt;$C131,"",IF($D131=1,EOMONTH(EDATE(Bonds!$H131,6*(43-1)),0),EDATE(Bonds!$H131,6*(43-1))))</f>
        <v/>
      </c>
      <c r="AV131" s="3" t="str">
        <f>IF(44&gt;$C131,"",IF($D131=1,EOMONTH(EDATE(Bonds!$H131,6*(44-1)),0),EDATE(Bonds!$H131,6*(44-1))))</f>
        <v/>
      </c>
      <c r="AW131" s="3" t="str">
        <f>IF(45&gt;$C131,"",IF($D131=1,EOMONTH(EDATE(Bonds!$H131,6*(45-1)),0),EDATE(Bonds!$H131,6*(45-1))))</f>
        <v/>
      </c>
      <c r="AX131" s="3" t="str">
        <f>IF(46&gt;$C131,"",IF($D131=1,EOMONTH(EDATE(Bonds!$H131,6*(46-1)),0),EDATE(Bonds!$H131,6*(46-1))))</f>
        <v/>
      </c>
      <c r="AY131" s="3" t="str">
        <f>IF(47&gt;$C131,"",IF($D131=1,EOMONTH(EDATE(Bonds!$H131,6*(47-1)),0),EDATE(Bonds!$H131,6*(47-1))))</f>
        <v/>
      </c>
      <c r="AZ131" s="3" t="str">
        <f>IF(48&gt;$C131,"",IF($D131=1,EOMONTH(EDATE(Bonds!$H131,6*(48-1)),0),EDATE(Bonds!$H131,6*(48-1))))</f>
        <v/>
      </c>
      <c r="BA131" s="3" t="str">
        <f>IF(49&gt;$C131,"",IF($D131=1,EOMONTH(EDATE(Bonds!$H131,6*(49-1)),0),EDATE(Bonds!$H131,6*(49-1))))</f>
        <v/>
      </c>
      <c r="BB131" s="3" t="str">
        <f>IF(50&gt;$C131,"",IF($D131=1,EOMONTH(EDATE(Bonds!$H131,6*(50-1)),0),EDATE(Bonds!$H131,6*(50-1))))</f>
        <v/>
      </c>
      <c r="BC131" s="3" t="str">
        <f>IF(51&gt;$C131,"",IF($D131=1,EOMONTH(EDATE(Bonds!$H131,6*(51-1)),0),EDATE(Bonds!$H131,6*(51-1))))</f>
        <v/>
      </c>
      <c r="BD131" s="3" t="str">
        <f>IF(52&gt;$C131,"",IF($D131=1,EOMONTH(EDATE(Bonds!$H131,6*(52-1)),0),EDATE(Bonds!$H131,6*(52-1))))</f>
        <v/>
      </c>
      <c r="BE131" s="3" t="str">
        <f>IF(53&gt;$C131,"",IF($D131=1,EOMONTH(EDATE(Bonds!$H131,6*(53-1)),0),EDATE(Bonds!$H131,6*(53-1))))</f>
        <v/>
      </c>
      <c r="BF131" s="3" t="str">
        <f>IF(54&gt;$C131,"",IF($D131=1,EOMONTH(EDATE(Bonds!$H131,6*(54-1)),0),EDATE(Bonds!$H131,6*(54-1))))</f>
        <v/>
      </c>
      <c r="BG131" s="3" t="str">
        <f>IF(55&gt;$C131,"",IF($D131=1,EOMONTH(EDATE(Bonds!$H131,6*(55-1)),0),EDATE(Bonds!$H131,6*(55-1))))</f>
        <v/>
      </c>
      <c r="BH131" s="3" t="str">
        <f>IF(56&gt;$C131,"",IF($D131=1,EOMONTH(EDATE(Bonds!$H131,6*(56-1)),0),EDATE(Bonds!$H131,6*(56-1))))</f>
        <v/>
      </c>
      <c r="BI131" s="3" t="str">
        <f>IF(57&gt;$C131,"",IF($D131=1,EOMONTH(EDATE(Bonds!$H131,6*(57-1)),0),EDATE(Bonds!$H131,6*(57-1))))</f>
        <v/>
      </c>
      <c r="BJ131" s="3" t="str">
        <f>IF(58&gt;$C131,"",IF($D131=1,EOMONTH(EDATE(Bonds!$H131,6*(58-1)),0),EDATE(Bonds!$H131,6*(58-1))))</f>
        <v/>
      </c>
      <c r="BK131" s="3" t="str">
        <f>IF(59&gt;$C131,"",IF($D131=1,EOMONTH(EDATE(Bonds!$H131,6*(59-1)),0),EDATE(Bonds!$H131,6*(59-1))))</f>
        <v/>
      </c>
      <c r="BL131" s="3" t="str">
        <f>IF(60&gt;$C131,"",IF($D131=1,EOMONTH(EDATE(Bonds!$H131,6*(60-1)),0),EDATE(Bonds!$H131,6*(60-1))))</f>
        <v/>
      </c>
      <c r="BN131" s="7">
        <f t="shared" si="62"/>
        <v>1.9694040134715884</v>
      </c>
      <c r="BO131" s="7">
        <f t="shared" si="63"/>
        <v>1.9281343569772784</v>
      </c>
      <c r="BP131" s="7">
        <f t="shared" si="64"/>
        <v>1.884989958984949</v>
      </c>
      <c r="BQ131" s="7">
        <f t="shared" si="65"/>
        <v>1.8424889577749151</v>
      </c>
      <c r="BR131" s="7">
        <f t="shared" si="66"/>
        <v>91.81713610793912</v>
      </c>
      <c r="BS131" s="7">
        <f t="shared" si="67"/>
        <v>0</v>
      </c>
      <c r="BT131" s="7">
        <f t="shared" si="68"/>
        <v>0</v>
      </c>
      <c r="BU131" s="7">
        <f t="shared" si="69"/>
        <v>0</v>
      </c>
      <c r="BV131" s="7">
        <f t="shared" si="70"/>
        <v>0</v>
      </c>
      <c r="BW131" s="7">
        <f t="shared" si="71"/>
        <v>0</v>
      </c>
      <c r="BX131" s="7">
        <f t="shared" si="72"/>
        <v>0</v>
      </c>
      <c r="BY131" s="7">
        <f t="shared" si="73"/>
        <v>0</v>
      </c>
      <c r="BZ131" s="7">
        <f t="shared" si="74"/>
        <v>0</v>
      </c>
      <c r="CA131" s="7">
        <f t="shared" si="75"/>
        <v>0</v>
      </c>
      <c r="CB131" s="7">
        <f t="shared" si="76"/>
        <v>0</v>
      </c>
      <c r="CC131" s="7">
        <f t="shared" si="77"/>
        <v>0</v>
      </c>
      <c r="CD131" s="7">
        <f t="shared" si="78"/>
        <v>0</v>
      </c>
      <c r="CE131" s="7">
        <f t="shared" si="79"/>
        <v>0</v>
      </c>
      <c r="CF131" s="7">
        <f t="shared" si="80"/>
        <v>0</v>
      </c>
      <c r="CG131" s="7">
        <f t="shared" si="81"/>
        <v>0</v>
      </c>
      <c r="CH131" s="7">
        <f t="shared" si="82"/>
        <v>0</v>
      </c>
      <c r="CI131" s="7">
        <f t="shared" si="83"/>
        <v>0</v>
      </c>
      <c r="CJ131" s="7">
        <f t="shared" si="84"/>
        <v>0</v>
      </c>
      <c r="CK131" s="7">
        <f t="shared" si="85"/>
        <v>0</v>
      </c>
      <c r="CL131" s="7">
        <f t="shared" si="86"/>
        <v>0</v>
      </c>
      <c r="CM131" s="7">
        <f t="shared" si="87"/>
        <v>0</v>
      </c>
      <c r="CN131" s="7">
        <f t="shared" si="88"/>
        <v>0</v>
      </c>
      <c r="CO131" s="7">
        <f t="shared" si="89"/>
        <v>0</v>
      </c>
      <c r="CP131" s="7">
        <f t="shared" si="90"/>
        <v>0</v>
      </c>
      <c r="CQ131" s="7">
        <f t="shared" si="91"/>
        <v>0</v>
      </c>
      <c r="CR131" s="7">
        <f t="shared" si="92"/>
        <v>0</v>
      </c>
      <c r="CS131" s="7">
        <f t="shared" si="93"/>
        <v>0</v>
      </c>
      <c r="CT131" s="7">
        <f t="shared" si="94"/>
        <v>0</v>
      </c>
      <c r="CU131" s="7">
        <f t="shared" si="95"/>
        <v>0</v>
      </c>
      <c r="CV131" s="7">
        <f t="shared" si="96"/>
        <v>0</v>
      </c>
      <c r="CW131" s="7">
        <f t="shared" si="97"/>
        <v>0</v>
      </c>
      <c r="CX131" s="7">
        <f t="shared" si="98"/>
        <v>0</v>
      </c>
      <c r="CY131" s="7">
        <f t="shared" si="99"/>
        <v>0</v>
      </c>
      <c r="CZ131" s="7">
        <f t="shared" si="100"/>
        <v>0</v>
      </c>
      <c r="DA131" s="7">
        <f t="shared" si="101"/>
        <v>0</v>
      </c>
      <c r="DB131" s="7">
        <f t="shared" si="102"/>
        <v>0</v>
      </c>
      <c r="DC131" s="7">
        <f t="shared" si="103"/>
        <v>0</v>
      </c>
      <c r="DD131" s="7">
        <f t="shared" si="104"/>
        <v>0</v>
      </c>
      <c r="DE131" s="7">
        <f t="shared" si="105"/>
        <v>0</v>
      </c>
      <c r="DF131" s="7">
        <f t="shared" si="106"/>
        <v>0</v>
      </c>
      <c r="DG131" s="7">
        <f t="shared" si="107"/>
        <v>0</v>
      </c>
      <c r="DH131" s="7">
        <f t="shared" si="108"/>
        <v>0</v>
      </c>
      <c r="DI131" s="7">
        <f t="shared" si="109"/>
        <v>0</v>
      </c>
      <c r="DJ131" s="7">
        <f t="shared" si="110"/>
        <v>0</v>
      </c>
      <c r="DK131" s="7">
        <f t="shared" si="111"/>
        <v>0</v>
      </c>
      <c r="DL131" s="7">
        <f t="shared" si="112"/>
        <v>0</v>
      </c>
      <c r="DM131" s="7">
        <f t="shared" si="113"/>
        <v>0</v>
      </c>
      <c r="DN131" s="7">
        <f t="shared" si="114"/>
        <v>0</v>
      </c>
      <c r="DO131" s="7">
        <f t="shared" si="115"/>
        <v>0</v>
      </c>
      <c r="DP131" s="7">
        <f t="shared" si="116"/>
        <v>0</v>
      </c>
      <c r="DQ131" s="7">
        <f t="shared" si="117"/>
        <v>0</v>
      </c>
      <c r="DR131" s="7">
        <f t="shared" si="118"/>
        <v>0</v>
      </c>
      <c r="DS131" s="7">
        <f t="shared" si="119"/>
        <v>0</v>
      </c>
      <c r="DT131" s="7">
        <f t="shared" si="120"/>
        <v>0</v>
      </c>
      <c r="DU131" s="7">
        <f t="shared" si="121"/>
        <v>0</v>
      </c>
    </row>
    <row r="132" spans="1:125" x14ac:dyDescent="0.2">
      <c r="A132" s="3">
        <f>Bonds!A132</f>
        <v>47164</v>
      </c>
      <c r="B132" s="4">
        <f>Bonds!B132</f>
        <v>2.625</v>
      </c>
      <c r="C132">
        <f>Bonds!P132</f>
        <v>5</v>
      </c>
      <c r="D132">
        <f t="shared" si="61"/>
        <v>0</v>
      </c>
      <c r="E132" s="3">
        <f>IF(1&gt;$C132,"",IF($D132=1,EOMONTH(EDATE(Bonds!$H132,6*(1-1)),0),EDATE(Bonds!$H132,6*(1-1))))</f>
        <v>46433</v>
      </c>
      <c r="F132" s="3">
        <f>IF(2&gt;$C132,"",IF($D132=1,EOMONTH(EDATE(Bonds!$H132,6*(2-1)),0),EDATE(Bonds!$H132,6*(2-1))))</f>
        <v>46614</v>
      </c>
      <c r="G132" s="3">
        <f>IF(3&gt;$C132,"",IF($D132=1,EOMONTH(EDATE(Bonds!$H132,6*(3-1)),0),EDATE(Bonds!$H132,6*(3-1))))</f>
        <v>46798</v>
      </c>
      <c r="H132" s="3">
        <f>IF(4&gt;$C132,"",IF($D132=1,EOMONTH(EDATE(Bonds!$H132,6*(4-1)),0),EDATE(Bonds!$H132,6*(4-1))))</f>
        <v>46980</v>
      </c>
      <c r="I132" s="3">
        <f>IF(5&gt;$C132,"",IF($D132=1,EOMONTH(EDATE(Bonds!$H132,6*(5-1)),0),EDATE(Bonds!$H132,6*(5-1))))</f>
        <v>47164</v>
      </c>
      <c r="J132" s="3" t="str">
        <f>IF(6&gt;$C132,"",IF($D132=1,EOMONTH(EDATE(Bonds!$H132,6*(6-1)),0),EDATE(Bonds!$H132,6*(6-1))))</f>
        <v/>
      </c>
      <c r="K132" s="3" t="str">
        <f>IF(7&gt;$C132,"",IF($D132=1,EOMONTH(EDATE(Bonds!$H132,6*(7-1)),0),EDATE(Bonds!$H132,6*(7-1))))</f>
        <v/>
      </c>
      <c r="L132" s="3" t="str">
        <f>IF(8&gt;$C132,"",IF($D132=1,EOMONTH(EDATE(Bonds!$H132,6*(8-1)),0),EDATE(Bonds!$H132,6*(8-1))))</f>
        <v/>
      </c>
      <c r="M132" s="3" t="str">
        <f>IF(9&gt;$C132,"",IF($D132=1,EOMONTH(EDATE(Bonds!$H132,6*(9-1)),0),EDATE(Bonds!$H132,6*(9-1))))</f>
        <v/>
      </c>
      <c r="N132" s="3" t="str">
        <f>IF(10&gt;$C132,"",IF($D132=1,EOMONTH(EDATE(Bonds!$H132,6*(10-1)),0),EDATE(Bonds!$H132,6*(10-1))))</f>
        <v/>
      </c>
      <c r="O132" s="3" t="str">
        <f>IF(11&gt;$C132,"",IF($D132=1,EOMONTH(EDATE(Bonds!$H132,6*(11-1)),0),EDATE(Bonds!$H132,6*(11-1))))</f>
        <v/>
      </c>
      <c r="P132" s="3" t="str">
        <f>IF(12&gt;$C132,"",IF($D132=1,EOMONTH(EDATE(Bonds!$H132,6*(12-1)),0),EDATE(Bonds!$H132,6*(12-1))))</f>
        <v/>
      </c>
      <c r="Q132" s="3" t="str">
        <f>IF(13&gt;$C132,"",IF($D132=1,EOMONTH(EDATE(Bonds!$H132,6*(13-1)),0),EDATE(Bonds!$H132,6*(13-1))))</f>
        <v/>
      </c>
      <c r="R132" s="3" t="str">
        <f>IF(14&gt;$C132,"",IF($D132=1,EOMONTH(EDATE(Bonds!$H132,6*(14-1)),0),EDATE(Bonds!$H132,6*(14-1))))</f>
        <v/>
      </c>
      <c r="S132" s="3" t="str">
        <f>IF(15&gt;$C132,"",IF($D132=1,EOMONTH(EDATE(Bonds!$H132,6*(15-1)),0),EDATE(Bonds!$H132,6*(15-1))))</f>
        <v/>
      </c>
      <c r="T132" s="3" t="str">
        <f>IF(16&gt;$C132,"",IF($D132=1,EOMONTH(EDATE(Bonds!$H132,6*(16-1)),0),EDATE(Bonds!$H132,6*(16-1))))</f>
        <v/>
      </c>
      <c r="U132" s="3" t="str">
        <f>IF(17&gt;$C132,"",IF($D132=1,EOMONTH(EDATE(Bonds!$H132,6*(17-1)),0),EDATE(Bonds!$H132,6*(17-1))))</f>
        <v/>
      </c>
      <c r="V132" s="3" t="str">
        <f>IF(18&gt;$C132,"",IF($D132=1,EOMONTH(EDATE(Bonds!$H132,6*(18-1)),0),EDATE(Bonds!$H132,6*(18-1))))</f>
        <v/>
      </c>
      <c r="W132" s="3" t="str">
        <f>IF(19&gt;$C132,"",IF($D132=1,EOMONTH(EDATE(Bonds!$H132,6*(19-1)),0),EDATE(Bonds!$H132,6*(19-1))))</f>
        <v/>
      </c>
      <c r="X132" s="3" t="str">
        <f>IF(20&gt;$C132,"",IF($D132=1,EOMONTH(EDATE(Bonds!$H132,6*(20-1)),0),EDATE(Bonds!$H132,6*(20-1))))</f>
        <v/>
      </c>
      <c r="Y132" s="3" t="str">
        <f>IF(21&gt;$C132,"",IF($D132=1,EOMONTH(EDATE(Bonds!$H132,6*(21-1)),0),EDATE(Bonds!$H132,6*(21-1))))</f>
        <v/>
      </c>
      <c r="Z132" s="3" t="str">
        <f>IF(22&gt;$C132,"",IF($D132=1,EOMONTH(EDATE(Bonds!$H132,6*(22-1)),0),EDATE(Bonds!$H132,6*(22-1))))</f>
        <v/>
      </c>
      <c r="AA132" s="3" t="str">
        <f>IF(23&gt;$C132,"",IF($D132=1,EOMONTH(EDATE(Bonds!$H132,6*(23-1)),0),EDATE(Bonds!$H132,6*(23-1))))</f>
        <v/>
      </c>
      <c r="AB132" s="3" t="str">
        <f>IF(24&gt;$C132,"",IF($D132=1,EOMONTH(EDATE(Bonds!$H132,6*(24-1)),0),EDATE(Bonds!$H132,6*(24-1))))</f>
        <v/>
      </c>
      <c r="AC132" s="3" t="str">
        <f>IF(25&gt;$C132,"",IF($D132=1,EOMONTH(EDATE(Bonds!$H132,6*(25-1)),0),EDATE(Bonds!$H132,6*(25-1))))</f>
        <v/>
      </c>
      <c r="AD132" s="3" t="str">
        <f>IF(26&gt;$C132,"",IF($D132=1,EOMONTH(EDATE(Bonds!$H132,6*(26-1)),0),EDATE(Bonds!$H132,6*(26-1))))</f>
        <v/>
      </c>
      <c r="AE132" s="3" t="str">
        <f>IF(27&gt;$C132,"",IF($D132=1,EOMONTH(EDATE(Bonds!$H132,6*(27-1)),0),EDATE(Bonds!$H132,6*(27-1))))</f>
        <v/>
      </c>
      <c r="AF132" s="3" t="str">
        <f>IF(28&gt;$C132,"",IF($D132=1,EOMONTH(EDATE(Bonds!$H132,6*(28-1)),0),EDATE(Bonds!$H132,6*(28-1))))</f>
        <v/>
      </c>
      <c r="AG132" s="3" t="str">
        <f>IF(29&gt;$C132,"",IF($D132=1,EOMONTH(EDATE(Bonds!$H132,6*(29-1)),0),EDATE(Bonds!$H132,6*(29-1))))</f>
        <v/>
      </c>
      <c r="AH132" s="3" t="str">
        <f>IF(30&gt;$C132,"",IF($D132=1,EOMONTH(EDATE(Bonds!$H132,6*(30-1)),0),EDATE(Bonds!$H132,6*(30-1))))</f>
        <v/>
      </c>
      <c r="AI132" s="3" t="str">
        <f>IF(31&gt;$C132,"",IF($D132=1,EOMONTH(EDATE(Bonds!$H132,6*(31-1)),0),EDATE(Bonds!$H132,6*(31-1))))</f>
        <v/>
      </c>
      <c r="AJ132" s="3" t="str">
        <f>IF(32&gt;$C132,"",IF($D132=1,EOMONTH(EDATE(Bonds!$H132,6*(32-1)),0),EDATE(Bonds!$H132,6*(32-1))))</f>
        <v/>
      </c>
      <c r="AK132" s="3" t="str">
        <f>IF(33&gt;$C132,"",IF($D132=1,EOMONTH(EDATE(Bonds!$H132,6*(33-1)),0),EDATE(Bonds!$H132,6*(33-1))))</f>
        <v/>
      </c>
      <c r="AL132" s="3" t="str">
        <f>IF(34&gt;$C132,"",IF($D132=1,EOMONTH(EDATE(Bonds!$H132,6*(34-1)),0),EDATE(Bonds!$H132,6*(34-1))))</f>
        <v/>
      </c>
      <c r="AM132" s="3" t="str">
        <f>IF(35&gt;$C132,"",IF($D132=1,EOMONTH(EDATE(Bonds!$H132,6*(35-1)),0),EDATE(Bonds!$H132,6*(35-1))))</f>
        <v/>
      </c>
      <c r="AN132" s="3" t="str">
        <f>IF(36&gt;$C132,"",IF($D132=1,EOMONTH(EDATE(Bonds!$H132,6*(36-1)),0),EDATE(Bonds!$H132,6*(36-1))))</f>
        <v/>
      </c>
      <c r="AO132" s="3" t="str">
        <f>IF(37&gt;$C132,"",IF($D132=1,EOMONTH(EDATE(Bonds!$H132,6*(37-1)),0),EDATE(Bonds!$H132,6*(37-1))))</f>
        <v/>
      </c>
      <c r="AP132" s="3" t="str">
        <f>IF(38&gt;$C132,"",IF($D132=1,EOMONTH(EDATE(Bonds!$H132,6*(38-1)),0),EDATE(Bonds!$H132,6*(38-1))))</f>
        <v/>
      </c>
      <c r="AQ132" s="3" t="str">
        <f>IF(39&gt;$C132,"",IF($D132=1,EOMONTH(EDATE(Bonds!$H132,6*(39-1)),0),EDATE(Bonds!$H132,6*(39-1))))</f>
        <v/>
      </c>
      <c r="AR132" s="3" t="str">
        <f>IF(40&gt;$C132,"",IF($D132=1,EOMONTH(EDATE(Bonds!$H132,6*(40-1)),0),EDATE(Bonds!$H132,6*(40-1))))</f>
        <v/>
      </c>
      <c r="AS132" s="3" t="str">
        <f>IF(41&gt;$C132,"",IF($D132=1,EOMONTH(EDATE(Bonds!$H132,6*(41-1)),0),EDATE(Bonds!$H132,6*(41-1))))</f>
        <v/>
      </c>
      <c r="AT132" s="3" t="str">
        <f>IF(42&gt;$C132,"",IF($D132=1,EOMONTH(EDATE(Bonds!$H132,6*(42-1)),0),EDATE(Bonds!$H132,6*(42-1))))</f>
        <v/>
      </c>
      <c r="AU132" s="3" t="str">
        <f>IF(43&gt;$C132,"",IF($D132=1,EOMONTH(EDATE(Bonds!$H132,6*(43-1)),0),EDATE(Bonds!$H132,6*(43-1))))</f>
        <v/>
      </c>
      <c r="AV132" s="3" t="str">
        <f>IF(44&gt;$C132,"",IF($D132=1,EOMONTH(EDATE(Bonds!$H132,6*(44-1)),0),EDATE(Bonds!$H132,6*(44-1))))</f>
        <v/>
      </c>
      <c r="AW132" s="3" t="str">
        <f>IF(45&gt;$C132,"",IF($D132=1,EOMONTH(EDATE(Bonds!$H132,6*(45-1)),0),EDATE(Bonds!$H132,6*(45-1))))</f>
        <v/>
      </c>
      <c r="AX132" s="3" t="str">
        <f>IF(46&gt;$C132,"",IF($D132=1,EOMONTH(EDATE(Bonds!$H132,6*(46-1)),0),EDATE(Bonds!$H132,6*(46-1))))</f>
        <v/>
      </c>
      <c r="AY132" s="3" t="str">
        <f>IF(47&gt;$C132,"",IF($D132=1,EOMONTH(EDATE(Bonds!$H132,6*(47-1)),0),EDATE(Bonds!$H132,6*(47-1))))</f>
        <v/>
      </c>
      <c r="AZ132" s="3" t="str">
        <f>IF(48&gt;$C132,"",IF($D132=1,EOMONTH(EDATE(Bonds!$H132,6*(48-1)),0),EDATE(Bonds!$H132,6*(48-1))))</f>
        <v/>
      </c>
      <c r="BA132" s="3" t="str">
        <f>IF(49&gt;$C132,"",IF($D132=1,EOMONTH(EDATE(Bonds!$H132,6*(49-1)),0),EDATE(Bonds!$H132,6*(49-1))))</f>
        <v/>
      </c>
      <c r="BB132" s="3" t="str">
        <f>IF(50&gt;$C132,"",IF($D132=1,EOMONTH(EDATE(Bonds!$H132,6*(50-1)),0),EDATE(Bonds!$H132,6*(50-1))))</f>
        <v/>
      </c>
      <c r="BC132" s="3" t="str">
        <f>IF(51&gt;$C132,"",IF($D132=1,EOMONTH(EDATE(Bonds!$H132,6*(51-1)),0),EDATE(Bonds!$H132,6*(51-1))))</f>
        <v/>
      </c>
      <c r="BD132" s="3" t="str">
        <f>IF(52&gt;$C132,"",IF($D132=1,EOMONTH(EDATE(Bonds!$H132,6*(52-1)),0),EDATE(Bonds!$H132,6*(52-1))))</f>
        <v/>
      </c>
      <c r="BE132" s="3" t="str">
        <f>IF(53&gt;$C132,"",IF($D132=1,EOMONTH(EDATE(Bonds!$H132,6*(53-1)),0),EDATE(Bonds!$H132,6*(53-1))))</f>
        <v/>
      </c>
      <c r="BF132" s="3" t="str">
        <f>IF(54&gt;$C132,"",IF($D132=1,EOMONTH(EDATE(Bonds!$H132,6*(54-1)),0),EDATE(Bonds!$H132,6*(54-1))))</f>
        <v/>
      </c>
      <c r="BG132" s="3" t="str">
        <f>IF(55&gt;$C132,"",IF($D132=1,EOMONTH(EDATE(Bonds!$H132,6*(55-1)),0),EDATE(Bonds!$H132,6*(55-1))))</f>
        <v/>
      </c>
      <c r="BH132" s="3" t="str">
        <f>IF(56&gt;$C132,"",IF($D132=1,EOMONTH(EDATE(Bonds!$H132,6*(56-1)),0),EDATE(Bonds!$H132,6*(56-1))))</f>
        <v/>
      </c>
      <c r="BI132" s="3" t="str">
        <f>IF(57&gt;$C132,"",IF($D132=1,EOMONTH(EDATE(Bonds!$H132,6*(57-1)),0),EDATE(Bonds!$H132,6*(57-1))))</f>
        <v/>
      </c>
      <c r="BJ132" s="3" t="str">
        <f>IF(58&gt;$C132,"",IF($D132=1,EOMONTH(EDATE(Bonds!$H132,6*(58-1)),0),EDATE(Bonds!$H132,6*(58-1))))</f>
        <v/>
      </c>
      <c r="BK132" s="3" t="str">
        <f>IF(59&gt;$C132,"",IF($D132=1,EOMONTH(EDATE(Bonds!$H132,6*(59-1)),0),EDATE(Bonds!$H132,6*(59-1))))</f>
        <v/>
      </c>
      <c r="BL132" s="3" t="str">
        <f>IF(60&gt;$C132,"",IF($D132=1,EOMONTH(EDATE(Bonds!$H132,6*(60-1)),0),EDATE(Bonds!$H132,6*(60-1))))</f>
        <v/>
      </c>
      <c r="BN132" s="7">
        <f t="shared" si="62"/>
        <v>1.2902393204938361</v>
      </c>
      <c r="BO132" s="7">
        <f t="shared" si="63"/>
        <v>1.2630432384246972</v>
      </c>
      <c r="BP132" s="7">
        <f t="shared" si="64"/>
        <v>1.2347135165365364</v>
      </c>
      <c r="BQ132" s="7">
        <f t="shared" si="65"/>
        <v>1.2068548702782265</v>
      </c>
      <c r="BR132" s="7">
        <f t="shared" si="66"/>
        <v>91.026456293970639</v>
      </c>
      <c r="BS132" s="7">
        <f t="shared" si="67"/>
        <v>0</v>
      </c>
      <c r="BT132" s="7">
        <f t="shared" si="68"/>
        <v>0</v>
      </c>
      <c r="BU132" s="7">
        <f t="shared" si="69"/>
        <v>0</v>
      </c>
      <c r="BV132" s="7">
        <f t="shared" si="70"/>
        <v>0</v>
      </c>
      <c r="BW132" s="7">
        <f t="shared" si="71"/>
        <v>0</v>
      </c>
      <c r="BX132" s="7">
        <f t="shared" si="72"/>
        <v>0</v>
      </c>
      <c r="BY132" s="7">
        <f t="shared" si="73"/>
        <v>0</v>
      </c>
      <c r="BZ132" s="7">
        <f t="shared" si="74"/>
        <v>0</v>
      </c>
      <c r="CA132" s="7">
        <f t="shared" si="75"/>
        <v>0</v>
      </c>
      <c r="CB132" s="7">
        <f t="shared" si="76"/>
        <v>0</v>
      </c>
      <c r="CC132" s="7">
        <f t="shared" si="77"/>
        <v>0</v>
      </c>
      <c r="CD132" s="7">
        <f t="shared" si="78"/>
        <v>0</v>
      </c>
      <c r="CE132" s="7">
        <f t="shared" si="79"/>
        <v>0</v>
      </c>
      <c r="CF132" s="7">
        <f t="shared" si="80"/>
        <v>0</v>
      </c>
      <c r="CG132" s="7">
        <f t="shared" si="81"/>
        <v>0</v>
      </c>
      <c r="CH132" s="7">
        <f t="shared" si="82"/>
        <v>0</v>
      </c>
      <c r="CI132" s="7">
        <f t="shared" si="83"/>
        <v>0</v>
      </c>
      <c r="CJ132" s="7">
        <f t="shared" si="84"/>
        <v>0</v>
      </c>
      <c r="CK132" s="7">
        <f t="shared" si="85"/>
        <v>0</v>
      </c>
      <c r="CL132" s="7">
        <f t="shared" si="86"/>
        <v>0</v>
      </c>
      <c r="CM132" s="7">
        <f t="shared" si="87"/>
        <v>0</v>
      </c>
      <c r="CN132" s="7">
        <f t="shared" si="88"/>
        <v>0</v>
      </c>
      <c r="CO132" s="7">
        <f t="shared" si="89"/>
        <v>0</v>
      </c>
      <c r="CP132" s="7">
        <f t="shared" si="90"/>
        <v>0</v>
      </c>
      <c r="CQ132" s="7">
        <f t="shared" si="91"/>
        <v>0</v>
      </c>
      <c r="CR132" s="7">
        <f t="shared" si="92"/>
        <v>0</v>
      </c>
      <c r="CS132" s="7">
        <f t="shared" si="93"/>
        <v>0</v>
      </c>
      <c r="CT132" s="7">
        <f t="shared" si="94"/>
        <v>0</v>
      </c>
      <c r="CU132" s="7">
        <f t="shared" si="95"/>
        <v>0</v>
      </c>
      <c r="CV132" s="7">
        <f t="shared" si="96"/>
        <v>0</v>
      </c>
      <c r="CW132" s="7">
        <f t="shared" si="97"/>
        <v>0</v>
      </c>
      <c r="CX132" s="7">
        <f t="shared" si="98"/>
        <v>0</v>
      </c>
      <c r="CY132" s="7">
        <f t="shared" si="99"/>
        <v>0</v>
      </c>
      <c r="CZ132" s="7">
        <f t="shared" si="100"/>
        <v>0</v>
      </c>
      <c r="DA132" s="7">
        <f t="shared" si="101"/>
        <v>0</v>
      </c>
      <c r="DB132" s="7">
        <f t="shared" si="102"/>
        <v>0</v>
      </c>
      <c r="DC132" s="7">
        <f t="shared" si="103"/>
        <v>0</v>
      </c>
      <c r="DD132" s="7">
        <f t="shared" si="104"/>
        <v>0</v>
      </c>
      <c r="DE132" s="7">
        <f t="shared" si="105"/>
        <v>0</v>
      </c>
      <c r="DF132" s="7">
        <f t="shared" si="106"/>
        <v>0</v>
      </c>
      <c r="DG132" s="7">
        <f t="shared" si="107"/>
        <v>0</v>
      </c>
      <c r="DH132" s="7">
        <f t="shared" si="108"/>
        <v>0</v>
      </c>
      <c r="DI132" s="7">
        <f t="shared" si="109"/>
        <v>0</v>
      </c>
      <c r="DJ132" s="7">
        <f t="shared" si="110"/>
        <v>0</v>
      </c>
      <c r="DK132" s="7">
        <f t="shared" si="111"/>
        <v>0</v>
      </c>
      <c r="DL132" s="7">
        <f t="shared" si="112"/>
        <v>0</v>
      </c>
      <c r="DM132" s="7">
        <f t="shared" si="113"/>
        <v>0</v>
      </c>
      <c r="DN132" s="7">
        <f t="shared" si="114"/>
        <v>0</v>
      </c>
      <c r="DO132" s="7">
        <f t="shared" si="115"/>
        <v>0</v>
      </c>
      <c r="DP132" s="7">
        <f t="shared" si="116"/>
        <v>0</v>
      </c>
      <c r="DQ132" s="7">
        <f t="shared" si="117"/>
        <v>0</v>
      </c>
      <c r="DR132" s="7">
        <f t="shared" si="118"/>
        <v>0</v>
      </c>
      <c r="DS132" s="7">
        <f t="shared" si="119"/>
        <v>0</v>
      </c>
      <c r="DT132" s="7">
        <f t="shared" si="120"/>
        <v>0</v>
      </c>
      <c r="DU132" s="7">
        <f t="shared" si="121"/>
        <v>0</v>
      </c>
    </row>
    <row r="133" spans="1:125" x14ac:dyDescent="0.2">
      <c r="A133" s="3">
        <f>Bonds!A133</f>
        <v>47164</v>
      </c>
      <c r="B133" s="4">
        <f>Bonds!B133</f>
        <v>3.5</v>
      </c>
      <c r="C133">
        <f>Bonds!P133</f>
        <v>5</v>
      </c>
      <c r="D133">
        <f t="shared" si="61"/>
        <v>0</v>
      </c>
      <c r="E133" s="3">
        <f>IF(1&gt;$C133,"",IF($D133=1,EOMONTH(EDATE(Bonds!$H133,6*(1-1)),0),EDATE(Bonds!$H133,6*(1-1))))</f>
        <v>46433</v>
      </c>
      <c r="F133" s="3">
        <f>IF(2&gt;$C133,"",IF($D133=1,EOMONTH(EDATE(Bonds!$H133,6*(2-1)),0),EDATE(Bonds!$H133,6*(2-1))))</f>
        <v>46614</v>
      </c>
      <c r="G133" s="3">
        <f>IF(3&gt;$C133,"",IF($D133=1,EOMONTH(EDATE(Bonds!$H133,6*(3-1)),0),EDATE(Bonds!$H133,6*(3-1))))</f>
        <v>46798</v>
      </c>
      <c r="H133" s="3">
        <f>IF(4&gt;$C133,"",IF($D133=1,EOMONTH(EDATE(Bonds!$H133,6*(4-1)),0),EDATE(Bonds!$H133,6*(4-1))))</f>
        <v>46980</v>
      </c>
      <c r="I133" s="3">
        <f>IF(5&gt;$C133,"",IF($D133=1,EOMONTH(EDATE(Bonds!$H133,6*(5-1)),0),EDATE(Bonds!$H133,6*(5-1))))</f>
        <v>47164</v>
      </c>
      <c r="J133" s="3" t="str">
        <f>IF(6&gt;$C133,"",IF($D133=1,EOMONTH(EDATE(Bonds!$H133,6*(6-1)),0),EDATE(Bonds!$H133,6*(6-1))))</f>
        <v/>
      </c>
      <c r="K133" s="3" t="str">
        <f>IF(7&gt;$C133,"",IF($D133=1,EOMONTH(EDATE(Bonds!$H133,6*(7-1)),0),EDATE(Bonds!$H133,6*(7-1))))</f>
        <v/>
      </c>
      <c r="L133" s="3" t="str">
        <f>IF(8&gt;$C133,"",IF($D133=1,EOMONTH(EDATE(Bonds!$H133,6*(8-1)),0),EDATE(Bonds!$H133,6*(8-1))))</f>
        <v/>
      </c>
      <c r="M133" s="3" t="str">
        <f>IF(9&gt;$C133,"",IF($D133=1,EOMONTH(EDATE(Bonds!$H133,6*(9-1)),0),EDATE(Bonds!$H133,6*(9-1))))</f>
        <v/>
      </c>
      <c r="N133" s="3" t="str">
        <f>IF(10&gt;$C133,"",IF($D133=1,EOMONTH(EDATE(Bonds!$H133,6*(10-1)),0),EDATE(Bonds!$H133,6*(10-1))))</f>
        <v/>
      </c>
      <c r="O133" s="3" t="str">
        <f>IF(11&gt;$C133,"",IF($D133=1,EOMONTH(EDATE(Bonds!$H133,6*(11-1)),0),EDATE(Bonds!$H133,6*(11-1))))</f>
        <v/>
      </c>
      <c r="P133" s="3" t="str">
        <f>IF(12&gt;$C133,"",IF($D133=1,EOMONTH(EDATE(Bonds!$H133,6*(12-1)),0),EDATE(Bonds!$H133,6*(12-1))))</f>
        <v/>
      </c>
      <c r="Q133" s="3" t="str">
        <f>IF(13&gt;$C133,"",IF($D133=1,EOMONTH(EDATE(Bonds!$H133,6*(13-1)),0),EDATE(Bonds!$H133,6*(13-1))))</f>
        <v/>
      </c>
      <c r="R133" s="3" t="str">
        <f>IF(14&gt;$C133,"",IF($D133=1,EOMONTH(EDATE(Bonds!$H133,6*(14-1)),0),EDATE(Bonds!$H133,6*(14-1))))</f>
        <v/>
      </c>
      <c r="S133" s="3" t="str">
        <f>IF(15&gt;$C133,"",IF($D133=1,EOMONTH(EDATE(Bonds!$H133,6*(15-1)),0),EDATE(Bonds!$H133,6*(15-1))))</f>
        <v/>
      </c>
      <c r="T133" s="3" t="str">
        <f>IF(16&gt;$C133,"",IF($D133=1,EOMONTH(EDATE(Bonds!$H133,6*(16-1)),0),EDATE(Bonds!$H133,6*(16-1))))</f>
        <v/>
      </c>
      <c r="U133" s="3" t="str">
        <f>IF(17&gt;$C133,"",IF($D133=1,EOMONTH(EDATE(Bonds!$H133,6*(17-1)),0),EDATE(Bonds!$H133,6*(17-1))))</f>
        <v/>
      </c>
      <c r="V133" s="3" t="str">
        <f>IF(18&gt;$C133,"",IF($D133=1,EOMONTH(EDATE(Bonds!$H133,6*(18-1)),0),EDATE(Bonds!$H133,6*(18-1))))</f>
        <v/>
      </c>
      <c r="W133" s="3" t="str">
        <f>IF(19&gt;$C133,"",IF($D133=1,EOMONTH(EDATE(Bonds!$H133,6*(19-1)),0),EDATE(Bonds!$H133,6*(19-1))))</f>
        <v/>
      </c>
      <c r="X133" s="3" t="str">
        <f>IF(20&gt;$C133,"",IF($D133=1,EOMONTH(EDATE(Bonds!$H133,6*(20-1)),0),EDATE(Bonds!$H133,6*(20-1))))</f>
        <v/>
      </c>
      <c r="Y133" s="3" t="str">
        <f>IF(21&gt;$C133,"",IF($D133=1,EOMONTH(EDATE(Bonds!$H133,6*(21-1)),0),EDATE(Bonds!$H133,6*(21-1))))</f>
        <v/>
      </c>
      <c r="Z133" s="3" t="str">
        <f>IF(22&gt;$C133,"",IF($D133=1,EOMONTH(EDATE(Bonds!$H133,6*(22-1)),0),EDATE(Bonds!$H133,6*(22-1))))</f>
        <v/>
      </c>
      <c r="AA133" s="3" t="str">
        <f>IF(23&gt;$C133,"",IF($D133=1,EOMONTH(EDATE(Bonds!$H133,6*(23-1)),0),EDATE(Bonds!$H133,6*(23-1))))</f>
        <v/>
      </c>
      <c r="AB133" s="3" t="str">
        <f>IF(24&gt;$C133,"",IF($D133=1,EOMONTH(EDATE(Bonds!$H133,6*(24-1)),0),EDATE(Bonds!$H133,6*(24-1))))</f>
        <v/>
      </c>
      <c r="AC133" s="3" t="str">
        <f>IF(25&gt;$C133,"",IF($D133=1,EOMONTH(EDATE(Bonds!$H133,6*(25-1)),0),EDATE(Bonds!$H133,6*(25-1))))</f>
        <v/>
      </c>
      <c r="AD133" s="3" t="str">
        <f>IF(26&gt;$C133,"",IF($D133=1,EOMONTH(EDATE(Bonds!$H133,6*(26-1)),0),EDATE(Bonds!$H133,6*(26-1))))</f>
        <v/>
      </c>
      <c r="AE133" s="3" t="str">
        <f>IF(27&gt;$C133,"",IF($D133=1,EOMONTH(EDATE(Bonds!$H133,6*(27-1)),0),EDATE(Bonds!$H133,6*(27-1))))</f>
        <v/>
      </c>
      <c r="AF133" s="3" t="str">
        <f>IF(28&gt;$C133,"",IF($D133=1,EOMONTH(EDATE(Bonds!$H133,6*(28-1)),0),EDATE(Bonds!$H133,6*(28-1))))</f>
        <v/>
      </c>
      <c r="AG133" s="3" t="str">
        <f>IF(29&gt;$C133,"",IF($D133=1,EOMONTH(EDATE(Bonds!$H133,6*(29-1)),0),EDATE(Bonds!$H133,6*(29-1))))</f>
        <v/>
      </c>
      <c r="AH133" s="3" t="str">
        <f>IF(30&gt;$C133,"",IF($D133=1,EOMONTH(EDATE(Bonds!$H133,6*(30-1)),0),EDATE(Bonds!$H133,6*(30-1))))</f>
        <v/>
      </c>
      <c r="AI133" s="3" t="str">
        <f>IF(31&gt;$C133,"",IF($D133=1,EOMONTH(EDATE(Bonds!$H133,6*(31-1)),0),EDATE(Bonds!$H133,6*(31-1))))</f>
        <v/>
      </c>
      <c r="AJ133" s="3" t="str">
        <f>IF(32&gt;$C133,"",IF($D133=1,EOMONTH(EDATE(Bonds!$H133,6*(32-1)),0),EDATE(Bonds!$H133,6*(32-1))))</f>
        <v/>
      </c>
      <c r="AK133" s="3" t="str">
        <f>IF(33&gt;$C133,"",IF($D133=1,EOMONTH(EDATE(Bonds!$H133,6*(33-1)),0),EDATE(Bonds!$H133,6*(33-1))))</f>
        <v/>
      </c>
      <c r="AL133" s="3" t="str">
        <f>IF(34&gt;$C133,"",IF($D133=1,EOMONTH(EDATE(Bonds!$H133,6*(34-1)),0),EDATE(Bonds!$H133,6*(34-1))))</f>
        <v/>
      </c>
      <c r="AM133" s="3" t="str">
        <f>IF(35&gt;$C133,"",IF($D133=1,EOMONTH(EDATE(Bonds!$H133,6*(35-1)),0),EDATE(Bonds!$H133,6*(35-1))))</f>
        <v/>
      </c>
      <c r="AN133" s="3" t="str">
        <f>IF(36&gt;$C133,"",IF($D133=1,EOMONTH(EDATE(Bonds!$H133,6*(36-1)),0),EDATE(Bonds!$H133,6*(36-1))))</f>
        <v/>
      </c>
      <c r="AO133" s="3" t="str">
        <f>IF(37&gt;$C133,"",IF($D133=1,EOMONTH(EDATE(Bonds!$H133,6*(37-1)),0),EDATE(Bonds!$H133,6*(37-1))))</f>
        <v/>
      </c>
      <c r="AP133" s="3" t="str">
        <f>IF(38&gt;$C133,"",IF($D133=1,EOMONTH(EDATE(Bonds!$H133,6*(38-1)),0),EDATE(Bonds!$H133,6*(38-1))))</f>
        <v/>
      </c>
      <c r="AQ133" s="3" t="str">
        <f>IF(39&gt;$C133,"",IF($D133=1,EOMONTH(EDATE(Bonds!$H133,6*(39-1)),0),EDATE(Bonds!$H133,6*(39-1))))</f>
        <v/>
      </c>
      <c r="AR133" s="3" t="str">
        <f>IF(40&gt;$C133,"",IF($D133=1,EOMONTH(EDATE(Bonds!$H133,6*(40-1)),0),EDATE(Bonds!$H133,6*(40-1))))</f>
        <v/>
      </c>
      <c r="AS133" s="3" t="str">
        <f>IF(41&gt;$C133,"",IF($D133=1,EOMONTH(EDATE(Bonds!$H133,6*(41-1)),0),EDATE(Bonds!$H133,6*(41-1))))</f>
        <v/>
      </c>
      <c r="AT133" s="3" t="str">
        <f>IF(42&gt;$C133,"",IF($D133=1,EOMONTH(EDATE(Bonds!$H133,6*(42-1)),0),EDATE(Bonds!$H133,6*(42-1))))</f>
        <v/>
      </c>
      <c r="AU133" s="3" t="str">
        <f>IF(43&gt;$C133,"",IF($D133=1,EOMONTH(EDATE(Bonds!$H133,6*(43-1)),0),EDATE(Bonds!$H133,6*(43-1))))</f>
        <v/>
      </c>
      <c r="AV133" s="3" t="str">
        <f>IF(44&gt;$C133,"",IF($D133=1,EOMONTH(EDATE(Bonds!$H133,6*(44-1)),0),EDATE(Bonds!$H133,6*(44-1))))</f>
        <v/>
      </c>
      <c r="AW133" s="3" t="str">
        <f>IF(45&gt;$C133,"",IF($D133=1,EOMONTH(EDATE(Bonds!$H133,6*(45-1)),0),EDATE(Bonds!$H133,6*(45-1))))</f>
        <v/>
      </c>
      <c r="AX133" s="3" t="str">
        <f>IF(46&gt;$C133,"",IF($D133=1,EOMONTH(EDATE(Bonds!$H133,6*(46-1)),0),EDATE(Bonds!$H133,6*(46-1))))</f>
        <v/>
      </c>
      <c r="AY133" s="3" t="str">
        <f>IF(47&gt;$C133,"",IF($D133=1,EOMONTH(EDATE(Bonds!$H133,6*(47-1)),0),EDATE(Bonds!$H133,6*(47-1))))</f>
        <v/>
      </c>
      <c r="AZ133" s="3" t="str">
        <f>IF(48&gt;$C133,"",IF($D133=1,EOMONTH(EDATE(Bonds!$H133,6*(48-1)),0),EDATE(Bonds!$H133,6*(48-1))))</f>
        <v/>
      </c>
      <c r="BA133" s="3" t="str">
        <f>IF(49&gt;$C133,"",IF($D133=1,EOMONTH(EDATE(Bonds!$H133,6*(49-1)),0),EDATE(Bonds!$H133,6*(49-1))))</f>
        <v/>
      </c>
      <c r="BB133" s="3" t="str">
        <f>IF(50&gt;$C133,"",IF($D133=1,EOMONTH(EDATE(Bonds!$H133,6*(50-1)),0),EDATE(Bonds!$H133,6*(50-1))))</f>
        <v/>
      </c>
      <c r="BC133" s="3" t="str">
        <f>IF(51&gt;$C133,"",IF($D133=1,EOMONTH(EDATE(Bonds!$H133,6*(51-1)),0),EDATE(Bonds!$H133,6*(51-1))))</f>
        <v/>
      </c>
      <c r="BD133" s="3" t="str">
        <f>IF(52&gt;$C133,"",IF($D133=1,EOMONTH(EDATE(Bonds!$H133,6*(52-1)),0),EDATE(Bonds!$H133,6*(52-1))))</f>
        <v/>
      </c>
      <c r="BE133" s="3" t="str">
        <f>IF(53&gt;$C133,"",IF($D133=1,EOMONTH(EDATE(Bonds!$H133,6*(53-1)),0),EDATE(Bonds!$H133,6*(53-1))))</f>
        <v/>
      </c>
      <c r="BF133" s="3" t="str">
        <f>IF(54&gt;$C133,"",IF($D133=1,EOMONTH(EDATE(Bonds!$H133,6*(54-1)),0),EDATE(Bonds!$H133,6*(54-1))))</f>
        <v/>
      </c>
      <c r="BG133" s="3" t="str">
        <f>IF(55&gt;$C133,"",IF($D133=1,EOMONTH(EDATE(Bonds!$H133,6*(55-1)),0),EDATE(Bonds!$H133,6*(55-1))))</f>
        <v/>
      </c>
      <c r="BH133" s="3" t="str">
        <f>IF(56&gt;$C133,"",IF($D133=1,EOMONTH(EDATE(Bonds!$H133,6*(56-1)),0),EDATE(Bonds!$H133,6*(56-1))))</f>
        <v/>
      </c>
      <c r="BI133" s="3" t="str">
        <f>IF(57&gt;$C133,"",IF($D133=1,EOMONTH(EDATE(Bonds!$H133,6*(57-1)),0),EDATE(Bonds!$H133,6*(57-1))))</f>
        <v/>
      </c>
      <c r="BJ133" s="3" t="str">
        <f>IF(58&gt;$C133,"",IF($D133=1,EOMONTH(EDATE(Bonds!$H133,6*(58-1)),0),EDATE(Bonds!$H133,6*(58-1))))</f>
        <v/>
      </c>
      <c r="BK133" s="3" t="str">
        <f>IF(59&gt;$C133,"",IF($D133=1,EOMONTH(EDATE(Bonds!$H133,6*(59-1)),0),EDATE(Bonds!$H133,6*(59-1))))</f>
        <v/>
      </c>
      <c r="BL133" s="3" t="str">
        <f>IF(60&gt;$C133,"",IF($D133=1,EOMONTH(EDATE(Bonds!$H133,6*(60-1)),0),EDATE(Bonds!$H133,6*(60-1))))</f>
        <v/>
      </c>
      <c r="BN133" s="7">
        <f t="shared" si="62"/>
        <v>1.7203190939917814</v>
      </c>
      <c r="BO133" s="7">
        <f t="shared" si="63"/>
        <v>1.6840576512329295</v>
      </c>
      <c r="BP133" s="7">
        <f t="shared" si="64"/>
        <v>1.6462846887153819</v>
      </c>
      <c r="BQ133" s="7">
        <f t="shared" si="65"/>
        <v>1.6091398270376354</v>
      </c>
      <c r="BR133" s="7">
        <f t="shared" si="66"/>
        <v>91.419537844900802</v>
      </c>
      <c r="BS133" s="7">
        <f t="shared" si="67"/>
        <v>0</v>
      </c>
      <c r="BT133" s="7">
        <f t="shared" si="68"/>
        <v>0</v>
      </c>
      <c r="BU133" s="7">
        <f t="shared" si="69"/>
        <v>0</v>
      </c>
      <c r="BV133" s="7">
        <f t="shared" si="70"/>
        <v>0</v>
      </c>
      <c r="BW133" s="7">
        <f t="shared" si="71"/>
        <v>0</v>
      </c>
      <c r="BX133" s="7">
        <f t="shared" si="72"/>
        <v>0</v>
      </c>
      <c r="BY133" s="7">
        <f t="shared" si="73"/>
        <v>0</v>
      </c>
      <c r="BZ133" s="7">
        <f t="shared" si="74"/>
        <v>0</v>
      </c>
      <c r="CA133" s="7">
        <f t="shared" si="75"/>
        <v>0</v>
      </c>
      <c r="CB133" s="7">
        <f t="shared" si="76"/>
        <v>0</v>
      </c>
      <c r="CC133" s="7">
        <f t="shared" si="77"/>
        <v>0</v>
      </c>
      <c r="CD133" s="7">
        <f t="shared" si="78"/>
        <v>0</v>
      </c>
      <c r="CE133" s="7">
        <f t="shared" si="79"/>
        <v>0</v>
      </c>
      <c r="CF133" s="7">
        <f t="shared" si="80"/>
        <v>0</v>
      </c>
      <c r="CG133" s="7">
        <f t="shared" si="81"/>
        <v>0</v>
      </c>
      <c r="CH133" s="7">
        <f t="shared" si="82"/>
        <v>0</v>
      </c>
      <c r="CI133" s="7">
        <f t="shared" si="83"/>
        <v>0</v>
      </c>
      <c r="CJ133" s="7">
        <f t="shared" si="84"/>
        <v>0</v>
      </c>
      <c r="CK133" s="7">
        <f t="shared" si="85"/>
        <v>0</v>
      </c>
      <c r="CL133" s="7">
        <f t="shared" si="86"/>
        <v>0</v>
      </c>
      <c r="CM133" s="7">
        <f t="shared" si="87"/>
        <v>0</v>
      </c>
      <c r="CN133" s="7">
        <f t="shared" si="88"/>
        <v>0</v>
      </c>
      <c r="CO133" s="7">
        <f t="shared" si="89"/>
        <v>0</v>
      </c>
      <c r="CP133" s="7">
        <f t="shared" si="90"/>
        <v>0</v>
      </c>
      <c r="CQ133" s="7">
        <f t="shared" si="91"/>
        <v>0</v>
      </c>
      <c r="CR133" s="7">
        <f t="shared" si="92"/>
        <v>0</v>
      </c>
      <c r="CS133" s="7">
        <f t="shared" si="93"/>
        <v>0</v>
      </c>
      <c r="CT133" s="7">
        <f t="shared" si="94"/>
        <v>0</v>
      </c>
      <c r="CU133" s="7">
        <f t="shared" si="95"/>
        <v>0</v>
      </c>
      <c r="CV133" s="7">
        <f t="shared" si="96"/>
        <v>0</v>
      </c>
      <c r="CW133" s="7">
        <f t="shared" si="97"/>
        <v>0</v>
      </c>
      <c r="CX133" s="7">
        <f t="shared" si="98"/>
        <v>0</v>
      </c>
      <c r="CY133" s="7">
        <f t="shared" si="99"/>
        <v>0</v>
      </c>
      <c r="CZ133" s="7">
        <f t="shared" si="100"/>
        <v>0</v>
      </c>
      <c r="DA133" s="7">
        <f t="shared" si="101"/>
        <v>0</v>
      </c>
      <c r="DB133" s="7">
        <f t="shared" si="102"/>
        <v>0</v>
      </c>
      <c r="DC133" s="7">
        <f t="shared" si="103"/>
        <v>0</v>
      </c>
      <c r="DD133" s="7">
        <f t="shared" si="104"/>
        <v>0</v>
      </c>
      <c r="DE133" s="7">
        <f t="shared" si="105"/>
        <v>0</v>
      </c>
      <c r="DF133" s="7">
        <f t="shared" si="106"/>
        <v>0</v>
      </c>
      <c r="DG133" s="7">
        <f t="shared" si="107"/>
        <v>0</v>
      </c>
      <c r="DH133" s="7">
        <f t="shared" si="108"/>
        <v>0</v>
      </c>
      <c r="DI133" s="7">
        <f t="shared" si="109"/>
        <v>0</v>
      </c>
      <c r="DJ133" s="7">
        <f t="shared" si="110"/>
        <v>0</v>
      </c>
      <c r="DK133" s="7">
        <f t="shared" si="111"/>
        <v>0</v>
      </c>
      <c r="DL133" s="7">
        <f t="shared" si="112"/>
        <v>0</v>
      </c>
      <c r="DM133" s="7">
        <f t="shared" si="113"/>
        <v>0</v>
      </c>
      <c r="DN133" s="7">
        <f t="shared" si="114"/>
        <v>0</v>
      </c>
      <c r="DO133" s="7">
        <f t="shared" si="115"/>
        <v>0</v>
      </c>
      <c r="DP133" s="7">
        <f t="shared" si="116"/>
        <v>0</v>
      </c>
      <c r="DQ133" s="7">
        <f t="shared" si="117"/>
        <v>0</v>
      </c>
      <c r="DR133" s="7">
        <f t="shared" si="118"/>
        <v>0</v>
      </c>
      <c r="DS133" s="7">
        <f t="shared" si="119"/>
        <v>0</v>
      </c>
      <c r="DT133" s="7">
        <f t="shared" si="120"/>
        <v>0</v>
      </c>
      <c r="DU133" s="7">
        <f t="shared" si="121"/>
        <v>0</v>
      </c>
    </row>
    <row r="134" spans="1:125" x14ac:dyDescent="0.2">
      <c r="A134" s="3">
        <f>Bonds!A134</f>
        <v>47164</v>
      </c>
      <c r="B134" s="4">
        <f>Bonds!B134</f>
        <v>5.25</v>
      </c>
      <c r="C134">
        <f>Bonds!P134</f>
        <v>5</v>
      </c>
      <c r="D134">
        <f t="shared" si="61"/>
        <v>0</v>
      </c>
      <c r="E134" s="3">
        <f>IF(1&gt;$C134,"",IF($D134=1,EOMONTH(EDATE(Bonds!$H134,6*(1-1)),0),EDATE(Bonds!$H134,6*(1-1))))</f>
        <v>46433</v>
      </c>
      <c r="F134" s="3">
        <f>IF(2&gt;$C134,"",IF($D134=1,EOMONTH(EDATE(Bonds!$H134,6*(2-1)),0),EDATE(Bonds!$H134,6*(2-1))))</f>
        <v>46614</v>
      </c>
      <c r="G134" s="3">
        <f>IF(3&gt;$C134,"",IF($D134=1,EOMONTH(EDATE(Bonds!$H134,6*(3-1)),0),EDATE(Bonds!$H134,6*(3-1))))</f>
        <v>46798</v>
      </c>
      <c r="H134" s="3">
        <f>IF(4&gt;$C134,"",IF($D134=1,EOMONTH(EDATE(Bonds!$H134,6*(4-1)),0),EDATE(Bonds!$H134,6*(4-1))))</f>
        <v>46980</v>
      </c>
      <c r="I134" s="3">
        <f>IF(5&gt;$C134,"",IF($D134=1,EOMONTH(EDATE(Bonds!$H134,6*(5-1)),0),EDATE(Bonds!$H134,6*(5-1))))</f>
        <v>47164</v>
      </c>
      <c r="J134" s="3" t="str">
        <f>IF(6&gt;$C134,"",IF($D134=1,EOMONTH(EDATE(Bonds!$H134,6*(6-1)),0),EDATE(Bonds!$H134,6*(6-1))))</f>
        <v/>
      </c>
      <c r="K134" s="3" t="str">
        <f>IF(7&gt;$C134,"",IF($D134=1,EOMONTH(EDATE(Bonds!$H134,6*(7-1)),0),EDATE(Bonds!$H134,6*(7-1))))</f>
        <v/>
      </c>
      <c r="L134" s="3" t="str">
        <f>IF(8&gt;$C134,"",IF($D134=1,EOMONTH(EDATE(Bonds!$H134,6*(8-1)),0),EDATE(Bonds!$H134,6*(8-1))))</f>
        <v/>
      </c>
      <c r="M134" s="3" t="str">
        <f>IF(9&gt;$C134,"",IF($D134=1,EOMONTH(EDATE(Bonds!$H134,6*(9-1)),0),EDATE(Bonds!$H134,6*(9-1))))</f>
        <v/>
      </c>
      <c r="N134" s="3" t="str">
        <f>IF(10&gt;$C134,"",IF($D134=1,EOMONTH(EDATE(Bonds!$H134,6*(10-1)),0),EDATE(Bonds!$H134,6*(10-1))))</f>
        <v/>
      </c>
      <c r="O134" s="3" t="str">
        <f>IF(11&gt;$C134,"",IF($D134=1,EOMONTH(EDATE(Bonds!$H134,6*(11-1)),0),EDATE(Bonds!$H134,6*(11-1))))</f>
        <v/>
      </c>
      <c r="P134" s="3" t="str">
        <f>IF(12&gt;$C134,"",IF($D134=1,EOMONTH(EDATE(Bonds!$H134,6*(12-1)),0),EDATE(Bonds!$H134,6*(12-1))))</f>
        <v/>
      </c>
      <c r="Q134" s="3" t="str">
        <f>IF(13&gt;$C134,"",IF($D134=1,EOMONTH(EDATE(Bonds!$H134,6*(13-1)),0),EDATE(Bonds!$H134,6*(13-1))))</f>
        <v/>
      </c>
      <c r="R134" s="3" t="str">
        <f>IF(14&gt;$C134,"",IF($D134=1,EOMONTH(EDATE(Bonds!$H134,6*(14-1)),0),EDATE(Bonds!$H134,6*(14-1))))</f>
        <v/>
      </c>
      <c r="S134" s="3" t="str">
        <f>IF(15&gt;$C134,"",IF($D134=1,EOMONTH(EDATE(Bonds!$H134,6*(15-1)),0),EDATE(Bonds!$H134,6*(15-1))))</f>
        <v/>
      </c>
      <c r="T134" s="3" t="str">
        <f>IF(16&gt;$C134,"",IF($D134=1,EOMONTH(EDATE(Bonds!$H134,6*(16-1)),0),EDATE(Bonds!$H134,6*(16-1))))</f>
        <v/>
      </c>
      <c r="U134" s="3" t="str">
        <f>IF(17&gt;$C134,"",IF($D134=1,EOMONTH(EDATE(Bonds!$H134,6*(17-1)),0),EDATE(Bonds!$H134,6*(17-1))))</f>
        <v/>
      </c>
      <c r="V134" s="3" t="str">
        <f>IF(18&gt;$C134,"",IF($D134=1,EOMONTH(EDATE(Bonds!$H134,6*(18-1)),0),EDATE(Bonds!$H134,6*(18-1))))</f>
        <v/>
      </c>
      <c r="W134" s="3" t="str">
        <f>IF(19&gt;$C134,"",IF($D134=1,EOMONTH(EDATE(Bonds!$H134,6*(19-1)),0),EDATE(Bonds!$H134,6*(19-1))))</f>
        <v/>
      </c>
      <c r="X134" s="3" t="str">
        <f>IF(20&gt;$C134,"",IF($D134=1,EOMONTH(EDATE(Bonds!$H134,6*(20-1)),0),EDATE(Bonds!$H134,6*(20-1))))</f>
        <v/>
      </c>
      <c r="Y134" s="3" t="str">
        <f>IF(21&gt;$C134,"",IF($D134=1,EOMONTH(EDATE(Bonds!$H134,6*(21-1)),0),EDATE(Bonds!$H134,6*(21-1))))</f>
        <v/>
      </c>
      <c r="Z134" s="3" t="str">
        <f>IF(22&gt;$C134,"",IF($D134=1,EOMONTH(EDATE(Bonds!$H134,6*(22-1)),0),EDATE(Bonds!$H134,6*(22-1))))</f>
        <v/>
      </c>
      <c r="AA134" s="3" t="str">
        <f>IF(23&gt;$C134,"",IF($D134=1,EOMONTH(EDATE(Bonds!$H134,6*(23-1)),0),EDATE(Bonds!$H134,6*(23-1))))</f>
        <v/>
      </c>
      <c r="AB134" s="3" t="str">
        <f>IF(24&gt;$C134,"",IF($D134=1,EOMONTH(EDATE(Bonds!$H134,6*(24-1)),0),EDATE(Bonds!$H134,6*(24-1))))</f>
        <v/>
      </c>
      <c r="AC134" s="3" t="str">
        <f>IF(25&gt;$C134,"",IF($D134=1,EOMONTH(EDATE(Bonds!$H134,6*(25-1)),0),EDATE(Bonds!$H134,6*(25-1))))</f>
        <v/>
      </c>
      <c r="AD134" s="3" t="str">
        <f>IF(26&gt;$C134,"",IF($D134=1,EOMONTH(EDATE(Bonds!$H134,6*(26-1)),0),EDATE(Bonds!$H134,6*(26-1))))</f>
        <v/>
      </c>
      <c r="AE134" s="3" t="str">
        <f>IF(27&gt;$C134,"",IF($D134=1,EOMONTH(EDATE(Bonds!$H134,6*(27-1)),0),EDATE(Bonds!$H134,6*(27-1))))</f>
        <v/>
      </c>
      <c r="AF134" s="3" t="str">
        <f>IF(28&gt;$C134,"",IF($D134=1,EOMONTH(EDATE(Bonds!$H134,6*(28-1)),0),EDATE(Bonds!$H134,6*(28-1))))</f>
        <v/>
      </c>
      <c r="AG134" s="3" t="str">
        <f>IF(29&gt;$C134,"",IF($D134=1,EOMONTH(EDATE(Bonds!$H134,6*(29-1)),0),EDATE(Bonds!$H134,6*(29-1))))</f>
        <v/>
      </c>
      <c r="AH134" s="3" t="str">
        <f>IF(30&gt;$C134,"",IF($D134=1,EOMONTH(EDATE(Bonds!$H134,6*(30-1)),0),EDATE(Bonds!$H134,6*(30-1))))</f>
        <v/>
      </c>
      <c r="AI134" s="3" t="str">
        <f>IF(31&gt;$C134,"",IF($D134=1,EOMONTH(EDATE(Bonds!$H134,6*(31-1)),0),EDATE(Bonds!$H134,6*(31-1))))</f>
        <v/>
      </c>
      <c r="AJ134" s="3" t="str">
        <f>IF(32&gt;$C134,"",IF($D134=1,EOMONTH(EDATE(Bonds!$H134,6*(32-1)),0),EDATE(Bonds!$H134,6*(32-1))))</f>
        <v/>
      </c>
      <c r="AK134" s="3" t="str">
        <f>IF(33&gt;$C134,"",IF($D134=1,EOMONTH(EDATE(Bonds!$H134,6*(33-1)),0),EDATE(Bonds!$H134,6*(33-1))))</f>
        <v/>
      </c>
      <c r="AL134" s="3" t="str">
        <f>IF(34&gt;$C134,"",IF($D134=1,EOMONTH(EDATE(Bonds!$H134,6*(34-1)),0),EDATE(Bonds!$H134,6*(34-1))))</f>
        <v/>
      </c>
      <c r="AM134" s="3" t="str">
        <f>IF(35&gt;$C134,"",IF($D134=1,EOMONTH(EDATE(Bonds!$H134,6*(35-1)),0),EDATE(Bonds!$H134,6*(35-1))))</f>
        <v/>
      </c>
      <c r="AN134" s="3" t="str">
        <f>IF(36&gt;$C134,"",IF($D134=1,EOMONTH(EDATE(Bonds!$H134,6*(36-1)),0),EDATE(Bonds!$H134,6*(36-1))))</f>
        <v/>
      </c>
      <c r="AO134" s="3" t="str">
        <f>IF(37&gt;$C134,"",IF($D134=1,EOMONTH(EDATE(Bonds!$H134,6*(37-1)),0),EDATE(Bonds!$H134,6*(37-1))))</f>
        <v/>
      </c>
      <c r="AP134" s="3" t="str">
        <f>IF(38&gt;$C134,"",IF($D134=1,EOMONTH(EDATE(Bonds!$H134,6*(38-1)),0),EDATE(Bonds!$H134,6*(38-1))))</f>
        <v/>
      </c>
      <c r="AQ134" s="3" t="str">
        <f>IF(39&gt;$C134,"",IF($D134=1,EOMONTH(EDATE(Bonds!$H134,6*(39-1)),0),EDATE(Bonds!$H134,6*(39-1))))</f>
        <v/>
      </c>
      <c r="AR134" s="3" t="str">
        <f>IF(40&gt;$C134,"",IF($D134=1,EOMONTH(EDATE(Bonds!$H134,6*(40-1)),0),EDATE(Bonds!$H134,6*(40-1))))</f>
        <v/>
      </c>
      <c r="AS134" s="3" t="str">
        <f>IF(41&gt;$C134,"",IF($D134=1,EOMONTH(EDATE(Bonds!$H134,6*(41-1)),0),EDATE(Bonds!$H134,6*(41-1))))</f>
        <v/>
      </c>
      <c r="AT134" s="3" t="str">
        <f>IF(42&gt;$C134,"",IF($D134=1,EOMONTH(EDATE(Bonds!$H134,6*(42-1)),0),EDATE(Bonds!$H134,6*(42-1))))</f>
        <v/>
      </c>
      <c r="AU134" s="3" t="str">
        <f>IF(43&gt;$C134,"",IF($D134=1,EOMONTH(EDATE(Bonds!$H134,6*(43-1)),0),EDATE(Bonds!$H134,6*(43-1))))</f>
        <v/>
      </c>
      <c r="AV134" s="3" t="str">
        <f>IF(44&gt;$C134,"",IF($D134=1,EOMONTH(EDATE(Bonds!$H134,6*(44-1)),0),EDATE(Bonds!$H134,6*(44-1))))</f>
        <v/>
      </c>
      <c r="AW134" s="3" t="str">
        <f>IF(45&gt;$C134,"",IF($D134=1,EOMONTH(EDATE(Bonds!$H134,6*(45-1)),0),EDATE(Bonds!$H134,6*(45-1))))</f>
        <v/>
      </c>
      <c r="AX134" s="3" t="str">
        <f>IF(46&gt;$C134,"",IF($D134=1,EOMONTH(EDATE(Bonds!$H134,6*(46-1)),0),EDATE(Bonds!$H134,6*(46-1))))</f>
        <v/>
      </c>
      <c r="AY134" s="3" t="str">
        <f>IF(47&gt;$C134,"",IF($D134=1,EOMONTH(EDATE(Bonds!$H134,6*(47-1)),0),EDATE(Bonds!$H134,6*(47-1))))</f>
        <v/>
      </c>
      <c r="AZ134" s="3" t="str">
        <f>IF(48&gt;$C134,"",IF($D134=1,EOMONTH(EDATE(Bonds!$H134,6*(48-1)),0),EDATE(Bonds!$H134,6*(48-1))))</f>
        <v/>
      </c>
      <c r="BA134" s="3" t="str">
        <f>IF(49&gt;$C134,"",IF($D134=1,EOMONTH(EDATE(Bonds!$H134,6*(49-1)),0),EDATE(Bonds!$H134,6*(49-1))))</f>
        <v/>
      </c>
      <c r="BB134" s="3" t="str">
        <f>IF(50&gt;$C134,"",IF($D134=1,EOMONTH(EDATE(Bonds!$H134,6*(50-1)),0),EDATE(Bonds!$H134,6*(50-1))))</f>
        <v/>
      </c>
      <c r="BC134" s="3" t="str">
        <f>IF(51&gt;$C134,"",IF($D134=1,EOMONTH(EDATE(Bonds!$H134,6*(51-1)),0),EDATE(Bonds!$H134,6*(51-1))))</f>
        <v/>
      </c>
      <c r="BD134" s="3" t="str">
        <f>IF(52&gt;$C134,"",IF($D134=1,EOMONTH(EDATE(Bonds!$H134,6*(52-1)),0),EDATE(Bonds!$H134,6*(52-1))))</f>
        <v/>
      </c>
      <c r="BE134" s="3" t="str">
        <f>IF(53&gt;$C134,"",IF($D134=1,EOMONTH(EDATE(Bonds!$H134,6*(53-1)),0),EDATE(Bonds!$H134,6*(53-1))))</f>
        <v/>
      </c>
      <c r="BF134" s="3" t="str">
        <f>IF(54&gt;$C134,"",IF($D134=1,EOMONTH(EDATE(Bonds!$H134,6*(54-1)),0),EDATE(Bonds!$H134,6*(54-1))))</f>
        <v/>
      </c>
      <c r="BG134" s="3" t="str">
        <f>IF(55&gt;$C134,"",IF($D134=1,EOMONTH(EDATE(Bonds!$H134,6*(55-1)),0),EDATE(Bonds!$H134,6*(55-1))))</f>
        <v/>
      </c>
      <c r="BH134" s="3" t="str">
        <f>IF(56&gt;$C134,"",IF($D134=1,EOMONTH(EDATE(Bonds!$H134,6*(56-1)),0),EDATE(Bonds!$H134,6*(56-1))))</f>
        <v/>
      </c>
      <c r="BI134" s="3" t="str">
        <f>IF(57&gt;$C134,"",IF($D134=1,EOMONTH(EDATE(Bonds!$H134,6*(57-1)),0),EDATE(Bonds!$H134,6*(57-1))))</f>
        <v/>
      </c>
      <c r="BJ134" s="3" t="str">
        <f>IF(58&gt;$C134,"",IF($D134=1,EOMONTH(EDATE(Bonds!$H134,6*(58-1)),0),EDATE(Bonds!$H134,6*(58-1))))</f>
        <v/>
      </c>
      <c r="BK134" s="3" t="str">
        <f>IF(59&gt;$C134,"",IF($D134=1,EOMONTH(EDATE(Bonds!$H134,6*(59-1)),0),EDATE(Bonds!$H134,6*(59-1))))</f>
        <v/>
      </c>
      <c r="BL134" s="3" t="str">
        <f>IF(60&gt;$C134,"",IF($D134=1,EOMONTH(EDATE(Bonds!$H134,6*(60-1)),0),EDATE(Bonds!$H134,6*(60-1))))</f>
        <v/>
      </c>
      <c r="BN134" s="7">
        <f t="shared" si="62"/>
        <v>2.5804786409876721</v>
      </c>
      <c r="BO134" s="7">
        <f t="shared" si="63"/>
        <v>2.5260864768493945</v>
      </c>
      <c r="BP134" s="7">
        <f t="shared" si="64"/>
        <v>2.4694270330730728</v>
      </c>
      <c r="BQ134" s="7">
        <f t="shared" si="65"/>
        <v>2.4137097405564529</v>
      </c>
      <c r="BR134" s="7">
        <f t="shared" si="66"/>
        <v>92.205700946761127</v>
      </c>
      <c r="BS134" s="7">
        <f t="shared" si="67"/>
        <v>0</v>
      </c>
      <c r="BT134" s="7">
        <f t="shared" si="68"/>
        <v>0</v>
      </c>
      <c r="BU134" s="7">
        <f t="shared" si="69"/>
        <v>0</v>
      </c>
      <c r="BV134" s="7">
        <f t="shared" si="70"/>
        <v>0</v>
      </c>
      <c r="BW134" s="7">
        <f t="shared" si="71"/>
        <v>0</v>
      </c>
      <c r="BX134" s="7">
        <f t="shared" si="72"/>
        <v>0</v>
      </c>
      <c r="BY134" s="7">
        <f t="shared" si="73"/>
        <v>0</v>
      </c>
      <c r="BZ134" s="7">
        <f t="shared" si="74"/>
        <v>0</v>
      </c>
      <c r="CA134" s="7">
        <f t="shared" si="75"/>
        <v>0</v>
      </c>
      <c r="CB134" s="7">
        <f t="shared" si="76"/>
        <v>0</v>
      </c>
      <c r="CC134" s="7">
        <f t="shared" si="77"/>
        <v>0</v>
      </c>
      <c r="CD134" s="7">
        <f t="shared" si="78"/>
        <v>0</v>
      </c>
      <c r="CE134" s="7">
        <f t="shared" si="79"/>
        <v>0</v>
      </c>
      <c r="CF134" s="7">
        <f t="shared" si="80"/>
        <v>0</v>
      </c>
      <c r="CG134" s="7">
        <f t="shared" si="81"/>
        <v>0</v>
      </c>
      <c r="CH134" s="7">
        <f t="shared" si="82"/>
        <v>0</v>
      </c>
      <c r="CI134" s="7">
        <f t="shared" si="83"/>
        <v>0</v>
      </c>
      <c r="CJ134" s="7">
        <f t="shared" si="84"/>
        <v>0</v>
      </c>
      <c r="CK134" s="7">
        <f t="shared" si="85"/>
        <v>0</v>
      </c>
      <c r="CL134" s="7">
        <f t="shared" si="86"/>
        <v>0</v>
      </c>
      <c r="CM134" s="7">
        <f t="shared" si="87"/>
        <v>0</v>
      </c>
      <c r="CN134" s="7">
        <f t="shared" si="88"/>
        <v>0</v>
      </c>
      <c r="CO134" s="7">
        <f t="shared" si="89"/>
        <v>0</v>
      </c>
      <c r="CP134" s="7">
        <f t="shared" si="90"/>
        <v>0</v>
      </c>
      <c r="CQ134" s="7">
        <f t="shared" si="91"/>
        <v>0</v>
      </c>
      <c r="CR134" s="7">
        <f t="shared" si="92"/>
        <v>0</v>
      </c>
      <c r="CS134" s="7">
        <f t="shared" si="93"/>
        <v>0</v>
      </c>
      <c r="CT134" s="7">
        <f t="shared" si="94"/>
        <v>0</v>
      </c>
      <c r="CU134" s="7">
        <f t="shared" si="95"/>
        <v>0</v>
      </c>
      <c r="CV134" s="7">
        <f t="shared" si="96"/>
        <v>0</v>
      </c>
      <c r="CW134" s="7">
        <f t="shared" si="97"/>
        <v>0</v>
      </c>
      <c r="CX134" s="7">
        <f t="shared" si="98"/>
        <v>0</v>
      </c>
      <c r="CY134" s="7">
        <f t="shared" si="99"/>
        <v>0</v>
      </c>
      <c r="CZ134" s="7">
        <f t="shared" si="100"/>
        <v>0</v>
      </c>
      <c r="DA134" s="7">
        <f t="shared" si="101"/>
        <v>0</v>
      </c>
      <c r="DB134" s="7">
        <f t="shared" si="102"/>
        <v>0</v>
      </c>
      <c r="DC134" s="7">
        <f t="shared" si="103"/>
        <v>0</v>
      </c>
      <c r="DD134" s="7">
        <f t="shared" si="104"/>
        <v>0</v>
      </c>
      <c r="DE134" s="7">
        <f t="shared" si="105"/>
        <v>0</v>
      </c>
      <c r="DF134" s="7">
        <f t="shared" si="106"/>
        <v>0</v>
      </c>
      <c r="DG134" s="7">
        <f t="shared" si="107"/>
        <v>0</v>
      </c>
      <c r="DH134" s="7">
        <f t="shared" si="108"/>
        <v>0</v>
      </c>
      <c r="DI134" s="7">
        <f t="shared" si="109"/>
        <v>0</v>
      </c>
      <c r="DJ134" s="7">
        <f t="shared" si="110"/>
        <v>0</v>
      </c>
      <c r="DK134" s="7">
        <f t="shared" si="111"/>
        <v>0</v>
      </c>
      <c r="DL134" s="7">
        <f t="shared" si="112"/>
        <v>0</v>
      </c>
      <c r="DM134" s="7">
        <f t="shared" si="113"/>
        <v>0</v>
      </c>
      <c r="DN134" s="7">
        <f t="shared" si="114"/>
        <v>0</v>
      </c>
      <c r="DO134" s="7">
        <f t="shared" si="115"/>
        <v>0</v>
      </c>
      <c r="DP134" s="7">
        <f t="shared" si="116"/>
        <v>0</v>
      </c>
      <c r="DQ134" s="7">
        <f t="shared" si="117"/>
        <v>0</v>
      </c>
      <c r="DR134" s="7">
        <f t="shared" si="118"/>
        <v>0</v>
      </c>
      <c r="DS134" s="7">
        <f t="shared" si="119"/>
        <v>0</v>
      </c>
      <c r="DT134" s="7">
        <f t="shared" si="120"/>
        <v>0</v>
      </c>
      <c r="DU134" s="7">
        <f t="shared" si="121"/>
        <v>0</v>
      </c>
    </row>
    <row r="135" spans="1:125" x14ac:dyDescent="0.2">
      <c r="A135" s="3">
        <f>Bonds!A135</f>
        <v>47177</v>
      </c>
      <c r="B135" s="4">
        <f>Bonds!B135</f>
        <v>1.875</v>
      </c>
      <c r="C135">
        <f>Bonds!P135</f>
        <v>5</v>
      </c>
      <c r="D135">
        <f t="shared" si="61"/>
        <v>1</v>
      </c>
      <c r="E135" s="3">
        <f>IF(1&gt;$C135,"",IF($D135=1,EOMONTH(EDATE(Bonds!$H135,6*(1-1)),0),EDATE(Bonds!$H135,6*(1-1))))</f>
        <v>46446</v>
      </c>
      <c r="F135" s="3">
        <f>IF(2&gt;$C135,"",IF($D135=1,EOMONTH(EDATE(Bonds!$H135,6*(2-1)),0),EDATE(Bonds!$H135,6*(2-1))))</f>
        <v>46630</v>
      </c>
      <c r="G135" s="3">
        <f>IF(3&gt;$C135,"",IF($D135=1,EOMONTH(EDATE(Bonds!$H135,6*(3-1)),0),EDATE(Bonds!$H135,6*(3-1))))</f>
        <v>46812</v>
      </c>
      <c r="H135" s="3">
        <f>IF(4&gt;$C135,"",IF($D135=1,EOMONTH(EDATE(Bonds!$H135,6*(4-1)),0),EDATE(Bonds!$H135,6*(4-1))))</f>
        <v>46996</v>
      </c>
      <c r="I135" s="3">
        <f>IF(5&gt;$C135,"",IF($D135=1,EOMONTH(EDATE(Bonds!$H135,6*(5-1)),0),EDATE(Bonds!$H135,6*(5-1))))</f>
        <v>47177</v>
      </c>
      <c r="J135" s="3" t="str">
        <f>IF(6&gt;$C135,"",IF($D135=1,EOMONTH(EDATE(Bonds!$H135,6*(6-1)),0),EDATE(Bonds!$H135,6*(6-1))))</f>
        <v/>
      </c>
      <c r="K135" s="3" t="str">
        <f>IF(7&gt;$C135,"",IF($D135=1,EOMONTH(EDATE(Bonds!$H135,6*(7-1)),0),EDATE(Bonds!$H135,6*(7-1))))</f>
        <v/>
      </c>
      <c r="L135" s="3" t="str">
        <f>IF(8&gt;$C135,"",IF($D135=1,EOMONTH(EDATE(Bonds!$H135,6*(8-1)),0),EDATE(Bonds!$H135,6*(8-1))))</f>
        <v/>
      </c>
      <c r="M135" s="3" t="str">
        <f>IF(9&gt;$C135,"",IF($D135=1,EOMONTH(EDATE(Bonds!$H135,6*(9-1)),0),EDATE(Bonds!$H135,6*(9-1))))</f>
        <v/>
      </c>
      <c r="N135" s="3" t="str">
        <f>IF(10&gt;$C135,"",IF($D135=1,EOMONTH(EDATE(Bonds!$H135,6*(10-1)),0),EDATE(Bonds!$H135,6*(10-1))))</f>
        <v/>
      </c>
      <c r="O135" s="3" t="str">
        <f>IF(11&gt;$C135,"",IF($D135=1,EOMONTH(EDATE(Bonds!$H135,6*(11-1)),0),EDATE(Bonds!$H135,6*(11-1))))</f>
        <v/>
      </c>
      <c r="P135" s="3" t="str">
        <f>IF(12&gt;$C135,"",IF($D135=1,EOMONTH(EDATE(Bonds!$H135,6*(12-1)),0),EDATE(Bonds!$H135,6*(12-1))))</f>
        <v/>
      </c>
      <c r="Q135" s="3" t="str">
        <f>IF(13&gt;$C135,"",IF($D135=1,EOMONTH(EDATE(Bonds!$H135,6*(13-1)),0),EDATE(Bonds!$H135,6*(13-1))))</f>
        <v/>
      </c>
      <c r="R135" s="3" t="str">
        <f>IF(14&gt;$C135,"",IF($D135=1,EOMONTH(EDATE(Bonds!$H135,6*(14-1)),0),EDATE(Bonds!$H135,6*(14-1))))</f>
        <v/>
      </c>
      <c r="S135" s="3" t="str">
        <f>IF(15&gt;$C135,"",IF($D135=1,EOMONTH(EDATE(Bonds!$H135,6*(15-1)),0),EDATE(Bonds!$H135,6*(15-1))))</f>
        <v/>
      </c>
      <c r="T135" s="3" t="str">
        <f>IF(16&gt;$C135,"",IF($D135=1,EOMONTH(EDATE(Bonds!$H135,6*(16-1)),0),EDATE(Bonds!$H135,6*(16-1))))</f>
        <v/>
      </c>
      <c r="U135" s="3" t="str">
        <f>IF(17&gt;$C135,"",IF($D135=1,EOMONTH(EDATE(Bonds!$H135,6*(17-1)),0),EDATE(Bonds!$H135,6*(17-1))))</f>
        <v/>
      </c>
      <c r="V135" s="3" t="str">
        <f>IF(18&gt;$C135,"",IF($D135=1,EOMONTH(EDATE(Bonds!$H135,6*(18-1)),0),EDATE(Bonds!$H135,6*(18-1))))</f>
        <v/>
      </c>
      <c r="W135" s="3" t="str">
        <f>IF(19&gt;$C135,"",IF($D135=1,EOMONTH(EDATE(Bonds!$H135,6*(19-1)),0),EDATE(Bonds!$H135,6*(19-1))))</f>
        <v/>
      </c>
      <c r="X135" s="3" t="str">
        <f>IF(20&gt;$C135,"",IF($D135=1,EOMONTH(EDATE(Bonds!$H135,6*(20-1)),0),EDATE(Bonds!$H135,6*(20-1))))</f>
        <v/>
      </c>
      <c r="Y135" s="3" t="str">
        <f>IF(21&gt;$C135,"",IF($D135=1,EOMONTH(EDATE(Bonds!$H135,6*(21-1)),0),EDATE(Bonds!$H135,6*(21-1))))</f>
        <v/>
      </c>
      <c r="Z135" s="3" t="str">
        <f>IF(22&gt;$C135,"",IF($D135=1,EOMONTH(EDATE(Bonds!$H135,6*(22-1)),0),EDATE(Bonds!$H135,6*(22-1))))</f>
        <v/>
      </c>
      <c r="AA135" s="3" t="str">
        <f>IF(23&gt;$C135,"",IF($D135=1,EOMONTH(EDATE(Bonds!$H135,6*(23-1)),0),EDATE(Bonds!$H135,6*(23-1))))</f>
        <v/>
      </c>
      <c r="AB135" s="3" t="str">
        <f>IF(24&gt;$C135,"",IF($D135=1,EOMONTH(EDATE(Bonds!$H135,6*(24-1)),0),EDATE(Bonds!$H135,6*(24-1))))</f>
        <v/>
      </c>
      <c r="AC135" s="3" t="str">
        <f>IF(25&gt;$C135,"",IF($D135=1,EOMONTH(EDATE(Bonds!$H135,6*(25-1)),0),EDATE(Bonds!$H135,6*(25-1))))</f>
        <v/>
      </c>
      <c r="AD135" s="3" t="str">
        <f>IF(26&gt;$C135,"",IF($D135=1,EOMONTH(EDATE(Bonds!$H135,6*(26-1)),0),EDATE(Bonds!$H135,6*(26-1))))</f>
        <v/>
      </c>
      <c r="AE135" s="3" t="str">
        <f>IF(27&gt;$C135,"",IF($D135=1,EOMONTH(EDATE(Bonds!$H135,6*(27-1)),0),EDATE(Bonds!$H135,6*(27-1))))</f>
        <v/>
      </c>
      <c r="AF135" s="3" t="str">
        <f>IF(28&gt;$C135,"",IF($D135=1,EOMONTH(EDATE(Bonds!$H135,6*(28-1)),0),EDATE(Bonds!$H135,6*(28-1))))</f>
        <v/>
      </c>
      <c r="AG135" s="3" t="str">
        <f>IF(29&gt;$C135,"",IF($D135=1,EOMONTH(EDATE(Bonds!$H135,6*(29-1)),0),EDATE(Bonds!$H135,6*(29-1))))</f>
        <v/>
      </c>
      <c r="AH135" s="3" t="str">
        <f>IF(30&gt;$C135,"",IF($D135=1,EOMONTH(EDATE(Bonds!$H135,6*(30-1)),0),EDATE(Bonds!$H135,6*(30-1))))</f>
        <v/>
      </c>
      <c r="AI135" s="3" t="str">
        <f>IF(31&gt;$C135,"",IF($D135=1,EOMONTH(EDATE(Bonds!$H135,6*(31-1)),0),EDATE(Bonds!$H135,6*(31-1))))</f>
        <v/>
      </c>
      <c r="AJ135" s="3" t="str">
        <f>IF(32&gt;$C135,"",IF($D135=1,EOMONTH(EDATE(Bonds!$H135,6*(32-1)),0),EDATE(Bonds!$H135,6*(32-1))))</f>
        <v/>
      </c>
      <c r="AK135" s="3" t="str">
        <f>IF(33&gt;$C135,"",IF($D135=1,EOMONTH(EDATE(Bonds!$H135,6*(33-1)),0),EDATE(Bonds!$H135,6*(33-1))))</f>
        <v/>
      </c>
      <c r="AL135" s="3" t="str">
        <f>IF(34&gt;$C135,"",IF($D135=1,EOMONTH(EDATE(Bonds!$H135,6*(34-1)),0),EDATE(Bonds!$H135,6*(34-1))))</f>
        <v/>
      </c>
      <c r="AM135" s="3" t="str">
        <f>IF(35&gt;$C135,"",IF($D135=1,EOMONTH(EDATE(Bonds!$H135,6*(35-1)),0),EDATE(Bonds!$H135,6*(35-1))))</f>
        <v/>
      </c>
      <c r="AN135" s="3" t="str">
        <f>IF(36&gt;$C135,"",IF($D135=1,EOMONTH(EDATE(Bonds!$H135,6*(36-1)),0),EDATE(Bonds!$H135,6*(36-1))))</f>
        <v/>
      </c>
      <c r="AO135" s="3" t="str">
        <f>IF(37&gt;$C135,"",IF($D135=1,EOMONTH(EDATE(Bonds!$H135,6*(37-1)),0),EDATE(Bonds!$H135,6*(37-1))))</f>
        <v/>
      </c>
      <c r="AP135" s="3" t="str">
        <f>IF(38&gt;$C135,"",IF($D135=1,EOMONTH(EDATE(Bonds!$H135,6*(38-1)),0),EDATE(Bonds!$H135,6*(38-1))))</f>
        <v/>
      </c>
      <c r="AQ135" s="3" t="str">
        <f>IF(39&gt;$C135,"",IF($D135=1,EOMONTH(EDATE(Bonds!$H135,6*(39-1)),0),EDATE(Bonds!$H135,6*(39-1))))</f>
        <v/>
      </c>
      <c r="AR135" s="3" t="str">
        <f>IF(40&gt;$C135,"",IF($D135=1,EOMONTH(EDATE(Bonds!$H135,6*(40-1)),0),EDATE(Bonds!$H135,6*(40-1))))</f>
        <v/>
      </c>
      <c r="AS135" s="3" t="str">
        <f>IF(41&gt;$C135,"",IF($D135=1,EOMONTH(EDATE(Bonds!$H135,6*(41-1)),0),EDATE(Bonds!$H135,6*(41-1))))</f>
        <v/>
      </c>
      <c r="AT135" s="3" t="str">
        <f>IF(42&gt;$C135,"",IF($D135=1,EOMONTH(EDATE(Bonds!$H135,6*(42-1)),0),EDATE(Bonds!$H135,6*(42-1))))</f>
        <v/>
      </c>
      <c r="AU135" s="3" t="str">
        <f>IF(43&gt;$C135,"",IF($D135=1,EOMONTH(EDATE(Bonds!$H135,6*(43-1)),0),EDATE(Bonds!$H135,6*(43-1))))</f>
        <v/>
      </c>
      <c r="AV135" s="3" t="str">
        <f>IF(44&gt;$C135,"",IF($D135=1,EOMONTH(EDATE(Bonds!$H135,6*(44-1)),0),EDATE(Bonds!$H135,6*(44-1))))</f>
        <v/>
      </c>
      <c r="AW135" s="3" t="str">
        <f>IF(45&gt;$C135,"",IF($D135=1,EOMONTH(EDATE(Bonds!$H135,6*(45-1)),0),EDATE(Bonds!$H135,6*(45-1))))</f>
        <v/>
      </c>
      <c r="AX135" s="3" t="str">
        <f>IF(46&gt;$C135,"",IF($D135=1,EOMONTH(EDATE(Bonds!$H135,6*(46-1)),0),EDATE(Bonds!$H135,6*(46-1))))</f>
        <v/>
      </c>
      <c r="AY135" s="3" t="str">
        <f>IF(47&gt;$C135,"",IF($D135=1,EOMONTH(EDATE(Bonds!$H135,6*(47-1)),0),EDATE(Bonds!$H135,6*(47-1))))</f>
        <v/>
      </c>
      <c r="AZ135" s="3" t="str">
        <f>IF(48&gt;$C135,"",IF($D135=1,EOMONTH(EDATE(Bonds!$H135,6*(48-1)),0),EDATE(Bonds!$H135,6*(48-1))))</f>
        <v/>
      </c>
      <c r="BA135" s="3" t="str">
        <f>IF(49&gt;$C135,"",IF($D135=1,EOMONTH(EDATE(Bonds!$H135,6*(49-1)),0),EDATE(Bonds!$H135,6*(49-1))))</f>
        <v/>
      </c>
      <c r="BB135" s="3" t="str">
        <f>IF(50&gt;$C135,"",IF($D135=1,EOMONTH(EDATE(Bonds!$H135,6*(50-1)),0),EDATE(Bonds!$H135,6*(50-1))))</f>
        <v/>
      </c>
      <c r="BC135" s="3" t="str">
        <f>IF(51&gt;$C135,"",IF($D135=1,EOMONTH(EDATE(Bonds!$H135,6*(51-1)),0),EDATE(Bonds!$H135,6*(51-1))))</f>
        <v/>
      </c>
      <c r="BD135" s="3" t="str">
        <f>IF(52&gt;$C135,"",IF($D135=1,EOMONTH(EDATE(Bonds!$H135,6*(52-1)),0),EDATE(Bonds!$H135,6*(52-1))))</f>
        <v/>
      </c>
      <c r="BE135" s="3" t="str">
        <f>IF(53&gt;$C135,"",IF($D135=1,EOMONTH(EDATE(Bonds!$H135,6*(53-1)),0),EDATE(Bonds!$H135,6*(53-1))))</f>
        <v/>
      </c>
      <c r="BF135" s="3" t="str">
        <f>IF(54&gt;$C135,"",IF($D135=1,EOMONTH(EDATE(Bonds!$H135,6*(54-1)),0),EDATE(Bonds!$H135,6*(54-1))))</f>
        <v/>
      </c>
      <c r="BG135" s="3" t="str">
        <f>IF(55&gt;$C135,"",IF($D135=1,EOMONTH(EDATE(Bonds!$H135,6*(55-1)),0),EDATE(Bonds!$H135,6*(55-1))))</f>
        <v/>
      </c>
      <c r="BH135" s="3" t="str">
        <f>IF(56&gt;$C135,"",IF($D135=1,EOMONTH(EDATE(Bonds!$H135,6*(56-1)),0),EDATE(Bonds!$H135,6*(56-1))))</f>
        <v/>
      </c>
      <c r="BI135" s="3" t="str">
        <f>IF(57&gt;$C135,"",IF($D135=1,EOMONTH(EDATE(Bonds!$H135,6*(57-1)),0),EDATE(Bonds!$H135,6*(57-1))))</f>
        <v/>
      </c>
      <c r="BJ135" s="3" t="str">
        <f>IF(58&gt;$C135,"",IF($D135=1,EOMONTH(EDATE(Bonds!$H135,6*(58-1)),0),EDATE(Bonds!$H135,6*(58-1))))</f>
        <v/>
      </c>
      <c r="BK135" s="3" t="str">
        <f>IF(59&gt;$C135,"",IF($D135=1,EOMONTH(EDATE(Bonds!$H135,6*(59-1)),0),EDATE(Bonds!$H135,6*(59-1))))</f>
        <v/>
      </c>
      <c r="BL135" s="3" t="str">
        <f>IF(60&gt;$C135,"",IF($D135=1,EOMONTH(EDATE(Bonds!$H135,6*(60-1)),0),EDATE(Bonds!$H135,6*(60-1))))</f>
        <v/>
      </c>
      <c r="BN135" s="7">
        <f t="shared" si="62"/>
        <v>0.92024021724298866</v>
      </c>
      <c r="BO135" s="7">
        <f t="shared" si="63"/>
        <v>0.900421919805105</v>
      </c>
      <c r="BP135" s="7">
        <f t="shared" si="64"/>
        <v>0.88039833912783327</v>
      </c>
      <c r="BQ135" s="7">
        <f t="shared" si="65"/>
        <v>0.8603062142268284</v>
      </c>
      <c r="BR135" s="7">
        <f t="shared" si="66"/>
        <v>90.541460349166925</v>
      </c>
      <c r="BS135" s="7">
        <f t="shared" si="67"/>
        <v>0</v>
      </c>
      <c r="BT135" s="7">
        <f t="shared" si="68"/>
        <v>0</v>
      </c>
      <c r="BU135" s="7">
        <f t="shared" si="69"/>
        <v>0</v>
      </c>
      <c r="BV135" s="7">
        <f t="shared" si="70"/>
        <v>0</v>
      </c>
      <c r="BW135" s="7">
        <f t="shared" si="71"/>
        <v>0</v>
      </c>
      <c r="BX135" s="7">
        <f t="shared" si="72"/>
        <v>0</v>
      </c>
      <c r="BY135" s="7">
        <f t="shared" si="73"/>
        <v>0</v>
      </c>
      <c r="BZ135" s="7">
        <f t="shared" si="74"/>
        <v>0</v>
      </c>
      <c r="CA135" s="7">
        <f t="shared" si="75"/>
        <v>0</v>
      </c>
      <c r="CB135" s="7">
        <f t="shared" si="76"/>
        <v>0</v>
      </c>
      <c r="CC135" s="7">
        <f t="shared" si="77"/>
        <v>0</v>
      </c>
      <c r="CD135" s="7">
        <f t="shared" si="78"/>
        <v>0</v>
      </c>
      <c r="CE135" s="7">
        <f t="shared" si="79"/>
        <v>0</v>
      </c>
      <c r="CF135" s="7">
        <f t="shared" si="80"/>
        <v>0</v>
      </c>
      <c r="CG135" s="7">
        <f t="shared" si="81"/>
        <v>0</v>
      </c>
      <c r="CH135" s="7">
        <f t="shared" si="82"/>
        <v>0</v>
      </c>
      <c r="CI135" s="7">
        <f t="shared" si="83"/>
        <v>0</v>
      </c>
      <c r="CJ135" s="7">
        <f t="shared" si="84"/>
        <v>0</v>
      </c>
      <c r="CK135" s="7">
        <f t="shared" si="85"/>
        <v>0</v>
      </c>
      <c r="CL135" s="7">
        <f t="shared" si="86"/>
        <v>0</v>
      </c>
      <c r="CM135" s="7">
        <f t="shared" si="87"/>
        <v>0</v>
      </c>
      <c r="CN135" s="7">
        <f t="shared" si="88"/>
        <v>0</v>
      </c>
      <c r="CO135" s="7">
        <f t="shared" si="89"/>
        <v>0</v>
      </c>
      <c r="CP135" s="7">
        <f t="shared" si="90"/>
        <v>0</v>
      </c>
      <c r="CQ135" s="7">
        <f t="shared" si="91"/>
        <v>0</v>
      </c>
      <c r="CR135" s="7">
        <f t="shared" si="92"/>
        <v>0</v>
      </c>
      <c r="CS135" s="7">
        <f t="shared" si="93"/>
        <v>0</v>
      </c>
      <c r="CT135" s="7">
        <f t="shared" si="94"/>
        <v>0</v>
      </c>
      <c r="CU135" s="7">
        <f t="shared" si="95"/>
        <v>0</v>
      </c>
      <c r="CV135" s="7">
        <f t="shared" si="96"/>
        <v>0</v>
      </c>
      <c r="CW135" s="7">
        <f t="shared" si="97"/>
        <v>0</v>
      </c>
      <c r="CX135" s="7">
        <f t="shared" si="98"/>
        <v>0</v>
      </c>
      <c r="CY135" s="7">
        <f t="shared" si="99"/>
        <v>0</v>
      </c>
      <c r="CZ135" s="7">
        <f t="shared" si="100"/>
        <v>0</v>
      </c>
      <c r="DA135" s="7">
        <f t="shared" si="101"/>
        <v>0</v>
      </c>
      <c r="DB135" s="7">
        <f t="shared" si="102"/>
        <v>0</v>
      </c>
      <c r="DC135" s="7">
        <f t="shared" si="103"/>
        <v>0</v>
      </c>
      <c r="DD135" s="7">
        <f t="shared" si="104"/>
        <v>0</v>
      </c>
      <c r="DE135" s="7">
        <f t="shared" si="105"/>
        <v>0</v>
      </c>
      <c r="DF135" s="7">
        <f t="shared" si="106"/>
        <v>0</v>
      </c>
      <c r="DG135" s="7">
        <f t="shared" si="107"/>
        <v>0</v>
      </c>
      <c r="DH135" s="7">
        <f t="shared" si="108"/>
        <v>0</v>
      </c>
      <c r="DI135" s="7">
        <f t="shared" si="109"/>
        <v>0</v>
      </c>
      <c r="DJ135" s="7">
        <f t="shared" si="110"/>
        <v>0</v>
      </c>
      <c r="DK135" s="7">
        <f t="shared" si="111"/>
        <v>0</v>
      </c>
      <c r="DL135" s="7">
        <f t="shared" si="112"/>
        <v>0</v>
      </c>
      <c r="DM135" s="7">
        <f t="shared" si="113"/>
        <v>0</v>
      </c>
      <c r="DN135" s="7">
        <f t="shared" si="114"/>
        <v>0</v>
      </c>
      <c r="DO135" s="7">
        <f t="shared" si="115"/>
        <v>0</v>
      </c>
      <c r="DP135" s="7">
        <f t="shared" si="116"/>
        <v>0</v>
      </c>
      <c r="DQ135" s="7">
        <f t="shared" si="117"/>
        <v>0</v>
      </c>
      <c r="DR135" s="7">
        <f t="shared" si="118"/>
        <v>0</v>
      </c>
      <c r="DS135" s="7">
        <f t="shared" si="119"/>
        <v>0</v>
      </c>
      <c r="DT135" s="7">
        <f t="shared" si="120"/>
        <v>0</v>
      </c>
      <c r="DU135" s="7">
        <f t="shared" si="121"/>
        <v>0</v>
      </c>
    </row>
    <row r="136" spans="1:125" x14ac:dyDescent="0.2">
      <c r="A136" s="3">
        <f>Bonds!A136</f>
        <v>47177</v>
      </c>
      <c r="B136" s="4">
        <f>Bonds!B136</f>
        <v>4.25</v>
      </c>
      <c r="C136">
        <f>Bonds!P136</f>
        <v>5</v>
      </c>
      <c r="D136">
        <f t="shared" ref="D136:D199" si="122">IF(DAY(A136)=DAY(EOMONTH(A136,0)),1,0)</f>
        <v>1</v>
      </c>
      <c r="E136" s="3">
        <f>IF(1&gt;$C136,"",IF($D136=1,EOMONTH(EDATE(Bonds!$H136,6*(1-1)),0),EDATE(Bonds!$H136,6*(1-1))))</f>
        <v>46446</v>
      </c>
      <c r="F136" s="3">
        <f>IF(2&gt;$C136,"",IF($D136=1,EOMONTH(EDATE(Bonds!$H136,6*(2-1)),0),EDATE(Bonds!$H136,6*(2-1))))</f>
        <v>46630</v>
      </c>
      <c r="G136" s="3">
        <f>IF(3&gt;$C136,"",IF($D136=1,EOMONTH(EDATE(Bonds!$H136,6*(3-1)),0),EDATE(Bonds!$H136,6*(3-1))))</f>
        <v>46812</v>
      </c>
      <c r="H136" s="3">
        <f>IF(4&gt;$C136,"",IF($D136=1,EOMONTH(EDATE(Bonds!$H136,6*(4-1)),0),EDATE(Bonds!$H136,6*(4-1))))</f>
        <v>46996</v>
      </c>
      <c r="I136" s="3">
        <f>IF(5&gt;$C136,"",IF($D136=1,EOMONTH(EDATE(Bonds!$H136,6*(5-1)),0),EDATE(Bonds!$H136,6*(5-1))))</f>
        <v>47177</v>
      </c>
      <c r="J136" s="3" t="str">
        <f>IF(6&gt;$C136,"",IF($D136=1,EOMONTH(EDATE(Bonds!$H136,6*(6-1)),0),EDATE(Bonds!$H136,6*(6-1))))</f>
        <v/>
      </c>
      <c r="K136" s="3" t="str">
        <f>IF(7&gt;$C136,"",IF($D136=1,EOMONTH(EDATE(Bonds!$H136,6*(7-1)),0),EDATE(Bonds!$H136,6*(7-1))))</f>
        <v/>
      </c>
      <c r="L136" s="3" t="str">
        <f>IF(8&gt;$C136,"",IF($D136=1,EOMONTH(EDATE(Bonds!$H136,6*(8-1)),0),EDATE(Bonds!$H136,6*(8-1))))</f>
        <v/>
      </c>
      <c r="M136" s="3" t="str">
        <f>IF(9&gt;$C136,"",IF($D136=1,EOMONTH(EDATE(Bonds!$H136,6*(9-1)),0),EDATE(Bonds!$H136,6*(9-1))))</f>
        <v/>
      </c>
      <c r="N136" s="3" t="str">
        <f>IF(10&gt;$C136,"",IF($D136=1,EOMONTH(EDATE(Bonds!$H136,6*(10-1)),0),EDATE(Bonds!$H136,6*(10-1))))</f>
        <v/>
      </c>
      <c r="O136" s="3" t="str">
        <f>IF(11&gt;$C136,"",IF($D136=1,EOMONTH(EDATE(Bonds!$H136,6*(11-1)),0),EDATE(Bonds!$H136,6*(11-1))))</f>
        <v/>
      </c>
      <c r="P136" s="3" t="str">
        <f>IF(12&gt;$C136,"",IF($D136=1,EOMONTH(EDATE(Bonds!$H136,6*(12-1)),0),EDATE(Bonds!$H136,6*(12-1))))</f>
        <v/>
      </c>
      <c r="Q136" s="3" t="str">
        <f>IF(13&gt;$C136,"",IF($D136=1,EOMONTH(EDATE(Bonds!$H136,6*(13-1)),0),EDATE(Bonds!$H136,6*(13-1))))</f>
        <v/>
      </c>
      <c r="R136" s="3" t="str">
        <f>IF(14&gt;$C136,"",IF($D136=1,EOMONTH(EDATE(Bonds!$H136,6*(14-1)),0),EDATE(Bonds!$H136,6*(14-1))))</f>
        <v/>
      </c>
      <c r="S136" s="3" t="str">
        <f>IF(15&gt;$C136,"",IF($D136=1,EOMONTH(EDATE(Bonds!$H136,6*(15-1)),0),EDATE(Bonds!$H136,6*(15-1))))</f>
        <v/>
      </c>
      <c r="T136" s="3" t="str">
        <f>IF(16&gt;$C136,"",IF($D136=1,EOMONTH(EDATE(Bonds!$H136,6*(16-1)),0),EDATE(Bonds!$H136,6*(16-1))))</f>
        <v/>
      </c>
      <c r="U136" s="3" t="str">
        <f>IF(17&gt;$C136,"",IF($D136=1,EOMONTH(EDATE(Bonds!$H136,6*(17-1)),0),EDATE(Bonds!$H136,6*(17-1))))</f>
        <v/>
      </c>
      <c r="V136" s="3" t="str">
        <f>IF(18&gt;$C136,"",IF($D136=1,EOMONTH(EDATE(Bonds!$H136,6*(18-1)),0),EDATE(Bonds!$H136,6*(18-1))))</f>
        <v/>
      </c>
      <c r="W136" s="3" t="str">
        <f>IF(19&gt;$C136,"",IF($D136=1,EOMONTH(EDATE(Bonds!$H136,6*(19-1)),0),EDATE(Bonds!$H136,6*(19-1))))</f>
        <v/>
      </c>
      <c r="X136" s="3" t="str">
        <f>IF(20&gt;$C136,"",IF($D136=1,EOMONTH(EDATE(Bonds!$H136,6*(20-1)),0),EDATE(Bonds!$H136,6*(20-1))))</f>
        <v/>
      </c>
      <c r="Y136" s="3" t="str">
        <f>IF(21&gt;$C136,"",IF($D136=1,EOMONTH(EDATE(Bonds!$H136,6*(21-1)),0),EDATE(Bonds!$H136,6*(21-1))))</f>
        <v/>
      </c>
      <c r="Z136" s="3" t="str">
        <f>IF(22&gt;$C136,"",IF($D136=1,EOMONTH(EDATE(Bonds!$H136,6*(22-1)),0),EDATE(Bonds!$H136,6*(22-1))))</f>
        <v/>
      </c>
      <c r="AA136" s="3" t="str">
        <f>IF(23&gt;$C136,"",IF($D136=1,EOMONTH(EDATE(Bonds!$H136,6*(23-1)),0),EDATE(Bonds!$H136,6*(23-1))))</f>
        <v/>
      </c>
      <c r="AB136" s="3" t="str">
        <f>IF(24&gt;$C136,"",IF($D136=1,EOMONTH(EDATE(Bonds!$H136,6*(24-1)),0),EDATE(Bonds!$H136,6*(24-1))))</f>
        <v/>
      </c>
      <c r="AC136" s="3" t="str">
        <f>IF(25&gt;$C136,"",IF($D136=1,EOMONTH(EDATE(Bonds!$H136,6*(25-1)),0),EDATE(Bonds!$H136,6*(25-1))))</f>
        <v/>
      </c>
      <c r="AD136" s="3" t="str">
        <f>IF(26&gt;$C136,"",IF($D136=1,EOMONTH(EDATE(Bonds!$H136,6*(26-1)),0),EDATE(Bonds!$H136,6*(26-1))))</f>
        <v/>
      </c>
      <c r="AE136" s="3" t="str">
        <f>IF(27&gt;$C136,"",IF($D136=1,EOMONTH(EDATE(Bonds!$H136,6*(27-1)),0),EDATE(Bonds!$H136,6*(27-1))))</f>
        <v/>
      </c>
      <c r="AF136" s="3" t="str">
        <f>IF(28&gt;$C136,"",IF($D136=1,EOMONTH(EDATE(Bonds!$H136,6*(28-1)),0),EDATE(Bonds!$H136,6*(28-1))))</f>
        <v/>
      </c>
      <c r="AG136" s="3" t="str">
        <f>IF(29&gt;$C136,"",IF($D136=1,EOMONTH(EDATE(Bonds!$H136,6*(29-1)),0),EDATE(Bonds!$H136,6*(29-1))))</f>
        <v/>
      </c>
      <c r="AH136" s="3" t="str">
        <f>IF(30&gt;$C136,"",IF($D136=1,EOMONTH(EDATE(Bonds!$H136,6*(30-1)),0),EDATE(Bonds!$H136,6*(30-1))))</f>
        <v/>
      </c>
      <c r="AI136" s="3" t="str">
        <f>IF(31&gt;$C136,"",IF($D136=1,EOMONTH(EDATE(Bonds!$H136,6*(31-1)),0),EDATE(Bonds!$H136,6*(31-1))))</f>
        <v/>
      </c>
      <c r="AJ136" s="3" t="str">
        <f>IF(32&gt;$C136,"",IF($D136=1,EOMONTH(EDATE(Bonds!$H136,6*(32-1)),0),EDATE(Bonds!$H136,6*(32-1))))</f>
        <v/>
      </c>
      <c r="AK136" s="3" t="str">
        <f>IF(33&gt;$C136,"",IF($D136=1,EOMONTH(EDATE(Bonds!$H136,6*(33-1)),0),EDATE(Bonds!$H136,6*(33-1))))</f>
        <v/>
      </c>
      <c r="AL136" s="3" t="str">
        <f>IF(34&gt;$C136,"",IF($D136=1,EOMONTH(EDATE(Bonds!$H136,6*(34-1)),0),EDATE(Bonds!$H136,6*(34-1))))</f>
        <v/>
      </c>
      <c r="AM136" s="3" t="str">
        <f>IF(35&gt;$C136,"",IF($D136=1,EOMONTH(EDATE(Bonds!$H136,6*(35-1)),0),EDATE(Bonds!$H136,6*(35-1))))</f>
        <v/>
      </c>
      <c r="AN136" s="3" t="str">
        <f>IF(36&gt;$C136,"",IF($D136=1,EOMONTH(EDATE(Bonds!$H136,6*(36-1)),0),EDATE(Bonds!$H136,6*(36-1))))</f>
        <v/>
      </c>
      <c r="AO136" s="3" t="str">
        <f>IF(37&gt;$C136,"",IF($D136=1,EOMONTH(EDATE(Bonds!$H136,6*(37-1)),0),EDATE(Bonds!$H136,6*(37-1))))</f>
        <v/>
      </c>
      <c r="AP136" s="3" t="str">
        <f>IF(38&gt;$C136,"",IF($D136=1,EOMONTH(EDATE(Bonds!$H136,6*(38-1)),0),EDATE(Bonds!$H136,6*(38-1))))</f>
        <v/>
      </c>
      <c r="AQ136" s="3" t="str">
        <f>IF(39&gt;$C136,"",IF($D136=1,EOMONTH(EDATE(Bonds!$H136,6*(39-1)),0),EDATE(Bonds!$H136,6*(39-1))))</f>
        <v/>
      </c>
      <c r="AR136" s="3" t="str">
        <f>IF(40&gt;$C136,"",IF($D136=1,EOMONTH(EDATE(Bonds!$H136,6*(40-1)),0),EDATE(Bonds!$H136,6*(40-1))))</f>
        <v/>
      </c>
      <c r="AS136" s="3" t="str">
        <f>IF(41&gt;$C136,"",IF($D136=1,EOMONTH(EDATE(Bonds!$H136,6*(41-1)),0),EDATE(Bonds!$H136,6*(41-1))))</f>
        <v/>
      </c>
      <c r="AT136" s="3" t="str">
        <f>IF(42&gt;$C136,"",IF($D136=1,EOMONTH(EDATE(Bonds!$H136,6*(42-1)),0),EDATE(Bonds!$H136,6*(42-1))))</f>
        <v/>
      </c>
      <c r="AU136" s="3" t="str">
        <f>IF(43&gt;$C136,"",IF($D136=1,EOMONTH(EDATE(Bonds!$H136,6*(43-1)),0),EDATE(Bonds!$H136,6*(43-1))))</f>
        <v/>
      </c>
      <c r="AV136" s="3" t="str">
        <f>IF(44&gt;$C136,"",IF($D136=1,EOMONTH(EDATE(Bonds!$H136,6*(44-1)),0),EDATE(Bonds!$H136,6*(44-1))))</f>
        <v/>
      </c>
      <c r="AW136" s="3" t="str">
        <f>IF(45&gt;$C136,"",IF($D136=1,EOMONTH(EDATE(Bonds!$H136,6*(45-1)),0),EDATE(Bonds!$H136,6*(45-1))))</f>
        <v/>
      </c>
      <c r="AX136" s="3" t="str">
        <f>IF(46&gt;$C136,"",IF($D136=1,EOMONTH(EDATE(Bonds!$H136,6*(46-1)),0),EDATE(Bonds!$H136,6*(46-1))))</f>
        <v/>
      </c>
      <c r="AY136" s="3" t="str">
        <f>IF(47&gt;$C136,"",IF($D136=1,EOMONTH(EDATE(Bonds!$H136,6*(47-1)),0),EDATE(Bonds!$H136,6*(47-1))))</f>
        <v/>
      </c>
      <c r="AZ136" s="3" t="str">
        <f>IF(48&gt;$C136,"",IF($D136=1,EOMONTH(EDATE(Bonds!$H136,6*(48-1)),0),EDATE(Bonds!$H136,6*(48-1))))</f>
        <v/>
      </c>
      <c r="BA136" s="3" t="str">
        <f>IF(49&gt;$C136,"",IF($D136=1,EOMONTH(EDATE(Bonds!$H136,6*(49-1)),0),EDATE(Bonds!$H136,6*(49-1))))</f>
        <v/>
      </c>
      <c r="BB136" s="3" t="str">
        <f>IF(50&gt;$C136,"",IF($D136=1,EOMONTH(EDATE(Bonds!$H136,6*(50-1)),0),EDATE(Bonds!$H136,6*(50-1))))</f>
        <v/>
      </c>
      <c r="BC136" s="3" t="str">
        <f>IF(51&gt;$C136,"",IF($D136=1,EOMONTH(EDATE(Bonds!$H136,6*(51-1)),0),EDATE(Bonds!$H136,6*(51-1))))</f>
        <v/>
      </c>
      <c r="BD136" s="3" t="str">
        <f>IF(52&gt;$C136,"",IF($D136=1,EOMONTH(EDATE(Bonds!$H136,6*(52-1)),0),EDATE(Bonds!$H136,6*(52-1))))</f>
        <v/>
      </c>
      <c r="BE136" s="3" t="str">
        <f>IF(53&gt;$C136,"",IF($D136=1,EOMONTH(EDATE(Bonds!$H136,6*(53-1)),0),EDATE(Bonds!$H136,6*(53-1))))</f>
        <v/>
      </c>
      <c r="BF136" s="3" t="str">
        <f>IF(54&gt;$C136,"",IF($D136=1,EOMONTH(EDATE(Bonds!$H136,6*(54-1)),0),EDATE(Bonds!$H136,6*(54-1))))</f>
        <v/>
      </c>
      <c r="BG136" s="3" t="str">
        <f>IF(55&gt;$C136,"",IF($D136=1,EOMONTH(EDATE(Bonds!$H136,6*(55-1)),0),EDATE(Bonds!$H136,6*(55-1))))</f>
        <v/>
      </c>
      <c r="BH136" s="3" t="str">
        <f>IF(56&gt;$C136,"",IF($D136=1,EOMONTH(EDATE(Bonds!$H136,6*(56-1)),0),EDATE(Bonds!$H136,6*(56-1))))</f>
        <v/>
      </c>
      <c r="BI136" s="3" t="str">
        <f>IF(57&gt;$C136,"",IF($D136=1,EOMONTH(EDATE(Bonds!$H136,6*(57-1)),0),EDATE(Bonds!$H136,6*(57-1))))</f>
        <v/>
      </c>
      <c r="BJ136" s="3" t="str">
        <f>IF(58&gt;$C136,"",IF($D136=1,EOMONTH(EDATE(Bonds!$H136,6*(58-1)),0),EDATE(Bonds!$H136,6*(58-1))))</f>
        <v/>
      </c>
      <c r="BK136" s="3" t="str">
        <f>IF(59&gt;$C136,"",IF($D136=1,EOMONTH(EDATE(Bonds!$H136,6*(59-1)),0),EDATE(Bonds!$H136,6*(59-1))))</f>
        <v/>
      </c>
      <c r="BL136" s="3" t="str">
        <f>IF(60&gt;$C136,"",IF($D136=1,EOMONTH(EDATE(Bonds!$H136,6*(60-1)),0),EDATE(Bonds!$H136,6*(60-1))))</f>
        <v/>
      </c>
      <c r="BN136" s="7">
        <f t="shared" ref="BN136:BN199" si="123">IF(E136="",0,($B136/2+IF(1=$C136,100,0))*EXP(-(beta_0+beta_1*(1-EXP(-((E136-Settle)/365)/tau_1))/(((E136-Settle)/365)/tau_1)+beta_2*((1-EXP(-((E136-Settle)/365)/tau_1))/(((E136-Settle)/365)/tau_1)-EXP(-((E136-Settle)/365)/tau_1))+beta_3*((1-EXP(-((E136-Settle)/365)/tau_2))/(((E136-Settle)/365)/tau_2)-EXP(-((E136-Settle)/365)/tau_2)))*((E136-Settle)/365)))</f>
        <v>2.0858778257507744</v>
      </c>
      <c r="BO136" s="7">
        <f t="shared" ref="BO136:BO199" si="124">IF(F136="",0,($B136/2+IF(2=$C136,100,0))*EXP(-(beta_0+beta_1*(1-EXP(-((F136-Settle)/365)/tau_1))/(((F136-Settle)/365)/tau_1)+beta_2*((1-EXP(-((F136-Settle)/365)/tau_1))/(((F136-Settle)/365)/tau_1)-EXP(-((F136-Settle)/365)/tau_1))+beta_3*((1-EXP(-((F136-Settle)/365)/tau_2))/(((F136-Settle)/365)/tau_2)-EXP(-((F136-Settle)/365)/tau_2)))*((F136-Settle)/365)))</f>
        <v>2.0409563515582381</v>
      </c>
      <c r="BP136" s="7">
        <f t="shared" ref="BP136:BP199" si="125">IF(G136="",0,($B136/2+IF(3=$C136,100,0))*EXP(-(beta_0+beta_1*(1-EXP(-((G136-Settle)/365)/tau_1))/(((G136-Settle)/365)/tau_1)+beta_2*((1-EXP(-((G136-Settle)/365)/tau_1))/(((G136-Settle)/365)/tau_1)-EXP(-((G136-Settle)/365)/tau_1))+beta_3*((1-EXP(-((G136-Settle)/365)/tau_2))/(((G136-Settle)/365)/tau_2)-EXP(-((G136-Settle)/365)/tau_2)))*((G136-Settle)/365)))</f>
        <v>1.9955695686897552</v>
      </c>
      <c r="BQ136" s="7">
        <f t="shared" ref="BQ136:BQ199" si="126">IF(H136="",0,($B136/2+IF(4=$C136,100,0))*EXP(-(beta_0+beta_1*(1-EXP(-((H136-Settle)/365)/tau_1))/(((H136-Settle)/365)/tau_1)+beta_2*((1-EXP(-((H136-Settle)/365)/tau_1))/(((H136-Settle)/365)/tau_1)-EXP(-((H136-Settle)/365)/tau_1))+beta_3*((1-EXP(-((H136-Settle)/365)/tau_2))/(((H136-Settle)/365)/tau_2)-EXP(-((H136-Settle)/365)/tau_2)))*((H136-Settle)/365)))</f>
        <v>1.9500274189141444</v>
      </c>
      <c r="BR136" s="7">
        <f t="shared" ref="BR136:BR199" si="127">IF(I136="",0,($B136/2+IF(5=$C136,100,0))*EXP(-(beta_0+beta_1*(1-EXP(-((I136-Settle)/365)/tau_1))/(((I136-Settle)/365)/tau_1)+beta_2*((1-EXP(-((I136-Settle)/365)/tau_1))/(((I136-Settle)/365)/tau_1)-EXP(-((I136-Settle)/365)/tau_1))+beta_3*((1-EXP(-((I136-Settle)/365)/tau_2))/(((I136-Settle)/365)/tau_2)-EXP(-((I136-Settle)/365)/tau_2)))*((I136-Settle)/365)))</f>
        <v>91.606654000333592</v>
      </c>
      <c r="BS136" s="7">
        <f t="shared" ref="BS136:BS199" si="128">IF(J136="",0,($B136/2+IF(6=$C136,100,0))*EXP(-(beta_0+beta_1*(1-EXP(-((J136-Settle)/365)/tau_1))/(((J136-Settle)/365)/tau_1)+beta_2*((1-EXP(-((J136-Settle)/365)/tau_1))/(((J136-Settle)/365)/tau_1)-EXP(-((J136-Settle)/365)/tau_1))+beta_3*((1-EXP(-((J136-Settle)/365)/tau_2))/(((J136-Settle)/365)/tau_2)-EXP(-((J136-Settle)/365)/tau_2)))*((J136-Settle)/365)))</f>
        <v>0</v>
      </c>
      <c r="BT136" s="7">
        <f t="shared" ref="BT136:BT199" si="129">IF(K136="",0,($B136/2+IF(7=$C136,100,0))*EXP(-(beta_0+beta_1*(1-EXP(-((K136-Settle)/365)/tau_1))/(((K136-Settle)/365)/tau_1)+beta_2*((1-EXP(-((K136-Settle)/365)/tau_1))/(((K136-Settle)/365)/tau_1)-EXP(-((K136-Settle)/365)/tau_1))+beta_3*((1-EXP(-((K136-Settle)/365)/tau_2))/(((K136-Settle)/365)/tau_2)-EXP(-((K136-Settle)/365)/tau_2)))*((K136-Settle)/365)))</f>
        <v>0</v>
      </c>
      <c r="BU136" s="7">
        <f t="shared" ref="BU136:BU199" si="130">IF(L136="",0,($B136/2+IF(8=$C136,100,0))*EXP(-(beta_0+beta_1*(1-EXP(-((L136-Settle)/365)/tau_1))/(((L136-Settle)/365)/tau_1)+beta_2*((1-EXP(-((L136-Settle)/365)/tau_1))/(((L136-Settle)/365)/tau_1)-EXP(-((L136-Settle)/365)/tau_1))+beta_3*((1-EXP(-((L136-Settle)/365)/tau_2))/(((L136-Settle)/365)/tau_2)-EXP(-((L136-Settle)/365)/tau_2)))*((L136-Settle)/365)))</f>
        <v>0</v>
      </c>
      <c r="BV136" s="7">
        <f t="shared" ref="BV136:BV199" si="131">IF(M136="",0,($B136/2+IF(9=$C136,100,0))*EXP(-(beta_0+beta_1*(1-EXP(-((M136-Settle)/365)/tau_1))/(((M136-Settle)/365)/tau_1)+beta_2*((1-EXP(-((M136-Settle)/365)/tau_1))/(((M136-Settle)/365)/tau_1)-EXP(-((M136-Settle)/365)/tau_1))+beta_3*((1-EXP(-((M136-Settle)/365)/tau_2))/(((M136-Settle)/365)/tau_2)-EXP(-((M136-Settle)/365)/tau_2)))*((M136-Settle)/365)))</f>
        <v>0</v>
      </c>
      <c r="BW136" s="7">
        <f t="shared" ref="BW136:BW199" si="132">IF(N136="",0,($B136/2+IF(10=$C136,100,0))*EXP(-(beta_0+beta_1*(1-EXP(-((N136-Settle)/365)/tau_1))/(((N136-Settle)/365)/tau_1)+beta_2*((1-EXP(-((N136-Settle)/365)/tau_1))/(((N136-Settle)/365)/tau_1)-EXP(-((N136-Settle)/365)/tau_1))+beta_3*((1-EXP(-((N136-Settle)/365)/tau_2))/(((N136-Settle)/365)/tau_2)-EXP(-((N136-Settle)/365)/tau_2)))*((N136-Settle)/365)))</f>
        <v>0</v>
      </c>
      <c r="BX136" s="7">
        <f t="shared" ref="BX136:BX199" si="133">IF(O136="",0,($B136/2+IF(11=$C136,100,0))*EXP(-(beta_0+beta_1*(1-EXP(-((O136-Settle)/365)/tau_1))/(((O136-Settle)/365)/tau_1)+beta_2*((1-EXP(-((O136-Settle)/365)/tau_1))/(((O136-Settle)/365)/tau_1)-EXP(-((O136-Settle)/365)/tau_1))+beta_3*((1-EXP(-((O136-Settle)/365)/tau_2))/(((O136-Settle)/365)/tau_2)-EXP(-((O136-Settle)/365)/tau_2)))*((O136-Settle)/365)))</f>
        <v>0</v>
      </c>
      <c r="BY136" s="7">
        <f t="shared" ref="BY136:BY199" si="134">IF(P136="",0,($B136/2+IF(12=$C136,100,0))*EXP(-(beta_0+beta_1*(1-EXP(-((P136-Settle)/365)/tau_1))/(((P136-Settle)/365)/tau_1)+beta_2*((1-EXP(-((P136-Settle)/365)/tau_1))/(((P136-Settle)/365)/tau_1)-EXP(-((P136-Settle)/365)/tau_1))+beta_3*((1-EXP(-((P136-Settle)/365)/tau_2))/(((P136-Settle)/365)/tau_2)-EXP(-((P136-Settle)/365)/tau_2)))*((P136-Settle)/365)))</f>
        <v>0</v>
      </c>
      <c r="BZ136" s="7">
        <f t="shared" ref="BZ136:BZ199" si="135">IF(Q136="",0,($B136/2+IF(13=$C136,100,0))*EXP(-(beta_0+beta_1*(1-EXP(-((Q136-Settle)/365)/tau_1))/(((Q136-Settle)/365)/tau_1)+beta_2*((1-EXP(-((Q136-Settle)/365)/tau_1))/(((Q136-Settle)/365)/tau_1)-EXP(-((Q136-Settle)/365)/tau_1))+beta_3*((1-EXP(-((Q136-Settle)/365)/tau_2))/(((Q136-Settle)/365)/tau_2)-EXP(-((Q136-Settle)/365)/tau_2)))*((Q136-Settle)/365)))</f>
        <v>0</v>
      </c>
      <c r="CA136" s="7">
        <f t="shared" ref="CA136:CA199" si="136">IF(R136="",0,($B136/2+IF(14=$C136,100,0))*EXP(-(beta_0+beta_1*(1-EXP(-((R136-Settle)/365)/tau_1))/(((R136-Settle)/365)/tau_1)+beta_2*((1-EXP(-((R136-Settle)/365)/tau_1))/(((R136-Settle)/365)/tau_1)-EXP(-((R136-Settle)/365)/tau_1))+beta_3*((1-EXP(-((R136-Settle)/365)/tau_2))/(((R136-Settle)/365)/tau_2)-EXP(-((R136-Settle)/365)/tau_2)))*((R136-Settle)/365)))</f>
        <v>0</v>
      </c>
      <c r="CB136" s="7">
        <f t="shared" ref="CB136:CB199" si="137">IF(S136="",0,($B136/2+IF(15=$C136,100,0))*EXP(-(beta_0+beta_1*(1-EXP(-((S136-Settle)/365)/tau_1))/(((S136-Settle)/365)/tau_1)+beta_2*((1-EXP(-((S136-Settle)/365)/tau_1))/(((S136-Settle)/365)/tau_1)-EXP(-((S136-Settle)/365)/tau_1))+beta_3*((1-EXP(-((S136-Settle)/365)/tau_2))/(((S136-Settle)/365)/tau_2)-EXP(-((S136-Settle)/365)/tau_2)))*((S136-Settle)/365)))</f>
        <v>0</v>
      </c>
      <c r="CC136" s="7">
        <f t="shared" ref="CC136:CC199" si="138">IF(T136="",0,($B136/2+IF(16=$C136,100,0))*EXP(-(beta_0+beta_1*(1-EXP(-((T136-Settle)/365)/tau_1))/(((T136-Settle)/365)/tau_1)+beta_2*((1-EXP(-((T136-Settle)/365)/tau_1))/(((T136-Settle)/365)/tau_1)-EXP(-((T136-Settle)/365)/tau_1))+beta_3*((1-EXP(-((T136-Settle)/365)/tau_2))/(((T136-Settle)/365)/tau_2)-EXP(-((T136-Settle)/365)/tau_2)))*((T136-Settle)/365)))</f>
        <v>0</v>
      </c>
      <c r="CD136" s="7">
        <f t="shared" ref="CD136:CD199" si="139">IF(U136="",0,($B136/2+IF(17=$C136,100,0))*EXP(-(beta_0+beta_1*(1-EXP(-((U136-Settle)/365)/tau_1))/(((U136-Settle)/365)/tau_1)+beta_2*((1-EXP(-((U136-Settle)/365)/tau_1))/(((U136-Settle)/365)/tau_1)-EXP(-((U136-Settle)/365)/tau_1))+beta_3*((1-EXP(-((U136-Settle)/365)/tau_2))/(((U136-Settle)/365)/tau_2)-EXP(-((U136-Settle)/365)/tau_2)))*((U136-Settle)/365)))</f>
        <v>0</v>
      </c>
      <c r="CE136" s="7">
        <f t="shared" ref="CE136:CE199" si="140">IF(V136="",0,($B136/2+IF(18=$C136,100,0))*EXP(-(beta_0+beta_1*(1-EXP(-((V136-Settle)/365)/tau_1))/(((V136-Settle)/365)/tau_1)+beta_2*((1-EXP(-((V136-Settle)/365)/tau_1))/(((V136-Settle)/365)/tau_1)-EXP(-((V136-Settle)/365)/tau_1))+beta_3*((1-EXP(-((V136-Settle)/365)/tau_2))/(((V136-Settle)/365)/tau_2)-EXP(-((V136-Settle)/365)/tau_2)))*((V136-Settle)/365)))</f>
        <v>0</v>
      </c>
      <c r="CF136" s="7">
        <f t="shared" ref="CF136:CF199" si="141">IF(W136="",0,($B136/2+IF(19=$C136,100,0))*EXP(-(beta_0+beta_1*(1-EXP(-((W136-Settle)/365)/tau_1))/(((W136-Settle)/365)/tau_1)+beta_2*((1-EXP(-((W136-Settle)/365)/tau_1))/(((W136-Settle)/365)/tau_1)-EXP(-((W136-Settle)/365)/tau_1))+beta_3*((1-EXP(-((W136-Settle)/365)/tau_2))/(((W136-Settle)/365)/tau_2)-EXP(-((W136-Settle)/365)/tau_2)))*((W136-Settle)/365)))</f>
        <v>0</v>
      </c>
      <c r="CG136" s="7">
        <f t="shared" ref="CG136:CG199" si="142">IF(X136="",0,($B136/2+IF(20=$C136,100,0))*EXP(-(beta_0+beta_1*(1-EXP(-((X136-Settle)/365)/tau_1))/(((X136-Settle)/365)/tau_1)+beta_2*((1-EXP(-((X136-Settle)/365)/tau_1))/(((X136-Settle)/365)/tau_1)-EXP(-((X136-Settle)/365)/tau_1))+beta_3*((1-EXP(-((X136-Settle)/365)/tau_2))/(((X136-Settle)/365)/tau_2)-EXP(-((X136-Settle)/365)/tau_2)))*((X136-Settle)/365)))</f>
        <v>0</v>
      </c>
      <c r="CH136" s="7">
        <f t="shared" ref="CH136:CH199" si="143">IF(Y136="",0,($B136/2+IF(21=$C136,100,0))*EXP(-(beta_0+beta_1*(1-EXP(-((Y136-Settle)/365)/tau_1))/(((Y136-Settle)/365)/tau_1)+beta_2*((1-EXP(-((Y136-Settle)/365)/tau_1))/(((Y136-Settle)/365)/tau_1)-EXP(-((Y136-Settle)/365)/tau_1))+beta_3*((1-EXP(-((Y136-Settle)/365)/tau_2))/(((Y136-Settle)/365)/tau_2)-EXP(-((Y136-Settle)/365)/tau_2)))*((Y136-Settle)/365)))</f>
        <v>0</v>
      </c>
      <c r="CI136" s="7">
        <f t="shared" ref="CI136:CI199" si="144">IF(Z136="",0,($B136/2+IF(22=$C136,100,0))*EXP(-(beta_0+beta_1*(1-EXP(-((Z136-Settle)/365)/tau_1))/(((Z136-Settle)/365)/tau_1)+beta_2*((1-EXP(-((Z136-Settle)/365)/tau_1))/(((Z136-Settle)/365)/tau_1)-EXP(-((Z136-Settle)/365)/tau_1))+beta_3*((1-EXP(-((Z136-Settle)/365)/tau_2))/(((Z136-Settle)/365)/tau_2)-EXP(-((Z136-Settle)/365)/tau_2)))*((Z136-Settle)/365)))</f>
        <v>0</v>
      </c>
      <c r="CJ136" s="7">
        <f t="shared" ref="CJ136:CJ199" si="145">IF(AA136="",0,($B136/2+IF(23=$C136,100,0))*EXP(-(beta_0+beta_1*(1-EXP(-((AA136-Settle)/365)/tau_1))/(((AA136-Settle)/365)/tau_1)+beta_2*((1-EXP(-((AA136-Settle)/365)/tau_1))/(((AA136-Settle)/365)/tau_1)-EXP(-((AA136-Settle)/365)/tau_1))+beta_3*((1-EXP(-((AA136-Settle)/365)/tau_2))/(((AA136-Settle)/365)/tau_2)-EXP(-((AA136-Settle)/365)/tau_2)))*((AA136-Settle)/365)))</f>
        <v>0</v>
      </c>
      <c r="CK136" s="7">
        <f t="shared" ref="CK136:CK199" si="146">IF(AB136="",0,($B136/2+IF(24=$C136,100,0))*EXP(-(beta_0+beta_1*(1-EXP(-((AB136-Settle)/365)/tau_1))/(((AB136-Settle)/365)/tau_1)+beta_2*((1-EXP(-((AB136-Settle)/365)/tau_1))/(((AB136-Settle)/365)/tau_1)-EXP(-((AB136-Settle)/365)/tau_1))+beta_3*((1-EXP(-((AB136-Settle)/365)/tau_2))/(((AB136-Settle)/365)/tau_2)-EXP(-((AB136-Settle)/365)/tau_2)))*((AB136-Settle)/365)))</f>
        <v>0</v>
      </c>
      <c r="CL136" s="7">
        <f t="shared" ref="CL136:CL199" si="147">IF(AC136="",0,($B136/2+IF(25=$C136,100,0))*EXP(-(beta_0+beta_1*(1-EXP(-((AC136-Settle)/365)/tau_1))/(((AC136-Settle)/365)/tau_1)+beta_2*((1-EXP(-((AC136-Settle)/365)/tau_1))/(((AC136-Settle)/365)/tau_1)-EXP(-((AC136-Settle)/365)/tau_1))+beta_3*((1-EXP(-((AC136-Settle)/365)/tau_2))/(((AC136-Settle)/365)/tau_2)-EXP(-((AC136-Settle)/365)/tau_2)))*((AC136-Settle)/365)))</f>
        <v>0</v>
      </c>
      <c r="CM136" s="7">
        <f t="shared" ref="CM136:CM199" si="148">IF(AD136="",0,($B136/2+IF(26=$C136,100,0))*EXP(-(beta_0+beta_1*(1-EXP(-((AD136-Settle)/365)/tau_1))/(((AD136-Settle)/365)/tau_1)+beta_2*((1-EXP(-((AD136-Settle)/365)/tau_1))/(((AD136-Settle)/365)/tau_1)-EXP(-((AD136-Settle)/365)/tau_1))+beta_3*((1-EXP(-((AD136-Settle)/365)/tau_2))/(((AD136-Settle)/365)/tau_2)-EXP(-((AD136-Settle)/365)/tau_2)))*((AD136-Settle)/365)))</f>
        <v>0</v>
      </c>
      <c r="CN136" s="7">
        <f t="shared" ref="CN136:CN199" si="149">IF(AE136="",0,($B136/2+IF(27=$C136,100,0))*EXP(-(beta_0+beta_1*(1-EXP(-((AE136-Settle)/365)/tau_1))/(((AE136-Settle)/365)/tau_1)+beta_2*((1-EXP(-((AE136-Settle)/365)/tau_1))/(((AE136-Settle)/365)/tau_1)-EXP(-((AE136-Settle)/365)/tau_1))+beta_3*((1-EXP(-((AE136-Settle)/365)/tau_2))/(((AE136-Settle)/365)/tau_2)-EXP(-((AE136-Settle)/365)/tau_2)))*((AE136-Settle)/365)))</f>
        <v>0</v>
      </c>
      <c r="CO136" s="7">
        <f t="shared" ref="CO136:CO199" si="150">IF(AF136="",0,($B136/2+IF(28=$C136,100,0))*EXP(-(beta_0+beta_1*(1-EXP(-((AF136-Settle)/365)/tau_1))/(((AF136-Settle)/365)/tau_1)+beta_2*((1-EXP(-((AF136-Settle)/365)/tau_1))/(((AF136-Settle)/365)/tau_1)-EXP(-((AF136-Settle)/365)/tau_1))+beta_3*((1-EXP(-((AF136-Settle)/365)/tau_2))/(((AF136-Settle)/365)/tau_2)-EXP(-((AF136-Settle)/365)/tau_2)))*((AF136-Settle)/365)))</f>
        <v>0</v>
      </c>
      <c r="CP136" s="7">
        <f t="shared" ref="CP136:CP199" si="151">IF(AG136="",0,($B136/2+IF(29=$C136,100,0))*EXP(-(beta_0+beta_1*(1-EXP(-((AG136-Settle)/365)/tau_1))/(((AG136-Settle)/365)/tau_1)+beta_2*((1-EXP(-((AG136-Settle)/365)/tau_1))/(((AG136-Settle)/365)/tau_1)-EXP(-((AG136-Settle)/365)/tau_1))+beta_3*((1-EXP(-((AG136-Settle)/365)/tau_2))/(((AG136-Settle)/365)/tau_2)-EXP(-((AG136-Settle)/365)/tau_2)))*((AG136-Settle)/365)))</f>
        <v>0</v>
      </c>
      <c r="CQ136" s="7">
        <f t="shared" ref="CQ136:CQ199" si="152">IF(AH136="",0,($B136/2+IF(30=$C136,100,0))*EXP(-(beta_0+beta_1*(1-EXP(-((AH136-Settle)/365)/tau_1))/(((AH136-Settle)/365)/tau_1)+beta_2*((1-EXP(-((AH136-Settle)/365)/tau_1))/(((AH136-Settle)/365)/tau_1)-EXP(-((AH136-Settle)/365)/tau_1))+beta_3*((1-EXP(-((AH136-Settle)/365)/tau_2))/(((AH136-Settle)/365)/tau_2)-EXP(-((AH136-Settle)/365)/tau_2)))*((AH136-Settle)/365)))</f>
        <v>0</v>
      </c>
      <c r="CR136" s="7">
        <f t="shared" ref="CR136:CR199" si="153">IF(AI136="",0,($B136/2+IF(31=$C136,100,0))*EXP(-(beta_0+beta_1*(1-EXP(-((AI136-Settle)/365)/tau_1))/(((AI136-Settle)/365)/tau_1)+beta_2*((1-EXP(-((AI136-Settle)/365)/tau_1))/(((AI136-Settle)/365)/tau_1)-EXP(-((AI136-Settle)/365)/tau_1))+beta_3*((1-EXP(-((AI136-Settle)/365)/tau_2))/(((AI136-Settle)/365)/tau_2)-EXP(-((AI136-Settle)/365)/tau_2)))*((AI136-Settle)/365)))</f>
        <v>0</v>
      </c>
      <c r="CS136" s="7">
        <f t="shared" ref="CS136:CS199" si="154">IF(AJ136="",0,($B136/2+IF(32=$C136,100,0))*EXP(-(beta_0+beta_1*(1-EXP(-((AJ136-Settle)/365)/tau_1))/(((AJ136-Settle)/365)/tau_1)+beta_2*((1-EXP(-((AJ136-Settle)/365)/tau_1))/(((AJ136-Settle)/365)/tau_1)-EXP(-((AJ136-Settle)/365)/tau_1))+beta_3*((1-EXP(-((AJ136-Settle)/365)/tau_2))/(((AJ136-Settle)/365)/tau_2)-EXP(-((AJ136-Settle)/365)/tau_2)))*((AJ136-Settle)/365)))</f>
        <v>0</v>
      </c>
      <c r="CT136" s="7">
        <f t="shared" ref="CT136:CT199" si="155">IF(AK136="",0,($B136/2+IF(33=$C136,100,0))*EXP(-(beta_0+beta_1*(1-EXP(-((AK136-Settle)/365)/tau_1))/(((AK136-Settle)/365)/tau_1)+beta_2*((1-EXP(-((AK136-Settle)/365)/tau_1))/(((AK136-Settle)/365)/tau_1)-EXP(-((AK136-Settle)/365)/tau_1))+beta_3*((1-EXP(-((AK136-Settle)/365)/tau_2))/(((AK136-Settle)/365)/tau_2)-EXP(-((AK136-Settle)/365)/tau_2)))*((AK136-Settle)/365)))</f>
        <v>0</v>
      </c>
      <c r="CU136" s="7">
        <f t="shared" ref="CU136:CU199" si="156">IF(AL136="",0,($B136/2+IF(34=$C136,100,0))*EXP(-(beta_0+beta_1*(1-EXP(-((AL136-Settle)/365)/tau_1))/(((AL136-Settle)/365)/tau_1)+beta_2*((1-EXP(-((AL136-Settle)/365)/tau_1))/(((AL136-Settle)/365)/tau_1)-EXP(-((AL136-Settle)/365)/tau_1))+beta_3*((1-EXP(-((AL136-Settle)/365)/tau_2))/(((AL136-Settle)/365)/tau_2)-EXP(-((AL136-Settle)/365)/tau_2)))*((AL136-Settle)/365)))</f>
        <v>0</v>
      </c>
      <c r="CV136" s="7">
        <f t="shared" ref="CV136:CV199" si="157">IF(AM136="",0,($B136/2+IF(35=$C136,100,0))*EXP(-(beta_0+beta_1*(1-EXP(-((AM136-Settle)/365)/tau_1))/(((AM136-Settle)/365)/tau_1)+beta_2*((1-EXP(-((AM136-Settle)/365)/tau_1))/(((AM136-Settle)/365)/tau_1)-EXP(-((AM136-Settle)/365)/tau_1))+beta_3*((1-EXP(-((AM136-Settle)/365)/tau_2))/(((AM136-Settle)/365)/tau_2)-EXP(-((AM136-Settle)/365)/tau_2)))*((AM136-Settle)/365)))</f>
        <v>0</v>
      </c>
      <c r="CW136" s="7">
        <f t="shared" ref="CW136:CW199" si="158">IF(AN136="",0,($B136/2+IF(36=$C136,100,0))*EXP(-(beta_0+beta_1*(1-EXP(-((AN136-Settle)/365)/tau_1))/(((AN136-Settle)/365)/tau_1)+beta_2*((1-EXP(-((AN136-Settle)/365)/tau_1))/(((AN136-Settle)/365)/tau_1)-EXP(-((AN136-Settle)/365)/tau_1))+beta_3*((1-EXP(-((AN136-Settle)/365)/tau_2))/(((AN136-Settle)/365)/tau_2)-EXP(-((AN136-Settle)/365)/tau_2)))*((AN136-Settle)/365)))</f>
        <v>0</v>
      </c>
      <c r="CX136" s="7">
        <f t="shared" ref="CX136:CX199" si="159">IF(AO136="",0,($B136/2+IF(37=$C136,100,0))*EXP(-(beta_0+beta_1*(1-EXP(-((AO136-Settle)/365)/tau_1))/(((AO136-Settle)/365)/tau_1)+beta_2*((1-EXP(-((AO136-Settle)/365)/tau_1))/(((AO136-Settle)/365)/tau_1)-EXP(-((AO136-Settle)/365)/tau_1))+beta_3*((1-EXP(-((AO136-Settle)/365)/tau_2))/(((AO136-Settle)/365)/tau_2)-EXP(-((AO136-Settle)/365)/tau_2)))*((AO136-Settle)/365)))</f>
        <v>0</v>
      </c>
      <c r="CY136" s="7">
        <f t="shared" ref="CY136:CY199" si="160">IF(AP136="",0,($B136/2+IF(38=$C136,100,0))*EXP(-(beta_0+beta_1*(1-EXP(-((AP136-Settle)/365)/tau_1))/(((AP136-Settle)/365)/tau_1)+beta_2*((1-EXP(-((AP136-Settle)/365)/tau_1))/(((AP136-Settle)/365)/tau_1)-EXP(-((AP136-Settle)/365)/tau_1))+beta_3*((1-EXP(-((AP136-Settle)/365)/tau_2))/(((AP136-Settle)/365)/tau_2)-EXP(-((AP136-Settle)/365)/tau_2)))*((AP136-Settle)/365)))</f>
        <v>0</v>
      </c>
      <c r="CZ136" s="7">
        <f t="shared" ref="CZ136:CZ199" si="161">IF(AQ136="",0,($B136/2+IF(39=$C136,100,0))*EXP(-(beta_0+beta_1*(1-EXP(-((AQ136-Settle)/365)/tau_1))/(((AQ136-Settle)/365)/tau_1)+beta_2*((1-EXP(-((AQ136-Settle)/365)/tau_1))/(((AQ136-Settle)/365)/tau_1)-EXP(-((AQ136-Settle)/365)/tau_1))+beta_3*((1-EXP(-((AQ136-Settle)/365)/tau_2))/(((AQ136-Settle)/365)/tau_2)-EXP(-((AQ136-Settle)/365)/tau_2)))*((AQ136-Settle)/365)))</f>
        <v>0</v>
      </c>
      <c r="DA136" s="7">
        <f t="shared" ref="DA136:DA199" si="162">IF(AR136="",0,($B136/2+IF(40=$C136,100,0))*EXP(-(beta_0+beta_1*(1-EXP(-((AR136-Settle)/365)/tau_1))/(((AR136-Settle)/365)/tau_1)+beta_2*((1-EXP(-((AR136-Settle)/365)/tau_1))/(((AR136-Settle)/365)/tau_1)-EXP(-((AR136-Settle)/365)/tau_1))+beta_3*((1-EXP(-((AR136-Settle)/365)/tau_2))/(((AR136-Settle)/365)/tau_2)-EXP(-((AR136-Settle)/365)/tau_2)))*((AR136-Settle)/365)))</f>
        <v>0</v>
      </c>
      <c r="DB136" s="7">
        <f t="shared" ref="DB136:DB199" si="163">IF(AS136="",0,($B136/2+IF(41=$C136,100,0))*EXP(-(beta_0+beta_1*(1-EXP(-((AS136-Settle)/365)/tau_1))/(((AS136-Settle)/365)/tau_1)+beta_2*((1-EXP(-((AS136-Settle)/365)/tau_1))/(((AS136-Settle)/365)/tau_1)-EXP(-((AS136-Settle)/365)/tau_1))+beta_3*((1-EXP(-((AS136-Settle)/365)/tau_2))/(((AS136-Settle)/365)/tau_2)-EXP(-((AS136-Settle)/365)/tau_2)))*((AS136-Settle)/365)))</f>
        <v>0</v>
      </c>
      <c r="DC136" s="7">
        <f t="shared" ref="DC136:DC199" si="164">IF(AT136="",0,($B136/2+IF(42=$C136,100,0))*EXP(-(beta_0+beta_1*(1-EXP(-((AT136-Settle)/365)/tau_1))/(((AT136-Settle)/365)/tau_1)+beta_2*((1-EXP(-((AT136-Settle)/365)/tau_1))/(((AT136-Settle)/365)/tau_1)-EXP(-((AT136-Settle)/365)/tau_1))+beta_3*((1-EXP(-((AT136-Settle)/365)/tau_2))/(((AT136-Settle)/365)/tau_2)-EXP(-((AT136-Settle)/365)/tau_2)))*((AT136-Settle)/365)))</f>
        <v>0</v>
      </c>
      <c r="DD136" s="7">
        <f t="shared" ref="DD136:DD199" si="165">IF(AU136="",0,($B136/2+IF(43=$C136,100,0))*EXP(-(beta_0+beta_1*(1-EXP(-((AU136-Settle)/365)/tau_1))/(((AU136-Settle)/365)/tau_1)+beta_2*((1-EXP(-((AU136-Settle)/365)/tau_1))/(((AU136-Settle)/365)/tau_1)-EXP(-((AU136-Settle)/365)/tau_1))+beta_3*((1-EXP(-((AU136-Settle)/365)/tau_2))/(((AU136-Settle)/365)/tau_2)-EXP(-((AU136-Settle)/365)/tau_2)))*((AU136-Settle)/365)))</f>
        <v>0</v>
      </c>
      <c r="DE136" s="7">
        <f t="shared" ref="DE136:DE199" si="166">IF(AV136="",0,($B136/2+IF(44=$C136,100,0))*EXP(-(beta_0+beta_1*(1-EXP(-((AV136-Settle)/365)/tau_1))/(((AV136-Settle)/365)/tau_1)+beta_2*((1-EXP(-((AV136-Settle)/365)/tau_1))/(((AV136-Settle)/365)/tau_1)-EXP(-((AV136-Settle)/365)/tau_1))+beta_3*((1-EXP(-((AV136-Settle)/365)/tau_2))/(((AV136-Settle)/365)/tau_2)-EXP(-((AV136-Settle)/365)/tau_2)))*((AV136-Settle)/365)))</f>
        <v>0</v>
      </c>
      <c r="DF136" s="7">
        <f t="shared" ref="DF136:DF199" si="167">IF(AW136="",0,($B136/2+IF(45=$C136,100,0))*EXP(-(beta_0+beta_1*(1-EXP(-((AW136-Settle)/365)/tau_1))/(((AW136-Settle)/365)/tau_1)+beta_2*((1-EXP(-((AW136-Settle)/365)/tau_1))/(((AW136-Settle)/365)/tau_1)-EXP(-((AW136-Settle)/365)/tau_1))+beta_3*((1-EXP(-((AW136-Settle)/365)/tau_2))/(((AW136-Settle)/365)/tau_2)-EXP(-((AW136-Settle)/365)/tau_2)))*((AW136-Settle)/365)))</f>
        <v>0</v>
      </c>
      <c r="DG136" s="7">
        <f t="shared" ref="DG136:DG199" si="168">IF(AX136="",0,($B136/2+IF(46=$C136,100,0))*EXP(-(beta_0+beta_1*(1-EXP(-((AX136-Settle)/365)/tau_1))/(((AX136-Settle)/365)/tau_1)+beta_2*((1-EXP(-((AX136-Settle)/365)/tau_1))/(((AX136-Settle)/365)/tau_1)-EXP(-((AX136-Settle)/365)/tau_1))+beta_3*((1-EXP(-((AX136-Settle)/365)/tau_2))/(((AX136-Settle)/365)/tau_2)-EXP(-((AX136-Settle)/365)/tau_2)))*((AX136-Settle)/365)))</f>
        <v>0</v>
      </c>
      <c r="DH136" s="7">
        <f t="shared" ref="DH136:DH199" si="169">IF(AY136="",0,($B136/2+IF(47=$C136,100,0))*EXP(-(beta_0+beta_1*(1-EXP(-((AY136-Settle)/365)/tau_1))/(((AY136-Settle)/365)/tau_1)+beta_2*((1-EXP(-((AY136-Settle)/365)/tau_1))/(((AY136-Settle)/365)/tau_1)-EXP(-((AY136-Settle)/365)/tau_1))+beta_3*((1-EXP(-((AY136-Settle)/365)/tau_2))/(((AY136-Settle)/365)/tau_2)-EXP(-((AY136-Settle)/365)/tau_2)))*((AY136-Settle)/365)))</f>
        <v>0</v>
      </c>
      <c r="DI136" s="7">
        <f t="shared" ref="DI136:DI199" si="170">IF(AZ136="",0,($B136/2+IF(48=$C136,100,0))*EXP(-(beta_0+beta_1*(1-EXP(-((AZ136-Settle)/365)/tau_1))/(((AZ136-Settle)/365)/tau_1)+beta_2*((1-EXP(-((AZ136-Settle)/365)/tau_1))/(((AZ136-Settle)/365)/tau_1)-EXP(-((AZ136-Settle)/365)/tau_1))+beta_3*((1-EXP(-((AZ136-Settle)/365)/tau_2))/(((AZ136-Settle)/365)/tau_2)-EXP(-((AZ136-Settle)/365)/tau_2)))*((AZ136-Settle)/365)))</f>
        <v>0</v>
      </c>
      <c r="DJ136" s="7">
        <f t="shared" ref="DJ136:DJ199" si="171">IF(BA136="",0,($B136/2+IF(49=$C136,100,0))*EXP(-(beta_0+beta_1*(1-EXP(-((BA136-Settle)/365)/tau_1))/(((BA136-Settle)/365)/tau_1)+beta_2*((1-EXP(-((BA136-Settle)/365)/tau_1))/(((BA136-Settle)/365)/tau_1)-EXP(-((BA136-Settle)/365)/tau_1))+beta_3*((1-EXP(-((BA136-Settle)/365)/tau_2))/(((BA136-Settle)/365)/tau_2)-EXP(-((BA136-Settle)/365)/tau_2)))*((BA136-Settle)/365)))</f>
        <v>0</v>
      </c>
      <c r="DK136" s="7">
        <f t="shared" ref="DK136:DK199" si="172">IF(BB136="",0,($B136/2+IF(50=$C136,100,0))*EXP(-(beta_0+beta_1*(1-EXP(-((BB136-Settle)/365)/tau_1))/(((BB136-Settle)/365)/tau_1)+beta_2*((1-EXP(-((BB136-Settle)/365)/tau_1))/(((BB136-Settle)/365)/tau_1)-EXP(-((BB136-Settle)/365)/tau_1))+beta_3*((1-EXP(-((BB136-Settle)/365)/tau_2))/(((BB136-Settle)/365)/tau_2)-EXP(-((BB136-Settle)/365)/tau_2)))*((BB136-Settle)/365)))</f>
        <v>0</v>
      </c>
      <c r="DL136" s="7">
        <f t="shared" ref="DL136:DL199" si="173">IF(BC136="",0,($B136/2+IF(51=$C136,100,0))*EXP(-(beta_0+beta_1*(1-EXP(-((BC136-Settle)/365)/tau_1))/(((BC136-Settle)/365)/tau_1)+beta_2*((1-EXP(-((BC136-Settle)/365)/tau_1))/(((BC136-Settle)/365)/tau_1)-EXP(-((BC136-Settle)/365)/tau_1))+beta_3*((1-EXP(-((BC136-Settle)/365)/tau_2))/(((BC136-Settle)/365)/tau_2)-EXP(-((BC136-Settle)/365)/tau_2)))*((BC136-Settle)/365)))</f>
        <v>0</v>
      </c>
      <c r="DM136" s="7">
        <f t="shared" ref="DM136:DM199" si="174">IF(BD136="",0,($B136/2+IF(52=$C136,100,0))*EXP(-(beta_0+beta_1*(1-EXP(-((BD136-Settle)/365)/tau_1))/(((BD136-Settle)/365)/tau_1)+beta_2*((1-EXP(-((BD136-Settle)/365)/tau_1))/(((BD136-Settle)/365)/tau_1)-EXP(-((BD136-Settle)/365)/tau_1))+beta_3*((1-EXP(-((BD136-Settle)/365)/tau_2))/(((BD136-Settle)/365)/tau_2)-EXP(-((BD136-Settle)/365)/tau_2)))*((BD136-Settle)/365)))</f>
        <v>0</v>
      </c>
      <c r="DN136" s="7">
        <f t="shared" ref="DN136:DN199" si="175">IF(BE136="",0,($B136/2+IF(53=$C136,100,0))*EXP(-(beta_0+beta_1*(1-EXP(-((BE136-Settle)/365)/tau_1))/(((BE136-Settle)/365)/tau_1)+beta_2*((1-EXP(-((BE136-Settle)/365)/tau_1))/(((BE136-Settle)/365)/tau_1)-EXP(-((BE136-Settle)/365)/tau_1))+beta_3*((1-EXP(-((BE136-Settle)/365)/tau_2))/(((BE136-Settle)/365)/tau_2)-EXP(-((BE136-Settle)/365)/tau_2)))*((BE136-Settle)/365)))</f>
        <v>0</v>
      </c>
      <c r="DO136" s="7">
        <f t="shared" ref="DO136:DO199" si="176">IF(BF136="",0,($B136/2+IF(54=$C136,100,0))*EXP(-(beta_0+beta_1*(1-EXP(-((BF136-Settle)/365)/tau_1))/(((BF136-Settle)/365)/tau_1)+beta_2*((1-EXP(-((BF136-Settle)/365)/tau_1))/(((BF136-Settle)/365)/tau_1)-EXP(-((BF136-Settle)/365)/tau_1))+beta_3*((1-EXP(-((BF136-Settle)/365)/tau_2))/(((BF136-Settle)/365)/tau_2)-EXP(-((BF136-Settle)/365)/tau_2)))*((BF136-Settle)/365)))</f>
        <v>0</v>
      </c>
      <c r="DP136" s="7">
        <f t="shared" ref="DP136:DP199" si="177">IF(BG136="",0,($B136/2+IF(55=$C136,100,0))*EXP(-(beta_0+beta_1*(1-EXP(-((BG136-Settle)/365)/tau_1))/(((BG136-Settle)/365)/tau_1)+beta_2*((1-EXP(-((BG136-Settle)/365)/tau_1))/(((BG136-Settle)/365)/tau_1)-EXP(-((BG136-Settle)/365)/tau_1))+beta_3*((1-EXP(-((BG136-Settle)/365)/tau_2))/(((BG136-Settle)/365)/tau_2)-EXP(-((BG136-Settle)/365)/tau_2)))*((BG136-Settle)/365)))</f>
        <v>0</v>
      </c>
      <c r="DQ136" s="7">
        <f t="shared" ref="DQ136:DQ199" si="178">IF(BH136="",0,($B136/2+IF(56=$C136,100,0))*EXP(-(beta_0+beta_1*(1-EXP(-((BH136-Settle)/365)/tau_1))/(((BH136-Settle)/365)/tau_1)+beta_2*((1-EXP(-((BH136-Settle)/365)/tau_1))/(((BH136-Settle)/365)/tau_1)-EXP(-((BH136-Settle)/365)/tau_1))+beta_3*((1-EXP(-((BH136-Settle)/365)/tau_2))/(((BH136-Settle)/365)/tau_2)-EXP(-((BH136-Settle)/365)/tau_2)))*((BH136-Settle)/365)))</f>
        <v>0</v>
      </c>
      <c r="DR136" s="7">
        <f t="shared" ref="DR136:DR199" si="179">IF(BI136="",0,($B136/2+IF(57=$C136,100,0))*EXP(-(beta_0+beta_1*(1-EXP(-((BI136-Settle)/365)/tau_1))/(((BI136-Settle)/365)/tau_1)+beta_2*((1-EXP(-((BI136-Settle)/365)/tau_1))/(((BI136-Settle)/365)/tau_1)-EXP(-((BI136-Settle)/365)/tau_1))+beta_3*((1-EXP(-((BI136-Settle)/365)/tau_2))/(((BI136-Settle)/365)/tau_2)-EXP(-((BI136-Settle)/365)/tau_2)))*((BI136-Settle)/365)))</f>
        <v>0</v>
      </c>
      <c r="DS136" s="7">
        <f t="shared" ref="DS136:DS199" si="180">IF(BJ136="",0,($B136/2+IF(58=$C136,100,0))*EXP(-(beta_0+beta_1*(1-EXP(-((BJ136-Settle)/365)/tau_1))/(((BJ136-Settle)/365)/tau_1)+beta_2*((1-EXP(-((BJ136-Settle)/365)/tau_1))/(((BJ136-Settle)/365)/tau_1)-EXP(-((BJ136-Settle)/365)/tau_1))+beta_3*((1-EXP(-((BJ136-Settle)/365)/tau_2))/(((BJ136-Settle)/365)/tau_2)-EXP(-((BJ136-Settle)/365)/tau_2)))*((BJ136-Settle)/365)))</f>
        <v>0</v>
      </c>
      <c r="DT136" s="7">
        <f t="shared" ref="DT136:DT199" si="181">IF(BK136="",0,($B136/2+IF(59=$C136,100,0))*EXP(-(beta_0+beta_1*(1-EXP(-((BK136-Settle)/365)/tau_1))/(((BK136-Settle)/365)/tau_1)+beta_2*((1-EXP(-((BK136-Settle)/365)/tau_1))/(((BK136-Settle)/365)/tau_1)-EXP(-((BK136-Settle)/365)/tau_1))+beta_3*((1-EXP(-((BK136-Settle)/365)/tau_2))/(((BK136-Settle)/365)/tau_2)-EXP(-((BK136-Settle)/365)/tau_2)))*((BK136-Settle)/365)))</f>
        <v>0</v>
      </c>
      <c r="DU136" s="7">
        <f t="shared" ref="DU136:DU199" si="182">IF(BL136="",0,($B136/2+IF(60=$C136,100,0))*EXP(-(beta_0+beta_1*(1-EXP(-((BL136-Settle)/365)/tau_1))/(((BL136-Settle)/365)/tau_1)+beta_2*((1-EXP(-((BL136-Settle)/365)/tau_1))/(((BL136-Settle)/365)/tau_1)-EXP(-((BL136-Settle)/365)/tau_1))+beta_3*((1-EXP(-((BL136-Settle)/365)/tau_2))/(((BL136-Settle)/365)/tau_2)-EXP(-((BL136-Settle)/365)/tau_2)))*((BL136-Settle)/365)))</f>
        <v>0</v>
      </c>
    </row>
    <row r="137" spans="1:125" x14ac:dyDescent="0.2">
      <c r="A137" s="3">
        <f>Bonds!A137</f>
        <v>47192</v>
      </c>
      <c r="B137" s="4">
        <f>Bonds!B137</f>
        <v>3.5</v>
      </c>
      <c r="C137">
        <f>Bonds!P137</f>
        <v>6</v>
      </c>
      <c r="D137">
        <f t="shared" si="122"/>
        <v>0</v>
      </c>
      <c r="E137" s="3">
        <f>IF(1&gt;$C137,"",IF($D137=1,EOMONTH(EDATE(Bonds!$H137,6*(1-1)),0),EDATE(Bonds!$H137,6*(1-1))))</f>
        <v>46280</v>
      </c>
      <c r="F137" s="3">
        <f>IF(2&gt;$C137,"",IF($D137=1,EOMONTH(EDATE(Bonds!$H137,6*(2-1)),0),EDATE(Bonds!$H137,6*(2-1))))</f>
        <v>46461</v>
      </c>
      <c r="G137" s="3">
        <f>IF(3&gt;$C137,"",IF($D137=1,EOMONTH(EDATE(Bonds!$H137,6*(3-1)),0),EDATE(Bonds!$H137,6*(3-1))))</f>
        <v>46645</v>
      </c>
      <c r="H137" s="3">
        <f>IF(4&gt;$C137,"",IF($D137=1,EOMONTH(EDATE(Bonds!$H137,6*(4-1)),0),EDATE(Bonds!$H137,6*(4-1))))</f>
        <v>46827</v>
      </c>
      <c r="I137" s="3">
        <f>IF(5&gt;$C137,"",IF($D137=1,EOMONTH(EDATE(Bonds!$H137,6*(5-1)),0),EDATE(Bonds!$H137,6*(5-1))))</f>
        <v>47011</v>
      </c>
      <c r="J137" s="3">
        <f>IF(6&gt;$C137,"",IF($D137=1,EOMONTH(EDATE(Bonds!$H137,6*(6-1)),0),EDATE(Bonds!$H137,6*(6-1))))</f>
        <v>47192</v>
      </c>
      <c r="K137" s="3" t="str">
        <f>IF(7&gt;$C137,"",IF($D137=1,EOMONTH(EDATE(Bonds!$H137,6*(7-1)),0),EDATE(Bonds!$H137,6*(7-1))))</f>
        <v/>
      </c>
      <c r="L137" s="3" t="str">
        <f>IF(8&gt;$C137,"",IF($D137=1,EOMONTH(EDATE(Bonds!$H137,6*(8-1)),0),EDATE(Bonds!$H137,6*(8-1))))</f>
        <v/>
      </c>
      <c r="M137" s="3" t="str">
        <f>IF(9&gt;$C137,"",IF($D137=1,EOMONTH(EDATE(Bonds!$H137,6*(9-1)),0),EDATE(Bonds!$H137,6*(9-1))))</f>
        <v/>
      </c>
      <c r="N137" s="3" t="str">
        <f>IF(10&gt;$C137,"",IF($D137=1,EOMONTH(EDATE(Bonds!$H137,6*(10-1)),0),EDATE(Bonds!$H137,6*(10-1))))</f>
        <v/>
      </c>
      <c r="O137" s="3" t="str">
        <f>IF(11&gt;$C137,"",IF($D137=1,EOMONTH(EDATE(Bonds!$H137,6*(11-1)),0),EDATE(Bonds!$H137,6*(11-1))))</f>
        <v/>
      </c>
      <c r="P137" s="3" t="str">
        <f>IF(12&gt;$C137,"",IF($D137=1,EOMONTH(EDATE(Bonds!$H137,6*(12-1)),0),EDATE(Bonds!$H137,6*(12-1))))</f>
        <v/>
      </c>
      <c r="Q137" s="3" t="str">
        <f>IF(13&gt;$C137,"",IF($D137=1,EOMONTH(EDATE(Bonds!$H137,6*(13-1)),0),EDATE(Bonds!$H137,6*(13-1))))</f>
        <v/>
      </c>
      <c r="R137" s="3" t="str">
        <f>IF(14&gt;$C137,"",IF($D137=1,EOMONTH(EDATE(Bonds!$H137,6*(14-1)),0),EDATE(Bonds!$H137,6*(14-1))))</f>
        <v/>
      </c>
      <c r="S137" s="3" t="str">
        <f>IF(15&gt;$C137,"",IF($D137=1,EOMONTH(EDATE(Bonds!$H137,6*(15-1)),0),EDATE(Bonds!$H137,6*(15-1))))</f>
        <v/>
      </c>
      <c r="T137" s="3" t="str">
        <f>IF(16&gt;$C137,"",IF($D137=1,EOMONTH(EDATE(Bonds!$H137,6*(16-1)),0),EDATE(Bonds!$H137,6*(16-1))))</f>
        <v/>
      </c>
      <c r="U137" s="3" t="str">
        <f>IF(17&gt;$C137,"",IF($D137=1,EOMONTH(EDATE(Bonds!$H137,6*(17-1)),0),EDATE(Bonds!$H137,6*(17-1))))</f>
        <v/>
      </c>
      <c r="V137" s="3" t="str">
        <f>IF(18&gt;$C137,"",IF($D137=1,EOMONTH(EDATE(Bonds!$H137,6*(18-1)),0),EDATE(Bonds!$H137,6*(18-1))))</f>
        <v/>
      </c>
      <c r="W137" s="3" t="str">
        <f>IF(19&gt;$C137,"",IF($D137=1,EOMONTH(EDATE(Bonds!$H137,6*(19-1)),0),EDATE(Bonds!$H137,6*(19-1))))</f>
        <v/>
      </c>
      <c r="X137" s="3" t="str">
        <f>IF(20&gt;$C137,"",IF($D137=1,EOMONTH(EDATE(Bonds!$H137,6*(20-1)),0),EDATE(Bonds!$H137,6*(20-1))))</f>
        <v/>
      </c>
      <c r="Y137" s="3" t="str">
        <f>IF(21&gt;$C137,"",IF($D137=1,EOMONTH(EDATE(Bonds!$H137,6*(21-1)),0),EDATE(Bonds!$H137,6*(21-1))))</f>
        <v/>
      </c>
      <c r="Z137" s="3" t="str">
        <f>IF(22&gt;$C137,"",IF($D137=1,EOMONTH(EDATE(Bonds!$H137,6*(22-1)),0),EDATE(Bonds!$H137,6*(22-1))))</f>
        <v/>
      </c>
      <c r="AA137" s="3" t="str">
        <f>IF(23&gt;$C137,"",IF($D137=1,EOMONTH(EDATE(Bonds!$H137,6*(23-1)),0),EDATE(Bonds!$H137,6*(23-1))))</f>
        <v/>
      </c>
      <c r="AB137" s="3" t="str">
        <f>IF(24&gt;$C137,"",IF($D137=1,EOMONTH(EDATE(Bonds!$H137,6*(24-1)),0),EDATE(Bonds!$H137,6*(24-1))))</f>
        <v/>
      </c>
      <c r="AC137" s="3" t="str">
        <f>IF(25&gt;$C137,"",IF($D137=1,EOMONTH(EDATE(Bonds!$H137,6*(25-1)),0),EDATE(Bonds!$H137,6*(25-1))))</f>
        <v/>
      </c>
      <c r="AD137" s="3" t="str">
        <f>IF(26&gt;$C137,"",IF($D137=1,EOMONTH(EDATE(Bonds!$H137,6*(26-1)),0),EDATE(Bonds!$H137,6*(26-1))))</f>
        <v/>
      </c>
      <c r="AE137" s="3" t="str">
        <f>IF(27&gt;$C137,"",IF($D137=1,EOMONTH(EDATE(Bonds!$H137,6*(27-1)),0),EDATE(Bonds!$H137,6*(27-1))))</f>
        <v/>
      </c>
      <c r="AF137" s="3" t="str">
        <f>IF(28&gt;$C137,"",IF($D137=1,EOMONTH(EDATE(Bonds!$H137,6*(28-1)),0),EDATE(Bonds!$H137,6*(28-1))))</f>
        <v/>
      </c>
      <c r="AG137" s="3" t="str">
        <f>IF(29&gt;$C137,"",IF($D137=1,EOMONTH(EDATE(Bonds!$H137,6*(29-1)),0),EDATE(Bonds!$H137,6*(29-1))))</f>
        <v/>
      </c>
      <c r="AH137" s="3" t="str">
        <f>IF(30&gt;$C137,"",IF($D137=1,EOMONTH(EDATE(Bonds!$H137,6*(30-1)),0),EDATE(Bonds!$H137,6*(30-1))))</f>
        <v/>
      </c>
      <c r="AI137" s="3" t="str">
        <f>IF(31&gt;$C137,"",IF($D137=1,EOMONTH(EDATE(Bonds!$H137,6*(31-1)),0),EDATE(Bonds!$H137,6*(31-1))))</f>
        <v/>
      </c>
      <c r="AJ137" s="3" t="str">
        <f>IF(32&gt;$C137,"",IF($D137=1,EOMONTH(EDATE(Bonds!$H137,6*(32-1)),0),EDATE(Bonds!$H137,6*(32-1))))</f>
        <v/>
      </c>
      <c r="AK137" s="3" t="str">
        <f>IF(33&gt;$C137,"",IF($D137=1,EOMONTH(EDATE(Bonds!$H137,6*(33-1)),0),EDATE(Bonds!$H137,6*(33-1))))</f>
        <v/>
      </c>
      <c r="AL137" s="3" t="str">
        <f>IF(34&gt;$C137,"",IF($D137=1,EOMONTH(EDATE(Bonds!$H137,6*(34-1)),0),EDATE(Bonds!$H137,6*(34-1))))</f>
        <v/>
      </c>
      <c r="AM137" s="3" t="str">
        <f>IF(35&gt;$C137,"",IF($D137=1,EOMONTH(EDATE(Bonds!$H137,6*(35-1)),0),EDATE(Bonds!$H137,6*(35-1))))</f>
        <v/>
      </c>
      <c r="AN137" s="3" t="str">
        <f>IF(36&gt;$C137,"",IF($D137=1,EOMONTH(EDATE(Bonds!$H137,6*(36-1)),0),EDATE(Bonds!$H137,6*(36-1))))</f>
        <v/>
      </c>
      <c r="AO137" s="3" t="str">
        <f>IF(37&gt;$C137,"",IF($D137=1,EOMONTH(EDATE(Bonds!$H137,6*(37-1)),0),EDATE(Bonds!$H137,6*(37-1))))</f>
        <v/>
      </c>
      <c r="AP137" s="3" t="str">
        <f>IF(38&gt;$C137,"",IF($D137=1,EOMONTH(EDATE(Bonds!$H137,6*(38-1)),0),EDATE(Bonds!$H137,6*(38-1))))</f>
        <v/>
      </c>
      <c r="AQ137" s="3" t="str">
        <f>IF(39&gt;$C137,"",IF($D137=1,EOMONTH(EDATE(Bonds!$H137,6*(39-1)),0),EDATE(Bonds!$H137,6*(39-1))))</f>
        <v/>
      </c>
      <c r="AR137" s="3" t="str">
        <f>IF(40&gt;$C137,"",IF($D137=1,EOMONTH(EDATE(Bonds!$H137,6*(40-1)),0),EDATE(Bonds!$H137,6*(40-1))))</f>
        <v/>
      </c>
      <c r="AS137" s="3" t="str">
        <f>IF(41&gt;$C137,"",IF($D137=1,EOMONTH(EDATE(Bonds!$H137,6*(41-1)),0),EDATE(Bonds!$H137,6*(41-1))))</f>
        <v/>
      </c>
      <c r="AT137" s="3" t="str">
        <f>IF(42&gt;$C137,"",IF($D137=1,EOMONTH(EDATE(Bonds!$H137,6*(42-1)),0),EDATE(Bonds!$H137,6*(42-1))))</f>
        <v/>
      </c>
      <c r="AU137" s="3" t="str">
        <f>IF(43&gt;$C137,"",IF($D137=1,EOMONTH(EDATE(Bonds!$H137,6*(43-1)),0),EDATE(Bonds!$H137,6*(43-1))))</f>
        <v/>
      </c>
      <c r="AV137" s="3" t="str">
        <f>IF(44&gt;$C137,"",IF($D137=1,EOMONTH(EDATE(Bonds!$H137,6*(44-1)),0),EDATE(Bonds!$H137,6*(44-1))))</f>
        <v/>
      </c>
      <c r="AW137" s="3" t="str">
        <f>IF(45&gt;$C137,"",IF($D137=1,EOMONTH(EDATE(Bonds!$H137,6*(45-1)),0),EDATE(Bonds!$H137,6*(45-1))))</f>
        <v/>
      </c>
      <c r="AX137" s="3" t="str">
        <f>IF(46&gt;$C137,"",IF($D137=1,EOMONTH(EDATE(Bonds!$H137,6*(46-1)),0),EDATE(Bonds!$H137,6*(46-1))))</f>
        <v/>
      </c>
      <c r="AY137" s="3" t="str">
        <f>IF(47&gt;$C137,"",IF($D137=1,EOMONTH(EDATE(Bonds!$H137,6*(47-1)),0),EDATE(Bonds!$H137,6*(47-1))))</f>
        <v/>
      </c>
      <c r="AZ137" s="3" t="str">
        <f>IF(48&gt;$C137,"",IF($D137=1,EOMONTH(EDATE(Bonds!$H137,6*(48-1)),0),EDATE(Bonds!$H137,6*(48-1))))</f>
        <v/>
      </c>
      <c r="BA137" s="3" t="str">
        <f>IF(49&gt;$C137,"",IF($D137=1,EOMONTH(EDATE(Bonds!$H137,6*(49-1)),0),EDATE(Bonds!$H137,6*(49-1))))</f>
        <v/>
      </c>
      <c r="BB137" s="3" t="str">
        <f>IF(50&gt;$C137,"",IF($D137=1,EOMONTH(EDATE(Bonds!$H137,6*(50-1)),0),EDATE(Bonds!$H137,6*(50-1))))</f>
        <v/>
      </c>
      <c r="BC137" s="3" t="str">
        <f>IF(51&gt;$C137,"",IF($D137=1,EOMONTH(EDATE(Bonds!$H137,6*(51-1)),0),EDATE(Bonds!$H137,6*(51-1))))</f>
        <v/>
      </c>
      <c r="BD137" s="3" t="str">
        <f>IF(52&gt;$C137,"",IF($D137=1,EOMONTH(EDATE(Bonds!$H137,6*(52-1)),0),EDATE(Bonds!$H137,6*(52-1))))</f>
        <v/>
      </c>
      <c r="BE137" s="3" t="str">
        <f>IF(53&gt;$C137,"",IF($D137=1,EOMONTH(EDATE(Bonds!$H137,6*(53-1)),0),EDATE(Bonds!$H137,6*(53-1))))</f>
        <v/>
      </c>
      <c r="BF137" s="3" t="str">
        <f>IF(54&gt;$C137,"",IF($D137=1,EOMONTH(EDATE(Bonds!$H137,6*(54-1)),0),EDATE(Bonds!$H137,6*(54-1))))</f>
        <v/>
      </c>
      <c r="BG137" s="3" t="str">
        <f>IF(55&gt;$C137,"",IF($D137=1,EOMONTH(EDATE(Bonds!$H137,6*(55-1)),0),EDATE(Bonds!$H137,6*(55-1))))</f>
        <v/>
      </c>
      <c r="BH137" s="3" t="str">
        <f>IF(56&gt;$C137,"",IF($D137=1,EOMONTH(EDATE(Bonds!$H137,6*(56-1)),0),EDATE(Bonds!$H137,6*(56-1))))</f>
        <v/>
      </c>
      <c r="BI137" s="3" t="str">
        <f>IF(57&gt;$C137,"",IF($D137=1,EOMONTH(EDATE(Bonds!$H137,6*(57-1)),0),EDATE(Bonds!$H137,6*(57-1))))</f>
        <v/>
      </c>
      <c r="BJ137" s="3" t="str">
        <f>IF(58&gt;$C137,"",IF($D137=1,EOMONTH(EDATE(Bonds!$H137,6*(58-1)),0),EDATE(Bonds!$H137,6*(58-1))))</f>
        <v/>
      </c>
      <c r="BK137" s="3" t="str">
        <f>IF(59&gt;$C137,"",IF($D137=1,EOMONTH(EDATE(Bonds!$H137,6*(59-1)),0),EDATE(Bonds!$H137,6*(59-1))))</f>
        <v/>
      </c>
      <c r="BL137" s="3" t="str">
        <f>IF(60&gt;$C137,"",IF($D137=1,EOMONTH(EDATE(Bonds!$H137,6*(60-1)),0),EDATE(Bonds!$H137,6*(60-1))))</f>
        <v/>
      </c>
      <c r="BN137" s="7">
        <f t="shared" si="123"/>
        <v>1.7487781520217336</v>
      </c>
      <c r="BO137" s="7">
        <f t="shared" si="124"/>
        <v>1.7148370518468266</v>
      </c>
      <c r="BP137" s="7">
        <f t="shared" si="125"/>
        <v>1.6777169793014566</v>
      </c>
      <c r="BQ137" s="7">
        <f t="shared" si="126"/>
        <v>1.6403325853570672</v>
      </c>
      <c r="BR137" s="7">
        <f t="shared" si="127"/>
        <v>1.6028776774858025</v>
      </c>
      <c r="BS137" s="7">
        <f t="shared" si="128"/>
        <v>91.098386171475923</v>
      </c>
      <c r="BT137" s="7">
        <f t="shared" si="129"/>
        <v>0</v>
      </c>
      <c r="BU137" s="7">
        <f t="shared" si="130"/>
        <v>0</v>
      </c>
      <c r="BV137" s="7">
        <f t="shared" si="131"/>
        <v>0</v>
      </c>
      <c r="BW137" s="7">
        <f t="shared" si="132"/>
        <v>0</v>
      </c>
      <c r="BX137" s="7">
        <f t="shared" si="133"/>
        <v>0</v>
      </c>
      <c r="BY137" s="7">
        <f t="shared" si="134"/>
        <v>0</v>
      </c>
      <c r="BZ137" s="7">
        <f t="shared" si="135"/>
        <v>0</v>
      </c>
      <c r="CA137" s="7">
        <f t="shared" si="136"/>
        <v>0</v>
      </c>
      <c r="CB137" s="7">
        <f t="shared" si="137"/>
        <v>0</v>
      </c>
      <c r="CC137" s="7">
        <f t="shared" si="138"/>
        <v>0</v>
      </c>
      <c r="CD137" s="7">
        <f t="shared" si="139"/>
        <v>0</v>
      </c>
      <c r="CE137" s="7">
        <f t="shared" si="140"/>
        <v>0</v>
      </c>
      <c r="CF137" s="7">
        <f t="shared" si="141"/>
        <v>0</v>
      </c>
      <c r="CG137" s="7">
        <f t="shared" si="142"/>
        <v>0</v>
      </c>
      <c r="CH137" s="7">
        <f t="shared" si="143"/>
        <v>0</v>
      </c>
      <c r="CI137" s="7">
        <f t="shared" si="144"/>
        <v>0</v>
      </c>
      <c r="CJ137" s="7">
        <f t="shared" si="145"/>
        <v>0</v>
      </c>
      <c r="CK137" s="7">
        <f t="shared" si="146"/>
        <v>0</v>
      </c>
      <c r="CL137" s="7">
        <f t="shared" si="147"/>
        <v>0</v>
      </c>
      <c r="CM137" s="7">
        <f t="shared" si="148"/>
        <v>0</v>
      </c>
      <c r="CN137" s="7">
        <f t="shared" si="149"/>
        <v>0</v>
      </c>
      <c r="CO137" s="7">
        <f t="shared" si="150"/>
        <v>0</v>
      </c>
      <c r="CP137" s="7">
        <f t="shared" si="151"/>
        <v>0</v>
      </c>
      <c r="CQ137" s="7">
        <f t="shared" si="152"/>
        <v>0</v>
      </c>
      <c r="CR137" s="7">
        <f t="shared" si="153"/>
        <v>0</v>
      </c>
      <c r="CS137" s="7">
        <f t="shared" si="154"/>
        <v>0</v>
      </c>
      <c r="CT137" s="7">
        <f t="shared" si="155"/>
        <v>0</v>
      </c>
      <c r="CU137" s="7">
        <f t="shared" si="156"/>
        <v>0</v>
      </c>
      <c r="CV137" s="7">
        <f t="shared" si="157"/>
        <v>0</v>
      </c>
      <c r="CW137" s="7">
        <f t="shared" si="158"/>
        <v>0</v>
      </c>
      <c r="CX137" s="7">
        <f t="shared" si="159"/>
        <v>0</v>
      </c>
      <c r="CY137" s="7">
        <f t="shared" si="160"/>
        <v>0</v>
      </c>
      <c r="CZ137" s="7">
        <f t="shared" si="161"/>
        <v>0</v>
      </c>
      <c r="DA137" s="7">
        <f t="shared" si="162"/>
        <v>0</v>
      </c>
      <c r="DB137" s="7">
        <f t="shared" si="163"/>
        <v>0</v>
      </c>
      <c r="DC137" s="7">
        <f t="shared" si="164"/>
        <v>0</v>
      </c>
      <c r="DD137" s="7">
        <f t="shared" si="165"/>
        <v>0</v>
      </c>
      <c r="DE137" s="7">
        <f t="shared" si="166"/>
        <v>0</v>
      </c>
      <c r="DF137" s="7">
        <f t="shared" si="167"/>
        <v>0</v>
      </c>
      <c r="DG137" s="7">
        <f t="shared" si="168"/>
        <v>0</v>
      </c>
      <c r="DH137" s="7">
        <f t="shared" si="169"/>
        <v>0</v>
      </c>
      <c r="DI137" s="7">
        <f t="shared" si="170"/>
        <v>0</v>
      </c>
      <c r="DJ137" s="7">
        <f t="shared" si="171"/>
        <v>0</v>
      </c>
      <c r="DK137" s="7">
        <f t="shared" si="172"/>
        <v>0</v>
      </c>
      <c r="DL137" s="7">
        <f t="shared" si="173"/>
        <v>0</v>
      </c>
      <c r="DM137" s="7">
        <f t="shared" si="174"/>
        <v>0</v>
      </c>
      <c r="DN137" s="7">
        <f t="shared" si="175"/>
        <v>0</v>
      </c>
      <c r="DO137" s="7">
        <f t="shared" si="176"/>
        <v>0</v>
      </c>
      <c r="DP137" s="7">
        <f t="shared" si="177"/>
        <v>0</v>
      </c>
      <c r="DQ137" s="7">
        <f t="shared" si="178"/>
        <v>0</v>
      </c>
      <c r="DR137" s="7">
        <f t="shared" si="179"/>
        <v>0</v>
      </c>
      <c r="DS137" s="7">
        <f t="shared" si="180"/>
        <v>0</v>
      </c>
      <c r="DT137" s="7">
        <f t="shared" si="181"/>
        <v>0</v>
      </c>
      <c r="DU137" s="7">
        <f t="shared" si="182"/>
        <v>0</v>
      </c>
    </row>
    <row r="138" spans="1:125" x14ac:dyDescent="0.2">
      <c r="A138" s="3">
        <f>Bonds!A138</f>
        <v>47208</v>
      </c>
      <c r="B138" s="4">
        <f>Bonds!B138</f>
        <v>2.375</v>
      </c>
      <c r="C138">
        <f>Bonds!P138</f>
        <v>6</v>
      </c>
      <c r="D138">
        <f t="shared" si="122"/>
        <v>1</v>
      </c>
      <c r="E138" s="3">
        <f>IF(1&gt;$C138,"",IF($D138=1,EOMONTH(EDATE(Bonds!$H138,6*(1-1)),0),EDATE(Bonds!$H138,6*(1-1))))</f>
        <v>46295</v>
      </c>
      <c r="F138" s="3">
        <f>IF(2&gt;$C138,"",IF($D138=1,EOMONTH(EDATE(Bonds!$H138,6*(2-1)),0),EDATE(Bonds!$H138,6*(2-1))))</f>
        <v>46477</v>
      </c>
      <c r="G138" s="3">
        <f>IF(3&gt;$C138,"",IF($D138=1,EOMONTH(EDATE(Bonds!$H138,6*(3-1)),0),EDATE(Bonds!$H138,6*(3-1))))</f>
        <v>46660</v>
      </c>
      <c r="H138" s="3">
        <f>IF(4&gt;$C138,"",IF($D138=1,EOMONTH(EDATE(Bonds!$H138,6*(4-1)),0),EDATE(Bonds!$H138,6*(4-1))))</f>
        <v>46843</v>
      </c>
      <c r="I138" s="3">
        <f>IF(5&gt;$C138,"",IF($D138=1,EOMONTH(EDATE(Bonds!$H138,6*(5-1)),0),EDATE(Bonds!$H138,6*(5-1))))</f>
        <v>47026</v>
      </c>
      <c r="J138" s="3">
        <f>IF(6&gt;$C138,"",IF($D138=1,EOMONTH(EDATE(Bonds!$H138,6*(6-1)),0),EDATE(Bonds!$H138,6*(6-1))))</f>
        <v>47208</v>
      </c>
      <c r="K138" s="3" t="str">
        <f>IF(7&gt;$C138,"",IF($D138=1,EOMONTH(EDATE(Bonds!$H138,6*(7-1)),0),EDATE(Bonds!$H138,6*(7-1))))</f>
        <v/>
      </c>
      <c r="L138" s="3" t="str">
        <f>IF(8&gt;$C138,"",IF($D138=1,EOMONTH(EDATE(Bonds!$H138,6*(8-1)),0),EDATE(Bonds!$H138,6*(8-1))))</f>
        <v/>
      </c>
      <c r="M138" s="3" t="str">
        <f>IF(9&gt;$C138,"",IF($D138=1,EOMONTH(EDATE(Bonds!$H138,6*(9-1)),0),EDATE(Bonds!$H138,6*(9-1))))</f>
        <v/>
      </c>
      <c r="N138" s="3" t="str">
        <f>IF(10&gt;$C138,"",IF($D138=1,EOMONTH(EDATE(Bonds!$H138,6*(10-1)),0),EDATE(Bonds!$H138,6*(10-1))))</f>
        <v/>
      </c>
      <c r="O138" s="3" t="str">
        <f>IF(11&gt;$C138,"",IF($D138=1,EOMONTH(EDATE(Bonds!$H138,6*(11-1)),0),EDATE(Bonds!$H138,6*(11-1))))</f>
        <v/>
      </c>
      <c r="P138" s="3" t="str">
        <f>IF(12&gt;$C138,"",IF($D138=1,EOMONTH(EDATE(Bonds!$H138,6*(12-1)),0),EDATE(Bonds!$H138,6*(12-1))))</f>
        <v/>
      </c>
      <c r="Q138" s="3" t="str">
        <f>IF(13&gt;$C138,"",IF($D138=1,EOMONTH(EDATE(Bonds!$H138,6*(13-1)),0),EDATE(Bonds!$H138,6*(13-1))))</f>
        <v/>
      </c>
      <c r="R138" s="3" t="str">
        <f>IF(14&gt;$C138,"",IF($D138=1,EOMONTH(EDATE(Bonds!$H138,6*(14-1)),0),EDATE(Bonds!$H138,6*(14-1))))</f>
        <v/>
      </c>
      <c r="S138" s="3" t="str">
        <f>IF(15&gt;$C138,"",IF($D138=1,EOMONTH(EDATE(Bonds!$H138,6*(15-1)),0),EDATE(Bonds!$H138,6*(15-1))))</f>
        <v/>
      </c>
      <c r="T138" s="3" t="str">
        <f>IF(16&gt;$C138,"",IF($D138=1,EOMONTH(EDATE(Bonds!$H138,6*(16-1)),0),EDATE(Bonds!$H138,6*(16-1))))</f>
        <v/>
      </c>
      <c r="U138" s="3" t="str">
        <f>IF(17&gt;$C138,"",IF($D138=1,EOMONTH(EDATE(Bonds!$H138,6*(17-1)),0),EDATE(Bonds!$H138,6*(17-1))))</f>
        <v/>
      </c>
      <c r="V138" s="3" t="str">
        <f>IF(18&gt;$C138,"",IF($D138=1,EOMONTH(EDATE(Bonds!$H138,6*(18-1)),0),EDATE(Bonds!$H138,6*(18-1))))</f>
        <v/>
      </c>
      <c r="W138" s="3" t="str">
        <f>IF(19&gt;$C138,"",IF($D138=1,EOMONTH(EDATE(Bonds!$H138,6*(19-1)),0),EDATE(Bonds!$H138,6*(19-1))))</f>
        <v/>
      </c>
      <c r="X138" s="3" t="str">
        <f>IF(20&gt;$C138,"",IF($D138=1,EOMONTH(EDATE(Bonds!$H138,6*(20-1)),0),EDATE(Bonds!$H138,6*(20-1))))</f>
        <v/>
      </c>
      <c r="Y138" s="3" t="str">
        <f>IF(21&gt;$C138,"",IF($D138=1,EOMONTH(EDATE(Bonds!$H138,6*(21-1)),0),EDATE(Bonds!$H138,6*(21-1))))</f>
        <v/>
      </c>
      <c r="Z138" s="3" t="str">
        <f>IF(22&gt;$C138,"",IF($D138=1,EOMONTH(EDATE(Bonds!$H138,6*(22-1)),0),EDATE(Bonds!$H138,6*(22-1))))</f>
        <v/>
      </c>
      <c r="AA138" s="3" t="str">
        <f>IF(23&gt;$C138,"",IF($D138=1,EOMONTH(EDATE(Bonds!$H138,6*(23-1)),0),EDATE(Bonds!$H138,6*(23-1))))</f>
        <v/>
      </c>
      <c r="AB138" s="3" t="str">
        <f>IF(24&gt;$C138,"",IF($D138=1,EOMONTH(EDATE(Bonds!$H138,6*(24-1)),0),EDATE(Bonds!$H138,6*(24-1))))</f>
        <v/>
      </c>
      <c r="AC138" s="3" t="str">
        <f>IF(25&gt;$C138,"",IF($D138=1,EOMONTH(EDATE(Bonds!$H138,6*(25-1)),0),EDATE(Bonds!$H138,6*(25-1))))</f>
        <v/>
      </c>
      <c r="AD138" s="3" t="str">
        <f>IF(26&gt;$C138,"",IF($D138=1,EOMONTH(EDATE(Bonds!$H138,6*(26-1)),0),EDATE(Bonds!$H138,6*(26-1))))</f>
        <v/>
      </c>
      <c r="AE138" s="3" t="str">
        <f>IF(27&gt;$C138,"",IF($D138=1,EOMONTH(EDATE(Bonds!$H138,6*(27-1)),0),EDATE(Bonds!$H138,6*(27-1))))</f>
        <v/>
      </c>
      <c r="AF138" s="3" t="str">
        <f>IF(28&gt;$C138,"",IF($D138=1,EOMONTH(EDATE(Bonds!$H138,6*(28-1)),0),EDATE(Bonds!$H138,6*(28-1))))</f>
        <v/>
      </c>
      <c r="AG138" s="3" t="str">
        <f>IF(29&gt;$C138,"",IF($D138=1,EOMONTH(EDATE(Bonds!$H138,6*(29-1)),0),EDATE(Bonds!$H138,6*(29-1))))</f>
        <v/>
      </c>
      <c r="AH138" s="3" t="str">
        <f>IF(30&gt;$C138,"",IF($D138=1,EOMONTH(EDATE(Bonds!$H138,6*(30-1)),0),EDATE(Bonds!$H138,6*(30-1))))</f>
        <v/>
      </c>
      <c r="AI138" s="3" t="str">
        <f>IF(31&gt;$C138,"",IF($D138=1,EOMONTH(EDATE(Bonds!$H138,6*(31-1)),0),EDATE(Bonds!$H138,6*(31-1))))</f>
        <v/>
      </c>
      <c r="AJ138" s="3" t="str">
        <f>IF(32&gt;$C138,"",IF($D138=1,EOMONTH(EDATE(Bonds!$H138,6*(32-1)),0),EDATE(Bonds!$H138,6*(32-1))))</f>
        <v/>
      </c>
      <c r="AK138" s="3" t="str">
        <f>IF(33&gt;$C138,"",IF($D138=1,EOMONTH(EDATE(Bonds!$H138,6*(33-1)),0),EDATE(Bonds!$H138,6*(33-1))))</f>
        <v/>
      </c>
      <c r="AL138" s="3" t="str">
        <f>IF(34&gt;$C138,"",IF($D138=1,EOMONTH(EDATE(Bonds!$H138,6*(34-1)),0),EDATE(Bonds!$H138,6*(34-1))))</f>
        <v/>
      </c>
      <c r="AM138" s="3" t="str">
        <f>IF(35&gt;$C138,"",IF($D138=1,EOMONTH(EDATE(Bonds!$H138,6*(35-1)),0),EDATE(Bonds!$H138,6*(35-1))))</f>
        <v/>
      </c>
      <c r="AN138" s="3" t="str">
        <f>IF(36&gt;$C138,"",IF($D138=1,EOMONTH(EDATE(Bonds!$H138,6*(36-1)),0),EDATE(Bonds!$H138,6*(36-1))))</f>
        <v/>
      </c>
      <c r="AO138" s="3" t="str">
        <f>IF(37&gt;$C138,"",IF($D138=1,EOMONTH(EDATE(Bonds!$H138,6*(37-1)),0),EDATE(Bonds!$H138,6*(37-1))))</f>
        <v/>
      </c>
      <c r="AP138" s="3" t="str">
        <f>IF(38&gt;$C138,"",IF($D138=1,EOMONTH(EDATE(Bonds!$H138,6*(38-1)),0),EDATE(Bonds!$H138,6*(38-1))))</f>
        <v/>
      </c>
      <c r="AQ138" s="3" t="str">
        <f>IF(39&gt;$C138,"",IF($D138=1,EOMONTH(EDATE(Bonds!$H138,6*(39-1)),0),EDATE(Bonds!$H138,6*(39-1))))</f>
        <v/>
      </c>
      <c r="AR138" s="3" t="str">
        <f>IF(40&gt;$C138,"",IF($D138=1,EOMONTH(EDATE(Bonds!$H138,6*(40-1)),0),EDATE(Bonds!$H138,6*(40-1))))</f>
        <v/>
      </c>
      <c r="AS138" s="3" t="str">
        <f>IF(41&gt;$C138,"",IF($D138=1,EOMONTH(EDATE(Bonds!$H138,6*(41-1)),0),EDATE(Bonds!$H138,6*(41-1))))</f>
        <v/>
      </c>
      <c r="AT138" s="3" t="str">
        <f>IF(42&gt;$C138,"",IF($D138=1,EOMONTH(EDATE(Bonds!$H138,6*(42-1)),0),EDATE(Bonds!$H138,6*(42-1))))</f>
        <v/>
      </c>
      <c r="AU138" s="3" t="str">
        <f>IF(43&gt;$C138,"",IF($D138=1,EOMONTH(EDATE(Bonds!$H138,6*(43-1)),0),EDATE(Bonds!$H138,6*(43-1))))</f>
        <v/>
      </c>
      <c r="AV138" s="3" t="str">
        <f>IF(44&gt;$C138,"",IF($D138=1,EOMONTH(EDATE(Bonds!$H138,6*(44-1)),0),EDATE(Bonds!$H138,6*(44-1))))</f>
        <v/>
      </c>
      <c r="AW138" s="3" t="str">
        <f>IF(45&gt;$C138,"",IF($D138=1,EOMONTH(EDATE(Bonds!$H138,6*(45-1)),0),EDATE(Bonds!$H138,6*(45-1))))</f>
        <v/>
      </c>
      <c r="AX138" s="3" t="str">
        <f>IF(46&gt;$C138,"",IF($D138=1,EOMONTH(EDATE(Bonds!$H138,6*(46-1)),0),EDATE(Bonds!$H138,6*(46-1))))</f>
        <v/>
      </c>
      <c r="AY138" s="3" t="str">
        <f>IF(47&gt;$C138,"",IF($D138=1,EOMONTH(EDATE(Bonds!$H138,6*(47-1)),0),EDATE(Bonds!$H138,6*(47-1))))</f>
        <v/>
      </c>
      <c r="AZ138" s="3" t="str">
        <f>IF(48&gt;$C138,"",IF($D138=1,EOMONTH(EDATE(Bonds!$H138,6*(48-1)),0),EDATE(Bonds!$H138,6*(48-1))))</f>
        <v/>
      </c>
      <c r="BA138" s="3" t="str">
        <f>IF(49&gt;$C138,"",IF($D138=1,EOMONTH(EDATE(Bonds!$H138,6*(49-1)),0),EDATE(Bonds!$H138,6*(49-1))))</f>
        <v/>
      </c>
      <c r="BB138" s="3" t="str">
        <f>IF(50&gt;$C138,"",IF($D138=1,EOMONTH(EDATE(Bonds!$H138,6*(50-1)),0),EDATE(Bonds!$H138,6*(50-1))))</f>
        <v/>
      </c>
      <c r="BC138" s="3" t="str">
        <f>IF(51&gt;$C138,"",IF($D138=1,EOMONTH(EDATE(Bonds!$H138,6*(51-1)),0),EDATE(Bonds!$H138,6*(51-1))))</f>
        <v/>
      </c>
      <c r="BD138" s="3" t="str">
        <f>IF(52&gt;$C138,"",IF($D138=1,EOMONTH(EDATE(Bonds!$H138,6*(52-1)),0),EDATE(Bonds!$H138,6*(52-1))))</f>
        <v/>
      </c>
      <c r="BE138" s="3" t="str">
        <f>IF(53&gt;$C138,"",IF($D138=1,EOMONTH(EDATE(Bonds!$H138,6*(53-1)),0),EDATE(Bonds!$H138,6*(53-1))))</f>
        <v/>
      </c>
      <c r="BF138" s="3" t="str">
        <f>IF(54&gt;$C138,"",IF($D138=1,EOMONTH(EDATE(Bonds!$H138,6*(54-1)),0),EDATE(Bonds!$H138,6*(54-1))))</f>
        <v/>
      </c>
      <c r="BG138" s="3" t="str">
        <f>IF(55&gt;$C138,"",IF($D138=1,EOMONTH(EDATE(Bonds!$H138,6*(55-1)),0),EDATE(Bonds!$H138,6*(55-1))))</f>
        <v/>
      </c>
      <c r="BH138" s="3" t="str">
        <f>IF(56&gt;$C138,"",IF($D138=1,EOMONTH(EDATE(Bonds!$H138,6*(56-1)),0),EDATE(Bonds!$H138,6*(56-1))))</f>
        <v/>
      </c>
      <c r="BI138" s="3" t="str">
        <f>IF(57&gt;$C138,"",IF($D138=1,EOMONTH(EDATE(Bonds!$H138,6*(57-1)),0),EDATE(Bonds!$H138,6*(57-1))))</f>
        <v/>
      </c>
      <c r="BJ138" s="3" t="str">
        <f>IF(58&gt;$C138,"",IF($D138=1,EOMONTH(EDATE(Bonds!$H138,6*(58-1)),0),EDATE(Bonds!$H138,6*(58-1))))</f>
        <v/>
      </c>
      <c r="BK138" s="3" t="str">
        <f>IF(59&gt;$C138,"",IF($D138=1,EOMONTH(EDATE(Bonds!$H138,6*(59-1)),0),EDATE(Bonds!$H138,6*(59-1))))</f>
        <v/>
      </c>
      <c r="BL138" s="3" t="str">
        <f>IF(60&gt;$C138,"",IF($D138=1,EOMONTH(EDATE(Bonds!$H138,6*(60-1)),0),EDATE(Bonds!$H138,6*(60-1))))</f>
        <v/>
      </c>
      <c r="BN138" s="7">
        <f t="shared" si="123"/>
        <v>1.1848749382395858</v>
      </c>
      <c r="BO138" s="7">
        <f t="shared" si="124"/>
        <v>1.1614954787611367</v>
      </c>
      <c r="BP138" s="7">
        <f t="shared" si="125"/>
        <v>1.1363644902375485</v>
      </c>
      <c r="BQ138" s="7">
        <f t="shared" si="126"/>
        <v>1.1108571176119211</v>
      </c>
      <c r="BR138" s="7">
        <f t="shared" si="127"/>
        <v>1.0856164640895825</v>
      </c>
      <c r="BS138" s="7">
        <f t="shared" si="128"/>
        <v>90.412826063434451</v>
      </c>
      <c r="BT138" s="7">
        <f t="shared" si="129"/>
        <v>0</v>
      </c>
      <c r="BU138" s="7">
        <f t="shared" si="130"/>
        <v>0</v>
      </c>
      <c r="BV138" s="7">
        <f t="shared" si="131"/>
        <v>0</v>
      </c>
      <c r="BW138" s="7">
        <f t="shared" si="132"/>
        <v>0</v>
      </c>
      <c r="BX138" s="7">
        <f t="shared" si="133"/>
        <v>0</v>
      </c>
      <c r="BY138" s="7">
        <f t="shared" si="134"/>
        <v>0</v>
      </c>
      <c r="BZ138" s="7">
        <f t="shared" si="135"/>
        <v>0</v>
      </c>
      <c r="CA138" s="7">
        <f t="shared" si="136"/>
        <v>0</v>
      </c>
      <c r="CB138" s="7">
        <f t="shared" si="137"/>
        <v>0</v>
      </c>
      <c r="CC138" s="7">
        <f t="shared" si="138"/>
        <v>0</v>
      </c>
      <c r="CD138" s="7">
        <f t="shared" si="139"/>
        <v>0</v>
      </c>
      <c r="CE138" s="7">
        <f t="shared" si="140"/>
        <v>0</v>
      </c>
      <c r="CF138" s="7">
        <f t="shared" si="141"/>
        <v>0</v>
      </c>
      <c r="CG138" s="7">
        <f t="shared" si="142"/>
        <v>0</v>
      </c>
      <c r="CH138" s="7">
        <f t="shared" si="143"/>
        <v>0</v>
      </c>
      <c r="CI138" s="7">
        <f t="shared" si="144"/>
        <v>0</v>
      </c>
      <c r="CJ138" s="7">
        <f t="shared" si="145"/>
        <v>0</v>
      </c>
      <c r="CK138" s="7">
        <f t="shared" si="146"/>
        <v>0</v>
      </c>
      <c r="CL138" s="7">
        <f t="shared" si="147"/>
        <v>0</v>
      </c>
      <c r="CM138" s="7">
        <f t="shared" si="148"/>
        <v>0</v>
      </c>
      <c r="CN138" s="7">
        <f t="shared" si="149"/>
        <v>0</v>
      </c>
      <c r="CO138" s="7">
        <f t="shared" si="150"/>
        <v>0</v>
      </c>
      <c r="CP138" s="7">
        <f t="shared" si="151"/>
        <v>0</v>
      </c>
      <c r="CQ138" s="7">
        <f t="shared" si="152"/>
        <v>0</v>
      </c>
      <c r="CR138" s="7">
        <f t="shared" si="153"/>
        <v>0</v>
      </c>
      <c r="CS138" s="7">
        <f t="shared" si="154"/>
        <v>0</v>
      </c>
      <c r="CT138" s="7">
        <f t="shared" si="155"/>
        <v>0</v>
      </c>
      <c r="CU138" s="7">
        <f t="shared" si="156"/>
        <v>0</v>
      </c>
      <c r="CV138" s="7">
        <f t="shared" si="157"/>
        <v>0</v>
      </c>
      <c r="CW138" s="7">
        <f t="shared" si="158"/>
        <v>0</v>
      </c>
      <c r="CX138" s="7">
        <f t="shared" si="159"/>
        <v>0</v>
      </c>
      <c r="CY138" s="7">
        <f t="shared" si="160"/>
        <v>0</v>
      </c>
      <c r="CZ138" s="7">
        <f t="shared" si="161"/>
        <v>0</v>
      </c>
      <c r="DA138" s="7">
        <f t="shared" si="162"/>
        <v>0</v>
      </c>
      <c r="DB138" s="7">
        <f t="shared" si="163"/>
        <v>0</v>
      </c>
      <c r="DC138" s="7">
        <f t="shared" si="164"/>
        <v>0</v>
      </c>
      <c r="DD138" s="7">
        <f t="shared" si="165"/>
        <v>0</v>
      </c>
      <c r="DE138" s="7">
        <f t="shared" si="166"/>
        <v>0</v>
      </c>
      <c r="DF138" s="7">
        <f t="shared" si="167"/>
        <v>0</v>
      </c>
      <c r="DG138" s="7">
        <f t="shared" si="168"/>
        <v>0</v>
      </c>
      <c r="DH138" s="7">
        <f t="shared" si="169"/>
        <v>0</v>
      </c>
      <c r="DI138" s="7">
        <f t="shared" si="170"/>
        <v>0</v>
      </c>
      <c r="DJ138" s="7">
        <f t="shared" si="171"/>
        <v>0</v>
      </c>
      <c r="DK138" s="7">
        <f t="shared" si="172"/>
        <v>0</v>
      </c>
      <c r="DL138" s="7">
        <f t="shared" si="173"/>
        <v>0</v>
      </c>
      <c r="DM138" s="7">
        <f t="shared" si="174"/>
        <v>0</v>
      </c>
      <c r="DN138" s="7">
        <f t="shared" si="175"/>
        <v>0</v>
      </c>
      <c r="DO138" s="7">
        <f t="shared" si="176"/>
        <v>0</v>
      </c>
      <c r="DP138" s="7">
        <f t="shared" si="177"/>
        <v>0</v>
      </c>
      <c r="DQ138" s="7">
        <f t="shared" si="178"/>
        <v>0</v>
      </c>
      <c r="DR138" s="7">
        <f t="shared" si="179"/>
        <v>0</v>
      </c>
      <c r="DS138" s="7">
        <f t="shared" si="180"/>
        <v>0</v>
      </c>
      <c r="DT138" s="7">
        <f t="shared" si="181"/>
        <v>0</v>
      </c>
      <c r="DU138" s="7">
        <f t="shared" si="182"/>
        <v>0</v>
      </c>
    </row>
    <row r="139" spans="1:125" x14ac:dyDescent="0.2">
      <c r="A139" s="3">
        <f>Bonds!A139</f>
        <v>47208</v>
      </c>
      <c r="B139" s="4">
        <f>Bonds!B139</f>
        <v>4.125</v>
      </c>
      <c r="C139">
        <f>Bonds!P139</f>
        <v>6</v>
      </c>
      <c r="D139">
        <f t="shared" si="122"/>
        <v>1</v>
      </c>
      <c r="E139" s="3">
        <f>IF(1&gt;$C139,"",IF($D139=1,EOMONTH(EDATE(Bonds!$H139,6*(1-1)),0),EDATE(Bonds!$H139,6*(1-1))))</f>
        <v>46295</v>
      </c>
      <c r="F139" s="3">
        <f>IF(2&gt;$C139,"",IF($D139=1,EOMONTH(EDATE(Bonds!$H139,6*(2-1)),0),EDATE(Bonds!$H139,6*(2-1))))</f>
        <v>46477</v>
      </c>
      <c r="G139" s="3">
        <f>IF(3&gt;$C139,"",IF($D139=1,EOMONTH(EDATE(Bonds!$H139,6*(3-1)),0),EDATE(Bonds!$H139,6*(3-1))))</f>
        <v>46660</v>
      </c>
      <c r="H139" s="3">
        <f>IF(4&gt;$C139,"",IF($D139=1,EOMONTH(EDATE(Bonds!$H139,6*(4-1)),0),EDATE(Bonds!$H139,6*(4-1))))</f>
        <v>46843</v>
      </c>
      <c r="I139" s="3">
        <f>IF(5&gt;$C139,"",IF($D139=1,EOMONTH(EDATE(Bonds!$H139,6*(5-1)),0),EDATE(Bonds!$H139,6*(5-1))))</f>
        <v>47026</v>
      </c>
      <c r="J139" s="3">
        <f>IF(6&gt;$C139,"",IF($D139=1,EOMONTH(EDATE(Bonds!$H139,6*(6-1)),0),EDATE(Bonds!$H139,6*(6-1))))</f>
        <v>47208</v>
      </c>
      <c r="K139" s="3" t="str">
        <f>IF(7&gt;$C139,"",IF($D139=1,EOMONTH(EDATE(Bonds!$H139,6*(7-1)),0),EDATE(Bonds!$H139,6*(7-1))))</f>
        <v/>
      </c>
      <c r="L139" s="3" t="str">
        <f>IF(8&gt;$C139,"",IF($D139=1,EOMONTH(EDATE(Bonds!$H139,6*(8-1)),0),EDATE(Bonds!$H139,6*(8-1))))</f>
        <v/>
      </c>
      <c r="M139" s="3" t="str">
        <f>IF(9&gt;$C139,"",IF($D139=1,EOMONTH(EDATE(Bonds!$H139,6*(9-1)),0),EDATE(Bonds!$H139,6*(9-1))))</f>
        <v/>
      </c>
      <c r="N139" s="3" t="str">
        <f>IF(10&gt;$C139,"",IF($D139=1,EOMONTH(EDATE(Bonds!$H139,6*(10-1)),0),EDATE(Bonds!$H139,6*(10-1))))</f>
        <v/>
      </c>
      <c r="O139" s="3" t="str">
        <f>IF(11&gt;$C139,"",IF($D139=1,EOMONTH(EDATE(Bonds!$H139,6*(11-1)),0),EDATE(Bonds!$H139,6*(11-1))))</f>
        <v/>
      </c>
      <c r="P139" s="3" t="str">
        <f>IF(12&gt;$C139,"",IF($D139=1,EOMONTH(EDATE(Bonds!$H139,6*(12-1)),0),EDATE(Bonds!$H139,6*(12-1))))</f>
        <v/>
      </c>
      <c r="Q139" s="3" t="str">
        <f>IF(13&gt;$C139,"",IF($D139=1,EOMONTH(EDATE(Bonds!$H139,6*(13-1)),0),EDATE(Bonds!$H139,6*(13-1))))</f>
        <v/>
      </c>
      <c r="R139" s="3" t="str">
        <f>IF(14&gt;$C139,"",IF($D139=1,EOMONTH(EDATE(Bonds!$H139,6*(14-1)),0),EDATE(Bonds!$H139,6*(14-1))))</f>
        <v/>
      </c>
      <c r="S139" s="3" t="str">
        <f>IF(15&gt;$C139,"",IF($D139=1,EOMONTH(EDATE(Bonds!$H139,6*(15-1)),0),EDATE(Bonds!$H139,6*(15-1))))</f>
        <v/>
      </c>
      <c r="T139" s="3" t="str">
        <f>IF(16&gt;$C139,"",IF($D139=1,EOMONTH(EDATE(Bonds!$H139,6*(16-1)),0),EDATE(Bonds!$H139,6*(16-1))))</f>
        <v/>
      </c>
      <c r="U139" s="3" t="str">
        <f>IF(17&gt;$C139,"",IF($D139=1,EOMONTH(EDATE(Bonds!$H139,6*(17-1)),0),EDATE(Bonds!$H139,6*(17-1))))</f>
        <v/>
      </c>
      <c r="V139" s="3" t="str">
        <f>IF(18&gt;$C139,"",IF($D139=1,EOMONTH(EDATE(Bonds!$H139,6*(18-1)),0),EDATE(Bonds!$H139,6*(18-1))))</f>
        <v/>
      </c>
      <c r="W139" s="3" t="str">
        <f>IF(19&gt;$C139,"",IF($D139=1,EOMONTH(EDATE(Bonds!$H139,6*(19-1)),0),EDATE(Bonds!$H139,6*(19-1))))</f>
        <v/>
      </c>
      <c r="X139" s="3" t="str">
        <f>IF(20&gt;$C139,"",IF($D139=1,EOMONTH(EDATE(Bonds!$H139,6*(20-1)),0),EDATE(Bonds!$H139,6*(20-1))))</f>
        <v/>
      </c>
      <c r="Y139" s="3" t="str">
        <f>IF(21&gt;$C139,"",IF($D139=1,EOMONTH(EDATE(Bonds!$H139,6*(21-1)),0),EDATE(Bonds!$H139,6*(21-1))))</f>
        <v/>
      </c>
      <c r="Z139" s="3" t="str">
        <f>IF(22&gt;$C139,"",IF($D139=1,EOMONTH(EDATE(Bonds!$H139,6*(22-1)),0),EDATE(Bonds!$H139,6*(22-1))))</f>
        <v/>
      </c>
      <c r="AA139" s="3" t="str">
        <f>IF(23&gt;$C139,"",IF($D139=1,EOMONTH(EDATE(Bonds!$H139,6*(23-1)),0),EDATE(Bonds!$H139,6*(23-1))))</f>
        <v/>
      </c>
      <c r="AB139" s="3" t="str">
        <f>IF(24&gt;$C139,"",IF($D139=1,EOMONTH(EDATE(Bonds!$H139,6*(24-1)),0),EDATE(Bonds!$H139,6*(24-1))))</f>
        <v/>
      </c>
      <c r="AC139" s="3" t="str">
        <f>IF(25&gt;$C139,"",IF($D139=1,EOMONTH(EDATE(Bonds!$H139,6*(25-1)),0),EDATE(Bonds!$H139,6*(25-1))))</f>
        <v/>
      </c>
      <c r="AD139" s="3" t="str">
        <f>IF(26&gt;$C139,"",IF($D139=1,EOMONTH(EDATE(Bonds!$H139,6*(26-1)),0),EDATE(Bonds!$H139,6*(26-1))))</f>
        <v/>
      </c>
      <c r="AE139" s="3" t="str">
        <f>IF(27&gt;$C139,"",IF($D139=1,EOMONTH(EDATE(Bonds!$H139,6*(27-1)),0),EDATE(Bonds!$H139,6*(27-1))))</f>
        <v/>
      </c>
      <c r="AF139" s="3" t="str">
        <f>IF(28&gt;$C139,"",IF($D139=1,EOMONTH(EDATE(Bonds!$H139,6*(28-1)),0),EDATE(Bonds!$H139,6*(28-1))))</f>
        <v/>
      </c>
      <c r="AG139" s="3" t="str">
        <f>IF(29&gt;$C139,"",IF($D139=1,EOMONTH(EDATE(Bonds!$H139,6*(29-1)),0),EDATE(Bonds!$H139,6*(29-1))))</f>
        <v/>
      </c>
      <c r="AH139" s="3" t="str">
        <f>IF(30&gt;$C139,"",IF($D139=1,EOMONTH(EDATE(Bonds!$H139,6*(30-1)),0),EDATE(Bonds!$H139,6*(30-1))))</f>
        <v/>
      </c>
      <c r="AI139" s="3" t="str">
        <f>IF(31&gt;$C139,"",IF($D139=1,EOMONTH(EDATE(Bonds!$H139,6*(31-1)),0),EDATE(Bonds!$H139,6*(31-1))))</f>
        <v/>
      </c>
      <c r="AJ139" s="3" t="str">
        <f>IF(32&gt;$C139,"",IF($D139=1,EOMONTH(EDATE(Bonds!$H139,6*(32-1)),0),EDATE(Bonds!$H139,6*(32-1))))</f>
        <v/>
      </c>
      <c r="AK139" s="3" t="str">
        <f>IF(33&gt;$C139,"",IF($D139=1,EOMONTH(EDATE(Bonds!$H139,6*(33-1)),0),EDATE(Bonds!$H139,6*(33-1))))</f>
        <v/>
      </c>
      <c r="AL139" s="3" t="str">
        <f>IF(34&gt;$C139,"",IF($D139=1,EOMONTH(EDATE(Bonds!$H139,6*(34-1)),0),EDATE(Bonds!$H139,6*(34-1))))</f>
        <v/>
      </c>
      <c r="AM139" s="3" t="str">
        <f>IF(35&gt;$C139,"",IF($D139=1,EOMONTH(EDATE(Bonds!$H139,6*(35-1)),0),EDATE(Bonds!$H139,6*(35-1))))</f>
        <v/>
      </c>
      <c r="AN139" s="3" t="str">
        <f>IF(36&gt;$C139,"",IF($D139=1,EOMONTH(EDATE(Bonds!$H139,6*(36-1)),0),EDATE(Bonds!$H139,6*(36-1))))</f>
        <v/>
      </c>
      <c r="AO139" s="3" t="str">
        <f>IF(37&gt;$C139,"",IF($D139=1,EOMONTH(EDATE(Bonds!$H139,6*(37-1)),0),EDATE(Bonds!$H139,6*(37-1))))</f>
        <v/>
      </c>
      <c r="AP139" s="3" t="str">
        <f>IF(38&gt;$C139,"",IF($D139=1,EOMONTH(EDATE(Bonds!$H139,6*(38-1)),0),EDATE(Bonds!$H139,6*(38-1))))</f>
        <v/>
      </c>
      <c r="AQ139" s="3" t="str">
        <f>IF(39&gt;$C139,"",IF($D139=1,EOMONTH(EDATE(Bonds!$H139,6*(39-1)),0),EDATE(Bonds!$H139,6*(39-1))))</f>
        <v/>
      </c>
      <c r="AR139" s="3" t="str">
        <f>IF(40&gt;$C139,"",IF($D139=1,EOMONTH(EDATE(Bonds!$H139,6*(40-1)),0),EDATE(Bonds!$H139,6*(40-1))))</f>
        <v/>
      </c>
      <c r="AS139" s="3" t="str">
        <f>IF(41&gt;$C139,"",IF($D139=1,EOMONTH(EDATE(Bonds!$H139,6*(41-1)),0),EDATE(Bonds!$H139,6*(41-1))))</f>
        <v/>
      </c>
      <c r="AT139" s="3" t="str">
        <f>IF(42&gt;$C139,"",IF($D139=1,EOMONTH(EDATE(Bonds!$H139,6*(42-1)),0),EDATE(Bonds!$H139,6*(42-1))))</f>
        <v/>
      </c>
      <c r="AU139" s="3" t="str">
        <f>IF(43&gt;$C139,"",IF($D139=1,EOMONTH(EDATE(Bonds!$H139,6*(43-1)),0),EDATE(Bonds!$H139,6*(43-1))))</f>
        <v/>
      </c>
      <c r="AV139" s="3" t="str">
        <f>IF(44&gt;$C139,"",IF($D139=1,EOMONTH(EDATE(Bonds!$H139,6*(44-1)),0),EDATE(Bonds!$H139,6*(44-1))))</f>
        <v/>
      </c>
      <c r="AW139" s="3" t="str">
        <f>IF(45&gt;$C139,"",IF($D139=1,EOMONTH(EDATE(Bonds!$H139,6*(45-1)),0),EDATE(Bonds!$H139,6*(45-1))))</f>
        <v/>
      </c>
      <c r="AX139" s="3" t="str">
        <f>IF(46&gt;$C139,"",IF($D139=1,EOMONTH(EDATE(Bonds!$H139,6*(46-1)),0),EDATE(Bonds!$H139,6*(46-1))))</f>
        <v/>
      </c>
      <c r="AY139" s="3" t="str">
        <f>IF(47&gt;$C139,"",IF($D139=1,EOMONTH(EDATE(Bonds!$H139,6*(47-1)),0),EDATE(Bonds!$H139,6*(47-1))))</f>
        <v/>
      </c>
      <c r="AZ139" s="3" t="str">
        <f>IF(48&gt;$C139,"",IF($D139=1,EOMONTH(EDATE(Bonds!$H139,6*(48-1)),0),EDATE(Bonds!$H139,6*(48-1))))</f>
        <v/>
      </c>
      <c r="BA139" s="3" t="str">
        <f>IF(49&gt;$C139,"",IF($D139=1,EOMONTH(EDATE(Bonds!$H139,6*(49-1)),0),EDATE(Bonds!$H139,6*(49-1))))</f>
        <v/>
      </c>
      <c r="BB139" s="3" t="str">
        <f>IF(50&gt;$C139,"",IF($D139=1,EOMONTH(EDATE(Bonds!$H139,6*(50-1)),0),EDATE(Bonds!$H139,6*(50-1))))</f>
        <v/>
      </c>
      <c r="BC139" s="3" t="str">
        <f>IF(51&gt;$C139,"",IF($D139=1,EOMONTH(EDATE(Bonds!$H139,6*(51-1)),0),EDATE(Bonds!$H139,6*(51-1))))</f>
        <v/>
      </c>
      <c r="BD139" s="3" t="str">
        <f>IF(52&gt;$C139,"",IF($D139=1,EOMONTH(EDATE(Bonds!$H139,6*(52-1)),0),EDATE(Bonds!$H139,6*(52-1))))</f>
        <v/>
      </c>
      <c r="BE139" s="3" t="str">
        <f>IF(53&gt;$C139,"",IF($D139=1,EOMONTH(EDATE(Bonds!$H139,6*(53-1)),0),EDATE(Bonds!$H139,6*(53-1))))</f>
        <v/>
      </c>
      <c r="BF139" s="3" t="str">
        <f>IF(54&gt;$C139,"",IF($D139=1,EOMONTH(EDATE(Bonds!$H139,6*(54-1)),0),EDATE(Bonds!$H139,6*(54-1))))</f>
        <v/>
      </c>
      <c r="BG139" s="3" t="str">
        <f>IF(55&gt;$C139,"",IF($D139=1,EOMONTH(EDATE(Bonds!$H139,6*(55-1)),0),EDATE(Bonds!$H139,6*(55-1))))</f>
        <v/>
      </c>
      <c r="BH139" s="3" t="str">
        <f>IF(56&gt;$C139,"",IF($D139=1,EOMONTH(EDATE(Bonds!$H139,6*(56-1)),0),EDATE(Bonds!$H139,6*(56-1))))</f>
        <v/>
      </c>
      <c r="BI139" s="3" t="str">
        <f>IF(57&gt;$C139,"",IF($D139=1,EOMONTH(EDATE(Bonds!$H139,6*(57-1)),0),EDATE(Bonds!$H139,6*(57-1))))</f>
        <v/>
      </c>
      <c r="BJ139" s="3" t="str">
        <f>IF(58&gt;$C139,"",IF($D139=1,EOMONTH(EDATE(Bonds!$H139,6*(58-1)),0),EDATE(Bonds!$H139,6*(58-1))))</f>
        <v/>
      </c>
      <c r="BK139" s="3" t="str">
        <f>IF(59&gt;$C139,"",IF($D139=1,EOMONTH(EDATE(Bonds!$H139,6*(59-1)),0),EDATE(Bonds!$H139,6*(59-1))))</f>
        <v/>
      </c>
      <c r="BL139" s="3" t="str">
        <f>IF(60&gt;$C139,"",IF($D139=1,EOMONTH(EDATE(Bonds!$H139,6*(60-1)),0),EDATE(Bonds!$H139,6*(60-1))))</f>
        <v/>
      </c>
      <c r="BN139" s="7">
        <f t="shared" si="123"/>
        <v>2.0579406822055963</v>
      </c>
      <c r="BO139" s="7">
        <f t="shared" si="124"/>
        <v>2.0173342525851323</v>
      </c>
      <c r="BP139" s="7">
        <f t="shared" si="125"/>
        <v>1.9736856935704787</v>
      </c>
      <c r="BQ139" s="7">
        <f t="shared" si="126"/>
        <v>1.9293834147996523</v>
      </c>
      <c r="BR139" s="7">
        <f t="shared" si="127"/>
        <v>1.8855443849976958</v>
      </c>
      <c r="BS139" s="7">
        <f t="shared" si="128"/>
        <v>91.194654083748276</v>
      </c>
      <c r="BT139" s="7">
        <f t="shared" si="129"/>
        <v>0</v>
      </c>
      <c r="BU139" s="7">
        <f t="shared" si="130"/>
        <v>0</v>
      </c>
      <c r="BV139" s="7">
        <f t="shared" si="131"/>
        <v>0</v>
      </c>
      <c r="BW139" s="7">
        <f t="shared" si="132"/>
        <v>0</v>
      </c>
      <c r="BX139" s="7">
        <f t="shared" si="133"/>
        <v>0</v>
      </c>
      <c r="BY139" s="7">
        <f t="shared" si="134"/>
        <v>0</v>
      </c>
      <c r="BZ139" s="7">
        <f t="shared" si="135"/>
        <v>0</v>
      </c>
      <c r="CA139" s="7">
        <f t="shared" si="136"/>
        <v>0</v>
      </c>
      <c r="CB139" s="7">
        <f t="shared" si="137"/>
        <v>0</v>
      </c>
      <c r="CC139" s="7">
        <f t="shared" si="138"/>
        <v>0</v>
      </c>
      <c r="CD139" s="7">
        <f t="shared" si="139"/>
        <v>0</v>
      </c>
      <c r="CE139" s="7">
        <f t="shared" si="140"/>
        <v>0</v>
      </c>
      <c r="CF139" s="7">
        <f t="shared" si="141"/>
        <v>0</v>
      </c>
      <c r="CG139" s="7">
        <f t="shared" si="142"/>
        <v>0</v>
      </c>
      <c r="CH139" s="7">
        <f t="shared" si="143"/>
        <v>0</v>
      </c>
      <c r="CI139" s="7">
        <f t="shared" si="144"/>
        <v>0</v>
      </c>
      <c r="CJ139" s="7">
        <f t="shared" si="145"/>
        <v>0</v>
      </c>
      <c r="CK139" s="7">
        <f t="shared" si="146"/>
        <v>0</v>
      </c>
      <c r="CL139" s="7">
        <f t="shared" si="147"/>
        <v>0</v>
      </c>
      <c r="CM139" s="7">
        <f t="shared" si="148"/>
        <v>0</v>
      </c>
      <c r="CN139" s="7">
        <f t="shared" si="149"/>
        <v>0</v>
      </c>
      <c r="CO139" s="7">
        <f t="shared" si="150"/>
        <v>0</v>
      </c>
      <c r="CP139" s="7">
        <f t="shared" si="151"/>
        <v>0</v>
      </c>
      <c r="CQ139" s="7">
        <f t="shared" si="152"/>
        <v>0</v>
      </c>
      <c r="CR139" s="7">
        <f t="shared" si="153"/>
        <v>0</v>
      </c>
      <c r="CS139" s="7">
        <f t="shared" si="154"/>
        <v>0</v>
      </c>
      <c r="CT139" s="7">
        <f t="shared" si="155"/>
        <v>0</v>
      </c>
      <c r="CU139" s="7">
        <f t="shared" si="156"/>
        <v>0</v>
      </c>
      <c r="CV139" s="7">
        <f t="shared" si="157"/>
        <v>0</v>
      </c>
      <c r="CW139" s="7">
        <f t="shared" si="158"/>
        <v>0</v>
      </c>
      <c r="CX139" s="7">
        <f t="shared" si="159"/>
        <v>0</v>
      </c>
      <c r="CY139" s="7">
        <f t="shared" si="160"/>
        <v>0</v>
      </c>
      <c r="CZ139" s="7">
        <f t="shared" si="161"/>
        <v>0</v>
      </c>
      <c r="DA139" s="7">
        <f t="shared" si="162"/>
        <v>0</v>
      </c>
      <c r="DB139" s="7">
        <f t="shared" si="163"/>
        <v>0</v>
      </c>
      <c r="DC139" s="7">
        <f t="shared" si="164"/>
        <v>0</v>
      </c>
      <c r="DD139" s="7">
        <f t="shared" si="165"/>
        <v>0</v>
      </c>
      <c r="DE139" s="7">
        <f t="shared" si="166"/>
        <v>0</v>
      </c>
      <c r="DF139" s="7">
        <f t="shared" si="167"/>
        <v>0</v>
      </c>
      <c r="DG139" s="7">
        <f t="shared" si="168"/>
        <v>0</v>
      </c>
      <c r="DH139" s="7">
        <f t="shared" si="169"/>
        <v>0</v>
      </c>
      <c r="DI139" s="7">
        <f t="shared" si="170"/>
        <v>0</v>
      </c>
      <c r="DJ139" s="7">
        <f t="shared" si="171"/>
        <v>0</v>
      </c>
      <c r="DK139" s="7">
        <f t="shared" si="172"/>
        <v>0</v>
      </c>
      <c r="DL139" s="7">
        <f t="shared" si="173"/>
        <v>0</v>
      </c>
      <c r="DM139" s="7">
        <f t="shared" si="174"/>
        <v>0</v>
      </c>
      <c r="DN139" s="7">
        <f t="shared" si="175"/>
        <v>0</v>
      </c>
      <c r="DO139" s="7">
        <f t="shared" si="176"/>
        <v>0</v>
      </c>
      <c r="DP139" s="7">
        <f t="shared" si="177"/>
        <v>0</v>
      </c>
      <c r="DQ139" s="7">
        <f t="shared" si="178"/>
        <v>0</v>
      </c>
      <c r="DR139" s="7">
        <f t="shared" si="179"/>
        <v>0</v>
      </c>
      <c r="DS139" s="7">
        <f t="shared" si="180"/>
        <v>0</v>
      </c>
      <c r="DT139" s="7">
        <f t="shared" si="181"/>
        <v>0</v>
      </c>
      <c r="DU139" s="7">
        <f t="shared" si="182"/>
        <v>0</v>
      </c>
    </row>
    <row r="140" spans="1:125" x14ac:dyDescent="0.2">
      <c r="A140" s="3">
        <f>Bonds!A140</f>
        <v>47223</v>
      </c>
      <c r="B140" s="4">
        <f>Bonds!B140</f>
        <v>3.875</v>
      </c>
      <c r="C140">
        <f>Bonds!P140</f>
        <v>6</v>
      </c>
      <c r="D140">
        <f t="shared" si="122"/>
        <v>0</v>
      </c>
      <c r="E140" s="3">
        <f>IF(1&gt;$C140,"",IF($D140=1,EOMONTH(EDATE(Bonds!$H140,6*(1-1)),0),EDATE(Bonds!$H140,6*(1-1))))</f>
        <v>46310</v>
      </c>
      <c r="F140" s="3">
        <f>IF(2&gt;$C140,"",IF($D140=1,EOMONTH(EDATE(Bonds!$H140,6*(2-1)),0),EDATE(Bonds!$H140,6*(2-1))))</f>
        <v>46492</v>
      </c>
      <c r="G140" s="3">
        <f>IF(3&gt;$C140,"",IF($D140=1,EOMONTH(EDATE(Bonds!$H140,6*(3-1)),0),EDATE(Bonds!$H140,6*(3-1))))</f>
        <v>46675</v>
      </c>
      <c r="H140" s="3">
        <f>IF(4&gt;$C140,"",IF($D140=1,EOMONTH(EDATE(Bonds!$H140,6*(4-1)),0),EDATE(Bonds!$H140,6*(4-1))))</f>
        <v>46858</v>
      </c>
      <c r="I140" s="3">
        <f>IF(5&gt;$C140,"",IF($D140=1,EOMONTH(EDATE(Bonds!$H140,6*(5-1)),0),EDATE(Bonds!$H140,6*(5-1))))</f>
        <v>47041</v>
      </c>
      <c r="J140" s="3">
        <f>IF(6&gt;$C140,"",IF($D140=1,EOMONTH(EDATE(Bonds!$H140,6*(6-1)),0),EDATE(Bonds!$H140,6*(6-1))))</f>
        <v>47223</v>
      </c>
      <c r="K140" s="3" t="str">
        <f>IF(7&gt;$C140,"",IF($D140=1,EOMONTH(EDATE(Bonds!$H140,6*(7-1)),0),EDATE(Bonds!$H140,6*(7-1))))</f>
        <v/>
      </c>
      <c r="L140" s="3" t="str">
        <f>IF(8&gt;$C140,"",IF($D140=1,EOMONTH(EDATE(Bonds!$H140,6*(8-1)),0),EDATE(Bonds!$H140,6*(8-1))))</f>
        <v/>
      </c>
      <c r="M140" s="3" t="str">
        <f>IF(9&gt;$C140,"",IF($D140=1,EOMONTH(EDATE(Bonds!$H140,6*(9-1)),0),EDATE(Bonds!$H140,6*(9-1))))</f>
        <v/>
      </c>
      <c r="N140" s="3" t="str">
        <f>IF(10&gt;$C140,"",IF($D140=1,EOMONTH(EDATE(Bonds!$H140,6*(10-1)),0),EDATE(Bonds!$H140,6*(10-1))))</f>
        <v/>
      </c>
      <c r="O140" s="3" t="str">
        <f>IF(11&gt;$C140,"",IF($D140=1,EOMONTH(EDATE(Bonds!$H140,6*(11-1)),0),EDATE(Bonds!$H140,6*(11-1))))</f>
        <v/>
      </c>
      <c r="P140" s="3" t="str">
        <f>IF(12&gt;$C140,"",IF($D140=1,EOMONTH(EDATE(Bonds!$H140,6*(12-1)),0),EDATE(Bonds!$H140,6*(12-1))))</f>
        <v/>
      </c>
      <c r="Q140" s="3" t="str">
        <f>IF(13&gt;$C140,"",IF($D140=1,EOMONTH(EDATE(Bonds!$H140,6*(13-1)),0),EDATE(Bonds!$H140,6*(13-1))))</f>
        <v/>
      </c>
      <c r="R140" s="3" t="str">
        <f>IF(14&gt;$C140,"",IF($D140=1,EOMONTH(EDATE(Bonds!$H140,6*(14-1)),0),EDATE(Bonds!$H140,6*(14-1))))</f>
        <v/>
      </c>
      <c r="S140" s="3" t="str">
        <f>IF(15&gt;$C140,"",IF($D140=1,EOMONTH(EDATE(Bonds!$H140,6*(15-1)),0),EDATE(Bonds!$H140,6*(15-1))))</f>
        <v/>
      </c>
      <c r="T140" s="3" t="str">
        <f>IF(16&gt;$C140,"",IF($D140=1,EOMONTH(EDATE(Bonds!$H140,6*(16-1)),0),EDATE(Bonds!$H140,6*(16-1))))</f>
        <v/>
      </c>
      <c r="U140" s="3" t="str">
        <f>IF(17&gt;$C140,"",IF($D140=1,EOMONTH(EDATE(Bonds!$H140,6*(17-1)),0),EDATE(Bonds!$H140,6*(17-1))))</f>
        <v/>
      </c>
      <c r="V140" s="3" t="str">
        <f>IF(18&gt;$C140,"",IF($D140=1,EOMONTH(EDATE(Bonds!$H140,6*(18-1)),0),EDATE(Bonds!$H140,6*(18-1))))</f>
        <v/>
      </c>
      <c r="W140" s="3" t="str">
        <f>IF(19&gt;$C140,"",IF($D140=1,EOMONTH(EDATE(Bonds!$H140,6*(19-1)),0),EDATE(Bonds!$H140,6*(19-1))))</f>
        <v/>
      </c>
      <c r="X140" s="3" t="str">
        <f>IF(20&gt;$C140,"",IF($D140=1,EOMONTH(EDATE(Bonds!$H140,6*(20-1)),0),EDATE(Bonds!$H140,6*(20-1))))</f>
        <v/>
      </c>
      <c r="Y140" s="3" t="str">
        <f>IF(21&gt;$C140,"",IF($D140=1,EOMONTH(EDATE(Bonds!$H140,6*(21-1)),0),EDATE(Bonds!$H140,6*(21-1))))</f>
        <v/>
      </c>
      <c r="Z140" s="3" t="str">
        <f>IF(22&gt;$C140,"",IF($D140=1,EOMONTH(EDATE(Bonds!$H140,6*(22-1)),0),EDATE(Bonds!$H140,6*(22-1))))</f>
        <v/>
      </c>
      <c r="AA140" s="3" t="str">
        <f>IF(23&gt;$C140,"",IF($D140=1,EOMONTH(EDATE(Bonds!$H140,6*(23-1)),0),EDATE(Bonds!$H140,6*(23-1))))</f>
        <v/>
      </c>
      <c r="AB140" s="3" t="str">
        <f>IF(24&gt;$C140,"",IF($D140=1,EOMONTH(EDATE(Bonds!$H140,6*(24-1)),0),EDATE(Bonds!$H140,6*(24-1))))</f>
        <v/>
      </c>
      <c r="AC140" s="3" t="str">
        <f>IF(25&gt;$C140,"",IF($D140=1,EOMONTH(EDATE(Bonds!$H140,6*(25-1)),0),EDATE(Bonds!$H140,6*(25-1))))</f>
        <v/>
      </c>
      <c r="AD140" s="3" t="str">
        <f>IF(26&gt;$C140,"",IF($D140=1,EOMONTH(EDATE(Bonds!$H140,6*(26-1)),0),EDATE(Bonds!$H140,6*(26-1))))</f>
        <v/>
      </c>
      <c r="AE140" s="3" t="str">
        <f>IF(27&gt;$C140,"",IF($D140=1,EOMONTH(EDATE(Bonds!$H140,6*(27-1)),0),EDATE(Bonds!$H140,6*(27-1))))</f>
        <v/>
      </c>
      <c r="AF140" s="3" t="str">
        <f>IF(28&gt;$C140,"",IF($D140=1,EOMONTH(EDATE(Bonds!$H140,6*(28-1)),0),EDATE(Bonds!$H140,6*(28-1))))</f>
        <v/>
      </c>
      <c r="AG140" s="3" t="str">
        <f>IF(29&gt;$C140,"",IF($D140=1,EOMONTH(EDATE(Bonds!$H140,6*(29-1)),0),EDATE(Bonds!$H140,6*(29-1))))</f>
        <v/>
      </c>
      <c r="AH140" s="3" t="str">
        <f>IF(30&gt;$C140,"",IF($D140=1,EOMONTH(EDATE(Bonds!$H140,6*(30-1)),0),EDATE(Bonds!$H140,6*(30-1))))</f>
        <v/>
      </c>
      <c r="AI140" s="3" t="str">
        <f>IF(31&gt;$C140,"",IF($D140=1,EOMONTH(EDATE(Bonds!$H140,6*(31-1)),0),EDATE(Bonds!$H140,6*(31-1))))</f>
        <v/>
      </c>
      <c r="AJ140" s="3" t="str">
        <f>IF(32&gt;$C140,"",IF($D140=1,EOMONTH(EDATE(Bonds!$H140,6*(32-1)),0),EDATE(Bonds!$H140,6*(32-1))))</f>
        <v/>
      </c>
      <c r="AK140" s="3" t="str">
        <f>IF(33&gt;$C140,"",IF($D140=1,EOMONTH(EDATE(Bonds!$H140,6*(33-1)),0),EDATE(Bonds!$H140,6*(33-1))))</f>
        <v/>
      </c>
      <c r="AL140" s="3" t="str">
        <f>IF(34&gt;$C140,"",IF($D140=1,EOMONTH(EDATE(Bonds!$H140,6*(34-1)),0),EDATE(Bonds!$H140,6*(34-1))))</f>
        <v/>
      </c>
      <c r="AM140" s="3" t="str">
        <f>IF(35&gt;$C140,"",IF($D140=1,EOMONTH(EDATE(Bonds!$H140,6*(35-1)),0),EDATE(Bonds!$H140,6*(35-1))))</f>
        <v/>
      </c>
      <c r="AN140" s="3" t="str">
        <f>IF(36&gt;$C140,"",IF($D140=1,EOMONTH(EDATE(Bonds!$H140,6*(36-1)),0),EDATE(Bonds!$H140,6*(36-1))))</f>
        <v/>
      </c>
      <c r="AO140" s="3" t="str">
        <f>IF(37&gt;$C140,"",IF($D140=1,EOMONTH(EDATE(Bonds!$H140,6*(37-1)),0),EDATE(Bonds!$H140,6*(37-1))))</f>
        <v/>
      </c>
      <c r="AP140" s="3" t="str">
        <f>IF(38&gt;$C140,"",IF($D140=1,EOMONTH(EDATE(Bonds!$H140,6*(38-1)),0),EDATE(Bonds!$H140,6*(38-1))))</f>
        <v/>
      </c>
      <c r="AQ140" s="3" t="str">
        <f>IF(39&gt;$C140,"",IF($D140=1,EOMONTH(EDATE(Bonds!$H140,6*(39-1)),0),EDATE(Bonds!$H140,6*(39-1))))</f>
        <v/>
      </c>
      <c r="AR140" s="3" t="str">
        <f>IF(40&gt;$C140,"",IF($D140=1,EOMONTH(EDATE(Bonds!$H140,6*(40-1)),0),EDATE(Bonds!$H140,6*(40-1))))</f>
        <v/>
      </c>
      <c r="AS140" s="3" t="str">
        <f>IF(41&gt;$C140,"",IF($D140=1,EOMONTH(EDATE(Bonds!$H140,6*(41-1)),0),EDATE(Bonds!$H140,6*(41-1))))</f>
        <v/>
      </c>
      <c r="AT140" s="3" t="str">
        <f>IF(42&gt;$C140,"",IF($D140=1,EOMONTH(EDATE(Bonds!$H140,6*(42-1)),0),EDATE(Bonds!$H140,6*(42-1))))</f>
        <v/>
      </c>
      <c r="AU140" s="3" t="str">
        <f>IF(43&gt;$C140,"",IF($D140=1,EOMONTH(EDATE(Bonds!$H140,6*(43-1)),0),EDATE(Bonds!$H140,6*(43-1))))</f>
        <v/>
      </c>
      <c r="AV140" s="3" t="str">
        <f>IF(44&gt;$C140,"",IF($D140=1,EOMONTH(EDATE(Bonds!$H140,6*(44-1)),0),EDATE(Bonds!$H140,6*(44-1))))</f>
        <v/>
      </c>
      <c r="AW140" s="3" t="str">
        <f>IF(45&gt;$C140,"",IF($D140=1,EOMONTH(EDATE(Bonds!$H140,6*(45-1)),0),EDATE(Bonds!$H140,6*(45-1))))</f>
        <v/>
      </c>
      <c r="AX140" s="3" t="str">
        <f>IF(46&gt;$C140,"",IF($D140=1,EOMONTH(EDATE(Bonds!$H140,6*(46-1)),0),EDATE(Bonds!$H140,6*(46-1))))</f>
        <v/>
      </c>
      <c r="AY140" s="3" t="str">
        <f>IF(47&gt;$C140,"",IF($D140=1,EOMONTH(EDATE(Bonds!$H140,6*(47-1)),0),EDATE(Bonds!$H140,6*(47-1))))</f>
        <v/>
      </c>
      <c r="AZ140" s="3" t="str">
        <f>IF(48&gt;$C140,"",IF($D140=1,EOMONTH(EDATE(Bonds!$H140,6*(48-1)),0),EDATE(Bonds!$H140,6*(48-1))))</f>
        <v/>
      </c>
      <c r="BA140" s="3" t="str">
        <f>IF(49&gt;$C140,"",IF($D140=1,EOMONTH(EDATE(Bonds!$H140,6*(49-1)),0),EDATE(Bonds!$H140,6*(49-1))))</f>
        <v/>
      </c>
      <c r="BB140" s="3" t="str">
        <f>IF(50&gt;$C140,"",IF($D140=1,EOMONTH(EDATE(Bonds!$H140,6*(50-1)),0),EDATE(Bonds!$H140,6*(50-1))))</f>
        <v/>
      </c>
      <c r="BC140" s="3" t="str">
        <f>IF(51&gt;$C140,"",IF($D140=1,EOMONTH(EDATE(Bonds!$H140,6*(51-1)),0),EDATE(Bonds!$H140,6*(51-1))))</f>
        <v/>
      </c>
      <c r="BD140" s="3" t="str">
        <f>IF(52&gt;$C140,"",IF($D140=1,EOMONTH(EDATE(Bonds!$H140,6*(52-1)),0),EDATE(Bonds!$H140,6*(52-1))))</f>
        <v/>
      </c>
      <c r="BE140" s="3" t="str">
        <f>IF(53&gt;$C140,"",IF($D140=1,EOMONTH(EDATE(Bonds!$H140,6*(53-1)),0),EDATE(Bonds!$H140,6*(53-1))))</f>
        <v/>
      </c>
      <c r="BF140" s="3" t="str">
        <f>IF(54&gt;$C140,"",IF($D140=1,EOMONTH(EDATE(Bonds!$H140,6*(54-1)),0),EDATE(Bonds!$H140,6*(54-1))))</f>
        <v/>
      </c>
      <c r="BG140" s="3" t="str">
        <f>IF(55&gt;$C140,"",IF($D140=1,EOMONTH(EDATE(Bonds!$H140,6*(55-1)),0),EDATE(Bonds!$H140,6*(55-1))))</f>
        <v/>
      </c>
      <c r="BH140" s="3" t="str">
        <f>IF(56&gt;$C140,"",IF($D140=1,EOMONTH(EDATE(Bonds!$H140,6*(56-1)),0),EDATE(Bonds!$H140,6*(56-1))))</f>
        <v/>
      </c>
      <c r="BI140" s="3" t="str">
        <f>IF(57&gt;$C140,"",IF($D140=1,EOMONTH(EDATE(Bonds!$H140,6*(57-1)),0),EDATE(Bonds!$H140,6*(57-1))))</f>
        <v/>
      </c>
      <c r="BJ140" s="3" t="str">
        <f>IF(58&gt;$C140,"",IF($D140=1,EOMONTH(EDATE(Bonds!$H140,6*(58-1)),0),EDATE(Bonds!$H140,6*(58-1))))</f>
        <v/>
      </c>
      <c r="BK140" s="3" t="str">
        <f>IF(59&gt;$C140,"",IF($D140=1,EOMONTH(EDATE(Bonds!$H140,6*(59-1)),0),EDATE(Bonds!$H140,6*(59-1))))</f>
        <v/>
      </c>
      <c r="BL140" s="3" t="str">
        <f>IF(60&gt;$C140,"",IF($D140=1,EOMONTH(EDATE(Bonds!$H140,6*(60-1)),0),EDATE(Bonds!$H140,6*(60-1))))</f>
        <v/>
      </c>
      <c r="BN140" s="7">
        <f t="shared" si="123"/>
        <v>1.9302459730968637</v>
      </c>
      <c r="BO140" s="7">
        <f t="shared" si="124"/>
        <v>1.8917745585532051</v>
      </c>
      <c r="BP140" s="7">
        <f t="shared" si="125"/>
        <v>1.8506608026350995</v>
      </c>
      <c r="BQ140" s="7">
        <f t="shared" si="126"/>
        <v>1.8090499774448219</v>
      </c>
      <c r="BR140" s="7">
        <f t="shared" si="127"/>
        <v>1.7679294995978425</v>
      </c>
      <c r="BS140" s="7">
        <f t="shared" si="128"/>
        <v>90.911496729711203</v>
      </c>
      <c r="BT140" s="7">
        <f t="shared" si="129"/>
        <v>0</v>
      </c>
      <c r="BU140" s="7">
        <f t="shared" si="130"/>
        <v>0</v>
      </c>
      <c r="BV140" s="7">
        <f t="shared" si="131"/>
        <v>0</v>
      </c>
      <c r="BW140" s="7">
        <f t="shared" si="132"/>
        <v>0</v>
      </c>
      <c r="BX140" s="7">
        <f t="shared" si="133"/>
        <v>0</v>
      </c>
      <c r="BY140" s="7">
        <f t="shared" si="134"/>
        <v>0</v>
      </c>
      <c r="BZ140" s="7">
        <f t="shared" si="135"/>
        <v>0</v>
      </c>
      <c r="CA140" s="7">
        <f t="shared" si="136"/>
        <v>0</v>
      </c>
      <c r="CB140" s="7">
        <f t="shared" si="137"/>
        <v>0</v>
      </c>
      <c r="CC140" s="7">
        <f t="shared" si="138"/>
        <v>0</v>
      </c>
      <c r="CD140" s="7">
        <f t="shared" si="139"/>
        <v>0</v>
      </c>
      <c r="CE140" s="7">
        <f t="shared" si="140"/>
        <v>0</v>
      </c>
      <c r="CF140" s="7">
        <f t="shared" si="141"/>
        <v>0</v>
      </c>
      <c r="CG140" s="7">
        <f t="shared" si="142"/>
        <v>0</v>
      </c>
      <c r="CH140" s="7">
        <f t="shared" si="143"/>
        <v>0</v>
      </c>
      <c r="CI140" s="7">
        <f t="shared" si="144"/>
        <v>0</v>
      </c>
      <c r="CJ140" s="7">
        <f t="shared" si="145"/>
        <v>0</v>
      </c>
      <c r="CK140" s="7">
        <f t="shared" si="146"/>
        <v>0</v>
      </c>
      <c r="CL140" s="7">
        <f t="shared" si="147"/>
        <v>0</v>
      </c>
      <c r="CM140" s="7">
        <f t="shared" si="148"/>
        <v>0</v>
      </c>
      <c r="CN140" s="7">
        <f t="shared" si="149"/>
        <v>0</v>
      </c>
      <c r="CO140" s="7">
        <f t="shared" si="150"/>
        <v>0</v>
      </c>
      <c r="CP140" s="7">
        <f t="shared" si="151"/>
        <v>0</v>
      </c>
      <c r="CQ140" s="7">
        <f t="shared" si="152"/>
        <v>0</v>
      </c>
      <c r="CR140" s="7">
        <f t="shared" si="153"/>
        <v>0</v>
      </c>
      <c r="CS140" s="7">
        <f t="shared" si="154"/>
        <v>0</v>
      </c>
      <c r="CT140" s="7">
        <f t="shared" si="155"/>
        <v>0</v>
      </c>
      <c r="CU140" s="7">
        <f t="shared" si="156"/>
        <v>0</v>
      </c>
      <c r="CV140" s="7">
        <f t="shared" si="157"/>
        <v>0</v>
      </c>
      <c r="CW140" s="7">
        <f t="shared" si="158"/>
        <v>0</v>
      </c>
      <c r="CX140" s="7">
        <f t="shared" si="159"/>
        <v>0</v>
      </c>
      <c r="CY140" s="7">
        <f t="shared" si="160"/>
        <v>0</v>
      </c>
      <c r="CZ140" s="7">
        <f t="shared" si="161"/>
        <v>0</v>
      </c>
      <c r="DA140" s="7">
        <f t="shared" si="162"/>
        <v>0</v>
      </c>
      <c r="DB140" s="7">
        <f t="shared" si="163"/>
        <v>0</v>
      </c>
      <c r="DC140" s="7">
        <f t="shared" si="164"/>
        <v>0</v>
      </c>
      <c r="DD140" s="7">
        <f t="shared" si="165"/>
        <v>0</v>
      </c>
      <c r="DE140" s="7">
        <f t="shared" si="166"/>
        <v>0</v>
      </c>
      <c r="DF140" s="7">
        <f t="shared" si="167"/>
        <v>0</v>
      </c>
      <c r="DG140" s="7">
        <f t="shared" si="168"/>
        <v>0</v>
      </c>
      <c r="DH140" s="7">
        <f t="shared" si="169"/>
        <v>0</v>
      </c>
      <c r="DI140" s="7">
        <f t="shared" si="170"/>
        <v>0</v>
      </c>
      <c r="DJ140" s="7">
        <f t="shared" si="171"/>
        <v>0</v>
      </c>
      <c r="DK140" s="7">
        <f t="shared" si="172"/>
        <v>0</v>
      </c>
      <c r="DL140" s="7">
        <f t="shared" si="173"/>
        <v>0</v>
      </c>
      <c r="DM140" s="7">
        <f t="shared" si="174"/>
        <v>0</v>
      </c>
      <c r="DN140" s="7">
        <f t="shared" si="175"/>
        <v>0</v>
      </c>
      <c r="DO140" s="7">
        <f t="shared" si="176"/>
        <v>0</v>
      </c>
      <c r="DP140" s="7">
        <f t="shared" si="177"/>
        <v>0</v>
      </c>
      <c r="DQ140" s="7">
        <f t="shared" si="178"/>
        <v>0</v>
      </c>
      <c r="DR140" s="7">
        <f t="shared" si="179"/>
        <v>0</v>
      </c>
      <c r="DS140" s="7">
        <f t="shared" si="180"/>
        <v>0</v>
      </c>
      <c r="DT140" s="7">
        <f t="shared" si="181"/>
        <v>0</v>
      </c>
      <c r="DU140" s="7">
        <f t="shared" si="182"/>
        <v>0</v>
      </c>
    </row>
    <row r="141" spans="1:125" x14ac:dyDescent="0.2">
      <c r="A141" s="3">
        <f>Bonds!A141</f>
        <v>47238</v>
      </c>
      <c r="B141" s="4">
        <f>Bonds!B141</f>
        <v>2.875</v>
      </c>
      <c r="C141">
        <f>Bonds!P141</f>
        <v>6</v>
      </c>
      <c r="D141">
        <f t="shared" si="122"/>
        <v>1</v>
      </c>
      <c r="E141" s="3">
        <f>IF(1&gt;$C141,"",IF($D141=1,EOMONTH(EDATE(Bonds!$H141,6*(1-1)),0),EDATE(Bonds!$H141,6*(1-1))))</f>
        <v>46326</v>
      </c>
      <c r="F141" s="3">
        <f>IF(2&gt;$C141,"",IF($D141=1,EOMONTH(EDATE(Bonds!$H141,6*(2-1)),0),EDATE(Bonds!$H141,6*(2-1))))</f>
        <v>46507</v>
      </c>
      <c r="G141" s="3">
        <f>IF(3&gt;$C141,"",IF($D141=1,EOMONTH(EDATE(Bonds!$H141,6*(3-1)),0),EDATE(Bonds!$H141,6*(3-1))))</f>
        <v>46691</v>
      </c>
      <c r="H141" s="3">
        <f>IF(4&gt;$C141,"",IF($D141=1,EOMONTH(EDATE(Bonds!$H141,6*(4-1)),0),EDATE(Bonds!$H141,6*(4-1))))</f>
        <v>46873</v>
      </c>
      <c r="I141" s="3">
        <f>IF(5&gt;$C141,"",IF($D141=1,EOMONTH(EDATE(Bonds!$H141,6*(5-1)),0),EDATE(Bonds!$H141,6*(5-1))))</f>
        <v>47057</v>
      </c>
      <c r="J141" s="3">
        <f>IF(6&gt;$C141,"",IF($D141=1,EOMONTH(EDATE(Bonds!$H141,6*(6-1)),0),EDATE(Bonds!$H141,6*(6-1))))</f>
        <v>47238</v>
      </c>
      <c r="K141" s="3" t="str">
        <f>IF(7&gt;$C141,"",IF($D141=1,EOMONTH(EDATE(Bonds!$H141,6*(7-1)),0),EDATE(Bonds!$H141,6*(7-1))))</f>
        <v/>
      </c>
      <c r="L141" s="3" t="str">
        <f>IF(8&gt;$C141,"",IF($D141=1,EOMONTH(EDATE(Bonds!$H141,6*(8-1)),0),EDATE(Bonds!$H141,6*(8-1))))</f>
        <v/>
      </c>
      <c r="M141" s="3" t="str">
        <f>IF(9&gt;$C141,"",IF($D141=1,EOMONTH(EDATE(Bonds!$H141,6*(9-1)),0),EDATE(Bonds!$H141,6*(9-1))))</f>
        <v/>
      </c>
      <c r="N141" s="3" t="str">
        <f>IF(10&gt;$C141,"",IF($D141=1,EOMONTH(EDATE(Bonds!$H141,6*(10-1)),0),EDATE(Bonds!$H141,6*(10-1))))</f>
        <v/>
      </c>
      <c r="O141" s="3" t="str">
        <f>IF(11&gt;$C141,"",IF($D141=1,EOMONTH(EDATE(Bonds!$H141,6*(11-1)),0),EDATE(Bonds!$H141,6*(11-1))))</f>
        <v/>
      </c>
      <c r="P141" s="3" t="str">
        <f>IF(12&gt;$C141,"",IF($D141=1,EOMONTH(EDATE(Bonds!$H141,6*(12-1)),0),EDATE(Bonds!$H141,6*(12-1))))</f>
        <v/>
      </c>
      <c r="Q141" s="3" t="str">
        <f>IF(13&gt;$C141,"",IF($D141=1,EOMONTH(EDATE(Bonds!$H141,6*(13-1)),0),EDATE(Bonds!$H141,6*(13-1))))</f>
        <v/>
      </c>
      <c r="R141" s="3" t="str">
        <f>IF(14&gt;$C141,"",IF($D141=1,EOMONTH(EDATE(Bonds!$H141,6*(14-1)),0),EDATE(Bonds!$H141,6*(14-1))))</f>
        <v/>
      </c>
      <c r="S141" s="3" t="str">
        <f>IF(15&gt;$C141,"",IF($D141=1,EOMONTH(EDATE(Bonds!$H141,6*(15-1)),0),EDATE(Bonds!$H141,6*(15-1))))</f>
        <v/>
      </c>
      <c r="T141" s="3" t="str">
        <f>IF(16&gt;$C141,"",IF($D141=1,EOMONTH(EDATE(Bonds!$H141,6*(16-1)),0),EDATE(Bonds!$H141,6*(16-1))))</f>
        <v/>
      </c>
      <c r="U141" s="3" t="str">
        <f>IF(17&gt;$C141,"",IF($D141=1,EOMONTH(EDATE(Bonds!$H141,6*(17-1)),0),EDATE(Bonds!$H141,6*(17-1))))</f>
        <v/>
      </c>
      <c r="V141" s="3" t="str">
        <f>IF(18&gt;$C141,"",IF($D141=1,EOMONTH(EDATE(Bonds!$H141,6*(18-1)),0),EDATE(Bonds!$H141,6*(18-1))))</f>
        <v/>
      </c>
      <c r="W141" s="3" t="str">
        <f>IF(19&gt;$C141,"",IF($D141=1,EOMONTH(EDATE(Bonds!$H141,6*(19-1)),0),EDATE(Bonds!$H141,6*(19-1))))</f>
        <v/>
      </c>
      <c r="X141" s="3" t="str">
        <f>IF(20&gt;$C141,"",IF($D141=1,EOMONTH(EDATE(Bonds!$H141,6*(20-1)),0),EDATE(Bonds!$H141,6*(20-1))))</f>
        <v/>
      </c>
      <c r="Y141" s="3" t="str">
        <f>IF(21&gt;$C141,"",IF($D141=1,EOMONTH(EDATE(Bonds!$H141,6*(21-1)),0),EDATE(Bonds!$H141,6*(21-1))))</f>
        <v/>
      </c>
      <c r="Z141" s="3" t="str">
        <f>IF(22&gt;$C141,"",IF($D141=1,EOMONTH(EDATE(Bonds!$H141,6*(22-1)),0),EDATE(Bonds!$H141,6*(22-1))))</f>
        <v/>
      </c>
      <c r="AA141" s="3" t="str">
        <f>IF(23&gt;$C141,"",IF($D141=1,EOMONTH(EDATE(Bonds!$H141,6*(23-1)),0),EDATE(Bonds!$H141,6*(23-1))))</f>
        <v/>
      </c>
      <c r="AB141" s="3" t="str">
        <f>IF(24&gt;$C141,"",IF($D141=1,EOMONTH(EDATE(Bonds!$H141,6*(24-1)),0),EDATE(Bonds!$H141,6*(24-1))))</f>
        <v/>
      </c>
      <c r="AC141" s="3" t="str">
        <f>IF(25&gt;$C141,"",IF($D141=1,EOMONTH(EDATE(Bonds!$H141,6*(25-1)),0),EDATE(Bonds!$H141,6*(25-1))))</f>
        <v/>
      </c>
      <c r="AD141" s="3" t="str">
        <f>IF(26&gt;$C141,"",IF($D141=1,EOMONTH(EDATE(Bonds!$H141,6*(26-1)),0),EDATE(Bonds!$H141,6*(26-1))))</f>
        <v/>
      </c>
      <c r="AE141" s="3" t="str">
        <f>IF(27&gt;$C141,"",IF($D141=1,EOMONTH(EDATE(Bonds!$H141,6*(27-1)),0),EDATE(Bonds!$H141,6*(27-1))))</f>
        <v/>
      </c>
      <c r="AF141" s="3" t="str">
        <f>IF(28&gt;$C141,"",IF($D141=1,EOMONTH(EDATE(Bonds!$H141,6*(28-1)),0),EDATE(Bonds!$H141,6*(28-1))))</f>
        <v/>
      </c>
      <c r="AG141" s="3" t="str">
        <f>IF(29&gt;$C141,"",IF($D141=1,EOMONTH(EDATE(Bonds!$H141,6*(29-1)),0),EDATE(Bonds!$H141,6*(29-1))))</f>
        <v/>
      </c>
      <c r="AH141" s="3" t="str">
        <f>IF(30&gt;$C141,"",IF($D141=1,EOMONTH(EDATE(Bonds!$H141,6*(30-1)),0),EDATE(Bonds!$H141,6*(30-1))))</f>
        <v/>
      </c>
      <c r="AI141" s="3" t="str">
        <f>IF(31&gt;$C141,"",IF($D141=1,EOMONTH(EDATE(Bonds!$H141,6*(31-1)),0),EDATE(Bonds!$H141,6*(31-1))))</f>
        <v/>
      </c>
      <c r="AJ141" s="3" t="str">
        <f>IF(32&gt;$C141,"",IF($D141=1,EOMONTH(EDATE(Bonds!$H141,6*(32-1)),0),EDATE(Bonds!$H141,6*(32-1))))</f>
        <v/>
      </c>
      <c r="AK141" s="3" t="str">
        <f>IF(33&gt;$C141,"",IF($D141=1,EOMONTH(EDATE(Bonds!$H141,6*(33-1)),0),EDATE(Bonds!$H141,6*(33-1))))</f>
        <v/>
      </c>
      <c r="AL141" s="3" t="str">
        <f>IF(34&gt;$C141,"",IF($D141=1,EOMONTH(EDATE(Bonds!$H141,6*(34-1)),0),EDATE(Bonds!$H141,6*(34-1))))</f>
        <v/>
      </c>
      <c r="AM141" s="3" t="str">
        <f>IF(35&gt;$C141,"",IF($D141=1,EOMONTH(EDATE(Bonds!$H141,6*(35-1)),0),EDATE(Bonds!$H141,6*(35-1))))</f>
        <v/>
      </c>
      <c r="AN141" s="3" t="str">
        <f>IF(36&gt;$C141,"",IF($D141=1,EOMONTH(EDATE(Bonds!$H141,6*(36-1)),0),EDATE(Bonds!$H141,6*(36-1))))</f>
        <v/>
      </c>
      <c r="AO141" s="3" t="str">
        <f>IF(37&gt;$C141,"",IF($D141=1,EOMONTH(EDATE(Bonds!$H141,6*(37-1)),0),EDATE(Bonds!$H141,6*(37-1))))</f>
        <v/>
      </c>
      <c r="AP141" s="3" t="str">
        <f>IF(38&gt;$C141,"",IF($D141=1,EOMONTH(EDATE(Bonds!$H141,6*(38-1)),0),EDATE(Bonds!$H141,6*(38-1))))</f>
        <v/>
      </c>
      <c r="AQ141" s="3" t="str">
        <f>IF(39&gt;$C141,"",IF($D141=1,EOMONTH(EDATE(Bonds!$H141,6*(39-1)),0),EDATE(Bonds!$H141,6*(39-1))))</f>
        <v/>
      </c>
      <c r="AR141" s="3" t="str">
        <f>IF(40&gt;$C141,"",IF($D141=1,EOMONTH(EDATE(Bonds!$H141,6*(40-1)),0),EDATE(Bonds!$H141,6*(40-1))))</f>
        <v/>
      </c>
      <c r="AS141" s="3" t="str">
        <f>IF(41&gt;$C141,"",IF($D141=1,EOMONTH(EDATE(Bonds!$H141,6*(41-1)),0),EDATE(Bonds!$H141,6*(41-1))))</f>
        <v/>
      </c>
      <c r="AT141" s="3" t="str">
        <f>IF(42&gt;$C141,"",IF($D141=1,EOMONTH(EDATE(Bonds!$H141,6*(42-1)),0),EDATE(Bonds!$H141,6*(42-1))))</f>
        <v/>
      </c>
      <c r="AU141" s="3" t="str">
        <f>IF(43&gt;$C141,"",IF($D141=1,EOMONTH(EDATE(Bonds!$H141,6*(43-1)),0),EDATE(Bonds!$H141,6*(43-1))))</f>
        <v/>
      </c>
      <c r="AV141" s="3" t="str">
        <f>IF(44&gt;$C141,"",IF($D141=1,EOMONTH(EDATE(Bonds!$H141,6*(44-1)),0),EDATE(Bonds!$H141,6*(44-1))))</f>
        <v/>
      </c>
      <c r="AW141" s="3" t="str">
        <f>IF(45&gt;$C141,"",IF($D141=1,EOMONTH(EDATE(Bonds!$H141,6*(45-1)),0),EDATE(Bonds!$H141,6*(45-1))))</f>
        <v/>
      </c>
      <c r="AX141" s="3" t="str">
        <f>IF(46&gt;$C141,"",IF($D141=1,EOMONTH(EDATE(Bonds!$H141,6*(46-1)),0),EDATE(Bonds!$H141,6*(46-1))))</f>
        <v/>
      </c>
      <c r="AY141" s="3" t="str">
        <f>IF(47&gt;$C141,"",IF($D141=1,EOMONTH(EDATE(Bonds!$H141,6*(47-1)),0),EDATE(Bonds!$H141,6*(47-1))))</f>
        <v/>
      </c>
      <c r="AZ141" s="3" t="str">
        <f>IF(48&gt;$C141,"",IF($D141=1,EOMONTH(EDATE(Bonds!$H141,6*(48-1)),0),EDATE(Bonds!$H141,6*(48-1))))</f>
        <v/>
      </c>
      <c r="BA141" s="3" t="str">
        <f>IF(49&gt;$C141,"",IF($D141=1,EOMONTH(EDATE(Bonds!$H141,6*(49-1)),0),EDATE(Bonds!$H141,6*(49-1))))</f>
        <v/>
      </c>
      <c r="BB141" s="3" t="str">
        <f>IF(50&gt;$C141,"",IF($D141=1,EOMONTH(EDATE(Bonds!$H141,6*(50-1)),0),EDATE(Bonds!$H141,6*(50-1))))</f>
        <v/>
      </c>
      <c r="BC141" s="3" t="str">
        <f>IF(51&gt;$C141,"",IF($D141=1,EOMONTH(EDATE(Bonds!$H141,6*(51-1)),0),EDATE(Bonds!$H141,6*(51-1))))</f>
        <v/>
      </c>
      <c r="BD141" s="3" t="str">
        <f>IF(52&gt;$C141,"",IF($D141=1,EOMONTH(EDATE(Bonds!$H141,6*(52-1)),0),EDATE(Bonds!$H141,6*(52-1))))</f>
        <v/>
      </c>
      <c r="BE141" s="3" t="str">
        <f>IF(53&gt;$C141,"",IF($D141=1,EOMONTH(EDATE(Bonds!$H141,6*(53-1)),0),EDATE(Bonds!$H141,6*(53-1))))</f>
        <v/>
      </c>
      <c r="BF141" s="3" t="str">
        <f>IF(54&gt;$C141,"",IF($D141=1,EOMONTH(EDATE(Bonds!$H141,6*(54-1)),0),EDATE(Bonds!$H141,6*(54-1))))</f>
        <v/>
      </c>
      <c r="BG141" s="3" t="str">
        <f>IF(55&gt;$C141,"",IF($D141=1,EOMONTH(EDATE(Bonds!$H141,6*(55-1)),0),EDATE(Bonds!$H141,6*(55-1))))</f>
        <v/>
      </c>
      <c r="BH141" s="3" t="str">
        <f>IF(56&gt;$C141,"",IF($D141=1,EOMONTH(EDATE(Bonds!$H141,6*(56-1)),0),EDATE(Bonds!$H141,6*(56-1))))</f>
        <v/>
      </c>
      <c r="BI141" s="3" t="str">
        <f>IF(57&gt;$C141,"",IF($D141=1,EOMONTH(EDATE(Bonds!$H141,6*(57-1)),0),EDATE(Bonds!$H141,6*(57-1))))</f>
        <v/>
      </c>
      <c r="BJ141" s="3" t="str">
        <f>IF(58&gt;$C141,"",IF($D141=1,EOMONTH(EDATE(Bonds!$H141,6*(58-1)),0),EDATE(Bonds!$H141,6*(58-1))))</f>
        <v/>
      </c>
      <c r="BK141" s="3" t="str">
        <f>IF(59&gt;$C141,"",IF($D141=1,EOMONTH(EDATE(Bonds!$H141,6*(59-1)),0),EDATE(Bonds!$H141,6*(59-1))))</f>
        <v/>
      </c>
      <c r="BL141" s="3" t="str">
        <f>IF(60&gt;$C141,"",IF($D141=1,EOMONTH(EDATE(Bonds!$H141,6*(60-1)),0),EDATE(Bonds!$H141,6*(60-1))))</f>
        <v/>
      </c>
      <c r="BN141" s="7">
        <f t="shared" si="123"/>
        <v>1.4297354154295985</v>
      </c>
      <c r="BO141" s="7">
        <f t="shared" si="124"/>
        <v>1.4011169423663825</v>
      </c>
      <c r="BP141" s="7">
        <f t="shared" si="125"/>
        <v>1.3703718766173953</v>
      </c>
      <c r="BQ141" s="7">
        <f t="shared" si="126"/>
        <v>1.3396776397779837</v>
      </c>
      <c r="BR141" s="7">
        <f t="shared" si="127"/>
        <v>1.3090518988116278</v>
      </c>
      <c r="BS141" s="7">
        <f t="shared" si="128"/>
        <v>90.295308330967401</v>
      </c>
      <c r="BT141" s="7">
        <f t="shared" si="129"/>
        <v>0</v>
      </c>
      <c r="BU141" s="7">
        <f t="shared" si="130"/>
        <v>0</v>
      </c>
      <c r="BV141" s="7">
        <f t="shared" si="131"/>
        <v>0</v>
      </c>
      <c r="BW141" s="7">
        <f t="shared" si="132"/>
        <v>0</v>
      </c>
      <c r="BX141" s="7">
        <f t="shared" si="133"/>
        <v>0</v>
      </c>
      <c r="BY141" s="7">
        <f t="shared" si="134"/>
        <v>0</v>
      </c>
      <c r="BZ141" s="7">
        <f t="shared" si="135"/>
        <v>0</v>
      </c>
      <c r="CA141" s="7">
        <f t="shared" si="136"/>
        <v>0</v>
      </c>
      <c r="CB141" s="7">
        <f t="shared" si="137"/>
        <v>0</v>
      </c>
      <c r="CC141" s="7">
        <f t="shared" si="138"/>
        <v>0</v>
      </c>
      <c r="CD141" s="7">
        <f t="shared" si="139"/>
        <v>0</v>
      </c>
      <c r="CE141" s="7">
        <f t="shared" si="140"/>
        <v>0</v>
      </c>
      <c r="CF141" s="7">
        <f t="shared" si="141"/>
        <v>0</v>
      </c>
      <c r="CG141" s="7">
        <f t="shared" si="142"/>
        <v>0</v>
      </c>
      <c r="CH141" s="7">
        <f t="shared" si="143"/>
        <v>0</v>
      </c>
      <c r="CI141" s="7">
        <f t="shared" si="144"/>
        <v>0</v>
      </c>
      <c r="CJ141" s="7">
        <f t="shared" si="145"/>
        <v>0</v>
      </c>
      <c r="CK141" s="7">
        <f t="shared" si="146"/>
        <v>0</v>
      </c>
      <c r="CL141" s="7">
        <f t="shared" si="147"/>
        <v>0</v>
      </c>
      <c r="CM141" s="7">
        <f t="shared" si="148"/>
        <v>0</v>
      </c>
      <c r="CN141" s="7">
        <f t="shared" si="149"/>
        <v>0</v>
      </c>
      <c r="CO141" s="7">
        <f t="shared" si="150"/>
        <v>0</v>
      </c>
      <c r="CP141" s="7">
        <f t="shared" si="151"/>
        <v>0</v>
      </c>
      <c r="CQ141" s="7">
        <f t="shared" si="152"/>
        <v>0</v>
      </c>
      <c r="CR141" s="7">
        <f t="shared" si="153"/>
        <v>0</v>
      </c>
      <c r="CS141" s="7">
        <f t="shared" si="154"/>
        <v>0</v>
      </c>
      <c r="CT141" s="7">
        <f t="shared" si="155"/>
        <v>0</v>
      </c>
      <c r="CU141" s="7">
        <f t="shared" si="156"/>
        <v>0</v>
      </c>
      <c r="CV141" s="7">
        <f t="shared" si="157"/>
        <v>0</v>
      </c>
      <c r="CW141" s="7">
        <f t="shared" si="158"/>
        <v>0</v>
      </c>
      <c r="CX141" s="7">
        <f t="shared" si="159"/>
        <v>0</v>
      </c>
      <c r="CY141" s="7">
        <f t="shared" si="160"/>
        <v>0</v>
      </c>
      <c r="CZ141" s="7">
        <f t="shared" si="161"/>
        <v>0</v>
      </c>
      <c r="DA141" s="7">
        <f t="shared" si="162"/>
        <v>0</v>
      </c>
      <c r="DB141" s="7">
        <f t="shared" si="163"/>
        <v>0</v>
      </c>
      <c r="DC141" s="7">
        <f t="shared" si="164"/>
        <v>0</v>
      </c>
      <c r="DD141" s="7">
        <f t="shared" si="165"/>
        <v>0</v>
      </c>
      <c r="DE141" s="7">
        <f t="shared" si="166"/>
        <v>0</v>
      </c>
      <c r="DF141" s="7">
        <f t="shared" si="167"/>
        <v>0</v>
      </c>
      <c r="DG141" s="7">
        <f t="shared" si="168"/>
        <v>0</v>
      </c>
      <c r="DH141" s="7">
        <f t="shared" si="169"/>
        <v>0</v>
      </c>
      <c r="DI141" s="7">
        <f t="shared" si="170"/>
        <v>0</v>
      </c>
      <c r="DJ141" s="7">
        <f t="shared" si="171"/>
        <v>0</v>
      </c>
      <c r="DK141" s="7">
        <f t="shared" si="172"/>
        <v>0</v>
      </c>
      <c r="DL141" s="7">
        <f t="shared" si="173"/>
        <v>0</v>
      </c>
      <c r="DM141" s="7">
        <f t="shared" si="174"/>
        <v>0</v>
      </c>
      <c r="DN141" s="7">
        <f t="shared" si="175"/>
        <v>0</v>
      </c>
      <c r="DO141" s="7">
        <f t="shared" si="176"/>
        <v>0</v>
      </c>
      <c r="DP141" s="7">
        <f t="shared" si="177"/>
        <v>0</v>
      </c>
      <c r="DQ141" s="7">
        <f t="shared" si="178"/>
        <v>0</v>
      </c>
      <c r="DR141" s="7">
        <f t="shared" si="179"/>
        <v>0</v>
      </c>
      <c r="DS141" s="7">
        <f t="shared" si="180"/>
        <v>0</v>
      </c>
      <c r="DT141" s="7">
        <f t="shared" si="181"/>
        <v>0</v>
      </c>
      <c r="DU141" s="7">
        <f t="shared" si="182"/>
        <v>0</v>
      </c>
    </row>
    <row r="142" spans="1:125" x14ac:dyDescent="0.2">
      <c r="A142" s="3">
        <f>Bonds!A142</f>
        <v>47238</v>
      </c>
      <c r="B142" s="4">
        <f>Bonds!B142</f>
        <v>4.625</v>
      </c>
      <c r="C142">
        <f>Bonds!P142</f>
        <v>6</v>
      </c>
      <c r="D142">
        <f t="shared" si="122"/>
        <v>1</v>
      </c>
      <c r="E142" s="3">
        <f>IF(1&gt;$C142,"",IF($D142=1,EOMONTH(EDATE(Bonds!$H142,6*(1-1)),0),EDATE(Bonds!$H142,6*(1-1))))</f>
        <v>46326</v>
      </c>
      <c r="F142" s="3">
        <f>IF(2&gt;$C142,"",IF($D142=1,EOMONTH(EDATE(Bonds!$H142,6*(2-1)),0),EDATE(Bonds!$H142,6*(2-1))))</f>
        <v>46507</v>
      </c>
      <c r="G142" s="3">
        <f>IF(3&gt;$C142,"",IF($D142=1,EOMONTH(EDATE(Bonds!$H142,6*(3-1)),0),EDATE(Bonds!$H142,6*(3-1))))</f>
        <v>46691</v>
      </c>
      <c r="H142" s="3">
        <f>IF(4&gt;$C142,"",IF($D142=1,EOMONTH(EDATE(Bonds!$H142,6*(4-1)),0),EDATE(Bonds!$H142,6*(4-1))))</f>
        <v>46873</v>
      </c>
      <c r="I142" s="3">
        <f>IF(5&gt;$C142,"",IF($D142=1,EOMONTH(EDATE(Bonds!$H142,6*(5-1)),0),EDATE(Bonds!$H142,6*(5-1))))</f>
        <v>47057</v>
      </c>
      <c r="J142" s="3">
        <f>IF(6&gt;$C142,"",IF($D142=1,EOMONTH(EDATE(Bonds!$H142,6*(6-1)),0),EDATE(Bonds!$H142,6*(6-1))))</f>
        <v>47238</v>
      </c>
      <c r="K142" s="3" t="str">
        <f>IF(7&gt;$C142,"",IF($D142=1,EOMONTH(EDATE(Bonds!$H142,6*(7-1)),0),EDATE(Bonds!$H142,6*(7-1))))</f>
        <v/>
      </c>
      <c r="L142" s="3" t="str">
        <f>IF(8&gt;$C142,"",IF($D142=1,EOMONTH(EDATE(Bonds!$H142,6*(8-1)),0),EDATE(Bonds!$H142,6*(8-1))))</f>
        <v/>
      </c>
      <c r="M142" s="3" t="str">
        <f>IF(9&gt;$C142,"",IF($D142=1,EOMONTH(EDATE(Bonds!$H142,6*(9-1)),0),EDATE(Bonds!$H142,6*(9-1))))</f>
        <v/>
      </c>
      <c r="N142" s="3" t="str">
        <f>IF(10&gt;$C142,"",IF($D142=1,EOMONTH(EDATE(Bonds!$H142,6*(10-1)),0),EDATE(Bonds!$H142,6*(10-1))))</f>
        <v/>
      </c>
      <c r="O142" s="3" t="str">
        <f>IF(11&gt;$C142,"",IF($D142=1,EOMONTH(EDATE(Bonds!$H142,6*(11-1)),0),EDATE(Bonds!$H142,6*(11-1))))</f>
        <v/>
      </c>
      <c r="P142" s="3" t="str">
        <f>IF(12&gt;$C142,"",IF($D142=1,EOMONTH(EDATE(Bonds!$H142,6*(12-1)),0),EDATE(Bonds!$H142,6*(12-1))))</f>
        <v/>
      </c>
      <c r="Q142" s="3" t="str">
        <f>IF(13&gt;$C142,"",IF($D142=1,EOMONTH(EDATE(Bonds!$H142,6*(13-1)),0),EDATE(Bonds!$H142,6*(13-1))))</f>
        <v/>
      </c>
      <c r="R142" s="3" t="str">
        <f>IF(14&gt;$C142,"",IF($D142=1,EOMONTH(EDATE(Bonds!$H142,6*(14-1)),0),EDATE(Bonds!$H142,6*(14-1))))</f>
        <v/>
      </c>
      <c r="S142" s="3" t="str">
        <f>IF(15&gt;$C142,"",IF($D142=1,EOMONTH(EDATE(Bonds!$H142,6*(15-1)),0),EDATE(Bonds!$H142,6*(15-1))))</f>
        <v/>
      </c>
      <c r="T142" s="3" t="str">
        <f>IF(16&gt;$C142,"",IF($D142=1,EOMONTH(EDATE(Bonds!$H142,6*(16-1)),0),EDATE(Bonds!$H142,6*(16-1))))</f>
        <v/>
      </c>
      <c r="U142" s="3" t="str">
        <f>IF(17&gt;$C142,"",IF($D142=1,EOMONTH(EDATE(Bonds!$H142,6*(17-1)),0),EDATE(Bonds!$H142,6*(17-1))))</f>
        <v/>
      </c>
      <c r="V142" s="3" t="str">
        <f>IF(18&gt;$C142,"",IF($D142=1,EOMONTH(EDATE(Bonds!$H142,6*(18-1)),0),EDATE(Bonds!$H142,6*(18-1))))</f>
        <v/>
      </c>
      <c r="W142" s="3" t="str">
        <f>IF(19&gt;$C142,"",IF($D142=1,EOMONTH(EDATE(Bonds!$H142,6*(19-1)),0),EDATE(Bonds!$H142,6*(19-1))))</f>
        <v/>
      </c>
      <c r="X142" s="3" t="str">
        <f>IF(20&gt;$C142,"",IF($D142=1,EOMONTH(EDATE(Bonds!$H142,6*(20-1)),0),EDATE(Bonds!$H142,6*(20-1))))</f>
        <v/>
      </c>
      <c r="Y142" s="3" t="str">
        <f>IF(21&gt;$C142,"",IF($D142=1,EOMONTH(EDATE(Bonds!$H142,6*(21-1)),0),EDATE(Bonds!$H142,6*(21-1))))</f>
        <v/>
      </c>
      <c r="Z142" s="3" t="str">
        <f>IF(22&gt;$C142,"",IF($D142=1,EOMONTH(EDATE(Bonds!$H142,6*(22-1)),0),EDATE(Bonds!$H142,6*(22-1))))</f>
        <v/>
      </c>
      <c r="AA142" s="3" t="str">
        <f>IF(23&gt;$C142,"",IF($D142=1,EOMONTH(EDATE(Bonds!$H142,6*(23-1)),0),EDATE(Bonds!$H142,6*(23-1))))</f>
        <v/>
      </c>
      <c r="AB142" s="3" t="str">
        <f>IF(24&gt;$C142,"",IF($D142=1,EOMONTH(EDATE(Bonds!$H142,6*(24-1)),0),EDATE(Bonds!$H142,6*(24-1))))</f>
        <v/>
      </c>
      <c r="AC142" s="3" t="str">
        <f>IF(25&gt;$C142,"",IF($D142=1,EOMONTH(EDATE(Bonds!$H142,6*(25-1)),0),EDATE(Bonds!$H142,6*(25-1))))</f>
        <v/>
      </c>
      <c r="AD142" s="3" t="str">
        <f>IF(26&gt;$C142,"",IF($D142=1,EOMONTH(EDATE(Bonds!$H142,6*(26-1)),0),EDATE(Bonds!$H142,6*(26-1))))</f>
        <v/>
      </c>
      <c r="AE142" s="3" t="str">
        <f>IF(27&gt;$C142,"",IF($D142=1,EOMONTH(EDATE(Bonds!$H142,6*(27-1)),0),EDATE(Bonds!$H142,6*(27-1))))</f>
        <v/>
      </c>
      <c r="AF142" s="3" t="str">
        <f>IF(28&gt;$C142,"",IF($D142=1,EOMONTH(EDATE(Bonds!$H142,6*(28-1)),0),EDATE(Bonds!$H142,6*(28-1))))</f>
        <v/>
      </c>
      <c r="AG142" s="3" t="str">
        <f>IF(29&gt;$C142,"",IF($D142=1,EOMONTH(EDATE(Bonds!$H142,6*(29-1)),0),EDATE(Bonds!$H142,6*(29-1))))</f>
        <v/>
      </c>
      <c r="AH142" s="3" t="str">
        <f>IF(30&gt;$C142,"",IF($D142=1,EOMONTH(EDATE(Bonds!$H142,6*(30-1)),0),EDATE(Bonds!$H142,6*(30-1))))</f>
        <v/>
      </c>
      <c r="AI142" s="3" t="str">
        <f>IF(31&gt;$C142,"",IF($D142=1,EOMONTH(EDATE(Bonds!$H142,6*(31-1)),0),EDATE(Bonds!$H142,6*(31-1))))</f>
        <v/>
      </c>
      <c r="AJ142" s="3" t="str">
        <f>IF(32&gt;$C142,"",IF($D142=1,EOMONTH(EDATE(Bonds!$H142,6*(32-1)),0),EDATE(Bonds!$H142,6*(32-1))))</f>
        <v/>
      </c>
      <c r="AK142" s="3" t="str">
        <f>IF(33&gt;$C142,"",IF($D142=1,EOMONTH(EDATE(Bonds!$H142,6*(33-1)),0),EDATE(Bonds!$H142,6*(33-1))))</f>
        <v/>
      </c>
      <c r="AL142" s="3" t="str">
        <f>IF(34&gt;$C142,"",IF($D142=1,EOMONTH(EDATE(Bonds!$H142,6*(34-1)),0),EDATE(Bonds!$H142,6*(34-1))))</f>
        <v/>
      </c>
      <c r="AM142" s="3" t="str">
        <f>IF(35&gt;$C142,"",IF($D142=1,EOMONTH(EDATE(Bonds!$H142,6*(35-1)),0),EDATE(Bonds!$H142,6*(35-1))))</f>
        <v/>
      </c>
      <c r="AN142" s="3" t="str">
        <f>IF(36&gt;$C142,"",IF($D142=1,EOMONTH(EDATE(Bonds!$H142,6*(36-1)),0),EDATE(Bonds!$H142,6*(36-1))))</f>
        <v/>
      </c>
      <c r="AO142" s="3" t="str">
        <f>IF(37&gt;$C142,"",IF($D142=1,EOMONTH(EDATE(Bonds!$H142,6*(37-1)),0),EDATE(Bonds!$H142,6*(37-1))))</f>
        <v/>
      </c>
      <c r="AP142" s="3" t="str">
        <f>IF(38&gt;$C142,"",IF($D142=1,EOMONTH(EDATE(Bonds!$H142,6*(38-1)),0),EDATE(Bonds!$H142,6*(38-1))))</f>
        <v/>
      </c>
      <c r="AQ142" s="3" t="str">
        <f>IF(39&gt;$C142,"",IF($D142=1,EOMONTH(EDATE(Bonds!$H142,6*(39-1)),0),EDATE(Bonds!$H142,6*(39-1))))</f>
        <v/>
      </c>
      <c r="AR142" s="3" t="str">
        <f>IF(40&gt;$C142,"",IF($D142=1,EOMONTH(EDATE(Bonds!$H142,6*(40-1)),0),EDATE(Bonds!$H142,6*(40-1))))</f>
        <v/>
      </c>
      <c r="AS142" s="3" t="str">
        <f>IF(41&gt;$C142,"",IF($D142=1,EOMONTH(EDATE(Bonds!$H142,6*(41-1)),0),EDATE(Bonds!$H142,6*(41-1))))</f>
        <v/>
      </c>
      <c r="AT142" s="3" t="str">
        <f>IF(42&gt;$C142,"",IF($D142=1,EOMONTH(EDATE(Bonds!$H142,6*(42-1)),0),EDATE(Bonds!$H142,6*(42-1))))</f>
        <v/>
      </c>
      <c r="AU142" s="3" t="str">
        <f>IF(43&gt;$C142,"",IF($D142=1,EOMONTH(EDATE(Bonds!$H142,6*(43-1)),0),EDATE(Bonds!$H142,6*(43-1))))</f>
        <v/>
      </c>
      <c r="AV142" s="3" t="str">
        <f>IF(44&gt;$C142,"",IF($D142=1,EOMONTH(EDATE(Bonds!$H142,6*(44-1)),0),EDATE(Bonds!$H142,6*(44-1))))</f>
        <v/>
      </c>
      <c r="AW142" s="3" t="str">
        <f>IF(45&gt;$C142,"",IF($D142=1,EOMONTH(EDATE(Bonds!$H142,6*(45-1)),0),EDATE(Bonds!$H142,6*(45-1))))</f>
        <v/>
      </c>
      <c r="AX142" s="3" t="str">
        <f>IF(46&gt;$C142,"",IF($D142=1,EOMONTH(EDATE(Bonds!$H142,6*(46-1)),0),EDATE(Bonds!$H142,6*(46-1))))</f>
        <v/>
      </c>
      <c r="AY142" s="3" t="str">
        <f>IF(47&gt;$C142,"",IF($D142=1,EOMONTH(EDATE(Bonds!$H142,6*(47-1)),0),EDATE(Bonds!$H142,6*(47-1))))</f>
        <v/>
      </c>
      <c r="AZ142" s="3" t="str">
        <f>IF(48&gt;$C142,"",IF($D142=1,EOMONTH(EDATE(Bonds!$H142,6*(48-1)),0),EDATE(Bonds!$H142,6*(48-1))))</f>
        <v/>
      </c>
      <c r="BA142" s="3" t="str">
        <f>IF(49&gt;$C142,"",IF($D142=1,EOMONTH(EDATE(Bonds!$H142,6*(49-1)),0),EDATE(Bonds!$H142,6*(49-1))))</f>
        <v/>
      </c>
      <c r="BB142" s="3" t="str">
        <f>IF(50&gt;$C142,"",IF($D142=1,EOMONTH(EDATE(Bonds!$H142,6*(50-1)),0),EDATE(Bonds!$H142,6*(50-1))))</f>
        <v/>
      </c>
      <c r="BC142" s="3" t="str">
        <f>IF(51&gt;$C142,"",IF($D142=1,EOMONTH(EDATE(Bonds!$H142,6*(51-1)),0),EDATE(Bonds!$H142,6*(51-1))))</f>
        <v/>
      </c>
      <c r="BD142" s="3" t="str">
        <f>IF(52&gt;$C142,"",IF($D142=1,EOMONTH(EDATE(Bonds!$H142,6*(52-1)),0),EDATE(Bonds!$H142,6*(52-1))))</f>
        <v/>
      </c>
      <c r="BE142" s="3" t="str">
        <f>IF(53&gt;$C142,"",IF($D142=1,EOMONTH(EDATE(Bonds!$H142,6*(53-1)),0),EDATE(Bonds!$H142,6*(53-1))))</f>
        <v/>
      </c>
      <c r="BF142" s="3" t="str">
        <f>IF(54&gt;$C142,"",IF($D142=1,EOMONTH(EDATE(Bonds!$H142,6*(54-1)),0),EDATE(Bonds!$H142,6*(54-1))))</f>
        <v/>
      </c>
      <c r="BG142" s="3" t="str">
        <f>IF(55&gt;$C142,"",IF($D142=1,EOMONTH(EDATE(Bonds!$H142,6*(55-1)),0),EDATE(Bonds!$H142,6*(55-1))))</f>
        <v/>
      </c>
      <c r="BH142" s="3" t="str">
        <f>IF(56&gt;$C142,"",IF($D142=1,EOMONTH(EDATE(Bonds!$H142,6*(56-1)),0),EDATE(Bonds!$H142,6*(56-1))))</f>
        <v/>
      </c>
      <c r="BI142" s="3" t="str">
        <f>IF(57&gt;$C142,"",IF($D142=1,EOMONTH(EDATE(Bonds!$H142,6*(57-1)),0),EDATE(Bonds!$H142,6*(57-1))))</f>
        <v/>
      </c>
      <c r="BJ142" s="3" t="str">
        <f>IF(58&gt;$C142,"",IF($D142=1,EOMONTH(EDATE(Bonds!$H142,6*(58-1)),0),EDATE(Bonds!$H142,6*(58-1))))</f>
        <v/>
      </c>
      <c r="BK142" s="3" t="str">
        <f>IF(59&gt;$C142,"",IF($D142=1,EOMONTH(EDATE(Bonds!$H142,6*(59-1)),0),EDATE(Bonds!$H142,6*(59-1))))</f>
        <v/>
      </c>
      <c r="BL142" s="3" t="str">
        <f>IF(60&gt;$C142,"",IF($D142=1,EOMONTH(EDATE(Bonds!$H142,6*(60-1)),0),EDATE(Bonds!$H142,6*(60-1))))</f>
        <v/>
      </c>
      <c r="BN142" s="7">
        <f t="shared" si="123"/>
        <v>2.3000091465606585</v>
      </c>
      <c r="BO142" s="7">
        <f t="shared" si="124"/>
        <v>2.2539707333720065</v>
      </c>
      <c r="BP142" s="7">
        <f t="shared" si="125"/>
        <v>2.2045112797758097</v>
      </c>
      <c r="BQ142" s="7">
        <f t="shared" si="126"/>
        <v>2.1551335944254517</v>
      </c>
      <c r="BR142" s="7">
        <f t="shared" si="127"/>
        <v>2.1058660980882706</v>
      </c>
      <c r="BS142" s="7">
        <f t="shared" si="128"/>
        <v>91.074195771899966</v>
      </c>
      <c r="BT142" s="7">
        <f t="shared" si="129"/>
        <v>0</v>
      </c>
      <c r="BU142" s="7">
        <f t="shared" si="130"/>
        <v>0</v>
      </c>
      <c r="BV142" s="7">
        <f t="shared" si="131"/>
        <v>0</v>
      </c>
      <c r="BW142" s="7">
        <f t="shared" si="132"/>
        <v>0</v>
      </c>
      <c r="BX142" s="7">
        <f t="shared" si="133"/>
        <v>0</v>
      </c>
      <c r="BY142" s="7">
        <f t="shared" si="134"/>
        <v>0</v>
      </c>
      <c r="BZ142" s="7">
        <f t="shared" si="135"/>
        <v>0</v>
      </c>
      <c r="CA142" s="7">
        <f t="shared" si="136"/>
        <v>0</v>
      </c>
      <c r="CB142" s="7">
        <f t="shared" si="137"/>
        <v>0</v>
      </c>
      <c r="CC142" s="7">
        <f t="shared" si="138"/>
        <v>0</v>
      </c>
      <c r="CD142" s="7">
        <f t="shared" si="139"/>
        <v>0</v>
      </c>
      <c r="CE142" s="7">
        <f t="shared" si="140"/>
        <v>0</v>
      </c>
      <c r="CF142" s="7">
        <f t="shared" si="141"/>
        <v>0</v>
      </c>
      <c r="CG142" s="7">
        <f t="shared" si="142"/>
        <v>0</v>
      </c>
      <c r="CH142" s="7">
        <f t="shared" si="143"/>
        <v>0</v>
      </c>
      <c r="CI142" s="7">
        <f t="shared" si="144"/>
        <v>0</v>
      </c>
      <c r="CJ142" s="7">
        <f t="shared" si="145"/>
        <v>0</v>
      </c>
      <c r="CK142" s="7">
        <f t="shared" si="146"/>
        <v>0</v>
      </c>
      <c r="CL142" s="7">
        <f t="shared" si="147"/>
        <v>0</v>
      </c>
      <c r="CM142" s="7">
        <f t="shared" si="148"/>
        <v>0</v>
      </c>
      <c r="CN142" s="7">
        <f t="shared" si="149"/>
        <v>0</v>
      </c>
      <c r="CO142" s="7">
        <f t="shared" si="150"/>
        <v>0</v>
      </c>
      <c r="CP142" s="7">
        <f t="shared" si="151"/>
        <v>0</v>
      </c>
      <c r="CQ142" s="7">
        <f t="shared" si="152"/>
        <v>0</v>
      </c>
      <c r="CR142" s="7">
        <f t="shared" si="153"/>
        <v>0</v>
      </c>
      <c r="CS142" s="7">
        <f t="shared" si="154"/>
        <v>0</v>
      </c>
      <c r="CT142" s="7">
        <f t="shared" si="155"/>
        <v>0</v>
      </c>
      <c r="CU142" s="7">
        <f t="shared" si="156"/>
        <v>0</v>
      </c>
      <c r="CV142" s="7">
        <f t="shared" si="157"/>
        <v>0</v>
      </c>
      <c r="CW142" s="7">
        <f t="shared" si="158"/>
        <v>0</v>
      </c>
      <c r="CX142" s="7">
        <f t="shared" si="159"/>
        <v>0</v>
      </c>
      <c r="CY142" s="7">
        <f t="shared" si="160"/>
        <v>0</v>
      </c>
      <c r="CZ142" s="7">
        <f t="shared" si="161"/>
        <v>0</v>
      </c>
      <c r="DA142" s="7">
        <f t="shared" si="162"/>
        <v>0</v>
      </c>
      <c r="DB142" s="7">
        <f t="shared" si="163"/>
        <v>0</v>
      </c>
      <c r="DC142" s="7">
        <f t="shared" si="164"/>
        <v>0</v>
      </c>
      <c r="DD142" s="7">
        <f t="shared" si="165"/>
        <v>0</v>
      </c>
      <c r="DE142" s="7">
        <f t="shared" si="166"/>
        <v>0</v>
      </c>
      <c r="DF142" s="7">
        <f t="shared" si="167"/>
        <v>0</v>
      </c>
      <c r="DG142" s="7">
        <f t="shared" si="168"/>
        <v>0</v>
      </c>
      <c r="DH142" s="7">
        <f t="shared" si="169"/>
        <v>0</v>
      </c>
      <c r="DI142" s="7">
        <f t="shared" si="170"/>
        <v>0</v>
      </c>
      <c r="DJ142" s="7">
        <f t="shared" si="171"/>
        <v>0</v>
      </c>
      <c r="DK142" s="7">
        <f t="shared" si="172"/>
        <v>0</v>
      </c>
      <c r="DL142" s="7">
        <f t="shared" si="173"/>
        <v>0</v>
      </c>
      <c r="DM142" s="7">
        <f t="shared" si="174"/>
        <v>0</v>
      </c>
      <c r="DN142" s="7">
        <f t="shared" si="175"/>
        <v>0</v>
      </c>
      <c r="DO142" s="7">
        <f t="shared" si="176"/>
        <v>0</v>
      </c>
      <c r="DP142" s="7">
        <f t="shared" si="177"/>
        <v>0</v>
      </c>
      <c r="DQ142" s="7">
        <f t="shared" si="178"/>
        <v>0</v>
      </c>
      <c r="DR142" s="7">
        <f t="shared" si="179"/>
        <v>0</v>
      </c>
      <c r="DS142" s="7">
        <f t="shared" si="180"/>
        <v>0</v>
      </c>
      <c r="DT142" s="7">
        <f t="shared" si="181"/>
        <v>0</v>
      </c>
      <c r="DU142" s="7">
        <f t="shared" si="182"/>
        <v>0</v>
      </c>
    </row>
    <row r="143" spans="1:125" x14ac:dyDescent="0.2">
      <c r="A143" s="3">
        <f>Bonds!A143</f>
        <v>47253</v>
      </c>
      <c r="B143" s="4">
        <f>Bonds!B143</f>
        <v>2.375</v>
      </c>
      <c r="C143">
        <f>Bonds!P143</f>
        <v>6</v>
      </c>
      <c r="D143">
        <f t="shared" si="122"/>
        <v>0</v>
      </c>
      <c r="E143" s="3">
        <f>IF(1&gt;$C143,"",IF($D143=1,EOMONTH(EDATE(Bonds!$H143,6*(1-1)),0),EDATE(Bonds!$H143,6*(1-1))))</f>
        <v>46341</v>
      </c>
      <c r="F143" s="3">
        <f>IF(2&gt;$C143,"",IF($D143=1,EOMONTH(EDATE(Bonds!$H143,6*(2-1)),0),EDATE(Bonds!$H143,6*(2-1))))</f>
        <v>46522</v>
      </c>
      <c r="G143" s="3">
        <f>IF(3&gt;$C143,"",IF($D143=1,EOMONTH(EDATE(Bonds!$H143,6*(3-1)),0),EDATE(Bonds!$H143,6*(3-1))))</f>
        <v>46706</v>
      </c>
      <c r="H143" s="3">
        <f>IF(4&gt;$C143,"",IF($D143=1,EOMONTH(EDATE(Bonds!$H143,6*(4-1)),0),EDATE(Bonds!$H143,6*(4-1))))</f>
        <v>46888</v>
      </c>
      <c r="I143" s="3">
        <f>IF(5&gt;$C143,"",IF($D143=1,EOMONTH(EDATE(Bonds!$H143,6*(5-1)),0),EDATE(Bonds!$H143,6*(5-1))))</f>
        <v>47072</v>
      </c>
      <c r="J143" s="3">
        <f>IF(6&gt;$C143,"",IF($D143=1,EOMONTH(EDATE(Bonds!$H143,6*(6-1)),0),EDATE(Bonds!$H143,6*(6-1))))</f>
        <v>47253</v>
      </c>
      <c r="K143" s="3" t="str">
        <f>IF(7&gt;$C143,"",IF($D143=1,EOMONTH(EDATE(Bonds!$H143,6*(7-1)),0),EDATE(Bonds!$H143,6*(7-1))))</f>
        <v/>
      </c>
      <c r="L143" s="3" t="str">
        <f>IF(8&gt;$C143,"",IF($D143=1,EOMONTH(EDATE(Bonds!$H143,6*(8-1)),0),EDATE(Bonds!$H143,6*(8-1))))</f>
        <v/>
      </c>
      <c r="M143" s="3" t="str">
        <f>IF(9&gt;$C143,"",IF($D143=1,EOMONTH(EDATE(Bonds!$H143,6*(9-1)),0),EDATE(Bonds!$H143,6*(9-1))))</f>
        <v/>
      </c>
      <c r="N143" s="3" t="str">
        <f>IF(10&gt;$C143,"",IF($D143=1,EOMONTH(EDATE(Bonds!$H143,6*(10-1)),0),EDATE(Bonds!$H143,6*(10-1))))</f>
        <v/>
      </c>
      <c r="O143" s="3" t="str">
        <f>IF(11&gt;$C143,"",IF($D143=1,EOMONTH(EDATE(Bonds!$H143,6*(11-1)),0),EDATE(Bonds!$H143,6*(11-1))))</f>
        <v/>
      </c>
      <c r="P143" s="3" t="str">
        <f>IF(12&gt;$C143,"",IF($D143=1,EOMONTH(EDATE(Bonds!$H143,6*(12-1)),0),EDATE(Bonds!$H143,6*(12-1))))</f>
        <v/>
      </c>
      <c r="Q143" s="3" t="str">
        <f>IF(13&gt;$C143,"",IF($D143=1,EOMONTH(EDATE(Bonds!$H143,6*(13-1)),0),EDATE(Bonds!$H143,6*(13-1))))</f>
        <v/>
      </c>
      <c r="R143" s="3" t="str">
        <f>IF(14&gt;$C143,"",IF($D143=1,EOMONTH(EDATE(Bonds!$H143,6*(14-1)),0),EDATE(Bonds!$H143,6*(14-1))))</f>
        <v/>
      </c>
      <c r="S143" s="3" t="str">
        <f>IF(15&gt;$C143,"",IF($D143=1,EOMONTH(EDATE(Bonds!$H143,6*(15-1)),0),EDATE(Bonds!$H143,6*(15-1))))</f>
        <v/>
      </c>
      <c r="T143" s="3" t="str">
        <f>IF(16&gt;$C143,"",IF($D143=1,EOMONTH(EDATE(Bonds!$H143,6*(16-1)),0),EDATE(Bonds!$H143,6*(16-1))))</f>
        <v/>
      </c>
      <c r="U143" s="3" t="str">
        <f>IF(17&gt;$C143,"",IF($D143=1,EOMONTH(EDATE(Bonds!$H143,6*(17-1)),0),EDATE(Bonds!$H143,6*(17-1))))</f>
        <v/>
      </c>
      <c r="V143" s="3" t="str">
        <f>IF(18&gt;$C143,"",IF($D143=1,EOMONTH(EDATE(Bonds!$H143,6*(18-1)),0),EDATE(Bonds!$H143,6*(18-1))))</f>
        <v/>
      </c>
      <c r="W143" s="3" t="str">
        <f>IF(19&gt;$C143,"",IF($D143=1,EOMONTH(EDATE(Bonds!$H143,6*(19-1)),0),EDATE(Bonds!$H143,6*(19-1))))</f>
        <v/>
      </c>
      <c r="X143" s="3" t="str">
        <f>IF(20&gt;$C143,"",IF($D143=1,EOMONTH(EDATE(Bonds!$H143,6*(20-1)),0),EDATE(Bonds!$H143,6*(20-1))))</f>
        <v/>
      </c>
      <c r="Y143" s="3" t="str">
        <f>IF(21&gt;$C143,"",IF($D143=1,EOMONTH(EDATE(Bonds!$H143,6*(21-1)),0),EDATE(Bonds!$H143,6*(21-1))))</f>
        <v/>
      </c>
      <c r="Z143" s="3" t="str">
        <f>IF(22&gt;$C143,"",IF($D143=1,EOMONTH(EDATE(Bonds!$H143,6*(22-1)),0),EDATE(Bonds!$H143,6*(22-1))))</f>
        <v/>
      </c>
      <c r="AA143" s="3" t="str">
        <f>IF(23&gt;$C143,"",IF($D143=1,EOMONTH(EDATE(Bonds!$H143,6*(23-1)),0),EDATE(Bonds!$H143,6*(23-1))))</f>
        <v/>
      </c>
      <c r="AB143" s="3" t="str">
        <f>IF(24&gt;$C143,"",IF($D143=1,EOMONTH(EDATE(Bonds!$H143,6*(24-1)),0),EDATE(Bonds!$H143,6*(24-1))))</f>
        <v/>
      </c>
      <c r="AC143" s="3" t="str">
        <f>IF(25&gt;$C143,"",IF($D143=1,EOMONTH(EDATE(Bonds!$H143,6*(25-1)),0),EDATE(Bonds!$H143,6*(25-1))))</f>
        <v/>
      </c>
      <c r="AD143" s="3" t="str">
        <f>IF(26&gt;$C143,"",IF($D143=1,EOMONTH(EDATE(Bonds!$H143,6*(26-1)),0),EDATE(Bonds!$H143,6*(26-1))))</f>
        <v/>
      </c>
      <c r="AE143" s="3" t="str">
        <f>IF(27&gt;$C143,"",IF($D143=1,EOMONTH(EDATE(Bonds!$H143,6*(27-1)),0),EDATE(Bonds!$H143,6*(27-1))))</f>
        <v/>
      </c>
      <c r="AF143" s="3" t="str">
        <f>IF(28&gt;$C143,"",IF($D143=1,EOMONTH(EDATE(Bonds!$H143,6*(28-1)),0),EDATE(Bonds!$H143,6*(28-1))))</f>
        <v/>
      </c>
      <c r="AG143" s="3" t="str">
        <f>IF(29&gt;$C143,"",IF($D143=1,EOMONTH(EDATE(Bonds!$H143,6*(29-1)),0),EDATE(Bonds!$H143,6*(29-1))))</f>
        <v/>
      </c>
      <c r="AH143" s="3" t="str">
        <f>IF(30&gt;$C143,"",IF($D143=1,EOMONTH(EDATE(Bonds!$H143,6*(30-1)),0),EDATE(Bonds!$H143,6*(30-1))))</f>
        <v/>
      </c>
      <c r="AI143" s="3" t="str">
        <f>IF(31&gt;$C143,"",IF($D143=1,EOMONTH(EDATE(Bonds!$H143,6*(31-1)),0),EDATE(Bonds!$H143,6*(31-1))))</f>
        <v/>
      </c>
      <c r="AJ143" s="3" t="str">
        <f>IF(32&gt;$C143,"",IF($D143=1,EOMONTH(EDATE(Bonds!$H143,6*(32-1)),0),EDATE(Bonds!$H143,6*(32-1))))</f>
        <v/>
      </c>
      <c r="AK143" s="3" t="str">
        <f>IF(33&gt;$C143,"",IF($D143=1,EOMONTH(EDATE(Bonds!$H143,6*(33-1)),0),EDATE(Bonds!$H143,6*(33-1))))</f>
        <v/>
      </c>
      <c r="AL143" s="3" t="str">
        <f>IF(34&gt;$C143,"",IF($D143=1,EOMONTH(EDATE(Bonds!$H143,6*(34-1)),0),EDATE(Bonds!$H143,6*(34-1))))</f>
        <v/>
      </c>
      <c r="AM143" s="3" t="str">
        <f>IF(35&gt;$C143,"",IF($D143=1,EOMONTH(EDATE(Bonds!$H143,6*(35-1)),0),EDATE(Bonds!$H143,6*(35-1))))</f>
        <v/>
      </c>
      <c r="AN143" s="3" t="str">
        <f>IF(36&gt;$C143,"",IF($D143=1,EOMONTH(EDATE(Bonds!$H143,6*(36-1)),0),EDATE(Bonds!$H143,6*(36-1))))</f>
        <v/>
      </c>
      <c r="AO143" s="3" t="str">
        <f>IF(37&gt;$C143,"",IF($D143=1,EOMONTH(EDATE(Bonds!$H143,6*(37-1)),0),EDATE(Bonds!$H143,6*(37-1))))</f>
        <v/>
      </c>
      <c r="AP143" s="3" t="str">
        <f>IF(38&gt;$C143,"",IF($D143=1,EOMONTH(EDATE(Bonds!$H143,6*(38-1)),0),EDATE(Bonds!$H143,6*(38-1))))</f>
        <v/>
      </c>
      <c r="AQ143" s="3" t="str">
        <f>IF(39&gt;$C143,"",IF($D143=1,EOMONTH(EDATE(Bonds!$H143,6*(39-1)),0),EDATE(Bonds!$H143,6*(39-1))))</f>
        <v/>
      </c>
      <c r="AR143" s="3" t="str">
        <f>IF(40&gt;$C143,"",IF($D143=1,EOMONTH(EDATE(Bonds!$H143,6*(40-1)),0),EDATE(Bonds!$H143,6*(40-1))))</f>
        <v/>
      </c>
      <c r="AS143" s="3" t="str">
        <f>IF(41&gt;$C143,"",IF($D143=1,EOMONTH(EDATE(Bonds!$H143,6*(41-1)),0),EDATE(Bonds!$H143,6*(41-1))))</f>
        <v/>
      </c>
      <c r="AT143" s="3" t="str">
        <f>IF(42&gt;$C143,"",IF($D143=1,EOMONTH(EDATE(Bonds!$H143,6*(42-1)),0),EDATE(Bonds!$H143,6*(42-1))))</f>
        <v/>
      </c>
      <c r="AU143" s="3" t="str">
        <f>IF(43&gt;$C143,"",IF($D143=1,EOMONTH(EDATE(Bonds!$H143,6*(43-1)),0),EDATE(Bonds!$H143,6*(43-1))))</f>
        <v/>
      </c>
      <c r="AV143" s="3" t="str">
        <f>IF(44&gt;$C143,"",IF($D143=1,EOMONTH(EDATE(Bonds!$H143,6*(44-1)),0),EDATE(Bonds!$H143,6*(44-1))))</f>
        <v/>
      </c>
      <c r="AW143" s="3" t="str">
        <f>IF(45&gt;$C143,"",IF($D143=1,EOMONTH(EDATE(Bonds!$H143,6*(45-1)),0),EDATE(Bonds!$H143,6*(45-1))))</f>
        <v/>
      </c>
      <c r="AX143" s="3" t="str">
        <f>IF(46&gt;$C143,"",IF($D143=1,EOMONTH(EDATE(Bonds!$H143,6*(46-1)),0),EDATE(Bonds!$H143,6*(46-1))))</f>
        <v/>
      </c>
      <c r="AY143" s="3" t="str">
        <f>IF(47&gt;$C143,"",IF($D143=1,EOMONTH(EDATE(Bonds!$H143,6*(47-1)),0),EDATE(Bonds!$H143,6*(47-1))))</f>
        <v/>
      </c>
      <c r="AZ143" s="3" t="str">
        <f>IF(48&gt;$C143,"",IF($D143=1,EOMONTH(EDATE(Bonds!$H143,6*(48-1)),0),EDATE(Bonds!$H143,6*(48-1))))</f>
        <v/>
      </c>
      <c r="BA143" s="3" t="str">
        <f>IF(49&gt;$C143,"",IF($D143=1,EOMONTH(EDATE(Bonds!$H143,6*(49-1)),0),EDATE(Bonds!$H143,6*(49-1))))</f>
        <v/>
      </c>
      <c r="BB143" s="3" t="str">
        <f>IF(50&gt;$C143,"",IF($D143=1,EOMONTH(EDATE(Bonds!$H143,6*(50-1)),0),EDATE(Bonds!$H143,6*(50-1))))</f>
        <v/>
      </c>
      <c r="BC143" s="3" t="str">
        <f>IF(51&gt;$C143,"",IF($D143=1,EOMONTH(EDATE(Bonds!$H143,6*(51-1)),0),EDATE(Bonds!$H143,6*(51-1))))</f>
        <v/>
      </c>
      <c r="BD143" s="3" t="str">
        <f>IF(52&gt;$C143,"",IF($D143=1,EOMONTH(EDATE(Bonds!$H143,6*(52-1)),0),EDATE(Bonds!$H143,6*(52-1))))</f>
        <v/>
      </c>
      <c r="BE143" s="3" t="str">
        <f>IF(53&gt;$C143,"",IF($D143=1,EOMONTH(EDATE(Bonds!$H143,6*(53-1)),0),EDATE(Bonds!$H143,6*(53-1))))</f>
        <v/>
      </c>
      <c r="BF143" s="3" t="str">
        <f>IF(54&gt;$C143,"",IF($D143=1,EOMONTH(EDATE(Bonds!$H143,6*(54-1)),0),EDATE(Bonds!$H143,6*(54-1))))</f>
        <v/>
      </c>
      <c r="BG143" s="3" t="str">
        <f>IF(55&gt;$C143,"",IF($D143=1,EOMONTH(EDATE(Bonds!$H143,6*(55-1)),0),EDATE(Bonds!$H143,6*(55-1))))</f>
        <v/>
      </c>
      <c r="BH143" s="3" t="str">
        <f>IF(56&gt;$C143,"",IF($D143=1,EOMONTH(EDATE(Bonds!$H143,6*(56-1)),0),EDATE(Bonds!$H143,6*(56-1))))</f>
        <v/>
      </c>
      <c r="BI143" s="3" t="str">
        <f>IF(57&gt;$C143,"",IF($D143=1,EOMONTH(EDATE(Bonds!$H143,6*(57-1)),0),EDATE(Bonds!$H143,6*(57-1))))</f>
        <v/>
      </c>
      <c r="BJ143" s="3" t="str">
        <f>IF(58&gt;$C143,"",IF($D143=1,EOMONTH(EDATE(Bonds!$H143,6*(58-1)),0),EDATE(Bonds!$H143,6*(58-1))))</f>
        <v/>
      </c>
      <c r="BK143" s="3" t="str">
        <f>IF(59&gt;$C143,"",IF($D143=1,EOMONTH(EDATE(Bonds!$H143,6*(59-1)),0),EDATE(Bonds!$H143,6*(59-1))))</f>
        <v/>
      </c>
      <c r="BL143" s="3" t="str">
        <f>IF(60&gt;$C143,"",IF($D143=1,EOMONTH(EDATE(Bonds!$H143,6*(60-1)),0),EDATE(Bonds!$H143,6*(60-1))))</f>
        <v/>
      </c>
      <c r="BN143" s="7">
        <f t="shared" si="123"/>
        <v>1.1792178793375221</v>
      </c>
      <c r="BO143" s="7">
        <f t="shared" si="124"/>
        <v>1.1554054200343051</v>
      </c>
      <c r="BP143" s="7">
        <f t="shared" si="125"/>
        <v>1.1299547339026699</v>
      </c>
      <c r="BQ143" s="7">
        <f t="shared" si="126"/>
        <v>1.1046102929682995</v>
      </c>
      <c r="BR143" s="7">
        <f t="shared" si="127"/>
        <v>1.079351924166803</v>
      </c>
      <c r="BS143" s="7">
        <f t="shared" si="128"/>
        <v>89.903272584324554</v>
      </c>
      <c r="BT143" s="7">
        <f t="shared" si="129"/>
        <v>0</v>
      </c>
      <c r="BU143" s="7">
        <f t="shared" si="130"/>
        <v>0</v>
      </c>
      <c r="BV143" s="7">
        <f t="shared" si="131"/>
        <v>0</v>
      </c>
      <c r="BW143" s="7">
        <f t="shared" si="132"/>
        <v>0</v>
      </c>
      <c r="BX143" s="7">
        <f t="shared" si="133"/>
        <v>0</v>
      </c>
      <c r="BY143" s="7">
        <f t="shared" si="134"/>
        <v>0</v>
      </c>
      <c r="BZ143" s="7">
        <f t="shared" si="135"/>
        <v>0</v>
      </c>
      <c r="CA143" s="7">
        <f t="shared" si="136"/>
        <v>0</v>
      </c>
      <c r="CB143" s="7">
        <f t="shared" si="137"/>
        <v>0</v>
      </c>
      <c r="CC143" s="7">
        <f t="shared" si="138"/>
        <v>0</v>
      </c>
      <c r="CD143" s="7">
        <f t="shared" si="139"/>
        <v>0</v>
      </c>
      <c r="CE143" s="7">
        <f t="shared" si="140"/>
        <v>0</v>
      </c>
      <c r="CF143" s="7">
        <f t="shared" si="141"/>
        <v>0</v>
      </c>
      <c r="CG143" s="7">
        <f t="shared" si="142"/>
        <v>0</v>
      </c>
      <c r="CH143" s="7">
        <f t="shared" si="143"/>
        <v>0</v>
      </c>
      <c r="CI143" s="7">
        <f t="shared" si="144"/>
        <v>0</v>
      </c>
      <c r="CJ143" s="7">
        <f t="shared" si="145"/>
        <v>0</v>
      </c>
      <c r="CK143" s="7">
        <f t="shared" si="146"/>
        <v>0</v>
      </c>
      <c r="CL143" s="7">
        <f t="shared" si="147"/>
        <v>0</v>
      </c>
      <c r="CM143" s="7">
        <f t="shared" si="148"/>
        <v>0</v>
      </c>
      <c r="CN143" s="7">
        <f t="shared" si="149"/>
        <v>0</v>
      </c>
      <c r="CO143" s="7">
        <f t="shared" si="150"/>
        <v>0</v>
      </c>
      <c r="CP143" s="7">
        <f t="shared" si="151"/>
        <v>0</v>
      </c>
      <c r="CQ143" s="7">
        <f t="shared" si="152"/>
        <v>0</v>
      </c>
      <c r="CR143" s="7">
        <f t="shared" si="153"/>
        <v>0</v>
      </c>
      <c r="CS143" s="7">
        <f t="shared" si="154"/>
        <v>0</v>
      </c>
      <c r="CT143" s="7">
        <f t="shared" si="155"/>
        <v>0</v>
      </c>
      <c r="CU143" s="7">
        <f t="shared" si="156"/>
        <v>0</v>
      </c>
      <c r="CV143" s="7">
        <f t="shared" si="157"/>
        <v>0</v>
      </c>
      <c r="CW143" s="7">
        <f t="shared" si="158"/>
        <v>0</v>
      </c>
      <c r="CX143" s="7">
        <f t="shared" si="159"/>
        <v>0</v>
      </c>
      <c r="CY143" s="7">
        <f t="shared" si="160"/>
        <v>0</v>
      </c>
      <c r="CZ143" s="7">
        <f t="shared" si="161"/>
        <v>0</v>
      </c>
      <c r="DA143" s="7">
        <f t="shared" si="162"/>
        <v>0</v>
      </c>
      <c r="DB143" s="7">
        <f t="shared" si="163"/>
        <v>0</v>
      </c>
      <c r="DC143" s="7">
        <f t="shared" si="164"/>
        <v>0</v>
      </c>
      <c r="DD143" s="7">
        <f t="shared" si="165"/>
        <v>0</v>
      </c>
      <c r="DE143" s="7">
        <f t="shared" si="166"/>
        <v>0</v>
      </c>
      <c r="DF143" s="7">
        <f t="shared" si="167"/>
        <v>0</v>
      </c>
      <c r="DG143" s="7">
        <f t="shared" si="168"/>
        <v>0</v>
      </c>
      <c r="DH143" s="7">
        <f t="shared" si="169"/>
        <v>0</v>
      </c>
      <c r="DI143" s="7">
        <f t="shared" si="170"/>
        <v>0</v>
      </c>
      <c r="DJ143" s="7">
        <f t="shared" si="171"/>
        <v>0</v>
      </c>
      <c r="DK143" s="7">
        <f t="shared" si="172"/>
        <v>0</v>
      </c>
      <c r="DL143" s="7">
        <f t="shared" si="173"/>
        <v>0</v>
      </c>
      <c r="DM143" s="7">
        <f t="shared" si="174"/>
        <v>0</v>
      </c>
      <c r="DN143" s="7">
        <f t="shared" si="175"/>
        <v>0</v>
      </c>
      <c r="DO143" s="7">
        <f t="shared" si="176"/>
        <v>0</v>
      </c>
      <c r="DP143" s="7">
        <f t="shared" si="177"/>
        <v>0</v>
      </c>
      <c r="DQ143" s="7">
        <f t="shared" si="178"/>
        <v>0</v>
      </c>
      <c r="DR143" s="7">
        <f t="shared" si="179"/>
        <v>0</v>
      </c>
      <c r="DS143" s="7">
        <f t="shared" si="180"/>
        <v>0</v>
      </c>
      <c r="DT143" s="7">
        <f t="shared" si="181"/>
        <v>0</v>
      </c>
      <c r="DU143" s="7">
        <f t="shared" si="182"/>
        <v>0</v>
      </c>
    </row>
    <row r="144" spans="1:125" x14ac:dyDescent="0.2">
      <c r="A144" s="3">
        <f>Bonds!A144</f>
        <v>47253</v>
      </c>
      <c r="B144" s="4">
        <f>Bonds!B144</f>
        <v>3.875</v>
      </c>
      <c r="C144">
        <f>Bonds!P144</f>
        <v>6</v>
      </c>
      <c r="D144">
        <f t="shared" si="122"/>
        <v>0</v>
      </c>
      <c r="E144" s="3">
        <f>IF(1&gt;$C144,"",IF($D144=1,EOMONTH(EDATE(Bonds!$H144,6*(1-1)),0),EDATE(Bonds!$H144,6*(1-1))))</f>
        <v>46341</v>
      </c>
      <c r="F144" s="3">
        <f>IF(2&gt;$C144,"",IF($D144=1,EOMONTH(EDATE(Bonds!$H144,6*(2-1)),0),EDATE(Bonds!$H144,6*(2-1))))</f>
        <v>46522</v>
      </c>
      <c r="G144" s="3">
        <f>IF(3&gt;$C144,"",IF($D144=1,EOMONTH(EDATE(Bonds!$H144,6*(3-1)),0),EDATE(Bonds!$H144,6*(3-1))))</f>
        <v>46706</v>
      </c>
      <c r="H144" s="3">
        <f>IF(4&gt;$C144,"",IF($D144=1,EOMONTH(EDATE(Bonds!$H144,6*(4-1)),0),EDATE(Bonds!$H144,6*(4-1))))</f>
        <v>46888</v>
      </c>
      <c r="I144" s="3">
        <f>IF(5&gt;$C144,"",IF($D144=1,EOMONTH(EDATE(Bonds!$H144,6*(5-1)),0),EDATE(Bonds!$H144,6*(5-1))))</f>
        <v>47072</v>
      </c>
      <c r="J144" s="3">
        <f>IF(6&gt;$C144,"",IF($D144=1,EOMONTH(EDATE(Bonds!$H144,6*(6-1)),0),EDATE(Bonds!$H144,6*(6-1))))</f>
        <v>47253</v>
      </c>
      <c r="K144" s="3" t="str">
        <f>IF(7&gt;$C144,"",IF($D144=1,EOMONTH(EDATE(Bonds!$H144,6*(7-1)),0),EDATE(Bonds!$H144,6*(7-1))))</f>
        <v/>
      </c>
      <c r="L144" s="3" t="str">
        <f>IF(8&gt;$C144,"",IF($D144=1,EOMONTH(EDATE(Bonds!$H144,6*(8-1)),0),EDATE(Bonds!$H144,6*(8-1))))</f>
        <v/>
      </c>
      <c r="M144" s="3" t="str">
        <f>IF(9&gt;$C144,"",IF($D144=1,EOMONTH(EDATE(Bonds!$H144,6*(9-1)),0),EDATE(Bonds!$H144,6*(9-1))))</f>
        <v/>
      </c>
      <c r="N144" s="3" t="str">
        <f>IF(10&gt;$C144,"",IF($D144=1,EOMONTH(EDATE(Bonds!$H144,6*(10-1)),0),EDATE(Bonds!$H144,6*(10-1))))</f>
        <v/>
      </c>
      <c r="O144" s="3" t="str">
        <f>IF(11&gt;$C144,"",IF($D144=1,EOMONTH(EDATE(Bonds!$H144,6*(11-1)),0),EDATE(Bonds!$H144,6*(11-1))))</f>
        <v/>
      </c>
      <c r="P144" s="3" t="str">
        <f>IF(12&gt;$C144,"",IF($D144=1,EOMONTH(EDATE(Bonds!$H144,6*(12-1)),0),EDATE(Bonds!$H144,6*(12-1))))</f>
        <v/>
      </c>
      <c r="Q144" s="3" t="str">
        <f>IF(13&gt;$C144,"",IF($D144=1,EOMONTH(EDATE(Bonds!$H144,6*(13-1)),0),EDATE(Bonds!$H144,6*(13-1))))</f>
        <v/>
      </c>
      <c r="R144" s="3" t="str">
        <f>IF(14&gt;$C144,"",IF($D144=1,EOMONTH(EDATE(Bonds!$H144,6*(14-1)),0),EDATE(Bonds!$H144,6*(14-1))))</f>
        <v/>
      </c>
      <c r="S144" s="3" t="str">
        <f>IF(15&gt;$C144,"",IF($D144=1,EOMONTH(EDATE(Bonds!$H144,6*(15-1)),0),EDATE(Bonds!$H144,6*(15-1))))</f>
        <v/>
      </c>
      <c r="T144" s="3" t="str">
        <f>IF(16&gt;$C144,"",IF($D144=1,EOMONTH(EDATE(Bonds!$H144,6*(16-1)),0),EDATE(Bonds!$H144,6*(16-1))))</f>
        <v/>
      </c>
      <c r="U144" s="3" t="str">
        <f>IF(17&gt;$C144,"",IF($D144=1,EOMONTH(EDATE(Bonds!$H144,6*(17-1)),0),EDATE(Bonds!$H144,6*(17-1))))</f>
        <v/>
      </c>
      <c r="V144" s="3" t="str">
        <f>IF(18&gt;$C144,"",IF($D144=1,EOMONTH(EDATE(Bonds!$H144,6*(18-1)),0),EDATE(Bonds!$H144,6*(18-1))))</f>
        <v/>
      </c>
      <c r="W144" s="3" t="str">
        <f>IF(19&gt;$C144,"",IF($D144=1,EOMONTH(EDATE(Bonds!$H144,6*(19-1)),0),EDATE(Bonds!$H144,6*(19-1))))</f>
        <v/>
      </c>
      <c r="X144" s="3" t="str">
        <f>IF(20&gt;$C144,"",IF($D144=1,EOMONTH(EDATE(Bonds!$H144,6*(20-1)),0),EDATE(Bonds!$H144,6*(20-1))))</f>
        <v/>
      </c>
      <c r="Y144" s="3" t="str">
        <f>IF(21&gt;$C144,"",IF($D144=1,EOMONTH(EDATE(Bonds!$H144,6*(21-1)),0),EDATE(Bonds!$H144,6*(21-1))))</f>
        <v/>
      </c>
      <c r="Z144" s="3" t="str">
        <f>IF(22&gt;$C144,"",IF($D144=1,EOMONTH(EDATE(Bonds!$H144,6*(22-1)),0),EDATE(Bonds!$H144,6*(22-1))))</f>
        <v/>
      </c>
      <c r="AA144" s="3" t="str">
        <f>IF(23&gt;$C144,"",IF($D144=1,EOMONTH(EDATE(Bonds!$H144,6*(23-1)),0),EDATE(Bonds!$H144,6*(23-1))))</f>
        <v/>
      </c>
      <c r="AB144" s="3" t="str">
        <f>IF(24&gt;$C144,"",IF($D144=1,EOMONTH(EDATE(Bonds!$H144,6*(24-1)),0),EDATE(Bonds!$H144,6*(24-1))))</f>
        <v/>
      </c>
      <c r="AC144" s="3" t="str">
        <f>IF(25&gt;$C144,"",IF($D144=1,EOMONTH(EDATE(Bonds!$H144,6*(25-1)),0),EDATE(Bonds!$H144,6*(25-1))))</f>
        <v/>
      </c>
      <c r="AD144" s="3" t="str">
        <f>IF(26&gt;$C144,"",IF($D144=1,EOMONTH(EDATE(Bonds!$H144,6*(26-1)),0),EDATE(Bonds!$H144,6*(26-1))))</f>
        <v/>
      </c>
      <c r="AE144" s="3" t="str">
        <f>IF(27&gt;$C144,"",IF($D144=1,EOMONTH(EDATE(Bonds!$H144,6*(27-1)),0),EDATE(Bonds!$H144,6*(27-1))))</f>
        <v/>
      </c>
      <c r="AF144" s="3" t="str">
        <f>IF(28&gt;$C144,"",IF($D144=1,EOMONTH(EDATE(Bonds!$H144,6*(28-1)),0),EDATE(Bonds!$H144,6*(28-1))))</f>
        <v/>
      </c>
      <c r="AG144" s="3" t="str">
        <f>IF(29&gt;$C144,"",IF($D144=1,EOMONTH(EDATE(Bonds!$H144,6*(29-1)),0),EDATE(Bonds!$H144,6*(29-1))))</f>
        <v/>
      </c>
      <c r="AH144" s="3" t="str">
        <f>IF(30&gt;$C144,"",IF($D144=1,EOMONTH(EDATE(Bonds!$H144,6*(30-1)),0),EDATE(Bonds!$H144,6*(30-1))))</f>
        <v/>
      </c>
      <c r="AI144" s="3" t="str">
        <f>IF(31&gt;$C144,"",IF($D144=1,EOMONTH(EDATE(Bonds!$H144,6*(31-1)),0),EDATE(Bonds!$H144,6*(31-1))))</f>
        <v/>
      </c>
      <c r="AJ144" s="3" t="str">
        <f>IF(32&gt;$C144,"",IF($D144=1,EOMONTH(EDATE(Bonds!$H144,6*(32-1)),0),EDATE(Bonds!$H144,6*(32-1))))</f>
        <v/>
      </c>
      <c r="AK144" s="3" t="str">
        <f>IF(33&gt;$C144,"",IF($D144=1,EOMONTH(EDATE(Bonds!$H144,6*(33-1)),0),EDATE(Bonds!$H144,6*(33-1))))</f>
        <v/>
      </c>
      <c r="AL144" s="3" t="str">
        <f>IF(34&gt;$C144,"",IF($D144=1,EOMONTH(EDATE(Bonds!$H144,6*(34-1)),0),EDATE(Bonds!$H144,6*(34-1))))</f>
        <v/>
      </c>
      <c r="AM144" s="3" t="str">
        <f>IF(35&gt;$C144,"",IF($D144=1,EOMONTH(EDATE(Bonds!$H144,6*(35-1)),0),EDATE(Bonds!$H144,6*(35-1))))</f>
        <v/>
      </c>
      <c r="AN144" s="3" t="str">
        <f>IF(36&gt;$C144,"",IF($D144=1,EOMONTH(EDATE(Bonds!$H144,6*(36-1)),0),EDATE(Bonds!$H144,6*(36-1))))</f>
        <v/>
      </c>
      <c r="AO144" s="3" t="str">
        <f>IF(37&gt;$C144,"",IF($D144=1,EOMONTH(EDATE(Bonds!$H144,6*(37-1)),0),EDATE(Bonds!$H144,6*(37-1))))</f>
        <v/>
      </c>
      <c r="AP144" s="3" t="str">
        <f>IF(38&gt;$C144,"",IF($D144=1,EOMONTH(EDATE(Bonds!$H144,6*(38-1)),0),EDATE(Bonds!$H144,6*(38-1))))</f>
        <v/>
      </c>
      <c r="AQ144" s="3" t="str">
        <f>IF(39&gt;$C144,"",IF($D144=1,EOMONTH(EDATE(Bonds!$H144,6*(39-1)),0),EDATE(Bonds!$H144,6*(39-1))))</f>
        <v/>
      </c>
      <c r="AR144" s="3" t="str">
        <f>IF(40&gt;$C144,"",IF($D144=1,EOMONTH(EDATE(Bonds!$H144,6*(40-1)),0),EDATE(Bonds!$H144,6*(40-1))))</f>
        <v/>
      </c>
      <c r="AS144" s="3" t="str">
        <f>IF(41&gt;$C144,"",IF($D144=1,EOMONTH(EDATE(Bonds!$H144,6*(41-1)),0),EDATE(Bonds!$H144,6*(41-1))))</f>
        <v/>
      </c>
      <c r="AT144" s="3" t="str">
        <f>IF(42&gt;$C144,"",IF($D144=1,EOMONTH(EDATE(Bonds!$H144,6*(42-1)),0),EDATE(Bonds!$H144,6*(42-1))))</f>
        <v/>
      </c>
      <c r="AU144" s="3" t="str">
        <f>IF(43&gt;$C144,"",IF($D144=1,EOMONTH(EDATE(Bonds!$H144,6*(43-1)),0),EDATE(Bonds!$H144,6*(43-1))))</f>
        <v/>
      </c>
      <c r="AV144" s="3" t="str">
        <f>IF(44&gt;$C144,"",IF($D144=1,EOMONTH(EDATE(Bonds!$H144,6*(44-1)),0),EDATE(Bonds!$H144,6*(44-1))))</f>
        <v/>
      </c>
      <c r="AW144" s="3" t="str">
        <f>IF(45&gt;$C144,"",IF($D144=1,EOMONTH(EDATE(Bonds!$H144,6*(45-1)),0),EDATE(Bonds!$H144,6*(45-1))))</f>
        <v/>
      </c>
      <c r="AX144" s="3" t="str">
        <f>IF(46&gt;$C144,"",IF($D144=1,EOMONTH(EDATE(Bonds!$H144,6*(46-1)),0),EDATE(Bonds!$H144,6*(46-1))))</f>
        <v/>
      </c>
      <c r="AY144" s="3" t="str">
        <f>IF(47&gt;$C144,"",IF($D144=1,EOMONTH(EDATE(Bonds!$H144,6*(47-1)),0),EDATE(Bonds!$H144,6*(47-1))))</f>
        <v/>
      </c>
      <c r="AZ144" s="3" t="str">
        <f>IF(48&gt;$C144,"",IF($D144=1,EOMONTH(EDATE(Bonds!$H144,6*(48-1)),0),EDATE(Bonds!$H144,6*(48-1))))</f>
        <v/>
      </c>
      <c r="BA144" s="3" t="str">
        <f>IF(49&gt;$C144,"",IF($D144=1,EOMONTH(EDATE(Bonds!$H144,6*(49-1)),0),EDATE(Bonds!$H144,6*(49-1))))</f>
        <v/>
      </c>
      <c r="BB144" s="3" t="str">
        <f>IF(50&gt;$C144,"",IF($D144=1,EOMONTH(EDATE(Bonds!$H144,6*(50-1)),0),EDATE(Bonds!$H144,6*(50-1))))</f>
        <v/>
      </c>
      <c r="BC144" s="3" t="str">
        <f>IF(51&gt;$C144,"",IF($D144=1,EOMONTH(EDATE(Bonds!$H144,6*(51-1)),0),EDATE(Bonds!$H144,6*(51-1))))</f>
        <v/>
      </c>
      <c r="BD144" s="3" t="str">
        <f>IF(52&gt;$C144,"",IF($D144=1,EOMONTH(EDATE(Bonds!$H144,6*(52-1)),0),EDATE(Bonds!$H144,6*(52-1))))</f>
        <v/>
      </c>
      <c r="BE144" s="3" t="str">
        <f>IF(53&gt;$C144,"",IF($D144=1,EOMONTH(EDATE(Bonds!$H144,6*(53-1)),0),EDATE(Bonds!$H144,6*(53-1))))</f>
        <v/>
      </c>
      <c r="BF144" s="3" t="str">
        <f>IF(54&gt;$C144,"",IF($D144=1,EOMONTH(EDATE(Bonds!$H144,6*(54-1)),0),EDATE(Bonds!$H144,6*(54-1))))</f>
        <v/>
      </c>
      <c r="BG144" s="3" t="str">
        <f>IF(55&gt;$C144,"",IF($D144=1,EOMONTH(EDATE(Bonds!$H144,6*(55-1)),0),EDATE(Bonds!$H144,6*(55-1))))</f>
        <v/>
      </c>
      <c r="BH144" s="3" t="str">
        <f>IF(56&gt;$C144,"",IF($D144=1,EOMONTH(EDATE(Bonds!$H144,6*(56-1)),0),EDATE(Bonds!$H144,6*(56-1))))</f>
        <v/>
      </c>
      <c r="BI144" s="3" t="str">
        <f>IF(57&gt;$C144,"",IF($D144=1,EOMONTH(EDATE(Bonds!$H144,6*(57-1)),0),EDATE(Bonds!$H144,6*(57-1))))</f>
        <v/>
      </c>
      <c r="BJ144" s="3" t="str">
        <f>IF(58&gt;$C144,"",IF($D144=1,EOMONTH(EDATE(Bonds!$H144,6*(58-1)),0),EDATE(Bonds!$H144,6*(58-1))))</f>
        <v/>
      </c>
      <c r="BK144" s="3" t="str">
        <f>IF(59&gt;$C144,"",IF($D144=1,EOMONTH(EDATE(Bonds!$H144,6*(59-1)),0),EDATE(Bonds!$H144,6*(59-1))))</f>
        <v/>
      </c>
      <c r="BL144" s="3" t="str">
        <f>IF(60&gt;$C144,"",IF($D144=1,EOMONTH(EDATE(Bonds!$H144,6*(60-1)),0),EDATE(Bonds!$H144,6*(60-1))))</f>
        <v/>
      </c>
      <c r="BN144" s="7">
        <f t="shared" si="123"/>
        <v>1.923987066287536</v>
      </c>
      <c r="BO144" s="7">
        <f t="shared" si="124"/>
        <v>1.8851351590033398</v>
      </c>
      <c r="BP144" s="7">
        <f t="shared" si="125"/>
        <v>1.8436103553148824</v>
      </c>
      <c r="BQ144" s="7">
        <f t="shared" si="126"/>
        <v>1.8022588990535413</v>
      </c>
      <c r="BR144" s="7">
        <f t="shared" si="127"/>
        <v>1.7610478762721522</v>
      </c>
      <c r="BS144" s="7">
        <f t="shared" si="128"/>
        <v>90.569634085876061</v>
      </c>
      <c r="BT144" s="7">
        <f t="shared" si="129"/>
        <v>0</v>
      </c>
      <c r="BU144" s="7">
        <f t="shared" si="130"/>
        <v>0</v>
      </c>
      <c r="BV144" s="7">
        <f t="shared" si="131"/>
        <v>0</v>
      </c>
      <c r="BW144" s="7">
        <f t="shared" si="132"/>
        <v>0</v>
      </c>
      <c r="BX144" s="7">
        <f t="shared" si="133"/>
        <v>0</v>
      </c>
      <c r="BY144" s="7">
        <f t="shared" si="134"/>
        <v>0</v>
      </c>
      <c r="BZ144" s="7">
        <f t="shared" si="135"/>
        <v>0</v>
      </c>
      <c r="CA144" s="7">
        <f t="shared" si="136"/>
        <v>0</v>
      </c>
      <c r="CB144" s="7">
        <f t="shared" si="137"/>
        <v>0</v>
      </c>
      <c r="CC144" s="7">
        <f t="shared" si="138"/>
        <v>0</v>
      </c>
      <c r="CD144" s="7">
        <f t="shared" si="139"/>
        <v>0</v>
      </c>
      <c r="CE144" s="7">
        <f t="shared" si="140"/>
        <v>0</v>
      </c>
      <c r="CF144" s="7">
        <f t="shared" si="141"/>
        <v>0</v>
      </c>
      <c r="CG144" s="7">
        <f t="shared" si="142"/>
        <v>0</v>
      </c>
      <c r="CH144" s="7">
        <f t="shared" si="143"/>
        <v>0</v>
      </c>
      <c r="CI144" s="7">
        <f t="shared" si="144"/>
        <v>0</v>
      </c>
      <c r="CJ144" s="7">
        <f t="shared" si="145"/>
        <v>0</v>
      </c>
      <c r="CK144" s="7">
        <f t="shared" si="146"/>
        <v>0</v>
      </c>
      <c r="CL144" s="7">
        <f t="shared" si="147"/>
        <v>0</v>
      </c>
      <c r="CM144" s="7">
        <f t="shared" si="148"/>
        <v>0</v>
      </c>
      <c r="CN144" s="7">
        <f t="shared" si="149"/>
        <v>0</v>
      </c>
      <c r="CO144" s="7">
        <f t="shared" si="150"/>
        <v>0</v>
      </c>
      <c r="CP144" s="7">
        <f t="shared" si="151"/>
        <v>0</v>
      </c>
      <c r="CQ144" s="7">
        <f t="shared" si="152"/>
        <v>0</v>
      </c>
      <c r="CR144" s="7">
        <f t="shared" si="153"/>
        <v>0</v>
      </c>
      <c r="CS144" s="7">
        <f t="shared" si="154"/>
        <v>0</v>
      </c>
      <c r="CT144" s="7">
        <f t="shared" si="155"/>
        <v>0</v>
      </c>
      <c r="CU144" s="7">
        <f t="shared" si="156"/>
        <v>0</v>
      </c>
      <c r="CV144" s="7">
        <f t="shared" si="157"/>
        <v>0</v>
      </c>
      <c r="CW144" s="7">
        <f t="shared" si="158"/>
        <v>0</v>
      </c>
      <c r="CX144" s="7">
        <f t="shared" si="159"/>
        <v>0</v>
      </c>
      <c r="CY144" s="7">
        <f t="shared" si="160"/>
        <v>0</v>
      </c>
      <c r="CZ144" s="7">
        <f t="shared" si="161"/>
        <v>0</v>
      </c>
      <c r="DA144" s="7">
        <f t="shared" si="162"/>
        <v>0</v>
      </c>
      <c r="DB144" s="7">
        <f t="shared" si="163"/>
        <v>0</v>
      </c>
      <c r="DC144" s="7">
        <f t="shared" si="164"/>
        <v>0</v>
      </c>
      <c r="DD144" s="7">
        <f t="shared" si="165"/>
        <v>0</v>
      </c>
      <c r="DE144" s="7">
        <f t="shared" si="166"/>
        <v>0</v>
      </c>
      <c r="DF144" s="7">
        <f t="shared" si="167"/>
        <v>0</v>
      </c>
      <c r="DG144" s="7">
        <f t="shared" si="168"/>
        <v>0</v>
      </c>
      <c r="DH144" s="7">
        <f t="shared" si="169"/>
        <v>0</v>
      </c>
      <c r="DI144" s="7">
        <f t="shared" si="170"/>
        <v>0</v>
      </c>
      <c r="DJ144" s="7">
        <f t="shared" si="171"/>
        <v>0</v>
      </c>
      <c r="DK144" s="7">
        <f t="shared" si="172"/>
        <v>0</v>
      </c>
      <c r="DL144" s="7">
        <f t="shared" si="173"/>
        <v>0</v>
      </c>
      <c r="DM144" s="7">
        <f t="shared" si="174"/>
        <v>0</v>
      </c>
      <c r="DN144" s="7">
        <f t="shared" si="175"/>
        <v>0</v>
      </c>
      <c r="DO144" s="7">
        <f t="shared" si="176"/>
        <v>0</v>
      </c>
      <c r="DP144" s="7">
        <f t="shared" si="177"/>
        <v>0</v>
      </c>
      <c r="DQ144" s="7">
        <f t="shared" si="178"/>
        <v>0</v>
      </c>
      <c r="DR144" s="7">
        <f t="shared" si="179"/>
        <v>0</v>
      </c>
      <c r="DS144" s="7">
        <f t="shared" si="180"/>
        <v>0</v>
      </c>
      <c r="DT144" s="7">
        <f t="shared" si="181"/>
        <v>0</v>
      </c>
      <c r="DU144" s="7">
        <f t="shared" si="182"/>
        <v>0</v>
      </c>
    </row>
    <row r="145" spans="1:125" x14ac:dyDescent="0.2">
      <c r="A145" s="3">
        <f>Bonds!A145</f>
        <v>47269</v>
      </c>
      <c r="B145" s="4">
        <f>Bonds!B145</f>
        <v>2.75</v>
      </c>
      <c r="C145">
        <f>Bonds!P145</f>
        <v>6</v>
      </c>
      <c r="D145">
        <f t="shared" si="122"/>
        <v>1</v>
      </c>
      <c r="E145" s="3">
        <f>IF(1&gt;$C145,"",IF($D145=1,EOMONTH(EDATE(Bonds!$H145,6*(1-1)),0),EDATE(Bonds!$H145,6*(1-1))))</f>
        <v>46356</v>
      </c>
      <c r="F145" s="3">
        <f>IF(2&gt;$C145,"",IF($D145=1,EOMONTH(EDATE(Bonds!$H145,6*(2-1)),0),EDATE(Bonds!$H145,6*(2-1))))</f>
        <v>46538</v>
      </c>
      <c r="G145" s="3">
        <f>IF(3&gt;$C145,"",IF($D145=1,EOMONTH(EDATE(Bonds!$H145,6*(3-1)),0),EDATE(Bonds!$H145,6*(3-1))))</f>
        <v>46721</v>
      </c>
      <c r="H145" s="3">
        <f>IF(4&gt;$C145,"",IF($D145=1,EOMONTH(EDATE(Bonds!$H145,6*(4-1)),0),EDATE(Bonds!$H145,6*(4-1))))</f>
        <v>46904</v>
      </c>
      <c r="I145" s="3">
        <f>IF(5&gt;$C145,"",IF($D145=1,EOMONTH(EDATE(Bonds!$H145,6*(5-1)),0),EDATE(Bonds!$H145,6*(5-1))))</f>
        <v>47087</v>
      </c>
      <c r="J145" s="3">
        <f>IF(6&gt;$C145,"",IF($D145=1,EOMONTH(EDATE(Bonds!$H145,6*(6-1)),0),EDATE(Bonds!$H145,6*(6-1))))</f>
        <v>47269</v>
      </c>
      <c r="K145" s="3" t="str">
        <f>IF(7&gt;$C145,"",IF($D145=1,EOMONTH(EDATE(Bonds!$H145,6*(7-1)),0),EDATE(Bonds!$H145,6*(7-1))))</f>
        <v/>
      </c>
      <c r="L145" s="3" t="str">
        <f>IF(8&gt;$C145,"",IF($D145=1,EOMONTH(EDATE(Bonds!$H145,6*(8-1)),0),EDATE(Bonds!$H145,6*(8-1))))</f>
        <v/>
      </c>
      <c r="M145" s="3" t="str">
        <f>IF(9&gt;$C145,"",IF($D145=1,EOMONTH(EDATE(Bonds!$H145,6*(9-1)),0),EDATE(Bonds!$H145,6*(9-1))))</f>
        <v/>
      </c>
      <c r="N145" s="3" t="str">
        <f>IF(10&gt;$C145,"",IF($D145=1,EOMONTH(EDATE(Bonds!$H145,6*(10-1)),0),EDATE(Bonds!$H145,6*(10-1))))</f>
        <v/>
      </c>
      <c r="O145" s="3" t="str">
        <f>IF(11&gt;$C145,"",IF($D145=1,EOMONTH(EDATE(Bonds!$H145,6*(11-1)),0),EDATE(Bonds!$H145,6*(11-1))))</f>
        <v/>
      </c>
      <c r="P145" s="3" t="str">
        <f>IF(12&gt;$C145,"",IF($D145=1,EOMONTH(EDATE(Bonds!$H145,6*(12-1)),0),EDATE(Bonds!$H145,6*(12-1))))</f>
        <v/>
      </c>
      <c r="Q145" s="3" t="str">
        <f>IF(13&gt;$C145,"",IF($D145=1,EOMONTH(EDATE(Bonds!$H145,6*(13-1)),0),EDATE(Bonds!$H145,6*(13-1))))</f>
        <v/>
      </c>
      <c r="R145" s="3" t="str">
        <f>IF(14&gt;$C145,"",IF($D145=1,EOMONTH(EDATE(Bonds!$H145,6*(14-1)),0),EDATE(Bonds!$H145,6*(14-1))))</f>
        <v/>
      </c>
      <c r="S145" s="3" t="str">
        <f>IF(15&gt;$C145,"",IF($D145=1,EOMONTH(EDATE(Bonds!$H145,6*(15-1)),0),EDATE(Bonds!$H145,6*(15-1))))</f>
        <v/>
      </c>
      <c r="T145" s="3" t="str">
        <f>IF(16&gt;$C145,"",IF($D145=1,EOMONTH(EDATE(Bonds!$H145,6*(16-1)),0),EDATE(Bonds!$H145,6*(16-1))))</f>
        <v/>
      </c>
      <c r="U145" s="3" t="str">
        <f>IF(17&gt;$C145,"",IF($D145=1,EOMONTH(EDATE(Bonds!$H145,6*(17-1)),0),EDATE(Bonds!$H145,6*(17-1))))</f>
        <v/>
      </c>
      <c r="V145" s="3" t="str">
        <f>IF(18&gt;$C145,"",IF($D145=1,EOMONTH(EDATE(Bonds!$H145,6*(18-1)),0),EDATE(Bonds!$H145,6*(18-1))))</f>
        <v/>
      </c>
      <c r="W145" s="3" t="str">
        <f>IF(19&gt;$C145,"",IF($D145=1,EOMONTH(EDATE(Bonds!$H145,6*(19-1)),0),EDATE(Bonds!$H145,6*(19-1))))</f>
        <v/>
      </c>
      <c r="X145" s="3" t="str">
        <f>IF(20&gt;$C145,"",IF($D145=1,EOMONTH(EDATE(Bonds!$H145,6*(20-1)),0),EDATE(Bonds!$H145,6*(20-1))))</f>
        <v/>
      </c>
      <c r="Y145" s="3" t="str">
        <f>IF(21&gt;$C145,"",IF($D145=1,EOMONTH(EDATE(Bonds!$H145,6*(21-1)),0),EDATE(Bonds!$H145,6*(21-1))))</f>
        <v/>
      </c>
      <c r="Z145" s="3" t="str">
        <f>IF(22&gt;$C145,"",IF($D145=1,EOMONTH(EDATE(Bonds!$H145,6*(22-1)),0),EDATE(Bonds!$H145,6*(22-1))))</f>
        <v/>
      </c>
      <c r="AA145" s="3" t="str">
        <f>IF(23&gt;$C145,"",IF($D145=1,EOMONTH(EDATE(Bonds!$H145,6*(23-1)),0),EDATE(Bonds!$H145,6*(23-1))))</f>
        <v/>
      </c>
      <c r="AB145" s="3" t="str">
        <f>IF(24&gt;$C145,"",IF($D145=1,EOMONTH(EDATE(Bonds!$H145,6*(24-1)),0),EDATE(Bonds!$H145,6*(24-1))))</f>
        <v/>
      </c>
      <c r="AC145" s="3" t="str">
        <f>IF(25&gt;$C145,"",IF($D145=1,EOMONTH(EDATE(Bonds!$H145,6*(25-1)),0),EDATE(Bonds!$H145,6*(25-1))))</f>
        <v/>
      </c>
      <c r="AD145" s="3" t="str">
        <f>IF(26&gt;$C145,"",IF($D145=1,EOMONTH(EDATE(Bonds!$H145,6*(26-1)),0),EDATE(Bonds!$H145,6*(26-1))))</f>
        <v/>
      </c>
      <c r="AE145" s="3" t="str">
        <f>IF(27&gt;$C145,"",IF($D145=1,EOMONTH(EDATE(Bonds!$H145,6*(27-1)),0),EDATE(Bonds!$H145,6*(27-1))))</f>
        <v/>
      </c>
      <c r="AF145" s="3" t="str">
        <f>IF(28&gt;$C145,"",IF($D145=1,EOMONTH(EDATE(Bonds!$H145,6*(28-1)),0),EDATE(Bonds!$H145,6*(28-1))))</f>
        <v/>
      </c>
      <c r="AG145" s="3" t="str">
        <f>IF(29&gt;$C145,"",IF($D145=1,EOMONTH(EDATE(Bonds!$H145,6*(29-1)),0),EDATE(Bonds!$H145,6*(29-1))))</f>
        <v/>
      </c>
      <c r="AH145" s="3" t="str">
        <f>IF(30&gt;$C145,"",IF($D145=1,EOMONTH(EDATE(Bonds!$H145,6*(30-1)),0),EDATE(Bonds!$H145,6*(30-1))))</f>
        <v/>
      </c>
      <c r="AI145" s="3" t="str">
        <f>IF(31&gt;$C145,"",IF($D145=1,EOMONTH(EDATE(Bonds!$H145,6*(31-1)),0),EDATE(Bonds!$H145,6*(31-1))))</f>
        <v/>
      </c>
      <c r="AJ145" s="3" t="str">
        <f>IF(32&gt;$C145,"",IF($D145=1,EOMONTH(EDATE(Bonds!$H145,6*(32-1)),0),EDATE(Bonds!$H145,6*(32-1))))</f>
        <v/>
      </c>
      <c r="AK145" s="3" t="str">
        <f>IF(33&gt;$C145,"",IF($D145=1,EOMONTH(EDATE(Bonds!$H145,6*(33-1)),0),EDATE(Bonds!$H145,6*(33-1))))</f>
        <v/>
      </c>
      <c r="AL145" s="3" t="str">
        <f>IF(34&gt;$C145,"",IF($D145=1,EOMONTH(EDATE(Bonds!$H145,6*(34-1)),0),EDATE(Bonds!$H145,6*(34-1))))</f>
        <v/>
      </c>
      <c r="AM145" s="3" t="str">
        <f>IF(35&gt;$C145,"",IF($D145=1,EOMONTH(EDATE(Bonds!$H145,6*(35-1)),0),EDATE(Bonds!$H145,6*(35-1))))</f>
        <v/>
      </c>
      <c r="AN145" s="3" t="str">
        <f>IF(36&gt;$C145,"",IF($D145=1,EOMONTH(EDATE(Bonds!$H145,6*(36-1)),0),EDATE(Bonds!$H145,6*(36-1))))</f>
        <v/>
      </c>
      <c r="AO145" s="3" t="str">
        <f>IF(37&gt;$C145,"",IF($D145=1,EOMONTH(EDATE(Bonds!$H145,6*(37-1)),0),EDATE(Bonds!$H145,6*(37-1))))</f>
        <v/>
      </c>
      <c r="AP145" s="3" t="str">
        <f>IF(38&gt;$C145,"",IF($D145=1,EOMONTH(EDATE(Bonds!$H145,6*(38-1)),0),EDATE(Bonds!$H145,6*(38-1))))</f>
        <v/>
      </c>
      <c r="AQ145" s="3" t="str">
        <f>IF(39&gt;$C145,"",IF($D145=1,EOMONTH(EDATE(Bonds!$H145,6*(39-1)),0),EDATE(Bonds!$H145,6*(39-1))))</f>
        <v/>
      </c>
      <c r="AR145" s="3" t="str">
        <f>IF(40&gt;$C145,"",IF($D145=1,EOMONTH(EDATE(Bonds!$H145,6*(40-1)),0),EDATE(Bonds!$H145,6*(40-1))))</f>
        <v/>
      </c>
      <c r="AS145" s="3" t="str">
        <f>IF(41&gt;$C145,"",IF($D145=1,EOMONTH(EDATE(Bonds!$H145,6*(41-1)),0),EDATE(Bonds!$H145,6*(41-1))))</f>
        <v/>
      </c>
      <c r="AT145" s="3" t="str">
        <f>IF(42&gt;$C145,"",IF($D145=1,EOMONTH(EDATE(Bonds!$H145,6*(42-1)),0),EDATE(Bonds!$H145,6*(42-1))))</f>
        <v/>
      </c>
      <c r="AU145" s="3" t="str">
        <f>IF(43&gt;$C145,"",IF($D145=1,EOMONTH(EDATE(Bonds!$H145,6*(43-1)),0),EDATE(Bonds!$H145,6*(43-1))))</f>
        <v/>
      </c>
      <c r="AV145" s="3" t="str">
        <f>IF(44&gt;$C145,"",IF($D145=1,EOMONTH(EDATE(Bonds!$H145,6*(44-1)),0),EDATE(Bonds!$H145,6*(44-1))))</f>
        <v/>
      </c>
      <c r="AW145" s="3" t="str">
        <f>IF(45&gt;$C145,"",IF($D145=1,EOMONTH(EDATE(Bonds!$H145,6*(45-1)),0),EDATE(Bonds!$H145,6*(45-1))))</f>
        <v/>
      </c>
      <c r="AX145" s="3" t="str">
        <f>IF(46&gt;$C145,"",IF($D145=1,EOMONTH(EDATE(Bonds!$H145,6*(46-1)),0),EDATE(Bonds!$H145,6*(46-1))))</f>
        <v/>
      </c>
      <c r="AY145" s="3" t="str">
        <f>IF(47&gt;$C145,"",IF($D145=1,EOMONTH(EDATE(Bonds!$H145,6*(47-1)),0),EDATE(Bonds!$H145,6*(47-1))))</f>
        <v/>
      </c>
      <c r="AZ145" s="3" t="str">
        <f>IF(48&gt;$C145,"",IF($D145=1,EOMONTH(EDATE(Bonds!$H145,6*(48-1)),0),EDATE(Bonds!$H145,6*(48-1))))</f>
        <v/>
      </c>
      <c r="BA145" s="3" t="str">
        <f>IF(49&gt;$C145,"",IF($D145=1,EOMONTH(EDATE(Bonds!$H145,6*(49-1)),0),EDATE(Bonds!$H145,6*(49-1))))</f>
        <v/>
      </c>
      <c r="BB145" s="3" t="str">
        <f>IF(50&gt;$C145,"",IF($D145=1,EOMONTH(EDATE(Bonds!$H145,6*(50-1)),0),EDATE(Bonds!$H145,6*(50-1))))</f>
        <v/>
      </c>
      <c r="BC145" s="3" t="str">
        <f>IF(51&gt;$C145,"",IF($D145=1,EOMONTH(EDATE(Bonds!$H145,6*(51-1)),0),EDATE(Bonds!$H145,6*(51-1))))</f>
        <v/>
      </c>
      <c r="BD145" s="3" t="str">
        <f>IF(52&gt;$C145,"",IF($D145=1,EOMONTH(EDATE(Bonds!$H145,6*(52-1)),0),EDATE(Bonds!$H145,6*(52-1))))</f>
        <v/>
      </c>
      <c r="BE145" s="3" t="str">
        <f>IF(53&gt;$C145,"",IF($D145=1,EOMONTH(EDATE(Bonds!$H145,6*(53-1)),0),EDATE(Bonds!$H145,6*(53-1))))</f>
        <v/>
      </c>
      <c r="BF145" s="3" t="str">
        <f>IF(54&gt;$C145,"",IF($D145=1,EOMONTH(EDATE(Bonds!$H145,6*(54-1)),0),EDATE(Bonds!$H145,6*(54-1))))</f>
        <v/>
      </c>
      <c r="BG145" s="3" t="str">
        <f>IF(55&gt;$C145,"",IF($D145=1,EOMONTH(EDATE(Bonds!$H145,6*(55-1)),0),EDATE(Bonds!$H145,6*(55-1))))</f>
        <v/>
      </c>
      <c r="BH145" s="3" t="str">
        <f>IF(56&gt;$C145,"",IF($D145=1,EOMONTH(EDATE(Bonds!$H145,6*(56-1)),0),EDATE(Bonds!$H145,6*(56-1))))</f>
        <v/>
      </c>
      <c r="BI145" s="3" t="str">
        <f>IF(57&gt;$C145,"",IF($D145=1,EOMONTH(EDATE(Bonds!$H145,6*(57-1)),0),EDATE(Bonds!$H145,6*(57-1))))</f>
        <v/>
      </c>
      <c r="BJ145" s="3" t="str">
        <f>IF(58&gt;$C145,"",IF($D145=1,EOMONTH(EDATE(Bonds!$H145,6*(58-1)),0),EDATE(Bonds!$H145,6*(58-1))))</f>
        <v/>
      </c>
      <c r="BK145" s="3" t="str">
        <f>IF(59&gt;$C145,"",IF($D145=1,EOMONTH(EDATE(Bonds!$H145,6*(59-1)),0),EDATE(Bonds!$H145,6*(59-1))))</f>
        <v/>
      </c>
      <c r="BL145" s="3" t="str">
        <f>IF(60&gt;$C145,"",IF($D145=1,EOMONTH(EDATE(Bonds!$H145,6*(60-1)),0),EDATE(Bonds!$H145,6*(60-1))))</f>
        <v/>
      </c>
      <c r="BN145" s="7">
        <f t="shared" si="123"/>
        <v>1.3632235466243854</v>
      </c>
      <c r="BO145" s="7">
        <f t="shared" si="124"/>
        <v>1.3353094193633614</v>
      </c>
      <c r="BP145" s="7">
        <f t="shared" si="125"/>
        <v>1.3059458152464367</v>
      </c>
      <c r="BQ145" s="7">
        <f t="shared" si="126"/>
        <v>1.2764568706423178</v>
      </c>
      <c r="BR145" s="7">
        <f t="shared" si="127"/>
        <v>1.2474198111247159</v>
      </c>
      <c r="BS145" s="7">
        <f t="shared" si="128"/>
        <v>89.88912193388451</v>
      </c>
      <c r="BT145" s="7">
        <f t="shared" si="129"/>
        <v>0</v>
      </c>
      <c r="BU145" s="7">
        <f t="shared" si="130"/>
        <v>0</v>
      </c>
      <c r="BV145" s="7">
        <f t="shared" si="131"/>
        <v>0</v>
      </c>
      <c r="BW145" s="7">
        <f t="shared" si="132"/>
        <v>0</v>
      </c>
      <c r="BX145" s="7">
        <f t="shared" si="133"/>
        <v>0</v>
      </c>
      <c r="BY145" s="7">
        <f t="shared" si="134"/>
        <v>0</v>
      </c>
      <c r="BZ145" s="7">
        <f t="shared" si="135"/>
        <v>0</v>
      </c>
      <c r="CA145" s="7">
        <f t="shared" si="136"/>
        <v>0</v>
      </c>
      <c r="CB145" s="7">
        <f t="shared" si="137"/>
        <v>0</v>
      </c>
      <c r="CC145" s="7">
        <f t="shared" si="138"/>
        <v>0</v>
      </c>
      <c r="CD145" s="7">
        <f t="shared" si="139"/>
        <v>0</v>
      </c>
      <c r="CE145" s="7">
        <f t="shared" si="140"/>
        <v>0</v>
      </c>
      <c r="CF145" s="7">
        <f t="shared" si="141"/>
        <v>0</v>
      </c>
      <c r="CG145" s="7">
        <f t="shared" si="142"/>
        <v>0</v>
      </c>
      <c r="CH145" s="7">
        <f t="shared" si="143"/>
        <v>0</v>
      </c>
      <c r="CI145" s="7">
        <f t="shared" si="144"/>
        <v>0</v>
      </c>
      <c r="CJ145" s="7">
        <f t="shared" si="145"/>
        <v>0</v>
      </c>
      <c r="CK145" s="7">
        <f t="shared" si="146"/>
        <v>0</v>
      </c>
      <c r="CL145" s="7">
        <f t="shared" si="147"/>
        <v>0</v>
      </c>
      <c r="CM145" s="7">
        <f t="shared" si="148"/>
        <v>0</v>
      </c>
      <c r="CN145" s="7">
        <f t="shared" si="149"/>
        <v>0</v>
      </c>
      <c r="CO145" s="7">
        <f t="shared" si="150"/>
        <v>0</v>
      </c>
      <c r="CP145" s="7">
        <f t="shared" si="151"/>
        <v>0</v>
      </c>
      <c r="CQ145" s="7">
        <f t="shared" si="152"/>
        <v>0</v>
      </c>
      <c r="CR145" s="7">
        <f t="shared" si="153"/>
        <v>0</v>
      </c>
      <c r="CS145" s="7">
        <f t="shared" si="154"/>
        <v>0</v>
      </c>
      <c r="CT145" s="7">
        <f t="shared" si="155"/>
        <v>0</v>
      </c>
      <c r="CU145" s="7">
        <f t="shared" si="156"/>
        <v>0</v>
      </c>
      <c r="CV145" s="7">
        <f t="shared" si="157"/>
        <v>0</v>
      </c>
      <c r="CW145" s="7">
        <f t="shared" si="158"/>
        <v>0</v>
      </c>
      <c r="CX145" s="7">
        <f t="shared" si="159"/>
        <v>0</v>
      </c>
      <c r="CY145" s="7">
        <f t="shared" si="160"/>
        <v>0</v>
      </c>
      <c r="CZ145" s="7">
        <f t="shared" si="161"/>
        <v>0</v>
      </c>
      <c r="DA145" s="7">
        <f t="shared" si="162"/>
        <v>0</v>
      </c>
      <c r="DB145" s="7">
        <f t="shared" si="163"/>
        <v>0</v>
      </c>
      <c r="DC145" s="7">
        <f t="shared" si="164"/>
        <v>0</v>
      </c>
      <c r="DD145" s="7">
        <f t="shared" si="165"/>
        <v>0</v>
      </c>
      <c r="DE145" s="7">
        <f t="shared" si="166"/>
        <v>0</v>
      </c>
      <c r="DF145" s="7">
        <f t="shared" si="167"/>
        <v>0</v>
      </c>
      <c r="DG145" s="7">
        <f t="shared" si="168"/>
        <v>0</v>
      </c>
      <c r="DH145" s="7">
        <f t="shared" si="169"/>
        <v>0</v>
      </c>
      <c r="DI145" s="7">
        <f t="shared" si="170"/>
        <v>0</v>
      </c>
      <c r="DJ145" s="7">
        <f t="shared" si="171"/>
        <v>0</v>
      </c>
      <c r="DK145" s="7">
        <f t="shared" si="172"/>
        <v>0</v>
      </c>
      <c r="DL145" s="7">
        <f t="shared" si="173"/>
        <v>0</v>
      </c>
      <c r="DM145" s="7">
        <f t="shared" si="174"/>
        <v>0</v>
      </c>
      <c r="DN145" s="7">
        <f t="shared" si="175"/>
        <v>0</v>
      </c>
      <c r="DO145" s="7">
        <f t="shared" si="176"/>
        <v>0</v>
      </c>
      <c r="DP145" s="7">
        <f t="shared" si="177"/>
        <v>0</v>
      </c>
      <c r="DQ145" s="7">
        <f t="shared" si="178"/>
        <v>0</v>
      </c>
      <c r="DR145" s="7">
        <f t="shared" si="179"/>
        <v>0</v>
      </c>
      <c r="DS145" s="7">
        <f t="shared" si="180"/>
        <v>0</v>
      </c>
      <c r="DT145" s="7">
        <f t="shared" si="181"/>
        <v>0</v>
      </c>
      <c r="DU145" s="7">
        <f t="shared" si="182"/>
        <v>0</v>
      </c>
    </row>
    <row r="146" spans="1:125" x14ac:dyDescent="0.2">
      <c r="A146" s="3">
        <f>Bonds!A146</f>
        <v>47269</v>
      </c>
      <c r="B146" s="4">
        <f>Bonds!B146</f>
        <v>4.5</v>
      </c>
      <c r="C146">
        <f>Bonds!P146</f>
        <v>6</v>
      </c>
      <c r="D146">
        <f t="shared" si="122"/>
        <v>1</v>
      </c>
      <c r="E146" s="3">
        <f>IF(1&gt;$C146,"",IF($D146=1,EOMONTH(EDATE(Bonds!$H146,6*(1-1)),0),EDATE(Bonds!$H146,6*(1-1))))</f>
        <v>46356</v>
      </c>
      <c r="F146" s="3">
        <f>IF(2&gt;$C146,"",IF($D146=1,EOMONTH(EDATE(Bonds!$H146,6*(2-1)),0),EDATE(Bonds!$H146,6*(2-1))))</f>
        <v>46538</v>
      </c>
      <c r="G146" s="3">
        <f>IF(3&gt;$C146,"",IF($D146=1,EOMONTH(EDATE(Bonds!$H146,6*(3-1)),0),EDATE(Bonds!$H146,6*(3-1))))</f>
        <v>46721</v>
      </c>
      <c r="H146" s="3">
        <f>IF(4&gt;$C146,"",IF($D146=1,EOMONTH(EDATE(Bonds!$H146,6*(4-1)),0),EDATE(Bonds!$H146,6*(4-1))))</f>
        <v>46904</v>
      </c>
      <c r="I146" s="3">
        <f>IF(5&gt;$C146,"",IF($D146=1,EOMONTH(EDATE(Bonds!$H146,6*(5-1)),0),EDATE(Bonds!$H146,6*(5-1))))</f>
        <v>47087</v>
      </c>
      <c r="J146" s="3">
        <f>IF(6&gt;$C146,"",IF($D146=1,EOMONTH(EDATE(Bonds!$H146,6*(6-1)),0),EDATE(Bonds!$H146,6*(6-1))))</f>
        <v>47269</v>
      </c>
      <c r="K146" s="3" t="str">
        <f>IF(7&gt;$C146,"",IF($D146=1,EOMONTH(EDATE(Bonds!$H146,6*(7-1)),0),EDATE(Bonds!$H146,6*(7-1))))</f>
        <v/>
      </c>
      <c r="L146" s="3" t="str">
        <f>IF(8&gt;$C146,"",IF($D146=1,EOMONTH(EDATE(Bonds!$H146,6*(8-1)),0),EDATE(Bonds!$H146,6*(8-1))))</f>
        <v/>
      </c>
      <c r="M146" s="3" t="str">
        <f>IF(9&gt;$C146,"",IF($D146=1,EOMONTH(EDATE(Bonds!$H146,6*(9-1)),0),EDATE(Bonds!$H146,6*(9-1))))</f>
        <v/>
      </c>
      <c r="N146" s="3" t="str">
        <f>IF(10&gt;$C146,"",IF($D146=1,EOMONTH(EDATE(Bonds!$H146,6*(10-1)),0),EDATE(Bonds!$H146,6*(10-1))))</f>
        <v/>
      </c>
      <c r="O146" s="3" t="str">
        <f>IF(11&gt;$C146,"",IF($D146=1,EOMONTH(EDATE(Bonds!$H146,6*(11-1)),0),EDATE(Bonds!$H146,6*(11-1))))</f>
        <v/>
      </c>
      <c r="P146" s="3" t="str">
        <f>IF(12&gt;$C146,"",IF($D146=1,EOMONTH(EDATE(Bonds!$H146,6*(12-1)),0),EDATE(Bonds!$H146,6*(12-1))))</f>
        <v/>
      </c>
      <c r="Q146" s="3" t="str">
        <f>IF(13&gt;$C146,"",IF($D146=1,EOMONTH(EDATE(Bonds!$H146,6*(13-1)),0),EDATE(Bonds!$H146,6*(13-1))))</f>
        <v/>
      </c>
      <c r="R146" s="3" t="str">
        <f>IF(14&gt;$C146,"",IF($D146=1,EOMONTH(EDATE(Bonds!$H146,6*(14-1)),0),EDATE(Bonds!$H146,6*(14-1))))</f>
        <v/>
      </c>
      <c r="S146" s="3" t="str">
        <f>IF(15&gt;$C146,"",IF($D146=1,EOMONTH(EDATE(Bonds!$H146,6*(15-1)),0),EDATE(Bonds!$H146,6*(15-1))))</f>
        <v/>
      </c>
      <c r="T146" s="3" t="str">
        <f>IF(16&gt;$C146,"",IF($D146=1,EOMONTH(EDATE(Bonds!$H146,6*(16-1)),0),EDATE(Bonds!$H146,6*(16-1))))</f>
        <v/>
      </c>
      <c r="U146" s="3" t="str">
        <f>IF(17&gt;$C146,"",IF($D146=1,EOMONTH(EDATE(Bonds!$H146,6*(17-1)),0),EDATE(Bonds!$H146,6*(17-1))))</f>
        <v/>
      </c>
      <c r="V146" s="3" t="str">
        <f>IF(18&gt;$C146,"",IF($D146=1,EOMONTH(EDATE(Bonds!$H146,6*(18-1)),0),EDATE(Bonds!$H146,6*(18-1))))</f>
        <v/>
      </c>
      <c r="W146" s="3" t="str">
        <f>IF(19&gt;$C146,"",IF($D146=1,EOMONTH(EDATE(Bonds!$H146,6*(19-1)),0),EDATE(Bonds!$H146,6*(19-1))))</f>
        <v/>
      </c>
      <c r="X146" s="3" t="str">
        <f>IF(20&gt;$C146,"",IF($D146=1,EOMONTH(EDATE(Bonds!$H146,6*(20-1)),0),EDATE(Bonds!$H146,6*(20-1))))</f>
        <v/>
      </c>
      <c r="Y146" s="3" t="str">
        <f>IF(21&gt;$C146,"",IF($D146=1,EOMONTH(EDATE(Bonds!$H146,6*(21-1)),0),EDATE(Bonds!$H146,6*(21-1))))</f>
        <v/>
      </c>
      <c r="Z146" s="3" t="str">
        <f>IF(22&gt;$C146,"",IF($D146=1,EOMONTH(EDATE(Bonds!$H146,6*(22-1)),0),EDATE(Bonds!$H146,6*(22-1))))</f>
        <v/>
      </c>
      <c r="AA146" s="3" t="str">
        <f>IF(23&gt;$C146,"",IF($D146=1,EOMONTH(EDATE(Bonds!$H146,6*(23-1)),0),EDATE(Bonds!$H146,6*(23-1))))</f>
        <v/>
      </c>
      <c r="AB146" s="3" t="str">
        <f>IF(24&gt;$C146,"",IF($D146=1,EOMONTH(EDATE(Bonds!$H146,6*(24-1)),0),EDATE(Bonds!$H146,6*(24-1))))</f>
        <v/>
      </c>
      <c r="AC146" s="3" t="str">
        <f>IF(25&gt;$C146,"",IF($D146=1,EOMONTH(EDATE(Bonds!$H146,6*(25-1)),0),EDATE(Bonds!$H146,6*(25-1))))</f>
        <v/>
      </c>
      <c r="AD146" s="3" t="str">
        <f>IF(26&gt;$C146,"",IF($D146=1,EOMONTH(EDATE(Bonds!$H146,6*(26-1)),0),EDATE(Bonds!$H146,6*(26-1))))</f>
        <v/>
      </c>
      <c r="AE146" s="3" t="str">
        <f>IF(27&gt;$C146,"",IF($D146=1,EOMONTH(EDATE(Bonds!$H146,6*(27-1)),0),EDATE(Bonds!$H146,6*(27-1))))</f>
        <v/>
      </c>
      <c r="AF146" s="3" t="str">
        <f>IF(28&gt;$C146,"",IF($D146=1,EOMONTH(EDATE(Bonds!$H146,6*(28-1)),0),EDATE(Bonds!$H146,6*(28-1))))</f>
        <v/>
      </c>
      <c r="AG146" s="3" t="str">
        <f>IF(29&gt;$C146,"",IF($D146=1,EOMONTH(EDATE(Bonds!$H146,6*(29-1)),0),EDATE(Bonds!$H146,6*(29-1))))</f>
        <v/>
      </c>
      <c r="AH146" s="3" t="str">
        <f>IF(30&gt;$C146,"",IF($D146=1,EOMONTH(EDATE(Bonds!$H146,6*(30-1)),0),EDATE(Bonds!$H146,6*(30-1))))</f>
        <v/>
      </c>
      <c r="AI146" s="3" t="str">
        <f>IF(31&gt;$C146,"",IF($D146=1,EOMONTH(EDATE(Bonds!$H146,6*(31-1)),0),EDATE(Bonds!$H146,6*(31-1))))</f>
        <v/>
      </c>
      <c r="AJ146" s="3" t="str">
        <f>IF(32&gt;$C146,"",IF($D146=1,EOMONTH(EDATE(Bonds!$H146,6*(32-1)),0),EDATE(Bonds!$H146,6*(32-1))))</f>
        <v/>
      </c>
      <c r="AK146" s="3" t="str">
        <f>IF(33&gt;$C146,"",IF($D146=1,EOMONTH(EDATE(Bonds!$H146,6*(33-1)),0),EDATE(Bonds!$H146,6*(33-1))))</f>
        <v/>
      </c>
      <c r="AL146" s="3" t="str">
        <f>IF(34&gt;$C146,"",IF($D146=1,EOMONTH(EDATE(Bonds!$H146,6*(34-1)),0),EDATE(Bonds!$H146,6*(34-1))))</f>
        <v/>
      </c>
      <c r="AM146" s="3" t="str">
        <f>IF(35&gt;$C146,"",IF($D146=1,EOMONTH(EDATE(Bonds!$H146,6*(35-1)),0),EDATE(Bonds!$H146,6*(35-1))))</f>
        <v/>
      </c>
      <c r="AN146" s="3" t="str">
        <f>IF(36&gt;$C146,"",IF($D146=1,EOMONTH(EDATE(Bonds!$H146,6*(36-1)),0),EDATE(Bonds!$H146,6*(36-1))))</f>
        <v/>
      </c>
      <c r="AO146" s="3" t="str">
        <f>IF(37&gt;$C146,"",IF($D146=1,EOMONTH(EDATE(Bonds!$H146,6*(37-1)),0),EDATE(Bonds!$H146,6*(37-1))))</f>
        <v/>
      </c>
      <c r="AP146" s="3" t="str">
        <f>IF(38&gt;$C146,"",IF($D146=1,EOMONTH(EDATE(Bonds!$H146,6*(38-1)),0),EDATE(Bonds!$H146,6*(38-1))))</f>
        <v/>
      </c>
      <c r="AQ146" s="3" t="str">
        <f>IF(39&gt;$C146,"",IF($D146=1,EOMONTH(EDATE(Bonds!$H146,6*(39-1)),0),EDATE(Bonds!$H146,6*(39-1))))</f>
        <v/>
      </c>
      <c r="AR146" s="3" t="str">
        <f>IF(40&gt;$C146,"",IF($D146=1,EOMONTH(EDATE(Bonds!$H146,6*(40-1)),0),EDATE(Bonds!$H146,6*(40-1))))</f>
        <v/>
      </c>
      <c r="AS146" s="3" t="str">
        <f>IF(41&gt;$C146,"",IF($D146=1,EOMONTH(EDATE(Bonds!$H146,6*(41-1)),0),EDATE(Bonds!$H146,6*(41-1))))</f>
        <v/>
      </c>
      <c r="AT146" s="3" t="str">
        <f>IF(42&gt;$C146,"",IF($D146=1,EOMONTH(EDATE(Bonds!$H146,6*(42-1)),0),EDATE(Bonds!$H146,6*(42-1))))</f>
        <v/>
      </c>
      <c r="AU146" s="3" t="str">
        <f>IF(43&gt;$C146,"",IF($D146=1,EOMONTH(EDATE(Bonds!$H146,6*(43-1)),0),EDATE(Bonds!$H146,6*(43-1))))</f>
        <v/>
      </c>
      <c r="AV146" s="3" t="str">
        <f>IF(44&gt;$C146,"",IF($D146=1,EOMONTH(EDATE(Bonds!$H146,6*(44-1)),0),EDATE(Bonds!$H146,6*(44-1))))</f>
        <v/>
      </c>
      <c r="AW146" s="3" t="str">
        <f>IF(45&gt;$C146,"",IF($D146=1,EOMONTH(EDATE(Bonds!$H146,6*(45-1)),0),EDATE(Bonds!$H146,6*(45-1))))</f>
        <v/>
      </c>
      <c r="AX146" s="3" t="str">
        <f>IF(46&gt;$C146,"",IF($D146=1,EOMONTH(EDATE(Bonds!$H146,6*(46-1)),0),EDATE(Bonds!$H146,6*(46-1))))</f>
        <v/>
      </c>
      <c r="AY146" s="3" t="str">
        <f>IF(47&gt;$C146,"",IF($D146=1,EOMONTH(EDATE(Bonds!$H146,6*(47-1)),0),EDATE(Bonds!$H146,6*(47-1))))</f>
        <v/>
      </c>
      <c r="AZ146" s="3" t="str">
        <f>IF(48&gt;$C146,"",IF($D146=1,EOMONTH(EDATE(Bonds!$H146,6*(48-1)),0),EDATE(Bonds!$H146,6*(48-1))))</f>
        <v/>
      </c>
      <c r="BA146" s="3" t="str">
        <f>IF(49&gt;$C146,"",IF($D146=1,EOMONTH(EDATE(Bonds!$H146,6*(49-1)),0),EDATE(Bonds!$H146,6*(49-1))))</f>
        <v/>
      </c>
      <c r="BB146" s="3" t="str">
        <f>IF(50&gt;$C146,"",IF($D146=1,EOMONTH(EDATE(Bonds!$H146,6*(50-1)),0),EDATE(Bonds!$H146,6*(50-1))))</f>
        <v/>
      </c>
      <c r="BC146" s="3" t="str">
        <f>IF(51&gt;$C146,"",IF($D146=1,EOMONTH(EDATE(Bonds!$H146,6*(51-1)),0),EDATE(Bonds!$H146,6*(51-1))))</f>
        <v/>
      </c>
      <c r="BD146" s="3" t="str">
        <f>IF(52&gt;$C146,"",IF($D146=1,EOMONTH(EDATE(Bonds!$H146,6*(52-1)),0),EDATE(Bonds!$H146,6*(52-1))))</f>
        <v/>
      </c>
      <c r="BE146" s="3" t="str">
        <f>IF(53&gt;$C146,"",IF($D146=1,EOMONTH(EDATE(Bonds!$H146,6*(53-1)),0),EDATE(Bonds!$H146,6*(53-1))))</f>
        <v/>
      </c>
      <c r="BF146" s="3" t="str">
        <f>IF(54&gt;$C146,"",IF($D146=1,EOMONTH(EDATE(Bonds!$H146,6*(54-1)),0),EDATE(Bonds!$H146,6*(54-1))))</f>
        <v/>
      </c>
      <c r="BG146" s="3" t="str">
        <f>IF(55&gt;$C146,"",IF($D146=1,EOMONTH(EDATE(Bonds!$H146,6*(55-1)),0),EDATE(Bonds!$H146,6*(55-1))))</f>
        <v/>
      </c>
      <c r="BH146" s="3" t="str">
        <f>IF(56&gt;$C146,"",IF($D146=1,EOMONTH(EDATE(Bonds!$H146,6*(56-1)),0),EDATE(Bonds!$H146,6*(56-1))))</f>
        <v/>
      </c>
      <c r="BI146" s="3" t="str">
        <f>IF(57&gt;$C146,"",IF($D146=1,EOMONTH(EDATE(Bonds!$H146,6*(57-1)),0),EDATE(Bonds!$H146,6*(57-1))))</f>
        <v/>
      </c>
      <c r="BJ146" s="3" t="str">
        <f>IF(58&gt;$C146,"",IF($D146=1,EOMONTH(EDATE(Bonds!$H146,6*(58-1)),0),EDATE(Bonds!$H146,6*(58-1))))</f>
        <v/>
      </c>
      <c r="BK146" s="3" t="str">
        <f>IF(59&gt;$C146,"",IF($D146=1,EOMONTH(EDATE(Bonds!$H146,6*(59-1)),0),EDATE(Bonds!$H146,6*(59-1))))</f>
        <v/>
      </c>
      <c r="BL146" s="3" t="str">
        <f>IF(60&gt;$C146,"",IF($D146=1,EOMONTH(EDATE(Bonds!$H146,6*(60-1)),0),EDATE(Bonds!$H146,6*(60-1))))</f>
        <v/>
      </c>
      <c r="BN146" s="7">
        <f t="shared" si="123"/>
        <v>2.2307294399308129</v>
      </c>
      <c r="BO146" s="7">
        <f t="shared" si="124"/>
        <v>2.1850517771400462</v>
      </c>
      <c r="BP146" s="7">
        <f t="shared" si="125"/>
        <v>2.1370022431305329</v>
      </c>
      <c r="BQ146" s="7">
        <f t="shared" si="126"/>
        <v>2.0887476065056112</v>
      </c>
      <c r="BR146" s="7">
        <f t="shared" si="127"/>
        <v>2.0412324182040806</v>
      </c>
      <c r="BS146" s="7">
        <f t="shared" si="128"/>
        <v>90.664983652179444</v>
      </c>
      <c r="BT146" s="7">
        <f t="shared" si="129"/>
        <v>0</v>
      </c>
      <c r="BU146" s="7">
        <f t="shared" si="130"/>
        <v>0</v>
      </c>
      <c r="BV146" s="7">
        <f t="shared" si="131"/>
        <v>0</v>
      </c>
      <c r="BW146" s="7">
        <f t="shared" si="132"/>
        <v>0</v>
      </c>
      <c r="BX146" s="7">
        <f t="shared" si="133"/>
        <v>0</v>
      </c>
      <c r="BY146" s="7">
        <f t="shared" si="134"/>
        <v>0</v>
      </c>
      <c r="BZ146" s="7">
        <f t="shared" si="135"/>
        <v>0</v>
      </c>
      <c r="CA146" s="7">
        <f t="shared" si="136"/>
        <v>0</v>
      </c>
      <c r="CB146" s="7">
        <f t="shared" si="137"/>
        <v>0</v>
      </c>
      <c r="CC146" s="7">
        <f t="shared" si="138"/>
        <v>0</v>
      </c>
      <c r="CD146" s="7">
        <f t="shared" si="139"/>
        <v>0</v>
      </c>
      <c r="CE146" s="7">
        <f t="shared" si="140"/>
        <v>0</v>
      </c>
      <c r="CF146" s="7">
        <f t="shared" si="141"/>
        <v>0</v>
      </c>
      <c r="CG146" s="7">
        <f t="shared" si="142"/>
        <v>0</v>
      </c>
      <c r="CH146" s="7">
        <f t="shared" si="143"/>
        <v>0</v>
      </c>
      <c r="CI146" s="7">
        <f t="shared" si="144"/>
        <v>0</v>
      </c>
      <c r="CJ146" s="7">
        <f t="shared" si="145"/>
        <v>0</v>
      </c>
      <c r="CK146" s="7">
        <f t="shared" si="146"/>
        <v>0</v>
      </c>
      <c r="CL146" s="7">
        <f t="shared" si="147"/>
        <v>0</v>
      </c>
      <c r="CM146" s="7">
        <f t="shared" si="148"/>
        <v>0</v>
      </c>
      <c r="CN146" s="7">
        <f t="shared" si="149"/>
        <v>0</v>
      </c>
      <c r="CO146" s="7">
        <f t="shared" si="150"/>
        <v>0</v>
      </c>
      <c r="CP146" s="7">
        <f t="shared" si="151"/>
        <v>0</v>
      </c>
      <c r="CQ146" s="7">
        <f t="shared" si="152"/>
        <v>0</v>
      </c>
      <c r="CR146" s="7">
        <f t="shared" si="153"/>
        <v>0</v>
      </c>
      <c r="CS146" s="7">
        <f t="shared" si="154"/>
        <v>0</v>
      </c>
      <c r="CT146" s="7">
        <f t="shared" si="155"/>
        <v>0</v>
      </c>
      <c r="CU146" s="7">
        <f t="shared" si="156"/>
        <v>0</v>
      </c>
      <c r="CV146" s="7">
        <f t="shared" si="157"/>
        <v>0</v>
      </c>
      <c r="CW146" s="7">
        <f t="shared" si="158"/>
        <v>0</v>
      </c>
      <c r="CX146" s="7">
        <f t="shared" si="159"/>
        <v>0</v>
      </c>
      <c r="CY146" s="7">
        <f t="shared" si="160"/>
        <v>0</v>
      </c>
      <c r="CZ146" s="7">
        <f t="shared" si="161"/>
        <v>0</v>
      </c>
      <c r="DA146" s="7">
        <f t="shared" si="162"/>
        <v>0</v>
      </c>
      <c r="DB146" s="7">
        <f t="shared" si="163"/>
        <v>0</v>
      </c>
      <c r="DC146" s="7">
        <f t="shared" si="164"/>
        <v>0</v>
      </c>
      <c r="DD146" s="7">
        <f t="shared" si="165"/>
        <v>0</v>
      </c>
      <c r="DE146" s="7">
        <f t="shared" si="166"/>
        <v>0</v>
      </c>
      <c r="DF146" s="7">
        <f t="shared" si="167"/>
        <v>0</v>
      </c>
      <c r="DG146" s="7">
        <f t="shared" si="168"/>
        <v>0</v>
      </c>
      <c r="DH146" s="7">
        <f t="shared" si="169"/>
        <v>0</v>
      </c>
      <c r="DI146" s="7">
        <f t="shared" si="170"/>
        <v>0</v>
      </c>
      <c r="DJ146" s="7">
        <f t="shared" si="171"/>
        <v>0</v>
      </c>
      <c r="DK146" s="7">
        <f t="shared" si="172"/>
        <v>0</v>
      </c>
      <c r="DL146" s="7">
        <f t="shared" si="173"/>
        <v>0</v>
      </c>
      <c r="DM146" s="7">
        <f t="shared" si="174"/>
        <v>0</v>
      </c>
      <c r="DN146" s="7">
        <f t="shared" si="175"/>
        <v>0</v>
      </c>
      <c r="DO146" s="7">
        <f t="shared" si="176"/>
        <v>0</v>
      </c>
      <c r="DP146" s="7">
        <f t="shared" si="177"/>
        <v>0</v>
      </c>
      <c r="DQ146" s="7">
        <f t="shared" si="178"/>
        <v>0</v>
      </c>
      <c r="DR146" s="7">
        <f t="shared" si="179"/>
        <v>0</v>
      </c>
      <c r="DS146" s="7">
        <f t="shared" si="180"/>
        <v>0</v>
      </c>
      <c r="DT146" s="7">
        <f t="shared" si="181"/>
        <v>0</v>
      </c>
      <c r="DU146" s="7">
        <f t="shared" si="182"/>
        <v>0</v>
      </c>
    </row>
    <row r="147" spans="1:125" x14ac:dyDescent="0.2">
      <c r="A147" s="3">
        <f>Bonds!A147</f>
        <v>47284</v>
      </c>
      <c r="B147" s="4">
        <f>Bonds!B147</f>
        <v>4.125</v>
      </c>
      <c r="C147">
        <f>Bonds!P147</f>
        <v>6</v>
      </c>
      <c r="D147">
        <f t="shared" si="122"/>
        <v>0</v>
      </c>
      <c r="E147" s="3">
        <f>IF(1&gt;$C147,"",IF($D147=1,EOMONTH(EDATE(Bonds!$H147,6*(1-1)),0),EDATE(Bonds!$H147,6*(1-1))))</f>
        <v>46371</v>
      </c>
      <c r="F147" s="3">
        <f>IF(2&gt;$C147,"",IF($D147=1,EOMONTH(EDATE(Bonds!$H147,6*(2-1)),0),EDATE(Bonds!$H147,6*(2-1))))</f>
        <v>46553</v>
      </c>
      <c r="G147" s="3">
        <f>IF(3&gt;$C147,"",IF($D147=1,EOMONTH(EDATE(Bonds!$H147,6*(3-1)),0),EDATE(Bonds!$H147,6*(3-1))))</f>
        <v>46736</v>
      </c>
      <c r="H147" s="3">
        <f>IF(4&gt;$C147,"",IF($D147=1,EOMONTH(EDATE(Bonds!$H147,6*(4-1)),0),EDATE(Bonds!$H147,6*(4-1))))</f>
        <v>46919</v>
      </c>
      <c r="I147" s="3">
        <f>IF(5&gt;$C147,"",IF($D147=1,EOMONTH(EDATE(Bonds!$H147,6*(5-1)),0),EDATE(Bonds!$H147,6*(5-1))))</f>
        <v>47102</v>
      </c>
      <c r="J147" s="3">
        <f>IF(6&gt;$C147,"",IF($D147=1,EOMONTH(EDATE(Bonds!$H147,6*(6-1)),0),EDATE(Bonds!$H147,6*(6-1))))</f>
        <v>47284</v>
      </c>
      <c r="K147" s="3" t="str">
        <f>IF(7&gt;$C147,"",IF($D147=1,EOMONTH(EDATE(Bonds!$H147,6*(7-1)),0),EDATE(Bonds!$H147,6*(7-1))))</f>
        <v/>
      </c>
      <c r="L147" s="3" t="str">
        <f>IF(8&gt;$C147,"",IF($D147=1,EOMONTH(EDATE(Bonds!$H147,6*(8-1)),0),EDATE(Bonds!$H147,6*(8-1))))</f>
        <v/>
      </c>
      <c r="M147" s="3" t="str">
        <f>IF(9&gt;$C147,"",IF($D147=1,EOMONTH(EDATE(Bonds!$H147,6*(9-1)),0),EDATE(Bonds!$H147,6*(9-1))))</f>
        <v/>
      </c>
      <c r="N147" s="3" t="str">
        <f>IF(10&gt;$C147,"",IF($D147=1,EOMONTH(EDATE(Bonds!$H147,6*(10-1)),0),EDATE(Bonds!$H147,6*(10-1))))</f>
        <v/>
      </c>
      <c r="O147" s="3" t="str">
        <f>IF(11&gt;$C147,"",IF($D147=1,EOMONTH(EDATE(Bonds!$H147,6*(11-1)),0),EDATE(Bonds!$H147,6*(11-1))))</f>
        <v/>
      </c>
      <c r="P147" s="3" t="str">
        <f>IF(12&gt;$C147,"",IF($D147=1,EOMONTH(EDATE(Bonds!$H147,6*(12-1)),0),EDATE(Bonds!$H147,6*(12-1))))</f>
        <v/>
      </c>
      <c r="Q147" s="3" t="str">
        <f>IF(13&gt;$C147,"",IF($D147=1,EOMONTH(EDATE(Bonds!$H147,6*(13-1)),0),EDATE(Bonds!$H147,6*(13-1))))</f>
        <v/>
      </c>
      <c r="R147" s="3" t="str">
        <f>IF(14&gt;$C147,"",IF($D147=1,EOMONTH(EDATE(Bonds!$H147,6*(14-1)),0),EDATE(Bonds!$H147,6*(14-1))))</f>
        <v/>
      </c>
      <c r="S147" s="3" t="str">
        <f>IF(15&gt;$C147,"",IF($D147=1,EOMONTH(EDATE(Bonds!$H147,6*(15-1)),0),EDATE(Bonds!$H147,6*(15-1))))</f>
        <v/>
      </c>
      <c r="T147" s="3" t="str">
        <f>IF(16&gt;$C147,"",IF($D147=1,EOMONTH(EDATE(Bonds!$H147,6*(16-1)),0),EDATE(Bonds!$H147,6*(16-1))))</f>
        <v/>
      </c>
      <c r="U147" s="3" t="str">
        <f>IF(17&gt;$C147,"",IF($D147=1,EOMONTH(EDATE(Bonds!$H147,6*(17-1)),0),EDATE(Bonds!$H147,6*(17-1))))</f>
        <v/>
      </c>
      <c r="V147" s="3" t="str">
        <f>IF(18&gt;$C147,"",IF($D147=1,EOMONTH(EDATE(Bonds!$H147,6*(18-1)),0),EDATE(Bonds!$H147,6*(18-1))))</f>
        <v/>
      </c>
      <c r="W147" s="3" t="str">
        <f>IF(19&gt;$C147,"",IF($D147=1,EOMONTH(EDATE(Bonds!$H147,6*(19-1)),0),EDATE(Bonds!$H147,6*(19-1))))</f>
        <v/>
      </c>
      <c r="X147" s="3" t="str">
        <f>IF(20&gt;$C147,"",IF($D147=1,EOMONTH(EDATE(Bonds!$H147,6*(20-1)),0),EDATE(Bonds!$H147,6*(20-1))))</f>
        <v/>
      </c>
      <c r="Y147" s="3" t="str">
        <f>IF(21&gt;$C147,"",IF($D147=1,EOMONTH(EDATE(Bonds!$H147,6*(21-1)),0),EDATE(Bonds!$H147,6*(21-1))))</f>
        <v/>
      </c>
      <c r="Z147" s="3" t="str">
        <f>IF(22&gt;$C147,"",IF($D147=1,EOMONTH(EDATE(Bonds!$H147,6*(22-1)),0),EDATE(Bonds!$H147,6*(22-1))))</f>
        <v/>
      </c>
      <c r="AA147" s="3" t="str">
        <f>IF(23&gt;$C147,"",IF($D147=1,EOMONTH(EDATE(Bonds!$H147,6*(23-1)),0),EDATE(Bonds!$H147,6*(23-1))))</f>
        <v/>
      </c>
      <c r="AB147" s="3" t="str">
        <f>IF(24&gt;$C147,"",IF($D147=1,EOMONTH(EDATE(Bonds!$H147,6*(24-1)),0),EDATE(Bonds!$H147,6*(24-1))))</f>
        <v/>
      </c>
      <c r="AC147" s="3" t="str">
        <f>IF(25&gt;$C147,"",IF($D147=1,EOMONTH(EDATE(Bonds!$H147,6*(25-1)),0),EDATE(Bonds!$H147,6*(25-1))))</f>
        <v/>
      </c>
      <c r="AD147" s="3" t="str">
        <f>IF(26&gt;$C147,"",IF($D147=1,EOMONTH(EDATE(Bonds!$H147,6*(26-1)),0),EDATE(Bonds!$H147,6*(26-1))))</f>
        <v/>
      </c>
      <c r="AE147" s="3" t="str">
        <f>IF(27&gt;$C147,"",IF($D147=1,EOMONTH(EDATE(Bonds!$H147,6*(27-1)),0),EDATE(Bonds!$H147,6*(27-1))))</f>
        <v/>
      </c>
      <c r="AF147" s="3" t="str">
        <f>IF(28&gt;$C147,"",IF($D147=1,EOMONTH(EDATE(Bonds!$H147,6*(28-1)),0),EDATE(Bonds!$H147,6*(28-1))))</f>
        <v/>
      </c>
      <c r="AG147" s="3" t="str">
        <f>IF(29&gt;$C147,"",IF($D147=1,EOMONTH(EDATE(Bonds!$H147,6*(29-1)),0),EDATE(Bonds!$H147,6*(29-1))))</f>
        <v/>
      </c>
      <c r="AH147" s="3" t="str">
        <f>IF(30&gt;$C147,"",IF($D147=1,EOMONTH(EDATE(Bonds!$H147,6*(30-1)),0),EDATE(Bonds!$H147,6*(30-1))))</f>
        <v/>
      </c>
      <c r="AI147" s="3" t="str">
        <f>IF(31&gt;$C147,"",IF($D147=1,EOMONTH(EDATE(Bonds!$H147,6*(31-1)),0),EDATE(Bonds!$H147,6*(31-1))))</f>
        <v/>
      </c>
      <c r="AJ147" s="3" t="str">
        <f>IF(32&gt;$C147,"",IF($D147=1,EOMONTH(EDATE(Bonds!$H147,6*(32-1)),0),EDATE(Bonds!$H147,6*(32-1))))</f>
        <v/>
      </c>
      <c r="AK147" s="3" t="str">
        <f>IF(33&gt;$C147,"",IF($D147=1,EOMONTH(EDATE(Bonds!$H147,6*(33-1)),0),EDATE(Bonds!$H147,6*(33-1))))</f>
        <v/>
      </c>
      <c r="AL147" s="3" t="str">
        <f>IF(34&gt;$C147,"",IF($D147=1,EOMONTH(EDATE(Bonds!$H147,6*(34-1)),0),EDATE(Bonds!$H147,6*(34-1))))</f>
        <v/>
      </c>
      <c r="AM147" s="3" t="str">
        <f>IF(35&gt;$C147,"",IF($D147=1,EOMONTH(EDATE(Bonds!$H147,6*(35-1)),0),EDATE(Bonds!$H147,6*(35-1))))</f>
        <v/>
      </c>
      <c r="AN147" s="3" t="str">
        <f>IF(36&gt;$C147,"",IF($D147=1,EOMONTH(EDATE(Bonds!$H147,6*(36-1)),0),EDATE(Bonds!$H147,6*(36-1))))</f>
        <v/>
      </c>
      <c r="AO147" s="3" t="str">
        <f>IF(37&gt;$C147,"",IF($D147=1,EOMONTH(EDATE(Bonds!$H147,6*(37-1)),0),EDATE(Bonds!$H147,6*(37-1))))</f>
        <v/>
      </c>
      <c r="AP147" s="3" t="str">
        <f>IF(38&gt;$C147,"",IF($D147=1,EOMONTH(EDATE(Bonds!$H147,6*(38-1)),0),EDATE(Bonds!$H147,6*(38-1))))</f>
        <v/>
      </c>
      <c r="AQ147" s="3" t="str">
        <f>IF(39&gt;$C147,"",IF($D147=1,EOMONTH(EDATE(Bonds!$H147,6*(39-1)),0),EDATE(Bonds!$H147,6*(39-1))))</f>
        <v/>
      </c>
      <c r="AR147" s="3" t="str">
        <f>IF(40&gt;$C147,"",IF($D147=1,EOMONTH(EDATE(Bonds!$H147,6*(40-1)),0),EDATE(Bonds!$H147,6*(40-1))))</f>
        <v/>
      </c>
      <c r="AS147" s="3" t="str">
        <f>IF(41&gt;$C147,"",IF($D147=1,EOMONTH(EDATE(Bonds!$H147,6*(41-1)),0),EDATE(Bonds!$H147,6*(41-1))))</f>
        <v/>
      </c>
      <c r="AT147" s="3" t="str">
        <f>IF(42&gt;$C147,"",IF($D147=1,EOMONTH(EDATE(Bonds!$H147,6*(42-1)),0),EDATE(Bonds!$H147,6*(42-1))))</f>
        <v/>
      </c>
      <c r="AU147" s="3" t="str">
        <f>IF(43&gt;$C147,"",IF($D147=1,EOMONTH(EDATE(Bonds!$H147,6*(43-1)),0),EDATE(Bonds!$H147,6*(43-1))))</f>
        <v/>
      </c>
      <c r="AV147" s="3" t="str">
        <f>IF(44&gt;$C147,"",IF($D147=1,EOMONTH(EDATE(Bonds!$H147,6*(44-1)),0),EDATE(Bonds!$H147,6*(44-1))))</f>
        <v/>
      </c>
      <c r="AW147" s="3" t="str">
        <f>IF(45&gt;$C147,"",IF($D147=1,EOMONTH(EDATE(Bonds!$H147,6*(45-1)),0),EDATE(Bonds!$H147,6*(45-1))))</f>
        <v/>
      </c>
      <c r="AX147" s="3" t="str">
        <f>IF(46&gt;$C147,"",IF($D147=1,EOMONTH(EDATE(Bonds!$H147,6*(46-1)),0),EDATE(Bonds!$H147,6*(46-1))))</f>
        <v/>
      </c>
      <c r="AY147" s="3" t="str">
        <f>IF(47&gt;$C147,"",IF($D147=1,EOMONTH(EDATE(Bonds!$H147,6*(47-1)),0),EDATE(Bonds!$H147,6*(47-1))))</f>
        <v/>
      </c>
      <c r="AZ147" s="3" t="str">
        <f>IF(48&gt;$C147,"",IF($D147=1,EOMONTH(EDATE(Bonds!$H147,6*(48-1)),0),EDATE(Bonds!$H147,6*(48-1))))</f>
        <v/>
      </c>
      <c r="BA147" s="3" t="str">
        <f>IF(49&gt;$C147,"",IF($D147=1,EOMONTH(EDATE(Bonds!$H147,6*(49-1)),0),EDATE(Bonds!$H147,6*(49-1))))</f>
        <v/>
      </c>
      <c r="BB147" s="3" t="str">
        <f>IF(50&gt;$C147,"",IF($D147=1,EOMONTH(EDATE(Bonds!$H147,6*(50-1)),0),EDATE(Bonds!$H147,6*(50-1))))</f>
        <v/>
      </c>
      <c r="BC147" s="3" t="str">
        <f>IF(51&gt;$C147,"",IF($D147=1,EOMONTH(EDATE(Bonds!$H147,6*(51-1)),0),EDATE(Bonds!$H147,6*(51-1))))</f>
        <v/>
      </c>
      <c r="BD147" s="3" t="str">
        <f>IF(52&gt;$C147,"",IF($D147=1,EOMONTH(EDATE(Bonds!$H147,6*(52-1)),0),EDATE(Bonds!$H147,6*(52-1))))</f>
        <v/>
      </c>
      <c r="BE147" s="3" t="str">
        <f>IF(53&gt;$C147,"",IF($D147=1,EOMONTH(EDATE(Bonds!$H147,6*(53-1)),0),EDATE(Bonds!$H147,6*(53-1))))</f>
        <v/>
      </c>
      <c r="BF147" s="3" t="str">
        <f>IF(54&gt;$C147,"",IF($D147=1,EOMONTH(EDATE(Bonds!$H147,6*(54-1)),0),EDATE(Bonds!$H147,6*(54-1))))</f>
        <v/>
      </c>
      <c r="BG147" s="3" t="str">
        <f>IF(55&gt;$C147,"",IF($D147=1,EOMONTH(EDATE(Bonds!$H147,6*(55-1)),0),EDATE(Bonds!$H147,6*(55-1))))</f>
        <v/>
      </c>
      <c r="BH147" s="3" t="str">
        <f>IF(56&gt;$C147,"",IF($D147=1,EOMONTH(EDATE(Bonds!$H147,6*(56-1)),0),EDATE(Bonds!$H147,6*(56-1))))</f>
        <v/>
      </c>
      <c r="BI147" s="3" t="str">
        <f>IF(57&gt;$C147,"",IF($D147=1,EOMONTH(EDATE(Bonds!$H147,6*(57-1)),0),EDATE(Bonds!$H147,6*(57-1))))</f>
        <v/>
      </c>
      <c r="BJ147" s="3" t="str">
        <f>IF(58&gt;$C147,"",IF($D147=1,EOMONTH(EDATE(Bonds!$H147,6*(58-1)),0),EDATE(Bonds!$H147,6*(58-1))))</f>
        <v/>
      </c>
      <c r="BK147" s="3" t="str">
        <f>IF(59&gt;$C147,"",IF($D147=1,EOMONTH(EDATE(Bonds!$H147,6*(59-1)),0),EDATE(Bonds!$H147,6*(59-1))))</f>
        <v/>
      </c>
      <c r="BL147" s="3" t="str">
        <f>IF(60&gt;$C147,"",IF($D147=1,EOMONTH(EDATE(Bonds!$H147,6*(60-1)),0),EDATE(Bonds!$H147,6*(60-1))))</f>
        <v/>
      </c>
      <c r="BN147" s="7">
        <f t="shared" si="123"/>
        <v>2.0415219843594055</v>
      </c>
      <c r="BO147" s="7">
        <f t="shared" si="124"/>
        <v>1.9993957352329426</v>
      </c>
      <c r="BP147" s="7">
        <f t="shared" si="125"/>
        <v>1.9552837109910417</v>
      </c>
      <c r="BQ147" s="7">
        <f t="shared" si="126"/>
        <v>1.9110824616325237</v>
      </c>
      <c r="BR147" s="7">
        <f t="shared" si="127"/>
        <v>1.8676025287064246</v>
      </c>
      <c r="BS147" s="7">
        <f t="shared" si="128"/>
        <v>90.328500590577832</v>
      </c>
      <c r="BT147" s="7">
        <f t="shared" si="129"/>
        <v>0</v>
      </c>
      <c r="BU147" s="7">
        <f t="shared" si="130"/>
        <v>0</v>
      </c>
      <c r="BV147" s="7">
        <f t="shared" si="131"/>
        <v>0</v>
      </c>
      <c r="BW147" s="7">
        <f t="shared" si="132"/>
        <v>0</v>
      </c>
      <c r="BX147" s="7">
        <f t="shared" si="133"/>
        <v>0</v>
      </c>
      <c r="BY147" s="7">
        <f t="shared" si="134"/>
        <v>0</v>
      </c>
      <c r="BZ147" s="7">
        <f t="shared" si="135"/>
        <v>0</v>
      </c>
      <c r="CA147" s="7">
        <f t="shared" si="136"/>
        <v>0</v>
      </c>
      <c r="CB147" s="7">
        <f t="shared" si="137"/>
        <v>0</v>
      </c>
      <c r="CC147" s="7">
        <f t="shared" si="138"/>
        <v>0</v>
      </c>
      <c r="CD147" s="7">
        <f t="shared" si="139"/>
        <v>0</v>
      </c>
      <c r="CE147" s="7">
        <f t="shared" si="140"/>
        <v>0</v>
      </c>
      <c r="CF147" s="7">
        <f t="shared" si="141"/>
        <v>0</v>
      </c>
      <c r="CG147" s="7">
        <f t="shared" si="142"/>
        <v>0</v>
      </c>
      <c r="CH147" s="7">
        <f t="shared" si="143"/>
        <v>0</v>
      </c>
      <c r="CI147" s="7">
        <f t="shared" si="144"/>
        <v>0</v>
      </c>
      <c r="CJ147" s="7">
        <f t="shared" si="145"/>
        <v>0</v>
      </c>
      <c r="CK147" s="7">
        <f t="shared" si="146"/>
        <v>0</v>
      </c>
      <c r="CL147" s="7">
        <f t="shared" si="147"/>
        <v>0</v>
      </c>
      <c r="CM147" s="7">
        <f t="shared" si="148"/>
        <v>0</v>
      </c>
      <c r="CN147" s="7">
        <f t="shared" si="149"/>
        <v>0</v>
      </c>
      <c r="CO147" s="7">
        <f t="shared" si="150"/>
        <v>0</v>
      </c>
      <c r="CP147" s="7">
        <f t="shared" si="151"/>
        <v>0</v>
      </c>
      <c r="CQ147" s="7">
        <f t="shared" si="152"/>
        <v>0</v>
      </c>
      <c r="CR147" s="7">
        <f t="shared" si="153"/>
        <v>0</v>
      </c>
      <c r="CS147" s="7">
        <f t="shared" si="154"/>
        <v>0</v>
      </c>
      <c r="CT147" s="7">
        <f t="shared" si="155"/>
        <v>0</v>
      </c>
      <c r="CU147" s="7">
        <f t="shared" si="156"/>
        <v>0</v>
      </c>
      <c r="CV147" s="7">
        <f t="shared" si="157"/>
        <v>0</v>
      </c>
      <c r="CW147" s="7">
        <f t="shared" si="158"/>
        <v>0</v>
      </c>
      <c r="CX147" s="7">
        <f t="shared" si="159"/>
        <v>0</v>
      </c>
      <c r="CY147" s="7">
        <f t="shared" si="160"/>
        <v>0</v>
      </c>
      <c r="CZ147" s="7">
        <f t="shared" si="161"/>
        <v>0</v>
      </c>
      <c r="DA147" s="7">
        <f t="shared" si="162"/>
        <v>0</v>
      </c>
      <c r="DB147" s="7">
        <f t="shared" si="163"/>
        <v>0</v>
      </c>
      <c r="DC147" s="7">
        <f t="shared" si="164"/>
        <v>0</v>
      </c>
      <c r="DD147" s="7">
        <f t="shared" si="165"/>
        <v>0</v>
      </c>
      <c r="DE147" s="7">
        <f t="shared" si="166"/>
        <v>0</v>
      </c>
      <c r="DF147" s="7">
        <f t="shared" si="167"/>
        <v>0</v>
      </c>
      <c r="DG147" s="7">
        <f t="shared" si="168"/>
        <v>0</v>
      </c>
      <c r="DH147" s="7">
        <f t="shared" si="169"/>
        <v>0</v>
      </c>
      <c r="DI147" s="7">
        <f t="shared" si="170"/>
        <v>0</v>
      </c>
      <c r="DJ147" s="7">
        <f t="shared" si="171"/>
        <v>0</v>
      </c>
      <c r="DK147" s="7">
        <f t="shared" si="172"/>
        <v>0</v>
      </c>
      <c r="DL147" s="7">
        <f t="shared" si="173"/>
        <v>0</v>
      </c>
      <c r="DM147" s="7">
        <f t="shared" si="174"/>
        <v>0</v>
      </c>
      <c r="DN147" s="7">
        <f t="shared" si="175"/>
        <v>0</v>
      </c>
      <c r="DO147" s="7">
        <f t="shared" si="176"/>
        <v>0</v>
      </c>
      <c r="DP147" s="7">
        <f t="shared" si="177"/>
        <v>0</v>
      </c>
      <c r="DQ147" s="7">
        <f t="shared" si="178"/>
        <v>0</v>
      </c>
      <c r="DR147" s="7">
        <f t="shared" si="179"/>
        <v>0</v>
      </c>
      <c r="DS147" s="7">
        <f t="shared" si="180"/>
        <v>0</v>
      </c>
      <c r="DT147" s="7">
        <f t="shared" si="181"/>
        <v>0</v>
      </c>
      <c r="DU147" s="7">
        <f t="shared" si="182"/>
        <v>0</v>
      </c>
    </row>
    <row r="148" spans="1:125" x14ac:dyDescent="0.2">
      <c r="A148" s="3">
        <f>Bonds!A148</f>
        <v>47299</v>
      </c>
      <c r="B148" s="4">
        <f>Bonds!B148</f>
        <v>3.25</v>
      </c>
      <c r="C148">
        <f>Bonds!P148</f>
        <v>6</v>
      </c>
      <c r="D148">
        <f t="shared" si="122"/>
        <v>1</v>
      </c>
      <c r="E148" s="3">
        <f>IF(1&gt;$C148,"",IF($D148=1,EOMONTH(EDATE(Bonds!$H148,6*(1-1)),0),EDATE(Bonds!$H148,6*(1-1))))</f>
        <v>46387</v>
      </c>
      <c r="F148" s="3">
        <f>IF(2&gt;$C148,"",IF($D148=1,EOMONTH(EDATE(Bonds!$H148,6*(2-1)),0),EDATE(Bonds!$H148,6*(2-1))))</f>
        <v>46568</v>
      </c>
      <c r="G148" s="3">
        <f>IF(3&gt;$C148,"",IF($D148=1,EOMONTH(EDATE(Bonds!$H148,6*(3-1)),0),EDATE(Bonds!$H148,6*(3-1))))</f>
        <v>46752</v>
      </c>
      <c r="H148" s="3">
        <f>IF(4&gt;$C148,"",IF($D148=1,EOMONTH(EDATE(Bonds!$H148,6*(4-1)),0),EDATE(Bonds!$H148,6*(4-1))))</f>
        <v>46934</v>
      </c>
      <c r="I148" s="3">
        <f>IF(5&gt;$C148,"",IF($D148=1,EOMONTH(EDATE(Bonds!$H148,6*(5-1)),0),EDATE(Bonds!$H148,6*(5-1))))</f>
        <v>47118</v>
      </c>
      <c r="J148" s="3">
        <f>IF(6&gt;$C148,"",IF($D148=1,EOMONTH(EDATE(Bonds!$H148,6*(6-1)),0),EDATE(Bonds!$H148,6*(6-1))))</f>
        <v>47299</v>
      </c>
      <c r="K148" s="3" t="str">
        <f>IF(7&gt;$C148,"",IF($D148=1,EOMONTH(EDATE(Bonds!$H148,6*(7-1)),0),EDATE(Bonds!$H148,6*(7-1))))</f>
        <v/>
      </c>
      <c r="L148" s="3" t="str">
        <f>IF(8&gt;$C148,"",IF($D148=1,EOMONTH(EDATE(Bonds!$H148,6*(8-1)),0),EDATE(Bonds!$H148,6*(8-1))))</f>
        <v/>
      </c>
      <c r="M148" s="3" t="str">
        <f>IF(9&gt;$C148,"",IF($D148=1,EOMONTH(EDATE(Bonds!$H148,6*(9-1)),0),EDATE(Bonds!$H148,6*(9-1))))</f>
        <v/>
      </c>
      <c r="N148" s="3" t="str">
        <f>IF(10&gt;$C148,"",IF($D148=1,EOMONTH(EDATE(Bonds!$H148,6*(10-1)),0),EDATE(Bonds!$H148,6*(10-1))))</f>
        <v/>
      </c>
      <c r="O148" s="3" t="str">
        <f>IF(11&gt;$C148,"",IF($D148=1,EOMONTH(EDATE(Bonds!$H148,6*(11-1)),0),EDATE(Bonds!$H148,6*(11-1))))</f>
        <v/>
      </c>
      <c r="P148" s="3" t="str">
        <f>IF(12&gt;$C148,"",IF($D148=1,EOMONTH(EDATE(Bonds!$H148,6*(12-1)),0),EDATE(Bonds!$H148,6*(12-1))))</f>
        <v/>
      </c>
      <c r="Q148" s="3" t="str">
        <f>IF(13&gt;$C148,"",IF($D148=1,EOMONTH(EDATE(Bonds!$H148,6*(13-1)),0),EDATE(Bonds!$H148,6*(13-1))))</f>
        <v/>
      </c>
      <c r="R148" s="3" t="str">
        <f>IF(14&gt;$C148,"",IF($D148=1,EOMONTH(EDATE(Bonds!$H148,6*(14-1)),0),EDATE(Bonds!$H148,6*(14-1))))</f>
        <v/>
      </c>
      <c r="S148" s="3" t="str">
        <f>IF(15&gt;$C148,"",IF($D148=1,EOMONTH(EDATE(Bonds!$H148,6*(15-1)),0),EDATE(Bonds!$H148,6*(15-1))))</f>
        <v/>
      </c>
      <c r="T148" s="3" t="str">
        <f>IF(16&gt;$C148,"",IF($D148=1,EOMONTH(EDATE(Bonds!$H148,6*(16-1)),0),EDATE(Bonds!$H148,6*(16-1))))</f>
        <v/>
      </c>
      <c r="U148" s="3" t="str">
        <f>IF(17&gt;$C148,"",IF($D148=1,EOMONTH(EDATE(Bonds!$H148,6*(17-1)),0),EDATE(Bonds!$H148,6*(17-1))))</f>
        <v/>
      </c>
      <c r="V148" s="3" t="str">
        <f>IF(18&gt;$C148,"",IF($D148=1,EOMONTH(EDATE(Bonds!$H148,6*(18-1)),0),EDATE(Bonds!$H148,6*(18-1))))</f>
        <v/>
      </c>
      <c r="W148" s="3" t="str">
        <f>IF(19&gt;$C148,"",IF($D148=1,EOMONTH(EDATE(Bonds!$H148,6*(19-1)),0),EDATE(Bonds!$H148,6*(19-1))))</f>
        <v/>
      </c>
      <c r="X148" s="3" t="str">
        <f>IF(20&gt;$C148,"",IF($D148=1,EOMONTH(EDATE(Bonds!$H148,6*(20-1)),0),EDATE(Bonds!$H148,6*(20-1))))</f>
        <v/>
      </c>
      <c r="Y148" s="3" t="str">
        <f>IF(21&gt;$C148,"",IF($D148=1,EOMONTH(EDATE(Bonds!$H148,6*(21-1)),0),EDATE(Bonds!$H148,6*(21-1))))</f>
        <v/>
      </c>
      <c r="Z148" s="3" t="str">
        <f>IF(22&gt;$C148,"",IF($D148=1,EOMONTH(EDATE(Bonds!$H148,6*(22-1)),0),EDATE(Bonds!$H148,6*(22-1))))</f>
        <v/>
      </c>
      <c r="AA148" s="3" t="str">
        <f>IF(23&gt;$C148,"",IF($D148=1,EOMONTH(EDATE(Bonds!$H148,6*(23-1)),0),EDATE(Bonds!$H148,6*(23-1))))</f>
        <v/>
      </c>
      <c r="AB148" s="3" t="str">
        <f>IF(24&gt;$C148,"",IF($D148=1,EOMONTH(EDATE(Bonds!$H148,6*(24-1)),0),EDATE(Bonds!$H148,6*(24-1))))</f>
        <v/>
      </c>
      <c r="AC148" s="3" t="str">
        <f>IF(25&gt;$C148,"",IF($D148=1,EOMONTH(EDATE(Bonds!$H148,6*(25-1)),0),EDATE(Bonds!$H148,6*(25-1))))</f>
        <v/>
      </c>
      <c r="AD148" s="3" t="str">
        <f>IF(26&gt;$C148,"",IF($D148=1,EOMONTH(EDATE(Bonds!$H148,6*(26-1)),0),EDATE(Bonds!$H148,6*(26-1))))</f>
        <v/>
      </c>
      <c r="AE148" s="3" t="str">
        <f>IF(27&gt;$C148,"",IF($D148=1,EOMONTH(EDATE(Bonds!$H148,6*(27-1)),0),EDATE(Bonds!$H148,6*(27-1))))</f>
        <v/>
      </c>
      <c r="AF148" s="3" t="str">
        <f>IF(28&gt;$C148,"",IF($D148=1,EOMONTH(EDATE(Bonds!$H148,6*(28-1)),0),EDATE(Bonds!$H148,6*(28-1))))</f>
        <v/>
      </c>
      <c r="AG148" s="3" t="str">
        <f>IF(29&gt;$C148,"",IF($D148=1,EOMONTH(EDATE(Bonds!$H148,6*(29-1)),0),EDATE(Bonds!$H148,6*(29-1))))</f>
        <v/>
      </c>
      <c r="AH148" s="3" t="str">
        <f>IF(30&gt;$C148,"",IF($D148=1,EOMONTH(EDATE(Bonds!$H148,6*(30-1)),0),EDATE(Bonds!$H148,6*(30-1))))</f>
        <v/>
      </c>
      <c r="AI148" s="3" t="str">
        <f>IF(31&gt;$C148,"",IF($D148=1,EOMONTH(EDATE(Bonds!$H148,6*(31-1)),0),EDATE(Bonds!$H148,6*(31-1))))</f>
        <v/>
      </c>
      <c r="AJ148" s="3" t="str">
        <f>IF(32&gt;$C148,"",IF($D148=1,EOMONTH(EDATE(Bonds!$H148,6*(32-1)),0),EDATE(Bonds!$H148,6*(32-1))))</f>
        <v/>
      </c>
      <c r="AK148" s="3" t="str">
        <f>IF(33&gt;$C148,"",IF($D148=1,EOMONTH(EDATE(Bonds!$H148,6*(33-1)),0),EDATE(Bonds!$H148,6*(33-1))))</f>
        <v/>
      </c>
      <c r="AL148" s="3" t="str">
        <f>IF(34&gt;$C148,"",IF($D148=1,EOMONTH(EDATE(Bonds!$H148,6*(34-1)),0),EDATE(Bonds!$H148,6*(34-1))))</f>
        <v/>
      </c>
      <c r="AM148" s="3" t="str">
        <f>IF(35&gt;$C148,"",IF($D148=1,EOMONTH(EDATE(Bonds!$H148,6*(35-1)),0),EDATE(Bonds!$H148,6*(35-1))))</f>
        <v/>
      </c>
      <c r="AN148" s="3" t="str">
        <f>IF(36&gt;$C148,"",IF($D148=1,EOMONTH(EDATE(Bonds!$H148,6*(36-1)),0),EDATE(Bonds!$H148,6*(36-1))))</f>
        <v/>
      </c>
      <c r="AO148" s="3" t="str">
        <f>IF(37&gt;$C148,"",IF($D148=1,EOMONTH(EDATE(Bonds!$H148,6*(37-1)),0),EDATE(Bonds!$H148,6*(37-1))))</f>
        <v/>
      </c>
      <c r="AP148" s="3" t="str">
        <f>IF(38&gt;$C148,"",IF($D148=1,EOMONTH(EDATE(Bonds!$H148,6*(38-1)),0),EDATE(Bonds!$H148,6*(38-1))))</f>
        <v/>
      </c>
      <c r="AQ148" s="3" t="str">
        <f>IF(39&gt;$C148,"",IF($D148=1,EOMONTH(EDATE(Bonds!$H148,6*(39-1)),0),EDATE(Bonds!$H148,6*(39-1))))</f>
        <v/>
      </c>
      <c r="AR148" s="3" t="str">
        <f>IF(40&gt;$C148,"",IF($D148=1,EOMONTH(EDATE(Bonds!$H148,6*(40-1)),0),EDATE(Bonds!$H148,6*(40-1))))</f>
        <v/>
      </c>
      <c r="AS148" s="3" t="str">
        <f>IF(41&gt;$C148,"",IF($D148=1,EOMONTH(EDATE(Bonds!$H148,6*(41-1)),0),EDATE(Bonds!$H148,6*(41-1))))</f>
        <v/>
      </c>
      <c r="AT148" s="3" t="str">
        <f>IF(42&gt;$C148,"",IF($D148=1,EOMONTH(EDATE(Bonds!$H148,6*(42-1)),0),EDATE(Bonds!$H148,6*(42-1))))</f>
        <v/>
      </c>
      <c r="AU148" s="3" t="str">
        <f>IF(43&gt;$C148,"",IF($D148=1,EOMONTH(EDATE(Bonds!$H148,6*(43-1)),0),EDATE(Bonds!$H148,6*(43-1))))</f>
        <v/>
      </c>
      <c r="AV148" s="3" t="str">
        <f>IF(44&gt;$C148,"",IF($D148=1,EOMONTH(EDATE(Bonds!$H148,6*(44-1)),0),EDATE(Bonds!$H148,6*(44-1))))</f>
        <v/>
      </c>
      <c r="AW148" s="3" t="str">
        <f>IF(45&gt;$C148,"",IF($D148=1,EOMONTH(EDATE(Bonds!$H148,6*(45-1)),0),EDATE(Bonds!$H148,6*(45-1))))</f>
        <v/>
      </c>
      <c r="AX148" s="3" t="str">
        <f>IF(46&gt;$C148,"",IF($D148=1,EOMONTH(EDATE(Bonds!$H148,6*(46-1)),0),EDATE(Bonds!$H148,6*(46-1))))</f>
        <v/>
      </c>
      <c r="AY148" s="3" t="str">
        <f>IF(47&gt;$C148,"",IF($D148=1,EOMONTH(EDATE(Bonds!$H148,6*(47-1)),0),EDATE(Bonds!$H148,6*(47-1))))</f>
        <v/>
      </c>
      <c r="AZ148" s="3" t="str">
        <f>IF(48&gt;$C148,"",IF($D148=1,EOMONTH(EDATE(Bonds!$H148,6*(48-1)),0),EDATE(Bonds!$H148,6*(48-1))))</f>
        <v/>
      </c>
      <c r="BA148" s="3" t="str">
        <f>IF(49&gt;$C148,"",IF($D148=1,EOMONTH(EDATE(Bonds!$H148,6*(49-1)),0),EDATE(Bonds!$H148,6*(49-1))))</f>
        <v/>
      </c>
      <c r="BB148" s="3" t="str">
        <f>IF(50&gt;$C148,"",IF($D148=1,EOMONTH(EDATE(Bonds!$H148,6*(50-1)),0),EDATE(Bonds!$H148,6*(50-1))))</f>
        <v/>
      </c>
      <c r="BC148" s="3" t="str">
        <f>IF(51&gt;$C148,"",IF($D148=1,EOMONTH(EDATE(Bonds!$H148,6*(51-1)),0),EDATE(Bonds!$H148,6*(51-1))))</f>
        <v/>
      </c>
      <c r="BD148" s="3" t="str">
        <f>IF(52&gt;$C148,"",IF($D148=1,EOMONTH(EDATE(Bonds!$H148,6*(52-1)),0),EDATE(Bonds!$H148,6*(52-1))))</f>
        <v/>
      </c>
      <c r="BE148" s="3" t="str">
        <f>IF(53&gt;$C148,"",IF($D148=1,EOMONTH(EDATE(Bonds!$H148,6*(53-1)),0),EDATE(Bonds!$H148,6*(53-1))))</f>
        <v/>
      </c>
      <c r="BF148" s="3" t="str">
        <f>IF(54&gt;$C148,"",IF($D148=1,EOMONTH(EDATE(Bonds!$H148,6*(54-1)),0),EDATE(Bonds!$H148,6*(54-1))))</f>
        <v/>
      </c>
      <c r="BG148" s="3" t="str">
        <f>IF(55&gt;$C148,"",IF($D148=1,EOMONTH(EDATE(Bonds!$H148,6*(55-1)),0),EDATE(Bonds!$H148,6*(55-1))))</f>
        <v/>
      </c>
      <c r="BH148" s="3" t="str">
        <f>IF(56&gt;$C148,"",IF($D148=1,EOMONTH(EDATE(Bonds!$H148,6*(56-1)),0),EDATE(Bonds!$H148,6*(56-1))))</f>
        <v/>
      </c>
      <c r="BI148" s="3" t="str">
        <f>IF(57&gt;$C148,"",IF($D148=1,EOMONTH(EDATE(Bonds!$H148,6*(57-1)),0),EDATE(Bonds!$H148,6*(57-1))))</f>
        <v/>
      </c>
      <c r="BJ148" s="3" t="str">
        <f>IF(58&gt;$C148,"",IF($D148=1,EOMONTH(EDATE(Bonds!$H148,6*(58-1)),0),EDATE(Bonds!$H148,6*(58-1))))</f>
        <v/>
      </c>
      <c r="BK148" s="3" t="str">
        <f>IF(59&gt;$C148,"",IF($D148=1,EOMONTH(EDATE(Bonds!$H148,6*(59-1)),0),EDATE(Bonds!$H148,6*(59-1))))</f>
        <v/>
      </c>
      <c r="BL148" s="3" t="str">
        <f>IF(60&gt;$C148,"",IF($D148=1,EOMONTH(EDATE(Bonds!$H148,6*(60-1)),0),EDATE(Bonds!$H148,6*(60-1))))</f>
        <v/>
      </c>
      <c r="BN148" s="7">
        <f t="shared" si="123"/>
        <v>1.6056602877567721</v>
      </c>
      <c r="BO148" s="7">
        <f t="shared" si="124"/>
        <v>1.5724612895996004</v>
      </c>
      <c r="BP148" s="7">
        <f t="shared" si="125"/>
        <v>1.5374715786184632</v>
      </c>
      <c r="BQ148" s="7">
        <f t="shared" si="126"/>
        <v>1.5028667616280915</v>
      </c>
      <c r="BR148" s="7">
        <f t="shared" si="127"/>
        <v>1.4684862651932997</v>
      </c>
      <c r="BS148" s="7">
        <f t="shared" si="128"/>
        <v>89.772153926267407</v>
      </c>
      <c r="BT148" s="7">
        <f t="shared" si="129"/>
        <v>0</v>
      </c>
      <c r="BU148" s="7">
        <f t="shared" si="130"/>
        <v>0</v>
      </c>
      <c r="BV148" s="7">
        <f t="shared" si="131"/>
        <v>0</v>
      </c>
      <c r="BW148" s="7">
        <f t="shared" si="132"/>
        <v>0</v>
      </c>
      <c r="BX148" s="7">
        <f t="shared" si="133"/>
        <v>0</v>
      </c>
      <c r="BY148" s="7">
        <f t="shared" si="134"/>
        <v>0</v>
      </c>
      <c r="BZ148" s="7">
        <f t="shared" si="135"/>
        <v>0</v>
      </c>
      <c r="CA148" s="7">
        <f t="shared" si="136"/>
        <v>0</v>
      </c>
      <c r="CB148" s="7">
        <f t="shared" si="137"/>
        <v>0</v>
      </c>
      <c r="CC148" s="7">
        <f t="shared" si="138"/>
        <v>0</v>
      </c>
      <c r="CD148" s="7">
        <f t="shared" si="139"/>
        <v>0</v>
      </c>
      <c r="CE148" s="7">
        <f t="shared" si="140"/>
        <v>0</v>
      </c>
      <c r="CF148" s="7">
        <f t="shared" si="141"/>
        <v>0</v>
      </c>
      <c r="CG148" s="7">
        <f t="shared" si="142"/>
        <v>0</v>
      </c>
      <c r="CH148" s="7">
        <f t="shared" si="143"/>
        <v>0</v>
      </c>
      <c r="CI148" s="7">
        <f t="shared" si="144"/>
        <v>0</v>
      </c>
      <c r="CJ148" s="7">
        <f t="shared" si="145"/>
        <v>0</v>
      </c>
      <c r="CK148" s="7">
        <f t="shared" si="146"/>
        <v>0</v>
      </c>
      <c r="CL148" s="7">
        <f t="shared" si="147"/>
        <v>0</v>
      </c>
      <c r="CM148" s="7">
        <f t="shared" si="148"/>
        <v>0</v>
      </c>
      <c r="CN148" s="7">
        <f t="shared" si="149"/>
        <v>0</v>
      </c>
      <c r="CO148" s="7">
        <f t="shared" si="150"/>
        <v>0</v>
      </c>
      <c r="CP148" s="7">
        <f t="shared" si="151"/>
        <v>0</v>
      </c>
      <c r="CQ148" s="7">
        <f t="shared" si="152"/>
        <v>0</v>
      </c>
      <c r="CR148" s="7">
        <f t="shared" si="153"/>
        <v>0</v>
      </c>
      <c r="CS148" s="7">
        <f t="shared" si="154"/>
        <v>0</v>
      </c>
      <c r="CT148" s="7">
        <f t="shared" si="155"/>
        <v>0</v>
      </c>
      <c r="CU148" s="7">
        <f t="shared" si="156"/>
        <v>0</v>
      </c>
      <c r="CV148" s="7">
        <f t="shared" si="157"/>
        <v>0</v>
      </c>
      <c r="CW148" s="7">
        <f t="shared" si="158"/>
        <v>0</v>
      </c>
      <c r="CX148" s="7">
        <f t="shared" si="159"/>
        <v>0</v>
      </c>
      <c r="CY148" s="7">
        <f t="shared" si="160"/>
        <v>0</v>
      </c>
      <c r="CZ148" s="7">
        <f t="shared" si="161"/>
        <v>0</v>
      </c>
      <c r="DA148" s="7">
        <f t="shared" si="162"/>
        <v>0</v>
      </c>
      <c r="DB148" s="7">
        <f t="shared" si="163"/>
        <v>0</v>
      </c>
      <c r="DC148" s="7">
        <f t="shared" si="164"/>
        <v>0</v>
      </c>
      <c r="DD148" s="7">
        <f t="shared" si="165"/>
        <v>0</v>
      </c>
      <c r="DE148" s="7">
        <f t="shared" si="166"/>
        <v>0</v>
      </c>
      <c r="DF148" s="7">
        <f t="shared" si="167"/>
        <v>0</v>
      </c>
      <c r="DG148" s="7">
        <f t="shared" si="168"/>
        <v>0</v>
      </c>
      <c r="DH148" s="7">
        <f t="shared" si="169"/>
        <v>0</v>
      </c>
      <c r="DI148" s="7">
        <f t="shared" si="170"/>
        <v>0</v>
      </c>
      <c r="DJ148" s="7">
        <f t="shared" si="171"/>
        <v>0</v>
      </c>
      <c r="DK148" s="7">
        <f t="shared" si="172"/>
        <v>0</v>
      </c>
      <c r="DL148" s="7">
        <f t="shared" si="173"/>
        <v>0</v>
      </c>
      <c r="DM148" s="7">
        <f t="shared" si="174"/>
        <v>0</v>
      </c>
      <c r="DN148" s="7">
        <f t="shared" si="175"/>
        <v>0</v>
      </c>
      <c r="DO148" s="7">
        <f t="shared" si="176"/>
        <v>0</v>
      </c>
      <c r="DP148" s="7">
        <f t="shared" si="177"/>
        <v>0</v>
      </c>
      <c r="DQ148" s="7">
        <f t="shared" si="178"/>
        <v>0</v>
      </c>
      <c r="DR148" s="7">
        <f t="shared" si="179"/>
        <v>0</v>
      </c>
      <c r="DS148" s="7">
        <f t="shared" si="180"/>
        <v>0</v>
      </c>
      <c r="DT148" s="7">
        <f t="shared" si="181"/>
        <v>0</v>
      </c>
      <c r="DU148" s="7">
        <f t="shared" si="182"/>
        <v>0</v>
      </c>
    </row>
    <row r="149" spans="1:125" x14ac:dyDescent="0.2">
      <c r="A149" s="3">
        <f>Bonds!A149</f>
        <v>47299</v>
      </c>
      <c r="B149" s="4">
        <f>Bonds!B149</f>
        <v>4.25</v>
      </c>
      <c r="C149">
        <f>Bonds!P149</f>
        <v>6</v>
      </c>
      <c r="D149">
        <f t="shared" si="122"/>
        <v>1</v>
      </c>
      <c r="E149" s="3">
        <f>IF(1&gt;$C149,"",IF($D149=1,EOMONTH(EDATE(Bonds!$H149,6*(1-1)),0),EDATE(Bonds!$H149,6*(1-1))))</f>
        <v>46387</v>
      </c>
      <c r="F149" s="3">
        <f>IF(2&gt;$C149,"",IF($D149=1,EOMONTH(EDATE(Bonds!$H149,6*(2-1)),0),EDATE(Bonds!$H149,6*(2-1))))</f>
        <v>46568</v>
      </c>
      <c r="G149" s="3">
        <f>IF(3&gt;$C149,"",IF($D149=1,EOMONTH(EDATE(Bonds!$H149,6*(3-1)),0),EDATE(Bonds!$H149,6*(3-1))))</f>
        <v>46752</v>
      </c>
      <c r="H149" s="3">
        <f>IF(4&gt;$C149,"",IF($D149=1,EOMONTH(EDATE(Bonds!$H149,6*(4-1)),0),EDATE(Bonds!$H149,6*(4-1))))</f>
        <v>46934</v>
      </c>
      <c r="I149" s="3">
        <f>IF(5&gt;$C149,"",IF($D149=1,EOMONTH(EDATE(Bonds!$H149,6*(5-1)),0),EDATE(Bonds!$H149,6*(5-1))))</f>
        <v>47118</v>
      </c>
      <c r="J149" s="3">
        <f>IF(6&gt;$C149,"",IF($D149=1,EOMONTH(EDATE(Bonds!$H149,6*(6-1)),0),EDATE(Bonds!$H149,6*(6-1))))</f>
        <v>47299</v>
      </c>
      <c r="K149" s="3" t="str">
        <f>IF(7&gt;$C149,"",IF($D149=1,EOMONTH(EDATE(Bonds!$H149,6*(7-1)),0),EDATE(Bonds!$H149,6*(7-1))))</f>
        <v/>
      </c>
      <c r="L149" s="3" t="str">
        <f>IF(8&gt;$C149,"",IF($D149=1,EOMONTH(EDATE(Bonds!$H149,6*(8-1)),0),EDATE(Bonds!$H149,6*(8-1))))</f>
        <v/>
      </c>
      <c r="M149" s="3" t="str">
        <f>IF(9&gt;$C149,"",IF($D149=1,EOMONTH(EDATE(Bonds!$H149,6*(9-1)),0),EDATE(Bonds!$H149,6*(9-1))))</f>
        <v/>
      </c>
      <c r="N149" s="3" t="str">
        <f>IF(10&gt;$C149,"",IF($D149=1,EOMONTH(EDATE(Bonds!$H149,6*(10-1)),0),EDATE(Bonds!$H149,6*(10-1))))</f>
        <v/>
      </c>
      <c r="O149" s="3" t="str">
        <f>IF(11&gt;$C149,"",IF($D149=1,EOMONTH(EDATE(Bonds!$H149,6*(11-1)),0),EDATE(Bonds!$H149,6*(11-1))))</f>
        <v/>
      </c>
      <c r="P149" s="3" t="str">
        <f>IF(12&gt;$C149,"",IF($D149=1,EOMONTH(EDATE(Bonds!$H149,6*(12-1)),0),EDATE(Bonds!$H149,6*(12-1))))</f>
        <v/>
      </c>
      <c r="Q149" s="3" t="str">
        <f>IF(13&gt;$C149,"",IF($D149=1,EOMONTH(EDATE(Bonds!$H149,6*(13-1)),0),EDATE(Bonds!$H149,6*(13-1))))</f>
        <v/>
      </c>
      <c r="R149" s="3" t="str">
        <f>IF(14&gt;$C149,"",IF($D149=1,EOMONTH(EDATE(Bonds!$H149,6*(14-1)),0),EDATE(Bonds!$H149,6*(14-1))))</f>
        <v/>
      </c>
      <c r="S149" s="3" t="str">
        <f>IF(15&gt;$C149,"",IF($D149=1,EOMONTH(EDATE(Bonds!$H149,6*(15-1)),0),EDATE(Bonds!$H149,6*(15-1))))</f>
        <v/>
      </c>
      <c r="T149" s="3" t="str">
        <f>IF(16&gt;$C149,"",IF($D149=1,EOMONTH(EDATE(Bonds!$H149,6*(16-1)),0),EDATE(Bonds!$H149,6*(16-1))))</f>
        <v/>
      </c>
      <c r="U149" s="3" t="str">
        <f>IF(17&gt;$C149,"",IF($D149=1,EOMONTH(EDATE(Bonds!$H149,6*(17-1)),0),EDATE(Bonds!$H149,6*(17-1))))</f>
        <v/>
      </c>
      <c r="V149" s="3" t="str">
        <f>IF(18&gt;$C149,"",IF($D149=1,EOMONTH(EDATE(Bonds!$H149,6*(18-1)),0),EDATE(Bonds!$H149,6*(18-1))))</f>
        <v/>
      </c>
      <c r="W149" s="3" t="str">
        <f>IF(19&gt;$C149,"",IF($D149=1,EOMONTH(EDATE(Bonds!$H149,6*(19-1)),0),EDATE(Bonds!$H149,6*(19-1))))</f>
        <v/>
      </c>
      <c r="X149" s="3" t="str">
        <f>IF(20&gt;$C149,"",IF($D149=1,EOMONTH(EDATE(Bonds!$H149,6*(20-1)),0),EDATE(Bonds!$H149,6*(20-1))))</f>
        <v/>
      </c>
      <c r="Y149" s="3" t="str">
        <f>IF(21&gt;$C149,"",IF($D149=1,EOMONTH(EDATE(Bonds!$H149,6*(21-1)),0),EDATE(Bonds!$H149,6*(21-1))))</f>
        <v/>
      </c>
      <c r="Z149" s="3" t="str">
        <f>IF(22&gt;$C149,"",IF($D149=1,EOMONTH(EDATE(Bonds!$H149,6*(22-1)),0),EDATE(Bonds!$H149,6*(22-1))))</f>
        <v/>
      </c>
      <c r="AA149" s="3" t="str">
        <f>IF(23&gt;$C149,"",IF($D149=1,EOMONTH(EDATE(Bonds!$H149,6*(23-1)),0),EDATE(Bonds!$H149,6*(23-1))))</f>
        <v/>
      </c>
      <c r="AB149" s="3" t="str">
        <f>IF(24&gt;$C149,"",IF($D149=1,EOMONTH(EDATE(Bonds!$H149,6*(24-1)),0),EDATE(Bonds!$H149,6*(24-1))))</f>
        <v/>
      </c>
      <c r="AC149" s="3" t="str">
        <f>IF(25&gt;$C149,"",IF($D149=1,EOMONTH(EDATE(Bonds!$H149,6*(25-1)),0),EDATE(Bonds!$H149,6*(25-1))))</f>
        <v/>
      </c>
      <c r="AD149" s="3" t="str">
        <f>IF(26&gt;$C149,"",IF($D149=1,EOMONTH(EDATE(Bonds!$H149,6*(26-1)),0),EDATE(Bonds!$H149,6*(26-1))))</f>
        <v/>
      </c>
      <c r="AE149" s="3" t="str">
        <f>IF(27&gt;$C149,"",IF($D149=1,EOMONTH(EDATE(Bonds!$H149,6*(27-1)),0),EDATE(Bonds!$H149,6*(27-1))))</f>
        <v/>
      </c>
      <c r="AF149" s="3" t="str">
        <f>IF(28&gt;$C149,"",IF($D149=1,EOMONTH(EDATE(Bonds!$H149,6*(28-1)),0),EDATE(Bonds!$H149,6*(28-1))))</f>
        <v/>
      </c>
      <c r="AG149" s="3" t="str">
        <f>IF(29&gt;$C149,"",IF($D149=1,EOMONTH(EDATE(Bonds!$H149,6*(29-1)),0),EDATE(Bonds!$H149,6*(29-1))))</f>
        <v/>
      </c>
      <c r="AH149" s="3" t="str">
        <f>IF(30&gt;$C149,"",IF($D149=1,EOMONTH(EDATE(Bonds!$H149,6*(30-1)),0),EDATE(Bonds!$H149,6*(30-1))))</f>
        <v/>
      </c>
      <c r="AI149" s="3" t="str">
        <f>IF(31&gt;$C149,"",IF($D149=1,EOMONTH(EDATE(Bonds!$H149,6*(31-1)),0),EDATE(Bonds!$H149,6*(31-1))))</f>
        <v/>
      </c>
      <c r="AJ149" s="3" t="str">
        <f>IF(32&gt;$C149,"",IF($D149=1,EOMONTH(EDATE(Bonds!$H149,6*(32-1)),0),EDATE(Bonds!$H149,6*(32-1))))</f>
        <v/>
      </c>
      <c r="AK149" s="3" t="str">
        <f>IF(33&gt;$C149,"",IF($D149=1,EOMONTH(EDATE(Bonds!$H149,6*(33-1)),0),EDATE(Bonds!$H149,6*(33-1))))</f>
        <v/>
      </c>
      <c r="AL149" s="3" t="str">
        <f>IF(34&gt;$C149,"",IF($D149=1,EOMONTH(EDATE(Bonds!$H149,6*(34-1)),0),EDATE(Bonds!$H149,6*(34-1))))</f>
        <v/>
      </c>
      <c r="AM149" s="3" t="str">
        <f>IF(35&gt;$C149,"",IF($D149=1,EOMONTH(EDATE(Bonds!$H149,6*(35-1)),0),EDATE(Bonds!$H149,6*(35-1))))</f>
        <v/>
      </c>
      <c r="AN149" s="3" t="str">
        <f>IF(36&gt;$C149,"",IF($D149=1,EOMONTH(EDATE(Bonds!$H149,6*(36-1)),0),EDATE(Bonds!$H149,6*(36-1))))</f>
        <v/>
      </c>
      <c r="AO149" s="3" t="str">
        <f>IF(37&gt;$C149,"",IF($D149=1,EOMONTH(EDATE(Bonds!$H149,6*(37-1)),0),EDATE(Bonds!$H149,6*(37-1))))</f>
        <v/>
      </c>
      <c r="AP149" s="3" t="str">
        <f>IF(38&gt;$C149,"",IF($D149=1,EOMONTH(EDATE(Bonds!$H149,6*(38-1)),0),EDATE(Bonds!$H149,6*(38-1))))</f>
        <v/>
      </c>
      <c r="AQ149" s="3" t="str">
        <f>IF(39&gt;$C149,"",IF($D149=1,EOMONTH(EDATE(Bonds!$H149,6*(39-1)),0),EDATE(Bonds!$H149,6*(39-1))))</f>
        <v/>
      </c>
      <c r="AR149" s="3" t="str">
        <f>IF(40&gt;$C149,"",IF($D149=1,EOMONTH(EDATE(Bonds!$H149,6*(40-1)),0),EDATE(Bonds!$H149,6*(40-1))))</f>
        <v/>
      </c>
      <c r="AS149" s="3" t="str">
        <f>IF(41&gt;$C149,"",IF($D149=1,EOMONTH(EDATE(Bonds!$H149,6*(41-1)),0),EDATE(Bonds!$H149,6*(41-1))))</f>
        <v/>
      </c>
      <c r="AT149" s="3" t="str">
        <f>IF(42&gt;$C149,"",IF($D149=1,EOMONTH(EDATE(Bonds!$H149,6*(42-1)),0),EDATE(Bonds!$H149,6*(42-1))))</f>
        <v/>
      </c>
      <c r="AU149" s="3" t="str">
        <f>IF(43&gt;$C149,"",IF($D149=1,EOMONTH(EDATE(Bonds!$H149,6*(43-1)),0),EDATE(Bonds!$H149,6*(43-1))))</f>
        <v/>
      </c>
      <c r="AV149" s="3" t="str">
        <f>IF(44&gt;$C149,"",IF($D149=1,EOMONTH(EDATE(Bonds!$H149,6*(44-1)),0),EDATE(Bonds!$H149,6*(44-1))))</f>
        <v/>
      </c>
      <c r="AW149" s="3" t="str">
        <f>IF(45&gt;$C149,"",IF($D149=1,EOMONTH(EDATE(Bonds!$H149,6*(45-1)),0),EDATE(Bonds!$H149,6*(45-1))))</f>
        <v/>
      </c>
      <c r="AX149" s="3" t="str">
        <f>IF(46&gt;$C149,"",IF($D149=1,EOMONTH(EDATE(Bonds!$H149,6*(46-1)),0),EDATE(Bonds!$H149,6*(46-1))))</f>
        <v/>
      </c>
      <c r="AY149" s="3" t="str">
        <f>IF(47&gt;$C149,"",IF($D149=1,EOMONTH(EDATE(Bonds!$H149,6*(47-1)),0),EDATE(Bonds!$H149,6*(47-1))))</f>
        <v/>
      </c>
      <c r="AZ149" s="3" t="str">
        <f>IF(48&gt;$C149,"",IF($D149=1,EOMONTH(EDATE(Bonds!$H149,6*(48-1)),0),EDATE(Bonds!$H149,6*(48-1))))</f>
        <v/>
      </c>
      <c r="BA149" s="3" t="str">
        <f>IF(49&gt;$C149,"",IF($D149=1,EOMONTH(EDATE(Bonds!$H149,6*(49-1)),0),EDATE(Bonds!$H149,6*(49-1))))</f>
        <v/>
      </c>
      <c r="BB149" s="3" t="str">
        <f>IF(50&gt;$C149,"",IF($D149=1,EOMONTH(EDATE(Bonds!$H149,6*(50-1)),0),EDATE(Bonds!$H149,6*(50-1))))</f>
        <v/>
      </c>
      <c r="BC149" s="3" t="str">
        <f>IF(51&gt;$C149,"",IF($D149=1,EOMONTH(EDATE(Bonds!$H149,6*(51-1)),0),EDATE(Bonds!$H149,6*(51-1))))</f>
        <v/>
      </c>
      <c r="BD149" s="3" t="str">
        <f>IF(52&gt;$C149,"",IF($D149=1,EOMONTH(EDATE(Bonds!$H149,6*(52-1)),0),EDATE(Bonds!$H149,6*(52-1))))</f>
        <v/>
      </c>
      <c r="BE149" s="3" t="str">
        <f>IF(53&gt;$C149,"",IF($D149=1,EOMONTH(EDATE(Bonds!$H149,6*(53-1)),0),EDATE(Bonds!$H149,6*(53-1))))</f>
        <v/>
      </c>
      <c r="BF149" s="3" t="str">
        <f>IF(54&gt;$C149,"",IF($D149=1,EOMONTH(EDATE(Bonds!$H149,6*(54-1)),0),EDATE(Bonds!$H149,6*(54-1))))</f>
        <v/>
      </c>
      <c r="BG149" s="3" t="str">
        <f>IF(55&gt;$C149,"",IF($D149=1,EOMONTH(EDATE(Bonds!$H149,6*(55-1)),0),EDATE(Bonds!$H149,6*(55-1))))</f>
        <v/>
      </c>
      <c r="BH149" s="3" t="str">
        <f>IF(56&gt;$C149,"",IF($D149=1,EOMONTH(EDATE(Bonds!$H149,6*(56-1)),0),EDATE(Bonds!$H149,6*(56-1))))</f>
        <v/>
      </c>
      <c r="BI149" s="3" t="str">
        <f>IF(57&gt;$C149,"",IF($D149=1,EOMONTH(EDATE(Bonds!$H149,6*(57-1)),0),EDATE(Bonds!$H149,6*(57-1))))</f>
        <v/>
      </c>
      <c r="BJ149" s="3" t="str">
        <f>IF(58&gt;$C149,"",IF($D149=1,EOMONTH(EDATE(Bonds!$H149,6*(58-1)),0),EDATE(Bonds!$H149,6*(58-1))))</f>
        <v/>
      </c>
      <c r="BK149" s="3" t="str">
        <f>IF(59&gt;$C149,"",IF($D149=1,EOMONTH(EDATE(Bonds!$H149,6*(59-1)),0),EDATE(Bonds!$H149,6*(59-1))))</f>
        <v/>
      </c>
      <c r="BL149" s="3" t="str">
        <f>IF(60&gt;$C149,"",IF($D149=1,EOMONTH(EDATE(Bonds!$H149,6*(60-1)),0),EDATE(Bonds!$H149,6*(60-1))))</f>
        <v/>
      </c>
      <c r="BN149" s="7">
        <f t="shared" si="123"/>
        <v>2.099709607066548</v>
      </c>
      <c r="BO149" s="7">
        <f t="shared" si="124"/>
        <v>2.0562955325533236</v>
      </c>
      <c r="BP149" s="7">
        <f t="shared" si="125"/>
        <v>2.0105397566549135</v>
      </c>
      <c r="BQ149" s="7">
        <f t="shared" si="126"/>
        <v>1.9652873036675045</v>
      </c>
      <c r="BR149" s="7">
        <f t="shared" si="127"/>
        <v>1.9203281929450844</v>
      </c>
      <c r="BS149" s="7">
        <f t="shared" si="128"/>
        <v>90.213837340418777</v>
      </c>
      <c r="BT149" s="7">
        <f t="shared" si="129"/>
        <v>0</v>
      </c>
      <c r="BU149" s="7">
        <f t="shared" si="130"/>
        <v>0</v>
      </c>
      <c r="BV149" s="7">
        <f t="shared" si="131"/>
        <v>0</v>
      </c>
      <c r="BW149" s="7">
        <f t="shared" si="132"/>
        <v>0</v>
      </c>
      <c r="BX149" s="7">
        <f t="shared" si="133"/>
        <v>0</v>
      </c>
      <c r="BY149" s="7">
        <f t="shared" si="134"/>
        <v>0</v>
      </c>
      <c r="BZ149" s="7">
        <f t="shared" si="135"/>
        <v>0</v>
      </c>
      <c r="CA149" s="7">
        <f t="shared" si="136"/>
        <v>0</v>
      </c>
      <c r="CB149" s="7">
        <f t="shared" si="137"/>
        <v>0</v>
      </c>
      <c r="CC149" s="7">
        <f t="shared" si="138"/>
        <v>0</v>
      </c>
      <c r="CD149" s="7">
        <f t="shared" si="139"/>
        <v>0</v>
      </c>
      <c r="CE149" s="7">
        <f t="shared" si="140"/>
        <v>0</v>
      </c>
      <c r="CF149" s="7">
        <f t="shared" si="141"/>
        <v>0</v>
      </c>
      <c r="CG149" s="7">
        <f t="shared" si="142"/>
        <v>0</v>
      </c>
      <c r="CH149" s="7">
        <f t="shared" si="143"/>
        <v>0</v>
      </c>
      <c r="CI149" s="7">
        <f t="shared" si="144"/>
        <v>0</v>
      </c>
      <c r="CJ149" s="7">
        <f t="shared" si="145"/>
        <v>0</v>
      </c>
      <c r="CK149" s="7">
        <f t="shared" si="146"/>
        <v>0</v>
      </c>
      <c r="CL149" s="7">
        <f t="shared" si="147"/>
        <v>0</v>
      </c>
      <c r="CM149" s="7">
        <f t="shared" si="148"/>
        <v>0</v>
      </c>
      <c r="CN149" s="7">
        <f t="shared" si="149"/>
        <v>0</v>
      </c>
      <c r="CO149" s="7">
        <f t="shared" si="150"/>
        <v>0</v>
      </c>
      <c r="CP149" s="7">
        <f t="shared" si="151"/>
        <v>0</v>
      </c>
      <c r="CQ149" s="7">
        <f t="shared" si="152"/>
        <v>0</v>
      </c>
      <c r="CR149" s="7">
        <f t="shared" si="153"/>
        <v>0</v>
      </c>
      <c r="CS149" s="7">
        <f t="shared" si="154"/>
        <v>0</v>
      </c>
      <c r="CT149" s="7">
        <f t="shared" si="155"/>
        <v>0</v>
      </c>
      <c r="CU149" s="7">
        <f t="shared" si="156"/>
        <v>0</v>
      </c>
      <c r="CV149" s="7">
        <f t="shared" si="157"/>
        <v>0</v>
      </c>
      <c r="CW149" s="7">
        <f t="shared" si="158"/>
        <v>0</v>
      </c>
      <c r="CX149" s="7">
        <f t="shared" si="159"/>
        <v>0</v>
      </c>
      <c r="CY149" s="7">
        <f t="shared" si="160"/>
        <v>0</v>
      </c>
      <c r="CZ149" s="7">
        <f t="shared" si="161"/>
        <v>0</v>
      </c>
      <c r="DA149" s="7">
        <f t="shared" si="162"/>
        <v>0</v>
      </c>
      <c r="DB149" s="7">
        <f t="shared" si="163"/>
        <v>0</v>
      </c>
      <c r="DC149" s="7">
        <f t="shared" si="164"/>
        <v>0</v>
      </c>
      <c r="DD149" s="7">
        <f t="shared" si="165"/>
        <v>0</v>
      </c>
      <c r="DE149" s="7">
        <f t="shared" si="166"/>
        <v>0</v>
      </c>
      <c r="DF149" s="7">
        <f t="shared" si="167"/>
        <v>0</v>
      </c>
      <c r="DG149" s="7">
        <f t="shared" si="168"/>
        <v>0</v>
      </c>
      <c r="DH149" s="7">
        <f t="shared" si="169"/>
        <v>0</v>
      </c>
      <c r="DI149" s="7">
        <f t="shared" si="170"/>
        <v>0</v>
      </c>
      <c r="DJ149" s="7">
        <f t="shared" si="171"/>
        <v>0</v>
      </c>
      <c r="DK149" s="7">
        <f t="shared" si="172"/>
        <v>0</v>
      </c>
      <c r="DL149" s="7">
        <f t="shared" si="173"/>
        <v>0</v>
      </c>
      <c r="DM149" s="7">
        <f t="shared" si="174"/>
        <v>0</v>
      </c>
      <c r="DN149" s="7">
        <f t="shared" si="175"/>
        <v>0</v>
      </c>
      <c r="DO149" s="7">
        <f t="shared" si="176"/>
        <v>0</v>
      </c>
      <c r="DP149" s="7">
        <f t="shared" si="177"/>
        <v>0</v>
      </c>
      <c r="DQ149" s="7">
        <f t="shared" si="178"/>
        <v>0</v>
      </c>
      <c r="DR149" s="7">
        <f t="shared" si="179"/>
        <v>0</v>
      </c>
      <c r="DS149" s="7">
        <f t="shared" si="180"/>
        <v>0</v>
      </c>
      <c r="DT149" s="7">
        <f t="shared" si="181"/>
        <v>0</v>
      </c>
      <c r="DU149" s="7">
        <f t="shared" si="182"/>
        <v>0</v>
      </c>
    </row>
    <row r="150" spans="1:125" x14ac:dyDescent="0.2">
      <c r="A150" s="3">
        <f>Bonds!A150</f>
        <v>47314</v>
      </c>
      <c r="B150" s="4">
        <f>Bonds!B150</f>
        <v>4.125</v>
      </c>
      <c r="C150">
        <f>Bonds!P150</f>
        <v>6</v>
      </c>
      <c r="D150">
        <f t="shared" si="122"/>
        <v>0</v>
      </c>
      <c r="E150" s="3">
        <f>IF(1&gt;$C150,"",IF($D150=1,EOMONTH(EDATE(Bonds!$H150,6*(1-1)),0),EDATE(Bonds!$H150,6*(1-1))))</f>
        <v>46402</v>
      </c>
      <c r="F150" s="3">
        <f>IF(2&gt;$C150,"",IF($D150=1,EOMONTH(EDATE(Bonds!$H150,6*(2-1)),0),EDATE(Bonds!$H150,6*(2-1))))</f>
        <v>46583</v>
      </c>
      <c r="G150" s="3">
        <f>IF(3&gt;$C150,"",IF($D150=1,EOMONTH(EDATE(Bonds!$H150,6*(3-1)),0),EDATE(Bonds!$H150,6*(3-1))))</f>
        <v>46767</v>
      </c>
      <c r="H150" s="3">
        <f>IF(4&gt;$C150,"",IF($D150=1,EOMONTH(EDATE(Bonds!$H150,6*(4-1)),0),EDATE(Bonds!$H150,6*(4-1))))</f>
        <v>46949</v>
      </c>
      <c r="I150" s="3">
        <f>IF(5&gt;$C150,"",IF($D150=1,EOMONTH(EDATE(Bonds!$H150,6*(5-1)),0),EDATE(Bonds!$H150,6*(5-1))))</f>
        <v>47133</v>
      </c>
      <c r="J150" s="3">
        <f>IF(6&gt;$C150,"",IF($D150=1,EOMONTH(EDATE(Bonds!$H150,6*(6-1)),0),EDATE(Bonds!$H150,6*(6-1))))</f>
        <v>47314</v>
      </c>
      <c r="K150" s="3" t="str">
        <f>IF(7&gt;$C150,"",IF($D150=1,EOMONTH(EDATE(Bonds!$H150,6*(7-1)),0),EDATE(Bonds!$H150,6*(7-1))))</f>
        <v/>
      </c>
      <c r="L150" s="3" t="str">
        <f>IF(8&gt;$C150,"",IF($D150=1,EOMONTH(EDATE(Bonds!$H150,6*(8-1)),0),EDATE(Bonds!$H150,6*(8-1))))</f>
        <v/>
      </c>
      <c r="M150" s="3" t="str">
        <f>IF(9&gt;$C150,"",IF($D150=1,EOMONTH(EDATE(Bonds!$H150,6*(9-1)),0),EDATE(Bonds!$H150,6*(9-1))))</f>
        <v/>
      </c>
      <c r="N150" s="3" t="str">
        <f>IF(10&gt;$C150,"",IF($D150=1,EOMONTH(EDATE(Bonds!$H150,6*(10-1)),0),EDATE(Bonds!$H150,6*(10-1))))</f>
        <v/>
      </c>
      <c r="O150" s="3" t="str">
        <f>IF(11&gt;$C150,"",IF($D150=1,EOMONTH(EDATE(Bonds!$H150,6*(11-1)),0),EDATE(Bonds!$H150,6*(11-1))))</f>
        <v/>
      </c>
      <c r="P150" s="3" t="str">
        <f>IF(12&gt;$C150,"",IF($D150=1,EOMONTH(EDATE(Bonds!$H150,6*(12-1)),0),EDATE(Bonds!$H150,6*(12-1))))</f>
        <v/>
      </c>
      <c r="Q150" s="3" t="str">
        <f>IF(13&gt;$C150,"",IF($D150=1,EOMONTH(EDATE(Bonds!$H150,6*(13-1)),0),EDATE(Bonds!$H150,6*(13-1))))</f>
        <v/>
      </c>
      <c r="R150" s="3" t="str">
        <f>IF(14&gt;$C150,"",IF($D150=1,EOMONTH(EDATE(Bonds!$H150,6*(14-1)),0),EDATE(Bonds!$H150,6*(14-1))))</f>
        <v/>
      </c>
      <c r="S150" s="3" t="str">
        <f>IF(15&gt;$C150,"",IF($D150=1,EOMONTH(EDATE(Bonds!$H150,6*(15-1)),0),EDATE(Bonds!$H150,6*(15-1))))</f>
        <v/>
      </c>
      <c r="T150" s="3" t="str">
        <f>IF(16&gt;$C150,"",IF($D150=1,EOMONTH(EDATE(Bonds!$H150,6*(16-1)),0),EDATE(Bonds!$H150,6*(16-1))))</f>
        <v/>
      </c>
      <c r="U150" s="3" t="str">
        <f>IF(17&gt;$C150,"",IF($D150=1,EOMONTH(EDATE(Bonds!$H150,6*(17-1)),0),EDATE(Bonds!$H150,6*(17-1))))</f>
        <v/>
      </c>
      <c r="V150" s="3" t="str">
        <f>IF(18&gt;$C150,"",IF($D150=1,EOMONTH(EDATE(Bonds!$H150,6*(18-1)),0),EDATE(Bonds!$H150,6*(18-1))))</f>
        <v/>
      </c>
      <c r="W150" s="3" t="str">
        <f>IF(19&gt;$C150,"",IF($D150=1,EOMONTH(EDATE(Bonds!$H150,6*(19-1)),0),EDATE(Bonds!$H150,6*(19-1))))</f>
        <v/>
      </c>
      <c r="X150" s="3" t="str">
        <f>IF(20&gt;$C150,"",IF($D150=1,EOMONTH(EDATE(Bonds!$H150,6*(20-1)),0),EDATE(Bonds!$H150,6*(20-1))))</f>
        <v/>
      </c>
      <c r="Y150" s="3" t="str">
        <f>IF(21&gt;$C150,"",IF($D150=1,EOMONTH(EDATE(Bonds!$H150,6*(21-1)),0),EDATE(Bonds!$H150,6*(21-1))))</f>
        <v/>
      </c>
      <c r="Z150" s="3" t="str">
        <f>IF(22&gt;$C150,"",IF($D150=1,EOMONTH(EDATE(Bonds!$H150,6*(22-1)),0),EDATE(Bonds!$H150,6*(22-1))))</f>
        <v/>
      </c>
      <c r="AA150" s="3" t="str">
        <f>IF(23&gt;$C150,"",IF($D150=1,EOMONTH(EDATE(Bonds!$H150,6*(23-1)),0),EDATE(Bonds!$H150,6*(23-1))))</f>
        <v/>
      </c>
      <c r="AB150" s="3" t="str">
        <f>IF(24&gt;$C150,"",IF($D150=1,EOMONTH(EDATE(Bonds!$H150,6*(24-1)),0),EDATE(Bonds!$H150,6*(24-1))))</f>
        <v/>
      </c>
      <c r="AC150" s="3" t="str">
        <f>IF(25&gt;$C150,"",IF($D150=1,EOMONTH(EDATE(Bonds!$H150,6*(25-1)),0),EDATE(Bonds!$H150,6*(25-1))))</f>
        <v/>
      </c>
      <c r="AD150" s="3" t="str">
        <f>IF(26&gt;$C150,"",IF($D150=1,EOMONTH(EDATE(Bonds!$H150,6*(26-1)),0),EDATE(Bonds!$H150,6*(26-1))))</f>
        <v/>
      </c>
      <c r="AE150" s="3" t="str">
        <f>IF(27&gt;$C150,"",IF($D150=1,EOMONTH(EDATE(Bonds!$H150,6*(27-1)),0),EDATE(Bonds!$H150,6*(27-1))))</f>
        <v/>
      </c>
      <c r="AF150" s="3" t="str">
        <f>IF(28&gt;$C150,"",IF($D150=1,EOMONTH(EDATE(Bonds!$H150,6*(28-1)),0),EDATE(Bonds!$H150,6*(28-1))))</f>
        <v/>
      </c>
      <c r="AG150" s="3" t="str">
        <f>IF(29&gt;$C150,"",IF($D150=1,EOMONTH(EDATE(Bonds!$H150,6*(29-1)),0),EDATE(Bonds!$H150,6*(29-1))))</f>
        <v/>
      </c>
      <c r="AH150" s="3" t="str">
        <f>IF(30&gt;$C150,"",IF($D150=1,EOMONTH(EDATE(Bonds!$H150,6*(30-1)),0),EDATE(Bonds!$H150,6*(30-1))))</f>
        <v/>
      </c>
      <c r="AI150" s="3" t="str">
        <f>IF(31&gt;$C150,"",IF($D150=1,EOMONTH(EDATE(Bonds!$H150,6*(31-1)),0),EDATE(Bonds!$H150,6*(31-1))))</f>
        <v/>
      </c>
      <c r="AJ150" s="3" t="str">
        <f>IF(32&gt;$C150,"",IF($D150=1,EOMONTH(EDATE(Bonds!$H150,6*(32-1)),0),EDATE(Bonds!$H150,6*(32-1))))</f>
        <v/>
      </c>
      <c r="AK150" s="3" t="str">
        <f>IF(33&gt;$C150,"",IF($D150=1,EOMONTH(EDATE(Bonds!$H150,6*(33-1)),0),EDATE(Bonds!$H150,6*(33-1))))</f>
        <v/>
      </c>
      <c r="AL150" s="3" t="str">
        <f>IF(34&gt;$C150,"",IF($D150=1,EOMONTH(EDATE(Bonds!$H150,6*(34-1)),0),EDATE(Bonds!$H150,6*(34-1))))</f>
        <v/>
      </c>
      <c r="AM150" s="3" t="str">
        <f>IF(35&gt;$C150,"",IF($D150=1,EOMONTH(EDATE(Bonds!$H150,6*(35-1)),0),EDATE(Bonds!$H150,6*(35-1))))</f>
        <v/>
      </c>
      <c r="AN150" s="3" t="str">
        <f>IF(36&gt;$C150,"",IF($D150=1,EOMONTH(EDATE(Bonds!$H150,6*(36-1)),0),EDATE(Bonds!$H150,6*(36-1))))</f>
        <v/>
      </c>
      <c r="AO150" s="3" t="str">
        <f>IF(37&gt;$C150,"",IF($D150=1,EOMONTH(EDATE(Bonds!$H150,6*(37-1)),0),EDATE(Bonds!$H150,6*(37-1))))</f>
        <v/>
      </c>
      <c r="AP150" s="3" t="str">
        <f>IF(38&gt;$C150,"",IF($D150=1,EOMONTH(EDATE(Bonds!$H150,6*(38-1)),0),EDATE(Bonds!$H150,6*(38-1))))</f>
        <v/>
      </c>
      <c r="AQ150" s="3" t="str">
        <f>IF(39&gt;$C150,"",IF($D150=1,EOMONTH(EDATE(Bonds!$H150,6*(39-1)),0),EDATE(Bonds!$H150,6*(39-1))))</f>
        <v/>
      </c>
      <c r="AR150" s="3" t="str">
        <f>IF(40&gt;$C150,"",IF($D150=1,EOMONTH(EDATE(Bonds!$H150,6*(40-1)),0),EDATE(Bonds!$H150,6*(40-1))))</f>
        <v/>
      </c>
      <c r="AS150" s="3" t="str">
        <f>IF(41&gt;$C150,"",IF($D150=1,EOMONTH(EDATE(Bonds!$H150,6*(41-1)),0),EDATE(Bonds!$H150,6*(41-1))))</f>
        <v/>
      </c>
      <c r="AT150" s="3" t="str">
        <f>IF(42&gt;$C150,"",IF($D150=1,EOMONTH(EDATE(Bonds!$H150,6*(42-1)),0),EDATE(Bonds!$H150,6*(42-1))))</f>
        <v/>
      </c>
      <c r="AU150" s="3" t="str">
        <f>IF(43&gt;$C150,"",IF($D150=1,EOMONTH(EDATE(Bonds!$H150,6*(43-1)),0),EDATE(Bonds!$H150,6*(43-1))))</f>
        <v/>
      </c>
      <c r="AV150" s="3" t="str">
        <f>IF(44&gt;$C150,"",IF($D150=1,EOMONTH(EDATE(Bonds!$H150,6*(44-1)),0),EDATE(Bonds!$H150,6*(44-1))))</f>
        <v/>
      </c>
      <c r="AW150" s="3" t="str">
        <f>IF(45&gt;$C150,"",IF($D150=1,EOMONTH(EDATE(Bonds!$H150,6*(45-1)),0),EDATE(Bonds!$H150,6*(45-1))))</f>
        <v/>
      </c>
      <c r="AX150" s="3" t="str">
        <f>IF(46&gt;$C150,"",IF($D150=1,EOMONTH(EDATE(Bonds!$H150,6*(46-1)),0),EDATE(Bonds!$H150,6*(46-1))))</f>
        <v/>
      </c>
      <c r="AY150" s="3" t="str">
        <f>IF(47&gt;$C150,"",IF($D150=1,EOMONTH(EDATE(Bonds!$H150,6*(47-1)),0),EDATE(Bonds!$H150,6*(47-1))))</f>
        <v/>
      </c>
      <c r="AZ150" s="3" t="str">
        <f>IF(48&gt;$C150,"",IF($D150=1,EOMONTH(EDATE(Bonds!$H150,6*(48-1)),0),EDATE(Bonds!$H150,6*(48-1))))</f>
        <v/>
      </c>
      <c r="BA150" s="3" t="str">
        <f>IF(49&gt;$C150,"",IF($D150=1,EOMONTH(EDATE(Bonds!$H150,6*(49-1)),0),EDATE(Bonds!$H150,6*(49-1))))</f>
        <v/>
      </c>
      <c r="BB150" s="3" t="str">
        <f>IF(50&gt;$C150,"",IF($D150=1,EOMONTH(EDATE(Bonds!$H150,6*(50-1)),0),EDATE(Bonds!$H150,6*(50-1))))</f>
        <v/>
      </c>
      <c r="BC150" s="3" t="str">
        <f>IF(51&gt;$C150,"",IF($D150=1,EOMONTH(EDATE(Bonds!$H150,6*(51-1)),0),EDATE(Bonds!$H150,6*(51-1))))</f>
        <v/>
      </c>
      <c r="BD150" s="3" t="str">
        <f>IF(52&gt;$C150,"",IF($D150=1,EOMONTH(EDATE(Bonds!$H150,6*(52-1)),0),EDATE(Bonds!$H150,6*(52-1))))</f>
        <v/>
      </c>
      <c r="BE150" s="3" t="str">
        <f>IF(53&gt;$C150,"",IF($D150=1,EOMONTH(EDATE(Bonds!$H150,6*(53-1)),0),EDATE(Bonds!$H150,6*(53-1))))</f>
        <v/>
      </c>
      <c r="BF150" s="3" t="str">
        <f>IF(54&gt;$C150,"",IF($D150=1,EOMONTH(EDATE(Bonds!$H150,6*(54-1)),0),EDATE(Bonds!$H150,6*(54-1))))</f>
        <v/>
      </c>
      <c r="BG150" s="3" t="str">
        <f>IF(55&gt;$C150,"",IF($D150=1,EOMONTH(EDATE(Bonds!$H150,6*(55-1)),0),EDATE(Bonds!$H150,6*(55-1))))</f>
        <v/>
      </c>
      <c r="BH150" s="3" t="str">
        <f>IF(56&gt;$C150,"",IF($D150=1,EOMONTH(EDATE(Bonds!$H150,6*(56-1)),0),EDATE(Bonds!$H150,6*(56-1))))</f>
        <v/>
      </c>
      <c r="BI150" s="3" t="str">
        <f>IF(57&gt;$C150,"",IF($D150=1,EOMONTH(EDATE(Bonds!$H150,6*(57-1)),0),EDATE(Bonds!$H150,6*(57-1))))</f>
        <v/>
      </c>
      <c r="BJ150" s="3" t="str">
        <f>IF(58&gt;$C150,"",IF($D150=1,EOMONTH(EDATE(Bonds!$H150,6*(58-1)),0),EDATE(Bonds!$H150,6*(58-1))))</f>
        <v/>
      </c>
      <c r="BK150" s="3" t="str">
        <f>IF(59&gt;$C150,"",IF($D150=1,EOMONTH(EDATE(Bonds!$H150,6*(59-1)),0),EDATE(Bonds!$H150,6*(59-1))))</f>
        <v/>
      </c>
      <c r="BL150" s="3" t="str">
        <f>IF(60&gt;$C150,"",IF($D150=1,EOMONTH(EDATE(Bonds!$H150,6*(60-1)),0),EDATE(Bonds!$H150,6*(60-1))))</f>
        <v/>
      </c>
      <c r="BN150" s="7">
        <f t="shared" si="123"/>
        <v>2.0345779903813761</v>
      </c>
      <c r="BO150" s="7">
        <f t="shared" si="124"/>
        <v>1.9922268694990071</v>
      </c>
      <c r="BP150" s="7">
        <f t="shared" si="125"/>
        <v>1.947771616562463</v>
      </c>
      <c r="BQ150" s="7">
        <f t="shared" si="126"/>
        <v>1.90389238610071</v>
      </c>
      <c r="BR150" s="7">
        <f t="shared" si="127"/>
        <v>1.8603353723899525</v>
      </c>
      <c r="BS150" s="7">
        <f t="shared" si="128"/>
        <v>89.989104559702781</v>
      </c>
      <c r="BT150" s="7">
        <f t="shared" si="129"/>
        <v>0</v>
      </c>
      <c r="BU150" s="7">
        <f t="shared" si="130"/>
        <v>0</v>
      </c>
      <c r="BV150" s="7">
        <f t="shared" si="131"/>
        <v>0</v>
      </c>
      <c r="BW150" s="7">
        <f t="shared" si="132"/>
        <v>0</v>
      </c>
      <c r="BX150" s="7">
        <f t="shared" si="133"/>
        <v>0</v>
      </c>
      <c r="BY150" s="7">
        <f t="shared" si="134"/>
        <v>0</v>
      </c>
      <c r="BZ150" s="7">
        <f t="shared" si="135"/>
        <v>0</v>
      </c>
      <c r="CA150" s="7">
        <f t="shared" si="136"/>
        <v>0</v>
      </c>
      <c r="CB150" s="7">
        <f t="shared" si="137"/>
        <v>0</v>
      </c>
      <c r="CC150" s="7">
        <f t="shared" si="138"/>
        <v>0</v>
      </c>
      <c r="CD150" s="7">
        <f t="shared" si="139"/>
        <v>0</v>
      </c>
      <c r="CE150" s="7">
        <f t="shared" si="140"/>
        <v>0</v>
      </c>
      <c r="CF150" s="7">
        <f t="shared" si="141"/>
        <v>0</v>
      </c>
      <c r="CG150" s="7">
        <f t="shared" si="142"/>
        <v>0</v>
      </c>
      <c r="CH150" s="7">
        <f t="shared" si="143"/>
        <v>0</v>
      </c>
      <c r="CI150" s="7">
        <f t="shared" si="144"/>
        <v>0</v>
      </c>
      <c r="CJ150" s="7">
        <f t="shared" si="145"/>
        <v>0</v>
      </c>
      <c r="CK150" s="7">
        <f t="shared" si="146"/>
        <v>0</v>
      </c>
      <c r="CL150" s="7">
        <f t="shared" si="147"/>
        <v>0</v>
      </c>
      <c r="CM150" s="7">
        <f t="shared" si="148"/>
        <v>0</v>
      </c>
      <c r="CN150" s="7">
        <f t="shared" si="149"/>
        <v>0</v>
      </c>
      <c r="CO150" s="7">
        <f t="shared" si="150"/>
        <v>0</v>
      </c>
      <c r="CP150" s="7">
        <f t="shared" si="151"/>
        <v>0</v>
      </c>
      <c r="CQ150" s="7">
        <f t="shared" si="152"/>
        <v>0</v>
      </c>
      <c r="CR150" s="7">
        <f t="shared" si="153"/>
        <v>0</v>
      </c>
      <c r="CS150" s="7">
        <f t="shared" si="154"/>
        <v>0</v>
      </c>
      <c r="CT150" s="7">
        <f t="shared" si="155"/>
        <v>0</v>
      </c>
      <c r="CU150" s="7">
        <f t="shared" si="156"/>
        <v>0</v>
      </c>
      <c r="CV150" s="7">
        <f t="shared" si="157"/>
        <v>0</v>
      </c>
      <c r="CW150" s="7">
        <f t="shared" si="158"/>
        <v>0</v>
      </c>
      <c r="CX150" s="7">
        <f t="shared" si="159"/>
        <v>0</v>
      </c>
      <c r="CY150" s="7">
        <f t="shared" si="160"/>
        <v>0</v>
      </c>
      <c r="CZ150" s="7">
        <f t="shared" si="161"/>
        <v>0</v>
      </c>
      <c r="DA150" s="7">
        <f t="shared" si="162"/>
        <v>0</v>
      </c>
      <c r="DB150" s="7">
        <f t="shared" si="163"/>
        <v>0</v>
      </c>
      <c r="DC150" s="7">
        <f t="shared" si="164"/>
        <v>0</v>
      </c>
      <c r="DD150" s="7">
        <f t="shared" si="165"/>
        <v>0</v>
      </c>
      <c r="DE150" s="7">
        <f t="shared" si="166"/>
        <v>0</v>
      </c>
      <c r="DF150" s="7">
        <f t="shared" si="167"/>
        <v>0</v>
      </c>
      <c r="DG150" s="7">
        <f t="shared" si="168"/>
        <v>0</v>
      </c>
      <c r="DH150" s="7">
        <f t="shared" si="169"/>
        <v>0</v>
      </c>
      <c r="DI150" s="7">
        <f t="shared" si="170"/>
        <v>0</v>
      </c>
      <c r="DJ150" s="7">
        <f t="shared" si="171"/>
        <v>0</v>
      </c>
      <c r="DK150" s="7">
        <f t="shared" si="172"/>
        <v>0</v>
      </c>
      <c r="DL150" s="7">
        <f t="shared" si="173"/>
        <v>0</v>
      </c>
      <c r="DM150" s="7">
        <f t="shared" si="174"/>
        <v>0</v>
      </c>
      <c r="DN150" s="7">
        <f t="shared" si="175"/>
        <v>0</v>
      </c>
      <c r="DO150" s="7">
        <f t="shared" si="176"/>
        <v>0</v>
      </c>
      <c r="DP150" s="7">
        <f t="shared" si="177"/>
        <v>0</v>
      </c>
      <c r="DQ150" s="7">
        <f t="shared" si="178"/>
        <v>0</v>
      </c>
      <c r="DR150" s="7">
        <f t="shared" si="179"/>
        <v>0</v>
      </c>
      <c r="DS150" s="7">
        <f t="shared" si="180"/>
        <v>0</v>
      </c>
      <c r="DT150" s="7">
        <f t="shared" si="181"/>
        <v>0</v>
      </c>
      <c r="DU150" s="7">
        <f t="shared" si="182"/>
        <v>0</v>
      </c>
    </row>
    <row r="151" spans="1:125" x14ac:dyDescent="0.2">
      <c r="A151" s="3">
        <f>Bonds!A151</f>
        <v>47330</v>
      </c>
      <c r="B151" s="4">
        <f>Bonds!B151</f>
        <v>2.625</v>
      </c>
      <c r="C151">
        <f>Bonds!P151</f>
        <v>6</v>
      </c>
      <c r="D151">
        <f t="shared" si="122"/>
        <v>1</v>
      </c>
      <c r="E151" s="3">
        <f>IF(1&gt;$C151,"",IF($D151=1,EOMONTH(EDATE(Bonds!$H151,6*(1-1)),0),EDATE(Bonds!$H151,6*(1-1))))</f>
        <v>46418</v>
      </c>
      <c r="F151" s="3">
        <f>IF(2&gt;$C151,"",IF($D151=1,EOMONTH(EDATE(Bonds!$H151,6*(2-1)),0),EDATE(Bonds!$H151,6*(2-1))))</f>
        <v>46599</v>
      </c>
      <c r="G151" s="3">
        <f>IF(3&gt;$C151,"",IF($D151=1,EOMONTH(EDATE(Bonds!$H151,6*(3-1)),0),EDATE(Bonds!$H151,6*(3-1))))</f>
        <v>46783</v>
      </c>
      <c r="H151" s="3">
        <f>IF(4&gt;$C151,"",IF($D151=1,EOMONTH(EDATE(Bonds!$H151,6*(4-1)),0),EDATE(Bonds!$H151,6*(4-1))))</f>
        <v>46965</v>
      </c>
      <c r="I151" s="3">
        <f>IF(5&gt;$C151,"",IF($D151=1,EOMONTH(EDATE(Bonds!$H151,6*(5-1)),0),EDATE(Bonds!$H151,6*(5-1))))</f>
        <v>47149</v>
      </c>
      <c r="J151" s="3">
        <f>IF(6&gt;$C151,"",IF($D151=1,EOMONTH(EDATE(Bonds!$H151,6*(6-1)),0),EDATE(Bonds!$H151,6*(6-1))))</f>
        <v>47330</v>
      </c>
      <c r="K151" s="3" t="str">
        <f>IF(7&gt;$C151,"",IF($D151=1,EOMONTH(EDATE(Bonds!$H151,6*(7-1)),0),EDATE(Bonds!$H151,6*(7-1))))</f>
        <v/>
      </c>
      <c r="L151" s="3" t="str">
        <f>IF(8&gt;$C151,"",IF($D151=1,EOMONTH(EDATE(Bonds!$H151,6*(8-1)),0),EDATE(Bonds!$H151,6*(8-1))))</f>
        <v/>
      </c>
      <c r="M151" s="3" t="str">
        <f>IF(9&gt;$C151,"",IF($D151=1,EOMONTH(EDATE(Bonds!$H151,6*(9-1)),0),EDATE(Bonds!$H151,6*(9-1))))</f>
        <v/>
      </c>
      <c r="N151" s="3" t="str">
        <f>IF(10&gt;$C151,"",IF($D151=1,EOMONTH(EDATE(Bonds!$H151,6*(10-1)),0),EDATE(Bonds!$H151,6*(10-1))))</f>
        <v/>
      </c>
      <c r="O151" s="3" t="str">
        <f>IF(11&gt;$C151,"",IF($D151=1,EOMONTH(EDATE(Bonds!$H151,6*(11-1)),0),EDATE(Bonds!$H151,6*(11-1))))</f>
        <v/>
      </c>
      <c r="P151" s="3" t="str">
        <f>IF(12&gt;$C151,"",IF($D151=1,EOMONTH(EDATE(Bonds!$H151,6*(12-1)),0),EDATE(Bonds!$H151,6*(12-1))))</f>
        <v/>
      </c>
      <c r="Q151" s="3" t="str">
        <f>IF(13&gt;$C151,"",IF($D151=1,EOMONTH(EDATE(Bonds!$H151,6*(13-1)),0),EDATE(Bonds!$H151,6*(13-1))))</f>
        <v/>
      </c>
      <c r="R151" s="3" t="str">
        <f>IF(14&gt;$C151,"",IF($D151=1,EOMONTH(EDATE(Bonds!$H151,6*(14-1)),0),EDATE(Bonds!$H151,6*(14-1))))</f>
        <v/>
      </c>
      <c r="S151" s="3" t="str">
        <f>IF(15&gt;$C151,"",IF($D151=1,EOMONTH(EDATE(Bonds!$H151,6*(15-1)),0),EDATE(Bonds!$H151,6*(15-1))))</f>
        <v/>
      </c>
      <c r="T151" s="3" t="str">
        <f>IF(16&gt;$C151,"",IF($D151=1,EOMONTH(EDATE(Bonds!$H151,6*(16-1)),0),EDATE(Bonds!$H151,6*(16-1))))</f>
        <v/>
      </c>
      <c r="U151" s="3" t="str">
        <f>IF(17&gt;$C151,"",IF($D151=1,EOMONTH(EDATE(Bonds!$H151,6*(17-1)),0),EDATE(Bonds!$H151,6*(17-1))))</f>
        <v/>
      </c>
      <c r="V151" s="3" t="str">
        <f>IF(18&gt;$C151,"",IF($D151=1,EOMONTH(EDATE(Bonds!$H151,6*(18-1)),0),EDATE(Bonds!$H151,6*(18-1))))</f>
        <v/>
      </c>
      <c r="W151" s="3" t="str">
        <f>IF(19&gt;$C151,"",IF($D151=1,EOMONTH(EDATE(Bonds!$H151,6*(19-1)),0),EDATE(Bonds!$H151,6*(19-1))))</f>
        <v/>
      </c>
      <c r="X151" s="3" t="str">
        <f>IF(20&gt;$C151,"",IF($D151=1,EOMONTH(EDATE(Bonds!$H151,6*(20-1)),0),EDATE(Bonds!$H151,6*(20-1))))</f>
        <v/>
      </c>
      <c r="Y151" s="3" t="str">
        <f>IF(21&gt;$C151,"",IF($D151=1,EOMONTH(EDATE(Bonds!$H151,6*(21-1)),0),EDATE(Bonds!$H151,6*(21-1))))</f>
        <v/>
      </c>
      <c r="Z151" s="3" t="str">
        <f>IF(22&gt;$C151,"",IF($D151=1,EOMONTH(EDATE(Bonds!$H151,6*(22-1)),0),EDATE(Bonds!$H151,6*(22-1))))</f>
        <v/>
      </c>
      <c r="AA151" s="3" t="str">
        <f>IF(23&gt;$C151,"",IF($D151=1,EOMONTH(EDATE(Bonds!$H151,6*(23-1)),0),EDATE(Bonds!$H151,6*(23-1))))</f>
        <v/>
      </c>
      <c r="AB151" s="3" t="str">
        <f>IF(24&gt;$C151,"",IF($D151=1,EOMONTH(EDATE(Bonds!$H151,6*(24-1)),0),EDATE(Bonds!$H151,6*(24-1))))</f>
        <v/>
      </c>
      <c r="AC151" s="3" t="str">
        <f>IF(25&gt;$C151,"",IF($D151=1,EOMONTH(EDATE(Bonds!$H151,6*(25-1)),0),EDATE(Bonds!$H151,6*(25-1))))</f>
        <v/>
      </c>
      <c r="AD151" s="3" t="str">
        <f>IF(26&gt;$C151,"",IF($D151=1,EOMONTH(EDATE(Bonds!$H151,6*(26-1)),0),EDATE(Bonds!$H151,6*(26-1))))</f>
        <v/>
      </c>
      <c r="AE151" s="3" t="str">
        <f>IF(27&gt;$C151,"",IF($D151=1,EOMONTH(EDATE(Bonds!$H151,6*(27-1)),0),EDATE(Bonds!$H151,6*(27-1))))</f>
        <v/>
      </c>
      <c r="AF151" s="3" t="str">
        <f>IF(28&gt;$C151,"",IF($D151=1,EOMONTH(EDATE(Bonds!$H151,6*(28-1)),0),EDATE(Bonds!$H151,6*(28-1))))</f>
        <v/>
      </c>
      <c r="AG151" s="3" t="str">
        <f>IF(29&gt;$C151,"",IF($D151=1,EOMONTH(EDATE(Bonds!$H151,6*(29-1)),0),EDATE(Bonds!$H151,6*(29-1))))</f>
        <v/>
      </c>
      <c r="AH151" s="3" t="str">
        <f>IF(30&gt;$C151,"",IF($D151=1,EOMONTH(EDATE(Bonds!$H151,6*(30-1)),0),EDATE(Bonds!$H151,6*(30-1))))</f>
        <v/>
      </c>
      <c r="AI151" s="3" t="str">
        <f>IF(31&gt;$C151,"",IF($D151=1,EOMONTH(EDATE(Bonds!$H151,6*(31-1)),0),EDATE(Bonds!$H151,6*(31-1))))</f>
        <v/>
      </c>
      <c r="AJ151" s="3" t="str">
        <f>IF(32&gt;$C151,"",IF($D151=1,EOMONTH(EDATE(Bonds!$H151,6*(32-1)),0),EDATE(Bonds!$H151,6*(32-1))))</f>
        <v/>
      </c>
      <c r="AK151" s="3" t="str">
        <f>IF(33&gt;$C151,"",IF($D151=1,EOMONTH(EDATE(Bonds!$H151,6*(33-1)),0),EDATE(Bonds!$H151,6*(33-1))))</f>
        <v/>
      </c>
      <c r="AL151" s="3" t="str">
        <f>IF(34&gt;$C151,"",IF($D151=1,EOMONTH(EDATE(Bonds!$H151,6*(34-1)),0),EDATE(Bonds!$H151,6*(34-1))))</f>
        <v/>
      </c>
      <c r="AM151" s="3" t="str">
        <f>IF(35&gt;$C151,"",IF($D151=1,EOMONTH(EDATE(Bonds!$H151,6*(35-1)),0),EDATE(Bonds!$H151,6*(35-1))))</f>
        <v/>
      </c>
      <c r="AN151" s="3" t="str">
        <f>IF(36&gt;$C151,"",IF($D151=1,EOMONTH(EDATE(Bonds!$H151,6*(36-1)),0),EDATE(Bonds!$H151,6*(36-1))))</f>
        <v/>
      </c>
      <c r="AO151" s="3" t="str">
        <f>IF(37&gt;$C151,"",IF($D151=1,EOMONTH(EDATE(Bonds!$H151,6*(37-1)),0),EDATE(Bonds!$H151,6*(37-1))))</f>
        <v/>
      </c>
      <c r="AP151" s="3" t="str">
        <f>IF(38&gt;$C151,"",IF($D151=1,EOMONTH(EDATE(Bonds!$H151,6*(38-1)),0),EDATE(Bonds!$H151,6*(38-1))))</f>
        <v/>
      </c>
      <c r="AQ151" s="3" t="str">
        <f>IF(39&gt;$C151,"",IF($D151=1,EOMONTH(EDATE(Bonds!$H151,6*(39-1)),0),EDATE(Bonds!$H151,6*(39-1))))</f>
        <v/>
      </c>
      <c r="AR151" s="3" t="str">
        <f>IF(40&gt;$C151,"",IF($D151=1,EOMONTH(EDATE(Bonds!$H151,6*(40-1)),0),EDATE(Bonds!$H151,6*(40-1))))</f>
        <v/>
      </c>
      <c r="AS151" s="3" t="str">
        <f>IF(41&gt;$C151,"",IF($D151=1,EOMONTH(EDATE(Bonds!$H151,6*(41-1)),0),EDATE(Bonds!$H151,6*(41-1))))</f>
        <v/>
      </c>
      <c r="AT151" s="3" t="str">
        <f>IF(42&gt;$C151,"",IF($D151=1,EOMONTH(EDATE(Bonds!$H151,6*(42-1)),0),EDATE(Bonds!$H151,6*(42-1))))</f>
        <v/>
      </c>
      <c r="AU151" s="3" t="str">
        <f>IF(43&gt;$C151,"",IF($D151=1,EOMONTH(EDATE(Bonds!$H151,6*(43-1)),0),EDATE(Bonds!$H151,6*(43-1))))</f>
        <v/>
      </c>
      <c r="AV151" s="3" t="str">
        <f>IF(44&gt;$C151,"",IF($D151=1,EOMONTH(EDATE(Bonds!$H151,6*(44-1)),0),EDATE(Bonds!$H151,6*(44-1))))</f>
        <v/>
      </c>
      <c r="AW151" s="3" t="str">
        <f>IF(45&gt;$C151,"",IF($D151=1,EOMONTH(EDATE(Bonds!$H151,6*(45-1)),0),EDATE(Bonds!$H151,6*(45-1))))</f>
        <v/>
      </c>
      <c r="AX151" s="3" t="str">
        <f>IF(46&gt;$C151,"",IF($D151=1,EOMONTH(EDATE(Bonds!$H151,6*(46-1)),0),EDATE(Bonds!$H151,6*(46-1))))</f>
        <v/>
      </c>
      <c r="AY151" s="3" t="str">
        <f>IF(47&gt;$C151,"",IF($D151=1,EOMONTH(EDATE(Bonds!$H151,6*(47-1)),0),EDATE(Bonds!$H151,6*(47-1))))</f>
        <v/>
      </c>
      <c r="AZ151" s="3" t="str">
        <f>IF(48&gt;$C151,"",IF($D151=1,EOMONTH(EDATE(Bonds!$H151,6*(48-1)),0),EDATE(Bonds!$H151,6*(48-1))))</f>
        <v/>
      </c>
      <c r="BA151" s="3" t="str">
        <f>IF(49&gt;$C151,"",IF($D151=1,EOMONTH(EDATE(Bonds!$H151,6*(49-1)),0),EDATE(Bonds!$H151,6*(49-1))))</f>
        <v/>
      </c>
      <c r="BB151" s="3" t="str">
        <f>IF(50&gt;$C151,"",IF($D151=1,EOMONTH(EDATE(Bonds!$H151,6*(50-1)),0),EDATE(Bonds!$H151,6*(50-1))))</f>
        <v/>
      </c>
      <c r="BC151" s="3" t="str">
        <f>IF(51&gt;$C151,"",IF($D151=1,EOMONTH(EDATE(Bonds!$H151,6*(51-1)),0),EDATE(Bonds!$H151,6*(51-1))))</f>
        <v/>
      </c>
      <c r="BD151" s="3" t="str">
        <f>IF(52&gt;$C151,"",IF($D151=1,EOMONTH(EDATE(Bonds!$H151,6*(52-1)),0),EDATE(Bonds!$H151,6*(52-1))))</f>
        <v/>
      </c>
      <c r="BE151" s="3" t="str">
        <f>IF(53&gt;$C151,"",IF($D151=1,EOMONTH(EDATE(Bonds!$H151,6*(53-1)),0),EDATE(Bonds!$H151,6*(53-1))))</f>
        <v/>
      </c>
      <c r="BF151" s="3" t="str">
        <f>IF(54&gt;$C151,"",IF($D151=1,EOMONTH(EDATE(Bonds!$H151,6*(54-1)),0),EDATE(Bonds!$H151,6*(54-1))))</f>
        <v/>
      </c>
      <c r="BG151" s="3" t="str">
        <f>IF(55&gt;$C151,"",IF($D151=1,EOMONTH(EDATE(Bonds!$H151,6*(55-1)),0),EDATE(Bonds!$H151,6*(55-1))))</f>
        <v/>
      </c>
      <c r="BH151" s="3" t="str">
        <f>IF(56&gt;$C151,"",IF($D151=1,EOMONTH(EDATE(Bonds!$H151,6*(56-1)),0),EDATE(Bonds!$H151,6*(56-1))))</f>
        <v/>
      </c>
      <c r="BI151" s="3" t="str">
        <f>IF(57&gt;$C151,"",IF($D151=1,EOMONTH(EDATE(Bonds!$H151,6*(57-1)),0),EDATE(Bonds!$H151,6*(57-1))))</f>
        <v/>
      </c>
      <c r="BJ151" s="3" t="str">
        <f>IF(58&gt;$C151,"",IF($D151=1,EOMONTH(EDATE(Bonds!$H151,6*(58-1)),0),EDATE(Bonds!$H151,6*(58-1))))</f>
        <v/>
      </c>
      <c r="BK151" s="3" t="str">
        <f>IF(59&gt;$C151,"",IF($D151=1,EOMONTH(EDATE(Bonds!$H151,6*(59-1)),0),EDATE(Bonds!$H151,6*(59-1))))</f>
        <v/>
      </c>
      <c r="BL151" s="3" t="str">
        <f>IF(60&gt;$C151,"",IF($D151=1,EOMONTH(EDATE(Bonds!$H151,6*(60-1)),0),EDATE(Bonds!$H151,6*(60-1))))</f>
        <v/>
      </c>
      <c r="BN151" s="7">
        <f t="shared" si="123"/>
        <v>1.2924213838407299</v>
      </c>
      <c r="BO151" s="7">
        <f t="shared" si="124"/>
        <v>1.265338171766339</v>
      </c>
      <c r="BP151" s="7">
        <f t="shared" si="125"/>
        <v>1.2370246605838728</v>
      </c>
      <c r="BQ151" s="7">
        <f t="shared" si="126"/>
        <v>1.209133378539788</v>
      </c>
      <c r="BR151" s="7">
        <f t="shared" si="127"/>
        <v>1.1814705013889226</v>
      </c>
      <c r="BS151" s="7">
        <f t="shared" si="128"/>
        <v>89.148711967517016</v>
      </c>
      <c r="BT151" s="7">
        <f t="shared" si="129"/>
        <v>0</v>
      </c>
      <c r="BU151" s="7">
        <f t="shared" si="130"/>
        <v>0</v>
      </c>
      <c r="BV151" s="7">
        <f t="shared" si="131"/>
        <v>0</v>
      </c>
      <c r="BW151" s="7">
        <f t="shared" si="132"/>
        <v>0</v>
      </c>
      <c r="BX151" s="7">
        <f t="shared" si="133"/>
        <v>0</v>
      </c>
      <c r="BY151" s="7">
        <f t="shared" si="134"/>
        <v>0</v>
      </c>
      <c r="BZ151" s="7">
        <f t="shared" si="135"/>
        <v>0</v>
      </c>
      <c r="CA151" s="7">
        <f t="shared" si="136"/>
        <v>0</v>
      </c>
      <c r="CB151" s="7">
        <f t="shared" si="137"/>
        <v>0</v>
      </c>
      <c r="CC151" s="7">
        <f t="shared" si="138"/>
        <v>0</v>
      </c>
      <c r="CD151" s="7">
        <f t="shared" si="139"/>
        <v>0</v>
      </c>
      <c r="CE151" s="7">
        <f t="shared" si="140"/>
        <v>0</v>
      </c>
      <c r="CF151" s="7">
        <f t="shared" si="141"/>
        <v>0</v>
      </c>
      <c r="CG151" s="7">
        <f t="shared" si="142"/>
        <v>0</v>
      </c>
      <c r="CH151" s="7">
        <f t="shared" si="143"/>
        <v>0</v>
      </c>
      <c r="CI151" s="7">
        <f t="shared" si="144"/>
        <v>0</v>
      </c>
      <c r="CJ151" s="7">
        <f t="shared" si="145"/>
        <v>0</v>
      </c>
      <c r="CK151" s="7">
        <f t="shared" si="146"/>
        <v>0</v>
      </c>
      <c r="CL151" s="7">
        <f t="shared" si="147"/>
        <v>0</v>
      </c>
      <c r="CM151" s="7">
        <f t="shared" si="148"/>
        <v>0</v>
      </c>
      <c r="CN151" s="7">
        <f t="shared" si="149"/>
        <v>0</v>
      </c>
      <c r="CO151" s="7">
        <f t="shared" si="150"/>
        <v>0</v>
      </c>
      <c r="CP151" s="7">
        <f t="shared" si="151"/>
        <v>0</v>
      </c>
      <c r="CQ151" s="7">
        <f t="shared" si="152"/>
        <v>0</v>
      </c>
      <c r="CR151" s="7">
        <f t="shared" si="153"/>
        <v>0</v>
      </c>
      <c r="CS151" s="7">
        <f t="shared" si="154"/>
        <v>0</v>
      </c>
      <c r="CT151" s="7">
        <f t="shared" si="155"/>
        <v>0</v>
      </c>
      <c r="CU151" s="7">
        <f t="shared" si="156"/>
        <v>0</v>
      </c>
      <c r="CV151" s="7">
        <f t="shared" si="157"/>
        <v>0</v>
      </c>
      <c r="CW151" s="7">
        <f t="shared" si="158"/>
        <v>0</v>
      </c>
      <c r="CX151" s="7">
        <f t="shared" si="159"/>
        <v>0</v>
      </c>
      <c r="CY151" s="7">
        <f t="shared" si="160"/>
        <v>0</v>
      </c>
      <c r="CZ151" s="7">
        <f t="shared" si="161"/>
        <v>0</v>
      </c>
      <c r="DA151" s="7">
        <f t="shared" si="162"/>
        <v>0</v>
      </c>
      <c r="DB151" s="7">
        <f t="shared" si="163"/>
        <v>0</v>
      </c>
      <c r="DC151" s="7">
        <f t="shared" si="164"/>
        <v>0</v>
      </c>
      <c r="DD151" s="7">
        <f t="shared" si="165"/>
        <v>0</v>
      </c>
      <c r="DE151" s="7">
        <f t="shared" si="166"/>
        <v>0</v>
      </c>
      <c r="DF151" s="7">
        <f t="shared" si="167"/>
        <v>0</v>
      </c>
      <c r="DG151" s="7">
        <f t="shared" si="168"/>
        <v>0</v>
      </c>
      <c r="DH151" s="7">
        <f t="shared" si="169"/>
        <v>0</v>
      </c>
      <c r="DI151" s="7">
        <f t="shared" si="170"/>
        <v>0</v>
      </c>
      <c r="DJ151" s="7">
        <f t="shared" si="171"/>
        <v>0</v>
      </c>
      <c r="DK151" s="7">
        <f t="shared" si="172"/>
        <v>0</v>
      </c>
      <c r="DL151" s="7">
        <f t="shared" si="173"/>
        <v>0</v>
      </c>
      <c r="DM151" s="7">
        <f t="shared" si="174"/>
        <v>0</v>
      </c>
      <c r="DN151" s="7">
        <f t="shared" si="175"/>
        <v>0</v>
      </c>
      <c r="DO151" s="7">
        <f t="shared" si="176"/>
        <v>0</v>
      </c>
      <c r="DP151" s="7">
        <f t="shared" si="177"/>
        <v>0</v>
      </c>
      <c r="DQ151" s="7">
        <f t="shared" si="178"/>
        <v>0</v>
      </c>
      <c r="DR151" s="7">
        <f t="shared" si="179"/>
        <v>0</v>
      </c>
      <c r="DS151" s="7">
        <f t="shared" si="180"/>
        <v>0</v>
      </c>
      <c r="DT151" s="7">
        <f t="shared" si="181"/>
        <v>0</v>
      </c>
      <c r="DU151" s="7">
        <f t="shared" si="182"/>
        <v>0</v>
      </c>
    </row>
    <row r="152" spans="1:125" x14ac:dyDescent="0.2">
      <c r="A152" s="3">
        <f>Bonds!A152</f>
        <v>47330</v>
      </c>
      <c r="B152" s="4">
        <f>Bonds!B152</f>
        <v>4</v>
      </c>
      <c r="C152">
        <f>Bonds!P152</f>
        <v>6</v>
      </c>
      <c r="D152">
        <f t="shared" si="122"/>
        <v>1</v>
      </c>
      <c r="E152" s="3">
        <f>IF(1&gt;$C152,"",IF($D152=1,EOMONTH(EDATE(Bonds!$H152,6*(1-1)),0),EDATE(Bonds!$H152,6*(1-1))))</f>
        <v>46418</v>
      </c>
      <c r="F152" s="3">
        <f>IF(2&gt;$C152,"",IF($D152=1,EOMONTH(EDATE(Bonds!$H152,6*(2-1)),0),EDATE(Bonds!$H152,6*(2-1))))</f>
        <v>46599</v>
      </c>
      <c r="G152" s="3">
        <f>IF(3&gt;$C152,"",IF($D152=1,EOMONTH(EDATE(Bonds!$H152,6*(3-1)),0),EDATE(Bonds!$H152,6*(3-1))))</f>
        <v>46783</v>
      </c>
      <c r="H152" s="3">
        <f>IF(4&gt;$C152,"",IF($D152=1,EOMONTH(EDATE(Bonds!$H152,6*(4-1)),0),EDATE(Bonds!$H152,6*(4-1))))</f>
        <v>46965</v>
      </c>
      <c r="I152" s="3">
        <f>IF(5&gt;$C152,"",IF($D152=1,EOMONTH(EDATE(Bonds!$H152,6*(5-1)),0),EDATE(Bonds!$H152,6*(5-1))))</f>
        <v>47149</v>
      </c>
      <c r="J152" s="3">
        <f>IF(6&gt;$C152,"",IF($D152=1,EOMONTH(EDATE(Bonds!$H152,6*(6-1)),0),EDATE(Bonds!$H152,6*(6-1))))</f>
        <v>47330</v>
      </c>
      <c r="K152" s="3" t="str">
        <f>IF(7&gt;$C152,"",IF($D152=1,EOMONTH(EDATE(Bonds!$H152,6*(7-1)),0),EDATE(Bonds!$H152,6*(7-1))))</f>
        <v/>
      </c>
      <c r="L152" s="3" t="str">
        <f>IF(8&gt;$C152,"",IF($D152=1,EOMONTH(EDATE(Bonds!$H152,6*(8-1)),0),EDATE(Bonds!$H152,6*(8-1))))</f>
        <v/>
      </c>
      <c r="M152" s="3" t="str">
        <f>IF(9&gt;$C152,"",IF($D152=1,EOMONTH(EDATE(Bonds!$H152,6*(9-1)),0),EDATE(Bonds!$H152,6*(9-1))))</f>
        <v/>
      </c>
      <c r="N152" s="3" t="str">
        <f>IF(10&gt;$C152,"",IF($D152=1,EOMONTH(EDATE(Bonds!$H152,6*(10-1)),0),EDATE(Bonds!$H152,6*(10-1))))</f>
        <v/>
      </c>
      <c r="O152" s="3" t="str">
        <f>IF(11&gt;$C152,"",IF($D152=1,EOMONTH(EDATE(Bonds!$H152,6*(11-1)),0),EDATE(Bonds!$H152,6*(11-1))))</f>
        <v/>
      </c>
      <c r="P152" s="3" t="str">
        <f>IF(12&gt;$C152,"",IF($D152=1,EOMONTH(EDATE(Bonds!$H152,6*(12-1)),0),EDATE(Bonds!$H152,6*(12-1))))</f>
        <v/>
      </c>
      <c r="Q152" s="3" t="str">
        <f>IF(13&gt;$C152,"",IF($D152=1,EOMONTH(EDATE(Bonds!$H152,6*(13-1)),0),EDATE(Bonds!$H152,6*(13-1))))</f>
        <v/>
      </c>
      <c r="R152" s="3" t="str">
        <f>IF(14&gt;$C152,"",IF($D152=1,EOMONTH(EDATE(Bonds!$H152,6*(14-1)),0),EDATE(Bonds!$H152,6*(14-1))))</f>
        <v/>
      </c>
      <c r="S152" s="3" t="str">
        <f>IF(15&gt;$C152,"",IF($D152=1,EOMONTH(EDATE(Bonds!$H152,6*(15-1)),0),EDATE(Bonds!$H152,6*(15-1))))</f>
        <v/>
      </c>
      <c r="T152" s="3" t="str">
        <f>IF(16&gt;$C152,"",IF($D152=1,EOMONTH(EDATE(Bonds!$H152,6*(16-1)),0),EDATE(Bonds!$H152,6*(16-1))))</f>
        <v/>
      </c>
      <c r="U152" s="3" t="str">
        <f>IF(17&gt;$C152,"",IF($D152=1,EOMONTH(EDATE(Bonds!$H152,6*(17-1)),0),EDATE(Bonds!$H152,6*(17-1))))</f>
        <v/>
      </c>
      <c r="V152" s="3" t="str">
        <f>IF(18&gt;$C152,"",IF($D152=1,EOMONTH(EDATE(Bonds!$H152,6*(18-1)),0),EDATE(Bonds!$H152,6*(18-1))))</f>
        <v/>
      </c>
      <c r="W152" s="3" t="str">
        <f>IF(19&gt;$C152,"",IF($D152=1,EOMONTH(EDATE(Bonds!$H152,6*(19-1)),0),EDATE(Bonds!$H152,6*(19-1))))</f>
        <v/>
      </c>
      <c r="X152" s="3" t="str">
        <f>IF(20&gt;$C152,"",IF($D152=1,EOMONTH(EDATE(Bonds!$H152,6*(20-1)),0),EDATE(Bonds!$H152,6*(20-1))))</f>
        <v/>
      </c>
      <c r="Y152" s="3" t="str">
        <f>IF(21&gt;$C152,"",IF($D152=1,EOMONTH(EDATE(Bonds!$H152,6*(21-1)),0),EDATE(Bonds!$H152,6*(21-1))))</f>
        <v/>
      </c>
      <c r="Z152" s="3" t="str">
        <f>IF(22&gt;$C152,"",IF($D152=1,EOMONTH(EDATE(Bonds!$H152,6*(22-1)),0),EDATE(Bonds!$H152,6*(22-1))))</f>
        <v/>
      </c>
      <c r="AA152" s="3" t="str">
        <f>IF(23&gt;$C152,"",IF($D152=1,EOMONTH(EDATE(Bonds!$H152,6*(23-1)),0),EDATE(Bonds!$H152,6*(23-1))))</f>
        <v/>
      </c>
      <c r="AB152" s="3" t="str">
        <f>IF(24&gt;$C152,"",IF($D152=1,EOMONTH(EDATE(Bonds!$H152,6*(24-1)),0),EDATE(Bonds!$H152,6*(24-1))))</f>
        <v/>
      </c>
      <c r="AC152" s="3" t="str">
        <f>IF(25&gt;$C152,"",IF($D152=1,EOMONTH(EDATE(Bonds!$H152,6*(25-1)),0),EDATE(Bonds!$H152,6*(25-1))))</f>
        <v/>
      </c>
      <c r="AD152" s="3" t="str">
        <f>IF(26&gt;$C152,"",IF($D152=1,EOMONTH(EDATE(Bonds!$H152,6*(26-1)),0),EDATE(Bonds!$H152,6*(26-1))))</f>
        <v/>
      </c>
      <c r="AE152" s="3" t="str">
        <f>IF(27&gt;$C152,"",IF($D152=1,EOMONTH(EDATE(Bonds!$H152,6*(27-1)),0),EDATE(Bonds!$H152,6*(27-1))))</f>
        <v/>
      </c>
      <c r="AF152" s="3" t="str">
        <f>IF(28&gt;$C152,"",IF($D152=1,EOMONTH(EDATE(Bonds!$H152,6*(28-1)),0),EDATE(Bonds!$H152,6*(28-1))))</f>
        <v/>
      </c>
      <c r="AG152" s="3" t="str">
        <f>IF(29&gt;$C152,"",IF($D152=1,EOMONTH(EDATE(Bonds!$H152,6*(29-1)),0),EDATE(Bonds!$H152,6*(29-1))))</f>
        <v/>
      </c>
      <c r="AH152" s="3" t="str">
        <f>IF(30&gt;$C152,"",IF($D152=1,EOMONTH(EDATE(Bonds!$H152,6*(30-1)),0),EDATE(Bonds!$H152,6*(30-1))))</f>
        <v/>
      </c>
      <c r="AI152" s="3" t="str">
        <f>IF(31&gt;$C152,"",IF($D152=1,EOMONTH(EDATE(Bonds!$H152,6*(31-1)),0),EDATE(Bonds!$H152,6*(31-1))))</f>
        <v/>
      </c>
      <c r="AJ152" s="3" t="str">
        <f>IF(32&gt;$C152,"",IF($D152=1,EOMONTH(EDATE(Bonds!$H152,6*(32-1)),0),EDATE(Bonds!$H152,6*(32-1))))</f>
        <v/>
      </c>
      <c r="AK152" s="3" t="str">
        <f>IF(33&gt;$C152,"",IF($D152=1,EOMONTH(EDATE(Bonds!$H152,6*(33-1)),0),EDATE(Bonds!$H152,6*(33-1))))</f>
        <v/>
      </c>
      <c r="AL152" s="3" t="str">
        <f>IF(34&gt;$C152,"",IF($D152=1,EOMONTH(EDATE(Bonds!$H152,6*(34-1)),0),EDATE(Bonds!$H152,6*(34-1))))</f>
        <v/>
      </c>
      <c r="AM152" s="3" t="str">
        <f>IF(35&gt;$C152,"",IF($D152=1,EOMONTH(EDATE(Bonds!$H152,6*(35-1)),0),EDATE(Bonds!$H152,6*(35-1))))</f>
        <v/>
      </c>
      <c r="AN152" s="3" t="str">
        <f>IF(36&gt;$C152,"",IF($D152=1,EOMONTH(EDATE(Bonds!$H152,6*(36-1)),0),EDATE(Bonds!$H152,6*(36-1))))</f>
        <v/>
      </c>
      <c r="AO152" s="3" t="str">
        <f>IF(37&gt;$C152,"",IF($D152=1,EOMONTH(EDATE(Bonds!$H152,6*(37-1)),0),EDATE(Bonds!$H152,6*(37-1))))</f>
        <v/>
      </c>
      <c r="AP152" s="3" t="str">
        <f>IF(38&gt;$C152,"",IF($D152=1,EOMONTH(EDATE(Bonds!$H152,6*(38-1)),0),EDATE(Bonds!$H152,6*(38-1))))</f>
        <v/>
      </c>
      <c r="AQ152" s="3" t="str">
        <f>IF(39&gt;$C152,"",IF($D152=1,EOMONTH(EDATE(Bonds!$H152,6*(39-1)),0),EDATE(Bonds!$H152,6*(39-1))))</f>
        <v/>
      </c>
      <c r="AR152" s="3" t="str">
        <f>IF(40&gt;$C152,"",IF($D152=1,EOMONTH(EDATE(Bonds!$H152,6*(40-1)),0),EDATE(Bonds!$H152,6*(40-1))))</f>
        <v/>
      </c>
      <c r="AS152" s="3" t="str">
        <f>IF(41&gt;$C152,"",IF($D152=1,EOMONTH(EDATE(Bonds!$H152,6*(41-1)),0),EDATE(Bonds!$H152,6*(41-1))))</f>
        <v/>
      </c>
      <c r="AT152" s="3" t="str">
        <f>IF(42&gt;$C152,"",IF($D152=1,EOMONTH(EDATE(Bonds!$H152,6*(42-1)),0),EDATE(Bonds!$H152,6*(42-1))))</f>
        <v/>
      </c>
      <c r="AU152" s="3" t="str">
        <f>IF(43&gt;$C152,"",IF($D152=1,EOMONTH(EDATE(Bonds!$H152,6*(43-1)),0),EDATE(Bonds!$H152,6*(43-1))))</f>
        <v/>
      </c>
      <c r="AV152" s="3" t="str">
        <f>IF(44&gt;$C152,"",IF($D152=1,EOMONTH(EDATE(Bonds!$H152,6*(44-1)),0),EDATE(Bonds!$H152,6*(44-1))))</f>
        <v/>
      </c>
      <c r="AW152" s="3" t="str">
        <f>IF(45&gt;$C152,"",IF($D152=1,EOMONTH(EDATE(Bonds!$H152,6*(45-1)),0),EDATE(Bonds!$H152,6*(45-1))))</f>
        <v/>
      </c>
      <c r="AX152" s="3" t="str">
        <f>IF(46&gt;$C152,"",IF($D152=1,EOMONTH(EDATE(Bonds!$H152,6*(46-1)),0),EDATE(Bonds!$H152,6*(46-1))))</f>
        <v/>
      </c>
      <c r="AY152" s="3" t="str">
        <f>IF(47&gt;$C152,"",IF($D152=1,EOMONTH(EDATE(Bonds!$H152,6*(47-1)),0),EDATE(Bonds!$H152,6*(47-1))))</f>
        <v/>
      </c>
      <c r="AZ152" s="3" t="str">
        <f>IF(48&gt;$C152,"",IF($D152=1,EOMONTH(EDATE(Bonds!$H152,6*(48-1)),0),EDATE(Bonds!$H152,6*(48-1))))</f>
        <v/>
      </c>
      <c r="BA152" s="3" t="str">
        <f>IF(49&gt;$C152,"",IF($D152=1,EOMONTH(EDATE(Bonds!$H152,6*(49-1)),0),EDATE(Bonds!$H152,6*(49-1))))</f>
        <v/>
      </c>
      <c r="BB152" s="3" t="str">
        <f>IF(50&gt;$C152,"",IF($D152=1,EOMONTH(EDATE(Bonds!$H152,6*(50-1)),0),EDATE(Bonds!$H152,6*(50-1))))</f>
        <v/>
      </c>
      <c r="BC152" s="3" t="str">
        <f>IF(51&gt;$C152,"",IF($D152=1,EOMONTH(EDATE(Bonds!$H152,6*(51-1)),0),EDATE(Bonds!$H152,6*(51-1))))</f>
        <v/>
      </c>
      <c r="BD152" s="3" t="str">
        <f>IF(52&gt;$C152,"",IF($D152=1,EOMONTH(EDATE(Bonds!$H152,6*(52-1)),0),EDATE(Bonds!$H152,6*(52-1))))</f>
        <v/>
      </c>
      <c r="BE152" s="3" t="str">
        <f>IF(53&gt;$C152,"",IF($D152=1,EOMONTH(EDATE(Bonds!$H152,6*(53-1)),0),EDATE(Bonds!$H152,6*(53-1))))</f>
        <v/>
      </c>
      <c r="BF152" s="3" t="str">
        <f>IF(54&gt;$C152,"",IF($D152=1,EOMONTH(EDATE(Bonds!$H152,6*(54-1)),0),EDATE(Bonds!$H152,6*(54-1))))</f>
        <v/>
      </c>
      <c r="BG152" s="3" t="str">
        <f>IF(55&gt;$C152,"",IF($D152=1,EOMONTH(EDATE(Bonds!$H152,6*(55-1)),0),EDATE(Bonds!$H152,6*(55-1))))</f>
        <v/>
      </c>
      <c r="BH152" s="3" t="str">
        <f>IF(56&gt;$C152,"",IF($D152=1,EOMONTH(EDATE(Bonds!$H152,6*(56-1)),0),EDATE(Bonds!$H152,6*(56-1))))</f>
        <v/>
      </c>
      <c r="BI152" s="3" t="str">
        <f>IF(57&gt;$C152,"",IF($D152=1,EOMONTH(EDATE(Bonds!$H152,6*(57-1)),0),EDATE(Bonds!$H152,6*(57-1))))</f>
        <v/>
      </c>
      <c r="BJ152" s="3" t="str">
        <f>IF(58&gt;$C152,"",IF($D152=1,EOMONTH(EDATE(Bonds!$H152,6*(58-1)),0),EDATE(Bonds!$H152,6*(58-1))))</f>
        <v/>
      </c>
      <c r="BK152" s="3" t="str">
        <f>IF(59&gt;$C152,"",IF($D152=1,EOMONTH(EDATE(Bonds!$H152,6*(59-1)),0),EDATE(Bonds!$H152,6*(59-1))))</f>
        <v/>
      </c>
      <c r="BL152" s="3" t="str">
        <f>IF(60&gt;$C152,"",IF($D152=1,EOMONTH(EDATE(Bonds!$H152,6*(60-1)),0),EDATE(Bonds!$H152,6*(60-1))))</f>
        <v/>
      </c>
      <c r="BN152" s="7">
        <f t="shared" si="123"/>
        <v>1.9694040134715884</v>
      </c>
      <c r="BO152" s="7">
        <f t="shared" si="124"/>
        <v>1.9281343569772784</v>
      </c>
      <c r="BP152" s="7">
        <f t="shared" si="125"/>
        <v>1.884989958984949</v>
      </c>
      <c r="BQ152" s="7">
        <f t="shared" si="126"/>
        <v>1.8424889577749151</v>
      </c>
      <c r="BR152" s="7">
        <f t="shared" si="127"/>
        <v>1.8003360021164534</v>
      </c>
      <c r="BS152" s="7">
        <f t="shared" si="128"/>
        <v>89.753669297339769</v>
      </c>
      <c r="BT152" s="7">
        <f t="shared" si="129"/>
        <v>0</v>
      </c>
      <c r="BU152" s="7">
        <f t="shared" si="130"/>
        <v>0</v>
      </c>
      <c r="BV152" s="7">
        <f t="shared" si="131"/>
        <v>0</v>
      </c>
      <c r="BW152" s="7">
        <f t="shared" si="132"/>
        <v>0</v>
      </c>
      <c r="BX152" s="7">
        <f t="shared" si="133"/>
        <v>0</v>
      </c>
      <c r="BY152" s="7">
        <f t="shared" si="134"/>
        <v>0</v>
      </c>
      <c r="BZ152" s="7">
        <f t="shared" si="135"/>
        <v>0</v>
      </c>
      <c r="CA152" s="7">
        <f t="shared" si="136"/>
        <v>0</v>
      </c>
      <c r="CB152" s="7">
        <f t="shared" si="137"/>
        <v>0</v>
      </c>
      <c r="CC152" s="7">
        <f t="shared" si="138"/>
        <v>0</v>
      </c>
      <c r="CD152" s="7">
        <f t="shared" si="139"/>
        <v>0</v>
      </c>
      <c r="CE152" s="7">
        <f t="shared" si="140"/>
        <v>0</v>
      </c>
      <c r="CF152" s="7">
        <f t="shared" si="141"/>
        <v>0</v>
      </c>
      <c r="CG152" s="7">
        <f t="shared" si="142"/>
        <v>0</v>
      </c>
      <c r="CH152" s="7">
        <f t="shared" si="143"/>
        <v>0</v>
      </c>
      <c r="CI152" s="7">
        <f t="shared" si="144"/>
        <v>0</v>
      </c>
      <c r="CJ152" s="7">
        <f t="shared" si="145"/>
        <v>0</v>
      </c>
      <c r="CK152" s="7">
        <f t="shared" si="146"/>
        <v>0</v>
      </c>
      <c r="CL152" s="7">
        <f t="shared" si="147"/>
        <v>0</v>
      </c>
      <c r="CM152" s="7">
        <f t="shared" si="148"/>
        <v>0</v>
      </c>
      <c r="CN152" s="7">
        <f t="shared" si="149"/>
        <v>0</v>
      </c>
      <c r="CO152" s="7">
        <f t="shared" si="150"/>
        <v>0</v>
      </c>
      <c r="CP152" s="7">
        <f t="shared" si="151"/>
        <v>0</v>
      </c>
      <c r="CQ152" s="7">
        <f t="shared" si="152"/>
        <v>0</v>
      </c>
      <c r="CR152" s="7">
        <f t="shared" si="153"/>
        <v>0</v>
      </c>
      <c r="CS152" s="7">
        <f t="shared" si="154"/>
        <v>0</v>
      </c>
      <c r="CT152" s="7">
        <f t="shared" si="155"/>
        <v>0</v>
      </c>
      <c r="CU152" s="7">
        <f t="shared" si="156"/>
        <v>0</v>
      </c>
      <c r="CV152" s="7">
        <f t="shared" si="157"/>
        <v>0</v>
      </c>
      <c r="CW152" s="7">
        <f t="shared" si="158"/>
        <v>0</v>
      </c>
      <c r="CX152" s="7">
        <f t="shared" si="159"/>
        <v>0</v>
      </c>
      <c r="CY152" s="7">
        <f t="shared" si="160"/>
        <v>0</v>
      </c>
      <c r="CZ152" s="7">
        <f t="shared" si="161"/>
        <v>0</v>
      </c>
      <c r="DA152" s="7">
        <f t="shared" si="162"/>
        <v>0</v>
      </c>
      <c r="DB152" s="7">
        <f t="shared" si="163"/>
        <v>0</v>
      </c>
      <c r="DC152" s="7">
        <f t="shared" si="164"/>
        <v>0</v>
      </c>
      <c r="DD152" s="7">
        <f t="shared" si="165"/>
        <v>0</v>
      </c>
      <c r="DE152" s="7">
        <f t="shared" si="166"/>
        <v>0</v>
      </c>
      <c r="DF152" s="7">
        <f t="shared" si="167"/>
        <v>0</v>
      </c>
      <c r="DG152" s="7">
        <f t="shared" si="168"/>
        <v>0</v>
      </c>
      <c r="DH152" s="7">
        <f t="shared" si="169"/>
        <v>0</v>
      </c>
      <c r="DI152" s="7">
        <f t="shared" si="170"/>
        <v>0</v>
      </c>
      <c r="DJ152" s="7">
        <f t="shared" si="171"/>
        <v>0</v>
      </c>
      <c r="DK152" s="7">
        <f t="shared" si="172"/>
        <v>0</v>
      </c>
      <c r="DL152" s="7">
        <f t="shared" si="173"/>
        <v>0</v>
      </c>
      <c r="DM152" s="7">
        <f t="shared" si="174"/>
        <v>0</v>
      </c>
      <c r="DN152" s="7">
        <f t="shared" si="175"/>
        <v>0</v>
      </c>
      <c r="DO152" s="7">
        <f t="shared" si="176"/>
        <v>0</v>
      </c>
      <c r="DP152" s="7">
        <f t="shared" si="177"/>
        <v>0</v>
      </c>
      <c r="DQ152" s="7">
        <f t="shared" si="178"/>
        <v>0</v>
      </c>
      <c r="DR152" s="7">
        <f t="shared" si="179"/>
        <v>0</v>
      </c>
      <c r="DS152" s="7">
        <f t="shared" si="180"/>
        <v>0</v>
      </c>
      <c r="DT152" s="7">
        <f t="shared" si="181"/>
        <v>0</v>
      </c>
      <c r="DU152" s="7">
        <f t="shared" si="182"/>
        <v>0</v>
      </c>
    </row>
    <row r="153" spans="1:125" x14ac:dyDescent="0.2">
      <c r="A153" s="3">
        <f>Bonds!A153</f>
        <v>47345</v>
      </c>
      <c r="B153" s="4">
        <f>Bonds!B153</f>
        <v>1.625</v>
      </c>
      <c r="C153">
        <f>Bonds!P153</f>
        <v>6</v>
      </c>
      <c r="D153">
        <f t="shared" si="122"/>
        <v>0</v>
      </c>
      <c r="E153" s="3">
        <f>IF(1&gt;$C153,"",IF($D153=1,EOMONTH(EDATE(Bonds!$H153,6*(1-1)),0),EDATE(Bonds!$H153,6*(1-1))))</f>
        <v>46433</v>
      </c>
      <c r="F153" s="3">
        <f>IF(2&gt;$C153,"",IF($D153=1,EOMONTH(EDATE(Bonds!$H153,6*(2-1)),0),EDATE(Bonds!$H153,6*(2-1))))</f>
        <v>46614</v>
      </c>
      <c r="G153" s="3">
        <f>IF(3&gt;$C153,"",IF($D153=1,EOMONTH(EDATE(Bonds!$H153,6*(3-1)),0),EDATE(Bonds!$H153,6*(3-1))))</f>
        <v>46798</v>
      </c>
      <c r="H153" s="3">
        <f>IF(4&gt;$C153,"",IF($D153=1,EOMONTH(EDATE(Bonds!$H153,6*(4-1)),0),EDATE(Bonds!$H153,6*(4-1))))</f>
        <v>46980</v>
      </c>
      <c r="I153" s="3">
        <f>IF(5&gt;$C153,"",IF($D153=1,EOMONTH(EDATE(Bonds!$H153,6*(5-1)),0),EDATE(Bonds!$H153,6*(5-1))))</f>
        <v>47164</v>
      </c>
      <c r="J153" s="3">
        <f>IF(6&gt;$C153,"",IF($D153=1,EOMONTH(EDATE(Bonds!$H153,6*(6-1)),0),EDATE(Bonds!$H153,6*(6-1))))</f>
        <v>47345</v>
      </c>
      <c r="K153" s="3" t="str">
        <f>IF(7&gt;$C153,"",IF($D153=1,EOMONTH(EDATE(Bonds!$H153,6*(7-1)),0),EDATE(Bonds!$H153,6*(7-1))))</f>
        <v/>
      </c>
      <c r="L153" s="3" t="str">
        <f>IF(8&gt;$C153,"",IF($D153=1,EOMONTH(EDATE(Bonds!$H153,6*(8-1)),0),EDATE(Bonds!$H153,6*(8-1))))</f>
        <v/>
      </c>
      <c r="M153" s="3" t="str">
        <f>IF(9&gt;$C153,"",IF($D153=1,EOMONTH(EDATE(Bonds!$H153,6*(9-1)),0),EDATE(Bonds!$H153,6*(9-1))))</f>
        <v/>
      </c>
      <c r="N153" s="3" t="str">
        <f>IF(10&gt;$C153,"",IF($D153=1,EOMONTH(EDATE(Bonds!$H153,6*(10-1)),0),EDATE(Bonds!$H153,6*(10-1))))</f>
        <v/>
      </c>
      <c r="O153" s="3" t="str">
        <f>IF(11&gt;$C153,"",IF($D153=1,EOMONTH(EDATE(Bonds!$H153,6*(11-1)),0),EDATE(Bonds!$H153,6*(11-1))))</f>
        <v/>
      </c>
      <c r="P153" s="3" t="str">
        <f>IF(12&gt;$C153,"",IF($D153=1,EOMONTH(EDATE(Bonds!$H153,6*(12-1)),0),EDATE(Bonds!$H153,6*(12-1))))</f>
        <v/>
      </c>
      <c r="Q153" s="3" t="str">
        <f>IF(13&gt;$C153,"",IF($D153=1,EOMONTH(EDATE(Bonds!$H153,6*(13-1)),0),EDATE(Bonds!$H153,6*(13-1))))</f>
        <v/>
      </c>
      <c r="R153" s="3" t="str">
        <f>IF(14&gt;$C153,"",IF($D153=1,EOMONTH(EDATE(Bonds!$H153,6*(14-1)),0),EDATE(Bonds!$H153,6*(14-1))))</f>
        <v/>
      </c>
      <c r="S153" s="3" t="str">
        <f>IF(15&gt;$C153,"",IF($D153=1,EOMONTH(EDATE(Bonds!$H153,6*(15-1)),0),EDATE(Bonds!$H153,6*(15-1))))</f>
        <v/>
      </c>
      <c r="T153" s="3" t="str">
        <f>IF(16&gt;$C153,"",IF($D153=1,EOMONTH(EDATE(Bonds!$H153,6*(16-1)),0),EDATE(Bonds!$H153,6*(16-1))))</f>
        <v/>
      </c>
      <c r="U153" s="3" t="str">
        <f>IF(17&gt;$C153,"",IF($D153=1,EOMONTH(EDATE(Bonds!$H153,6*(17-1)),0),EDATE(Bonds!$H153,6*(17-1))))</f>
        <v/>
      </c>
      <c r="V153" s="3" t="str">
        <f>IF(18&gt;$C153,"",IF($D153=1,EOMONTH(EDATE(Bonds!$H153,6*(18-1)),0),EDATE(Bonds!$H153,6*(18-1))))</f>
        <v/>
      </c>
      <c r="W153" s="3" t="str">
        <f>IF(19&gt;$C153,"",IF($D153=1,EOMONTH(EDATE(Bonds!$H153,6*(19-1)),0),EDATE(Bonds!$H153,6*(19-1))))</f>
        <v/>
      </c>
      <c r="X153" s="3" t="str">
        <f>IF(20&gt;$C153,"",IF($D153=1,EOMONTH(EDATE(Bonds!$H153,6*(20-1)),0),EDATE(Bonds!$H153,6*(20-1))))</f>
        <v/>
      </c>
      <c r="Y153" s="3" t="str">
        <f>IF(21&gt;$C153,"",IF($D153=1,EOMONTH(EDATE(Bonds!$H153,6*(21-1)),0),EDATE(Bonds!$H153,6*(21-1))))</f>
        <v/>
      </c>
      <c r="Z153" s="3" t="str">
        <f>IF(22&gt;$C153,"",IF($D153=1,EOMONTH(EDATE(Bonds!$H153,6*(22-1)),0),EDATE(Bonds!$H153,6*(22-1))))</f>
        <v/>
      </c>
      <c r="AA153" s="3" t="str">
        <f>IF(23&gt;$C153,"",IF($D153=1,EOMONTH(EDATE(Bonds!$H153,6*(23-1)),0),EDATE(Bonds!$H153,6*(23-1))))</f>
        <v/>
      </c>
      <c r="AB153" s="3" t="str">
        <f>IF(24&gt;$C153,"",IF($D153=1,EOMONTH(EDATE(Bonds!$H153,6*(24-1)),0),EDATE(Bonds!$H153,6*(24-1))))</f>
        <v/>
      </c>
      <c r="AC153" s="3" t="str">
        <f>IF(25&gt;$C153,"",IF($D153=1,EOMONTH(EDATE(Bonds!$H153,6*(25-1)),0),EDATE(Bonds!$H153,6*(25-1))))</f>
        <v/>
      </c>
      <c r="AD153" s="3" t="str">
        <f>IF(26&gt;$C153,"",IF($D153=1,EOMONTH(EDATE(Bonds!$H153,6*(26-1)),0),EDATE(Bonds!$H153,6*(26-1))))</f>
        <v/>
      </c>
      <c r="AE153" s="3" t="str">
        <f>IF(27&gt;$C153,"",IF($D153=1,EOMONTH(EDATE(Bonds!$H153,6*(27-1)),0),EDATE(Bonds!$H153,6*(27-1))))</f>
        <v/>
      </c>
      <c r="AF153" s="3" t="str">
        <f>IF(28&gt;$C153,"",IF($D153=1,EOMONTH(EDATE(Bonds!$H153,6*(28-1)),0),EDATE(Bonds!$H153,6*(28-1))))</f>
        <v/>
      </c>
      <c r="AG153" s="3" t="str">
        <f>IF(29&gt;$C153,"",IF($D153=1,EOMONTH(EDATE(Bonds!$H153,6*(29-1)),0),EDATE(Bonds!$H153,6*(29-1))))</f>
        <v/>
      </c>
      <c r="AH153" s="3" t="str">
        <f>IF(30&gt;$C153,"",IF($D153=1,EOMONTH(EDATE(Bonds!$H153,6*(30-1)),0),EDATE(Bonds!$H153,6*(30-1))))</f>
        <v/>
      </c>
      <c r="AI153" s="3" t="str">
        <f>IF(31&gt;$C153,"",IF($D153=1,EOMONTH(EDATE(Bonds!$H153,6*(31-1)),0),EDATE(Bonds!$H153,6*(31-1))))</f>
        <v/>
      </c>
      <c r="AJ153" s="3" t="str">
        <f>IF(32&gt;$C153,"",IF($D153=1,EOMONTH(EDATE(Bonds!$H153,6*(32-1)),0),EDATE(Bonds!$H153,6*(32-1))))</f>
        <v/>
      </c>
      <c r="AK153" s="3" t="str">
        <f>IF(33&gt;$C153,"",IF($D153=1,EOMONTH(EDATE(Bonds!$H153,6*(33-1)),0),EDATE(Bonds!$H153,6*(33-1))))</f>
        <v/>
      </c>
      <c r="AL153" s="3" t="str">
        <f>IF(34&gt;$C153,"",IF($D153=1,EOMONTH(EDATE(Bonds!$H153,6*(34-1)),0),EDATE(Bonds!$H153,6*(34-1))))</f>
        <v/>
      </c>
      <c r="AM153" s="3" t="str">
        <f>IF(35&gt;$C153,"",IF($D153=1,EOMONTH(EDATE(Bonds!$H153,6*(35-1)),0),EDATE(Bonds!$H153,6*(35-1))))</f>
        <v/>
      </c>
      <c r="AN153" s="3" t="str">
        <f>IF(36&gt;$C153,"",IF($D153=1,EOMONTH(EDATE(Bonds!$H153,6*(36-1)),0),EDATE(Bonds!$H153,6*(36-1))))</f>
        <v/>
      </c>
      <c r="AO153" s="3" t="str">
        <f>IF(37&gt;$C153,"",IF($D153=1,EOMONTH(EDATE(Bonds!$H153,6*(37-1)),0),EDATE(Bonds!$H153,6*(37-1))))</f>
        <v/>
      </c>
      <c r="AP153" s="3" t="str">
        <f>IF(38&gt;$C153,"",IF($D153=1,EOMONTH(EDATE(Bonds!$H153,6*(38-1)),0),EDATE(Bonds!$H153,6*(38-1))))</f>
        <v/>
      </c>
      <c r="AQ153" s="3" t="str">
        <f>IF(39&gt;$C153,"",IF($D153=1,EOMONTH(EDATE(Bonds!$H153,6*(39-1)),0),EDATE(Bonds!$H153,6*(39-1))))</f>
        <v/>
      </c>
      <c r="AR153" s="3" t="str">
        <f>IF(40&gt;$C153,"",IF($D153=1,EOMONTH(EDATE(Bonds!$H153,6*(40-1)),0),EDATE(Bonds!$H153,6*(40-1))))</f>
        <v/>
      </c>
      <c r="AS153" s="3" t="str">
        <f>IF(41&gt;$C153,"",IF($D153=1,EOMONTH(EDATE(Bonds!$H153,6*(41-1)),0),EDATE(Bonds!$H153,6*(41-1))))</f>
        <v/>
      </c>
      <c r="AT153" s="3" t="str">
        <f>IF(42&gt;$C153,"",IF($D153=1,EOMONTH(EDATE(Bonds!$H153,6*(42-1)),0),EDATE(Bonds!$H153,6*(42-1))))</f>
        <v/>
      </c>
      <c r="AU153" s="3" t="str">
        <f>IF(43&gt;$C153,"",IF($D153=1,EOMONTH(EDATE(Bonds!$H153,6*(43-1)),0),EDATE(Bonds!$H153,6*(43-1))))</f>
        <v/>
      </c>
      <c r="AV153" s="3" t="str">
        <f>IF(44&gt;$C153,"",IF($D153=1,EOMONTH(EDATE(Bonds!$H153,6*(44-1)),0),EDATE(Bonds!$H153,6*(44-1))))</f>
        <v/>
      </c>
      <c r="AW153" s="3" t="str">
        <f>IF(45&gt;$C153,"",IF($D153=1,EOMONTH(EDATE(Bonds!$H153,6*(45-1)),0),EDATE(Bonds!$H153,6*(45-1))))</f>
        <v/>
      </c>
      <c r="AX153" s="3" t="str">
        <f>IF(46&gt;$C153,"",IF($D153=1,EOMONTH(EDATE(Bonds!$H153,6*(46-1)),0),EDATE(Bonds!$H153,6*(46-1))))</f>
        <v/>
      </c>
      <c r="AY153" s="3" t="str">
        <f>IF(47&gt;$C153,"",IF($D153=1,EOMONTH(EDATE(Bonds!$H153,6*(47-1)),0),EDATE(Bonds!$H153,6*(47-1))))</f>
        <v/>
      </c>
      <c r="AZ153" s="3" t="str">
        <f>IF(48&gt;$C153,"",IF($D153=1,EOMONTH(EDATE(Bonds!$H153,6*(48-1)),0),EDATE(Bonds!$H153,6*(48-1))))</f>
        <v/>
      </c>
      <c r="BA153" s="3" t="str">
        <f>IF(49&gt;$C153,"",IF($D153=1,EOMONTH(EDATE(Bonds!$H153,6*(49-1)),0),EDATE(Bonds!$H153,6*(49-1))))</f>
        <v/>
      </c>
      <c r="BB153" s="3" t="str">
        <f>IF(50&gt;$C153,"",IF($D153=1,EOMONTH(EDATE(Bonds!$H153,6*(50-1)),0),EDATE(Bonds!$H153,6*(50-1))))</f>
        <v/>
      </c>
      <c r="BC153" s="3" t="str">
        <f>IF(51&gt;$C153,"",IF($D153=1,EOMONTH(EDATE(Bonds!$H153,6*(51-1)),0),EDATE(Bonds!$H153,6*(51-1))))</f>
        <v/>
      </c>
      <c r="BD153" s="3" t="str">
        <f>IF(52&gt;$C153,"",IF($D153=1,EOMONTH(EDATE(Bonds!$H153,6*(52-1)),0),EDATE(Bonds!$H153,6*(52-1))))</f>
        <v/>
      </c>
      <c r="BE153" s="3" t="str">
        <f>IF(53&gt;$C153,"",IF($D153=1,EOMONTH(EDATE(Bonds!$H153,6*(53-1)),0),EDATE(Bonds!$H153,6*(53-1))))</f>
        <v/>
      </c>
      <c r="BF153" s="3" t="str">
        <f>IF(54&gt;$C153,"",IF($D153=1,EOMONTH(EDATE(Bonds!$H153,6*(54-1)),0),EDATE(Bonds!$H153,6*(54-1))))</f>
        <v/>
      </c>
      <c r="BG153" s="3" t="str">
        <f>IF(55&gt;$C153,"",IF($D153=1,EOMONTH(EDATE(Bonds!$H153,6*(55-1)),0),EDATE(Bonds!$H153,6*(55-1))))</f>
        <v/>
      </c>
      <c r="BH153" s="3" t="str">
        <f>IF(56&gt;$C153,"",IF($D153=1,EOMONTH(EDATE(Bonds!$H153,6*(56-1)),0),EDATE(Bonds!$H153,6*(56-1))))</f>
        <v/>
      </c>
      <c r="BI153" s="3" t="str">
        <f>IF(57&gt;$C153,"",IF($D153=1,EOMONTH(EDATE(Bonds!$H153,6*(57-1)),0),EDATE(Bonds!$H153,6*(57-1))))</f>
        <v/>
      </c>
      <c r="BJ153" s="3" t="str">
        <f>IF(58&gt;$C153,"",IF($D153=1,EOMONTH(EDATE(Bonds!$H153,6*(58-1)),0),EDATE(Bonds!$H153,6*(58-1))))</f>
        <v/>
      </c>
      <c r="BK153" s="3" t="str">
        <f>IF(59&gt;$C153,"",IF($D153=1,EOMONTH(EDATE(Bonds!$H153,6*(59-1)),0),EDATE(Bonds!$H153,6*(59-1))))</f>
        <v/>
      </c>
      <c r="BL153" s="3" t="str">
        <f>IF(60&gt;$C153,"",IF($D153=1,EOMONTH(EDATE(Bonds!$H153,6*(60-1)),0),EDATE(Bonds!$H153,6*(60-1))))</f>
        <v/>
      </c>
      <c r="BN153" s="7">
        <f t="shared" si="123"/>
        <v>0.79871957935332705</v>
      </c>
      <c r="BO153" s="7">
        <f t="shared" si="124"/>
        <v>0.78188390950100306</v>
      </c>
      <c r="BP153" s="7">
        <f t="shared" si="125"/>
        <v>0.76434646261785588</v>
      </c>
      <c r="BQ153" s="7">
        <f t="shared" si="126"/>
        <v>0.74710063398175919</v>
      </c>
      <c r="BR153" s="7">
        <f t="shared" si="127"/>
        <v>0.73000859458458867</v>
      </c>
      <c r="BS153" s="7">
        <f t="shared" si="128"/>
        <v>88.542006730184667</v>
      </c>
      <c r="BT153" s="7">
        <f t="shared" si="129"/>
        <v>0</v>
      </c>
      <c r="BU153" s="7">
        <f t="shared" si="130"/>
        <v>0</v>
      </c>
      <c r="BV153" s="7">
        <f t="shared" si="131"/>
        <v>0</v>
      </c>
      <c r="BW153" s="7">
        <f t="shared" si="132"/>
        <v>0</v>
      </c>
      <c r="BX153" s="7">
        <f t="shared" si="133"/>
        <v>0</v>
      </c>
      <c r="BY153" s="7">
        <f t="shared" si="134"/>
        <v>0</v>
      </c>
      <c r="BZ153" s="7">
        <f t="shared" si="135"/>
        <v>0</v>
      </c>
      <c r="CA153" s="7">
        <f t="shared" si="136"/>
        <v>0</v>
      </c>
      <c r="CB153" s="7">
        <f t="shared" si="137"/>
        <v>0</v>
      </c>
      <c r="CC153" s="7">
        <f t="shared" si="138"/>
        <v>0</v>
      </c>
      <c r="CD153" s="7">
        <f t="shared" si="139"/>
        <v>0</v>
      </c>
      <c r="CE153" s="7">
        <f t="shared" si="140"/>
        <v>0</v>
      </c>
      <c r="CF153" s="7">
        <f t="shared" si="141"/>
        <v>0</v>
      </c>
      <c r="CG153" s="7">
        <f t="shared" si="142"/>
        <v>0</v>
      </c>
      <c r="CH153" s="7">
        <f t="shared" si="143"/>
        <v>0</v>
      </c>
      <c r="CI153" s="7">
        <f t="shared" si="144"/>
        <v>0</v>
      </c>
      <c r="CJ153" s="7">
        <f t="shared" si="145"/>
        <v>0</v>
      </c>
      <c r="CK153" s="7">
        <f t="shared" si="146"/>
        <v>0</v>
      </c>
      <c r="CL153" s="7">
        <f t="shared" si="147"/>
        <v>0</v>
      </c>
      <c r="CM153" s="7">
        <f t="shared" si="148"/>
        <v>0</v>
      </c>
      <c r="CN153" s="7">
        <f t="shared" si="149"/>
        <v>0</v>
      </c>
      <c r="CO153" s="7">
        <f t="shared" si="150"/>
        <v>0</v>
      </c>
      <c r="CP153" s="7">
        <f t="shared" si="151"/>
        <v>0</v>
      </c>
      <c r="CQ153" s="7">
        <f t="shared" si="152"/>
        <v>0</v>
      </c>
      <c r="CR153" s="7">
        <f t="shared" si="153"/>
        <v>0</v>
      </c>
      <c r="CS153" s="7">
        <f t="shared" si="154"/>
        <v>0</v>
      </c>
      <c r="CT153" s="7">
        <f t="shared" si="155"/>
        <v>0</v>
      </c>
      <c r="CU153" s="7">
        <f t="shared" si="156"/>
        <v>0</v>
      </c>
      <c r="CV153" s="7">
        <f t="shared" si="157"/>
        <v>0</v>
      </c>
      <c r="CW153" s="7">
        <f t="shared" si="158"/>
        <v>0</v>
      </c>
      <c r="CX153" s="7">
        <f t="shared" si="159"/>
        <v>0</v>
      </c>
      <c r="CY153" s="7">
        <f t="shared" si="160"/>
        <v>0</v>
      </c>
      <c r="CZ153" s="7">
        <f t="shared" si="161"/>
        <v>0</v>
      </c>
      <c r="DA153" s="7">
        <f t="shared" si="162"/>
        <v>0</v>
      </c>
      <c r="DB153" s="7">
        <f t="shared" si="163"/>
        <v>0</v>
      </c>
      <c r="DC153" s="7">
        <f t="shared" si="164"/>
        <v>0</v>
      </c>
      <c r="DD153" s="7">
        <f t="shared" si="165"/>
        <v>0</v>
      </c>
      <c r="DE153" s="7">
        <f t="shared" si="166"/>
        <v>0</v>
      </c>
      <c r="DF153" s="7">
        <f t="shared" si="167"/>
        <v>0</v>
      </c>
      <c r="DG153" s="7">
        <f t="shared" si="168"/>
        <v>0</v>
      </c>
      <c r="DH153" s="7">
        <f t="shared" si="169"/>
        <v>0</v>
      </c>
      <c r="DI153" s="7">
        <f t="shared" si="170"/>
        <v>0</v>
      </c>
      <c r="DJ153" s="7">
        <f t="shared" si="171"/>
        <v>0</v>
      </c>
      <c r="DK153" s="7">
        <f t="shared" si="172"/>
        <v>0</v>
      </c>
      <c r="DL153" s="7">
        <f t="shared" si="173"/>
        <v>0</v>
      </c>
      <c r="DM153" s="7">
        <f t="shared" si="174"/>
        <v>0</v>
      </c>
      <c r="DN153" s="7">
        <f t="shared" si="175"/>
        <v>0</v>
      </c>
      <c r="DO153" s="7">
        <f t="shared" si="176"/>
        <v>0</v>
      </c>
      <c r="DP153" s="7">
        <f t="shared" si="177"/>
        <v>0</v>
      </c>
      <c r="DQ153" s="7">
        <f t="shared" si="178"/>
        <v>0</v>
      </c>
      <c r="DR153" s="7">
        <f t="shared" si="179"/>
        <v>0</v>
      </c>
      <c r="DS153" s="7">
        <f t="shared" si="180"/>
        <v>0</v>
      </c>
      <c r="DT153" s="7">
        <f t="shared" si="181"/>
        <v>0</v>
      </c>
      <c r="DU153" s="7">
        <f t="shared" si="182"/>
        <v>0</v>
      </c>
    </row>
    <row r="154" spans="1:125" x14ac:dyDescent="0.2">
      <c r="A154" s="3">
        <f>Bonds!A154</f>
        <v>47345</v>
      </c>
      <c r="B154" s="4">
        <f>Bonds!B154</f>
        <v>4.25</v>
      </c>
      <c r="C154">
        <f>Bonds!P154</f>
        <v>6</v>
      </c>
      <c r="D154">
        <f t="shared" si="122"/>
        <v>0</v>
      </c>
      <c r="E154" s="3">
        <f>IF(1&gt;$C154,"",IF($D154=1,EOMONTH(EDATE(Bonds!$H154,6*(1-1)),0),EDATE(Bonds!$H154,6*(1-1))))</f>
        <v>46433</v>
      </c>
      <c r="F154" s="3">
        <f>IF(2&gt;$C154,"",IF($D154=1,EOMONTH(EDATE(Bonds!$H154,6*(2-1)),0),EDATE(Bonds!$H154,6*(2-1))))</f>
        <v>46614</v>
      </c>
      <c r="G154" s="3">
        <f>IF(3&gt;$C154,"",IF($D154=1,EOMONTH(EDATE(Bonds!$H154,6*(3-1)),0),EDATE(Bonds!$H154,6*(3-1))))</f>
        <v>46798</v>
      </c>
      <c r="H154" s="3">
        <f>IF(4&gt;$C154,"",IF($D154=1,EOMONTH(EDATE(Bonds!$H154,6*(4-1)),0),EDATE(Bonds!$H154,6*(4-1))))</f>
        <v>46980</v>
      </c>
      <c r="I154" s="3">
        <f>IF(5&gt;$C154,"",IF($D154=1,EOMONTH(EDATE(Bonds!$H154,6*(5-1)),0),EDATE(Bonds!$H154,6*(5-1))))</f>
        <v>47164</v>
      </c>
      <c r="J154" s="3">
        <f>IF(6&gt;$C154,"",IF($D154=1,EOMONTH(EDATE(Bonds!$H154,6*(6-1)),0),EDATE(Bonds!$H154,6*(6-1))))</f>
        <v>47345</v>
      </c>
      <c r="K154" s="3" t="str">
        <f>IF(7&gt;$C154,"",IF($D154=1,EOMONTH(EDATE(Bonds!$H154,6*(7-1)),0),EDATE(Bonds!$H154,6*(7-1))))</f>
        <v/>
      </c>
      <c r="L154" s="3" t="str">
        <f>IF(8&gt;$C154,"",IF($D154=1,EOMONTH(EDATE(Bonds!$H154,6*(8-1)),0),EDATE(Bonds!$H154,6*(8-1))))</f>
        <v/>
      </c>
      <c r="M154" s="3" t="str">
        <f>IF(9&gt;$C154,"",IF($D154=1,EOMONTH(EDATE(Bonds!$H154,6*(9-1)),0),EDATE(Bonds!$H154,6*(9-1))))</f>
        <v/>
      </c>
      <c r="N154" s="3" t="str">
        <f>IF(10&gt;$C154,"",IF($D154=1,EOMONTH(EDATE(Bonds!$H154,6*(10-1)),0),EDATE(Bonds!$H154,6*(10-1))))</f>
        <v/>
      </c>
      <c r="O154" s="3" t="str">
        <f>IF(11&gt;$C154,"",IF($D154=1,EOMONTH(EDATE(Bonds!$H154,6*(11-1)),0),EDATE(Bonds!$H154,6*(11-1))))</f>
        <v/>
      </c>
      <c r="P154" s="3" t="str">
        <f>IF(12&gt;$C154,"",IF($D154=1,EOMONTH(EDATE(Bonds!$H154,6*(12-1)),0),EDATE(Bonds!$H154,6*(12-1))))</f>
        <v/>
      </c>
      <c r="Q154" s="3" t="str">
        <f>IF(13&gt;$C154,"",IF($D154=1,EOMONTH(EDATE(Bonds!$H154,6*(13-1)),0),EDATE(Bonds!$H154,6*(13-1))))</f>
        <v/>
      </c>
      <c r="R154" s="3" t="str">
        <f>IF(14&gt;$C154,"",IF($D154=1,EOMONTH(EDATE(Bonds!$H154,6*(14-1)),0),EDATE(Bonds!$H154,6*(14-1))))</f>
        <v/>
      </c>
      <c r="S154" s="3" t="str">
        <f>IF(15&gt;$C154,"",IF($D154=1,EOMONTH(EDATE(Bonds!$H154,6*(15-1)),0),EDATE(Bonds!$H154,6*(15-1))))</f>
        <v/>
      </c>
      <c r="T154" s="3" t="str">
        <f>IF(16&gt;$C154,"",IF($D154=1,EOMONTH(EDATE(Bonds!$H154,6*(16-1)),0),EDATE(Bonds!$H154,6*(16-1))))</f>
        <v/>
      </c>
      <c r="U154" s="3" t="str">
        <f>IF(17&gt;$C154,"",IF($D154=1,EOMONTH(EDATE(Bonds!$H154,6*(17-1)),0),EDATE(Bonds!$H154,6*(17-1))))</f>
        <v/>
      </c>
      <c r="V154" s="3" t="str">
        <f>IF(18&gt;$C154,"",IF($D154=1,EOMONTH(EDATE(Bonds!$H154,6*(18-1)),0),EDATE(Bonds!$H154,6*(18-1))))</f>
        <v/>
      </c>
      <c r="W154" s="3" t="str">
        <f>IF(19&gt;$C154,"",IF($D154=1,EOMONTH(EDATE(Bonds!$H154,6*(19-1)),0),EDATE(Bonds!$H154,6*(19-1))))</f>
        <v/>
      </c>
      <c r="X154" s="3" t="str">
        <f>IF(20&gt;$C154,"",IF($D154=1,EOMONTH(EDATE(Bonds!$H154,6*(20-1)),0),EDATE(Bonds!$H154,6*(20-1))))</f>
        <v/>
      </c>
      <c r="Y154" s="3" t="str">
        <f>IF(21&gt;$C154,"",IF($D154=1,EOMONTH(EDATE(Bonds!$H154,6*(21-1)),0),EDATE(Bonds!$H154,6*(21-1))))</f>
        <v/>
      </c>
      <c r="Z154" s="3" t="str">
        <f>IF(22&gt;$C154,"",IF($D154=1,EOMONTH(EDATE(Bonds!$H154,6*(22-1)),0),EDATE(Bonds!$H154,6*(22-1))))</f>
        <v/>
      </c>
      <c r="AA154" s="3" t="str">
        <f>IF(23&gt;$C154,"",IF($D154=1,EOMONTH(EDATE(Bonds!$H154,6*(23-1)),0),EDATE(Bonds!$H154,6*(23-1))))</f>
        <v/>
      </c>
      <c r="AB154" s="3" t="str">
        <f>IF(24&gt;$C154,"",IF($D154=1,EOMONTH(EDATE(Bonds!$H154,6*(24-1)),0),EDATE(Bonds!$H154,6*(24-1))))</f>
        <v/>
      </c>
      <c r="AC154" s="3" t="str">
        <f>IF(25&gt;$C154,"",IF($D154=1,EOMONTH(EDATE(Bonds!$H154,6*(25-1)),0),EDATE(Bonds!$H154,6*(25-1))))</f>
        <v/>
      </c>
      <c r="AD154" s="3" t="str">
        <f>IF(26&gt;$C154,"",IF($D154=1,EOMONTH(EDATE(Bonds!$H154,6*(26-1)),0),EDATE(Bonds!$H154,6*(26-1))))</f>
        <v/>
      </c>
      <c r="AE154" s="3" t="str">
        <f>IF(27&gt;$C154,"",IF($D154=1,EOMONTH(EDATE(Bonds!$H154,6*(27-1)),0),EDATE(Bonds!$H154,6*(27-1))))</f>
        <v/>
      </c>
      <c r="AF154" s="3" t="str">
        <f>IF(28&gt;$C154,"",IF($D154=1,EOMONTH(EDATE(Bonds!$H154,6*(28-1)),0),EDATE(Bonds!$H154,6*(28-1))))</f>
        <v/>
      </c>
      <c r="AG154" s="3" t="str">
        <f>IF(29&gt;$C154,"",IF($D154=1,EOMONTH(EDATE(Bonds!$H154,6*(29-1)),0),EDATE(Bonds!$H154,6*(29-1))))</f>
        <v/>
      </c>
      <c r="AH154" s="3" t="str">
        <f>IF(30&gt;$C154,"",IF($D154=1,EOMONTH(EDATE(Bonds!$H154,6*(30-1)),0),EDATE(Bonds!$H154,6*(30-1))))</f>
        <v/>
      </c>
      <c r="AI154" s="3" t="str">
        <f>IF(31&gt;$C154,"",IF($D154=1,EOMONTH(EDATE(Bonds!$H154,6*(31-1)),0),EDATE(Bonds!$H154,6*(31-1))))</f>
        <v/>
      </c>
      <c r="AJ154" s="3" t="str">
        <f>IF(32&gt;$C154,"",IF($D154=1,EOMONTH(EDATE(Bonds!$H154,6*(32-1)),0),EDATE(Bonds!$H154,6*(32-1))))</f>
        <v/>
      </c>
      <c r="AK154" s="3" t="str">
        <f>IF(33&gt;$C154,"",IF($D154=1,EOMONTH(EDATE(Bonds!$H154,6*(33-1)),0),EDATE(Bonds!$H154,6*(33-1))))</f>
        <v/>
      </c>
      <c r="AL154" s="3" t="str">
        <f>IF(34&gt;$C154,"",IF($D154=1,EOMONTH(EDATE(Bonds!$H154,6*(34-1)),0),EDATE(Bonds!$H154,6*(34-1))))</f>
        <v/>
      </c>
      <c r="AM154" s="3" t="str">
        <f>IF(35&gt;$C154,"",IF($D154=1,EOMONTH(EDATE(Bonds!$H154,6*(35-1)),0),EDATE(Bonds!$H154,6*(35-1))))</f>
        <v/>
      </c>
      <c r="AN154" s="3" t="str">
        <f>IF(36&gt;$C154,"",IF($D154=1,EOMONTH(EDATE(Bonds!$H154,6*(36-1)),0),EDATE(Bonds!$H154,6*(36-1))))</f>
        <v/>
      </c>
      <c r="AO154" s="3" t="str">
        <f>IF(37&gt;$C154,"",IF($D154=1,EOMONTH(EDATE(Bonds!$H154,6*(37-1)),0),EDATE(Bonds!$H154,6*(37-1))))</f>
        <v/>
      </c>
      <c r="AP154" s="3" t="str">
        <f>IF(38&gt;$C154,"",IF($D154=1,EOMONTH(EDATE(Bonds!$H154,6*(38-1)),0),EDATE(Bonds!$H154,6*(38-1))))</f>
        <v/>
      </c>
      <c r="AQ154" s="3" t="str">
        <f>IF(39&gt;$C154,"",IF($D154=1,EOMONTH(EDATE(Bonds!$H154,6*(39-1)),0),EDATE(Bonds!$H154,6*(39-1))))</f>
        <v/>
      </c>
      <c r="AR154" s="3" t="str">
        <f>IF(40&gt;$C154,"",IF($D154=1,EOMONTH(EDATE(Bonds!$H154,6*(40-1)),0),EDATE(Bonds!$H154,6*(40-1))))</f>
        <v/>
      </c>
      <c r="AS154" s="3" t="str">
        <f>IF(41&gt;$C154,"",IF($D154=1,EOMONTH(EDATE(Bonds!$H154,6*(41-1)),0),EDATE(Bonds!$H154,6*(41-1))))</f>
        <v/>
      </c>
      <c r="AT154" s="3" t="str">
        <f>IF(42&gt;$C154,"",IF($D154=1,EOMONTH(EDATE(Bonds!$H154,6*(42-1)),0),EDATE(Bonds!$H154,6*(42-1))))</f>
        <v/>
      </c>
      <c r="AU154" s="3" t="str">
        <f>IF(43&gt;$C154,"",IF($D154=1,EOMONTH(EDATE(Bonds!$H154,6*(43-1)),0),EDATE(Bonds!$H154,6*(43-1))))</f>
        <v/>
      </c>
      <c r="AV154" s="3" t="str">
        <f>IF(44&gt;$C154,"",IF($D154=1,EOMONTH(EDATE(Bonds!$H154,6*(44-1)),0),EDATE(Bonds!$H154,6*(44-1))))</f>
        <v/>
      </c>
      <c r="AW154" s="3" t="str">
        <f>IF(45&gt;$C154,"",IF($D154=1,EOMONTH(EDATE(Bonds!$H154,6*(45-1)),0),EDATE(Bonds!$H154,6*(45-1))))</f>
        <v/>
      </c>
      <c r="AX154" s="3" t="str">
        <f>IF(46&gt;$C154,"",IF($D154=1,EOMONTH(EDATE(Bonds!$H154,6*(46-1)),0),EDATE(Bonds!$H154,6*(46-1))))</f>
        <v/>
      </c>
      <c r="AY154" s="3" t="str">
        <f>IF(47&gt;$C154,"",IF($D154=1,EOMONTH(EDATE(Bonds!$H154,6*(47-1)),0),EDATE(Bonds!$H154,6*(47-1))))</f>
        <v/>
      </c>
      <c r="AZ154" s="3" t="str">
        <f>IF(48&gt;$C154,"",IF($D154=1,EOMONTH(EDATE(Bonds!$H154,6*(48-1)),0),EDATE(Bonds!$H154,6*(48-1))))</f>
        <v/>
      </c>
      <c r="BA154" s="3" t="str">
        <f>IF(49&gt;$C154,"",IF($D154=1,EOMONTH(EDATE(Bonds!$H154,6*(49-1)),0),EDATE(Bonds!$H154,6*(49-1))))</f>
        <v/>
      </c>
      <c r="BB154" s="3" t="str">
        <f>IF(50&gt;$C154,"",IF($D154=1,EOMONTH(EDATE(Bonds!$H154,6*(50-1)),0),EDATE(Bonds!$H154,6*(50-1))))</f>
        <v/>
      </c>
      <c r="BC154" s="3" t="str">
        <f>IF(51&gt;$C154,"",IF($D154=1,EOMONTH(EDATE(Bonds!$H154,6*(51-1)),0),EDATE(Bonds!$H154,6*(51-1))))</f>
        <v/>
      </c>
      <c r="BD154" s="3" t="str">
        <f>IF(52&gt;$C154,"",IF($D154=1,EOMONTH(EDATE(Bonds!$H154,6*(52-1)),0),EDATE(Bonds!$H154,6*(52-1))))</f>
        <v/>
      </c>
      <c r="BE154" s="3" t="str">
        <f>IF(53&gt;$C154,"",IF($D154=1,EOMONTH(EDATE(Bonds!$H154,6*(53-1)),0),EDATE(Bonds!$H154,6*(53-1))))</f>
        <v/>
      </c>
      <c r="BF154" s="3" t="str">
        <f>IF(54&gt;$C154,"",IF($D154=1,EOMONTH(EDATE(Bonds!$H154,6*(54-1)),0),EDATE(Bonds!$H154,6*(54-1))))</f>
        <v/>
      </c>
      <c r="BG154" s="3" t="str">
        <f>IF(55&gt;$C154,"",IF($D154=1,EOMONTH(EDATE(Bonds!$H154,6*(55-1)),0),EDATE(Bonds!$H154,6*(55-1))))</f>
        <v/>
      </c>
      <c r="BH154" s="3" t="str">
        <f>IF(56&gt;$C154,"",IF($D154=1,EOMONTH(EDATE(Bonds!$H154,6*(56-1)),0),EDATE(Bonds!$H154,6*(56-1))))</f>
        <v/>
      </c>
      <c r="BI154" s="3" t="str">
        <f>IF(57&gt;$C154,"",IF($D154=1,EOMONTH(EDATE(Bonds!$H154,6*(57-1)),0),EDATE(Bonds!$H154,6*(57-1))))</f>
        <v/>
      </c>
      <c r="BJ154" s="3" t="str">
        <f>IF(58&gt;$C154,"",IF($D154=1,EOMONTH(EDATE(Bonds!$H154,6*(58-1)),0),EDATE(Bonds!$H154,6*(58-1))))</f>
        <v/>
      </c>
      <c r="BK154" s="3" t="str">
        <f>IF(59&gt;$C154,"",IF($D154=1,EOMONTH(EDATE(Bonds!$H154,6*(59-1)),0),EDATE(Bonds!$H154,6*(59-1))))</f>
        <v/>
      </c>
      <c r="BL154" s="3" t="str">
        <f>IF(60&gt;$C154,"",IF($D154=1,EOMONTH(EDATE(Bonds!$H154,6*(60-1)),0),EDATE(Bonds!$H154,6*(60-1))))</f>
        <v/>
      </c>
      <c r="BN154" s="7">
        <f t="shared" si="123"/>
        <v>2.0889588998471629</v>
      </c>
      <c r="BO154" s="7">
        <f t="shared" si="124"/>
        <v>2.0449271479257001</v>
      </c>
      <c r="BP154" s="7">
        <f t="shared" si="125"/>
        <v>1.9990599791543924</v>
      </c>
      <c r="BQ154" s="7">
        <f t="shared" si="126"/>
        <v>1.9539555042599857</v>
      </c>
      <c r="BR154" s="7">
        <f t="shared" si="127"/>
        <v>1.9092532473750781</v>
      </c>
      <c r="BS154" s="7">
        <f t="shared" si="128"/>
        <v>89.694754492945904</v>
      </c>
      <c r="BT154" s="7">
        <f t="shared" si="129"/>
        <v>0</v>
      </c>
      <c r="BU154" s="7">
        <f t="shared" si="130"/>
        <v>0</v>
      </c>
      <c r="BV154" s="7">
        <f t="shared" si="131"/>
        <v>0</v>
      </c>
      <c r="BW154" s="7">
        <f t="shared" si="132"/>
        <v>0</v>
      </c>
      <c r="BX154" s="7">
        <f t="shared" si="133"/>
        <v>0</v>
      </c>
      <c r="BY154" s="7">
        <f t="shared" si="134"/>
        <v>0</v>
      </c>
      <c r="BZ154" s="7">
        <f t="shared" si="135"/>
        <v>0</v>
      </c>
      <c r="CA154" s="7">
        <f t="shared" si="136"/>
        <v>0</v>
      </c>
      <c r="CB154" s="7">
        <f t="shared" si="137"/>
        <v>0</v>
      </c>
      <c r="CC154" s="7">
        <f t="shared" si="138"/>
        <v>0</v>
      </c>
      <c r="CD154" s="7">
        <f t="shared" si="139"/>
        <v>0</v>
      </c>
      <c r="CE154" s="7">
        <f t="shared" si="140"/>
        <v>0</v>
      </c>
      <c r="CF154" s="7">
        <f t="shared" si="141"/>
        <v>0</v>
      </c>
      <c r="CG154" s="7">
        <f t="shared" si="142"/>
        <v>0</v>
      </c>
      <c r="CH154" s="7">
        <f t="shared" si="143"/>
        <v>0</v>
      </c>
      <c r="CI154" s="7">
        <f t="shared" si="144"/>
        <v>0</v>
      </c>
      <c r="CJ154" s="7">
        <f t="shared" si="145"/>
        <v>0</v>
      </c>
      <c r="CK154" s="7">
        <f t="shared" si="146"/>
        <v>0</v>
      </c>
      <c r="CL154" s="7">
        <f t="shared" si="147"/>
        <v>0</v>
      </c>
      <c r="CM154" s="7">
        <f t="shared" si="148"/>
        <v>0</v>
      </c>
      <c r="CN154" s="7">
        <f t="shared" si="149"/>
        <v>0</v>
      </c>
      <c r="CO154" s="7">
        <f t="shared" si="150"/>
        <v>0</v>
      </c>
      <c r="CP154" s="7">
        <f t="shared" si="151"/>
        <v>0</v>
      </c>
      <c r="CQ154" s="7">
        <f t="shared" si="152"/>
        <v>0</v>
      </c>
      <c r="CR154" s="7">
        <f t="shared" si="153"/>
        <v>0</v>
      </c>
      <c r="CS154" s="7">
        <f t="shared" si="154"/>
        <v>0</v>
      </c>
      <c r="CT154" s="7">
        <f t="shared" si="155"/>
        <v>0</v>
      </c>
      <c r="CU154" s="7">
        <f t="shared" si="156"/>
        <v>0</v>
      </c>
      <c r="CV154" s="7">
        <f t="shared" si="157"/>
        <v>0</v>
      </c>
      <c r="CW154" s="7">
        <f t="shared" si="158"/>
        <v>0</v>
      </c>
      <c r="CX154" s="7">
        <f t="shared" si="159"/>
        <v>0</v>
      </c>
      <c r="CY154" s="7">
        <f t="shared" si="160"/>
        <v>0</v>
      </c>
      <c r="CZ154" s="7">
        <f t="shared" si="161"/>
        <v>0</v>
      </c>
      <c r="DA154" s="7">
        <f t="shared" si="162"/>
        <v>0</v>
      </c>
      <c r="DB154" s="7">
        <f t="shared" si="163"/>
        <v>0</v>
      </c>
      <c r="DC154" s="7">
        <f t="shared" si="164"/>
        <v>0</v>
      </c>
      <c r="DD154" s="7">
        <f t="shared" si="165"/>
        <v>0</v>
      </c>
      <c r="DE154" s="7">
        <f t="shared" si="166"/>
        <v>0</v>
      </c>
      <c r="DF154" s="7">
        <f t="shared" si="167"/>
        <v>0</v>
      </c>
      <c r="DG154" s="7">
        <f t="shared" si="168"/>
        <v>0</v>
      </c>
      <c r="DH154" s="7">
        <f t="shared" si="169"/>
        <v>0</v>
      </c>
      <c r="DI154" s="7">
        <f t="shared" si="170"/>
        <v>0</v>
      </c>
      <c r="DJ154" s="7">
        <f t="shared" si="171"/>
        <v>0</v>
      </c>
      <c r="DK154" s="7">
        <f t="shared" si="172"/>
        <v>0</v>
      </c>
      <c r="DL154" s="7">
        <f t="shared" si="173"/>
        <v>0</v>
      </c>
      <c r="DM154" s="7">
        <f t="shared" si="174"/>
        <v>0</v>
      </c>
      <c r="DN154" s="7">
        <f t="shared" si="175"/>
        <v>0</v>
      </c>
      <c r="DO154" s="7">
        <f t="shared" si="176"/>
        <v>0</v>
      </c>
      <c r="DP154" s="7">
        <f t="shared" si="177"/>
        <v>0</v>
      </c>
      <c r="DQ154" s="7">
        <f t="shared" si="178"/>
        <v>0</v>
      </c>
      <c r="DR154" s="7">
        <f t="shared" si="179"/>
        <v>0</v>
      </c>
      <c r="DS154" s="7">
        <f t="shared" si="180"/>
        <v>0</v>
      </c>
      <c r="DT154" s="7">
        <f t="shared" si="181"/>
        <v>0</v>
      </c>
      <c r="DU154" s="7">
        <f t="shared" si="182"/>
        <v>0</v>
      </c>
    </row>
    <row r="155" spans="1:125" x14ac:dyDescent="0.2">
      <c r="A155" s="3">
        <f>Bonds!A155</f>
        <v>47345</v>
      </c>
      <c r="B155" s="4">
        <f>Bonds!B155</f>
        <v>6.125</v>
      </c>
      <c r="C155">
        <f>Bonds!P155</f>
        <v>6</v>
      </c>
      <c r="D155">
        <f t="shared" si="122"/>
        <v>0</v>
      </c>
      <c r="E155" s="3">
        <f>IF(1&gt;$C155,"",IF($D155=1,EOMONTH(EDATE(Bonds!$H155,6*(1-1)),0),EDATE(Bonds!$H155,6*(1-1))))</f>
        <v>46433</v>
      </c>
      <c r="F155" s="3">
        <f>IF(2&gt;$C155,"",IF($D155=1,EOMONTH(EDATE(Bonds!$H155,6*(2-1)),0),EDATE(Bonds!$H155,6*(2-1))))</f>
        <v>46614</v>
      </c>
      <c r="G155" s="3">
        <f>IF(3&gt;$C155,"",IF($D155=1,EOMONTH(EDATE(Bonds!$H155,6*(3-1)),0),EDATE(Bonds!$H155,6*(3-1))))</f>
        <v>46798</v>
      </c>
      <c r="H155" s="3">
        <f>IF(4&gt;$C155,"",IF($D155=1,EOMONTH(EDATE(Bonds!$H155,6*(4-1)),0),EDATE(Bonds!$H155,6*(4-1))))</f>
        <v>46980</v>
      </c>
      <c r="I155" s="3">
        <f>IF(5&gt;$C155,"",IF($D155=1,EOMONTH(EDATE(Bonds!$H155,6*(5-1)),0),EDATE(Bonds!$H155,6*(5-1))))</f>
        <v>47164</v>
      </c>
      <c r="J155" s="3">
        <f>IF(6&gt;$C155,"",IF($D155=1,EOMONTH(EDATE(Bonds!$H155,6*(6-1)),0),EDATE(Bonds!$H155,6*(6-1))))</f>
        <v>47345</v>
      </c>
      <c r="K155" s="3" t="str">
        <f>IF(7&gt;$C155,"",IF($D155=1,EOMONTH(EDATE(Bonds!$H155,6*(7-1)),0),EDATE(Bonds!$H155,6*(7-1))))</f>
        <v/>
      </c>
      <c r="L155" s="3" t="str">
        <f>IF(8&gt;$C155,"",IF($D155=1,EOMONTH(EDATE(Bonds!$H155,6*(8-1)),0),EDATE(Bonds!$H155,6*(8-1))))</f>
        <v/>
      </c>
      <c r="M155" s="3" t="str">
        <f>IF(9&gt;$C155,"",IF($D155=1,EOMONTH(EDATE(Bonds!$H155,6*(9-1)),0),EDATE(Bonds!$H155,6*(9-1))))</f>
        <v/>
      </c>
      <c r="N155" s="3" t="str">
        <f>IF(10&gt;$C155,"",IF($D155=1,EOMONTH(EDATE(Bonds!$H155,6*(10-1)),0),EDATE(Bonds!$H155,6*(10-1))))</f>
        <v/>
      </c>
      <c r="O155" s="3" t="str">
        <f>IF(11&gt;$C155,"",IF($D155=1,EOMONTH(EDATE(Bonds!$H155,6*(11-1)),0),EDATE(Bonds!$H155,6*(11-1))))</f>
        <v/>
      </c>
      <c r="P155" s="3" t="str">
        <f>IF(12&gt;$C155,"",IF($D155=1,EOMONTH(EDATE(Bonds!$H155,6*(12-1)),0),EDATE(Bonds!$H155,6*(12-1))))</f>
        <v/>
      </c>
      <c r="Q155" s="3" t="str">
        <f>IF(13&gt;$C155,"",IF($D155=1,EOMONTH(EDATE(Bonds!$H155,6*(13-1)),0),EDATE(Bonds!$H155,6*(13-1))))</f>
        <v/>
      </c>
      <c r="R155" s="3" t="str">
        <f>IF(14&gt;$C155,"",IF($D155=1,EOMONTH(EDATE(Bonds!$H155,6*(14-1)),0),EDATE(Bonds!$H155,6*(14-1))))</f>
        <v/>
      </c>
      <c r="S155" s="3" t="str">
        <f>IF(15&gt;$C155,"",IF($D155=1,EOMONTH(EDATE(Bonds!$H155,6*(15-1)),0),EDATE(Bonds!$H155,6*(15-1))))</f>
        <v/>
      </c>
      <c r="T155" s="3" t="str">
        <f>IF(16&gt;$C155,"",IF($D155=1,EOMONTH(EDATE(Bonds!$H155,6*(16-1)),0),EDATE(Bonds!$H155,6*(16-1))))</f>
        <v/>
      </c>
      <c r="U155" s="3" t="str">
        <f>IF(17&gt;$C155,"",IF($D155=1,EOMONTH(EDATE(Bonds!$H155,6*(17-1)),0),EDATE(Bonds!$H155,6*(17-1))))</f>
        <v/>
      </c>
      <c r="V155" s="3" t="str">
        <f>IF(18&gt;$C155,"",IF($D155=1,EOMONTH(EDATE(Bonds!$H155,6*(18-1)),0),EDATE(Bonds!$H155,6*(18-1))))</f>
        <v/>
      </c>
      <c r="W155" s="3" t="str">
        <f>IF(19&gt;$C155,"",IF($D155=1,EOMONTH(EDATE(Bonds!$H155,6*(19-1)),0),EDATE(Bonds!$H155,6*(19-1))))</f>
        <v/>
      </c>
      <c r="X155" s="3" t="str">
        <f>IF(20&gt;$C155,"",IF($D155=1,EOMONTH(EDATE(Bonds!$H155,6*(20-1)),0),EDATE(Bonds!$H155,6*(20-1))))</f>
        <v/>
      </c>
      <c r="Y155" s="3" t="str">
        <f>IF(21&gt;$C155,"",IF($D155=1,EOMONTH(EDATE(Bonds!$H155,6*(21-1)),0),EDATE(Bonds!$H155,6*(21-1))))</f>
        <v/>
      </c>
      <c r="Z155" s="3" t="str">
        <f>IF(22&gt;$C155,"",IF($D155=1,EOMONTH(EDATE(Bonds!$H155,6*(22-1)),0),EDATE(Bonds!$H155,6*(22-1))))</f>
        <v/>
      </c>
      <c r="AA155" s="3" t="str">
        <f>IF(23&gt;$C155,"",IF($D155=1,EOMONTH(EDATE(Bonds!$H155,6*(23-1)),0),EDATE(Bonds!$H155,6*(23-1))))</f>
        <v/>
      </c>
      <c r="AB155" s="3" t="str">
        <f>IF(24&gt;$C155,"",IF($D155=1,EOMONTH(EDATE(Bonds!$H155,6*(24-1)),0),EDATE(Bonds!$H155,6*(24-1))))</f>
        <v/>
      </c>
      <c r="AC155" s="3" t="str">
        <f>IF(25&gt;$C155,"",IF($D155=1,EOMONTH(EDATE(Bonds!$H155,6*(25-1)),0),EDATE(Bonds!$H155,6*(25-1))))</f>
        <v/>
      </c>
      <c r="AD155" s="3" t="str">
        <f>IF(26&gt;$C155,"",IF($D155=1,EOMONTH(EDATE(Bonds!$H155,6*(26-1)),0),EDATE(Bonds!$H155,6*(26-1))))</f>
        <v/>
      </c>
      <c r="AE155" s="3" t="str">
        <f>IF(27&gt;$C155,"",IF($D155=1,EOMONTH(EDATE(Bonds!$H155,6*(27-1)),0),EDATE(Bonds!$H155,6*(27-1))))</f>
        <v/>
      </c>
      <c r="AF155" s="3" t="str">
        <f>IF(28&gt;$C155,"",IF($D155=1,EOMONTH(EDATE(Bonds!$H155,6*(28-1)),0),EDATE(Bonds!$H155,6*(28-1))))</f>
        <v/>
      </c>
      <c r="AG155" s="3" t="str">
        <f>IF(29&gt;$C155,"",IF($D155=1,EOMONTH(EDATE(Bonds!$H155,6*(29-1)),0),EDATE(Bonds!$H155,6*(29-1))))</f>
        <v/>
      </c>
      <c r="AH155" s="3" t="str">
        <f>IF(30&gt;$C155,"",IF($D155=1,EOMONTH(EDATE(Bonds!$H155,6*(30-1)),0),EDATE(Bonds!$H155,6*(30-1))))</f>
        <v/>
      </c>
      <c r="AI155" s="3" t="str">
        <f>IF(31&gt;$C155,"",IF($D155=1,EOMONTH(EDATE(Bonds!$H155,6*(31-1)),0),EDATE(Bonds!$H155,6*(31-1))))</f>
        <v/>
      </c>
      <c r="AJ155" s="3" t="str">
        <f>IF(32&gt;$C155,"",IF($D155=1,EOMONTH(EDATE(Bonds!$H155,6*(32-1)),0),EDATE(Bonds!$H155,6*(32-1))))</f>
        <v/>
      </c>
      <c r="AK155" s="3" t="str">
        <f>IF(33&gt;$C155,"",IF($D155=1,EOMONTH(EDATE(Bonds!$H155,6*(33-1)),0),EDATE(Bonds!$H155,6*(33-1))))</f>
        <v/>
      </c>
      <c r="AL155" s="3" t="str">
        <f>IF(34&gt;$C155,"",IF($D155=1,EOMONTH(EDATE(Bonds!$H155,6*(34-1)),0),EDATE(Bonds!$H155,6*(34-1))))</f>
        <v/>
      </c>
      <c r="AM155" s="3" t="str">
        <f>IF(35&gt;$C155,"",IF($D155=1,EOMONTH(EDATE(Bonds!$H155,6*(35-1)),0),EDATE(Bonds!$H155,6*(35-1))))</f>
        <v/>
      </c>
      <c r="AN155" s="3" t="str">
        <f>IF(36&gt;$C155,"",IF($D155=1,EOMONTH(EDATE(Bonds!$H155,6*(36-1)),0),EDATE(Bonds!$H155,6*(36-1))))</f>
        <v/>
      </c>
      <c r="AO155" s="3" t="str">
        <f>IF(37&gt;$C155,"",IF($D155=1,EOMONTH(EDATE(Bonds!$H155,6*(37-1)),0),EDATE(Bonds!$H155,6*(37-1))))</f>
        <v/>
      </c>
      <c r="AP155" s="3" t="str">
        <f>IF(38&gt;$C155,"",IF($D155=1,EOMONTH(EDATE(Bonds!$H155,6*(38-1)),0),EDATE(Bonds!$H155,6*(38-1))))</f>
        <v/>
      </c>
      <c r="AQ155" s="3" t="str">
        <f>IF(39&gt;$C155,"",IF($D155=1,EOMONTH(EDATE(Bonds!$H155,6*(39-1)),0),EDATE(Bonds!$H155,6*(39-1))))</f>
        <v/>
      </c>
      <c r="AR155" s="3" t="str">
        <f>IF(40&gt;$C155,"",IF($D155=1,EOMONTH(EDATE(Bonds!$H155,6*(40-1)),0),EDATE(Bonds!$H155,6*(40-1))))</f>
        <v/>
      </c>
      <c r="AS155" s="3" t="str">
        <f>IF(41&gt;$C155,"",IF($D155=1,EOMONTH(EDATE(Bonds!$H155,6*(41-1)),0),EDATE(Bonds!$H155,6*(41-1))))</f>
        <v/>
      </c>
      <c r="AT155" s="3" t="str">
        <f>IF(42&gt;$C155,"",IF($D155=1,EOMONTH(EDATE(Bonds!$H155,6*(42-1)),0),EDATE(Bonds!$H155,6*(42-1))))</f>
        <v/>
      </c>
      <c r="AU155" s="3" t="str">
        <f>IF(43&gt;$C155,"",IF($D155=1,EOMONTH(EDATE(Bonds!$H155,6*(43-1)),0),EDATE(Bonds!$H155,6*(43-1))))</f>
        <v/>
      </c>
      <c r="AV155" s="3" t="str">
        <f>IF(44&gt;$C155,"",IF($D155=1,EOMONTH(EDATE(Bonds!$H155,6*(44-1)),0),EDATE(Bonds!$H155,6*(44-1))))</f>
        <v/>
      </c>
      <c r="AW155" s="3" t="str">
        <f>IF(45&gt;$C155,"",IF($D155=1,EOMONTH(EDATE(Bonds!$H155,6*(45-1)),0),EDATE(Bonds!$H155,6*(45-1))))</f>
        <v/>
      </c>
      <c r="AX155" s="3" t="str">
        <f>IF(46&gt;$C155,"",IF($D155=1,EOMONTH(EDATE(Bonds!$H155,6*(46-1)),0),EDATE(Bonds!$H155,6*(46-1))))</f>
        <v/>
      </c>
      <c r="AY155" s="3" t="str">
        <f>IF(47&gt;$C155,"",IF($D155=1,EOMONTH(EDATE(Bonds!$H155,6*(47-1)),0),EDATE(Bonds!$H155,6*(47-1))))</f>
        <v/>
      </c>
      <c r="AZ155" s="3" t="str">
        <f>IF(48&gt;$C155,"",IF($D155=1,EOMONTH(EDATE(Bonds!$H155,6*(48-1)),0),EDATE(Bonds!$H155,6*(48-1))))</f>
        <v/>
      </c>
      <c r="BA155" s="3" t="str">
        <f>IF(49&gt;$C155,"",IF($D155=1,EOMONTH(EDATE(Bonds!$H155,6*(49-1)),0),EDATE(Bonds!$H155,6*(49-1))))</f>
        <v/>
      </c>
      <c r="BB155" s="3" t="str">
        <f>IF(50&gt;$C155,"",IF($D155=1,EOMONTH(EDATE(Bonds!$H155,6*(50-1)),0),EDATE(Bonds!$H155,6*(50-1))))</f>
        <v/>
      </c>
      <c r="BC155" s="3" t="str">
        <f>IF(51&gt;$C155,"",IF($D155=1,EOMONTH(EDATE(Bonds!$H155,6*(51-1)),0),EDATE(Bonds!$H155,6*(51-1))))</f>
        <v/>
      </c>
      <c r="BD155" s="3" t="str">
        <f>IF(52&gt;$C155,"",IF($D155=1,EOMONTH(EDATE(Bonds!$H155,6*(52-1)),0),EDATE(Bonds!$H155,6*(52-1))))</f>
        <v/>
      </c>
      <c r="BE155" s="3" t="str">
        <f>IF(53&gt;$C155,"",IF($D155=1,EOMONTH(EDATE(Bonds!$H155,6*(53-1)),0),EDATE(Bonds!$H155,6*(53-1))))</f>
        <v/>
      </c>
      <c r="BF155" s="3" t="str">
        <f>IF(54&gt;$C155,"",IF($D155=1,EOMONTH(EDATE(Bonds!$H155,6*(54-1)),0),EDATE(Bonds!$H155,6*(54-1))))</f>
        <v/>
      </c>
      <c r="BG155" s="3" t="str">
        <f>IF(55&gt;$C155,"",IF($D155=1,EOMONTH(EDATE(Bonds!$H155,6*(55-1)),0),EDATE(Bonds!$H155,6*(55-1))))</f>
        <v/>
      </c>
      <c r="BH155" s="3" t="str">
        <f>IF(56&gt;$C155,"",IF($D155=1,EOMONTH(EDATE(Bonds!$H155,6*(56-1)),0),EDATE(Bonds!$H155,6*(56-1))))</f>
        <v/>
      </c>
      <c r="BI155" s="3" t="str">
        <f>IF(57&gt;$C155,"",IF($D155=1,EOMONTH(EDATE(Bonds!$H155,6*(57-1)),0),EDATE(Bonds!$H155,6*(57-1))))</f>
        <v/>
      </c>
      <c r="BJ155" s="3" t="str">
        <f>IF(58&gt;$C155,"",IF($D155=1,EOMONTH(EDATE(Bonds!$H155,6*(58-1)),0),EDATE(Bonds!$H155,6*(58-1))))</f>
        <v/>
      </c>
      <c r="BK155" s="3" t="str">
        <f>IF(59&gt;$C155,"",IF($D155=1,EOMONTH(EDATE(Bonds!$H155,6*(59-1)),0),EDATE(Bonds!$H155,6*(59-1))))</f>
        <v/>
      </c>
      <c r="BL155" s="3" t="str">
        <f>IF(60&gt;$C155,"",IF($D155=1,EOMONTH(EDATE(Bonds!$H155,6*(60-1)),0),EDATE(Bonds!$H155,6*(60-1))))</f>
        <v/>
      </c>
      <c r="BN155" s="7">
        <f t="shared" si="123"/>
        <v>3.0105584144856175</v>
      </c>
      <c r="BO155" s="7">
        <f t="shared" si="124"/>
        <v>2.947100889657627</v>
      </c>
      <c r="BP155" s="7">
        <f t="shared" si="125"/>
        <v>2.8809982052519185</v>
      </c>
      <c r="BQ155" s="7">
        <f t="shared" si="126"/>
        <v>2.8159946973158618</v>
      </c>
      <c r="BR155" s="7">
        <f t="shared" si="127"/>
        <v>2.7515708565111421</v>
      </c>
      <c r="BS155" s="7">
        <f t="shared" si="128"/>
        <v>90.518145752061073</v>
      </c>
      <c r="BT155" s="7">
        <f t="shared" si="129"/>
        <v>0</v>
      </c>
      <c r="BU155" s="7">
        <f t="shared" si="130"/>
        <v>0</v>
      </c>
      <c r="BV155" s="7">
        <f t="shared" si="131"/>
        <v>0</v>
      </c>
      <c r="BW155" s="7">
        <f t="shared" si="132"/>
        <v>0</v>
      </c>
      <c r="BX155" s="7">
        <f t="shared" si="133"/>
        <v>0</v>
      </c>
      <c r="BY155" s="7">
        <f t="shared" si="134"/>
        <v>0</v>
      </c>
      <c r="BZ155" s="7">
        <f t="shared" si="135"/>
        <v>0</v>
      </c>
      <c r="CA155" s="7">
        <f t="shared" si="136"/>
        <v>0</v>
      </c>
      <c r="CB155" s="7">
        <f t="shared" si="137"/>
        <v>0</v>
      </c>
      <c r="CC155" s="7">
        <f t="shared" si="138"/>
        <v>0</v>
      </c>
      <c r="CD155" s="7">
        <f t="shared" si="139"/>
        <v>0</v>
      </c>
      <c r="CE155" s="7">
        <f t="shared" si="140"/>
        <v>0</v>
      </c>
      <c r="CF155" s="7">
        <f t="shared" si="141"/>
        <v>0</v>
      </c>
      <c r="CG155" s="7">
        <f t="shared" si="142"/>
        <v>0</v>
      </c>
      <c r="CH155" s="7">
        <f t="shared" si="143"/>
        <v>0</v>
      </c>
      <c r="CI155" s="7">
        <f t="shared" si="144"/>
        <v>0</v>
      </c>
      <c r="CJ155" s="7">
        <f t="shared" si="145"/>
        <v>0</v>
      </c>
      <c r="CK155" s="7">
        <f t="shared" si="146"/>
        <v>0</v>
      </c>
      <c r="CL155" s="7">
        <f t="shared" si="147"/>
        <v>0</v>
      </c>
      <c r="CM155" s="7">
        <f t="shared" si="148"/>
        <v>0</v>
      </c>
      <c r="CN155" s="7">
        <f t="shared" si="149"/>
        <v>0</v>
      </c>
      <c r="CO155" s="7">
        <f t="shared" si="150"/>
        <v>0</v>
      </c>
      <c r="CP155" s="7">
        <f t="shared" si="151"/>
        <v>0</v>
      </c>
      <c r="CQ155" s="7">
        <f t="shared" si="152"/>
        <v>0</v>
      </c>
      <c r="CR155" s="7">
        <f t="shared" si="153"/>
        <v>0</v>
      </c>
      <c r="CS155" s="7">
        <f t="shared" si="154"/>
        <v>0</v>
      </c>
      <c r="CT155" s="7">
        <f t="shared" si="155"/>
        <v>0</v>
      </c>
      <c r="CU155" s="7">
        <f t="shared" si="156"/>
        <v>0</v>
      </c>
      <c r="CV155" s="7">
        <f t="shared" si="157"/>
        <v>0</v>
      </c>
      <c r="CW155" s="7">
        <f t="shared" si="158"/>
        <v>0</v>
      </c>
      <c r="CX155" s="7">
        <f t="shared" si="159"/>
        <v>0</v>
      </c>
      <c r="CY155" s="7">
        <f t="shared" si="160"/>
        <v>0</v>
      </c>
      <c r="CZ155" s="7">
        <f t="shared" si="161"/>
        <v>0</v>
      </c>
      <c r="DA155" s="7">
        <f t="shared" si="162"/>
        <v>0</v>
      </c>
      <c r="DB155" s="7">
        <f t="shared" si="163"/>
        <v>0</v>
      </c>
      <c r="DC155" s="7">
        <f t="shared" si="164"/>
        <v>0</v>
      </c>
      <c r="DD155" s="7">
        <f t="shared" si="165"/>
        <v>0</v>
      </c>
      <c r="DE155" s="7">
        <f t="shared" si="166"/>
        <v>0</v>
      </c>
      <c r="DF155" s="7">
        <f t="shared" si="167"/>
        <v>0</v>
      </c>
      <c r="DG155" s="7">
        <f t="shared" si="168"/>
        <v>0</v>
      </c>
      <c r="DH155" s="7">
        <f t="shared" si="169"/>
        <v>0</v>
      </c>
      <c r="DI155" s="7">
        <f t="shared" si="170"/>
        <v>0</v>
      </c>
      <c r="DJ155" s="7">
        <f t="shared" si="171"/>
        <v>0</v>
      </c>
      <c r="DK155" s="7">
        <f t="shared" si="172"/>
        <v>0</v>
      </c>
      <c r="DL155" s="7">
        <f t="shared" si="173"/>
        <v>0</v>
      </c>
      <c r="DM155" s="7">
        <f t="shared" si="174"/>
        <v>0</v>
      </c>
      <c r="DN155" s="7">
        <f t="shared" si="175"/>
        <v>0</v>
      </c>
      <c r="DO155" s="7">
        <f t="shared" si="176"/>
        <v>0</v>
      </c>
      <c r="DP155" s="7">
        <f t="shared" si="177"/>
        <v>0</v>
      </c>
      <c r="DQ155" s="7">
        <f t="shared" si="178"/>
        <v>0</v>
      </c>
      <c r="DR155" s="7">
        <f t="shared" si="179"/>
        <v>0</v>
      </c>
      <c r="DS155" s="7">
        <f t="shared" si="180"/>
        <v>0</v>
      </c>
      <c r="DT155" s="7">
        <f t="shared" si="181"/>
        <v>0</v>
      </c>
      <c r="DU155" s="7">
        <f t="shared" si="182"/>
        <v>0</v>
      </c>
    </row>
    <row r="156" spans="1:125" x14ac:dyDescent="0.2">
      <c r="A156" s="3">
        <f>Bonds!A156</f>
        <v>47361</v>
      </c>
      <c r="B156" s="4">
        <f>Bonds!B156</f>
        <v>3.125</v>
      </c>
      <c r="C156">
        <f>Bonds!P156</f>
        <v>6</v>
      </c>
      <c r="D156">
        <f t="shared" si="122"/>
        <v>1</v>
      </c>
      <c r="E156" s="3">
        <f>IF(1&gt;$C156,"",IF($D156=1,EOMONTH(EDATE(Bonds!$H156,6*(1-1)),0),EDATE(Bonds!$H156,6*(1-1))))</f>
        <v>46446</v>
      </c>
      <c r="F156" s="3">
        <f>IF(2&gt;$C156,"",IF($D156=1,EOMONTH(EDATE(Bonds!$H156,6*(2-1)),0),EDATE(Bonds!$H156,6*(2-1))))</f>
        <v>46630</v>
      </c>
      <c r="G156" s="3">
        <f>IF(3&gt;$C156,"",IF($D156=1,EOMONTH(EDATE(Bonds!$H156,6*(3-1)),0),EDATE(Bonds!$H156,6*(3-1))))</f>
        <v>46812</v>
      </c>
      <c r="H156" s="3">
        <f>IF(4&gt;$C156,"",IF($D156=1,EOMONTH(EDATE(Bonds!$H156,6*(4-1)),0),EDATE(Bonds!$H156,6*(4-1))))</f>
        <v>46996</v>
      </c>
      <c r="I156" s="3">
        <f>IF(5&gt;$C156,"",IF($D156=1,EOMONTH(EDATE(Bonds!$H156,6*(5-1)),0),EDATE(Bonds!$H156,6*(5-1))))</f>
        <v>47177</v>
      </c>
      <c r="J156" s="3">
        <f>IF(6&gt;$C156,"",IF($D156=1,EOMONTH(EDATE(Bonds!$H156,6*(6-1)),0),EDATE(Bonds!$H156,6*(6-1))))</f>
        <v>47361</v>
      </c>
      <c r="K156" s="3" t="str">
        <f>IF(7&gt;$C156,"",IF($D156=1,EOMONTH(EDATE(Bonds!$H156,6*(7-1)),0),EDATE(Bonds!$H156,6*(7-1))))</f>
        <v/>
      </c>
      <c r="L156" s="3" t="str">
        <f>IF(8&gt;$C156,"",IF($D156=1,EOMONTH(EDATE(Bonds!$H156,6*(8-1)),0),EDATE(Bonds!$H156,6*(8-1))))</f>
        <v/>
      </c>
      <c r="M156" s="3" t="str">
        <f>IF(9&gt;$C156,"",IF($D156=1,EOMONTH(EDATE(Bonds!$H156,6*(9-1)),0),EDATE(Bonds!$H156,6*(9-1))))</f>
        <v/>
      </c>
      <c r="N156" s="3" t="str">
        <f>IF(10&gt;$C156,"",IF($D156=1,EOMONTH(EDATE(Bonds!$H156,6*(10-1)),0),EDATE(Bonds!$H156,6*(10-1))))</f>
        <v/>
      </c>
      <c r="O156" s="3" t="str">
        <f>IF(11&gt;$C156,"",IF($D156=1,EOMONTH(EDATE(Bonds!$H156,6*(11-1)),0),EDATE(Bonds!$H156,6*(11-1))))</f>
        <v/>
      </c>
      <c r="P156" s="3" t="str">
        <f>IF(12&gt;$C156,"",IF($D156=1,EOMONTH(EDATE(Bonds!$H156,6*(12-1)),0),EDATE(Bonds!$H156,6*(12-1))))</f>
        <v/>
      </c>
      <c r="Q156" s="3" t="str">
        <f>IF(13&gt;$C156,"",IF($D156=1,EOMONTH(EDATE(Bonds!$H156,6*(13-1)),0),EDATE(Bonds!$H156,6*(13-1))))</f>
        <v/>
      </c>
      <c r="R156" s="3" t="str">
        <f>IF(14&gt;$C156,"",IF($D156=1,EOMONTH(EDATE(Bonds!$H156,6*(14-1)),0),EDATE(Bonds!$H156,6*(14-1))))</f>
        <v/>
      </c>
      <c r="S156" s="3" t="str">
        <f>IF(15&gt;$C156,"",IF($D156=1,EOMONTH(EDATE(Bonds!$H156,6*(15-1)),0),EDATE(Bonds!$H156,6*(15-1))))</f>
        <v/>
      </c>
      <c r="T156" s="3" t="str">
        <f>IF(16&gt;$C156,"",IF($D156=1,EOMONTH(EDATE(Bonds!$H156,6*(16-1)),0),EDATE(Bonds!$H156,6*(16-1))))</f>
        <v/>
      </c>
      <c r="U156" s="3" t="str">
        <f>IF(17&gt;$C156,"",IF($D156=1,EOMONTH(EDATE(Bonds!$H156,6*(17-1)),0),EDATE(Bonds!$H156,6*(17-1))))</f>
        <v/>
      </c>
      <c r="V156" s="3" t="str">
        <f>IF(18&gt;$C156,"",IF($D156=1,EOMONTH(EDATE(Bonds!$H156,6*(18-1)),0),EDATE(Bonds!$H156,6*(18-1))))</f>
        <v/>
      </c>
      <c r="W156" s="3" t="str">
        <f>IF(19&gt;$C156,"",IF($D156=1,EOMONTH(EDATE(Bonds!$H156,6*(19-1)),0),EDATE(Bonds!$H156,6*(19-1))))</f>
        <v/>
      </c>
      <c r="X156" s="3" t="str">
        <f>IF(20&gt;$C156,"",IF($D156=1,EOMONTH(EDATE(Bonds!$H156,6*(20-1)),0),EDATE(Bonds!$H156,6*(20-1))))</f>
        <v/>
      </c>
      <c r="Y156" s="3" t="str">
        <f>IF(21&gt;$C156,"",IF($D156=1,EOMONTH(EDATE(Bonds!$H156,6*(21-1)),0),EDATE(Bonds!$H156,6*(21-1))))</f>
        <v/>
      </c>
      <c r="Z156" s="3" t="str">
        <f>IF(22&gt;$C156,"",IF($D156=1,EOMONTH(EDATE(Bonds!$H156,6*(22-1)),0),EDATE(Bonds!$H156,6*(22-1))))</f>
        <v/>
      </c>
      <c r="AA156" s="3" t="str">
        <f>IF(23&gt;$C156,"",IF($D156=1,EOMONTH(EDATE(Bonds!$H156,6*(23-1)),0),EDATE(Bonds!$H156,6*(23-1))))</f>
        <v/>
      </c>
      <c r="AB156" s="3" t="str">
        <f>IF(24&gt;$C156,"",IF($D156=1,EOMONTH(EDATE(Bonds!$H156,6*(24-1)),0),EDATE(Bonds!$H156,6*(24-1))))</f>
        <v/>
      </c>
      <c r="AC156" s="3" t="str">
        <f>IF(25&gt;$C156,"",IF($D156=1,EOMONTH(EDATE(Bonds!$H156,6*(25-1)),0),EDATE(Bonds!$H156,6*(25-1))))</f>
        <v/>
      </c>
      <c r="AD156" s="3" t="str">
        <f>IF(26&gt;$C156,"",IF($D156=1,EOMONTH(EDATE(Bonds!$H156,6*(26-1)),0),EDATE(Bonds!$H156,6*(26-1))))</f>
        <v/>
      </c>
      <c r="AE156" s="3" t="str">
        <f>IF(27&gt;$C156,"",IF($D156=1,EOMONTH(EDATE(Bonds!$H156,6*(27-1)),0),EDATE(Bonds!$H156,6*(27-1))))</f>
        <v/>
      </c>
      <c r="AF156" s="3" t="str">
        <f>IF(28&gt;$C156,"",IF($D156=1,EOMONTH(EDATE(Bonds!$H156,6*(28-1)),0),EDATE(Bonds!$H156,6*(28-1))))</f>
        <v/>
      </c>
      <c r="AG156" s="3" t="str">
        <f>IF(29&gt;$C156,"",IF($D156=1,EOMONTH(EDATE(Bonds!$H156,6*(29-1)),0),EDATE(Bonds!$H156,6*(29-1))))</f>
        <v/>
      </c>
      <c r="AH156" s="3" t="str">
        <f>IF(30&gt;$C156,"",IF($D156=1,EOMONTH(EDATE(Bonds!$H156,6*(30-1)),0),EDATE(Bonds!$H156,6*(30-1))))</f>
        <v/>
      </c>
      <c r="AI156" s="3" t="str">
        <f>IF(31&gt;$C156,"",IF($D156=1,EOMONTH(EDATE(Bonds!$H156,6*(31-1)),0),EDATE(Bonds!$H156,6*(31-1))))</f>
        <v/>
      </c>
      <c r="AJ156" s="3" t="str">
        <f>IF(32&gt;$C156,"",IF($D156=1,EOMONTH(EDATE(Bonds!$H156,6*(32-1)),0),EDATE(Bonds!$H156,6*(32-1))))</f>
        <v/>
      </c>
      <c r="AK156" s="3" t="str">
        <f>IF(33&gt;$C156,"",IF($D156=1,EOMONTH(EDATE(Bonds!$H156,6*(33-1)),0),EDATE(Bonds!$H156,6*(33-1))))</f>
        <v/>
      </c>
      <c r="AL156" s="3" t="str">
        <f>IF(34&gt;$C156,"",IF($D156=1,EOMONTH(EDATE(Bonds!$H156,6*(34-1)),0),EDATE(Bonds!$H156,6*(34-1))))</f>
        <v/>
      </c>
      <c r="AM156" s="3" t="str">
        <f>IF(35&gt;$C156,"",IF($D156=1,EOMONTH(EDATE(Bonds!$H156,6*(35-1)),0),EDATE(Bonds!$H156,6*(35-1))))</f>
        <v/>
      </c>
      <c r="AN156" s="3" t="str">
        <f>IF(36&gt;$C156,"",IF($D156=1,EOMONTH(EDATE(Bonds!$H156,6*(36-1)),0),EDATE(Bonds!$H156,6*(36-1))))</f>
        <v/>
      </c>
      <c r="AO156" s="3" t="str">
        <f>IF(37&gt;$C156,"",IF($D156=1,EOMONTH(EDATE(Bonds!$H156,6*(37-1)),0),EDATE(Bonds!$H156,6*(37-1))))</f>
        <v/>
      </c>
      <c r="AP156" s="3" t="str">
        <f>IF(38&gt;$C156,"",IF($D156=1,EOMONTH(EDATE(Bonds!$H156,6*(38-1)),0),EDATE(Bonds!$H156,6*(38-1))))</f>
        <v/>
      </c>
      <c r="AQ156" s="3" t="str">
        <f>IF(39&gt;$C156,"",IF($D156=1,EOMONTH(EDATE(Bonds!$H156,6*(39-1)),0),EDATE(Bonds!$H156,6*(39-1))))</f>
        <v/>
      </c>
      <c r="AR156" s="3" t="str">
        <f>IF(40&gt;$C156,"",IF($D156=1,EOMONTH(EDATE(Bonds!$H156,6*(40-1)),0),EDATE(Bonds!$H156,6*(40-1))))</f>
        <v/>
      </c>
      <c r="AS156" s="3" t="str">
        <f>IF(41&gt;$C156,"",IF($D156=1,EOMONTH(EDATE(Bonds!$H156,6*(41-1)),0),EDATE(Bonds!$H156,6*(41-1))))</f>
        <v/>
      </c>
      <c r="AT156" s="3" t="str">
        <f>IF(42&gt;$C156,"",IF($D156=1,EOMONTH(EDATE(Bonds!$H156,6*(42-1)),0),EDATE(Bonds!$H156,6*(42-1))))</f>
        <v/>
      </c>
      <c r="AU156" s="3" t="str">
        <f>IF(43&gt;$C156,"",IF($D156=1,EOMONTH(EDATE(Bonds!$H156,6*(43-1)),0),EDATE(Bonds!$H156,6*(43-1))))</f>
        <v/>
      </c>
      <c r="AV156" s="3" t="str">
        <f>IF(44&gt;$C156,"",IF($D156=1,EOMONTH(EDATE(Bonds!$H156,6*(44-1)),0),EDATE(Bonds!$H156,6*(44-1))))</f>
        <v/>
      </c>
      <c r="AW156" s="3" t="str">
        <f>IF(45&gt;$C156,"",IF($D156=1,EOMONTH(EDATE(Bonds!$H156,6*(45-1)),0),EDATE(Bonds!$H156,6*(45-1))))</f>
        <v/>
      </c>
      <c r="AX156" s="3" t="str">
        <f>IF(46&gt;$C156,"",IF($D156=1,EOMONTH(EDATE(Bonds!$H156,6*(46-1)),0),EDATE(Bonds!$H156,6*(46-1))))</f>
        <v/>
      </c>
      <c r="AY156" s="3" t="str">
        <f>IF(47&gt;$C156,"",IF($D156=1,EOMONTH(EDATE(Bonds!$H156,6*(47-1)),0),EDATE(Bonds!$H156,6*(47-1))))</f>
        <v/>
      </c>
      <c r="AZ156" s="3" t="str">
        <f>IF(48&gt;$C156,"",IF($D156=1,EOMONTH(EDATE(Bonds!$H156,6*(48-1)),0),EDATE(Bonds!$H156,6*(48-1))))</f>
        <v/>
      </c>
      <c r="BA156" s="3" t="str">
        <f>IF(49&gt;$C156,"",IF($D156=1,EOMONTH(EDATE(Bonds!$H156,6*(49-1)),0),EDATE(Bonds!$H156,6*(49-1))))</f>
        <v/>
      </c>
      <c r="BB156" s="3" t="str">
        <f>IF(50&gt;$C156,"",IF($D156=1,EOMONTH(EDATE(Bonds!$H156,6*(50-1)),0),EDATE(Bonds!$H156,6*(50-1))))</f>
        <v/>
      </c>
      <c r="BC156" s="3" t="str">
        <f>IF(51&gt;$C156,"",IF($D156=1,EOMONTH(EDATE(Bonds!$H156,6*(51-1)),0),EDATE(Bonds!$H156,6*(51-1))))</f>
        <v/>
      </c>
      <c r="BD156" s="3" t="str">
        <f>IF(52&gt;$C156,"",IF($D156=1,EOMONTH(EDATE(Bonds!$H156,6*(52-1)),0),EDATE(Bonds!$H156,6*(52-1))))</f>
        <v/>
      </c>
      <c r="BE156" s="3" t="str">
        <f>IF(53&gt;$C156,"",IF($D156=1,EOMONTH(EDATE(Bonds!$H156,6*(53-1)),0),EDATE(Bonds!$H156,6*(53-1))))</f>
        <v/>
      </c>
      <c r="BF156" s="3" t="str">
        <f>IF(54&gt;$C156,"",IF($D156=1,EOMONTH(EDATE(Bonds!$H156,6*(54-1)),0),EDATE(Bonds!$H156,6*(54-1))))</f>
        <v/>
      </c>
      <c r="BG156" s="3" t="str">
        <f>IF(55&gt;$C156,"",IF($D156=1,EOMONTH(EDATE(Bonds!$H156,6*(55-1)),0),EDATE(Bonds!$H156,6*(55-1))))</f>
        <v/>
      </c>
      <c r="BH156" s="3" t="str">
        <f>IF(56&gt;$C156,"",IF($D156=1,EOMONTH(EDATE(Bonds!$H156,6*(56-1)),0),EDATE(Bonds!$H156,6*(56-1))))</f>
        <v/>
      </c>
      <c r="BI156" s="3" t="str">
        <f>IF(57&gt;$C156,"",IF($D156=1,EOMONTH(EDATE(Bonds!$H156,6*(57-1)),0),EDATE(Bonds!$H156,6*(57-1))))</f>
        <v/>
      </c>
      <c r="BJ156" s="3" t="str">
        <f>IF(58&gt;$C156,"",IF($D156=1,EOMONTH(EDATE(Bonds!$H156,6*(58-1)),0),EDATE(Bonds!$H156,6*(58-1))))</f>
        <v/>
      </c>
      <c r="BK156" s="3" t="str">
        <f>IF(59&gt;$C156,"",IF($D156=1,EOMONTH(EDATE(Bonds!$H156,6*(59-1)),0),EDATE(Bonds!$H156,6*(59-1))))</f>
        <v/>
      </c>
      <c r="BL156" s="3" t="str">
        <f>IF(60&gt;$C156,"",IF($D156=1,EOMONTH(EDATE(Bonds!$H156,6*(60-1)),0),EDATE(Bonds!$H156,6*(60-1))))</f>
        <v/>
      </c>
      <c r="BN156" s="7">
        <f t="shared" si="123"/>
        <v>1.5337336954049812</v>
      </c>
      <c r="BO156" s="7">
        <f t="shared" si="124"/>
        <v>1.500703199675175</v>
      </c>
      <c r="BP156" s="7">
        <f t="shared" si="125"/>
        <v>1.4673305652130553</v>
      </c>
      <c r="BQ156" s="7">
        <f t="shared" si="126"/>
        <v>1.4338436903780474</v>
      </c>
      <c r="BR156" s="7">
        <f t="shared" si="127"/>
        <v>1.4015705936403549</v>
      </c>
      <c r="BS156" s="7">
        <f t="shared" si="128"/>
        <v>89.021921459209608</v>
      </c>
      <c r="BT156" s="7">
        <f t="shared" si="129"/>
        <v>0</v>
      </c>
      <c r="BU156" s="7">
        <f t="shared" si="130"/>
        <v>0</v>
      </c>
      <c r="BV156" s="7">
        <f t="shared" si="131"/>
        <v>0</v>
      </c>
      <c r="BW156" s="7">
        <f t="shared" si="132"/>
        <v>0</v>
      </c>
      <c r="BX156" s="7">
        <f t="shared" si="133"/>
        <v>0</v>
      </c>
      <c r="BY156" s="7">
        <f t="shared" si="134"/>
        <v>0</v>
      </c>
      <c r="BZ156" s="7">
        <f t="shared" si="135"/>
        <v>0</v>
      </c>
      <c r="CA156" s="7">
        <f t="shared" si="136"/>
        <v>0</v>
      </c>
      <c r="CB156" s="7">
        <f t="shared" si="137"/>
        <v>0</v>
      </c>
      <c r="CC156" s="7">
        <f t="shared" si="138"/>
        <v>0</v>
      </c>
      <c r="CD156" s="7">
        <f t="shared" si="139"/>
        <v>0</v>
      </c>
      <c r="CE156" s="7">
        <f t="shared" si="140"/>
        <v>0</v>
      </c>
      <c r="CF156" s="7">
        <f t="shared" si="141"/>
        <v>0</v>
      </c>
      <c r="CG156" s="7">
        <f t="shared" si="142"/>
        <v>0</v>
      </c>
      <c r="CH156" s="7">
        <f t="shared" si="143"/>
        <v>0</v>
      </c>
      <c r="CI156" s="7">
        <f t="shared" si="144"/>
        <v>0</v>
      </c>
      <c r="CJ156" s="7">
        <f t="shared" si="145"/>
        <v>0</v>
      </c>
      <c r="CK156" s="7">
        <f t="shared" si="146"/>
        <v>0</v>
      </c>
      <c r="CL156" s="7">
        <f t="shared" si="147"/>
        <v>0</v>
      </c>
      <c r="CM156" s="7">
        <f t="shared" si="148"/>
        <v>0</v>
      </c>
      <c r="CN156" s="7">
        <f t="shared" si="149"/>
        <v>0</v>
      </c>
      <c r="CO156" s="7">
        <f t="shared" si="150"/>
        <v>0</v>
      </c>
      <c r="CP156" s="7">
        <f t="shared" si="151"/>
        <v>0</v>
      </c>
      <c r="CQ156" s="7">
        <f t="shared" si="152"/>
        <v>0</v>
      </c>
      <c r="CR156" s="7">
        <f t="shared" si="153"/>
        <v>0</v>
      </c>
      <c r="CS156" s="7">
        <f t="shared" si="154"/>
        <v>0</v>
      </c>
      <c r="CT156" s="7">
        <f t="shared" si="155"/>
        <v>0</v>
      </c>
      <c r="CU156" s="7">
        <f t="shared" si="156"/>
        <v>0</v>
      </c>
      <c r="CV156" s="7">
        <f t="shared" si="157"/>
        <v>0</v>
      </c>
      <c r="CW156" s="7">
        <f t="shared" si="158"/>
        <v>0</v>
      </c>
      <c r="CX156" s="7">
        <f t="shared" si="159"/>
        <v>0</v>
      </c>
      <c r="CY156" s="7">
        <f t="shared" si="160"/>
        <v>0</v>
      </c>
      <c r="CZ156" s="7">
        <f t="shared" si="161"/>
        <v>0</v>
      </c>
      <c r="DA156" s="7">
        <f t="shared" si="162"/>
        <v>0</v>
      </c>
      <c r="DB156" s="7">
        <f t="shared" si="163"/>
        <v>0</v>
      </c>
      <c r="DC156" s="7">
        <f t="shared" si="164"/>
        <v>0</v>
      </c>
      <c r="DD156" s="7">
        <f t="shared" si="165"/>
        <v>0</v>
      </c>
      <c r="DE156" s="7">
        <f t="shared" si="166"/>
        <v>0</v>
      </c>
      <c r="DF156" s="7">
        <f t="shared" si="167"/>
        <v>0</v>
      </c>
      <c r="DG156" s="7">
        <f t="shared" si="168"/>
        <v>0</v>
      </c>
      <c r="DH156" s="7">
        <f t="shared" si="169"/>
        <v>0</v>
      </c>
      <c r="DI156" s="7">
        <f t="shared" si="170"/>
        <v>0</v>
      </c>
      <c r="DJ156" s="7">
        <f t="shared" si="171"/>
        <v>0</v>
      </c>
      <c r="DK156" s="7">
        <f t="shared" si="172"/>
        <v>0</v>
      </c>
      <c r="DL156" s="7">
        <f t="shared" si="173"/>
        <v>0</v>
      </c>
      <c r="DM156" s="7">
        <f t="shared" si="174"/>
        <v>0</v>
      </c>
      <c r="DN156" s="7">
        <f t="shared" si="175"/>
        <v>0</v>
      </c>
      <c r="DO156" s="7">
        <f t="shared" si="176"/>
        <v>0</v>
      </c>
      <c r="DP156" s="7">
        <f t="shared" si="177"/>
        <v>0</v>
      </c>
      <c r="DQ156" s="7">
        <f t="shared" si="178"/>
        <v>0</v>
      </c>
      <c r="DR156" s="7">
        <f t="shared" si="179"/>
        <v>0</v>
      </c>
      <c r="DS156" s="7">
        <f t="shared" si="180"/>
        <v>0</v>
      </c>
      <c r="DT156" s="7">
        <f t="shared" si="181"/>
        <v>0</v>
      </c>
      <c r="DU156" s="7">
        <f t="shared" si="182"/>
        <v>0</v>
      </c>
    </row>
    <row r="157" spans="1:125" x14ac:dyDescent="0.2">
      <c r="A157" s="3">
        <f>Bonds!A157</f>
        <v>47361</v>
      </c>
      <c r="B157" s="4">
        <f>Bonds!B157</f>
        <v>3.625</v>
      </c>
      <c r="C157">
        <f>Bonds!P157</f>
        <v>6</v>
      </c>
      <c r="D157">
        <f t="shared" si="122"/>
        <v>1</v>
      </c>
      <c r="E157" s="3">
        <f>IF(1&gt;$C157,"",IF($D157=1,EOMONTH(EDATE(Bonds!$H157,6*(1-1)),0),EDATE(Bonds!$H157,6*(1-1))))</f>
        <v>46446</v>
      </c>
      <c r="F157" s="3">
        <f>IF(2&gt;$C157,"",IF($D157=1,EOMONTH(EDATE(Bonds!$H157,6*(2-1)),0),EDATE(Bonds!$H157,6*(2-1))))</f>
        <v>46630</v>
      </c>
      <c r="G157" s="3">
        <f>IF(3&gt;$C157,"",IF($D157=1,EOMONTH(EDATE(Bonds!$H157,6*(3-1)),0),EDATE(Bonds!$H157,6*(3-1))))</f>
        <v>46812</v>
      </c>
      <c r="H157" s="3">
        <f>IF(4&gt;$C157,"",IF($D157=1,EOMONTH(EDATE(Bonds!$H157,6*(4-1)),0),EDATE(Bonds!$H157,6*(4-1))))</f>
        <v>46996</v>
      </c>
      <c r="I157" s="3">
        <f>IF(5&gt;$C157,"",IF($D157=1,EOMONTH(EDATE(Bonds!$H157,6*(5-1)),0),EDATE(Bonds!$H157,6*(5-1))))</f>
        <v>47177</v>
      </c>
      <c r="J157" s="3">
        <f>IF(6&gt;$C157,"",IF($D157=1,EOMONTH(EDATE(Bonds!$H157,6*(6-1)),0),EDATE(Bonds!$H157,6*(6-1))))</f>
        <v>47361</v>
      </c>
      <c r="K157" s="3" t="str">
        <f>IF(7&gt;$C157,"",IF($D157=1,EOMONTH(EDATE(Bonds!$H157,6*(7-1)),0),EDATE(Bonds!$H157,6*(7-1))))</f>
        <v/>
      </c>
      <c r="L157" s="3" t="str">
        <f>IF(8&gt;$C157,"",IF($D157=1,EOMONTH(EDATE(Bonds!$H157,6*(8-1)),0),EDATE(Bonds!$H157,6*(8-1))))</f>
        <v/>
      </c>
      <c r="M157" s="3" t="str">
        <f>IF(9&gt;$C157,"",IF($D157=1,EOMONTH(EDATE(Bonds!$H157,6*(9-1)),0),EDATE(Bonds!$H157,6*(9-1))))</f>
        <v/>
      </c>
      <c r="N157" s="3" t="str">
        <f>IF(10&gt;$C157,"",IF($D157=1,EOMONTH(EDATE(Bonds!$H157,6*(10-1)),0),EDATE(Bonds!$H157,6*(10-1))))</f>
        <v/>
      </c>
      <c r="O157" s="3" t="str">
        <f>IF(11&gt;$C157,"",IF($D157=1,EOMONTH(EDATE(Bonds!$H157,6*(11-1)),0),EDATE(Bonds!$H157,6*(11-1))))</f>
        <v/>
      </c>
      <c r="P157" s="3" t="str">
        <f>IF(12&gt;$C157,"",IF($D157=1,EOMONTH(EDATE(Bonds!$H157,6*(12-1)),0),EDATE(Bonds!$H157,6*(12-1))))</f>
        <v/>
      </c>
      <c r="Q157" s="3" t="str">
        <f>IF(13&gt;$C157,"",IF($D157=1,EOMONTH(EDATE(Bonds!$H157,6*(13-1)),0),EDATE(Bonds!$H157,6*(13-1))))</f>
        <v/>
      </c>
      <c r="R157" s="3" t="str">
        <f>IF(14&gt;$C157,"",IF($D157=1,EOMONTH(EDATE(Bonds!$H157,6*(14-1)),0),EDATE(Bonds!$H157,6*(14-1))))</f>
        <v/>
      </c>
      <c r="S157" s="3" t="str">
        <f>IF(15&gt;$C157,"",IF($D157=1,EOMONTH(EDATE(Bonds!$H157,6*(15-1)),0),EDATE(Bonds!$H157,6*(15-1))))</f>
        <v/>
      </c>
      <c r="T157" s="3" t="str">
        <f>IF(16&gt;$C157,"",IF($D157=1,EOMONTH(EDATE(Bonds!$H157,6*(16-1)),0),EDATE(Bonds!$H157,6*(16-1))))</f>
        <v/>
      </c>
      <c r="U157" s="3" t="str">
        <f>IF(17&gt;$C157,"",IF($D157=1,EOMONTH(EDATE(Bonds!$H157,6*(17-1)),0),EDATE(Bonds!$H157,6*(17-1))))</f>
        <v/>
      </c>
      <c r="V157" s="3" t="str">
        <f>IF(18&gt;$C157,"",IF($D157=1,EOMONTH(EDATE(Bonds!$H157,6*(18-1)),0),EDATE(Bonds!$H157,6*(18-1))))</f>
        <v/>
      </c>
      <c r="W157" s="3" t="str">
        <f>IF(19&gt;$C157,"",IF($D157=1,EOMONTH(EDATE(Bonds!$H157,6*(19-1)),0),EDATE(Bonds!$H157,6*(19-1))))</f>
        <v/>
      </c>
      <c r="X157" s="3" t="str">
        <f>IF(20&gt;$C157,"",IF($D157=1,EOMONTH(EDATE(Bonds!$H157,6*(20-1)),0),EDATE(Bonds!$H157,6*(20-1))))</f>
        <v/>
      </c>
      <c r="Y157" s="3" t="str">
        <f>IF(21&gt;$C157,"",IF($D157=1,EOMONTH(EDATE(Bonds!$H157,6*(21-1)),0),EDATE(Bonds!$H157,6*(21-1))))</f>
        <v/>
      </c>
      <c r="Z157" s="3" t="str">
        <f>IF(22&gt;$C157,"",IF($D157=1,EOMONTH(EDATE(Bonds!$H157,6*(22-1)),0),EDATE(Bonds!$H157,6*(22-1))))</f>
        <v/>
      </c>
      <c r="AA157" s="3" t="str">
        <f>IF(23&gt;$C157,"",IF($D157=1,EOMONTH(EDATE(Bonds!$H157,6*(23-1)),0),EDATE(Bonds!$H157,6*(23-1))))</f>
        <v/>
      </c>
      <c r="AB157" s="3" t="str">
        <f>IF(24&gt;$C157,"",IF($D157=1,EOMONTH(EDATE(Bonds!$H157,6*(24-1)),0),EDATE(Bonds!$H157,6*(24-1))))</f>
        <v/>
      </c>
      <c r="AC157" s="3" t="str">
        <f>IF(25&gt;$C157,"",IF($D157=1,EOMONTH(EDATE(Bonds!$H157,6*(25-1)),0),EDATE(Bonds!$H157,6*(25-1))))</f>
        <v/>
      </c>
      <c r="AD157" s="3" t="str">
        <f>IF(26&gt;$C157,"",IF($D157=1,EOMONTH(EDATE(Bonds!$H157,6*(26-1)),0),EDATE(Bonds!$H157,6*(26-1))))</f>
        <v/>
      </c>
      <c r="AE157" s="3" t="str">
        <f>IF(27&gt;$C157,"",IF($D157=1,EOMONTH(EDATE(Bonds!$H157,6*(27-1)),0),EDATE(Bonds!$H157,6*(27-1))))</f>
        <v/>
      </c>
      <c r="AF157" s="3" t="str">
        <f>IF(28&gt;$C157,"",IF($D157=1,EOMONTH(EDATE(Bonds!$H157,6*(28-1)),0),EDATE(Bonds!$H157,6*(28-1))))</f>
        <v/>
      </c>
      <c r="AG157" s="3" t="str">
        <f>IF(29&gt;$C157,"",IF($D157=1,EOMONTH(EDATE(Bonds!$H157,6*(29-1)),0),EDATE(Bonds!$H157,6*(29-1))))</f>
        <v/>
      </c>
      <c r="AH157" s="3" t="str">
        <f>IF(30&gt;$C157,"",IF($D157=1,EOMONTH(EDATE(Bonds!$H157,6*(30-1)),0),EDATE(Bonds!$H157,6*(30-1))))</f>
        <v/>
      </c>
      <c r="AI157" s="3" t="str">
        <f>IF(31&gt;$C157,"",IF($D157=1,EOMONTH(EDATE(Bonds!$H157,6*(31-1)),0),EDATE(Bonds!$H157,6*(31-1))))</f>
        <v/>
      </c>
      <c r="AJ157" s="3" t="str">
        <f>IF(32&gt;$C157,"",IF($D157=1,EOMONTH(EDATE(Bonds!$H157,6*(32-1)),0),EDATE(Bonds!$H157,6*(32-1))))</f>
        <v/>
      </c>
      <c r="AK157" s="3" t="str">
        <f>IF(33&gt;$C157,"",IF($D157=1,EOMONTH(EDATE(Bonds!$H157,6*(33-1)),0),EDATE(Bonds!$H157,6*(33-1))))</f>
        <v/>
      </c>
      <c r="AL157" s="3" t="str">
        <f>IF(34&gt;$C157,"",IF($D157=1,EOMONTH(EDATE(Bonds!$H157,6*(34-1)),0),EDATE(Bonds!$H157,6*(34-1))))</f>
        <v/>
      </c>
      <c r="AM157" s="3" t="str">
        <f>IF(35&gt;$C157,"",IF($D157=1,EOMONTH(EDATE(Bonds!$H157,6*(35-1)),0),EDATE(Bonds!$H157,6*(35-1))))</f>
        <v/>
      </c>
      <c r="AN157" s="3" t="str">
        <f>IF(36&gt;$C157,"",IF($D157=1,EOMONTH(EDATE(Bonds!$H157,6*(36-1)),0),EDATE(Bonds!$H157,6*(36-1))))</f>
        <v/>
      </c>
      <c r="AO157" s="3" t="str">
        <f>IF(37&gt;$C157,"",IF($D157=1,EOMONTH(EDATE(Bonds!$H157,6*(37-1)),0),EDATE(Bonds!$H157,6*(37-1))))</f>
        <v/>
      </c>
      <c r="AP157" s="3" t="str">
        <f>IF(38&gt;$C157,"",IF($D157=1,EOMONTH(EDATE(Bonds!$H157,6*(38-1)),0),EDATE(Bonds!$H157,6*(38-1))))</f>
        <v/>
      </c>
      <c r="AQ157" s="3" t="str">
        <f>IF(39&gt;$C157,"",IF($D157=1,EOMONTH(EDATE(Bonds!$H157,6*(39-1)),0),EDATE(Bonds!$H157,6*(39-1))))</f>
        <v/>
      </c>
      <c r="AR157" s="3" t="str">
        <f>IF(40&gt;$C157,"",IF($D157=1,EOMONTH(EDATE(Bonds!$H157,6*(40-1)),0),EDATE(Bonds!$H157,6*(40-1))))</f>
        <v/>
      </c>
      <c r="AS157" s="3" t="str">
        <f>IF(41&gt;$C157,"",IF($D157=1,EOMONTH(EDATE(Bonds!$H157,6*(41-1)),0),EDATE(Bonds!$H157,6*(41-1))))</f>
        <v/>
      </c>
      <c r="AT157" s="3" t="str">
        <f>IF(42&gt;$C157,"",IF($D157=1,EOMONTH(EDATE(Bonds!$H157,6*(42-1)),0),EDATE(Bonds!$H157,6*(42-1))))</f>
        <v/>
      </c>
      <c r="AU157" s="3" t="str">
        <f>IF(43&gt;$C157,"",IF($D157=1,EOMONTH(EDATE(Bonds!$H157,6*(43-1)),0),EDATE(Bonds!$H157,6*(43-1))))</f>
        <v/>
      </c>
      <c r="AV157" s="3" t="str">
        <f>IF(44&gt;$C157,"",IF($D157=1,EOMONTH(EDATE(Bonds!$H157,6*(44-1)),0),EDATE(Bonds!$H157,6*(44-1))))</f>
        <v/>
      </c>
      <c r="AW157" s="3" t="str">
        <f>IF(45&gt;$C157,"",IF($D157=1,EOMONTH(EDATE(Bonds!$H157,6*(45-1)),0),EDATE(Bonds!$H157,6*(45-1))))</f>
        <v/>
      </c>
      <c r="AX157" s="3" t="str">
        <f>IF(46&gt;$C157,"",IF($D157=1,EOMONTH(EDATE(Bonds!$H157,6*(46-1)),0),EDATE(Bonds!$H157,6*(46-1))))</f>
        <v/>
      </c>
      <c r="AY157" s="3" t="str">
        <f>IF(47&gt;$C157,"",IF($D157=1,EOMONTH(EDATE(Bonds!$H157,6*(47-1)),0),EDATE(Bonds!$H157,6*(47-1))))</f>
        <v/>
      </c>
      <c r="AZ157" s="3" t="str">
        <f>IF(48&gt;$C157,"",IF($D157=1,EOMONTH(EDATE(Bonds!$H157,6*(48-1)),0),EDATE(Bonds!$H157,6*(48-1))))</f>
        <v/>
      </c>
      <c r="BA157" s="3" t="str">
        <f>IF(49&gt;$C157,"",IF($D157=1,EOMONTH(EDATE(Bonds!$H157,6*(49-1)),0),EDATE(Bonds!$H157,6*(49-1))))</f>
        <v/>
      </c>
      <c r="BB157" s="3" t="str">
        <f>IF(50&gt;$C157,"",IF($D157=1,EOMONTH(EDATE(Bonds!$H157,6*(50-1)),0),EDATE(Bonds!$H157,6*(50-1))))</f>
        <v/>
      </c>
      <c r="BC157" s="3" t="str">
        <f>IF(51&gt;$C157,"",IF($D157=1,EOMONTH(EDATE(Bonds!$H157,6*(51-1)),0),EDATE(Bonds!$H157,6*(51-1))))</f>
        <v/>
      </c>
      <c r="BD157" s="3" t="str">
        <f>IF(52&gt;$C157,"",IF($D157=1,EOMONTH(EDATE(Bonds!$H157,6*(52-1)),0),EDATE(Bonds!$H157,6*(52-1))))</f>
        <v/>
      </c>
      <c r="BE157" s="3" t="str">
        <f>IF(53&gt;$C157,"",IF($D157=1,EOMONTH(EDATE(Bonds!$H157,6*(53-1)),0),EDATE(Bonds!$H157,6*(53-1))))</f>
        <v/>
      </c>
      <c r="BF157" s="3" t="str">
        <f>IF(54&gt;$C157,"",IF($D157=1,EOMONTH(EDATE(Bonds!$H157,6*(54-1)),0),EDATE(Bonds!$H157,6*(54-1))))</f>
        <v/>
      </c>
      <c r="BG157" s="3" t="str">
        <f>IF(55&gt;$C157,"",IF($D157=1,EOMONTH(EDATE(Bonds!$H157,6*(55-1)),0),EDATE(Bonds!$H157,6*(55-1))))</f>
        <v/>
      </c>
      <c r="BH157" s="3" t="str">
        <f>IF(56&gt;$C157,"",IF($D157=1,EOMONTH(EDATE(Bonds!$H157,6*(56-1)),0),EDATE(Bonds!$H157,6*(56-1))))</f>
        <v/>
      </c>
      <c r="BI157" s="3" t="str">
        <f>IF(57&gt;$C157,"",IF($D157=1,EOMONTH(EDATE(Bonds!$H157,6*(57-1)),0),EDATE(Bonds!$H157,6*(57-1))))</f>
        <v/>
      </c>
      <c r="BJ157" s="3" t="str">
        <f>IF(58&gt;$C157,"",IF($D157=1,EOMONTH(EDATE(Bonds!$H157,6*(58-1)),0),EDATE(Bonds!$H157,6*(58-1))))</f>
        <v/>
      </c>
      <c r="BK157" s="3" t="str">
        <f>IF(59&gt;$C157,"",IF($D157=1,EOMONTH(EDATE(Bonds!$H157,6*(59-1)),0),EDATE(Bonds!$H157,6*(59-1))))</f>
        <v/>
      </c>
      <c r="BL157" s="3" t="str">
        <f>IF(60&gt;$C157,"",IF($D157=1,EOMONTH(EDATE(Bonds!$H157,6*(60-1)),0),EDATE(Bonds!$H157,6*(60-1))))</f>
        <v/>
      </c>
      <c r="BN157" s="7">
        <f t="shared" si="123"/>
        <v>1.779131086669778</v>
      </c>
      <c r="BO157" s="7">
        <f t="shared" si="124"/>
        <v>1.740815711623203</v>
      </c>
      <c r="BP157" s="7">
        <f t="shared" si="125"/>
        <v>1.7021034556471442</v>
      </c>
      <c r="BQ157" s="7">
        <f t="shared" si="126"/>
        <v>1.663258680838535</v>
      </c>
      <c r="BR157" s="7">
        <f t="shared" si="127"/>
        <v>1.6258218886228115</v>
      </c>
      <c r="BS157" s="7">
        <f t="shared" si="128"/>
        <v>89.24105234280151</v>
      </c>
      <c r="BT157" s="7">
        <f t="shared" si="129"/>
        <v>0</v>
      </c>
      <c r="BU157" s="7">
        <f t="shared" si="130"/>
        <v>0</v>
      </c>
      <c r="BV157" s="7">
        <f t="shared" si="131"/>
        <v>0</v>
      </c>
      <c r="BW157" s="7">
        <f t="shared" si="132"/>
        <v>0</v>
      </c>
      <c r="BX157" s="7">
        <f t="shared" si="133"/>
        <v>0</v>
      </c>
      <c r="BY157" s="7">
        <f t="shared" si="134"/>
        <v>0</v>
      </c>
      <c r="BZ157" s="7">
        <f t="shared" si="135"/>
        <v>0</v>
      </c>
      <c r="CA157" s="7">
        <f t="shared" si="136"/>
        <v>0</v>
      </c>
      <c r="CB157" s="7">
        <f t="shared" si="137"/>
        <v>0</v>
      </c>
      <c r="CC157" s="7">
        <f t="shared" si="138"/>
        <v>0</v>
      </c>
      <c r="CD157" s="7">
        <f t="shared" si="139"/>
        <v>0</v>
      </c>
      <c r="CE157" s="7">
        <f t="shared" si="140"/>
        <v>0</v>
      </c>
      <c r="CF157" s="7">
        <f t="shared" si="141"/>
        <v>0</v>
      </c>
      <c r="CG157" s="7">
        <f t="shared" si="142"/>
        <v>0</v>
      </c>
      <c r="CH157" s="7">
        <f t="shared" si="143"/>
        <v>0</v>
      </c>
      <c r="CI157" s="7">
        <f t="shared" si="144"/>
        <v>0</v>
      </c>
      <c r="CJ157" s="7">
        <f t="shared" si="145"/>
        <v>0</v>
      </c>
      <c r="CK157" s="7">
        <f t="shared" si="146"/>
        <v>0</v>
      </c>
      <c r="CL157" s="7">
        <f t="shared" si="147"/>
        <v>0</v>
      </c>
      <c r="CM157" s="7">
        <f t="shared" si="148"/>
        <v>0</v>
      </c>
      <c r="CN157" s="7">
        <f t="shared" si="149"/>
        <v>0</v>
      </c>
      <c r="CO157" s="7">
        <f t="shared" si="150"/>
        <v>0</v>
      </c>
      <c r="CP157" s="7">
        <f t="shared" si="151"/>
        <v>0</v>
      </c>
      <c r="CQ157" s="7">
        <f t="shared" si="152"/>
        <v>0</v>
      </c>
      <c r="CR157" s="7">
        <f t="shared" si="153"/>
        <v>0</v>
      </c>
      <c r="CS157" s="7">
        <f t="shared" si="154"/>
        <v>0</v>
      </c>
      <c r="CT157" s="7">
        <f t="shared" si="155"/>
        <v>0</v>
      </c>
      <c r="CU157" s="7">
        <f t="shared" si="156"/>
        <v>0</v>
      </c>
      <c r="CV157" s="7">
        <f t="shared" si="157"/>
        <v>0</v>
      </c>
      <c r="CW157" s="7">
        <f t="shared" si="158"/>
        <v>0</v>
      </c>
      <c r="CX157" s="7">
        <f t="shared" si="159"/>
        <v>0</v>
      </c>
      <c r="CY157" s="7">
        <f t="shared" si="160"/>
        <v>0</v>
      </c>
      <c r="CZ157" s="7">
        <f t="shared" si="161"/>
        <v>0</v>
      </c>
      <c r="DA157" s="7">
        <f t="shared" si="162"/>
        <v>0</v>
      </c>
      <c r="DB157" s="7">
        <f t="shared" si="163"/>
        <v>0</v>
      </c>
      <c r="DC157" s="7">
        <f t="shared" si="164"/>
        <v>0</v>
      </c>
      <c r="DD157" s="7">
        <f t="shared" si="165"/>
        <v>0</v>
      </c>
      <c r="DE157" s="7">
        <f t="shared" si="166"/>
        <v>0</v>
      </c>
      <c r="DF157" s="7">
        <f t="shared" si="167"/>
        <v>0</v>
      </c>
      <c r="DG157" s="7">
        <f t="shared" si="168"/>
        <v>0</v>
      </c>
      <c r="DH157" s="7">
        <f t="shared" si="169"/>
        <v>0</v>
      </c>
      <c r="DI157" s="7">
        <f t="shared" si="170"/>
        <v>0</v>
      </c>
      <c r="DJ157" s="7">
        <f t="shared" si="171"/>
        <v>0</v>
      </c>
      <c r="DK157" s="7">
        <f t="shared" si="172"/>
        <v>0</v>
      </c>
      <c r="DL157" s="7">
        <f t="shared" si="173"/>
        <v>0</v>
      </c>
      <c r="DM157" s="7">
        <f t="shared" si="174"/>
        <v>0</v>
      </c>
      <c r="DN157" s="7">
        <f t="shared" si="175"/>
        <v>0</v>
      </c>
      <c r="DO157" s="7">
        <f t="shared" si="176"/>
        <v>0</v>
      </c>
      <c r="DP157" s="7">
        <f t="shared" si="177"/>
        <v>0</v>
      </c>
      <c r="DQ157" s="7">
        <f t="shared" si="178"/>
        <v>0</v>
      </c>
      <c r="DR157" s="7">
        <f t="shared" si="179"/>
        <v>0</v>
      </c>
      <c r="DS157" s="7">
        <f t="shared" si="180"/>
        <v>0</v>
      </c>
      <c r="DT157" s="7">
        <f t="shared" si="181"/>
        <v>0</v>
      </c>
      <c r="DU157" s="7">
        <f t="shared" si="182"/>
        <v>0</v>
      </c>
    </row>
    <row r="158" spans="1:125" x14ac:dyDescent="0.2">
      <c r="A158" s="3">
        <f>Bonds!A158</f>
        <v>47391</v>
      </c>
      <c r="B158" s="4">
        <f>Bonds!B158</f>
        <v>3.5</v>
      </c>
      <c r="C158">
        <f>Bonds!P158</f>
        <v>7</v>
      </c>
      <c r="D158">
        <f t="shared" si="122"/>
        <v>1</v>
      </c>
      <c r="E158" s="3">
        <f>IF(1&gt;$C158,"",IF($D158=1,EOMONTH(EDATE(Bonds!$H158,6*(1-1)),0),EDATE(Bonds!$H158,6*(1-1))))</f>
        <v>46295</v>
      </c>
      <c r="F158" s="3">
        <f>IF(2&gt;$C158,"",IF($D158=1,EOMONTH(EDATE(Bonds!$H158,6*(2-1)),0),EDATE(Bonds!$H158,6*(2-1))))</f>
        <v>46477</v>
      </c>
      <c r="G158" s="3">
        <f>IF(3&gt;$C158,"",IF($D158=1,EOMONTH(EDATE(Bonds!$H158,6*(3-1)),0),EDATE(Bonds!$H158,6*(3-1))))</f>
        <v>46660</v>
      </c>
      <c r="H158" s="3">
        <f>IF(4&gt;$C158,"",IF($D158=1,EOMONTH(EDATE(Bonds!$H158,6*(4-1)),0),EDATE(Bonds!$H158,6*(4-1))))</f>
        <v>46843</v>
      </c>
      <c r="I158" s="3">
        <f>IF(5&gt;$C158,"",IF($D158=1,EOMONTH(EDATE(Bonds!$H158,6*(5-1)),0),EDATE(Bonds!$H158,6*(5-1))))</f>
        <v>47026</v>
      </c>
      <c r="J158" s="3">
        <f>IF(6&gt;$C158,"",IF($D158=1,EOMONTH(EDATE(Bonds!$H158,6*(6-1)),0),EDATE(Bonds!$H158,6*(6-1))))</f>
        <v>47208</v>
      </c>
      <c r="K158" s="3">
        <f>IF(7&gt;$C158,"",IF($D158=1,EOMONTH(EDATE(Bonds!$H158,6*(7-1)),0),EDATE(Bonds!$H158,6*(7-1))))</f>
        <v>47391</v>
      </c>
      <c r="L158" s="3" t="str">
        <f>IF(8&gt;$C158,"",IF($D158=1,EOMONTH(EDATE(Bonds!$H158,6*(8-1)),0),EDATE(Bonds!$H158,6*(8-1))))</f>
        <v/>
      </c>
      <c r="M158" s="3" t="str">
        <f>IF(9&gt;$C158,"",IF($D158=1,EOMONTH(EDATE(Bonds!$H158,6*(9-1)),0),EDATE(Bonds!$H158,6*(9-1))))</f>
        <v/>
      </c>
      <c r="N158" s="3" t="str">
        <f>IF(10&gt;$C158,"",IF($D158=1,EOMONTH(EDATE(Bonds!$H158,6*(10-1)),0),EDATE(Bonds!$H158,6*(10-1))))</f>
        <v/>
      </c>
      <c r="O158" s="3" t="str">
        <f>IF(11&gt;$C158,"",IF($D158=1,EOMONTH(EDATE(Bonds!$H158,6*(11-1)),0),EDATE(Bonds!$H158,6*(11-1))))</f>
        <v/>
      </c>
      <c r="P158" s="3" t="str">
        <f>IF(12&gt;$C158,"",IF($D158=1,EOMONTH(EDATE(Bonds!$H158,6*(12-1)),0),EDATE(Bonds!$H158,6*(12-1))))</f>
        <v/>
      </c>
      <c r="Q158" s="3" t="str">
        <f>IF(13&gt;$C158,"",IF($D158=1,EOMONTH(EDATE(Bonds!$H158,6*(13-1)),0),EDATE(Bonds!$H158,6*(13-1))))</f>
        <v/>
      </c>
      <c r="R158" s="3" t="str">
        <f>IF(14&gt;$C158,"",IF($D158=1,EOMONTH(EDATE(Bonds!$H158,6*(14-1)),0),EDATE(Bonds!$H158,6*(14-1))))</f>
        <v/>
      </c>
      <c r="S158" s="3" t="str">
        <f>IF(15&gt;$C158,"",IF($D158=1,EOMONTH(EDATE(Bonds!$H158,6*(15-1)),0),EDATE(Bonds!$H158,6*(15-1))))</f>
        <v/>
      </c>
      <c r="T158" s="3" t="str">
        <f>IF(16&gt;$C158,"",IF($D158=1,EOMONTH(EDATE(Bonds!$H158,6*(16-1)),0),EDATE(Bonds!$H158,6*(16-1))))</f>
        <v/>
      </c>
      <c r="U158" s="3" t="str">
        <f>IF(17&gt;$C158,"",IF($D158=1,EOMONTH(EDATE(Bonds!$H158,6*(17-1)),0),EDATE(Bonds!$H158,6*(17-1))))</f>
        <v/>
      </c>
      <c r="V158" s="3" t="str">
        <f>IF(18&gt;$C158,"",IF($D158=1,EOMONTH(EDATE(Bonds!$H158,6*(18-1)),0),EDATE(Bonds!$H158,6*(18-1))))</f>
        <v/>
      </c>
      <c r="W158" s="3" t="str">
        <f>IF(19&gt;$C158,"",IF($D158=1,EOMONTH(EDATE(Bonds!$H158,6*(19-1)),0),EDATE(Bonds!$H158,6*(19-1))))</f>
        <v/>
      </c>
      <c r="X158" s="3" t="str">
        <f>IF(20&gt;$C158,"",IF($D158=1,EOMONTH(EDATE(Bonds!$H158,6*(20-1)),0),EDATE(Bonds!$H158,6*(20-1))))</f>
        <v/>
      </c>
      <c r="Y158" s="3" t="str">
        <f>IF(21&gt;$C158,"",IF($D158=1,EOMONTH(EDATE(Bonds!$H158,6*(21-1)),0),EDATE(Bonds!$H158,6*(21-1))))</f>
        <v/>
      </c>
      <c r="Z158" s="3" t="str">
        <f>IF(22&gt;$C158,"",IF($D158=1,EOMONTH(EDATE(Bonds!$H158,6*(22-1)),0),EDATE(Bonds!$H158,6*(22-1))))</f>
        <v/>
      </c>
      <c r="AA158" s="3" t="str">
        <f>IF(23&gt;$C158,"",IF($D158=1,EOMONTH(EDATE(Bonds!$H158,6*(23-1)),0),EDATE(Bonds!$H158,6*(23-1))))</f>
        <v/>
      </c>
      <c r="AB158" s="3" t="str">
        <f>IF(24&gt;$C158,"",IF($D158=1,EOMONTH(EDATE(Bonds!$H158,6*(24-1)),0),EDATE(Bonds!$H158,6*(24-1))))</f>
        <v/>
      </c>
      <c r="AC158" s="3" t="str">
        <f>IF(25&gt;$C158,"",IF($D158=1,EOMONTH(EDATE(Bonds!$H158,6*(25-1)),0),EDATE(Bonds!$H158,6*(25-1))))</f>
        <v/>
      </c>
      <c r="AD158" s="3" t="str">
        <f>IF(26&gt;$C158,"",IF($D158=1,EOMONTH(EDATE(Bonds!$H158,6*(26-1)),0),EDATE(Bonds!$H158,6*(26-1))))</f>
        <v/>
      </c>
      <c r="AE158" s="3" t="str">
        <f>IF(27&gt;$C158,"",IF($D158=1,EOMONTH(EDATE(Bonds!$H158,6*(27-1)),0),EDATE(Bonds!$H158,6*(27-1))))</f>
        <v/>
      </c>
      <c r="AF158" s="3" t="str">
        <f>IF(28&gt;$C158,"",IF($D158=1,EOMONTH(EDATE(Bonds!$H158,6*(28-1)),0),EDATE(Bonds!$H158,6*(28-1))))</f>
        <v/>
      </c>
      <c r="AG158" s="3" t="str">
        <f>IF(29&gt;$C158,"",IF($D158=1,EOMONTH(EDATE(Bonds!$H158,6*(29-1)),0),EDATE(Bonds!$H158,6*(29-1))))</f>
        <v/>
      </c>
      <c r="AH158" s="3" t="str">
        <f>IF(30&gt;$C158,"",IF($D158=1,EOMONTH(EDATE(Bonds!$H158,6*(30-1)),0),EDATE(Bonds!$H158,6*(30-1))))</f>
        <v/>
      </c>
      <c r="AI158" s="3" t="str">
        <f>IF(31&gt;$C158,"",IF($D158=1,EOMONTH(EDATE(Bonds!$H158,6*(31-1)),0),EDATE(Bonds!$H158,6*(31-1))))</f>
        <v/>
      </c>
      <c r="AJ158" s="3" t="str">
        <f>IF(32&gt;$C158,"",IF($D158=1,EOMONTH(EDATE(Bonds!$H158,6*(32-1)),0),EDATE(Bonds!$H158,6*(32-1))))</f>
        <v/>
      </c>
      <c r="AK158" s="3" t="str">
        <f>IF(33&gt;$C158,"",IF($D158=1,EOMONTH(EDATE(Bonds!$H158,6*(33-1)),0),EDATE(Bonds!$H158,6*(33-1))))</f>
        <v/>
      </c>
      <c r="AL158" s="3" t="str">
        <f>IF(34&gt;$C158,"",IF($D158=1,EOMONTH(EDATE(Bonds!$H158,6*(34-1)),0),EDATE(Bonds!$H158,6*(34-1))))</f>
        <v/>
      </c>
      <c r="AM158" s="3" t="str">
        <f>IF(35&gt;$C158,"",IF($D158=1,EOMONTH(EDATE(Bonds!$H158,6*(35-1)),0),EDATE(Bonds!$H158,6*(35-1))))</f>
        <v/>
      </c>
      <c r="AN158" s="3" t="str">
        <f>IF(36&gt;$C158,"",IF($D158=1,EOMONTH(EDATE(Bonds!$H158,6*(36-1)),0),EDATE(Bonds!$H158,6*(36-1))))</f>
        <v/>
      </c>
      <c r="AO158" s="3" t="str">
        <f>IF(37&gt;$C158,"",IF($D158=1,EOMONTH(EDATE(Bonds!$H158,6*(37-1)),0),EDATE(Bonds!$H158,6*(37-1))))</f>
        <v/>
      </c>
      <c r="AP158" s="3" t="str">
        <f>IF(38&gt;$C158,"",IF($D158=1,EOMONTH(EDATE(Bonds!$H158,6*(38-1)),0),EDATE(Bonds!$H158,6*(38-1))))</f>
        <v/>
      </c>
      <c r="AQ158" s="3" t="str">
        <f>IF(39&gt;$C158,"",IF($D158=1,EOMONTH(EDATE(Bonds!$H158,6*(39-1)),0),EDATE(Bonds!$H158,6*(39-1))))</f>
        <v/>
      </c>
      <c r="AR158" s="3" t="str">
        <f>IF(40&gt;$C158,"",IF($D158=1,EOMONTH(EDATE(Bonds!$H158,6*(40-1)),0),EDATE(Bonds!$H158,6*(40-1))))</f>
        <v/>
      </c>
      <c r="AS158" s="3" t="str">
        <f>IF(41&gt;$C158,"",IF($D158=1,EOMONTH(EDATE(Bonds!$H158,6*(41-1)),0),EDATE(Bonds!$H158,6*(41-1))))</f>
        <v/>
      </c>
      <c r="AT158" s="3" t="str">
        <f>IF(42&gt;$C158,"",IF($D158=1,EOMONTH(EDATE(Bonds!$H158,6*(42-1)),0),EDATE(Bonds!$H158,6*(42-1))))</f>
        <v/>
      </c>
      <c r="AU158" s="3" t="str">
        <f>IF(43&gt;$C158,"",IF($D158=1,EOMONTH(EDATE(Bonds!$H158,6*(43-1)),0),EDATE(Bonds!$H158,6*(43-1))))</f>
        <v/>
      </c>
      <c r="AV158" s="3" t="str">
        <f>IF(44&gt;$C158,"",IF($D158=1,EOMONTH(EDATE(Bonds!$H158,6*(44-1)),0),EDATE(Bonds!$H158,6*(44-1))))</f>
        <v/>
      </c>
      <c r="AW158" s="3" t="str">
        <f>IF(45&gt;$C158,"",IF($D158=1,EOMONTH(EDATE(Bonds!$H158,6*(45-1)),0),EDATE(Bonds!$H158,6*(45-1))))</f>
        <v/>
      </c>
      <c r="AX158" s="3" t="str">
        <f>IF(46&gt;$C158,"",IF($D158=1,EOMONTH(EDATE(Bonds!$H158,6*(46-1)),0),EDATE(Bonds!$H158,6*(46-1))))</f>
        <v/>
      </c>
      <c r="AY158" s="3" t="str">
        <f>IF(47&gt;$C158,"",IF($D158=1,EOMONTH(EDATE(Bonds!$H158,6*(47-1)),0),EDATE(Bonds!$H158,6*(47-1))))</f>
        <v/>
      </c>
      <c r="AZ158" s="3" t="str">
        <f>IF(48&gt;$C158,"",IF($D158=1,EOMONTH(EDATE(Bonds!$H158,6*(48-1)),0),EDATE(Bonds!$H158,6*(48-1))))</f>
        <v/>
      </c>
      <c r="BA158" s="3" t="str">
        <f>IF(49&gt;$C158,"",IF($D158=1,EOMONTH(EDATE(Bonds!$H158,6*(49-1)),0),EDATE(Bonds!$H158,6*(49-1))))</f>
        <v/>
      </c>
      <c r="BB158" s="3" t="str">
        <f>IF(50&gt;$C158,"",IF($D158=1,EOMONTH(EDATE(Bonds!$H158,6*(50-1)),0),EDATE(Bonds!$H158,6*(50-1))))</f>
        <v/>
      </c>
      <c r="BC158" s="3" t="str">
        <f>IF(51&gt;$C158,"",IF($D158=1,EOMONTH(EDATE(Bonds!$H158,6*(51-1)),0),EDATE(Bonds!$H158,6*(51-1))))</f>
        <v/>
      </c>
      <c r="BD158" s="3" t="str">
        <f>IF(52&gt;$C158,"",IF($D158=1,EOMONTH(EDATE(Bonds!$H158,6*(52-1)),0),EDATE(Bonds!$H158,6*(52-1))))</f>
        <v/>
      </c>
      <c r="BE158" s="3" t="str">
        <f>IF(53&gt;$C158,"",IF($D158=1,EOMONTH(EDATE(Bonds!$H158,6*(53-1)),0),EDATE(Bonds!$H158,6*(53-1))))</f>
        <v/>
      </c>
      <c r="BF158" s="3" t="str">
        <f>IF(54&gt;$C158,"",IF($D158=1,EOMONTH(EDATE(Bonds!$H158,6*(54-1)),0),EDATE(Bonds!$H158,6*(54-1))))</f>
        <v/>
      </c>
      <c r="BG158" s="3" t="str">
        <f>IF(55&gt;$C158,"",IF($D158=1,EOMONTH(EDATE(Bonds!$H158,6*(55-1)),0),EDATE(Bonds!$H158,6*(55-1))))</f>
        <v/>
      </c>
      <c r="BH158" s="3" t="str">
        <f>IF(56&gt;$C158,"",IF($D158=1,EOMONTH(EDATE(Bonds!$H158,6*(56-1)),0),EDATE(Bonds!$H158,6*(56-1))))</f>
        <v/>
      </c>
      <c r="BI158" s="3" t="str">
        <f>IF(57&gt;$C158,"",IF($D158=1,EOMONTH(EDATE(Bonds!$H158,6*(57-1)),0),EDATE(Bonds!$H158,6*(57-1))))</f>
        <v/>
      </c>
      <c r="BJ158" s="3" t="str">
        <f>IF(58&gt;$C158,"",IF($D158=1,EOMONTH(EDATE(Bonds!$H158,6*(58-1)),0),EDATE(Bonds!$H158,6*(58-1))))</f>
        <v/>
      </c>
      <c r="BK158" s="3" t="str">
        <f>IF(59&gt;$C158,"",IF($D158=1,EOMONTH(EDATE(Bonds!$H158,6*(59-1)),0),EDATE(Bonds!$H158,6*(59-1))))</f>
        <v/>
      </c>
      <c r="BL158" s="3" t="str">
        <f>IF(60&gt;$C158,"",IF($D158=1,EOMONTH(EDATE(Bonds!$H158,6*(60-1)),0),EDATE(Bonds!$H158,6*(60-1))))</f>
        <v/>
      </c>
      <c r="BN158" s="7">
        <f t="shared" si="123"/>
        <v>1.7461314879320211</v>
      </c>
      <c r="BO158" s="7">
        <f t="shared" si="124"/>
        <v>1.7116775476479911</v>
      </c>
      <c r="BP158" s="7">
        <f t="shared" si="125"/>
        <v>1.6746424066658607</v>
      </c>
      <c r="BQ158" s="7">
        <f t="shared" si="126"/>
        <v>1.6370525943754626</v>
      </c>
      <c r="BR158" s="7">
        <f t="shared" si="127"/>
        <v>1.5998558418162268</v>
      </c>
      <c r="BS158" s="7">
        <f t="shared" si="128"/>
        <v>1.5636560406276494</v>
      </c>
      <c r="BT158" s="7">
        <f t="shared" si="129"/>
        <v>88.85144200927374</v>
      </c>
      <c r="BU158" s="7">
        <f t="shared" si="130"/>
        <v>0</v>
      </c>
      <c r="BV158" s="7">
        <f t="shared" si="131"/>
        <v>0</v>
      </c>
      <c r="BW158" s="7">
        <f t="shared" si="132"/>
        <v>0</v>
      </c>
      <c r="BX158" s="7">
        <f t="shared" si="133"/>
        <v>0</v>
      </c>
      <c r="BY158" s="7">
        <f t="shared" si="134"/>
        <v>0</v>
      </c>
      <c r="BZ158" s="7">
        <f t="shared" si="135"/>
        <v>0</v>
      </c>
      <c r="CA158" s="7">
        <f t="shared" si="136"/>
        <v>0</v>
      </c>
      <c r="CB158" s="7">
        <f t="shared" si="137"/>
        <v>0</v>
      </c>
      <c r="CC158" s="7">
        <f t="shared" si="138"/>
        <v>0</v>
      </c>
      <c r="CD158" s="7">
        <f t="shared" si="139"/>
        <v>0</v>
      </c>
      <c r="CE158" s="7">
        <f t="shared" si="140"/>
        <v>0</v>
      </c>
      <c r="CF158" s="7">
        <f t="shared" si="141"/>
        <v>0</v>
      </c>
      <c r="CG158" s="7">
        <f t="shared" si="142"/>
        <v>0</v>
      </c>
      <c r="CH158" s="7">
        <f t="shared" si="143"/>
        <v>0</v>
      </c>
      <c r="CI158" s="7">
        <f t="shared" si="144"/>
        <v>0</v>
      </c>
      <c r="CJ158" s="7">
        <f t="shared" si="145"/>
        <v>0</v>
      </c>
      <c r="CK158" s="7">
        <f t="shared" si="146"/>
        <v>0</v>
      </c>
      <c r="CL158" s="7">
        <f t="shared" si="147"/>
        <v>0</v>
      </c>
      <c r="CM158" s="7">
        <f t="shared" si="148"/>
        <v>0</v>
      </c>
      <c r="CN158" s="7">
        <f t="shared" si="149"/>
        <v>0</v>
      </c>
      <c r="CO158" s="7">
        <f t="shared" si="150"/>
        <v>0</v>
      </c>
      <c r="CP158" s="7">
        <f t="shared" si="151"/>
        <v>0</v>
      </c>
      <c r="CQ158" s="7">
        <f t="shared" si="152"/>
        <v>0</v>
      </c>
      <c r="CR158" s="7">
        <f t="shared" si="153"/>
        <v>0</v>
      </c>
      <c r="CS158" s="7">
        <f t="shared" si="154"/>
        <v>0</v>
      </c>
      <c r="CT158" s="7">
        <f t="shared" si="155"/>
        <v>0</v>
      </c>
      <c r="CU158" s="7">
        <f t="shared" si="156"/>
        <v>0</v>
      </c>
      <c r="CV158" s="7">
        <f t="shared" si="157"/>
        <v>0</v>
      </c>
      <c r="CW158" s="7">
        <f t="shared" si="158"/>
        <v>0</v>
      </c>
      <c r="CX158" s="7">
        <f t="shared" si="159"/>
        <v>0</v>
      </c>
      <c r="CY158" s="7">
        <f t="shared" si="160"/>
        <v>0</v>
      </c>
      <c r="CZ158" s="7">
        <f t="shared" si="161"/>
        <v>0</v>
      </c>
      <c r="DA158" s="7">
        <f t="shared" si="162"/>
        <v>0</v>
      </c>
      <c r="DB158" s="7">
        <f t="shared" si="163"/>
        <v>0</v>
      </c>
      <c r="DC158" s="7">
        <f t="shared" si="164"/>
        <v>0</v>
      </c>
      <c r="DD158" s="7">
        <f t="shared" si="165"/>
        <v>0</v>
      </c>
      <c r="DE158" s="7">
        <f t="shared" si="166"/>
        <v>0</v>
      </c>
      <c r="DF158" s="7">
        <f t="shared" si="167"/>
        <v>0</v>
      </c>
      <c r="DG158" s="7">
        <f t="shared" si="168"/>
        <v>0</v>
      </c>
      <c r="DH158" s="7">
        <f t="shared" si="169"/>
        <v>0</v>
      </c>
      <c r="DI158" s="7">
        <f t="shared" si="170"/>
        <v>0</v>
      </c>
      <c r="DJ158" s="7">
        <f t="shared" si="171"/>
        <v>0</v>
      </c>
      <c r="DK158" s="7">
        <f t="shared" si="172"/>
        <v>0</v>
      </c>
      <c r="DL158" s="7">
        <f t="shared" si="173"/>
        <v>0</v>
      </c>
      <c r="DM158" s="7">
        <f t="shared" si="174"/>
        <v>0</v>
      </c>
      <c r="DN158" s="7">
        <f t="shared" si="175"/>
        <v>0</v>
      </c>
      <c r="DO158" s="7">
        <f t="shared" si="176"/>
        <v>0</v>
      </c>
      <c r="DP158" s="7">
        <f t="shared" si="177"/>
        <v>0</v>
      </c>
      <c r="DQ158" s="7">
        <f t="shared" si="178"/>
        <v>0</v>
      </c>
      <c r="DR158" s="7">
        <f t="shared" si="179"/>
        <v>0</v>
      </c>
      <c r="DS158" s="7">
        <f t="shared" si="180"/>
        <v>0</v>
      </c>
      <c r="DT158" s="7">
        <f t="shared" si="181"/>
        <v>0</v>
      </c>
      <c r="DU158" s="7">
        <f t="shared" si="182"/>
        <v>0</v>
      </c>
    </row>
    <row r="159" spans="1:125" x14ac:dyDescent="0.2">
      <c r="A159" s="3">
        <f>Bonds!A159</f>
        <v>47391</v>
      </c>
      <c r="B159" s="4">
        <f>Bonds!B159</f>
        <v>3.875</v>
      </c>
      <c r="C159">
        <f>Bonds!P159</f>
        <v>7</v>
      </c>
      <c r="D159">
        <f t="shared" si="122"/>
        <v>1</v>
      </c>
      <c r="E159" s="3">
        <f>IF(1&gt;$C159,"",IF($D159=1,EOMONTH(EDATE(Bonds!$H159,6*(1-1)),0),EDATE(Bonds!$H159,6*(1-1))))</f>
        <v>46295</v>
      </c>
      <c r="F159" s="3">
        <f>IF(2&gt;$C159,"",IF($D159=1,EOMONTH(EDATE(Bonds!$H159,6*(2-1)),0),EDATE(Bonds!$H159,6*(2-1))))</f>
        <v>46477</v>
      </c>
      <c r="G159" s="3">
        <f>IF(3&gt;$C159,"",IF($D159=1,EOMONTH(EDATE(Bonds!$H159,6*(3-1)),0),EDATE(Bonds!$H159,6*(3-1))))</f>
        <v>46660</v>
      </c>
      <c r="H159" s="3">
        <f>IF(4&gt;$C159,"",IF($D159=1,EOMONTH(EDATE(Bonds!$H159,6*(4-1)),0),EDATE(Bonds!$H159,6*(4-1))))</f>
        <v>46843</v>
      </c>
      <c r="I159" s="3">
        <f>IF(5&gt;$C159,"",IF($D159=1,EOMONTH(EDATE(Bonds!$H159,6*(5-1)),0),EDATE(Bonds!$H159,6*(5-1))))</f>
        <v>47026</v>
      </c>
      <c r="J159" s="3">
        <f>IF(6&gt;$C159,"",IF($D159=1,EOMONTH(EDATE(Bonds!$H159,6*(6-1)),0),EDATE(Bonds!$H159,6*(6-1))))</f>
        <v>47208</v>
      </c>
      <c r="K159" s="3">
        <f>IF(7&gt;$C159,"",IF($D159=1,EOMONTH(EDATE(Bonds!$H159,6*(7-1)),0),EDATE(Bonds!$H159,6*(7-1))))</f>
        <v>47391</v>
      </c>
      <c r="L159" s="3" t="str">
        <f>IF(8&gt;$C159,"",IF($D159=1,EOMONTH(EDATE(Bonds!$H159,6*(8-1)),0),EDATE(Bonds!$H159,6*(8-1))))</f>
        <v/>
      </c>
      <c r="M159" s="3" t="str">
        <f>IF(9&gt;$C159,"",IF($D159=1,EOMONTH(EDATE(Bonds!$H159,6*(9-1)),0),EDATE(Bonds!$H159,6*(9-1))))</f>
        <v/>
      </c>
      <c r="N159" s="3" t="str">
        <f>IF(10&gt;$C159,"",IF($D159=1,EOMONTH(EDATE(Bonds!$H159,6*(10-1)),0),EDATE(Bonds!$H159,6*(10-1))))</f>
        <v/>
      </c>
      <c r="O159" s="3" t="str">
        <f>IF(11&gt;$C159,"",IF($D159=1,EOMONTH(EDATE(Bonds!$H159,6*(11-1)),0),EDATE(Bonds!$H159,6*(11-1))))</f>
        <v/>
      </c>
      <c r="P159" s="3" t="str">
        <f>IF(12&gt;$C159,"",IF($D159=1,EOMONTH(EDATE(Bonds!$H159,6*(12-1)),0),EDATE(Bonds!$H159,6*(12-1))))</f>
        <v/>
      </c>
      <c r="Q159" s="3" t="str">
        <f>IF(13&gt;$C159,"",IF($D159=1,EOMONTH(EDATE(Bonds!$H159,6*(13-1)),0),EDATE(Bonds!$H159,6*(13-1))))</f>
        <v/>
      </c>
      <c r="R159" s="3" t="str">
        <f>IF(14&gt;$C159,"",IF($D159=1,EOMONTH(EDATE(Bonds!$H159,6*(14-1)),0),EDATE(Bonds!$H159,6*(14-1))))</f>
        <v/>
      </c>
      <c r="S159" s="3" t="str">
        <f>IF(15&gt;$C159,"",IF($D159=1,EOMONTH(EDATE(Bonds!$H159,6*(15-1)),0),EDATE(Bonds!$H159,6*(15-1))))</f>
        <v/>
      </c>
      <c r="T159" s="3" t="str">
        <f>IF(16&gt;$C159,"",IF($D159=1,EOMONTH(EDATE(Bonds!$H159,6*(16-1)),0),EDATE(Bonds!$H159,6*(16-1))))</f>
        <v/>
      </c>
      <c r="U159" s="3" t="str">
        <f>IF(17&gt;$C159,"",IF($D159=1,EOMONTH(EDATE(Bonds!$H159,6*(17-1)),0),EDATE(Bonds!$H159,6*(17-1))))</f>
        <v/>
      </c>
      <c r="V159" s="3" t="str">
        <f>IF(18&gt;$C159,"",IF($D159=1,EOMONTH(EDATE(Bonds!$H159,6*(18-1)),0),EDATE(Bonds!$H159,6*(18-1))))</f>
        <v/>
      </c>
      <c r="W159" s="3" t="str">
        <f>IF(19&gt;$C159,"",IF($D159=1,EOMONTH(EDATE(Bonds!$H159,6*(19-1)),0),EDATE(Bonds!$H159,6*(19-1))))</f>
        <v/>
      </c>
      <c r="X159" s="3" t="str">
        <f>IF(20&gt;$C159,"",IF($D159=1,EOMONTH(EDATE(Bonds!$H159,6*(20-1)),0),EDATE(Bonds!$H159,6*(20-1))))</f>
        <v/>
      </c>
      <c r="Y159" s="3" t="str">
        <f>IF(21&gt;$C159,"",IF($D159=1,EOMONTH(EDATE(Bonds!$H159,6*(21-1)),0),EDATE(Bonds!$H159,6*(21-1))))</f>
        <v/>
      </c>
      <c r="Z159" s="3" t="str">
        <f>IF(22&gt;$C159,"",IF($D159=1,EOMONTH(EDATE(Bonds!$H159,6*(22-1)),0),EDATE(Bonds!$H159,6*(22-1))))</f>
        <v/>
      </c>
      <c r="AA159" s="3" t="str">
        <f>IF(23&gt;$C159,"",IF($D159=1,EOMONTH(EDATE(Bonds!$H159,6*(23-1)),0),EDATE(Bonds!$H159,6*(23-1))))</f>
        <v/>
      </c>
      <c r="AB159" s="3" t="str">
        <f>IF(24&gt;$C159,"",IF($D159=1,EOMONTH(EDATE(Bonds!$H159,6*(24-1)),0),EDATE(Bonds!$H159,6*(24-1))))</f>
        <v/>
      </c>
      <c r="AC159" s="3" t="str">
        <f>IF(25&gt;$C159,"",IF($D159=1,EOMONTH(EDATE(Bonds!$H159,6*(25-1)),0),EDATE(Bonds!$H159,6*(25-1))))</f>
        <v/>
      </c>
      <c r="AD159" s="3" t="str">
        <f>IF(26&gt;$C159,"",IF($D159=1,EOMONTH(EDATE(Bonds!$H159,6*(26-1)),0),EDATE(Bonds!$H159,6*(26-1))))</f>
        <v/>
      </c>
      <c r="AE159" s="3" t="str">
        <f>IF(27&gt;$C159,"",IF($D159=1,EOMONTH(EDATE(Bonds!$H159,6*(27-1)),0),EDATE(Bonds!$H159,6*(27-1))))</f>
        <v/>
      </c>
      <c r="AF159" s="3" t="str">
        <f>IF(28&gt;$C159,"",IF($D159=1,EOMONTH(EDATE(Bonds!$H159,6*(28-1)),0),EDATE(Bonds!$H159,6*(28-1))))</f>
        <v/>
      </c>
      <c r="AG159" s="3" t="str">
        <f>IF(29&gt;$C159,"",IF($D159=1,EOMONTH(EDATE(Bonds!$H159,6*(29-1)),0),EDATE(Bonds!$H159,6*(29-1))))</f>
        <v/>
      </c>
      <c r="AH159" s="3" t="str">
        <f>IF(30&gt;$C159,"",IF($D159=1,EOMONTH(EDATE(Bonds!$H159,6*(30-1)),0),EDATE(Bonds!$H159,6*(30-1))))</f>
        <v/>
      </c>
      <c r="AI159" s="3" t="str">
        <f>IF(31&gt;$C159,"",IF($D159=1,EOMONTH(EDATE(Bonds!$H159,6*(31-1)),0),EDATE(Bonds!$H159,6*(31-1))))</f>
        <v/>
      </c>
      <c r="AJ159" s="3" t="str">
        <f>IF(32&gt;$C159,"",IF($D159=1,EOMONTH(EDATE(Bonds!$H159,6*(32-1)),0),EDATE(Bonds!$H159,6*(32-1))))</f>
        <v/>
      </c>
      <c r="AK159" s="3" t="str">
        <f>IF(33&gt;$C159,"",IF($D159=1,EOMONTH(EDATE(Bonds!$H159,6*(33-1)),0),EDATE(Bonds!$H159,6*(33-1))))</f>
        <v/>
      </c>
      <c r="AL159" s="3" t="str">
        <f>IF(34&gt;$C159,"",IF($D159=1,EOMONTH(EDATE(Bonds!$H159,6*(34-1)),0),EDATE(Bonds!$H159,6*(34-1))))</f>
        <v/>
      </c>
      <c r="AM159" s="3" t="str">
        <f>IF(35&gt;$C159,"",IF($D159=1,EOMONTH(EDATE(Bonds!$H159,6*(35-1)),0),EDATE(Bonds!$H159,6*(35-1))))</f>
        <v/>
      </c>
      <c r="AN159" s="3" t="str">
        <f>IF(36&gt;$C159,"",IF($D159=1,EOMONTH(EDATE(Bonds!$H159,6*(36-1)),0),EDATE(Bonds!$H159,6*(36-1))))</f>
        <v/>
      </c>
      <c r="AO159" s="3" t="str">
        <f>IF(37&gt;$C159,"",IF($D159=1,EOMONTH(EDATE(Bonds!$H159,6*(37-1)),0),EDATE(Bonds!$H159,6*(37-1))))</f>
        <v/>
      </c>
      <c r="AP159" s="3" t="str">
        <f>IF(38&gt;$C159,"",IF($D159=1,EOMONTH(EDATE(Bonds!$H159,6*(38-1)),0),EDATE(Bonds!$H159,6*(38-1))))</f>
        <v/>
      </c>
      <c r="AQ159" s="3" t="str">
        <f>IF(39&gt;$C159,"",IF($D159=1,EOMONTH(EDATE(Bonds!$H159,6*(39-1)),0),EDATE(Bonds!$H159,6*(39-1))))</f>
        <v/>
      </c>
      <c r="AR159" s="3" t="str">
        <f>IF(40&gt;$C159,"",IF($D159=1,EOMONTH(EDATE(Bonds!$H159,6*(40-1)),0),EDATE(Bonds!$H159,6*(40-1))))</f>
        <v/>
      </c>
      <c r="AS159" s="3" t="str">
        <f>IF(41&gt;$C159,"",IF($D159=1,EOMONTH(EDATE(Bonds!$H159,6*(41-1)),0),EDATE(Bonds!$H159,6*(41-1))))</f>
        <v/>
      </c>
      <c r="AT159" s="3" t="str">
        <f>IF(42&gt;$C159,"",IF($D159=1,EOMONTH(EDATE(Bonds!$H159,6*(42-1)),0),EDATE(Bonds!$H159,6*(42-1))))</f>
        <v/>
      </c>
      <c r="AU159" s="3" t="str">
        <f>IF(43&gt;$C159,"",IF($D159=1,EOMONTH(EDATE(Bonds!$H159,6*(43-1)),0),EDATE(Bonds!$H159,6*(43-1))))</f>
        <v/>
      </c>
      <c r="AV159" s="3" t="str">
        <f>IF(44&gt;$C159,"",IF($D159=1,EOMONTH(EDATE(Bonds!$H159,6*(44-1)),0),EDATE(Bonds!$H159,6*(44-1))))</f>
        <v/>
      </c>
      <c r="AW159" s="3" t="str">
        <f>IF(45&gt;$C159,"",IF($D159=1,EOMONTH(EDATE(Bonds!$H159,6*(45-1)),0),EDATE(Bonds!$H159,6*(45-1))))</f>
        <v/>
      </c>
      <c r="AX159" s="3" t="str">
        <f>IF(46&gt;$C159,"",IF($D159=1,EOMONTH(EDATE(Bonds!$H159,6*(46-1)),0),EDATE(Bonds!$H159,6*(46-1))))</f>
        <v/>
      </c>
      <c r="AY159" s="3" t="str">
        <f>IF(47&gt;$C159,"",IF($D159=1,EOMONTH(EDATE(Bonds!$H159,6*(47-1)),0),EDATE(Bonds!$H159,6*(47-1))))</f>
        <v/>
      </c>
      <c r="AZ159" s="3" t="str">
        <f>IF(48&gt;$C159,"",IF($D159=1,EOMONTH(EDATE(Bonds!$H159,6*(48-1)),0),EDATE(Bonds!$H159,6*(48-1))))</f>
        <v/>
      </c>
      <c r="BA159" s="3" t="str">
        <f>IF(49&gt;$C159,"",IF($D159=1,EOMONTH(EDATE(Bonds!$H159,6*(49-1)),0),EDATE(Bonds!$H159,6*(49-1))))</f>
        <v/>
      </c>
      <c r="BB159" s="3" t="str">
        <f>IF(50&gt;$C159,"",IF($D159=1,EOMONTH(EDATE(Bonds!$H159,6*(50-1)),0),EDATE(Bonds!$H159,6*(50-1))))</f>
        <v/>
      </c>
      <c r="BC159" s="3" t="str">
        <f>IF(51&gt;$C159,"",IF($D159=1,EOMONTH(EDATE(Bonds!$H159,6*(51-1)),0),EDATE(Bonds!$H159,6*(51-1))))</f>
        <v/>
      </c>
      <c r="BD159" s="3" t="str">
        <f>IF(52&gt;$C159,"",IF($D159=1,EOMONTH(EDATE(Bonds!$H159,6*(52-1)),0),EDATE(Bonds!$H159,6*(52-1))))</f>
        <v/>
      </c>
      <c r="BE159" s="3" t="str">
        <f>IF(53&gt;$C159,"",IF($D159=1,EOMONTH(EDATE(Bonds!$H159,6*(53-1)),0),EDATE(Bonds!$H159,6*(53-1))))</f>
        <v/>
      </c>
      <c r="BF159" s="3" t="str">
        <f>IF(54&gt;$C159,"",IF($D159=1,EOMONTH(EDATE(Bonds!$H159,6*(54-1)),0),EDATE(Bonds!$H159,6*(54-1))))</f>
        <v/>
      </c>
      <c r="BG159" s="3" t="str">
        <f>IF(55&gt;$C159,"",IF($D159=1,EOMONTH(EDATE(Bonds!$H159,6*(55-1)),0),EDATE(Bonds!$H159,6*(55-1))))</f>
        <v/>
      </c>
      <c r="BH159" s="3" t="str">
        <f>IF(56&gt;$C159,"",IF($D159=1,EOMONTH(EDATE(Bonds!$H159,6*(56-1)),0),EDATE(Bonds!$H159,6*(56-1))))</f>
        <v/>
      </c>
      <c r="BI159" s="3" t="str">
        <f>IF(57&gt;$C159,"",IF($D159=1,EOMONTH(EDATE(Bonds!$H159,6*(57-1)),0),EDATE(Bonds!$H159,6*(57-1))))</f>
        <v/>
      </c>
      <c r="BJ159" s="3" t="str">
        <f>IF(58&gt;$C159,"",IF($D159=1,EOMONTH(EDATE(Bonds!$H159,6*(58-1)),0),EDATE(Bonds!$H159,6*(58-1))))</f>
        <v/>
      </c>
      <c r="BK159" s="3" t="str">
        <f>IF(59&gt;$C159,"",IF($D159=1,EOMONTH(EDATE(Bonds!$H159,6*(59-1)),0),EDATE(Bonds!$H159,6*(59-1))))</f>
        <v/>
      </c>
      <c r="BL159" s="3" t="str">
        <f>IF(60&gt;$C159,"",IF($D159=1,EOMONTH(EDATE(Bonds!$H159,6*(60-1)),0),EDATE(Bonds!$H159,6*(60-1))))</f>
        <v/>
      </c>
      <c r="BN159" s="7">
        <f t="shared" si="123"/>
        <v>1.9332170044961661</v>
      </c>
      <c r="BO159" s="7">
        <f t="shared" si="124"/>
        <v>1.8950715706102756</v>
      </c>
      <c r="BP159" s="7">
        <f t="shared" si="125"/>
        <v>1.8540683788086316</v>
      </c>
      <c r="BQ159" s="7">
        <f t="shared" si="126"/>
        <v>1.8124510866299766</v>
      </c>
      <c r="BR159" s="7">
        <f t="shared" si="127"/>
        <v>1.7712689677251081</v>
      </c>
      <c r="BS159" s="7">
        <f t="shared" si="128"/>
        <v>1.7311906164091833</v>
      </c>
      <c r="BT159" s="7">
        <f t="shared" si="129"/>
        <v>89.015173167767486</v>
      </c>
      <c r="BU159" s="7">
        <f t="shared" si="130"/>
        <v>0</v>
      </c>
      <c r="BV159" s="7">
        <f t="shared" si="131"/>
        <v>0</v>
      </c>
      <c r="BW159" s="7">
        <f t="shared" si="132"/>
        <v>0</v>
      </c>
      <c r="BX159" s="7">
        <f t="shared" si="133"/>
        <v>0</v>
      </c>
      <c r="BY159" s="7">
        <f t="shared" si="134"/>
        <v>0</v>
      </c>
      <c r="BZ159" s="7">
        <f t="shared" si="135"/>
        <v>0</v>
      </c>
      <c r="CA159" s="7">
        <f t="shared" si="136"/>
        <v>0</v>
      </c>
      <c r="CB159" s="7">
        <f t="shared" si="137"/>
        <v>0</v>
      </c>
      <c r="CC159" s="7">
        <f t="shared" si="138"/>
        <v>0</v>
      </c>
      <c r="CD159" s="7">
        <f t="shared" si="139"/>
        <v>0</v>
      </c>
      <c r="CE159" s="7">
        <f t="shared" si="140"/>
        <v>0</v>
      </c>
      <c r="CF159" s="7">
        <f t="shared" si="141"/>
        <v>0</v>
      </c>
      <c r="CG159" s="7">
        <f t="shared" si="142"/>
        <v>0</v>
      </c>
      <c r="CH159" s="7">
        <f t="shared" si="143"/>
        <v>0</v>
      </c>
      <c r="CI159" s="7">
        <f t="shared" si="144"/>
        <v>0</v>
      </c>
      <c r="CJ159" s="7">
        <f t="shared" si="145"/>
        <v>0</v>
      </c>
      <c r="CK159" s="7">
        <f t="shared" si="146"/>
        <v>0</v>
      </c>
      <c r="CL159" s="7">
        <f t="shared" si="147"/>
        <v>0</v>
      </c>
      <c r="CM159" s="7">
        <f t="shared" si="148"/>
        <v>0</v>
      </c>
      <c r="CN159" s="7">
        <f t="shared" si="149"/>
        <v>0</v>
      </c>
      <c r="CO159" s="7">
        <f t="shared" si="150"/>
        <v>0</v>
      </c>
      <c r="CP159" s="7">
        <f t="shared" si="151"/>
        <v>0</v>
      </c>
      <c r="CQ159" s="7">
        <f t="shared" si="152"/>
        <v>0</v>
      </c>
      <c r="CR159" s="7">
        <f t="shared" si="153"/>
        <v>0</v>
      </c>
      <c r="CS159" s="7">
        <f t="shared" si="154"/>
        <v>0</v>
      </c>
      <c r="CT159" s="7">
        <f t="shared" si="155"/>
        <v>0</v>
      </c>
      <c r="CU159" s="7">
        <f t="shared" si="156"/>
        <v>0</v>
      </c>
      <c r="CV159" s="7">
        <f t="shared" si="157"/>
        <v>0</v>
      </c>
      <c r="CW159" s="7">
        <f t="shared" si="158"/>
        <v>0</v>
      </c>
      <c r="CX159" s="7">
        <f t="shared" si="159"/>
        <v>0</v>
      </c>
      <c r="CY159" s="7">
        <f t="shared" si="160"/>
        <v>0</v>
      </c>
      <c r="CZ159" s="7">
        <f t="shared" si="161"/>
        <v>0</v>
      </c>
      <c r="DA159" s="7">
        <f t="shared" si="162"/>
        <v>0</v>
      </c>
      <c r="DB159" s="7">
        <f t="shared" si="163"/>
        <v>0</v>
      </c>
      <c r="DC159" s="7">
        <f t="shared" si="164"/>
        <v>0</v>
      </c>
      <c r="DD159" s="7">
        <f t="shared" si="165"/>
        <v>0</v>
      </c>
      <c r="DE159" s="7">
        <f t="shared" si="166"/>
        <v>0</v>
      </c>
      <c r="DF159" s="7">
        <f t="shared" si="167"/>
        <v>0</v>
      </c>
      <c r="DG159" s="7">
        <f t="shared" si="168"/>
        <v>0</v>
      </c>
      <c r="DH159" s="7">
        <f t="shared" si="169"/>
        <v>0</v>
      </c>
      <c r="DI159" s="7">
        <f t="shared" si="170"/>
        <v>0</v>
      </c>
      <c r="DJ159" s="7">
        <f t="shared" si="171"/>
        <v>0</v>
      </c>
      <c r="DK159" s="7">
        <f t="shared" si="172"/>
        <v>0</v>
      </c>
      <c r="DL159" s="7">
        <f t="shared" si="173"/>
        <v>0</v>
      </c>
      <c r="DM159" s="7">
        <f t="shared" si="174"/>
        <v>0</v>
      </c>
      <c r="DN159" s="7">
        <f t="shared" si="175"/>
        <v>0</v>
      </c>
      <c r="DO159" s="7">
        <f t="shared" si="176"/>
        <v>0</v>
      </c>
      <c r="DP159" s="7">
        <f t="shared" si="177"/>
        <v>0</v>
      </c>
      <c r="DQ159" s="7">
        <f t="shared" si="178"/>
        <v>0</v>
      </c>
      <c r="DR159" s="7">
        <f t="shared" si="179"/>
        <v>0</v>
      </c>
      <c r="DS159" s="7">
        <f t="shared" si="180"/>
        <v>0</v>
      </c>
      <c r="DT159" s="7">
        <f t="shared" si="181"/>
        <v>0</v>
      </c>
      <c r="DU159" s="7">
        <f t="shared" si="182"/>
        <v>0</v>
      </c>
    </row>
    <row r="160" spans="1:125" x14ac:dyDescent="0.2">
      <c r="A160" s="3">
        <f>Bonds!A160</f>
        <v>47422</v>
      </c>
      <c r="B160" s="4">
        <f>Bonds!B160</f>
        <v>4</v>
      </c>
      <c r="C160">
        <f>Bonds!P160</f>
        <v>7</v>
      </c>
      <c r="D160">
        <f t="shared" si="122"/>
        <v>1</v>
      </c>
      <c r="E160" s="3">
        <f>IF(1&gt;$C160,"",IF($D160=1,EOMONTH(EDATE(Bonds!$H160,6*(1-1)),0),EDATE(Bonds!$H160,6*(1-1))))</f>
        <v>46326</v>
      </c>
      <c r="F160" s="3">
        <f>IF(2&gt;$C160,"",IF($D160=1,EOMONTH(EDATE(Bonds!$H160,6*(2-1)),0),EDATE(Bonds!$H160,6*(2-1))))</f>
        <v>46507</v>
      </c>
      <c r="G160" s="3">
        <f>IF(3&gt;$C160,"",IF($D160=1,EOMONTH(EDATE(Bonds!$H160,6*(3-1)),0),EDATE(Bonds!$H160,6*(3-1))))</f>
        <v>46691</v>
      </c>
      <c r="H160" s="3">
        <f>IF(4&gt;$C160,"",IF($D160=1,EOMONTH(EDATE(Bonds!$H160,6*(4-1)),0),EDATE(Bonds!$H160,6*(4-1))))</f>
        <v>46873</v>
      </c>
      <c r="I160" s="3">
        <f>IF(5&gt;$C160,"",IF($D160=1,EOMONTH(EDATE(Bonds!$H160,6*(5-1)),0),EDATE(Bonds!$H160,6*(5-1))))</f>
        <v>47057</v>
      </c>
      <c r="J160" s="3">
        <f>IF(6&gt;$C160,"",IF($D160=1,EOMONTH(EDATE(Bonds!$H160,6*(6-1)),0),EDATE(Bonds!$H160,6*(6-1))))</f>
        <v>47238</v>
      </c>
      <c r="K160" s="3">
        <f>IF(7&gt;$C160,"",IF($D160=1,EOMONTH(EDATE(Bonds!$H160,6*(7-1)),0),EDATE(Bonds!$H160,6*(7-1))))</f>
        <v>47422</v>
      </c>
      <c r="L160" s="3" t="str">
        <f>IF(8&gt;$C160,"",IF($D160=1,EOMONTH(EDATE(Bonds!$H160,6*(8-1)),0),EDATE(Bonds!$H160,6*(8-1))))</f>
        <v/>
      </c>
      <c r="M160" s="3" t="str">
        <f>IF(9&gt;$C160,"",IF($D160=1,EOMONTH(EDATE(Bonds!$H160,6*(9-1)),0),EDATE(Bonds!$H160,6*(9-1))))</f>
        <v/>
      </c>
      <c r="N160" s="3" t="str">
        <f>IF(10&gt;$C160,"",IF($D160=1,EOMONTH(EDATE(Bonds!$H160,6*(10-1)),0),EDATE(Bonds!$H160,6*(10-1))))</f>
        <v/>
      </c>
      <c r="O160" s="3" t="str">
        <f>IF(11&gt;$C160,"",IF($D160=1,EOMONTH(EDATE(Bonds!$H160,6*(11-1)),0),EDATE(Bonds!$H160,6*(11-1))))</f>
        <v/>
      </c>
      <c r="P160" s="3" t="str">
        <f>IF(12&gt;$C160,"",IF($D160=1,EOMONTH(EDATE(Bonds!$H160,6*(12-1)),0),EDATE(Bonds!$H160,6*(12-1))))</f>
        <v/>
      </c>
      <c r="Q160" s="3" t="str">
        <f>IF(13&gt;$C160,"",IF($D160=1,EOMONTH(EDATE(Bonds!$H160,6*(13-1)),0),EDATE(Bonds!$H160,6*(13-1))))</f>
        <v/>
      </c>
      <c r="R160" s="3" t="str">
        <f>IF(14&gt;$C160,"",IF($D160=1,EOMONTH(EDATE(Bonds!$H160,6*(14-1)),0),EDATE(Bonds!$H160,6*(14-1))))</f>
        <v/>
      </c>
      <c r="S160" s="3" t="str">
        <f>IF(15&gt;$C160,"",IF($D160=1,EOMONTH(EDATE(Bonds!$H160,6*(15-1)),0),EDATE(Bonds!$H160,6*(15-1))))</f>
        <v/>
      </c>
      <c r="T160" s="3" t="str">
        <f>IF(16&gt;$C160,"",IF($D160=1,EOMONTH(EDATE(Bonds!$H160,6*(16-1)),0),EDATE(Bonds!$H160,6*(16-1))))</f>
        <v/>
      </c>
      <c r="U160" s="3" t="str">
        <f>IF(17&gt;$C160,"",IF($D160=1,EOMONTH(EDATE(Bonds!$H160,6*(17-1)),0),EDATE(Bonds!$H160,6*(17-1))))</f>
        <v/>
      </c>
      <c r="V160" s="3" t="str">
        <f>IF(18&gt;$C160,"",IF($D160=1,EOMONTH(EDATE(Bonds!$H160,6*(18-1)),0),EDATE(Bonds!$H160,6*(18-1))))</f>
        <v/>
      </c>
      <c r="W160" s="3" t="str">
        <f>IF(19&gt;$C160,"",IF($D160=1,EOMONTH(EDATE(Bonds!$H160,6*(19-1)),0),EDATE(Bonds!$H160,6*(19-1))))</f>
        <v/>
      </c>
      <c r="X160" s="3" t="str">
        <f>IF(20&gt;$C160,"",IF($D160=1,EOMONTH(EDATE(Bonds!$H160,6*(20-1)),0),EDATE(Bonds!$H160,6*(20-1))))</f>
        <v/>
      </c>
      <c r="Y160" s="3" t="str">
        <f>IF(21&gt;$C160,"",IF($D160=1,EOMONTH(EDATE(Bonds!$H160,6*(21-1)),0),EDATE(Bonds!$H160,6*(21-1))))</f>
        <v/>
      </c>
      <c r="Z160" s="3" t="str">
        <f>IF(22&gt;$C160,"",IF($D160=1,EOMONTH(EDATE(Bonds!$H160,6*(22-1)),0),EDATE(Bonds!$H160,6*(22-1))))</f>
        <v/>
      </c>
      <c r="AA160" s="3" t="str">
        <f>IF(23&gt;$C160,"",IF($D160=1,EOMONTH(EDATE(Bonds!$H160,6*(23-1)),0),EDATE(Bonds!$H160,6*(23-1))))</f>
        <v/>
      </c>
      <c r="AB160" s="3" t="str">
        <f>IF(24&gt;$C160,"",IF($D160=1,EOMONTH(EDATE(Bonds!$H160,6*(24-1)),0),EDATE(Bonds!$H160,6*(24-1))))</f>
        <v/>
      </c>
      <c r="AC160" s="3" t="str">
        <f>IF(25&gt;$C160,"",IF($D160=1,EOMONTH(EDATE(Bonds!$H160,6*(25-1)),0),EDATE(Bonds!$H160,6*(25-1))))</f>
        <v/>
      </c>
      <c r="AD160" s="3" t="str">
        <f>IF(26&gt;$C160,"",IF($D160=1,EOMONTH(EDATE(Bonds!$H160,6*(26-1)),0),EDATE(Bonds!$H160,6*(26-1))))</f>
        <v/>
      </c>
      <c r="AE160" s="3" t="str">
        <f>IF(27&gt;$C160,"",IF($D160=1,EOMONTH(EDATE(Bonds!$H160,6*(27-1)),0),EDATE(Bonds!$H160,6*(27-1))))</f>
        <v/>
      </c>
      <c r="AF160" s="3" t="str">
        <f>IF(28&gt;$C160,"",IF($D160=1,EOMONTH(EDATE(Bonds!$H160,6*(28-1)),0),EDATE(Bonds!$H160,6*(28-1))))</f>
        <v/>
      </c>
      <c r="AG160" s="3" t="str">
        <f>IF(29&gt;$C160,"",IF($D160=1,EOMONTH(EDATE(Bonds!$H160,6*(29-1)),0),EDATE(Bonds!$H160,6*(29-1))))</f>
        <v/>
      </c>
      <c r="AH160" s="3" t="str">
        <f>IF(30&gt;$C160,"",IF($D160=1,EOMONTH(EDATE(Bonds!$H160,6*(30-1)),0),EDATE(Bonds!$H160,6*(30-1))))</f>
        <v/>
      </c>
      <c r="AI160" s="3" t="str">
        <f>IF(31&gt;$C160,"",IF($D160=1,EOMONTH(EDATE(Bonds!$H160,6*(31-1)),0),EDATE(Bonds!$H160,6*(31-1))))</f>
        <v/>
      </c>
      <c r="AJ160" s="3" t="str">
        <f>IF(32&gt;$C160,"",IF($D160=1,EOMONTH(EDATE(Bonds!$H160,6*(32-1)),0),EDATE(Bonds!$H160,6*(32-1))))</f>
        <v/>
      </c>
      <c r="AK160" s="3" t="str">
        <f>IF(33&gt;$C160,"",IF($D160=1,EOMONTH(EDATE(Bonds!$H160,6*(33-1)),0),EDATE(Bonds!$H160,6*(33-1))))</f>
        <v/>
      </c>
      <c r="AL160" s="3" t="str">
        <f>IF(34&gt;$C160,"",IF($D160=1,EOMONTH(EDATE(Bonds!$H160,6*(34-1)),0),EDATE(Bonds!$H160,6*(34-1))))</f>
        <v/>
      </c>
      <c r="AM160" s="3" t="str">
        <f>IF(35&gt;$C160,"",IF($D160=1,EOMONTH(EDATE(Bonds!$H160,6*(35-1)),0),EDATE(Bonds!$H160,6*(35-1))))</f>
        <v/>
      </c>
      <c r="AN160" s="3" t="str">
        <f>IF(36&gt;$C160,"",IF($D160=1,EOMONTH(EDATE(Bonds!$H160,6*(36-1)),0),EDATE(Bonds!$H160,6*(36-1))))</f>
        <v/>
      </c>
      <c r="AO160" s="3" t="str">
        <f>IF(37&gt;$C160,"",IF($D160=1,EOMONTH(EDATE(Bonds!$H160,6*(37-1)),0),EDATE(Bonds!$H160,6*(37-1))))</f>
        <v/>
      </c>
      <c r="AP160" s="3" t="str">
        <f>IF(38&gt;$C160,"",IF($D160=1,EOMONTH(EDATE(Bonds!$H160,6*(38-1)),0),EDATE(Bonds!$H160,6*(38-1))))</f>
        <v/>
      </c>
      <c r="AQ160" s="3" t="str">
        <f>IF(39&gt;$C160,"",IF($D160=1,EOMONTH(EDATE(Bonds!$H160,6*(39-1)),0),EDATE(Bonds!$H160,6*(39-1))))</f>
        <v/>
      </c>
      <c r="AR160" s="3" t="str">
        <f>IF(40&gt;$C160,"",IF($D160=1,EOMONTH(EDATE(Bonds!$H160,6*(40-1)),0),EDATE(Bonds!$H160,6*(40-1))))</f>
        <v/>
      </c>
      <c r="AS160" s="3" t="str">
        <f>IF(41&gt;$C160,"",IF($D160=1,EOMONTH(EDATE(Bonds!$H160,6*(41-1)),0),EDATE(Bonds!$H160,6*(41-1))))</f>
        <v/>
      </c>
      <c r="AT160" s="3" t="str">
        <f>IF(42&gt;$C160,"",IF($D160=1,EOMONTH(EDATE(Bonds!$H160,6*(42-1)),0),EDATE(Bonds!$H160,6*(42-1))))</f>
        <v/>
      </c>
      <c r="AU160" s="3" t="str">
        <f>IF(43&gt;$C160,"",IF($D160=1,EOMONTH(EDATE(Bonds!$H160,6*(43-1)),0),EDATE(Bonds!$H160,6*(43-1))))</f>
        <v/>
      </c>
      <c r="AV160" s="3" t="str">
        <f>IF(44&gt;$C160,"",IF($D160=1,EOMONTH(EDATE(Bonds!$H160,6*(44-1)),0),EDATE(Bonds!$H160,6*(44-1))))</f>
        <v/>
      </c>
      <c r="AW160" s="3" t="str">
        <f>IF(45&gt;$C160,"",IF($D160=1,EOMONTH(EDATE(Bonds!$H160,6*(45-1)),0),EDATE(Bonds!$H160,6*(45-1))))</f>
        <v/>
      </c>
      <c r="AX160" s="3" t="str">
        <f>IF(46&gt;$C160,"",IF($D160=1,EOMONTH(EDATE(Bonds!$H160,6*(46-1)),0),EDATE(Bonds!$H160,6*(46-1))))</f>
        <v/>
      </c>
      <c r="AY160" s="3" t="str">
        <f>IF(47&gt;$C160,"",IF($D160=1,EOMONTH(EDATE(Bonds!$H160,6*(47-1)),0),EDATE(Bonds!$H160,6*(47-1))))</f>
        <v/>
      </c>
      <c r="AZ160" s="3" t="str">
        <f>IF(48&gt;$C160,"",IF($D160=1,EOMONTH(EDATE(Bonds!$H160,6*(48-1)),0),EDATE(Bonds!$H160,6*(48-1))))</f>
        <v/>
      </c>
      <c r="BA160" s="3" t="str">
        <f>IF(49&gt;$C160,"",IF($D160=1,EOMONTH(EDATE(Bonds!$H160,6*(49-1)),0),EDATE(Bonds!$H160,6*(49-1))))</f>
        <v/>
      </c>
      <c r="BB160" s="3" t="str">
        <f>IF(50&gt;$C160,"",IF($D160=1,EOMONTH(EDATE(Bonds!$H160,6*(50-1)),0),EDATE(Bonds!$H160,6*(50-1))))</f>
        <v/>
      </c>
      <c r="BC160" s="3" t="str">
        <f>IF(51&gt;$C160,"",IF($D160=1,EOMONTH(EDATE(Bonds!$H160,6*(51-1)),0),EDATE(Bonds!$H160,6*(51-1))))</f>
        <v/>
      </c>
      <c r="BD160" s="3" t="str">
        <f>IF(52&gt;$C160,"",IF($D160=1,EOMONTH(EDATE(Bonds!$H160,6*(52-1)),0),EDATE(Bonds!$H160,6*(52-1))))</f>
        <v/>
      </c>
      <c r="BE160" s="3" t="str">
        <f>IF(53&gt;$C160,"",IF($D160=1,EOMONTH(EDATE(Bonds!$H160,6*(53-1)),0),EDATE(Bonds!$H160,6*(53-1))))</f>
        <v/>
      </c>
      <c r="BF160" s="3" t="str">
        <f>IF(54&gt;$C160,"",IF($D160=1,EOMONTH(EDATE(Bonds!$H160,6*(54-1)),0),EDATE(Bonds!$H160,6*(54-1))))</f>
        <v/>
      </c>
      <c r="BG160" s="3" t="str">
        <f>IF(55&gt;$C160,"",IF($D160=1,EOMONTH(EDATE(Bonds!$H160,6*(55-1)),0),EDATE(Bonds!$H160,6*(55-1))))</f>
        <v/>
      </c>
      <c r="BH160" s="3" t="str">
        <f>IF(56&gt;$C160,"",IF($D160=1,EOMONTH(EDATE(Bonds!$H160,6*(56-1)),0),EDATE(Bonds!$H160,6*(56-1))))</f>
        <v/>
      </c>
      <c r="BI160" s="3" t="str">
        <f>IF(57&gt;$C160,"",IF($D160=1,EOMONTH(EDATE(Bonds!$H160,6*(57-1)),0),EDATE(Bonds!$H160,6*(57-1))))</f>
        <v/>
      </c>
      <c r="BJ160" s="3" t="str">
        <f>IF(58&gt;$C160,"",IF($D160=1,EOMONTH(EDATE(Bonds!$H160,6*(58-1)),0),EDATE(Bonds!$H160,6*(58-1))))</f>
        <v/>
      </c>
      <c r="BK160" s="3" t="str">
        <f>IF(59&gt;$C160,"",IF($D160=1,EOMONTH(EDATE(Bonds!$H160,6*(59-1)),0),EDATE(Bonds!$H160,6*(59-1))))</f>
        <v/>
      </c>
      <c r="BL160" s="3" t="str">
        <f>IF(60&gt;$C160,"",IF($D160=1,EOMONTH(EDATE(Bonds!$H160,6*(60-1)),0),EDATE(Bonds!$H160,6*(60-1))))</f>
        <v/>
      </c>
      <c r="BN160" s="7">
        <f t="shared" si="123"/>
        <v>1.989197099728137</v>
      </c>
      <c r="BO160" s="7">
        <f t="shared" si="124"/>
        <v>1.9493800937271408</v>
      </c>
      <c r="BP160" s="7">
        <f t="shared" si="125"/>
        <v>1.9066043500763761</v>
      </c>
      <c r="BQ160" s="7">
        <f t="shared" si="126"/>
        <v>1.863899324908499</v>
      </c>
      <c r="BR160" s="7">
        <f t="shared" si="127"/>
        <v>1.8212895983466124</v>
      </c>
      <c r="BS160" s="7">
        <f t="shared" si="128"/>
        <v>1.7803141507029925</v>
      </c>
      <c r="BT160" s="7">
        <f t="shared" si="129"/>
        <v>88.724313920235446</v>
      </c>
      <c r="BU160" s="7">
        <f t="shared" si="130"/>
        <v>0</v>
      </c>
      <c r="BV160" s="7">
        <f t="shared" si="131"/>
        <v>0</v>
      </c>
      <c r="BW160" s="7">
        <f t="shared" si="132"/>
        <v>0</v>
      </c>
      <c r="BX160" s="7">
        <f t="shared" si="133"/>
        <v>0</v>
      </c>
      <c r="BY160" s="7">
        <f t="shared" si="134"/>
        <v>0</v>
      </c>
      <c r="BZ160" s="7">
        <f t="shared" si="135"/>
        <v>0</v>
      </c>
      <c r="CA160" s="7">
        <f t="shared" si="136"/>
        <v>0</v>
      </c>
      <c r="CB160" s="7">
        <f t="shared" si="137"/>
        <v>0</v>
      </c>
      <c r="CC160" s="7">
        <f t="shared" si="138"/>
        <v>0</v>
      </c>
      <c r="CD160" s="7">
        <f t="shared" si="139"/>
        <v>0</v>
      </c>
      <c r="CE160" s="7">
        <f t="shared" si="140"/>
        <v>0</v>
      </c>
      <c r="CF160" s="7">
        <f t="shared" si="141"/>
        <v>0</v>
      </c>
      <c r="CG160" s="7">
        <f t="shared" si="142"/>
        <v>0</v>
      </c>
      <c r="CH160" s="7">
        <f t="shared" si="143"/>
        <v>0</v>
      </c>
      <c r="CI160" s="7">
        <f t="shared" si="144"/>
        <v>0</v>
      </c>
      <c r="CJ160" s="7">
        <f t="shared" si="145"/>
        <v>0</v>
      </c>
      <c r="CK160" s="7">
        <f t="shared" si="146"/>
        <v>0</v>
      </c>
      <c r="CL160" s="7">
        <f t="shared" si="147"/>
        <v>0</v>
      </c>
      <c r="CM160" s="7">
        <f t="shared" si="148"/>
        <v>0</v>
      </c>
      <c r="CN160" s="7">
        <f t="shared" si="149"/>
        <v>0</v>
      </c>
      <c r="CO160" s="7">
        <f t="shared" si="150"/>
        <v>0</v>
      </c>
      <c r="CP160" s="7">
        <f t="shared" si="151"/>
        <v>0</v>
      </c>
      <c r="CQ160" s="7">
        <f t="shared" si="152"/>
        <v>0</v>
      </c>
      <c r="CR160" s="7">
        <f t="shared" si="153"/>
        <v>0</v>
      </c>
      <c r="CS160" s="7">
        <f t="shared" si="154"/>
        <v>0</v>
      </c>
      <c r="CT160" s="7">
        <f t="shared" si="155"/>
        <v>0</v>
      </c>
      <c r="CU160" s="7">
        <f t="shared" si="156"/>
        <v>0</v>
      </c>
      <c r="CV160" s="7">
        <f t="shared" si="157"/>
        <v>0</v>
      </c>
      <c r="CW160" s="7">
        <f t="shared" si="158"/>
        <v>0</v>
      </c>
      <c r="CX160" s="7">
        <f t="shared" si="159"/>
        <v>0</v>
      </c>
      <c r="CY160" s="7">
        <f t="shared" si="160"/>
        <v>0</v>
      </c>
      <c r="CZ160" s="7">
        <f t="shared" si="161"/>
        <v>0</v>
      </c>
      <c r="DA160" s="7">
        <f t="shared" si="162"/>
        <v>0</v>
      </c>
      <c r="DB160" s="7">
        <f t="shared" si="163"/>
        <v>0</v>
      </c>
      <c r="DC160" s="7">
        <f t="shared" si="164"/>
        <v>0</v>
      </c>
      <c r="DD160" s="7">
        <f t="shared" si="165"/>
        <v>0</v>
      </c>
      <c r="DE160" s="7">
        <f t="shared" si="166"/>
        <v>0</v>
      </c>
      <c r="DF160" s="7">
        <f t="shared" si="167"/>
        <v>0</v>
      </c>
      <c r="DG160" s="7">
        <f t="shared" si="168"/>
        <v>0</v>
      </c>
      <c r="DH160" s="7">
        <f t="shared" si="169"/>
        <v>0</v>
      </c>
      <c r="DI160" s="7">
        <f t="shared" si="170"/>
        <v>0</v>
      </c>
      <c r="DJ160" s="7">
        <f t="shared" si="171"/>
        <v>0</v>
      </c>
      <c r="DK160" s="7">
        <f t="shared" si="172"/>
        <v>0</v>
      </c>
      <c r="DL160" s="7">
        <f t="shared" si="173"/>
        <v>0</v>
      </c>
      <c r="DM160" s="7">
        <f t="shared" si="174"/>
        <v>0</v>
      </c>
      <c r="DN160" s="7">
        <f t="shared" si="175"/>
        <v>0</v>
      </c>
      <c r="DO160" s="7">
        <f t="shared" si="176"/>
        <v>0</v>
      </c>
      <c r="DP160" s="7">
        <f t="shared" si="177"/>
        <v>0</v>
      </c>
      <c r="DQ160" s="7">
        <f t="shared" si="178"/>
        <v>0</v>
      </c>
      <c r="DR160" s="7">
        <f t="shared" si="179"/>
        <v>0</v>
      </c>
      <c r="DS160" s="7">
        <f t="shared" si="180"/>
        <v>0</v>
      </c>
      <c r="DT160" s="7">
        <f t="shared" si="181"/>
        <v>0</v>
      </c>
      <c r="DU160" s="7">
        <f t="shared" si="182"/>
        <v>0</v>
      </c>
    </row>
    <row r="161" spans="1:125" x14ac:dyDescent="0.2">
      <c r="A161" s="3">
        <f>Bonds!A161</f>
        <v>47422</v>
      </c>
      <c r="B161" s="4">
        <f>Bonds!B161</f>
        <v>4.125</v>
      </c>
      <c r="C161">
        <f>Bonds!P161</f>
        <v>7</v>
      </c>
      <c r="D161">
        <f t="shared" si="122"/>
        <v>1</v>
      </c>
      <c r="E161" s="3">
        <f>IF(1&gt;$C161,"",IF($D161=1,EOMONTH(EDATE(Bonds!$H161,6*(1-1)),0),EDATE(Bonds!$H161,6*(1-1))))</f>
        <v>46326</v>
      </c>
      <c r="F161" s="3">
        <f>IF(2&gt;$C161,"",IF($D161=1,EOMONTH(EDATE(Bonds!$H161,6*(2-1)),0),EDATE(Bonds!$H161,6*(2-1))))</f>
        <v>46507</v>
      </c>
      <c r="G161" s="3">
        <f>IF(3&gt;$C161,"",IF($D161=1,EOMONTH(EDATE(Bonds!$H161,6*(3-1)),0),EDATE(Bonds!$H161,6*(3-1))))</f>
        <v>46691</v>
      </c>
      <c r="H161" s="3">
        <f>IF(4&gt;$C161,"",IF($D161=1,EOMONTH(EDATE(Bonds!$H161,6*(4-1)),0),EDATE(Bonds!$H161,6*(4-1))))</f>
        <v>46873</v>
      </c>
      <c r="I161" s="3">
        <f>IF(5&gt;$C161,"",IF($D161=1,EOMONTH(EDATE(Bonds!$H161,6*(5-1)),0),EDATE(Bonds!$H161,6*(5-1))))</f>
        <v>47057</v>
      </c>
      <c r="J161" s="3">
        <f>IF(6&gt;$C161,"",IF($D161=1,EOMONTH(EDATE(Bonds!$H161,6*(6-1)),0),EDATE(Bonds!$H161,6*(6-1))))</f>
        <v>47238</v>
      </c>
      <c r="K161" s="3">
        <f>IF(7&gt;$C161,"",IF($D161=1,EOMONTH(EDATE(Bonds!$H161,6*(7-1)),0),EDATE(Bonds!$H161,6*(7-1))))</f>
        <v>47422</v>
      </c>
      <c r="L161" s="3" t="str">
        <f>IF(8&gt;$C161,"",IF($D161=1,EOMONTH(EDATE(Bonds!$H161,6*(8-1)),0),EDATE(Bonds!$H161,6*(8-1))))</f>
        <v/>
      </c>
      <c r="M161" s="3" t="str">
        <f>IF(9&gt;$C161,"",IF($D161=1,EOMONTH(EDATE(Bonds!$H161,6*(9-1)),0),EDATE(Bonds!$H161,6*(9-1))))</f>
        <v/>
      </c>
      <c r="N161" s="3" t="str">
        <f>IF(10&gt;$C161,"",IF($D161=1,EOMONTH(EDATE(Bonds!$H161,6*(10-1)),0),EDATE(Bonds!$H161,6*(10-1))))</f>
        <v/>
      </c>
      <c r="O161" s="3" t="str">
        <f>IF(11&gt;$C161,"",IF($D161=1,EOMONTH(EDATE(Bonds!$H161,6*(11-1)),0),EDATE(Bonds!$H161,6*(11-1))))</f>
        <v/>
      </c>
      <c r="P161" s="3" t="str">
        <f>IF(12&gt;$C161,"",IF($D161=1,EOMONTH(EDATE(Bonds!$H161,6*(12-1)),0),EDATE(Bonds!$H161,6*(12-1))))</f>
        <v/>
      </c>
      <c r="Q161" s="3" t="str">
        <f>IF(13&gt;$C161,"",IF($D161=1,EOMONTH(EDATE(Bonds!$H161,6*(13-1)),0),EDATE(Bonds!$H161,6*(13-1))))</f>
        <v/>
      </c>
      <c r="R161" s="3" t="str">
        <f>IF(14&gt;$C161,"",IF($D161=1,EOMONTH(EDATE(Bonds!$H161,6*(14-1)),0),EDATE(Bonds!$H161,6*(14-1))))</f>
        <v/>
      </c>
      <c r="S161" s="3" t="str">
        <f>IF(15&gt;$C161,"",IF($D161=1,EOMONTH(EDATE(Bonds!$H161,6*(15-1)),0),EDATE(Bonds!$H161,6*(15-1))))</f>
        <v/>
      </c>
      <c r="T161" s="3" t="str">
        <f>IF(16&gt;$C161,"",IF($D161=1,EOMONTH(EDATE(Bonds!$H161,6*(16-1)),0),EDATE(Bonds!$H161,6*(16-1))))</f>
        <v/>
      </c>
      <c r="U161" s="3" t="str">
        <f>IF(17&gt;$C161,"",IF($D161=1,EOMONTH(EDATE(Bonds!$H161,6*(17-1)),0),EDATE(Bonds!$H161,6*(17-1))))</f>
        <v/>
      </c>
      <c r="V161" s="3" t="str">
        <f>IF(18&gt;$C161,"",IF($D161=1,EOMONTH(EDATE(Bonds!$H161,6*(18-1)),0),EDATE(Bonds!$H161,6*(18-1))))</f>
        <v/>
      </c>
      <c r="W161" s="3" t="str">
        <f>IF(19&gt;$C161,"",IF($D161=1,EOMONTH(EDATE(Bonds!$H161,6*(19-1)),0),EDATE(Bonds!$H161,6*(19-1))))</f>
        <v/>
      </c>
      <c r="X161" s="3" t="str">
        <f>IF(20&gt;$C161,"",IF($D161=1,EOMONTH(EDATE(Bonds!$H161,6*(20-1)),0),EDATE(Bonds!$H161,6*(20-1))))</f>
        <v/>
      </c>
      <c r="Y161" s="3" t="str">
        <f>IF(21&gt;$C161,"",IF($D161=1,EOMONTH(EDATE(Bonds!$H161,6*(21-1)),0),EDATE(Bonds!$H161,6*(21-1))))</f>
        <v/>
      </c>
      <c r="Z161" s="3" t="str">
        <f>IF(22&gt;$C161,"",IF($D161=1,EOMONTH(EDATE(Bonds!$H161,6*(22-1)),0),EDATE(Bonds!$H161,6*(22-1))))</f>
        <v/>
      </c>
      <c r="AA161" s="3" t="str">
        <f>IF(23&gt;$C161,"",IF($D161=1,EOMONTH(EDATE(Bonds!$H161,6*(23-1)),0),EDATE(Bonds!$H161,6*(23-1))))</f>
        <v/>
      </c>
      <c r="AB161" s="3" t="str">
        <f>IF(24&gt;$C161,"",IF($D161=1,EOMONTH(EDATE(Bonds!$H161,6*(24-1)),0),EDATE(Bonds!$H161,6*(24-1))))</f>
        <v/>
      </c>
      <c r="AC161" s="3" t="str">
        <f>IF(25&gt;$C161,"",IF($D161=1,EOMONTH(EDATE(Bonds!$H161,6*(25-1)),0),EDATE(Bonds!$H161,6*(25-1))))</f>
        <v/>
      </c>
      <c r="AD161" s="3" t="str">
        <f>IF(26&gt;$C161,"",IF($D161=1,EOMONTH(EDATE(Bonds!$H161,6*(26-1)),0),EDATE(Bonds!$H161,6*(26-1))))</f>
        <v/>
      </c>
      <c r="AE161" s="3" t="str">
        <f>IF(27&gt;$C161,"",IF($D161=1,EOMONTH(EDATE(Bonds!$H161,6*(27-1)),0),EDATE(Bonds!$H161,6*(27-1))))</f>
        <v/>
      </c>
      <c r="AF161" s="3" t="str">
        <f>IF(28&gt;$C161,"",IF($D161=1,EOMONTH(EDATE(Bonds!$H161,6*(28-1)),0),EDATE(Bonds!$H161,6*(28-1))))</f>
        <v/>
      </c>
      <c r="AG161" s="3" t="str">
        <f>IF(29&gt;$C161,"",IF($D161=1,EOMONTH(EDATE(Bonds!$H161,6*(29-1)),0),EDATE(Bonds!$H161,6*(29-1))))</f>
        <v/>
      </c>
      <c r="AH161" s="3" t="str">
        <f>IF(30&gt;$C161,"",IF($D161=1,EOMONTH(EDATE(Bonds!$H161,6*(30-1)),0),EDATE(Bonds!$H161,6*(30-1))))</f>
        <v/>
      </c>
      <c r="AI161" s="3" t="str">
        <f>IF(31&gt;$C161,"",IF($D161=1,EOMONTH(EDATE(Bonds!$H161,6*(31-1)),0),EDATE(Bonds!$H161,6*(31-1))))</f>
        <v/>
      </c>
      <c r="AJ161" s="3" t="str">
        <f>IF(32&gt;$C161,"",IF($D161=1,EOMONTH(EDATE(Bonds!$H161,6*(32-1)),0),EDATE(Bonds!$H161,6*(32-1))))</f>
        <v/>
      </c>
      <c r="AK161" s="3" t="str">
        <f>IF(33&gt;$C161,"",IF($D161=1,EOMONTH(EDATE(Bonds!$H161,6*(33-1)),0),EDATE(Bonds!$H161,6*(33-1))))</f>
        <v/>
      </c>
      <c r="AL161" s="3" t="str">
        <f>IF(34&gt;$C161,"",IF($D161=1,EOMONTH(EDATE(Bonds!$H161,6*(34-1)),0),EDATE(Bonds!$H161,6*(34-1))))</f>
        <v/>
      </c>
      <c r="AM161" s="3" t="str">
        <f>IF(35&gt;$C161,"",IF($D161=1,EOMONTH(EDATE(Bonds!$H161,6*(35-1)),0),EDATE(Bonds!$H161,6*(35-1))))</f>
        <v/>
      </c>
      <c r="AN161" s="3" t="str">
        <f>IF(36&gt;$C161,"",IF($D161=1,EOMONTH(EDATE(Bonds!$H161,6*(36-1)),0),EDATE(Bonds!$H161,6*(36-1))))</f>
        <v/>
      </c>
      <c r="AO161" s="3" t="str">
        <f>IF(37&gt;$C161,"",IF($D161=1,EOMONTH(EDATE(Bonds!$H161,6*(37-1)),0),EDATE(Bonds!$H161,6*(37-1))))</f>
        <v/>
      </c>
      <c r="AP161" s="3" t="str">
        <f>IF(38&gt;$C161,"",IF($D161=1,EOMONTH(EDATE(Bonds!$H161,6*(38-1)),0),EDATE(Bonds!$H161,6*(38-1))))</f>
        <v/>
      </c>
      <c r="AQ161" s="3" t="str">
        <f>IF(39&gt;$C161,"",IF($D161=1,EOMONTH(EDATE(Bonds!$H161,6*(39-1)),0),EDATE(Bonds!$H161,6*(39-1))))</f>
        <v/>
      </c>
      <c r="AR161" s="3" t="str">
        <f>IF(40&gt;$C161,"",IF($D161=1,EOMONTH(EDATE(Bonds!$H161,6*(40-1)),0),EDATE(Bonds!$H161,6*(40-1))))</f>
        <v/>
      </c>
      <c r="AS161" s="3" t="str">
        <f>IF(41&gt;$C161,"",IF($D161=1,EOMONTH(EDATE(Bonds!$H161,6*(41-1)),0),EDATE(Bonds!$H161,6*(41-1))))</f>
        <v/>
      </c>
      <c r="AT161" s="3" t="str">
        <f>IF(42&gt;$C161,"",IF($D161=1,EOMONTH(EDATE(Bonds!$H161,6*(42-1)),0),EDATE(Bonds!$H161,6*(42-1))))</f>
        <v/>
      </c>
      <c r="AU161" s="3" t="str">
        <f>IF(43&gt;$C161,"",IF($D161=1,EOMONTH(EDATE(Bonds!$H161,6*(43-1)),0),EDATE(Bonds!$H161,6*(43-1))))</f>
        <v/>
      </c>
      <c r="AV161" s="3" t="str">
        <f>IF(44&gt;$C161,"",IF($D161=1,EOMONTH(EDATE(Bonds!$H161,6*(44-1)),0),EDATE(Bonds!$H161,6*(44-1))))</f>
        <v/>
      </c>
      <c r="AW161" s="3" t="str">
        <f>IF(45&gt;$C161,"",IF($D161=1,EOMONTH(EDATE(Bonds!$H161,6*(45-1)),0),EDATE(Bonds!$H161,6*(45-1))))</f>
        <v/>
      </c>
      <c r="AX161" s="3" t="str">
        <f>IF(46&gt;$C161,"",IF($D161=1,EOMONTH(EDATE(Bonds!$H161,6*(46-1)),0),EDATE(Bonds!$H161,6*(46-1))))</f>
        <v/>
      </c>
      <c r="AY161" s="3" t="str">
        <f>IF(47&gt;$C161,"",IF($D161=1,EOMONTH(EDATE(Bonds!$H161,6*(47-1)),0),EDATE(Bonds!$H161,6*(47-1))))</f>
        <v/>
      </c>
      <c r="AZ161" s="3" t="str">
        <f>IF(48&gt;$C161,"",IF($D161=1,EOMONTH(EDATE(Bonds!$H161,6*(48-1)),0),EDATE(Bonds!$H161,6*(48-1))))</f>
        <v/>
      </c>
      <c r="BA161" s="3" t="str">
        <f>IF(49&gt;$C161,"",IF($D161=1,EOMONTH(EDATE(Bonds!$H161,6*(49-1)),0),EDATE(Bonds!$H161,6*(49-1))))</f>
        <v/>
      </c>
      <c r="BB161" s="3" t="str">
        <f>IF(50&gt;$C161,"",IF($D161=1,EOMONTH(EDATE(Bonds!$H161,6*(50-1)),0),EDATE(Bonds!$H161,6*(50-1))))</f>
        <v/>
      </c>
      <c r="BC161" s="3" t="str">
        <f>IF(51&gt;$C161,"",IF($D161=1,EOMONTH(EDATE(Bonds!$H161,6*(51-1)),0),EDATE(Bonds!$H161,6*(51-1))))</f>
        <v/>
      </c>
      <c r="BD161" s="3" t="str">
        <f>IF(52&gt;$C161,"",IF($D161=1,EOMONTH(EDATE(Bonds!$H161,6*(52-1)),0),EDATE(Bonds!$H161,6*(52-1))))</f>
        <v/>
      </c>
      <c r="BE161" s="3" t="str">
        <f>IF(53&gt;$C161,"",IF($D161=1,EOMONTH(EDATE(Bonds!$H161,6*(53-1)),0),EDATE(Bonds!$H161,6*(53-1))))</f>
        <v/>
      </c>
      <c r="BF161" s="3" t="str">
        <f>IF(54&gt;$C161,"",IF($D161=1,EOMONTH(EDATE(Bonds!$H161,6*(54-1)),0),EDATE(Bonds!$H161,6*(54-1))))</f>
        <v/>
      </c>
      <c r="BG161" s="3" t="str">
        <f>IF(55&gt;$C161,"",IF($D161=1,EOMONTH(EDATE(Bonds!$H161,6*(55-1)),0),EDATE(Bonds!$H161,6*(55-1))))</f>
        <v/>
      </c>
      <c r="BH161" s="3" t="str">
        <f>IF(56&gt;$C161,"",IF($D161=1,EOMONTH(EDATE(Bonds!$H161,6*(56-1)),0),EDATE(Bonds!$H161,6*(56-1))))</f>
        <v/>
      </c>
      <c r="BI161" s="3" t="str">
        <f>IF(57&gt;$C161,"",IF($D161=1,EOMONTH(EDATE(Bonds!$H161,6*(57-1)),0),EDATE(Bonds!$H161,6*(57-1))))</f>
        <v/>
      </c>
      <c r="BJ161" s="3" t="str">
        <f>IF(58&gt;$C161,"",IF($D161=1,EOMONTH(EDATE(Bonds!$H161,6*(58-1)),0),EDATE(Bonds!$H161,6*(58-1))))</f>
        <v/>
      </c>
      <c r="BK161" s="3" t="str">
        <f>IF(59&gt;$C161,"",IF($D161=1,EOMONTH(EDATE(Bonds!$H161,6*(59-1)),0),EDATE(Bonds!$H161,6*(59-1))))</f>
        <v/>
      </c>
      <c r="BL161" s="3" t="str">
        <f>IF(60&gt;$C161,"",IF($D161=1,EOMONTH(EDATE(Bonds!$H161,6*(60-1)),0),EDATE(Bonds!$H161,6*(60-1))))</f>
        <v/>
      </c>
      <c r="BN161" s="7">
        <f t="shared" si="123"/>
        <v>2.0513595090946413</v>
      </c>
      <c r="BO161" s="7">
        <f t="shared" si="124"/>
        <v>2.010298221656114</v>
      </c>
      <c r="BP161" s="7">
        <f t="shared" si="125"/>
        <v>1.9661857360162629</v>
      </c>
      <c r="BQ161" s="7">
        <f t="shared" si="126"/>
        <v>1.9221461788118896</v>
      </c>
      <c r="BR161" s="7">
        <f t="shared" si="127"/>
        <v>1.878204898294944</v>
      </c>
      <c r="BS161" s="7">
        <f t="shared" si="128"/>
        <v>1.835948967912461</v>
      </c>
      <c r="BT161" s="7">
        <f t="shared" si="129"/>
        <v>88.778679308666966</v>
      </c>
      <c r="BU161" s="7">
        <f t="shared" si="130"/>
        <v>0</v>
      </c>
      <c r="BV161" s="7">
        <f t="shared" si="131"/>
        <v>0</v>
      </c>
      <c r="BW161" s="7">
        <f t="shared" si="132"/>
        <v>0</v>
      </c>
      <c r="BX161" s="7">
        <f t="shared" si="133"/>
        <v>0</v>
      </c>
      <c r="BY161" s="7">
        <f t="shared" si="134"/>
        <v>0</v>
      </c>
      <c r="BZ161" s="7">
        <f t="shared" si="135"/>
        <v>0</v>
      </c>
      <c r="CA161" s="7">
        <f t="shared" si="136"/>
        <v>0</v>
      </c>
      <c r="CB161" s="7">
        <f t="shared" si="137"/>
        <v>0</v>
      </c>
      <c r="CC161" s="7">
        <f t="shared" si="138"/>
        <v>0</v>
      </c>
      <c r="CD161" s="7">
        <f t="shared" si="139"/>
        <v>0</v>
      </c>
      <c r="CE161" s="7">
        <f t="shared" si="140"/>
        <v>0</v>
      </c>
      <c r="CF161" s="7">
        <f t="shared" si="141"/>
        <v>0</v>
      </c>
      <c r="CG161" s="7">
        <f t="shared" si="142"/>
        <v>0</v>
      </c>
      <c r="CH161" s="7">
        <f t="shared" si="143"/>
        <v>0</v>
      </c>
      <c r="CI161" s="7">
        <f t="shared" si="144"/>
        <v>0</v>
      </c>
      <c r="CJ161" s="7">
        <f t="shared" si="145"/>
        <v>0</v>
      </c>
      <c r="CK161" s="7">
        <f t="shared" si="146"/>
        <v>0</v>
      </c>
      <c r="CL161" s="7">
        <f t="shared" si="147"/>
        <v>0</v>
      </c>
      <c r="CM161" s="7">
        <f t="shared" si="148"/>
        <v>0</v>
      </c>
      <c r="CN161" s="7">
        <f t="shared" si="149"/>
        <v>0</v>
      </c>
      <c r="CO161" s="7">
        <f t="shared" si="150"/>
        <v>0</v>
      </c>
      <c r="CP161" s="7">
        <f t="shared" si="151"/>
        <v>0</v>
      </c>
      <c r="CQ161" s="7">
        <f t="shared" si="152"/>
        <v>0</v>
      </c>
      <c r="CR161" s="7">
        <f t="shared" si="153"/>
        <v>0</v>
      </c>
      <c r="CS161" s="7">
        <f t="shared" si="154"/>
        <v>0</v>
      </c>
      <c r="CT161" s="7">
        <f t="shared" si="155"/>
        <v>0</v>
      </c>
      <c r="CU161" s="7">
        <f t="shared" si="156"/>
        <v>0</v>
      </c>
      <c r="CV161" s="7">
        <f t="shared" si="157"/>
        <v>0</v>
      </c>
      <c r="CW161" s="7">
        <f t="shared" si="158"/>
        <v>0</v>
      </c>
      <c r="CX161" s="7">
        <f t="shared" si="159"/>
        <v>0</v>
      </c>
      <c r="CY161" s="7">
        <f t="shared" si="160"/>
        <v>0</v>
      </c>
      <c r="CZ161" s="7">
        <f t="shared" si="161"/>
        <v>0</v>
      </c>
      <c r="DA161" s="7">
        <f t="shared" si="162"/>
        <v>0</v>
      </c>
      <c r="DB161" s="7">
        <f t="shared" si="163"/>
        <v>0</v>
      </c>
      <c r="DC161" s="7">
        <f t="shared" si="164"/>
        <v>0</v>
      </c>
      <c r="DD161" s="7">
        <f t="shared" si="165"/>
        <v>0</v>
      </c>
      <c r="DE161" s="7">
        <f t="shared" si="166"/>
        <v>0</v>
      </c>
      <c r="DF161" s="7">
        <f t="shared" si="167"/>
        <v>0</v>
      </c>
      <c r="DG161" s="7">
        <f t="shared" si="168"/>
        <v>0</v>
      </c>
      <c r="DH161" s="7">
        <f t="shared" si="169"/>
        <v>0</v>
      </c>
      <c r="DI161" s="7">
        <f t="shared" si="170"/>
        <v>0</v>
      </c>
      <c r="DJ161" s="7">
        <f t="shared" si="171"/>
        <v>0</v>
      </c>
      <c r="DK161" s="7">
        <f t="shared" si="172"/>
        <v>0</v>
      </c>
      <c r="DL161" s="7">
        <f t="shared" si="173"/>
        <v>0</v>
      </c>
      <c r="DM161" s="7">
        <f t="shared" si="174"/>
        <v>0</v>
      </c>
      <c r="DN161" s="7">
        <f t="shared" si="175"/>
        <v>0</v>
      </c>
      <c r="DO161" s="7">
        <f t="shared" si="176"/>
        <v>0</v>
      </c>
      <c r="DP161" s="7">
        <f t="shared" si="177"/>
        <v>0</v>
      </c>
      <c r="DQ161" s="7">
        <f t="shared" si="178"/>
        <v>0</v>
      </c>
      <c r="DR161" s="7">
        <f t="shared" si="179"/>
        <v>0</v>
      </c>
      <c r="DS161" s="7">
        <f t="shared" si="180"/>
        <v>0</v>
      </c>
      <c r="DT161" s="7">
        <f t="shared" si="181"/>
        <v>0</v>
      </c>
      <c r="DU161" s="7">
        <f t="shared" si="182"/>
        <v>0</v>
      </c>
    </row>
    <row r="162" spans="1:125" x14ac:dyDescent="0.2">
      <c r="A162" s="3">
        <f>Bonds!A162</f>
        <v>47437</v>
      </c>
      <c r="B162" s="4">
        <f>Bonds!B162</f>
        <v>1.75</v>
      </c>
      <c r="C162">
        <f>Bonds!P162</f>
        <v>7</v>
      </c>
      <c r="D162">
        <f t="shared" si="122"/>
        <v>0</v>
      </c>
      <c r="E162" s="3">
        <f>IF(1&gt;$C162,"",IF($D162=1,EOMONTH(EDATE(Bonds!$H162,6*(1-1)),0),EDATE(Bonds!$H162,6*(1-1))))</f>
        <v>46341</v>
      </c>
      <c r="F162" s="3">
        <f>IF(2&gt;$C162,"",IF($D162=1,EOMONTH(EDATE(Bonds!$H162,6*(2-1)),0),EDATE(Bonds!$H162,6*(2-1))))</f>
        <v>46522</v>
      </c>
      <c r="G162" s="3">
        <f>IF(3&gt;$C162,"",IF($D162=1,EOMONTH(EDATE(Bonds!$H162,6*(3-1)),0),EDATE(Bonds!$H162,6*(3-1))))</f>
        <v>46706</v>
      </c>
      <c r="H162" s="3">
        <f>IF(4&gt;$C162,"",IF($D162=1,EOMONTH(EDATE(Bonds!$H162,6*(4-1)),0),EDATE(Bonds!$H162,6*(4-1))))</f>
        <v>46888</v>
      </c>
      <c r="I162" s="3">
        <f>IF(5&gt;$C162,"",IF($D162=1,EOMONTH(EDATE(Bonds!$H162,6*(5-1)),0),EDATE(Bonds!$H162,6*(5-1))))</f>
        <v>47072</v>
      </c>
      <c r="J162" s="3">
        <f>IF(6&gt;$C162,"",IF($D162=1,EOMONTH(EDATE(Bonds!$H162,6*(6-1)),0),EDATE(Bonds!$H162,6*(6-1))))</f>
        <v>47253</v>
      </c>
      <c r="K162" s="3">
        <f>IF(7&gt;$C162,"",IF($D162=1,EOMONTH(EDATE(Bonds!$H162,6*(7-1)),0),EDATE(Bonds!$H162,6*(7-1))))</f>
        <v>47437</v>
      </c>
      <c r="L162" s="3" t="str">
        <f>IF(8&gt;$C162,"",IF($D162=1,EOMONTH(EDATE(Bonds!$H162,6*(8-1)),0),EDATE(Bonds!$H162,6*(8-1))))</f>
        <v/>
      </c>
      <c r="M162" s="3" t="str">
        <f>IF(9&gt;$C162,"",IF($D162=1,EOMONTH(EDATE(Bonds!$H162,6*(9-1)),0),EDATE(Bonds!$H162,6*(9-1))))</f>
        <v/>
      </c>
      <c r="N162" s="3" t="str">
        <f>IF(10&gt;$C162,"",IF($D162=1,EOMONTH(EDATE(Bonds!$H162,6*(10-1)),0),EDATE(Bonds!$H162,6*(10-1))))</f>
        <v/>
      </c>
      <c r="O162" s="3" t="str">
        <f>IF(11&gt;$C162,"",IF($D162=1,EOMONTH(EDATE(Bonds!$H162,6*(11-1)),0),EDATE(Bonds!$H162,6*(11-1))))</f>
        <v/>
      </c>
      <c r="P162" s="3" t="str">
        <f>IF(12&gt;$C162,"",IF($D162=1,EOMONTH(EDATE(Bonds!$H162,6*(12-1)),0),EDATE(Bonds!$H162,6*(12-1))))</f>
        <v/>
      </c>
      <c r="Q162" s="3" t="str">
        <f>IF(13&gt;$C162,"",IF($D162=1,EOMONTH(EDATE(Bonds!$H162,6*(13-1)),0),EDATE(Bonds!$H162,6*(13-1))))</f>
        <v/>
      </c>
      <c r="R162" s="3" t="str">
        <f>IF(14&gt;$C162,"",IF($D162=1,EOMONTH(EDATE(Bonds!$H162,6*(14-1)),0),EDATE(Bonds!$H162,6*(14-1))))</f>
        <v/>
      </c>
      <c r="S162" s="3" t="str">
        <f>IF(15&gt;$C162,"",IF($D162=1,EOMONTH(EDATE(Bonds!$H162,6*(15-1)),0),EDATE(Bonds!$H162,6*(15-1))))</f>
        <v/>
      </c>
      <c r="T162" s="3" t="str">
        <f>IF(16&gt;$C162,"",IF($D162=1,EOMONTH(EDATE(Bonds!$H162,6*(16-1)),0),EDATE(Bonds!$H162,6*(16-1))))</f>
        <v/>
      </c>
      <c r="U162" s="3" t="str">
        <f>IF(17&gt;$C162,"",IF($D162=1,EOMONTH(EDATE(Bonds!$H162,6*(17-1)),0),EDATE(Bonds!$H162,6*(17-1))))</f>
        <v/>
      </c>
      <c r="V162" s="3" t="str">
        <f>IF(18&gt;$C162,"",IF($D162=1,EOMONTH(EDATE(Bonds!$H162,6*(18-1)),0),EDATE(Bonds!$H162,6*(18-1))))</f>
        <v/>
      </c>
      <c r="W162" s="3" t="str">
        <f>IF(19&gt;$C162,"",IF($D162=1,EOMONTH(EDATE(Bonds!$H162,6*(19-1)),0),EDATE(Bonds!$H162,6*(19-1))))</f>
        <v/>
      </c>
      <c r="X162" s="3" t="str">
        <f>IF(20&gt;$C162,"",IF($D162=1,EOMONTH(EDATE(Bonds!$H162,6*(20-1)),0),EDATE(Bonds!$H162,6*(20-1))))</f>
        <v/>
      </c>
      <c r="Y162" s="3" t="str">
        <f>IF(21&gt;$C162,"",IF($D162=1,EOMONTH(EDATE(Bonds!$H162,6*(21-1)),0),EDATE(Bonds!$H162,6*(21-1))))</f>
        <v/>
      </c>
      <c r="Z162" s="3" t="str">
        <f>IF(22&gt;$C162,"",IF($D162=1,EOMONTH(EDATE(Bonds!$H162,6*(22-1)),0),EDATE(Bonds!$H162,6*(22-1))))</f>
        <v/>
      </c>
      <c r="AA162" s="3" t="str">
        <f>IF(23&gt;$C162,"",IF($D162=1,EOMONTH(EDATE(Bonds!$H162,6*(23-1)),0),EDATE(Bonds!$H162,6*(23-1))))</f>
        <v/>
      </c>
      <c r="AB162" s="3" t="str">
        <f>IF(24&gt;$C162,"",IF($D162=1,EOMONTH(EDATE(Bonds!$H162,6*(24-1)),0),EDATE(Bonds!$H162,6*(24-1))))</f>
        <v/>
      </c>
      <c r="AC162" s="3" t="str">
        <f>IF(25&gt;$C162,"",IF($D162=1,EOMONTH(EDATE(Bonds!$H162,6*(25-1)),0),EDATE(Bonds!$H162,6*(25-1))))</f>
        <v/>
      </c>
      <c r="AD162" s="3" t="str">
        <f>IF(26&gt;$C162,"",IF($D162=1,EOMONTH(EDATE(Bonds!$H162,6*(26-1)),0),EDATE(Bonds!$H162,6*(26-1))))</f>
        <v/>
      </c>
      <c r="AE162" s="3" t="str">
        <f>IF(27&gt;$C162,"",IF($D162=1,EOMONTH(EDATE(Bonds!$H162,6*(27-1)),0),EDATE(Bonds!$H162,6*(27-1))))</f>
        <v/>
      </c>
      <c r="AF162" s="3" t="str">
        <f>IF(28&gt;$C162,"",IF($D162=1,EOMONTH(EDATE(Bonds!$H162,6*(28-1)),0),EDATE(Bonds!$H162,6*(28-1))))</f>
        <v/>
      </c>
      <c r="AG162" s="3" t="str">
        <f>IF(29&gt;$C162,"",IF($D162=1,EOMONTH(EDATE(Bonds!$H162,6*(29-1)),0),EDATE(Bonds!$H162,6*(29-1))))</f>
        <v/>
      </c>
      <c r="AH162" s="3" t="str">
        <f>IF(30&gt;$C162,"",IF($D162=1,EOMONTH(EDATE(Bonds!$H162,6*(30-1)),0),EDATE(Bonds!$H162,6*(30-1))))</f>
        <v/>
      </c>
      <c r="AI162" s="3" t="str">
        <f>IF(31&gt;$C162,"",IF($D162=1,EOMONTH(EDATE(Bonds!$H162,6*(31-1)),0),EDATE(Bonds!$H162,6*(31-1))))</f>
        <v/>
      </c>
      <c r="AJ162" s="3" t="str">
        <f>IF(32&gt;$C162,"",IF($D162=1,EOMONTH(EDATE(Bonds!$H162,6*(32-1)),0),EDATE(Bonds!$H162,6*(32-1))))</f>
        <v/>
      </c>
      <c r="AK162" s="3" t="str">
        <f>IF(33&gt;$C162,"",IF($D162=1,EOMONTH(EDATE(Bonds!$H162,6*(33-1)),0),EDATE(Bonds!$H162,6*(33-1))))</f>
        <v/>
      </c>
      <c r="AL162" s="3" t="str">
        <f>IF(34&gt;$C162,"",IF($D162=1,EOMONTH(EDATE(Bonds!$H162,6*(34-1)),0),EDATE(Bonds!$H162,6*(34-1))))</f>
        <v/>
      </c>
      <c r="AM162" s="3" t="str">
        <f>IF(35&gt;$C162,"",IF($D162=1,EOMONTH(EDATE(Bonds!$H162,6*(35-1)),0),EDATE(Bonds!$H162,6*(35-1))))</f>
        <v/>
      </c>
      <c r="AN162" s="3" t="str">
        <f>IF(36&gt;$C162,"",IF($D162=1,EOMONTH(EDATE(Bonds!$H162,6*(36-1)),0),EDATE(Bonds!$H162,6*(36-1))))</f>
        <v/>
      </c>
      <c r="AO162" s="3" t="str">
        <f>IF(37&gt;$C162,"",IF($D162=1,EOMONTH(EDATE(Bonds!$H162,6*(37-1)),0),EDATE(Bonds!$H162,6*(37-1))))</f>
        <v/>
      </c>
      <c r="AP162" s="3" t="str">
        <f>IF(38&gt;$C162,"",IF($D162=1,EOMONTH(EDATE(Bonds!$H162,6*(38-1)),0),EDATE(Bonds!$H162,6*(38-1))))</f>
        <v/>
      </c>
      <c r="AQ162" s="3" t="str">
        <f>IF(39&gt;$C162,"",IF($D162=1,EOMONTH(EDATE(Bonds!$H162,6*(39-1)),0),EDATE(Bonds!$H162,6*(39-1))))</f>
        <v/>
      </c>
      <c r="AR162" s="3" t="str">
        <f>IF(40&gt;$C162,"",IF($D162=1,EOMONTH(EDATE(Bonds!$H162,6*(40-1)),0),EDATE(Bonds!$H162,6*(40-1))))</f>
        <v/>
      </c>
      <c r="AS162" s="3" t="str">
        <f>IF(41&gt;$C162,"",IF($D162=1,EOMONTH(EDATE(Bonds!$H162,6*(41-1)),0),EDATE(Bonds!$H162,6*(41-1))))</f>
        <v/>
      </c>
      <c r="AT162" s="3" t="str">
        <f>IF(42&gt;$C162,"",IF($D162=1,EOMONTH(EDATE(Bonds!$H162,6*(42-1)),0),EDATE(Bonds!$H162,6*(42-1))))</f>
        <v/>
      </c>
      <c r="AU162" s="3" t="str">
        <f>IF(43&gt;$C162,"",IF($D162=1,EOMONTH(EDATE(Bonds!$H162,6*(43-1)),0),EDATE(Bonds!$H162,6*(43-1))))</f>
        <v/>
      </c>
      <c r="AV162" s="3" t="str">
        <f>IF(44&gt;$C162,"",IF($D162=1,EOMONTH(EDATE(Bonds!$H162,6*(44-1)),0),EDATE(Bonds!$H162,6*(44-1))))</f>
        <v/>
      </c>
      <c r="AW162" s="3" t="str">
        <f>IF(45&gt;$C162,"",IF($D162=1,EOMONTH(EDATE(Bonds!$H162,6*(45-1)),0),EDATE(Bonds!$H162,6*(45-1))))</f>
        <v/>
      </c>
      <c r="AX162" s="3" t="str">
        <f>IF(46&gt;$C162,"",IF($D162=1,EOMONTH(EDATE(Bonds!$H162,6*(46-1)),0),EDATE(Bonds!$H162,6*(46-1))))</f>
        <v/>
      </c>
      <c r="AY162" s="3" t="str">
        <f>IF(47&gt;$C162,"",IF($D162=1,EOMONTH(EDATE(Bonds!$H162,6*(47-1)),0),EDATE(Bonds!$H162,6*(47-1))))</f>
        <v/>
      </c>
      <c r="AZ162" s="3" t="str">
        <f>IF(48&gt;$C162,"",IF($D162=1,EOMONTH(EDATE(Bonds!$H162,6*(48-1)),0),EDATE(Bonds!$H162,6*(48-1))))</f>
        <v/>
      </c>
      <c r="BA162" s="3" t="str">
        <f>IF(49&gt;$C162,"",IF($D162=1,EOMONTH(EDATE(Bonds!$H162,6*(49-1)),0),EDATE(Bonds!$H162,6*(49-1))))</f>
        <v/>
      </c>
      <c r="BB162" s="3" t="str">
        <f>IF(50&gt;$C162,"",IF($D162=1,EOMONTH(EDATE(Bonds!$H162,6*(50-1)),0),EDATE(Bonds!$H162,6*(50-1))))</f>
        <v/>
      </c>
      <c r="BC162" s="3" t="str">
        <f>IF(51&gt;$C162,"",IF($D162=1,EOMONTH(EDATE(Bonds!$H162,6*(51-1)),0),EDATE(Bonds!$H162,6*(51-1))))</f>
        <v/>
      </c>
      <c r="BD162" s="3" t="str">
        <f>IF(52&gt;$C162,"",IF($D162=1,EOMONTH(EDATE(Bonds!$H162,6*(52-1)),0),EDATE(Bonds!$H162,6*(52-1))))</f>
        <v/>
      </c>
      <c r="BE162" s="3" t="str">
        <f>IF(53&gt;$C162,"",IF($D162=1,EOMONTH(EDATE(Bonds!$H162,6*(53-1)),0),EDATE(Bonds!$H162,6*(53-1))))</f>
        <v/>
      </c>
      <c r="BF162" s="3" t="str">
        <f>IF(54&gt;$C162,"",IF($D162=1,EOMONTH(EDATE(Bonds!$H162,6*(54-1)),0),EDATE(Bonds!$H162,6*(54-1))))</f>
        <v/>
      </c>
      <c r="BG162" s="3" t="str">
        <f>IF(55&gt;$C162,"",IF($D162=1,EOMONTH(EDATE(Bonds!$H162,6*(55-1)),0),EDATE(Bonds!$H162,6*(55-1))))</f>
        <v/>
      </c>
      <c r="BH162" s="3" t="str">
        <f>IF(56&gt;$C162,"",IF($D162=1,EOMONTH(EDATE(Bonds!$H162,6*(56-1)),0),EDATE(Bonds!$H162,6*(56-1))))</f>
        <v/>
      </c>
      <c r="BI162" s="3" t="str">
        <f>IF(57&gt;$C162,"",IF($D162=1,EOMONTH(EDATE(Bonds!$H162,6*(57-1)),0),EDATE(Bonds!$H162,6*(57-1))))</f>
        <v/>
      </c>
      <c r="BJ162" s="3" t="str">
        <f>IF(58&gt;$C162,"",IF($D162=1,EOMONTH(EDATE(Bonds!$H162,6*(58-1)),0),EDATE(Bonds!$H162,6*(58-1))))</f>
        <v/>
      </c>
      <c r="BK162" s="3" t="str">
        <f>IF(59&gt;$C162,"",IF($D162=1,EOMONTH(EDATE(Bonds!$H162,6*(59-1)),0),EDATE(Bonds!$H162,6*(59-1))))</f>
        <v/>
      </c>
      <c r="BL162" s="3" t="str">
        <f>IF(60&gt;$C162,"",IF($D162=1,EOMONTH(EDATE(Bonds!$H162,6*(60-1)),0),EDATE(Bonds!$H162,6*(60-1))))</f>
        <v/>
      </c>
      <c r="BN162" s="7">
        <f t="shared" si="123"/>
        <v>0.86889738477501632</v>
      </c>
      <c r="BO162" s="7">
        <f t="shared" si="124"/>
        <v>0.85135136213054052</v>
      </c>
      <c r="BP162" s="7">
        <f t="shared" si="125"/>
        <v>0.83259822498091463</v>
      </c>
      <c r="BQ162" s="7">
        <f t="shared" si="126"/>
        <v>0.81392337376611545</v>
      </c>
      <c r="BR162" s="7">
        <f t="shared" si="127"/>
        <v>0.7953119441229074</v>
      </c>
      <c r="BS162" s="7">
        <f t="shared" si="128"/>
        <v>0.77742175181009499</v>
      </c>
      <c r="BT162" s="7">
        <f t="shared" si="129"/>
        <v>87.580930838970929</v>
      </c>
      <c r="BU162" s="7">
        <f t="shared" si="130"/>
        <v>0</v>
      </c>
      <c r="BV162" s="7">
        <f t="shared" si="131"/>
        <v>0</v>
      </c>
      <c r="BW162" s="7">
        <f t="shared" si="132"/>
        <v>0</v>
      </c>
      <c r="BX162" s="7">
        <f t="shared" si="133"/>
        <v>0</v>
      </c>
      <c r="BY162" s="7">
        <f t="shared" si="134"/>
        <v>0</v>
      </c>
      <c r="BZ162" s="7">
        <f t="shared" si="135"/>
        <v>0</v>
      </c>
      <c r="CA162" s="7">
        <f t="shared" si="136"/>
        <v>0</v>
      </c>
      <c r="CB162" s="7">
        <f t="shared" si="137"/>
        <v>0</v>
      </c>
      <c r="CC162" s="7">
        <f t="shared" si="138"/>
        <v>0</v>
      </c>
      <c r="CD162" s="7">
        <f t="shared" si="139"/>
        <v>0</v>
      </c>
      <c r="CE162" s="7">
        <f t="shared" si="140"/>
        <v>0</v>
      </c>
      <c r="CF162" s="7">
        <f t="shared" si="141"/>
        <v>0</v>
      </c>
      <c r="CG162" s="7">
        <f t="shared" si="142"/>
        <v>0</v>
      </c>
      <c r="CH162" s="7">
        <f t="shared" si="143"/>
        <v>0</v>
      </c>
      <c r="CI162" s="7">
        <f t="shared" si="144"/>
        <v>0</v>
      </c>
      <c r="CJ162" s="7">
        <f t="shared" si="145"/>
        <v>0</v>
      </c>
      <c r="CK162" s="7">
        <f t="shared" si="146"/>
        <v>0</v>
      </c>
      <c r="CL162" s="7">
        <f t="shared" si="147"/>
        <v>0</v>
      </c>
      <c r="CM162" s="7">
        <f t="shared" si="148"/>
        <v>0</v>
      </c>
      <c r="CN162" s="7">
        <f t="shared" si="149"/>
        <v>0</v>
      </c>
      <c r="CO162" s="7">
        <f t="shared" si="150"/>
        <v>0</v>
      </c>
      <c r="CP162" s="7">
        <f t="shared" si="151"/>
        <v>0</v>
      </c>
      <c r="CQ162" s="7">
        <f t="shared" si="152"/>
        <v>0</v>
      </c>
      <c r="CR162" s="7">
        <f t="shared" si="153"/>
        <v>0</v>
      </c>
      <c r="CS162" s="7">
        <f t="shared" si="154"/>
        <v>0</v>
      </c>
      <c r="CT162" s="7">
        <f t="shared" si="155"/>
        <v>0</v>
      </c>
      <c r="CU162" s="7">
        <f t="shared" si="156"/>
        <v>0</v>
      </c>
      <c r="CV162" s="7">
        <f t="shared" si="157"/>
        <v>0</v>
      </c>
      <c r="CW162" s="7">
        <f t="shared" si="158"/>
        <v>0</v>
      </c>
      <c r="CX162" s="7">
        <f t="shared" si="159"/>
        <v>0</v>
      </c>
      <c r="CY162" s="7">
        <f t="shared" si="160"/>
        <v>0</v>
      </c>
      <c r="CZ162" s="7">
        <f t="shared" si="161"/>
        <v>0</v>
      </c>
      <c r="DA162" s="7">
        <f t="shared" si="162"/>
        <v>0</v>
      </c>
      <c r="DB162" s="7">
        <f t="shared" si="163"/>
        <v>0</v>
      </c>
      <c r="DC162" s="7">
        <f t="shared" si="164"/>
        <v>0</v>
      </c>
      <c r="DD162" s="7">
        <f t="shared" si="165"/>
        <v>0</v>
      </c>
      <c r="DE162" s="7">
        <f t="shared" si="166"/>
        <v>0</v>
      </c>
      <c r="DF162" s="7">
        <f t="shared" si="167"/>
        <v>0</v>
      </c>
      <c r="DG162" s="7">
        <f t="shared" si="168"/>
        <v>0</v>
      </c>
      <c r="DH162" s="7">
        <f t="shared" si="169"/>
        <v>0</v>
      </c>
      <c r="DI162" s="7">
        <f t="shared" si="170"/>
        <v>0</v>
      </c>
      <c r="DJ162" s="7">
        <f t="shared" si="171"/>
        <v>0</v>
      </c>
      <c r="DK162" s="7">
        <f t="shared" si="172"/>
        <v>0</v>
      </c>
      <c r="DL162" s="7">
        <f t="shared" si="173"/>
        <v>0</v>
      </c>
      <c r="DM162" s="7">
        <f t="shared" si="174"/>
        <v>0</v>
      </c>
      <c r="DN162" s="7">
        <f t="shared" si="175"/>
        <v>0</v>
      </c>
      <c r="DO162" s="7">
        <f t="shared" si="176"/>
        <v>0</v>
      </c>
      <c r="DP162" s="7">
        <f t="shared" si="177"/>
        <v>0</v>
      </c>
      <c r="DQ162" s="7">
        <f t="shared" si="178"/>
        <v>0</v>
      </c>
      <c r="DR162" s="7">
        <f t="shared" si="179"/>
        <v>0</v>
      </c>
      <c r="DS162" s="7">
        <f t="shared" si="180"/>
        <v>0</v>
      </c>
      <c r="DT162" s="7">
        <f t="shared" si="181"/>
        <v>0</v>
      </c>
      <c r="DU162" s="7">
        <f t="shared" si="182"/>
        <v>0</v>
      </c>
    </row>
    <row r="163" spans="1:125" x14ac:dyDescent="0.2">
      <c r="A163" s="3">
        <f>Bonds!A163</f>
        <v>47452</v>
      </c>
      <c r="B163" s="4">
        <f>Bonds!B163</f>
        <v>3.875</v>
      </c>
      <c r="C163">
        <f>Bonds!P163</f>
        <v>7</v>
      </c>
      <c r="D163">
        <f t="shared" si="122"/>
        <v>1</v>
      </c>
      <c r="E163" s="3">
        <f>IF(1&gt;$C163,"",IF($D163=1,EOMONTH(EDATE(Bonds!$H163,6*(1-1)),0),EDATE(Bonds!$H163,6*(1-1))))</f>
        <v>46356</v>
      </c>
      <c r="F163" s="3">
        <f>IF(2&gt;$C163,"",IF($D163=1,EOMONTH(EDATE(Bonds!$H163,6*(2-1)),0),EDATE(Bonds!$H163,6*(2-1))))</f>
        <v>46538</v>
      </c>
      <c r="G163" s="3">
        <f>IF(3&gt;$C163,"",IF($D163=1,EOMONTH(EDATE(Bonds!$H163,6*(3-1)),0),EDATE(Bonds!$H163,6*(3-1))))</f>
        <v>46721</v>
      </c>
      <c r="H163" s="3">
        <f>IF(4&gt;$C163,"",IF($D163=1,EOMONTH(EDATE(Bonds!$H163,6*(4-1)),0),EDATE(Bonds!$H163,6*(4-1))))</f>
        <v>46904</v>
      </c>
      <c r="I163" s="3">
        <f>IF(5&gt;$C163,"",IF($D163=1,EOMONTH(EDATE(Bonds!$H163,6*(5-1)),0),EDATE(Bonds!$H163,6*(5-1))))</f>
        <v>47087</v>
      </c>
      <c r="J163" s="3">
        <f>IF(6&gt;$C163,"",IF($D163=1,EOMONTH(EDATE(Bonds!$H163,6*(6-1)),0),EDATE(Bonds!$H163,6*(6-1))))</f>
        <v>47269</v>
      </c>
      <c r="K163" s="3">
        <f>IF(7&gt;$C163,"",IF($D163=1,EOMONTH(EDATE(Bonds!$H163,6*(7-1)),0),EDATE(Bonds!$H163,6*(7-1))))</f>
        <v>47452</v>
      </c>
      <c r="L163" s="3" t="str">
        <f>IF(8&gt;$C163,"",IF($D163=1,EOMONTH(EDATE(Bonds!$H163,6*(8-1)),0),EDATE(Bonds!$H163,6*(8-1))))</f>
        <v/>
      </c>
      <c r="M163" s="3" t="str">
        <f>IF(9&gt;$C163,"",IF($D163=1,EOMONTH(EDATE(Bonds!$H163,6*(9-1)),0),EDATE(Bonds!$H163,6*(9-1))))</f>
        <v/>
      </c>
      <c r="N163" s="3" t="str">
        <f>IF(10&gt;$C163,"",IF($D163=1,EOMONTH(EDATE(Bonds!$H163,6*(10-1)),0),EDATE(Bonds!$H163,6*(10-1))))</f>
        <v/>
      </c>
      <c r="O163" s="3" t="str">
        <f>IF(11&gt;$C163,"",IF($D163=1,EOMONTH(EDATE(Bonds!$H163,6*(11-1)),0),EDATE(Bonds!$H163,6*(11-1))))</f>
        <v/>
      </c>
      <c r="P163" s="3" t="str">
        <f>IF(12&gt;$C163,"",IF($D163=1,EOMONTH(EDATE(Bonds!$H163,6*(12-1)),0),EDATE(Bonds!$H163,6*(12-1))))</f>
        <v/>
      </c>
      <c r="Q163" s="3" t="str">
        <f>IF(13&gt;$C163,"",IF($D163=1,EOMONTH(EDATE(Bonds!$H163,6*(13-1)),0),EDATE(Bonds!$H163,6*(13-1))))</f>
        <v/>
      </c>
      <c r="R163" s="3" t="str">
        <f>IF(14&gt;$C163,"",IF($D163=1,EOMONTH(EDATE(Bonds!$H163,6*(14-1)),0),EDATE(Bonds!$H163,6*(14-1))))</f>
        <v/>
      </c>
      <c r="S163" s="3" t="str">
        <f>IF(15&gt;$C163,"",IF($D163=1,EOMONTH(EDATE(Bonds!$H163,6*(15-1)),0),EDATE(Bonds!$H163,6*(15-1))))</f>
        <v/>
      </c>
      <c r="T163" s="3" t="str">
        <f>IF(16&gt;$C163,"",IF($D163=1,EOMONTH(EDATE(Bonds!$H163,6*(16-1)),0),EDATE(Bonds!$H163,6*(16-1))))</f>
        <v/>
      </c>
      <c r="U163" s="3" t="str">
        <f>IF(17&gt;$C163,"",IF($D163=1,EOMONTH(EDATE(Bonds!$H163,6*(17-1)),0),EDATE(Bonds!$H163,6*(17-1))))</f>
        <v/>
      </c>
      <c r="V163" s="3" t="str">
        <f>IF(18&gt;$C163,"",IF($D163=1,EOMONTH(EDATE(Bonds!$H163,6*(18-1)),0),EDATE(Bonds!$H163,6*(18-1))))</f>
        <v/>
      </c>
      <c r="W163" s="3" t="str">
        <f>IF(19&gt;$C163,"",IF($D163=1,EOMONTH(EDATE(Bonds!$H163,6*(19-1)),0),EDATE(Bonds!$H163,6*(19-1))))</f>
        <v/>
      </c>
      <c r="X163" s="3" t="str">
        <f>IF(20&gt;$C163,"",IF($D163=1,EOMONTH(EDATE(Bonds!$H163,6*(20-1)),0),EDATE(Bonds!$H163,6*(20-1))))</f>
        <v/>
      </c>
      <c r="Y163" s="3" t="str">
        <f>IF(21&gt;$C163,"",IF($D163=1,EOMONTH(EDATE(Bonds!$H163,6*(21-1)),0),EDATE(Bonds!$H163,6*(21-1))))</f>
        <v/>
      </c>
      <c r="Z163" s="3" t="str">
        <f>IF(22&gt;$C163,"",IF($D163=1,EOMONTH(EDATE(Bonds!$H163,6*(22-1)),0),EDATE(Bonds!$H163,6*(22-1))))</f>
        <v/>
      </c>
      <c r="AA163" s="3" t="str">
        <f>IF(23&gt;$C163,"",IF($D163=1,EOMONTH(EDATE(Bonds!$H163,6*(23-1)),0),EDATE(Bonds!$H163,6*(23-1))))</f>
        <v/>
      </c>
      <c r="AB163" s="3" t="str">
        <f>IF(24&gt;$C163,"",IF($D163=1,EOMONTH(EDATE(Bonds!$H163,6*(24-1)),0),EDATE(Bonds!$H163,6*(24-1))))</f>
        <v/>
      </c>
      <c r="AC163" s="3" t="str">
        <f>IF(25&gt;$C163,"",IF($D163=1,EOMONTH(EDATE(Bonds!$H163,6*(25-1)),0),EDATE(Bonds!$H163,6*(25-1))))</f>
        <v/>
      </c>
      <c r="AD163" s="3" t="str">
        <f>IF(26&gt;$C163,"",IF($D163=1,EOMONTH(EDATE(Bonds!$H163,6*(26-1)),0),EDATE(Bonds!$H163,6*(26-1))))</f>
        <v/>
      </c>
      <c r="AE163" s="3" t="str">
        <f>IF(27&gt;$C163,"",IF($D163=1,EOMONTH(EDATE(Bonds!$H163,6*(27-1)),0),EDATE(Bonds!$H163,6*(27-1))))</f>
        <v/>
      </c>
      <c r="AF163" s="3" t="str">
        <f>IF(28&gt;$C163,"",IF($D163=1,EOMONTH(EDATE(Bonds!$H163,6*(28-1)),0),EDATE(Bonds!$H163,6*(28-1))))</f>
        <v/>
      </c>
      <c r="AG163" s="3" t="str">
        <f>IF(29&gt;$C163,"",IF($D163=1,EOMONTH(EDATE(Bonds!$H163,6*(29-1)),0),EDATE(Bonds!$H163,6*(29-1))))</f>
        <v/>
      </c>
      <c r="AH163" s="3" t="str">
        <f>IF(30&gt;$C163,"",IF($D163=1,EOMONTH(EDATE(Bonds!$H163,6*(30-1)),0),EDATE(Bonds!$H163,6*(30-1))))</f>
        <v/>
      </c>
      <c r="AI163" s="3" t="str">
        <f>IF(31&gt;$C163,"",IF($D163=1,EOMONTH(EDATE(Bonds!$H163,6*(31-1)),0),EDATE(Bonds!$H163,6*(31-1))))</f>
        <v/>
      </c>
      <c r="AJ163" s="3" t="str">
        <f>IF(32&gt;$C163,"",IF($D163=1,EOMONTH(EDATE(Bonds!$H163,6*(32-1)),0),EDATE(Bonds!$H163,6*(32-1))))</f>
        <v/>
      </c>
      <c r="AK163" s="3" t="str">
        <f>IF(33&gt;$C163,"",IF($D163=1,EOMONTH(EDATE(Bonds!$H163,6*(33-1)),0),EDATE(Bonds!$H163,6*(33-1))))</f>
        <v/>
      </c>
      <c r="AL163" s="3" t="str">
        <f>IF(34&gt;$C163,"",IF($D163=1,EOMONTH(EDATE(Bonds!$H163,6*(34-1)),0),EDATE(Bonds!$H163,6*(34-1))))</f>
        <v/>
      </c>
      <c r="AM163" s="3" t="str">
        <f>IF(35&gt;$C163,"",IF($D163=1,EOMONTH(EDATE(Bonds!$H163,6*(35-1)),0),EDATE(Bonds!$H163,6*(35-1))))</f>
        <v/>
      </c>
      <c r="AN163" s="3" t="str">
        <f>IF(36&gt;$C163,"",IF($D163=1,EOMONTH(EDATE(Bonds!$H163,6*(36-1)),0),EDATE(Bonds!$H163,6*(36-1))))</f>
        <v/>
      </c>
      <c r="AO163" s="3" t="str">
        <f>IF(37&gt;$C163,"",IF($D163=1,EOMONTH(EDATE(Bonds!$H163,6*(37-1)),0),EDATE(Bonds!$H163,6*(37-1))))</f>
        <v/>
      </c>
      <c r="AP163" s="3" t="str">
        <f>IF(38&gt;$C163,"",IF($D163=1,EOMONTH(EDATE(Bonds!$H163,6*(38-1)),0),EDATE(Bonds!$H163,6*(38-1))))</f>
        <v/>
      </c>
      <c r="AQ163" s="3" t="str">
        <f>IF(39&gt;$C163,"",IF($D163=1,EOMONTH(EDATE(Bonds!$H163,6*(39-1)),0),EDATE(Bonds!$H163,6*(39-1))))</f>
        <v/>
      </c>
      <c r="AR163" s="3" t="str">
        <f>IF(40&gt;$C163,"",IF($D163=1,EOMONTH(EDATE(Bonds!$H163,6*(40-1)),0),EDATE(Bonds!$H163,6*(40-1))))</f>
        <v/>
      </c>
      <c r="AS163" s="3" t="str">
        <f>IF(41&gt;$C163,"",IF($D163=1,EOMONTH(EDATE(Bonds!$H163,6*(41-1)),0),EDATE(Bonds!$H163,6*(41-1))))</f>
        <v/>
      </c>
      <c r="AT163" s="3" t="str">
        <f>IF(42&gt;$C163,"",IF($D163=1,EOMONTH(EDATE(Bonds!$H163,6*(42-1)),0),EDATE(Bonds!$H163,6*(42-1))))</f>
        <v/>
      </c>
      <c r="AU163" s="3" t="str">
        <f>IF(43&gt;$C163,"",IF($D163=1,EOMONTH(EDATE(Bonds!$H163,6*(43-1)),0),EDATE(Bonds!$H163,6*(43-1))))</f>
        <v/>
      </c>
      <c r="AV163" s="3" t="str">
        <f>IF(44&gt;$C163,"",IF($D163=1,EOMONTH(EDATE(Bonds!$H163,6*(44-1)),0),EDATE(Bonds!$H163,6*(44-1))))</f>
        <v/>
      </c>
      <c r="AW163" s="3" t="str">
        <f>IF(45&gt;$C163,"",IF($D163=1,EOMONTH(EDATE(Bonds!$H163,6*(45-1)),0),EDATE(Bonds!$H163,6*(45-1))))</f>
        <v/>
      </c>
      <c r="AX163" s="3" t="str">
        <f>IF(46&gt;$C163,"",IF($D163=1,EOMONTH(EDATE(Bonds!$H163,6*(46-1)),0),EDATE(Bonds!$H163,6*(46-1))))</f>
        <v/>
      </c>
      <c r="AY163" s="3" t="str">
        <f>IF(47&gt;$C163,"",IF($D163=1,EOMONTH(EDATE(Bonds!$H163,6*(47-1)),0),EDATE(Bonds!$H163,6*(47-1))))</f>
        <v/>
      </c>
      <c r="AZ163" s="3" t="str">
        <f>IF(48&gt;$C163,"",IF($D163=1,EOMONTH(EDATE(Bonds!$H163,6*(48-1)),0),EDATE(Bonds!$H163,6*(48-1))))</f>
        <v/>
      </c>
      <c r="BA163" s="3" t="str">
        <f>IF(49&gt;$C163,"",IF($D163=1,EOMONTH(EDATE(Bonds!$H163,6*(49-1)),0),EDATE(Bonds!$H163,6*(49-1))))</f>
        <v/>
      </c>
      <c r="BB163" s="3" t="str">
        <f>IF(50&gt;$C163,"",IF($D163=1,EOMONTH(EDATE(Bonds!$H163,6*(50-1)),0),EDATE(Bonds!$H163,6*(50-1))))</f>
        <v/>
      </c>
      <c r="BC163" s="3" t="str">
        <f>IF(51&gt;$C163,"",IF($D163=1,EOMONTH(EDATE(Bonds!$H163,6*(51-1)),0),EDATE(Bonds!$H163,6*(51-1))))</f>
        <v/>
      </c>
      <c r="BD163" s="3" t="str">
        <f>IF(52&gt;$C163,"",IF($D163=1,EOMONTH(EDATE(Bonds!$H163,6*(52-1)),0),EDATE(Bonds!$H163,6*(52-1))))</f>
        <v/>
      </c>
      <c r="BE163" s="3" t="str">
        <f>IF(53&gt;$C163,"",IF($D163=1,EOMONTH(EDATE(Bonds!$H163,6*(53-1)),0),EDATE(Bonds!$H163,6*(53-1))))</f>
        <v/>
      </c>
      <c r="BF163" s="3" t="str">
        <f>IF(54&gt;$C163,"",IF($D163=1,EOMONTH(EDATE(Bonds!$H163,6*(54-1)),0),EDATE(Bonds!$H163,6*(54-1))))</f>
        <v/>
      </c>
      <c r="BG163" s="3" t="str">
        <f>IF(55&gt;$C163,"",IF($D163=1,EOMONTH(EDATE(Bonds!$H163,6*(55-1)),0),EDATE(Bonds!$H163,6*(55-1))))</f>
        <v/>
      </c>
      <c r="BH163" s="3" t="str">
        <f>IF(56&gt;$C163,"",IF($D163=1,EOMONTH(EDATE(Bonds!$H163,6*(56-1)),0),EDATE(Bonds!$H163,6*(56-1))))</f>
        <v/>
      </c>
      <c r="BI163" s="3" t="str">
        <f>IF(57&gt;$C163,"",IF($D163=1,EOMONTH(EDATE(Bonds!$H163,6*(57-1)),0),EDATE(Bonds!$H163,6*(57-1))))</f>
        <v/>
      </c>
      <c r="BJ163" s="3" t="str">
        <f>IF(58&gt;$C163,"",IF($D163=1,EOMONTH(EDATE(Bonds!$H163,6*(58-1)),0),EDATE(Bonds!$H163,6*(58-1))))</f>
        <v/>
      </c>
      <c r="BK163" s="3" t="str">
        <f>IF(59&gt;$C163,"",IF($D163=1,EOMONTH(EDATE(Bonds!$H163,6*(59-1)),0),EDATE(Bonds!$H163,6*(59-1))))</f>
        <v/>
      </c>
      <c r="BL163" s="3" t="str">
        <f>IF(60&gt;$C163,"",IF($D163=1,EOMONTH(EDATE(Bonds!$H163,6*(60-1)),0),EDATE(Bonds!$H163,6*(60-1))))</f>
        <v/>
      </c>
      <c r="BN163" s="7">
        <f t="shared" si="123"/>
        <v>1.9209059066070886</v>
      </c>
      <c r="BO163" s="7">
        <f t="shared" si="124"/>
        <v>1.881572363648373</v>
      </c>
      <c r="BP163" s="7">
        <f t="shared" si="125"/>
        <v>1.8401963760290698</v>
      </c>
      <c r="BQ163" s="7">
        <f t="shared" si="126"/>
        <v>1.7986437722687207</v>
      </c>
      <c r="BR163" s="7">
        <f t="shared" si="127"/>
        <v>1.7577279156757362</v>
      </c>
      <c r="BS163" s="7">
        <f t="shared" si="128"/>
        <v>1.7179795190816398</v>
      </c>
      <c r="BT163" s="7">
        <f t="shared" si="129"/>
        <v>88.337187035106425</v>
      </c>
      <c r="BU163" s="7">
        <f t="shared" si="130"/>
        <v>0</v>
      </c>
      <c r="BV163" s="7">
        <f t="shared" si="131"/>
        <v>0</v>
      </c>
      <c r="BW163" s="7">
        <f t="shared" si="132"/>
        <v>0</v>
      </c>
      <c r="BX163" s="7">
        <f t="shared" si="133"/>
        <v>0</v>
      </c>
      <c r="BY163" s="7">
        <f t="shared" si="134"/>
        <v>0</v>
      </c>
      <c r="BZ163" s="7">
        <f t="shared" si="135"/>
        <v>0</v>
      </c>
      <c r="CA163" s="7">
        <f t="shared" si="136"/>
        <v>0</v>
      </c>
      <c r="CB163" s="7">
        <f t="shared" si="137"/>
        <v>0</v>
      </c>
      <c r="CC163" s="7">
        <f t="shared" si="138"/>
        <v>0</v>
      </c>
      <c r="CD163" s="7">
        <f t="shared" si="139"/>
        <v>0</v>
      </c>
      <c r="CE163" s="7">
        <f t="shared" si="140"/>
        <v>0</v>
      </c>
      <c r="CF163" s="7">
        <f t="shared" si="141"/>
        <v>0</v>
      </c>
      <c r="CG163" s="7">
        <f t="shared" si="142"/>
        <v>0</v>
      </c>
      <c r="CH163" s="7">
        <f t="shared" si="143"/>
        <v>0</v>
      </c>
      <c r="CI163" s="7">
        <f t="shared" si="144"/>
        <v>0</v>
      </c>
      <c r="CJ163" s="7">
        <f t="shared" si="145"/>
        <v>0</v>
      </c>
      <c r="CK163" s="7">
        <f t="shared" si="146"/>
        <v>0</v>
      </c>
      <c r="CL163" s="7">
        <f t="shared" si="147"/>
        <v>0</v>
      </c>
      <c r="CM163" s="7">
        <f t="shared" si="148"/>
        <v>0</v>
      </c>
      <c r="CN163" s="7">
        <f t="shared" si="149"/>
        <v>0</v>
      </c>
      <c r="CO163" s="7">
        <f t="shared" si="150"/>
        <v>0</v>
      </c>
      <c r="CP163" s="7">
        <f t="shared" si="151"/>
        <v>0</v>
      </c>
      <c r="CQ163" s="7">
        <f t="shared" si="152"/>
        <v>0</v>
      </c>
      <c r="CR163" s="7">
        <f t="shared" si="153"/>
        <v>0</v>
      </c>
      <c r="CS163" s="7">
        <f t="shared" si="154"/>
        <v>0</v>
      </c>
      <c r="CT163" s="7">
        <f t="shared" si="155"/>
        <v>0</v>
      </c>
      <c r="CU163" s="7">
        <f t="shared" si="156"/>
        <v>0</v>
      </c>
      <c r="CV163" s="7">
        <f t="shared" si="157"/>
        <v>0</v>
      </c>
      <c r="CW163" s="7">
        <f t="shared" si="158"/>
        <v>0</v>
      </c>
      <c r="CX163" s="7">
        <f t="shared" si="159"/>
        <v>0</v>
      </c>
      <c r="CY163" s="7">
        <f t="shared" si="160"/>
        <v>0</v>
      </c>
      <c r="CZ163" s="7">
        <f t="shared" si="161"/>
        <v>0</v>
      </c>
      <c r="DA163" s="7">
        <f t="shared" si="162"/>
        <v>0</v>
      </c>
      <c r="DB163" s="7">
        <f t="shared" si="163"/>
        <v>0</v>
      </c>
      <c r="DC163" s="7">
        <f t="shared" si="164"/>
        <v>0</v>
      </c>
      <c r="DD163" s="7">
        <f t="shared" si="165"/>
        <v>0</v>
      </c>
      <c r="DE163" s="7">
        <f t="shared" si="166"/>
        <v>0</v>
      </c>
      <c r="DF163" s="7">
        <f t="shared" si="167"/>
        <v>0</v>
      </c>
      <c r="DG163" s="7">
        <f t="shared" si="168"/>
        <v>0</v>
      </c>
      <c r="DH163" s="7">
        <f t="shared" si="169"/>
        <v>0</v>
      </c>
      <c r="DI163" s="7">
        <f t="shared" si="170"/>
        <v>0</v>
      </c>
      <c r="DJ163" s="7">
        <f t="shared" si="171"/>
        <v>0</v>
      </c>
      <c r="DK163" s="7">
        <f t="shared" si="172"/>
        <v>0</v>
      </c>
      <c r="DL163" s="7">
        <f t="shared" si="173"/>
        <v>0</v>
      </c>
      <c r="DM163" s="7">
        <f t="shared" si="174"/>
        <v>0</v>
      </c>
      <c r="DN163" s="7">
        <f t="shared" si="175"/>
        <v>0</v>
      </c>
      <c r="DO163" s="7">
        <f t="shared" si="176"/>
        <v>0</v>
      </c>
      <c r="DP163" s="7">
        <f t="shared" si="177"/>
        <v>0</v>
      </c>
      <c r="DQ163" s="7">
        <f t="shared" si="178"/>
        <v>0</v>
      </c>
      <c r="DR163" s="7">
        <f t="shared" si="179"/>
        <v>0</v>
      </c>
      <c r="DS163" s="7">
        <f t="shared" si="180"/>
        <v>0</v>
      </c>
      <c r="DT163" s="7">
        <f t="shared" si="181"/>
        <v>0</v>
      </c>
      <c r="DU163" s="7">
        <f t="shared" si="182"/>
        <v>0</v>
      </c>
    </row>
    <row r="164" spans="1:125" x14ac:dyDescent="0.2">
      <c r="A164" s="3">
        <f>Bonds!A164</f>
        <v>47452</v>
      </c>
      <c r="B164" s="4">
        <f>Bonds!B164</f>
        <v>4.125</v>
      </c>
      <c r="C164">
        <f>Bonds!P164</f>
        <v>7</v>
      </c>
      <c r="D164">
        <f t="shared" si="122"/>
        <v>1</v>
      </c>
      <c r="E164" s="3">
        <f>IF(1&gt;$C164,"",IF($D164=1,EOMONTH(EDATE(Bonds!$H164,6*(1-1)),0),EDATE(Bonds!$H164,6*(1-1))))</f>
        <v>46356</v>
      </c>
      <c r="F164" s="3">
        <f>IF(2&gt;$C164,"",IF($D164=1,EOMONTH(EDATE(Bonds!$H164,6*(2-1)),0),EDATE(Bonds!$H164,6*(2-1))))</f>
        <v>46538</v>
      </c>
      <c r="G164" s="3">
        <f>IF(3&gt;$C164,"",IF($D164=1,EOMONTH(EDATE(Bonds!$H164,6*(3-1)),0),EDATE(Bonds!$H164,6*(3-1))))</f>
        <v>46721</v>
      </c>
      <c r="H164" s="3">
        <f>IF(4&gt;$C164,"",IF($D164=1,EOMONTH(EDATE(Bonds!$H164,6*(4-1)),0),EDATE(Bonds!$H164,6*(4-1))))</f>
        <v>46904</v>
      </c>
      <c r="I164" s="3">
        <f>IF(5&gt;$C164,"",IF($D164=1,EOMONTH(EDATE(Bonds!$H164,6*(5-1)),0),EDATE(Bonds!$H164,6*(5-1))))</f>
        <v>47087</v>
      </c>
      <c r="J164" s="3">
        <f>IF(6&gt;$C164,"",IF($D164=1,EOMONTH(EDATE(Bonds!$H164,6*(6-1)),0),EDATE(Bonds!$H164,6*(6-1))))</f>
        <v>47269</v>
      </c>
      <c r="K164" s="3">
        <f>IF(7&gt;$C164,"",IF($D164=1,EOMONTH(EDATE(Bonds!$H164,6*(7-1)),0),EDATE(Bonds!$H164,6*(7-1))))</f>
        <v>47452</v>
      </c>
      <c r="L164" s="3" t="str">
        <f>IF(8&gt;$C164,"",IF($D164=1,EOMONTH(EDATE(Bonds!$H164,6*(8-1)),0),EDATE(Bonds!$H164,6*(8-1))))</f>
        <v/>
      </c>
      <c r="M164" s="3" t="str">
        <f>IF(9&gt;$C164,"",IF($D164=1,EOMONTH(EDATE(Bonds!$H164,6*(9-1)),0),EDATE(Bonds!$H164,6*(9-1))))</f>
        <v/>
      </c>
      <c r="N164" s="3" t="str">
        <f>IF(10&gt;$C164,"",IF($D164=1,EOMONTH(EDATE(Bonds!$H164,6*(10-1)),0),EDATE(Bonds!$H164,6*(10-1))))</f>
        <v/>
      </c>
      <c r="O164" s="3" t="str">
        <f>IF(11&gt;$C164,"",IF($D164=1,EOMONTH(EDATE(Bonds!$H164,6*(11-1)),0),EDATE(Bonds!$H164,6*(11-1))))</f>
        <v/>
      </c>
      <c r="P164" s="3" t="str">
        <f>IF(12&gt;$C164,"",IF($D164=1,EOMONTH(EDATE(Bonds!$H164,6*(12-1)),0),EDATE(Bonds!$H164,6*(12-1))))</f>
        <v/>
      </c>
      <c r="Q164" s="3" t="str">
        <f>IF(13&gt;$C164,"",IF($D164=1,EOMONTH(EDATE(Bonds!$H164,6*(13-1)),0),EDATE(Bonds!$H164,6*(13-1))))</f>
        <v/>
      </c>
      <c r="R164" s="3" t="str">
        <f>IF(14&gt;$C164,"",IF($D164=1,EOMONTH(EDATE(Bonds!$H164,6*(14-1)),0),EDATE(Bonds!$H164,6*(14-1))))</f>
        <v/>
      </c>
      <c r="S164" s="3" t="str">
        <f>IF(15&gt;$C164,"",IF($D164=1,EOMONTH(EDATE(Bonds!$H164,6*(15-1)),0),EDATE(Bonds!$H164,6*(15-1))))</f>
        <v/>
      </c>
      <c r="T164" s="3" t="str">
        <f>IF(16&gt;$C164,"",IF($D164=1,EOMONTH(EDATE(Bonds!$H164,6*(16-1)),0),EDATE(Bonds!$H164,6*(16-1))))</f>
        <v/>
      </c>
      <c r="U164" s="3" t="str">
        <f>IF(17&gt;$C164,"",IF($D164=1,EOMONTH(EDATE(Bonds!$H164,6*(17-1)),0),EDATE(Bonds!$H164,6*(17-1))))</f>
        <v/>
      </c>
      <c r="V164" s="3" t="str">
        <f>IF(18&gt;$C164,"",IF($D164=1,EOMONTH(EDATE(Bonds!$H164,6*(18-1)),0),EDATE(Bonds!$H164,6*(18-1))))</f>
        <v/>
      </c>
      <c r="W164" s="3" t="str">
        <f>IF(19&gt;$C164,"",IF($D164=1,EOMONTH(EDATE(Bonds!$H164,6*(19-1)),0),EDATE(Bonds!$H164,6*(19-1))))</f>
        <v/>
      </c>
      <c r="X164" s="3" t="str">
        <f>IF(20&gt;$C164,"",IF($D164=1,EOMONTH(EDATE(Bonds!$H164,6*(20-1)),0),EDATE(Bonds!$H164,6*(20-1))))</f>
        <v/>
      </c>
      <c r="Y164" s="3" t="str">
        <f>IF(21&gt;$C164,"",IF($D164=1,EOMONTH(EDATE(Bonds!$H164,6*(21-1)),0),EDATE(Bonds!$H164,6*(21-1))))</f>
        <v/>
      </c>
      <c r="Z164" s="3" t="str">
        <f>IF(22&gt;$C164,"",IF($D164=1,EOMONTH(EDATE(Bonds!$H164,6*(22-1)),0),EDATE(Bonds!$H164,6*(22-1))))</f>
        <v/>
      </c>
      <c r="AA164" s="3" t="str">
        <f>IF(23&gt;$C164,"",IF($D164=1,EOMONTH(EDATE(Bonds!$H164,6*(23-1)),0),EDATE(Bonds!$H164,6*(23-1))))</f>
        <v/>
      </c>
      <c r="AB164" s="3" t="str">
        <f>IF(24&gt;$C164,"",IF($D164=1,EOMONTH(EDATE(Bonds!$H164,6*(24-1)),0),EDATE(Bonds!$H164,6*(24-1))))</f>
        <v/>
      </c>
      <c r="AC164" s="3" t="str">
        <f>IF(25&gt;$C164,"",IF($D164=1,EOMONTH(EDATE(Bonds!$H164,6*(25-1)),0),EDATE(Bonds!$H164,6*(25-1))))</f>
        <v/>
      </c>
      <c r="AD164" s="3" t="str">
        <f>IF(26&gt;$C164,"",IF($D164=1,EOMONTH(EDATE(Bonds!$H164,6*(26-1)),0),EDATE(Bonds!$H164,6*(26-1))))</f>
        <v/>
      </c>
      <c r="AE164" s="3" t="str">
        <f>IF(27&gt;$C164,"",IF($D164=1,EOMONTH(EDATE(Bonds!$H164,6*(27-1)),0),EDATE(Bonds!$H164,6*(27-1))))</f>
        <v/>
      </c>
      <c r="AF164" s="3" t="str">
        <f>IF(28&gt;$C164,"",IF($D164=1,EOMONTH(EDATE(Bonds!$H164,6*(28-1)),0),EDATE(Bonds!$H164,6*(28-1))))</f>
        <v/>
      </c>
      <c r="AG164" s="3" t="str">
        <f>IF(29&gt;$C164,"",IF($D164=1,EOMONTH(EDATE(Bonds!$H164,6*(29-1)),0),EDATE(Bonds!$H164,6*(29-1))))</f>
        <v/>
      </c>
      <c r="AH164" s="3" t="str">
        <f>IF(30&gt;$C164,"",IF($D164=1,EOMONTH(EDATE(Bonds!$H164,6*(30-1)),0),EDATE(Bonds!$H164,6*(30-1))))</f>
        <v/>
      </c>
      <c r="AI164" s="3" t="str">
        <f>IF(31&gt;$C164,"",IF($D164=1,EOMONTH(EDATE(Bonds!$H164,6*(31-1)),0),EDATE(Bonds!$H164,6*(31-1))))</f>
        <v/>
      </c>
      <c r="AJ164" s="3" t="str">
        <f>IF(32&gt;$C164,"",IF($D164=1,EOMONTH(EDATE(Bonds!$H164,6*(32-1)),0),EDATE(Bonds!$H164,6*(32-1))))</f>
        <v/>
      </c>
      <c r="AK164" s="3" t="str">
        <f>IF(33&gt;$C164,"",IF($D164=1,EOMONTH(EDATE(Bonds!$H164,6*(33-1)),0),EDATE(Bonds!$H164,6*(33-1))))</f>
        <v/>
      </c>
      <c r="AL164" s="3" t="str">
        <f>IF(34&gt;$C164,"",IF($D164=1,EOMONTH(EDATE(Bonds!$H164,6*(34-1)),0),EDATE(Bonds!$H164,6*(34-1))))</f>
        <v/>
      </c>
      <c r="AM164" s="3" t="str">
        <f>IF(35&gt;$C164,"",IF($D164=1,EOMONTH(EDATE(Bonds!$H164,6*(35-1)),0),EDATE(Bonds!$H164,6*(35-1))))</f>
        <v/>
      </c>
      <c r="AN164" s="3" t="str">
        <f>IF(36&gt;$C164,"",IF($D164=1,EOMONTH(EDATE(Bonds!$H164,6*(36-1)),0),EDATE(Bonds!$H164,6*(36-1))))</f>
        <v/>
      </c>
      <c r="AO164" s="3" t="str">
        <f>IF(37&gt;$C164,"",IF($D164=1,EOMONTH(EDATE(Bonds!$H164,6*(37-1)),0),EDATE(Bonds!$H164,6*(37-1))))</f>
        <v/>
      </c>
      <c r="AP164" s="3" t="str">
        <f>IF(38&gt;$C164,"",IF($D164=1,EOMONTH(EDATE(Bonds!$H164,6*(38-1)),0),EDATE(Bonds!$H164,6*(38-1))))</f>
        <v/>
      </c>
      <c r="AQ164" s="3" t="str">
        <f>IF(39&gt;$C164,"",IF($D164=1,EOMONTH(EDATE(Bonds!$H164,6*(39-1)),0),EDATE(Bonds!$H164,6*(39-1))))</f>
        <v/>
      </c>
      <c r="AR164" s="3" t="str">
        <f>IF(40&gt;$C164,"",IF($D164=1,EOMONTH(EDATE(Bonds!$H164,6*(40-1)),0),EDATE(Bonds!$H164,6*(40-1))))</f>
        <v/>
      </c>
      <c r="AS164" s="3" t="str">
        <f>IF(41&gt;$C164,"",IF($D164=1,EOMONTH(EDATE(Bonds!$H164,6*(41-1)),0),EDATE(Bonds!$H164,6*(41-1))))</f>
        <v/>
      </c>
      <c r="AT164" s="3" t="str">
        <f>IF(42&gt;$C164,"",IF($D164=1,EOMONTH(EDATE(Bonds!$H164,6*(42-1)),0),EDATE(Bonds!$H164,6*(42-1))))</f>
        <v/>
      </c>
      <c r="AU164" s="3" t="str">
        <f>IF(43&gt;$C164,"",IF($D164=1,EOMONTH(EDATE(Bonds!$H164,6*(43-1)),0),EDATE(Bonds!$H164,6*(43-1))))</f>
        <v/>
      </c>
      <c r="AV164" s="3" t="str">
        <f>IF(44&gt;$C164,"",IF($D164=1,EOMONTH(EDATE(Bonds!$H164,6*(44-1)),0),EDATE(Bonds!$H164,6*(44-1))))</f>
        <v/>
      </c>
      <c r="AW164" s="3" t="str">
        <f>IF(45&gt;$C164,"",IF($D164=1,EOMONTH(EDATE(Bonds!$H164,6*(45-1)),0),EDATE(Bonds!$H164,6*(45-1))))</f>
        <v/>
      </c>
      <c r="AX164" s="3" t="str">
        <f>IF(46&gt;$C164,"",IF($D164=1,EOMONTH(EDATE(Bonds!$H164,6*(46-1)),0),EDATE(Bonds!$H164,6*(46-1))))</f>
        <v/>
      </c>
      <c r="AY164" s="3" t="str">
        <f>IF(47&gt;$C164,"",IF($D164=1,EOMONTH(EDATE(Bonds!$H164,6*(47-1)),0),EDATE(Bonds!$H164,6*(47-1))))</f>
        <v/>
      </c>
      <c r="AZ164" s="3" t="str">
        <f>IF(48&gt;$C164,"",IF($D164=1,EOMONTH(EDATE(Bonds!$H164,6*(48-1)),0),EDATE(Bonds!$H164,6*(48-1))))</f>
        <v/>
      </c>
      <c r="BA164" s="3" t="str">
        <f>IF(49&gt;$C164,"",IF($D164=1,EOMONTH(EDATE(Bonds!$H164,6*(49-1)),0),EDATE(Bonds!$H164,6*(49-1))))</f>
        <v/>
      </c>
      <c r="BB164" s="3" t="str">
        <f>IF(50&gt;$C164,"",IF($D164=1,EOMONTH(EDATE(Bonds!$H164,6*(50-1)),0),EDATE(Bonds!$H164,6*(50-1))))</f>
        <v/>
      </c>
      <c r="BC164" s="3" t="str">
        <f>IF(51&gt;$C164,"",IF($D164=1,EOMONTH(EDATE(Bonds!$H164,6*(51-1)),0),EDATE(Bonds!$H164,6*(51-1))))</f>
        <v/>
      </c>
      <c r="BD164" s="3" t="str">
        <f>IF(52&gt;$C164,"",IF($D164=1,EOMONTH(EDATE(Bonds!$H164,6*(52-1)),0),EDATE(Bonds!$H164,6*(52-1))))</f>
        <v/>
      </c>
      <c r="BE164" s="3" t="str">
        <f>IF(53&gt;$C164,"",IF($D164=1,EOMONTH(EDATE(Bonds!$H164,6*(53-1)),0),EDATE(Bonds!$H164,6*(53-1))))</f>
        <v/>
      </c>
      <c r="BF164" s="3" t="str">
        <f>IF(54&gt;$C164,"",IF($D164=1,EOMONTH(EDATE(Bonds!$H164,6*(54-1)),0),EDATE(Bonds!$H164,6*(54-1))))</f>
        <v/>
      </c>
      <c r="BG164" s="3" t="str">
        <f>IF(55&gt;$C164,"",IF($D164=1,EOMONTH(EDATE(Bonds!$H164,6*(55-1)),0),EDATE(Bonds!$H164,6*(55-1))))</f>
        <v/>
      </c>
      <c r="BH164" s="3" t="str">
        <f>IF(56&gt;$C164,"",IF($D164=1,EOMONTH(EDATE(Bonds!$H164,6*(56-1)),0),EDATE(Bonds!$H164,6*(56-1))))</f>
        <v/>
      </c>
      <c r="BI164" s="3" t="str">
        <f>IF(57&gt;$C164,"",IF($D164=1,EOMONTH(EDATE(Bonds!$H164,6*(57-1)),0),EDATE(Bonds!$H164,6*(57-1))))</f>
        <v/>
      </c>
      <c r="BJ164" s="3" t="str">
        <f>IF(58&gt;$C164,"",IF($D164=1,EOMONTH(EDATE(Bonds!$H164,6*(58-1)),0),EDATE(Bonds!$H164,6*(58-1))))</f>
        <v/>
      </c>
      <c r="BK164" s="3" t="str">
        <f>IF(59&gt;$C164,"",IF($D164=1,EOMONTH(EDATE(Bonds!$H164,6*(59-1)),0),EDATE(Bonds!$H164,6*(59-1))))</f>
        <v/>
      </c>
      <c r="BL164" s="3" t="str">
        <f>IF(60&gt;$C164,"",IF($D164=1,EOMONTH(EDATE(Bonds!$H164,6*(60-1)),0),EDATE(Bonds!$H164,6*(60-1))))</f>
        <v/>
      </c>
      <c r="BN164" s="7">
        <f t="shared" si="123"/>
        <v>2.0448353199365781</v>
      </c>
      <c r="BO164" s="7">
        <f t="shared" si="124"/>
        <v>2.0029641290450422</v>
      </c>
      <c r="BP164" s="7">
        <f t="shared" si="125"/>
        <v>1.958918722869655</v>
      </c>
      <c r="BQ164" s="7">
        <f t="shared" si="126"/>
        <v>1.9146853059634767</v>
      </c>
      <c r="BR164" s="7">
        <f t="shared" si="127"/>
        <v>1.871129716687074</v>
      </c>
      <c r="BS164" s="7">
        <f t="shared" si="128"/>
        <v>1.8288169074094875</v>
      </c>
      <c r="BT164" s="7">
        <f t="shared" si="129"/>
        <v>88.445509765989456</v>
      </c>
      <c r="BU164" s="7">
        <f t="shared" si="130"/>
        <v>0</v>
      </c>
      <c r="BV164" s="7">
        <f t="shared" si="131"/>
        <v>0</v>
      </c>
      <c r="BW164" s="7">
        <f t="shared" si="132"/>
        <v>0</v>
      </c>
      <c r="BX164" s="7">
        <f t="shared" si="133"/>
        <v>0</v>
      </c>
      <c r="BY164" s="7">
        <f t="shared" si="134"/>
        <v>0</v>
      </c>
      <c r="BZ164" s="7">
        <f t="shared" si="135"/>
        <v>0</v>
      </c>
      <c r="CA164" s="7">
        <f t="shared" si="136"/>
        <v>0</v>
      </c>
      <c r="CB164" s="7">
        <f t="shared" si="137"/>
        <v>0</v>
      </c>
      <c r="CC164" s="7">
        <f t="shared" si="138"/>
        <v>0</v>
      </c>
      <c r="CD164" s="7">
        <f t="shared" si="139"/>
        <v>0</v>
      </c>
      <c r="CE164" s="7">
        <f t="shared" si="140"/>
        <v>0</v>
      </c>
      <c r="CF164" s="7">
        <f t="shared" si="141"/>
        <v>0</v>
      </c>
      <c r="CG164" s="7">
        <f t="shared" si="142"/>
        <v>0</v>
      </c>
      <c r="CH164" s="7">
        <f t="shared" si="143"/>
        <v>0</v>
      </c>
      <c r="CI164" s="7">
        <f t="shared" si="144"/>
        <v>0</v>
      </c>
      <c r="CJ164" s="7">
        <f t="shared" si="145"/>
        <v>0</v>
      </c>
      <c r="CK164" s="7">
        <f t="shared" si="146"/>
        <v>0</v>
      </c>
      <c r="CL164" s="7">
        <f t="shared" si="147"/>
        <v>0</v>
      </c>
      <c r="CM164" s="7">
        <f t="shared" si="148"/>
        <v>0</v>
      </c>
      <c r="CN164" s="7">
        <f t="shared" si="149"/>
        <v>0</v>
      </c>
      <c r="CO164" s="7">
        <f t="shared" si="150"/>
        <v>0</v>
      </c>
      <c r="CP164" s="7">
        <f t="shared" si="151"/>
        <v>0</v>
      </c>
      <c r="CQ164" s="7">
        <f t="shared" si="152"/>
        <v>0</v>
      </c>
      <c r="CR164" s="7">
        <f t="shared" si="153"/>
        <v>0</v>
      </c>
      <c r="CS164" s="7">
        <f t="shared" si="154"/>
        <v>0</v>
      </c>
      <c r="CT164" s="7">
        <f t="shared" si="155"/>
        <v>0</v>
      </c>
      <c r="CU164" s="7">
        <f t="shared" si="156"/>
        <v>0</v>
      </c>
      <c r="CV164" s="7">
        <f t="shared" si="157"/>
        <v>0</v>
      </c>
      <c r="CW164" s="7">
        <f t="shared" si="158"/>
        <v>0</v>
      </c>
      <c r="CX164" s="7">
        <f t="shared" si="159"/>
        <v>0</v>
      </c>
      <c r="CY164" s="7">
        <f t="shared" si="160"/>
        <v>0</v>
      </c>
      <c r="CZ164" s="7">
        <f t="shared" si="161"/>
        <v>0</v>
      </c>
      <c r="DA164" s="7">
        <f t="shared" si="162"/>
        <v>0</v>
      </c>
      <c r="DB164" s="7">
        <f t="shared" si="163"/>
        <v>0</v>
      </c>
      <c r="DC164" s="7">
        <f t="shared" si="164"/>
        <v>0</v>
      </c>
      <c r="DD164" s="7">
        <f t="shared" si="165"/>
        <v>0</v>
      </c>
      <c r="DE164" s="7">
        <f t="shared" si="166"/>
        <v>0</v>
      </c>
      <c r="DF164" s="7">
        <f t="shared" si="167"/>
        <v>0</v>
      </c>
      <c r="DG164" s="7">
        <f t="shared" si="168"/>
        <v>0</v>
      </c>
      <c r="DH164" s="7">
        <f t="shared" si="169"/>
        <v>0</v>
      </c>
      <c r="DI164" s="7">
        <f t="shared" si="170"/>
        <v>0</v>
      </c>
      <c r="DJ164" s="7">
        <f t="shared" si="171"/>
        <v>0</v>
      </c>
      <c r="DK164" s="7">
        <f t="shared" si="172"/>
        <v>0</v>
      </c>
      <c r="DL164" s="7">
        <f t="shared" si="173"/>
        <v>0</v>
      </c>
      <c r="DM164" s="7">
        <f t="shared" si="174"/>
        <v>0</v>
      </c>
      <c r="DN164" s="7">
        <f t="shared" si="175"/>
        <v>0</v>
      </c>
      <c r="DO164" s="7">
        <f t="shared" si="176"/>
        <v>0</v>
      </c>
      <c r="DP164" s="7">
        <f t="shared" si="177"/>
        <v>0</v>
      </c>
      <c r="DQ164" s="7">
        <f t="shared" si="178"/>
        <v>0</v>
      </c>
      <c r="DR164" s="7">
        <f t="shared" si="179"/>
        <v>0</v>
      </c>
      <c r="DS164" s="7">
        <f t="shared" si="180"/>
        <v>0</v>
      </c>
      <c r="DT164" s="7">
        <f t="shared" si="181"/>
        <v>0</v>
      </c>
      <c r="DU164" s="7">
        <f t="shared" si="182"/>
        <v>0</v>
      </c>
    </row>
    <row r="165" spans="1:125" x14ac:dyDescent="0.2">
      <c r="A165" s="3">
        <f>Bonds!A165</f>
        <v>47483</v>
      </c>
      <c r="B165" s="4">
        <f>Bonds!B165</f>
        <v>3.875</v>
      </c>
      <c r="C165">
        <f>Bonds!P165</f>
        <v>7</v>
      </c>
      <c r="D165">
        <f t="shared" si="122"/>
        <v>1</v>
      </c>
      <c r="E165" s="3">
        <f>IF(1&gt;$C165,"",IF($D165=1,EOMONTH(EDATE(Bonds!$H165,6*(1-1)),0),EDATE(Bonds!$H165,6*(1-1))))</f>
        <v>46387</v>
      </c>
      <c r="F165" s="3">
        <f>IF(2&gt;$C165,"",IF($D165=1,EOMONTH(EDATE(Bonds!$H165,6*(2-1)),0),EDATE(Bonds!$H165,6*(2-1))))</f>
        <v>46568</v>
      </c>
      <c r="G165" s="3">
        <f>IF(3&gt;$C165,"",IF($D165=1,EOMONTH(EDATE(Bonds!$H165,6*(3-1)),0),EDATE(Bonds!$H165,6*(3-1))))</f>
        <v>46752</v>
      </c>
      <c r="H165" s="3">
        <f>IF(4&gt;$C165,"",IF($D165=1,EOMONTH(EDATE(Bonds!$H165,6*(4-1)),0),EDATE(Bonds!$H165,6*(4-1))))</f>
        <v>46934</v>
      </c>
      <c r="I165" s="3">
        <f>IF(5&gt;$C165,"",IF($D165=1,EOMONTH(EDATE(Bonds!$H165,6*(5-1)),0),EDATE(Bonds!$H165,6*(5-1))))</f>
        <v>47118</v>
      </c>
      <c r="J165" s="3">
        <f>IF(6&gt;$C165,"",IF($D165=1,EOMONTH(EDATE(Bonds!$H165,6*(6-1)),0),EDATE(Bonds!$H165,6*(6-1))))</f>
        <v>47299</v>
      </c>
      <c r="K165" s="3">
        <f>IF(7&gt;$C165,"",IF($D165=1,EOMONTH(EDATE(Bonds!$H165,6*(7-1)),0),EDATE(Bonds!$H165,6*(7-1))))</f>
        <v>47483</v>
      </c>
      <c r="L165" s="3" t="str">
        <f>IF(8&gt;$C165,"",IF($D165=1,EOMONTH(EDATE(Bonds!$H165,6*(8-1)),0),EDATE(Bonds!$H165,6*(8-1))))</f>
        <v/>
      </c>
      <c r="M165" s="3" t="str">
        <f>IF(9&gt;$C165,"",IF($D165=1,EOMONTH(EDATE(Bonds!$H165,6*(9-1)),0),EDATE(Bonds!$H165,6*(9-1))))</f>
        <v/>
      </c>
      <c r="N165" s="3" t="str">
        <f>IF(10&gt;$C165,"",IF($D165=1,EOMONTH(EDATE(Bonds!$H165,6*(10-1)),0),EDATE(Bonds!$H165,6*(10-1))))</f>
        <v/>
      </c>
      <c r="O165" s="3" t="str">
        <f>IF(11&gt;$C165,"",IF($D165=1,EOMONTH(EDATE(Bonds!$H165,6*(11-1)),0),EDATE(Bonds!$H165,6*(11-1))))</f>
        <v/>
      </c>
      <c r="P165" s="3" t="str">
        <f>IF(12&gt;$C165,"",IF($D165=1,EOMONTH(EDATE(Bonds!$H165,6*(12-1)),0),EDATE(Bonds!$H165,6*(12-1))))</f>
        <v/>
      </c>
      <c r="Q165" s="3" t="str">
        <f>IF(13&gt;$C165,"",IF($D165=1,EOMONTH(EDATE(Bonds!$H165,6*(13-1)),0),EDATE(Bonds!$H165,6*(13-1))))</f>
        <v/>
      </c>
      <c r="R165" s="3" t="str">
        <f>IF(14&gt;$C165,"",IF($D165=1,EOMONTH(EDATE(Bonds!$H165,6*(14-1)),0),EDATE(Bonds!$H165,6*(14-1))))</f>
        <v/>
      </c>
      <c r="S165" s="3" t="str">
        <f>IF(15&gt;$C165,"",IF($D165=1,EOMONTH(EDATE(Bonds!$H165,6*(15-1)),0),EDATE(Bonds!$H165,6*(15-1))))</f>
        <v/>
      </c>
      <c r="T165" s="3" t="str">
        <f>IF(16&gt;$C165,"",IF($D165=1,EOMONTH(EDATE(Bonds!$H165,6*(16-1)),0),EDATE(Bonds!$H165,6*(16-1))))</f>
        <v/>
      </c>
      <c r="U165" s="3" t="str">
        <f>IF(17&gt;$C165,"",IF($D165=1,EOMONTH(EDATE(Bonds!$H165,6*(17-1)),0),EDATE(Bonds!$H165,6*(17-1))))</f>
        <v/>
      </c>
      <c r="V165" s="3" t="str">
        <f>IF(18&gt;$C165,"",IF($D165=1,EOMONTH(EDATE(Bonds!$H165,6*(18-1)),0),EDATE(Bonds!$H165,6*(18-1))))</f>
        <v/>
      </c>
      <c r="W165" s="3" t="str">
        <f>IF(19&gt;$C165,"",IF($D165=1,EOMONTH(EDATE(Bonds!$H165,6*(19-1)),0),EDATE(Bonds!$H165,6*(19-1))))</f>
        <v/>
      </c>
      <c r="X165" s="3" t="str">
        <f>IF(20&gt;$C165,"",IF($D165=1,EOMONTH(EDATE(Bonds!$H165,6*(20-1)),0),EDATE(Bonds!$H165,6*(20-1))))</f>
        <v/>
      </c>
      <c r="Y165" s="3" t="str">
        <f>IF(21&gt;$C165,"",IF($D165=1,EOMONTH(EDATE(Bonds!$H165,6*(21-1)),0),EDATE(Bonds!$H165,6*(21-1))))</f>
        <v/>
      </c>
      <c r="Z165" s="3" t="str">
        <f>IF(22&gt;$C165,"",IF($D165=1,EOMONTH(EDATE(Bonds!$H165,6*(22-1)),0),EDATE(Bonds!$H165,6*(22-1))))</f>
        <v/>
      </c>
      <c r="AA165" s="3" t="str">
        <f>IF(23&gt;$C165,"",IF($D165=1,EOMONTH(EDATE(Bonds!$H165,6*(23-1)),0),EDATE(Bonds!$H165,6*(23-1))))</f>
        <v/>
      </c>
      <c r="AB165" s="3" t="str">
        <f>IF(24&gt;$C165,"",IF($D165=1,EOMONTH(EDATE(Bonds!$H165,6*(24-1)),0),EDATE(Bonds!$H165,6*(24-1))))</f>
        <v/>
      </c>
      <c r="AC165" s="3" t="str">
        <f>IF(25&gt;$C165,"",IF($D165=1,EOMONTH(EDATE(Bonds!$H165,6*(25-1)),0),EDATE(Bonds!$H165,6*(25-1))))</f>
        <v/>
      </c>
      <c r="AD165" s="3" t="str">
        <f>IF(26&gt;$C165,"",IF($D165=1,EOMONTH(EDATE(Bonds!$H165,6*(26-1)),0),EDATE(Bonds!$H165,6*(26-1))))</f>
        <v/>
      </c>
      <c r="AE165" s="3" t="str">
        <f>IF(27&gt;$C165,"",IF($D165=1,EOMONTH(EDATE(Bonds!$H165,6*(27-1)),0),EDATE(Bonds!$H165,6*(27-1))))</f>
        <v/>
      </c>
      <c r="AF165" s="3" t="str">
        <f>IF(28&gt;$C165,"",IF($D165=1,EOMONTH(EDATE(Bonds!$H165,6*(28-1)),0),EDATE(Bonds!$H165,6*(28-1))))</f>
        <v/>
      </c>
      <c r="AG165" s="3" t="str">
        <f>IF(29&gt;$C165,"",IF($D165=1,EOMONTH(EDATE(Bonds!$H165,6*(29-1)),0),EDATE(Bonds!$H165,6*(29-1))))</f>
        <v/>
      </c>
      <c r="AH165" s="3" t="str">
        <f>IF(30&gt;$C165,"",IF($D165=1,EOMONTH(EDATE(Bonds!$H165,6*(30-1)),0),EDATE(Bonds!$H165,6*(30-1))))</f>
        <v/>
      </c>
      <c r="AI165" s="3" t="str">
        <f>IF(31&gt;$C165,"",IF($D165=1,EOMONTH(EDATE(Bonds!$H165,6*(31-1)),0),EDATE(Bonds!$H165,6*(31-1))))</f>
        <v/>
      </c>
      <c r="AJ165" s="3" t="str">
        <f>IF(32&gt;$C165,"",IF($D165=1,EOMONTH(EDATE(Bonds!$H165,6*(32-1)),0),EDATE(Bonds!$H165,6*(32-1))))</f>
        <v/>
      </c>
      <c r="AK165" s="3" t="str">
        <f>IF(33&gt;$C165,"",IF($D165=1,EOMONTH(EDATE(Bonds!$H165,6*(33-1)),0),EDATE(Bonds!$H165,6*(33-1))))</f>
        <v/>
      </c>
      <c r="AL165" s="3" t="str">
        <f>IF(34&gt;$C165,"",IF($D165=1,EOMONTH(EDATE(Bonds!$H165,6*(34-1)),0),EDATE(Bonds!$H165,6*(34-1))))</f>
        <v/>
      </c>
      <c r="AM165" s="3" t="str">
        <f>IF(35&gt;$C165,"",IF($D165=1,EOMONTH(EDATE(Bonds!$H165,6*(35-1)),0),EDATE(Bonds!$H165,6*(35-1))))</f>
        <v/>
      </c>
      <c r="AN165" s="3" t="str">
        <f>IF(36&gt;$C165,"",IF($D165=1,EOMONTH(EDATE(Bonds!$H165,6*(36-1)),0),EDATE(Bonds!$H165,6*(36-1))))</f>
        <v/>
      </c>
      <c r="AO165" s="3" t="str">
        <f>IF(37&gt;$C165,"",IF($D165=1,EOMONTH(EDATE(Bonds!$H165,6*(37-1)),0),EDATE(Bonds!$H165,6*(37-1))))</f>
        <v/>
      </c>
      <c r="AP165" s="3" t="str">
        <f>IF(38&gt;$C165,"",IF($D165=1,EOMONTH(EDATE(Bonds!$H165,6*(38-1)),0),EDATE(Bonds!$H165,6*(38-1))))</f>
        <v/>
      </c>
      <c r="AQ165" s="3" t="str">
        <f>IF(39&gt;$C165,"",IF($D165=1,EOMONTH(EDATE(Bonds!$H165,6*(39-1)),0),EDATE(Bonds!$H165,6*(39-1))))</f>
        <v/>
      </c>
      <c r="AR165" s="3" t="str">
        <f>IF(40&gt;$C165,"",IF($D165=1,EOMONTH(EDATE(Bonds!$H165,6*(40-1)),0),EDATE(Bonds!$H165,6*(40-1))))</f>
        <v/>
      </c>
      <c r="AS165" s="3" t="str">
        <f>IF(41&gt;$C165,"",IF($D165=1,EOMONTH(EDATE(Bonds!$H165,6*(41-1)),0),EDATE(Bonds!$H165,6*(41-1))))</f>
        <v/>
      </c>
      <c r="AT165" s="3" t="str">
        <f>IF(42&gt;$C165,"",IF($D165=1,EOMONTH(EDATE(Bonds!$H165,6*(42-1)),0),EDATE(Bonds!$H165,6*(42-1))))</f>
        <v/>
      </c>
      <c r="AU165" s="3" t="str">
        <f>IF(43&gt;$C165,"",IF($D165=1,EOMONTH(EDATE(Bonds!$H165,6*(43-1)),0),EDATE(Bonds!$H165,6*(43-1))))</f>
        <v/>
      </c>
      <c r="AV165" s="3" t="str">
        <f>IF(44&gt;$C165,"",IF($D165=1,EOMONTH(EDATE(Bonds!$H165,6*(44-1)),0),EDATE(Bonds!$H165,6*(44-1))))</f>
        <v/>
      </c>
      <c r="AW165" s="3" t="str">
        <f>IF(45&gt;$C165,"",IF($D165=1,EOMONTH(EDATE(Bonds!$H165,6*(45-1)),0),EDATE(Bonds!$H165,6*(45-1))))</f>
        <v/>
      </c>
      <c r="AX165" s="3" t="str">
        <f>IF(46&gt;$C165,"",IF($D165=1,EOMONTH(EDATE(Bonds!$H165,6*(46-1)),0),EDATE(Bonds!$H165,6*(46-1))))</f>
        <v/>
      </c>
      <c r="AY165" s="3" t="str">
        <f>IF(47&gt;$C165,"",IF($D165=1,EOMONTH(EDATE(Bonds!$H165,6*(47-1)),0),EDATE(Bonds!$H165,6*(47-1))))</f>
        <v/>
      </c>
      <c r="AZ165" s="3" t="str">
        <f>IF(48&gt;$C165,"",IF($D165=1,EOMONTH(EDATE(Bonds!$H165,6*(48-1)),0),EDATE(Bonds!$H165,6*(48-1))))</f>
        <v/>
      </c>
      <c r="BA165" s="3" t="str">
        <f>IF(49&gt;$C165,"",IF($D165=1,EOMONTH(EDATE(Bonds!$H165,6*(49-1)),0),EDATE(Bonds!$H165,6*(49-1))))</f>
        <v/>
      </c>
      <c r="BB165" s="3" t="str">
        <f>IF(50&gt;$C165,"",IF($D165=1,EOMONTH(EDATE(Bonds!$H165,6*(50-1)),0),EDATE(Bonds!$H165,6*(50-1))))</f>
        <v/>
      </c>
      <c r="BC165" s="3" t="str">
        <f>IF(51&gt;$C165,"",IF($D165=1,EOMONTH(EDATE(Bonds!$H165,6*(51-1)),0),EDATE(Bonds!$H165,6*(51-1))))</f>
        <v/>
      </c>
      <c r="BD165" s="3" t="str">
        <f>IF(52&gt;$C165,"",IF($D165=1,EOMONTH(EDATE(Bonds!$H165,6*(52-1)),0),EDATE(Bonds!$H165,6*(52-1))))</f>
        <v/>
      </c>
      <c r="BE165" s="3" t="str">
        <f>IF(53&gt;$C165,"",IF($D165=1,EOMONTH(EDATE(Bonds!$H165,6*(53-1)),0),EDATE(Bonds!$H165,6*(53-1))))</f>
        <v/>
      </c>
      <c r="BF165" s="3" t="str">
        <f>IF(54&gt;$C165,"",IF($D165=1,EOMONTH(EDATE(Bonds!$H165,6*(54-1)),0),EDATE(Bonds!$H165,6*(54-1))))</f>
        <v/>
      </c>
      <c r="BG165" s="3" t="str">
        <f>IF(55&gt;$C165,"",IF($D165=1,EOMONTH(EDATE(Bonds!$H165,6*(55-1)),0),EDATE(Bonds!$H165,6*(55-1))))</f>
        <v/>
      </c>
      <c r="BH165" s="3" t="str">
        <f>IF(56&gt;$C165,"",IF($D165=1,EOMONTH(EDATE(Bonds!$H165,6*(56-1)),0),EDATE(Bonds!$H165,6*(56-1))))</f>
        <v/>
      </c>
      <c r="BI165" s="3" t="str">
        <f>IF(57&gt;$C165,"",IF($D165=1,EOMONTH(EDATE(Bonds!$H165,6*(57-1)),0),EDATE(Bonds!$H165,6*(57-1))))</f>
        <v/>
      </c>
      <c r="BJ165" s="3" t="str">
        <f>IF(58&gt;$C165,"",IF($D165=1,EOMONTH(EDATE(Bonds!$H165,6*(58-1)),0),EDATE(Bonds!$H165,6*(58-1))))</f>
        <v/>
      </c>
      <c r="BK165" s="3" t="str">
        <f>IF(59&gt;$C165,"",IF($D165=1,EOMONTH(EDATE(Bonds!$H165,6*(59-1)),0),EDATE(Bonds!$H165,6*(59-1))))</f>
        <v/>
      </c>
      <c r="BL165" s="3" t="str">
        <f>IF(60&gt;$C165,"",IF($D165=1,EOMONTH(EDATE(Bonds!$H165,6*(60-1)),0),EDATE(Bonds!$H165,6*(60-1))))</f>
        <v/>
      </c>
      <c r="BN165" s="7">
        <f t="shared" si="123"/>
        <v>1.9144411123253822</v>
      </c>
      <c r="BO165" s="7">
        <f t="shared" si="124"/>
        <v>1.8748576914456776</v>
      </c>
      <c r="BP165" s="7">
        <f t="shared" si="125"/>
        <v>1.8331391898912444</v>
      </c>
      <c r="BQ165" s="7">
        <f t="shared" si="126"/>
        <v>1.7918796004027246</v>
      </c>
      <c r="BR165" s="7">
        <f t="shared" si="127"/>
        <v>1.7508874700381651</v>
      </c>
      <c r="BS165" s="7">
        <f t="shared" si="128"/>
        <v>1.7115232298365863</v>
      </c>
      <c r="BT165" s="7">
        <f t="shared" si="129"/>
        <v>87.994671451458956</v>
      </c>
      <c r="BU165" s="7">
        <f t="shared" si="130"/>
        <v>0</v>
      </c>
      <c r="BV165" s="7">
        <f t="shared" si="131"/>
        <v>0</v>
      </c>
      <c r="BW165" s="7">
        <f t="shared" si="132"/>
        <v>0</v>
      </c>
      <c r="BX165" s="7">
        <f t="shared" si="133"/>
        <v>0</v>
      </c>
      <c r="BY165" s="7">
        <f t="shared" si="134"/>
        <v>0</v>
      </c>
      <c r="BZ165" s="7">
        <f t="shared" si="135"/>
        <v>0</v>
      </c>
      <c r="CA165" s="7">
        <f t="shared" si="136"/>
        <v>0</v>
      </c>
      <c r="CB165" s="7">
        <f t="shared" si="137"/>
        <v>0</v>
      </c>
      <c r="CC165" s="7">
        <f t="shared" si="138"/>
        <v>0</v>
      </c>
      <c r="CD165" s="7">
        <f t="shared" si="139"/>
        <v>0</v>
      </c>
      <c r="CE165" s="7">
        <f t="shared" si="140"/>
        <v>0</v>
      </c>
      <c r="CF165" s="7">
        <f t="shared" si="141"/>
        <v>0</v>
      </c>
      <c r="CG165" s="7">
        <f t="shared" si="142"/>
        <v>0</v>
      </c>
      <c r="CH165" s="7">
        <f t="shared" si="143"/>
        <v>0</v>
      </c>
      <c r="CI165" s="7">
        <f t="shared" si="144"/>
        <v>0</v>
      </c>
      <c r="CJ165" s="7">
        <f t="shared" si="145"/>
        <v>0</v>
      </c>
      <c r="CK165" s="7">
        <f t="shared" si="146"/>
        <v>0</v>
      </c>
      <c r="CL165" s="7">
        <f t="shared" si="147"/>
        <v>0</v>
      </c>
      <c r="CM165" s="7">
        <f t="shared" si="148"/>
        <v>0</v>
      </c>
      <c r="CN165" s="7">
        <f t="shared" si="149"/>
        <v>0</v>
      </c>
      <c r="CO165" s="7">
        <f t="shared" si="150"/>
        <v>0</v>
      </c>
      <c r="CP165" s="7">
        <f t="shared" si="151"/>
        <v>0</v>
      </c>
      <c r="CQ165" s="7">
        <f t="shared" si="152"/>
        <v>0</v>
      </c>
      <c r="CR165" s="7">
        <f t="shared" si="153"/>
        <v>0</v>
      </c>
      <c r="CS165" s="7">
        <f t="shared" si="154"/>
        <v>0</v>
      </c>
      <c r="CT165" s="7">
        <f t="shared" si="155"/>
        <v>0</v>
      </c>
      <c r="CU165" s="7">
        <f t="shared" si="156"/>
        <v>0</v>
      </c>
      <c r="CV165" s="7">
        <f t="shared" si="157"/>
        <v>0</v>
      </c>
      <c r="CW165" s="7">
        <f t="shared" si="158"/>
        <v>0</v>
      </c>
      <c r="CX165" s="7">
        <f t="shared" si="159"/>
        <v>0</v>
      </c>
      <c r="CY165" s="7">
        <f t="shared" si="160"/>
        <v>0</v>
      </c>
      <c r="CZ165" s="7">
        <f t="shared" si="161"/>
        <v>0</v>
      </c>
      <c r="DA165" s="7">
        <f t="shared" si="162"/>
        <v>0</v>
      </c>
      <c r="DB165" s="7">
        <f t="shared" si="163"/>
        <v>0</v>
      </c>
      <c r="DC165" s="7">
        <f t="shared" si="164"/>
        <v>0</v>
      </c>
      <c r="DD165" s="7">
        <f t="shared" si="165"/>
        <v>0</v>
      </c>
      <c r="DE165" s="7">
        <f t="shared" si="166"/>
        <v>0</v>
      </c>
      <c r="DF165" s="7">
        <f t="shared" si="167"/>
        <v>0</v>
      </c>
      <c r="DG165" s="7">
        <f t="shared" si="168"/>
        <v>0</v>
      </c>
      <c r="DH165" s="7">
        <f t="shared" si="169"/>
        <v>0</v>
      </c>
      <c r="DI165" s="7">
        <f t="shared" si="170"/>
        <v>0</v>
      </c>
      <c r="DJ165" s="7">
        <f t="shared" si="171"/>
        <v>0</v>
      </c>
      <c r="DK165" s="7">
        <f t="shared" si="172"/>
        <v>0</v>
      </c>
      <c r="DL165" s="7">
        <f t="shared" si="173"/>
        <v>0</v>
      </c>
      <c r="DM165" s="7">
        <f t="shared" si="174"/>
        <v>0</v>
      </c>
      <c r="DN165" s="7">
        <f t="shared" si="175"/>
        <v>0</v>
      </c>
      <c r="DO165" s="7">
        <f t="shared" si="176"/>
        <v>0</v>
      </c>
      <c r="DP165" s="7">
        <f t="shared" si="177"/>
        <v>0</v>
      </c>
      <c r="DQ165" s="7">
        <f t="shared" si="178"/>
        <v>0</v>
      </c>
      <c r="DR165" s="7">
        <f t="shared" si="179"/>
        <v>0</v>
      </c>
      <c r="DS165" s="7">
        <f t="shared" si="180"/>
        <v>0</v>
      </c>
      <c r="DT165" s="7">
        <f t="shared" si="181"/>
        <v>0</v>
      </c>
      <c r="DU165" s="7">
        <f t="shared" si="182"/>
        <v>0</v>
      </c>
    </row>
    <row r="166" spans="1:125" x14ac:dyDescent="0.2">
      <c r="A166" s="3">
        <f>Bonds!A166</f>
        <v>47483</v>
      </c>
      <c r="B166" s="4">
        <f>Bonds!B166</f>
        <v>4.375</v>
      </c>
      <c r="C166">
        <f>Bonds!P166</f>
        <v>7</v>
      </c>
      <c r="D166">
        <f t="shared" si="122"/>
        <v>1</v>
      </c>
      <c r="E166" s="3">
        <f>IF(1&gt;$C166,"",IF($D166=1,EOMONTH(EDATE(Bonds!$H166,6*(1-1)),0),EDATE(Bonds!$H166,6*(1-1))))</f>
        <v>46387</v>
      </c>
      <c r="F166" s="3">
        <f>IF(2&gt;$C166,"",IF($D166=1,EOMONTH(EDATE(Bonds!$H166,6*(2-1)),0),EDATE(Bonds!$H166,6*(2-1))))</f>
        <v>46568</v>
      </c>
      <c r="G166" s="3">
        <f>IF(3&gt;$C166,"",IF($D166=1,EOMONTH(EDATE(Bonds!$H166,6*(3-1)),0),EDATE(Bonds!$H166,6*(3-1))))</f>
        <v>46752</v>
      </c>
      <c r="H166" s="3">
        <f>IF(4&gt;$C166,"",IF($D166=1,EOMONTH(EDATE(Bonds!$H166,6*(4-1)),0),EDATE(Bonds!$H166,6*(4-1))))</f>
        <v>46934</v>
      </c>
      <c r="I166" s="3">
        <f>IF(5&gt;$C166,"",IF($D166=1,EOMONTH(EDATE(Bonds!$H166,6*(5-1)),0),EDATE(Bonds!$H166,6*(5-1))))</f>
        <v>47118</v>
      </c>
      <c r="J166" s="3">
        <f>IF(6&gt;$C166,"",IF($D166=1,EOMONTH(EDATE(Bonds!$H166,6*(6-1)),0),EDATE(Bonds!$H166,6*(6-1))))</f>
        <v>47299</v>
      </c>
      <c r="K166" s="3">
        <f>IF(7&gt;$C166,"",IF($D166=1,EOMONTH(EDATE(Bonds!$H166,6*(7-1)),0),EDATE(Bonds!$H166,6*(7-1))))</f>
        <v>47483</v>
      </c>
      <c r="L166" s="3" t="str">
        <f>IF(8&gt;$C166,"",IF($D166=1,EOMONTH(EDATE(Bonds!$H166,6*(8-1)),0),EDATE(Bonds!$H166,6*(8-1))))</f>
        <v/>
      </c>
      <c r="M166" s="3" t="str">
        <f>IF(9&gt;$C166,"",IF($D166=1,EOMONTH(EDATE(Bonds!$H166,6*(9-1)),0),EDATE(Bonds!$H166,6*(9-1))))</f>
        <v/>
      </c>
      <c r="N166" s="3" t="str">
        <f>IF(10&gt;$C166,"",IF($D166=1,EOMONTH(EDATE(Bonds!$H166,6*(10-1)),0),EDATE(Bonds!$H166,6*(10-1))))</f>
        <v/>
      </c>
      <c r="O166" s="3" t="str">
        <f>IF(11&gt;$C166,"",IF($D166=1,EOMONTH(EDATE(Bonds!$H166,6*(11-1)),0),EDATE(Bonds!$H166,6*(11-1))))</f>
        <v/>
      </c>
      <c r="P166" s="3" t="str">
        <f>IF(12&gt;$C166,"",IF($D166=1,EOMONTH(EDATE(Bonds!$H166,6*(12-1)),0),EDATE(Bonds!$H166,6*(12-1))))</f>
        <v/>
      </c>
      <c r="Q166" s="3" t="str">
        <f>IF(13&gt;$C166,"",IF($D166=1,EOMONTH(EDATE(Bonds!$H166,6*(13-1)),0),EDATE(Bonds!$H166,6*(13-1))))</f>
        <v/>
      </c>
      <c r="R166" s="3" t="str">
        <f>IF(14&gt;$C166,"",IF($D166=1,EOMONTH(EDATE(Bonds!$H166,6*(14-1)),0),EDATE(Bonds!$H166,6*(14-1))))</f>
        <v/>
      </c>
      <c r="S166" s="3" t="str">
        <f>IF(15&gt;$C166,"",IF($D166=1,EOMONTH(EDATE(Bonds!$H166,6*(15-1)),0),EDATE(Bonds!$H166,6*(15-1))))</f>
        <v/>
      </c>
      <c r="T166" s="3" t="str">
        <f>IF(16&gt;$C166,"",IF($D166=1,EOMONTH(EDATE(Bonds!$H166,6*(16-1)),0),EDATE(Bonds!$H166,6*(16-1))))</f>
        <v/>
      </c>
      <c r="U166" s="3" t="str">
        <f>IF(17&gt;$C166,"",IF($D166=1,EOMONTH(EDATE(Bonds!$H166,6*(17-1)),0),EDATE(Bonds!$H166,6*(17-1))))</f>
        <v/>
      </c>
      <c r="V166" s="3" t="str">
        <f>IF(18&gt;$C166,"",IF($D166=1,EOMONTH(EDATE(Bonds!$H166,6*(18-1)),0),EDATE(Bonds!$H166,6*(18-1))))</f>
        <v/>
      </c>
      <c r="W166" s="3" t="str">
        <f>IF(19&gt;$C166,"",IF($D166=1,EOMONTH(EDATE(Bonds!$H166,6*(19-1)),0),EDATE(Bonds!$H166,6*(19-1))))</f>
        <v/>
      </c>
      <c r="X166" s="3" t="str">
        <f>IF(20&gt;$C166,"",IF($D166=1,EOMONTH(EDATE(Bonds!$H166,6*(20-1)),0),EDATE(Bonds!$H166,6*(20-1))))</f>
        <v/>
      </c>
      <c r="Y166" s="3" t="str">
        <f>IF(21&gt;$C166,"",IF($D166=1,EOMONTH(EDATE(Bonds!$H166,6*(21-1)),0),EDATE(Bonds!$H166,6*(21-1))))</f>
        <v/>
      </c>
      <c r="Z166" s="3" t="str">
        <f>IF(22&gt;$C166,"",IF($D166=1,EOMONTH(EDATE(Bonds!$H166,6*(22-1)),0),EDATE(Bonds!$H166,6*(22-1))))</f>
        <v/>
      </c>
      <c r="AA166" s="3" t="str">
        <f>IF(23&gt;$C166,"",IF($D166=1,EOMONTH(EDATE(Bonds!$H166,6*(23-1)),0),EDATE(Bonds!$H166,6*(23-1))))</f>
        <v/>
      </c>
      <c r="AB166" s="3" t="str">
        <f>IF(24&gt;$C166,"",IF($D166=1,EOMONTH(EDATE(Bonds!$H166,6*(24-1)),0),EDATE(Bonds!$H166,6*(24-1))))</f>
        <v/>
      </c>
      <c r="AC166" s="3" t="str">
        <f>IF(25&gt;$C166,"",IF($D166=1,EOMONTH(EDATE(Bonds!$H166,6*(25-1)),0),EDATE(Bonds!$H166,6*(25-1))))</f>
        <v/>
      </c>
      <c r="AD166" s="3" t="str">
        <f>IF(26&gt;$C166,"",IF($D166=1,EOMONTH(EDATE(Bonds!$H166,6*(26-1)),0),EDATE(Bonds!$H166,6*(26-1))))</f>
        <v/>
      </c>
      <c r="AE166" s="3" t="str">
        <f>IF(27&gt;$C166,"",IF($D166=1,EOMONTH(EDATE(Bonds!$H166,6*(27-1)),0),EDATE(Bonds!$H166,6*(27-1))))</f>
        <v/>
      </c>
      <c r="AF166" s="3" t="str">
        <f>IF(28&gt;$C166,"",IF($D166=1,EOMONTH(EDATE(Bonds!$H166,6*(28-1)),0),EDATE(Bonds!$H166,6*(28-1))))</f>
        <v/>
      </c>
      <c r="AG166" s="3" t="str">
        <f>IF(29&gt;$C166,"",IF($D166=1,EOMONTH(EDATE(Bonds!$H166,6*(29-1)),0),EDATE(Bonds!$H166,6*(29-1))))</f>
        <v/>
      </c>
      <c r="AH166" s="3" t="str">
        <f>IF(30&gt;$C166,"",IF($D166=1,EOMONTH(EDATE(Bonds!$H166,6*(30-1)),0),EDATE(Bonds!$H166,6*(30-1))))</f>
        <v/>
      </c>
      <c r="AI166" s="3" t="str">
        <f>IF(31&gt;$C166,"",IF($D166=1,EOMONTH(EDATE(Bonds!$H166,6*(31-1)),0),EDATE(Bonds!$H166,6*(31-1))))</f>
        <v/>
      </c>
      <c r="AJ166" s="3" t="str">
        <f>IF(32&gt;$C166,"",IF($D166=1,EOMONTH(EDATE(Bonds!$H166,6*(32-1)),0),EDATE(Bonds!$H166,6*(32-1))))</f>
        <v/>
      </c>
      <c r="AK166" s="3" t="str">
        <f>IF(33&gt;$C166,"",IF($D166=1,EOMONTH(EDATE(Bonds!$H166,6*(33-1)),0),EDATE(Bonds!$H166,6*(33-1))))</f>
        <v/>
      </c>
      <c r="AL166" s="3" t="str">
        <f>IF(34&gt;$C166,"",IF($D166=1,EOMONTH(EDATE(Bonds!$H166,6*(34-1)),0),EDATE(Bonds!$H166,6*(34-1))))</f>
        <v/>
      </c>
      <c r="AM166" s="3" t="str">
        <f>IF(35&gt;$C166,"",IF($D166=1,EOMONTH(EDATE(Bonds!$H166,6*(35-1)),0),EDATE(Bonds!$H166,6*(35-1))))</f>
        <v/>
      </c>
      <c r="AN166" s="3" t="str">
        <f>IF(36&gt;$C166,"",IF($D166=1,EOMONTH(EDATE(Bonds!$H166,6*(36-1)),0),EDATE(Bonds!$H166,6*(36-1))))</f>
        <v/>
      </c>
      <c r="AO166" s="3" t="str">
        <f>IF(37&gt;$C166,"",IF($D166=1,EOMONTH(EDATE(Bonds!$H166,6*(37-1)),0),EDATE(Bonds!$H166,6*(37-1))))</f>
        <v/>
      </c>
      <c r="AP166" s="3" t="str">
        <f>IF(38&gt;$C166,"",IF($D166=1,EOMONTH(EDATE(Bonds!$H166,6*(38-1)),0),EDATE(Bonds!$H166,6*(38-1))))</f>
        <v/>
      </c>
      <c r="AQ166" s="3" t="str">
        <f>IF(39&gt;$C166,"",IF($D166=1,EOMONTH(EDATE(Bonds!$H166,6*(39-1)),0),EDATE(Bonds!$H166,6*(39-1))))</f>
        <v/>
      </c>
      <c r="AR166" s="3" t="str">
        <f>IF(40&gt;$C166,"",IF($D166=1,EOMONTH(EDATE(Bonds!$H166,6*(40-1)),0),EDATE(Bonds!$H166,6*(40-1))))</f>
        <v/>
      </c>
      <c r="AS166" s="3" t="str">
        <f>IF(41&gt;$C166,"",IF($D166=1,EOMONTH(EDATE(Bonds!$H166,6*(41-1)),0),EDATE(Bonds!$H166,6*(41-1))))</f>
        <v/>
      </c>
      <c r="AT166" s="3" t="str">
        <f>IF(42&gt;$C166,"",IF($D166=1,EOMONTH(EDATE(Bonds!$H166,6*(42-1)),0),EDATE(Bonds!$H166,6*(42-1))))</f>
        <v/>
      </c>
      <c r="AU166" s="3" t="str">
        <f>IF(43&gt;$C166,"",IF($D166=1,EOMONTH(EDATE(Bonds!$H166,6*(43-1)),0),EDATE(Bonds!$H166,6*(43-1))))</f>
        <v/>
      </c>
      <c r="AV166" s="3" t="str">
        <f>IF(44&gt;$C166,"",IF($D166=1,EOMONTH(EDATE(Bonds!$H166,6*(44-1)),0),EDATE(Bonds!$H166,6*(44-1))))</f>
        <v/>
      </c>
      <c r="AW166" s="3" t="str">
        <f>IF(45&gt;$C166,"",IF($D166=1,EOMONTH(EDATE(Bonds!$H166,6*(45-1)),0),EDATE(Bonds!$H166,6*(45-1))))</f>
        <v/>
      </c>
      <c r="AX166" s="3" t="str">
        <f>IF(46&gt;$C166,"",IF($D166=1,EOMONTH(EDATE(Bonds!$H166,6*(46-1)),0),EDATE(Bonds!$H166,6*(46-1))))</f>
        <v/>
      </c>
      <c r="AY166" s="3" t="str">
        <f>IF(47&gt;$C166,"",IF($D166=1,EOMONTH(EDATE(Bonds!$H166,6*(47-1)),0),EDATE(Bonds!$H166,6*(47-1))))</f>
        <v/>
      </c>
      <c r="AZ166" s="3" t="str">
        <f>IF(48&gt;$C166,"",IF($D166=1,EOMONTH(EDATE(Bonds!$H166,6*(48-1)),0),EDATE(Bonds!$H166,6*(48-1))))</f>
        <v/>
      </c>
      <c r="BA166" s="3" t="str">
        <f>IF(49&gt;$C166,"",IF($D166=1,EOMONTH(EDATE(Bonds!$H166,6*(49-1)),0),EDATE(Bonds!$H166,6*(49-1))))</f>
        <v/>
      </c>
      <c r="BB166" s="3" t="str">
        <f>IF(50&gt;$C166,"",IF($D166=1,EOMONTH(EDATE(Bonds!$H166,6*(50-1)),0),EDATE(Bonds!$H166,6*(50-1))))</f>
        <v/>
      </c>
      <c r="BC166" s="3" t="str">
        <f>IF(51&gt;$C166,"",IF($D166=1,EOMONTH(EDATE(Bonds!$H166,6*(51-1)),0),EDATE(Bonds!$H166,6*(51-1))))</f>
        <v/>
      </c>
      <c r="BD166" s="3" t="str">
        <f>IF(52&gt;$C166,"",IF($D166=1,EOMONTH(EDATE(Bonds!$H166,6*(52-1)),0),EDATE(Bonds!$H166,6*(52-1))))</f>
        <v/>
      </c>
      <c r="BE166" s="3" t="str">
        <f>IF(53&gt;$C166,"",IF($D166=1,EOMONTH(EDATE(Bonds!$H166,6*(53-1)),0),EDATE(Bonds!$H166,6*(53-1))))</f>
        <v/>
      </c>
      <c r="BF166" s="3" t="str">
        <f>IF(54&gt;$C166,"",IF($D166=1,EOMONTH(EDATE(Bonds!$H166,6*(54-1)),0),EDATE(Bonds!$H166,6*(54-1))))</f>
        <v/>
      </c>
      <c r="BG166" s="3" t="str">
        <f>IF(55&gt;$C166,"",IF($D166=1,EOMONTH(EDATE(Bonds!$H166,6*(55-1)),0),EDATE(Bonds!$H166,6*(55-1))))</f>
        <v/>
      </c>
      <c r="BH166" s="3" t="str">
        <f>IF(56&gt;$C166,"",IF($D166=1,EOMONTH(EDATE(Bonds!$H166,6*(56-1)),0),EDATE(Bonds!$H166,6*(56-1))))</f>
        <v/>
      </c>
      <c r="BI166" s="3" t="str">
        <f>IF(57&gt;$C166,"",IF($D166=1,EOMONTH(EDATE(Bonds!$H166,6*(57-1)),0),EDATE(Bonds!$H166,6*(57-1))))</f>
        <v/>
      </c>
      <c r="BJ166" s="3" t="str">
        <f>IF(58&gt;$C166,"",IF($D166=1,EOMONTH(EDATE(Bonds!$H166,6*(58-1)),0),EDATE(Bonds!$H166,6*(58-1))))</f>
        <v/>
      </c>
      <c r="BK166" s="3" t="str">
        <f>IF(59&gt;$C166,"",IF($D166=1,EOMONTH(EDATE(Bonds!$H166,6*(59-1)),0),EDATE(Bonds!$H166,6*(59-1))))</f>
        <v/>
      </c>
      <c r="BL166" s="3" t="str">
        <f>IF(60&gt;$C166,"",IF($D166=1,EOMONTH(EDATE(Bonds!$H166,6*(60-1)),0),EDATE(Bonds!$H166,6*(60-1))))</f>
        <v/>
      </c>
      <c r="BN166" s="7">
        <f t="shared" si="123"/>
        <v>2.1614657719802701</v>
      </c>
      <c r="BO166" s="7">
        <f t="shared" si="124"/>
        <v>2.116774812922539</v>
      </c>
      <c r="BP166" s="7">
        <f t="shared" si="125"/>
        <v>2.0696732789094696</v>
      </c>
      <c r="BQ166" s="7">
        <f t="shared" si="126"/>
        <v>2.0230898714224308</v>
      </c>
      <c r="BR166" s="7">
        <f t="shared" si="127"/>
        <v>1.9768084339140575</v>
      </c>
      <c r="BS166" s="7">
        <f t="shared" si="128"/>
        <v>1.9323649369122748</v>
      </c>
      <c r="BT166" s="7">
        <f t="shared" si="129"/>
        <v>88.210476899531216</v>
      </c>
      <c r="BU166" s="7">
        <f t="shared" si="130"/>
        <v>0</v>
      </c>
      <c r="BV166" s="7">
        <f t="shared" si="131"/>
        <v>0</v>
      </c>
      <c r="BW166" s="7">
        <f t="shared" si="132"/>
        <v>0</v>
      </c>
      <c r="BX166" s="7">
        <f t="shared" si="133"/>
        <v>0</v>
      </c>
      <c r="BY166" s="7">
        <f t="shared" si="134"/>
        <v>0</v>
      </c>
      <c r="BZ166" s="7">
        <f t="shared" si="135"/>
        <v>0</v>
      </c>
      <c r="CA166" s="7">
        <f t="shared" si="136"/>
        <v>0</v>
      </c>
      <c r="CB166" s="7">
        <f t="shared" si="137"/>
        <v>0</v>
      </c>
      <c r="CC166" s="7">
        <f t="shared" si="138"/>
        <v>0</v>
      </c>
      <c r="CD166" s="7">
        <f t="shared" si="139"/>
        <v>0</v>
      </c>
      <c r="CE166" s="7">
        <f t="shared" si="140"/>
        <v>0</v>
      </c>
      <c r="CF166" s="7">
        <f t="shared" si="141"/>
        <v>0</v>
      </c>
      <c r="CG166" s="7">
        <f t="shared" si="142"/>
        <v>0</v>
      </c>
      <c r="CH166" s="7">
        <f t="shared" si="143"/>
        <v>0</v>
      </c>
      <c r="CI166" s="7">
        <f t="shared" si="144"/>
        <v>0</v>
      </c>
      <c r="CJ166" s="7">
        <f t="shared" si="145"/>
        <v>0</v>
      </c>
      <c r="CK166" s="7">
        <f t="shared" si="146"/>
        <v>0</v>
      </c>
      <c r="CL166" s="7">
        <f t="shared" si="147"/>
        <v>0</v>
      </c>
      <c r="CM166" s="7">
        <f t="shared" si="148"/>
        <v>0</v>
      </c>
      <c r="CN166" s="7">
        <f t="shared" si="149"/>
        <v>0</v>
      </c>
      <c r="CO166" s="7">
        <f t="shared" si="150"/>
        <v>0</v>
      </c>
      <c r="CP166" s="7">
        <f t="shared" si="151"/>
        <v>0</v>
      </c>
      <c r="CQ166" s="7">
        <f t="shared" si="152"/>
        <v>0</v>
      </c>
      <c r="CR166" s="7">
        <f t="shared" si="153"/>
        <v>0</v>
      </c>
      <c r="CS166" s="7">
        <f t="shared" si="154"/>
        <v>0</v>
      </c>
      <c r="CT166" s="7">
        <f t="shared" si="155"/>
        <v>0</v>
      </c>
      <c r="CU166" s="7">
        <f t="shared" si="156"/>
        <v>0</v>
      </c>
      <c r="CV166" s="7">
        <f t="shared" si="157"/>
        <v>0</v>
      </c>
      <c r="CW166" s="7">
        <f t="shared" si="158"/>
        <v>0</v>
      </c>
      <c r="CX166" s="7">
        <f t="shared" si="159"/>
        <v>0</v>
      </c>
      <c r="CY166" s="7">
        <f t="shared" si="160"/>
        <v>0</v>
      </c>
      <c r="CZ166" s="7">
        <f t="shared" si="161"/>
        <v>0</v>
      </c>
      <c r="DA166" s="7">
        <f t="shared" si="162"/>
        <v>0</v>
      </c>
      <c r="DB166" s="7">
        <f t="shared" si="163"/>
        <v>0</v>
      </c>
      <c r="DC166" s="7">
        <f t="shared" si="164"/>
        <v>0</v>
      </c>
      <c r="DD166" s="7">
        <f t="shared" si="165"/>
        <v>0</v>
      </c>
      <c r="DE166" s="7">
        <f t="shared" si="166"/>
        <v>0</v>
      </c>
      <c r="DF166" s="7">
        <f t="shared" si="167"/>
        <v>0</v>
      </c>
      <c r="DG166" s="7">
        <f t="shared" si="168"/>
        <v>0</v>
      </c>
      <c r="DH166" s="7">
        <f t="shared" si="169"/>
        <v>0</v>
      </c>
      <c r="DI166" s="7">
        <f t="shared" si="170"/>
        <v>0</v>
      </c>
      <c r="DJ166" s="7">
        <f t="shared" si="171"/>
        <v>0</v>
      </c>
      <c r="DK166" s="7">
        <f t="shared" si="172"/>
        <v>0</v>
      </c>
      <c r="DL166" s="7">
        <f t="shared" si="173"/>
        <v>0</v>
      </c>
      <c r="DM166" s="7">
        <f t="shared" si="174"/>
        <v>0</v>
      </c>
      <c r="DN166" s="7">
        <f t="shared" si="175"/>
        <v>0</v>
      </c>
      <c r="DO166" s="7">
        <f t="shared" si="176"/>
        <v>0</v>
      </c>
      <c r="DP166" s="7">
        <f t="shared" si="177"/>
        <v>0</v>
      </c>
      <c r="DQ166" s="7">
        <f t="shared" si="178"/>
        <v>0</v>
      </c>
      <c r="DR166" s="7">
        <f t="shared" si="179"/>
        <v>0</v>
      </c>
      <c r="DS166" s="7">
        <f t="shared" si="180"/>
        <v>0</v>
      </c>
      <c r="DT166" s="7">
        <f t="shared" si="181"/>
        <v>0</v>
      </c>
      <c r="DU166" s="7">
        <f t="shared" si="182"/>
        <v>0</v>
      </c>
    </row>
    <row r="167" spans="1:125" x14ac:dyDescent="0.2">
      <c r="A167" s="3">
        <f>Bonds!A167</f>
        <v>47514</v>
      </c>
      <c r="B167" s="4">
        <f>Bonds!B167</f>
        <v>3.5</v>
      </c>
      <c r="C167">
        <f>Bonds!P167</f>
        <v>7</v>
      </c>
      <c r="D167">
        <f t="shared" si="122"/>
        <v>1</v>
      </c>
      <c r="E167" s="3">
        <f>IF(1&gt;$C167,"",IF($D167=1,EOMONTH(EDATE(Bonds!$H167,6*(1-1)),0),EDATE(Bonds!$H167,6*(1-1))))</f>
        <v>46418</v>
      </c>
      <c r="F167" s="3">
        <f>IF(2&gt;$C167,"",IF($D167=1,EOMONTH(EDATE(Bonds!$H167,6*(2-1)),0),EDATE(Bonds!$H167,6*(2-1))))</f>
        <v>46599</v>
      </c>
      <c r="G167" s="3">
        <f>IF(3&gt;$C167,"",IF($D167=1,EOMONTH(EDATE(Bonds!$H167,6*(3-1)),0),EDATE(Bonds!$H167,6*(3-1))))</f>
        <v>46783</v>
      </c>
      <c r="H167" s="3">
        <f>IF(4&gt;$C167,"",IF($D167=1,EOMONTH(EDATE(Bonds!$H167,6*(4-1)),0),EDATE(Bonds!$H167,6*(4-1))))</f>
        <v>46965</v>
      </c>
      <c r="I167" s="3">
        <f>IF(5&gt;$C167,"",IF($D167=1,EOMONTH(EDATE(Bonds!$H167,6*(5-1)),0),EDATE(Bonds!$H167,6*(5-1))))</f>
        <v>47149</v>
      </c>
      <c r="J167" s="3">
        <f>IF(6&gt;$C167,"",IF($D167=1,EOMONTH(EDATE(Bonds!$H167,6*(6-1)),0),EDATE(Bonds!$H167,6*(6-1))))</f>
        <v>47330</v>
      </c>
      <c r="K167" s="3">
        <f>IF(7&gt;$C167,"",IF($D167=1,EOMONTH(EDATE(Bonds!$H167,6*(7-1)),0),EDATE(Bonds!$H167,6*(7-1))))</f>
        <v>47514</v>
      </c>
      <c r="L167" s="3" t="str">
        <f>IF(8&gt;$C167,"",IF($D167=1,EOMONTH(EDATE(Bonds!$H167,6*(8-1)),0),EDATE(Bonds!$H167,6*(8-1))))</f>
        <v/>
      </c>
      <c r="M167" s="3" t="str">
        <f>IF(9&gt;$C167,"",IF($D167=1,EOMONTH(EDATE(Bonds!$H167,6*(9-1)),0),EDATE(Bonds!$H167,6*(9-1))))</f>
        <v/>
      </c>
      <c r="N167" s="3" t="str">
        <f>IF(10&gt;$C167,"",IF($D167=1,EOMONTH(EDATE(Bonds!$H167,6*(10-1)),0),EDATE(Bonds!$H167,6*(10-1))))</f>
        <v/>
      </c>
      <c r="O167" s="3" t="str">
        <f>IF(11&gt;$C167,"",IF($D167=1,EOMONTH(EDATE(Bonds!$H167,6*(11-1)),0),EDATE(Bonds!$H167,6*(11-1))))</f>
        <v/>
      </c>
      <c r="P167" s="3" t="str">
        <f>IF(12&gt;$C167,"",IF($D167=1,EOMONTH(EDATE(Bonds!$H167,6*(12-1)),0),EDATE(Bonds!$H167,6*(12-1))))</f>
        <v/>
      </c>
      <c r="Q167" s="3" t="str">
        <f>IF(13&gt;$C167,"",IF($D167=1,EOMONTH(EDATE(Bonds!$H167,6*(13-1)),0),EDATE(Bonds!$H167,6*(13-1))))</f>
        <v/>
      </c>
      <c r="R167" s="3" t="str">
        <f>IF(14&gt;$C167,"",IF($D167=1,EOMONTH(EDATE(Bonds!$H167,6*(14-1)),0),EDATE(Bonds!$H167,6*(14-1))))</f>
        <v/>
      </c>
      <c r="S167" s="3" t="str">
        <f>IF(15&gt;$C167,"",IF($D167=1,EOMONTH(EDATE(Bonds!$H167,6*(15-1)),0),EDATE(Bonds!$H167,6*(15-1))))</f>
        <v/>
      </c>
      <c r="T167" s="3" t="str">
        <f>IF(16&gt;$C167,"",IF($D167=1,EOMONTH(EDATE(Bonds!$H167,6*(16-1)),0),EDATE(Bonds!$H167,6*(16-1))))</f>
        <v/>
      </c>
      <c r="U167" s="3" t="str">
        <f>IF(17&gt;$C167,"",IF($D167=1,EOMONTH(EDATE(Bonds!$H167,6*(17-1)),0),EDATE(Bonds!$H167,6*(17-1))))</f>
        <v/>
      </c>
      <c r="V167" s="3" t="str">
        <f>IF(18&gt;$C167,"",IF($D167=1,EOMONTH(EDATE(Bonds!$H167,6*(18-1)),0),EDATE(Bonds!$H167,6*(18-1))))</f>
        <v/>
      </c>
      <c r="W167" s="3" t="str">
        <f>IF(19&gt;$C167,"",IF($D167=1,EOMONTH(EDATE(Bonds!$H167,6*(19-1)),0),EDATE(Bonds!$H167,6*(19-1))))</f>
        <v/>
      </c>
      <c r="X167" s="3" t="str">
        <f>IF(20&gt;$C167,"",IF($D167=1,EOMONTH(EDATE(Bonds!$H167,6*(20-1)),0),EDATE(Bonds!$H167,6*(20-1))))</f>
        <v/>
      </c>
      <c r="Y167" s="3" t="str">
        <f>IF(21&gt;$C167,"",IF($D167=1,EOMONTH(EDATE(Bonds!$H167,6*(21-1)),0),EDATE(Bonds!$H167,6*(21-1))))</f>
        <v/>
      </c>
      <c r="Z167" s="3" t="str">
        <f>IF(22&gt;$C167,"",IF($D167=1,EOMONTH(EDATE(Bonds!$H167,6*(22-1)),0),EDATE(Bonds!$H167,6*(22-1))))</f>
        <v/>
      </c>
      <c r="AA167" s="3" t="str">
        <f>IF(23&gt;$C167,"",IF($D167=1,EOMONTH(EDATE(Bonds!$H167,6*(23-1)),0),EDATE(Bonds!$H167,6*(23-1))))</f>
        <v/>
      </c>
      <c r="AB167" s="3" t="str">
        <f>IF(24&gt;$C167,"",IF($D167=1,EOMONTH(EDATE(Bonds!$H167,6*(24-1)),0),EDATE(Bonds!$H167,6*(24-1))))</f>
        <v/>
      </c>
      <c r="AC167" s="3" t="str">
        <f>IF(25&gt;$C167,"",IF($D167=1,EOMONTH(EDATE(Bonds!$H167,6*(25-1)),0),EDATE(Bonds!$H167,6*(25-1))))</f>
        <v/>
      </c>
      <c r="AD167" s="3" t="str">
        <f>IF(26&gt;$C167,"",IF($D167=1,EOMONTH(EDATE(Bonds!$H167,6*(26-1)),0),EDATE(Bonds!$H167,6*(26-1))))</f>
        <v/>
      </c>
      <c r="AE167" s="3" t="str">
        <f>IF(27&gt;$C167,"",IF($D167=1,EOMONTH(EDATE(Bonds!$H167,6*(27-1)),0),EDATE(Bonds!$H167,6*(27-1))))</f>
        <v/>
      </c>
      <c r="AF167" s="3" t="str">
        <f>IF(28&gt;$C167,"",IF($D167=1,EOMONTH(EDATE(Bonds!$H167,6*(28-1)),0),EDATE(Bonds!$H167,6*(28-1))))</f>
        <v/>
      </c>
      <c r="AG167" s="3" t="str">
        <f>IF(29&gt;$C167,"",IF($D167=1,EOMONTH(EDATE(Bonds!$H167,6*(29-1)),0),EDATE(Bonds!$H167,6*(29-1))))</f>
        <v/>
      </c>
      <c r="AH167" s="3" t="str">
        <f>IF(30&gt;$C167,"",IF($D167=1,EOMONTH(EDATE(Bonds!$H167,6*(30-1)),0),EDATE(Bonds!$H167,6*(30-1))))</f>
        <v/>
      </c>
      <c r="AI167" s="3" t="str">
        <f>IF(31&gt;$C167,"",IF($D167=1,EOMONTH(EDATE(Bonds!$H167,6*(31-1)),0),EDATE(Bonds!$H167,6*(31-1))))</f>
        <v/>
      </c>
      <c r="AJ167" s="3" t="str">
        <f>IF(32&gt;$C167,"",IF($D167=1,EOMONTH(EDATE(Bonds!$H167,6*(32-1)),0),EDATE(Bonds!$H167,6*(32-1))))</f>
        <v/>
      </c>
      <c r="AK167" s="3" t="str">
        <f>IF(33&gt;$C167,"",IF($D167=1,EOMONTH(EDATE(Bonds!$H167,6*(33-1)),0),EDATE(Bonds!$H167,6*(33-1))))</f>
        <v/>
      </c>
      <c r="AL167" s="3" t="str">
        <f>IF(34&gt;$C167,"",IF($D167=1,EOMONTH(EDATE(Bonds!$H167,6*(34-1)),0),EDATE(Bonds!$H167,6*(34-1))))</f>
        <v/>
      </c>
      <c r="AM167" s="3" t="str">
        <f>IF(35&gt;$C167,"",IF($D167=1,EOMONTH(EDATE(Bonds!$H167,6*(35-1)),0),EDATE(Bonds!$H167,6*(35-1))))</f>
        <v/>
      </c>
      <c r="AN167" s="3" t="str">
        <f>IF(36&gt;$C167,"",IF($D167=1,EOMONTH(EDATE(Bonds!$H167,6*(36-1)),0),EDATE(Bonds!$H167,6*(36-1))))</f>
        <v/>
      </c>
      <c r="AO167" s="3" t="str">
        <f>IF(37&gt;$C167,"",IF($D167=1,EOMONTH(EDATE(Bonds!$H167,6*(37-1)),0),EDATE(Bonds!$H167,6*(37-1))))</f>
        <v/>
      </c>
      <c r="AP167" s="3" t="str">
        <f>IF(38&gt;$C167,"",IF($D167=1,EOMONTH(EDATE(Bonds!$H167,6*(38-1)),0),EDATE(Bonds!$H167,6*(38-1))))</f>
        <v/>
      </c>
      <c r="AQ167" s="3" t="str">
        <f>IF(39&gt;$C167,"",IF($D167=1,EOMONTH(EDATE(Bonds!$H167,6*(39-1)),0),EDATE(Bonds!$H167,6*(39-1))))</f>
        <v/>
      </c>
      <c r="AR167" s="3" t="str">
        <f>IF(40&gt;$C167,"",IF($D167=1,EOMONTH(EDATE(Bonds!$H167,6*(40-1)),0),EDATE(Bonds!$H167,6*(40-1))))</f>
        <v/>
      </c>
      <c r="AS167" s="3" t="str">
        <f>IF(41&gt;$C167,"",IF($D167=1,EOMONTH(EDATE(Bonds!$H167,6*(41-1)),0),EDATE(Bonds!$H167,6*(41-1))))</f>
        <v/>
      </c>
      <c r="AT167" s="3" t="str">
        <f>IF(42&gt;$C167,"",IF($D167=1,EOMONTH(EDATE(Bonds!$H167,6*(42-1)),0),EDATE(Bonds!$H167,6*(42-1))))</f>
        <v/>
      </c>
      <c r="AU167" s="3" t="str">
        <f>IF(43&gt;$C167,"",IF($D167=1,EOMONTH(EDATE(Bonds!$H167,6*(43-1)),0),EDATE(Bonds!$H167,6*(43-1))))</f>
        <v/>
      </c>
      <c r="AV167" s="3" t="str">
        <f>IF(44&gt;$C167,"",IF($D167=1,EOMONTH(EDATE(Bonds!$H167,6*(44-1)),0),EDATE(Bonds!$H167,6*(44-1))))</f>
        <v/>
      </c>
      <c r="AW167" s="3" t="str">
        <f>IF(45&gt;$C167,"",IF($D167=1,EOMONTH(EDATE(Bonds!$H167,6*(45-1)),0),EDATE(Bonds!$H167,6*(45-1))))</f>
        <v/>
      </c>
      <c r="AX167" s="3" t="str">
        <f>IF(46&gt;$C167,"",IF($D167=1,EOMONTH(EDATE(Bonds!$H167,6*(46-1)),0),EDATE(Bonds!$H167,6*(46-1))))</f>
        <v/>
      </c>
      <c r="AY167" s="3" t="str">
        <f>IF(47&gt;$C167,"",IF($D167=1,EOMONTH(EDATE(Bonds!$H167,6*(47-1)),0),EDATE(Bonds!$H167,6*(47-1))))</f>
        <v/>
      </c>
      <c r="AZ167" s="3" t="str">
        <f>IF(48&gt;$C167,"",IF($D167=1,EOMONTH(EDATE(Bonds!$H167,6*(48-1)),0),EDATE(Bonds!$H167,6*(48-1))))</f>
        <v/>
      </c>
      <c r="BA167" s="3" t="str">
        <f>IF(49&gt;$C167,"",IF($D167=1,EOMONTH(EDATE(Bonds!$H167,6*(49-1)),0),EDATE(Bonds!$H167,6*(49-1))))</f>
        <v/>
      </c>
      <c r="BB167" s="3" t="str">
        <f>IF(50&gt;$C167,"",IF($D167=1,EOMONTH(EDATE(Bonds!$H167,6*(50-1)),0),EDATE(Bonds!$H167,6*(50-1))))</f>
        <v/>
      </c>
      <c r="BC167" s="3" t="str">
        <f>IF(51&gt;$C167,"",IF($D167=1,EOMONTH(EDATE(Bonds!$H167,6*(51-1)),0),EDATE(Bonds!$H167,6*(51-1))))</f>
        <v/>
      </c>
      <c r="BD167" s="3" t="str">
        <f>IF(52&gt;$C167,"",IF($D167=1,EOMONTH(EDATE(Bonds!$H167,6*(52-1)),0),EDATE(Bonds!$H167,6*(52-1))))</f>
        <v/>
      </c>
      <c r="BE167" s="3" t="str">
        <f>IF(53&gt;$C167,"",IF($D167=1,EOMONTH(EDATE(Bonds!$H167,6*(53-1)),0),EDATE(Bonds!$H167,6*(53-1))))</f>
        <v/>
      </c>
      <c r="BF167" s="3" t="str">
        <f>IF(54&gt;$C167,"",IF($D167=1,EOMONTH(EDATE(Bonds!$H167,6*(54-1)),0),EDATE(Bonds!$H167,6*(54-1))))</f>
        <v/>
      </c>
      <c r="BG167" s="3" t="str">
        <f>IF(55&gt;$C167,"",IF($D167=1,EOMONTH(EDATE(Bonds!$H167,6*(55-1)),0),EDATE(Bonds!$H167,6*(55-1))))</f>
        <v/>
      </c>
      <c r="BH167" s="3" t="str">
        <f>IF(56&gt;$C167,"",IF($D167=1,EOMONTH(EDATE(Bonds!$H167,6*(56-1)),0),EDATE(Bonds!$H167,6*(56-1))))</f>
        <v/>
      </c>
      <c r="BI167" s="3" t="str">
        <f>IF(57&gt;$C167,"",IF($D167=1,EOMONTH(EDATE(Bonds!$H167,6*(57-1)),0),EDATE(Bonds!$H167,6*(57-1))))</f>
        <v/>
      </c>
      <c r="BJ167" s="3" t="str">
        <f>IF(58&gt;$C167,"",IF($D167=1,EOMONTH(EDATE(Bonds!$H167,6*(58-1)),0),EDATE(Bonds!$H167,6*(58-1))))</f>
        <v/>
      </c>
      <c r="BK167" s="3" t="str">
        <f>IF(59&gt;$C167,"",IF($D167=1,EOMONTH(EDATE(Bonds!$H167,6*(59-1)),0),EDATE(Bonds!$H167,6*(59-1))))</f>
        <v/>
      </c>
      <c r="BL167" s="3" t="str">
        <f>IF(60&gt;$C167,"",IF($D167=1,EOMONTH(EDATE(Bonds!$H167,6*(60-1)),0),EDATE(Bonds!$H167,6*(60-1))))</f>
        <v/>
      </c>
      <c r="BN167" s="7">
        <f t="shared" si="123"/>
        <v>1.7232285117876398</v>
      </c>
      <c r="BO167" s="7">
        <f t="shared" si="124"/>
        <v>1.6871175623551187</v>
      </c>
      <c r="BP167" s="7">
        <f t="shared" si="125"/>
        <v>1.6493662141118304</v>
      </c>
      <c r="BQ167" s="7">
        <f t="shared" si="126"/>
        <v>1.6121778380530507</v>
      </c>
      <c r="BR167" s="7">
        <f t="shared" si="127"/>
        <v>1.5752940018518968</v>
      </c>
      <c r="BS167" s="7">
        <f t="shared" si="128"/>
        <v>1.5398913850033784</v>
      </c>
      <c r="BT167" s="7">
        <f t="shared" si="129"/>
        <v>87.492253556841135</v>
      </c>
      <c r="BU167" s="7">
        <f t="shared" si="130"/>
        <v>0</v>
      </c>
      <c r="BV167" s="7">
        <f t="shared" si="131"/>
        <v>0</v>
      </c>
      <c r="BW167" s="7">
        <f t="shared" si="132"/>
        <v>0</v>
      </c>
      <c r="BX167" s="7">
        <f t="shared" si="133"/>
        <v>0</v>
      </c>
      <c r="BY167" s="7">
        <f t="shared" si="134"/>
        <v>0</v>
      </c>
      <c r="BZ167" s="7">
        <f t="shared" si="135"/>
        <v>0</v>
      </c>
      <c r="CA167" s="7">
        <f t="shared" si="136"/>
        <v>0</v>
      </c>
      <c r="CB167" s="7">
        <f t="shared" si="137"/>
        <v>0</v>
      </c>
      <c r="CC167" s="7">
        <f t="shared" si="138"/>
        <v>0</v>
      </c>
      <c r="CD167" s="7">
        <f t="shared" si="139"/>
        <v>0</v>
      </c>
      <c r="CE167" s="7">
        <f t="shared" si="140"/>
        <v>0</v>
      </c>
      <c r="CF167" s="7">
        <f t="shared" si="141"/>
        <v>0</v>
      </c>
      <c r="CG167" s="7">
        <f t="shared" si="142"/>
        <v>0</v>
      </c>
      <c r="CH167" s="7">
        <f t="shared" si="143"/>
        <v>0</v>
      </c>
      <c r="CI167" s="7">
        <f t="shared" si="144"/>
        <v>0</v>
      </c>
      <c r="CJ167" s="7">
        <f t="shared" si="145"/>
        <v>0</v>
      </c>
      <c r="CK167" s="7">
        <f t="shared" si="146"/>
        <v>0</v>
      </c>
      <c r="CL167" s="7">
        <f t="shared" si="147"/>
        <v>0</v>
      </c>
      <c r="CM167" s="7">
        <f t="shared" si="148"/>
        <v>0</v>
      </c>
      <c r="CN167" s="7">
        <f t="shared" si="149"/>
        <v>0</v>
      </c>
      <c r="CO167" s="7">
        <f t="shared" si="150"/>
        <v>0</v>
      </c>
      <c r="CP167" s="7">
        <f t="shared" si="151"/>
        <v>0</v>
      </c>
      <c r="CQ167" s="7">
        <f t="shared" si="152"/>
        <v>0</v>
      </c>
      <c r="CR167" s="7">
        <f t="shared" si="153"/>
        <v>0</v>
      </c>
      <c r="CS167" s="7">
        <f t="shared" si="154"/>
        <v>0</v>
      </c>
      <c r="CT167" s="7">
        <f t="shared" si="155"/>
        <v>0</v>
      </c>
      <c r="CU167" s="7">
        <f t="shared" si="156"/>
        <v>0</v>
      </c>
      <c r="CV167" s="7">
        <f t="shared" si="157"/>
        <v>0</v>
      </c>
      <c r="CW167" s="7">
        <f t="shared" si="158"/>
        <v>0</v>
      </c>
      <c r="CX167" s="7">
        <f t="shared" si="159"/>
        <v>0</v>
      </c>
      <c r="CY167" s="7">
        <f t="shared" si="160"/>
        <v>0</v>
      </c>
      <c r="CZ167" s="7">
        <f t="shared" si="161"/>
        <v>0</v>
      </c>
      <c r="DA167" s="7">
        <f t="shared" si="162"/>
        <v>0</v>
      </c>
      <c r="DB167" s="7">
        <f t="shared" si="163"/>
        <v>0</v>
      </c>
      <c r="DC167" s="7">
        <f t="shared" si="164"/>
        <v>0</v>
      </c>
      <c r="DD167" s="7">
        <f t="shared" si="165"/>
        <v>0</v>
      </c>
      <c r="DE167" s="7">
        <f t="shared" si="166"/>
        <v>0</v>
      </c>
      <c r="DF167" s="7">
        <f t="shared" si="167"/>
        <v>0</v>
      </c>
      <c r="DG167" s="7">
        <f t="shared" si="168"/>
        <v>0</v>
      </c>
      <c r="DH167" s="7">
        <f t="shared" si="169"/>
        <v>0</v>
      </c>
      <c r="DI167" s="7">
        <f t="shared" si="170"/>
        <v>0</v>
      </c>
      <c r="DJ167" s="7">
        <f t="shared" si="171"/>
        <v>0</v>
      </c>
      <c r="DK167" s="7">
        <f t="shared" si="172"/>
        <v>0</v>
      </c>
      <c r="DL167" s="7">
        <f t="shared" si="173"/>
        <v>0</v>
      </c>
      <c r="DM167" s="7">
        <f t="shared" si="174"/>
        <v>0</v>
      </c>
      <c r="DN167" s="7">
        <f t="shared" si="175"/>
        <v>0</v>
      </c>
      <c r="DO167" s="7">
        <f t="shared" si="176"/>
        <v>0</v>
      </c>
      <c r="DP167" s="7">
        <f t="shared" si="177"/>
        <v>0</v>
      </c>
      <c r="DQ167" s="7">
        <f t="shared" si="178"/>
        <v>0</v>
      </c>
      <c r="DR167" s="7">
        <f t="shared" si="179"/>
        <v>0</v>
      </c>
      <c r="DS167" s="7">
        <f t="shared" si="180"/>
        <v>0</v>
      </c>
      <c r="DT167" s="7">
        <f t="shared" si="181"/>
        <v>0</v>
      </c>
      <c r="DU167" s="7">
        <f t="shared" si="182"/>
        <v>0</v>
      </c>
    </row>
    <row r="168" spans="1:125" x14ac:dyDescent="0.2">
      <c r="A168" s="3">
        <f>Bonds!A168</f>
        <v>47514</v>
      </c>
      <c r="B168" s="4">
        <f>Bonds!B168</f>
        <v>4.25</v>
      </c>
      <c r="C168">
        <f>Bonds!P168</f>
        <v>7</v>
      </c>
      <c r="D168">
        <f t="shared" si="122"/>
        <v>1</v>
      </c>
      <c r="E168" s="3">
        <f>IF(1&gt;$C168,"",IF($D168=1,EOMONTH(EDATE(Bonds!$H168,6*(1-1)),0),EDATE(Bonds!$H168,6*(1-1))))</f>
        <v>46418</v>
      </c>
      <c r="F168" s="3">
        <f>IF(2&gt;$C168,"",IF($D168=1,EOMONTH(EDATE(Bonds!$H168,6*(2-1)),0),EDATE(Bonds!$H168,6*(2-1))))</f>
        <v>46599</v>
      </c>
      <c r="G168" s="3">
        <f>IF(3&gt;$C168,"",IF($D168=1,EOMONTH(EDATE(Bonds!$H168,6*(3-1)),0),EDATE(Bonds!$H168,6*(3-1))))</f>
        <v>46783</v>
      </c>
      <c r="H168" s="3">
        <f>IF(4&gt;$C168,"",IF($D168=1,EOMONTH(EDATE(Bonds!$H168,6*(4-1)),0),EDATE(Bonds!$H168,6*(4-1))))</f>
        <v>46965</v>
      </c>
      <c r="I168" s="3">
        <f>IF(5&gt;$C168,"",IF($D168=1,EOMONTH(EDATE(Bonds!$H168,6*(5-1)),0),EDATE(Bonds!$H168,6*(5-1))))</f>
        <v>47149</v>
      </c>
      <c r="J168" s="3">
        <f>IF(6&gt;$C168,"",IF($D168=1,EOMONTH(EDATE(Bonds!$H168,6*(6-1)),0),EDATE(Bonds!$H168,6*(6-1))))</f>
        <v>47330</v>
      </c>
      <c r="K168" s="3">
        <f>IF(7&gt;$C168,"",IF($D168=1,EOMONTH(EDATE(Bonds!$H168,6*(7-1)),0),EDATE(Bonds!$H168,6*(7-1))))</f>
        <v>47514</v>
      </c>
      <c r="L168" s="3" t="str">
        <f>IF(8&gt;$C168,"",IF($D168=1,EOMONTH(EDATE(Bonds!$H168,6*(8-1)),0),EDATE(Bonds!$H168,6*(8-1))))</f>
        <v/>
      </c>
      <c r="M168" s="3" t="str">
        <f>IF(9&gt;$C168,"",IF($D168=1,EOMONTH(EDATE(Bonds!$H168,6*(9-1)),0),EDATE(Bonds!$H168,6*(9-1))))</f>
        <v/>
      </c>
      <c r="N168" s="3" t="str">
        <f>IF(10&gt;$C168,"",IF($D168=1,EOMONTH(EDATE(Bonds!$H168,6*(10-1)),0),EDATE(Bonds!$H168,6*(10-1))))</f>
        <v/>
      </c>
      <c r="O168" s="3" t="str">
        <f>IF(11&gt;$C168,"",IF($D168=1,EOMONTH(EDATE(Bonds!$H168,6*(11-1)),0),EDATE(Bonds!$H168,6*(11-1))))</f>
        <v/>
      </c>
      <c r="P168" s="3" t="str">
        <f>IF(12&gt;$C168,"",IF($D168=1,EOMONTH(EDATE(Bonds!$H168,6*(12-1)),0),EDATE(Bonds!$H168,6*(12-1))))</f>
        <v/>
      </c>
      <c r="Q168" s="3" t="str">
        <f>IF(13&gt;$C168,"",IF($D168=1,EOMONTH(EDATE(Bonds!$H168,6*(13-1)),0),EDATE(Bonds!$H168,6*(13-1))))</f>
        <v/>
      </c>
      <c r="R168" s="3" t="str">
        <f>IF(14&gt;$C168,"",IF($D168=1,EOMONTH(EDATE(Bonds!$H168,6*(14-1)),0),EDATE(Bonds!$H168,6*(14-1))))</f>
        <v/>
      </c>
      <c r="S168" s="3" t="str">
        <f>IF(15&gt;$C168,"",IF($D168=1,EOMONTH(EDATE(Bonds!$H168,6*(15-1)),0),EDATE(Bonds!$H168,6*(15-1))))</f>
        <v/>
      </c>
      <c r="T168" s="3" t="str">
        <f>IF(16&gt;$C168,"",IF($D168=1,EOMONTH(EDATE(Bonds!$H168,6*(16-1)),0),EDATE(Bonds!$H168,6*(16-1))))</f>
        <v/>
      </c>
      <c r="U168" s="3" t="str">
        <f>IF(17&gt;$C168,"",IF($D168=1,EOMONTH(EDATE(Bonds!$H168,6*(17-1)),0),EDATE(Bonds!$H168,6*(17-1))))</f>
        <v/>
      </c>
      <c r="V168" s="3" t="str">
        <f>IF(18&gt;$C168,"",IF($D168=1,EOMONTH(EDATE(Bonds!$H168,6*(18-1)),0),EDATE(Bonds!$H168,6*(18-1))))</f>
        <v/>
      </c>
      <c r="W168" s="3" t="str">
        <f>IF(19&gt;$C168,"",IF($D168=1,EOMONTH(EDATE(Bonds!$H168,6*(19-1)),0),EDATE(Bonds!$H168,6*(19-1))))</f>
        <v/>
      </c>
      <c r="X168" s="3" t="str">
        <f>IF(20&gt;$C168,"",IF($D168=1,EOMONTH(EDATE(Bonds!$H168,6*(20-1)),0),EDATE(Bonds!$H168,6*(20-1))))</f>
        <v/>
      </c>
      <c r="Y168" s="3" t="str">
        <f>IF(21&gt;$C168,"",IF($D168=1,EOMONTH(EDATE(Bonds!$H168,6*(21-1)),0),EDATE(Bonds!$H168,6*(21-1))))</f>
        <v/>
      </c>
      <c r="Z168" s="3" t="str">
        <f>IF(22&gt;$C168,"",IF($D168=1,EOMONTH(EDATE(Bonds!$H168,6*(22-1)),0),EDATE(Bonds!$H168,6*(22-1))))</f>
        <v/>
      </c>
      <c r="AA168" s="3" t="str">
        <f>IF(23&gt;$C168,"",IF($D168=1,EOMONTH(EDATE(Bonds!$H168,6*(23-1)),0),EDATE(Bonds!$H168,6*(23-1))))</f>
        <v/>
      </c>
      <c r="AB168" s="3" t="str">
        <f>IF(24&gt;$C168,"",IF($D168=1,EOMONTH(EDATE(Bonds!$H168,6*(24-1)),0),EDATE(Bonds!$H168,6*(24-1))))</f>
        <v/>
      </c>
      <c r="AC168" s="3" t="str">
        <f>IF(25&gt;$C168,"",IF($D168=1,EOMONTH(EDATE(Bonds!$H168,6*(25-1)),0),EDATE(Bonds!$H168,6*(25-1))))</f>
        <v/>
      </c>
      <c r="AD168" s="3" t="str">
        <f>IF(26&gt;$C168,"",IF($D168=1,EOMONTH(EDATE(Bonds!$H168,6*(26-1)),0),EDATE(Bonds!$H168,6*(26-1))))</f>
        <v/>
      </c>
      <c r="AE168" s="3" t="str">
        <f>IF(27&gt;$C168,"",IF($D168=1,EOMONTH(EDATE(Bonds!$H168,6*(27-1)),0),EDATE(Bonds!$H168,6*(27-1))))</f>
        <v/>
      </c>
      <c r="AF168" s="3" t="str">
        <f>IF(28&gt;$C168,"",IF($D168=1,EOMONTH(EDATE(Bonds!$H168,6*(28-1)),0),EDATE(Bonds!$H168,6*(28-1))))</f>
        <v/>
      </c>
      <c r="AG168" s="3" t="str">
        <f>IF(29&gt;$C168,"",IF($D168=1,EOMONTH(EDATE(Bonds!$H168,6*(29-1)),0),EDATE(Bonds!$H168,6*(29-1))))</f>
        <v/>
      </c>
      <c r="AH168" s="3" t="str">
        <f>IF(30&gt;$C168,"",IF($D168=1,EOMONTH(EDATE(Bonds!$H168,6*(30-1)),0),EDATE(Bonds!$H168,6*(30-1))))</f>
        <v/>
      </c>
      <c r="AI168" s="3" t="str">
        <f>IF(31&gt;$C168,"",IF($D168=1,EOMONTH(EDATE(Bonds!$H168,6*(31-1)),0),EDATE(Bonds!$H168,6*(31-1))))</f>
        <v/>
      </c>
      <c r="AJ168" s="3" t="str">
        <f>IF(32&gt;$C168,"",IF($D168=1,EOMONTH(EDATE(Bonds!$H168,6*(32-1)),0),EDATE(Bonds!$H168,6*(32-1))))</f>
        <v/>
      </c>
      <c r="AK168" s="3" t="str">
        <f>IF(33&gt;$C168,"",IF($D168=1,EOMONTH(EDATE(Bonds!$H168,6*(33-1)),0),EDATE(Bonds!$H168,6*(33-1))))</f>
        <v/>
      </c>
      <c r="AL168" s="3" t="str">
        <f>IF(34&gt;$C168,"",IF($D168=1,EOMONTH(EDATE(Bonds!$H168,6*(34-1)),0),EDATE(Bonds!$H168,6*(34-1))))</f>
        <v/>
      </c>
      <c r="AM168" s="3" t="str">
        <f>IF(35&gt;$C168,"",IF($D168=1,EOMONTH(EDATE(Bonds!$H168,6*(35-1)),0),EDATE(Bonds!$H168,6*(35-1))))</f>
        <v/>
      </c>
      <c r="AN168" s="3" t="str">
        <f>IF(36&gt;$C168,"",IF($D168=1,EOMONTH(EDATE(Bonds!$H168,6*(36-1)),0),EDATE(Bonds!$H168,6*(36-1))))</f>
        <v/>
      </c>
      <c r="AO168" s="3" t="str">
        <f>IF(37&gt;$C168,"",IF($D168=1,EOMONTH(EDATE(Bonds!$H168,6*(37-1)),0),EDATE(Bonds!$H168,6*(37-1))))</f>
        <v/>
      </c>
      <c r="AP168" s="3" t="str">
        <f>IF(38&gt;$C168,"",IF($D168=1,EOMONTH(EDATE(Bonds!$H168,6*(38-1)),0),EDATE(Bonds!$H168,6*(38-1))))</f>
        <v/>
      </c>
      <c r="AQ168" s="3" t="str">
        <f>IF(39&gt;$C168,"",IF($D168=1,EOMONTH(EDATE(Bonds!$H168,6*(39-1)),0),EDATE(Bonds!$H168,6*(39-1))))</f>
        <v/>
      </c>
      <c r="AR168" s="3" t="str">
        <f>IF(40&gt;$C168,"",IF($D168=1,EOMONTH(EDATE(Bonds!$H168,6*(40-1)),0),EDATE(Bonds!$H168,6*(40-1))))</f>
        <v/>
      </c>
      <c r="AS168" s="3" t="str">
        <f>IF(41&gt;$C168,"",IF($D168=1,EOMONTH(EDATE(Bonds!$H168,6*(41-1)),0),EDATE(Bonds!$H168,6*(41-1))))</f>
        <v/>
      </c>
      <c r="AT168" s="3" t="str">
        <f>IF(42&gt;$C168,"",IF($D168=1,EOMONTH(EDATE(Bonds!$H168,6*(42-1)),0),EDATE(Bonds!$H168,6*(42-1))))</f>
        <v/>
      </c>
      <c r="AU168" s="3" t="str">
        <f>IF(43&gt;$C168,"",IF($D168=1,EOMONTH(EDATE(Bonds!$H168,6*(43-1)),0),EDATE(Bonds!$H168,6*(43-1))))</f>
        <v/>
      </c>
      <c r="AV168" s="3" t="str">
        <f>IF(44&gt;$C168,"",IF($D168=1,EOMONTH(EDATE(Bonds!$H168,6*(44-1)),0),EDATE(Bonds!$H168,6*(44-1))))</f>
        <v/>
      </c>
      <c r="AW168" s="3" t="str">
        <f>IF(45&gt;$C168,"",IF($D168=1,EOMONTH(EDATE(Bonds!$H168,6*(45-1)),0),EDATE(Bonds!$H168,6*(45-1))))</f>
        <v/>
      </c>
      <c r="AX168" s="3" t="str">
        <f>IF(46&gt;$C168,"",IF($D168=1,EOMONTH(EDATE(Bonds!$H168,6*(46-1)),0),EDATE(Bonds!$H168,6*(46-1))))</f>
        <v/>
      </c>
      <c r="AY168" s="3" t="str">
        <f>IF(47&gt;$C168,"",IF($D168=1,EOMONTH(EDATE(Bonds!$H168,6*(47-1)),0),EDATE(Bonds!$H168,6*(47-1))))</f>
        <v/>
      </c>
      <c r="AZ168" s="3" t="str">
        <f>IF(48&gt;$C168,"",IF($D168=1,EOMONTH(EDATE(Bonds!$H168,6*(48-1)),0),EDATE(Bonds!$H168,6*(48-1))))</f>
        <v/>
      </c>
      <c r="BA168" s="3" t="str">
        <f>IF(49&gt;$C168,"",IF($D168=1,EOMONTH(EDATE(Bonds!$H168,6*(49-1)),0),EDATE(Bonds!$H168,6*(49-1))))</f>
        <v/>
      </c>
      <c r="BB168" s="3" t="str">
        <f>IF(50&gt;$C168,"",IF($D168=1,EOMONTH(EDATE(Bonds!$H168,6*(50-1)),0),EDATE(Bonds!$H168,6*(50-1))))</f>
        <v/>
      </c>
      <c r="BC168" s="3" t="str">
        <f>IF(51&gt;$C168,"",IF($D168=1,EOMONTH(EDATE(Bonds!$H168,6*(51-1)),0),EDATE(Bonds!$H168,6*(51-1))))</f>
        <v/>
      </c>
      <c r="BD168" s="3" t="str">
        <f>IF(52&gt;$C168,"",IF($D168=1,EOMONTH(EDATE(Bonds!$H168,6*(52-1)),0),EDATE(Bonds!$H168,6*(52-1))))</f>
        <v/>
      </c>
      <c r="BE168" s="3" t="str">
        <f>IF(53&gt;$C168,"",IF($D168=1,EOMONTH(EDATE(Bonds!$H168,6*(53-1)),0),EDATE(Bonds!$H168,6*(53-1))))</f>
        <v/>
      </c>
      <c r="BF168" s="3" t="str">
        <f>IF(54&gt;$C168,"",IF($D168=1,EOMONTH(EDATE(Bonds!$H168,6*(54-1)),0),EDATE(Bonds!$H168,6*(54-1))))</f>
        <v/>
      </c>
      <c r="BG168" s="3" t="str">
        <f>IF(55&gt;$C168,"",IF($D168=1,EOMONTH(EDATE(Bonds!$H168,6*(55-1)),0),EDATE(Bonds!$H168,6*(55-1))))</f>
        <v/>
      </c>
      <c r="BH168" s="3" t="str">
        <f>IF(56&gt;$C168,"",IF($D168=1,EOMONTH(EDATE(Bonds!$H168,6*(56-1)),0),EDATE(Bonds!$H168,6*(56-1))))</f>
        <v/>
      </c>
      <c r="BI168" s="3" t="str">
        <f>IF(57&gt;$C168,"",IF($D168=1,EOMONTH(EDATE(Bonds!$H168,6*(57-1)),0),EDATE(Bonds!$H168,6*(57-1))))</f>
        <v/>
      </c>
      <c r="BJ168" s="3" t="str">
        <f>IF(58&gt;$C168,"",IF($D168=1,EOMONTH(EDATE(Bonds!$H168,6*(58-1)),0),EDATE(Bonds!$H168,6*(58-1))))</f>
        <v/>
      </c>
      <c r="BK168" s="3" t="str">
        <f>IF(59&gt;$C168,"",IF($D168=1,EOMONTH(EDATE(Bonds!$H168,6*(59-1)),0),EDATE(Bonds!$H168,6*(59-1))))</f>
        <v/>
      </c>
      <c r="BL168" s="3" t="str">
        <f>IF(60&gt;$C168,"",IF($D168=1,EOMONTH(EDATE(Bonds!$H168,6*(60-1)),0),EDATE(Bonds!$H168,6*(60-1))))</f>
        <v/>
      </c>
      <c r="BN168" s="7">
        <f t="shared" si="123"/>
        <v>2.0924917643135625</v>
      </c>
      <c r="BO168" s="7">
        <f t="shared" si="124"/>
        <v>2.0486427542883585</v>
      </c>
      <c r="BP168" s="7">
        <f t="shared" si="125"/>
        <v>2.0028018314215084</v>
      </c>
      <c r="BQ168" s="7">
        <f t="shared" si="126"/>
        <v>1.9576445176358472</v>
      </c>
      <c r="BR168" s="7">
        <f t="shared" si="127"/>
        <v>1.9128570022487317</v>
      </c>
      <c r="BS168" s="7">
        <f t="shared" si="128"/>
        <v>1.8698681103612451</v>
      </c>
      <c r="BT168" s="7">
        <f t="shared" si="129"/>
        <v>87.814706579777905</v>
      </c>
      <c r="BU168" s="7">
        <f t="shared" si="130"/>
        <v>0</v>
      </c>
      <c r="BV168" s="7">
        <f t="shared" si="131"/>
        <v>0</v>
      </c>
      <c r="BW168" s="7">
        <f t="shared" si="132"/>
        <v>0</v>
      </c>
      <c r="BX168" s="7">
        <f t="shared" si="133"/>
        <v>0</v>
      </c>
      <c r="BY168" s="7">
        <f t="shared" si="134"/>
        <v>0</v>
      </c>
      <c r="BZ168" s="7">
        <f t="shared" si="135"/>
        <v>0</v>
      </c>
      <c r="CA168" s="7">
        <f t="shared" si="136"/>
        <v>0</v>
      </c>
      <c r="CB168" s="7">
        <f t="shared" si="137"/>
        <v>0</v>
      </c>
      <c r="CC168" s="7">
        <f t="shared" si="138"/>
        <v>0</v>
      </c>
      <c r="CD168" s="7">
        <f t="shared" si="139"/>
        <v>0</v>
      </c>
      <c r="CE168" s="7">
        <f t="shared" si="140"/>
        <v>0</v>
      </c>
      <c r="CF168" s="7">
        <f t="shared" si="141"/>
        <v>0</v>
      </c>
      <c r="CG168" s="7">
        <f t="shared" si="142"/>
        <v>0</v>
      </c>
      <c r="CH168" s="7">
        <f t="shared" si="143"/>
        <v>0</v>
      </c>
      <c r="CI168" s="7">
        <f t="shared" si="144"/>
        <v>0</v>
      </c>
      <c r="CJ168" s="7">
        <f t="shared" si="145"/>
        <v>0</v>
      </c>
      <c r="CK168" s="7">
        <f t="shared" si="146"/>
        <v>0</v>
      </c>
      <c r="CL168" s="7">
        <f t="shared" si="147"/>
        <v>0</v>
      </c>
      <c r="CM168" s="7">
        <f t="shared" si="148"/>
        <v>0</v>
      </c>
      <c r="CN168" s="7">
        <f t="shared" si="149"/>
        <v>0</v>
      </c>
      <c r="CO168" s="7">
        <f t="shared" si="150"/>
        <v>0</v>
      </c>
      <c r="CP168" s="7">
        <f t="shared" si="151"/>
        <v>0</v>
      </c>
      <c r="CQ168" s="7">
        <f t="shared" si="152"/>
        <v>0</v>
      </c>
      <c r="CR168" s="7">
        <f t="shared" si="153"/>
        <v>0</v>
      </c>
      <c r="CS168" s="7">
        <f t="shared" si="154"/>
        <v>0</v>
      </c>
      <c r="CT168" s="7">
        <f t="shared" si="155"/>
        <v>0</v>
      </c>
      <c r="CU168" s="7">
        <f t="shared" si="156"/>
        <v>0</v>
      </c>
      <c r="CV168" s="7">
        <f t="shared" si="157"/>
        <v>0</v>
      </c>
      <c r="CW168" s="7">
        <f t="shared" si="158"/>
        <v>0</v>
      </c>
      <c r="CX168" s="7">
        <f t="shared" si="159"/>
        <v>0</v>
      </c>
      <c r="CY168" s="7">
        <f t="shared" si="160"/>
        <v>0</v>
      </c>
      <c r="CZ168" s="7">
        <f t="shared" si="161"/>
        <v>0</v>
      </c>
      <c r="DA168" s="7">
        <f t="shared" si="162"/>
        <v>0</v>
      </c>
      <c r="DB168" s="7">
        <f t="shared" si="163"/>
        <v>0</v>
      </c>
      <c r="DC168" s="7">
        <f t="shared" si="164"/>
        <v>0</v>
      </c>
      <c r="DD168" s="7">
        <f t="shared" si="165"/>
        <v>0</v>
      </c>
      <c r="DE168" s="7">
        <f t="shared" si="166"/>
        <v>0</v>
      </c>
      <c r="DF168" s="7">
        <f t="shared" si="167"/>
        <v>0</v>
      </c>
      <c r="DG168" s="7">
        <f t="shared" si="168"/>
        <v>0</v>
      </c>
      <c r="DH168" s="7">
        <f t="shared" si="169"/>
        <v>0</v>
      </c>
      <c r="DI168" s="7">
        <f t="shared" si="170"/>
        <v>0</v>
      </c>
      <c r="DJ168" s="7">
        <f t="shared" si="171"/>
        <v>0</v>
      </c>
      <c r="DK168" s="7">
        <f t="shared" si="172"/>
        <v>0</v>
      </c>
      <c r="DL168" s="7">
        <f t="shared" si="173"/>
        <v>0</v>
      </c>
      <c r="DM168" s="7">
        <f t="shared" si="174"/>
        <v>0</v>
      </c>
      <c r="DN168" s="7">
        <f t="shared" si="175"/>
        <v>0</v>
      </c>
      <c r="DO168" s="7">
        <f t="shared" si="176"/>
        <v>0</v>
      </c>
      <c r="DP168" s="7">
        <f t="shared" si="177"/>
        <v>0</v>
      </c>
      <c r="DQ168" s="7">
        <f t="shared" si="178"/>
        <v>0</v>
      </c>
      <c r="DR168" s="7">
        <f t="shared" si="179"/>
        <v>0</v>
      </c>
      <c r="DS168" s="7">
        <f t="shared" si="180"/>
        <v>0</v>
      </c>
      <c r="DT168" s="7">
        <f t="shared" si="181"/>
        <v>0</v>
      </c>
      <c r="DU168" s="7">
        <f t="shared" si="182"/>
        <v>0</v>
      </c>
    </row>
    <row r="169" spans="1:125" x14ac:dyDescent="0.2">
      <c r="A169" s="3">
        <f>Bonds!A169</f>
        <v>47529</v>
      </c>
      <c r="B169" s="4">
        <f>Bonds!B169</f>
        <v>1.5</v>
      </c>
      <c r="C169">
        <f>Bonds!P169</f>
        <v>7</v>
      </c>
      <c r="D169">
        <f t="shared" si="122"/>
        <v>0</v>
      </c>
      <c r="E169" s="3">
        <f>IF(1&gt;$C169,"",IF($D169=1,EOMONTH(EDATE(Bonds!$H169,6*(1-1)),0),EDATE(Bonds!$H169,6*(1-1))))</f>
        <v>46433</v>
      </c>
      <c r="F169" s="3">
        <f>IF(2&gt;$C169,"",IF($D169=1,EOMONTH(EDATE(Bonds!$H169,6*(2-1)),0),EDATE(Bonds!$H169,6*(2-1))))</f>
        <v>46614</v>
      </c>
      <c r="G169" s="3">
        <f>IF(3&gt;$C169,"",IF($D169=1,EOMONTH(EDATE(Bonds!$H169,6*(3-1)),0),EDATE(Bonds!$H169,6*(3-1))))</f>
        <v>46798</v>
      </c>
      <c r="H169" s="3">
        <f>IF(4&gt;$C169,"",IF($D169=1,EOMONTH(EDATE(Bonds!$H169,6*(4-1)),0),EDATE(Bonds!$H169,6*(4-1))))</f>
        <v>46980</v>
      </c>
      <c r="I169" s="3">
        <f>IF(5&gt;$C169,"",IF($D169=1,EOMONTH(EDATE(Bonds!$H169,6*(5-1)),0),EDATE(Bonds!$H169,6*(5-1))))</f>
        <v>47164</v>
      </c>
      <c r="J169" s="3">
        <f>IF(6&gt;$C169,"",IF($D169=1,EOMONTH(EDATE(Bonds!$H169,6*(6-1)),0),EDATE(Bonds!$H169,6*(6-1))))</f>
        <v>47345</v>
      </c>
      <c r="K169" s="3">
        <f>IF(7&gt;$C169,"",IF($D169=1,EOMONTH(EDATE(Bonds!$H169,6*(7-1)),0),EDATE(Bonds!$H169,6*(7-1))))</f>
        <v>47529</v>
      </c>
      <c r="L169" s="3" t="str">
        <f>IF(8&gt;$C169,"",IF($D169=1,EOMONTH(EDATE(Bonds!$H169,6*(8-1)),0),EDATE(Bonds!$H169,6*(8-1))))</f>
        <v/>
      </c>
      <c r="M169" s="3" t="str">
        <f>IF(9&gt;$C169,"",IF($D169=1,EOMONTH(EDATE(Bonds!$H169,6*(9-1)),0),EDATE(Bonds!$H169,6*(9-1))))</f>
        <v/>
      </c>
      <c r="N169" s="3" t="str">
        <f>IF(10&gt;$C169,"",IF($D169=1,EOMONTH(EDATE(Bonds!$H169,6*(10-1)),0),EDATE(Bonds!$H169,6*(10-1))))</f>
        <v/>
      </c>
      <c r="O169" s="3" t="str">
        <f>IF(11&gt;$C169,"",IF($D169=1,EOMONTH(EDATE(Bonds!$H169,6*(11-1)),0),EDATE(Bonds!$H169,6*(11-1))))</f>
        <v/>
      </c>
      <c r="P169" s="3" t="str">
        <f>IF(12&gt;$C169,"",IF($D169=1,EOMONTH(EDATE(Bonds!$H169,6*(12-1)),0),EDATE(Bonds!$H169,6*(12-1))))</f>
        <v/>
      </c>
      <c r="Q169" s="3" t="str">
        <f>IF(13&gt;$C169,"",IF($D169=1,EOMONTH(EDATE(Bonds!$H169,6*(13-1)),0),EDATE(Bonds!$H169,6*(13-1))))</f>
        <v/>
      </c>
      <c r="R169" s="3" t="str">
        <f>IF(14&gt;$C169,"",IF($D169=1,EOMONTH(EDATE(Bonds!$H169,6*(14-1)),0),EDATE(Bonds!$H169,6*(14-1))))</f>
        <v/>
      </c>
      <c r="S169" s="3" t="str">
        <f>IF(15&gt;$C169,"",IF($D169=1,EOMONTH(EDATE(Bonds!$H169,6*(15-1)),0),EDATE(Bonds!$H169,6*(15-1))))</f>
        <v/>
      </c>
      <c r="T169" s="3" t="str">
        <f>IF(16&gt;$C169,"",IF($D169=1,EOMONTH(EDATE(Bonds!$H169,6*(16-1)),0),EDATE(Bonds!$H169,6*(16-1))))</f>
        <v/>
      </c>
      <c r="U169" s="3" t="str">
        <f>IF(17&gt;$C169,"",IF($D169=1,EOMONTH(EDATE(Bonds!$H169,6*(17-1)),0),EDATE(Bonds!$H169,6*(17-1))))</f>
        <v/>
      </c>
      <c r="V169" s="3" t="str">
        <f>IF(18&gt;$C169,"",IF($D169=1,EOMONTH(EDATE(Bonds!$H169,6*(18-1)),0),EDATE(Bonds!$H169,6*(18-1))))</f>
        <v/>
      </c>
      <c r="W169" s="3" t="str">
        <f>IF(19&gt;$C169,"",IF($D169=1,EOMONTH(EDATE(Bonds!$H169,6*(19-1)),0),EDATE(Bonds!$H169,6*(19-1))))</f>
        <v/>
      </c>
      <c r="X169" s="3" t="str">
        <f>IF(20&gt;$C169,"",IF($D169=1,EOMONTH(EDATE(Bonds!$H169,6*(20-1)),0),EDATE(Bonds!$H169,6*(20-1))))</f>
        <v/>
      </c>
      <c r="Y169" s="3" t="str">
        <f>IF(21&gt;$C169,"",IF($D169=1,EOMONTH(EDATE(Bonds!$H169,6*(21-1)),0),EDATE(Bonds!$H169,6*(21-1))))</f>
        <v/>
      </c>
      <c r="Z169" s="3" t="str">
        <f>IF(22&gt;$C169,"",IF($D169=1,EOMONTH(EDATE(Bonds!$H169,6*(22-1)),0),EDATE(Bonds!$H169,6*(22-1))))</f>
        <v/>
      </c>
      <c r="AA169" s="3" t="str">
        <f>IF(23&gt;$C169,"",IF($D169=1,EOMONTH(EDATE(Bonds!$H169,6*(23-1)),0),EDATE(Bonds!$H169,6*(23-1))))</f>
        <v/>
      </c>
      <c r="AB169" s="3" t="str">
        <f>IF(24&gt;$C169,"",IF($D169=1,EOMONTH(EDATE(Bonds!$H169,6*(24-1)),0),EDATE(Bonds!$H169,6*(24-1))))</f>
        <v/>
      </c>
      <c r="AC169" s="3" t="str">
        <f>IF(25&gt;$C169,"",IF($D169=1,EOMONTH(EDATE(Bonds!$H169,6*(25-1)),0),EDATE(Bonds!$H169,6*(25-1))))</f>
        <v/>
      </c>
      <c r="AD169" s="3" t="str">
        <f>IF(26&gt;$C169,"",IF($D169=1,EOMONTH(EDATE(Bonds!$H169,6*(26-1)),0),EDATE(Bonds!$H169,6*(26-1))))</f>
        <v/>
      </c>
      <c r="AE169" s="3" t="str">
        <f>IF(27&gt;$C169,"",IF($D169=1,EOMONTH(EDATE(Bonds!$H169,6*(27-1)),0),EDATE(Bonds!$H169,6*(27-1))))</f>
        <v/>
      </c>
      <c r="AF169" s="3" t="str">
        <f>IF(28&gt;$C169,"",IF($D169=1,EOMONTH(EDATE(Bonds!$H169,6*(28-1)),0),EDATE(Bonds!$H169,6*(28-1))))</f>
        <v/>
      </c>
      <c r="AG169" s="3" t="str">
        <f>IF(29&gt;$C169,"",IF($D169=1,EOMONTH(EDATE(Bonds!$H169,6*(29-1)),0),EDATE(Bonds!$H169,6*(29-1))))</f>
        <v/>
      </c>
      <c r="AH169" s="3" t="str">
        <f>IF(30&gt;$C169,"",IF($D169=1,EOMONTH(EDATE(Bonds!$H169,6*(30-1)),0),EDATE(Bonds!$H169,6*(30-1))))</f>
        <v/>
      </c>
      <c r="AI169" s="3" t="str">
        <f>IF(31&gt;$C169,"",IF($D169=1,EOMONTH(EDATE(Bonds!$H169,6*(31-1)),0),EDATE(Bonds!$H169,6*(31-1))))</f>
        <v/>
      </c>
      <c r="AJ169" s="3" t="str">
        <f>IF(32&gt;$C169,"",IF($D169=1,EOMONTH(EDATE(Bonds!$H169,6*(32-1)),0),EDATE(Bonds!$H169,6*(32-1))))</f>
        <v/>
      </c>
      <c r="AK169" s="3" t="str">
        <f>IF(33&gt;$C169,"",IF($D169=1,EOMONTH(EDATE(Bonds!$H169,6*(33-1)),0),EDATE(Bonds!$H169,6*(33-1))))</f>
        <v/>
      </c>
      <c r="AL169" s="3" t="str">
        <f>IF(34&gt;$C169,"",IF($D169=1,EOMONTH(EDATE(Bonds!$H169,6*(34-1)),0),EDATE(Bonds!$H169,6*(34-1))))</f>
        <v/>
      </c>
      <c r="AM169" s="3" t="str">
        <f>IF(35&gt;$C169,"",IF($D169=1,EOMONTH(EDATE(Bonds!$H169,6*(35-1)),0),EDATE(Bonds!$H169,6*(35-1))))</f>
        <v/>
      </c>
      <c r="AN169" s="3" t="str">
        <f>IF(36&gt;$C169,"",IF($D169=1,EOMONTH(EDATE(Bonds!$H169,6*(36-1)),0),EDATE(Bonds!$H169,6*(36-1))))</f>
        <v/>
      </c>
      <c r="AO169" s="3" t="str">
        <f>IF(37&gt;$C169,"",IF($D169=1,EOMONTH(EDATE(Bonds!$H169,6*(37-1)),0),EDATE(Bonds!$H169,6*(37-1))))</f>
        <v/>
      </c>
      <c r="AP169" s="3" t="str">
        <f>IF(38&gt;$C169,"",IF($D169=1,EOMONTH(EDATE(Bonds!$H169,6*(38-1)),0),EDATE(Bonds!$H169,6*(38-1))))</f>
        <v/>
      </c>
      <c r="AQ169" s="3" t="str">
        <f>IF(39&gt;$C169,"",IF($D169=1,EOMONTH(EDATE(Bonds!$H169,6*(39-1)),0),EDATE(Bonds!$H169,6*(39-1))))</f>
        <v/>
      </c>
      <c r="AR169" s="3" t="str">
        <f>IF(40&gt;$C169,"",IF($D169=1,EOMONTH(EDATE(Bonds!$H169,6*(40-1)),0),EDATE(Bonds!$H169,6*(40-1))))</f>
        <v/>
      </c>
      <c r="AS169" s="3" t="str">
        <f>IF(41&gt;$C169,"",IF($D169=1,EOMONTH(EDATE(Bonds!$H169,6*(41-1)),0),EDATE(Bonds!$H169,6*(41-1))))</f>
        <v/>
      </c>
      <c r="AT169" s="3" t="str">
        <f>IF(42&gt;$C169,"",IF($D169=1,EOMONTH(EDATE(Bonds!$H169,6*(42-1)),0),EDATE(Bonds!$H169,6*(42-1))))</f>
        <v/>
      </c>
      <c r="AU169" s="3" t="str">
        <f>IF(43&gt;$C169,"",IF($D169=1,EOMONTH(EDATE(Bonds!$H169,6*(43-1)),0),EDATE(Bonds!$H169,6*(43-1))))</f>
        <v/>
      </c>
      <c r="AV169" s="3" t="str">
        <f>IF(44&gt;$C169,"",IF($D169=1,EOMONTH(EDATE(Bonds!$H169,6*(44-1)),0),EDATE(Bonds!$H169,6*(44-1))))</f>
        <v/>
      </c>
      <c r="AW169" s="3" t="str">
        <f>IF(45&gt;$C169,"",IF($D169=1,EOMONTH(EDATE(Bonds!$H169,6*(45-1)),0),EDATE(Bonds!$H169,6*(45-1))))</f>
        <v/>
      </c>
      <c r="AX169" s="3" t="str">
        <f>IF(46&gt;$C169,"",IF($D169=1,EOMONTH(EDATE(Bonds!$H169,6*(46-1)),0),EDATE(Bonds!$H169,6*(46-1))))</f>
        <v/>
      </c>
      <c r="AY169" s="3" t="str">
        <f>IF(47&gt;$C169,"",IF($D169=1,EOMONTH(EDATE(Bonds!$H169,6*(47-1)),0),EDATE(Bonds!$H169,6*(47-1))))</f>
        <v/>
      </c>
      <c r="AZ169" s="3" t="str">
        <f>IF(48&gt;$C169,"",IF($D169=1,EOMONTH(EDATE(Bonds!$H169,6*(48-1)),0),EDATE(Bonds!$H169,6*(48-1))))</f>
        <v/>
      </c>
      <c r="BA169" s="3" t="str">
        <f>IF(49&gt;$C169,"",IF($D169=1,EOMONTH(EDATE(Bonds!$H169,6*(49-1)),0),EDATE(Bonds!$H169,6*(49-1))))</f>
        <v/>
      </c>
      <c r="BB169" s="3" t="str">
        <f>IF(50&gt;$C169,"",IF($D169=1,EOMONTH(EDATE(Bonds!$H169,6*(50-1)),0),EDATE(Bonds!$H169,6*(50-1))))</f>
        <v/>
      </c>
      <c r="BC169" s="3" t="str">
        <f>IF(51&gt;$C169,"",IF($D169=1,EOMONTH(EDATE(Bonds!$H169,6*(51-1)),0),EDATE(Bonds!$H169,6*(51-1))))</f>
        <v/>
      </c>
      <c r="BD169" s="3" t="str">
        <f>IF(52&gt;$C169,"",IF($D169=1,EOMONTH(EDATE(Bonds!$H169,6*(52-1)),0),EDATE(Bonds!$H169,6*(52-1))))</f>
        <v/>
      </c>
      <c r="BE169" s="3" t="str">
        <f>IF(53&gt;$C169,"",IF($D169=1,EOMONTH(EDATE(Bonds!$H169,6*(53-1)),0),EDATE(Bonds!$H169,6*(53-1))))</f>
        <v/>
      </c>
      <c r="BF169" s="3" t="str">
        <f>IF(54&gt;$C169,"",IF($D169=1,EOMONTH(EDATE(Bonds!$H169,6*(54-1)),0),EDATE(Bonds!$H169,6*(54-1))))</f>
        <v/>
      </c>
      <c r="BG169" s="3" t="str">
        <f>IF(55&gt;$C169,"",IF($D169=1,EOMONTH(EDATE(Bonds!$H169,6*(55-1)),0),EDATE(Bonds!$H169,6*(55-1))))</f>
        <v/>
      </c>
      <c r="BH169" s="3" t="str">
        <f>IF(56&gt;$C169,"",IF($D169=1,EOMONTH(EDATE(Bonds!$H169,6*(56-1)),0),EDATE(Bonds!$H169,6*(56-1))))</f>
        <v/>
      </c>
      <c r="BI169" s="3" t="str">
        <f>IF(57&gt;$C169,"",IF($D169=1,EOMONTH(EDATE(Bonds!$H169,6*(57-1)),0),EDATE(Bonds!$H169,6*(57-1))))</f>
        <v/>
      </c>
      <c r="BJ169" s="3" t="str">
        <f>IF(58&gt;$C169,"",IF($D169=1,EOMONTH(EDATE(Bonds!$H169,6*(58-1)),0),EDATE(Bonds!$H169,6*(58-1))))</f>
        <v/>
      </c>
      <c r="BK169" s="3" t="str">
        <f>IF(59&gt;$C169,"",IF($D169=1,EOMONTH(EDATE(Bonds!$H169,6*(59-1)),0),EDATE(Bonds!$H169,6*(59-1))))</f>
        <v/>
      </c>
      <c r="BL169" s="3" t="str">
        <f>IF(60&gt;$C169,"",IF($D169=1,EOMONTH(EDATE(Bonds!$H169,6*(60-1)),0),EDATE(Bonds!$H169,6*(60-1))))</f>
        <v/>
      </c>
      <c r="BN169" s="7">
        <f t="shared" si="123"/>
        <v>0.73727961171076339</v>
      </c>
      <c r="BO169" s="7">
        <f t="shared" si="124"/>
        <v>0.72173899338554126</v>
      </c>
      <c r="BP169" s="7">
        <f t="shared" si="125"/>
        <v>0.70555058087802081</v>
      </c>
      <c r="BQ169" s="7">
        <f t="shared" si="126"/>
        <v>0.68963135444470081</v>
      </c>
      <c r="BR169" s="7">
        <f t="shared" si="127"/>
        <v>0.6738540873088511</v>
      </c>
      <c r="BS169" s="7">
        <f t="shared" si="128"/>
        <v>0.65871300729213633</v>
      </c>
      <c r="BT169" s="7">
        <f t="shared" si="129"/>
        <v>86.469668259257404</v>
      </c>
      <c r="BU169" s="7">
        <f t="shared" si="130"/>
        <v>0</v>
      </c>
      <c r="BV169" s="7">
        <f t="shared" si="131"/>
        <v>0</v>
      </c>
      <c r="BW169" s="7">
        <f t="shared" si="132"/>
        <v>0</v>
      </c>
      <c r="BX169" s="7">
        <f t="shared" si="133"/>
        <v>0</v>
      </c>
      <c r="BY169" s="7">
        <f t="shared" si="134"/>
        <v>0</v>
      </c>
      <c r="BZ169" s="7">
        <f t="shared" si="135"/>
        <v>0</v>
      </c>
      <c r="CA169" s="7">
        <f t="shared" si="136"/>
        <v>0</v>
      </c>
      <c r="CB169" s="7">
        <f t="shared" si="137"/>
        <v>0</v>
      </c>
      <c r="CC169" s="7">
        <f t="shared" si="138"/>
        <v>0</v>
      </c>
      <c r="CD169" s="7">
        <f t="shared" si="139"/>
        <v>0</v>
      </c>
      <c r="CE169" s="7">
        <f t="shared" si="140"/>
        <v>0</v>
      </c>
      <c r="CF169" s="7">
        <f t="shared" si="141"/>
        <v>0</v>
      </c>
      <c r="CG169" s="7">
        <f t="shared" si="142"/>
        <v>0</v>
      </c>
      <c r="CH169" s="7">
        <f t="shared" si="143"/>
        <v>0</v>
      </c>
      <c r="CI169" s="7">
        <f t="shared" si="144"/>
        <v>0</v>
      </c>
      <c r="CJ169" s="7">
        <f t="shared" si="145"/>
        <v>0</v>
      </c>
      <c r="CK169" s="7">
        <f t="shared" si="146"/>
        <v>0</v>
      </c>
      <c r="CL169" s="7">
        <f t="shared" si="147"/>
        <v>0</v>
      </c>
      <c r="CM169" s="7">
        <f t="shared" si="148"/>
        <v>0</v>
      </c>
      <c r="CN169" s="7">
        <f t="shared" si="149"/>
        <v>0</v>
      </c>
      <c r="CO169" s="7">
        <f t="shared" si="150"/>
        <v>0</v>
      </c>
      <c r="CP169" s="7">
        <f t="shared" si="151"/>
        <v>0</v>
      </c>
      <c r="CQ169" s="7">
        <f t="shared" si="152"/>
        <v>0</v>
      </c>
      <c r="CR169" s="7">
        <f t="shared" si="153"/>
        <v>0</v>
      </c>
      <c r="CS169" s="7">
        <f t="shared" si="154"/>
        <v>0</v>
      </c>
      <c r="CT169" s="7">
        <f t="shared" si="155"/>
        <v>0</v>
      </c>
      <c r="CU169" s="7">
        <f t="shared" si="156"/>
        <v>0</v>
      </c>
      <c r="CV169" s="7">
        <f t="shared" si="157"/>
        <v>0</v>
      </c>
      <c r="CW169" s="7">
        <f t="shared" si="158"/>
        <v>0</v>
      </c>
      <c r="CX169" s="7">
        <f t="shared" si="159"/>
        <v>0</v>
      </c>
      <c r="CY169" s="7">
        <f t="shared" si="160"/>
        <v>0</v>
      </c>
      <c r="CZ169" s="7">
        <f t="shared" si="161"/>
        <v>0</v>
      </c>
      <c r="DA169" s="7">
        <f t="shared" si="162"/>
        <v>0</v>
      </c>
      <c r="DB169" s="7">
        <f t="shared" si="163"/>
        <v>0</v>
      </c>
      <c r="DC169" s="7">
        <f t="shared" si="164"/>
        <v>0</v>
      </c>
      <c r="DD169" s="7">
        <f t="shared" si="165"/>
        <v>0</v>
      </c>
      <c r="DE169" s="7">
        <f t="shared" si="166"/>
        <v>0</v>
      </c>
      <c r="DF169" s="7">
        <f t="shared" si="167"/>
        <v>0</v>
      </c>
      <c r="DG169" s="7">
        <f t="shared" si="168"/>
        <v>0</v>
      </c>
      <c r="DH169" s="7">
        <f t="shared" si="169"/>
        <v>0</v>
      </c>
      <c r="DI169" s="7">
        <f t="shared" si="170"/>
        <v>0</v>
      </c>
      <c r="DJ169" s="7">
        <f t="shared" si="171"/>
        <v>0</v>
      </c>
      <c r="DK169" s="7">
        <f t="shared" si="172"/>
        <v>0</v>
      </c>
      <c r="DL169" s="7">
        <f t="shared" si="173"/>
        <v>0</v>
      </c>
      <c r="DM169" s="7">
        <f t="shared" si="174"/>
        <v>0</v>
      </c>
      <c r="DN169" s="7">
        <f t="shared" si="175"/>
        <v>0</v>
      </c>
      <c r="DO169" s="7">
        <f t="shared" si="176"/>
        <v>0</v>
      </c>
      <c r="DP169" s="7">
        <f t="shared" si="177"/>
        <v>0</v>
      </c>
      <c r="DQ169" s="7">
        <f t="shared" si="178"/>
        <v>0</v>
      </c>
      <c r="DR169" s="7">
        <f t="shared" si="179"/>
        <v>0</v>
      </c>
      <c r="DS169" s="7">
        <f t="shared" si="180"/>
        <v>0</v>
      </c>
      <c r="DT169" s="7">
        <f t="shared" si="181"/>
        <v>0</v>
      </c>
      <c r="DU169" s="7">
        <f t="shared" si="182"/>
        <v>0</v>
      </c>
    </row>
    <row r="170" spans="1:125" x14ac:dyDescent="0.2">
      <c r="A170" s="3">
        <f>Bonds!A170</f>
        <v>47542</v>
      </c>
      <c r="B170" s="4">
        <f>Bonds!B170</f>
        <v>4</v>
      </c>
      <c r="C170">
        <f>Bonds!P170</f>
        <v>7</v>
      </c>
      <c r="D170">
        <f t="shared" si="122"/>
        <v>1</v>
      </c>
      <c r="E170" s="3">
        <f>IF(1&gt;$C170,"",IF($D170=1,EOMONTH(EDATE(Bonds!$H170,6*(1-1)),0),EDATE(Bonds!$H170,6*(1-1))))</f>
        <v>46446</v>
      </c>
      <c r="F170" s="3">
        <f>IF(2&gt;$C170,"",IF($D170=1,EOMONTH(EDATE(Bonds!$H170,6*(2-1)),0),EDATE(Bonds!$H170,6*(2-1))))</f>
        <v>46630</v>
      </c>
      <c r="G170" s="3">
        <f>IF(3&gt;$C170,"",IF($D170=1,EOMONTH(EDATE(Bonds!$H170,6*(3-1)),0),EDATE(Bonds!$H170,6*(3-1))))</f>
        <v>46812</v>
      </c>
      <c r="H170" s="3">
        <f>IF(4&gt;$C170,"",IF($D170=1,EOMONTH(EDATE(Bonds!$H170,6*(4-1)),0),EDATE(Bonds!$H170,6*(4-1))))</f>
        <v>46996</v>
      </c>
      <c r="I170" s="3">
        <f>IF(5&gt;$C170,"",IF($D170=1,EOMONTH(EDATE(Bonds!$H170,6*(5-1)),0),EDATE(Bonds!$H170,6*(5-1))))</f>
        <v>47177</v>
      </c>
      <c r="J170" s="3">
        <f>IF(6&gt;$C170,"",IF($D170=1,EOMONTH(EDATE(Bonds!$H170,6*(6-1)),0),EDATE(Bonds!$H170,6*(6-1))))</f>
        <v>47361</v>
      </c>
      <c r="K170" s="3">
        <f>IF(7&gt;$C170,"",IF($D170=1,EOMONTH(EDATE(Bonds!$H170,6*(7-1)),0),EDATE(Bonds!$H170,6*(7-1))))</f>
        <v>47542</v>
      </c>
      <c r="L170" s="3" t="str">
        <f>IF(8&gt;$C170,"",IF($D170=1,EOMONTH(EDATE(Bonds!$H170,6*(8-1)),0),EDATE(Bonds!$H170,6*(8-1))))</f>
        <v/>
      </c>
      <c r="M170" s="3" t="str">
        <f>IF(9&gt;$C170,"",IF($D170=1,EOMONTH(EDATE(Bonds!$H170,6*(9-1)),0),EDATE(Bonds!$H170,6*(9-1))))</f>
        <v/>
      </c>
      <c r="N170" s="3" t="str">
        <f>IF(10&gt;$C170,"",IF($D170=1,EOMONTH(EDATE(Bonds!$H170,6*(10-1)),0),EDATE(Bonds!$H170,6*(10-1))))</f>
        <v/>
      </c>
      <c r="O170" s="3" t="str">
        <f>IF(11&gt;$C170,"",IF($D170=1,EOMONTH(EDATE(Bonds!$H170,6*(11-1)),0),EDATE(Bonds!$H170,6*(11-1))))</f>
        <v/>
      </c>
      <c r="P170" s="3" t="str">
        <f>IF(12&gt;$C170,"",IF($D170=1,EOMONTH(EDATE(Bonds!$H170,6*(12-1)),0),EDATE(Bonds!$H170,6*(12-1))))</f>
        <v/>
      </c>
      <c r="Q170" s="3" t="str">
        <f>IF(13&gt;$C170,"",IF($D170=1,EOMONTH(EDATE(Bonds!$H170,6*(13-1)),0),EDATE(Bonds!$H170,6*(13-1))))</f>
        <v/>
      </c>
      <c r="R170" s="3" t="str">
        <f>IF(14&gt;$C170,"",IF($D170=1,EOMONTH(EDATE(Bonds!$H170,6*(14-1)),0),EDATE(Bonds!$H170,6*(14-1))))</f>
        <v/>
      </c>
      <c r="S170" s="3" t="str">
        <f>IF(15&gt;$C170,"",IF($D170=1,EOMONTH(EDATE(Bonds!$H170,6*(15-1)),0),EDATE(Bonds!$H170,6*(15-1))))</f>
        <v/>
      </c>
      <c r="T170" s="3" t="str">
        <f>IF(16&gt;$C170,"",IF($D170=1,EOMONTH(EDATE(Bonds!$H170,6*(16-1)),0),EDATE(Bonds!$H170,6*(16-1))))</f>
        <v/>
      </c>
      <c r="U170" s="3" t="str">
        <f>IF(17&gt;$C170,"",IF($D170=1,EOMONTH(EDATE(Bonds!$H170,6*(17-1)),0),EDATE(Bonds!$H170,6*(17-1))))</f>
        <v/>
      </c>
      <c r="V170" s="3" t="str">
        <f>IF(18&gt;$C170,"",IF($D170=1,EOMONTH(EDATE(Bonds!$H170,6*(18-1)),0),EDATE(Bonds!$H170,6*(18-1))))</f>
        <v/>
      </c>
      <c r="W170" s="3" t="str">
        <f>IF(19&gt;$C170,"",IF($D170=1,EOMONTH(EDATE(Bonds!$H170,6*(19-1)),0),EDATE(Bonds!$H170,6*(19-1))))</f>
        <v/>
      </c>
      <c r="X170" s="3" t="str">
        <f>IF(20&gt;$C170,"",IF($D170=1,EOMONTH(EDATE(Bonds!$H170,6*(20-1)),0),EDATE(Bonds!$H170,6*(20-1))))</f>
        <v/>
      </c>
      <c r="Y170" s="3" t="str">
        <f>IF(21&gt;$C170,"",IF($D170=1,EOMONTH(EDATE(Bonds!$H170,6*(21-1)),0),EDATE(Bonds!$H170,6*(21-1))))</f>
        <v/>
      </c>
      <c r="Z170" s="3" t="str">
        <f>IF(22&gt;$C170,"",IF($D170=1,EOMONTH(EDATE(Bonds!$H170,6*(22-1)),0),EDATE(Bonds!$H170,6*(22-1))))</f>
        <v/>
      </c>
      <c r="AA170" s="3" t="str">
        <f>IF(23&gt;$C170,"",IF($D170=1,EOMONTH(EDATE(Bonds!$H170,6*(23-1)),0),EDATE(Bonds!$H170,6*(23-1))))</f>
        <v/>
      </c>
      <c r="AB170" s="3" t="str">
        <f>IF(24&gt;$C170,"",IF($D170=1,EOMONTH(EDATE(Bonds!$H170,6*(24-1)),0),EDATE(Bonds!$H170,6*(24-1))))</f>
        <v/>
      </c>
      <c r="AC170" s="3" t="str">
        <f>IF(25&gt;$C170,"",IF($D170=1,EOMONTH(EDATE(Bonds!$H170,6*(25-1)),0),EDATE(Bonds!$H170,6*(25-1))))</f>
        <v/>
      </c>
      <c r="AD170" s="3" t="str">
        <f>IF(26&gt;$C170,"",IF($D170=1,EOMONTH(EDATE(Bonds!$H170,6*(26-1)),0),EDATE(Bonds!$H170,6*(26-1))))</f>
        <v/>
      </c>
      <c r="AE170" s="3" t="str">
        <f>IF(27&gt;$C170,"",IF($D170=1,EOMONTH(EDATE(Bonds!$H170,6*(27-1)),0),EDATE(Bonds!$H170,6*(27-1))))</f>
        <v/>
      </c>
      <c r="AF170" s="3" t="str">
        <f>IF(28&gt;$C170,"",IF($D170=1,EOMONTH(EDATE(Bonds!$H170,6*(28-1)),0),EDATE(Bonds!$H170,6*(28-1))))</f>
        <v/>
      </c>
      <c r="AG170" s="3" t="str">
        <f>IF(29&gt;$C170,"",IF($D170=1,EOMONTH(EDATE(Bonds!$H170,6*(29-1)),0),EDATE(Bonds!$H170,6*(29-1))))</f>
        <v/>
      </c>
      <c r="AH170" s="3" t="str">
        <f>IF(30&gt;$C170,"",IF($D170=1,EOMONTH(EDATE(Bonds!$H170,6*(30-1)),0),EDATE(Bonds!$H170,6*(30-1))))</f>
        <v/>
      </c>
      <c r="AI170" s="3" t="str">
        <f>IF(31&gt;$C170,"",IF($D170=1,EOMONTH(EDATE(Bonds!$H170,6*(31-1)),0),EDATE(Bonds!$H170,6*(31-1))))</f>
        <v/>
      </c>
      <c r="AJ170" s="3" t="str">
        <f>IF(32&gt;$C170,"",IF($D170=1,EOMONTH(EDATE(Bonds!$H170,6*(32-1)),0),EDATE(Bonds!$H170,6*(32-1))))</f>
        <v/>
      </c>
      <c r="AK170" s="3" t="str">
        <f>IF(33&gt;$C170,"",IF($D170=1,EOMONTH(EDATE(Bonds!$H170,6*(33-1)),0),EDATE(Bonds!$H170,6*(33-1))))</f>
        <v/>
      </c>
      <c r="AL170" s="3" t="str">
        <f>IF(34&gt;$C170,"",IF($D170=1,EOMONTH(EDATE(Bonds!$H170,6*(34-1)),0),EDATE(Bonds!$H170,6*(34-1))))</f>
        <v/>
      </c>
      <c r="AM170" s="3" t="str">
        <f>IF(35&gt;$C170,"",IF($D170=1,EOMONTH(EDATE(Bonds!$H170,6*(35-1)),0),EDATE(Bonds!$H170,6*(35-1))))</f>
        <v/>
      </c>
      <c r="AN170" s="3" t="str">
        <f>IF(36&gt;$C170,"",IF($D170=1,EOMONTH(EDATE(Bonds!$H170,6*(36-1)),0),EDATE(Bonds!$H170,6*(36-1))))</f>
        <v/>
      </c>
      <c r="AO170" s="3" t="str">
        <f>IF(37&gt;$C170,"",IF($D170=1,EOMONTH(EDATE(Bonds!$H170,6*(37-1)),0),EDATE(Bonds!$H170,6*(37-1))))</f>
        <v/>
      </c>
      <c r="AP170" s="3" t="str">
        <f>IF(38&gt;$C170,"",IF($D170=1,EOMONTH(EDATE(Bonds!$H170,6*(38-1)),0),EDATE(Bonds!$H170,6*(38-1))))</f>
        <v/>
      </c>
      <c r="AQ170" s="3" t="str">
        <f>IF(39&gt;$C170,"",IF($D170=1,EOMONTH(EDATE(Bonds!$H170,6*(39-1)),0),EDATE(Bonds!$H170,6*(39-1))))</f>
        <v/>
      </c>
      <c r="AR170" s="3" t="str">
        <f>IF(40&gt;$C170,"",IF($D170=1,EOMONTH(EDATE(Bonds!$H170,6*(40-1)),0),EDATE(Bonds!$H170,6*(40-1))))</f>
        <v/>
      </c>
      <c r="AS170" s="3" t="str">
        <f>IF(41&gt;$C170,"",IF($D170=1,EOMONTH(EDATE(Bonds!$H170,6*(41-1)),0),EDATE(Bonds!$H170,6*(41-1))))</f>
        <v/>
      </c>
      <c r="AT170" s="3" t="str">
        <f>IF(42&gt;$C170,"",IF($D170=1,EOMONTH(EDATE(Bonds!$H170,6*(42-1)),0),EDATE(Bonds!$H170,6*(42-1))))</f>
        <v/>
      </c>
      <c r="AU170" s="3" t="str">
        <f>IF(43&gt;$C170,"",IF($D170=1,EOMONTH(EDATE(Bonds!$H170,6*(43-1)),0),EDATE(Bonds!$H170,6*(43-1))))</f>
        <v/>
      </c>
      <c r="AV170" s="3" t="str">
        <f>IF(44&gt;$C170,"",IF($D170=1,EOMONTH(EDATE(Bonds!$H170,6*(44-1)),0),EDATE(Bonds!$H170,6*(44-1))))</f>
        <v/>
      </c>
      <c r="AW170" s="3" t="str">
        <f>IF(45&gt;$C170,"",IF($D170=1,EOMONTH(EDATE(Bonds!$H170,6*(45-1)),0),EDATE(Bonds!$H170,6*(45-1))))</f>
        <v/>
      </c>
      <c r="AX170" s="3" t="str">
        <f>IF(46&gt;$C170,"",IF($D170=1,EOMONTH(EDATE(Bonds!$H170,6*(46-1)),0),EDATE(Bonds!$H170,6*(46-1))))</f>
        <v/>
      </c>
      <c r="AY170" s="3" t="str">
        <f>IF(47&gt;$C170,"",IF($D170=1,EOMONTH(EDATE(Bonds!$H170,6*(47-1)),0),EDATE(Bonds!$H170,6*(47-1))))</f>
        <v/>
      </c>
      <c r="AZ170" s="3" t="str">
        <f>IF(48&gt;$C170,"",IF($D170=1,EOMONTH(EDATE(Bonds!$H170,6*(48-1)),0),EDATE(Bonds!$H170,6*(48-1))))</f>
        <v/>
      </c>
      <c r="BA170" s="3" t="str">
        <f>IF(49&gt;$C170,"",IF($D170=1,EOMONTH(EDATE(Bonds!$H170,6*(49-1)),0),EDATE(Bonds!$H170,6*(49-1))))</f>
        <v/>
      </c>
      <c r="BB170" s="3" t="str">
        <f>IF(50&gt;$C170,"",IF($D170=1,EOMONTH(EDATE(Bonds!$H170,6*(50-1)),0),EDATE(Bonds!$H170,6*(50-1))))</f>
        <v/>
      </c>
      <c r="BC170" s="3" t="str">
        <f>IF(51&gt;$C170,"",IF($D170=1,EOMONTH(EDATE(Bonds!$H170,6*(51-1)),0),EDATE(Bonds!$H170,6*(51-1))))</f>
        <v/>
      </c>
      <c r="BD170" s="3" t="str">
        <f>IF(52&gt;$C170,"",IF($D170=1,EOMONTH(EDATE(Bonds!$H170,6*(52-1)),0),EDATE(Bonds!$H170,6*(52-1))))</f>
        <v/>
      </c>
      <c r="BE170" s="3" t="str">
        <f>IF(53&gt;$C170,"",IF($D170=1,EOMONTH(EDATE(Bonds!$H170,6*(53-1)),0),EDATE(Bonds!$H170,6*(53-1))))</f>
        <v/>
      </c>
      <c r="BF170" s="3" t="str">
        <f>IF(54&gt;$C170,"",IF($D170=1,EOMONTH(EDATE(Bonds!$H170,6*(54-1)),0),EDATE(Bonds!$H170,6*(54-1))))</f>
        <v/>
      </c>
      <c r="BG170" s="3" t="str">
        <f>IF(55&gt;$C170,"",IF($D170=1,EOMONTH(EDATE(Bonds!$H170,6*(55-1)),0),EDATE(Bonds!$H170,6*(55-1))))</f>
        <v/>
      </c>
      <c r="BH170" s="3" t="str">
        <f>IF(56&gt;$C170,"",IF($D170=1,EOMONTH(EDATE(Bonds!$H170,6*(56-1)),0),EDATE(Bonds!$H170,6*(56-1))))</f>
        <v/>
      </c>
      <c r="BI170" s="3" t="str">
        <f>IF(57&gt;$C170,"",IF($D170=1,EOMONTH(EDATE(Bonds!$H170,6*(57-1)),0),EDATE(Bonds!$H170,6*(57-1))))</f>
        <v/>
      </c>
      <c r="BJ170" s="3" t="str">
        <f>IF(58&gt;$C170,"",IF($D170=1,EOMONTH(EDATE(Bonds!$H170,6*(58-1)),0),EDATE(Bonds!$H170,6*(58-1))))</f>
        <v/>
      </c>
      <c r="BK170" s="3" t="str">
        <f>IF(59&gt;$C170,"",IF($D170=1,EOMONTH(EDATE(Bonds!$H170,6*(59-1)),0),EDATE(Bonds!$H170,6*(59-1))))</f>
        <v/>
      </c>
      <c r="BL170" s="3" t="str">
        <f>IF(60&gt;$C170,"",IF($D170=1,EOMONTH(EDATE(Bonds!$H170,6*(60-1)),0),EDATE(Bonds!$H170,6*(60-1))))</f>
        <v/>
      </c>
      <c r="BN170" s="7">
        <f t="shared" si="123"/>
        <v>1.9631791301183759</v>
      </c>
      <c r="BO170" s="7">
        <f t="shared" si="124"/>
        <v>1.9209000955842239</v>
      </c>
      <c r="BP170" s="7">
        <f t="shared" si="125"/>
        <v>1.8781831234727109</v>
      </c>
      <c r="BQ170" s="7">
        <f t="shared" si="126"/>
        <v>1.8353199236839006</v>
      </c>
      <c r="BR170" s="7">
        <f t="shared" si="127"/>
        <v>1.7940103598596542</v>
      </c>
      <c r="BS170" s="7">
        <f t="shared" si="128"/>
        <v>1.7530470687352047</v>
      </c>
      <c r="BT170" s="7">
        <f t="shared" si="129"/>
        <v>87.399967938531219</v>
      </c>
      <c r="BU170" s="7">
        <f t="shared" si="130"/>
        <v>0</v>
      </c>
      <c r="BV170" s="7">
        <f t="shared" si="131"/>
        <v>0</v>
      </c>
      <c r="BW170" s="7">
        <f t="shared" si="132"/>
        <v>0</v>
      </c>
      <c r="BX170" s="7">
        <f t="shared" si="133"/>
        <v>0</v>
      </c>
      <c r="BY170" s="7">
        <f t="shared" si="134"/>
        <v>0</v>
      </c>
      <c r="BZ170" s="7">
        <f t="shared" si="135"/>
        <v>0</v>
      </c>
      <c r="CA170" s="7">
        <f t="shared" si="136"/>
        <v>0</v>
      </c>
      <c r="CB170" s="7">
        <f t="shared" si="137"/>
        <v>0</v>
      </c>
      <c r="CC170" s="7">
        <f t="shared" si="138"/>
        <v>0</v>
      </c>
      <c r="CD170" s="7">
        <f t="shared" si="139"/>
        <v>0</v>
      </c>
      <c r="CE170" s="7">
        <f t="shared" si="140"/>
        <v>0</v>
      </c>
      <c r="CF170" s="7">
        <f t="shared" si="141"/>
        <v>0</v>
      </c>
      <c r="CG170" s="7">
        <f t="shared" si="142"/>
        <v>0</v>
      </c>
      <c r="CH170" s="7">
        <f t="shared" si="143"/>
        <v>0</v>
      </c>
      <c r="CI170" s="7">
        <f t="shared" si="144"/>
        <v>0</v>
      </c>
      <c r="CJ170" s="7">
        <f t="shared" si="145"/>
        <v>0</v>
      </c>
      <c r="CK170" s="7">
        <f t="shared" si="146"/>
        <v>0</v>
      </c>
      <c r="CL170" s="7">
        <f t="shared" si="147"/>
        <v>0</v>
      </c>
      <c r="CM170" s="7">
        <f t="shared" si="148"/>
        <v>0</v>
      </c>
      <c r="CN170" s="7">
        <f t="shared" si="149"/>
        <v>0</v>
      </c>
      <c r="CO170" s="7">
        <f t="shared" si="150"/>
        <v>0</v>
      </c>
      <c r="CP170" s="7">
        <f t="shared" si="151"/>
        <v>0</v>
      </c>
      <c r="CQ170" s="7">
        <f t="shared" si="152"/>
        <v>0</v>
      </c>
      <c r="CR170" s="7">
        <f t="shared" si="153"/>
        <v>0</v>
      </c>
      <c r="CS170" s="7">
        <f t="shared" si="154"/>
        <v>0</v>
      </c>
      <c r="CT170" s="7">
        <f t="shared" si="155"/>
        <v>0</v>
      </c>
      <c r="CU170" s="7">
        <f t="shared" si="156"/>
        <v>0</v>
      </c>
      <c r="CV170" s="7">
        <f t="shared" si="157"/>
        <v>0</v>
      </c>
      <c r="CW170" s="7">
        <f t="shared" si="158"/>
        <v>0</v>
      </c>
      <c r="CX170" s="7">
        <f t="shared" si="159"/>
        <v>0</v>
      </c>
      <c r="CY170" s="7">
        <f t="shared" si="160"/>
        <v>0</v>
      </c>
      <c r="CZ170" s="7">
        <f t="shared" si="161"/>
        <v>0</v>
      </c>
      <c r="DA170" s="7">
        <f t="shared" si="162"/>
        <v>0</v>
      </c>
      <c r="DB170" s="7">
        <f t="shared" si="163"/>
        <v>0</v>
      </c>
      <c r="DC170" s="7">
        <f t="shared" si="164"/>
        <v>0</v>
      </c>
      <c r="DD170" s="7">
        <f t="shared" si="165"/>
        <v>0</v>
      </c>
      <c r="DE170" s="7">
        <f t="shared" si="166"/>
        <v>0</v>
      </c>
      <c r="DF170" s="7">
        <f t="shared" si="167"/>
        <v>0</v>
      </c>
      <c r="DG170" s="7">
        <f t="shared" si="168"/>
        <v>0</v>
      </c>
      <c r="DH170" s="7">
        <f t="shared" si="169"/>
        <v>0</v>
      </c>
      <c r="DI170" s="7">
        <f t="shared" si="170"/>
        <v>0</v>
      </c>
      <c r="DJ170" s="7">
        <f t="shared" si="171"/>
        <v>0</v>
      </c>
      <c r="DK170" s="7">
        <f t="shared" si="172"/>
        <v>0</v>
      </c>
      <c r="DL170" s="7">
        <f t="shared" si="173"/>
        <v>0</v>
      </c>
      <c r="DM170" s="7">
        <f t="shared" si="174"/>
        <v>0</v>
      </c>
      <c r="DN170" s="7">
        <f t="shared" si="175"/>
        <v>0</v>
      </c>
      <c r="DO170" s="7">
        <f t="shared" si="176"/>
        <v>0</v>
      </c>
      <c r="DP170" s="7">
        <f t="shared" si="177"/>
        <v>0</v>
      </c>
      <c r="DQ170" s="7">
        <f t="shared" si="178"/>
        <v>0</v>
      </c>
      <c r="DR170" s="7">
        <f t="shared" si="179"/>
        <v>0</v>
      </c>
      <c r="DS170" s="7">
        <f t="shared" si="180"/>
        <v>0</v>
      </c>
      <c r="DT170" s="7">
        <f t="shared" si="181"/>
        <v>0</v>
      </c>
      <c r="DU170" s="7">
        <f t="shared" si="182"/>
        <v>0</v>
      </c>
    </row>
    <row r="171" spans="1:125" x14ac:dyDescent="0.2">
      <c r="A171" s="3">
        <f>Bonds!A171</f>
        <v>47573</v>
      </c>
      <c r="B171" s="4">
        <f>Bonds!B171</f>
        <v>3.625</v>
      </c>
      <c r="C171">
        <f>Bonds!P171</f>
        <v>8</v>
      </c>
      <c r="D171">
        <f t="shared" si="122"/>
        <v>1</v>
      </c>
      <c r="E171" s="3">
        <f>IF(1&gt;$C171,"",IF($D171=1,EOMONTH(EDATE(Bonds!$H171,6*(1-1)),0),EDATE(Bonds!$H171,6*(1-1))))</f>
        <v>46295</v>
      </c>
      <c r="F171" s="3">
        <f>IF(2&gt;$C171,"",IF($D171=1,EOMONTH(EDATE(Bonds!$H171,6*(2-1)),0),EDATE(Bonds!$H171,6*(2-1))))</f>
        <v>46477</v>
      </c>
      <c r="G171" s="3">
        <f>IF(3&gt;$C171,"",IF($D171=1,EOMONTH(EDATE(Bonds!$H171,6*(3-1)),0),EDATE(Bonds!$H171,6*(3-1))))</f>
        <v>46660</v>
      </c>
      <c r="H171" s="3">
        <f>IF(4&gt;$C171,"",IF($D171=1,EOMONTH(EDATE(Bonds!$H171,6*(4-1)),0),EDATE(Bonds!$H171,6*(4-1))))</f>
        <v>46843</v>
      </c>
      <c r="I171" s="3">
        <f>IF(5&gt;$C171,"",IF($D171=1,EOMONTH(EDATE(Bonds!$H171,6*(5-1)),0),EDATE(Bonds!$H171,6*(5-1))))</f>
        <v>47026</v>
      </c>
      <c r="J171" s="3">
        <f>IF(6&gt;$C171,"",IF($D171=1,EOMONTH(EDATE(Bonds!$H171,6*(6-1)),0),EDATE(Bonds!$H171,6*(6-1))))</f>
        <v>47208</v>
      </c>
      <c r="K171" s="3">
        <f>IF(7&gt;$C171,"",IF($D171=1,EOMONTH(EDATE(Bonds!$H171,6*(7-1)),0),EDATE(Bonds!$H171,6*(7-1))))</f>
        <v>47391</v>
      </c>
      <c r="L171" s="3">
        <f>IF(8&gt;$C171,"",IF($D171=1,EOMONTH(EDATE(Bonds!$H171,6*(8-1)),0),EDATE(Bonds!$H171,6*(8-1))))</f>
        <v>47573</v>
      </c>
      <c r="M171" s="3" t="str">
        <f>IF(9&gt;$C171,"",IF($D171=1,EOMONTH(EDATE(Bonds!$H171,6*(9-1)),0),EDATE(Bonds!$H171,6*(9-1))))</f>
        <v/>
      </c>
      <c r="N171" s="3" t="str">
        <f>IF(10&gt;$C171,"",IF($D171=1,EOMONTH(EDATE(Bonds!$H171,6*(10-1)),0),EDATE(Bonds!$H171,6*(10-1))))</f>
        <v/>
      </c>
      <c r="O171" s="3" t="str">
        <f>IF(11&gt;$C171,"",IF($D171=1,EOMONTH(EDATE(Bonds!$H171,6*(11-1)),0),EDATE(Bonds!$H171,6*(11-1))))</f>
        <v/>
      </c>
      <c r="P171" s="3" t="str">
        <f>IF(12&gt;$C171,"",IF($D171=1,EOMONTH(EDATE(Bonds!$H171,6*(12-1)),0),EDATE(Bonds!$H171,6*(12-1))))</f>
        <v/>
      </c>
      <c r="Q171" s="3" t="str">
        <f>IF(13&gt;$C171,"",IF($D171=1,EOMONTH(EDATE(Bonds!$H171,6*(13-1)),0),EDATE(Bonds!$H171,6*(13-1))))</f>
        <v/>
      </c>
      <c r="R171" s="3" t="str">
        <f>IF(14&gt;$C171,"",IF($D171=1,EOMONTH(EDATE(Bonds!$H171,6*(14-1)),0),EDATE(Bonds!$H171,6*(14-1))))</f>
        <v/>
      </c>
      <c r="S171" s="3" t="str">
        <f>IF(15&gt;$C171,"",IF($D171=1,EOMONTH(EDATE(Bonds!$H171,6*(15-1)),0),EDATE(Bonds!$H171,6*(15-1))))</f>
        <v/>
      </c>
      <c r="T171" s="3" t="str">
        <f>IF(16&gt;$C171,"",IF($D171=1,EOMONTH(EDATE(Bonds!$H171,6*(16-1)),0),EDATE(Bonds!$H171,6*(16-1))))</f>
        <v/>
      </c>
      <c r="U171" s="3" t="str">
        <f>IF(17&gt;$C171,"",IF($D171=1,EOMONTH(EDATE(Bonds!$H171,6*(17-1)),0),EDATE(Bonds!$H171,6*(17-1))))</f>
        <v/>
      </c>
      <c r="V171" s="3" t="str">
        <f>IF(18&gt;$C171,"",IF($D171=1,EOMONTH(EDATE(Bonds!$H171,6*(18-1)),0),EDATE(Bonds!$H171,6*(18-1))))</f>
        <v/>
      </c>
      <c r="W171" s="3" t="str">
        <f>IF(19&gt;$C171,"",IF($D171=1,EOMONTH(EDATE(Bonds!$H171,6*(19-1)),0),EDATE(Bonds!$H171,6*(19-1))))</f>
        <v/>
      </c>
      <c r="X171" s="3" t="str">
        <f>IF(20&gt;$C171,"",IF($D171=1,EOMONTH(EDATE(Bonds!$H171,6*(20-1)),0),EDATE(Bonds!$H171,6*(20-1))))</f>
        <v/>
      </c>
      <c r="Y171" s="3" t="str">
        <f>IF(21&gt;$C171,"",IF($D171=1,EOMONTH(EDATE(Bonds!$H171,6*(21-1)),0),EDATE(Bonds!$H171,6*(21-1))))</f>
        <v/>
      </c>
      <c r="Z171" s="3" t="str">
        <f>IF(22&gt;$C171,"",IF($D171=1,EOMONTH(EDATE(Bonds!$H171,6*(22-1)),0),EDATE(Bonds!$H171,6*(22-1))))</f>
        <v/>
      </c>
      <c r="AA171" s="3" t="str">
        <f>IF(23&gt;$C171,"",IF($D171=1,EOMONTH(EDATE(Bonds!$H171,6*(23-1)),0),EDATE(Bonds!$H171,6*(23-1))))</f>
        <v/>
      </c>
      <c r="AB171" s="3" t="str">
        <f>IF(24&gt;$C171,"",IF($D171=1,EOMONTH(EDATE(Bonds!$H171,6*(24-1)),0),EDATE(Bonds!$H171,6*(24-1))))</f>
        <v/>
      </c>
      <c r="AC171" s="3" t="str">
        <f>IF(25&gt;$C171,"",IF($D171=1,EOMONTH(EDATE(Bonds!$H171,6*(25-1)),0),EDATE(Bonds!$H171,6*(25-1))))</f>
        <v/>
      </c>
      <c r="AD171" s="3" t="str">
        <f>IF(26&gt;$C171,"",IF($D171=1,EOMONTH(EDATE(Bonds!$H171,6*(26-1)),0),EDATE(Bonds!$H171,6*(26-1))))</f>
        <v/>
      </c>
      <c r="AE171" s="3" t="str">
        <f>IF(27&gt;$C171,"",IF($D171=1,EOMONTH(EDATE(Bonds!$H171,6*(27-1)),0),EDATE(Bonds!$H171,6*(27-1))))</f>
        <v/>
      </c>
      <c r="AF171" s="3" t="str">
        <f>IF(28&gt;$C171,"",IF($D171=1,EOMONTH(EDATE(Bonds!$H171,6*(28-1)),0),EDATE(Bonds!$H171,6*(28-1))))</f>
        <v/>
      </c>
      <c r="AG171" s="3" t="str">
        <f>IF(29&gt;$C171,"",IF($D171=1,EOMONTH(EDATE(Bonds!$H171,6*(29-1)),0),EDATE(Bonds!$H171,6*(29-1))))</f>
        <v/>
      </c>
      <c r="AH171" s="3" t="str">
        <f>IF(30&gt;$C171,"",IF($D171=1,EOMONTH(EDATE(Bonds!$H171,6*(30-1)),0),EDATE(Bonds!$H171,6*(30-1))))</f>
        <v/>
      </c>
      <c r="AI171" s="3" t="str">
        <f>IF(31&gt;$C171,"",IF($D171=1,EOMONTH(EDATE(Bonds!$H171,6*(31-1)),0),EDATE(Bonds!$H171,6*(31-1))))</f>
        <v/>
      </c>
      <c r="AJ171" s="3" t="str">
        <f>IF(32&gt;$C171,"",IF($D171=1,EOMONTH(EDATE(Bonds!$H171,6*(32-1)),0),EDATE(Bonds!$H171,6*(32-1))))</f>
        <v/>
      </c>
      <c r="AK171" s="3" t="str">
        <f>IF(33&gt;$C171,"",IF($D171=1,EOMONTH(EDATE(Bonds!$H171,6*(33-1)),0),EDATE(Bonds!$H171,6*(33-1))))</f>
        <v/>
      </c>
      <c r="AL171" s="3" t="str">
        <f>IF(34&gt;$C171,"",IF($D171=1,EOMONTH(EDATE(Bonds!$H171,6*(34-1)),0),EDATE(Bonds!$H171,6*(34-1))))</f>
        <v/>
      </c>
      <c r="AM171" s="3" t="str">
        <f>IF(35&gt;$C171,"",IF($D171=1,EOMONTH(EDATE(Bonds!$H171,6*(35-1)),0),EDATE(Bonds!$H171,6*(35-1))))</f>
        <v/>
      </c>
      <c r="AN171" s="3" t="str">
        <f>IF(36&gt;$C171,"",IF($D171=1,EOMONTH(EDATE(Bonds!$H171,6*(36-1)),0),EDATE(Bonds!$H171,6*(36-1))))</f>
        <v/>
      </c>
      <c r="AO171" s="3" t="str">
        <f>IF(37&gt;$C171,"",IF($D171=1,EOMONTH(EDATE(Bonds!$H171,6*(37-1)),0),EDATE(Bonds!$H171,6*(37-1))))</f>
        <v/>
      </c>
      <c r="AP171" s="3" t="str">
        <f>IF(38&gt;$C171,"",IF($D171=1,EOMONTH(EDATE(Bonds!$H171,6*(38-1)),0),EDATE(Bonds!$H171,6*(38-1))))</f>
        <v/>
      </c>
      <c r="AQ171" s="3" t="str">
        <f>IF(39&gt;$C171,"",IF($D171=1,EOMONTH(EDATE(Bonds!$H171,6*(39-1)),0),EDATE(Bonds!$H171,6*(39-1))))</f>
        <v/>
      </c>
      <c r="AR171" s="3" t="str">
        <f>IF(40&gt;$C171,"",IF($D171=1,EOMONTH(EDATE(Bonds!$H171,6*(40-1)),0),EDATE(Bonds!$H171,6*(40-1))))</f>
        <v/>
      </c>
      <c r="AS171" s="3" t="str">
        <f>IF(41&gt;$C171,"",IF($D171=1,EOMONTH(EDATE(Bonds!$H171,6*(41-1)),0),EDATE(Bonds!$H171,6*(41-1))))</f>
        <v/>
      </c>
      <c r="AT171" s="3" t="str">
        <f>IF(42&gt;$C171,"",IF($D171=1,EOMONTH(EDATE(Bonds!$H171,6*(42-1)),0),EDATE(Bonds!$H171,6*(42-1))))</f>
        <v/>
      </c>
      <c r="AU171" s="3" t="str">
        <f>IF(43&gt;$C171,"",IF($D171=1,EOMONTH(EDATE(Bonds!$H171,6*(43-1)),0),EDATE(Bonds!$H171,6*(43-1))))</f>
        <v/>
      </c>
      <c r="AV171" s="3" t="str">
        <f>IF(44&gt;$C171,"",IF($D171=1,EOMONTH(EDATE(Bonds!$H171,6*(44-1)),0),EDATE(Bonds!$H171,6*(44-1))))</f>
        <v/>
      </c>
      <c r="AW171" s="3" t="str">
        <f>IF(45&gt;$C171,"",IF($D171=1,EOMONTH(EDATE(Bonds!$H171,6*(45-1)),0),EDATE(Bonds!$H171,6*(45-1))))</f>
        <v/>
      </c>
      <c r="AX171" s="3" t="str">
        <f>IF(46&gt;$C171,"",IF($D171=1,EOMONTH(EDATE(Bonds!$H171,6*(46-1)),0),EDATE(Bonds!$H171,6*(46-1))))</f>
        <v/>
      </c>
      <c r="AY171" s="3" t="str">
        <f>IF(47&gt;$C171,"",IF($D171=1,EOMONTH(EDATE(Bonds!$H171,6*(47-1)),0),EDATE(Bonds!$H171,6*(47-1))))</f>
        <v/>
      </c>
      <c r="AZ171" s="3" t="str">
        <f>IF(48&gt;$C171,"",IF($D171=1,EOMONTH(EDATE(Bonds!$H171,6*(48-1)),0),EDATE(Bonds!$H171,6*(48-1))))</f>
        <v/>
      </c>
      <c r="BA171" s="3" t="str">
        <f>IF(49&gt;$C171,"",IF($D171=1,EOMONTH(EDATE(Bonds!$H171,6*(49-1)),0),EDATE(Bonds!$H171,6*(49-1))))</f>
        <v/>
      </c>
      <c r="BB171" s="3" t="str">
        <f>IF(50&gt;$C171,"",IF($D171=1,EOMONTH(EDATE(Bonds!$H171,6*(50-1)),0),EDATE(Bonds!$H171,6*(50-1))))</f>
        <v/>
      </c>
      <c r="BC171" s="3" t="str">
        <f>IF(51&gt;$C171,"",IF($D171=1,EOMONTH(EDATE(Bonds!$H171,6*(51-1)),0),EDATE(Bonds!$H171,6*(51-1))))</f>
        <v/>
      </c>
      <c r="BD171" s="3" t="str">
        <f>IF(52&gt;$C171,"",IF($D171=1,EOMONTH(EDATE(Bonds!$H171,6*(52-1)),0),EDATE(Bonds!$H171,6*(52-1))))</f>
        <v/>
      </c>
      <c r="BE171" s="3" t="str">
        <f>IF(53&gt;$C171,"",IF($D171=1,EOMONTH(EDATE(Bonds!$H171,6*(53-1)),0),EDATE(Bonds!$H171,6*(53-1))))</f>
        <v/>
      </c>
      <c r="BF171" s="3" t="str">
        <f>IF(54&gt;$C171,"",IF($D171=1,EOMONTH(EDATE(Bonds!$H171,6*(54-1)),0),EDATE(Bonds!$H171,6*(54-1))))</f>
        <v/>
      </c>
      <c r="BG171" s="3" t="str">
        <f>IF(55&gt;$C171,"",IF($D171=1,EOMONTH(EDATE(Bonds!$H171,6*(55-1)),0),EDATE(Bonds!$H171,6*(55-1))))</f>
        <v/>
      </c>
      <c r="BH171" s="3" t="str">
        <f>IF(56&gt;$C171,"",IF($D171=1,EOMONTH(EDATE(Bonds!$H171,6*(56-1)),0),EDATE(Bonds!$H171,6*(56-1))))</f>
        <v/>
      </c>
      <c r="BI171" s="3" t="str">
        <f>IF(57&gt;$C171,"",IF($D171=1,EOMONTH(EDATE(Bonds!$H171,6*(57-1)),0),EDATE(Bonds!$H171,6*(57-1))))</f>
        <v/>
      </c>
      <c r="BJ171" s="3" t="str">
        <f>IF(58&gt;$C171,"",IF($D171=1,EOMONTH(EDATE(Bonds!$H171,6*(58-1)),0),EDATE(Bonds!$H171,6*(58-1))))</f>
        <v/>
      </c>
      <c r="BK171" s="3" t="str">
        <f>IF(59&gt;$C171,"",IF($D171=1,EOMONTH(EDATE(Bonds!$H171,6*(59-1)),0),EDATE(Bonds!$H171,6*(59-1))))</f>
        <v/>
      </c>
      <c r="BL171" s="3" t="str">
        <f>IF(60&gt;$C171,"",IF($D171=1,EOMONTH(EDATE(Bonds!$H171,6*(60-1)),0),EDATE(Bonds!$H171,6*(60-1))))</f>
        <v/>
      </c>
      <c r="BN171" s="7">
        <f t="shared" si="123"/>
        <v>1.808493326786736</v>
      </c>
      <c r="BO171" s="7">
        <f t="shared" si="124"/>
        <v>1.7728088886354192</v>
      </c>
      <c r="BP171" s="7">
        <f t="shared" si="125"/>
        <v>1.7344510640467843</v>
      </c>
      <c r="BQ171" s="7">
        <f t="shared" si="126"/>
        <v>1.6955187584603006</v>
      </c>
      <c r="BR171" s="7">
        <f t="shared" si="127"/>
        <v>1.6569935504525206</v>
      </c>
      <c r="BS171" s="7">
        <f t="shared" si="128"/>
        <v>1.6195008992214941</v>
      </c>
      <c r="BT171" s="7">
        <f t="shared" si="129"/>
        <v>1.5827345321062274</v>
      </c>
      <c r="BU171" s="7">
        <f t="shared" si="130"/>
        <v>86.900945248709291</v>
      </c>
      <c r="BV171" s="7">
        <f t="shared" si="131"/>
        <v>0</v>
      </c>
      <c r="BW171" s="7">
        <f t="shared" si="132"/>
        <v>0</v>
      </c>
      <c r="BX171" s="7">
        <f t="shared" si="133"/>
        <v>0</v>
      </c>
      <c r="BY171" s="7">
        <f t="shared" si="134"/>
        <v>0</v>
      </c>
      <c r="BZ171" s="7">
        <f t="shared" si="135"/>
        <v>0</v>
      </c>
      <c r="CA171" s="7">
        <f t="shared" si="136"/>
        <v>0</v>
      </c>
      <c r="CB171" s="7">
        <f t="shared" si="137"/>
        <v>0</v>
      </c>
      <c r="CC171" s="7">
        <f t="shared" si="138"/>
        <v>0</v>
      </c>
      <c r="CD171" s="7">
        <f t="shared" si="139"/>
        <v>0</v>
      </c>
      <c r="CE171" s="7">
        <f t="shared" si="140"/>
        <v>0</v>
      </c>
      <c r="CF171" s="7">
        <f t="shared" si="141"/>
        <v>0</v>
      </c>
      <c r="CG171" s="7">
        <f t="shared" si="142"/>
        <v>0</v>
      </c>
      <c r="CH171" s="7">
        <f t="shared" si="143"/>
        <v>0</v>
      </c>
      <c r="CI171" s="7">
        <f t="shared" si="144"/>
        <v>0</v>
      </c>
      <c r="CJ171" s="7">
        <f t="shared" si="145"/>
        <v>0</v>
      </c>
      <c r="CK171" s="7">
        <f t="shared" si="146"/>
        <v>0</v>
      </c>
      <c r="CL171" s="7">
        <f t="shared" si="147"/>
        <v>0</v>
      </c>
      <c r="CM171" s="7">
        <f t="shared" si="148"/>
        <v>0</v>
      </c>
      <c r="CN171" s="7">
        <f t="shared" si="149"/>
        <v>0</v>
      </c>
      <c r="CO171" s="7">
        <f t="shared" si="150"/>
        <v>0</v>
      </c>
      <c r="CP171" s="7">
        <f t="shared" si="151"/>
        <v>0</v>
      </c>
      <c r="CQ171" s="7">
        <f t="shared" si="152"/>
        <v>0</v>
      </c>
      <c r="CR171" s="7">
        <f t="shared" si="153"/>
        <v>0</v>
      </c>
      <c r="CS171" s="7">
        <f t="shared" si="154"/>
        <v>0</v>
      </c>
      <c r="CT171" s="7">
        <f t="shared" si="155"/>
        <v>0</v>
      </c>
      <c r="CU171" s="7">
        <f t="shared" si="156"/>
        <v>0</v>
      </c>
      <c r="CV171" s="7">
        <f t="shared" si="157"/>
        <v>0</v>
      </c>
      <c r="CW171" s="7">
        <f t="shared" si="158"/>
        <v>0</v>
      </c>
      <c r="CX171" s="7">
        <f t="shared" si="159"/>
        <v>0</v>
      </c>
      <c r="CY171" s="7">
        <f t="shared" si="160"/>
        <v>0</v>
      </c>
      <c r="CZ171" s="7">
        <f t="shared" si="161"/>
        <v>0</v>
      </c>
      <c r="DA171" s="7">
        <f t="shared" si="162"/>
        <v>0</v>
      </c>
      <c r="DB171" s="7">
        <f t="shared" si="163"/>
        <v>0</v>
      </c>
      <c r="DC171" s="7">
        <f t="shared" si="164"/>
        <v>0</v>
      </c>
      <c r="DD171" s="7">
        <f t="shared" si="165"/>
        <v>0</v>
      </c>
      <c r="DE171" s="7">
        <f t="shared" si="166"/>
        <v>0</v>
      </c>
      <c r="DF171" s="7">
        <f t="shared" si="167"/>
        <v>0</v>
      </c>
      <c r="DG171" s="7">
        <f t="shared" si="168"/>
        <v>0</v>
      </c>
      <c r="DH171" s="7">
        <f t="shared" si="169"/>
        <v>0</v>
      </c>
      <c r="DI171" s="7">
        <f t="shared" si="170"/>
        <v>0</v>
      </c>
      <c r="DJ171" s="7">
        <f t="shared" si="171"/>
        <v>0</v>
      </c>
      <c r="DK171" s="7">
        <f t="shared" si="172"/>
        <v>0</v>
      </c>
      <c r="DL171" s="7">
        <f t="shared" si="173"/>
        <v>0</v>
      </c>
      <c r="DM171" s="7">
        <f t="shared" si="174"/>
        <v>0</v>
      </c>
      <c r="DN171" s="7">
        <f t="shared" si="175"/>
        <v>0</v>
      </c>
      <c r="DO171" s="7">
        <f t="shared" si="176"/>
        <v>0</v>
      </c>
      <c r="DP171" s="7">
        <f t="shared" si="177"/>
        <v>0</v>
      </c>
      <c r="DQ171" s="7">
        <f t="shared" si="178"/>
        <v>0</v>
      </c>
      <c r="DR171" s="7">
        <f t="shared" si="179"/>
        <v>0</v>
      </c>
      <c r="DS171" s="7">
        <f t="shared" si="180"/>
        <v>0</v>
      </c>
      <c r="DT171" s="7">
        <f t="shared" si="181"/>
        <v>0</v>
      </c>
      <c r="DU171" s="7">
        <f t="shared" si="182"/>
        <v>0</v>
      </c>
    </row>
    <row r="172" spans="1:125" x14ac:dyDescent="0.2">
      <c r="A172" s="3">
        <f>Bonds!A172</f>
        <v>47573</v>
      </c>
      <c r="B172" s="4">
        <f>Bonds!B172</f>
        <v>4</v>
      </c>
      <c r="C172">
        <f>Bonds!P172</f>
        <v>8</v>
      </c>
      <c r="D172">
        <f t="shared" si="122"/>
        <v>1</v>
      </c>
      <c r="E172" s="3">
        <f>IF(1&gt;$C172,"",IF($D172=1,EOMONTH(EDATE(Bonds!$H172,6*(1-1)),0),EDATE(Bonds!$H172,6*(1-1))))</f>
        <v>46295</v>
      </c>
      <c r="F172" s="3">
        <f>IF(2&gt;$C172,"",IF($D172=1,EOMONTH(EDATE(Bonds!$H172,6*(2-1)),0),EDATE(Bonds!$H172,6*(2-1))))</f>
        <v>46477</v>
      </c>
      <c r="G172" s="3">
        <f>IF(3&gt;$C172,"",IF($D172=1,EOMONTH(EDATE(Bonds!$H172,6*(3-1)),0),EDATE(Bonds!$H172,6*(3-1))))</f>
        <v>46660</v>
      </c>
      <c r="H172" s="3">
        <f>IF(4&gt;$C172,"",IF($D172=1,EOMONTH(EDATE(Bonds!$H172,6*(4-1)),0),EDATE(Bonds!$H172,6*(4-1))))</f>
        <v>46843</v>
      </c>
      <c r="I172" s="3">
        <f>IF(5&gt;$C172,"",IF($D172=1,EOMONTH(EDATE(Bonds!$H172,6*(5-1)),0),EDATE(Bonds!$H172,6*(5-1))))</f>
        <v>47026</v>
      </c>
      <c r="J172" s="3">
        <f>IF(6&gt;$C172,"",IF($D172=1,EOMONTH(EDATE(Bonds!$H172,6*(6-1)),0),EDATE(Bonds!$H172,6*(6-1))))</f>
        <v>47208</v>
      </c>
      <c r="K172" s="3">
        <f>IF(7&gt;$C172,"",IF($D172=1,EOMONTH(EDATE(Bonds!$H172,6*(7-1)),0),EDATE(Bonds!$H172,6*(7-1))))</f>
        <v>47391</v>
      </c>
      <c r="L172" s="3">
        <f>IF(8&gt;$C172,"",IF($D172=1,EOMONTH(EDATE(Bonds!$H172,6*(8-1)),0),EDATE(Bonds!$H172,6*(8-1))))</f>
        <v>47573</v>
      </c>
      <c r="M172" s="3" t="str">
        <f>IF(9&gt;$C172,"",IF($D172=1,EOMONTH(EDATE(Bonds!$H172,6*(9-1)),0),EDATE(Bonds!$H172,6*(9-1))))</f>
        <v/>
      </c>
      <c r="N172" s="3" t="str">
        <f>IF(10&gt;$C172,"",IF($D172=1,EOMONTH(EDATE(Bonds!$H172,6*(10-1)),0),EDATE(Bonds!$H172,6*(10-1))))</f>
        <v/>
      </c>
      <c r="O172" s="3" t="str">
        <f>IF(11&gt;$C172,"",IF($D172=1,EOMONTH(EDATE(Bonds!$H172,6*(11-1)),0),EDATE(Bonds!$H172,6*(11-1))))</f>
        <v/>
      </c>
      <c r="P172" s="3" t="str">
        <f>IF(12&gt;$C172,"",IF($D172=1,EOMONTH(EDATE(Bonds!$H172,6*(12-1)),0),EDATE(Bonds!$H172,6*(12-1))))</f>
        <v/>
      </c>
      <c r="Q172" s="3" t="str">
        <f>IF(13&gt;$C172,"",IF($D172=1,EOMONTH(EDATE(Bonds!$H172,6*(13-1)),0),EDATE(Bonds!$H172,6*(13-1))))</f>
        <v/>
      </c>
      <c r="R172" s="3" t="str">
        <f>IF(14&gt;$C172,"",IF($D172=1,EOMONTH(EDATE(Bonds!$H172,6*(14-1)),0),EDATE(Bonds!$H172,6*(14-1))))</f>
        <v/>
      </c>
      <c r="S172" s="3" t="str">
        <f>IF(15&gt;$C172,"",IF($D172=1,EOMONTH(EDATE(Bonds!$H172,6*(15-1)),0),EDATE(Bonds!$H172,6*(15-1))))</f>
        <v/>
      </c>
      <c r="T172" s="3" t="str">
        <f>IF(16&gt;$C172,"",IF($D172=1,EOMONTH(EDATE(Bonds!$H172,6*(16-1)),0),EDATE(Bonds!$H172,6*(16-1))))</f>
        <v/>
      </c>
      <c r="U172" s="3" t="str">
        <f>IF(17&gt;$C172,"",IF($D172=1,EOMONTH(EDATE(Bonds!$H172,6*(17-1)),0),EDATE(Bonds!$H172,6*(17-1))))</f>
        <v/>
      </c>
      <c r="V172" s="3" t="str">
        <f>IF(18&gt;$C172,"",IF($D172=1,EOMONTH(EDATE(Bonds!$H172,6*(18-1)),0),EDATE(Bonds!$H172,6*(18-1))))</f>
        <v/>
      </c>
      <c r="W172" s="3" t="str">
        <f>IF(19&gt;$C172,"",IF($D172=1,EOMONTH(EDATE(Bonds!$H172,6*(19-1)),0),EDATE(Bonds!$H172,6*(19-1))))</f>
        <v/>
      </c>
      <c r="X172" s="3" t="str">
        <f>IF(20&gt;$C172,"",IF($D172=1,EOMONTH(EDATE(Bonds!$H172,6*(20-1)),0),EDATE(Bonds!$H172,6*(20-1))))</f>
        <v/>
      </c>
      <c r="Y172" s="3" t="str">
        <f>IF(21&gt;$C172,"",IF($D172=1,EOMONTH(EDATE(Bonds!$H172,6*(21-1)),0),EDATE(Bonds!$H172,6*(21-1))))</f>
        <v/>
      </c>
      <c r="Z172" s="3" t="str">
        <f>IF(22&gt;$C172,"",IF($D172=1,EOMONTH(EDATE(Bonds!$H172,6*(22-1)),0),EDATE(Bonds!$H172,6*(22-1))))</f>
        <v/>
      </c>
      <c r="AA172" s="3" t="str">
        <f>IF(23&gt;$C172,"",IF($D172=1,EOMONTH(EDATE(Bonds!$H172,6*(23-1)),0),EDATE(Bonds!$H172,6*(23-1))))</f>
        <v/>
      </c>
      <c r="AB172" s="3" t="str">
        <f>IF(24&gt;$C172,"",IF($D172=1,EOMONTH(EDATE(Bonds!$H172,6*(24-1)),0),EDATE(Bonds!$H172,6*(24-1))))</f>
        <v/>
      </c>
      <c r="AC172" s="3" t="str">
        <f>IF(25&gt;$C172,"",IF($D172=1,EOMONTH(EDATE(Bonds!$H172,6*(25-1)),0),EDATE(Bonds!$H172,6*(25-1))))</f>
        <v/>
      </c>
      <c r="AD172" s="3" t="str">
        <f>IF(26&gt;$C172,"",IF($D172=1,EOMONTH(EDATE(Bonds!$H172,6*(26-1)),0),EDATE(Bonds!$H172,6*(26-1))))</f>
        <v/>
      </c>
      <c r="AE172" s="3" t="str">
        <f>IF(27&gt;$C172,"",IF($D172=1,EOMONTH(EDATE(Bonds!$H172,6*(27-1)),0),EDATE(Bonds!$H172,6*(27-1))))</f>
        <v/>
      </c>
      <c r="AF172" s="3" t="str">
        <f>IF(28&gt;$C172,"",IF($D172=1,EOMONTH(EDATE(Bonds!$H172,6*(28-1)),0),EDATE(Bonds!$H172,6*(28-1))))</f>
        <v/>
      </c>
      <c r="AG172" s="3" t="str">
        <f>IF(29&gt;$C172,"",IF($D172=1,EOMONTH(EDATE(Bonds!$H172,6*(29-1)),0),EDATE(Bonds!$H172,6*(29-1))))</f>
        <v/>
      </c>
      <c r="AH172" s="3" t="str">
        <f>IF(30&gt;$C172,"",IF($D172=1,EOMONTH(EDATE(Bonds!$H172,6*(30-1)),0),EDATE(Bonds!$H172,6*(30-1))))</f>
        <v/>
      </c>
      <c r="AI172" s="3" t="str">
        <f>IF(31&gt;$C172,"",IF($D172=1,EOMONTH(EDATE(Bonds!$H172,6*(31-1)),0),EDATE(Bonds!$H172,6*(31-1))))</f>
        <v/>
      </c>
      <c r="AJ172" s="3" t="str">
        <f>IF(32&gt;$C172,"",IF($D172=1,EOMONTH(EDATE(Bonds!$H172,6*(32-1)),0),EDATE(Bonds!$H172,6*(32-1))))</f>
        <v/>
      </c>
      <c r="AK172" s="3" t="str">
        <f>IF(33&gt;$C172,"",IF($D172=1,EOMONTH(EDATE(Bonds!$H172,6*(33-1)),0),EDATE(Bonds!$H172,6*(33-1))))</f>
        <v/>
      </c>
      <c r="AL172" s="3" t="str">
        <f>IF(34&gt;$C172,"",IF($D172=1,EOMONTH(EDATE(Bonds!$H172,6*(34-1)),0),EDATE(Bonds!$H172,6*(34-1))))</f>
        <v/>
      </c>
      <c r="AM172" s="3" t="str">
        <f>IF(35&gt;$C172,"",IF($D172=1,EOMONTH(EDATE(Bonds!$H172,6*(35-1)),0),EDATE(Bonds!$H172,6*(35-1))))</f>
        <v/>
      </c>
      <c r="AN172" s="3" t="str">
        <f>IF(36&gt;$C172,"",IF($D172=1,EOMONTH(EDATE(Bonds!$H172,6*(36-1)),0),EDATE(Bonds!$H172,6*(36-1))))</f>
        <v/>
      </c>
      <c r="AO172" s="3" t="str">
        <f>IF(37&gt;$C172,"",IF($D172=1,EOMONTH(EDATE(Bonds!$H172,6*(37-1)),0),EDATE(Bonds!$H172,6*(37-1))))</f>
        <v/>
      </c>
      <c r="AP172" s="3" t="str">
        <f>IF(38&gt;$C172,"",IF($D172=1,EOMONTH(EDATE(Bonds!$H172,6*(38-1)),0),EDATE(Bonds!$H172,6*(38-1))))</f>
        <v/>
      </c>
      <c r="AQ172" s="3" t="str">
        <f>IF(39&gt;$C172,"",IF($D172=1,EOMONTH(EDATE(Bonds!$H172,6*(39-1)),0),EDATE(Bonds!$H172,6*(39-1))))</f>
        <v/>
      </c>
      <c r="AR172" s="3" t="str">
        <f>IF(40&gt;$C172,"",IF($D172=1,EOMONTH(EDATE(Bonds!$H172,6*(40-1)),0),EDATE(Bonds!$H172,6*(40-1))))</f>
        <v/>
      </c>
      <c r="AS172" s="3" t="str">
        <f>IF(41&gt;$C172,"",IF($D172=1,EOMONTH(EDATE(Bonds!$H172,6*(41-1)),0),EDATE(Bonds!$H172,6*(41-1))))</f>
        <v/>
      </c>
      <c r="AT172" s="3" t="str">
        <f>IF(42&gt;$C172,"",IF($D172=1,EOMONTH(EDATE(Bonds!$H172,6*(42-1)),0),EDATE(Bonds!$H172,6*(42-1))))</f>
        <v/>
      </c>
      <c r="AU172" s="3" t="str">
        <f>IF(43&gt;$C172,"",IF($D172=1,EOMONTH(EDATE(Bonds!$H172,6*(43-1)),0),EDATE(Bonds!$H172,6*(43-1))))</f>
        <v/>
      </c>
      <c r="AV172" s="3" t="str">
        <f>IF(44&gt;$C172,"",IF($D172=1,EOMONTH(EDATE(Bonds!$H172,6*(44-1)),0),EDATE(Bonds!$H172,6*(44-1))))</f>
        <v/>
      </c>
      <c r="AW172" s="3" t="str">
        <f>IF(45&gt;$C172,"",IF($D172=1,EOMONTH(EDATE(Bonds!$H172,6*(45-1)),0),EDATE(Bonds!$H172,6*(45-1))))</f>
        <v/>
      </c>
      <c r="AX172" s="3" t="str">
        <f>IF(46&gt;$C172,"",IF($D172=1,EOMONTH(EDATE(Bonds!$H172,6*(46-1)),0),EDATE(Bonds!$H172,6*(46-1))))</f>
        <v/>
      </c>
      <c r="AY172" s="3" t="str">
        <f>IF(47&gt;$C172,"",IF($D172=1,EOMONTH(EDATE(Bonds!$H172,6*(47-1)),0),EDATE(Bonds!$H172,6*(47-1))))</f>
        <v/>
      </c>
      <c r="AZ172" s="3" t="str">
        <f>IF(48&gt;$C172,"",IF($D172=1,EOMONTH(EDATE(Bonds!$H172,6*(48-1)),0),EDATE(Bonds!$H172,6*(48-1))))</f>
        <v/>
      </c>
      <c r="BA172" s="3" t="str">
        <f>IF(49&gt;$C172,"",IF($D172=1,EOMONTH(EDATE(Bonds!$H172,6*(49-1)),0),EDATE(Bonds!$H172,6*(49-1))))</f>
        <v/>
      </c>
      <c r="BB172" s="3" t="str">
        <f>IF(50&gt;$C172,"",IF($D172=1,EOMONTH(EDATE(Bonds!$H172,6*(50-1)),0),EDATE(Bonds!$H172,6*(50-1))))</f>
        <v/>
      </c>
      <c r="BC172" s="3" t="str">
        <f>IF(51&gt;$C172,"",IF($D172=1,EOMONTH(EDATE(Bonds!$H172,6*(51-1)),0),EDATE(Bonds!$H172,6*(51-1))))</f>
        <v/>
      </c>
      <c r="BD172" s="3" t="str">
        <f>IF(52&gt;$C172,"",IF($D172=1,EOMONTH(EDATE(Bonds!$H172,6*(52-1)),0),EDATE(Bonds!$H172,6*(52-1))))</f>
        <v/>
      </c>
      <c r="BE172" s="3" t="str">
        <f>IF(53&gt;$C172,"",IF($D172=1,EOMONTH(EDATE(Bonds!$H172,6*(53-1)),0),EDATE(Bonds!$H172,6*(53-1))))</f>
        <v/>
      </c>
      <c r="BF172" s="3" t="str">
        <f>IF(54&gt;$C172,"",IF($D172=1,EOMONTH(EDATE(Bonds!$H172,6*(54-1)),0),EDATE(Bonds!$H172,6*(54-1))))</f>
        <v/>
      </c>
      <c r="BG172" s="3" t="str">
        <f>IF(55&gt;$C172,"",IF($D172=1,EOMONTH(EDATE(Bonds!$H172,6*(55-1)),0),EDATE(Bonds!$H172,6*(55-1))))</f>
        <v/>
      </c>
      <c r="BH172" s="3" t="str">
        <f>IF(56&gt;$C172,"",IF($D172=1,EOMONTH(EDATE(Bonds!$H172,6*(56-1)),0),EDATE(Bonds!$H172,6*(56-1))))</f>
        <v/>
      </c>
      <c r="BI172" s="3" t="str">
        <f>IF(57&gt;$C172,"",IF($D172=1,EOMONTH(EDATE(Bonds!$H172,6*(57-1)),0),EDATE(Bonds!$H172,6*(57-1))))</f>
        <v/>
      </c>
      <c r="BJ172" s="3" t="str">
        <f>IF(58&gt;$C172,"",IF($D172=1,EOMONTH(EDATE(Bonds!$H172,6*(58-1)),0),EDATE(Bonds!$H172,6*(58-1))))</f>
        <v/>
      </c>
      <c r="BK172" s="3" t="str">
        <f>IF(59&gt;$C172,"",IF($D172=1,EOMONTH(EDATE(Bonds!$H172,6*(59-1)),0),EDATE(Bonds!$H172,6*(59-1))))</f>
        <v/>
      </c>
      <c r="BL172" s="3" t="str">
        <f>IF(60&gt;$C172,"",IF($D172=1,EOMONTH(EDATE(Bonds!$H172,6*(60-1)),0),EDATE(Bonds!$H172,6*(60-1))))</f>
        <v/>
      </c>
      <c r="BN172" s="7">
        <f t="shared" si="123"/>
        <v>1.9955788433508812</v>
      </c>
      <c r="BO172" s="7">
        <f t="shared" si="124"/>
        <v>1.956202911597704</v>
      </c>
      <c r="BP172" s="7">
        <f t="shared" si="125"/>
        <v>1.9138770361895552</v>
      </c>
      <c r="BQ172" s="7">
        <f t="shared" si="126"/>
        <v>1.8709172507148144</v>
      </c>
      <c r="BR172" s="7">
        <f t="shared" si="127"/>
        <v>1.828406676361402</v>
      </c>
      <c r="BS172" s="7">
        <f t="shared" si="128"/>
        <v>1.787035475003028</v>
      </c>
      <c r="BT172" s="7">
        <f t="shared" si="129"/>
        <v>1.7464656905999751</v>
      </c>
      <c r="BU172" s="7">
        <f t="shared" si="130"/>
        <v>87.060983821911336</v>
      </c>
      <c r="BV172" s="7">
        <f t="shared" si="131"/>
        <v>0</v>
      </c>
      <c r="BW172" s="7">
        <f t="shared" si="132"/>
        <v>0</v>
      </c>
      <c r="BX172" s="7">
        <f t="shared" si="133"/>
        <v>0</v>
      </c>
      <c r="BY172" s="7">
        <f t="shared" si="134"/>
        <v>0</v>
      </c>
      <c r="BZ172" s="7">
        <f t="shared" si="135"/>
        <v>0</v>
      </c>
      <c r="CA172" s="7">
        <f t="shared" si="136"/>
        <v>0</v>
      </c>
      <c r="CB172" s="7">
        <f t="shared" si="137"/>
        <v>0</v>
      </c>
      <c r="CC172" s="7">
        <f t="shared" si="138"/>
        <v>0</v>
      </c>
      <c r="CD172" s="7">
        <f t="shared" si="139"/>
        <v>0</v>
      </c>
      <c r="CE172" s="7">
        <f t="shared" si="140"/>
        <v>0</v>
      </c>
      <c r="CF172" s="7">
        <f t="shared" si="141"/>
        <v>0</v>
      </c>
      <c r="CG172" s="7">
        <f t="shared" si="142"/>
        <v>0</v>
      </c>
      <c r="CH172" s="7">
        <f t="shared" si="143"/>
        <v>0</v>
      </c>
      <c r="CI172" s="7">
        <f t="shared" si="144"/>
        <v>0</v>
      </c>
      <c r="CJ172" s="7">
        <f t="shared" si="145"/>
        <v>0</v>
      </c>
      <c r="CK172" s="7">
        <f t="shared" si="146"/>
        <v>0</v>
      </c>
      <c r="CL172" s="7">
        <f t="shared" si="147"/>
        <v>0</v>
      </c>
      <c r="CM172" s="7">
        <f t="shared" si="148"/>
        <v>0</v>
      </c>
      <c r="CN172" s="7">
        <f t="shared" si="149"/>
        <v>0</v>
      </c>
      <c r="CO172" s="7">
        <f t="shared" si="150"/>
        <v>0</v>
      </c>
      <c r="CP172" s="7">
        <f t="shared" si="151"/>
        <v>0</v>
      </c>
      <c r="CQ172" s="7">
        <f t="shared" si="152"/>
        <v>0</v>
      </c>
      <c r="CR172" s="7">
        <f t="shared" si="153"/>
        <v>0</v>
      </c>
      <c r="CS172" s="7">
        <f t="shared" si="154"/>
        <v>0</v>
      </c>
      <c r="CT172" s="7">
        <f t="shared" si="155"/>
        <v>0</v>
      </c>
      <c r="CU172" s="7">
        <f t="shared" si="156"/>
        <v>0</v>
      </c>
      <c r="CV172" s="7">
        <f t="shared" si="157"/>
        <v>0</v>
      </c>
      <c r="CW172" s="7">
        <f t="shared" si="158"/>
        <v>0</v>
      </c>
      <c r="CX172" s="7">
        <f t="shared" si="159"/>
        <v>0</v>
      </c>
      <c r="CY172" s="7">
        <f t="shared" si="160"/>
        <v>0</v>
      </c>
      <c r="CZ172" s="7">
        <f t="shared" si="161"/>
        <v>0</v>
      </c>
      <c r="DA172" s="7">
        <f t="shared" si="162"/>
        <v>0</v>
      </c>
      <c r="DB172" s="7">
        <f t="shared" si="163"/>
        <v>0</v>
      </c>
      <c r="DC172" s="7">
        <f t="shared" si="164"/>
        <v>0</v>
      </c>
      <c r="DD172" s="7">
        <f t="shared" si="165"/>
        <v>0</v>
      </c>
      <c r="DE172" s="7">
        <f t="shared" si="166"/>
        <v>0</v>
      </c>
      <c r="DF172" s="7">
        <f t="shared" si="167"/>
        <v>0</v>
      </c>
      <c r="DG172" s="7">
        <f t="shared" si="168"/>
        <v>0</v>
      </c>
      <c r="DH172" s="7">
        <f t="shared" si="169"/>
        <v>0</v>
      </c>
      <c r="DI172" s="7">
        <f t="shared" si="170"/>
        <v>0</v>
      </c>
      <c r="DJ172" s="7">
        <f t="shared" si="171"/>
        <v>0</v>
      </c>
      <c r="DK172" s="7">
        <f t="shared" si="172"/>
        <v>0</v>
      </c>
      <c r="DL172" s="7">
        <f t="shared" si="173"/>
        <v>0</v>
      </c>
      <c r="DM172" s="7">
        <f t="shared" si="174"/>
        <v>0</v>
      </c>
      <c r="DN172" s="7">
        <f t="shared" si="175"/>
        <v>0</v>
      </c>
      <c r="DO172" s="7">
        <f t="shared" si="176"/>
        <v>0</v>
      </c>
      <c r="DP172" s="7">
        <f t="shared" si="177"/>
        <v>0</v>
      </c>
      <c r="DQ172" s="7">
        <f t="shared" si="178"/>
        <v>0</v>
      </c>
      <c r="DR172" s="7">
        <f t="shared" si="179"/>
        <v>0</v>
      </c>
      <c r="DS172" s="7">
        <f t="shared" si="180"/>
        <v>0</v>
      </c>
      <c r="DT172" s="7">
        <f t="shared" si="181"/>
        <v>0</v>
      </c>
      <c r="DU172" s="7">
        <f t="shared" si="182"/>
        <v>0</v>
      </c>
    </row>
    <row r="173" spans="1:125" x14ac:dyDescent="0.2">
      <c r="A173" s="3">
        <f>Bonds!A173</f>
        <v>47603</v>
      </c>
      <c r="B173" s="4">
        <f>Bonds!B173</f>
        <v>3.5</v>
      </c>
      <c r="C173">
        <f>Bonds!P173</f>
        <v>8</v>
      </c>
      <c r="D173">
        <f t="shared" si="122"/>
        <v>1</v>
      </c>
      <c r="E173" s="3">
        <f>IF(1&gt;$C173,"",IF($D173=1,EOMONTH(EDATE(Bonds!$H173,6*(1-1)),0),EDATE(Bonds!$H173,6*(1-1))))</f>
        <v>46326</v>
      </c>
      <c r="F173" s="3">
        <f>IF(2&gt;$C173,"",IF($D173=1,EOMONTH(EDATE(Bonds!$H173,6*(2-1)),0),EDATE(Bonds!$H173,6*(2-1))))</f>
        <v>46507</v>
      </c>
      <c r="G173" s="3">
        <f>IF(3&gt;$C173,"",IF($D173=1,EOMONTH(EDATE(Bonds!$H173,6*(3-1)),0),EDATE(Bonds!$H173,6*(3-1))))</f>
        <v>46691</v>
      </c>
      <c r="H173" s="3">
        <f>IF(4&gt;$C173,"",IF($D173=1,EOMONTH(EDATE(Bonds!$H173,6*(4-1)),0),EDATE(Bonds!$H173,6*(4-1))))</f>
        <v>46873</v>
      </c>
      <c r="I173" s="3">
        <f>IF(5&gt;$C173,"",IF($D173=1,EOMONTH(EDATE(Bonds!$H173,6*(5-1)),0),EDATE(Bonds!$H173,6*(5-1))))</f>
        <v>47057</v>
      </c>
      <c r="J173" s="3">
        <f>IF(6&gt;$C173,"",IF($D173=1,EOMONTH(EDATE(Bonds!$H173,6*(6-1)),0),EDATE(Bonds!$H173,6*(6-1))))</f>
        <v>47238</v>
      </c>
      <c r="K173" s="3">
        <f>IF(7&gt;$C173,"",IF($D173=1,EOMONTH(EDATE(Bonds!$H173,6*(7-1)),0),EDATE(Bonds!$H173,6*(7-1))))</f>
        <v>47422</v>
      </c>
      <c r="L173" s="3">
        <f>IF(8&gt;$C173,"",IF($D173=1,EOMONTH(EDATE(Bonds!$H173,6*(8-1)),0),EDATE(Bonds!$H173,6*(8-1))))</f>
        <v>47603</v>
      </c>
      <c r="M173" s="3" t="str">
        <f>IF(9&gt;$C173,"",IF($D173=1,EOMONTH(EDATE(Bonds!$H173,6*(9-1)),0),EDATE(Bonds!$H173,6*(9-1))))</f>
        <v/>
      </c>
      <c r="N173" s="3" t="str">
        <f>IF(10&gt;$C173,"",IF($D173=1,EOMONTH(EDATE(Bonds!$H173,6*(10-1)),0),EDATE(Bonds!$H173,6*(10-1))))</f>
        <v/>
      </c>
      <c r="O173" s="3" t="str">
        <f>IF(11&gt;$C173,"",IF($D173=1,EOMONTH(EDATE(Bonds!$H173,6*(11-1)),0),EDATE(Bonds!$H173,6*(11-1))))</f>
        <v/>
      </c>
      <c r="P173" s="3" t="str">
        <f>IF(12&gt;$C173,"",IF($D173=1,EOMONTH(EDATE(Bonds!$H173,6*(12-1)),0),EDATE(Bonds!$H173,6*(12-1))))</f>
        <v/>
      </c>
      <c r="Q173" s="3" t="str">
        <f>IF(13&gt;$C173,"",IF($D173=1,EOMONTH(EDATE(Bonds!$H173,6*(13-1)),0),EDATE(Bonds!$H173,6*(13-1))))</f>
        <v/>
      </c>
      <c r="R173" s="3" t="str">
        <f>IF(14&gt;$C173,"",IF($D173=1,EOMONTH(EDATE(Bonds!$H173,6*(14-1)),0),EDATE(Bonds!$H173,6*(14-1))))</f>
        <v/>
      </c>
      <c r="S173" s="3" t="str">
        <f>IF(15&gt;$C173,"",IF($D173=1,EOMONTH(EDATE(Bonds!$H173,6*(15-1)),0),EDATE(Bonds!$H173,6*(15-1))))</f>
        <v/>
      </c>
      <c r="T173" s="3" t="str">
        <f>IF(16&gt;$C173,"",IF($D173=1,EOMONTH(EDATE(Bonds!$H173,6*(16-1)),0),EDATE(Bonds!$H173,6*(16-1))))</f>
        <v/>
      </c>
      <c r="U173" s="3" t="str">
        <f>IF(17&gt;$C173,"",IF($D173=1,EOMONTH(EDATE(Bonds!$H173,6*(17-1)),0),EDATE(Bonds!$H173,6*(17-1))))</f>
        <v/>
      </c>
      <c r="V173" s="3" t="str">
        <f>IF(18&gt;$C173,"",IF($D173=1,EOMONTH(EDATE(Bonds!$H173,6*(18-1)),0),EDATE(Bonds!$H173,6*(18-1))))</f>
        <v/>
      </c>
      <c r="W173" s="3" t="str">
        <f>IF(19&gt;$C173,"",IF($D173=1,EOMONTH(EDATE(Bonds!$H173,6*(19-1)),0),EDATE(Bonds!$H173,6*(19-1))))</f>
        <v/>
      </c>
      <c r="X173" s="3" t="str">
        <f>IF(20&gt;$C173,"",IF($D173=1,EOMONTH(EDATE(Bonds!$H173,6*(20-1)),0),EDATE(Bonds!$H173,6*(20-1))))</f>
        <v/>
      </c>
      <c r="Y173" s="3" t="str">
        <f>IF(21&gt;$C173,"",IF($D173=1,EOMONTH(EDATE(Bonds!$H173,6*(21-1)),0),EDATE(Bonds!$H173,6*(21-1))))</f>
        <v/>
      </c>
      <c r="Z173" s="3" t="str">
        <f>IF(22&gt;$C173,"",IF($D173=1,EOMONTH(EDATE(Bonds!$H173,6*(22-1)),0),EDATE(Bonds!$H173,6*(22-1))))</f>
        <v/>
      </c>
      <c r="AA173" s="3" t="str">
        <f>IF(23&gt;$C173,"",IF($D173=1,EOMONTH(EDATE(Bonds!$H173,6*(23-1)),0),EDATE(Bonds!$H173,6*(23-1))))</f>
        <v/>
      </c>
      <c r="AB173" s="3" t="str">
        <f>IF(24&gt;$C173,"",IF($D173=1,EOMONTH(EDATE(Bonds!$H173,6*(24-1)),0),EDATE(Bonds!$H173,6*(24-1))))</f>
        <v/>
      </c>
      <c r="AC173" s="3" t="str">
        <f>IF(25&gt;$C173,"",IF($D173=1,EOMONTH(EDATE(Bonds!$H173,6*(25-1)),0),EDATE(Bonds!$H173,6*(25-1))))</f>
        <v/>
      </c>
      <c r="AD173" s="3" t="str">
        <f>IF(26&gt;$C173,"",IF($D173=1,EOMONTH(EDATE(Bonds!$H173,6*(26-1)),0),EDATE(Bonds!$H173,6*(26-1))))</f>
        <v/>
      </c>
      <c r="AE173" s="3" t="str">
        <f>IF(27&gt;$C173,"",IF($D173=1,EOMONTH(EDATE(Bonds!$H173,6*(27-1)),0),EDATE(Bonds!$H173,6*(27-1))))</f>
        <v/>
      </c>
      <c r="AF173" s="3" t="str">
        <f>IF(28&gt;$C173,"",IF($D173=1,EOMONTH(EDATE(Bonds!$H173,6*(28-1)),0),EDATE(Bonds!$H173,6*(28-1))))</f>
        <v/>
      </c>
      <c r="AG173" s="3" t="str">
        <f>IF(29&gt;$C173,"",IF($D173=1,EOMONTH(EDATE(Bonds!$H173,6*(29-1)),0),EDATE(Bonds!$H173,6*(29-1))))</f>
        <v/>
      </c>
      <c r="AH173" s="3" t="str">
        <f>IF(30&gt;$C173,"",IF($D173=1,EOMONTH(EDATE(Bonds!$H173,6*(30-1)),0),EDATE(Bonds!$H173,6*(30-1))))</f>
        <v/>
      </c>
      <c r="AI173" s="3" t="str">
        <f>IF(31&gt;$C173,"",IF($D173=1,EOMONTH(EDATE(Bonds!$H173,6*(31-1)),0),EDATE(Bonds!$H173,6*(31-1))))</f>
        <v/>
      </c>
      <c r="AJ173" s="3" t="str">
        <f>IF(32&gt;$C173,"",IF($D173=1,EOMONTH(EDATE(Bonds!$H173,6*(32-1)),0),EDATE(Bonds!$H173,6*(32-1))))</f>
        <v/>
      </c>
      <c r="AK173" s="3" t="str">
        <f>IF(33&gt;$C173,"",IF($D173=1,EOMONTH(EDATE(Bonds!$H173,6*(33-1)),0),EDATE(Bonds!$H173,6*(33-1))))</f>
        <v/>
      </c>
      <c r="AL173" s="3" t="str">
        <f>IF(34&gt;$C173,"",IF($D173=1,EOMONTH(EDATE(Bonds!$H173,6*(34-1)),0),EDATE(Bonds!$H173,6*(34-1))))</f>
        <v/>
      </c>
      <c r="AM173" s="3" t="str">
        <f>IF(35&gt;$C173,"",IF($D173=1,EOMONTH(EDATE(Bonds!$H173,6*(35-1)),0),EDATE(Bonds!$H173,6*(35-1))))</f>
        <v/>
      </c>
      <c r="AN173" s="3" t="str">
        <f>IF(36&gt;$C173,"",IF($D173=1,EOMONTH(EDATE(Bonds!$H173,6*(36-1)),0),EDATE(Bonds!$H173,6*(36-1))))</f>
        <v/>
      </c>
      <c r="AO173" s="3" t="str">
        <f>IF(37&gt;$C173,"",IF($D173=1,EOMONTH(EDATE(Bonds!$H173,6*(37-1)),0),EDATE(Bonds!$H173,6*(37-1))))</f>
        <v/>
      </c>
      <c r="AP173" s="3" t="str">
        <f>IF(38&gt;$C173,"",IF($D173=1,EOMONTH(EDATE(Bonds!$H173,6*(38-1)),0),EDATE(Bonds!$H173,6*(38-1))))</f>
        <v/>
      </c>
      <c r="AQ173" s="3" t="str">
        <f>IF(39&gt;$C173,"",IF($D173=1,EOMONTH(EDATE(Bonds!$H173,6*(39-1)),0),EDATE(Bonds!$H173,6*(39-1))))</f>
        <v/>
      </c>
      <c r="AR173" s="3" t="str">
        <f>IF(40&gt;$C173,"",IF($D173=1,EOMONTH(EDATE(Bonds!$H173,6*(40-1)),0),EDATE(Bonds!$H173,6*(40-1))))</f>
        <v/>
      </c>
      <c r="AS173" s="3" t="str">
        <f>IF(41&gt;$C173,"",IF($D173=1,EOMONTH(EDATE(Bonds!$H173,6*(41-1)),0),EDATE(Bonds!$H173,6*(41-1))))</f>
        <v/>
      </c>
      <c r="AT173" s="3" t="str">
        <f>IF(42&gt;$C173,"",IF($D173=1,EOMONTH(EDATE(Bonds!$H173,6*(42-1)),0),EDATE(Bonds!$H173,6*(42-1))))</f>
        <v/>
      </c>
      <c r="AU173" s="3" t="str">
        <f>IF(43&gt;$C173,"",IF($D173=1,EOMONTH(EDATE(Bonds!$H173,6*(43-1)),0),EDATE(Bonds!$H173,6*(43-1))))</f>
        <v/>
      </c>
      <c r="AV173" s="3" t="str">
        <f>IF(44&gt;$C173,"",IF($D173=1,EOMONTH(EDATE(Bonds!$H173,6*(44-1)),0),EDATE(Bonds!$H173,6*(44-1))))</f>
        <v/>
      </c>
      <c r="AW173" s="3" t="str">
        <f>IF(45&gt;$C173,"",IF($D173=1,EOMONTH(EDATE(Bonds!$H173,6*(45-1)),0),EDATE(Bonds!$H173,6*(45-1))))</f>
        <v/>
      </c>
      <c r="AX173" s="3" t="str">
        <f>IF(46&gt;$C173,"",IF($D173=1,EOMONTH(EDATE(Bonds!$H173,6*(46-1)),0),EDATE(Bonds!$H173,6*(46-1))))</f>
        <v/>
      </c>
      <c r="AY173" s="3" t="str">
        <f>IF(47&gt;$C173,"",IF($D173=1,EOMONTH(EDATE(Bonds!$H173,6*(47-1)),0),EDATE(Bonds!$H173,6*(47-1))))</f>
        <v/>
      </c>
      <c r="AZ173" s="3" t="str">
        <f>IF(48&gt;$C173,"",IF($D173=1,EOMONTH(EDATE(Bonds!$H173,6*(48-1)),0),EDATE(Bonds!$H173,6*(48-1))))</f>
        <v/>
      </c>
      <c r="BA173" s="3" t="str">
        <f>IF(49&gt;$C173,"",IF($D173=1,EOMONTH(EDATE(Bonds!$H173,6*(49-1)),0),EDATE(Bonds!$H173,6*(49-1))))</f>
        <v/>
      </c>
      <c r="BB173" s="3" t="str">
        <f>IF(50&gt;$C173,"",IF($D173=1,EOMONTH(EDATE(Bonds!$H173,6*(50-1)),0),EDATE(Bonds!$H173,6*(50-1))))</f>
        <v/>
      </c>
      <c r="BC173" s="3" t="str">
        <f>IF(51&gt;$C173,"",IF($D173=1,EOMONTH(EDATE(Bonds!$H173,6*(51-1)),0),EDATE(Bonds!$H173,6*(51-1))))</f>
        <v/>
      </c>
      <c r="BD173" s="3" t="str">
        <f>IF(52&gt;$C173,"",IF($D173=1,EOMONTH(EDATE(Bonds!$H173,6*(52-1)),0),EDATE(Bonds!$H173,6*(52-1))))</f>
        <v/>
      </c>
      <c r="BE173" s="3" t="str">
        <f>IF(53&gt;$C173,"",IF($D173=1,EOMONTH(EDATE(Bonds!$H173,6*(53-1)),0),EDATE(Bonds!$H173,6*(53-1))))</f>
        <v/>
      </c>
      <c r="BF173" s="3" t="str">
        <f>IF(54&gt;$C173,"",IF($D173=1,EOMONTH(EDATE(Bonds!$H173,6*(54-1)),0),EDATE(Bonds!$H173,6*(54-1))))</f>
        <v/>
      </c>
      <c r="BG173" s="3" t="str">
        <f>IF(55&gt;$C173,"",IF($D173=1,EOMONTH(EDATE(Bonds!$H173,6*(55-1)),0),EDATE(Bonds!$H173,6*(55-1))))</f>
        <v/>
      </c>
      <c r="BH173" s="3" t="str">
        <f>IF(56&gt;$C173,"",IF($D173=1,EOMONTH(EDATE(Bonds!$H173,6*(56-1)),0),EDATE(Bonds!$H173,6*(56-1))))</f>
        <v/>
      </c>
      <c r="BI173" s="3" t="str">
        <f>IF(57&gt;$C173,"",IF($D173=1,EOMONTH(EDATE(Bonds!$H173,6*(57-1)),0),EDATE(Bonds!$H173,6*(57-1))))</f>
        <v/>
      </c>
      <c r="BJ173" s="3" t="str">
        <f>IF(58&gt;$C173,"",IF($D173=1,EOMONTH(EDATE(Bonds!$H173,6*(58-1)),0),EDATE(Bonds!$H173,6*(58-1))))</f>
        <v/>
      </c>
      <c r="BK173" s="3" t="str">
        <f>IF(59&gt;$C173,"",IF($D173=1,EOMONTH(EDATE(Bonds!$H173,6*(59-1)),0),EDATE(Bonds!$H173,6*(59-1))))</f>
        <v/>
      </c>
      <c r="BL173" s="3" t="str">
        <f>IF(60&gt;$C173,"",IF($D173=1,EOMONTH(EDATE(Bonds!$H173,6*(60-1)),0),EDATE(Bonds!$H173,6*(60-1))))</f>
        <v/>
      </c>
      <c r="BN173" s="7">
        <f t="shared" si="123"/>
        <v>1.7405474622621198</v>
      </c>
      <c r="BO173" s="7">
        <f t="shared" si="124"/>
        <v>1.7057075820112482</v>
      </c>
      <c r="BP173" s="7">
        <f t="shared" si="125"/>
        <v>1.668278806316829</v>
      </c>
      <c r="BQ173" s="7">
        <f t="shared" si="126"/>
        <v>1.6309119092949367</v>
      </c>
      <c r="BR173" s="7">
        <f t="shared" si="127"/>
        <v>1.5936283985532858</v>
      </c>
      <c r="BS173" s="7">
        <f t="shared" si="128"/>
        <v>1.5577748818651185</v>
      </c>
      <c r="BT173" s="7">
        <f t="shared" si="129"/>
        <v>1.5222308760824708</v>
      </c>
      <c r="BU173" s="7">
        <f t="shared" si="130"/>
        <v>86.521505721762182</v>
      </c>
      <c r="BV173" s="7">
        <f t="shared" si="131"/>
        <v>0</v>
      </c>
      <c r="BW173" s="7">
        <f t="shared" si="132"/>
        <v>0</v>
      </c>
      <c r="BX173" s="7">
        <f t="shared" si="133"/>
        <v>0</v>
      </c>
      <c r="BY173" s="7">
        <f t="shared" si="134"/>
        <v>0</v>
      </c>
      <c r="BZ173" s="7">
        <f t="shared" si="135"/>
        <v>0</v>
      </c>
      <c r="CA173" s="7">
        <f t="shared" si="136"/>
        <v>0</v>
      </c>
      <c r="CB173" s="7">
        <f t="shared" si="137"/>
        <v>0</v>
      </c>
      <c r="CC173" s="7">
        <f t="shared" si="138"/>
        <v>0</v>
      </c>
      <c r="CD173" s="7">
        <f t="shared" si="139"/>
        <v>0</v>
      </c>
      <c r="CE173" s="7">
        <f t="shared" si="140"/>
        <v>0</v>
      </c>
      <c r="CF173" s="7">
        <f t="shared" si="141"/>
        <v>0</v>
      </c>
      <c r="CG173" s="7">
        <f t="shared" si="142"/>
        <v>0</v>
      </c>
      <c r="CH173" s="7">
        <f t="shared" si="143"/>
        <v>0</v>
      </c>
      <c r="CI173" s="7">
        <f t="shared" si="144"/>
        <v>0</v>
      </c>
      <c r="CJ173" s="7">
        <f t="shared" si="145"/>
        <v>0</v>
      </c>
      <c r="CK173" s="7">
        <f t="shared" si="146"/>
        <v>0</v>
      </c>
      <c r="CL173" s="7">
        <f t="shared" si="147"/>
        <v>0</v>
      </c>
      <c r="CM173" s="7">
        <f t="shared" si="148"/>
        <v>0</v>
      </c>
      <c r="CN173" s="7">
        <f t="shared" si="149"/>
        <v>0</v>
      </c>
      <c r="CO173" s="7">
        <f t="shared" si="150"/>
        <v>0</v>
      </c>
      <c r="CP173" s="7">
        <f t="shared" si="151"/>
        <v>0</v>
      </c>
      <c r="CQ173" s="7">
        <f t="shared" si="152"/>
        <v>0</v>
      </c>
      <c r="CR173" s="7">
        <f t="shared" si="153"/>
        <v>0</v>
      </c>
      <c r="CS173" s="7">
        <f t="shared" si="154"/>
        <v>0</v>
      </c>
      <c r="CT173" s="7">
        <f t="shared" si="155"/>
        <v>0</v>
      </c>
      <c r="CU173" s="7">
        <f t="shared" si="156"/>
        <v>0</v>
      </c>
      <c r="CV173" s="7">
        <f t="shared" si="157"/>
        <v>0</v>
      </c>
      <c r="CW173" s="7">
        <f t="shared" si="158"/>
        <v>0</v>
      </c>
      <c r="CX173" s="7">
        <f t="shared" si="159"/>
        <v>0</v>
      </c>
      <c r="CY173" s="7">
        <f t="shared" si="160"/>
        <v>0</v>
      </c>
      <c r="CZ173" s="7">
        <f t="shared" si="161"/>
        <v>0</v>
      </c>
      <c r="DA173" s="7">
        <f t="shared" si="162"/>
        <v>0</v>
      </c>
      <c r="DB173" s="7">
        <f t="shared" si="163"/>
        <v>0</v>
      </c>
      <c r="DC173" s="7">
        <f t="shared" si="164"/>
        <v>0</v>
      </c>
      <c r="DD173" s="7">
        <f t="shared" si="165"/>
        <v>0</v>
      </c>
      <c r="DE173" s="7">
        <f t="shared" si="166"/>
        <v>0</v>
      </c>
      <c r="DF173" s="7">
        <f t="shared" si="167"/>
        <v>0</v>
      </c>
      <c r="DG173" s="7">
        <f t="shared" si="168"/>
        <v>0</v>
      </c>
      <c r="DH173" s="7">
        <f t="shared" si="169"/>
        <v>0</v>
      </c>
      <c r="DI173" s="7">
        <f t="shared" si="170"/>
        <v>0</v>
      </c>
      <c r="DJ173" s="7">
        <f t="shared" si="171"/>
        <v>0</v>
      </c>
      <c r="DK173" s="7">
        <f t="shared" si="172"/>
        <v>0</v>
      </c>
      <c r="DL173" s="7">
        <f t="shared" si="173"/>
        <v>0</v>
      </c>
      <c r="DM173" s="7">
        <f t="shared" si="174"/>
        <v>0</v>
      </c>
      <c r="DN173" s="7">
        <f t="shared" si="175"/>
        <v>0</v>
      </c>
      <c r="DO173" s="7">
        <f t="shared" si="176"/>
        <v>0</v>
      </c>
      <c r="DP173" s="7">
        <f t="shared" si="177"/>
        <v>0</v>
      </c>
      <c r="DQ173" s="7">
        <f t="shared" si="178"/>
        <v>0</v>
      </c>
      <c r="DR173" s="7">
        <f t="shared" si="179"/>
        <v>0</v>
      </c>
      <c r="DS173" s="7">
        <f t="shared" si="180"/>
        <v>0</v>
      </c>
      <c r="DT173" s="7">
        <f t="shared" si="181"/>
        <v>0</v>
      </c>
      <c r="DU173" s="7">
        <f t="shared" si="182"/>
        <v>0</v>
      </c>
    </row>
    <row r="174" spans="1:125" x14ac:dyDescent="0.2">
      <c r="A174" s="3">
        <f>Bonds!A174</f>
        <v>47603</v>
      </c>
      <c r="B174" s="4">
        <f>Bonds!B174</f>
        <v>3.875</v>
      </c>
      <c r="C174">
        <f>Bonds!P174</f>
        <v>8</v>
      </c>
      <c r="D174">
        <f t="shared" si="122"/>
        <v>1</v>
      </c>
      <c r="E174" s="3">
        <f>IF(1&gt;$C174,"",IF($D174=1,EOMONTH(EDATE(Bonds!$H174,6*(1-1)),0),EDATE(Bonds!$H174,6*(1-1))))</f>
        <v>46326</v>
      </c>
      <c r="F174" s="3">
        <f>IF(2&gt;$C174,"",IF($D174=1,EOMONTH(EDATE(Bonds!$H174,6*(2-1)),0),EDATE(Bonds!$H174,6*(2-1))))</f>
        <v>46507</v>
      </c>
      <c r="G174" s="3">
        <f>IF(3&gt;$C174,"",IF($D174=1,EOMONTH(EDATE(Bonds!$H174,6*(3-1)),0),EDATE(Bonds!$H174,6*(3-1))))</f>
        <v>46691</v>
      </c>
      <c r="H174" s="3">
        <f>IF(4&gt;$C174,"",IF($D174=1,EOMONTH(EDATE(Bonds!$H174,6*(4-1)),0),EDATE(Bonds!$H174,6*(4-1))))</f>
        <v>46873</v>
      </c>
      <c r="I174" s="3">
        <f>IF(5&gt;$C174,"",IF($D174=1,EOMONTH(EDATE(Bonds!$H174,6*(5-1)),0),EDATE(Bonds!$H174,6*(5-1))))</f>
        <v>47057</v>
      </c>
      <c r="J174" s="3">
        <f>IF(6&gt;$C174,"",IF($D174=1,EOMONTH(EDATE(Bonds!$H174,6*(6-1)),0),EDATE(Bonds!$H174,6*(6-1))))</f>
        <v>47238</v>
      </c>
      <c r="K174" s="3">
        <f>IF(7&gt;$C174,"",IF($D174=1,EOMONTH(EDATE(Bonds!$H174,6*(7-1)),0),EDATE(Bonds!$H174,6*(7-1))))</f>
        <v>47422</v>
      </c>
      <c r="L174" s="3">
        <f>IF(8&gt;$C174,"",IF($D174=1,EOMONTH(EDATE(Bonds!$H174,6*(8-1)),0),EDATE(Bonds!$H174,6*(8-1))))</f>
        <v>47603</v>
      </c>
      <c r="M174" s="3" t="str">
        <f>IF(9&gt;$C174,"",IF($D174=1,EOMONTH(EDATE(Bonds!$H174,6*(9-1)),0),EDATE(Bonds!$H174,6*(9-1))))</f>
        <v/>
      </c>
      <c r="N174" s="3" t="str">
        <f>IF(10&gt;$C174,"",IF($D174=1,EOMONTH(EDATE(Bonds!$H174,6*(10-1)),0),EDATE(Bonds!$H174,6*(10-1))))</f>
        <v/>
      </c>
      <c r="O174" s="3" t="str">
        <f>IF(11&gt;$C174,"",IF($D174=1,EOMONTH(EDATE(Bonds!$H174,6*(11-1)),0),EDATE(Bonds!$H174,6*(11-1))))</f>
        <v/>
      </c>
      <c r="P174" s="3" t="str">
        <f>IF(12&gt;$C174,"",IF($D174=1,EOMONTH(EDATE(Bonds!$H174,6*(12-1)),0),EDATE(Bonds!$H174,6*(12-1))))</f>
        <v/>
      </c>
      <c r="Q174" s="3" t="str">
        <f>IF(13&gt;$C174,"",IF($D174=1,EOMONTH(EDATE(Bonds!$H174,6*(13-1)),0),EDATE(Bonds!$H174,6*(13-1))))</f>
        <v/>
      </c>
      <c r="R174" s="3" t="str">
        <f>IF(14&gt;$C174,"",IF($D174=1,EOMONTH(EDATE(Bonds!$H174,6*(14-1)),0),EDATE(Bonds!$H174,6*(14-1))))</f>
        <v/>
      </c>
      <c r="S174" s="3" t="str">
        <f>IF(15&gt;$C174,"",IF($D174=1,EOMONTH(EDATE(Bonds!$H174,6*(15-1)),0),EDATE(Bonds!$H174,6*(15-1))))</f>
        <v/>
      </c>
      <c r="T174" s="3" t="str">
        <f>IF(16&gt;$C174,"",IF($D174=1,EOMONTH(EDATE(Bonds!$H174,6*(16-1)),0),EDATE(Bonds!$H174,6*(16-1))))</f>
        <v/>
      </c>
      <c r="U174" s="3" t="str">
        <f>IF(17&gt;$C174,"",IF($D174=1,EOMONTH(EDATE(Bonds!$H174,6*(17-1)),0),EDATE(Bonds!$H174,6*(17-1))))</f>
        <v/>
      </c>
      <c r="V174" s="3" t="str">
        <f>IF(18&gt;$C174,"",IF($D174=1,EOMONTH(EDATE(Bonds!$H174,6*(18-1)),0),EDATE(Bonds!$H174,6*(18-1))))</f>
        <v/>
      </c>
      <c r="W174" s="3" t="str">
        <f>IF(19&gt;$C174,"",IF($D174=1,EOMONTH(EDATE(Bonds!$H174,6*(19-1)),0),EDATE(Bonds!$H174,6*(19-1))))</f>
        <v/>
      </c>
      <c r="X174" s="3" t="str">
        <f>IF(20&gt;$C174,"",IF($D174=1,EOMONTH(EDATE(Bonds!$H174,6*(20-1)),0),EDATE(Bonds!$H174,6*(20-1))))</f>
        <v/>
      </c>
      <c r="Y174" s="3" t="str">
        <f>IF(21&gt;$C174,"",IF($D174=1,EOMONTH(EDATE(Bonds!$H174,6*(21-1)),0),EDATE(Bonds!$H174,6*(21-1))))</f>
        <v/>
      </c>
      <c r="Z174" s="3" t="str">
        <f>IF(22&gt;$C174,"",IF($D174=1,EOMONTH(EDATE(Bonds!$H174,6*(22-1)),0),EDATE(Bonds!$H174,6*(22-1))))</f>
        <v/>
      </c>
      <c r="AA174" s="3" t="str">
        <f>IF(23&gt;$C174,"",IF($D174=1,EOMONTH(EDATE(Bonds!$H174,6*(23-1)),0),EDATE(Bonds!$H174,6*(23-1))))</f>
        <v/>
      </c>
      <c r="AB174" s="3" t="str">
        <f>IF(24&gt;$C174,"",IF($D174=1,EOMONTH(EDATE(Bonds!$H174,6*(24-1)),0),EDATE(Bonds!$H174,6*(24-1))))</f>
        <v/>
      </c>
      <c r="AC174" s="3" t="str">
        <f>IF(25&gt;$C174,"",IF($D174=1,EOMONTH(EDATE(Bonds!$H174,6*(25-1)),0),EDATE(Bonds!$H174,6*(25-1))))</f>
        <v/>
      </c>
      <c r="AD174" s="3" t="str">
        <f>IF(26&gt;$C174,"",IF($D174=1,EOMONTH(EDATE(Bonds!$H174,6*(26-1)),0),EDATE(Bonds!$H174,6*(26-1))))</f>
        <v/>
      </c>
      <c r="AE174" s="3" t="str">
        <f>IF(27&gt;$C174,"",IF($D174=1,EOMONTH(EDATE(Bonds!$H174,6*(27-1)),0),EDATE(Bonds!$H174,6*(27-1))))</f>
        <v/>
      </c>
      <c r="AF174" s="3" t="str">
        <f>IF(28&gt;$C174,"",IF($D174=1,EOMONTH(EDATE(Bonds!$H174,6*(28-1)),0),EDATE(Bonds!$H174,6*(28-1))))</f>
        <v/>
      </c>
      <c r="AG174" s="3" t="str">
        <f>IF(29&gt;$C174,"",IF($D174=1,EOMONTH(EDATE(Bonds!$H174,6*(29-1)),0),EDATE(Bonds!$H174,6*(29-1))))</f>
        <v/>
      </c>
      <c r="AH174" s="3" t="str">
        <f>IF(30&gt;$C174,"",IF($D174=1,EOMONTH(EDATE(Bonds!$H174,6*(30-1)),0),EDATE(Bonds!$H174,6*(30-1))))</f>
        <v/>
      </c>
      <c r="AI174" s="3" t="str">
        <f>IF(31&gt;$C174,"",IF($D174=1,EOMONTH(EDATE(Bonds!$H174,6*(31-1)),0),EDATE(Bonds!$H174,6*(31-1))))</f>
        <v/>
      </c>
      <c r="AJ174" s="3" t="str">
        <f>IF(32&gt;$C174,"",IF($D174=1,EOMONTH(EDATE(Bonds!$H174,6*(32-1)),0),EDATE(Bonds!$H174,6*(32-1))))</f>
        <v/>
      </c>
      <c r="AK174" s="3" t="str">
        <f>IF(33&gt;$C174,"",IF($D174=1,EOMONTH(EDATE(Bonds!$H174,6*(33-1)),0),EDATE(Bonds!$H174,6*(33-1))))</f>
        <v/>
      </c>
      <c r="AL174" s="3" t="str">
        <f>IF(34&gt;$C174,"",IF($D174=1,EOMONTH(EDATE(Bonds!$H174,6*(34-1)),0),EDATE(Bonds!$H174,6*(34-1))))</f>
        <v/>
      </c>
      <c r="AM174" s="3" t="str">
        <f>IF(35&gt;$C174,"",IF($D174=1,EOMONTH(EDATE(Bonds!$H174,6*(35-1)),0),EDATE(Bonds!$H174,6*(35-1))))</f>
        <v/>
      </c>
      <c r="AN174" s="3" t="str">
        <f>IF(36&gt;$C174,"",IF($D174=1,EOMONTH(EDATE(Bonds!$H174,6*(36-1)),0),EDATE(Bonds!$H174,6*(36-1))))</f>
        <v/>
      </c>
      <c r="AO174" s="3" t="str">
        <f>IF(37&gt;$C174,"",IF($D174=1,EOMONTH(EDATE(Bonds!$H174,6*(37-1)),0),EDATE(Bonds!$H174,6*(37-1))))</f>
        <v/>
      </c>
      <c r="AP174" s="3" t="str">
        <f>IF(38&gt;$C174,"",IF($D174=1,EOMONTH(EDATE(Bonds!$H174,6*(38-1)),0),EDATE(Bonds!$H174,6*(38-1))))</f>
        <v/>
      </c>
      <c r="AQ174" s="3" t="str">
        <f>IF(39&gt;$C174,"",IF($D174=1,EOMONTH(EDATE(Bonds!$H174,6*(39-1)),0),EDATE(Bonds!$H174,6*(39-1))))</f>
        <v/>
      </c>
      <c r="AR174" s="3" t="str">
        <f>IF(40&gt;$C174,"",IF($D174=1,EOMONTH(EDATE(Bonds!$H174,6*(40-1)),0),EDATE(Bonds!$H174,6*(40-1))))</f>
        <v/>
      </c>
      <c r="AS174" s="3" t="str">
        <f>IF(41&gt;$C174,"",IF($D174=1,EOMONTH(EDATE(Bonds!$H174,6*(41-1)),0),EDATE(Bonds!$H174,6*(41-1))))</f>
        <v/>
      </c>
      <c r="AT174" s="3" t="str">
        <f>IF(42&gt;$C174,"",IF($D174=1,EOMONTH(EDATE(Bonds!$H174,6*(42-1)),0),EDATE(Bonds!$H174,6*(42-1))))</f>
        <v/>
      </c>
      <c r="AU174" s="3" t="str">
        <f>IF(43&gt;$C174,"",IF($D174=1,EOMONTH(EDATE(Bonds!$H174,6*(43-1)),0),EDATE(Bonds!$H174,6*(43-1))))</f>
        <v/>
      </c>
      <c r="AV174" s="3" t="str">
        <f>IF(44&gt;$C174,"",IF($D174=1,EOMONTH(EDATE(Bonds!$H174,6*(44-1)),0),EDATE(Bonds!$H174,6*(44-1))))</f>
        <v/>
      </c>
      <c r="AW174" s="3" t="str">
        <f>IF(45&gt;$C174,"",IF($D174=1,EOMONTH(EDATE(Bonds!$H174,6*(45-1)),0),EDATE(Bonds!$H174,6*(45-1))))</f>
        <v/>
      </c>
      <c r="AX174" s="3" t="str">
        <f>IF(46&gt;$C174,"",IF($D174=1,EOMONTH(EDATE(Bonds!$H174,6*(46-1)),0),EDATE(Bonds!$H174,6*(46-1))))</f>
        <v/>
      </c>
      <c r="AY174" s="3" t="str">
        <f>IF(47&gt;$C174,"",IF($D174=1,EOMONTH(EDATE(Bonds!$H174,6*(47-1)),0),EDATE(Bonds!$H174,6*(47-1))))</f>
        <v/>
      </c>
      <c r="AZ174" s="3" t="str">
        <f>IF(48&gt;$C174,"",IF($D174=1,EOMONTH(EDATE(Bonds!$H174,6*(48-1)),0),EDATE(Bonds!$H174,6*(48-1))))</f>
        <v/>
      </c>
      <c r="BA174" s="3" t="str">
        <f>IF(49&gt;$C174,"",IF($D174=1,EOMONTH(EDATE(Bonds!$H174,6*(49-1)),0),EDATE(Bonds!$H174,6*(49-1))))</f>
        <v/>
      </c>
      <c r="BB174" s="3" t="str">
        <f>IF(50&gt;$C174,"",IF($D174=1,EOMONTH(EDATE(Bonds!$H174,6*(50-1)),0),EDATE(Bonds!$H174,6*(50-1))))</f>
        <v/>
      </c>
      <c r="BC174" s="3" t="str">
        <f>IF(51&gt;$C174,"",IF($D174=1,EOMONTH(EDATE(Bonds!$H174,6*(51-1)),0),EDATE(Bonds!$H174,6*(51-1))))</f>
        <v/>
      </c>
      <c r="BD174" s="3" t="str">
        <f>IF(52&gt;$C174,"",IF($D174=1,EOMONTH(EDATE(Bonds!$H174,6*(52-1)),0),EDATE(Bonds!$H174,6*(52-1))))</f>
        <v/>
      </c>
      <c r="BE174" s="3" t="str">
        <f>IF(53&gt;$C174,"",IF($D174=1,EOMONTH(EDATE(Bonds!$H174,6*(53-1)),0),EDATE(Bonds!$H174,6*(53-1))))</f>
        <v/>
      </c>
      <c r="BF174" s="3" t="str">
        <f>IF(54&gt;$C174,"",IF($D174=1,EOMONTH(EDATE(Bonds!$H174,6*(54-1)),0),EDATE(Bonds!$H174,6*(54-1))))</f>
        <v/>
      </c>
      <c r="BG174" s="3" t="str">
        <f>IF(55&gt;$C174,"",IF($D174=1,EOMONTH(EDATE(Bonds!$H174,6*(55-1)),0),EDATE(Bonds!$H174,6*(55-1))))</f>
        <v/>
      </c>
      <c r="BH174" s="3" t="str">
        <f>IF(56&gt;$C174,"",IF($D174=1,EOMONTH(EDATE(Bonds!$H174,6*(56-1)),0),EDATE(Bonds!$H174,6*(56-1))))</f>
        <v/>
      </c>
      <c r="BI174" s="3" t="str">
        <f>IF(57&gt;$C174,"",IF($D174=1,EOMONTH(EDATE(Bonds!$H174,6*(57-1)),0),EDATE(Bonds!$H174,6*(57-1))))</f>
        <v/>
      </c>
      <c r="BJ174" s="3" t="str">
        <f>IF(58&gt;$C174,"",IF($D174=1,EOMONTH(EDATE(Bonds!$H174,6*(58-1)),0),EDATE(Bonds!$H174,6*(58-1))))</f>
        <v/>
      </c>
      <c r="BK174" s="3" t="str">
        <f>IF(59&gt;$C174,"",IF($D174=1,EOMONTH(EDATE(Bonds!$H174,6*(59-1)),0),EDATE(Bonds!$H174,6*(59-1))))</f>
        <v/>
      </c>
      <c r="BL174" s="3" t="str">
        <f>IF(60&gt;$C174,"",IF($D174=1,EOMONTH(EDATE(Bonds!$H174,6*(60-1)),0),EDATE(Bonds!$H174,6*(60-1))))</f>
        <v/>
      </c>
      <c r="BN174" s="7">
        <f t="shared" si="123"/>
        <v>1.9270346903616327</v>
      </c>
      <c r="BO174" s="7">
        <f t="shared" si="124"/>
        <v>1.8884619657981676</v>
      </c>
      <c r="BP174" s="7">
        <f t="shared" si="125"/>
        <v>1.8470229641364893</v>
      </c>
      <c r="BQ174" s="7">
        <f t="shared" si="126"/>
        <v>1.8056524710051083</v>
      </c>
      <c r="BR174" s="7">
        <f t="shared" si="127"/>
        <v>1.7643742983982809</v>
      </c>
      <c r="BS174" s="7">
        <f t="shared" si="128"/>
        <v>1.724679333493524</v>
      </c>
      <c r="BT174" s="7">
        <f t="shared" si="129"/>
        <v>1.6853270413770214</v>
      </c>
      <c r="BU174" s="7">
        <f t="shared" si="130"/>
        <v>86.680943385868616</v>
      </c>
      <c r="BV174" s="7">
        <f t="shared" si="131"/>
        <v>0</v>
      </c>
      <c r="BW174" s="7">
        <f t="shared" si="132"/>
        <v>0</v>
      </c>
      <c r="BX174" s="7">
        <f t="shared" si="133"/>
        <v>0</v>
      </c>
      <c r="BY174" s="7">
        <f t="shared" si="134"/>
        <v>0</v>
      </c>
      <c r="BZ174" s="7">
        <f t="shared" si="135"/>
        <v>0</v>
      </c>
      <c r="CA174" s="7">
        <f t="shared" si="136"/>
        <v>0</v>
      </c>
      <c r="CB174" s="7">
        <f t="shared" si="137"/>
        <v>0</v>
      </c>
      <c r="CC174" s="7">
        <f t="shared" si="138"/>
        <v>0</v>
      </c>
      <c r="CD174" s="7">
        <f t="shared" si="139"/>
        <v>0</v>
      </c>
      <c r="CE174" s="7">
        <f t="shared" si="140"/>
        <v>0</v>
      </c>
      <c r="CF174" s="7">
        <f t="shared" si="141"/>
        <v>0</v>
      </c>
      <c r="CG174" s="7">
        <f t="shared" si="142"/>
        <v>0</v>
      </c>
      <c r="CH174" s="7">
        <f t="shared" si="143"/>
        <v>0</v>
      </c>
      <c r="CI174" s="7">
        <f t="shared" si="144"/>
        <v>0</v>
      </c>
      <c r="CJ174" s="7">
        <f t="shared" si="145"/>
        <v>0</v>
      </c>
      <c r="CK174" s="7">
        <f t="shared" si="146"/>
        <v>0</v>
      </c>
      <c r="CL174" s="7">
        <f t="shared" si="147"/>
        <v>0</v>
      </c>
      <c r="CM174" s="7">
        <f t="shared" si="148"/>
        <v>0</v>
      </c>
      <c r="CN174" s="7">
        <f t="shared" si="149"/>
        <v>0</v>
      </c>
      <c r="CO174" s="7">
        <f t="shared" si="150"/>
        <v>0</v>
      </c>
      <c r="CP174" s="7">
        <f t="shared" si="151"/>
        <v>0</v>
      </c>
      <c r="CQ174" s="7">
        <f t="shared" si="152"/>
        <v>0</v>
      </c>
      <c r="CR174" s="7">
        <f t="shared" si="153"/>
        <v>0</v>
      </c>
      <c r="CS174" s="7">
        <f t="shared" si="154"/>
        <v>0</v>
      </c>
      <c r="CT174" s="7">
        <f t="shared" si="155"/>
        <v>0</v>
      </c>
      <c r="CU174" s="7">
        <f t="shared" si="156"/>
        <v>0</v>
      </c>
      <c r="CV174" s="7">
        <f t="shared" si="157"/>
        <v>0</v>
      </c>
      <c r="CW174" s="7">
        <f t="shared" si="158"/>
        <v>0</v>
      </c>
      <c r="CX174" s="7">
        <f t="shared" si="159"/>
        <v>0</v>
      </c>
      <c r="CY174" s="7">
        <f t="shared" si="160"/>
        <v>0</v>
      </c>
      <c r="CZ174" s="7">
        <f t="shared" si="161"/>
        <v>0</v>
      </c>
      <c r="DA174" s="7">
        <f t="shared" si="162"/>
        <v>0</v>
      </c>
      <c r="DB174" s="7">
        <f t="shared" si="163"/>
        <v>0</v>
      </c>
      <c r="DC174" s="7">
        <f t="shared" si="164"/>
        <v>0</v>
      </c>
      <c r="DD174" s="7">
        <f t="shared" si="165"/>
        <v>0</v>
      </c>
      <c r="DE174" s="7">
        <f t="shared" si="166"/>
        <v>0</v>
      </c>
      <c r="DF174" s="7">
        <f t="shared" si="167"/>
        <v>0</v>
      </c>
      <c r="DG174" s="7">
        <f t="shared" si="168"/>
        <v>0</v>
      </c>
      <c r="DH174" s="7">
        <f t="shared" si="169"/>
        <v>0</v>
      </c>
      <c r="DI174" s="7">
        <f t="shared" si="170"/>
        <v>0</v>
      </c>
      <c r="DJ174" s="7">
        <f t="shared" si="171"/>
        <v>0</v>
      </c>
      <c r="DK174" s="7">
        <f t="shared" si="172"/>
        <v>0</v>
      </c>
      <c r="DL174" s="7">
        <f t="shared" si="173"/>
        <v>0</v>
      </c>
      <c r="DM174" s="7">
        <f t="shared" si="174"/>
        <v>0</v>
      </c>
      <c r="DN174" s="7">
        <f t="shared" si="175"/>
        <v>0</v>
      </c>
      <c r="DO174" s="7">
        <f t="shared" si="176"/>
        <v>0</v>
      </c>
      <c r="DP174" s="7">
        <f t="shared" si="177"/>
        <v>0</v>
      </c>
      <c r="DQ174" s="7">
        <f t="shared" si="178"/>
        <v>0</v>
      </c>
      <c r="DR174" s="7">
        <f t="shared" si="179"/>
        <v>0</v>
      </c>
      <c r="DS174" s="7">
        <f t="shared" si="180"/>
        <v>0</v>
      </c>
      <c r="DT174" s="7">
        <f t="shared" si="181"/>
        <v>0</v>
      </c>
      <c r="DU174" s="7">
        <f t="shared" si="182"/>
        <v>0</v>
      </c>
    </row>
    <row r="175" spans="1:125" x14ac:dyDescent="0.2">
      <c r="A175" s="3">
        <f>Bonds!A175</f>
        <v>47618</v>
      </c>
      <c r="B175" s="4">
        <f>Bonds!B175</f>
        <v>0.625</v>
      </c>
      <c r="C175">
        <f>Bonds!P175</f>
        <v>8</v>
      </c>
      <c r="D175">
        <f t="shared" si="122"/>
        <v>0</v>
      </c>
      <c r="E175" s="3">
        <f>IF(1&gt;$C175,"",IF($D175=1,EOMONTH(EDATE(Bonds!$H175,6*(1-1)),0),EDATE(Bonds!$H175,6*(1-1))))</f>
        <v>46341</v>
      </c>
      <c r="F175" s="3">
        <f>IF(2&gt;$C175,"",IF($D175=1,EOMONTH(EDATE(Bonds!$H175,6*(2-1)),0),EDATE(Bonds!$H175,6*(2-1))))</f>
        <v>46522</v>
      </c>
      <c r="G175" s="3">
        <f>IF(3&gt;$C175,"",IF($D175=1,EOMONTH(EDATE(Bonds!$H175,6*(3-1)),0),EDATE(Bonds!$H175,6*(3-1))))</f>
        <v>46706</v>
      </c>
      <c r="H175" s="3">
        <f>IF(4&gt;$C175,"",IF($D175=1,EOMONTH(EDATE(Bonds!$H175,6*(4-1)),0),EDATE(Bonds!$H175,6*(4-1))))</f>
        <v>46888</v>
      </c>
      <c r="I175" s="3">
        <f>IF(5&gt;$C175,"",IF($D175=1,EOMONTH(EDATE(Bonds!$H175,6*(5-1)),0),EDATE(Bonds!$H175,6*(5-1))))</f>
        <v>47072</v>
      </c>
      <c r="J175" s="3">
        <f>IF(6&gt;$C175,"",IF($D175=1,EOMONTH(EDATE(Bonds!$H175,6*(6-1)),0),EDATE(Bonds!$H175,6*(6-1))))</f>
        <v>47253</v>
      </c>
      <c r="K175" s="3">
        <f>IF(7&gt;$C175,"",IF($D175=1,EOMONTH(EDATE(Bonds!$H175,6*(7-1)),0),EDATE(Bonds!$H175,6*(7-1))))</f>
        <v>47437</v>
      </c>
      <c r="L175" s="3">
        <f>IF(8&gt;$C175,"",IF($D175=1,EOMONTH(EDATE(Bonds!$H175,6*(8-1)),0),EDATE(Bonds!$H175,6*(8-1))))</f>
        <v>47618</v>
      </c>
      <c r="M175" s="3" t="str">
        <f>IF(9&gt;$C175,"",IF($D175=1,EOMONTH(EDATE(Bonds!$H175,6*(9-1)),0),EDATE(Bonds!$H175,6*(9-1))))</f>
        <v/>
      </c>
      <c r="N175" s="3" t="str">
        <f>IF(10&gt;$C175,"",IF($D175=1,EOMONTH(EDATE(Bonds!$H175,6*(10-1)),0),EDATE(Bonds!$H175,6*(10-1))))</f>
        <v/>
      </c>
      <c r="O175" s="3" t="str">
        <f>IF(11&gt;$C175,"",IF($D175=1,EOMONTH(EDATE(Bonds!$H175,6*(11-1)),0),EDATE(Bonds!$H175,6*(11-1))))</f>
        <v/>
      </c>
      <c r="P175" s="3" t="str">
        <f>IF(12&gt;$C175,"",IF($D175=1,EOMONTH(EDATE(Bonds!$H175,6*(12-1)),0),EDATE(Bonds!$H175,6*(12-1))))</f>
        <v/>
      </c>
      <c r="Q175" s="3" t="str">
        <f>IF(13&gt;$C175,"",IF($D175=1,EOMONTH(EDATE(Bonds!$H175,6*(13-1)),0),EDATE(Bonds!$H175,6*(13-1))))</f>
        <v/>
      </c>
      <c r="R175" s="3" t="str">
        <f>IF(14&gt;$C175,"",IF($D175=1,EOMONTH(EDATE(Bonds!$H175,6*(14-1)),0),EDATE(Bonds!$H175,6*(14-1))))</f>
        <v/>
      </c>
      <c r="S175" s="3" t="str">
        <f>IF(15&gt;$C175,"",IF($D175=1,EOMONTH(EDATE(Bonds!$H175,6*(15-1)),0),EDATE(Bonds!$H175,6*(15-1))))</f>
        <v/>
      </c>
      <c r="T175" s="3" t="str">
        <f>IF(16&gt;$C175,"",IF($D175=1,EOMONTH(EDATE(Bonds!$H175,6*(16-1)),0),EDATE(Bonds!$H175,6*(16-1))))</f>
        <v/>
      </c>
      <c r="U175" s="3" t="str">
        <f>IF(17&gt;$C175,"",IF($D175=1,EOMONTH(EDATE(Bonds!$H175,6*(17-1)),0),EDATE(Bonds!$H175,6*(17-1))))</f>
        <v/>
      </c>
      <c r="V175" s="3" t="str">
        <f>IF(18&gt;$C175,"",IF($D175=1,EOMONTH(EDATE(Bonds!$H175,6*(18-1)),0),EDATE(Bonds!$H175,6*(18-1))))</f>
        <v/>
      </c>
      <c r="W175" s="3" t="str">
        <f>IF(19&gt;$C175,"",IF($D175=1,EOMONTH(EDATE(Bonds!$H175,6*(19-1)),0),EDATE(Bonds!$H175,6*(19-1))))</f>
        <v/>
      </c>
      <c r="X175" s="3" t="str">
        <f>IF(20&gt;$C175,"",IF($D175=1,EOMONTH(EDATE(Bonds!$H175,6*(20-1)),0),EDATE(Bonds!$H175,6*(20-1))))</f>
        <v/>
      </c>
      <c r="Y175" s="3" t="str">
        <f>IF(21&gt;$C175,"",IF($D175=1,EOMONTH(EDATE(Bonds!$H175,6*(21-1)),0),EDATE(Bonds!$H175,6*(21-1))))</f>
        <v/>
      </c>
      <c r="Z175" s="3" t="str">
        <f>IF(22&gt;$C175,"",IF($D175=1,EOMONTH(EDATE(Bonds!$H175,6*(22-1)),0),EDATE(Bonds!$H175,6*(22-1))))</f>
        <v/>
      </c>
      <c r="AA175" s="3" t="str">
        <f>IF(23&gt;$C175,"",IF($D175=1,EOMONTH(EDATE(Bonds!$H175,6*(23-1)),0),EDATE(Bonds!$H175,6*(23-1))))</f>
        <v/>
      </c>
      <c r="AB175" s="3" t="str">
        <f>IF(24&gt;$C175,"",IF($D175=1,EOMONTH(EDATE(Bonds!$H175,6*(24-1)),0),EDATE(Bonds!$H175,6*(24-1))))</f>
        <v/>
      </c>
      <c r="AC175" s="3" t="str">
        <f>IF(25&gt;$C175,"",IF($D175=1,EOMONTH(EDATE(Bonds!$H175,6*(25-1)),0),EDATE(Bonds!$H175,6*(25-1))))</f>
        <v/>
      </c>
      <c r="AD175" s="3" t="str">
        <f>IF(26&gt;$C175,"",IF($D175=1,EOMONTH(EDATE(Bonds!$H175,6*(26-1)),0),EDATE(Bonds!$H175,6*(26-1))))</f>
        <v/>
      </c>
      <c r="AE175" s="3" t="str">
        <f>IF(27&gt;$C175,"",IF($D175=1,EOMONTH(EDATE(Bonds!$H175,6*(27-1)),0),EDATE(Bonds!$H175,6*(27-1))))</f>
        <v/>
      </c>
      <c r="AF175" s="3" t="str">
        <f>IF(28&gt;$C175,"",IF($D175=1,EOMONTH(EDATE(Bonds!$H175,6*(28-1)),0),EDATE(Bonds!$H175,6*(28-1))))</f>
        <v/>
      </c>
      <c r="AG175" s="3" t="str">
        <f>IF(29&gt;$C175,"",IF($D175=1,EOMONTH(EDATE(Bonds!$H175,6*(29-1)),0),EDATE(Bonds!$H175,6*(29-1))))</f>
        <v/>
      </c>
      <c r="AH175" s="3" t="str">
        <f>IF(30&gt;$C175,"",IF($D175=1,EOMONTH(EDATE(Bonds!$H175,6*(30-1)),0),EDATE(Bonds!$H175,6*(30-1))))</f>
        <v/>
      </c>
      <c r="AI175" s="3" t="str">
        <f>IF(31&gt;$C175,"",IF($D175=1,EOMONTH(EDATE(Bonds!$H175,6*(31-1)),0),EDATE(Bonds!$H175,6*(31-1))))</f>
        <v/>
      </c>
      <c r="AJ175" s="3" t="str">
        <f>IF(32&gt;$C175,"",IF($D175=1,EOMONTH(EDATE(Bonds!$H175,6*(32-1)),0),EDATE(Bonds!$H175,6*(32-1))))</f>
        <v/>
      </c>
      <c r="AK175" s="3" t="str">
        <f>IF(33&gt;$C175,"",IF($D175=1,EOMONTH(EDATE(Bonds!$H175,6*(33-1)),0),EDATE(Bonds!$H175,6*(33-1))))</f>
        <v/>
      </c>
      <c r="AL175" s="3" t="str">
        <f>IF(34&gt;$C175,"",IF($D175=1,EOMONTH(EDATE(Bonds!$H175,6*(34-1)),0),EDATE(Bonds!$H175,6*(34-1))))</f>
        <v/>
      </c>
      <c r="AM175" s="3" t="str">
        <f>IF(35&gt;$C175,"",IF($D175=1,EOMONTH(EDATE(Bonds!$H175,6*(35-1)),0),EDATE(Bonds!$H175,6*(35-1))))</f>
        <v/>
      </c>
      <c r="AN175" s="3" t="str">
        <f>IF(36&gt;$C175,"",IF($D175=1,EOMONTH(EDATE(Bonds!$H175,6*(36-1)),0),EDATE(Bonds!$H175,6*(36-1))))</f>
        <v/>
      </c>
      <c r="AO175" s="3" t="str">
        <f>IF(37&gt;$C175,"",IF($D175=1,EOMONTH(EDATE(Bonds!$H175,6*(37-1)),0),EDATE(Bonds!$H175,6*(37-1))))</f>
        <v/>
      </c>
      <c r="AP175" s="3" t="str">
        <f>IF(38&gt;$C175,"",IF($D175=1,EOMONTH(EDATE(Bonds!$H175,6*(38-1)),0),EDATE(Bonds!$H175,6*(38-1))))</f>
        <v/>
      </c>
      <c r="AQ175" s="3" t="str">
        <f>IF(39&gt;$C175,"",IF($D175=1,EOMONTH(EDATE(Bonds!$H175,6*(39-1)),0),EDATE(Bonds!$H175,6*(39-1))))</f>
        <v/>
      </c>
      <c r="AR175" s="3" t="str">
        <f>IF(40&gt;$C175,"",IF($D175=1,EOMONTH(EDATE(Bonds!$H175,6*(40-1)),0),EDATE(Bonds!$H175,6*(40-1))))</f>
        <v/>
      </c>
      <c r="AS175" s="3" t="str">
        <f>IF(41&gt;$C175,"",IF($D175=1,EOMONTH(EDATE(Bonds!$H175,6*(41-1)),0),EDATE(Bonds!$H175,6*(41-1))))</f>
        <v/>
      </c>
      <c r="AT175" s="3" t="str">
        <f>IF(42&gt;$C175,"",IF($D175=1,EOMONTH(EDATE(Bonds!$H175,6*(42-1)),0),EDATE(Bonds!$H175,6*(42-1))))</f>
        <v/>
      </c>
      <c r="AU175" s="3" t="str">
        <f>IF(43&gt;$C175,"",IF($D175=1,EOMONTH(EDATE(Bonds!$H175,6*(43-1)),0),EDATE(Bonds!$H175,6*(43-1))))</f>
        <v/>
      </c>
      <c r="AV175" s="3" t="str">
        <f>IF(44&gt;$C175,"",IF($D175=1,EOMONTH(EDATE(Bonds!$H175,6*(44-1)),0),EDATE(Bonds!$H175,6*(44-1))))</f>
        <v/>
      </c>
      <c r="AW175" s="3" t="str">
        <f>IF(45&gt;$C175,"",IF($D175=1,EOMONTH(EDATE(Bonds!$H175,6*(45-1)),0),EDATE(Bonds!$H175,6*(45-1))))</f>
        <v/>
      </c>
      <c r="AX175" s="3" t="str">
        <f>IF(46&gt;$C175,"",IF($D175=1,EOMONTH(EDATE(Bonds!$H175,6*(46-1)),0),EDATE(Bonds!$H175,6*(46-1))))</f>
        <v/>
      </c>
      <c r="AY175" s="3" t="str">
        <f>IF(47&gt;$C175,"",IF($D175=1,EOMONTH(EDATE(Bonds!$H175,6*(47-1)),0),EDATE(Bonds!$H175,6*(47-1))))</f>
        <v/>
      </c>
      <c r="AZ175" s="3" t="str">
        <f>IF(48&gt;$C175,"",IF($D175=1,EOMONTH(EDATE(Bonds!$H175,6*(48-1)),0),EDATE(Bonds!$H175,6*(48-1))))</f>
        <v/>
      </c>
      <c r="BA175" s="3" t="str">
        <f>IF(49&gt;$C175,"",IF($D175=1,EOMONTH(EDATE(Bonds!$H175,6*(49-1)),0),EDATE(Bonds!$H175,6*(49-1))))</f>
        <v/>
      </c>
      <c r="BB175" s="3" t="str">
        <f>IF(50&gt;$C175,"",IF($D175=1,EOMONTH(EDATE(Bonds!$H175,6*(50-1)),0),EDATE(Bonds!$H175,6*(50-1))))</f>
        <v/>
      </c>
      <c r="BC175" s="3" t="str">
        <f>IF(51&gt;$C175,"",IF($D175=1,EOMONTH(EDATE(Bonds!$H175,6*(51-1)),0),EDATE(Bonds!$H175,6*(51-1))))</f>
        <v/>
      </c>
      <c r="BD175" s="3" t="str">
        <f>IF(52&gt;$C175,"",IF($D175=1,EOMONTH(EDATE(Bonds!$H175,6*(52-1)),0),EDATE(Bonds!$H175,6*(52-1))))</f>
        <v/>
      </c>
      <c r="BE175" s="3" t="str">
        <f>IF(53&gt;$C175,"",IF($D175=1,EOMONTH(EDATE(Bonds!$H175,6*(53-1)),0),EDATE(Bonds!$H175,6*(53-1))))</f>
        <v/>
      </c>
      <c r="BF175" s="3" t="str">
        <f>IF(54&gt;$C175,"",IF($D175=1,EOMONTH(EDATE(Bonds!$H175,6*(54-1)),0),EDATE(Bonds!$H175,6*(54-1))))</f>
        <v/>
      </c>
      <c r="BG175" s="3" t="str">
        <f>IF(55&gt;$C175,"",IF($D175=1,EOMONTH(EDATE(Bonds!$H175,6*(55-1)),0),EDATE(Bonds!$H175,6*(55-1))))</f>
        <v/>
      </c>
      <c r="BH175" s="3" t="str">
        <f>IF(56&gt;$C175,"",IF($D175=1,EOMONTH(EDATE(Bonds!$H175,6*(56-1)),0),EDATE(Bonds!$H175,6*(56-1))))</f>
        <v/>
      </c>
      <c r="BI175" s="3" t="str">
        <f>IF(57&gt;$C175,"",IF($D175=1,EOMONTH(EDATE(Bonds!$H175,6*(57-1)),0),EDATE(Bonds!$H175,6*(57-1))))</f>
        <v/>
      </c>
      <c r="BJ175" s="3" t="str">
        <f>IF(58&gt;$C175,"",IF($D175=1,EOMONTH(EDATE(Bonds!$H175,6*(58-1)),0),EDATE(Bonds!$H175,6*(58-1))))</f>
        <v/>
      </c>
      <c r="BK175" s="3" t="str">
        <f>IF(59&gt;$C175,"",IF($D175=1,EOMONTH(EDATE(Bonds!$H175,6*(59-1)),0),EDATE(Bonds!$H175,6*(59-1))))</f>
        <v/>
      </c>
      <c r="BL175" s="3" t="str">
        <f>IF(60&gt;$C175,"",IF($D175=1,EOMONTH(EDATE(Bonds!$H175,6*(60-1)),0),EDATE(Bonds!$H175,6*(60-1))))</f>
        <v/>
      </c>
      <c r="BN175" s="7">
        <f t="shared" si="123"/>
        <v>0.31032049456250582</v>
      </c>
      <c r="BO175" s="7">
        <f t="shared" si="124"/>
        <v>0.3040540579037645</v>
      </c>
      <c r="BP175" s="7">
        <f t="shared" si="125"/>
        <v>0.29735650892175525</v>
      </c>
      <c r="BQ175" s="7">
        <f t="shared" si="126"/>
        <v>0.29068691920218409</v>
      </c>
      <c r="BR175" s="7">
        <f t="shared" si="127"/>
        <v>0.28403998004389552</v>
      </c>
      <c r="BS175" s="7">
        <f t="shared" si="128"/>
        <v>0.27765062564646248</v>
      </c>
      <c r="BT175" s="7">
        <f t="shared" si="129"/>
        <v>0.27131639045530026</v>
      </c>
      <c r="BU175" s="7">
        <f t="shared" si="130"/>
        <v>85.138814527445149</v>
      </c>
      <c r="BV175" s="7">
        <f t="shared" si="131"/>
        <v>0</v>
      </c>
      <c r="BW175" s="7">
        <f t="shared" si="132"/>
        <v>0</v>
      </c>
      <c r="BX175" s="7">
        <f t="shared" si="133"/>
        <v>0</v>
      </c>
      <c r="BY175" s="7">
        <f t="shared" si="134"/>
        <v>0</v>
      </c>
      <c r="BZ175" s="7">
        <f t="shared" si="135"/>
        <v>0</v>
      </c>
      <c r="CA175" s="7">
        <f t="shared" si="136"/>
        <v>0</v>
      </c>
      <c r="CB175" s="7">
        <f t="shared" si="137"/>
        <v>0</v>
      </c>
      <c r="CC175" s="7">
        <f t="shared" si="138"/>
        <v>0</v>
      </c>
      <c r="CD175" s="7">
        <f t="shared" si="139"/>
        <v>0</v>
      </c>
      <c r="CE175" s="7">
        <f t="shared" si="140"/>
        <v>0</v>
      </c>
      <c r="CF175" s="7">
        <f t="shared" si="141"/>
        <v>0</v>
      </c>
      <c r="CG175" s="7">
        <f t="shared" si="142"/>
        <v>0</v>
      </c>
      <c r="CH175" s="7">
        <f t="shared" si="143"/>
        <v>0</v>
      </c>
      <c r="CI175" s="7">
        <f t="shared" si="144"/>
        <v>0</v>
      </c>
      <c r="CJ175" s="7">
        <f t="shared" si="145"/>
        <v>0</v>
      </c>
      <c r="CK175" s="7">
        <f t="shared" si="146"/>
        <v>0</v>
      </c>
      <c r="CL175" s="7">
        <f t="shared" si="147"/>
        <v>0</v>
      </c>
      <c r="CM175" s="7">
        <f t="shared" si="148"/>
        <v>0</v>
      </c>
      <c r="CN175" s="7">
        <f t="shared" si="149"/>
        <v>0</v>
      </c>
      <c r="CO175" s="7">
        <f t="shared" si="150"/>
        <v>0</v>
      </c>
      <c r="CP175" s="7">
        <f t="shared" si="151"/>
        <v>0</v>
      </c>
      <c r="CQ175" s="7">
        <f t="shared" si="152"/>
        <v>0</v>
      </c>
      <c r="CR175" s="7">
        <f t="shared" si="153"/>
        <v>0</v>
      </c>
      <c r="CS175" s="7">
        <f t="shared" si="154"/>
        <v>0</v>
      </c>
      <c r="CT175" s="7">
        <f t="shared" si="155"/>
        <v>0</v>
      </c>
      <c r="CU175" s="7">
        <f t="shared" si="156"/>
        <v>0</v>
      </c>
      <c r="CV175" s="7">
        <f t="shared" si="157"/>
        <v>0</v>
      </c>
      <c r="CW175" s="7">
        <f t="shared" si="158"/>
        <v>0</v>
      </c>
      <c r="CX175" s="7">
        <f t="shared" si="159"/>
        <v>0</v>
      </c>
      <c r="CY175" s="7">
        <f t="shared" si="160"/>
        <v>0</v>
      </c>
      <c r="CZ175" s="7">
        <f t="shared" si="161"/>
        <v>0</v>
      </c>
      <c r="DA175" s="7">
        <f t="shared" si="162"/>
        <v>0</v>
      </c>
      <c r="DB175" s="7">
        <f t="shared" si="163"/>
        <v>0</v>
      </c>
      <c r="DC175" s="7">
        <f t="shared" si="164"/>
        <v>0</v>
      </c>
      <c r="DD175" s="7">
        <f t="shared" si="165"/>
        <v>0</v>
      </c>
      <c r="DE175" s="7">
        <f t="shared" si="166"/>
        <v>0</v>
      </c>
      <c r="DF175" s="7">
        <f t="shared" si="167"/>
        <v>0</v>
      </c>
      <c r="DG175" s="7">
        <f t="shared" si="168"/>
        <v>0</v>
      </c>
      <c r="DH175" s="7">
        <f t="shared" si="169"/>
        <v>0</v>
      </c>
      <c r="DI175" s="7">
        <f t="shared" si="170"/>
        <v>0</v>
      </c>
      <c r="DJ175" s="7">
        <f t="shared" si="171"/>
        <v>0</v>
      </c>
      <c r="DK175" s="7">
        <f t="shared" si="172"/>
        <v>0</v>
      </c>
      <c r="DL175" s="7">
        <f t="shared" si="173"/>
        <v>0</v>
      </c>
      <c r="DM175" s="7">
        <f t="shared" si="174"/>
        <v>0</v>
      </c>
      <c r="DN175" s="7">
        <f t="shared" si="175"/>
        <v>0</v>
      </c>
      <c r="DO175" s="7">
        <f t="shared" si="176"/>
        <v>0</v>
      </c>
      <c r="DP175" s="7">
        <f t="shared" si="177"/>
        <v>0</v>
      </c>
      <c r="DQ175" s="7">
        <f t="shared" si="178"/>
        <v>0</v>
      </c>
      <c r="DR175" s="7">
        <f t="shared" si="179"/>
        <v>0</v>
      </c>
      <c r="DS175" s="7">
        <f t="shared" si="180"/>
        <v>0</v>
      </c>
      <c r="DT175" s="7">
        <f t="shared" si="181"/>
        <v>0</v>
      </c>
      <c r="DU175" s="7">
        <f t="shared" si="182"/>
        <v>0</v>
      </c>
    </row>
    <row r="176" spans="1:125" x14ac:dyDescent="0.2">
      <c r="A176" s="3">
        <f>Bonds!A176</f>
        <v>47618</v>
      </c>
      <c r="B176" s="4">
        <f>Bonds!B176</f>
        <v>6.25</v>
      </c>
      <c r="C176">
        <f>Bonds!P176</f>
        <v>8</v>
      </c>
      <c r="D176">
        <f t="shared" si="122"/>
        <v>0</v>
      </c>
      <c r="E176" s="3">
        <f>IF(1&gt;$C176,"",IF($D176=1,EOMONTH(EDATE(Bonds!$H176,6*(1-1)),0),EDATE(Bonds!$H176,6*(1-1))))</f>
        <v>46341</v>
      </c>
      <c r="F176" s="3">
        <f>IF(2&gt;$C176,"",IF($D176=1,EOMONTH(EDATE(Bonds!$H176,6*(2-1)),0),EDATE(Bonds!$H176,6*(2-1))))</f>
        <v>46522</v>
      </c>
      <c r="G176" s="3">
        <f>IF(3&gt;$C176,"",IF($D176=1,EOMONTH(EDATE(Bonds!$H176,6*(3-1)),0),EDATE(Bonds!$H176,6*(3-1))))</f>
        <v>46706</v>
      </c>
      <c r="H176" s="3">
        <f>IF(4&gt;$C176,"",IF($D176=1,EOMONTH(EDATE(Bonds!$H176,6*(4-1)),0),EDATE(Bonds!$H176,6*(4-1))))</f>
        <v>46888</v>
      </c>
      <c r="I176" s="3">
        <f>IF(5&gt;$C176,"",IF($D176=1,EOMONTH(EDATE(Bonds!$H176,6*(5-1)),0),EDATE(Bonds!$H176,6*(5-1))))</f>
        <v>47072</v>
      </c>
      <c r="J176" s="3">
        <f>IF(6&gt;$C176,"",IF($D176=1,EOMONTH(EDATE(Bonds!$H176,6*(6-1)),0),EDATE(Bonds!$H176,6*(6-1))))</f>
        <v>47253</v>
      </c>
      <c r="K176" s="3">
        <f>IF(7&gt;$C176,"",IF($D176=1,EOMONTH(EDATE(Bonds!$H176,6*(7-1)),0),EDATE(Bonds!$H176,6*(7-1))))</f>
        <v>47437</v>
      </c>
      <c r="L176" s="3">
        <f>IF(8&gt;$C176,"",IF($D176=1,EOMONTH(EDATE(Bonds!$H176,6*(8-1)),0),EDATE(Bonds!$H176,6*(8-1))))</f>
        <v>47618</v>
      </c>
      <c r="M176" s="3" t="str">
        <f>IF(9&gt;$C176,"",IF($D176=1,EOMONTH(EDATE(Bonds!$H176,6*(9-1)),0),EDATE(Bonds!$H176,6*(9-1))))</f>
        <v/>
      </c>
      <c r="N176" s="3" t="str">
        <f>IF(10&gt;$C176,"",IF($D176=1,EOMONTH(EDATE(Bonds!$H176,6*(10-1)),0),EDATE(Bonds!$H176,6*(10-1))))</f>
        <v/>
      </c>
      <c r="O176" s="3" t="str">
        <f>IF(11&gt;$C176,"",IF($D176=1,EOMONTH(EDATE(Bonds!$H176,6*(11-1)),0),EDATE(Bonds!$H176,6*(11-1))))</f>
        <v/>
      </c>
      <c r="P176" s="3" t="str">
        <f>IF(12&gt;$C176,"",IF($D176=1,EOMONTH(EDATE(Bonds!$H176,6*(12-1)),0),EDATE(Bonds!$H176,6*(12-1))))</f>
        <v/>
      </c>
      <c r="Q176" s="3" t="str">
        <f>IF(13&gt;$C176,"",IF($D176=1,EOMONTH(EDATE(Bonds!$H176,6*(13-1)),0),EDATE(Bonds!$H176,6*(13-1))))</f>
        <v/>
      </c>
      <c r="R176" s="3" t="str">
        <f>IF(14&gt;$C176,"",IF($D176=1,EOMONTH(EDATE(Bonds!$H176,6*(14-1)),0),EDATE(Bonds!$H176,6*(14-1))))</f>
        <v/>
      </c>
      <c r="S176" s="3" t="str">
        <f>IF(15&gt;$C176,"",IF($D176=1,EOMONTH(EDATE(Bonds!$H176,6*(15-1)),0),EDATE(Bonds!$H176,6*(15-1))))</f>
        <v/>
      </c>
      <c r="T176" s="3" t="str">
        <f>IF(16&gt;$C176,"",IF($D176=1,EOMONTH(EDATE(Bonds!$H176,6*(16-1)),0),EDATE(Bonds!$H176,6*(16-1))))</f>
        <v/>
      </c>
      <c r="U176" s="3" t="str">
        <f>IF(17&gt;$C176,"",IF($D176=1,EOMONTH(EDATE(Bonds!$H176,6*(17-1)),0),EDATE(Bonds!$H176,6*(17-1))))</f>
        <v/>
      </c>
      <c r="V176" s="3" t="str">
        <f>IF(18&gt;$C176,"",IF($D176=1,EOMONTH(EDATE(Bonds!$H176,6*(18-1)),0),EDATE(Bonds!$H176,6*(18-1))))</f>
        <v/>
      </c>
      <c r="W176" s="3" t="str">
        <f>IF(19&gt;$C176,"",IF($D176=1,EOMONTH(EDATE(Bonds!$H176,6*(19-1)),0),EDATE(Bonds!$H176,6*(19-1))))</f>
        <v/>
      </c>
      <c r="X176" s="3" t="str">
        <f>IF(20&gt;$C176,"",IF($D176=1,EOMONTH(EDATE(Bonds!$H176,6*(20-1)),0),EDATE(Bonds!$H176,6*(20-1))))</f>
        <v/>
      </c>
      <c r="Y176" s="3" t="str">
        <f>IF(21&gt;$C176,"",IF($D176=1,EOMONTH(EDATE(Bonds!$H176,6*(21-1)),0),EDATE(Bonds!$H176,6*(21-1))))</f>
        <v/>
      </c>
      <c r="Z176" s="3" t="str">
        <f>IF(22&gt;$C176,"",IF($D176=1,EOMONTH(EDATE(Bonds!$H176,6*(22-1)),0),EDATE(Bonds!$H176,6*(22-1))))</f>
        <v/>
      </c>
      <c r="AA176" s="3" t="str">
        <f>IF(23&gt;$C176,"",IF($D176=1,EOMONTH(EDATE(Bonds!$H176,6*(23-1)),0),EDATE(Bonds!$H176,6*(23-1))))</f>
        <v/>
      </c>
      <c r="AB176" s="3" t="str">
        <f>IF(24&gt;$C176,"",IF($D176=1,EOMONTH(EDATE(Bonds!$H176,6*(24-1)),0),EDATE(Bonds!$H176,6*(24-1))))</f>
        <v/>
      </c>
      <c r="AC176" s="3" t="str">
        <f>IF(25&gt;$C176,"",IF($D176=1,EOMONTH(EDATE(Bonds!$H176,6*(25-1)),0),EDATE(Bonds!$H176,6*(25-1))))</f>
        <v/>
      </c>
      <c r="AD176" s="3" t="str">
        <f>IF(26&gt;$C176,"",IF($D176=1,EOMONTH(EDATE(Bonds!$H176,6*(26-1)),0),EDATE(Bonds!$H176,6*(26-1))))</f>
        <v/>
      </c>
      <c r="AE176" s="3" t="str">
        <f>IF(27&gt;$C176,"",IF($D176=1,EOMONTH(EDATE(Bonds!$H176,6*(27-1)),0),EDATE(Bonds!$H176,6*(27-1))))</f>
        <v/>
      </c>
      <c r="AF176" s="3" t="str">
        <f>IF(28&gt;$C176,"",IF($D176=1,EOMONTH(EDATE(Bonds!$H176,6*(28-1)),0),EDATE(Bonds!$H176,6*(28-1))))</f>
        <v/>
      </c>
      <c r="AG176" s="3" t="str">
        <f>IF(29&gt;$C176,"",IF($D176=1,EOMONTH(EDATE(Bonds!$H176,6*(29-1)),0),EDATE(Bonds!$H176,6*(29-1))))</f>
        <v/>
      </c>
      <c r="AH176" s="3" t="str">
        <f>IF(30&gt;$C176,"",IF($D176=1,EOMONTH(EDATE(Bonds!$H176,6*(30-1)),0),EDATE(Bonds!$H176,6*(30-1))))</f>
        <v/>
      </c>
      <c r="AI176" s="3" t="str">
        <f>IF(31&gt;$C176,"",IF($D176=1,EOMONTH(EDATE(Bonds!$H176,6*(31-1)),0),EDATE(Bonds!$H176,6*(31-1))))</f>
        <v/>
      </c>
      <c r="AJ176" s="3" t="str">
        <f>IF(32&gt;$C176,"",IF($D176=1,EOMONTH(EDATE(Bonds!$H176,6*(32-1)),0),EDATE(Bonds!$H176,6*(32-1))))</f>
        <v/>
      </c>
      <c r="AK176" s="3" t="str">
        <f>IF(33&gt;$C176,"",IF($D176=1,EOMONTH(EDATE(Bonds!$H176,6*(33-1)),0),EDATE(Bonds!$H176,6*(33-1))))</f>
        <v/>
      </c>
      <c r="AL176" s="3" t="str">
        <f>IF(34&gt;$C176,"",IF($D176=1,EOMONTH(EDATE(Bonds!$H176,6*(34-1)),0),EDATE(Bonds!$H176,6*(34-1))))</f>
        <v/>
      </c>
      <c r="AM176" s="3" t="str">
        <f>IF(35&gt;$C176,"",IF($D176=1,EOMONTH(EDATE(Bonds!$H176,6*(35-1)),0),EDATE(Bonds!$H176,6*(35-1))))</f>
        <v/>
      </c>
      <c r="AN176" s="3" t="str">
        <f>IF(36&gt;$C176,"",IF($D176=1,EOMONTH(EDATE(Bonds!$H176,6*(36-1)),0),EDATE(Bonds!$H176,6*(36-1))))</f>
        <v/>
      </c>
      <c r="AO176" s="3" t="str">
        <f>IF(37&gt;$C176,"",IF($D176=1,EOMONTH(EDATE(Bonds!$H176,6*(37-1)),0),EDATE(Bonds!$H176,6*(37-1))))</f>
        <v/>
      </c>
      <c r="AP176" s="3" t="str">
        <f>IF(38&gt;$C176,"",IF($D176=1,EOMONTH(EDATE(Bonds!$H176,6*(38-1)),0),EDATE(Bonds!$H176,6*(38-1))))</f>
        <v/>
      </c>
      <c r="AQ176" s="3" t="str">
        <f>IF(39&gt;$C176,"",IF($D176=1,EOMONTH(EDATE(Bonds!$H176,6*(39-1)),0),EDATE(Bonds!$H176,6*(39-1))))</f>
        <v/>
      </c>
      <c r="AR176" s="3" t="str">
        <f>IF(40&gt;$C176,"",IF($D176=1,EOMONTH(EDATE(Bonds!$H176,6*(40-1)),0),EDATE(Bonds!$H176,6*(40-1))))</f>
        <v/>
      </c>
      <c r="AS176" s="3" t="str">
        <f>IF(41&gt;$C176,"",IF($D176=1,EOMONTH(EDATE(Bonds!$H176,6*(41-1)),0),EDATE(Bonds!$H176,6*(41-1))))</f>
        <v/>
      </c>
      <c r="AT176" s="3" t="str">
        <f>IF(42&gt;$C176,"",IF($D176=1,EOMONTH(EDATE(Bonds!$H176,6*(42-1)),0),EDATE(Bonds!$H176,6*(42-1))))</f>
        <v/>
      </c>
      <c r="AU176" s="3" t="str">
        <f>IF(43&gt;$C176,"",IF($D176=1,EOMONTH(EDATE(Bonds!$H176,6*(43-1)),0),EDATE(Bonds!$H176,6*(43-1))))</f>
        <v/>
      </c>
      <c r="AV176" s="3" t="str">
        <f>IF(44&gt;$C176,"",IF($D176=1,EOMONTH(EDATE(Bonds!$H176,6*(44-1)),0),EDATE(Bonds!$H176,6*(44-1))))</f>
        <v/>
      </c>
      <c r="AW176" s="3" t="str">
        <f>IF(45&gt;$C176,"",IF($D176=1,EOMONTH(EDATE(Bonds!$H176,6*(45-1)),0),EDATE(Bonds!$H176,6*(45-1))))</f>
        <v/>
      </c>
      <c r="AX176" s="3" t="str">
        <f>IF(46&gt;$C176,"",IF($D176=1,EOMONTH(EDATE(Bonds!$H176,6*(46-1)),0),EDATE(Bonds!$H176,6*(46-1))))</f>
        <v/>
      </c>
      <c r="AY176" s="3" t="str">
        <f>IF(47&gt;$C176,"",IF($D176=1,EOMONTH(EDATE(Bonds!$H176,6*(47-1)),0),EDATE(Bonds!$H176,6*(47-1))))</f>
        <v/>
      </c>
      <c r="AZ176" s="3" t="str">
        <f>IF(48&gt;$C176,"",IF($D176=1,EOMONTH(EDATE(Bonds!$H176,6*(48-1)),0),EDATE(Bonds!$H176,6*(48-1))))</f>
        <v/>
      </c>
      <c r="BA176" s="3" t="str">
        <f>IF(49&gt;$C176,"",IF($D176=1,EOMONTH(EDATE(Bonds!$H176,6*(49-1)),0),EDATE(Bonds!$H176,6*(49-1))))</f>
        <v/>
      </c>
      <c r="BB176" s="3" t="str">
        <f>IF(50&gt;$C176,"",IF($D176=1,EOMONTH(EDATE(Bonds!$H176,6*(50-1)),0),EDATE(Bonds!$H176,6*(50-1))))</f>
        <v/>
      </c>
      <c r="BC176" s="3" t="str">
        <f>IF(51&gt;$C176,"",IF($D176=1,EOMONTH(EDATE(Bonds!$H176,6*(51-1)),0),EDATE(Bonds!$H176,6*(51-1))))</f>
        <v/>
      </c>
      <c r="BD176" s="3" t="str">
        <f>IF(52&gt;$C176,"",IF($D176=1,EOMONTH(EDATE(Bonds!$H176,6*(52-1)),0),EDATE(Bonds!$H176,6*(52-1))))</f>
        <v/>
      </c>
      <c r="BE176" s="3" t="str">
        <f>IF(53&gt;$C176,"",IF($D176=1,EOMONTH(EDATE(Bonds!$H176,6*(53-1)),0),EDATE(Bonds!$H176,6*(53-1))))</f>
        <v/>
      </c>
      <c r="BF176" s="3" t="str">
        <f>IF(54&gt;$C176,"",IF($D176=1,EOMONTH(EDATE(Bonds!$H176,6*(54-1)),0),EDATE(Bonds!$H176,6*(54-1))))</f>
        <v/>
      </c>
      <c r="BG176" s="3" t="str">
        <f>IF(55&gt;$C176,"",IF($D176=1,EOMONTH(EDATE(Bonds!$H176,6*(55-1)),0),EDATE(Bonds!$H176,6*(55-1))))</f>
        <v/>
      </c>
      <c r="BH176" s="3" t="str">
        <f>IF(56&gt;$C176,"",IF($D176=1,EOMONTH(EDATE(Bonds!$H176,6*(56-1)),0),EDATE(Bonds!$H176,6*(56-1))))</f>
        <v/>
      </c>
      <c r="BI176" s="3" t="str">
        <f>IF(57&gt;$C176,"",IF($D176=1,EOMONTH(EDATE(Bonds!$H176,6*(57-1)),0),EDATE(Bonds!$H176,6*(57-1))))</f>
        <v/>
      </c>
      <c r="BJ176" s="3" t="str">
        <f>IF(58&gt;$C176,"",IF($D176=1,EOMONTH(EDATE(Bonds!$H176,6*(58-1)),0),EDATE(Bonds!$H176,6*(58-1))))</f>
        <v/>
      </c>
      <c r="BK176" s="3" t="str">
        <f>IF(59&gt;$C176,"",IF($D176=1,EOMONTH(EDATE(Bonds!$H176,6*(59-1)),0),EDATE(Bonds!$H176,6*(59-1))))</f>
        <v/>
      </c>
      <c r="BL176" s="3" t="str">
        <f>IF(60&gt;$C176,"",IF($D176=1,EOMONTH(EDATE(Bonds!$H176,6*(60-1)),0),EDATE(Bonds!$H176,6*(60-1))))</f>
        <v/>
      </c>
      <c r="BN176" s="7">
        <f t="shared" si="123"/>
        <v>3.1032049456250581</v>
      </c>
      <c r="BO176" s="7">
        <f t="shared" si="124"/>
        <v>3.040540579037645</v>
      </c>
      <c r="BP176" s="7">
        <f t="shared" si="125"/>
        <v>2.9735650892175522</v>
      </c>
      <c r="BQ176" s="7">
        <f t="shared" si="126"/>
        <v>2.906869192021841</v>
      </c>
      <c r="BR176" s="7">
        <f t="shared" si="127"/>
        <v>2.8403998004389552</v>
      </c>
      <c r="BS176" s="7">
        <f t="shared" si="128"/>
        <v>2.776506256464625</v>
      </c>
      <c r="BT176" s="7">
        <f t="shared" si="129"/>
        <v>2.7131639045530025</v>
      </c>
      <c r="BU176" s="7">
        <f t="shared" si="130"/>
        <v>87.525884093635199</v>
      </c>
      <c r="BV176" s="7">
        <f t="shared" si="131"/>
        <v>0</v>
      </c>
      <c r="BW176" s="7">
        <f t="shared" si="132"/>
        <v>0</v>
      </c>
      <c r="BX176" s="7">
        <f t="shared" si="133"/>
        <v>0</v>
      </c>
      <c r="BY176" s="7">
        <f t="shared" si="134"/>
        <v>0</v>
      </c>
      <c r="BZ176" s="7">
        <f t="shared" si="135"/>
        <v>0</v>
      </c>
      <c r="CA176" s="7">
        <f t="shared" si="136"/>
        <v>0</v>
      </c>
      <c r="CB176" s="7">
        <f t="shared" si="137"/>
        <v>0</v>
      </c>
      <c r="CC176" s="7">
        <f t="shared" si="138"/>
        <v>0</v>
      </c>
      <c r="CD176" s="7">
        <f t="shared" si="139"/>
        <v>0</v>
      </c>
      <c r="CE176" s="7">
        <f t="shared" si="140"/>
        <v>0</v>
      </c>
      <c r="CF176" s="7">
        <f t="shared" si="141"/>
        <v>0</v>
      </c>
      <c r="CG176" s="7">
        <f t="shared" si="142"/>
        <v>0</v>
      </c>
      <c r="CH176" s="7">
        <f t="shared" si="143"/>
        <v>0</v>
      </c>
      <c r="CI176" s="7">
        <f t="shared" si="144"/>
        <v>0</v>
      </c>
      <c r="CJ176" s="7">
        <f t="shared" si="145"/>
        <v>0</v>
      </c>
      <c r="CK176" s="7">
        <f t="shared" si="146"/>
        <v>0</v>
      </c>
      <c r="CL176" s="7">
        <f t="shared" si="147"/>
        <v>0</v>
      </c>
      <c r="CM176" s="7">
        <f t="shared" si="148"/>
        <v>0</v>
      </c>
      <c r="CN176" s="7">
        <f t="shared" si="149"/>
        <v>0</v>
      </c>
      <c r="CO176" s="7">
        <f t="shared" si="150"/>
        <v>0</v>
      </c>
      <c r="CP176" s="7">
        <f t="shared" si="151"/>
        <v>0</v>
      </c>
      <c r="CQ176" s="7">
        <f t="shared" si="152"/>
        <v>0</v>
      </c>
      <c r="CR176" s="7">
        <f t="shared" si="153"/>
        <v>0</v>
      </c>
      <c r="CS176" s="7">
        <f t="shared" si="154"/>
        <v>0</v>
      </c>
      <c r="CT176" s="7">
        <f t="shared" si="155"/>
        <v>0</v>
      </c>
      <c r="CU176" s="7">
        <f t="shared" si="156"/>
        <v>0</v>
      </c>
      <c r="CV176" s="7">
        <f t="shared" si="157"/>
        <v>0</v>
      </c>
      <c r="CW176" s="7">
        <f t="shared" si="158"/>
        <v>0</v>
      </c>
      <c r="CX176" s="7">
        <f t="shared" si="159"/>
        <v>0</v>
      </c>
      <c r="CY176" s="7">
        <f t="shared" si="160"/>
        <v>0</v>
      </c>
      <c r="CZ176" s="7">
        <f t="shared" si="161"/>
        <v>0</v>
      </c>
      <c r="DA176" s="7">
        <f t="shared" si="162"/>
        <v>0</v>
      </c>
      <c r="DB176" s="7">
        <f t="shared" si="163"/>
        <v>0</v>
      </c>
      <c r="DC176" s="7">
        <f t="shared" si="164"/>
        <v>0</v>
      </c>
      <c r="DD176" s="7">
        <f t="shared" si="165"/>
        <v>0</v>
      </c>
      <c r="DE176" s="7">
        <f t="shared" si="166"/>
        <v>0</v>
      </c>
      <c r="DF176" s="7">
        <f t="shared" si="167"/>
        <v>0</v>
      </c>
      <c r="DG176" s="7">
        <f t="shared" si="168"/>
        <v>0</v>
      </c>
      <c r="DH176" s="7">
        <f t="shared" si="169"/>
        <v>0</v>
      </c>
      <c r="DI176" s="7">
        <f t="shared" si="170"/>
        <v>0</v>
      </c>
      <c r="DJ176" s="7">
        <f t="shared" si="171"/>
        <v>0</v>
      </c>
      <c r="DK176" s="7">
        <f t="shared" si="172"/>
        <v>0</v>
      </c>
      <c r="DL176" s="7">
        <f t="shared" si="173"/>
        <v>0</v>
      </c>
      <c r="DM176" s="7">
        <f t="shared" si="174"/>
        <v>0</v>
      </c>
      <c r="DN176" s="7">
        <f t="shared" si="175"/>
        <v>0</v>
      </c>
      <c r="DO176" s="7">
        <f t="shared" si="176"/>
        <v>0</v>
      </c>
      <c r="DP176" s="7">
        <f t="shared" si="177"/>
        <v>0</v>
      </c>
      <c r="DQ176" s="7">
        <f t="shared" si="178"/>
        <v>0</v>
      </c>
      <c r="DR176" s="7">
        <f t="shared" si="179"/>
        <v>0</v>
      </c>
      <c r="DS176" s="7">
        <f t="shared" si="180"/>
        <v>0</v>
      </c>
      <c r="DT176" s="7">
        <f t="shared" si="181"/>
        <v>0</v>
      </c>
      <c r="DU176" s="7">
        <f t="shared" si="182"/>
        <v>0</v>
      </c>
    </row>
    <row r="177" spans="1:125" x14ac:dyDescent="0.2">
      <c r="A177" s="3">
        <f>Bonds!A177</f>
        <v>47634</v>
      </c>
      <c r="B177" s="4">
        <f>Bonds!B177</f>
        <v>3.75</v>
      </c>
      <c r="C177">
        <f>Bonds!P177</f>
        <v>8</v>
      </c>
      <c r="D177">
        <f t="shared" si="122"/>
        <v>1</v>
      </c>
      <c r="E177" s="3">
        <f>IF(1&gt;$C177,"",IF($D177=1,EOMONTH(EDATE(Bonds!$H177,6*(1-1)),0),EDATE(Bonds!$H177,6*(1-1))))</f>
        <v>46356</v>
      </c>
      <c r="F177" s="3">
        <f>IF(2&gt;$C177,"",IF($D177=1,EOMONTH(EDATE(Bonds!$H177,6*(2-1)),0),EDATE(Bonds!$H177,6*(2-1))))</f>
        <v>46538</v>
      </c>
      <c r="G177" s="3">
        <f>IF(3&gt;$C177,"",IF($D177=1,EOMONTH(EDATE(Bonds!$H177,6*(3-1)),0),EDATE(Bonds!$H177,6*(3-1))))</f>
        <v>46721</v>
      </c>
      <c r="H177" s="3">
        <f>IF(4&gt;$C177,"",IF($D177=1,EOMONTH(EDATE(Bonds!$H177,6*(4-1)),0),EDATE(Bonds!$H177,6*(4-1))))</f>
        <v>46904</v>
      </c>
      <c r="I177" s="3">
        <f>IF(5&gt;$C177,"",IF($D177=1,EOMONTH(EDATE(Bonds!$H177,6*(5-1)),0),EDATE(Bonds!$H177,6*(5-1))))</f>
        <v>47087</v>
      </c>
      <c r="J177" s="3">
        <f>IF(6&gt;$C177,"",IF($D177=1,EOMONTH(EDATE(Bonds!$H177,6*(6-1)),0),EDATE(Bonds!$H177,6*(6-1))))</f>
        <v>47269</v>
      </c>
      <c r="K177" s="3">
        <f>IF(7&gt;$C177,"",IF($D177=1,EOMONTH(EDATE(Bonds!$H177,6*(7-1)),0),EDATE(Bonds!$H177,6*(7-1))))</f>
        <v>47452</v>
      </c>
      <c r="L177" s="3">
        <f>IF(8&gt;$C177,"",IF($D177=1,EOMONTH(EDATE(Bonds!$H177,6*(8-1)),0),EDATE(Bonds!$H177,6*(8-1))))</f>
        <v>47634</v>
      </c>
      <c r="M177" s="3" t="str">
        <f>IF(9&gt;$C177,"",IF($D177=1,EOMONTH(EDATE(Bonds!$H177,6*(9-1)),0),EDATE(Bonds!$H177,6*(9-1))))</f>
        <v/>
      </c>
      <c r="N177" s="3" t="str">
        <f>IF(10&gt;$C177,"",IF($D177=1,EOMONTH(EDATE(Bonds!$H177,6*(10-1)),0),EDATE(Bonds!$H177,6*(10-1))))</f>
        <v/>
      </c>
      <c r="O177" s="3" t="str">
        <f>IF(11&gt;$C177,"",IF($D177=1,EOMONTH(EDATE(Bonds!$H177,6*(11-1)),0),EDATE(Bonds!$H177,6*(11-1))))</f>
        <v/>
      </c>
      <c r="P177" s="3" t="str">
        <f>IF(12&gt;$C177,"",IF($D177=1,EOMONTH(EDATE(Bonds!$H177,6*(12-1)),0),EDATE(Bonds!$H177,6*(12-1))))</f>
        <v/>
      </c>
      <c r="Q177" s="3" t="str">
        <f>IF(13&gt;$C177,"",IF($D177=1,EOMONTH(EDATE(Bonds!$H177,6*(13-1)),0),EDATE(Bonds!$H177,6*(13-1))))</f>
        <v/>
      </c>
      <c r="R177" s="3" t="str">
        <f>IF(14&gt;$C177,"",IF($D177=1,EOMONTH(EDATE(Bonds!$H177,6*(14-1)),0),EDATE(Bonds!$H177,6*(14-1))))</f>
        <v/>
      </c>
      <c r="S177" s="3" t="str">
        <f>IF(15&gt;$C177,"",IF($D177=1,EOMONTH(EDATE(Bonds!$H177,6*(15-1)),0),EDATE(Bonds!$H177,6*(15-1))))</f>
        <v/>
      </c>
      <c r="T177" s="3" t="str">
        <f>IF(16&gt;$C177,"",IF($D177=1,EOMONTH(EDATE(Bonds!$H177,6*(16-1)),0),EDATE(Bonds!$H177,6*(16-1))))</f>
        <v/>
      </c>
      <c r="U177" s="3" t="str">
        <f>IF(17&gt;$C177,"",IF($D177=1,EOMONTH(EDATE(Bonds!$H177,6*(17-1)),0),EDATE(Bonds!$H177,6*(17-1))))</f>
        <v/>
      </c>
      <c r="V177" s="3" t="str">
        <f>IF(18&gt;$C177,"",IF($D177=1,EOMONTH(EDATE(Bonds!$H177,6*(18-1)),0),EDATE(Bonds!$H177,6*(18-1))))</f>
        <v/>
      </c>
      <c r="W177" s="3" t="str">
        <f>IF(19&gt;$C177,"",IF($D177=1,EOMONTH(EDATE(Bonds!$H177,6*(19-1)),0),EDATE(Bonds!$H177,6*(19-1))))</f>
        <v/>
      </c>
      <c r="X177" s="3" t="str">
        <f>IF(20&gt;$C177,"",IF($D177=1,EOMONTH(EDATE(Bonds!$H177,6*(20-1)),0),EDATE(Bonds!$H177,6*(20-1))))</f>
        <v/>
      </c>
      <c r="Y177" s="3" t="str">
        <f>IF(21&gt;$C177,"",IF($D177=1,EOMONTH(EDATE(Bonds!$H177,6*(21-1)),0),EDATE(Bonds!$H177,6*(21-1))))</f>
        <v/>
      </c>
      <c r="Z177" s="3" t="str">
        <f>IF(22&gt;$C177,"",IF($D177=1,EOMONTH(EDATE(Bonds!$H177,6*(22-1)),0),EDATE(Bonds!$H177,6*(22-1))))</f>
        <v/>
      </c>
      <c r="AA177" s="3" t="str">
        <f>IF(23&gt;$C177,"",IF($D177=1,EOMONTH(EDATE(Bonds!$H177,6*(23-1)),0),EDATE(Bonds!$H177,6*(23-1))))</f>
        <v/>
      </c>
      <c r="AB177" s="3" t="str">
        <f>IF(24&gt;$C177,"",IF($D177=1,EOMONTH(EDATE(Bonds!$H177,6*(24-1)),0),EDATE(Bonds!$H177,6*(24-1))))</f>
        <v/>
      </c>
      <c r="AC177" s="3" t="str">
        <f>IF(25&gt;$C177,"",IF($D177=1,EOMONTH(EDATE(Bonds!$H177,6*(25-1)),0),EDATE(Bonds!$H177,6*(25-1))))</f>
        <v/>
      </c>
      <c r="AD177" s="3" t="str">
        <f>IF(26&gt;$C177,"",IF($D177=1,EOMONTH(EDATE(Bonds!$H177,6*(26-1)),0),EDATE(Bonds!$H177,6*(26-1))))</f>
        <v/>
      </c>
      <c r="AE177" s="3" t="str">
        <f>IF(27&gt;$C177,"",IF($D177=1,EOMONTH(EDATE(Bonds!$H177,6*(27-1)),0),EDATE(Bonds!$H177,6*(27-1))))</f>
        <v/>
      </c>
      <c r="AF177" s="3" t="str">
        <f>IF(28&gt;$C177,"",IF($D177=1,EOMONTH(EDATE(Bonds!$H177,6*(28-1)),0),EDATE(Bonds!$H177,6*(28-1))))</f>
        <v/>
      </c>
      <c r="AG177" s="3" t="str">
        <f>IF(29&gt;$C177,"",IF($D177=1,EOMONTH(EDATE(Bonds!$H177,6*(29-1)),0),EDATE(Bonds!$H177,6*(29-1))))</f>
        <v/>
      </c>
      <c r="AH177" s="3" t="str">
        <f>IF(30&gt;$C177,"",IF($D177=1,EOMONTH(EDATE(Bonds!$H177,6*(30-1)),0),EDATE(Bonds!$H177,6*(30-1))))</f>
        <v/>
      </c>
      <c r="AI177" s="3" t="str">
        <f>IF(31&gt;$C177,"",IF($D177=1,EOMONTH(EDATE(Bonds!$H177,6*(31-1)),0),EDATE(Bonds!$H177,6*(31-1))))</f>
        <v/>
      </c>
      <c r="AJ177" s="3" t="str">
        <f>IF(32&gt;$C177,"",IF($D177=1,EOMONTH(EDATE(Bonds!$H177,6*(32-1)),0),EDATE(Bonds!$H177,6*(32-1))))</f>
        <v/>
      </c>
      <c r="AK177" s="3" t="str">
        <f>IF(33&gt;$C177,"",IF($D177=1,EOMONTH(EDATE(Bonds!$H177,6*(33-1)),0),EDATE(Bonds!$H177,6*(33-1))))</f>
        <v/>
      </c>
      <c r="AL177" s="3" t="str">
        <f>IF(34&gt;$C177,"",IF($D177=1,EOMONTH(EDATE(Bonds!$H177,6*(34-1)),0),EDATE(Bonds!$H177,6*(34-1))))</f>
        <v/>
      </c>
      <c r="AM177" s="3" t="str">
        <f>IF(35&gt;$C177,"",IF($D177=1,EOMONTH(EDATE(Bonds!$H177,6*(35-1)),0),EDATE(Bonds!$H177,6*(35-1))))</f>
        <v/>
      </c>
      <c r="AN177" s="3" t="str">
        <f>IF(36&gt;$C177,"",IF($D177=1,EOMONTH(EDATE(Bonds!$H177,6*(36-1)),0),EDATE(Bonds!$H177,6*(36-1))))</f>
        <v/>
      </c>
      <c r="AO177" s="3" t="str">
        <f>IF(37&gt;$C177,"",IF($D177=1,EOMONTH(EDATE(Bonds!$H177,6*(37-1)),0),EDATE(Bonds!$H177,6*(37-1))))</f>
        <v/>
      </c>
      <c r="AP177" s="3" t="str">
        <f>IF(38&gt;$C177,"",IF($D177=1,EOMONTH(EDATE(Bonds!$H177,6*(38-1)),0),EDATE(Bonds!$H177,6*(38-1))))</f>
        <v/>
      </c>
      <c r="AQ177" s="3" t="str">
        <f>IF(39&gt;$C177,"",IF($D177=1,EOMONTH(EDATE(Bonds!$H177,6*(39-1)),0),EDATE(Bonds!$H177,6*(39-1))))</f>
        <v/>
      </c>
      <c r="AR177" s="3" t="str">
        <f>IF(40&gt;$C177,"",IF($D177=1,EOMONTH(EDATE(Bonds!$H177,6*(40-1)),0),EDATE(Bonds!$H177,6*(40-1))))</f>
        <v/>
      </c>
      <c r="AS177" s="3" t="str">
        <f>IF(41&gt;$C177,"",IF($D177=1,EOMONTH(EDATE(Bonds!$H177,6*(41-1)),0),EDATE(Bonds!$H177,6*(41-1))))</f>
        <v/>
      </c>
      <c r="AT177" s="3" t="str">
        <f>IF(42&gt;$C177,"",IF($D177=1,EOMONTH(EDATE(Bonds!$H177,6*(42-1)),0),EDATE(Bonds!$H177,6*(42-1))))</f>
        <v/>
      </c>
      <c r="AU177" s="3" t="str">
        <f>IF(43&gt;$C177,"",IF($D177=1,EOMONTH(EDATE(Bonds!$H177,6*(43-1)),0),EDATE(Bonds!$H177,6*(43-1))))</f>
        <v/>
      </c>
      <c r="AV177" s="3" t="str">
        <f>IF(44&gt;$C177,"",IF($D177=1,EOMONTH(EDATE(Bonds!$H177,6*(44-1)),0),EDATE(Bonds!$H177,6*(44-1))))</f>
        <v/>
      </c>
      <c r="AW177" s="3" t="str">
        <f>IF(45&gt;$C177,"",IF($D177=1,EOMONTH(EDATE(Bonds!$H177,6*(45-1)),0),EDATE(Bonds!$H177,6*(45-1))))</f>
        <v/>
      </c>
      <c r="AX177" s="3" t="str">
        <f>IF(46&gt;$C177,"",IF($D177=1,EOMONTH(EDATE(Bonds!$H177,6*(46-1)),0),EDATE(Bonds!$H177,6*(46-1))))</f>
        <v/>
      </c>
      <c r="AY177" s="3" t="str">
        <f>IF(47&gt;$C177,"",IF($D177=1,EOMONTH(EDATE(Bonds!$H177,6*(47-1)),0),EDATE(Bonds!$H177,6*(47-1))))</f>
        <v/>
      </c>
      <c r="AZ177" s="3" t="str">
        <f>IF(48&gt;$C177,"",IF($D177=1,EOMONTH(EDATE(Bonds!$H177,6*(48-1)),0),EDATE(Bonds!$H177,6*(48-1))))</f>
        <v/>
      </c>
      <c r="BA177" s="3" t="str">
        <f>IF(49&gt;$C177,"",IF($D177=1,EOMONTH(EDATE(Bonds!$H177,6*(49-1)),0),EDATE(Bonds!$H177,6*(49-1))))</f>
        <v/>
      </c>
      <c r="BB177" s="3" t="str">
        <f>IF(50&gt;$C177,"",IF($D177=1,EOMONTH(EDATE(Bonds!$H177,6*(50-1)),0),EDATE(Bonds!$H177,6*(50-1))))</f>
        <v/>
      </c>
      <c r="BC177" s="3" t="str">
        <f>IF(51&gt;$C177,"",IF($D177=1,EOMONTH(EDATE(Bonds!$H177,6*(51-1)),0),EDATE(Bonds!$H177,6*(51-1))))</f>
        <v/>
      </c>
      <c r="BD177" s="3" t="str">
        <f>IF(52&gt;$C177,"",IF($D177=1,EOMONTH(EDATE(Bonds!$H177,6*(52-1)),0),EDATE(Bonds!$H177,6*(52-1))))</f>
        <v/>
      </c>
      <c r="BE177" s="3" t="str">
        <f>IF(53&gt;$C177,"",IF($D177=1,EOMONTH(EDATE(Bonds!$H177,6*(53-1)),0),EDATE(Bonds!$H177,6*(53-1))))</f>
        <v/>
      </c>
      <c r="BF177" s="3" t="str">
        <f>IF(54&gt;$C177,"",IF($D177=1,EOMONTH(EDATE(Bonds!$H177,6*(54-1)),0),EDATE(Bonds!$H177,6*(54-1))))</f>
        <v/>
      </c>
      <c r="BG177" s="3" t="str">
        <f>IF(55&gt;$C177,"",IF($D177=1,EOMONTH(EDATE(Bonds!$H177,6*(55-1)),0),EDATE(Bonds!$H177,6*(55-1))))</f>
        <v/>
      </c>
      <c r="BH177" s="3" t="str">
        <f>IF(56&gt;$C177,"",IF($D177=1,EOMONTH(EDATE(Bonds!$H177,6*(56-1)),0),EDATE(Bonds!$H177,6*(56-1))))</f>
        <v/>
      </c>
      <c r="BI177" s="3" t="str">
        <f>IF(57&gt;$C177,"",IF($D177=1,EOMONTH(EDATE(Bonds!$H177,6*(57-1)),0),EDATE(Bonds!$H177,6*(57-1))))</f>
        <v/>
      </c>
      <c r="BJ177" s="3" t="str">
        <f>IF(58&gt;$C177,"",IF($D177=1,EOMONTH(EDATE(Bonds!$H177,6*(58-1)),0),EDATE(Bonds!$H177,6*(58-1))))</f>
        <v/>
      </c>
      <c r="BK177" s="3" t="str">
        <f>IF(59&gt;$C177,"",IF($D177=1,EOMONTH(EDATE(Bonds!$H177,6*(59-1)),0),EDATE(Bonds!$H177,6*(59-1))))</f>
        <v/>
      </c>
      <c r="BL177" s="3" t="str">
        <f>IF(60&gt;$C177,"",IF($D177=1,EOMONTH(EDATE(Bonds!$H177,6*(60-1)),0),EDATE(Bonds!$H177,6*(60-1))))</f>
        <v/>
      </c>
      <c r="BN177" s="7">
        <f t="shared" si="123"/>
        <v>1.8589411999423437</v>
      </c>
      <c r="BO177" s="7">
        <f t="shared" si="124"/>
        <v>1.8208764809500384</v>
      </c>
      <c r="BP177" s="7">
        <f t="shared" si="125"/>
        <v>1.7808352026087773</v>
      </c>
      <c r="BQ177" s="7">
        <f t="shared" si="126"/>
        <v>1.7406230054213425</v>
      </c>
      <c r="BR177" s="7">
        <f t="shared" si="127"/>
        <v>1.7010270151700673</v>
      </c>
      <c r="BS177" s="7">
        <f t="shared" si="128"/>
        <v>1.662560824917716</v>
      </c>
      <c r="BT177" s="7">
        <f t="shared" si="129"/>
        <v>1.6248409632453666</v>
      </c>
      <c r="BU177" s="7">
        <f t="shared" si="130"/>
        <v>86.291572669614908</v>
      </c>
      <c r="BV177" s="7">
        <f t="shared" si="131"/>
        <v>0</v>
      </c>
      <c r="BW177" s="7">
        <f t="shared" si="132"/>
        <v>0</v>
      </c>
      <c r="BX177" s="7">
        <f t="shared" si="133"/>
        <v>0</v>
      </c>
      <c r="BY177" s="7">
        <f t="shared" si="134"/>
        <v>0</v>
      </c>
      <c r="BZ177" s="7">
        <f t="shared" si="135"/>
        <v>0</v>
      </c>
      <c r="CA177" s="7">
        <f t="shared" si="136"/>
        <v>0</v>
      </c>
      <c r="CB177" s="7">
        <f t="shared" si="137"/>
        <v>0</v>
      </c>
      <c r="CC177" s="7">
        <f t="shared" si="138"/>
        <v>0</v>
      </c>
      <c r="CD177" s="7">
        <f t="shared" si="139"/>
        <v>0</v>
      </c>
      <c r="CE177" s="7">
        <f t="shared" si="140"/>
        <v>0</v>
      </c>
      <c r="CF177" s="7">
        <f t="shared" si="141"/>
        <v>0</v>
      </c>
      <c r="CG177" s="7">
        <f t="shared" si="142"/>
        <v>0</v>
      </c>
      <c r="CH177" s="7">
        <f t="shared" si="143"/>
        <v>0</v>
      </c>
      <c r="CI177" s="7">
        <f t="shared" si="144"/>
        <v>0</v>
      </c>
      <c r="CJ177" s="7">
        <f t="shared" si="145"/>
        <v>0</v>
      </c>
      <c r="CK177" s="7">
        <f t="shared" si="146"/>
        <v>0</v>
      </c>
      <c r="CL177" s="7">
        <f t="shared" si="147"/>
        <v>0</v>
      </c>
      <c r="CM177" s="7">
        <f t="shared" si="148"/>
        <v>0</v>
      </c>
      <c r="CN177" s="7">
        <f t="shared" si="149"/>
        <v>0</v>
      </c>
      <c r="CO177" s="7">
        <f t="shared" si="150"/>
        <v>0</v>
      </c>
      <c r="CP177" s="7">
        <f t="shared" si="151"/>
        <v>0</v>
      </c>
      <c r="CQ177" s="7">
        <f t="shared" si="152"/>
        <v>0</v>
      </c>
      <c r="CR177" s="7">
        <f t="shared" si="153"/>
        <v>0</v>
      </c>
      <c r="CS177" s="7">
        <f t="shared" si="154"/>
        <v>0</v>
      </c>
      <c r="CT177" s="7">
        <f t="shared" si="155"/>
        <v>0</v>
      </c>
      <c r="CU177" s="7">
        <f t="shared" si="156"/>
        <v>0</v>
      </c>
      <c r="CV177" s="7">
        <f t="shared" si="157"/>
        <v>0</v>
      </c>
      <c r="CW177" s="7">
        <f t="shared" si="158"/>
        <v>0</v>
      </c>
      <c r="CX177" s="7">
        <f t="shared" si="159"/>
        <v>0</v>
      </c>
      <c r="CY177" s="7">
        <f t="shared" si="160"/>
        <v>0</v>
      </c>
      <c r="CZ177" s="7">
        <f t="shared" si="161"/>
        <v>0</v>
      </c>
      <c r="DA177" s="7">
        <f t="shared" si="162"/>
        <v>0</v>
      </c>
      <c r="DB177" s="7">
        <f t="shared" si="163"/>
        <v>0</v>
      </c>
      <c r="DC177" s="7">
        <f t="shared" si="164"/>
        <v>0</v>
      </c>
      <c r="DD177" s="7">
        <f t="shared" si="165"/>
        <v>0</v>
      </c>
      <c r="DE177" s="7">
        <f t="shared" si="166"/>
        <v>0</v>
      </c>
      <c r="DF177" s="7">
        <f t="shared" si="167"/>
        <v>0</v>
      </c>
      <c r="DG177" s="7">
        <f t="shared" si="168"/>
        <v>0</v>
      </c>
      <c r="DH177" s="7">
        <f t="shared" si="169"/>
        <v>0</v>
      </c>
      <c r="DI177" s="7">
        <f t="shared" si="170"/>
        <v>0</v>
      </c>
      <c r="DJ177" s="7">
        <f t="shared" si="171"/>
        <v>0</v>
      </c>
      <c r="DK177" s="7">
        <f t="shared" si="172"/>
        <v>0</v>
      </c>
      <c r="DL177" s="7">
        <f t="shared" si="173"/>
        <v>0</v>
      </c>
      <c r="DM177" s="7">
        <f t="shared" si="174"/>
        <v>0</v>
      </c>
      <c r="DN177" s="7">
        <f t="shared" si="175"/>
        <v>0</v>
      </c>
      <c r="DO177" s="7">
        <f t="shared" si="176"/>
        <v>0</v>
      </c>
      <c r="DP177" s="7">
        <f t="shared" si="177"/>
        <v>0</v>
      </c>
      <c r="DQ177" s="7">
        <f t="shared" si="178"/>
        <v>0</v>
      </c>
      <c r="DR177" s="7">
        <f t="shared" si="179"/>
        <v>0</v>
      </c>
      <c r="DS177" s="7">
        <f t="shared" si="180"/>
        <v>0</v>
      </c>
      <c r="DT177" s="7">
        <f t="shared" si="181"/>
        <v>0</v>
      </c>
      <c r="DU177" s="7">
        <f t="shared" si="182"/>
        <v>0</v>
      </c>
    </row>
    <row r="178" spans="1:125" x14ac:dyDescent="0.2">
      <c r="A178" s="3">
        <f>Bonds!A178</f>
        <v>47634</v>
      </c>
      <c r="B178" s="4">
        <f>Bonds!B178</f>
        <v>4</v>
      </c>
      <c r="C178">
        <f>Bonds!P178</f>
        <v>8</v>
      </c>
      <c r="D178">
        <f t="shared" si="122"/>
        <v>1</v>
      </c>
      <c r="E178" s="3">
        <f>IF(1&gt;$C178,"",IF($D178=1,EOMONTH(EDATE(Bonds!$H178,6*(1-1)),0),EDATE(Bonds!$H178,6*(1-1))))</f>
        <v>46356</v>
      </c>
      <c r="F178" s="3">
        <f>IF(2&gt;$C178,"",IF($D178=1,EOMONTH(EDATE(Bonds!$H178,6*(2-1)),0),EDATE(Bonds!$H178,6*(2-1))))</f>
        <v>46538</v>
      </c>
      <c r="G178" s="3">
        <f>IF(3&gt;$C178,"",IF($D178=1,EOMONTH(EDATE(Bonds!$H178,6*(3-1)),0),EDATE(Bonds!$H178,6*(3-1))))</f>
        <v>46721</v>
      </c>
      <c r="H178" s="3">
        <f>IF(4&gt;$C178,"",IF($D178=1,EOMONTH(EDATE(Bonds!$H178,6*(4-1)),0),EDATE(Bonds!$H178,6*(4-1))))</f>
        <v>46904</v>
      </c>
      <c r="I178" s="3">
        <f>IF(5&gt;$C178,"",IF($D178=1,EOMONTH(EDATE(Bonds!$H178,6*(5-1)),0),EDATE(Bonds!$H178,6*(5-1))))</f>
        <v>47087</v>
      </c>
      <c r="J178" s="3">
        <f>IF(6&gt;$C178,"",IF($D178=1,EOMONTH(EDATE(Bonds!$H178,6*(6-1)),0),EDATE(Bonds!$H178,6*(6-1))))</f>
        <v>47269</v>
      </c>
      <c r="K178" s="3">
        <f>IF(7&gt;$C178,"",IF($D178=1,EOMONTH(EDATE(Bonds!$H178,6*(7-1)),0),EDATE(Bonds!$H178,6*(7-1))))</f>
        <v>47452</v>
      </c>
      <c r="L178" s="3">
        <f>IF(8&gt;$C178,"",IF($D178=1,EOMONTH(EDATE(Bonds!$H178,6*(8-1)),0),EDATE(Bonds!$H178,6*(8-1))))</f>
        <v>47634</v>
      </c>
      <c r="M178" s="3" t="str">
        <f>IF(9&gt;$C178,"",IF($D178=1,EOMONTH(EDATE(Bonds!$H178,6*(9-1)),0),EDATE(Bonds!$H178,6*(9-1))))</f>
        <v/>
      </c>
      <c r="N178" s="3" t="str">
        <f>IF(10&gt;$C178,"",IF($D178=1,EOMONTH(EDATE(Bonds!$H178,6*(10-1)),0),EDATE(Bonds!$H178,6*(10-1))))</f>
        <v/>
      </c>
      <c r="O178" s="3" t="str">
        <f>IF(11&gt;$C178,"",IF($D178=1,EOMONTH(EDATE(Bonds!$H178,6*(11-1)),0),EDATE(Bonds!$H178,6*(11-1))))</f>
        <v/>
      </c>
      <c r="P178" s="3" t="str">
        <f>IF(12&gt;$C178,"",IF($D178=1,EOMONTH(EDATE(Bonds!$H178,6*(12-1)),0),EDATE(Bonds!$H178,6*(12-1))))</f>
        <v/>
      </c>
      <c r="Q178" s="3" t="str">
        <f>IF(13&gt;$C178,"",IF($D178=1,EOMONTH(EDATE(Bonds!$H178,6*(13-1)),0),EDATE(Bonds!$H178,6*(13-1))))</f>
        <v/>
      </c>
      <c r="R178" s="3" t="str">
        <f>IF(14&gt;$C178,"",IF($D178=1,EOMONTH(EDATE(Bonds!$H178,6*(14-1)),0),EDATE(Bonds!$H178,6*(14-1))))</f>
        <v/>
      </c>
      <c r="S178" s="3" t="str">
        <f>IF(15&gt;$C178,"",IF($D178=1,EOMONTH(EDATE(Bonds!$H178,6*(15-1)),0),EDATE(Bonds!$H178,6*(15-1))))</f>
        <v/>
      </c>
      <c r="T178" s="3" t="str">
        <f>IF(16&gt;$C178,"",IF($D178=1,EOMONTH(EDATE(Bonds!$H178,6*(16-1)),0),EDATE(Bonds!$H178,6*(16-1))))</f>
        <v/>
      </c>
      <c r="U178" s="3" t="str">
        <f>IF(17&gt;$C178,"",IF($D178=1,EOMONTH(EDATE(Bonds!$H178,6*(17-1)),0),EDATE(Bonds!$H178,6*(17-1))))</f>
        <v/>
      </c>
      <c r="V178" s="3" t="str">
        <f>IF(18&gt;$C178,"",IF($D178=1,EOMONTH(EDATE(Bonds!$H178,6*(18-1)),0),EDATE(Bonds!$H178,6*(18-1))))</f>
        <v/>
      </c>
      <c r="W178" s="3" t="str">
        <f>IF(19&gt;$C178,"",IF($D178=1,EOMONTH(EDATE(Bonds!$H178,6*(19-1)),0),EDATE(Bonds!$H178,6*(19-1))))</f>
        <v/>
      </c>
      <c r="X178" s="3" t="str">
        <f>IF(20&gt;$C178,"",IF($D178=1,EOMONTH(EDATE(Bonds!$H178,6*(20-1)),0),EDATE(Bonds!$H178,6*(20-1))))</f>
        <v/>
      </c>
      <c r="Y178" s="3" t="str">
        <f>IF(21&gt;$C178,"",IF($D178=1,EOMONTH(EDATE(Bonds!$H178,6*(21-1)),0),EDATE(Bonds!$H178,6*(21-1))))</f>
        <v/>
      </c>
      <c r="Z178" s="3" t="str">
        <f>IF(22&gt;$C178,"",IF($D178=1,EOMONTH(EDATE(Bonds!$H178,6*(22-1)),0),EDATE(Bonds!$H178,6*(22-1))))</f>
        <v/>
      </c>
      <c r="AA178" s="3" t="str">
        <f>IF(23&gt;$C178,"",IF($D178=1,EOMONTH(EDATE(Bonds!$H178,6*(23-1)),0),EDATE(Bonds!$H178,6*(23-1))))</f>
        <v/>
      </c>
      <c r="AB178" s="3" t="str">
        <f>IF(24&gt;$C178,"",IF($D178=1,EOMONTH(EDATE(Bonds!$H178,6*(24-1)),0),EDATE(Bonds!$H178,6*(24-1))))</f>
        <v/>
      </c>
      <c r="AC178" s="3" t="str">
        <f>IF(25&gt;$C178,"",IF($D178=1,EOMONTH(EDATE(Bonds!$H178,6*(25-1)),0),EDATE(Bonds!$H178,6*(25-1))))</f>
        <v/>
      </c>
      <c r="AD178" s="3" t="str">
        <f>IF(26&gt;$C178,"",IF($D178=1,EOMONTH(EDATE(Bonds!$H178,6*(26-1)),0),EDATE(Bonds!$H178,6*(26-1))))</f>
        <v/>
      </c>
      <c r="AE178" s="3" t="str">
        <f>IF(27&gt;$C178,"",IF($D178=1,EOMONTH(EDATE(Bonds!$H178,6*(27-1)),0),EDATE(Bonds!$H178,6*(27-1))))</f>
        <v/>
      </c>
      <c r="AF178" s="3" t="str">
        <f>IF(28&gt;$C178,"",IF($D178=1,EOMONTH(EDATE(Bonds!$H178,6*(28-1)),0),EDATE(Bonds!$H178,6*(28-1))))</f>
        <v/>
      </c>
      <c r="AG178" s="3" t="str">
        <f>IF(29&gt;$C178,"",IF($D178=1,EOMONTH(EDATE(Bonds!$H178,6*(29-1)),0),EDATE(Bonds!$H178,6*(29-1))))</f>
        <v/>
      </c>
      <c r="AH178" s="3" t="str">
        <f>IF(30&gt;$C178,"",IF($D178=1,EOMONTH(EDATE(Bonds!$H178,6*(30-1)),0),EDATE(Bonds!$H178,6*(30-1))))</f>
        <v/>
      </c>
      <c r="AI178" s="3" t="str">
        <f>IF(31&gt;$C178,"",IF($D178=1,EOMONTH(EDATE(Bonds!$H178,6*(31-1)),0),EDATE(Bonds!$H178,6*(31-1))))</f>
        <v/>
      </c>
      <c r="AJ178" s="3" t="str">
        <f>IF(32&gt;$C178,"",IF($D178=1,EOMONTH(EDATE(Bonds!$H178,6*(32-1)),0),EDATE(Bonds!$H178,6*(32-1))))</f>
        <v/>
      </c>
      <c r="AK178" s="3" t="str">
        <f>IF(33&gt;$C178,"",IF($D178=1,EOMONTH(EDATE(Bonds!$H178,6*(33-1)),0),EDATE(Bonds!$H178,6*(33-1))))</f>
        <v/>
      </c>
      <c r="AL178" s="3" t="str">
        <f>IF(34&gt;$C178,"",IF($D178=1,EOMONTH(EDATE(Bonds!$H178,6*(34-1)),0),EDATE(Bonds!$H178,6*(34-1))))</f>
        <v/>
      </c>
      <c r="AM178" s="3" t="str">
        <f>IF(35&gt;$C178,"",IF($D178=1,EOMONTH(EDATE(Bonds!$H178,6*(35-1)),0),EDATE(Bonds!$H178,6*(35-1))))</f>
        <v/>
      </c>
      <c r="AN178" s="3" t="str">
        <f>IF(36&gt;$C178,"",IF($D178=1,EOMONTH(EDATE(Bonds!$H178,6*(36-1)),0),EDATE(Bonds!$H178,6*(36-1))))</f>
        <v/>
      </c>
      <c r="AO178" s="3" t="str">
        <f>IF(37&gt;$C178,"",IF($D178=1,EOMONTH(EDATE(Bonds!$H178,6*(37-1)),0),EDATE(Bonds!$H178,6*(37-1))))</f>
        <v/>
      </c>
      <c r="AP178" s="3" t="str">
        <f>IF(38&gt;$C178,"",IF($D178=1,EOMONTH(EDATE(Bonds!$H178,6*(38-1)),0),EDATE(Bonds!$H178,6*(38-1))))</f>
        <v/>
      </c>
      <c r="AQ178" s="3" t="str">
        <f>IF(39&gt;$C178,"",IF($D178=1,EOMONTH(EDATE(Bonds!$H178,6*(39-1)),0),EDATE(Bonds!$H178,6*(39-1))))</f>
        <v/>
      </c>
      <c r="AR178" s="3" t="str">
        <f>IF(40&gt;$C178,"",IF($D178=1,EOMONTH(EDATE(Bonds!$H178,6*(40-1)),0),EDATE(Bonds!$H178,6*(40-1))))</f>
        <v/>
      </c>
      <c r="AS178" s="3" t="str">
        <f>IF(41&gt;$C178,"",IF($D178=1,EOMONTH(EDATE(Bonds!$H178,6*(41-1)),0),EDATE(Bonds!$H178,6*(41-1))))</f>
        <v/>
      </c>
      <c r="AT178" s="3" t="str">
        <f>IF(42&gt;$C178,"",IF($D178=1,EOMONTH(EDATE(Bonds!$H178,6*(42-1)),0),EDATE(Bonds!$H178,6*(42-1))))</f>
        <v/>
      </c>
      <c r="AU178" s="3" t="str">
        <f>IF(43&gt;$C178,"",IF($D178=1,EOMONTH(EDATE(Bonds!$H178,6*(43-1)),0),EDATE(Bonds!$H178,6*(43-1))))</f>
        <v/>
      </c>
      <c r="AV178" s="3" t="str">
        <f>IF(44&gt;$C178,"",IF($D178=1,EOMONTH(EDATE(Bonds!$H178,6*(44-1)),0),EDATE(Bonds!$H178,6*(44-1))))</f>
        <v/>
      </c>
      <c r="AW178" s="3" t="str">
        <f>IF(45&gt;$C178,"",IF($D178=1,EOMONTH(EDATE(Bonds!$H178,6*(45-1)),0),EDATE(Bonds!$H178,6*(45-1))))</f>
        <v/>
      </c>
      <c r="AX178" s="3" t="str">
        <f>IF(46&gt;$C178,"",IF($D178=1,EOMONTH(EDATE(Bonds!$H178,6*(46-1)),0),EDATE(Bonds!$H178,6*(46-1))))</f>
        <v/>
      </c>
      <c r="AY178" s="3" t="str">
        <f>IF(47&gt;$C178,"",IF($D178=1,EOMONTH(EDATE(Bonds!$H178,6*(47-1)),0),EDATE(Bonds!$H178,6*(47-1))))</f>
        <v/>
      </c>
      <c r="AZ178" s="3" t="str">
        <f>IF(48&gt;$C178,"",IF($D178=1,EOMONTH(EDATE(Bonds!$H178,6*(48-1)),0),EDATE(Bonds!$H178,6*(48-1))))</f>
        <v/>
      </c>
      <c r="BA178" s="3" t="str">
        <f>IF(49&gt;$C178,"",IF($D178=1,EOMONTH(EDATE(Bonds!$H178,6*(49-1)),0),EDATE(Bonds!$H178,6*(49-1))))</f>
        <v/>
      </c>
      <c r="BB178" s="3" t="str">
        <f>IF(50&gt;$C178,"",IF($D178=1,EOMONTH(EDATE(Bonds!$H178,6*(50-1)),0),EDATE(Bonds!$H178,6*(50-1))))</f>
        <v/>
      </c>
      <c r="BC178" s="3" t="str">
        <f>IF(51&gt;$C178,"",IF($D178=1,EOMONTH(EDATE(Bonds!$H178,6*(51-1)),0),EDATE(Bonds!$H178,6*(51-1))))</f>
        <v/>
      </c>
      <c r="BD178" s="3" t="str">
        <f>IF(52&gt;$C178,"",IF($D178=1,EOMONTH(EDATE(Bonds!$H178,6*(52-1)),0),EDATE(Bonds!$H178,6*(52-1))))</f>
        <v/>
      </c>
      <c r="BE178" s="3" t="str">
        <f>IF(53&gt;$C178,"",IF($D178=1,EOMONTH(EDATE(Bonds!$H178,6*(53-1)),0),EDATE(Bonds!$H178,6*(53-1))))</f>
        <v/>
      </c>
      <c r="BF178" s="3" t="str">
        <f>IF(54&gt;$C178,"",IF($D178=1,EOMONTH(EDATE(Bonds!$H178,6*(54-1)),0),EDATE(Bonds!$H178,6*(54-1))))</f>
        <v/>
      </c>
      <c r="BG178" s="3" t="str">
        <f>IF(55&gt;$C178,"",IF($D178=1,EOMONTH(EDATE(Bonds!$H178,6*(55-1)),0),EDATE(Bonds!$H178,6*(55-1))))</f>
        <v/>
      </c>
      <c r="BH178" s="3" t="str">
        <f>IF(56&gt;$C178,"",IF($D178=1,EOMONTH(EDATE(Bonds!$H178,6*(56-1)),0),EDATE(Bonds!$H178,6*(56-1))))</f>
        <v/>
      </c>
      <c r="BI178" s="3" t="str">
        <f>IF(57&gt;$C178,"",IF($D178=1,EOMONTH(EDATE(Bonds!$H178,6*(57-1)),0),EDATE(Bonds!$H178,6*(57-1))))</f>
        <v/>
      </c>
      <c r="BJ178" s="3" t="str">
        <f>IF(58&gt;$C178,"",IF($D178=1,EOMONTH(EDATE(Bonds!$H178,6*(58-1)),0),EDATE(Bonds!$H178,6*(58-1))))</f>
        <v/>
      </c>
      <c r="BK178" s="3" t="str">
        <f>IF(59&gt;$C178,"",IF($D178=1,EOMONTH(EDATE(Bonds!$H178,6*(59-1)),0),EDATE(Bonds!$H178,6*(59-1))))</f>
        <v/>
      </c>
      <c r="BL178" s="3" t="str">
        <f>IF(60&gt;$C178,"",IF($D178=1,EOMONTH(EDATE(Bonds!$H178,6*(60-1)),0),EDATE(Bonds!$H178,6*(60-1))))</f>
        <v/>
      </c>
      <c r="BN178" s="7">
        <f t="shared" si="123"/>
        <v>1.9828706132718334</v>
      </c>
      <c r="BO178" s="7">
        <f t="shared" si="124"/>
        <v>1.9422682463467076</v>
      </c>
      <c r="BP178" s="7">
        <f t="shared" si="125"/>
        <v>1.8995575494493624</v>
      </c>
      <c r="BQ178" s="7">
        <f t="shared" si="126"/>
        <v>1.8566645391160987</v>
      </c>
      <c r="BR178" s="7">
        <f t="shared" si="127"/>
        <v>1.8144288161814051</v>
      </c>
      <c r="BS178" s="7">
        <f t="shared" si="128"/>
        <v>1.7733982132455637</v>
      </c>
      <c r="BT178" s="7">
        <f t="shared" si="129"/>
        <v>1.733163694128391</v>
      </c>
      <c r="BU178" s="7">
        <f t="shared" si="130"/>
        <v>86.397451899884373</v>
      </c>
      <c r="BV178" s="7">
        <f t="shared" si="131"/>
        <v>0</v>
      </c>
      <c r="BW178" s="7">
        <f t="shared" si="132"/>
        <v>0</v>
      </c>
      <c r="BX178" s="7">
        <f t="shared" si="133"/>
        <v>0</v>
      </c>
      <c r="BY178" s="7">
        <f t="shared" si="134"/>
        <v>0</v>
      </c>
      <c r="BZ178" s="7">
        <f t="shared" si="135"/>
        <v>0</v>
      </c>
      <c r="CA178" s="7">
        <f t="shared" si="136"/>
        <v>0</v>
      </c>
      <c r="CB178" s="7">
        <f t="shared" si="137"/>
        <v>0</v>
      </c>
      <c r="CC178" s="7">
        <f t="shared" si="138"/>
        <v>0</v>
      </c>
      <c r="CD178" s="7">
        <f t="shared" si="139"/>
        <v>0</v>
      </c>
      <c r="CE178" s="7">
        <f t="shared" si="140"/>
        <v>0</v>
      </c>
      <c r="CF178" s="7">
        <f t="shared" si="141"/>
        <v>0</v>
      </c>
      <c r="CG178" s="7">
        <f t="shared" si="142"/>
        <v>0</v>
      </c>
      <c r="CH178" s="7">
        <f t="shared" si="143"/>
        <v>0</v>
      </c>
      <c r="CI178" s="7">
        <f t="shared" si="144"/>
        <v>0</v>
      </c>
      <c r="CJ178" s="7">
        <f t="shared" si="145"/>
        <v>0</v>
      </c>
      <c r="CK178" s="7">
        <f t="shared" si="146"/>
        <v>0</v>
      </c>
      <c r="CL178" s="7">
        <f t="shared" si="147"/>
        <v>0</v>
      </c>
      <c r="CM178" s="7">
        <f t="shared" si="148"/>
        <v>0</v>
      </c>
      <c r="CN178" s="7">
        <f t="shared" si="149"/>
        <v>0</v>
      </c>
      <c r="CO178" s="7">
        <f t="shared" si="150"/>
        <v>0</v>
      </c>
      <c r="CP178" s="7">
        <f t="shared" si="151"/>
        <v>0</v>
      </c>
      <c r="CQ178" s="7">
        <f t="shared" si="152"/>
        <v>0</v>
      </c>
      <c r="CR178" s="7">
        <f t="shared" si="153"/>
        <v>0</v>
      </c>
      <c r="CS178" s="7">
        <f t="shared" si="154"/>
        <v>0</v>
      </c>
      <c r="CT178" s="7">
        <f t="shared" si="155"/>
        <v>0</v>
      </c>
      <c r="CU178" s="7">
        <f t="shared" si="156"/>
        <v>0</v>
      </c>
      <c r="CV178" s="7">
        <f t="shared" si="157"/>
        <v>0</v>
      </c>
      <c r="CW178" s="7">
        <f t="shared" si="158"/>
        <v>0</v>
      </c>
      <c r="CX178" s="7">
        <f t="shared" si="159"/>
        <v>0</v>
      </c>
      <c r="CY178" s="7">
        <f t="shared" si="160"/>
        <v>0</v>
      </c>
      <c r="CZ178" s="7">
        <f t="shared" si="161"/>
        <v>0</v>
      </c>
      <c r="DA178" s="7">
        <f t="shared" si="162"/>
        <v>0</v>
      </c>
      <c r="DB178" s="7">
        <f t="shared" si="163"/>
        <v>0</v>
      </c>
      <c r="DC178" s="7">
        <f t="shared" si="164"/>
        <v>0</v>
      </c>
      <c r="DD178" s="7">
        <f t="shared" si="165"/>
        <v>0</v>
      </c>
      <c r="DE178" s="7">
        <f t="shared" si="166"/>
        <v>0</v>
      </c>
      <c r="DF178" s="7">
        <f t="shared" si="167"/>
        <v>0</v>
      </c>
      <c r="DG178" s="7">
        <f t="shared" si="168"/>
        <v>0</v>
      </c>
      <c r="DH178" s="7">
        <f t="shared" si="169"/>
        <v>0</v>
      </c>
      <c r="DI178" s="7">
        <f t="shared" si="170"/>
        <v>0</v>
      </c>
      <c r="DJ178" s="7">
        <f t="shared" si="171"/>
        <v>0</v>
      </c>
      <c r="DK178" s="7">
        <f t="shared" si="172"/>
        <v>0</v>
      </c>
      <c r="DL178" s="7">
        <f t="shared" si="173"/>
        <v>0</v>
      </c>
      <c r="DM178" s="7">
        <f t="shared" si="174"/>
        <v>0</v>
      </c>
      <c r="DN178" s="7">
        <f t="shared" si="175"/>
        <v>0</v>
      </c>
      <c r="DO178" s="7">
        <f t="shared" si="176"/>
        <v>0</v>
      </c>
      <c r="DP178" s="7">
        <f t="shared" si="177"/>
        <v>0</v>
      </c>
      <c r="DQ178" s="7">
        <f t="shared" si="178"/>
        <v>0</v>
      </c>
      <c r="DR178" s="7">
        <f t="shared" si="179"/>
        <v>0</v>
      </c>
      <c r="DS178" s="7">
        <f t="shared" si="180"/>
        <v>0</v>
      </c>
      <c r="DT178" s="7">
        <f t="shared" si="181"/>
        <v>0</v>
      </c>
      <c r="DU178" s="7">
        <f t="shared" si="182"/>
        <v>0</v>
      </c>
    </row>
    <row r="179" spans="1:125" x14ac:dyDescent="0.2">
      <c r="A179" s="3">
        <f>Bonds!A179</f>
        <v>47664</v>
      </c>
      <c r="B179" s="4">
        <f>Bonds!B179</f>
        <v>3.75</v>
      </c>
      <c r="C179">
        <f>Bonds!P179</f>
        <v>8</v>
      </c>
      <c r="D179">
        <f t="shared" si="122"/>
        <v>1</v>
      </c>
      <c r="E179" s="3">
        <f>IF(1&gt;$C179,"",IF($D179=1,EOMONTH(EDATE(Bonds!$H179,6*(1-1)),0),EDATE(Bonds!$H179,6*(1-1))))</f>
        <v>46387</v>
      </c>
      <c r="F179" s="3">
        <f>IF(2&gt;$C179,"",IF($D179=1,EOMONTH(EDATE(Bonds!$H179,6*(2-1)),0),EDATE(Bonds!$H179,6*(2-1))))</f>
        <v>46568</v>
      </c>
      <c r="G179" s="3">
        <f>IF(3&gt;$C179,"",IF($D179=1,EOMONTH(EDATE(Bonds!$H179,6*(3-1)),0),EDATE(Bonds!$H179,6*(3-1))))</f>
        <v>46752</v>
      </c>
      <c r="H179" s="3">
        <f>IF(4&gt;$C179,"",IF($D179=1,EOMONTH(EDATE(Bonds!$H179,6*(4-1)),0),EDATE(Bonds!$H179,6*(4-1))))</f>
        <v>46934</v>
      </c>
      <c r="I179" s="3">
        <f>IF(5&gt;$C179,"",IF($D179=1,EOMONTH(EDATE(Bonds!$H179,6*(5-1)),0),EDATE(Bonds!$H179,6*(5-1))))</f>
        <v>47118</v>
      </c>
      <c r="J179" s="3">
        <f>IF(6&gt;$C179,"",IF($D179=1,EOMONTH(EDATE(Bonds!$H179,6*(6-1)),0),EDATE(Bonds!$H179,6*(6-1))))</f>
        <v>47299</v>
      </c>
      <c r="K179" s="3">
        <f>IF(7&gt;$C179,"",IF($D179=1,EOMONTH(EDATE(Bonds!$H179,6*(7-1)),0),EDATE(Bonds!$H179,6*(7-1))))</f>
        <v>47483</v>
      </c>
      <c r="L179" s="3">
        <f>IF(8&gt;$C179,"",IF($D179=1,EOMONTH(EDATE(Bonds!$H179,6*(8-1)),0),EDATE(Bonds!$H179,6*(8-1))))</f>
        <v>47664</v>
      </c>
      <c r="M179" s="3" t="str">
        <f>IF(9&gt;$C179,"",IF($D179=1,EOMONTH(EDATE(Bonds!$H179,6*(9-1)),0),EDATE(Bonds!$H179,6*(9-1))))</f>
        <v/>
      </c>
      <c r="N179" s="3" t="str">
        <f>IF(10&gt;$C179,"",IF($D179=1,EOMONTH(EDATE(Bonds!$H179,6*(10-1)),0),EDATE(Bonds!$H179,6*(10-1))))</f>
        <v/>
      </c>
      <c r="O179" s="3" t="str">
        <f>IF(11&gt;$C179,"",IF($D179=1,EOMONTH(EDATE(Bonds!$H179,6*(11-1)),0),EDATE(Bonds!$H179,6*(11-1))))</f>
        <v/>
      </c>
      <c r="P179" s="3" t="str">
        <f>IF(12&gt;$C179,"",IF($D179=1,EOMONTH(EDATE(Bonds!$H179,6*(12-1)),0),EDATE(Bonds!$H179,6*(12-1))))</f>
        <v/>
      </c>
      <c r="Q179" s="3" t="str">
        <f>IF(13&gt;$C179,"",IF($D179=1,EOMONTH(EDATE(Bonds!$H179,6*(13-1)),0),EDATE(Bonds!$H179,6*(13-1))))</f>
        <v/>
      </c>
      <c r="R179" s="3" t="str">
        <f>IF(14&gt;$C179,"",IF($D179=1,EOMONTH(EDATE(Bonds!$H179,6*(14-1)),0),EDATE(Bonds!$H179,6*(14-1))))</f>
        <v/>
      </c>
      <c r="S179" s="3" t="str">
        <f>IF(15&gt;$C179,"",IF($D179=1,EOMONTH(EDATE(Bonds!$H179,6*(15-1)),0),EDATE(Bonds!$H179,6*(15-1))))</f>
        <v/>
      </c>
      <c r="T179" s="3" t="str">
        <f>IF(16&gt;$C179,"",IF($D179=1,EOMONTH(EDATE(Bonds!$H179,6*(16-1)),0),EDATE(Bonds!$H179,6*(16-1))))</f>
        <v/>
      </c>
      <c r="U179" s="3" t="str">
        <f>IF(17&gt;$C179,"",IF($D179=1,EOMONTH(EDATE(Bonds!$H179,6*(17-1)),0),EDATE(Bonds!$H179,6*(17-1))))</f>
        <v/>
      </c>
      <c r="V179" s="3" t="str">
        <f>IF(18&gt;$C179,"",IF($D179=1,EOMONTH(EDATE(Bonds!$H179,6*(18-1)),0),EDATE(Bonds!$H179,6*(18-1))))</f>
        <v/>
      </c>
      <c r="W179" s="3" t="str">
        <f>IF(19&gt;$C179,"",IF($D179=1,EOMONTH(EDATE(Bonds!$H179,6*(19-1)),0),EDATE(Bonds!$H179,6*(19-1))))</f>
        <v/>
      </c>
      <c r="X179" s="3" t="str">
        <f>IF(20&gt;$C179,"",IF($D179=1,EOMONTH(EDATE(Bonds!$H179,6*(20-1)),0),EDATE(Bonds!$H179,6*(20-1))))</f>
        <v/>
      </c>
      <c r="Y179" s="3" t="str">
        <f>IF(21&gt;$C179,"",IF($D179=1,EOMONTH(EDATE(Bonds!$H179,6*(21-1)),0),EDATE(Bonds!$H179,6*(21-1))))</f>
        <v/>
      </c>
      <c r="Z179" s="3" t="str">
        <f>IF(22&gt;$C179,"",IF($D179=1,EOMONTH(EDATE(Bonds!$H179,6*(22-1)),0),EDATE(Bonds!$H179,6*(22-1))))</f>
        <v/>
      </c>
      <c r="AA179" s="3" t="str">
        <f>IF(23&gt;$C179,"",IF($D179=1,EOMONTH(EDATE(Bonds!$H179,6*(23-1)),0),EDATE(Bonds!$H179,6*(23-1))))</f>
        <v/>
      </c>
      <c r="AB179" s="3" t="str">
        <f>IF(24&gt;$C179,"",IF($D179=1,EOMONTH(EDATE(Bonds!$H179,6*(24-1)),0),EDATE(Bonds!$H179,6*(24-1))))</f>
        <v/>
      </c>
      <c r="AC179" s="3" t="str">
        <f>IF(25&gt;$C179,"",IF($D179=1,EOMONTH(EDATE(Bonds!$H179,6*(25-1)),0),EDATE(Bonds!$H179,6*(25-1))))</f>
        <v/>
      </c>
      <c r="AD179" s="3" t="str">
        <f>IF(26&gt;$C179,"",IF($D179=1,EOMONTH(EDATE(Bonds!$H179,6*(26-1)),0),EDATE(Bonds!$H179,6*(26-1))))</f>
        <v/>
      </c>
      <c r="AE179" s="3" t="str">
        <f>IF(27&gt;$C179,"",IF($D179=1,EOMONTH(EDATE(Bonds!$H179,6*(27-1)),0),EDATE(Bonds!$H179,6*(27-1))))</f>
        <v/>
      </c>
      <c r="AF179" s="3" t="str">
        <f>IF(28&gt;$C179,"",IF($D179=1,EOMONTH(EDATE(Bonds!$H179,6*(28-1)),0),EDATE(Bonds!$H179,6*(28-1))))</f>
        <v/>
      </c>
      <c r="AG179" s="3" t="str">
        <f>IF(29&gt;$C179,"",IF($D179=1,EOMONTH(EDATE(Bonds!$H179,6*(29-1)),0),EDATE(Bonds!$H179,6*(29-1))))</f>
        <v/>
      </c>
      <c r="AH179" s="3" t="str">
        <f>IF(30&gt;$C179,"",IF($D179=1,EOMONTH(EDATE(Bonds!$H179,6*(30-1)),0),EDATE(Bonds!$H179,6*(30-1))))</f>
        <v/>
      </c>
      <c r="AI179" s="3" t="str">
        <f>IF(31&gt;$C179,"",IF($D179=1,EOMONTH(EDATE(Bonds!$H179,6*(31-1)),0),EDATE(Bonds!$H179,6*(31-1))))</f>
        <v/>
      </c>
      <c r="AJ179" s="3" t="str">
        <f>IF(32&gt;$C179,"",IF($D179=1,EOMONTH(EDATE(Bonds!$H179,6*(32-1)),0),EDATE(Bonds!$H179,6*(32-1))))</f>
        <v/>
      </c>
      <c r="AK179" s="3" t="str">
        <f>IF(33&gt;$C179,"",IF($D179=1,EOMONTH(EDATE(Bonds!$H179,6*(33-1)),0),EDATE(Bonds!$H179,6*(33-1))))</f>
        <v/>
      </c>
      <c r="AL179" s="3" t="str">
        <f>IF(34&gt;$C179,"",IF($D179=1,EOMONTH(EDATE(Bonds!$H179,6*(34-1)),0),EDATE(Bonds!$H179,6*(34-1))))</f>
        <v/>
      </c>
      <c r="AM179" s="3" t="str">
        <f>IF(35&gt;$C179,"",IF($D179=1,EOMONTH(EDATE(Bonds!$H179,6*(35-1)),0),EDATE(Bonds!$H179,6*(35-1))))</f>
        <v/>
      </c>
      <c r="AN179" s="3" t="str">
        <f>IF(36&gt;$C179,"",IF($D179=1,EOMONTH(EDATE(Bonds!$H179,6*(36-1)),0),EDATE(Bonds!$H179,6*(36-1))))</f>
        <v/>
      </c>
      <c r="AO179" s="3" t="str">
        <f>IF(37&gt;$C179,"",IF($D179=1,EOMONTH(EDATE(Bonds!$H179,6*(37-1)),0),EDATE(Bonds!$H179,6*(37-1))))</f>
        <v/>
      </c>
      <c r="AP179" s="3" t="str">
        <f>IF(38&gt;$C179,"",IF($D179=1,EOMONTH(EDATE(Bonds!$H179,6*(38-1)),0),EDATE(Bonds!$H179,6*(38-1))))</f>
        <v/>
      </c>
      <c r="AQ179" s="3" t="str">
        <f>IF(39&gt;$C179,"",IF($D179=1,EOMONTH(EDATE(Bonds!$H179,6*(39-1)),0),EDATE(Bonds!$H179,6*(39-1))))</f>
        <v/>
      </c>
      <c r="AR179" s="3" t="str">
        <f>IF(40&gt;$C179,"",IF($D179=1,EOMONTH(EDATE(Bonds!$H179,6*(40-1)),0),EDATE(Bonds!$H179,6*(40-1))))</f>
        <v/>
      </c>
      <c r="AS179" s="3" t="str">
        <f>IF(41&gt;$C179,"",IF($D179=1,EOMONTH(EDATE(Bonds!$H179,6*(41-1)),0),EDATE(Bonds!$H179,6*(41-1))))</f>
        <v/>
      </c>
      <c r="AT179" s="3" t="str">
        <f>IF(42&gt;$C179,"",IF($D179=1,EOMONTH(EDATE(Bonds!$H179,6*(42-1)),0),EDATE(Bonds!$H179,6*(42-1))))</f>
        <v/>
      </c>
      <c r="AU179" s="3" t="str">
        <f>IF(43&gt;$C179,"",IF($D179=1,EOMONTH(EDATE(Bonds!$H179,6*(43-1)),0),EDATE(Bonds!$H179,6*(43-1))))</f>
        <v/>
      </c>
      <c r="AV179" s="3" t="str">
        <f>IF(44&gt;$C179,"",IF($D179=1,EOMONTH(EDATE(Bonds!$H179,6*(44-1)),0),EDATE(Bonds!$H179,6*(44-1))))</f>
        <v/>
      </c>
      <c r="AW179" s="3" t="str">
        <f>IF(45&gt;$C179,"",IF($D179=1,EOMONTH(EDATE(Bonds!$H179,6*(45-1)),0),EDATE(Bonds!$H179,6*(45-1))))</f>
        <v/>
      </c>
      <c r="AX179" s="3" t="str">
        <f>IF(46&gt;$C179,"",IF($D179=1,EOMONTH(EDATE(Bonds!$H179,6*(46-1)),0),EDATE(Bonds!$H179,6*(46-1))))</f>
        <v/>
      </c>
      <c r="AY179" s="3" t="str">
        <f>IF(47&gt;$C179,"",IF($D179=1,EOMONTH(EDATE(Bonds!$H179,6*(47-1)),0),EDATE(Bonds!$H179,6*(47-1))))</f>
        <v/>
      </c>
      <c r="AZ179" s="3" t="str">
        <f>IF(48&gt;$C179,"",IF($D179=1,EOMONTH(EDATE(Bonds!$H179,6*(48-1)),0),EDATE(Bonds!$H179,6*(48-1))))</f>
        <v/>
      </c>
      <c r="BA179" s="3" t="str">
        <f>IF(49&gt;$C179,"",IF($D179=1,EOMONTH(EDATE(Bonds!$H179,6*(49-1)),0),EDATE(Bonds!$H179,6*(49-1))))</f>
        <v/>
      </c>
      <c r="BB179" s="3" t="str">
        <f>IF(50&gt;$C179,"",IF($D179=1,EOMONTH(EDATE(Bonds!$H179,6*(50-1)),0),EDATE(Bonds!$H179,6*(50-1))))</f>
        <v/>
      </c>
      <c r="BC179" s="3" t="str">
        <f>IF(51&gt;$C179,"",IF($D179=1,EOMONTH(EDATE(Bonds!$H179,6*(51-1)),0),EDATE(Bonds!$H179,6*(51-1))))</f>
        <v/>
      </c>
      <c r="BD179" s="3" t="str">
        <f>IF(52&gt;$C179,"",IF($D179=1,EOMONTH(EDATE(Bonds!$H179,6*(52-1)),0),EDATE(Bonds!$H179,6*(52-1))))</f>
        <v/>
      </c>
      <c r="BE179" s="3" t="str">
        <f>IF(53&gt;$C179,"",IF($D179=1,EOMONTH(EDATE(Bonds!$H179,6*(53-1)),0),EDATE(Bonds!$H179,6*(53-1))))</f>
        <v/>
      </c>
      <c r="BF179" s="3" t="str">
        <f>IF(54&gt;$C179,"",IF($D179=1,EOMONTH(EDATE(Bonds!$H179,6*(54-1)),0),EDATE(Bonds!$H179,6*(54-1))))</f>
        <v/>
      </c>
      <c r="BG179" s="3" t="str">
        <f>IF(55&gt;$C179,"",IF($D179=1,EOMONTH(EDATE(Bonds!$H179,6*(55-1)),0),EDATE(Bonds!$H179,6*(55-1))))</f>
        <v/>
      </c>
      <c r="BH179" s="3" t="str">
        <f>IF(56&gt;$C179,"",IF($D179=1,EOMONTH(EDATE(Bonds!$H179,6*(56-1)),0),EDATE(Bonds!$H179,6*(56-1))))</f>
        <v/>
      </c>
      <c r="BI179" s="3" t="str">
        <f>IF(57&gt;$C179,"",IF($D179=1,EOMONTH(EDATE(Bonds!$H179,6*(57-1)),0),EDATE(Bonds!$H179,6*(57-1))))</f>
        <v/>
      </c>
      <c r="BJ179" s="3" t="str">
        <f>IF(58&gt;$C179,"",IF($D179=1,EOMONTH(EDATE(Bonds!$H179,6*(58-1)),0),EDATE(Bonds!$H179,6*(58-1))))</f>
        <v/>
      </c>
      <c r="BK179" s="3" t="str">
        <f>IF(59&gt;$C179,"",IF($D179=1,EOMONTH(EDATE(Bonds!$H179,6*(59-1)),0),EDATE(Bonds!$H179,6*(59-1))))</f>
        <v/>
      </c>
      <c r="BL179" s="3" t="str">
        <f>IF(60&gt;$C179,"",IF($D179=1,EOMONTH(EDATE(Bonds!$H179,6*(60-1)),0),EDATE(Bonds!$H179,6*(60-1))))</f>
        <v/>
      </c>
      <c r="BN179" s="7">
        <f t="shared" si="123"/>
        <v>1.85268494741166</v>
      </c>
      <c r="BO179" s="7">
        <f t="shared" si="124"/>
        <v>1.8143784110764622</v>
      </c>
      <c r="BP179" s="7">
        <f t="shared" si="125"/>
        <v>1.7740056676366882</v>
      </c>
      <c r="BQ179" s="7">
        <f t="shared" si="126"/>
        <v>1.7340770326477979</v>
      </c>
      <c r="BR179" s="7">
        <f t="shared" si="127"/>
        <v>1.6944072290691921</v>
      </c>
      <c r="BS179" s="7">
        <f t="shared" si="128"/>
        <v>1.6563128030676642</v>
      </c>
      <c r="BT179" s="7">
        <f t="shared" si="129"/>
        <v>1.618540860541857</v>
      </c>
      <c r="BU179" s="7">
        <f t="shared" si="130"/>
        <v>85.967270847995579</v>
      </c>
      <c r="BV179" s="7">
        <f t="shared" si="131"/>
        <v>0</v>
      </c>
      <c r="BW179" s="7">
        <f t="shared" si="132"/>
        <v>0</v>
      </c>
      <c r="BX179" s="7">
        <f t="shared" si="133"/>
        <v>0</v>
      </c>
      <c r="BY179" s="7">
        <f t="shared" si="134"/>
        <v>0</v>
      </c>
      <c r="BZ179" s="7">
        <f t="shared" si="135"/>
        <v>0</v>
      </c>
      <c r="CA179" s="7">
        <f t="shared" si="136"/>
        <v>0</v>
      </c>
      <c r="CB179" s="7">
        <f t="shared" si="137"/>
        <v>0</v>
      </c>
      <c r="CC179" s="7">
        <f t="shared" si="138"/>
        <v>0</v>
      </c>
      <c r="CD179" s="7">
        <f t="shared" si="139"/>
        <v>0</v>
      </c>
      <c r="CE179" s="7">
        <f t="shared" si="140"/>
        <v>0</v>
      </c>
      <c r="CF179" s="7">
        <f t="shared" si="141"/>
        <v>0</v>
      </c>
      <c r="CG179" s="7">
        <f t="shared" si="142"/>
        <v>0</v>
      </c>
      <c r="CH179" s="7">
        <f t="shared" si="143"/>
        <v>0</v>
      </c>
      <c r="CI179" s="7">
        <f t="shared" si="144"/>
        <v>0</v>
      </c>
      <c r="CJ179" s="7">
        <f t="shared" si="145"/>
        <v>0</v>
      </c>
      <c r="CK179" s="7">
        <f t="shared" si="146"/>
        <v>0</v>
      </c>
      <c r="CL179" s="7">
        <f t="shared" si="147"/>
        <v>0</v>
      </c>
      <c r="CM179" s="7">
        <f t="shared" si="148"/>
        <v>0</v>
      </c>
      <c r="CN179" s="7">
        <f t="shared" si="149"/>
        <v>0</v>
      </c>
      <c r="CO179" s="7">
        <f t="shared" si="150"/>
        <v>0</v>
      </c>
      <c r="CP179" s="7">
        <f t="shared" si="151"/>
        <v>0</v>
      </c>
      <c r="CQ179" s="7">
        <f t="shared" si="152"/>
        <v>0</v>
      </c>
      <c r="CR179" s="7">
        <f t="shared" si="153"/>
        <v>0</v>
      </c>
      <c r="CS179" s="7">
        <f t="shared" si="154"/>
        <v>0</v>
      </c>
      <c r="CT179" s="7">
        <f t="shared" si="155"/>
        <v>0</v>
      </c>
      <c r="CU179" s="7">
        <f t="shared" si="156"/>
        <v>0</v>
      </c>
      <c r="CV179" s="7">
        <f t="shared" si="157"/>
        <v>0</v>
      </c>
      <c r="CW179" s="7">
        <f t="shared" si="158"/>
        <v>0</v>
      </c>
      <c r="CX179" s="7">
        <f t="shared" si="159"/>
        <v>0</v>
      </c>
      <c r="CY179" s="7">
        <f t="shared" si="160"/>
        <v>0</v>
      </c>
      <c r="CZ179" s="7">
        <f t="shared" si="161"/>
        <v>0</v>
      </c>
      <c r="DA179" s="7">
        <f t="shared" si="162"/>
        <v>0</v>
      </c>
      <c r="DB179" s="7">
        <f t="shared" si="163"/>
        <v>0</v>
      </c>
      <c r="DC179" s="7">
        <f t="shared" si="164"/>
        <v>0</v>
      </c>
      <c r="DD179" s="7">
        <f t="shared" si="165"/>
        <v>0</v>
      </c>
      <c r="DE179" s="7">
        <f t="shared" si="166"/>
        <v>0</v>
      </c>
      <c r="DF179" s="7">
        <f t="shared" si="167"/>
        <v>0</v>
      </c>
      <c r="DG179" s="7">
        <f t="shared" si="168"/>
        <v>0</v>
      </c>
      <c r="DH179" s="7">
        <f t="shared" si="169"/>
        <v>0</v>
      </c>
      <c r="DI179" s="7">
        <f t="shared" si="170"/>
        <v>0</v>
      </c>
      <c r="DJ179" s="7">
        <f t="shared" si="171"/>
        <v>0</v>
      </c>
      <c r="DK179" s="7">
        <f t="shared" si="172"/>
        <v>0</v>
      </c>
      <c r="DL179" s="7">
        <f t="shared" si="173"/>
        <v>0</v>
      </c>
      <c r="DM179" s="7">
        <f t="shared" si="174"/>
        <v>0</v>
      </c>
      <c r="DN179" s="7">
        <f t="shared" si="175"/>
        <v>0</v>
      </c>
      <c r="DO179" s="7">
        <f t="shared" si="176"/>
        <v>0</v>
      </c>
      <c r="DP179" s="7">
        <f t="shared" si="177"/>
        <v>0</v>
      </c>
      <c r="DQ179" s="7">
        <f t="shared" si="178"/>
        <v>0</v>
      </c>
      <c r="DR179" s="7">
        <f t="shared" si="179"/>
        <v>0</v>
      </c>
      <c r="DS179" s="7">
        <f t="shared" si="180"/>
        <v>0</v>
      </c>
      <c r="DT179" s="7">
        <f t="shared" si="181"/>
        <v>0</v>
      </c>
      <c r="DU179" s="7">
        <f t="shared" si="182"/>
        <v>0</v>
      </c>
    </row>
    <row r="180" spans="1:125" x14ac:dyDescent="0.2">
      <c r="A180" s="3">
        <f>Bonds!A180</f>
        <v>47664</v>
      </c>
      <c r="B180" s="4">
        <f>Bonds!B180</f>
        <v>3.875</v>
      </c>
      <c r="C180">
        <f>Bonds!P180</f>
        <v>8</v>
      </c>
      <c r="D180">
        <f t="shared" si="122"/>
        <v>1</v>
      </c>
      <c r="E180" s="3">
        <f>IF(1&gt;$C180,"",IF($D180=1,EOMONTH(EDATE(Bonds!$H180,6*(1-1)),0),EDATE(Bonds!$H180,6*(1-1))))</f>
        <v>46387</v>
      </c>
      <c r="F180" s="3">
        <f>IF(2&gt;$C180,"",IF($D180=1,EOMONTH(EDATE(Bonds!$H180,6*(2-1)),0),EDATE(Bonds!$H180,6*(2-1))))</f>
        <v>46568</v>
      </c>
      <c r="G180" s="3">
        <f>IF(3&gt;$C180,"",IF($D180=1,EOMONTH(EDATE(Bonds!$H180,6*(3-1)),0),EDATE(Bonds!$H180,6*(3-1))))</f>
        <v>46752</v>
      </c>
      <c r="H180" s="3">
        <f>IF(4&gt;$C180,"",IF($D180=1,EOMONTH(EDATE(Bonds!$H180,6*(4-1)),0),EDATE(Bonds!$H180,6*(4-1))))</f>
        <v>46934</v>
      </c>
      <c r="I180" s="3">
        <f>IF(5&gt;$C180,"",IF($D180=1,EOMONTH(EDATE(Bonds!$H180,6*(5-1)),0),EDATE(Bonds!$H180,6*(5-1))))</f>
        <v>47118</v>
      </c>
      <c r="J180" s="3">
        <f>IF(6&gt;$C180,"",IF($D180=1,EOMONTH(EDATE(Bonds!$H180,6*(6-1)),0),EDATE(Bonds!$H180,6*(6-1))))</f>
        <v>47299</v>
      </c>
      <c r="K180" s="3">
        <f>IF(7&gt;$C180,"",IF($D180=1,EOMONTH(EDATE(Bonds!$H180,6*(7-1)),0),EDATE(Bonds!$H180,6*(7-1))))</f>
        <v>47483</v>
      </c>
      <c r="L180" s="3">
        <f>IF(8&gt;$C180,"",IF($D180=1,EOMONTH(EDATE(Bonds!$H180,6*(8-1)),0),EDATE(Bonds!$H180,6*(8-1))))</f>
        <v>47664</v>
      </c>
      <c r="M180" s="3" t="str">
        <f>IF(9&gt;$C180,"",IF($D180=1,EOMONTH(EDATE(Bonds!$H180,6*(9-1)),0),EDATE(Bonds!$H180,6*(9-1))))</f>
        <v/>
      </c>
      <c r="N180" s="3" t="str">
        <f>IF(10&gt;$C180,"",IF($D180=1,EOMONTH(EDATE(Bonds!$H180,6*(10-1)),0),EDATE(Bonds!$H180,6*(10-1))))</f>
        <v/>
      </c>
      <c r="O180" s="3" t="str">
        <f>IF(11&gt;$C180,"",IF($D180=1,EOMONTH(EDATE(Bonds!$H180,6*(11-1)),0),EDATE(Bonds!$H180,6*(11-1))))</f>
        <v/>
      </c>
      <c r="P180" s="3" t="str">
        <f>IF(12&gt;$C180,"",IF($D180=1,EOMONTH(EDATE(Bonds!$H180,6*(12-1)),0),EDATE(Bonds!$H180,6*(12-1))))</f>
        <v/>
      </c>
      <c r="Q180" s="3" t="str">
        <f>IF(13&gt;$C180,"",IF($D180=1,EOMONTH(EDATE(Bonds!$H180,6*(13-1)),0),EDATE(Bonds!$H180,6*(13-1))))</f>
        <v/>
      </c>
      <c r="R180" s="3" t="str">
        <f>IF(14&gt;$C180,"",IF($D180=1,EOMONTH(EDATE(Bonds!$H180,6*(14-1)),0),EDATE(Bonds!$H180,6*(14-1))))</f>
        <v/>
      </c>
      <c r="S180" s="3" t="str">
        <f>IF(15&gt;$C180,"",IF($D180=1,EOMONTH(EDATE(Bonds!$H180,6*(15-1)),0),EDATE(Bonds!$H180,6*(15-1))))</f>
        <v/>
      </c>
      <c r="T180" s="3" t="str">
        <f>IF(16&gt;$C180,"",IF($D180=1,EOMONTH(EDATE(Bonds!$H180,6*(16-1)),0),EDATE(Bonds!$H180,6*(16-1))))</f>
        <v/>
      </c>
      <c r="U180" s="3" t="str">
        <f>IF(17&gt;$C180,"",IF($D180=1,EOMONTH(EDATE(Bonds!$H180,6*(17-1)),0),EDATE(Bonds!$H180,6*(17-1))))</f>
        <v/>
      </c>
      <c r="V180" s="3" t="str">
        <f>IF(18&gt;$C180,"",IF($D180=1,EOMONTH(EDATE(Bonds!$H180,6*(18-1)),0),EDATE(Bonds!$H180,6*(18-1))))</f>
        <v/>
      </c>
      <c r="W180" s="3" t="str">
        <f>IF(19&gt;$C180,"",IF($D180=1,EOMONTH(EDATE(Bonds!$H180,6*(19-1)),0),EDATE(Bonds!$H180,6*(19-1))))</f>
        <v/>
      </c>
      <c r="X180" s="3" t="str">
        <f>IF(20&gt;$C180,"",IF($D180=1,EOMONTH(EDATE(Bonds!$H180,6*(20-1)),0),EDATE(Bonds!$H180,6*(20-1))))</f>
        <v/>
      </c>
      <c r="Y180" s="3" t="str">
        <f>IF(21&gt;$C180,"",IF($D180=1,EOMONTH(EDATE(Bonds!$H180,6*(21-1)),0),EDATE(Bonds!$H180,6*(21-1))))</f>
        <v/>
      </c>
      <c r="Z180" s="3" t="str">
        <f>IF(22&gt;$C180,"",IF($D180=1,EOMONTH(EDATE(Bonds!$H180,6*(22-1)),0),EDATE(Bonds!$H180,6*(22-1))))</f>
        <v/>
      </c>
      <c r="AA180" s="3" t="str">
        <f>IF(23&gt;$C180,"",IF($D180=1,EOMONTH(EDATE(Bonds!$H180,6*(23-1)),0),EDATE(Bonds!$H180,6*(23-1))))</f>
        <v/>
      </c>
      <c r="AB180" s="3" t="str">
        <f>IF(24&gt;$C180,"",IF($D180=1,EOMONTH(EDATE(Bonds!$H180,6*(24-1)),0),EDATE(Bonds!$H180,6*(24-1))))</f>
        <v/>
      </c>
      <c r="AC180" s="3" t="str">
        <f>IF(25&gt;$C180,"",IF($D180=1,EOMONTH(EDATE(Bonds!$H180,6*(25-1)),0),EDATE(Bonds!$H180,6*(25-1))))</f>
        <v/>
      </c>
      <c r="AD180" s="3" t="str">
        <f>IF(26&gt;$C180,"",IF($D180=1,EOMONTH(EDATE(Bonds!$H180,6*(26-1)),0),EDATE(Bonds!$H180,6*(26-1))))</f>
        <v/>
      </c>
      <c r="AE180" s="3" t="str">
        <f>IF(27&gt;$C180,"",IF($D180=1,EOMONTH(EDATE(Bonds!$H180,6*(27-1)),0),EDATE(Bonds!$H180,6*(27-1))))</f>
        <v/>
      </c>
      <c r="AF180" s="3" t="str">
        <f>IF(28&gt;$C180,"",IF($D180=1,EOMONTH(EDATE(Bonds!$H180,6*(28-1)),0),EDATE(Bonds!$H180,6*(28-1))))</f>
        <v/>
      </c>
      <c r="AG180" s="3" t="str">
        <f>IF(29&gt;$C180,"",IF($D180=1,EOMONTH(EDATE(Bonds!$H180,6*(29-1)),0),EDATE(Bonds!$H180,6*(29-1))))</f>
        <v/>
      </c>
      <c r="AH180" s="3" t="str">
        <f>IF(30&gt;$C180,"",IF($D180=1,EOMONTH(EDATE(Bonds!$H180,6*(30-1)),0),EDATE(Bonds!$H180,6*(30-1))))</f>
        <v/>
      </c>
      <c r="AI180" s="3" t="str">
        <f>IF(31&gt;$C180,"",IF($D180=1,EOMONTH(EDATE(Bonds!$H180,6*(31-1)),0),EDATE(Bonds!$H180,6*(31-1))))</f>
        <v/>
      </c>
      <c r="AJ180" s="3" t="str">
        <f>IF(32&gt;$C180,"",IF($D180=1,EOMONTH(EDATE(Bonds!$H180,6*(32-1)),0),EDATE(Bonds!$H180,6*(32-1))))</f>
        <v/>
      </c>
      <c r="AK180" s="3" t="str">
        <f>IF(33&gt;$C180,"",IF($D180=1,EOMONTH(EDATE(Bonds!$H180,6*(33-1)),0),EDATE(Bonds!$H180,6*(33-1))))</f>
        <v/>
      </c>
      <c r="AL180" s="3" t="str">
        <f>IF(34&gt;$C180,"",IF($D180=1,EOMONTH(EDATE(Bonds!$H180,6*(34-1)),0),EDATE(Bonds!$H180,6*(34-1))))</f>
        <v/>
      </c>
      <c r="AM180" s="3" t="str">
        <f>IF(35&gt;$C180,"",IF($D180=1,EOMONTH(EDATE(Bonds!$H180,6*(35-1)),0),EDATE(Bonds!$H180,6*(35-1))))</f>
        <v/>
      </c>
      <c r="AN180" s="3" t="str">
        <f>IF(36&gt;$C180,"",IF($D180=1,EOMONTH(EDATE(Bonds!$H180,6*(36-1)),0),EDATE(Bonds!$H180,6*(36-1))))</f>
        <v/>
      </c>
      <c r="AO180" s="3" t="str">
        <f>IF(37&gt;$C180,"",IF($D180=1,EOMONTH(EDATE(Bonds!$H180,6*(37-1)),0),EDATE(Bonds!$H180,6*(37-1))))</f>
        <v/>
      </c>
      <c r="AP180" s="3" t="str">
        <f>IF(38&gt;$C180,"",IF($D180=1,EOMONTH(EDATE(Bonds!$H180,6*(38-1)),0),EDATE(Bonds!$H180,6*(38-1))))</f>
        <v/>
      </c>
      <c r="AQ180" s="3" t="str">
        <f>IF(39&gt;$C180,"",IF($D180=1,EOMONTH(EDATE(Bonds!$H180,6*(39-1)),0),EDATE(Bonds!$H180,6*(39-1))))</f>
        <v/>
      </c>
      <c r="AR180" s="3" t="str">
        <f>IF(40&gt;$C180,"",IF($D180=1,EOMONTH(EDATE(Bonds!$H180,6*(40-1)),0),EDATE(Bonds!$H180,6*(40-1))))</f>
        <v/>
      </c>
      <c r="AS180" s="3" t="str">
        <f>IF(41&gt;$C180,"",IF($D180=1,EOMONTH(EDATE(Bonds!$H180,6*(41-1)),0),EDATE(Bonds!$H180,6*(41-1))))</f>
        <v/>
      </c>
      <c r="AT180" s="3" t="str">
        <f>IF(42&gt;$C180,"",IF($D180=1,EOMONTH(EDATE(Bonds!$H180,6*(42-1)),0),EDATE(Bonds!$H180,6*(42-1))))</f>
        <v/>
      </c>
      <c r="AU180" s="3" t="str">
        <f>IF(43&gt;$C180,"",IF($D180=1,EOMONTH(EDATE(Bonds!$H180,6*(43-1)),0),EDATE(Bonds!$H180,6*(43-1))))</f>
        <v/>
      </c>
      <c r="AV180" s="3" t="str">
        <f>IF(44&gt;$C180,"",IF($D180=1,EOMONTH(EDATE(Bonds!$H180,6*(44-1)),0),EDATE(Bonds!$H180,6*(44-1))))</f>
        <v/>
      </c>
      <c r="AW180" s="3" t="str">
        <f>IF(45&gt;$C180,"",IF($D180=1,EOMONTH(EDATE(Bonds!$H180,6*(45-1)),0),EDATE(Bonds!$H180,6*(45-1))))</f>
        <v/>
      </c>
      <c r="AX180" s="3" t="str">
        <f>IF(46&gt;$C180,"",IF($D180=1,EOMONTH(EDATE(Bonds!$H180,6*(46-1)),0),EDATE(Bonds!$H180,6*(46-1))))</f>
        <v/>
      </c>
      <c r="AY180" s="3" t="str">
        <f>IF(47&gt;$C180,"",IF($D180=1,EOMONTH(EDATE(Bonds!$H180,6*(47-1)),0),EDATE(Bonds!$H180,6*(47-1))))</f>
        <v/>
      </c>
      <c r="AZ180" s="3" t="str">
        <f>IF(48&gt;$C180,"",IF($D180=1,EOMONTH(EDATE(Bonds!$H180,6*(48-1)),0),EDATE(Bonds!$H180,6*(48-1))))</f>
        <v/>
      </c>
      <c r="BA180" s="3" t="str">
        <f>IF(49&gt;$C180,"",IF($D180=1,EOMONTH(EDATE(Bonds!$H180,6*(49-1)),0),EDATE(Bonds!$H180,6*(49-1))))</f>
        <v/>
      </c>
      <c r="BB180" s="3" t="str">
        <f>IF(50&gt;$C180,"",IF($D180=1,EOMONTH(EDATE(Bonds!$H180,6*(50-1)),0),EDATE(Bonds!$H180,6*(50-1))))</f>
        <v/>
      </c>
      <c r="BC180" s="3" t="str">
        <f>IF(51&gt;$C180,"",IF($D180=1,EOMONTH(EDATE(Bonds!$H180,6*(51-1)),0),EDATE(Bonds!$H180,6*(51-1))))</f>
        <v/>
      </c>
      <c r="BD180" s="3" t="str">
        <f>IF(52&gt;$C180,"",IF($D180=1,EOMONTH(EDATE(Bonds!$H180,6*(52-1)),0),EDATE(Bonds!$H180,6*(52-1))))</f>
        <v/>
      </c>
      <c r="BE180" s="3" t="str">
        <f>IF(53&gt;$C180,"",IF($D180=1,EOMONTH(EDATE(Bonds!$H180,6*(53-1)),0),EDATE(Bonds!$H180,6*(53-1))))</f>
        <v/>
      </c>
      <c r="BF180" s="3" t="str">
        <f>IF(54&gt;$C180,"",IF($D180=1,EOMONTH(EDATE(Bonds!$H180,6*(54-1)),0),EDATE(Bonds!$H180,6*(54-1))))</f>
        <v/>
      </c>
      <c r="BG180" s="3" t="str">
        <f>IF(55&gt;$C180,"",IF($D180=1,EOMONTH(EDATE(Bonds!$H180,6*(55-1)),0),EDATE(Bonds!$H180,6*(55-1))))</f>
        <v/>
      </c>
      <c r="BH180" s="3" t="str">
        <f>IF(56&gt;$C180,"",IF($D180=1,EOMONTH(EDATE(Bonds!$H180,6*(56-1)),0),EDATE(Bonds!$H180,6*(56-1))))</f>
        <v/>
      </c>
      <c r="BI180" s="3" t="str">
        <f>IF(57&gt;$C180,"",IF($D180=1,EOMONTH(EDATE(Bonds!$H180,6*(57-1)),0),EDATE(Bonds!$H180,6*(57-1))))</f>
        <v/>
      </c>
      <c r="BJ180" s="3" t="str">
        <f>IF(58&gt;$C180,"",IF($D180=1,EOMONTH(EDATE(Bonds!$H180,6*(58-1)),0),EDATE(Bonds!$H180,6*(58-1))))</f>
        <v/>
      </c>
      <c r="BK180" s="3" t="str">
        <f>IF(59&gt;$C180,"",IF($D180=1,EOMONTH(EDATE(Bonds!$H180,6*(59-1)),0),EDATE(Bonds!$H180,6*(59-1))))</f>
        <v/>
      </c>
      <c r="BL180" s="3" t="str">
        <f>IF(60&gt;$C180,"",IF($D180=1,EOMONTH(EDATE(Bonds!$H180,6*(60-1)),0),EDATE(Bonds!$H180,6*(60-1))))</f>
        <v/>
      </c>
      <c r="BN180" s="7">
        <f t="shared" si="123"/>
        <v>1.9144411123253822</v>
      </c>
      <c r="BO180" s="7">
        <f t="shared" si="124"/>
        <v>1.8748576914456776</v>
      </c>
      <c r="BP180" s="7">
        <f t="shared" si="125"/>
        <v>1.8331391898912444</v>
      </c>
      <c r="BQ180" s="7">
        <f t="shared" si="126"/>
        <v>1.7918796004027246</v>
      </c>
      <c r="BR180" s="7">
        <f t="shared" si="127"/>
        <v>1.7508874700381651</v>
      </c>
      <c r="BS180" s="7">
        <f t="shared" si="128"/>
        <v>1.7115232298365863</v>
      </c>
      <c r="BT180" s="7">
        <f t="shared" si="129"/>
        <v>1.672492222559919</v>
      </c>
      <c r="BU180" s="7">
        <f t="shared" si="130"/>
        <v>86.020011504957537</v>
      </c>
      <c r="BV180" s="7">
        <f t="shared" si="131"/>
        <v>0</v>
      </c>
      <c r="BW180" s="7">
        <f t="shared" si="132"/>
        <v>0</v>
      </c>
      <c r="BX180" s="7">
        <f t="shared" si="133"/>
        <v>0</v>
      </c>
      <c r="BY180" s="7">
        <f t="shared" si="134"/>
        <v>0</v>
      </c>
      <c r="BZ180" s="7">
        <f t="shared" si="135"/>
        <v>0</v>
      </c>
      <c r="CA180" s="7">
        <f t="shared" si="136"/>
        <v>0</v>
      </c>
      <c r="CB180" s="7">
        <f t="shared" si="137"/>
        <v>0</v>
      </c>
      <c r="CC180" s="7">
        <f t="shared" si="138"/>
        <v>0</v>
      </c>
      <c r="CD180" s="7">
        <f t="shared" si="139"/>
        <v>0</v>
      </c>
      <c r="CE180" s="7">
        <f t="shared" si="140"/>
        <v>0</v>
      </c>
      <c r="CF180" s="7">
        <f t="shared" si="141"/>
        <v>0</v>
      </c>
      <c r="CG180" s="7">
        <f t="shared" si="142"/>
        <v>0</v>
      </c>
      <c r="CH180" s="7">
        <f t="shared" si="143"/>
        <v>0</v>
      </c>
      <c r="CI180" s="7">
        <f t="shared" si="144"/>
        <v>0</v>
      </c>
      <c r="CJ180" s="7">
        <f t="shared" si="145"/>
        <v>0</v>
      </c>
      <c r="CK180" s="7">
        <f t="shared" si="146"/>
        <v>0</v>
      </c>
      <c r="CL180" s="7">
        <f t="shared" si="147"/>
        <v>0</v>
      </c>
      <c r="CM180" s="7">
        <f t="shared" si="148"/>
        <v>0</v>
      </c>
      <c r="CN180" s="7">
        <f t="shared" si="149"/>
        <v>0</v>
      </c>
      <c r="CO180" s="7">
        <f t="shared" si="150"/>
        <v>0</v>
      </c>
      <c r="CP180" s="7">
        <f t="shared" si="151"/>
        <v>0</v>
      </c>
      <c r="CQ180" s="7">
        <f t="shared" si="152"/>
        <v>0</v>
      </c>
      <c r="CR180" s="7">
        <f t="shared" si="153"/>
        <v>0</v>
      </c>
      <c r="CS180" s="7">
        <f t="shared" si="154"/>
        <v>0</v>
      </c>
      <c r="CT180" s="7">
        <f t="shared" si="155"/>
        <v>0</v>
      </c>
      <c r="CU180" s="7">
        <f t="shared" si="156"/>
        <v>0</v>
      </c>
      <c r="CV180" s="7">
        <f t="shared" si="157"/>
        <v>0</v>
      </c>
      <c r="CW180" s="7">
        <f t="shared" si="158"/>
        <v>0</v>
      </c>
      <c r="CX180" s="7">
        <f t="shared" si="159"/>
        <v>0</v>
      </c>
      <c r="CY180" s="7">
        <f t="shared" si="160"/>
        <v>0</v>
      </c>
      <c r="CZ180" s="7">
        <f t="shared" si="161"/>
        <v>0</v>
      </c>
      <c r="DA180" s="7">
        <f t="shared" si="162"/>
        <v>0</v>
      </c>
      <c r="DB180" s="7">
        <f t="shared" si="163"/>
        <v>0</v>
      </c>
      <c r="DC180" s="7">
        <f t="shared" si="164"/>
        <v>0</v>
      </c>
      <c r="DD180" s="7">
        <f t="shared" si="165"/>
        <v>0</v>
      </c>
      <c r="DE180" s="7">
        <f t="shared" si="166"/>
        <v>0</v>
      </c>
      <c r="DF180" s="7">
        <f t="shared" si="167"/>
        <v>0</v>
      </c>
      <c r="DG180" s="7">
        <f t="shared" si="168"/>
        <v>0</v>
      </c>
      <c r="DH180" s="7">
        <f t="shared" si="169"/>
        <v>0</v>
      </c>
      <c r="DI180" s="7">
        <f t="shared" si="170"/>
        <v>0</v>
      </c>
      <c r="DJ180" s="7">
        <f t="shared" si="171"/>
        <v>0</v>
      </c>
      <c r="DK180" s="7">
        <f t="shared" si="172"/>
        <v>0</v>
      </c>
      <c r="DL180" s="7">
        <f t="shared" si="173"/>
        <v>0</v>
      </c>
      <c r="DM180" s="7">
        <f t="shared" si="174"/>
        <v>0</v>
      </c>
      <c r="DN180" s="7">
        <f t="shared" si="175"/>
        <v>0</v>
      </c>
      <c r="DO180" s="7">
        <f t="shared" si="176"/>
        <v>0</v>
      </c>
      <c r="DP180" s="7">
        <f t="shared" si="177"/>
        <v>0</v>
      </c>
      <c r="DQ180" s="7">
        <f t="shared" si="178"/>
        <v>0</v>
      </c>
      <c r="DR180" s="7">
        <f t="shared" si="179"/>
        <v>0</v>
      </c>
      <c r="DS180" s="7">
        <f t="shared" si="180"/>
        <v>0</v>
      </c>
      <c r="DT180" s="7">
        <f t="shared" si="181"/>
        <v>0</v>
      </c>
      <c r="DU180" s="7">
        <f t="shared" si="182"/>
        <v>0</v>
      </c>
    </row>
    <row r="181" spans="1:125" x14ac:dyDescent="0.2">
      <c r="A181" s="3">
        <f>Bonds!A181</f>
        <v>47695</v>
      </c>
      <c r="B181" s="4">
        <f>Bonds!B181</f>
        <v>3.875</v>
      </c>
      <c r="C181">
        <f>Bonds!P181</f>
        <v>8</v>
      </c>
      <c r="D181">
        <f t="shared" si="122"/>
        <v>1</v>
      </c>
      <c r="E181" s="3">
        <f>IF(1&gt;$C181,"",IF($D181=1,EOMONTH(EDATE(Bonds!$H181,6*(1-1)),0),EDATE(Bonds!$H181,6*(1-1))))</f>
        <v>46418</v>
      </c>
      <c r="F181" s="3">
        <f>IF(2&gt;$C181,"",IF($D181=1,EOMONTH(EDATE(Bonds!$H181,6*(2-1)),0),EDATE(Bonds!$H181,6*(2-1))))</f>
        <v>46599</v>
      </c>
      <c r="G181" s="3">
        <f>IF(3&gt;$C181,"",IF($D181=1,EOMONTH(EDATE(Bonds!$H181,6*(3-1)),0),EDATE(Bonds!$H181,6*(3-1))))</f>
        <v>46783</v>
      </c>
      <c r="H181" s="3">
        <f>IF(4&gt;$C181,"",IF($D181=1,EOMONTH(EDATE(Bonds!$H181,6*(4-1)),0),EDATE(Bonds!$H181,6*(4-1))))</f>
        <v>46965</v>
      </c>
      <c r="I181" s="3">
        <f>IF(5&gt;$C181,"",IF($D181=1,EOMONTH(EDATE(Bonds!$H181,6*(5-1)),0),EDATE(Bonds!$H181,6*(5-1))))</f>
        <v>47149</v>
      </c>
      <c r="J181" s="3">
        <f>IF(6&gt;$C181,"",IF($D181=1,EOMONTH(EDATE(Bonds!$H181,6*(6-1)),0),EDATE(Bonds!$H181,6*(6-1))))</f>
        <v>47330</v>
      </c>
      <c r="K181" s="3">
        <f>IF(7&gt;$C181,"",IF($D181=1,EOMONTH(EDATE(Bonds!$H181,6*(7-1)),0),EDATE(Bonds!$H181,6*(7-1))))</f>
        <v>47514</v>
      </c>
      <c r="L181" s="3">
        <f>IF(8&gt;$C181,"",IF($D181=1,EOMONTH(EDATE(Bonds!$H181,6*(8-1)),0),EDATE(Bonds!$H181,6*(8-1))))</f>
        <v>47695</v>
      </c>
      <c r="M181" s="3" t="str">
        <f>IF(9&gt;$C181,"",IF($D181=1,EOMONTH(EDATE(Bonds!$H181,6*(9-1)),0),EDATE(Bonds!$H181,6*(9-1))))</f>
        <v/>
      </c>
      <c r="N181" s="3" t="str">
        <f>IF(10&gt;$C181,"",IF($D181=1,EOMONTH(EDATE(Bonds!$H181,6*(10-1)),0),EDATE(Bonds!$H181,6*(10-1))))</f>
        <v/>
      </c>
      <c r="O181" s="3" t="str">
        <f>IF(11&gt;$C181,"",IF($D181=1,EOMONTH(EDATE(Bonds!$H181,6*(11-1)),0),EDATE(Bonds!$H181,6*(11-1))))</f>
        <v/>
      </c>
      <c r="P181" s="3" t="str">
        <f>IF(12&gt;$C181,"",IF($D181=1,EOMONTH(EDATE(Bonds!$H181,6*(12-1)),0),EDATE(Bonds!$H181,6*(12-1))))</f>
        <v/>
      </c>
      <c r="Q181" s="3" t="str">
        <f>IF(13&gt;$C181,"",IF($D181=1,EOMONTH(EDATE(Bonds!$H181,6*(13-1)),0),EDATE(Bonds!$H181,6*(13-1))))</f>
        <v/>
      </c>
      <c r="R181" s="3" t="str">
        <f>IF(14&gt;$C181,"",IF($D181=1,EOMONTH(EDATE(Bonds!$H181,6*(14-1)),0),EDATE(Bonds!$H181,6*(14-1))))</f>
        <v/>
      </c>
      <c r="S181" s="3" t="str">
        <f>IF(15&gt;$C181,"",IF($D181=1,EOMONTH(EDATE(Bonds!$H181,6*(15-1)),0),EDATE(Bonds!$H181,6*(15-1))))</f>
        <v/>
      </c>
      <c r="T181" s="3" t="str">
        <f>IF(16&gt;$C181,"",IF($D181=1,EOMONTH(EDATE(Bonds!$H181,6*(16-1)),0),EDATE(Bonds!$H181,6*(16-1))))</f>
        <v/>
      </c>
      <c r="U181" s="3" t="str">
        <f>IF(17&gt;$C181,"",IF($D181=1,EOMONTH(EDATE(Bonds!$H181,6*(17-1)),0),EDATE(Bonds!$H181,6*(17-1))))</f>
        <v/>
      </c>
      <c r="V181" s="3" t="str">
        <f>IF(18&gt;$C181,"",IF($D181=1,EOMONTH(EDATE(Bonds!$H181,6*(18-1)),0),EDATE(Bonds!$H181,6*(18-1))))</f>
        <v/>
      </c>
      <c r="W181" s="3" t="str">
        <f>IF(19&gt;$C181,"",IF($D181=1,EOMONTH(EDATE(Bonds!$H181,6*(19-1)),0),EDATE(Bonds!$H181,6*(19-1))))</f>
        <v/>
      </c>
      <c r="X181" s="3" t="str">
        <f>IF(20&gt;$C181,"",IF($D181=1,EOMONTH(EDATE(Bonds!$H181,6*(20-1)),0),EDATE(Bonds!$H181,6*(20-1))))</f>
        <v/>
      </c>
      <c r="Y181" s="3" t="str">
        <f>IF(21&gt;$C181,"",IF($D181=1,EOMONTH(EDATE(Bonds!$H181,6*(21-1)),0),EDATE(Bonds!$H181,6*(21-1))))</f>
        <v/>
      </c>
      <c r="Z181" s="3" t="str">
        <f>IF(22&gt;$C181,"",IF($D181=1,EOMONTH(EDATE(Bonds!$H181,6*(22-1)),0),EDATE(Bonds!$H181,6*(22-1))))</f>
        <v/>
      </c>
      <c r="AA181" s="3" t="str">
        <f>IF(23&gt;$C181,"",IF($D181=1,EOMONTH(EDATE(Bonds!$H181,6*(23-1)),0),EDATE(Bonds!$H181,6*(23-1))))</f>
        <v/>
      </c>
      <c r="AB181" s="3" t="str">
        <f>IF(24&gt;$C181,"",IF($D181=1,EOMONTH(EDATE(Bonds!$H181,6*(24-1)),0),EDATE(Bonds!$H181,6*(24-1))))</f>
        <v/>
      </c>
      <c r="AC181" s="3" t="str">
        <f>IF(25&gt;$C181,"",IF($D181=1,EOMONTH(EDATE(Bonds!$H181,6*(25-1)),0),EDATE(Bonds!$H181,6*(25-1))))</f>
        <v/>
      </c>
      <c r="AD181" s="3" t="str">
        <f>IF(26&gt;$C181,"",IF($D181=1,EOMONTH(EDATE(Bonds!$H181,6*(26-1)),0),EDATE(Bonds!$H181,6*(26-1))))</f>
        <v/>
      </c>
      <c r="AE181" s="3" t="str">
        <f>IF(27&gt;$C181,"",IF($D181=1,EOMONTH(EDATE(Bonds!$H181,6*(27-1)),0),EDATE(Bonds!$H181,6*(27-1))))</f>
        <v/>
      </c>
      <c r="AF181" s="3" t="str">
        <f>IF(28&gt;$C181,"",IF($D181=1,EOMONTH(EDATE(Bonds!$H181,6*(28-1)),0),EDATE(Bonds!$H181,6*(28-1))))</f>
        <v/>
      </c>
      <c r="AG181" s="3" t="str">
        <f>IF(29&gt;$C181,"",IF($D181=1,EOMONTH(EDATE(Bonds!$H181,6*(29-1)),0),EDATE(Bonds!$H181,6*(29-1))))</f>
        <v/>
      </c>
      <c r="AH181" s="3" t="str">
        <f>IF(30&gt;$C181,"",IF($D181=1,EOMONTH(EDATE(Bonds!$H181,6*(30-1)),0),EDATE(Bonds!$H181,6*(30-1))))</f>
        <v/>
      </c>
      <c r="AI181" s="3" t="str">
        <f>IF(31&gt;$C181,"",IF($D181=1,EOMONTH(EDATE(Bonds!$H181,6*(31-1)),0),EDATE(Bonds!$H181,6*(31-1))))</f>
        <v/>
      </c>
      <c r="AJ181" s="3" t="str">
        <f>IF(32&gt;$C181,"",IF($D181=1,EOMONTH(EDATE(Bonds!$H181,6*(32-1)),0),EDATE(Bonds!$H181,6*(32-1))))</f>
        <v/>
      </c>
      <c r="AK181" s="3" t="str">
        <f>IF(33&gt;$C181,"",IF($D181=1,EOMONTH(EDATE(Bonds!$H181,6*(33-1)),0),EDATE(Bonds!$H181,6*(33-1))))</f>
        <v/>
      </c>
      <c r="AL181" s="3" t="str">
        <f>IF(34&gt;$C181,"",IF($D181=1,EOMONTH(EDATE(Bonds!$H181,6*(34-1)),0),EDATE(Bonds!$H181,6*(34-1))))</f>
        <v/>
      </c>
      <c r="AM181" s="3" t="str">
        <f>IF(35&gt;$C181,"",IF($D181=1,EOMONTH(EDATE(Bonds!$H181,6*(35-1)),0),EDATE(Bonds!$H181,6*(35-1))))</f>
        <v/>
      </c>
      <c r="AN181" s="3" t="str">
        <f>IF(36&gt;$C181,"",IF($D181=1,EOMONTH(EDATE(Bonds!$H181,6*(36-1)),0),EDATE(Bonds!$H181,6*(36-1))))</f>
        <v/>
      </c>
      <c r="AO181" s="3" t="str">
        <f>IF(37&gt;$C181,"",IF($D181=1,EOMONTH(EDATE(Bonds!$H181,6*(37-1)),0),EDATE(Bonds!$H181,6*(37-1))))</f>
        <v/>
      </c>
      <c r="AP181" s="3" t="str">
        <f>IF(38&gt;$C181,"",IF($D181=1,EOMONTH(EDATE(Bonds!$H181,6*(38-1)),0),EDATE(Bonds!$H181,6*(38-1))))</f>
        <v/>
      </c>
      <c r="AQ181" s="3" t="str">
        <f>IF(39&gt;$C181,"",IF($D181=1,EOMONTH(EDATE(Bonds!$H181,6*(39-1)),0),EDATE(Bonds!$H181,6*(39-1))))</f>
        <v/>
      </c>
      <c r="AR181" s="3" t="str">
        <f>IF(40&gt;$C181,"",IF($D181=1,EOMONTH(EDATE(Bonds!$H181,6*(40-1)),0),EDATE(Bonds!$H181,6*(40-1))))</f>
        <v/>
      </c>
      <c r="AS181" s="3" t="str">
        <f>IF(41&gt;$C181,"",IF($D181=1,EOMONTH(EDATE(Bonds!$H181,6*(41-1)),0),EDATE(Bonds!$H181,6*(41-1))))</f>
        <v/>
      </c>
      <c r="AT181" s="3" t="str">
        <f>IF(42&gt;$C181,"",IF($D181=1,EOMONTH(EDATE(Bonds!$H181,6*(42-1)),0),EDATE(Bonds!$H181,6*(42-1))))</f>
        <v/>
      </c>
      <c r="AU181" s="3" t="str">
        <f>IF(43&gt;$C181,"",IF($D181=1,EOMONTH(EDATE(Bonds!$H181,6*(43-1)),0),EDATE(Bonds!$H181,6*(43-1))))</f>
        <v/>
      </c>
      <c r="AV181" s="3" t="str">
        <f>IF(44&gt;$C181,"",IF($D181=1,EOMONTH(EDATE(Bonds!$H181,6*(44-1)),0),EDATE(Bonds!$H181,6*(44-1))))</f>
        <v/>
      </c>
      <c r="AW181" s="3" t="str">
        <f>IF(45&gt;$C181,"",IF($D181=1,EOMONTH(EDATE(Bonds!$H181,6*(45-1)),0),EDATE(Bonds!$H181,6*(45-1))))</f>
        <v/>
      </c>
      <c r="AX181" s="3" t="str">
        <f>IF(46&gt;$C181,"",IF($D181=1,EOMONTH(EDATE(Bonds!$H181,6*(46-1)),0),EDATE(Bonds!$H181,6*(46-1))))</f>
        <v/>
      </c>
      <c r="AY181" s="3" t="str">
        <f>IF(47&gt;$C181,"",IF($D181=1,EOMONTH(EDATE(Bonds!$H181,6*(47-1)),0),EDATE(Bonds!$H181,6*(47-1))))</f>
        <v/>
      </c>
      <c r="AZ181" s="3" t="str">
        <f>IF(48&gt;$C181,"",IF($D181=1,EOMONTH(EDATE(Bonds!$H181,6*(48-1)),0),EDATE(Bonds!$H181,6*(48-1))))</f>
        <v/>
      </c>
      <c r="BA181" s="3" t="str">
        <f>IF(49&gt;$C181,"",IF($D181=1,EOMONTH(EDATE(Bonds!$H181,6*(49-1)),0),EDATE(Bonds!$H181,6*(49-1))))</f>
        <v/>
      </c>
      <c r="BB181" s="3" t="str">
        <f>IF(50&gt;$C181,"",IF($D181=1,EOMONTH(EDATE(Bonds!$H181,6*(50-1)),0),EDATE(Bonds!$H181,6*(50-1))))</f>
        <v/>
      </c>
      <c r="BC181" s="3" t="str">
        <f>IF(51&gt;$C181,"",IF($D181=1,EOMONTH(EDATE(Bonds!$H181,6*(51-1)),0),EDATE(Bonds!$H181,6*(51-1))))</f>
        <v/>
      </c>
      <c r="BD181" s="3" t="str">
        <f>IF(52&gt;$C181,"",IF($D181=1,EOMONTH(EDATE(Bonds!$H181,6*(52-1)),0),EDATE(Bonds!$H181,6*(52-1))))</f>
        <v/>
      </c>
      <c r="BE181" s="3" t="str">
        <f>IF(53&gt;$C181,"",IF($D181=1,EOMONTH(EDATE(Bonds!$H181,6*(53-1)),0),EDATE(Bonds!$H181,6*(53-1))))</f>
        <v/>
      </c>
      <c r="BF181" s="3" t="str">
        <f>IF(54&gt;$C181,"",IF($D181=1,EOMONTH(EDATE(Bonds!$H181,6*(54-1)),0),EDATE(Bonds!$H181,6*(54-1))))</f>
        <v/>
      </c>
      <c r="BG181" s="3" t="str">
        <f>IF(55&gt;$C181,"",IF($D181=1,EOMONTH(EDATE(Bonds!$H181,6*(55-1)),0),EDATE(Bonds!$H181,6*(55-1))))</f>
        <v/>
      </c>
      <c r="BH181" s="3" t="str">
        <f>IF(56&gt;$C181,"",IF($D181=1,EOMONTH(EDATE(Bonds!$H181,6*(56-1)),0),EDATE(Bonds!$H181,6*(56-1))))</f>
        <v/>
      </c>
      <c r="BI181" s="3" t="str">
        <f>IF(57&gt;$C181,"",IF($D181=1,EOMONTH(EDATE(Bonds!$H181,6*(57-1)),0),EDATE(Bonds!$H181,6*(57-1))))</f>
        <v/>
      </c>
      <c r="BJ181" s="3" t="str">
        <f>IF(58&gt;$C181,"",IF($D181=1,EOMONTH(EDATE(Bonds!$H181,6*(58-1)),0),EDATE(Bonds!$H181,6*(58-1))))</f>
        <v/>
      </c>
      <c r="BK181" s="3" t="str">
        <f>IF(59&gt;$C181,"",IF($D181=1,EOMONTH(EDATE(Bonds!$H181,6*(59-1)),0),EDATE(Bonds!$H181,6*(59-1))))</f>
        <v/>
      </c>
      <c r="BL181" s="3" t="str">
        <f>IF(60&gt;$C181,"",IF($D181=1,EOMONTH(EDATE(Bonds!$H181,6*(60-1)),0),EDATE(Bonds!$H181,6*(60-1))))</f>
        <v/>
      </c>
      <c r="BN181" s="7">
        <f t="shared" si="123"/>
        <v>1.9078601380506013</v>
      </c>
      <c r="BO181" s="7">
        <f t="shared" si="124"/>
        <v>1.8678801583217384</v>
      </c>
      <c r="BP181" s="7">
        <f t="shared" si="125"/>
        <v>1.8260840227666695</v>
      </c>
      <c r="BQ181" s="7">
        <f t="shared" si="126"/>
        <v>1.7849111778444489</v>
      </c>
      <c r="BR181" s="7">
        <f t="shared" si="127"/>
        <v>1.7440755020503143</v>
      </c>
      <c r="BS181" s="7">
        <f t="shared" si="128"/>
        <v>1.7048797476823117</v>
      </c>
      <c r="BT181" s="7">
        <f t="shared" si="129"/>
        <v>1.666007285173265</v>
      </c>
      <c r="BU181" s="7">
        <f t="shared" si="130"/>
        <v>85.685767790976413</v>
      </c>
      <c r="BV181" s="7">
        <f t="shared" si="131"/>
        <v>0</v>
      </c>
      <c r="BW181" s="7">
        <f t="shared" si="132"/>
        <v>0</v>
      </c>
      <c r="BX181" s="7">
        <f t="shared" si="133"/>
        <v>0</v>
      </c>
      <c r="BY181" s="7">
        <f t="shared" si="134"/>
        <v>0</v>
      </c>
      <c r="BZ181" s="7">
        <f t="shared" si="135"/>
        <v>0</v>
      </c>
      <c r="CA181" s="7">
        <f t="shared" si="136"/>
        <v>0</v>
      </c>
      <c r="CB181" s="7">
        <f t="shared" si="137"/>
        <v>0</v>
      </c>
      <c r="CC181" s="7">
        <f t="shared" si="138"/>
        <v>0</v>
      </c>
      <c r="CD181" s="7">
        <f t="shared" si="139"/>
        <v>0</v>
      </c>
      <c r="CE181" s="7">
        <f t="shared" si="140"/>
        <v>0</v>
      </c>
      <c r="CF181" s="7">
        <f t="shared" si="141"/>
        <v>0</v>
      </c>
      <c r="CG181" s="7">
        <f t="shared" si="142"/>
        <v>0</v>
      </c>
      <c r="CH181" s="7">
        <f t="shared" si="143"/>
        <v>0</v>
      </c>
      <c r="CI181" s="7">
        <f t="shared" si="144"/>
        <v>0</v>
      </c>
      <c r="CJ181" s="7">
        <f t="shared" si="145"/>
        <v>0</v>
      </c>
      <c r="CK181" s="7">
        <f t="shared" si="146"/>
        <v>0</v>
      </c>
      <c r="CL181" s="7">
        <f t="shared" si="147"/>
        <v>0</v>
      </c>
      <c r="CM181" s="7">
        <f t="shared" si="148"/>
        <v>0</v>
      </c>
      <c r="CN181" s="7">
        <f t="shared" si="149"/>
        <v>0</v>
      </c>
      <c r="CO181" s="7">
        <f t="shared" si="150"/>
        <v>0</v>
      </c>
      <c r="CP181" s="7">
        <f t="shared" si="151"/>
        <v>0</v>
      </c>
      <c r="CQ181" s="7">
        <f t="shared" si="152"/>
        <v>0</v>
      </c>
      <c r="CR181" s="7">
        <f t="shared" si="153"/>
        <v>0</v>
      </c>
      <c r="CS181" s="7">
        <f t="shared" si="154"/>
        <v>0</v>
      </c>
      <c r="CT181" s="7">
        <f t="shared" si="155"/>
        <v>0</v>
      </c>
      <c r="CU181" s="7">
        <f t="shared" si="156"/>
        <v>0</v>
      </c>
      <c r="CV181" s="7">
        <f t="shared" si="157"/>
        <v>0</v>
      </c>
      <c r="CW181" s="7">
        <f t="shared" si="158"/>
        <v>0</v>
      </c>
      <c r="CX181" s="7">
        <f t="shared" si="159"/>
        <v>0</v>
      </c>
      <c r="CY181" s="7">
        <f t="shared" si="160"/>
        <v>0</v>
      </c>
      <c r="CZ181" s="7">
        <f t="shared" si="161"/>
        <v>0</v>
      </c>
      <c r="DA181" s="7">
        <f t="shared" si="162"/>
        <v>0</v>
      </c>
      <c r="DB181" s="7">
        <f t="shared" si="163"/>
        <v>0</v>
      </c>
      <c r="DC181" s="7">
        <f t="shared" si="164"/>
        <v>0</v>
      </c>
      <c r="DD181" s="7">
        <f t="shared" si="165"/>
        <v>0</v>
      </c>
      <c r="DE181" s="7">
        <f t="shared" si="166"/>
        <v>0</v>
      </c>
      <c r="DF181" s="7">
        <f t="shared" si="167"/>
        <v>0</v>
      </c>
      <c r="DG181" s="7">
        <f t="shared" si="168"/>
        <v>0</v>
      </c>
      <c r="DH181" s="7">
        <f t="shared" si="169"/>
        <v>0</v>
      </c>
      <c r="DI181" s="7">
        <f t="shared" si="170"/>
        <v>0</v>
      </c>
      <c r="DJ181" s="7">
        <f t="shared" si="171"/>
        <v>0</v>
      </c>
      <c r="DK181" s="7">
        <f t="shared" si="172"/>
        <v>0</v>
      </c>
      <c r="DL181" s="7">
        <f t="shared" si="173"/>
        <v>0</v>
      </c>
      <c r="DM181" s="7">
        <f t="shared" si="174"/>
        <v>0</v>
      </c>
      <c r="DN181" s="7">
        <f t="shared" si="175"/>
        <v>0</v>
      </c>
      <c r="DO181" s="7">
        <f t="shared" si="176"/>
        <v>0</v>
      </c>
      <c r="DP181" s="7">
        <f t="shared" si="177"/>
        <v>0</v>
      </c>
      <c r="DQ181" s="7">
        <f t="shared" si="178"/>
        <v>0</v>
      </c>
      <c r="DR181" s="7">
        <f t="shared" si="179"/>
        <v>0</v>
      </c>
      <c r="DS181" s="7">
        <f t="shared" si="180"/>
        <v>0</v>
      </c>
      <c r="DT181" s="7">
        <f t="shared" si="181"/>
        <v>0</v>
      </c>
      <c r="DU181" s="7">
        <f t="shared" si="182"/>
        <v>0</v>
      </c>
    </row>
    <row r="182" spans="1:125" x14ac:dyDescent="0.2">
      <c r="A182" s="3">
        <f>Bonds!A182</f>
        <v>47695</v>
      </c>
      <c r="B182" s="4">
        <f>Bonds!B182</f>
        <v>4</v>
      </c>
      <c r="C182">
        <f>Bonds!P182</f>
        <v>8</v>
      </c>
      <c r="D182">
        <f t="shared" si="122"/>
        <v>1</v>
      </c>
      <c r="E182" s="3">
        <f>IF(1&gt;$C182,"",IF($D182=1,EOMONTH(EDATE(Bonds!$H182,6*(1-1)),0),EDATE(Bonds!$H182,6*(1-1))))</f>
        <v>46418</v>
      </c>
      <c r="F182" s="3">
        <f>IF(2&gt;$C182,"",IF($D182=1,EOMONTH(EDATE(Bonds!$H182,6*(2-1)),0),EDATE(Bonds!$H182,6*(2-1))))</f>
        <v>46599</v>
      </c>
      <c r="G182" s="3">
        <f>IF(3&gt;$C182,"",IF($D182=1,EOMONTH(EDATE(Bonds!$H182,6*(3-1)),0),EDATE(Bonds!$H182,6*(3-1))))</f>
        <v>46783</v>
      </c>
      <c r="H182" s="3">
        <f>IF(4&gt;$C182,"",IF($D182=1,EOMONTH(EDATE(Bonds!$H182,6*(4-1)),0),EDATE(Bonds!$H182,6*(4-1))))</f>
        <v>46965</v>
      </c>
      <c r="I182" s="3">
        <f>IF(5&gt;$C182,"",IF($D182=1,EOMONTH(EDATE(Bonds!$H182,6*(5-1)),0),EDATE(Bonds!$H182,6*(5-1))))</f>
        <v>47149</v>
      </c>
      <c r="J182" s="3">
        <f>IF(6&gt;$C182,"",IF($D182=1,EOMONTH(EDATE(Bonds!$H182,6*(6-1)),0),EDATE(Bonds!$H182,6*(6-1))))</f>
        <v>47330</v>
      </c>
      <c r="K182" s="3">
        <f>IF(7&gt;$C182,"",IF($D182=1,EOMONTH(EDATE(Bonds!$H182,6*(7-1)),0),EDATE(Bonds!$H182,6*(7-1))))</f>
        <v>47514</v>
      </c>
      <c r="L182" s="3">
        <f>IF(8&gt;$C182,"",IF($D182=1,EOMONTH(EDATE(Bonds!$H182,6*(8-1)),0),EDATE(Bonds!$H182,6*(8-1))))</f>
        <v>47695</v>
      </c>
      <c r="M182" s="3" t="str">
        <f>IF(9&gt;$C182,"",IF($D182=1,EOMONTH(EDATE(Bonds!$H182,6*(9-1)),0),EDATE(Bonds!$H182,6*(9-1))))</f>
        <v/>
      </c>
      <c r="N182" s="3" t="str">
        <f>IF(10&gt;$C182,"",IF($D182=1,EOMONTH(EDATE(Bonds!$H182,6*(10-1)),0),EDATE(Bonds!$H182,6*(10-1))))</f>
        <v/>
      </c>
      <c r="O182" s="3" t="str">
        <f>IF(11&gt;$C182,"",IF($D182=1,EOMONTH(EDATE(Bonds!$H182,6*(11-1)),0),EDATE(Bonds!$H182,6*(11-1))))</f>
        <v/>
      </c>
      <c r="P182" s="3" t="str">
        <f>IF(12&gt;$C182,"",IF($D182=1,EOMONTH(EDATE(Bonds!$H182,6*(12-1)),0),EDATE(Bonds!$H182,6*(12-1))))</f>
        <v/>
      </c>
      <c r="Q182" s="3" t="str">
        <f>IF(13&gt;$C182,"",IF($D182=1,EOMONTH(EDATE(Bonds!$H182,6*(13-1)),0),EDATE(Bonds!$H182,6*(13-1))))</f>
        <v/>
      </c>
      <c r="R182" s="3" t="str">
        <f>IF(14&gt;$C182,"",IF($D182=1,EOMONTH(EDATE(Bonds!$H182,6*(14-1)),0),EDATE(Bonds!$H182,6*(14-1))))</f>
        <v/>
      </c>
      <c r="S182" s="3" t="str">
        <f>IF(15&gt;$C182,"",IF($D182=1,EOMONTH(EDATE(Bonds!$H182,6*(15-1)),0),EDATE(Bonds!$H182,6*(15-1))))</f>
        <v/>
      </c>
      <c r="T182" s="3" t="str">
        <f>IF(16&gt;$C182,"",IF($D182=1,EOMONTH(EDATE(Bonds!$H182,6*(16-1)),0),EDATE(Bonds!$H182,6*(16-1))))</f>
        <v/>
      </c>
      <c r="U182" s="3" t="str">
        <f>IF(17&gt;$C182,"",IF($D182=1,EOMONTH(EDATE(Bonds!$H182,6*(17-1)),0),EDATE(Bonds!$H182,6*(17-1))))</f>
        <v/>
      </c>
      <c r="V182" s="3" t="str">
        <f>IF(18&gt;$C182,"",IF($D182=1,EOMONTH(EDATE(Bonds!$H182,6*(18-1)),0),EDATE(Bonds!$H182,6*(18-1))))</f>
        <v/>
      </c>
      <c r="W182" s="3" t="str">
        <f>IF(19&gt;$C182,"",IF($D182=1,EOMONTH(EDATE(Bonds!$H182,6*(19-1)),0),EDATE(Bonds!$H182,6*(19-1))))</f>
        <v/>
      </c>
      <c r="X182" s="3" t="str">
        <f>IF(20&gt;$C182,"",IF($D182=1,EOMONTH(EDATE(Bonds!$H182,6*(20-1)),0),EDATE(Bonds!$H182,6*(20-1))))</f>
        <v/>
      </c>
      <c r="Y182" s="3" t="str">
        <f>IF(21&gt;$C182,"",IF($D182=1,EOMONTH(EDATE(Bonds!$H182,6*(21-1)),0),EDATE(Bonds!$H182,6*(21-1))))</f>
        <v/>
      </c>
      <c r="Z182" s="3" t="str">
        <f>IF(22&gt;$C182,"",IF($D182=1,EOMONTH(EDATE(Bonds!$H182,6*(22-1)),0),EDATE(Bonds!$H182,6*(22-1))))</f>
        <v/>
      </c>
      <c r="AA182" s="3" t="str">
        <f>IF(23&gt;$C182,"",IF($D182=1,EOMONTH(EDATE(Bonds!$H182,6*(23-1)),0),EDATE(Bonds!$H182,6*(23-1))))</f>
        <v/>
      </c>
      <c r="AB182" s="3" t="str">
        <f>IF(24&gt;$C182,"",IF($D182=1,EOMONTH(EDATE(Bonds!$H182,6*(24-1)),0),EDATE(Bonds!$H182,6*(24-1))))</f>
        <v/>
      </c>
      <c r="AC182" s="3" t="str">
        <f>IF(25&gt;$C182,"",IF($D182=1,EOMONTH(EDATE(Bonds!$H182,6*(25-1)),0),EDATE(Bonds!$H182,6*(25-1))))</f>
        <v/>
      </c>
      <c r="AD182" s="3" t="str">
        <f>IF(26&gt;$C182,"",IF($D182=1,EOMONTH(EDATE(Bonds!$H182,6*(26-1)),0),EDATE(Bonds!$H182,6*(26-1))))</f>
        <v/>
      </c>
      <c r="AE182" s="3" t="str">
        <f>IF(27&gt;$C182,"",IF($D182=1,EOMONTH(EDATE(Bonds!$H182,6*(27-1)),0),EDATE(Bonds!$H182,6*(27-1))))</f>
        <v/>
      </c>
      <c r="AF182" s="3" t="str">
        <f>IF(28&gt;$C182,"",IF($D182=1,EOMONTH(EDATE(Bonds!$H182,6*(28-1)),0),EDATE(Bonds!$H182,6*(28-1))))</f>
        <v/>
      </c>
      <c r="AG182" s="3" t="str">
        <f>IF(29&gt;$C182,"",IF($D182=1,EOMONTH(EDATE(Bonds!$H182,6*(29-1)),0),EDATE(Bonds!$H182,6*(29-1))))</f>
        <v/>
      </c>
      <c r="AH182" s="3" t="str">
        <f>IF(30&gt;$C182,"",IF($D182=1,EOMONTH(EDATE(Bonds!$H182,6*(30-1)),0),EDATE(Bonds!$H182,6*(30-1))))</f>
        <v/>
      </c>
      <c r="AI182" s="3" t="str">
        <f>IF(31&gt;$C182,"",IF($D182=1,EOMONTH(EDATE(Bonds!$H182,6*(31-1)),0),EDATE(Bonds!$H182,6*(31-1))))</f>
        <v/>
      </c>
      <c r="AJ182" s="3" t="str">
        <f>IF(32&gt;$C182,"",IF($D182=1,EOMONTH(EDATE(Bonds!$H182,6*(32-1)),0),EDATE(Bonds!$H182,6*(32-1))))</f>
        <v/>
      </c>
      <c r="AK182" s="3" t="str">
        <f>IF(33&gt;$C182,"",IF($D182=1,EOMONTH(EDATE(Bonds!$H182,6*(33-1)),0),EDATE(Bonds!$H182,6*(33-1))))</f>
        <v/>
      </c>
      <c r="AL182" s="3" t="str">
        <f>IF(34&gt;$C182,"",IF($D182=1,EOMONTH(EDATE(Bonds!$H182,6*(34-1)),0),EDATE(Bonds!$H182,6*(34-1))))</f>
        <v/>
      </c>
      <c r="AM182" s="3" t="str">
        <f>IF(35&gt;$C182,"",IF($D182=1,EOMONTH(EDATE(Bonds!$H182,6*(35-1)),0),EDATE(Bonds!$H182,6*(35-1))))</f>
        <v/>
      </c>
      <c r="AN182" s="3" t="str">
        <f>IF(36&gt;$C182,"",IF($D182=1,EOMONTH(EDATE(Bonds!$H182,6*(36-1)),0),EDATE(Bonds!$H182,6*(36-1))))</f>
        <v/>
      </c>
      <c r="AO182" s="3" t="str">
        <f>IF(37&gt;$C182,"",IF($D182=1,EOMONTH(EDATE(Bonds!$H182,6*(37-1)),0),EDATE(Bonds!$H182,6*(37-1))))</f>
        <v/>
      </c>
      <c r="AP182" s="3" t="str">
        <f>IF(38&gt;$C182,"",IF($D182=1,EOMONTH(EDATE(Bonds!$H182,6*(38-1)),0),EDATE(Bonds!$H182,6*(38-1))))</f>
        <v/>
      </c>
      <c r="AQ182" s="3" t="str">
        <f>IF(39&gt;$C182,"",IF($D182=1,EOMONTH(EDATE(Bonds!$H182,6*(39-1)),0),EDATE(Bonds!$H182,6*(39-1))))</f>
        <v/>
      </c>
      <c r="AR182" s="3" t="str">
        <f>IF(40&gt;$C182,"",IF($D182=1,EOMONTH(EDATE(Bonds!$H182,6*(40-1)),0),EDATE(Bonds!$H182,6*(40-1))))</f>
        <v/>
      </c>
      <c r="AS182" s="3" t="str">
        <f>IF(41&gt;$C182,"",IF($D182=1,EOMONTH(EDATE(Bonds!$H182,6*(41-1)),0),EDATE(Bonds!$H182,6*(41-1))))</f>
        <v/>
      </c>
      <c r="AT182" s="3" t="str">
        <f>IF(42&gt;$C182,"",IF($D182=1,EOMONTH(EDATE(Bonds!$H182,6*(42-1)),0),EDATE(Bonds!$H182,6*(42-1))))</f>
        <v/>
      </c>
      <c r="AU182" s="3" t="str">
        <f>IF(43&gt;$C182,"",IF($D182=1,EOMONTH(EDATE(Bonds!$H182,6*(43-1)),0),EDATE(Bonds!$H182,6*(43-1))))</f>
        <v/>
      </c>
      <c r="AV182" s="3" t="str">
        <f>IF(44&gt;$C182,"",IF($D182=1,EOMONTH(EDATE(Bonds!$H182,6*(44-1)),0),EDATE(Bonds!$H182,6*(44-1))))</f>
        <v/>
      </c>
      <c r="AW182" s="3" t="str">
        <f>IF(45&gt;$C182,"",IF($D182=1,EOMONTH(EDATE(Bonds!$H182,6*(45-1)),0),EDATE(Bonds!$H182,6*(45-1))))</f>
        <v/>
      </c>
      <c r="AX182" s="3" t="str">
        <f>IF(46&gt;$C182,"",IF($D182=1,EOMONTH(EDATE(Bonds!$H182,6*(46-1)),0),EDATE(Bonds!$H182,6*(46-1))))</f>
        <v/>
      </c>
      <c r="AY182" s="3" t="str">
        <f>IF(47&gt;$C182,"",IF($D182=1,EOMONTH(EDATE(Bonds!$H182,6*(47-1)),0),EDATE(Bonds!$H182,6*(47-1))))</f>
        <v/>
      </c>
      <c r="AZ182" s="3" t="str">
        <f>IF(48&gt;$C182,"",IF($D182=1,EOMONTH(EDATE(Bonds!$H182,6*(48-1)),0),EDATE(Bonds!$H182,6*(48-1))))</f>
        <v/>
      </c>
      <c r="BA182" s="3" t="str">
        <f>IF(49&gt;$C182,"",IF($D182=1,EOMONTH(EDATE(Bonds!$H182,6*(49-1)),0),EDATE(Bonds!$H182,6*(49-1))))</f>
        <v/>
      </c>
      <c r="BB182" s="3" t="str">
        <f>IF(50&gt;$C182,"",IF($D182=1,EOMONTH(EDATE(Bonds!$H182,6*(50-1)),0),EDATE(Bonds!$H182,6*(50-1))))</f>
        <v/>
      </c>
      <c r="BC182" s="3" t="str">
        <f>IF(51&gt;$C182,"",IF($D182=1,EOMONTH(EDATE(Bonds!$H182,6*(51-1)),0),EDATE(Bonds!$H182,6*(51-1))))</f>
        <v/>
      </c>
      <c r="BD182" s="3" t="str">
        <f>IF(52&gt;$C182,"",IF($D182=1,EOMONTH(EDATE(Bonds!$H182,6*(52-1)),0),EDATE(Bonds!$H182,6*(52-1))))</f>
        <v/>
      </c>
      <c r="BE182" s="3" t="str">
        <f>IF(53&gt;$C182,"",IF($D182=1,EOMONTH(EDATE(Bonds!$H182,6*(53-1)),0),EDATE(Bonds!$H182,6*(53-1))))</f>
        <v/>
      </c>
      <c r="BF182" s="3" t="str">
        <f>IF(54&gt;$C182,"",IF($D182=1,EOMONTH(EDATE(Bonds!$H182,6*(54-1)),0),EDATE(Bonds!$H182,6*(54-1))))</f>
        <v/>
      </c>
      <c r="BG182" s="3" t="str">
        <f>IF(55&gt;$C182,"",IF($D182=1,EOMONTH(EDATE(Bonds!$H182,6*(55-1)),0),EDATE(Bonds!$H182,6*(55-1))))</f>
        <v/>
      </c>
      <c r="BH182" s="3" t="str">
        <f>IF(56&gt;$C182,"",IF($D182=1,EOMONTH(EDATE(Bonds!$H182,6*(56-1)),0),EDATE(Bonds!$H182,6*(56-1))))</f>
        <v/>
      </c>
      <c r="BI182" s="3" t="str">
        <f>IF(57&gt;$C182,"",IF($D182=1,EOMONTH(EDATE(Bonds!$H182,6*(57-1)),0),EDATE(Bonds!$H182,6*(57-1))))</f>
        <v/>
      </c>
      <c r="BJ182" s="3" t="str">
        <f>IF(58&gt;$C182,"",IF($D182=1,EOMONTH(EDATE(Bonds!$H182,6*(58-1)),0),EDATE(Bonds!$H182,6*(58-1))))</f>
        <v/>
      </c>
      <c r="BK182" s="3" t="str">
        <f>IF(59&gt;$C182,"",IF($D182=1,EOMONTH(EDATE(Bonds!$H182,6*(59-1)),0),EDATE(Bonds!$H182,6*(59-1))))</f>
        <v/>
      </c>
      <c r="BL182" s="3" t="str">
        <f>IF(60&gt;$C182,"",IF($D182=1,EOMONTH(EDATE(Bonds!$H182,6*(60-1)),0),EDATE(Bonds!$H182,6*(60-1))))</f>
        <v/>
      </c>
      <c r="BN182" s="7">
        <f t="shared" si="123"/>
        <v>1.9694040134715884</v>
      </c>
      <c r="BO182" s="7">
        <f t="shared" si="124"/>
        <v>1.9281343569772784</v>
      </c>
      <c r="BP182" s="7">
        <f t="shared" si="125"/>
        <v>1.884989958984949</v>
      </c>
      <c r="BQ182" s="7">
        <f t="shared" si="126"/>
        <v>1.8424889577749151</v>
      </c>
      <c r="BR182" s="7">
        <f t="shared" si="127"/>
        <v>1.8003360021164534</v>
      </c>
      <c r="BS182" s="7">
        <f t="shared" si="128"/>
        <v>1.7598758685752895</v>
      </c>
      <c r="BT182" s="7">
        <f t="shared" si="129"/>
        <v>1.7197494556627251</v>
      </c>
      <c r="BU182" s="7">
        <f t="shared" si="130"/>
        <v>85.738303516170149</v>
      </c>
      <c r="BV182" s="7">
        <f t="shared" si="131"/>
        <v>0</v>
      </c>
      <c r="BW182" s="7">
        <f t="shared" si="132"/>
        <v>0</v>
      </c>
      <c r="BX182" s="7">
        <f t="shared" si="133"/>
        <v>0</v>
      </c>
      <c r="BY182" s="7">
        <f t="shared" si="134"/>
        <v>0</v>
      </c>
      <c r="BZ182" s="7">
        <f t="shared" si="135"/>
        <v>0</v>
      </c>
      <c r="CA182" s="7">
        <f t="shared" si="136"/>
        <v>0</v>
      </c>
      <c r="CB182" s="7">
        <f t="shared" si="137"/>
        <v>0</v>
      </c>
      <c r="CC182" s="7">
        <f t="shared" si="138"/>
        <v>0</v>
      </c>
      <c r="CD182" s="7">
        <f t="shared" si="139"/>
        <v>0</v>
      </c>
      <c r="CE182" s="7">
        <f t="shared" si="140"/>
        <v>0</v>
      </c>
      <c r="CF182" s="7">
        <f t="shared" si="141"/>
        <v>0</v>
      </c>
      <c r="CG182" s="7">
        <f t="shared" si="142"/>
        <v>0</v>
      </c>
      <c r="CH182" s="7">
        <f t="shared" si="143"/>
        <v>0</v>
      </c>
      <c r="CI182" s="7">
        <f t="shared" si="144"/>
        <v>0</v>
      </c>
      <c r="CJ182" s="7">
        <f t="shared" si="145"/>
        <v>0</v>
      </c>
      <c r="CK182" s="7">
        <f t="shared" si="146"/>
        <v>0</v>
      </c>
      <c r="CL182" s="7">
        <f t="shared" si="147"/>
        <v>0</v>
      </c>
      <c r="CM182" s="7">
        <f t="shared" si="148"/>
        <v>0</v>
      </c>
      <c r="CN182" s="7">
        <f t="shared" si="149"/>
        <v>0</v>
      </c>
      <c r="CO182" s="7">
        <f t="shared" si="150"/>
        <v>0</v>
      </c>
      <c r="CP182" s="7">
        <f t="shared" si="151"/>
        <v>0</v>
      </c>
      <c r="CQ182" s="7">
        <f t="shared" si="152"/>
        <v>0</v>
      </c>
      <c r="CR182" s="7">
        <f t="shared" si="153"/>
        <v>0</v>
      </c>
      <c r="CS182" s="7">
        <f t="shared" si="154"/>
        <v>0</v>
      </c>
      <c r="CT182" s="7">
        <f t="shared" si="155"/>
        <v>0</v>
      </c>
      <c r="CU182" s="7">
        <f t="shared" si="156"/>
        <v>0</v>
      </c>
      <c r="CV182" s="7">
        <f t="shared" si="157"/>
        <v>0</v>
      </c>
      <c r="CW182" s="7">
        <f t="shared" si="158"/>
        <v>0</v>
      </c>
      <c r="CX182" s="7">
        <f t="shared" si="159"/>
        <v>0</v>
      </c>
      <c r="CY182" s="7">
        <f t="shared" si="160"/>
        <v>0</v>
      </c>
      <c r="CZ182" s="7">
        <f t="shared" si="161"/>
        <v>0</v>
      </c>
      <c r="DA182" s="7">
        <f t="shared" si="162"/>
        <v>0</v>
      </c>
      <c r="DB182" s="7">
        <f t="shared" si="163"/>
        <v>0</v>
      </c>
      <c r="DC182" s="7">
        <f t="shared" si="164"/>
        <v>0</v>
      </c>
      <c r="DD182" s="7">
        <f t="shared" si="165"/>
        <v>0</v>
      </c>
      <c r="DE182" s="7">
        <f t="shared" si="166"/>
        <v>0</v>
      </c>
      <c r="DF182" s="7">
        <f t="shared" si="167"/>
        <v>0</v>
      </c>
      <c r="DG182" s="7">
        <f t="shared" si="168"/>
        <v>0</v>
      </c>
      <c r="DH182" s="7">
        <f t="shared" si="169"/>
        <v>0</v>
      </c>
      <c r="DI182" s="7">
        <f t="shared" si="170"/>
        <v>0</v>
      </c>
      <c r="DJ182" s="7">
        <f t="shared" si="171"/>
        <v>0</v>
      </c>
      <c r="DK182" s="7">
        <f t="shared" si="172"/>
        <v>0</v>
      </c>
      <c r="DL182" s="7">
        <f t="shared" si="173"/>
        <v>0</v>
      </c>
      <c r="DM182" s="7">
        <f t="shared" si="174"/>
        <v>0</v>
      </c>
      <c r="DN182" s="7">
        <f t="shared" si="175"/>
        <v>0</v>
      </c>
      <c r="DO182" s="7">
        <f t="shared" si="176"/>
        <v>0</v>
      </c>
      <c r="DP182" s="7">
        <f t="shared" si="177"/>
        <v>0</v>
      </c>
      <c r="DQ182" s="7">
        <f t="shared" si="178"/>
        <v>0</v>
      </c>
      <c r="DR182" s="7">
        <f t="shared" si="179"/>
        <v>0</v>
      </c>
      <c r="DS182" s="7">
        <f t="shared" si="180"/>
        <v>0</v>
      </c>
      <c r="DT182" s="7">
        <f t="shared" si="181"/>
        <v>0</v>
      </c>
      <c r="DU182" s="7">
        <f t="shared" si="182"/>
        <v>0</v>
      </c>
    </row>
    <row r="183" spans="1:125" x14ac:dyDescent="0.2">
      <c r="A183" s="3">
        <f>Bonds!A183</f>
        <v>47710</v>
      </c>
      <c r="B183" s="4">
        <f>Bonds!B183</f>
        <v>0.625</v>
      </c>
      <c r="C183">
        <f>Bonds!P183</f>
        <v>8</v>
      </c>
      <c r="D183">
        <f t="shared" si="122"/>
        <v>0</v>
      </c>
      <c r="E183" s="3">
        <f>IF(1&gt;$C183,"",IF($D183=1,EOMONTH(EDATE(Bonds!$H183,6*(1-1)),0),EDATE(Bonds!$H183,6*(1-1))))</f>
        <v>46433</v>
      </c>
      <c r="F183" s="3">
        <f>IF(2&gt;$C183,"",IF($D183=1,EOMONTH(EDATE(Bonds!$H183,6*(2-1)),0),EDATE(Bonds!$H183,6*(2-1))))</f>
        <v>46614</v>
      </c>
      <c r="G183" s="3">
        <f>IF(3&gt;$C183,"",IF($D183=1,EOMONTH(EDATE(Bonds!$H183,6*(3-1)),0),EDATE(Bonds!$H183,6*(3-1))))</f>
        <v>46798</v>
      </c>
      <c r="H183" s="3">
        <f>IF(4&gt;$C183,"",IF($D183=1,EOMONTH(EDATE(Bonds!$H183,6*(4-1)),0),EDATE(Bonds!$H183,6*(4-1))))</f>
        <v>46980</v>
      </c>
      <c r="I183" s="3">
        <f>IF(5&gt;$C183,"",IF($D183=1,EOMONTH(EDATE(Bonds!$H183,6*(5-1)),0),EDATE(Bonds!$H183,6*(5-1))))</f>
        <v>47164</v>
      </c>
      <c r="J183" s="3">
        <f>IF(6&gt;$C183,"",IF($D183=1,EOMONTH(EDATE(Bonds!$H183,6*(6-1)),0),EDATE(Bonds!$H183,6*(6-1))))</f>
        <v>47345</v>
      </c>
      <c r="K183" s="3">
        <f>IF(7&gt;$C183,"",IF($D183=1,EOMONTH(EDATE(Bonds!$H183,6*(7-1)),0),EDATE(Bonds!$H183,6*(7-1))))</f>
        <v>47529</v>
      </c>
      <c r="L183" s="3">
        <f>IF(8&gt;$C183,"",IF($D183=1,EOMONTH(EDATE(Bonds!$H183,6*(8-1)),0),EDATE(Bonds!$H183,6*(8-1))))</f>
        <v>47710</v>
      </c>
      <c r="M183" s="3" t="str">
        <f>IF(9&gt;$C183,"",IF($D183=1,EOMONTH(EDATE(Bonds!$H183,6*(9-1)),0),EDATE(Bonds!$H183,6*(9-1))))</f>
        <v/>
      </c>
      <c r="N183" s="3" t="str">
        <f>IF(10&gt;$C183,"",IF($D183=1,EOMONTH(EDATE(Bonds!$H183,6*(10-1)),0),EDATE(Bonds!$H183,6*(10-1))))</f>
        <v/>
      </c>
      <c r="O183" s="3" t="str">
        <f>IF(11&gt;$C183,"",IF($D183=1,EOMONTH(EDATE(Bonds!$H183,6*(11-1)),0),EDATE(Bonds!$H183,6*(11-1))))</f>
        <v/>
      </c>
      <c r="P183" s="3" t="str">
        <f>IF(12&gt;$C183,"",IF($D183=1,EOMONTH(EDATE(Bonds!$H183,6*(12-1)),0),EDATE(Bonds!$H183,6*(12-1))))</f>
        <v/>
      </c>
      <c r="Q183" s="3" t="str">
        <f>IF(13&gt;$C183,"",IF($D183=1,EOMONTH(EDATE(Bonds!$H183,6*(13-1)),0),EDATE(Bonds!$H183,6*(13-1))))</f>
        <v/>
      </c>
      <c r="R183" s="3" t="str">
        <f>IF(14&gt;$C183,"",IF($D183=1,EOMONTH(EDATE(Bonds!$H183,6*(14-1)),0),EDATE(Bonds!$H183,6*(14-1))))</f>
        <v/>
      </c>
      <c r="S183" s="3" t="str">
        <f>IF(15&gt;$C183,"",IF($D183=1,EOMONTH(EDATE(Bonds!$H183,6*(15-1)),0),EDATE(Bonds!$H183,6*(15-1))))</f>
        <v/>
      </c>
      <c r="T183" s="3" t="str">
        <f>IF(16&gt;$C183,"",IF($D183=1,EOMONTH(EDATE(Bonds!$H183,6*(16-1)),0),EDATE(Bonds!$H183,6*(16-1))))</f>
        <v/>
      </c>
      <c r="U183" s="3" t="str">
        <f>IF(17&gt;$C183,"",IF($D183=1,EOMONTH(EDATE(Bonds!$H183,6*(17-1)),0),EDATE(Bonds!$H183,6*(17-1))))</f>
        <v/>
      </c>
      <c r="V183" s="3" t="str">
        <f>IF(18&gt;$C183,"",IF($D183=1,EOMONTH(EDATE(Bonds!$H183,6*(18-1)),0),EDATE(Bonds!$H183,6*(18-1))))</f>
        <v/>
      </c>
      <c r="W183" s="3" t="str">
        <f>IF(19&gt;$C183,"",IF($D183=1,EOMONTH(EDATE(Bonds!$H183,6*(19-1)),0),EDATE(Bonds!$H183,6*(19-1))))</f>
        <v/>
      </c>
      <c r="X183" s="3" t="str">
        <f>IF(20&gt;$C183,"",IF($D183=1,EOMONTH(EDATE(Bonds!$H183,6*(20-1)),0),EDATE(Bonds!$H183,6*(20-1))))</f>
        <v/>
      </c>
      <c r="Y183" s="3" t="str">
        <f>IF(21&gt;$C183,"",IF($D183=1,EOMONTH(EDATE(Bonds!$H183,6*(21-1)),0),EDATE(Bonds!$H183,6*(21-1))))</f>
        <v/>
      </c>
      <c r="Z183" s="3" t="str">
        <f>IF(22&gt;$C183,"",IF($D183=1,EOMONTH(EDATE(Bonds!$H183,6*(22-1)),0),EDATE(Bonds!$H183,6*(22-1))))</f>
        <v/>
      </c>
      <c r="AA183" s="3" t="str">
        <f>IF(23&gt;$C183,"",IF($D183=1,EOMONTH(EDATE(Bonds!$H183,6*(23-1)),0),EDATE(Bonds!$H183,6*(23-1))))</f>
        <v/>
      </c>
      <c r="AB183" s="3" t="str">
        <f>IF(24&gt;$C183,"",IF($D183=1,EOMONTH(EDATE(Bonds!$H183,6*(24-1)),0),EDATE(Bonds!$H183,6*(24-1))))</f>
        <v/>
      </c>
      <c r="AC183" s="3" t="str">
        <f>IF(25&gt;$C183,"",IF($D183=1,EOMONTH(EDATE(Bonds!$H183,6*(25-1)),0),EDATE(Bonds!$H183,6*(25-1))))</f>
        <v/>
      </c>
      <c r="AD183" s="3" t="str">
        <f>IF(26&gt;$C183,"",IF($D183=1,EOMONTH(EDATE(Bonds!$H183,6*(26-1)),0),EDATE(Bonds!$H183,6*(26-1))))</f>
        <v/>
      </c>
      <c r="AE183" s="3" t="str">
        <f>IF(27&gt;$C183,"",IF($D183=1,EOMONTH(EDATE(Bonds!$H183,6*(27-1)),0),EDATE(Bonds!$H183,6*(27-1))))</f>
        <v/>
      </c>
      <c r="AF183" s="3" t="str">
        <f>IF(28&gt;$C183,"",IF($D183=1,EOMONTH(EDATE(Bonds!$H183,6*(28-1)),0),EDATE(Bonds!$H183,6*(28-1))))</f>
        <v/>
      </c>
      <c r="AG183" s="3" t="str">
        <f>IF(29&gt;$C183,"",IF($D183=1,EOMONTH(EDATE(Bonds!$H183,6*(29-1)),0),EDATE(Bonds!$H183,6*(29-1))))</f>
        <v/>
      </c>
      <c r="AH183" s="3" t="str">
        <f>IF(30&gt;$C183,"",IF($D183=1,EOMONTH(EDATE(Bonds!$H183,6*(30-1)),0),EDATE(Bonds!$H183,6*(30-1))))</f>
        <v/>
      </c>
      <c r="AI183" s="3" t="str">
        <f>IF(31&gt;$C183,"",IF($D183=1,EOMONTH(EDATE(Bonds!$H183,6*(31-1)),0),EDATE(Bonds!$H183,6*(31-1))))</f>
        <v/>
      </c>
      <c r="AJ183" s="3" t="str">
        <f>IF(32&gt;$C183,"",IF($D183=1,EOMONTH(EDATE(Bonds!$H183,6*(32-1)),0),EDATE(Bonds!$H183,6*(32-1))))</f>
        <v/>
      </c>
      <c r="AK183" s="3" t="str">
        <f>IF(33&gt;$C183,"",IF($D183=1,EOMONTH(EDATE(Bonds!$H183,6*(33-1)),0),EDATE(Bonds!$H183,6*(33-1))))</f>
        <v/>
      </c>
      <c r="AL183" s="3" t="str">
        <f>IF(34&gt;$C183,"",IF($D183=1,EOMONTH(EDATE(Bonds!$H183,6*(34-1)),0),EDATE(Bonds!$H183,6*(34-1))))</f>
        <v/>
      </c>
      <c r="AM183" s="3" t="str">
        <f>IF(35&gt;$C183,"",IF($D183=1,EOMONTH(EDATE(Bonds!$H183,6*(35-1)),0),EDATE(Bonds!$H183,6*(35-1))))</f>
        <v/>
      </c>
      <c r="AN183" s="3" t="str">
        <f>IF(36&gt;$C183,"",IF($D183=1,EOMONTH(EDATE(Bonds!$H183,6*(36-1)),0),EDATE(Bonds!$H183,6*(36-1))))</f>
        <v/>
      </c>
      <c r="AO183" s="3" t="str">
        <f>IF(37&gt;$C183,"",IF($D183=1,EOMONTH(EDATE(Bonds!$H183,6*(37-1)),0),EDATE(Bonds!$H183,6*(37-1))))</f>
        <v/>
      </c>
      <c r="AP183" s="3" t="str">
        <f>IF(38&gt;$C183,"",IF($D183=1,EOMONTH(EDATE(Bonds!$H183,6*(38-1)),0),EDATE(Bonds!$H183,6*(38-1))))</f>
        <v/>
      </c>
      <c r="AQ183" s="3" t="str">
        <f>IF(39&gt;$C183,"",IF($D183=1,EOMONTH(EDATE(Bonds!$H183,6*(39-1)),0),EDATE(Bonds!$H183,6*(39-1))))</f>
        <v/>
      </c>
      <c r="AR183" s="3" t="str">
        <f>IF(40&gt;$C183,"",IF($D183=1,EOMONTH(EDATE(Bonds!$H183,6*(40-1)),0),EDATE(Bonds!$H183,6*(40-1))))</f>
        <v/>
      </c>
      <c r="AS183" s="3" t="str">
        <f>IF(41&gt;$C183,"",IF($D183=1,EOMONTH(EDATE(Bonds!$H183,6*(41-1)),0),EDATE(Bonds!$H183,6*(41-1))))</f>
        <v/>
      </c>
      <c r="AT183" s="3" t="str">
        <f>IF(42&gt;$C183,"",IF($D183=1,EOMONTH(EDATE(Bonds!$H183,6*(42-1)),0),EDATE(Bonds!$H183,6*(42-1))))</f>
        <v/>
      </c>
      <c r="AU183" s="3" t="str">
        <f>IF(43&gt;$C183,"",IF($D183=1,EOMONTH(EDATE(Bonds!$H183,6*(43-1)),0),EDATE(Bonds!$H183,6*(43-1))))</f>
        <v/>
      </c>
      <c r="AV183" s="3" t="str">
        <f>IF(44&gt;$C183,"",IF($D183=1,EOMONTH(EDATE(Bonds!$H183,6*(44-1)),0),EDATE(Bonds!$H183,6*(44-1))))</f>
        <v/>
      </c>
      <c r="AW183" s="3" t="str">
        <f>IF(45&gt;$C183,"",IF($D183=1,EOMONTH(EDATE(Bonds!$H183,6*(45-1)),0),EDATE(Bonds!$H183,6*(45-1))))</f>
        <v/>
      </c>
      <c r="AX183" s="3" t="str">
        <f>IF(46&gt;$C183,"",IF($D183=1,EOMONTH(EDATE(Bonds!$H183,6*(46-1)),0),EDATE(Bonds!$H183,6*(46-1))))</f>
        <v/>
      </c>
      <c r="AY183" s="3" t="str">
        <f>IF(47&gt;$C183,"",IF($D183=1,EOMONTH(EDATE(Bonds!$H183,6*(47-1)),0),EDATE(Bonds!$H183,6*(47-1))))</f>
        <v/>
      </c>
      <c r="AZ183" s="3" t="str">
        <f>IF(48&gt;$C183,"",IF($D183=1,EOMONTH(EDATE(Bonds!$H183,6*(48-1)),0),EDATE(Bonds!$H183,6*(48-1))))</f>
        <v/>
      </c>
      <c r="BA183" s="3" t="str">
        <f>IF(49&gt;$C183,"",IF($D183=1,EOMONTH(EDATE(Bonds!$H183,6*(49-1)),0),EDATE(Bonds!$H183,6*(49-1))))</f>
        <v/>
      </c>
      <c r="BB183" s="3" t="str">
        <f>IF(50&gt;$C183,"",IF($D183=1,EOMONTH(EDATE(Bonds!$H183,6*(50-1)),0),EDATE(Bonds!$H183,6*(50-1))))</f>
        <v/>
      </c>
      <c r="BC183" s="3" t="str">
        <f>IF(51&gt;$C183,"",IF($D183=1,EOMONTH(EDATE(Bonds!$H183,6*(51-1)),0),EDATE(Bonds!$H183,6*(51-1))))</f>
        <v/>
      </c>
      <c r="BD183" s="3" t="str">
        <f>IF(52&gt;$C183,"",IF($D183=1,EOMONTH(EDATE(Bonds!$H183,6*(52-1)),0),EDATE(Bonds!$H183,6*(52-1))))</f>
        <v/>
      </c>
      <c r="BE183" s="3" t="str">
        <f>IF(53&gt;$C183,"",IF($D183=1,EOMONTH(EDATE(Bonds!$H183,6*(53-1)),0),EDATE(Bonds!$H183,6*(53-1))))</f>
        <v/>
      </c>
      <c r="BF183" s="3" t="str">
        <f>IF(54&gt;$C183,"",IF($D183=1,EOMONTH(EDATE(Bonds!$H183,6*(54-1)),0),EDATE(Bonds!$H183,6*(54-1))))</f>
        <v/>
      </c>
      <c r="BG183" s="3" t="str">
        <f>IF(55&gt;$C183,"",IF($D183=1,EOMONTH(EDATE(Bonds!$H183,6*(55-1)),0),EDATE(Bonds!$H183,6*(55-1))))</f>
        <v/>
      </c>
      <c r="BH183" s="3" t="str">
        <f>IF(56&gt;$C183,"",IF($D183=1,EOMONTH(EDATE(Bonds!$H183,6*(56-1)),0),EDATE(Bonds!$H183,6*(56-1))))</f>
        <v/>
      </c>
      <c r="BI183" s="3" t="str">
        <f>IF(57&gt;$C183,"",IF($D183=1,EOMONTH(EDATE(Bonds!$H183,6*(57-1)),0),EDATE(Bonds!$H183,6*(57-1))))</f>
        <v/>
      </c>
      <c r="BJ183" s="3" t="str">
        <f>IF(58&gt;$C183,"",IF($D183=1,EOMONTH(EDATE(Bonds!$H183,6*(58-1)),0),EDATE(Bonds!$H183,6*(58-1))))</f>
        <v/>
      </c>
      <c r="BK183" s="3" t="str">
        <f>IF(59&gt;$C183,"",IF($D183=1,EOMONTH(EDATE(Bonds!$H183,6*(59-1)),0),EDATE(Bonds!$H183,6*(59-1))))</f>
        <v/>
      </c>
      <c r="BL183" s="3" t="str">
        <f>IF(60&gt;$C183,"",IF($D183=1,EOMONTH(EDATE(Bonds!$H183,6*(60-1)),0),EDATE(Bonds!$H183,6*(60-1))))</f>
        <v/>
      </c>
      <c r="BN183" s="7">
        <f t="shared" si="123"/>
        <v>0.3071998382128181</v>
      </c>
      <c r="BO183" s="7">
        <f t="shared" si="124"/>
        <v>0.30072458057730889</v>
      </c>
      <c r="BP183" s="7">
        <f t="shared" si="125"/>
        <v>0.29397940869917533</v>
      </c>
      <c r="BQ183" s="7">
        <f t="shared" si="126"/>
        <v>0.28734639768529202</v>
      </c>
      <c r="BR183" s="7">
        <f t="shared" si="127"/>
        <v>0.28077253637868793</v>
      </c>
      <c r="BS183" s="7">
        <f t="shared" si="128"/>
        <v>0.27446375303839016</v>
      </c>
      <c r="BT183" s="7">
        <f t="shared" si="129"/>
        <v>0.26820616705725003</v>
      </c>
      <c r="BU183" s="7">
        <f t="shared" si="130"/>
        <v>84.161060028830946</v>
      </c>
      <c r="BV183" s="7">
        <f t="shared" si="131"/>
        <v>0</v>
      </c>
      <c r="BW183" s="7">
        <f t="shared" si="132"/>
        <v>0</v>
      </c>
      <c r="BX183" s="7">
        <f t="shared" si="133"/>
        <v>0</v>
      </c>
      <c r="BY183" s="7">
        <f t="shared" si="134"/>
        <v>0</v>
      </c>
      <c r="BZ183" s="7">
        <f t="shared" si="135"/>
        <v>0</v>
      </c>
      <c r="CA183" s="7">
        <f t="shared" si="136"/>
        <v>0</v>
      </c>
      <c r="CB183" s="7">
        <f t="shared" si="137"/>
        <v>0</v>
      </c>
      <c r="CC183" s="7">
        <f t="shared" si="138"/>
        <v>0</v>
      </c>
      <c r="CD183" s="7">
        <f t="shared" si="139"/>
        <v>0</v>
      </c>
      <c r="CE183" s="7">
        <f t="shared" si="140"/>
        <v>0</v>
      </c>
      <c r="CF183" s="7">
        <f t="shared" si="141"/>
        <v>0</v>
      </c>
      <c r="CG183" s="7">
        <f t="shared" si="142"/>
        <v>0</v>
      </c>
      <c r="CH183" s="7">
        <f t="shared" si="143"/>
        <v>0</v>
      </c>
      <c r="CI183" s="7">
        <f t="shared" si="144"/>
        <v>0</v>
      </c>
      <c r="CJ183" s="7">
        <f t="shared" si="145"/>
        <v>0</v>
      </c>
      <c r="CK183" s="7">
        <f t="shared" si="146"/>
        <v>0</v>
      </c>
      <c r="CL183" s="7">
        <f t="shared" si="147"/>
        <v>0</v>
      </c>
      <c r="CM183" s="7">
        <f t="shared" si="148"/>
        <v>0</v>
      </c>
      <c r="CN183" s="7">
        <f t="shared" si="149"/>
        <v>0</v>
      </c>
      <c r="CO183" s="7">
        <f t="shared" si="150"/>
        <v>0</v>
      </c>
      <c r="CP183" s="7">
        <f t="shared" si="151"/>
        <v>0</v>
      </c>
      <c r="CQ183" s="7">
        <f t="shared" si="152"/>
        <v>0</v>
      </c>
      <c r="CR183" s="7">
        <f t="shared" si="153"/>
        <v>0</v>
      </c>
      <c r="CS183" s="7">
        <f t="shared" si="154"/>
        <v>0</v>
      </c>
      <c r="CT183" s="7">
        <f t="shared" si="155"/>
        <v>0</v>
      </c>
      <c r="CU183" s="7">
        <f t="shared" si="156"/>
        <v>0</v>
      </c>
      <c r="CV183" s="7">
        <f t="shared" si="157"/>
        <v>0</v>
      </c>
      <c r="CW183" s="7">
        <f t="shared" si="158"/>
        <v>0</v>
      </c>
      <c r="CX183" s="7">
        <f t="shared" si="159"/>
        <v>0</v>
      </c>
      <c r="CY183" s="7">
        <f t="shared" si="160"/>
        <v>0</v>
      </c>
      <c r="CZ183" s="7">
        <f t="shared" si="161"/>
        <v>0</v>
      </c>
      <c r="DA183" s="7">
        <f t="shared" si="162"/>
        <v>0</v>
      </c>
      <c r="DB183" s="7">
        <f t="shared" si="163"/>
        <v>0</v>
      </c>
      <c r="DC183" s="7">
        <f t="shared" si="164"/>
        <v>0</v>
      </c>
      <c r="DD183" s="7">
        <f t="shared" si="165"/>
        <v>0</v>
      </c>
      <c r="DE183" s="7">
        <f t="shared" si="166"/>
        <v>0</v>
      </c>
      <c r="DF183" s="7">
        <f t="shared" si="167"/>
        <v>0</v>
      </c>
      <c r="DG183" s="7">
        <f t="shared" si="168"/>
        <v>0</v>
      </c>
      <c r="DH183" s="7">
        <f t="shared" si="169"/>
        <v>0</v>
      </c>
      <c r="DI183" s="7">
        <f t="shared" si="170"/>
        <v>0</v>
      </c>
      <c r="DJ183" s="7">
        <f t="shared" si="171"/>
        <v>0</v>
      </c>
      <c r="DK183" s="7">
        <f t="shared" si="172"/>
        <v>0</v>
      </c>
      <c r="DL183" s="7">
        <f t="shared" si="173"/>
        <v>0</v>
      </c>
      <c r="DM183" s="7">
        <f t="shared" si="174"/>
        <v>0</v>
      </c>
      <c r="DN183" s="7">
        <f t="shared" si="175"/>
        <v>0</v>
      </c>
      <c r="DO183" s="7">
        <f t="shared" si="176"/>
        <v>0</v>
      </c>
      <c r="DP183" s="7">
        <f t="shared" si="177"/>
        <v>0</v>
      </c>
      <c r="DQ183" s="7">
        <f t="shared" si="178"/>
        <v>0</v>
      </c>
      <c r="DR183" s="7">
        <f t="shared" si="179"/>
        <v>0</v>
      </c>
      <c r="DS183" s="7">
        <f t="shared" si="180"/>
        <v>0</v>
      </c>
      <c r="DT183" s="7">
        <f t="shared" si="181"/>
        <v>0</v>
      </c>
      <c r="DU183" s="7">
        <f t="shared" si="182"/>
        <v>0</v>
      </c>
    </row>
    <row r="184" spans="1:125" x14ac:dyDescent="0.2">
      <c r="A184" s="3">
        <f>Bonds!A184</f>
        <v>47726</v>
      </c>
      <c r="B184" s="4">
        <f>Bonds!B184</f>
        <v>3.625</v>
      </c>
      <c r="C184">
        <f>Bonds!P184</f>
        <v>8</v>
      </c>
      <c r="D184">
        <f t="shared" si="122"/>
        <v>1</v>
      </c>
      <c r="E184" s="3">
        <f>IF(1&gt;$C184,"",IF($D184=1,EOMONTH(EDATE(Bonds!$H184,6*(1-1)),0),EDATE(Bonds!$H184,6*(1-1))))</f>
        <v>46446</v>
      </c>
      <c r="F184" s="3">
        <f>IF(2&gt;$C184,"",IF($D184=1,EOMONTH(EDATE(Bonds!$H184,6*(2-1)),0),EDATE(Bonds!$H184,6*(2-1))))</f>
        <v>46630</v>
      </c>
      <c r="G184" s="3">
        <f>IF(3&gt;$C184,"",IF($D184=1,EOMONTH(EDATE(Bonds!$H184,6*(3-1)),0),EDATE(Bonds!$H184,6*(3-1))))</f>
        <v>46812</v>
      </c>
      <c r="H184" s="3">
        <f>IF(4&gt;$C184,"",IF($D184=1,EOMONTH(EDATE(Bonds!$H184,6*(4-1)),0),EDATE(Bonds!$H184,6*(4-1))))</f>
        <v>46996</v>
      </c>
      <c r="I184" s="3">
        <f>IF(5&gt;$C184,"",IF($D184=1,EOMONTH(EDATE(Bonds!$H184,6*(5-1)),0),EDATE(Bonds!$H184,6*(5-1))))</f>
        <v>47177</v>
      </c>
      <c r="J184" s="3">
        <f>IF(6&gt;$C184,"",IF($D184=1,EOMONTH(EDATE(Bonds!$H184,6*(6-1)),0),EDATE(Bonds!$H184,6*(6-1))))</f>
        <v>47361</v>
      </c>
      <c r="K184" s="3">
        <f>IF(7&gt;$C184,"",IF($D184=1,EOMONTH(EDATE(Bonds!$H184,6*(7-1)),0),EDATE(Bonds!$H184,6*(7-1))))</f>
        <v>47542</v>
      </c>
      <c r="L184" s="3">
        <f>IF(8&gt;$C184,"",IF($D184=1,EOMONTH(EDATE(Bonds!$H184,6*(8-1)),0),EDATE(Bonds!$H184,6*(8-1))))</f>
        <v>47726</v>
      </c>
      <c r="M184" s="3" t="str">
        <f>IF(9&gt;$C184,"",IF($D184=1,EOMONTH(EDATE(Bonds!$H184,6*(9-1)),0),EDATE(Bonds!$H184,6*(9-1))))</f>
        <v/>
      </c>
      <c r="N184" s="3" t="str">
        <f>IF(10&gt;$C184,"",IF($D184=1,EOMONTH(EDATE(Bonds!$H184,6*(10-1)),0),EDATE(Bonds!$H184,6*(10-1))))</f>
        <v/>
      </c>
      <c r="O184" s="3" t="str">
        <f>IF(11&gt;$C184,"",IF($D184=1,EOMONTH(EDATE(Bonds!$H184,6*(11-1)),0),EDATE(Bonds!$H184,6*(11-1))))</f>
        <v/>
      </c>
      <c r="P184" s="3" t="str">
        <f>IF(12&gt;$C184,"",IF($D184=1,EOMONTH(EDATE(Bonds!$H184,6*(12-1)),0),EDATE(Bonds!$H184,6*(12-1))))</f>
        <v/>
      </c>
      <c r="Q184" s="3" t="str">
        <f>IF(13&gt;$C184,"",IF($D184=1,EOMONTH(EDATE(Bonds!$H184,6*(13-1)),0),EDATE(Bonds!$H184,6*(13-1))))</f>
        <v/>
      </c>
      <c r="R184" s="3" t="str">
        <f>IF(14&gt;$C184,"",IF($D184=1,EOMONTH(EDATE(Bonds!$H184,6*(14-1)),0),EDATE(Bonds!$H184,6*(14-1))))</f>
        <v/>
      </c>
      <c r="S184" s="3" t="str">
        <f>IF(15&gt;$C184,"",IF($D184=1,EOMONTH(EDATE(Bonds!$H184,6*(15-1)),0),EDATE(Bonds!$H184,6*(15-1))))</f>
        <v/>
      </c>
      <c r="T184" s="3" t="str">
        <f>IF(16&gt;$C184,"",IF($D184=1,EOMONTH(EDATE(Bonds!$H184,6*(16-1)),0),EDATE(Bonds!$H184,6*(16-1))))</f>
        <v/>
      </c>
      <c r="U184" s="3" t="str">
        <f>IF(17&gt;$C184,"",IF($D184=1,EOMONTH(EDATE(Bonds!$H184,6*(17-1)),0),EDATE(Bonds!$H184,6*(17-1))))</f>
        <v/>
      </c>
      <c r="V184" s="3" t="str">
        <f>IF(18&gt;$C184,"",IF($D184=1,EOMONTH(EDATE(Bonds!$H184,6*(18-1)),0),EDATE(Bonds!$H184,6*(18-1))))</f>
        <v/>
      </c>
      <c r="W184" s="3" t="str">
        <f>IF(19&gt;$C184,"",IF($D184=1,EOMONTH(EDATE(Bonds!$H184,6*(19-1)),0),EDATE(Bonds!$H184,6*(19-1))))</f>
        <v/>
      </c>
      <c r="X184" s="3" t="str">
        <f>IF(20&gt;$C184,"",IF($D184=1,EOMONTH(EDATE(Bonds!$H184,6*(20-1)),0),EDATE(Bonds!$H184,6*(20-1))))</f>
        <v/>
      </c>
      <c r="Y184" s="3" t="str">
        <f>IF(21&gt;$C184,"",IF($D184=1,EOMONTH(EDATE(Bonds!$H184,6*(21-1)),0),EDATE(Bonds!$H184,6*(21-1))))</f>
        <v/>
      </c>
      <c r="Z184" s="3" t="str">
        <f>IF(22&gt;$C184,"",IF($D184=1,EOMONTH(EDATE(Bonds!$H184,6*(22-1)),0),EDATE(Bonds!$H184,6*(22-1))))</f>
        <v/>
      </c>
      <c r="AA184" s="3" t="str">
        <f>IF(23&gt;$C184,"",IF($D184=1,EOMONTH(EDATE(Bonds!$H184,6*(23-1)),0),EDATE(Bonds!$H184,6*(23-1))))</f>
        <v/>
      </c>
      <c r="AB184" s="3" t="str">
        <f>IF(24&gt;$C184,"",IF($D184=1,EOMONTH(EDATE(Bonds!$H184,6*(24-1)),0),EDATE(Bonds!$H184,6*(24-1))))</f>
        <v/>
      </c>
      <c r="AC184" s="3" t="str">
        <f>IF(25&gt;$C184,"",IF($D184=1,EOMONTH(EDATE(Bonds!$H184,6*(25-1)),0),EDATE(Bonds!$H184,6*(25-1))))</f>
        <v/>
      </c>
      <c r="AD184" s="3" t="str">
        <f>IF(26&gt;$C184,"",IF($D184=1,EOMONTH(EDATE(Bonds!$H184,6*(26-1)),0),EDATE(Bonds!$H184,6*(26-1))))</f>
        <v/>
      </c>
      <c r="AE184" s="3" t="str">
        <f>IF(27&gt;$C184,"",IF($D184=1,EOMONTH(EDATE(Bonds!$H184,6*(27-1)),0),EDATE(Bonds!$H184,6*(27-1))))</f>
        <v/>
      </c>
      <c r="AF184" s="3" t="str">
        <f>IF(28&gt;$C184,"",IF($D184=1,EOMONTH(EDATE(Bonds!$H184,6*(28-1)),0),EDATE(Bonds!$H184,6*(28-1))))</f>
        <v/>
      </c>
      <c r="AG184" s="3" t="str">
        <f>IF(29&gt;$C184,"",IF($D184=1,EOMONTH(EDATE(Bonds!$H184,6*(29-1)),0),EDATE(Bonds!$H184,6*(29-1))))</f>
        <v/>
      </c>
      <c r="AH184" s="3" t="str">
        <f>IF(30&gt;$C184,"",IF($D184=1,EOMONTH(EDATE(Bonds!$H184,6*(30-1)),0),EDATE(Bonds!$H184,6*(30-1))))</f>
        <v/>
      </c>
      <c r="AI184" s="3" t="str">
        <f>IF(31&gt;$C184,"",IF($D184=1,EOMONTH(EDATE(Bonds!$H184,6*(31-1)),0),EDATE(Bonds!$H184,6*(31-1))))</f>
        <v/>
      </c>
      <c r="AJ184" s="3" t="str">
        <f>IF(32&gt;$C184,"",IF($D184=1,EOMONTH(EDATE(Bonds!$H184,6*(32-1)),0),EDATE(Bonds!$H184,6*(32-1))))</f>
        <v/>
      </c>
      <c r="AK184" s="3" t="str">
        <f>IF(33&gt;$C184,"",IF($D184=1,EOMONTH(EDATE(Bonds!$H184,6*(33-1)),0),EDATE(Bonds!$H184,6*(33-1))))</f>
        <v/>
      </c>
      <c r="AL184" s="3" t="str">
        <f>IF(34&gt;$C184,"",IF($D184=1,EOMONTH(EDATE(Bonds!$H184,6*(34-1)),0),EDATE(Bonds!$H184,6*(34-1))))</f>
        <v/>
      </c>
      <c r="AM184" s="3" t="str">
        <f>IF(35&gt;$C184,"",IF($D184=1,EOMONTH(EDATE(Bonds!$H184,6*(35-1)),0),EDATE(Bonds!$H184,6*(35-1))))</f>
        <v/>
      </c>
      <c r="AN184" s="3" t="str">
        <f>IF(36&gt;$C184,"",IF($D184=1,EOMONTH(EDATE(Bonds!$H184,6*(36-1)),0),EDATE(Bonds!$H184,6*(36-1))))</f>
        <v/>
      </c>
      <c r="AO184" s="3" t="str">
        <f>IF(37&gt;$C184,"",IF($D184=1,EOMONTH(EDATE(Bonds!$H184,6*(37-1)),0),EDATE(Bonds!$H184,6*(37-1))))</f>
        <v/>
      </c>
      <c r="AP184" s="3" t="str">
        <f>IF(38&gt;$C184,"",IF($D184=1,EOMONTH(EDATE(Bonds!$H184,6*(38-1)),0),EDATE(Bonds!$H184,6*(38-1))))</f>
        <v/>
      </c>
      <c r="AQ184" s="3" t="str">
        <f>IF(39&gt;$C184,"",IF($D184=1,EOMONTH(EDATE(Bonds!$H184,6*(39-1)),0),EDATE(Bonds!$H184,6*(39-1))))</f>
        <v/>
      </c>
      <c r="AR184" s="3" t="str">
        <f>IF(40&gt;$C184,"",IF($D184=1,EOMONTH(EDATE(Bonds!$H184,6*(40-1)),0),EDATE(Bonds!$H184,6*(40-1))))</f>
        <v/>
      </c>
      <c r="AS184" s="3" t="str">
        <f>IF(41&gt;$C184,"",IF($D184=1,EOMONTH(EDATE(Bonds!$H184,6*(41-1)),0),EDATE(Bonds!$H184,6*(41-1))))</f>
        <v/>
      </c>
      <c r="AT184" s="3" t="str">
        <f>IF(42&gt;$C184,"",IF($D184=1,EOMONTH(EDATE(Bonds!$H184,6*(42-1)),0),EDATE(Bonds!$H184,6*(42-1))))</f>
        <v/>
      </c>
      <c r="AU184" s="3" t="str">
        <f>IF(43&gt;$C184,"",IF($D184=1,EOMONTH(EDATE(Bonds!$H184,6*(43-1)),0),EDATE(Bonds!$H184,6*(43-1))))</f>
        <v/>
      </c>
      <c r="AV184" s="3" t="str">
        <f>IF(44&gt;$C184,"",IF($D184=1,EOMONTH(EDATE(Bonds!$H184,6*(44-1)),0),EDATE(Bonds!$H184,6*(44-1))))</f>
        <v/>
      </c>
      <c r="AW184" s="3" t="str">
        <f>IF(45&gt;$C184,"",IF($D184=1,EOMONTH(EDATE(Bonds!$H184,6*(45-1)),0),EDATE(Bonds!$H184,6*(45-1))))</f>
        <v/>
      </c>
      <c r="AX184" s="3" t="str">
        <f>IF(46&gt;$C184,"",IF($D184=1,EOMONTH(EDATE(Bonds!$H184,6*(46-1)),0),EDATE(Bonds!$H184,6*(46-1))))</f>
        <v/>
      </c>
      <c r="AY184" s="3" t="str">
        <f>IF(47&gt;$C184,"",IF($D184=1,EOMONTH(EDATE(Bonds!$H184,6*(47-1)),0),EDATE(Bonds!$H184,6*(47-1))))</f>
        <v/>
      </c>
      <c r="AZ184" s="3" t="str">
        <f>IF(48&gt;$C184,"",IF($D184=1,EOMONTH(EDATE(Bonds!$H184,6*(48-1)),0),EDATE(Bonds!$H184,6*(48-1))))</f>
        <v/>
      </c>
      <c r="BA184" s="3" t="str">
        <f>IF(49&gt;$C184,"",IF($D184=1,EOMONTH(EDATE(Bonds!$H184,6*(49-1)),0),EDATE(Bonds!$H184,6*(49-1))))</f>
        <v/>
      </c>
      <c r="BB184" s="3" t="str">
        <f>IF(50&gt;$C184,"",IF($D184=1,EOMONTH(EDATE(Bonds!$H184,6*(50-1)),0),EDATE(Bonds!$H184,6*(50-1))))</f>
        <v/>
      </c>
      <c r="BC184" s="3" t="str">
        <f>IF(51&gt;$C184,"",IF($D184=1,EOMONTH(EDATE(Bonds!$H184,6*(51-1)),0),EDATE(Bonds!$H184,6*(51-1))))</f>
        <v/>
      </c>
      <c r="BD184" s="3" t="str">
        <f>IF(52&gt;$C184,"",IF($D184=1,EOMONTH(EDATE(Bonds!$H184,6*(52-1)),0),EDATE(Bonds!$H184,6*(52-1))))</f>
        <v/>
      </c>
      <c r="BE184" s="3" t="str">
        <f>IF(53&gt;$C184,"",IF($D184=1,EOMONTH(EDATE(Bonds!$H184,6*(53-1)),0),EDATE(Bonds!$H184,6*(53-1))))</f>
        <v/>
      </c>
      <c r="BF184" s="3" t="str">
        <f>IF(54&gt;$C184,"",IF($D184=1,EOMONTH(EDATE(Bonds!$H184,6*(54-1)),0),EDATE(Bonds!$H184,6*(54-1))))</f>
        <v/>
      </c>
      <c r="BG184" s="3" t="str">
        <f>IF(55&gt;$C184,"",IF($D184=1,EOMONTH(EDATE(Bonds!$H184,6*(55-1)),0),EDATE(Bonds!$H184,6*(55-1))))</f>
        <v/>
      </c>
      <c r="BH184" s="3" t="str">
        <f>IF(56&gt;$C184,"",IF($D184=1,EOMONTH(EDATE(Bonds!$H184,6*(56-1)),0),EDATE(Bonds!$H184,6*(56-1))))</f>
        <v/>
      </c>
      <c r="BI184" s="3" t="str">
        <f>IF(57&gt;$C184,"",IF($D184=1,EOMONTH(EDATE(Bonds!$H184,6*(57-1)),0),EDATE(Bonds!$H184,6*(57-1))))</f>
        <v/>
      </c>
      <c r="BJ184" s="3" t="str">
        <f>IF(58&gt;$C184,"",IF($D184=1,EOMONTH(EDATE(Bonds!$H184,6*(58-1)),0),EDATE(Bonds!$H184,6*(58-1))))</f>
        <v/>
      </c>
      <c r="BK184" s="3" t="str">
        <f>IF(59&gt;$C184,"",IF($D184=1,EOMONTH(EDATE(Bonds!$H184,6*(59-1)),0),EDATE(Bonds!$H184,6*(59-1))))</f>
        <v/>
      </c>
      <c r="BL184" s="3" t="str">
        <f>IF(60&gt;$C184,"",IF($D184=1,EOMONTH(EDATE(Bonds!$H184,6*(60-1)),0),EDATE(Bonds!$H184,6*(60-1))))</f>
        <v/>
      </c>
      <c r="BN184" s="7">
        <f t="shared" si="123"/>
        <v>1.779131086669778</v>
      </c>
      <c r="BO184" s="7">
        <f t="shared" si="124"/>
        <v>1.740815711623203</v>
      </c>
      <c r="BP184" s="7">
        <f t="shared" si="125"/>
        <v>1.7021034556471442</v>
      </c>
      <c r="BQ184" s="7">
        <f t="shared" si="126"/>
        <v>1.663258680838535</v>
      </c>
      <c r="BR184" s="7">
        <f t="shared" si="127"/>
        <v>1.6258218886228115</v>
      </c>
      <c r="BS184" s="7">
        <f t="shared" si="128"/>
        <v>1.5886989060412793</v>
      </c>
      <c r="BT184" s="7">
        <f t="shared" si="129"/>
        <v>1.5530631557704688</v>
      </c>
      <c r="BU184" s="7">
        <f t="shared" si="130"/>
        <v>85.247912141665864</v>
      </c>
      <c r="BV184" s="7">
        <f t="shared" si="131"/>
        <v>0</v>
      </c>
      <c r="BW184" s="7">
        <f t="shared" si="132"/>
        <v>0</v>
      </c>
      <c r="BX184" s="7">
        <f t="shared" si="133"/>
        <v>0</v>
      </c>
      <c r="BY184" s="7">
        <f t="shared" si="134"/>
        <v>0</v>
      </c>
      <c r="BZ184" s="7">
        <f t="shared" si="135"/>
        <v>0</v>
      </c>
      <c r="CA184" s="7">
        <f t="shared" si="136"/>
        <v>0</v>
      </c>
      <c r="CB184" s="7">
        <f t="shared" si="137"/>
        <v>0</v>
      </c>
      <c r="CC184" s="7">
        <f t="shared" si="138"/>
        <v>0</v>
      </c>
      <c r="CD184" s="7">
        <f t="shared" si="139"/>
        <v>0</v>
      </c>
      <c r="CE184" s="7">
        <f t="shared" si="140"/>
        <v>0</v>
      </c>
      <c r="CF184" s="7">
        <f t="shared" si="141"/>
        <v>0</v>
      </c>
      <c r="CG184" s="7">
        <f t="shared" si="142"/>
        <v>0</v>
      </c>
      <c r="CH184" s="7">
        <f t="shared" si="143"/>
        <v>0</v>
      </c>
      <c r="CI184" s="7">
        <f t="shared" si="144"/>
        <v>0</v>
      </c>
      <c r="CJ184" s="7">
        <f t="shared" si="145"/>
        <v>0</v>
      </c>
      <c r="CK184" s="7">
        <f t="shared" si="146"/>
        <v>0</v>
      </c>
      <c r="CL184" s="7">
        <f t="shared" si="147"/>
        <v>0</v>
      </c>
      <c r="CM184" s="7">
        <f t="shared" si="148"/>
        <v>0</v>
      </c>
      <c r="CN184" s="7">
        <f t="shared" si="149"/>
        <v>0</v>
      </c>
      <c r="CO184" s="7">
        <f t="shared" si="150"/>
        <v>0</v>
      </c>
      <c r="CP184" s="7">
        <f t="shared" si="151"/>
        <v>0</v>
      </c>
      <c r="CQ184" s="7">
        <f t="shared" si="152"/>
        <v>0</v>
      </c>
      <c r="CR184" s="7">
        <f t="shared" si="153"/>
        <v>0</v>
      </c>
      <c r="CS184" s="7">
        <f t="shared" si="154"/>
        <v>0</v>
      </c>
      <c r="CT184" s="7">
        <f t="shared" si="155"/>
        <v>0</v>
      </c>
      <c r="CU184" s="7">
        <f t="shared" si="156"/>
        <v>0</v>
      </c>
      <c r="CV184" s="7">
        <f t="shared" si="157"/>
        <v>0</v>
      </c>
      <c r="CW184" s="7">
        <f t="shared" si="158"/>
        <v>0</v>
      </c>
      <c r="CX184" s="7">
        <f t="shared" si="159"/>
        <v>0</v>
      </c>
      <c r="CY184" s="7">
        <f t="shared" si="160"/>
        <v>0</v>
      </c>
      <c r="CZ184" s="7">
        <f t="shared" si="161"/>
        <v>0</v>
      </c>
      <c r="DA184" s="7">
        <f t="shared" si="162"/>
        <v>0</v>
      </c>
      <c r="DB184" s="7">
        <f t="shared" si="163"/>
        <v>0</v>
      </c>
      <c r="DC184" s="7">
        <f t="shared" si="164"/>
        <v>0</v>
      </c>
      <c r="DD184" s="7">
        <f t="shared" si="165"/>
        <v>0</v>
      </c>
      <c r="DE184" s="7">
        <f t="shared" si="166"/>
        <v>0</v>
      </c>
      <c r="DF184" s="7">
        <f t="shared" si="167"/>
        <v>0</v>
      </c>
      <c r="DG184" s="7">
        <f t="shared" si="168"/>
        <v>0</v>
      </c>
      <c r="DH184" s="7">
        <f t="shared" si="169"/>
        <v>0</v>
      </c>
      <c r="DI184" s="7">
        <f t="shared" si="170"/>
        <v>0</v>
      </c>
      <c r="DJ184" s="7">
        <f t="shared" si="171"/>
        <v>0</v>
      </c>
      <c r="DK184" s="7">
        <f t="shared" si="172"/>
        <v>0</v>
      </c>
      <c r="DL184" s="7">
        <f t="shared" si="173"/>
        <v>0</v>
      </c>
      <c r="DM184" s="7">
        <f t="shared" si="174"/>
        <v>0</v>
      </c>
      <c r="DN184" s="7">
        <f t="shared" si="175"/>
        <v>0</v>
      </c>
      <c r="DO184" s="7">
        <f t="shared" si="176"/>
        <v>0</v>
      </c>
      <c r="DP184" s="7">
        <f t="shared" si="177"/>
        <v>0</v>
      </c>
      <c r="DQ184" s="7">
        <f t="shared" si="178"/>
        <v>0</v>
      </c>
      <c r="DR184" s="7">
        <f t="shared" si="179"/>
        <v>0</v>
      </c>
      <c r="DS184" s="7">
        <f t="shared" si="180"/>
        <v>0</v>
      </c>
      <c r="DT184" s="7">
        <f t="shared" si="181"/>
        <v>0</v>
      </c>
      <c r="DU184" s="7">
        <f t="shared" si="182"/>
        <v>0</v>
      </c>
    </row>
    <row r="185" spans="1:125" x14ac:dyDescent="0.2">
      <c r="A185" s="3">
        <f>Bonds!A185</f>
        <v>47726</v>
      </c>
      <c r="B185" s="4">
        <f>Bonds!B185</f>
        <v>4.125</v>
      </c>
      <c r="C185">
        <f>Bonds!P185</f>
        <v>8</v>
      </c>
      <c r="D185">
        <f t="shared" si="122"/>
        <v>1</v>
      </c>
      <c r="E185" s="3">
        <f>IF(1&gt;$C185,"",IF($D185=1,EOMONTH(EDATE(Bonds!$H185,6*(1-1)),0),EDATE(Bonds!$H185,6*(1-1))))</f>
        <v>46446</v>
      </c>
      <c r="F185" s="3">
        <f>IF(2&gt;$C185,"",IF($D185=1,EOMONTH(EDATE(Bonds!$H185,6*(2-1)),0),EDATE(Bonds!$H185,6*(2-1))))</f>
        <v>46630</v>
      </c>
      <c r="G185" s="3">
        <f>IF(3&gt;$C185,"",IF($D185=1,EOMONTH(EDATE(Bonds!$H185,6*(3-1)),0),EDATE(Bonds!$H185,6*(3-1))))</f>
        <v>46812</v>
      </c>
      <c r="H185" s="3">
        <f>IF(4&gt;$C185,"",IF($D185=1,EOMONTH(EDATE(Bonds!$H185,6*(4-1)),0),EDATE(Bonds!$H185,6*(4-1))))</f>
        <v>46996</v>
      </c>
      <c r="I185" s="3">
        <f>IF(5&gt;$C185,"",IF($D185=1,EOMONTH(EDATE(Bonds!$H185,6*(5-1)),0),EDATE(Bonds!$H185,6*(5-1))))</f>
        <v>47177</v>
      </c>
      <c r="J185" s="3">
        <f>IF(6&gt;$C185,"",IF($D185=1,EOMONTH(EDATE(Bonds!$H185,6*(6-1)),0),EDATE(Bonds!$H185,6*(6-1))))</f>
        <v>47361</v>
      </c>
      <c r="K185" s="3">
        <f>IF(7&gt;$C185,"",IF($D185=1,EOMONTH(EDATE(Bonds!$H185,6*(7-1)),0),EDATE(Bonds!$H185,6*(7-1))))</f>
        <v>47542</v>
      </c>
      <c r="L185" s="3">
        <f>IF(8&gt;$C185,"",IF($D185=1,EOMONTH(EDATE(Bonds!$H185,6*(8-1)),0),EDATE(Bonds!$H185,6*(8-1))))</f>
        <v>47726</v>
      </c>
      <c r="M185" s="3" t="str">
        <f>IF(9&gt;$C185,"",IF($D185=1,EOMONTH(EDATE(Bonds!$H185,6*(9-1)),0),EDATE(Bonds!$H185,6*(9-1))))</f>
        <v/>
      </c>
      <c r="N185" s="3" t="str">
        <f>IF(10&gt;$C185,"",IF($D185=1,EOMONTH(EDATE(Bonds!$H185,6*(10-1)),0),EDATE(Bonds!$H185,6*(10-1))))</f>
        <v/>
      </c>
      <c r="O185" s="3" t="str">
        <f>IF(11&gt;$C185,"",IF($D185=1,EOMONTH(EDATE(Bonds!$H185,6*(11-1)),0),EDATE(Bonds!$H185,6*(11-1))))</f>
        <v/>
      </c>
      <c r="P185" s="3" t="str">
        <f>IF(12&gt;$C185,"",IF($D185=1,EOMONTH(EDATE(Bonds!$H185,6*(12-1)),0),EDATE(Bonds!$H185,6*(12-1))))</f>
        <v/>
      </c>
      <c r="Q185" s="3" t="str">
        <f>IF(13&gt;$C185,"",IF($D185=1,EOMONTH(EDATE(Bonds!$H185,6*(13-1)),0),EDATE(Bonds!$H185,6*(13-1))))</f>
        <v/>
      </c>
      <c r="R185" s="3" t="str">
        <f>IF(14&gt;$C185,"",IF($D185=1,EOMONTH(EDATE(Bonds!$H185,6*(14-1)),0),EDATE(Bonds!$H185,6*(14-1))))</f>
        <v/>
      </c>
      <c r="S185" s="3" t="str">
        <f>IF(15&gt;$C185,"",IF($D185=1,EOMONTH(EDATE(Bonds!$H185,6*(15-1)),0),EDATE(Bonds!$H185,6*(15-1))))</f>
        <v/>
      </c>
      <c r="T185" s="3" t="str">
        <f>IF(16&gt;$C185,"",IF($D185=1,EOMONTH(EDATE(Bonds!$H185,6*(16-1)),0),EDATE(Bonds!$H185,6*(16-1))))</f>
        <v/>
      </c>
      <c r="U185" s="3" t="str">
        <f>IF(17&gt;$C185,"",IF($D185=1,EOMONTH(EDATE(Bonds!$H185,6*(17-1)),0),EDATE(Bonds!$H185,6*(17-1))))</f>
        <v/>
      </c>
      <c r="V185" s="3" t="str">
        <f>IF(18&gt;$C185,"",IF($D185=1,EOMONTH(EDATE(Bonds!$H185,6*(18-1)),0),EDATE(Bonds!$H185,6*(18-1))))</f>
        <v/>
      </c>
      <c r="W185" s="3" t="str">
        <f>IF(19&gt;$C185,"",IF($D185=1,EOMONTH(EDATE(Bonds!$H185,6*(19-1)),0),EDATE(Bonds!$H185,6*(19-1))))</f>
        <v/>
      </c>
      <c r="X185" s="3" t="str">
        <f>IF(20&gt;$C185,"",IF($D185=1,EOMONTH(EDATE(Bonds!$H185,6*(20-1)),0),EDATE(Bonds!$H185,6*(20-1))))</f>
        <v/>
      </c>
      <c r="Y185" s="3" t="str">
        <f>IF(21&gt;$C185,"",IF($D185=1,EOMONTH(EDATE(Bonds!$H185,6*(21-1)),0),EDATE(Bonds!$H185,6*(21-1))))</f>
        <v/>
      </c>
      <c r="Z185" s="3" t="str">
        <f>IF(22&gt;$C185,"",IF($D185=1,EOMONTH(EDATE(Bonds!$H185,6*(22-1)),0),EDATE(Bonds!$H185,6*(22-1))))</f>
        <v/>
      </c>
      <c r="AA185" s="3" t="str">
        <f>IF(23&gt;$C185,"",IF($D185=1,EOMONTH(EDATE(Bonds!$H185,6*(23-1)),0),EDATE(Bonds!$H185,6*(23-1))))</f>
        <v/>
      </c>
      <c r="AB185" s="3" t="str">
        <f>IF(24&gt;$C185,"",IF($D185=1,EOMONTH(EDATE(Bonds!$H185,6*(24-1)),0),EDATE(Bonds!$H185,6*(24-1))))</f>
        <v/>
      </c>
      <c r="AC185" s="3" t="str">
        <f>IF(25&gt;$C185,"",IF($D185=1,EOMONTH(EDATE(Bonds!$H185,6*(25-1)),0),EDATE(Bonds!$H185,6*(25-1))))</f>
        <v/>
      </c>
      <c r="AD185" s="3" t="str">
        <f>IF(26&gt;$C185,"",IF($D185=1,EOMONTH(EDATE(Bonds!$H185,6*(26-1)),0),EDATE(Bonds!$H185,6*(26-1))))</f>
        <v/>
      </c>
      <c r="AE185" s="3" t="str">
        <f>IF(27&gt;$C185,"",IF($D185=1,EOMONTH(EDATE(Bonds!$H185,6*(27-1)),0),EDATE(Bonds!$H185,6*(27-1))))</f>
        <v/>
      </c>
      <c r="AF185" s="3" t="str">
        <f>IF(28&gt;$C185,"",IF($D185=1,EOMONTH(EDATE(Bonds!$H185,6*(28-1)),0),EDATE(Bonds!$H185,6*(28-1))))</f>
        <v/>
      </c>
      <c r="AG185" s="3" t="str">
        <f>IF(29&gt;$C185,"",IF($D185=1,EOMONTH(EDATE(Bonds!$H185,6*(29-1)),0),EDATE(Bonds!$H185,6*(29-1))))</f>
        <v/>
      </c>
      <c r="AH185" s="3" t="str">
        <f>IF(30&gt;$C185,"",IF($D185=1,EOMONTH(EDATE(Bonds!$H185,6*(30-1)),0),EDATE(Bonds!$H185,6*(30-1))))</f>
        <v/>
      </c>
      <c r="AI185" s="3" t="str">
        <f>IF(31&gt;$C185,"",IF($D185=1,EOMONTH(EDATE(Bonds!$H185,6*(31-1)),0),EDATE(Bonds!$H185,6*(31-1))))</f>
        <v/>
      </c>
      <c r="AJ185" s="3" t="str">
        <f>IF(32&gt;$C185,"",IF($D185=1,EOMONTH(EDATE(Bonds!$H185,6*(32-1)),0),EDATE(Bonds!$H185,6*(32-1))))</f>
        <v/>
      </c>
      <c r="AK185" s="3" t="str">
        <f>IF(33&gt;$C185,"",IF($D185=1,EOMONTH(EDATE(Bonds!$H185,6*(33-1)),0),EDATE(Bonds!$H185,6*(33-1))))</f>
        <v/>
      </c>
      <c r="AL185" s="3" t="str">
        <f>IF(34&gt;$C185,"",IF($D185=1,EOMONTH(EDATE(Bonds!$H185,6*(34-1)),0),EDATE(Bonds!$H185,6*(34-1))))</f>
        <v/>
      </c>
      <c r="AM185" s="3" t="str">
        <f>IF(35&gt;$C185,"",IF($D185=1,EOMONTH(EDATE(Bonds!$H185,6*(35-1)),0),EDATE(Bonds!$H185,6*(35-1))))</f>
        <v/>
      </c>
      <c r="AN185" s="3" t="str">
        <f>IF(36&gt;$C185,"",IF($D185=1,EOMONTH(EDATE(Bonds!$H185,6*(36-1)),0),EDATE(Bonds!$H185,6*(36-1))))</f>
        <v/>
      </c>
      <c r="AO185" s="3" t="str">
        <f>IF(37&gt;$C185,"",IF($D185=1,EOMONTH(EDATE(Bonds!$H185,6*(37-1)),0),EDATE(Bonds!$H185,6*(37-1))))</f>
        <v/>
      </c>
      <c r="AP185" s="3" t="str">
        <f>IF(38&gt;$C185,"",IF($D185=1,EOMONTH(EDATE(Bonds!$H185,6*(38-1)),0),EDATE(Bonds!$H185,6*(38-1))))</f>
        <v/>
      </c>
      <c r="AQ185" s="3" t="str">
        <f>IF(39&gt;$C185,"",IF($D185=1,EOMONTH(EDATE(Bonds!$H185,6*(39-1)),0),EDATE(Bonds!$H185,6*(39-1))))</f>
        <v/>
      </c>
      <c r="AR185" s="3" t="str">
        <f>IF(40&gt;$C185,"",IF($D185=1,EOMONTH(EDATE(Bonds!$H185,6*(40-1)),0),EDATE(Bonds!$H185,6*(40-1))))</f>
        <v/>
      </c>
      <c r="AS185" s="3" t="str">
        <f>IF(41&gt;$C185,"",IF($D185=1,EOMONTH(EDATE(Bonds!$H185,6*(41-1)),0),EDATE(Bonds!$H185,6*(41-1))))</f>
        <v/>
      </c>
      <c r="AT185" s="3" t="str">
        <f>IF(42&gt;$C185,"",IF($D185=1,EOMONTH(EDATE(Bonds!$H185,6*(42-1)),0),EDATE(Bonds!$H185,6*(42-1))))</f>
        <v/>
      </c>
      <c r="AU185" s="3" t="str">
        <f>IF(43&gt;$C185,"",IF($D185=1,EOMONTH(EDATE(Bonds!$H185,6*(43-1)),0),EDATE(Bonds!$H185,6*(43-1))))</f>
        <v/>
      </c>
      <c r="AV185" s="3" t="str">
        <f>IF(44&gt;$C185,"",IF($D185=1,EOMONTH(EDATE(Bonds!$H185,6*(44-1)),0),EDATE(Bonds!$H185,6*(44-1))))</f>
        <v/>
      </c>
      <c r="AW185" s="3" t="str">
        <f>IF(45&gt;$C185,"",IF($D185=1,EOMONTH(EDATE(Bonds!$H185,6*(45-1)),0),EDATE(Bonds!$H185,6*(45-1))))</f>
        <v/>
      </c>
      <c r="AX185" s="3" t="str">
        <f>IF(46&gt;$C185,"",IF($D185=1,EOMONTH(EDATE(Bonds!$H185,6*(46-1)),0),EDATE(Bonds!$H185,6*(46-1))))</f>
        <v/>
      </c>
      <c r="AY185" s="3" t="str">
        <f>IF(47&gt;$C185,"",IF($D185=1,EOMONTH(EDATE(Bonds!$H185,6*(47-1)),0),EDATE(Bonds!$H185,6*(47-1))))</f>
        <v/>
      </c>
      <c r="AZ185" s="3" t="str">
        <f>IF(48&gt;$C185,"",IF($D185=1,EOMONTH(EDATE(Bonds!$H185,6*(48-1)),0),EDATE(Bonds!$H185,6*(48-1))))</f>
        <v/>
      </c>
      <c r="BA185" s="3" t="str">
        <f>IF(49&gt;$C185,"",IF($D185=1,EOMONTH(EDATE(Bonds!$H185,6*(49-1)),0),EDATE(Bonds!$H185,6*(49-1))))</f>
        <v/>
      </c>
      <c r="BB185" s="3" t="str">
        <f>IF(50&gt;$C185,"",IF($D185=1,EOMONTH(EDATE(Bonds!$H185,6*(50-1)),0),EDATE(Bonds!$H185,6*(50-1))))</f>
        <v/>
      </c>
      <c r="BC185" s="3" t="str">
        <f>IF(51&gt;$C185,"",IF($D185=1,EOMONTH(EDATE(Bonds!$H185,6*(51-1)),0),EDATE(Bonds!$H185,6*(51-1))))</f>
        <v/>
      </c>
      <c r="BD185" s="3" t="str">
        <f>IF(52&gt;$C185,"",IF($D185=1,EOMONTH(EDATE(Bonds!$H185,6*(52-1)),0),EDATE(Bonds!$H185,6*(52-1))))</f>
        <v/>
      </c>
      <c r="BE185" s="3" t="str">
        <f>IF(53&gt;$C185,"",IF($D185=1,EOMONTH(EDATE(Bonds!$H185,6*(53-1)),0),EDATE(Bonds!$H185,6*(53-1))))</f>
        <v/>
      </c>
      <c r="BF185" s="3" t="str">
        <f>IF(54&gt;$C185,"",IF($D185=1,EOMONTH(EDATE(Bonds!$H185,6*(54-1)),0),EDATE(Bonds!$H185,6*(54-1))))</f>
        <v/>
      </c>
      <c r="BG185" s="3" t="str">
        <f>IF(55&gt;$C185,"",IF($D185=1,EOMONTH(EDATE(Bonds!$H185,6*(55-1)),0),EDATE(Bonds!$H185,6*(55-1))))</f>
        <v/>
      </c>
      <c r="BH185" s="3" t="str">
        <f>IF(56&gt;$C185,"",IF($D185=1,EOMONTH(EDATE(Bonds!$H185,6*(56-1)),0),EDATE(Bonds!$H185,6*(56-1))))</f>
        <v/>
      </c>
      <c r="BI185" s="3" t="str">
        <f>IF(57&gt;$C185,"",IF($D185=1,EOMONTH(EDATE(Bonds!$H185,6*(57-1)),0),EDATE(Bonds!$H185,6*(57-1))))</f>
        <v/>
      </c>
      <c r="BJ185" s="3" t="str">
        <f>IF(58&gt;$C185,"",IF($D185=1,EOMONTH(EDATE(Bonds!$H185,6*(58-1)),0),EDATE(Bonds!$H185,6*(58-1))))</f>
        <v/>
      </c>
      <c r="BK185" s="3" t="str">
        <f>IF(59&gt;$C185,"",IF($D185=1,EOMONTH(EDATE(Bonds!$H185,6*(59-1)),0),EDATE(Bonds!$H185,6*(59-1))))</f>
        <v/>
      </c>
      <c r="BL185" s="3" t="str">
        <f>IF(60&gt;$C185,"",IF($D185=1,EOMONTH(EDATE(Bonds!$H185,6*(60-1)),0),EDATE(Bonds!$H185,6*(60-1))))</f>
        <v/>
      </c>
      <c r="BN185" s="7">
        <f t="shared" si="123"/>
        <v>2.0245284779345751</v>
      </c>
      <c r="BO185" s="7">
        <f t="shared" si="124"/>
        <v>1.9809282235712309</v>
      </c>
      <c r="BP185" s="7">
        <f t="shared" si="125"/>
        <v>1.936876346081233</v>
      </c>
      <c r="BQ185" s="7">
        <f t="shared" si="126"/>
        <v>1.8926736712990224</v>
      </c>
      <c r="BR185" s="7">
        <f t="shared" si="127"/>
        <v>1.8500731836052684</v>
      </c>
      <c r="BS185" s="7">
        <f t="shared" si="128"/>
        <v>1.8078297896331799</v>
      </c>
      <c r="BT185" s="7">
        <f t="shared" si="129"/>
        <v>1.7672787634629474</v>
      </c>
      <c r="BU185" s="7">
        <f t="shared" si="130"/>
        <v>85.457237892781066</v>
      </c>
      <c r="BV185" s="7">
        <f t="shared" si="131"/>
        <v>0</v>
      </c>
      <c r="BW185" s="7">
        <f t="shared" si="132"/>
        <v>0</v>
      </c>
      <c r="BX185" s="7">
        <f t="shared" si="133"/>
        <v>0</v>
      </c>
      <c r="BY185" s="7">
        <f t="shared" si="134"/>
        <v>0</v>
      </c>
      <c r="BZ185" s="7">
        <f t="shared" si="135"/>
        <v>0</v>
      </c>
      <c r="CA185" s="7">
        <f t="shared" si="136"/>
        <v>0</v>
      </c>
      <c r="CB185" s="7">
        <f t="shared" si="137"/>
        <v>0</v>
      </c>
      <c r="CC185" s="7">
        <f t="shared" si="138"/>
        <v>0</v>
      </c>
      <c r="CD185" s="7">
        <f t="shared" si="139"/>
        <v>0</v>
      </c>
      <c r="CE185" s="7">
        <f t="shared" si="140"/>
        <v>0</v>
      </c>
      <c r="CF185" s="7">
        <f t="shared" si="141"/>
        <v>0</v>
      </c>
      <c r="CG185" s="7">
        <f t="shared" si="142"/>
        <v>0</v>
      </c>
      <c r="CH185" s="7">
        <f t="shared" si="143"/>
        <v>0</v>
      </c>
      <c r="CI185" s="7">
        <f t="shared" si="144"/>
        <v>0</v>
      </c>
      <c r="CJ185" s="7">
        <f t="shared" si="145"/>
        <v>0</v>
      </c>
      <c r="CK185" s="7">
        <f t="shared" si="146"/>
        <v>0</v>
      </c>
      <c r="CL185" s="7">
        <f t="shared" si="147"/>
        <v>0</v>
      </c>
      <c r="CM185" s="7">
        <f t="shared" si="148"/>
        <v>0</v>
      </c>
      <c r="CN185" s="7">
        <f t="shared" si="149"/>
        <v>0</v>
      </c>
      <c r="CO185" s="7">
        <f t="shared" si="150"/>
        <v>0</v>
      </c>
      <c r="CP185" s="7">
        <f t="shared" si="151"/>
        <v>0</v>
      </c>
      <c r="CQ185" s="7">
        <f t="shared" si="152"/>
        <v>0</v>
      </c>
      <c r="CR185" s="7">
        <f t="shared" si="153"/>
        <v>0</v>
      </c>
      <c r="CS185" s="7">
        <f t="shared" si="154"/>
        <v>0</v>
      </c>
      <c r="CT185" s="7">
        <f t="shared" si="155"/>
        <v>0</v>
      </c>
      <c r="CU185" s="7">
        <f t="shared" si="156"/>
        <v>0</v>
      </c>
      <c r="CV185" s="7">
        <f t="shared" si="157"/>
        <v>0</v>
      </c>
      <c r="CW185" s="7">
        <f t="shared" si="158"/>
        <v>0</v>
      </c>
      <c r="CX185" s="7">
        <f t="shared" si="159"/>
        <v>0</v>
      </c>
      <c r="CY185" s="7">
        <f t="shared" si="160"/>
        <v>0</v>
      </c>
      <c r="CZ185" s="7">
        <f t="shared" si="161"/>
        <v>0</v>
      </c>
      <c r="DA185" s="7">
        <f t="shared" si="162"/>
        <v>0</v>
      </c>
      <c r="DB185" s="7">
        <f t="shared" si="163"/>
        <v>0</v>
      </c>
      <c r="DC185" s="7">
        <f t="shared" si="164"/>
        <v>0</v>
      </c>
      <c r="DD185" s="7">
        <f t="shared" si="165"/>
        <v>0</v>
      </c>
      <c r="DE185" s="7">
        <f t="shared" si="166"/>
        <v>0</v>
      </c>
      <c r="DF185" s="7">
        <f t="shared" si="167"/>
        <v>0</v>
      </c>
      <c r="DG185" s="7">
        <f t="shared" si="168"/>
        <v>0</v>
      </c>
      <c r="DH185" s="7">
        <f t="shared" si="169"/>
        <v>0</v>
      </c>
      <c r="DI185" s="7">
        <f t="shared" si="170"/>
        <v>0</v>
      </c>
      <c r="DJ185" s="7">
        <f t="shared" si="171"/>
        <v>0</v>
      </c>
      <c r="DK185" s="7">
        <f t="shared" si="172"/>
        <v>0</v>
      </c>
      <c r="DL185" s="7">
        <f t="shared" si="173"/>
        <v>0</v>
      </c>
      <c r="DM185" s="7">
        <f t="shared" si="174"/>
        <v>0</v>
      </c>
      <c r="DN185" s="7">
        <f t="shared" si="175"/>
        <v>0</v>
      </c>
      <c r="DO185" s="7">
        <f t="shared" si="176"/>
        <v>0</v>
      </c>
      <c r="DP185" s="7">
        <f t="shared" si="177"/>
        <v>0</v>
      </c>
      <c r="DQ185" s="7">
        <f t="shared" si="178"/>
        <v>0</v>
      </c>
      <c r="DR185" s="7">
        <f t="shared" si="179"/>
        <v>0</v>
      </c>
      <c r="DS185" s="7">
        <f t="shared" si="180"/>
        <v>0</v>
      </c>
      <c r="DT185" s="7">
        <f t="shared" si="181"/>
        <v>0</v>
      </c>
      <c r="DU185" s="7">
        <f t="shared" si="182"/>
        <v>0</v>
      </c>
    </row>
    <row r="186" spans="1:125" x14ac:dyDescent="0.2">
      <c r="A186" s="3">
        <f>Bonds!A186</f>
        <v>47756</v>
      </c>
      <c r="B186" s="4">
        <f>Bonds!B186</f>
        <v>3.625</v>
      </c>
      <c r="C186">
        <f>Bonds!P186</f>
        <v>9</v>
      </c>
      <c r="D186">
        <f t="shared" si="122"/>
        <v>1</v>
      </c>
      <c r="E186" s="3">
        <f>IF(1&gt;$C186,"",IF($D186=1,EOMONTH(EDATE(Bonds!$H186,6*(1-1)),0),EDATE(Bonds!$H186,6*(1-1))))</f>
        <v>46295</v>
      </c>
      <c r="F186" s="3">
        <f>IF(2&gt;$C186,"",IF($D186=1,EOMONTH(EDATE(Bonds!$H186,6*(2-1)),0),EDATE(Bonds!$H186,6*(2-1))))</f>
        <v>46477</v>
      </c>
      <c r="G186" s="3">
        <f>IF(3&gt;$C186,"",IF($D186=1,EOMONTH(EDATE(Bonds!$H186,6*(3-1)),0),EDATE(Bonds!$H186,6*(3-1))))</f>
        <v>46660</v>
      </c>
      <c r="H186" s="3">
        <f>IF(4&gt;$C186,"",IF($D186=1,EOMONTH(EDATE(Bonds!$H186,6*(4-1)),0),EDATE(Bonds!$H186,6*(4-1))))</f>
        <v>46843</v>
      </c>
      <c r="I186" s="3">
        <f>IF(5&gt;$C186,"",IF($D186=1,EOMONTH(EDATE(Bonds!$H186,6*(5-1)),0),EDATE(Bonds!$H186,6*(5-1))))</f>
        <v>47026</v>
      </c>
      <c r="J186" s="3">
        <f>IF(6&gt;$C186,"",IF($D186=1,EOMONTH(EDATE(Bonds!$H186,6*(6-1)),0),EDATE(Bonds!$H186,6*(6-1))))</f>
        <v>47208</v>
      </c>
      <c r="K186" s="3">
        <f>IF(7&gt;$C186,"",IF($D186=1,EOMONTH(EDATE(Bonds!$H186,6*(7-1)),0),EDATE(Bonds!$H186,6*(7-1))))</f>
        <v>47391</v>
      </c>
      <c r="L186" s="3">
        <f>IF(8&gt;$C186,"",IF($D186=1,EOMONTH(EDATE(Bonds!$H186,6*(8-1)),0),EDATE(Bonds!$H186,6*(8-1))))</f>
        <v>47573</v>
      </c>
      <c r="M186" s="3">
        <f>IF(9&gt;$C186,"",IF($D186=1,EOMONTH(EDATE(Bonds!$H186,6*(9-1)),0),EDATE(Bonds!$H186,6*(9-1))))</f>
        <v>47756</v>
      </c>
      <c r="N186" s="3" t="str">
        <f>IF(10&gt;$C186,"",IF($D186=1,EOMONTH(EDATE(Bonds!$H186,6*(10-1)),0),EDATE(Bonds!$H186,6*(10-1))))</f>
        <v/>
      </c>
      <c r="O186" s="3" t="str">
        <f>IF(11&gt;$C186,"",IF($D186=1,EOMONTH(EDATE(Bonds!$H186,6*(11-1)),0),EDATE(Bonds!$H186,6*(11-1))))</f>
        <v/>
      </c>
      <c r="P186" s="3" t="str">
        <f>IF(12&gt;$C186,"",IF($D186=1,EOMONTH(EDATE(Bonds!$H186,6*(12-1)),0),EDATE(Bonds!$H186,6*(12-1))))</f>
        <v/>
      </c>
      <c r="Q186" s="3" t="str">
        <f>IF(13&gt;$C186,"",IF($D186=1,EOMONTH(EDATE(Bonds!$H186,6*(13-1)),0),EDATE(Bonds!$H186,6*(13-1))))</f>
        <v/>
      </c>
      <c r="R186" s="3" t="str">
        <f>IF(14&gt;$C186,"",IF($D186=1,EOMONTH(EDATE(Bonds!$H186,6*(14-1)),0),EDATE(Bonds!$H186,6*(14-1))))</f>
        <v/>
      </c>
      <c r="S186" s="3" t="str">
        <f>IF(15&gt;$C186,"",IF($D186=1,EOMONTH(EDATE(Bonds!$H186,6*(15-1)),0),EDATE(Bonds!$H186,6*(15-1))))</f>
        <v/>
      </c>
      <c r="T186" s="3" t="str">
        <f>IF(16&gt;$C186,"",IF($D186=1,EOMONTH(EDATE(Bonds!$H186,6*(16-1)),0),EDATE(Bonds!$H186,6*(16-1))))</f>
        <v/>
      </c>
      <c r="U186" s="3" t="str">
        <f>IF(17&gt;$C186,"",IF($D186=1,EOMONTH(EDATE(Bonds!$H186,6*(17-1)),0),EDATE(Bonds!$H186,6*(17-1))))</f>
        <v/>
      </c>
      <c r="V186" s="3" t="str">
        <f>IF(18&gt;$C186,"",IF($D186=1,EOMONTH(EDATE(Bonds!$H186,6*(18-1)),0),EDATE(Bonds!$H186,6*(18-1))))</f>
        <v/>
      </c>
      <c r="W186" s="3" t="str">
        <f>IF(19&gt;$C186,"",IF($D186=1,EOMONTH(EDATE(Bonds!$H186,6*(19-1)),0),EDATE(Bonds!$H186,6*(19-1))))</f>
        <v/>
      </c>
      <c r="X186" s="3" t="str">
        <f>IF(20&gt;$C186,"",IF($D186=1,EOMONTH(EDATE(Bonds!$H186,6*(20-1)),0),EDATE(Bonds!$H186,6*(20-1))))</f>
        <v/>
      </c>
      <c r="Y186" s="3" t="str">
        <f>IF(21&gt;$C186,"",IF($D186=1,EOMONTH(EDATE(Bonds!$H186,6*(21-1)),0),EDATE(Bonds!$H186,6*(21-1))))</f>
        <v/>
      </c>
      <c r="Z186" s="3" t="str">
        <f>IF(22&gt;$C186,"",IF($D186=1,EOMONTH(EDATE(Bonds!$H186,6*(22-1)),0),EDATE(Bonds!$H186,6*(22-1))))</f>
        <v/>
      </c>
      <c r="AA186" s="3" t="str">
        <f>IF(23&gt;$C186,"",IF($D186=1,EOMONTH(EDATE(Bonds!$H186,6*(23-1)),0),EDATE(Bonds!$H186,6*(23-1))))</f>
        <v/>
      </c>
      <c r="AB186" s="3" t="str">
        <f>IF(24&gt;$C186,"",IF($D186=1,EOMONTH(EDATE(Bonds!$H186,6*(24-1)),0),EDATE(Bonds!$H186,6*(24-1))))</f>
        <v/>
      </c>
      <c r="AC186" s="3" t="str">
        <f>IF(25&gt;$C186,"",IF($D186=1,EOMONTH(EDATE(Bonds!$H186,6*(25-1)),0),EDATE(Bonds!$H186,6*(25-1))))</f>
        <v/>
      </c>
      <c r="AD186" s="3" t="str">
        <f>IF(26&gt;$C186,"",IF($D186=1,EOMONTH(EDATE(Bonds!$H186,6*(26-1)),0),EDATE(Bonds!$H186,6*(26-1))))</f>
        <v/>
      </c>
      <c r="AE186" s="3" t="str">
        <f>IF(27&gt;$C186,"",IF($D186=1,EOMONTH(EDATE(Bonds!$H186,6*(27-1)),0),EDATE(Bonds!$H186,6*(27-1))))</f>
        <v/>
      </c>
      <c r="AF186" s="3" t="str">
        <f>IF(28&gt;$C186,"",IF($D186=1,EOMONTH(EDATE(Bonds!$H186,6*(28-1)),0),EDATE(Bonds!$H186,6*(28-1))))</f>
        <v/>
      </c>
      <c r="AG186" s="3" t="str">
        <f>IF(29&gt;$C186,"",IF($D186=1,EOMONTH(EDATE(Bonds!$H186,6*(29-1)),0),EDATE(Bonds!$H186,6*(29-1))))</f>
        <v/>
      </c>
      <c r="AH186" s="3" t="str">
        <f>IF(30&gt;$C186,"",IF($D186=1,EOMONTH(EDATE(Bonds!$H186,6*(30-1)),0),EDATE(Bonds!$H186,6*(30-1))))</f>
        <v/>
      </c>
      <c r="AI186" s="3" t="str">
        <f>IF(31&gt;$C186,"",IF($D186=1,EOMONTH(EDATE(Bonds!$H186,6*(31-1)),0),EDATE(Bonds!$H186,6*(31-1))))</f>
        <v/>
      </c>
      <c r="AJ186" s="3" t="str">
        <f>IF(32&gt;$C186,"",IF($D186=1,EOMONTH(EDATE(Bonds!$H186,6*(32-1)),0),EDATE(Bonds!$H186,6*(32-1))))</f>
        <v/>
      </c>
      <c r="AK186" s="3" t="str">
        <f>IF(33&gt;$C186,"",IF($D186=1,EOMONTH(EDATE(Bonds!$H186,6*(33-1)),0),EDATE(Bonds!$H186,6*(33-1))))</f>
        <v/>
      </c>
      <c r="AL186" s="3" t="str">
        <f>IF(34&gt;$C186,"",IF($D186=1,EOMONTH(EDATE(Bonds!$H186,6*(34-1)),0),EDATE(Bonds!$H186,6*(34-1))))</f>
        <v/>
      </c>
      <c r="AM186" s="3" t="str">
        <f>IF(35&gt;$C186,"",IF($D186=1,EOMONTH(EDATE(Bonds!$H186,6*(35-1)),0),EDATE(Bonds!$H186,6*(35-1))))</f>
        <v/>
      </c>
      <c r="AN186" s="3" t="str">
        <f>IF(36&gt;$C186,"",IF($D186=1,EOMONTH(EDATE(Bonds!$H186,6*(36-1)),0),EDATE(Bonds!$H186,6*(36-1))))</f>
        <v/>
      </c>
      <c r="AO186" s="3" t="str">
        <f>IF(37&gt;$C186,"",IF($D186=1,EOMONTH(EDATE(Bonds!$H186,6*(37-1)),0),EDATE(Bonds!$H186,6*(37-1))))</f>
        <v/>
      </c>
      <c r="AP186" s="3" t="str">
        <f>IF(38&gt;$C186,"",IF($D186=1,EOMONTH(EDATE(Bonds!$H186,6*(38-1)),0),EDATE(Bonds!$H186,6*(38-1))))</f>
        <v/>
      </c>
      <c r="AQ186" s="3" t="str">
        <f>IF(39&gt;$C186,"",IF($D186=1,EOMONTH(EDATE(Bonds!$H186,6*(39-1)),0),EDATE(Bonds!$H186,6*(39-1))))</f>
        <v/>
      </c>
      <c r="AR186" s="3" t="str">
        <f>IF(40&gt;$C186,"",IF($D186=1,EOMONTH(EDATE(Bonds!$H186,6*(40-1)),0),EDATE(Bonds!$H186,6*(40-1))))</f>
        <v/>
      </c>
      <c r="AS186" s="3" t="str">
        <f>IF(41&gt;$C186,"",IF($D186=1,EOMONTH(EDATE(Bonds!$H186,6*(41-1)),0),EDATE(Bonds!$H186,6*(41-1))))</f>
        <v/>
      </c>
      <c r="AT186" s="3" t="str">
        <f>IF(42&gt;$C186,"",IF($D186=1,EOMONTH(EDATE(Bonds!$H186,6*(42-1)),0),EDATE(Bonds!$H186,6*(42-1))))</f>
        <v/>
      </c>
      <c r="AU186" s="3" t="str">
        <f>IF(43&gt;$C186,"",IF($D186=1,EOMONTH(EDATE(Bonds!$H186,6*(43-1)),0),EDATE(Bonds!$H186,6*(43-1))))</f>
        <v/>
      </c>
      <c r="AV186" s="3" t="str">
        <f>IF(44&gt;$C186,"",IF($D186=1,EOMONTH(EDATE(Bonds!$H186,6*(44-1)),0),EDATE(Bonds!$H186,6*(44-1))))</f>
        <v/>
      </c>
      <c r="AW186" s="3" t="str">
        <f>IF(45&gt;$C186,"",IF($D186=1,EOMONTH(EDATE(Bonds!$H186,6*(45-1)),0),EDATE(Bonds!$H186,6*(45-1))))</f>
        <v/>
      </c>
      <c r="AX186" s="3" t="str">
        <f>IF(46&gt;$C186,"",IF($D186=1,EOMONTH(EDATE(Bonds!$H186,6*(46-1)),0),EDATE(Bonds!$H186,6*(46-1))))</f>
        <v/>
      </c>
      <c r="AY186" s="3" t="str">
        <f>IF(47&gt;$C186,"",IF($D186=1,EOMONTH(EDATE(Bonds!$H186,6*(47-1)),0),EDATE(Bonds!$H186,6*(47-1))))</f>
        <v/>
      </c>
      <c r="AZ186" s="3" t="str">
        <f>IF(48&gt;$C186,"",IF($D186=1,EOMONTH(EDATE(Bonds!$H186,6*(48-1)),0),EDATE(Bonds!$H186,6*(48-1))))</f>
        <v/>
      </c>
      <c r="BA186" s="3" t="str">
        <f>IF(49&gt;$C186,"",IF($D186=1,EOMONTH(EDATE(Bonds!$H186,6*(49-1)),0),EDATE(Bonds!$H186,6*(49-1))))</f>
        <v/>
      </c>
      <c r="BB186" s="3" t="str">
        <f>IF(50&gt;$C186,"",IF($D186=1,EOMONTH(EDATE(Bonds!$H186,6*(50-1)),0),EDATE(Bonds!$H186,6*(50-1))))</f>
        <v/>
      </c>
      <c r="BC186" s="3" t="str">
        <f>IF(51&gt;$C186,"",IF($D186=1,EOMONTH(EDATE(Bonds!$H186,6*(51-1)),0),EDATE(Bonds!$H186,6*(51-1))))</f>
        <v/>
      </c>
      <c r="BD186" s="3" t="str">
        <f>IF(52&gt;$C186,"",IF($D186=1,EOMONTH(EDATE(Bonds!$H186,6*(52-1)),0),EDATE(Bonds!$H186,6*(52-1))))</f>
        <v/>
      </c>
      <c r="BE186" s="3" t="str">
        <f>IF(53&gt;$C186,"",IF($D186=1,EOMONTH(EDATE(Bonds!$H186,6*(53-1)),0),EDATE(Bonds!$H186,6*(53-1))))</f>
        <v/>
      </c>
      <c r="BF186" s="3" t="str">
        <f>IF(54&gt;$C186,"",IF($D186=1,EOMONTH(EDATE(Bonds!$H186,6*(54-1)),0),EDATE(Bonds!$H186,6*(54-1))))</f>
        <v/>
      </c>
      <c r="BG186" s="3" t="str">
        <f>IF(55&gt;$C186,"",IF($D186=1,EOMONTH(EDATE(Bonds!$H186,6*(55-1)),0),EDATE(Bonds!$H186,6*(55-1))))</f>
        <v/>
      </c>
      <c r="BH186" s="3" t="str">
        <f>IF(56&gt;$C186,"",IF($D186=1,EOMONTH(EDATE(Bonds!$H186,6*(56-1)),0),EDATE(Bonds!$H186,6*(56-1))))</f>
        <v/>
      </c>
      <c r="BI186" s="3" t="str">
        <f>IF(57&gt;$C186,"",IF($D186=1,EOMONTH(EDATE(Bonds!$H186,6*(57-1)),0),EDATE(Bonds!$H186,6*(57-1))))</f>
        <v/>
      </c>
      <c r="BJ186" s="3" t="str">
        <f>IF(58&gt;$C186,"",IF($D186=1,EOMONTH(EDATE(Bonds!$H186,6*(58-1)),0),EDATE(Bonds!$H186,6*(58-1))))</f>
        <v/>
      </c>
      <c r="BK186" s="3" t="str">
        <f>IF(59&gt;$C186,"",IF($D186=1,EOMONTH(EDATE(Bonds!$H186,6*(59-1)),0),EDATE(Bonds!$H186,6*(59-1))))</f>
        <v/>
      </c>
      <c r="BL186" s="3" t="str">
        <f>IF(60&gt;$C186,"",IF($D186=1,EOMONTH(EDATE(Bonds!$H186,6*(60-1)),0),EDATE(Bonds!$H186,6*(60-1))))</f>
        <v/>
      </c>
      <c r="BN186" s="7">
        <f t="shared" si="123"/>
        <v>1.808493326786736</v>
      </c>
      <c r="BO186" s="7">
        <f t="shared" si="124"/>
        <v>1.7728088886354192</v>
      </c>
      <c r="BP186" s="7">
        <f t="shared" si="125"/>
        <v>1.7344510640467843</v>
      </c>
      <c r="BQ186" s="7">
        <f t="shared" si="126"/>
        <v>1.6955187584603006</v>
      </c>
      <c r="BR186" s="7">
        <f t="shared" si="127"/>
        <v>1.6569935504525206</v>
      </c>
      <c r="BS186" s="7">
        <f t="shared" si="128"/>
        <v>1.6195008992214941</v>
      </c>
      <c r="BT186" s="7">
        <f t="shared" si="129"/>
        <v>1.5827345321062274</v>
      </c>
      <c r="BU186" s="7">
        <f t="shared" si="130"/>
        <v>1.5470395409530813</v>
      </c>
      <c r="BV186" s="7">
        <f t="shared" si="131"/>
        <v>84.926824169112066</v>
      </c>
      <c r="BW186" s="7">
        <f t="shared" si="132"/>
        <v>0</v>
      </c>
      <c r="BX186" s="7">
        <f t="shared" si="133"/>
        <v>0</v>
      </c>
      <c r="BY186" s="7">
        <f t="shared" si="134"/>
        <v>0</v>
      </c>
      <c r="BZ186" s="7">
        <f t="shared" si="135"/>
        <v>0</v>
      </c>
      <c r="CA186" s="7">
        <f t="shared" si="136"/>
        <v>0</v>
      </c>
      <c r="CB186" s="7">
        <f t="shared" si="137"/>
        <v>0</v>
      </c>
      <c r="CC186" s="7">
        <f t="shared" si="138"/>
        <v>0</v>
      </c>
      <c r="CD186" s="7">
        <f t="shared" si="139"/>
        <v>0</v>
      </c>
      <c r="CE186" s="7">
        <f t="shared" si="140"/>
        <v>0</v>
      </c>
      <c r="CF186" s="7">
        <f t="shared" si="141"/>
        <v>0</v>
      </c>
      <c r="CG186" s="7">
        <f t="shared" si="142"/>
        <v>0</v>
      </c>
      <c r="CH186" s="7">
        <f t="shared" si="143"/>
        <v>0</v>
      </c>
      <c r="CI186" s="7">
        <f t="shared" si="144"/>
        <v>0</v>
      </c>
      <c r="CJ186" s="7">
        <f t="shared" si="145"/>
        <v>0</v>
      </c>
      <c r="CK186" s="7">
        <f t="shared" si="146"/>
        <v>0</v>
      </c>
      <c r="CL186" s="7">
        <f t="shared" si="147"/>
        <v>0</v>
      </c>
      <c r="CM186" s="7">
        <f t="shared" si="148"/>
        <v>0</v>
      </c>
      <c r="CN186" s="7">
        <f t="shared" si="149"/>
        <v>0</v>
      </c>
      <c r="CO186" s="7">
        <f t="shared" si="150"/>
        <v>0</v>
      </c>
      <c r="CP186" s="7">
        <f t="shared" si="151"/>
        <v>0</v>
      </c>
      <c r="CQ186" s="7">
        <f t="shared" si="152"/>
        <v>0</v>
      </c>
      <c r="CR186" s="7">
        <f t="shared" si="153"/>
        <v>0</v>
      </c>
      <c r="CS186" s="7">
        <f t="shared" si="154"/>
        <v>0</v>
      </c>
      <c r="CT186" s="7">
        <f t="shared" si="155"/>
        <v>0</v>
      </c>
      <c r="CU186" s="7">
        <f t="shared" si="156"/>
        <v>0</v>
      </c>
      <c r="CV186" s="7">
        <f t="shared" si="157"/>
        <v>0</v>
      </c>
      <c r="CW186" s="7">
        <f t="shared" si="158"/>
        <v>0</v>
      </c>
      <c r="CX186" s="7">
        <f t="shared" si="159"/>
        <v>0</v>
      </c>
      <c r="CY186" s="7">
        <f t="shared" si="160"/>
        <v>0</v>
      </c>
      <c r="CZ186" s="7">
        <f t="shared" si="161"/>
        <v>0</v>
      </c>
      <c r="DA186" s="7">
        <f t="shared" si="162"/>
        <v>0</v>
      </c>
      <c r="DB186" s="7">
        <f t="shared" si="163"/>
        <v>0</v>
      </c>
      <c r="DC186" s="7">
        <f t="shared" si="164"/>
        <v>0</v>
      </c>
      <c r="DD186" s="7">
        <f t="shared" si="165"/>
        <v>0</v>
      </c>
      <c r="DE186" s="7">
        <f t="shared" si="166"/>
        <v>0</v>
      </c>
      <c r="DF186" s="7">
        <f t="shared" si="167"/>
        <v>0</v>
      </c>
      <c r="DG186" s="7">
        <f t="shared" si="168"/>
        <v>0</v>
      </c>
      <c r="DH186" s="7">
        <f t="shared" si="169"/>
        <v>0</v>
      </c>
      <c r="DI186" s="7">
        <f t="shared" si="170"/>
        <v>0</v>
      </c>
      <c r="DJ186" s="7">
        <f t="shared" si="171"/>
        <v>0</v>
      </c>
      <c r="DK186" s="7">
        <f t="shared" si="172"/>
        <v>0</v>
      </c>
      <c r="DL186" s="7">
        <f t="shared" si="173"/>
        <v>0</v>
      </c>
      <c r="DM186" s="7">
        <f t="shared" si="174"/>
        <v>0</v>
      </c>
      <c r="DN186" s="7">
        <f t="shared" si="175"/>
        <v>0</v>
      </c>
      <c r="DO186" s="7">
        <f t="shared" si="176"/>
        <v>0</v>
      </c>
      <c r="DP186" s="7">
        <f t="shared" si="177"/>
        <v>0</v>
      </c>
      <c r="DQ186" s="7">
        <f t="shared" si="178"/>
        <v>0</v>
      </c>
      <c r="DR186" s="7">
        <f t="shared" si="179"/>
        <v>0</v>
      </c>
      <c r="DS186" s="7">
        <f t="shared" si="180"/>
        <v>0</v>
      </c>
      <c r="DT186" s="7">
        <f t="shared" si="181"/>
        <v>0</v>
      </c>
      <c r="DU186" s="7">
        <f t="shared" si="182"/>
        <v>0</v>
      </c>
    </row>
    <row r="187" spans="1:125" x14ac:dyDescent="0.2">
      <c r="A187" s="3">
        <f>Bonds!A187</f>
        <v>47756</v>
      </c>
      <c r="B187" s="4">
        <f>Bonds!B187</f>
        <v>4.625</v>
      </c>
      <c r="C187">
        <f>Bonds!P187</f>
        <v>9</v>
      </c>
      <c r="D187">
        <f t="shared" si="122"/>
        <v>1</v>
      </c>
      <c r="E187" s="3">
        <f>IF(1&gt;$C187,"",IF($D187=1,EOMONTH(EDATE(Bonds!$H187,6*(1-1)),0),EDATE(Bonds!$H187,6*(1-1))))</f>
        <v>46295</v>
      </c>
      <c r="F187" s="3">
        <f>IF(2&gt;$C187,"",IF($D187=1,EOMONTH(EDATE(Bonds!$H187,6*(2-1)),0),EDATE(Bonds!$H187,6*(2-1))))</f>
        <v>46477</v>
      </c>
      <c r="G187" s="3">
        <f>IF(3&gt;$C187,"",IF($D187=1,EOMONTH(EDATE(Bonds!$H187,6*(3-1)),0),EDATE(Bonds!$H187,6*(3-1))))</f>
        <v>46660</v>
      </c>
      <c r="H187" s="3">
        <f>IF(4&gt;$C187,"",IF($D187=1,EOMONTH(EDATE(Bonds!$H187,6*(4-1)),0),EDATE(Bonds!$H187,6*(4-1))))</f>
        <v>46843</v>
      </c>
      <c r="I187" s="3">
        <f>IF(5&gt;$C187,"",IF($D187=1,EOMONTH(EDATE(Bonds!$H187,6*(5-1)),0),EDATE(Bonds!$H187,6*(5-1))))</f>
        <v>47026</v>
      </c>
      <c r="J187" s="3">
        <f>IF(6&gt;$C187,"",IF($D187=1,EOMONTH(EDATE(Bonds!$H187,6*(6-1)),0),EDATE(Bonds!$H187,6*(6-1))))</f>
        <v>47208</v>
      </c>
      <c r="K187" s="3">
        <f>IF(7&gt;$C187,"",IF($D187=1,EOMONTH(EDATE(Bonds!$H187,6*(7-1)),0),EDATE(Bonds!$H187,6*(7-1))))</f>
        <v>47391</v>
      </c>
      <c r="L187" s="3">
        <f>IF(8&gt;$C187,"",IF($D187=1,EOMONTH(EDATE(Bonds!$H187,6*(8-1)),0),EDATE(Bonds!$H187,6*(8-1))))</f>
        <v>47573</v>
      </c>
      <c r="M187" s="3">
        <f>IF(9&gt;$C187,"",IF($D187=1,EOMONTH(EDATE(Bonds!$H187,6*(9-1)),0),EDATE(Bonds!$H187,6*(9-1))))</f>
        <v>47756</v>
      </c>
      <c r="N187" s="3" t="str">
        <f>IF(10&gt;$C187,"",IF($D187=1,EOMONTH(EDATE(Bonds!$H187,6*(10-1)),0),EDATE(Bonds!$H187,6*(10-1))))</f>
        <v/>
      </c>
      <c r="O187" s="3" t="str">
        <f>IF(11&gt;$C187,"",IF($D187=1,EOMONTH(EDATE(Bonds!$H187,6*(11-1)),0),EDATE(Bonds!$H187,6*(11-1))))</f>
        <v/>
      </c>
      <c r="P187" s="3" t="str">
        <f>IF(12&gt;$C187,"",IF($D187=1,EOMONTH(EDATE(Bonds!$H187,6*(12-1)),0),EDATE(Bonds!$H187,6*(12-1))))</f>
        <v/>
      </c>
      <c r="Q187" s="3" t="str">
        <f>IF(13&gt;$C187,"",IF($D187=1,EOMONTH(EDATE(Bonds!$H187,6*(13-1)),0),EDATE(Bonds!$H187,6*(13-1))))</f>
        <v/>
      </c>
      <c r="R187" s="3" t="str">
        <f>IF(14&gt;$C187,"",IF($D187=1,EOMONTH(EDATE(Bonds!$H187,6*(14-1)),0),EDATE(Bonds!$H187,6*(14-1))))</f>
        <v/>
      </c>
      <c r="S187" s="3" t="str">
        <f>IF(15&gt;$C187,"",IF($D187=1,EOMONTH(EDATE(Bonds!$H187,6*(15-1)),0),EDATE(Bonds!$H187,6*(15-1))))</f>
        <v/>
      </c>
      <c r="T187" s="3" t="str">
        <f>IF(16&gt;$C187,"",IF($D187=1,EOMONTH(EDATE(Bonds!$H187,6*(16-1)),0),EDATE(Bonds!$H187,6*(16-1))))</f>
        <v/>
      </c>
      <c r="U187" s="3" t="str">
        <f>IF(17&gt;$C187,"",IF($D187=1,EOMONTH(EDATE(Bonds!$H187,6*(17-1)),0),EDATE(Bonds!$H187,6*(17-1))))</f>
        <v/>
      </c>
      <c r="V187" s="3" t="str">
        <f>IF(18&gt;$C187,"",IF($D187=1,EOMONTH(EDATE(Bonds!$H187,6*(18-1)),0),EDATE(Bonds!$H187,6*(18-1))))</f>
        <v/>
      </c>
      <c r="W187" s="3" t="str">
        <f>IF(19&gt;$C187,"",IF($D187=1,EOMONTH(EDATE(Bonds!$H187,6*(19-1)),0),EDATE(Bonds!$H187,6*(19-1))))</f>
        <v/>
      </c>
      <c r="X187" s="3" t="str">
        <f>IF(20&gt;$C187,"",IF($D187=1,EOMONTH(EDATE(Bonds!$H187,6*(20-1)),0),EDATE(Bonds!$H187,6*(20-1))))</f>
        <v/>
      </c>
      <c r="Y187" s="3" t="str">
        <f>IF(21&gt;$C187,"",IF($D187=1,EOMONTH(EDATE(Bonds!$H187,6*(21-1)),0),EDATE(Bonds!$H187,6*(21-1))))</f>
        <v/>
      </c>
      <c r="Z187" s="3" t="str">
        <f>IF(22&gt;$C187,"",IF($D187=1,EOMONTH(EDATE(Bonds!$H187,6*(22-1)),0),EDATE(Bonds!$H187,6*(22-1))))</f>
        <v/>
      </c>
      <c r="AA187" s="3" t="str">
        <f>IF(23&gt;$C187,"",IF($D187=1,EOMONTH(EDATE(Bonds!$H187,6*(23-1)),0),EDATE(Bonds!$H187,6*(23-1))))</f>
        <v/>
      </c>
      <c r="AB187" s="3" t="str">
        <f>IF(24&gt;$C187,"",IF($D187=1,EOMONTH(EDATE(Bonds!$H187,6*(24-1)),0),EDATE(Bonds!$H187,6*(24-1))))</f>
        <v/>
      </c>
      <c r="AC187" s="3" t="str">
        <f>IF(25&gt;$C187,"",IF($D187=1,EOMONTH(EDATE(Bonds!$H187,6*(25-1)),0),EDATE(Bonds!$H187,6*(25-1))))</f>
        <v/>
      </c>
      <c r="AD187" s="3" t="str">
        <f>IF(26&gt;$C187,"",IF($D187=1,EOMONTH(EDATE(Bonds!$H187,6*(26-1)),0),EDATE(Bonds!$H187,6*(26-1))))</f>
        <v/>
      </c>
      <c r="AE187" s="3" t="str">
        <f>IF(27&gt;$C187,"",IF($D187=1,EOMONTH(EDATE(Bonds!$H187,6*(27-1)),0),EDATE(Bonds!$H187,6*(27-1))))</f>
        <v/>
      </c>
      <c r="AF187" s="3" t="str">
        <f>IF(28&gt;$C187,"",IF($D187=1,EOMONTH(EDATE(Bonds!$H187,6*(28-1)),0),EDATE(Bonds!$H187,6*(28-1))))</f>
        <v/>
      </c>
      <c r="AG187" s="3" t="str">
        <f>IF(29&gt;$C187,"",IF($D187=1,EOMONTH(EDATE(Bonds!$H187,6*(29-1)),0),EDATE(Bonds!$H187,6*(29-1))))</f>
        <v/>
      </c>
      <c r="AH187" s="3" t="str">
        <f>IF(30&gt;$C187,"",IF($D187=1,EOMONTH(EDATE(Bonds!$H187,6*(30-1)),0),EDATE(Bonds!$H187,6*(30-1))))</f>
        <v/>
      </c>
      <c r="AI187" s="3" t="str">
        <f>IF(31&gt;$C187,"",IF($D187=1,EOMONTH(EDATE(Bonds!$H187,6*(31-1)),0),EDATE(Bonds!$H187,6*(31-1))))</f>
        <v/>
      </c>
      <c r="AJ187" s="3" t="str">
        <f>IF(32&gt;$C187,"",IF($D187=1,EOMONTH(EDATE(Bonds!$H187,6*(32-1)),0),EDATE(Bonds!$H187,6*(32-1))))</f>
        <v/>
      </c>
      <c r="AK187" s="3" t="str">
        <f>IF(33&gt;$C187,"",IF($D187=1,EOMONTH(EDATE(Bonds!$H187,6*(33-1)),0),EDATE(Bonds!$H187,6*(33-1))))</f>
        <v/>
      </c>
      <c r="AL187" s="3" t="str">
        <f>IF(34&gt;$C187,"",IF($D187=1,EOMONTH(EDATE(Bonds!$H187,6*(34-1)),0),EDATE(Bonds!$H187,6*(34-1))))</f>
        <v/>
      </c>
      <c r="AM187" s="3" t="str">
        <f>IF(35&gt;$C187,"",IF($D187=1,EOMONTH(EDATE(Bonds!$H187,6*(35-1)),0),EDATE(Bonds!$H187,6*(35-1))))</f>
        <v/>
      </c>
      <c r="AN187" s="3" t="str">
        <f>IF(36&gt;$C187,"",IF($D187=1,EOMONTH(EDATE(Bonds!$H187,6*(36-1)),0),EDATE(Bonds!$H187,6*(36-1))))</f>
        <v/>
      </c>
      <c r="AO187" s="3" t="str">
        <f>IF(37&gt;$C187,"",IF($D187=1,EOMONTH(EDATE(Bonds!$H187,6*(37-1)),0),EDATE(Bonds!$H187,6*(37-1))))</f>
        <v/>
      </c>
      <c r="AP187" s="3" t="str">
        <f>IF(38&gt;$C187,"",IF($D187=1,EOMONTH(EDATE(Bonds!$H187,6*(38-1)),0),EDATE(Bonds!$H187,6*(38-1))))</f>
        <v/>
      </c>
      <c r="AQ187" s="3" t="str">
        <f>IF(39&gt;$C187,"",IF($D187=1,EOMONTH(EDATE(Bonds!$H187,6*(39-1)),0),EDATE(Bonds!$H187,6*(39-1))))</f>
        <v/>
      </c>
      <c r="AR187" s="3" t="str">
        <f>IF(40&gt;$C187,"",IF($D187=1,EOMONTH(EDATE(Bonds!$H187,6*(40-1)),0),EDATE(Bonds!$H187,6*(40-1))))</f>
        <v/>
      </c>
      <c r="AS187" s="3" t="str">
        <f>IF(41&gt;$C187,"",IF($D187=1,EOMONTH(EDATE(Bonds!$H187,6*(41-1)),0),EDATE(Bonds!$H187,6*(41-1))))</f>
        <v/>
      </c>
      <c r="AT187" s="3" t="str">
        <f>IF(42&gt;$C187,"",IF($D187=1,EOMONTH(EDATE(Bonds!$H187,6*(42-1)),0),EDATE(Bonds!$H187,6*(42-1))))</f>
        <v/>
      </c>
      <c r="AU187" s="3" t="str">
        <f>IF(43&gt;$C187,"",IF($D187=1,EOMONTH(EDATE(Bonds!$H187,6*(43-1)),0),EDATE(Bonds!$H187,6*(43-1))))</f>
        <v/>
      </c>
      <c r="AV187" s="3" t="str">
        <f>IF(44&gt;$C187,"",IF($D187=1,EOMONTH(EDATE(Bonds!$H187,6*(44-1)),0),EDATE(Bonds!$H187,6*(44-1))))</f>
        <v/>
      </c>
      <c r="AW187" s="3" t="str">
        <f>IF(45&gt;$C187,"",IF($D187=1,EOMONTH(EDATE(Bonds!$H187,6*(45-1)),0),EDATE(Bonds!$H187,6*(45-1))))</f>
        <v/>
      </c>
      <c r="AX187" s="3" t="str">
        <f>IF(46&gt;$C187,"",IF($D187=1,EOMONTH(EDATE(Bonds!$H187,6*(46-1)),0),EDATE(Bonds!$H187,6*(46-1))))</f>
        <v/>
      </c>
      <c r="AY187" s="3" t="str">
        <f>IF(47&gt;$C187,"",IF($D187=1,EOMONTH(EDATE(Bonds!$H187,6*(47-1)),0),EDATE(Bonds!$H187,6*(47-1))))</f>
        <v/>
      </c>
      <c r="AZ187" s="3" t="str">
        <f>IF(48&gt;$C187,"",IF($D187=1,EOMONTH(EDATE(Bonds!$H187,6*(48-1)),0),EDATE(Bonds!$H187,6*(48-1))))</f>
        <v/>
      </c>
      <c r="BA187" s="3" t="str">
        <f>IF(49&gt;$C187,"",IF($D187=1,EOMONTH(EDATE(Bonds!$H187,6*(49-1)),0),EDATE(Bonds!$H187,6*(49-1))))</f>
        <v/>
      </c>
      <c r="BB187" s="3" t="str">
        <f>IF(50&gt;$C187,"",IF($D187=1,EOMONTH(EDATE(Bonds!$H187,6*(50-1)),0),EDATE(Bonds!$H187,6*(50-1))))</f>
        <v/>
      </c>
      <c r="BC187" s="3" t="str">
        <f>IF(51&gt;$C187,"",IF($D187=1,EOMONTH(EDATE(Bonds!$H187,6*(51-1)),0),EDATE(Bonds!$H187,6*(51-1))))</f>
        <v/>
      </c>
      <c r="BD187" s="3" t="str">
        <f>IF(52&gt;$C187,"",IF($D187=1,EOMONTH(EDATE(Bonds!$H187,6*(52-1)),0),EDATE(Bonds!$H187,6*(52-1))))</f>
        <v/>
      </c>
      <c r="BE187" s="3" t="str">
        <f>IF(53&gt;$C187,"",IF($D187=1,EOMONTH(EDATE(Bonds!$H187,6*(53-1)),0),EDATE(Bonds!$H187,6*(53-1))))</f>
        <v/>
      </c>
      <c r="BF187" s="3" t="str">
        <f>IF(54&gt;$C187,"",IF($D187=1,EOMONTH(EDATE(Bonds!$H187,6*(54-1)),0),EDATE(Bonds!$H187,6*(54-1))))</f>
        <v/>
      </c>
      <c r="BG187" s="3" t="str">
        <f>IF(55&gt;$C187,"",IF($D187=1,EOMONTH(EDATE(Bonds!$H187,6*(55-1)),0),EDATE(Bonds!$H187,6*(55-1))))</f>
        <v/>
      </c>
      <c r="BH187" s="3" t="str">
        <f>IF(56&gt;$C187,"",IF($D187=1,EOMONTH(EDATE(Bonds!$H187,6*(56-1)),0),EDATE(Bonds!$H187,6*(56-1))))</f>
        <v/>
      </c>
      <c r="BI187" s="3" t="str">
        <f>IF(57&gt;$C187,"",IF($D187=1,EOMONTH(EDATE(Bonds!$H187,6*(57-1)),0),EDATE(Bonds!$H187,6*(57-1))))</f>
        <v/>
      </c>
      <c r="BJ187" s="3" t="str">
        <f>IF(58&gt;$C187,"",IF($D187=1,EOMONTH(EDATE(Bonds!$H187,6*(58-1)),0),EDATE(Bonds!$H187,6*(58-1))))</f>
        <v/>
      </c>
      <c r="BK187" s="3" t="str">
        <f>IF(59&gt;$C187,"",IF($D187=1,EOMONTH(EDATE(Bonds!$H187,6*(59-1)),0),EDATE(Bonds!$H187,6*(59-1))))</f>
        <v/>
      </c>
      <c r="BL187" s="3" t="str">
        <f>IF(60&gt;$C187,"",IF($D187=1,EOMONTH(EDATE(Bonds!$H187,6*(60-1)),0),EDATE(Bonds!$H187,6*(60-1))))</f>
        <v/>
      </c>
      <c r="BN187" s="7">
        <f t="shared" si="123"/>
        <v>2.3073880376244564</v>
      </c>
      <c r="BO187" s="7">
        <f t="shared" si="124"/>
        <v>2.2618596165348452</v>
      </c>
      <c r="BP187" s="7">
        <f t="shared" si="125"/>
        <v>2.2129203230941732</v>
      </c>
      <c r="BQ187" s="7">
        <f t="shared" si="126"/>
        <v>2.1632480711390043</v>
      </c>
      <c r="BR187" s="7">
        <f t="shared" si="127"/>
        <v>2.1140952195428708</v>
      </c>
      <c r="BS187" s="7">
        <f t="shared" si="128"/>
        <v>2.0662597679722512</v>
      </c>
      <c r="BT187" s="7">
        <f t="shared" si="129"/>
        <v>2.0193509547562214</v>
      </c>
      <c r="BU187" s="7">
        <f t="shared" si="130"/>
        <v>1.9738090694918622</v>
      </c>
      <c r="BV187" s="7">
        <f t="shared" si="131"/>
        <v>85.343898812054292</v>
      </c>
      <c r="BW187" s="7">
        <f t="shared" si="132"/>
        <v>0</v>
      </c>
      <c r="BX187" s="7">
        <f t="shared" si="133"/>
        <v>0</v>
      </c>
      <c r="BY187" s="7">
        <f t="shared" si="134"/>
        <v>0</v>
      </c>
      <c r="BZ187" s="7">
        <f t="shared" si="135"/>
        <v>0</v>
      </c>
      <c r="CA187" s="7">
        <f t="shared" si="136"/>
        <v>0</v>
      </c>
      <c r="CB187" s="7">
        <f t="shared" si="137"/>
        <v>0</v>
      </c>
      <c r="CC187" s="7">
        <f t="shared" si="138"/>
        <v>0</v>
      </c>
      <c r="CD187" s="7">
        <f t="shared" si="139"/>
        <v>0</v>
      </c>
      <c r="CE187" s="7">
        <f t="shared" si="140"/>
        <v>0</v>
      </c>
      <c r="CF187" s="7">
        <f t="shared" si="141"/>
        <v>0</v>
      </c>
      <c r="CG187" s="7">
        <f t="shared" si="142"/>
        <v>0</v>
      </c>
      <c r="CH187" s="7">
        <f t="shared" si="143"/>
        <v>0</v>
      </c>
      <c r="CI187" s="7">
        <f t="shared" si="144"/>
        <v>0</v>
      </c>
      <c r="CJ187" s="7">
        <f t="shared" si="145"/>
        <v>0</v>
      </c>
      <c r="CK187" s="7">
        <f t="shared" si="146"/>
        <v>0</v>
      </c>
      <c r="CL187" s="7">
        <f t="shared" si="147"/>
        <v>0</v>
      </c>
      <c r="CM187" s="7">
        <f t="shared" si="148"/>
        <v>0</v>
      </c>
      <c r="CN187" s="7">
        <f t="shared" si="149"/>
        <v>0</v>
      </c>
      <c r="CO187" s="7">
        <f t="shared" si="150"/>
        <v>0</v>
      </c>
      <c r="CP187" s="7">
        <f t="shared" si="151"/>
        <v>0</v>
      </c>
      <c r="CQ187" s="7">
        <f t="shared" si="152"/>
        <v>0</v>
      </c>
      <c r="CR187" s="7">
        <f t="shared" si="153"/>
        <v>0</v>
      </c>
      <c r="CS187" s="7">
        <f t="shared" si="154"/>
        <v>0</v>
      </c>
      <c r="CT187" s="7">
        <f t="shared" si="155"/>
        <v>0</v>
      </c>
      <c r="CU187" s="7">
        <f t="shared" si="156"/>
        <v>0</v>
      </c>
      <c r="CV187" s="7">
        <f t="shared" si="157"/>
        <v>0</v>
      </c>
      <c r="CW187" s="7">
        <f t="shared" si="158"/>
        <v>0</v>
      </c>
      <c r="CX187" s="7">
        <f t="shared" si="159"/>
        <v>0</v>
      </c>
      <c r="CY187" s="7">
        <f t="shared" si="160"/>
        <v>0</v>
      </c>
      <c r="CZ187" s="7">
        <f t="shared" si="161"/>
        <v>0</v>
      </c>
      <c r="DA187" s="7">
        <f t="shared" si="162"/>
        <v>0</v>
      </c>
      <c r="DB187" s="7">
        <f t="shared" si="163"/>
        <v>0</v>
      </c>
      <c r="DC187" s="7">
        <f t="shared" si="164"/>
        <v>0</v>
      </c>
      <c r="DD187" s="7">
        <f t="shared" si="165"/>
        <v>0</v>
      </c>
      <c r="DE187" s="7">
        <f t="shared" si="166"/>
        <v>0</v>
      </c>
      <c r="DF187" s="7">
        <f t="shared" si="167"/>
        <v>0</v>
      </c>
      <c r="DG187" s="7">
        <f t="shared" si="168"/>
        <v>0</v>
      </c>
      <c r="DH187" s="7">
        <f t="shared" si="169"/>
        <v>0</v>
      </c>
      <c r="DI187" s="7">
        <f t="shared" si="170"/>
        <v>0</v>
      </c>
      <c r="DJ187" s="7">
        <f t="shared" si="171"/>
        <v>0</v>
      </c>
      <c r="DK187" s="7">
        <f t="shared" si="172"/>
        <v>0</v>
      </c>
      <c r="DL187" s="7">
        <f t="shared" si="173"/>
        <v>0</v>
      </c>
      <c r="DM187" s="7">
        <f t="shared" si="174"/>
        <v>0</v>
      </c>
      <c r="DN187" s="7">
        <f t="shared" si="175"/>
        <v>0</v>
      </c>
      <c r="DO187" s="7">
        <f t="shared" si="176"/>
        <v>0</v>
      </c>
      <c r="DP187" s="7">
        <f t="shared" si="177"/>
        <v>0</v>
      </c>
      <c r="DQ187" s="7">
        <f t="shared" si="178"/>
        <v>0</v>
      </c>
      <c r="DR187" s="7">
        <f t="shared" si="179"/>
        <v>0</v>
      </c>
      <c r="DS187" s="7">
        <f t="shared" si="180"/>
        <v>0</v>
      </c>
      <c r="DT187" s="7">
        <f t="shared" si="181"/>
        <v>0</v>
      </c>
      <c r="DU187" s="7">
        <f t="shared" si="182"/>
        <v>0</v>
      </c>
    </row>
    <row r="188" spans="1:125" x14ac:dyDescent="0.2">
      <c r="A188" s="3">
        <f>Bonds!A188</f>
        <v>47787</v>
      </c>
      <c r="B188" s="4">
        <f>Bonds!B188</f>
        <v>3.625</v>
      </c>
      <c r="C188">
        <f>Bonds!P188</f>
        <v>9</v>
      </c>
      <c r="D188">
        <f t="shared" si="122"/>
        <v>1</v>
      </c>
      <c r="E188" s="3">
        <f>IF(1&gt;$C188,"",IF($D188=1,EOMONTH(EDATE(Bonds!$H188,6*(1-1)),0),EDATE(Bonds!$H188,6*(1-1))))</f>
        <v>46326</v>
      </c>
      <c r="F188" s="3">
        <f>IF(2&gt;$C188,"",IF($D188=1,EOMONTH(EDATE(Bonds!$H188,6*(2-1)),0),EDATE(Bonds!$H188,6*(2-1))))</f>
        <v>46507</v>
      </c>
      <c r="G188" s="3">
        <f>IF(3&gt;$C188,"",IF($D188=1,EOMONTH(EDATE(Bonds!$H188,6*(3-1)),0),EDATE(Bonds!$H188,6*(3-1))))</f>
        <v>46691</v>
      </c>
      <c r="H188" s="3">
        <f>IF(4&gt;$C188,"",IF($D188=1,EOMONTH(EDATE(Bonds!$H188,6*(4-1)),0),EDATE(Bonds!$H188,6*(4-1))))</f>
        <v>46873</v>
      </c>
      <c r="I188" s="3">
        <f>IF(5&gt;$C188,"",IF($D188=1,EOMONTH(EDATE(Bonds!$H188,6*(5-1)),0),EDATE(Bonds!$H188,6*(5-1))))</f>
        <v>47057</v>
      </c>
      <c r="J188" s="3">
        <f>IF(6&gt;$C188,"",IF($D188=1,EOMONTH(EDATE(Bonds!$H188,6*(6-1)),0),EDATE(Bonds!$H188,6*(6-1))))</f>
        <v>47238</v>
      </c>
      <c r="K188" s="3">
        <f>IF(7&gt;$C188,"",IF($D188=1,EOMONTH(EDATE(Bonds!$H188,6*(7-1)),0),EDATE(Bonds!$H188,6*(7-1))))</f>
        <v>47422</v>
      </c>
      <c r="L188" s="3">
        <f>IF(8&gt;$C188,"",IF($D188=1,EOMONTH(EDATE(Bonds!$H188,6*(8-1)),0),EDATE(Bonds!$H188,6*(8-1))))</f>
        <v>47603</v>
      </c>
      <c r="M188" s="3">
        <f>IF(9&gt;$C188,"",IF($D188=1,EOMONTH(EDATE(Bonds!$H188,6*(9-1)),0),EDATE(Bonds!$H188,6*(9-1))))</f>
        <v>47787</v>
      </c>
      <c r="N188" s="3" t="str">
        <f>IF(10&gt;$C188,"",IF($D188=1,EOMONTH(EDATE(Bonds!$H188,6*(10-1)),0),EDATE(Bonds!$H188,6*(10-1))))</f>
        <v/>
      </c>
      <c r="O188" s="3" t="str">
        <f>IF(11&gt;$C188,"",IF($D188=1,EOMONTH(EDATE(Bonds!$H188,6*(11-1)),0),EDATE(Bonds!$H188,6*(11-1))))</f>
        <v/>
      </c>
      <c r="P188" s="3" t="str">
        <f>IF(12&gt;$C188,"",IF($D188=1,EOMONTH(EDATE(Bonds!$H188,6*(12-1)),0),EDATE(Bonds!$H188,6*(12-1))))</f>
        <v/>
      </c>
      <c r="Q188" s="3" t="str">
        <f>IF(13&gt;$C188,"",IF($D188=1,EOMONTH(EDATE(Bonds!$H188,6*(13-1)),0),EDATE(Bonds!$H188,6*(13-1))))</f>
        <v/>
      </c>
      <c r="R188" s="3" t="str">
        <f>IF(14&gt;$C188,"",IF($D188=1,EOMONTH(EDATE(Bonds!$H188,6*(14-1)),0),EDATE(Bonds!$H188,6*(14-1))))</f>
        <v/>
      </c>
      <c r="S188" s="3" t="str">
        <f>IF(15&gt;$C188,"",IF($D188=1,EOMONTH(EDATE(Bonds!$H188,6*(15-1)),0),EDATE(Bonds!$H188,6*(15-1))))</f>
        <v/>
      </c>
      <c r="T188" s="3" t="str">
        <f>IF(16&gt;$C188,"",IF($D188=1,EOMONTH(EDATE(Bonds!$H188,6*(16-1)),0),EDATE(Bonds!$H188,6*(16-1))))</f>
        <v/>
      </c>
      <c r="U188" s="3" t="str">
        <f>IF(17&gt;$C188,"",IF($D188=1,EOMONTH(EDATE(Bonds!$H188,6*(17-1)),0),EDATE(Bonds!$H188,6*(17-1))))</f>
        <v/>
      </c>
      <c r="V188" s="3" t="str">
        <f>IF(18&gt;$C188,"",IF($D188=1,EOMONTH(EDATE(Bonds!$H188,6*(18-1)),0),EDATE(Bonds!$H188,6*(18-1))))</f>
        <v/>
      </c>
      <c r="W188" s="3" t="str">
        <f>IF(19&gt;$C188,"",IF($D188=1,EOMONTH(EDATE(Bonds!$H188,6*(19-1)),0),EDATE(Bonds!$H188,6*(19-1))))</f>
        <v/>
      </c>
      <c r="X188" s="3" t="str">
        <f>IF(20&gt;$C188,"",IF($D188=1,EOMONTH(EDATE(Bonds!$H188,6*(20-1)),0),EDATE(Bonds!$H188,6*(20-1))))</f>
        <v/>
      </c>
      <c r="Y188" s="3" t="str">
        <f>IF(21&gt;$C188,"",IF($D188=1,EOMONTH(EDATE(Bonds!$H188,6*(21-1)),0),EDATE(Bonds!$H188,6*(21-1))))</f>
        <v/>
      </c>
      <c r="Z188" s="3" t="str">
        <f>IF(22&gt;$C188,"",IF($D188=1,EOMONTH(EDATE(Bonds!$H188,6*(22-1)),0),EDATE(Bonds!$H188,6*(22-1))))</f>
        <v/>
      </c>
      <c r="AA188" s="3" t="str">
        <f>IF(23&gt;$C188,"",IF($D188=1,EOMONTH(EDATE(Bonds!$H188,6*(23-1)),0),EDATE(Bonds!$H188,6*(23-1))))</f>
        <v/>
      </c>
      <c r="AB188" s="3" t="str">
        <f>IF(24&gt;$C188,"",IF($D188=1,EOMONTH(EDATE(Bonds!$H188,6*(24-1)),0),EDATE(Bonds!$H188,6*(24-1))))</f>
        <v/>
      </c>
      <c r="AC188" s="3" t="str">
        <f>IF(25&gt;$C188,"",IF($D188=1,EOMONTH(EDATE(Bonds!$H188,6*(25-1)),0),EDATE(Bonds!$H188,6*(25-1))))</f>
        <v/>
      </c>
      <c r="AD188" s="3" t="str">
        <f>IF(26&gt;$C188,"",IF($D188=1,EOMONTH(EDATE(Bonds!$H188,6*(26-1)),0),EDATE(Bonds!$H188,6*(26-1))))</f>
        <v/>
      </c>
      <c r="AE188" s="3" t="str">
        <f>IF(27&gt;$C188,"",IF($D188=1,EOMONTH(EDATE(Bonds!$H188,6*(27-1)),0),EDATE(Bonds!$H188,6*(27-1))))</f>
        <v/>
      </c>
      <c r="AF188" s="3" t="str">
        <f>IF(28&gt;$C188,"",IF($D188=1,EOMONTH(EDATE(Bonds!$H188,6*(28-1)),0),EDATE(Bonds!$H188,6*(28-1))))</f>
        <v/>
      </c>
      <c r="AG188" s="3" t="str">
        <f>IF(29&gt;$C188,"",IF($D188=1,EOMONTH(EDATE(Bonds!$H188,6*(29-1)),0),EDATE(Bonds!$H188,6*(29-1))))</f>
        <v/>
      </c>
      <c r="AH188" s="3" t="str">
        <f>IF(30&gt;$C188,"",IF($D188=1,EOMONTH(EDATE(Bonds!$H188,6*(30-1)),0),EDATE(Bonds!$H188,6*(30-1))))</f>
        <v/>
      </c>
      <c r="AI188" s="3" t="str">
        <f>IF(31&gt;$C188,"",IF($D188=1,EOMONTH(EDATE(Bonds!$H188,6*(31-1)),0),EDATE(Bonds!$H188,6*(31-1))))</f>
        <v/>
      </c>
      <c r="AJ188" s="3" t="str">
        <f>IF(32&gt;$C188,"",IF($D188=1,EOMONTH(EDATE(Bonds!$H188,6*(32-1)),0),EDATE(Bonds!$H188,6*(32-1))))</f>
        <v/>
      </c>
      <c r="AK188" s="3" t="str">
        <f>IF(33&gt;$C188,"",IF($D188=1,EOMONTH(EDATE(Bonds!$H188,6*(33-1)),0),EDATE(Bonds!$H188,6*(33-1))))</f>
        <v/>
      </c>
      <c r="AL188" s="3" t="str">
        <f>IF(34&gt;$C188,"",IF($D188=1,EOMONTH(EDATE(Bonds!$H188,6*(34-1)),0),EDATE(Bonds!$H188,6*(34-1))))</f>
        <v/>
      </c>
      <c r="AM188" s="3" t="str">
        <f>IF(35&gt;$C188,"",IF($D188=1,EOMONTH(EDATE(Bonds!$H188,6*(35-1)),0),EDATE(Bonds!$H188,6*(35-1))))</f>
        <v/>
      </c>
      <c r="AN188" s="3" t="str">
        <f>IF(36&gt;$C188,"",IF($D188=1,EOMONTH(EDATE(Bonds!$H188,6*(36-1)),0),EDATE(Bonds!$H188,6*(36-1))))</f>
        <v/>
      </c>
      <c r="AO188" s="3" t="str">
        <f>IF(37&gt;$C188,"",IF($D188=1,EOMONTH(EDATE(Bonds!$H188,6*(37-1)),0),EDATE(Bonds!$H188,6*(37-1))))</f>
        <v/>
      </c>
      <c r="AP188" s="3" t="str">
        <f>IF(38&gt;$C188,"",IF($D188=1,EOMONTH(EDATE(Bonds!$H188,6*(38-1)),0),EDATE(Bonds!$H188,6*(38-1))))</f>
        <v/>
      </c>
      <c r="AQ188" s="3" t="str">
        <f>IF(39&gt;$C188,"",IF($D188=1,EOMONTH(EDATE(Bonds!$H188,6*(39-1)),0),EDATE(Bonds!$H188,6*(39-1))))</f>
        <v/>
      </c>
      <c r="AR188" s="3" t="str">
        <f>IF(40&gt;$C188,"",IF($D188=1,EOMONTH(EDATE(Bonds!$H188,6*(40-1)),0),EDATE(Bonds!$H188,6*(40-1))))</f>
        <v/>
      </c>
      <c r="AS188" s="3" t="str">
        <f>IF(41&gt;$C188,"",IF($D188=1,EOMONTH(EDATE(Bonds!$H188,6*(41-1)),0),EDATE(Bonds!$H188,6*(41-1))))</f>
        <v/>
      </c>
      <c r="AT188" s="3" t="str">
        <f>IF(42&gt;$C188,"",IF($D188=1,EOMONTH(EDATE(Bonds!$H188,6*(42-1)),0),EDATE(Bonds!$H188,6*(42-1))))</f>
        <v/>
      </c>
      <c r="AU188" s="3" t="str">
        <f>IF(43&gt;$C188,"",IF($D188=1,EOMONTH(EDATE(Bonds!$H188,6*(43-1)),0),EDATE(Bonds!$H188,6*(43-1))))</f>
        <v/>
      </c>
      <c r="AV188" s="3" t="str">
        <f>IF(44&gt;$C188,"",IF($D188=1,EOMONTH(EDATE(Bonds!$H188,6*(44-1)),0),EDATE(Bonds!$H188,6*(44-1))))</f>
        <v/>
      </c>
      <c r="AW188" s="3" t="str">
        <f>IF(45&gt;$C188,"",IF($D188=1,EOMONTH(EDATE(Bonds!$H188,6*(45-1)),0),EDATE(Bonds!$H188,6*(45-1))))</f>
        <v/>
      </c>
      <c r="AX188" s="3" t="str">
        <f>IF(46&gt;$C188,"",IF($D188=1,EOMONTH(EDATE(Bonds!$H188,6*(46-1)),0),EDATE(Bonds!$H188,6*(46-1))))</f>
        <v/>
      </c>
      <c r="AY188" s="3" t="str">
        <f>IF(47&gt;$C188,"",IF($D188=1,EOMONTH(EDATE(Bonds!$H188,6*(47-1)),0),EDATE(Bonds!$H188,6*(47-1))))</f>
        <v/>
      </c>
      <c r="AZ188" s="3" t="str">
        <f>IF(48&gt;$C188,"",IF($D188=1,EOMONTH(EDATE(Bonds!$H188,6*(48-1)),0),EDATE(Bonds!$H188,6*(48-1))))</f>
        <v/>
      </c>
      <c r="BA188" s="3" t="str">
        <f>IF(49&gt;$C188,"",IF($D188=1,EOMONTH(EDATE(Bonds!$H188,6*(49-1)),0),EDATE(Bonds!$H188,6*(49-1))))</f>
        <v/>
      </c>
      <c r="BB188" s="3" t="str">
        <f>IF(50&gt;$C188,"",IF($D188=1,EOMONTH(EDATE(Bonds!$H188,6*(50-1)),0),EDATE(Bonds!$H188,6*(50-1))))</f>
        <v/>
      </c>
      <c r="BC188" s="3" t="str">
        <f>IF(51&gt;$C188,"",IF($D188=1,EOMONTH(EDATE(Bonds!$H188,6*(51-1)),0),EDATE(Bonds!$H188,6*(51-1))))</f>
        <v/>
      </c>
      <c r="BD188" s="3" t="str">
        <f>IF(52&gt;$C188,"",IF($D188=1,EOMONTH(EDATE(Bonds!$H188,6*(52-1)),0),EDATE(Bonds!$H188,6*(52-1))))</f>
        <v/>
      </c>
      <c r="BE188" s="3" t="str">
        <f>IF(53&gt;$C188,"",IF($D188=1,EOMONTH(EDATE(Bonds!$H188,6*(53-1)),0),EDATE(Bonds!$H188,6*(53-1))))</f>
        <v/>
      </c>
      <c r="BF188" s="3" t="str">
        <f>IF(54&gt;$C188,"",IF($D188=1,EOMONTH(EDATE(Bonds!$H188,6*(54-1)),0),EDATE(Bonds!$H188,6*(54-1))))</f>
        <v/>
      </c>
      <c r="BG188" s="3" t="str">
        <f>IF(55&gt;$C188,"",IF($D188=1,EOMONTH(EDATE(Bonds!$H188,6*(55-1)),0),EDATE(Bonds!$H188,6*(55-1))))</f>
        <v/>
      </c>
      <c r="BH188" s="3" t="str">
        <f>IF(56&gt;$C188,"",IF($D188=1,EOMONTH(EDATE(Bonds!$H188,6*(56-1)),0),EDATE(Bonds!$H188,6*(56-1))))</f>
        <v/>
      </c>
      <c r="BI188" s="3" t="str">
        <f>IF(57&gt;$C188,"",IF($D188=1,EOMONTH(EDATE(Bonds!$H188,6*(57-1)),0),EDATE(Bonds!$H188,6*(57-1))))</f>
        <v/>
      </c>
      <c r="BJ188" s="3" t="str">
        <f>IF(58&gt;$C188,"",IF($D188=1,EOMONTH(EDATE(Bonds!$H188,6*(58-1)),0),EDATE(Bonds!$H188,6*(58-1))))</f>
        <v/>
      </c>
      <c r="BK188" s="3" t="str">
        <f>IF(59&gt;$C188,"",IF($D188=1,EOMONTH(EDATE(Bonds!$H188,6*(59-1)),0),EDATE(Bonds!$H188,6*(59-1))))</f>
        <v/>
      </c>
      <c r="BL188" s="3" t="str">
        <f>IF(60&gt;$C188,"",IF($D188=1,EOMONTH(EDATE(Bonds!$H188,6*(60-1)),0),EDATE(Bonds!$H188,6*(60-1))))</f>
        <v/>
      </c>
      <c r="BN188" s="7">
        <f t="shared" si="123"/>
        <v>1.8027098716286241</v>
      </c>
      <c r="BO188" s="7">
        <f t="shared" si="124"/>
        <v>1.7666257099402214</v>
      </c>
      <c r="BP188" s="7">
        <f t="shared" si="125"/>
        <v>1.7278601922567158</v>
      </c>
      <c r="BQ188" s="7">
        <f t="shared" si="126"/>
        <v>1.6891587631983271</v>
      </c>
      <c r="BR188" s="7">
        <f t="shared" si="127"/>
        <v>1.6505436985016175</v>
      </c>
      <c r="BS188" s="7">
        <f t="shared" si="128"/>
        <v>1.613409699074587</v>
      </c>
      <c r="BT188" s="7">
        <f t="shared" si="129"/>
        <v>1.5765962645139877</v>
      </c>
      <c r="BU188" s="7">
        <f t="shared" si="130"/>
        <v>1.5412307530289331</v>
      </c>
      <c r="BV188" s="7">
        <f t="shared" si="131"/>
        <v>84.595987597456613</v>
      </c>
      <c r="BW188" s="7">
        <f t="shared" si="132"/>
        <v>0</v>
      </c>
      <c r="BX188" s="7">
        <f t="shared" si="133"/>
        <v>0</v>
      </c>
      <c r="BY188" s="7">
        <f t="shared" si="134"/>
        <v>0</v>
      </c>
      <c r="BZ188" s="7">
        <f t="shared" si="135"/>
        <v>0</v>
      </c>
      <c r="CA188" s="7">
        <f t="shared" si="136"/>
        <v>0</v>
      </c>
      <c r="CB188" s="7">
        <f t="shared" si="137"/>
        <v>0</v>
      </c>
      <c r="CC188" s="7">
        <f t="shared" si="138"/>
        <v>0</v>
      </c>
      <c r="CD188" s="7">
        <f t="shared" si="139"/>
        <v>0</v>
      </c>
      <c r="CE188" s="7">
        <f t="shared" si="140"/>
        <v>0</v>
      </c>
      <c r="CF188" s="7">
        <f t="shared" si="141"/>
        <v>0</v>
      </c>
      <c r="CG188" s="7">
        <f t="shared" si="142"/>
        <v>0</v>
      </c>
      <c r="CH188" s="7">
        <f t="shared" si="143"/>
        <v>0</v>
      </c>
      <c r="CI188" s="7">
        <f t="shared" si="144"/>
        <v>0</v>
      </c>
      <c r="CJ188" s="7">
        <f t="shared" si="145"/>
        <v>0</v>
      </c>
      <c r="CK188" s="7">
        <f t="shared" si="146"/>
        <v>0</v>
      </c>
      <c r="CL188" s="7">
        <f t="shared" si="147"/>
        <v>0</v>
      </c>
      <c r="CM188" s="7">
        <f t="shared" si="148"/>
        <v>0</v>
      </c>
      <c r="CN188" s="7">
        <f t="shared" si="149"/>
        <v>0</v>
      </c>
      <c r="CO188" s="7">
        <f t="shared" si="150"/>
        <v>0</v>
      </c>
      <c r="CP188" s="7">
        <f t="shared" si="151"/>
        <v>0</v>
      </c>
      <c r="CQ188" s="7">
        <f t="shared" si="152"/>
        <v>0</v>
      </c>
      <c r="CR188" s="7">
        <f t="shared" si="153"/>
        <v>0</v>
      </c>
      <c r="CS188" s="7">
        <f t="shared" si="154"/>
        <v>0</v>
      </c>
      <c r="CT188" s="7">
        <f t="shared" si="155"/>
        <v>0</v>
      </c>
      <c r="CU188" s="7">
        <f t="shared" si="156"/>
        <v>0</v>
      </c>
      <c r="CV188" s="7">
        <f t="shared" si="157"/>
        <v>0</v>
      </c>
      <c r="CW188" s="7">
        <f t="shared" si="158"/>
        <v>0</v>
      </c>
      <c r="CX188" s="7">
        <f t="shared" si="159"/>
        <v>0</v>
      </c>
      <c r="CY188" s="7">
        <f t="shared" si="160"/>
        <v>0</v>
      </c>
      <c r="CZ188" s="7">
        <f t="shared" si="161"/>
        <v>0</v>
      </c>
      <c r="DA188" s="7">
        <f t="shared" si="162"/>
        <v>0</v>
      </c>
      <c r="DB188" s="7">
        <f t="shared" si="163"/>
        <v>0</v>
      </c>
      <c r="DC188" s="7">
        <f t="shared" si="164"/>
        <v>0</v>
      </c>
      <c r="DD188" s="7">
        <f t="shared" si="165"/>
        <v>0</v>
      </c>
      <c r="DE188" s="7">
        <f t="shared" si="166"/>
        <v>0</v>
      </c>
      <c r="DF188" s="7">
        <f t="shared" si="167"/>
        <v>0</v>
      </c>
      <c r="DG188" s="7">
        <f t="shared" si="168"/>
        <v>0</v>
      </c>
      <c r="DH188" s="7">
        <f t="shared" si="169"/>
        <v>0</v>
      </c>
      <c r="DI188" s="7">
        <f t="shared" si="170"/>
        <v>0</v>
      </c>
      <c r="DJ188" s="7">
        <f t="shared" si="171"/>
        <v>0</v>
      </c>
      <c r="DK188" s="7">
        <f t="shared" si="172"/>
        <v>0</v>
      </c>
      <c r="DL188" s="7">
        <f t="shared" si="173"/>
        <v>0</v>
      </c>
      <c r="DM188" s="7">
        <f t="shared" si="174"/>
        <v>0</v>
      </c>
      <c r="DN188" s="7">
        <f t="shared" si="175"/>
        <v>0</v>
      </c>
      <c r="DO188" s="7">
        <f t="shared" si="176"/>
        <v>0</v>
      </c>
      <c r="DP188" s="7">
        <f t="shared" si="177"/>
        <v>0</v>
      </c>
      <c r="DQ188" s="7">
        <f t="shared" si="178"/>
        <v>0</v>
      </c>
      <c r="DR188" s="7">
        <f t="shared" si="179"/>
        <v>0</v>
      </c>
      <c r="DS188" s="7">
        <f t="shared" si="180"/>
        <v>0</v>
      </c>
      <c r="DT188" s="7">
        <f t="shared" si="181"/>
        <v>0</v>
      </c>
      <c r="DU188" s="7">
        <f t="shared" si="182"/>
        <v>0</v>
      </c>
    </row>
    <row r="189" spans="1:125" x14ac:dyDescent="0.2">
      <c r="A189" s="3">
        <f>Bonds!A189</f>
        <v>47787</v>
      </c>
      <c r="B189" s="4">
        <f>Bonds!B189</f>
        <v>4.875</v>
      </c>
      <c r="C189">
        <f>Bonds!P189</f>
        <v>9</v>
      </c>
      <c r="D189">
        <f t="shared" si="122"/>
        <v>1</v>
      </c>
      <c r="E189" s="3">
        <f>IF(1&gt;$C189,"",IF($D189=1,EOMONTH(EDATE(Bonds!$H189,6*(1-1)),0),EDATE(Bonds!$H189,6*(1-1))))</f>
        <v>46326</v>
      </c>
      <c r="F189" s="3">
        <f>IF(2&gt;$C189,"",IF($D189=1,EOMONTH(EDATE(Bonds!$H189,6*(2-1)),0),EDATE(Bonds!$H189,6*(2-1))))</f>
        <v>46507</v>
      </c>
      <c r="G189" s="3">
        <f>IF(3&gt;$C189,"",IF($D189=1,EOMONTH(EDATE(Bonds!$H189,6*(3-1)),0),EDATE(Bonds!$H189,6*(3-1))))</f>
        <v>46691</v>
      </c>
      <c r="H189" s="3">
        <f>IF(4&gt;$C189,"",IF($D189=1,EOMONTH(EDATE(Bonds!$H189,6*(4-1)),0),EDATE(Bonds!$H189,6*(4-1))))</f>
        <v>46873</v>
      </c>
      <c r="I189" s="3">
        <f>IF(5&gt;$C189,"",IF($D189=1,EOMONTH(EDATE(Bonds!$H189,6*(5-1)),0),EDATE(Bonds!$H189,6*(5-1))))</f>
        <v>47057</v>
      </c>
      <c r="J189" s="3">
        <f>IF(6&gt;$C189,"",IF($D189=1,EOMONTH(EDATE(Bonds!$H189,6*(6-1)),0),EDATE(Bonds!$H189,6*(6-1))))</f>
        <v>47238</v>
      </c>
      <c r="K189" s="3">
        <f>IF(7&gt;$C189,"",IF($D189=1,EOMONTH(EDATE(Bonds!$H189,6*(7-1)),0),EDATE(Bonds!$H189,6*(7-1))))</f>
        <v>47422</v>
      </c>
      <c r="L189" s="3">
        <f>IF(8&gt;$C189,"",IF($D189=1,EOMONTH(EDATE(Bonds!$H189,6*(8-1)),0),EDATE(Bonds!$H189,6*(8-1))))</f>
        <v>47603</v>
      </c>
      <c r="M189" s="3">
        <f>IF(9&gt;$C189,"",IF($D189=1,EOMONTH(EDATE(Bonds!$H189,6*(9-1)),0),EDATE(Bonds!$H189,6*(9-1))))</f>
        <v>47787</v>
      </c>
      <c r="N189" s="3" t="str">
        <f>IF(10&gt;$C189,"",IF($D189=1,EOMONTH(EDATE(Bonds!$H189,6*(10-1)),0),EDATE(Bonds!$H189,6*(10-1))))</f>
        <v/>
      </c>
      <c r="O189" s="3" t="str">
        <f>IF(11&gt;$C189,"",IF($D189=1,EOMONTH(EDATE(Bonds!$H189,6*(11-1)),0),EDATE(Bonds!$H189,6*(11-1))))</f>
        <v/>
      </c>
      <c r="P189" s="3" t="str">
        <f>IF(12&gt;$C189,"",IF($D189=1,EOMONTH(EDATE(Bonds!$H189,6*(12-1)),0),EDATE(Bonds!$H189,6*(12-1))))</f>
        <v/>
      </c>
      <c r="Q189" s="3" t="str">
        <f>IF(13&gt;$C189,"",IF($D189=1,EOMONTH(EDATE(Bonds!$H189,6*(13-1)),0),EDATE(Bonds!$H189,6*(13-1))))</f>
        <v/>
      </c>
      <c r="R189" s="3" t="str">
        <f>IF(14&gt;$C189,"",IF($D189=1,EOMONTH(EDATE(Bonds!$H189,6*(14-1)),0),EDATE(Bonds!$H189,6*(14-1))))</f>
        <v/>
      </c>
      <c r="S189" s="3" t="str">
        <f>IF(15&gt;$C189,"",IF($D189=1,EOMONTH(EDATE(Bonds!$H189,6*(15-1)),0),EDATE(Bonds!$H189,6*(15-1))))</f>
        <v/>
      </c>
      <c r="T189" s="3" t="str">
        <f>IF(16&gt;$C189,"",IF($D189=1,EOMONTH(EDATE(Bonds!$H189,6*(16-1)),0),EDATE(Bonds!$H189,6*(16-1))))</f>
        <v/>
      </c>
      <c r="U189" s="3" t="str">
        <f>IF(17&gt;$C189,"",IF($D189=1,EOMONTH(EDATE(Bonds!$H189,6*(17-1)),0),EDATE(Bonds!$H189,6*(17-1))))</f>
        <v/>
      </c>
      <c r="V189" s="3" t="str">
        <f>IF(18&gt;$C189,"",IF($D189=1,EOMONTH(EDATE(Bonds!$H189,6*(18-1)),0),EDATE(Bonds!$H189,6*(18-1))))</f>
        <v/>
      </c>
      <c r="W189" s="3" t="str">
        <f>IF(19&gt;$C189,"",IF($D189=1,EOMONTH(EDATE(Bonds!$H189,6*(19-1)),0),EDATE(Bonds!$H189,6*(19-1))))</f>
        <v/>
      </c>
      <c r="X189" s="3" t="str">
        <f>IF(20&gt;$C189,"",IF($D189=1,EOMONTH(EDATE(Bonds!$H189,6*(20-1)),0),EDATE(Bonds!$H189,6*(20-1))))</f>
        <v/>
      </c>
      <c r="Y189" s="3" t="str">
        <f>IF(21&gt;$C189,"",IF($D189=1,EOMONTH(EDATE(Bonds!$H189,6*(21-1)),0),EDATE(Bonds!$H189,6*(21-1))))</f>
        <v/>
      </c>
      <c r="Z189" s="3" t="str">
        <f>IF(22&gt;$C189,"",IF($D189=1,EOMONTH(EDATE(Bonds!$H189,6*(22-1)),0),EDATE(Bonds!$H189,6*(22-1))))</f>
        <v/>
      </c>
      <c r="AA189" s="3" t="str">
        <f>IF(23&gt;$C189,"",IF($D189=1,EOMONTH(EDATE(Bonds!$H189,6*(23-1)),0),EDATE(Bonds!$H189,6*(23-1))))</f>
        <v/>
      </c>
      <c r="AB189" s="3" t="str">
        <f>IF(24&gt;$C189,"",IF($D189=1,EOMONTH(EDATE(Bonds!$H189,6*(24-1)),0),EDATE(Bonds!$H189,6*(24-1))))</f>
        <v/>
      </c>
      <c r="AC189" s="3" t="str">
        <f>IF(25&gt;$C189,"",IF($D189=1,EOMONTH(EDATE(Bonds!$H189,6*(25-1)),0),EDATE(Bonds!$H189,6*(25-1))))</f>
        <v/>
      </c>
      <c r="AD189" s="3" t="str">
        <f>IF(26&gt;$C189,"",IF($D189=1,EOMONTH(EDATE(Bonds!$H189,6*(26-1)),0),EDATE(Bonds!$H189,6*(26-1))))</f>
        <v/>
      </c>
      <c r="AE189" s="3" t="str">
        <f>IF(27&gt;$C189,"",IF($D189=1,EOMONTH(EDATE(Bonds!$H189,6*(27-1)),0),EDATE(Bonds!$H189,6*(27-1))))</f>
        <v/>
      </c>
      <c r="AF189" s="3" t="str">
        <f>IF(28&gt;$C189,"",IF($D189=1,EOMONTH(EDATE(Bonds!$H189,6*(28-1)),0),EDATE(Bonds!$H189,6*(28-1))))</f>
        <v/>
      </c>
      <c r="AG189" s="3" t="str">
        <f>IF(29&gt;$C189,"",IF($D189=1,EOMONTH(EDATE(Bonds!$H189,6*(29-1)),0),EDATE(Bonds!$H189,6*(29-1))))</f>
        <v/>
      </c>
      <c r="AH189" s="3" t="str">
        <f>IF(30&gt;$C189,"",IF($D189=1,EOMONTH(EDATE(Bonds!$H189,6*(30-1)),0),EDATE(Bonds!$H189,6*(30-1))))</f>
        <v/>
      </c>
      <c r="AI189" s="3" t="str">
        <f>IF(31&gt;$C189,"",IF($D189=1,EOMONTH(EDATE(Bonds!$H189,6*(31-1)),0),EDATE(Bonds!$H189,6*(31-1))))</f>
        <v/>
      </c>
      <c r="AJ189" s="3" t="str">
        <f>IF(32&gt;$C189,"",IF($D189=1,EOMONTH(EDATE(Bonds!$H189,6*(32-1)),0),EDATE(Bonds!$H189,6*(32-1))))</f>
        <v/>
      </c>
      <c r="AK189" s="3" t="str">
        <f>IF(33&gt;$C189,"",IF($D189=1,EOMONTH(EDATE(Bonds!$H189,6*(33-1)),0),EDATE(Bonds!$H189,6*(33-1))))</f>
        <v/>
      </c>
      <c r="AL189" s="3" t="str">
        <f>IF(34&gt;$C189,"",IF($D189=1,EOMONTH(EDATE(Bonds!$H189,6*(34-1)),0),EDATE(Bonds!$H189,6*(34-1))))</f>
        <v/>
      </c>
      <c r="AM189" s="3" t="str">
        <f>IF(35&gt;$C189,"",IF($D189=1,EOMONTH(EDATE(Bonds!$H189,6*(35-1)),0),EDATE(Bonds!$H189,6*(35-1))))</f>
        <v/>
      </c>
      <c r="AN189" s="3" t="str">
        <f>IF(36&gt;$C189,"",IF($D189=1,EOMONTH(EDATE(Bonds!$H189,6*(36-1)),0),EDATE(Bonds!$H189,6*(36-1))))</f>
        <v/>
      </c>
      <c r="AO189" s="3" t="str">
        <f>IF(37&gt;$C189,"",IF($D189=1,EOMONTH(EDATE(Bonds!$H189,6*(37-1)),0),EDATE(Bonds!$H189,6*(37-1))))</f>
        <v/>
      </c>
      <c r="AP189" s="3" t="str">
        <f>IF(38&gt;$C189,"",IF($D189=1,EOMONTH(EDATE(Bonds!$H189,6*(38-1)),0),EDATE(Bonds!$H189,6*(38-1))))</f>
        <v/>
      </c>
      <c r="AQ189" s="3" t="str">
        <f>IF(39&gt;$C189,"",IF($D189=1,EOMONTH(EDATE(Bonds!$H189,6*(39-1)),0),EDATE(Bonds!$H189,6*(39-1))))</f>
        <v/>
      </c>
      <c r="AR189" s="3" t="str">
        <f>IF(40&gt;$C189,"",IF($D189=1,EOMONTH(EDATE(Bonds!$H189,6*(40-1)),0),EDATE(Bonds!$H189,6*(40-1))))</f>
        <v/>
      </c>
      <c r="AS189" s="3" t="str">
        <f>IF(41&gt;$C189,"",IF($D189=1,EOMONTH(EDATE(Bonds!$H189,6*(41-1)),0),EDATE(Bonds!$H189,6*(41-1))))</f>
        <v/>
      </c>
      <c r="AT189" s="3" t="str">
        <f>IF(42&gt;$C189,"",IF($D189=1,EOMONTH(EDATE(Bonds!$H189,6*(42-1)),0),EDATE(Bonds!$H189,6*(42-1))))</f>
        <v/>
      </c>
      <c r="AU189" s="3" t="str">
        <f>IF(43&gt;$C189,"",IF($D189=1,EOMONTH(EDATE(Bonds!$H189,6*(43-1)),0),EDATE(Bonds!$H189,6*(43-1))))</f>
        <v/>
      </c>
      <c r="AV189" s="3" t="str">
        <f>IF(44&gt;$C189,"",IF($D189=1,EOMONTH(EDATE(Bonds!$H189,6*(44-1)),0),EDATE(Bonds!$H189,6*(44-1))))</f>
        <v/>
      </c>
      <c r="AW189" s="3" t="str">
        <f>IF(45&gt;$C189,"",IF($D189=1,EOMONTH(EDATE(Bonds!$H189,6*(45-1)),0),EDATE(Bonds!$H189,6*(45-1))))</f>
        <v/>
      </c>
      <c r="AX189" s="3" t="str">
        <f>IF(46&gt;$C189,"",IF($D189=1,EOMONTH(EDATE(Bonds!$H189,6*(46-1)),0),EDATE(Bonds!$H189,6*(46-1))))</f>
        <v/>
      </c>
      <c r="AY189" s="3" t="str">
        <f>IF(47&gt;$C189,"",IF($D189=1,EOMONTH(EDATE(Bonds!$H189,6*(47-1)),0),EDATE(Bonds!$H189,6*(47-1))))</f>
        <v/>
      </c>
      <c r="AZ189" s="3" t="str">
        <f>IF(48&gt;$C189,"",IF($D189=1,EOMONTH(EDATE(Bonds!$H189,6*(48-1)),0),EDATE(Bonds!$H189,6*(48-1))))</f>
        <v/>
      </c>
      <c r="BA189" s="3" t="str">
        <f>IF(49&gt;$C189,"",IF($D189=1,EOMONTH(EDATE(Bonds!$H189,6*(49-1)),0),EDATE(Bonds!$H189,6*(49-1))))</f>
        <v/>
      </c>
      <c r="BB189" s="3" t="str">
        <f>IF(50&gt;$C189,"",IF($D189=1,EOMONTH(EDATE(Bonds!$H189,6*(50-1)),0),EDATE(Bonds!$H189,6*(50-1))))</f>
        <v/>
      </c>
      <c r="BC189" s="3" t="str">
        <f>IF(51&gt;$C189,"",IF($D189=1,EOMONTH(EDATE(Bonds!$H189,6*(51-1)),0),EDATE(Bonds!$H189,6*(51-1))))</f>
        <v/>
      </c>
      <c r="BD189" s="3" t="str">
        <f>IF(52&gt;$C189,"",IF($D189=1,EOMONTH(EDATE(Bonds!$H189,6*(52-1)),0),EDATE(Bonds!$H189,6*(52-1))))</f>
        <v/>
      </c>
      <c r="BE189" s="3" t="str">
        <f>IF(53&gt;$C189,"",IF($D189=1,EOMONTH(EDATE(Bonds!$H189,6*(53-1)),0),EDATE(Bonds!$H189,6*(53-1))))</f>
        <v/>
      </c>
      <c r="BF189" s="3" t="str">
        <f>IF(54&gt;$C189,"",IF($D189=1,EOMONTH(EDATE(Bonds!$H189,6*(54-1)),0),EDATE(Bonds!$H189,6*(54-1))))</f>
        <v/>
      </c>
      <c r="BG189" s="3" t="str">
        <f>IF(55&gt;$C189,"",IF($D189=1,EOMONTH(EDATE(Bonds!$H189,6*(55-1)),0),EDATE(Bonds!$H189,6*(55-1))))</f>
        <v/>
      </c>
      <c r="BH189" s="3" t="str">
        <f>IF(56&gt;$C189,"",IF($D189=1,EOMONTH(EDATE(Bonds!$H189,6*(56-1)),0),EDATE(Bonds!$H189,6*(56-1))))</f>
        <v/>
      </c>
      <c r="BI189" s="3" t="str">
        <f>IF(57&gt;$C189,"",IF($D189=1,EOMONTH(EDATE(Bonds!$H189,6*(57-1)),0),EDATE(Bonds!$H189,6*(57-1))))</f>
        <v/>
      </c>
      <c r="BJ189" s="3" t="str">
        <f>IF(58&gt;$C189,"",IF($D189=1,EOMONTH(EDATE(Bonds!$H189,6*(58-1)),0),EDATE(Bonds!$H189,6*(58-1))))</f>
        <v/>
      </c>
      <c r="BK189" s="3" t="str">
        <f>IF(59&gt;$C189,"",IF($D189=1,EOMONTH(EDATE(Bonds!$H189,6*(59-1)),0),EDATE(Bonds!$H189,6*(59-1))))</f>
        <v/>
      </c>
      <c r="BL189" s="3" t="str">
        <f>IF(60&gt;$C189,"",IF($D189=1,EOMONTH(EDATE(Bonds!$H189,6*(60-1)),0),EDATE(Bonds!$H189,6*(60-1))))</f>
        <v/>
      </c>
      <c r="BN189" s="7">
        <f t="shared" si="123"/>
        <v>2.4243339652936671</v>
      </c>
      <c r="BO189" s="7">
        <f t="shared" si="124"/>
        <v>2.3758069892299529</v>
      </c>
      <c r="BP189" s="7">
        <f t="shared" si="125"/>
        <v>2.3236740516555834</v>
      </c>
      <c r="BQ189" s="7">
        <f t="shared" si="126"/>
        <v>2.2716273022322331</v>
      </c>
      <c r="BR189" s="7">
        <f t="shared" si="127"/>
        <v>2.2196966979849337</v>
      </c>
      <c r="BS189" s="7">
        <f t="shared" si="128"/>
        <v>2.169757871169272</v>
      </c>
      <c r="BT189" s="7">
        <f t="shared" si="129"/>
        <v>2.1202501488291556</v>
      </c>
      <c r="BU189" s="7">
        <f t="shared" si="130"/>
        <v>2.0726896333837379</v>
      </c>
      <c r="BV189" s="7">
        <f t="shared" si="131"/>
        <v>85.115299982953587</v>
      </c>
      <c r="BW189" s="7">
        <f t="shared" si="132"/>
        <v>0</v>
      </c>
      <c r="BX189" s="7">
        <f t="shared" si="133"/>
        <v>0</v>
      </c>
      <c r="BY189" s="7">
        <f t="shared" si="134"/>
        <v>0</v>
      </c>
      <c r="BZ189" s="7">
        <f t="shared" si="135"/>
        <v>0</v>
      </c>
      <c r="CA189" s="7">
        <f t="shared" si="136"/>
        <v>0</v>
      </c>
      <c r="CB189" s="7">
        <f t="shared" si="137"/>
        <v>0</v>
      </c>
      <c r="CC189" s="7">
        <f t="shared" si="138"/>
        <v>0</v>
      </c>
      <c r="CD189" s="7">
        <f t="shared" si="139"/>
        <v>0</v>
      </c>
      <c r="CE189" s="7">
        <f t="shared" si="140"/>
        <v>0</v>
      </c>
      <c r="CF189" s="7">
        <f t="shared" si="141"/>
        <v>0</v>
      </c>
      <c r="CG189" s="7">
        <f t="shared" si="142"/>
        <v>0</v>
      </c>
      <c r="CH189" s="7">
        <f t="shared" si="143"/>
        <v>0</v>
      </c>
      <c r="CI189" s="7">
        <f t="shared" si="144"/>
        <v>0</v>
      </c>
      <c r="CJ189" s="7">
        <f t="shared" si="145"/>
        <v>0</v>
      </c>
      <c r="CK189" s="7">
        <f t="shared" si="146"/>
        <v>0</v>
      </c>
      <c r="CL189" s="7">
        <f t="shared" si="147"/>
        <v>0</v>
      </c>
      <c r="CM189" s="7">
        <f t="shared" si="148"/>
        <v>0</v>
      </c>
      <c r="CN189" s="7">
        <f t="shared" si="149"/>
        <v>0</v>
      </c>
      <c r="CO189" s="7">
        <f t="shared" si="150"/>
        <v>0</v>
      </c>
      <c r="CP189" s="7">
        <f t="shared" si="151"/>
        <v>0</v>
      </c>
      <c r="CQ189" s="7">
        <f t="shared" si="152"/>
        <v>0</v>
      </c>
      <c r="CR189" s="7">
        <f t="shared" si="153"/>
        <v>0</v>
      </c>
      <c r="CS189" s="7">
        <f t="shared" si="154"/>
        <v>0</v>
      </c>
      <c r="CT189" s="7">
        <f t="shared" si="155"/>
        <v>0</v>
      </c>
      <c r="CU189" s="7">
        <f t="shared" si="156"/>
        <v>0</v>
      </c>
      <c r="CV189" s="7">
        <f t="shared" si="157"/>
        <v>0</v>
      </c>
      <c r="CW189" s="7">
        <f t="shared" si="158"/>
        <v>0</v>
      </c>
      <c r="CX189" s="7">
        <f t="shared" si="159"/>
        <v>0</v>
      </c>
      <c r="CY189" s="7">
        <f t="shared" si="160"/>
        <v>0</v>
      </c>
      <c r="CZ189" s="7">
        <f t="shared" si="161"/>
        <v>0</v>
      </c>
      <c r="DA189" s="7">
        <f t="shared" si="162"/>
        <v>0</v>
      </c>
      <c r="DB189" s="7">
        <f t="shared" si="163"/>
        <v>0</v>
      </c>
      <c r="DC189" s="7">
        <f t="shared" si="164"/>
        <v>0</v>
      </c>
      <c r="DD189" s="7">
        <f t="shared" si="165"/>
        <v>0</v>
      </c>
      <c r="DE189" s="7">
        <f t="shared" si="166"/>
        <v>0</v>
      </c>
      <c r="DF189" s="7">
        <f t="shared" si="167"/>
        <v>0</v>
      </c>
      <c r="DG189" s="7">
        <f t="shared" si="168"/>
        <v>0</v>
      </c>
      <c r="DH189" s="7">
        <f t="shared" si="169"/>
        <v>0</v>
      </c>
      <c r="DI189" s="7">
        <f t="shared" si="170"/>
        <v>0</v>
      </c>
      <c r="DJ189" s="7">
        <f t="shared" si="171"/>
        <v>0</v>
      </c>
      <c r="DK189" s="7">
        <f t="shared" si="172"/>
        <v>0</v>
      </c>
      <c r="DL189" s="7">
        <f t="shared" si="173"/>
        <v>0</v>
      </c>
      <c r="DM189" s="7">
        <f t="shared" si="174"/>
        <v>0</v>
      </c>
      <c r="DN189" s="7">
        <f t="shared" si="175"/>
        <v>0</v>
      </c>
      <c r="DO189" s="7">
        <f t="shared" si="176"/>
        <v>0</v>
      </c>
      <c r="DP189" s="7">
        <f t="shared" si="177"/>
        <v>0</v>
      </c>
      <c r="DQ189" s="7">
        <f t="shared" si="178"/>
        <v>0</v>
      </c>
      <c r="DR189" s="7">
        <f t="shared" si="179"/>
        <v>0</v>
      </c>
      <c r="DS189" s="7">
        <f t="shared" si="180"/>
        <v>0</v>
      </c>
      <c r="DT189" s="7">
        <f t="shared" si="181"/>
        <v>0</v>
      </c>
      <c r="DU189" s="7">
        <f t="shared" si="182"/>
        <v>0</v>
      </c>
    </row>
    <row r="190" spans="1:125" x14ac:dyDescent="0.2">
      <c r="A190" s="3">
        <f>Bonds!A190</f>
        <v>47802</v>
      </c>
      <c r="B190" s="4">
        <f>Bonds!B190</f>
        <v>0.875</v>
      </c>
      <c r="C190">
        <f>Bonds!P190</f>
        <v>9</v>
      </c>
      <c r="D190">
        <f t="shared" si="122"/>
        <v>0</v>
      </c>
      <c r="E190" s="3">
        <f>IF(1&gt;$C190,"",IF($D190=1,EOMONTH(EDATE(Bonds!$H190,6*(1-1)),0),EDATE(Bonds!$H190,6*(1-1))))</f>
        <v>46341</v>
      </c>
      <c r="F190" s="3">
        <f>IF(2&gt;$C190,"",IF($D190=1,EOMONTH(EDATE(Bonds!$H190,6*(2-1)),0),EDATE(Bonds!$H190,6*(2-1))))</f>
        <v>46522</v>
      </c>
      <c r="G190" s="3">
        <f>IF(3&gt;$C190,"",IF($D190=1,EOMONTH(EDATE(Bonds!$H190,6*(3-1)),0),EDATE(Bonds!$H190,6*(3-1))))</f>
        <v>46706</v>
      </c>
      <c r="H190" s="3">
        <f>IF(4&gt;$C190,"",IF($D190=1,EOMONTH(EDATE(Bonds!$H190,6*(4-1)),0),EDATE(Bonds!$H190,6*(4-1))))</f>
        <v>46888</v>
      </c>
      <c r="I190" s="3">
        <f>IF(5&gt;$C190,"",IF($D190=1,EOMONTH(EDATE(Bonds!$H190,6*(5-1)),0),EDATE(Bonds!$H190,6*(5-1))))</f>
        <v>47072</v>
      </c>
      <c r="J190" s="3">
        <f>IF(6&gt;$C190,"",IF($D190=1,EOMONTH(EDATE(Bonds!$H190,6*(6-1)),0),EDATE(Bonds!$H190,6*(6-1))))</f>
        <v>47253</v>
      </c>
      <c r="K190" s="3">
        <f>IF(7&gt;$C190,"",IF($D190=1,EOMONTH(EDATE(Bonds!$H190,6*(7-1)),0),EDATE(Bonds!$H190,6*(7-1))))</f>
        <v>47437</v>
      </c>
      <c r="L190" s="3">
        <f>IF(8&gt;$C190,"",IF($D190=1,EOMONTH(EDATE(Bonds!$H190,6*(8-1)),0),EDATE(Bonds!$H190,6*(8-1))))</f>
        <v>47618</v>
      </c>
      <c r="M190" s="3">
        <f>IF(9&gt;$C190,"",IF($D190=1,EOMONTH(EDATE(Bonds!$H190,6*(9-1)),0),EDATE(Bonds!$H190,6*(9-1))))</f>
        <v>47802</v>
      </c>
      <c r="N190" s="3" t="str">
        <f>IF(10&gt;$C190,"",IF($D190=1,EOMONTH(EDATE(Bonds!$H190,6*(10-1)),0),EDATE(Bonds!$H190,6*(10-1))))</f>
        <v/>
      </c>
      <c r="O190" s="3" t="str">
        <f>IF(11&gt;$C190,"",IF($D190=1,EOMONTH(EDATE(Bonds!$H190,6*(11-1)),0),EDATE(Bonds!$H190,6*(11-1))))</f>
        <v/>
      </c>
      <c r="P190" s="3" t="str">
        <f>IF(12&gt;$C190,"",IF($D190=1,EOMONTH(EDATE(Bonds!$H190,6*(12-1)),0),EDATE(Bonds!$H190,6*(12-1))))</f>
        <v/>
      </c>
      <c r="Q190" s="3" t="str">
        <f>IF(13&gt;$C190,"",IF($D190=1,EOMONTH(EDATE(Bonds!$H190,6*(13-1)),0),EDATE(Bonds!$H190,6*(13-1))))</f>
        <v/>
      </c>
      <c r="R190" s="3" t="str">
        <f>IF(14&gt;$C190,"",IF($D190=1,EOMONTH(EDATE(Bonds!$H190,6*(14-1)),0),EDATE(Bonds!$H190,6*(14-1))))</f>
        <v/>
      </c>
      <c r="S190" s="3" t="str">
        <f>IF(15&gt;$C190,"",IF($D190=1,EOMONTH(EDATE(Bonds!$H190,6*(15-1)),0),EDATE(Bonds!$H190,6*(15-1))))</f>
        <v/>
      </c>
      <c r="T190" s="3" t="str">
        <f>IF(16&gt;$C190,"",IF($D190=1,EOMONTH(EDATE(Bonds!$H190,6*(16-1)),0),EDATE(Bonds!$H190,6*(16-1))))</f>
        <v/>
      </c>
      <c r="U190" s="3" t="str">
        <f>IF(17&gt;$C190,"",IF($D190=1,EOMONTH(EDATE(Bonds!$H190,6*(17-1)),0),EDATE(Bonds!$H190,6*(17-1))))</f>
        <v/>
      </c>
      <c r="V190" s="3" t="str">
        <f>IF(18&gt;$C190,"",IF($D190=1,EOMONTH(EDATE(Bonds!$H190,6*(18-1)),0),EDATE(Bonds!$H190,6*(18-1))))</f>
        <v/>
      </c>
      <c r="W190" s="3" t="str">
        <f>IF(19&gt;$C190,"",IF($D190=1,EOMONTH(EDATE(Bonds!$H190,6*(19-1)),0),EDATE(Bonds!$H190,6*(19-1))))</f>
        <v/>
      </c>
      <c r="X190" s="3" t="str">
        <f>IF(20&gt;$C190,"",IF($D190=1,EOMONTH(EDATE(Bonds!$H190,6*(20-1)),0),EDATE(Bonds!$H190,6*(20-1))))</f>
        <v/>
      </c>
      <c r="Y190" s="3" t="str">
        <f>IF(21&gt;$C190,"",IF($D190=1,EOMONTH(EDATE(Bonds!$H190,6*(21-1)),0),EDATE(Bonds!$H190,6*(21-1))))</f>
        <v/>
      </c>
      <c r="Z190" s="3" t="str">
        <f>IF(22&gt;$C190,"",IF($D190=1,EOMONTH(EDATE(Bonds!$H190,6*(22-1)),0),EDATE(Bonds!$H190,6*(22-1))))</f>
        <v/>
      </c>
      <c r="AA190" s="3" t="str">
        <f>IF(23&gt;$C190,"",IF($D190=1,EOMONTH(EDATE(Bonds!$H190,6*(23-1)),0),EDATE(Bonds!$H190,6*(23-1))))</f>
        <v/>
      </c>
      <c r="AB190" s="3" t="str">
        <f>IF(24&gt;$C190,"",IF($D190=1,EOMONTH(EDATE(Bonds!$H190,6*(24-1)),0),EDATE(Bonds!$H190,6*(24-1))))</f>
        <v/>
      </c>
      <c r="AC190" s="3" t="str">
        <f>IF(25&gt;$C190,"",IF($D190=1,EOMONTH(EDATE(Bonds!$H190,6*(25-1)),0),EDATE(Bonds!$H190,6*(25-1))))</f>
        <v/>
      </c>
      <c r="AD190" s="3" t="str">
        <f>IF(26&gt;$C190,"",IF($D190=1,EOMONTH(EDATE(Bonds!$H190,6*(26-1)),0),EDATE(Bonds!$H190,6*(26-1))))</f>
        <v/>
      </c>
      <c r="AE190" s="3" t="str">
        <f>IF(27&gt;$C190,"",IF($D190=1,EOMONTH(EDATE(Bonds!$H190,6*(27-1)),0),EDATE(Bonds!$H190,6*(27-1))))</f>
        <v/>
      </c>
      <c r="AF190" s="3" t="str">
        <f>IF(28&gt;$C190,"",IF($D190=1,EOMONTH(EDATE(Bonds!$H190,6*(28-1)),0),EDATE(Bonds!$H190,6*(28-1))))</f>
        <v/>
      </c>
      <c r="AG190" s="3" t="str">
        <f>IF(29&gt;$C190,"",IF($D190=1,EOMONTH(EDATE(Bonds!$H190,6*(29-1)),0),EDATE(Bonds!$H190,6*(29-1))))</f>
        <v/>
      </c>
      <c r="AH190" s="3" t="str">
        <f>IF(30&gt;$C190,"",IF($D190=1,EOMONTH(EDATE(Bonds!$H190,6*(30-1)),0),EDATE(Bonds!$H190,6*(30-1))))</f>
        <v/>
      </c>
      <c r="AI190" s="3" t="str">
        <f>IF(31&gt;$C190,"",IF($D190=1,EOMONTH(EDATE(Bonds!$H190,6*(31-1)),0),EDATE(Bonds!$H190,6*(31-1))))</f>
        <v/>
      </c>
      <c r="AJ190" s="3" t="str">
        <f>IF(32&gt;$C190,"",IF($D190=1,EOMONTH(EDATE(Bonds!$H190,6*(32-1)),0),EDATE(Bonds!$H190,6*(32-1))))</f>
        <v/>
      </c>
      <c r="AK190" s="3" t="str">
        <f>IF(33&gt;$C190,"",IF($D190=1,EOMONTH(EDATE(Bonds!$H190,6*(33-1)),0),EDATE(Bonds!$H190,6*(33-1))))</f>
        <v/>
      </c>
      <c r="AL190" s="3" t="str">
        <f>IF(34&gt;$C190,"",IF($D190=1,EOMONTH(EDATE(Bonds!$H190,6*(34-1)),0),EDATE(Bonds!$H190,6*(34-1))))</f>
        <v/>
      </c>
      <c r="AM190" s="3" t="str">
        <f>IF(35&gt;$C190,"",IF($D190=1,EOMONTH(EDATE(Bonds!$H190,6*(35-1)),0),EDATE(Bonds!$H190,6*(35-1))))</f>
        <v/>
      </c>
      <c r="AN190" s="3" t="str">
        <f>IF(36&gt;$C190,"",IF($D190=1,EOMONTH(EDATE(Bonds!$H190,6*(36-1)),0),EDATE(Bonds!$H190,6*(36-1))))</f>
        <v/>
      </c>
      <c r="AO190" s="3" t="str">
        <f>IF(37&gt;$C190,"",IF($D190=1,EOMONTH(EDATE(Bonds!$H190,6*(37-1)),0),EDATE(Bonds!$H190,6*(37-1))))</f>
        <v/>
      </c>
      <c r="AP190" s="3" t="str">
        <f>IF(38&gt;$C190,"",IF($D190=1,EOMONTH(EDATE(Bonds!$H190,6*(38-1)),0),EDATE(Bonds!$H190,6*(38-1))))</f>
        <v/>
      </c>
      <c r="AQ190" s="3" t="str">
        <f>IF(39&gt;$C190,"",IF($D190=1,EOMONTH(EDATE(Bonds!$H190,6*(39-1)),0),EDATE(Bonds!$H190,6*(39-1))))</f>
        <v/>
      </c>
      <c r="AR190" s="3" t="str">
        <f>IF(40&gt;$C190,"",IF($D190=1,EOMONTH(EDATE(Bonds!$H190,6*(40-1)),0),EDATE(Bonds!$H190,6*(40-1))))</f>
        <v/>
      </c>
      <c r="AS190" s="3" t="str">
        <f>IF(41&gt;$C190,"",IF($D190=1,EOMONTH(EDATE(Bonds!$H190,6*(41-1)),0),EDATE(Bonds!$H190,6*(41-1))))</f>
        <v/>
      </c>
      <c r="AT190" s="3" t="str">
        <f>IF(42&gt;$C190,"",IF($D190=1,EOMONTH(EDATE(Bonds!$H190,6*(42-1)),0),EDATE(Bonds!$H190,6*(42-1))))</f>
        <v/>
      </c>
      <c r="AU190" s="3" t="str">
        <f>IF(43&gt;$C190,"",IF($D190=1,EOMONTH(EDATE(Bonds!$H190,6*(43-1)),0),EDATE(Bonds!$H190,6*(43-1))))</f>
        <v/>
      </c>
      <c r="AV190" s="3" t="str">
        <f>IF(44&gt;$C190,"",IF($D190=1,EOMONTH(EDATE(Bonds!$H190,6*(44-1)),0),EDATE(Bonds!$H190,6*(44-1))))</f>
        <v/>
      </c>
      <c r="AW190" s="3" t="str">
        <f>IF(45&gt;$C190,"",IF($D190=1,EOMONTH(EDATE(Bonds!$H190,6*(45-1)),0),EDATE(Bonds!$H190,6*(45-1))))</f>
        <v/>
      </c>
      <c r="AX190" s="3" t="str">
        <f>IF(46&gt;$C190,"",IF($D190=1,EOMONTH(EDATE(Bonds!$H190,6*(46-1)),0),EDATE(Bonds!$H190,6*(46-1))))</f>
        <v/>
      </c>
      <c r="AY190" s="3" t="str">
        <f>IF(47&gt;$C190,"",IF($D190=1,EOMONTH(EDATE(Bonds!$H190,6*(47-1)),0),EDATE(Bonds!$H190,6*(47-1))))</f>
        <v/>
      </c>
      <c r="AZ190" s="3" t="str">
        <f>IF(48&gt;$C190,"",IF($D190=1,EOMONTH(EDATE(Bonds!$H190,6*(48-1)),0),EDATE(Bonds!$H190,6*(48-1))))</f>
        <v/>
      </c>
      <c r="BA190" s="3" t="str">
        <f>IF(49&gt;$C190,"",IF($D190=1,EOMONTH(EDATE(Bonds!$H190,6*(49-1)),0),EDATE(Bonds!$H190,6*(49-1))))</f>
        <v/>
      </c>
      <c r="BB190" s="3" t="str">
        <f>IF(50&gt;$C190,"",IF($D190=1,EOMONTH(EDATE(Bonds!$H190,6*(50-1)),0),EDATE(Bonds!$H190,6*(50-1))))</f>
        <v/>
      </c>
      <c r="BC190" s="3" t="str">
        <f>IF(51&gt;$C190,"",IF($D190=1,EOMONTH(EDATE(Bonds!$H190,6*(51-1)),0),EDATE(Bonds!$H190,6*(51-1))))</f>
        <v/>
      </c>
      <c r="BD190" s="3" t="str">
        <f>IF(52&gt;$C190,"",IF($D190=1,EOMONTH(EDATE(Bonds!$H190,6*(52-1)),0),EDATE(Bonds!$H190,6*(52-1))))</f>
        <v/>
      </c>
      <c r="BE190" s="3" t="str">
        <f>IF(53&gt;$C190,"",IF($D190=1,EOMONTH(EDATE(Bonds!$H190,6*(53-1)),0),EDATE(Bonds!$H190,6*(53-1))))</f>
        <v/>
      </c>
      <c r="BF190" s="3" t="str">
        <f>IF(54&gt;$C190,"",IF($D190=1,EOMONTH(EDATE(Bonds!$H190,6*(54-1)),0),EDATE(Bonds!$H190,6*(54-1))))</f>
        <v/>
      </c>
      <c r="BG190" s="3" t="str">
        <f>IF(55&gt;$C190,"",IF($D190=1,EOMONTH(EDATE(Bonds!$H190,6*(55-1)),0),EDATE(Bonds!$H190,6*(55-1))))</f>
        <v/>
      </c>
      <c r="BH190" s="3" t="str">
        <f>IF(56&gt;$C190,"",IF($D190=1,EOMONTH(EDATE(Bonds!$H190,6*(56-1)),0),EDATE(Bonds!$H190,6*(56-1))))</f>
        <v/>
      </c>
      <c r="BI190" s="3" t="str">
        <f>IF(57&gt;$C190,"",IF($D190=1,EOMONTH(EDATE(Bonds!$H190,6*(57-1)),0),EDATE(Bonds!$H190,6*(57-1))))</f>
        <v/>
      </c>
      <c r="BJ190" s="3" t="str">
        <f>IF(58&gt;$C190,"",IF($D190=1,EOMONTH(EDATE(Bonds!$H190,6*(58-1)),0),EDATE(Bonds!$H190,6*(58-1))))</f>
        <v/>
      </c>
      <c r="BK190" s="3" t="str">
        <f>IF(59&gt;$C190,"",IF($D190=1,EOMONTH(EDATE(Bonds!$H190,6*(59-1)),0),EDATE(Bonds!$H190,6*(59-1))))</f>
        <v/>
      </c>
      <c r="BL190" s="3" t="str">
        <f>IF(60&gt;$C190,"",IF($D190=1,EOMONTH(EDATE(Bonds!$H190,6*(60-1)),0),EDATE(Bonds!$H190,6*(60-1))))</f>
        <v/>
      </c>
      <c r="BN190" s="7">
        <f t="shared" si="123"/>
        <v>0.43444869238750816</v>
      </c>
      <c r="BO190" s="7">
        <f t="shared" si="124"/>
        <v>0.42567568106527026</v>
      </c>
      <c r="BP190" s="7">
        <f t="shared" si="125"/>
        <v>0.41629911249045731</v>
      </c>
      <c r="BQ190" s="7">
        <f t="shared" si="126"/>
        <v>0.40696168688305773</v>
      </c>
      <c r="BR190" s="7">
        <f t="shared" si="127"/>
        <v>0.3976559720614537</v>
      </c>
      <c r="BS190" s="7">
        <f t="shared" si="128"/>
        <v>0.38871087590504749</v>
      </c>
      <c r="BT190" s="7">
        <f t="shared" si="129"/>
        <v>0.37984294663742035</v>
      </c>
      <c r="BU190" s="7">
        <f t="shared" si="130"/>
        <v>0.37132193251845236</v>
      </c>
      <c r="BV190" s="7">
        <f t="shared" si="131"/>
        <v>83.295912174336763</v>
      </c>
      <c r="BW190" s="7">
        <f t="shared" si="132"/>
        <v>0</v>
      </c>
      <c r="BX190" s="7">
        <f t="shared" si="133"/>
        <v>0</v>
      </c>
      <c r="BY190" s="7">
        <f t="shared" si="134"/>
        <v>0</v>
      </c>
      <c r="BZ190" s="7">
        <f t="shared" si="135"/>
        <v>0</v>
      </c>
      <c r="CA190" s="7">
        <f t="shared" si="136"/>
        <v>0</v>
      </c>
      <c r="CB190" s="7">
        <f t="shared" si="137"/>
        <v>0</v>
      </c>
      <c r="CC190" s="7">
        <f t="shared" si="138"/>
        <v>0</v>
      </c>
      <c r="CD190" s="7">
        <f t="shared" si="139"/>
        <v>0</v>
      </c>
      <c r="CE190" s="7">
        <f t="shared" si="140"/>
        <v>0</v>
      </c>
      <c r="CF190" s="7">
        <f t="shared" si="141"/>
        <v>0</v>
      </c>
      <c r="CG190" s="7">
        <f t="shared" si="142"/>
        <v>0</v>
      </c>
      <c r="CH190" s="7">
        <f t="shared" si="143"/>
        <v>0</v>
      </c>
      <c r="CI190" s="7">
        <f t="shared" si="144"/>
        <v>0</v>
      </c>
      <c r="CJ190" s="7">
        <f t="shared" si="145"/>
        <v>0</v>
      </c>
      <c r="CK190" s="7">
        <f t="shared" si="146"/>
        <v>0</v>
      </c>
      <c r="CL190" s="7">
        <f t="shared" si="147"/>
        <v>0</v>
      </c>
      <c r="CM190" s="7">
        <f t="shared" si="148"/>
        <v>0</v>
      </c>
      <c r="CN190" s="7">
        <f t="shared" si="149"/>
        <v>0</v>
      </c>
      <c r="CO190" s="7">
        <f t="shared" si="150"/>
        <v>0</v>
      </c>
      <c r="CP190" s="7">
        <f t="shared" si="151"/>
        <v>0</v>
      </c>
      <c r="CQ190" s="7">
        <f t="shared" si="152"/>
        <v>0</v>
      </c>
      <c r="CR190" s="7">
        <f t="shared" si="153"/>
        <v>0</v>
      </c>
      <c r="CS190" s="7">
        <f t="shared" si="154"/>
        <v>0</v>
      </c>
      <c r="CT190" s="7">
        <f t="shared" si="155"/>
        <v>0</v>
      </c>
      <c r="CU190" s="7">
        <f t="shared" si="156"/>
        <v>0</v>
      </c>
      <c r="CV190" s="7">
        <f t="shared" si="157"/>
        <v>0</v>
      </c>
      <c r="CW190" s="7">
        <f t="shared" si="158"/>
        <v>0</v>
      </c>
      <c r="CX190" s="7">
        <f t="shared" si="159"/>
        <v>0</v>
      </c>
      <c r="CY190" s="7">
        <f t="shared" si="160"/>
        <v>0</v>
      </c>
      <c r="CZ190" s="7">
        <f t="shared" si="161"/>
        <v>0</v>
      </c>
      <c r="DA190" s="7">
        <f t="shared" si="162"/>
        <v>0</v>
      </c>
      <c r="DB190" s="7">
        <f t="shared" si="163"/>
        <v>0</v>
      </c>
      <c r="DC190" s="7">
        <f t="shared" si="164"/>
        <v>0</v>
      </c>
      <c r="DD190" s="7">
        <f t="shared" si="165"/>
        <v>0</v>
      </c>
      <c r="DE190" s="7">
        <f t="shared" si="166"/>
        <v>0</v>
      </c>
      <c r="DF190" s="7">
        <f t="shared" si="167"/>
        <v>0</v>
      </c>
      <c r="DG190" s="7">
        <f t="shared" si="168"/>
        <v>0</v>
      </c>
      <c r="DH190" s="7">
        <f t="shared" si="169"/>
        <v>0</v>
      </c>
      <c r="DI190" s="7">
        <f t="shared" si="170"/>
        <v>0</v>
      </c>
      <c r="DJ190" s="7">
        <f t="shared" si="171"/>
        <v>0</v>
      </c>
      <c r="DK190" s="7">
        <f t="shared" si="172"/>
        <v>0</v>
      </c>
      <c r="DL190" s="7">
        <f t="shared" si="173"/>
        <v>0</v>
      </c>
      <c r="DM190" s="7">
        <f t="shared" si="174"/>
        <v>0</v>
      </c>
      <c r="DN190" s="7">
        <f t="shared" si="175"/>
        <v>0</v>
      </c>
      <c r="DO190" s="7">
        <f t="shared" si="176"/>
        <v>0</v>
      </c>
      <c r="DP190" s="7">
        <f t="shared" si="177"/>
        <v>0</v>
      </c>
      <c r="DQ190" s="7">
        <f t="shared" si="178"/>
        <v>0</v>
      </c>
      <c r="DR190" s="7">
        <f t="shared" si="179"/>
        <v>0</v>
      </c>
      <c r="DS190" s="7">
        <f t="shared" si="180"/>
        <v>0</v>
      </c>
      <c r="DT190" s="7">
        <f t="shared" si="181"/>
        <v>0</v>
      </c>
      <c r="DU190" s="7">
        <f t="shared" si="182"/>
        <v>0</v>
      </c>
    </row>
    <row r="191" spans="1:125" x14ac:dyDescent="0.2">
      <c r="A191" s="3">
        <f>Bonds!A191</f>
        <v>47817</v>
      </c>
      <c r="B191" s="4">
        <f>Bonds!B191</f>
        <v>3.5</v>
      </c>
      <c r="C191">
        <f>Bonds!P191</f>
        <v>9</v>
      </c>
      <c r="D191">
        <f t="shared" si="122"/>
        <v>1</v>
      </c>
      <c r="E191" s="3">
        <f>IF(1&gt;$C191,"",IF($D191=1,EOMONTH(EDATE(Bonds!$H191,6*(1-1)),0),EDATE(Bonds!$H191,6*(1-1))))</f>
        <v>46356</v>
      </c>
      <c r="F191" s="3">
        <f>IF(2&gt;$C191,"",IF($D191=1,EOMONTH(EDATE(Bonds!$H191,6*(2-1)),0),EDATE(Bonds!$H191,6*(2-1))))</f>
        <v>46538</v>
      </c>
      <c r="G191" s="3">
        <f>IF(3&gt;$C191,"",IF($D191=1,EOMONTH(EDATE(Bonds!$H191,6*(3-1)),0),EDATE(Bonds!$H191,6*(3-1))))</f>
        <v>46721</v>
      </c>
      <c r="H191" s="3">
        <f>IF(4&gt;$C191,"",IF($D191=1,EOMONTH(EDATE(Bonds!$H191,6*(4-1)),0),EDATE(Bonds!$H191,6*(4-1))))</f>
        <v>46904</v>
      </c>
      <c r="I191" s="3">
        <f>IF(5&gt;$C191,"",IF($D191=1,EOMONTH(EDATE(Bonds!$H191,6*(5-1)),0),EDATE(Bonds!$H191,6*(5-1))))</f>
        <v>47087</v>
      </c>
      <c r="J191" s="3">
        <f>IF(6&gt;$C191,"",IF($D191=1,EOMONTH(EDATE(Bonds!$H191,6*(6-1)),0),EDATE(Bonds!$H191,6*(6-1))))</f>
        <v>47269</v>
      </c>
      <c r="K191" s="3">
        <f>IF(7&gt;$C191,"",IF($D191=1,EOMONTH(EDATE(Bonds!$H191,6*(7-1)),0),EDATE(Bonds!$H191,6*(7-1))))</f>
        <v>47452</v>
      </c>
      <c r="L191" s="3">
        <f>IF(8&gt;$C191,"",IF($D191=1,EOMONTH(EDATE(Bonds!$H191,6*(8-1)),0),EDATE(Bonds!$H191,6*(8-1))))</f>
        <v>47634</v>
      </c>
      <c r="M191" s="3">
        <f>IF(9&gt;$C191,"",IF($D191=1,EOMONTH(EDATE(Bonds!$H191,6*(9-1)),0),EDATE(Bonds!$H191,6*(9-1))))</f>
        <v>47817</v>
      </c>
      <c r="N191" s="3" t="str">
        <f>IF(10&gt;$C191,"",IF($D191=1,EOMONTH(EDATE(Bonds!$H191,6*(10-1)),0),EDATE(Bonds!$H191,6*(10-1))))</f>
        <v/>
      </c>
      <c r="O191" s="3" t="str">
        <f>IF(11&gt;$C191,"",IF($D191=1,EOMONTH(EDATE(Bonds!$H191,6*(11-1)),0),EDATE(Bonds!$H191,6*(11-1))))</f>
        <v/>
      </c>
      <c r="P191" s="3" t="str">
        <f>IF(12&gt;$C191,"",IF($D191=1,EOMONTH(EDATE(Bonds!$H191,6*(12-1)),0),EDATE(Bonds!$H191,6*(12-1))))</f>
        <v/>
      </c>
      <c r="Q191" s="3" t="str">
        <f>IF(13&gt;$C191,"",IF($D191=1,EOMONTH(EDATE(Bonds!$H191,6*(13-1)),0),EDATE(Bonds!$H191,6*(13-1))))</f>
        <v/>
      </c>
      <c r="R191" s="3" t="str">
        <f>IF(14&gt;$C191,"",IF($D191=1,EOMONTH(EDATE(Bonds!$H191,6*(14-1)),0),EDATE(Bonds!$H191,6*(14-1))))</f>
        <v/>
      </c>
      <c r="S191" s="3" t="str">
        <f>IF(15&gt;$C191,"",IF($D191=1,EOMONTH(EDATE(Bonds!$H191,6*(15-1)),0),EDATE(Bonds!$H191,6*(15-1))))</f>
        <v/>
      </c>
      <c r="T191" s="3" t="str">
        <f>IF(16&gt;$C191,"",IF($D191=1,EOMONTH(EDATE(Bonds!$H191,6*(16-1)),0),EDATE(Bonds!$H191,6*(16-1))))</f>
        <v/>
      </c>
      <c r="U191" s="3" t="str">
        <f>IF(17&gt;$C191,"",IF($D191=1,EOMONTH(EDATE(Bonds!$H191,6*(17-1)),0),EDATE(Bonds!$H191,6*(17-1))))</f>
        <v/>
      </c>
      <c r="V191" s="3" t="str">
        <f>IF(18&gt;$C191,"",IF($D191=1,EOMONTH(EDATE(Bonds!$H191,6*(18-1)),0),EDATE(Bonds!$H191,6*(18-1))))</f>
        <v/>
      </c>
      <c r="W191" s="3" t="str">
        <f>IF(19&gt;$C191,"",IF($D191=1,EOMONTH(EDATE(Bonds!$H191,6*(19-1)),0),EDATE(Bonds!$H191,6*(19-1))))</f>
        <v/>
      </c>
      <c r="X191" s="3" t="str">
        <f>IF(20&gt;$C191,"",IF($D191=1,EOMONTH(EDATE(Bonds!$H191,6*(20-1)),0),EDATE(Bonds!$H191,6*(20-1))))</f>
        <v/>
      </c>
      <c r="Y191" s="3" t="str">
        <f>IF(21&gt;$C191,"",IF($D191=1,EOMONTH(EDATE(Bonds!$H191,6*(21-1)),0),EDATE(Bonds!$H191,6*(21-1))))</f>
        <v/>
      </c>
      <c r="Z191" s="3" t="str">
        <f>IF(22&gt;$C191,"",IF($D191=1,EOMONTH(EDATE(Bonds!$H191,6*(22-1)),0),EDATE(Bonds!$H191,6*(22-1))))</f>
        <v/>
      </c>
      <c r="AA191" s="3" t="str">
        <f>IF(23&gt;$C191,"",IF($D191=1,EOMONTH(EDATE(Bonds!$H191,6*(23-1)),0),EDATE(Bonds!$H191,6*(23-1))))</f>
        <v/>
      </c>
      <c r="AB191" s="3" t="str">
        <f>IF(24&gt;$C191,"",IF($D191=1,EOMONTH(EDATE(Bonds!$H191,6*(24-1)),0),EDATE(Bonds!$H191,6*(24-1))))</f>
        <v/>
      </c>
      <c r="AC191" s="3" t="str">
        <f>IF(25&gt;$C191,"",IF($D191=1,EOMONTH(EDATE(Bonds!$H191,6*(25-1)),0),EDATE(Bonds!$H191,6*(25-1))))</f>
        <v/>
      </c>
      <c r="AD191" s="3" t="str">
        <f>IF(26&gt;$C191,"",IF($D191=1,EOMONTH(EDATE(Bonds!$H191,6*(26-1)),0),EDATE(Bonds!$H191,6*(26-1))))</f>
        <v/>
      </c>
      <c r="AE191" s="3" t="str">
        <f>IF(27&gt;$C191,"",IF($D191=1,EOMONTH(EDATE(Bonds!$H191,6*(27-1)),0),EDATE(Bonds!$H191,6*(27-1))))</f>
        <v/>
      </c>
      <c r="AF191" s="3" t="str">
        <f>IF(28&gt;$C191,"",IF($D191=1,EOMONTH(EDATE(Bonds!$H191,6*(28-1)),0),EDATE(Bonds!$H191,6*(28-1))))</f>
        <v/>
      </c>
      <c r="AG191" s="3" t="str">
        <f>IF(29&gt;$C191,"",IF($D191=1,EOMONTH(EDATE(Bonds!$H191,6*(29-1)),0),EDATE(Bonds!$H191,6*(29-1))))</f>
        <v/>
      </c>
      <c r="AH191" s="3" t="str">
        <f>IF(30&gt;$C191,"",IF($D191=1,EOMONTH(EDATE(Bonds!$H191,6*(30-1)),0),EDATE(Bonds!$H191,6*(30-1))))</f>
        <v/>
      </c>
      <c r="AI191" s="3" t="str">
        <f>IF(31&gt;$C191,"",IF($D191=1,EOMONTH(EDATE(Bonds!$H191,6*(31-1)),0),EDATE(Bonds!$H191,6*(31-1))))</f>
        <v/>
      </c>
      <c r="AJ191" s="3" t="str">
        <f>IF(32&gt;$C191,"",IF($D191=1,EOMONTH(EDATE(Bonds!$H191,6*(32-1)),0),EDATE(Bonds!$H191,6*(32-1))))</f>
        <v/>
      </c>
      <c r="AK191" s="3" t="str">
        <f>IF(33&gt;$C191,"",IF($D191=1,EOMONTH(EDATE(Bonds!$H191,6*(33-1)),0),EDATE(Bonds!$H191,6*(33-1))))</f>
        <v/>
      </c>
      <c r="AL191" s="3" t="str">
        <f>IF(34&gt;$C191,"",IF($D191=1,EOMONTH(EDATE(Bonds!$H191,6*(34-1)),0),EDATE(Bonds!$H191,6*(34-1))))</f>
        <v/>
      </c>
      <c r="AM191" s="3" t="str">
        <f>IF(35&gt;$C191,"",IF($D191=1,EOMONTH(EDATE(Bonds!$H191,6*(35-1)),0),EDATE(Bonds!$H191,6*(35-1))))</f>
        <v/>
      </c>
      <c r="AN191" s="3" t="str">
        <f>IF(36&gt;$C191,"",IF($D191=1,EOMONTH(EDATE(Bonds!$H191,6*(36-1)),0),EDATE(Bonds!$H191,6*(36-1))))</f>
        <v/>
      </c>
      <c r="AO191" s="3" t="str">
        <f>IF(37&gt;$C191,"",IF($D191=1,EOMONTH(EDATE(Bonds!$H191,6*(37-1)),0),EDATE(Bonds!$H191,6*(37-1))))</f>
        <v/>
      </c>
      <c r="AP191" s="3" t="str">
        <f>IF(38&gt;$C191,"",IF($D191=1,EOMONTH(EDATE(Bonds!$H191,6*(38-1)),0),EDATE(Bonds!$H191,6*(38-1))))</f>
        <v/>
      </c>
      <c r="AQ191" s="3" t="str">
        <f>IF(39&gt;$C191,"",IF($D191=1,EOMONTH(EDATE(Bonds!$H191,6*(39-1)),0),EDATE(Bonds!$H191,6*(39-1))))</f>
        <v/>
      </c>
      <c r="AR191" s="3" t="str">
        <f>IF(40&gt;$C191,"",IF($D191=1,EOMONTH(EDATE(Bonds!$H191,6*(40-1)),0),EDATE(Bonds!$H191,6*(40-1))))</f>
        <v/>
      </c>
      <c r="AS191" s="3" t="str">
        <f>IF(41&gt;$C191,"",IF($D191=1,EOMONTH(EDATE(Bonds!$H191,6*(41-1)),0),EDATE(Bonds!$H191,6*(41-1))))</f>
        <v/>
      </c>
      <c r="AT191" s="3" t="str">
        <f>IF(42&gt;$C191,"",IF($D191=1,EOMONTH(EDATE(Bonds!$H191,6*(42-1)),0),EDATE(Bonds!$H191,6*(42-1))))</f>
        <v/>
      </c>
      <c r="AU191" s="3" t="str">
        <f>IF(43&gt;$C191,"",IF($D191=1,EOMONTH(EDATE(Bonds!$H191,6*(43-1)),0),EDATE(Bonds!$H191,6*(43-1))))</f>
        <v/>
      </c>
      <c r="AV191" s="3" t="str">
        <f>IF(44&gt;$C191,"",IF($D191=1,EOMONTH(EDATE(Bonds!$H191,6*(44-1)),0),EDATE(Bonds!$H191,6*(44-1))))</f>
        <v/>
      </c>
      <c r="AW191" s="3" t="str">
        <f>IF(45&gt;$C191,"",IF($D191=1,EOMONTH(EDATE(Bonds!$H191,6*(45-1)),0),EDATE(Bonds!$H191,6*(45-1))))</f>
        <v/>
      </c>
      <c r="AX191" s="3" t="str">
        <f>IF(46&gt;$C191,"",IF($D191=1,EOMONTH(EDATE(Bonds!$H191,6*(46-1)),0),EDATE(Bonds!$H191,6*(46-1))))</f>
        <v/>
      </c>
      <c r="AY191" s="3" t="str">
        <f>IF(47&gt;$C191,"",IF($D191=1,EOMONTH(EDATE(Bonds!$H191,6*(47-1)),0),EDATE(Bonds!$H191,6*(47-1))))</f>
        <v/>
      </c>
      <c r="AZ191" s="3" t="str">
        <f>IF(48&gt;$C191,"",IF($D191=1,EOMONTH(EDATE(Bonds!$H191,6*(48-1)),0),EDATE(Bonds!$H191,6*(48-1))))</f>
        <v/>
      </c>
      <c r="BA191" s="3" t="str">
        <f>IF(49&gt;$C191,"",IF($D191=1,EOMONTH(EDATE(Bonds!$H191,6*(49-1)),0),EDATE(Bonds!$H191,6*(49-1))))</f>
        <v/>
      </c>
      <c r="BB191" s="3" t="str">
        <f>IF(50&gt;$C191,"",IF($D191=1,EOMONTH(EDATE(Bonds!$H191,6*(50-1)),0),EDATE(Bonds!$H191,6*(50-1))))</f>
        <v/>
      </c>
      <c r="BC191" s="3" t="str">
        <f>IF(51&gt;$C191,"",IF($D191=1,EOMONTH(EDATE(Bonds!$H191,6*(51-1)),0),EDATE(Bonds!$H191,6*(51-1))))</f>
        <v/>
      </c>
      <c r="BD191" s="3" t="str">
        <f>IF(52&gt;$C191,"",IF($D191=1,EOMONTH(EDATE(Bonds!$H191,6*(52-1)),0),EDATE(Bonds!$H191,6*(52-1))))</f>
        <v/>
      </c>
      <c r="BE191" s="3" t="str">
        <f>IF(53&gt;$C191,"",IF($D191=1,EOMONTH(EDATE(Bonds!$H191,6*(53-1)),0),EDATE(Bonds!$H191,6*(53-1))))</f>
        <v/>
      </c>
      <c r="BF191" s="3" t="str">
        <f>IF(54&gt;$C191,"",IF($D191=1,EOMONTH(EDATE(Bonds!$H191,6*(54-1)),0),EDATE(Bonds!$H191,6*(54-1))))</f>
        <v/>
      </c>
      <c r="BG191" s="3" t="str">
        <f>IF(55&gt;$C191,"",IF($D191=1,EOMONTH(EDATE(Bonds!$H191,6*(55-1)),0),EDATE(Bonds!$H191,6*(55-1))))</f>
        <v/>
      </c>
      <c r="BH191" s="3" t="str">
        <f>IF(56&gt;$C191,"",IF($D191=1,EOMONTH(EDATE(Bonds!$H191,6*(56-1)),0),EDATE(Bonds!$H191,6*(56-1))))</f>
        <v/>
      </c>
      <c r="BI191" s="3" t="str">
        <f>IF(57&gt;$C191,"",IF($D191=1,EOMONTH(EDATE(Bonds!$H191,6*(57-1)),0),EDATE(Bonds!$H191,6*(57-1))))</f>
        <v/>
      </c>
      <c r="BJ191" s="3" t="str">
        <f>IF(58&gt;$C191,"",IF($D191=1,EOMONTH(EDATE(Bonds!$H191,6*(58-1)),0),EDATE(Bonds!$H191,6*(58-1))))</f>
        <v/>
      </c>
      <c r="BK191" s="3" t="str">
        <f>IF(59&gt;$C191,"",IF($D191=1,EOMONTH(EDATE(Bonds!$H191,6*(59-1)),0),EDATE(Bonds!$H191,6*(59-1))))</f>
        <v/>
      </c>
      <c r="BL191" s="3" t="str">
        <f>IF(60&gt;$C191,"",IF($D191=1,EOMONTH(EDATE(Bonds!$H191,6*(60-1)),0),EDATE(Bonds!$H191,6*(60-1))))</f>
        <v/>
      </c>
      <c r="BN191" s="7">
        <f t="shared" si="123"/>
        <v>1.7350117866128543</v>
      </c>
      <c r="BO191" s="7">
        <f t="shared" si="124"/>
        <v>1.6994847155533692</v>
      </c>
      <c r="BP191" s="7">
        <f t="shared" si="125"/>
        <v>1.6621128557681921</v>
      </c>
      <c r="BQ191" s="7">
        <f t="shared" si="126"/>
        <v>1.6245814717265863</v>
      </c>
      <c r="BR191" s="7">
        <f t="shared" si="127"/>
        <v>1.5876252141587295</v>
      </c>
      <c r="BS191" s="7">
        <f t="shared" si="128"/>
        <v>1.5517234365898682</v>
      </c>
      <c r="BT191" s="7">
        <f t="shared" si="129"/>
        <v>1.5165182323623421</v>
      </c>
      <c r="BU191" s="7">
        <f t="shared" si="130"/>
        <v>1.4823092237725262</v>
      </c>
      <c r="BV191" s="7">
        <f t="shared" si="131"/>
        <v>84.224974773557605</v>
      </c>
      <c r="BW191" s="7">
        <f t="shared" si="132"/>
        <v>0</v>
      </c>
      <c r="BX191" s="7">
        <f t="shared" si="133"/>
        <v>0</v>
      </c>
      <c r="BY191" s="7">
        <f t="shared" si="134"/>
        <v>0</v>
      </c>
      <c r="BZ191" s="7">
        <f t="shared" si="135"/>
        <v>0</v>
      </c>
      <c r="CA191" s="7">
        <f t="shared" si="136"/>
        <v>0</v>
      </c>
      <c r="CB191" s="7">
        <f t="shared" si="137"/>
        <v>0</v>
      </c>
      <c r="CC191" s="7">
        <f t="shared" si="138"/>
        <v>0</v>
      </c>
      <c r="CD191" s="7">
        <f t="shared" si="139"/>
        <v>0</v>
      </c>
      <c r="CE191" s="7">
        <f t="shared" si="140"/>
        <v>0</v>
      </c>
      <c r="CF191" s="7">
        <f t="shared" si="141"/>
        <v>0</v>
      </c>
      <c r="CG191" s="7">
        <f t="shared" si="142"/>
        <v>0</v>
      </c>
      <c r="CH191" s="7">
        <f t="shared" si="143"/>
        <v>0</v>
      </c>
      <c r="CI191" s="7">
        <f t="shared" si="144"/>
        <v>0</v>
      </c>
      <c r="CJ191" s="7">
        <f t="shared" si="145"/>
        <v>0</v>
      </c>
      <c r="CK191" s="7">
        <f t="shared" si="146"/>
        <v>0</v>
      </c>
      <c r="CL191" s="7">
        <f t="shared" si="147"/>
        <v>0</v>
      </c>
      <c r="CM191" s="7">
        <f t="shared" si="148"/>
        <v>0</v>
      </c>
      <c r="CN191" s="7">
        <f t="shared" si="149"/>
        <v>0</v>
      </c>
      <c r="CO191" s="7">
        <f t="shared" si="150"/>
        <v>0</v>
      </c>
      <c r="CP191" s="7">
        <f t="shared" si="151"/>
        <v>0</v>
      </c>
      <c r="CQ191" s="7">
        <f t="shared" si="152"/>
        <v>0</v>
      </c>
      <c r="CR191" s="7">
        <f t="shared" si="153"/>
        <v>0</v>
      </c>
      <c r="CS191" s="7">
        <f t="shared" si="154"/>
        <v>0</v>
      </c>
      <c r="CT191" s="7">
        <f t="shared" si="155"/>
        <v>0</v>
      </c>
      <c r="CU191" s="7">
        <f t="shared" si="156"/>
        <v>0</v>
      </c>
      <c r="CV191" s="7">
        <f t="shared" si="157"/>
        <v>0</v>
      </c>
      <c r="CW191" s="7">
        <f t="shared" si="158"/>
        <v>0</v>
      </c>
      <c r="CX191" s="7">
        <f t="shared" si="159"/>
        <v>0</v>
      </c>
      <c r="CY191" s="7">
        <f t="shared" si="160"/>
        <v>0</v>
      </c>
      <c r="CZ191" s="7">
        <f t="shared" si="161"/>
        <v>0</v>
      </c>
      <c r="DA191" s="7">
        <f t="shared" si="162"/>
        <v>0</v>
      </c>
      <c r="DB191" s="7">
        <f t="shared" si="163"/>
        <v>0</v>
      </c>
      <c r="DC191" s="7">
        <f t="shared" si="164"/>
        <v>0</v>
      </c>
      <c r="DD191" s="7">
        <f t="shared" si="165"/>
        <v>0</v>
      </c>
      <c r="DE191" s="7">
        <f t="shared" si="166"/>
        <v>0</v>
      </c>
      <c r="DF191" s="7">
        <f t="shared" si="167"/>
        <v>0</v>
      </c>
      <c r="DG191" s="7">
        <f t="shared" si="168"/>
        <v>0</v>
      </c>
      <c r="DH191" s="7">
        <f t="shared" si="169"/>
        <v>0</v>
      </c>
      <c r="DI191" s="7">
        <f t="shared" si="170"/>
        <v>0</v>
      </c>
      <c r="DJ191" s="7">
        <f t="shared" si="171"/>
        <v>0</v>
      </c>
      <c r="DK191" s="7">
        <f t="shared" si="172"/>
        <v>0</v>
      </c>
      <c r="DL191" s="7">
        <f t="shared" si="173"/>
        <v>0</v>
      </c>
      <c r="DM191" s="7">
        <f t="shared" si="174"/>
        <v>0</v>
      </c>
      <c r="DN191" s="7">
        <f t="shared" si="175"/>
        <v>0</v>
      </c>
      <c r="DO191" s="7">
        <f t="shared" si="176"/>
        <v>0</v>
      </c>
      <c r="DP191" s="7">
        <f t="shared" si="177"/>
        <v>0</v>
      </c>
      <c r="DQ191" s="7">
        <f t="shared" si="178"/>
        <v>0</v>
      </c>
      <c r="DR191" s="7">
        <f t="shared" si="179"/>
        <v>0</v>
      </c>
      <c r="DS191" s="7">
        <f t="shared" si="180"/>
        <v>0</v>
      </c>
      <c r="DT191" s="7">
        <f t="shared" si="181"/>
        <v>0</v>
      </c>
      <c r="DU191" s="7">
        <f t="shared" si="182"/>
        <v>0</v>
      </c>
    </row>
    <row r="192" spans="1:125" x14ac:dyDescent="0.2">
      <c r="A192" s="3">
        <f>Bonds!A192</f>
        <v>47817</v>
      </c>
      <c r="B192" s="4">
        <f>Bonds!B192</f>
        <v>4.375</v>
      </c>
      <c r="C192">
        <f>Bonds!P192</f>
        <v>9</v>
      </c>
      <c r="D192">
        <f t="shared" si="122"/>
        <v>1</v>
      </c>
      <c r="E192" s="3">
        <f>IF(1&gt;$C192,"",IF($D192=1,EOMONTH(EDATE(Bonds!$H192,6*(1-1)),0),EDATE(Bonds!$H192,6*(1-1))))</f>
        <v>46356</v>
      </c>
      <c r="F192" s="3">
        <f>IF(2&gt;$C192,"",IF($D192=1,EOMONTH(EDATE(Bonds!$H192,6*(2-1)),0),EDATE(Bonds!$H192,6*(2-1))))</f>
        <v>46538</v>
      </c>
      <c r="G192" s="3">
        <f>IF(3&gt;$C192,"",IF($D192=1,EOMONTH(EDATE(Bonds!$H192,6*(3-1)),0),EDATE(Bonds!$H192,6*(3-1))))</f>
        <v>46721</v>
      </c>
      <c r="H192" s="3">
        <f>IF(4&gt;$C192,"",IF($D192=1,EOMONTH(EDATE(Bonds!$H192,6*(4-1)),0),EDATE(Bonds!$H192,6*(4-1))))</f>
        <v>46904</v>
      </c>
      <c r="I192" s="3">
        <f>IF(5&gt;$C192,"",IF($D192=1,EOMONTH(EDATE(Bonds!$H192,6*(5-1)),0),EDATE(Bonds!$H192,6*(5-1))))</f>
        <v>47087</v>
      </c>
      <c r="J192" s="3">
        <f>IF(6&gt;$C192,"",IF($D192=1,EOMONTH(EDATE(Bonds!$H192,6*(6-1)),0),EDATE(Bonds!$H192,6*(6-1))))</f>
        <v>47269</v>
      </c>
      <c r="K192" s="3">
        <f>IF(7&gt;$C192,"",IF($D192=1,EOMONTH(EDATE(Bonds!$H192,6*(7-1)),0),EDATE(Bonds!$H192,6*(7-1))))</f>
        <v>47452</v>
      </c>
      <c r="L192" s="3">
        <f>IF(8&gt;$C192,"",IF($D192=1,EOMONTH(EDATE(Bonds!$H192,6*(8-1)),0),EDATE(Bonds!$H192,6*(8-1))))</f>
        <v>47634</v>
      </c>
      <c r="M192" s="3">
        <f>IF(9&gt;$C192,"",IF($D192=1,EOMONTH(EDATE(Bonds!$H192,6*(9-1)),0),EDATE(Bonds!$H192,6*(9-1))))</f>
        <v>47817</v>
      </c>
      <c r="N192" s="3" t="str">
        <f>IF(10&gt;$C192,"",IF($D192=1,EOMONTH(EDATE(Bonds!$H192,6*(10-1)),0),EDATE(Bonds!$H192,6*(10-1))))</f>
        <v/>
      </c>
      <c r="O192" s="3" t="str">
        <f>IF(11&gt;$C192,"",IF($D192=1,EOMONTH(EDATE(Bonds!$H192,6*(11-1)),0),EDATE(Bonds!$H192,6*(11-1))))</f>
        <v/>
      </c>
      <c r="P192" s="3" t="str">
        <f>IF(12&gt;$C192,"",IF($D192=1,EOMONTH(EDATE(Bonds!$H192,6*(12-1)),0),EDATE(Bonds!$H192,6*(12-1))))</f>
        <v/>
      </c>
      <c r="Q192" s="3" t="str">
        <f>IF(13&gt;$C192,"",IF($D192=1,EOMONTH(EDATE(Bonds!$H192,6*(13-1)),0),EDATE(Bonds!$H192,6*(13-1))))</f>
        <v/>
      </c>
      <c r="R192" s="3" t="str">
        <f>IF(14&gt;$C192,"",IF($D192=1,EOMONTH(EDATE(Bonds!$H192,6*(14-1)),0),EDATE(Bonds!$H192,6*(14-1))))</f>
        <v/>
      </c>
      <c r="S192" s="3" t="str">
        <f>IF(15&gt;$C192,"",IF($D192=1,EOMONTH(EDATE(Bonds!$H192,6*(15-1)),0),EDATE(Bonds!$H192,6*(15-1))))</f>
        <v/>
      </c>
      <c r="T192" s="3" t="str">
        <f>IF(16&gt;$C192,"",IF($D192=1,EOMONTH(EDATE(Bonds!$H192,6*(16-1)),0),EDATE(Bonds!$H192,6*(16-1))))</f>
        <v/>
      </c>
      <c r="U192" s="3" t="str">
        <f>IF(17&gt;$C192,"",IF($D192=1,EOMONTH(EDATE(Bonds!$H192,6*(17-1)),0),EDATE(Bonds!$H192,6*(17-1))))</f>
        <v/>
      </c>
      <c r="V192" s="3" t="str">
        <f>IF(18&gt;$C192,"",IF($D192=1,EOMONTH(EDATE(Bonds!$H192,6*(18-1)),0),EDATE(Bonds!$H192,6*(18-1))))</f>
        <v/>
      </c>
      <c r="W192" s="3" t="str">
        <f>IF(19&gt;$C192,"",IF($D192=1,EOMONTH(EDATE(Bonds!$H192,6*(19-1)),0),EDATE(Bonds!$H192,6*(19-1))))</f>
        <v/>
      </c>
      <c r="X192" s="3" t="str">
        <f>IF(20&gt;$C192,"",IF($D192=1,EOMONTH(EDATE(Bonds!$H192,6*(20-1)),0),EDATE(Bonds!$H192,6*(20-1))))</f>
        <v/>
      </c>
      <c r="Y192" s="3" t="str">
        <f>IF(21&gt;$C192,"",IF($D192=1,EOMONTH(EDATE(Bonds!$H192,6*(21-1)),0),EDATE(Bonds!$H192,6*(21-1))))</f>
        <v/>
      </c>
      <c r="Z192" s="3" t="str">
        <f>IF(22&gt;$C192,"",IF($D192=1,EOMONTH(EDATE(Bonds!$H192,6*(22-1)),0),EDATE(Bonds!$H192,6*(22-1))))</f>
        <v/>
      </c>
      <c r="AA192" s="3" t="str">
        <f>IF(23&gt;$C192,"",IF($D192=1,EOMONTH(EDATE(Bonds!$H192,6*(23-1)),0),EDATE(Bonds!$H192,6*(23-1))))</f>
        <v/>
      </c>
      <c r="AB192" s="3" t="str">
        <f>IF(24&gt;$C192,"",IF($D192=1,EOMONTH(EDATE(Bonds!$H192,6*(24-1)),0),EDATE(Bonds!$H192,6*(24-1))))</f>
        <v/>
      </c>
      <c r="AC192" s="3" t="str">
        <f>IF(25&gt;$C192,"",IF($D192=1,EOMONTH(EDATE(Bonds!$H192,6*(25-1)),0),EDATE(Bonds!$H192,6*(25-1))))</f>
        <v/>
      </c>
      <c r="AD192" s="3" t="str">
        <f>IF(26&gt;$C192,"",IF($D192=1,EOMONTH(EDATE(Bonds!$H192,6*(26-1)),0),EDATE(Bonds!$H192,6*(26-1))))</f>
        <v/>
      </c>
      <c r="AE192" s="3" t="str">
        <f>IF(27&gt;$C192,"",IF($D192=1,EOMONTH(EDATE(Bonds!$H192,6*(27-1)),0),EDATE(Bonds!$H192,6*(27-1))))</f>
        <v/>
      </c>
      <c r="AF192" s="3" t="str">
        <f>IF(28&gt;$C192,"",IF($D192=1,EOMONTH(EDATE(Bonds!$H192,6*(28-1)),0),EDATE(Bonds!$H192,6*(28-1))))</f>
        <v/>
      </c>
      <c r="AG192" s="3" t="str">
        <f>IF(29&gt;$C192,"",IF($D192=1,EOMONTH(EDATE(Bonds!$H192,6*(29-1)),0),EDATE(Bonds!$H192,6*(29-1))))</f>
        <v/>
      </c>
      <c r="AH192" s="3" t="str">
        <f>IF(30&gt;$C192,"",IF($D192=1,EOMONTH(EDATE(Bonds!$H192,6*(30-1)),0),EDATE(Bonds!$H192,6*(30-1))))</f>
        <v/>
      </c>
      <c r="AI192" s="3" t="str">
        <f>IF(31&gt;$C192,"",IF($D192=1,EOMONTH(EDATE(Bonds!$H192,6*(31-1)),0),EDATE(Bonds!$H192,6*(31-1))))</f>
        <v/>
      </c>
      <c r="AJ192" s="3" t="str">
        <f>IF(32&gt;$C192,"",IF($D192=1,EOMONTH(EDATE(Bonds!$H192,6*(32-1)),0),EDATE(Bonds!$H192,6*(32-1))))</f>
        <v/>
      </c>
      <c r="AK192" s="3" t="str">
        <f>IF(33&gt;$C192,"",IF($D192=1,EOMONTH(EDATE(Bonds!$H192,6*(33-1)),0),EDATE(Bonds!$H192,6*(33-1))))</f>
        <v/>
      </c>
      <c r="AL192" s="3" t="str">
        <f>IF(34&gt;$C192,"",IF($D192=1,EOMONTH(EDATE(Bonds!$H192,6*(34-1)),0),EDATE(Bonds!$H192,6*(34-1))))</f>
        <v/>
      </c>
      <c r="AM192" s="3" t="str">
        <f>IF(35&gt;$C192,"",IF($D192=1,EOMONTH(EDATE(Bonds!$H192,6*(35-1)),0),EDATE(Bonds!$H192,6*(35-1))))</f>
        <v/>
      </c>
      <c r="AN192" s="3" t="str">
        <f>IF(36&gt;$C192,"",IF($D192=1,EOMONTH(EDATE(Bonds!$H192,6*(36-1)),0),EDATE(Bonds!$H192,6*(36-1))))</f>
        <v/>
      </c>
      <c r="AO192" s="3" t="str">
        <f>IF(37&gt;$C192,"",IF($D192=1,EOMONTH(EDATE(Bonds!$H192,6*(37-1)),0),EDATE(Bonds!$H192,6*(37-1))))</f>
        <v/>
      </c>
      <c r="AP192" s="3" t="str">
        <f>IF(38&gt;$C192,"",IF($D192=1,EOMONTH(EDATE(Bonds!$H192,6*(38-1)),0),EDATE(Bonds!$H192,6*(38-1))))</f>
        <v/>
      </c>
      <c r="AQ192" s="3" t="str">
        <f>IF(39&gt;$C192,"",IF($D192=1,EOMONTH(EDATE(Bonds!$H192,6*(39-1)),0),EDATE(Bonds!$H192,6*(39-1))))</f>
        <v/>
      </c>
      <c r="AR192" s="3" t="str">
        <f>IF(40&gt;$C192,"",IF($D192=1,EOMONTH(EDATE(Bonds!$H192,6*(40-1)),0),EDATE(Bonds!$H192,6*(40-1))))</f>
        <v/>
      </c>
      <c r="AS192" s="3" t="str">
        <f>IF(41&gt;$C192,"",IF($D192=1,EOMONTH(EDATE(Bonds!$H192,6*(41-1)),0),EDATE(Bonds!$H192,6*(41-1))))</f>
        <v/>
      </c>
      <c r="AT192" s="3" t="str">
        <f>IF(42&gt;$C192,"",IF($D192=1,EOMONTH(EDATE(Bonds!$H192,6*(42-1)),0),EDATE(Bonds!$H192,6*(42-1))))</f>
        <v/>
      </c>
      <c r="AU192" s="3" t="str">
        <f>IF(43&gt;$C192,"",IF($D192=1,EOMONTH(EDATE(Bonds!$H192,6*(43-1)),0),EDATE(Bonds!$H192,6*(43-1))))</f>
        <v/>
      </c>
      <c r="AV192" s="3" t="str">
        <f>IF(44&gt;$C192,"",IF($D192=1,EOMONTH(EDATE(Bonds!$H192,6*(44-1)),0),EDATE(Bonds!$H192,6*(44-1))))</f>
        <v/>
      </c>
      <c r="AW192" s="3" t="str">
        <f>IF(45&gt;$C192,"",IF($D192=1,EOMONTH(EDATE(Bonds!$H192,6*(45-1)),0),EDATE(Bonds!$H192,6*(45-1))))</f>
        <v/>
      </c>
      <c r="AX192" s="3" t="str">
        <f>IF(46&gt;$C192,"",IF($D192=1,EOMONTH(EDATE(Bonds!$H192,6*(46-1)),0),EDATE(Bonds!$H192,6*(46-1))))</f>
        <v/>
      </c>
      <c r="AY192" s="3" t="str">
        <f>IF(47&gt;$C192,"",IF($D192=1,EOMONTH(EDATE(Bonds!$H192,6*(47-1)),0),EDATE(Bonds!$H192,6*(47-1))))</f>
        <v/>
      </c>
      <c r="AZ192" s="3" t="str">
        <f>IF(48&gt;$C192,"",IF($D192=1,EOMONTH(EDATE(Bonds!$H192,6*(48-1)),0),EDATE(Bonds!$H192,6*(48-1))))</f>
        <v/>
      </c>
      <c r="BA192" s="3" t="str">
        <f>IF(49&gt;$C192,"",IF($D192=1,EOMONTH(EDATE(Bonds!$H192,6*(49-1)),0),EDATE(Bonds!$H192,6*(49-1))))</f>
        <v/>
      </c>
      <c r="BB192" s="3" t="str">
        <f>IF(50&gt;$C192,"",IF($D192=1,EOMONTH(EDATE(Bonds!$H192,6*(50-1)),0),EDATE(Bonds!$H192,6*(50-1))))</f>
        <v/>
      </c>
      <c r="BC192" s="3" t="str">
        <f>IF(51&gt;$C192,"",IF($D192=1,EOMONTH(EDATE(Bonds!$H192,6*(51-1)),0),EDATE(Bonds!$H192,6*(51-1))))</f>
        <v/>
      </c>
      <c r="BD192" s="3" t="str">
        <f>IF(52&gt;$C192,"",IF($D192=1,EOMONTH(EDATE(Bonds!$H192,6*(52-1)),0),EDATE(Bonds!$H192,6*(52-1))))</f>
        <v/>
      </c>
      <c r="BE192" s="3" t="str">
        <f>IF(53&gt;$C192,"",IF($D192=1,EOMONTH(EDATE(Bonds!$H192,6*(53-1)),0),EDATE(Bonds!$H192,6*(53-1))))</f>
        <v/>
      </c>
      <c r="BF192" s="3" t="str">
        <f>IF(54&gt;$C192,"",IF($D192=1,EOMONTH(EDATE(Bonds!$H192,6*(54-1)),0),EDATE(Bonds!$H192,6*(54-1))))</f>
        <v/>
      </c>
      <c r="BG192" s="3" t="str">
        <f>IF(55&gt;$C192,"",IF($D192=1,EOMONTH(EDATE(Bonds!$H192,6*(55-1)),0),EDATE(Bonds!$H192,6*(55-1))))</f>
        <v/>
      </c>
      <c r="BH192" s="3" t="str">
        <f>IF(56&gt;$C192,"",IF($D192=1,EOMONTH(EDATE(Bonds!$H192,6*(56-1)),0),EDATE(Bonds!$H192,6*(56-1))))</f>
        <v/>
      </c>
      <c r="BI192" s="3" t="str">
        <f>IF(57&gt;$C192,"",IF($D192=1,EOMONTH(EDATE(Bonds!$H192,6*(57-1)),0),EDATE(Bonds!$H192,6*(57-1))))</f>
        <v/>
      </c>
      <c r="BJ192" s="3" t="str">
        <f>IF(58&gt;$C192,"",IF($D192=1,EOMONTH(EDATE(Bonds!$H192,6*(58-1)),0),EDATE(Bonds!$H192,6*(58-1))))</f>
        <v/>
      </c>
      <c r="BK192" s="3" t="str">
        <f>IF(59&gt;$C192,"",IF($D192=1,EOMONTH(EDATE(Bonds!$H192,6*(59-1)),0),EDATE(Bonds!$H192,6*(59-1))))</f>
        <v/>
      </c>
      <c r="BL192" s="3" t="str">
        <f>IF(60&gt;$C192,"",IF($D192=1,EOMONTH(EDATE(Bonds!$H192,6*(60-1)),0),EDATE(Bonds!$H192,6*(60-1))))</f>
        <v/>
      </c>
      <c r="BN192" s="7">
        <f t="shared" si="123"/>
        <v>2.1687647332660678</v>
      </c>
      <c r="BO192" s="7">
        <f t="shared" si="124"/>
        <v>2.1243558944417114</v>
      </c>
      <c r="BP192" s="7">
        <f t="shared" si="125"/>
        <v>2.0776410697102401</v>
      </c>
      <c r="BQ192" s="7">
        <f t="shared" si="126"/>
        <v>2.0307268396582332</v>
      </c>
      <c r="BR192" s="7">
        <f t="shared" si="127"/>
        <v>1.9845315176984117</v>
      </c>
      <c r="BS192" s="7">
        <f t="shared" si="128"/>
        <v>1.9396542957373353</v>
      </c>
      <c r="BT192" s="7">
        <f t="shared" si="129"/>
        <v>1.8956477904529276</v>
      </c>
      <c r="BU192" s="7">
        <f t="shared" si="130"/>
        <v>1.8528865297156576</v>
      </c>
      <c r="BV192" s="7">
        <f t="shared" si="131"/>
        <v>84.587121470986915</v>
      </c>
      <c r="BW192" s="7">
        <f t="shared" si="132"/>
        <v>0</v>
      </c>
      <c r="BX192" s="7">
        <f t="shared" si="133"/>
        <v>0</v>
      </c>
      <c r="BY192" s="7">
        <f t="shared" si="134"/>
        <v>0</v>
      </c>
      <c r="BZ192" s="7">
        <f t="shared" si="135"/>
        <v>0</v>
      </c>
      <c r="CA192" s="7">
        <f t="shared" si="136"/>
        <v>0</v>
      </c>
      <c r="CB192" s="7">
        <f t="shared" si="137"/>
        <v>0</v>
      </c>
      <c r="CC192" s="7">
        <f t="shared" si="138"/>
        <v>0</v>
      </c>
      <c r="CD192" s="7">
        <f t="shared" si="139"/>
        <v>0</v>
      </c>
      <c r="CE192" s="7">
        <f t="shared" si="140"/>
        <v>0</v>
      </c>
      <c r="CF192" s="7">
        <f t="shared" si="141"/>
        <v>0</v>
      </c>
      <c r="CG192" s="7">
        <f t="shared" si="142"/>
        <v>0</v>
      </c>
      <c r="CH192" s="7">
        <f t="shared" si="143"/>
        <v>0</v>
      </c>
      <c r="CI192" s="7">
        <f t="shared" si="144"/>
        <v>0</v>
      </c>
      <c r="CJ192" s="7">
        <f t="shared" si="145"/>
        <v>0</v>
      </c>
      <c r="CK192" s="7">
        <f t="shared" si="146"/>
        <v>0</v>
      </c>
      <c r="CL192" s="7">
        <f t="shared" si="147"/>
        <v>0</v>
      </c>
      <c r="CM192" s="7">
        <f t="shared" si="148"/>
        <v>0</v>
      </c>
      <c r="CN192" s="7">
        <f t="shared" si="149"/>
        <v>0</v>
      </c>
      <c r="CO192" s="7">
        <f t="shared" si="150"/>
        <v>0</v>
      </c>
      <c r="CP192" s="7">
        <f t="shared" si="151"/>
        <v>0</v>
      </c>
      <c r="CQ192" s="7">
        <f t="shared" si="152"/>
        <v>0</v>
      </c>
      <c r="CR192" s="7">
        <f t="shared" si="153"/>
        <v>0</v>
      </c>
      <c r="CS192" s="7">
        <f t="shared" si="154"/>
        <v>0</v>
      </c>
      <c r="CT192" s="7">
        <f t="shared" si="155"/>
        <v>0</v>
      </c>
      <c r="CU192" s="7">
        <f t="shared" si="156"/>
        <v>0</v>
      </c>
      <c r="CV192" s="7">
        <f t="shared" si="157"/>
        <v>0</v>
      </c>
      <c r="CW192" s="7">
        <f t="shared" si="158"/>
        <v>0</v>
      </c>
      <c r="CX192" s="7">
        <f t="shared" si="159"/>
        <v>0</v>
      </c>
      <c r="CY192" s="7">
        <f t="shared" si="160"/>
        <v>0</v>
      </c>
      <c r="CZ192" s="7">
        <f t="shared" si="161"/>
        <v>0</v>
      </c>
      <c r="DA192" s="7">
        <f t="shared" si="162"/>
        <v>0</v>
      </c>
      <c r="DB192" s="7">
        <f t="shared" si="163"/>
        <v>0</v>
      </c>
      <c r="DC192" s="7">
        <f t="shared" si="164"/>
        <v>0</v>
      </c>
      <c r="DD192" s="7">
        <f t="shared" si="165"/>
        <v>0</v>
      </c>
      <c r="DE192" s="7">
        <f t="shared" si="166"/>
        <v>0</v>
      </c>
      <c r="DF192" s="7">
        <f t="shared" si="167"/>
        <v>0</v>
      </c>
      <c r="DG192" s="7">
        <f t="shared" si="168"/>
        <v>0</v>
      </c>
      <c r="DH192" s="7">
        <f t="shared" si="169"/>
        <v>0</v>
      </c>
      <c r="DI192" s="7">
        <f t="shared" si="170"/>
        <v>0</v>
      </c>
      <c r="DJ192" s="7">
        <f t="shared" si="171"/>
        <v>0</v>
      </c>
      <c r="DK192" s="7">
        <f t="shared" si="172"/>
        <v>0</v>
      </c>
      <c r="DL192" s="7">
        <f t="shared" si="173"/>
        <v>0</v>
      </c>
      <c r="DM192" s="7">
        <f t="shared" si="174"/>
        <v>0</v>
      </c>
      <c r="DN192" s="7">
        <f t="shared" si="175"/>
        <v>0</v>
      </c>
      <c r="DO192" s="7">
        <f t="shared" si="176"/>
        <v>0</v>
      </c>
      <c r="DP192" s="7">
        <f t="shared" si="177"/>
        <v>0</v>
      </c>
      <c r="DQ192" s="7">
        <f t="shared" si="178"/>
        <v>0</v>
      </c>
      <c r="DR192" s="7">
        <f t="shared" si="179"/>
        <v>0</v>
      </c>
      <c r="DS192" s="7">
        <f t="shared" si="180"/>
        <v>0</v>
      </c>
      <c r="DT192" s="7">
        <f t="shared" si="181"/>
        <v>0</v>
      </c>
      <c r="DU192" s="7">
        <f t="shared" si="182"/>
        <v>0</v>
      </c>
    </row>
    <row r="193" spans="1:125" x14ac:dyDescent="0.2">
      <c r="A193" s="3">
        <f>Bonds!A193</f>
        <v>47848</v>
      </c>
      <c r="B193" s="4">
        <f>Bonds!B193</f>
        <v>3.625</v>
      </c>
      <c r="C193">
        <f>Bonds!P193</f>
        <v>9</v>
      </c>
      <c r="D193">
        <f t="shared" si="122"/>
        <v>1</v>
      </c>
      <c r="E193" s="3">
        <f>IF(1&gt;$C193,"",IF($D193=1,EOMONTH(EDATE(Bonds!$H193,6*(1-1)),0),EDATE(Bonds!$H193,6*(1-1))))</f>
        <v>46387</v>
      </c>
      <c r="F193" s="3">
        <f>IF(2&gt;$C193,"",IF($D193=1,EOMONTH(EDATE(Bonds!$H193,6*(2-1)),0),EDATE(Bonds!$H193,6*(2-1))))</f>
        <v>46568</v>
      </c>
      <c r="G193" s="3">
        <f>IF(3&gt;$C193,"",IF($D193=1,EOMONTH(EDATE(Bonds!$H193,6*(3-1)),0),EDATE(Bonds!$H193,6*(3-1))))</f>
        <v>46752</v>
      </c>
      <c r="H193" s="3">
        <f>IF(4&gt;$C193,"",IF($D193=1,EOMONTH(EDATE(Bonds!$H193,6*(4-1)),0),EDATE(Bonds!$H193,6*(4-1))))</f>
        <v>46934</v>
      </c>
      <c r="I193" s="3">
        <f>IF(5&gt;$C193,"",IF($D193=1,EOMONTH(EDATE(Bonds!$H193,6*(5-1)),0),EDATE(Bonds!$H193,6*(5-1))))</f>
        <v>47118</v>
      </c>
      <c r="J193" s="3">
        <f>IF(6&gt;$C193,"",IF($D193=1,EOMONTH(EDATE(Bonds!$H193,6*(6-1)),0),EDATE(Bonds!$H193,6*(6-1))))</f>
        <v>47299</v>
      </c>
      <c r="K193" s="3">
        <f>IF(7&gt;$C193,"",IF($D193=1,EOMONTH(EDATE(Bonds!$H193,6*(7-1)),0),EDATE(Bonds!$H193,6*(7-1))))</f>
        <v>47483</v>
      </c>
      <c r="L193" s="3">
        <f>IF(8&gt;$C193,"",IF($D193=1,EOMONTH(EDATE(Bonds!$H193,6*(8-1)),0),EDATE(Bonds!$H193,6*(8-1))))</f>
        <v>47664</v>
      </c>
      <c r="M193" s="3">
        <f>IF(9&gt;$C193,"",IF($D193=1,EOMONTH(EDATE(Bonds!$H193,6*(9-1)),0),EDATE(Bonds!$H193,6*(9-1))))</f>
        <v>47848</v>
      </c>
      <c r="N193" s="3" t="str">
        <f>IF(10&gt;$C193,"",IF($D193=1,EOMONTH(EDATE(Bonds!$H193,6*(10-1)),0),EDATE(Bonds!$H193,6*(10-1))))</f>
        <v/>
      </c>
      <c r="O193" s="3" t="str">
        <f>IF(11&gt;$C193,"",IF($D193=1,EOMONTH(EDATE(Bonds!$H193,6*(11-1)),0),EDATE(Bonds!$H193,6*(11-1))))</f>
        <v/>
      </c>
      <c r="P193" s="3" t="str">
        <f>IF(12&gt;$C193,"",IF($D193=1,EOMONTH(EDATE(Bonds!$H193,6*(12-1)),0),EDATE(Bonds!$H193,6*(12-1))))</f>
        <v/>
      </c>
      <c r="Q193" s="3" t="str">
        <f>IF(13&gt;$C193,"",IF($D193=1,EOMONTH(EDATE(Bonds!$H193,6*(13-1)),0),EDATE(Bonds!$H193,6*(13-1))))</f>
        <v/>
      </c>
      <c r="R193" s="3" t="str">
        <f>IF(14&gt;$C193,"",IF($D193=1,EOMONTH(EDATE(Bonds!$H193,6*(14-1)),0),EDATE(Bonds!$H193,6*(14-1))))</f>
        <v/>
      </c>
      <c r="S193" s="3" t="str">
        <f>IF(15&gt;$C193,"",IF($D193=1,EOMONTH(EDATE(Bonds!$H193,6*(15-1)),0),EDATE(Bonds!$H193,6*(15-1))))</f>
        <v/>
      </c>
      <c r="T193" s="3" t="str">
        <f>IF(16&gt;$C193,"",IF($D193=1,EOMONTH(EDATE(Bonds!$H193,6*(16-1)),0),EDATE(Bonds!$H193,6*(16-1))))</f>
        <v/>
      </c>
      <c r="U193" s="3" t="str">
        <f>IF(17&gt;$C193,"",IF($D193=1,EOMONTH(EDATE(Bonds!$H193,6*(17-1)),0),EDATE(Bonds!$H193,6*(17-1))))</f>
        <v/>
      </c>
      <c r="V193" s="3" t="str">
        <f>IF(18&gt;$C193,"",IF($D193=1,EOMONTH(EDATE(Bonds!$H193,6*(18-1)),0),EDATE(Bonds!$H193,6*(18-1))))</f>
        <v/>
      </c>
      <c r="W193" s="3" t="str">
        <f>IF(19&gt;$C193,"",IF($D193=1,EOMONTH(EDATE(Bonds!$H193,6*(19-1)),0),EDATE(Bonds!$H193,6*(19-1))))</f>
        <v/>
      </c>
      <c r="X193" s="3" t="str">
        <f>IF(20&gt;$C193,"",IF($D193=1,EOMONTH(EDATE(Bonds!$H193,6*(20-1)),0),EDATE(Bonds!$H193,6*(20-1))))</f>
        <v/>
      </c>
      <c r="Y193" s="3" t="str">
        <f>IF(21&gt;$C193,"",IF($D193=1,EOMONTH(EDATE(Bonds!$H193,6*(21-1)),0),EDATE(Bonds!$H193,6*(21-1))))</f>
        <v/>
      </c>
      <c r="Z193" s="3" t="str">
        <f>IF(22&gt;$C193,"",IF($D193=1,EOMONTH(EDATE(Bonds!$H193,6*(22-1)),0),EDATE(Bonds!$H193,6*(22-1))))</f>
        <v/>
      </c>
      <c r="AA193" s="3" t="str">
        <f>IF(23&gt;$C193,"",IF($D193=1,EOMONTH(EDATE(Bonds!$H193,6*(23-1)),0),EDATE(Bonds!$H193,6*(23-1))))</f>
        <v/>
      </c>
      <c r="AB193" s="3" t="str">
        <f>IF(24&gt;$C193,"",IF($D193=1,EOMONTH(EDATE(Bonds!$H193,6*(24-1)),0),EDATE(Bonds!$H193,6*(24-1))))</f>
        <v/>
      </c>
      <c r="AC193" s="3" t="str">
        <f>IF(25&gt;$C193,"",IF($D193=1,EOMONTH(EDATE(Bonds!$H193,6*(25-1)),0),EDATE(Bonds!$H193,6*(25-1))))</f>
        <v/>
      </c>
      <c r="AD193" s="3" t="str">
        <f>IF(26&gt;$C193,"",IF($D193=1,EOMONTH(EDATE(Bonds!$H193,6*(26-1)),0),EDATE(Bonds!$H193,6*(26-1))))</f>
        <v/>
      </c>
      <c r="AE193" s="3" t="str">
        <f>IF(27&gt;$C193,"",IF($D193=1,EOMONTH(EDATE(Bonds!$H193,6*(27-1)),0),EDATE(Bonds!$H193,6*(27-1))))</f>
        <v/>
      </c>
      <c r="AF193" s="3" t="str">
        <f>IF(28&gt;$C193,"",IF($D193=1,EOMONTH(EDATE(Bonds!$H193,6*(28-1)),0),EDATE(Bonds!$H193,6*(28-1))))</f>
        <v/>
      </c>
      <c r="AG193" s="3" t="str">
        <f>IF(29&gt;$C193,"",IF($D193=1,EOMONTH(EDATE(Bonds!$H193,6*(29-1)),0),EDATE(Bonds!$H193,6*(29-1))))</f>
        <v/>
      </c>
      <c r="AH193" s="3" t="str">
        <f>IF(30&gt;$C193,"",IF($D193=1,EOMONTH(EDATE(Bonds!$H193,6*(30-1)),0),EDATE(Bonds!$H193,6*(30-1))))</f>
        <v/>
      </c>
      <c r="AI193" s="3" t="str">
        <f>IF(31&gt;$C193,"",IF($D193=1,EOMONTH(EDATE(Bonds!$H193,6*(31-1)),0),EDATE(Bonds!$H193,6*(31-1))))</f>
        <v/>
      </c>
      <c r="AJ193" s="3" t="str">
        <f>IF(32&gt;$C193,"",IF($D193=1,EOMONTH(EDATE(Bonds!$H193,6*(32-1)),0),EDATE(Bonds!$H193,6*(32-1))))</f>
        <v/>
      </c>
      <c r="AK193" s="3" t="str">
        <f>IF(33&gt;$C193,"",IF($D193=1,EOMONTH(EDATE(Bonds!$H193,6*(33-1)),0),EDATE(Bonds!$H193,6*(33-1))))</f>
        <v/>
      </c>
      <c r="AL193" s="3" t="str">
        <f>IF(34&gt;$C193,"",IF($D193=1,EOMONTH(EDATE(Bonds!$H193,6*(34-1)),0),EDATE(Bonds!$H193,6*(34-1))))</f>
        <v/>
      </c>
      <c r="AM193" s="3" t="str">
        <f>IF(35&gt;$C193,"",IF($D193=1,EOMONTH(EDATE(Bonds!$H193,6*(35-1)),0),EDATE(Bonds!$H193,6*(35-1))))</f>
        <v/>
      </c>
      <c r="AN193" s="3" t="str">
        <f>IF(36&gt;$C193,"",IF($D193=1,EOMONTH(EDATE(Bonds!$H193,6*(36-1)),0),EDATE(Bonds!$H193,6*(36-1))))</f>
        <v/>
      </c>
      <c r="AO193" s="3" t="str">
        <f>IF(37&gt;$C193,"",IF($D193=1,EOMONTH(EDATE(Bonds!$H193,6*(37-1)),0),EDATE(Bonds!$H193,6*(37-1))))</f>
        <v/>
      </c>
      <c r="AP193" s="3" t="str">
        <f>IF(38&gt;$C193,"",IF($D193=1,EOMONTH(EDATE(Bonds!$H193,6*(38-1)),0),EDATE(Bonds!$H193,6*(38-1))))</f>
        <v/>
      </c>
      <c r="AQ193" s="3" t="str">
        <f>IF(39&gt;$C193,"",IF($D193=1,EOMONTH(EDATE(Bonds!$H193,6*(39-1)),0),EDATE(Bonds!$H193,6*(39-1))))</f>
        <v/>
      </c>
      <c r="AR193" s="3" t="str">
        <f>IF(40&gt;$C193,"",IF($D193=1,EOMONTH(EDATE(Bonds!$H193,6*(40-1)),0),EDATE(Bonds!$H193,6*(40-1))))</f>
        <v/>
      </c>
      <c r="AS193" s="3" t="str">
        <f>IF(41&gt;$C193,"",IF($D193=1,EOMONTH(EDATE(Bonds!$H193,6*(41-1)),0),EDATE(Bonds!$H193,6*(41-1))))</f>
        <v/>
      </c>
      <c r="AT193" s="3" t="str">
        <f>IF(42&gt;$C193,"",IF($D193=1,EOMONTH(EDATE(Bonds!$H193,6*(42-1)),0),EDATE(Bonds!$H193,6*(42-1))))</f>
        <v/>
      </c>
      <c r="AU193" s="3" t="str">
        <f>IF(43&gt;$C193,"",IF($D193=1,EOMONTH(EDATE(Bonds!$H193,6*(43-1)),0),EDATE(Bonds!$H193,6*(43-1))))</f>
        <v/>
      </c>
      <c r="AV193" s="3" t="str">
        <f>IF(44&gt;$C193,"",IF($D193=1,EOMONTH(EDATE(Bonds!$H193,6*(44-1)),0),EDATE(Bonds!$H193,6*(44-1))))</f>
        <v/>
      </c>
      <c r="AW193" s="3" t="str">
        <f>IF(45&gt;$C193,"",IF($D193=1,EOMONTH(EDATE(Bonds!$H193,6*(45-1)),0),EDATE(Bonds!$H193,6*(45-1))))</f>
        <v/>
      </c>
      <c r="AX193" s="3" t="str">
        <f>IF(46&gt;$C193,"",IF($D193=1,EOMONTH(EDATE(Bonds!$H193,6*(46-1)),0),EDATE(Bonds!$H193,6*(46-1))))</f>
        <v/>
      </c>
      <c r="AY193" s="3" t="str">
        <f>IF(47&gt;$C193,"",IF($D193=1,EOMONTH(EDATE(Bonds!$H193,6*(47-1)),0),EDATE(Bonds!$H193,6*(47-1))))</f>
        <v/>
      </c>
      <c r="AZ193" s="3" t="str">
        <f>IF(48&gt;$C193,"",IF($D193=1,EOMONTH(EDATE(Bonds!$H193,6*(48-1)),0),EDATE(Bonds!$H193,6*(48-1))))</f>
        <v/>
      </c>
      <c r="BA193" s="3" t="str">
        <f>IF(49&gt;$C193,"",IF($D193=1,EOMONTH(EDATE(Bonds!$H193,6*(49-1)),0),EDATE(Bonds!$H193,6*(49-1))))</f>
        <v/>
      </c>
      <c r="BB193" s="3" t="str">
        <f>IF(50&gt;$C193,"",IF($D193=1,EOMONTH(EDATE(Bonds!$H193,6*(50-1)),0),EDATE(Bonds!$H193,6*(50-1))))</f>
        <v/>
      </c>
      <c r="BC193" s="3" t="str">
        <f>IF(51&gt;$C193,"",IF($D193=1,EOMONTH(EDATE(Bonds!$H193,6*(51-1)),0),EDATE(Bonds!$H193,6*(51-1))))</f>
        <v/>
      </c>
      <c r="BD193" s="3" t="str">
        <f>IF(52&gt;$C193,"",IF($D193=1,EOMONTH(EDATE(Bonds!$H193,6*(52-1)),0),EDATE(Bonds!$H193,6*(52-1))))</f>
        <v/>
      </c>
      <c r="BE193" s="3" t="str">
        <f>IF(53&gt;$C193,"",IF($D193=1,EOMONTH(EDATE(Bonds!$H193,6*(53-1)),0),EDATE(Bonds!$H193,6*(53-1))))</f>
        <v/>
      </c>
      <c r="BF193" s="3" t="str">
        <f>IF(54&gt;$C193,"",IF($D193=1,EOMONTH(EDATE(Bonds!$H193,6*(54-1)),0),EDATE(Bonds!$H193,6*(54-1))))</f>
        <v/>
      </c>
      <c r="BG193" s="3" t="str">
        <f>IF(55&gt;$C193,"",IF($D193=1,EOMONTH(EDATE(Bonds!$H193,6*(55-1)),0),EDATE(Bonds!$H193,6*(55-1))))</f>
        <v/>
      </c>
      <c r="BH193" s="3" t="str">
        <f>IF(56&gt;$C193,"",IF($D193=1,EOMONTH(EDATE(Bonds!$H193,6*(56-1)),0),EDATE(Bonds!$H193,6*(56-1))))</f>
        <v/>
      </c>
      <c r="BI193" s="3" t="str">
        <f>IF(57&gt;$C193,"",IF($D193=1,EOMONTH(EDATE(Bonds!$H193,6*(57-1)),0),EDATE(Bonds!$H193,6*(57-1))))</f>
        <v/>
      </c>
      <c r="BJ193" s="3" t="str">
        <f>IF(58&gt;$C193,"",IF($D193=1,EOMONTH(EDATE(Bonds!$H193,6*(58-1)),0),EDATE(Bonds!$H193,6*(58-1))))</f>
        <v/>
      </c>
      <c r="BK193" s="3" t="str">
        <f>IF(59&gt;$C193,"",IF($D193=1,EOMONTH(EDATE(Bonds!$H193,6*(59-1)),0),EDATE(Bonds!$H193,6*(59-1))))</f>
        <v/>
      </c>
      <c r="BL193" s="3" t="str">
        <f>IF(60&gt;$C193,"",IF($D193=1,EOMONTH(EDATE(Bonds!$H193,6*(60-1)),0),EDATE(Bonds!$H193,6*(60-1))))</f>
        <v/>
      </c>
      <c r="BN193" s="7">
        <f t="shared" si="123"/>
        <v>1.7909287824979381</v>
      </c>
      <c r="BO193" s="7">
        <f t="shared" si="124"/>
        <v>1.7538991307072467</v>
      </c>
      <c r="BP193" s="7">
        <f t="shared" si="125"/>
        <v>1.7148721453821318</v>
      </c>
      <c r="BQ193" s="7">
        <f t="shared" si="126"/>
        <v>1.6762744648928714</v>
      </c>
      <c r="BR193" s="7">
        <f t="shared" si="127"/>
        <v>1.637926988100219</v>
      </c>
      <c r="BS193" s="7">
        <f t="shared" si="128"/>
        <v>1.6011023762987422</v>
      </c>
      <c r="BT193" s="7">
        <f t="shared" si="129"/>
        <v>1.5645894985237951</v>
      </c>
      <c r="BU193" s="7">
        <f t="shared" si="130"/>
        <v>1.5294790518968537</v>
      </c>
      <c r="BV193" s="7">
        <f t="shared" si="131"/>
        <v>83.947668655046741</v>
      </c>
      <c r="BW193" s="7">
        <f t="shared" si="132"/>
        <v>0</v>
      </c>
      <c r="BX193" s="7">
        <f t="shared" si="133"/>
        <v>0</v>
      </c>
      <c r="BY193" s="7">
        <f t="shared" si="134"/>
        <v>0</v>
      </c>
      <c r="BZ193" s="7">
        <f t="shared" si="135"/>
        <v>0</v>
      </c>
      <c r="CA193" s="7">
        <f t="shared" si="136"/>
        <v>0</v>
      </c>
      <c r="CB193" s="7">
        <f t="shared" si="137"/>
        <v>0</v>
      </c>
      <c r="CC193" s="7">
        <f t="shared" si="138"/>
        <v>0</v>
      </c>
      <c r="CD193" s="7">
        <f t="shared" si="139"/>
        <v>0</v>
      </c>
      <c r="CE193" s="7">
        <f t="shared" si="140"/>
        <v>0</v>
      </c>
      <c r="CF193" s="7">
        <f t="shared" si="141"/>
        <v>0</v>
      </c>
      <c r="CG193" s="7">
        <f t="shared" si="142"/>
        <v>0</v>
      </c>
      <c r="CH193" s="7">
        <f t="shared" si="143"/>
        <v>0</v>
      </c>
      <c r="CI193" s="7">
        <f t="shared" si="144"/>
        <v>0</v>
      </c>
      <c r="CJ193" s="7">
        <f t="shared" si="145"/>
        <v>0</v>
      </c>
      <c r="CK193" s="7">
        <f t="shared" si="146"/>
        <v>0</v>
      </c>
      <c r="CL193" s="7">
        <f t="shared" si="147"/>
        <v>0</v>
      </c>
      <c r="CM193" s="7">
        <f t="shared" si="148"/>
        <v>0</v>
      </c>
      <c r="CN193" s="7">
        <f t="shared" si="149"/>
        <v>0</v>
      </c>
      <c r="CO193" s="7">
        <f t="shared" si="150"/>
        <v>0</v>
      </c>
      <c r="CP193" s="7">
        <f t="shared" si="151"/>
        <v>0</v>
      </c>
      <c r="CQ193" s="7">
        <f t="shared" si="152"/>
        <v>0</v>
      </c>
      <c r="CR193" s="7">
        <f t="shared" si="153"/>
        <v>0</v>
      </c>
      <c r="CS193" s="7">
        <f t="shared" si="154"/>
        <v>0</v>
      </c>
      <c r="CT193" s="7">
        <f t="shared" si="155"/>
        <v>0</v>
      </c>
      <c r="CU193" s="7">
        <f t="shared" si="156"/>
        <v>0</v>
      </c>
      <c r="CV193" s="7">
        <f t="shared" si="157"/>
        <v>0</v>
      </c>
      <c r="CW193" s="7">
        <f t="shared" si="158"/>
        <v>0</v>
      </c>
      <c r="CX193" s="7">
        <f t="shared" si="159"/>
        <v>0</v>
      </c>
      <c r="CY193" s="7">
        <f t="shared" si="160"/>
        <v>0</v>
      </c>
      <c r="CZ193" s="7">
        <f t="shared" si="161"/>
        <v>0</v>
      </c>
      <c r="DA193" s="7">
        <f t="shared" si="162"/>
        <v>0</v>
      </c>
      <c r="DB193" s="7">
        <f t="shared" si="163"/>
        <v>0</v>
      </c>
      <c r="DC193" s="7">
        <f t="shared" si="164"/>
        <v>0</v>
      </c>
      <c r="DD193" s="7">
        <f t="shared" si="165"/>
        <v>0</v>
      </c>
      <c r="DE193" s="7">
        <f t="shared" si="166"/>
        <v>0</v>
      </c>
      <c r="DF193" s="7">
        <f t="shared" si="167"/>
        <v>0</v>
      </c>
      <c r="DG193" s="7">
        <f t="shared" si="168"/>
        <v>0</v>
      </c>
      <c r="DH193" s="7">
        <f t="shared" si="169"/>
        <v>0</v>
      </c>
      <c r="DI193" s="7">
        <f t="shared" si="170"/>
        <v>0</v>
      </c>
      <c r="DJ193" s="7">
        <f t="shared" si="171"/>
        <v>0</v>
      </c>
      <c r="DK193" s="7">
        <f t="shared" si="172"/>
        <v>0</v>
      </c>
      <c r="DL193" s="7">
        <f t="shared" si="173"/>
        <v>0</v>
      </c>
      <c r="DM193" s="7">
        <f t="shared" si="174"/>
        <v>0</v>
      </c>
      <c r="DN193" s="7">
        <f t="shared" si="175"/>
        <v>0</v>
      </c>
      <c r="DO193" s="7">
        <f t="shared" si="176"/>
        <v>0</v>
      </c>
      <c r="DP193" s="7">
        <f t="shared" si="177"/>
        <v>0</v>
      </c>
      <c r="DQ193" s="7">
        <f t="shared" si="178"/>
        <v>0</v>
      </c>
      <c r="DR193" s="7">
        <f t="shared" si="179"/>
        <v>0</v>
      </c>
      <c r="DS193" s="7">
        <f t="shared" si="180"/>
        <v>0</v>
      </c>
      <c r="DT193" s="7">
        <f t="shared" si="181"/>
        <v>0</v>
      </c>
      <c r="DU193" s="7">
        <f t="shared" si="182"/>
        <v>0</v>
      </c>
    </row>
    <row r="194" spans="1:125" x14ac:dyDescent="0.2">
      <c r="A194" s="3">
        <f>Bonds!A194</f>
        <v>47848</v>
      </c>
      <c r="B194" s="4">
        <f>Bonds!B194</f>
        <v>3.75</v>
      </c>
      <c r="C194">
        <f>Bonds!P194</f>
        <v>9</v>
      </c>
      <c r="D194">
        <f t="shared" si="122"/>
        <v>1</v>
      </c>
      <c r="E194" s="3">
        <f>IF(1&gt;$C194,"",IF($D194=1,EOMONTH(EDATE(Bonds!$H194,6*(1-1)),0),EDATE(Bonds!$H194,6*(1-1))))</f>
        <v>46387</v>
      </c>
      <c r="F194" s="3">
        <f>IF(2&gt;$C194,"",IF($D194=1,EOMONTH(EDATE(Bonds!$H194,6*(2-1)),0),EDATE(Bonds!$H194,6*(2-1))))</f>
        <v>46568</v>
      </c>
      <c r="G194" s="3">
        <f>IF(3&gt;$C194,"",IF($D194=1,EOMONTH(EDATE(Bonds!$H194,6*(3-1)),0),EDATE(Bonds!$H194,6*(3-1))))</f>
        <v>46752</v>
      </c>
      <c r="H194" s="3">
        <f>IF(4&gt;$C194,"",IF($D194=1,EOMONTH(EDATE(Bonds!$H194,6*(4-1)),0),EDATE(Bonds!$H194,6*(4-1))))</f>
        <v>46934</v>
      </c>
      <c r="I194" s="3">
        <f>IF(5&gt;$C194,"",IF($D194=1,EOMONTH(EDATE(Bonds!$H194,6*(5-1)),0),EDATE(Bonds!$H194,6*(5-1))))</f>
        <v>47118</v>
      </c>
      <c r="J194" s="3">
        <f>IF(6&gt;$C194,"",IF($D194=1,EOMONTH(EDATE(Bonds!$H194,6*(6-1)),0),EDATE(Bonds!$H194,6*(6-1))))</f>
        <v>47299</v>
      </c>
      <c r="K194" s="3">
        <f>IF(7&gt;$C194,"",IF($D194=1,EOMONTH(EDATE(Bonds!$H194,6*(7-1)),0),EDATE(Bonds!$H194,6*(7-1))))</f>
        <v>47483</v>
      </c>
      <c r="L194" s="3">
        <f>IF(8&gt;$C194,"",IF($D194=1,EOMONTH(EDATE(Bonds!$H194,6*(8-1)),0),EDATE(Bonds!$H194,6*(8-1))))</f>
        <v>47664</v>
      </c>
      <c r="M194" s="3">
        <f>IF(9&gt;$C194,"",IF($D194=1,EOMONTH(EDATE(Bonds!$H194,6*(9-1)),0),EDATE(Bonds!$H194,6*(9-1))))</f>
        <v>47848</v>
      </c>
      <c r="N194" s="3" t="str">
        <f>IF(10&gt;$C194,"",IF($D194=1,EOMONTH(EDATE(Bonds!$H194,6*(10-1)),0),EDATE(Bonds!$H194,6*(10-1))))</f>
        <v/>
      </c>
      <c r="O194" s="3" t="str">
        <f>IF(11&gt;$C194,"",IF($D194=1,EOMONTH(EDATE(Bonds!$H194,6*(11-1)),0),EDATE(Bonds!$H194,6*(11-1))))</f>
        <v/>
      </c>
      <c r="P194" s="3" t="str">
        <f>IF(12&gt;$C194,"",IF($D194=1,EOMONTH(EDATE(Bonds!$H194,6*(12-1)),0),EDATE(Bonds!$H194,6*(12-1))))</f>
        <v/>
      </c>
      <c r="Q194" s="3" t="str">
        <f>IF(13&gt;$C194,"",IF($D194=1,EOMONTH(EDATE(Bonds!$H194,6*(13-1)),0),EDATE(Bonds!$H194,6*(13-1))))</f>
        <v/>
      </c>
      <c r="R194" s="3" t="str">
        <f>IF(14&gt;$C194,"",IF($D194=1,EOMONTH(EDATE(Bonds!$H194,6*(14-1)),0),EDATE(Bonds!$H194,6*(14-1))))</f>
        <v/>
      </c>
      <c r="S194" s="3" t="str">
        <f>IF(15&gt;$C194,"",IF($D194=1,EOMONTH(EDATE(Bonds!$H194,6*(15-1)),0),EDATE(Bonds!$H194,6*(15-1))))</f>
        <v/>
      </c>
      <c r="T194" s="3" t="str">
        <f>IF(16&gt;$C194,"",IF($D194=1,EOMONTH(EDATE(Bonds!$H194,6*(16-1)),0),EDATE(Bonds!$H194,6*(16-1))))</f>
        <v/>
      </c>
      <c r="U194" s="3" t="str">
        <f>IF(17&gt;$C194,"",IF($D194=1,EOMONTH(EDATE(Bonds!$H194,6*(17-1)),0),EDATE(Bonds!$H194,6*(17-1))))</f>
        <v/>
      </c>
      <c r="V194" s="3" t="str">
        <f>IF(18&gt;$C194,"",IF($D194=1,EOMONTH(EDATE(Bonds!$H194,6*(18-1)),0),EDATE(Bonds!$H194,6*(18-1))))</f>
        <v/>
      </c>
      <c r="W194" s="3" t="str">
        <f>IF(19&gt;$C194,"",IF($D194=1,EOMONTH(EDATE(Bonds!$H194,6*(19-1)),0),EDATE(Bonds!$H194,6*(19-1))))</f>
        <v/>
      </c>
      <c r="X194" s="3" t="str">
        <f>IF(20&gt;$C194,"",IF($D194=1,EOMONTH(EDATE(Bonds!$H194,6*(20-1)),0),EDATE(Bonds!$H194,6*(20-1))))</f>
        <v/>
      </c>
      <c r="Y194" s="3" t="str">
        <f>IF(21&gt;$C194,"",IF($D194=1,EOMONTH(EDATE(Bonds!$H194,6*(21-1)),0),EDATE(Bonds!$H194,6*(21-1))))</f>
        <v/>
      </c>
      <c r="Z194" s="3" t="str">
        <f>IF(22&gt;$C194,"",IF($D194=1,EOMONTH(EDATE(Bonds!$H194,6*(22-1)),0),EDATE(Bonds!$H194,6*(22-1))))</f>
        <v/>
      </c>
      <c r="AA194" s="3" t="str">
        <f>IF(23&gt;$C194,"",IF($D194=1,EOMONTH(EDATE(Bonds!$H194,6*(23-1)),0),EDATE(Bonds!$H194,6*(23-1))))</f>
        <v/>
      </c>
      <c r="AB194" s="3" t="str">
        <f>IF(24&gt;$C194,"",IF($D194=1,EOMONTH(EDATE(Bonds!$H194,6*(24-1)),0),EDATE(Bonds!$H194,6*(24-1))))</f>
        <v/>
      </c>
      <c r="AC194" s="3" t="str">
        <f>IF(25&gt;$C194,"",IF($D194=1,EOMONTH(EDATE(Bonds!$H194,6*(25-1)),0),EDATE(Bonds!$H194,6*(25-1))))</f>
        <v/>
      </c>
      <c r="AD194" s="3" t="str">
        <f>IF(26&gt;$C194,"",IF($D194=1,EOMONTH(EDATE(Bonds!$H194,6*(26-1)),0),EDATE(Bonds!$H194,6*(26-1))))</f>
        <v/>
      </c>
      <c r="AE194" s="3" t="str">
        <f>IF(27&gt;$C194,"",IF($D194=1,EOMONTH(EDATE(Bonds!$H194,6*(27-1)),0),EDATE(Bonds!$H194,6*(27-1))))</f>
        <v/>
      </c>
      <c r="AF194" s="3" t="str">
        <f>IF(28&gt;$C194,"",IF($D194=1,EOMONTH(EDATE(Bonds!$H194,6*(28-1)),0),EDATE(Bonds!$H194,6*(28-1))))</f>
        <v/>
      </c>
      <c r="AG194" s="3" t="str">
        <f>IF(29&gt;$C194,"",IF($D194=1,EOMONTH(EDATE(Bonds!$H194,6*(29-1)),0),EDATE(Bonds!$H194,6*(29-1))))</f>
        <v/>
      </c>
      <c r="AH194" s="3" t="str">
        <f>IF(30&gt;$C194,"",IF($D194=1,EOMONTH(EDATE(Bonds!$H194,6*(30-1)),0),EDATE(Bonds!$H194,6*(30-1))))</f>
        <v/>
      </c>
      <c r="AI194" s="3" t="str">
        <f>IF(31&gt;$C194,"",IF($D194=1,EOMONTH(EDATE(Bonds!$H194,6*(31-1)),0),EDATE(Bonds!$H194,6*(31-1))))</f>
        <v/>
      </c>
      <c r="AJ194" s="3" t="str">
        <f>IF(32&gt;$C194,"",IF($D194=1,EOMONTH(EDATE(Bonds!$H194,6*(32-1)),0),EDATE(Bonds!$H194,6*(32-1))))</f>
        <v/>
      </c>
      <c r="AK194" s="3" t="str">
        <f>IF(33&gt;$C194,"",IF($D194=1,EOMONTH(EDATE(Bonds!$H194,6*(33-1)),0),EDATE(Bonds!$H194,6*(33-1))))</f>
        <v/>
      </c>
      <c r="AL194" s="3" t="str">
        <f>IF(34&gt;$C194,"",IF($D194=1,EOMONTH(EDATE(Bonds!$H194,6*(34-1)),0),EDATE(Bonds!$H194,6*(34-1))))</f>
        <v/>
      </c>
      <c r="AM194" s="3" t="str">
        <f>IF(35&gt;$C194,"",IF($D194=1,EOMONTH(EDATE(Bonds!$H194,6*(35-1)),0),EDATE(Bonds!$H194,6*(35-1))))</f>
        <v/>
      </c>
      <c r="AN194" s="3" t="str">
        <f>IF(36&gt;$C194,"",IF($D194=1,EOMONTH(EDATE(Bonds!$H194,6*(36-1)),0),EDATE(Bonds!$H194,6*(36-1))))</f>
        <v/>
      </c>
      <c r="AO194" s="3" t="str">
        <f>IF(37&gt;$C194,"",IF($D194=1,EOMONTH(EDATE(Bonds!$H194,6*(37-1)),0),EDATE(Bonds!$H194,6*(37-1))))</f>
        <v/>
      </c>
      <c r="AP194" s="3" t="str">
        <f>IF(38&gt;$C194,"",IF($D194=1,EOMONTH(EDATE(Bonds!$H194,6*(38-1)),0),EDATE(Bonds!$H194,6*(38-1))))</f>
        <v/>
      </c>
      <c r="AQ194" s="3" t="str">
        <f>IF(39&gt;$C194,"",IF($D194=1,EOMONTH(EDATE(Bonds!$H194,6*(39-1)),0),EDATE(Bonds!$H194,6*(39-1))))</f>
        <v/>
      </c>
      <c r="AR194" s="3" t="str">
        <f>IF(40&gt;$C194,"",IF($D194=1,EOMONTH(EDATE(Bonds!$H194,6*(40-1)),0),EDATE(Bonds!$H194,6*(40-1))))</f>
        <v/>
      </c>
      <c r="AS194" s="3" t="str">
        <f>IF(41&gt;$C194,"",IF($D194=1,EOMONTH(EDATE(Bonds!$H194,6*(41-1)),0),EDATE(Bonds!$H194,6*(41-1))))</f>
        <v/>
      </c>
      <c r="AT194" s="3" t="str">
        <f>IF(42&gt;$C194,"",IF($D194=1,EOMONTH(EDATE(Bonds!$H194,6*(42-1)),0),EDATE(Bonds!$H194,6*(42-1))))</f>
        <v/>
      </c>
      <c r="AU194" s="3" t="str">
        <f>IF(43&gt;$C194,"",IF($D194=1,EOMONTH(EDATE(Bonds!$H194,6*(43-1)),0),EDATE(Bonds!$H194,6*(43-1))))</f>
        <v/>
      </c>
      <c r="AV194" s="3" t="str">
        <f>IF(44&gt;$C194,"",IF($D194=1,EOMONTH(EDATE(Bonds!$H194,6*(44-1)),0),EDATE(Bonds!$H194,6*(44-1))))</f>
        <v/>
      </c>
      <c r="AW194" s="3" t="str">
        <f>IF(45&gt;$C194,"",IF($D194=1,EOMONTH(EDATE(Bonds!$H194,6*(45-1)),0),EDATE(Bonds!$H194,6*(45-1))))</f>
        <v/>
      </c>
      <c r="AX194" s="3" t="str">
        <f>IF(46&gt;$C194,"",IF($D194=1,EOMONTH(EDATE(Bonds!$H194,6*(46-1)),0),EDATE(Bonds!$H194,6*(46-1))))</f>
        <v/>
      </c>
      <c r="AY194" s="3" t="str">
        <f>IF(47&gt;$C194,"",IF($D194=1,EOMONTH(EDATE(Bonds!$H194,6*(47-1)),0),EDATE(Bonds!$H194,6*(47-1))))</f>
        <v/>
      </c>
      <c r="AZ194" s="3" t="str">
        <f>IF(48&gt;$C194,"",IF($D194=1,EOMONTH(EDATE(Bonds!$H194,6*(48-1)),0),EDATE(Bonds!$H194,6*(48-1))))</f>
        <v/>
      </c>
      <c r="BA194" s="3" t="str">
        <f>IF(49&gt;$C194,"",IF($D194=1,EOMONTH(EDATE(Bonds!$H194,6*(49-1)),0),EDATE(Bonds!$H194,6*(49-1))))</f>
        <v/>
      </c>
      <c r="BB194" s="3" t="str">
        <f>IF(50&gt;$C194,"",IF($D194=1,EOMONTH(EDATE(Bonds!$H194,6*(50-1)),0),EDATE(Bonds!$H194,6*(50-1))))</f>
        <v/>
      </c>
      <c r="BC194" s="3" t="str">
        <f>IF(51&gt;$C194,"",IF($D194=1,EOMONTH(EDATE(Bonds!$H194,6*(51-1)),0),EDATE(Bonds!$H194,6*(51-1))))</f>
        <v/>
      </c>
      <c r="BD194" s="3" t="str">
        <f>IF(52&gt;$C194,"",IF($D194=1,EOMONTH(EDATE(Bonds!$H194,6*(52-1)),0),EDATE(Bonds!$H194,6*(52-1))))</f>
        <v/>
      </c>
      <c r="BE194" s="3" t="str">
        <f>IF(53&gt;$C194,"",IF($D194=1,EOMONTH(EDATE(Bonds!$H194,6*(53-1)),0),EDATE(Bonds!$H194,6*(53-1))))</f>
        <v/>
      </c>
      <c r="BF194" s="3" t="str">
        <f>IF(54&gt;$C194,"",IF($D194=1,EOMONTH(EDATE(Bonds!$H194,6*(54-1)),0),EDATE(Bonds!$H194,6*(54-1))))</f>
        <v/>
      </c>
      <c r="BG194" s="3" t="str">
        <f>IF(55&gt;$C194,"",IF($D194=1,EOMONTH(EDATE(Bonds!$H194,6*(55-1)),0),EDATE(Bonds!$H194,6*(55-1))))</f>
        <v/>
      </c>
      <c r="BH194" s="3" t="str">
        <f>IF(56&gt;$C194,"",IF($D194=1,EOMONTH(EDATE(Bonds!$H194,6*(56-1)),0),EDATE(Bonds!$H194,6*(56-1))))</f>
        <v/>
      </c>
      <c r="BI194" s="3" t="str">
        <f>IF(57&gt;$C194,"",IF($D194=1,EOMONTH(EDATE(Bonds!$H194,6*(57-1)),0),EDATE(Bonds!$H194,6*(57-1))))</f>
        <v/>
      </c>
      <c r="BJ194" s="3" t="str">
        <f>IF(58&gt;$C194,"",IF($D194=1,EOMONTH(EDATE(Bonds!$H194,6*(58-1)),0),EDATE(Bonds!$H194,6*(58-1))))</f>
        <v/>
      </c>
      <c r="BK194" s="3" t="str">
        <f>IF(59&gt;$C194,"",IF($D194=1,EOMONTH(EDATE(Bonds!$H194,6*(59-1)),0),EDATE(Bonds!$H194,6*(59-1))))</f>
        <v/>
      </c>
      <c r="BL194" s="3" t="str">
        <f>IF(60&gt;$C194,"",IF($D194=1,EOMONTH(EDATE(Bonds!$H194,6*(60-1)),0),EDATE(Bonds!$H194,6*(60-1))))</f>
        <v/>
      </c>
      <c r="BN194" s="7">
        <f t="shared" si="123"/>
        <v>1.85268494741166</v>
      </c>
      <c r="BO194" s="7">
        <f t="shared" si="124"/>
        <v>1.8143784110764622</v>
      </c>
      <c r="BP194" s="7">
        <f t="shared" si="125"/>
        <v>1.7740056676366882</v>
      </c>
      <c r="BQ194" s="7">
        <f t="shared" si="126"/>
        <v>1.7340770326477979</v>
      </c>
      <c r="BR194" s="7">
        <f t="shared" si="127"/>
        <v>1.6944072290691921</v>
      </c>
      <c r="BS194" s="7">
        <f t="shared" si="128"/>
        <v>1.6563128030676642</v>
      </c>
      <c r="BT194" s="7">
        <f t="shared" si="129"/>
        <v>1.618540860541857</v>
      </c>
      <c r="BU194" s="7">
        <f t="shared" si="130"/>
        <v>1.5822197088588141</v>
      </c>
      <c r="BV194" s="7">
        <f t="shared" si="131"/>
        <v>83.999201907750873</v>
      </c>
      <c r="BW194" s="7">
        <f t="shared" si="132"/>
        <v>0</v>
      </c>
      <c r="BX194" s="7">
        <f t="shared" si="133"/>
        <v>0</v>
      </c>
      <c r="BY194" s="7">
        <f t="shared" si="134"/>
        <v>0</v>
      </c>
      <c r="BZ194" s="7">
        <f t="shared" si="135"/>
        <v>0</v>
      </c>
      <c r="CA194" s="7">
        <f t="shared" si="136"/>
        <v>0</v>
      </c>
      <c r="CB194" s="7">
        <f t="shared" si="137"/>
        <v>0</v>
      </c>
      <c r="CC194" s="7">
        <f t="shared" si="138"/>
        <v>0</v>
      </c>
      <c r="CD194" s="7">
        <f t="shared" si="139"/>
        <v>0</v>
      </c>
      <c r="CE194" s="7">
        <f t="shared" si="140"/>
        <v>0</v>
      </c>
      <c r="CF194" s="7">
        <f t="shared" si="141"/>
        <v>0</v>
      </c>
      <c r="CG194" s="7">
        <f t="shared" si="142"/>
        <v>0</v>
      </c>
      <c r="CH194" s="7">
        <f t="shared" si="143"/>
        <v>0</v>
      </c>
      <c r="CI194" s="7">
        <f t="shared" si="144"/>
        <v>0</v>
      </c>
      <c r="CJ194" s="7">
        <f t="shared" si="145"/>
        <v>0</v>
      </c>
      <c r="CK194" s="7">
        <f t="shared" si="146"/>
        <v>0</v>
      </c>
      <c r="CL194" s="7">
        <f t="shared" si="147"/>
        <v>0</v>
      </c>
      <c r="CM194" s="7">
        <f t="shared" si="148"/>
        <v>0</v>
      </c>
      <c r="CN194" s="7">
        <f t="shared" si="149"/>
        <v>0</v>
      </c>
      <c r="CO194" s="7">
        <f t="shared" si="150"/>
        <v>0</v>
      </c>
      <c r="CP194" s="7">
        <f t="shared" si="151"/>
        <v>0</v>
      </c>
      <c r="CQ194" s="7">
        <f t="shared" si="152"/>
        <v>0</v>
      </c>
      <c r="CR194" s="7">
        <f t="shared" si="153"/>
        <v>0</v>
      </c>
      <c r="CS194" s="7">
        <f t="shared" si="154"/>
        <v>0</v>
      </c>
      <c r="CT194" s="7">
        <f t="shared" si="155"/>
        <v>0</v>
      </c>
      <c r="CU194" s="7">
        <f t="shared" si="156"/>
        <v>0</v>
      </c>
      <c r="CV194" s="7">
        <f t="shared" si="157"/>
        <v>0</v>
      </c>
      <c r="CW194" s="7">
        <f t="shared" si="158"/>
        <v>0</v>
      </c>
      <c r="CX194" s="7">
        <f t="shared" si="159"/>
        <v>0</v>
      </c>
      <c r="CY194" s="7">
        <f t="shared" si="160"/>
        <v>0</v>
      </c>
      <c r="CZ194" s="7">
        <f t="shared" si="161"/>
        <v>0</v>
      </c>
      <c r="DA194" s="7">
        <f t="shared" si="162"/>
        <v>0</v>
      </c>
      <c r="DB194" s="7">
        <f t="shared" si="163"/>
        <v>0</v>
      </c>
      <c r="DC194" s="7">
        <f t="shared" si="164"/>
        <v>0</v>
      </c>
      <c r="DD194" s="7">
        <f t="shared" si="165"/>
        <v>0</v>
      </c>
      <c r="DE194" s="7">
        <f t="shared" si="166"/>
        <v>0</v>
      </c>
      <c r="DF194" s="7">
        <f t="shared" si="167"/>
        <v>0</v>
      </c>
      <c r="DG194" s="7">
        <f t="shared" si="168"/>
        <v>0</v>
      </c>
      <c r="DH194" s="7">
        <f t="shared" si="169"/>
        <v>0</v>
      </c>
      <c r="DI194" s="7">
        <f t="shared" si="170"/>
        <v>0</v>
      </c>
      <c r="DJ194" s="7">
        <f t="shared" si="171"/>
        <v>0</v>
      </c>
      <c r="DK194" s="7">
        <f t="shared" si="172"/>
        <v>0</v>
      </c>
      <c r="DL194" s="7">
        <f t="shared" si="173"/>
        <v>0</v>
      </c>
      <c r="DM194" s="7">
        <f t="shared" si="174"/>
        <v>0</v>
      </c>
      <c r="DN194" s="7">
        <f t="shared" si="175"/>
        <v>0</v>
      </c>
      <c r="DO194" s="7">
        <f t="shared" si="176"/>
        <v>0</v>
      </c>
      <c r="DP194" s="7">
        <f t="shared" si="177"/>
        <v>0</v>
      </c>
      <c r="DQ194" s="7">
        <f t="shared" si="178"/>
        <v>0</v>
      </c>
      <c r="DR194" s="7">
        <f t="shared" si="179"/>
        <v>0</v>
      </c>
      <c r="DS194" s="7">
        <f t="shared" si="180"/>
        <v>0</v>
      </c>
      <c r="DT194" s="7">
        <f t="shared" si="181"/>
        <v>0</v>
      </c>
      <c r="DU194" s="7">
        <f t="shared" si="182"/>
        <v>0</v>
      </c>
    </row>
    <row r="195" spans="1:125" x14ac:dyDescent="0.2">
      <c r="A195" s="3">
        <f>Bonds!A195</f>
        <v>47879</v>
      </c>
      <c r="B195" s="4">
        <f>Bonds!B195</f>
        <v>3.75</v>
      </c>
      <c r="C195">
        <f>Bonds!P195</f>
        <v>9</v>
      </c>
      <c r="D195">
        <f t="shared" si="122"/>
        <v>1</v>
      </c>
      <c r="E195" s="3">
        <f>IF(1&gt;$C195,"",IF($D195=1,EOMONTH(EDATE(Bonds!$H195,6*(1-1)),0),EDATE(Bonds!$H195,6*(1-1))))</f>
        <v>46418</v>
      </c>
      <c r="F195" s="3">
        <f>IF(2&gt;$C195,"",IF($D195=1,EOMONTH(EDATE(Bonds!$H195,6*(2-1)),0),EDATE(Bonds!$H195,6*(2-1))))</f>
        <v>46599</v>
      </c>
      <c r="G195" s="3">
        <f>IF(3&gt;$C195,"",IF($D195=1,EOMONTH(EDATE(Bonds!$H195,6*(3-1)),0),EDATE(Bonds!$H195,6*(3-1))))</f>
        <v>46783</v>
      </c>
      <c r="H195" s="3">
        <f>IF(4&gt;$C195,"",IF($D195=1,EOMONTH(EDATE(Bonds!$H195,6*(4-1)),0),EDATE(Bonds!$H195,6*(4-1))))</f>
        <v>46965</v>
      </c>
      <c r="I195" s="3">
        <f>IF(5&gt;$C195,"",IF($D195=1,EOMONTH(EDATE(Bonds!$H195,6*(5-1)),0),EDATE(Bonds!$H195,6*(5-1))))</f>
        <v>47149</v>
      </c>
      <c r="J195" s="3">
        <f>IF(6&gt;$C195,"",IF($D195=1,EOMONTH(EDATE(Bonds!$H195,6*(6-1)),0),EDATE(Bonds!$H195,6*(6-1))))</f>
        <v>47330</v>
      </c>
      <c r="K195" s="3">
        <f>IF(7&gt;$C195,"",IF($D195=1,EOMONTH(EDATE(Bonds!$H195,6*(7-1)),0),EDATE(Bonds!$H195,6*(7-1))))</f>
        <v>47514</v>
      </c>
      <c r="L195" s="3">
        <f>IF(8&gt;$C195,"",IF($D195=1,EOMONTH(EDATE(Bonds!$H195,6*(8-1)),0),EDATE(Bonds!$H195,6*(8-1))))</f>
        <v>47695</v>
      </c>
      <c r="M195" s="3">
        <f>IF(9&gt;$C195,"",IF($D195=1,EOMONTH(EDATE(Bonds!$H195,6*(9-1)),0),EDATE(Bonds!$H195,6*(9-1))))</f>
        <v>47879</v>
      </c>
      <c r="N195" s="3" t="str">
        <f>IF(10&gt;$C195,"",IF($D195=1,EOMONTH(EDATE(Bonds!$H195,6*(10-1)),0),EDATE(Bonds!$H195,6*(10-1))))</f>
        <v/>
      </c>
      <c r="O195" s="3" t="str">
        <f>IF(11&gt;$C195,"",IF($D195=1,EOMONTH(EDATE(Bonds!$H195,6*(11-1)),0),EDATE(Bonds!$H195,6*(11-1))))</f>
        <v/>
      </c>
      <c r="P195" s="3" t="str">
        <f>IF(12&gt;$C195,"",IF($D195=1,EOMONTH(EDATE(Bonds!$H195,6*(12-1)),0),EDATE(Bonds!$H195,6*(12-1))))</f>
        <v/>
      </c>
      <c r="Q195" s="3" t="str">
        <f>IF(13&gt;$C195,"",IF($D195=1,EOMONTH(EDATE(Bonds!$H195,6*(13-1)),0),EDATE(Bonds!$H195,6*(13-1))))</f>
        <v/>
      </c>
      <c r="R195" s="3" t="str">
        <f>IF(14&gt;$C195,"",IF($D195=1,EOMONTH(EDATE(Bonds!$H195,6*(14-1)),0),EDATE(Bonds!$H195,6*(14-1))))</f>
        <v/>
      </c>
      <c r="S195" s="3" t="str">
        <f>IF(15&gt;$C195,"",IF($D195=1,EOMONTH(EDATE(Bonds!$H195,6*(15-1)),0),EDATE(Bonds!$H195,6*(15-1))))</f>
        <v/>
      </c>
      <c r="T195" s="3" t="str">
        <f>IF(16&gt;$C195,"",IF($D195=1,EOMONTH(EDATE(Bonds!$H195,6*(16-1)),0),EDATE(Bonds!$H195,6*(16-1))))</f>
        <v/>
      </c>
      <c r="U195" s="3" t="str">
        <f>IF(17&gt;$C195,"",IF($D195=1,EOMONTH(EDATE(Bonds!$H195,6*(17-1)),0),EDATE(Bonds!$H195,6*(17-1))))</f>
        <v/>
      </c>
      <c r="V195" s="3" t="str">
        <f>IF(18&gt;$C195,"",IF($D195=1,EOMONTH(EDATE(Bonds!$H195,6*(18-1)),0),EDATE(Bonds!$H195,6*(18-1))))</f>
        <v/>
      </c>
      <c r="W195" s="3" t="str">
        <f>IF(19&gt;$C195,"",IF($D195=1,EOMONTH(EDATE(Bonds!$H195,6*(19-1)),0),EDATE(Bonds!$H195,6*(19-1))))</f>
        <v/>
      </c>
      <c r="X195" s="3" t="str">
        <f>IF(20&gt;$C195,"",IF($D195=1,EOMONTH(EDATE(Bonds!$H195,6*(20-1)),0),EDATE(Bonds!$H195,6*(20-1))))</f>
        <v/>
      </c>
      <c r="Y195" s="3" t="str">
        <f>IF(21&gt;$C195,"",IF($D195=1,EOMONTH(EDATE(Bonds!$H195,6*(21-1)),0),EDATE(Bonds!$H195,6*(21-1))))</f>
        <v/>
      </c>
      <c r="Z195" s="3" t="str">
        <f>IF(22&gt;$C195,"",IF($D195=1,EOMONTH(EDATE(Bonds!$H195,6*(22-1)),0),EDATE(Bonds!$H195,6*(22-1))))</f>
        <v/>
      </c>
      <c r="AA195" s="3" t="str">
        <f>IF(23&gt;$C195,"",IF($D195=1,EOMONTH(EDATE(Bonds!$H195,6*(23-1)),0),EDATE(Bonds!$H195,6*(23-1))))</f>
        <v/>
      </c>
      <c r="AB195" s="3" t="str">
        <f>IF(24&gt;$C195,"",IF($D195=1,EOMONTH(EDATE(Bonds!$H195,6*(24-1)),0),EDATE(Bonds!$H195,6*(24-1))))</f>
        <v/>
      </c>
      <c r="AC195" s="3" t="str">
        <f>IF(25&gt;$C195,"",IF($D195=1,EOMONTH(EDATE(Bonds!$H195,6*(25-1)),0),EDATE(Bonds!$H195,6*(25-1))))</f>
        <v/>
      </c>
      <c r="AD195" s="3" t="str">
        <f>IF(26&gt;$C195,"",IF($D195=1,EOMONTH(EDATE(Bonds!$H195,6*(26-1)),0),EDATE(Bonds!$H195,6*(26-1))))</f>
        <v/>
      </c>
      <c r="AE195" s="3" t="str">
        <f>IF(27&gt;$C195,"",IF($D195=1,EOMONTH(EDATE(Bonds!$H195,6*(27-1)),0),EDATE(Bonds!$H195,6*(27-1))))</f>
        <v/>
      </c>
      <c r="AF195" s="3" t="str">
        <f>IF(28&gt;$C195,"",IF($D195=1,EOMONTH(EDATE(Bonds!$H195,6*(28-1)),0),EDATE(Bonds!$H195,6*(28-1))))</f>
        <v/>
      </c>
      <c r="AG195" s="3" t="str">
        <f>IF(29&gt;$C195,"",IF($D195=1,EOMONTH(EDATE(Bonds!$H195,6*(29-1)),0),EDATE(Bonds!$H195,6*(29-1))))</f>
        <v/>
      </c>
      <c r="AH195" s="3" t="str">
        <f>IF(30&gt;$C195,"",IF($D195=1,EOMONTH(EDATE(Bonds!$H195,6*(30-1)),0),EDATE(Bonds!$H195,6*(30-1))))</f>
        <v/>
      </c>
      <c r="AI195" s="3" t="str">
        <f>IF(31&gt;$C195,"",IF($D195=1,EOMONTH(EDATE(Bonds!$H195,6*(31-1)),0),EDATE(Bonds!$H195,6*(31-1))))</f>
        <v/>
      </c>
      <c r="AJ195" s="3" t="str">
        <f>IF(32&gt;$C195,"",IF($D195=1,EOMONTH(EDATE(Bonds!$H195,6*(32-1)),0),EDATE(Bonds!$H195,6*(32-1))))</f>
        <v/>
      </c>
      <c r="AK195" s="3" t="str">
        <f>IF(33&gt;$C195,"",IF($D195=1,EOMONTH(EDATE(Bonds!$H195,6*(33-1)),0),EDATE(Bonds!$H195,6*(33-1))))</f>
        <v/>
      </c>
      <c r="AL195" s="3" t="str">
        <f>IF(34&gt;$C195,"",IF($D195=1,EOMONTH(EDATE(Bonds!$H195,6*(34-1)),0),EDATE(Bonds!$H195,6*(34-1))))</f>
        <v/>
      </c>
      <c r="AM195" s="3" t="str">
        <f>IF(35&gt;$C195,"",IF($D195=1,EOMONTH(EDATE(Bonds!$H195,6*(35-1)),0),EDATE(Bonds!$H195,6*(35-1))))</f>
        <v/>
      </c>
      <c r="AN195" s="3" t="str">
        <f>IF(36&gt;$C195,"",IF($D195=1,EOMONTH(EDATE(Bonds!$H195,6*(36-1)),0),EDATE(Bonds!$H195,6*(36-1))))</f>
        <v/>
      </c>
      <c r="AO195" s="3" t="str">
        <f>IF(37&gt;$C195,"",IF($D195=1,EOMONTH(EDATE(Bonds!$H195,6*(37-1)),0),EDATE(Bonds!$H195,6*(37-1))))</f>
        <v/>
      </c>
      <c r="AP195" s="3" t="str">
        <f>IF(38&gt;$C195,"",IF($D195=1,EOMONTH(EDATE(Bonds!$H195,6*(38-1)),0),EDATE(Bonds!$H195,6*(38-1))))</f>
        <v/>
      </c>
      <c r="AQ195" s="3" t="str">
        <f>IF(39&gt;$C195,"",IF($D195=1,EOMONTH(EDATE(Bonds!$H195,6*(39-1)),0),EDATE(Bonds!$H195,6*(39-1))))</f>
        <v/>
      </c>
      <c r="AR195" s="3" t="str">
        <f>IF(40&gt;$C195,"",IF($D195=1,EOMONTH(EDATE(Bonds!$H195,6*(40-1)),0),EDATE(Bonds!$H195,6*(40-1))))</f>
        <v/>
      </c>
      <c r="AS195" s="3" t="str">
        <f>IF(41&gt;$C195,"",IF($D195=1,EOMONTH(EDATE(Bonds!$H195,6*(41-1)),0),EDATE(Bonds!$H195,6*(41-1))))</f>
        <v/>
      </c>
      <c r="AT195" s="3" t="str">
        <f>IF(42&gt;$C195,"",IF($D195=1,EOMONTH(EDATE(Bonds!$H195,6*(42-1)),0),EDATE(Bonds!$H195,6*(42-1))))</f>
        <v/>
      </c>
      <c r="AU195" s="3" t="str">
        <f>IF(43&gt;$C195,"",IF($D195=1,EOMONTH(EDATE(Bonds!$H195,6*(43-1)),0),EDATE(Bonds!$H195,6*(43-1))))</f>
        <v/>
      </c>
      <c r="AV195" s="3" t="str">
        <f>IF(44&gt;$C195,"",IF($D195=1,EOMONTH(EDATE(Bonds!$H195,6*(44-1)),0),EDATE(Bonds!$H195,6*(44-1))))</f>
        <v/>
      </c>
      <c r="AW195" s="3" t="str">
        <f>IF(45&gt;$C195,"",IF($D195=1,EOMONTH(EDATE(Bonds!$H195,6*(45-1)),0),EDATE(Bonds!$H195,6*(45-1))))</f>
        <v/>
      </c>
      <c r="AX195" s="3" t="str">
        <f>IF(46&gt;$C195,"",IF($D195=1,EOMONTH(EDATE(Bonds!$H195,6*(46-1)),0),EDATE(Bonds!$H195,6*(46-1))))</f>
        <v/>
      </c>
      <c r="AY195" s="3" t="str">
        <f>IF(47&gt;$C195,"",IF($D195=1,EOMONTH(EDATE(Bonds!$H195,6*(47-1)),0),EDATE(Bonds!$H195,6*(47-1))))</f>
        <v/>
      </c>
      <c r="AZ195" s="3" t="str">
        <f>IF(48&gt;$C195,"",IF($D195=1,EOMONTH(EDATE(Bonds!$H195,6*(48-1)),0),EDATE(Bonds!$H195,6*(48-1))))</f>
        <v/>
      </c>
      <c r="BA195" s="3" t="str">
        <f>IF(49&gt;$C195,"",IF($D195=1,EOMONTH(EDATE(Bonds!$H195,6*(49-1)),0),EDATE(Bonds!$H195,6*(49-1))))</f>
        <v/>
      </c>
      <c r="BB195" s="3" t="str">
        <f>IF(50&gt;$C195,"",IF($D195=1,EOMONTH(EDATE(Bonds!$H195,6*(50-1)),0),EDATE(Bonds!$H195,6*(50-1))))</f>
        <v/>
      </c>
      <c r="BC195" s="3" t="str">
        <f>IF(51&gt;$C195,"",IF($D195=1,EOMONTH(EDATE(Bonds!$H195,6*(51-1)),0),EDATE(Bonds!$H195,6*(51-1))))</f>
        <v/>
      </c>
      <c r="BD195" s="3" t="str">
        <f>IF(52&gt;$C195,"",IF($D195=1,EOMONTH(EDATE(Bonds!$H195,6*(52-1)),0),EDATE(Bonds!$H195,6*(52-1))))</f>
        <v/>
      </c>
      <c r="BE195" s="3" t="str">
        <f>IF(53&gt;$C195,"",IF($D195=1,EOMONTH(EDATE(Bonds!$H195,6*(53-1)),0),EDATE(Bonds!$H195,6*(53-1))))</f>
        <v/>
      </c>
      <c r="BF195" s="3" t="str">
        <f>IF(54&gt;$C195,"",IF($D195=1,EOMONTH(EDATE(Bonds!$H195,6*(54-1)),0),EDATE(Bonds!$H195,6*(54-1))))</f>
        <v/>
      </c>
      <c r="BG195" s="3" t="str">
        <f>IF(55&gt;$C195,"",IF($D195=1,EOMONTH(EDATE(Bonds!$H195,6*(55-1)),0),EDATE(Bonds!$H195,6*(55-1))))</f>
        <v/>
      </c>
      <c r="BH195" s="3" t="str">
        <f>IF(56&gt;$C195,"",IF($D195=1,EOMONTH(EDATE(Bonds!$H195,6*(56-1)),0),EDATE(Bonds!$H195,6*(56-1))))</f>
        <v/>
      </c>
      <c r="BI195" s="3" t="str">
        <f>IF(57&gt;$C195,"",IF($D195=1,EOMONTH(EDATE(Bonds!$H195,6*(57-1)),0),EDATE(Bonds!$H195,6*(57-1))))</f>
        <v/>
      </c>
      <c r="BJ195" s="3" t="str">
        <f>IF(58&gt;$C195,"",IF($D195=1,EOMONTH(EDATE(Bonds!$H195,6*(58-1)),0),EDATE(Bonds!$H195,6*(58-1))))</f>
        <v/>
      </c>
      <c r="BK195" s="3" t="str">
        <f>IF(59&gt;$C195,"",IF($D195=1,EOMONTH(EDATE(Bonds!$H195,6*(59-1)),0),EDATE(Bonds!$H195,6*(59-1))))</f>
        <v/>
      </c>
      <c r="BL195" s="3" t="str">
        <f>IF(60&gt;$C195,"",IF($D195=1,EOMONTH(EDATE(Bonds!$H195,6*(60-1)),0),EDATE(Bonds!$H195,6*(60-1))))</f>
        <v/>
      </c>
      <c r="BN195" s="7">
        <f t="shared" si="123"/>
        <v>1.8463162626296141</v>
      </c>
      <c r="BO195" s="7">
        <f t="shared" si="124"/>
        <v>1.8076259596661985</v>
      </c>
      <c r="BP195" s="7">
        <f t="shared" si="125"/>
        <v>1.7671780865483897</v>
      </c>
      <c r="BQ195" s="7">
        <f t="shared" si="126"/>
        <v>1.7273333979139829</v>
      </c>
      <c r="BR195" s="7">
        <f t="shared" si="127"/>
        <v>1.6878150019841751</v>
      </c>
      <c r="BS195" s="7">
        <f t="shared" si="128"/>
        <v>1.649883626789334</v>
      </c>
      <c r="BT195" s="7">
        <f t="shared" si="129"/>
        <v>1.6122651146838047</v>
      </c>
      <c r="BU195" s="7">
        <f t="shared" si="130"/>
        <v>1.5760717558119512</v>
      </c>
      <c r="BV195" s="7">
        <f t="shared" si="131"/>
        <v>83.670814967897016</v>
      </c>
      <c r="BW195" s="7">
        <f t="shared" si="132"/>
        <v>0</v>
      </c>
      <c r="BX195" s="7">
        <f t="shared" si="133"/>
        <v>0</v>
      </c>
      <c r="BY195" s="7">
        <f t="shared" si="134"/>
        <v>0</v>
      </c>
      <c r="BZ195" s="7">
        <f t="shared" si="135"/>
        <v>0</v>
      </c>
      <c r="CA195" s="7">
        <f t="shared" si="136"/>
        <v>0</v>
      </c>
      <c r="CB195" s="7">
        <f t="shared" si="137"/>
        <v>0</v>
      </c>
      <c r="CC195" s="7">
        <f t="shared" si="138"/>
        <v>0</v>
      </c>
      <c r="CD195" s="7">
        <f t="shared" si="139"/>
        <v>0</v>
      </c>
      <c r="CE195" s="7">
        <f t="shared" si="140"/>
        <v>0</v>
      </c>
      <c r="CF195" s="7">
        <f t="shared" si="141"/>
        <v>0</v>
      </c>
      <c r="CG195" s="7">
        <f t="shared" si="142"/>
        <v>0</v>
      </c>
      <c r="CH195" s="7">
        <f t="shared" si="143"/>
        <v>0</v>
      </c>
      <c r="CI195" s="7">
        <f t="shared" si="144"/>
        <v>0</v>
      </c>
      <c r="CJ195" s="7">
        <f t="shared" si="145"/>
        <v>0</v>
      </c>
      <c r="CK195" s="7">
        <f t="shared" si="146"/>
        <v>0</v>
      </c>
      <c r="CL195" s="7">
        <f t="shared" si="147"/>
        <v>0</v>
      </c>
      <c r="CM195" s="7">
        <f t="shared" si="148"/>
        <v>0</v>
      </c>
      <c r="CN195" s="7">
        <f t="shared" si="149"/>
        <v>0</v>
      </c>
      <c r="CO195" s="7">
        <f t="shared" si="150"/>
        <v>0</v>
      </c>
      <c r="CP195" s="7">
        <f t="shared" si="151"/>
        <v>0</v>
      </c>
      <c r="CQ195" s="7">
        <f t="shared" si="152"/>
        <v>0</v>
      </c>
      <c r="CR195" s="7">
        <f t="shared" si="153"/>
        <v>0</v>
      </c>
      <c r="CS195" s="7">
        <f t="shared" si="154"/>
        <v>0</v>
      </c>
      <c r="CT195" s="7">
        <f t="shared" si="155"/>
        <v>0</v>
      </c>
      <c r="CU195" s="7">
        <f t="shared" si="156"/>
        <v>0</v>
      </c>
      <c r="CV195" s="7">
        <f t="shared" si="157"/>
        <v>0</v>
      </c>
      <c r="CW195" s="7">
        <f t="shared" si="158"/>
        <v>0</v>
      </c>
      <c r="CX195" s="7">
        <f t="shared" si="159"/>
        <v>0</v>
      </c>
      <c r="CY195" s="7">
        <f t="shared" si="160"/>
        <v>0</v>
      </c>
      <c r="CZ195" s="7">
        <f t="shared" si="161"/>
        <v>0</v>
      </c>
      <c r="DA195" s="7">
        <f t="shared" si="162"/>
        <v>0</v>
      </c>
      <c r="DB195" s="7">
        <f t="shared" si="163"/>
        <v>0</v>
      </c>
      <c r="DC195" s="7">
        <f t="shared" si="164"/>
        <v>0</v>
      </c>
      <c r="DD195" s="7">
        <f t="shared" si="165"/>
        <v>0</v>
      </c>
      <c r="DE195" s="7">
        <f t="shared" si="166"/>
        <v>0</v>
      </c>
      <c r="DF195" s="7">
        <f t="shared" si="167"/>
        <v>0</v>
      </c>
      <c r="DG195" s="7">
        <f t="shared" si="168"/>
        <v>0</v>
      </c>
      <c r="DH195" s="7">
        <f t="shared" si="169"/>
        <v>0</v>
      </c>
      <c r="DI195" s="7">
        <f t="shared" si="170"/>
        <v>0</v>
      </c>
      <c r="DJ195" s="7">
        <f t="shared" si="171"/>
        <v>0</v>
      </c>
      <c r="DK195" s="7">
        <f t="shared" si="172"/>
        <v>0</v>
      </c>
      <c r="DL195" s="7">
        <f t="shared" si="173"/>
        <v>0</v>
      </c>
      <c r="DM195" s="7">
        <f t="shared" si="174"/>
        <v>0</v>
      </c>
      <c r="DN195" s="7">
        <f t="shared" si="175"/>
        <v>0</v>
      </c>
      <c r="DO195" s="7">
        <f t="shared" si="176"/>
        <v>0</v>
      </c>
      <c r="DP195" s="7">
        <f t="shared" si="177"/>
        <v>0</v>
      </c>
      <c r="DQ195" s="7">
        <f t="shared" si="178"/>
        <v>0</v>
      </c>
      <c r="DR195" s="7">
        <f t="shared" si="179"/>
        <v>0</v>
      </c>
      <c r="DS195" s="7">
        <f t="shared" si="180"/>
        <v>0</v>
      </c>
      <c r="DT195" s="7">
        <f t="shared" si="181"/>
        <v>0</v>
      </c>
      <c r="DU195" s="7">
        <f t="shared" si="182"/>
        <v>0</v>
      </c>
    </row>
    <row r="196" spans="1:125" x14ac:dyDescent="0.2">
      <c r="A196" s="3">
        <f>Bonds!A196</f>
        <v>47879</v>
      </c>
      <c r="B196" s="4">
        <f>Bonds!B196</f>
        <v>4</v>
      </c>
      <c r="C196">
        <f>Bonds!P196</f>
        <v>9</v>
      </c>
      <c r="D196">
        <f t="shared" si="122"/>
        <v>1</v>
      </c>
      <c r="E196" s="3">
        <f>IF(1&gt;$C196,"",IF($D196=1,EOMONTH(EDATE(Bonds!$H196,6*(1-1)),0),EDATE(Bonds!$H196,6*(1-1))))</f>
        <v>46418</v>
      </c>
      <c r="F196" s="3">
        <f>IF(2&gt;$C196,"",IF($D196=1,EOMONTH(EDATE(Bonds!$H196,6*(2-1)),0),EDATE(Bonds!$H196,6*(2-1))))</f>
        <v>46599</v>
      </c>
      <c r="G196" s="3">
        <f>IF(3&gt;$C196,"",IF($D196=1,EOMONTH(EDATE(Bonds!$H196,6*(3-1)),0),EDATE(Bonds!$H196,6*(3-1))))</f>
        <v>46783</v>
      </c>
      <c r="H196" s="3">
        <f>IF(4&gt;$C196,"",IF($D196=1,EOMONTH(EDATE(Bonds!$H196,6*(4-1)),0),EDATE(Bonds!$H196,6*(4-1))))</f>
        <v>46965</v>
      </c>
      <c r="I196" s="3">
        <f>IF(5&gt;$C196,"",IF($D196=1,EOMONTH(EDATE(Bonds!$H196,6*(5-1)),0),EDATE(Bonds!$H196,6*(5-1))))</f>
        <v>47149</v>
      </c>
      <c r="J196" s="3">
        <f>IF(6&gt;$C196,"",IF($D196=1,EOMONTH(EDATE(Bonds!$H196,6*(6-1)),0),EDATE(Bonds!$H196,6*(6-1))))</f>
        <v>47330</v>
      </c>
      <c r="K196" s="3">
        <f>IF(7&gt;$C196,"",IF($D196=1,EOMONTH(EDATE(Bonds!$H196,6*(7-1)),0),EDATE(Bonds!$H196,6*(7-1))))</f>
        <v>47514</v>
      </c>
      <c r="L196" s="3">
        <f>IF(8&gt;$C196,"",IF($D196=1,EOMONTH(EDATE(Bonds!$H196,6*(8-1)),0),EDATE(Bonds!$H196,6*(8-1))))</f>
        <v>47695</v>
      </c>
      <c r="M196" s="3">
        <f>IF(9&gt;$C196,"",IF($D196=1,EOMONTH(EDATE(Bonds!$H196,6*(9-1)),0),EDATE(Bonds!$H196,6*(9-1))))</f>
        <v>47879</v>
      </c>
      <c r="N196" s="3" t="str">
        <f>IF(10&gt;$C196,"",IF($D196=1,EOMONTH(EDATE(Bonds!$H196,6*(10-1)),0),EDATE(Bonds!$H196,6*(10-1))))</f>
        <v/>
      </c>
      <c r="O196" s="3" t="str">
        <f>IF(11&gt;$C196,"",IF($D196=1,EOMONTH(EDATE(Bonds!$H196,6*(11-1)),0),EDATE(Bonds!$H196,6*(11-1))))</f>
        <v/>
      </c>
      <c r="P196" s="3" t="str">
        <f>IF(12&gt;$C196,"",IF($D196=1,EOMONTH(EDATE(Bonds!$H196,6*(12-1)),0),EDATE(Bonds!$H196,6*(12-1))))</f>
        <v/>
      </c>
      <c r="Q196" s="3" t="str">
        <f>IF(13&gt;$C196,"",IF($D196=1,EOMONTH(EDATE(Bonds!$H196,6*(13-1)),0),EDATE(Bonds!$H196,6*(13-1))))</f>
        <v/>
      </c>
      <c r="R196" s="3" t="str">
        <f>IF(14&gt;$C196,"",IF($D196=1,EOMONTH(EDATE(Bonds!$H196,6*(14-1)),0),EDATE(Bonds!$H196,6*(14-1))))</f>
        <v/>
      </c>
      <c r="S196" s="3" t="str">
        <f>IF(15&gt;$C196,"",IF($D196=1,EOMONTH(EDATE(Bonds!$H196,6*(15-1)),0),EDATE(Bonds!$H196,6*(15-1))))</f>
        <v/>
      </c>
      <c r="T196" s="3" t="str">
        <f>IF(16&gt;$C196,"",IF($D196=1,EOMONTH(EDATE(Bonds!$H196,6*(16-1)),0),EDATE(Bonds!$H196,6*(16-1))))</f>
        <v/>
      </c>
      <c r="U196" s="3" t="str">
        <f>IF(17&gt;$C196,"",IF($D196=1,EOMONTH(EDATE(Bonds!$H196,6*(17-1)),0),EDATE(Bonds!$H196,6*(17-1))))</f>
        <v/>
      </c>
      <c r="V196" s="3" t="str">
        <f>IF(18&gt;$C196,"",IF($D196=1,EOMONTH(EDATE(Bonds!$H196,6*(18-1)),0),EDATE(Bonds!$H196,6*(18-1))))</f>
        <v/>
      </c>
      <c r="W196" s="3" t="str">
        <f>IF(19&gt;$C196,"",IF($D196=1,EOMONTH(EDATE(Bonds!$H196,6*(19-1)),0),EDATE(Bonds!$H196,6*(19-1))))</f>
        <v/>
      </c>
      <c r="X196" s="3" t="str">
        <f>IF(20&gt;$C196,"",IF($D196=1,EOMONTH(EDATE(Bonds!$H196,6*(20-1)),0),EDATE(Bonds!$H196,6*(20-1))))</f>
        <v/>
      </c>
      <c r="Y196" s="3" t="str">
        <f>IF(21&gt;$C196,"",IF($D196=1,EOMONTH(EDATE(Bonds!$H196,6*(21-1)),0),EDATE(Bonds!$H196,6*(21-1))))</f>
        <v/>
      </c>
      <c r="Z196" s="3" t="str">
        <f>IF(22&gt;$C196,"",IF($D196=1,EOMONTH(EDATE(Bonds!$H196,6*(22-1)),0),EDATE(Bonds!$H196,6*(22-1))))</f>
        <v/>
      </c>
      <c r="AA196" s="3" t="str">
        <f>IF(23&gt;$C196,"",IF($D196=1,EOMONTH(EDATE(Bonds!$H196,6*(23-1)),0),EDATE(Bonds!$H196,6*(23-1))))</f>
        <v/>
      </c>
      <c r="AB196" s="3" t="str">
        <f>IF(24&gt;$C196,"",IF($D196=1,EOMONTH(EDATE(Bonds!$H196,6*(24-1)),0),EDATE(Bonds!$H196,6*(24-1))))</f>
        <v/>
      </c>
      <c r="AC196" s="3" t="str">
        <f>IF(25&gt;$C196,"",IF($D196=1,EOMONTH(EDATE(Bonds!$H196,6*(25-1)),0),EDATE(Bonds!$H196,6*(25-1))))</f>
        <v/>
      </c>
      <c r="AD196" s="3" t="str">
        <f>IF(26&gt;$C196,"",IF($D196=1,EOMONTH(EDATE(Bonds!$H196,6*(26-1)),0),EDATE(Bonds!$H196,6*(26-1))))</f>
        <v/>
      </c>
      <c r="AE196" s="3" t="str">
        <f>IF(27&gt;$C196,"",IF($D196=1,EOMONTH(EDATE(Bonds!$H196,6*(27-1)),0),EDATE(Bonds!$H196,6*(27-1))))</f>
        <v/>
      </c>
      <c r="AF196" s="3" t="str">
        <f>IF(28&gt;$C196,"",IF($D196=1,EOMONTH(EDATE(Bonds!$H196,6*(28-1)),0),EDATE(Bonds!$H196,6*(28-1))))</f>
        <v/>
      </c>
      <c r="AG196" s="3" t="str">
        <f>IF(29&gt;$C196,"",IF($D196=1,EOMONTH(EDATE(Bonds!$H196,6*(29-1)),0),EDATE(Bonds!$H196,6*(29-1))))</f>
        <v/>
      </c>
      <c r="AH196" s="3" t="str">
        <f>IF(30&gt;$C196,"",IF($D196=1,EOMONTH(EDATE(Bonds!$H196,6*(30-1)),0),EDATE(Bonds!$H196,6*(30-1))))</f>
        <v/>
      </c>
      <c r="AI196" s="3" t="str">
        <f>IF(31&gt;$C196,"",IF($D196=1,EOMONTH(EDATE(Bonds!$H196,6*(31-1)),0),EDATE(Bonds!$H196,6*(31-1))))</f>
        <v/>
      </c>
      <c r="AJ196" s="3" t="str">
        <f>IF(32&gt;$C196,"",IF($D196=1,EOMONTH(EDATE(Bonds!$H196,6*(32-1)),0),EDATE(Bonds!$H196,6*(32-1))))</f>
        <v/>
      </c>
      <c r="AK196" s="3" t="str">
        <f>IF(33&gt;$C196,"",IF($D196=1,EOMONTH(EDATE(Bonds!$H196,6*(33-1)),0),EDATE(Bonds!$H196,6*(33-1))))</f>
        <v/>
      </c>
      <c r="AL196" s="3" t="str">
        <f>IF(34&gt;$C196,"",IF($D196=1,EOMONTH(EDATE(Bonds!$H196,6*(34-1)),0),EDATE(Bonds!$H196,6*(34-1))))</f>
        <v/>
      </c>
      <c r="AM196" s="3" t="str">
        <f>IF(35&gt;$C196,"",IF($D196=1,EOMONTH(EDATE(Bonds!$H196,6*(35-1)),0),EDATE(Bonds!$H196,6*(35-1))))</f>
        <v/>
      </c>
      <c r="AN196" s="3" t="str">
        <f>IF(36&gt;$C196,"",IF($D196=1,EOMONTH(EDATE(Bonds!$H196,6*(36-1)),0),EDATE(Bonds!$H196,6*(36-1))))</f>
        <v/>
      </c>
      <c r="AO196" s="3" t="str">
        <f>IF(37&gt;$C196,"",IF($D196=1,EOMONTH(EDATE(Bonds!$H196,6*(37-1)),0),EDATE(Bonds!$H196,6*(37-1))))</f>
        <v/>
      </c>
      <c r="AP196" s="3" t="str">
        <f>IF(38&gt;$C196,"",IF($D196=1,EOMONTH(EDATE(Bonds!$H196,6*(38-1)),0),EDATE(Bonds!$H196,6*(38-1))))</f>
        <v/>
      </c>
      <c r="AQ196" s="3" t="str">
        <f>IF(39&gt;$C196,"",IF($D196=1,EOMONTH(EDATE(Bonds!$H196,6*(39-1)),0),EDATE(Bonds!$H196,6*(39-1))))</f>
        <v/>
      </c>
      <c r="AR196" s="3" t="str">
        <f>IF(40&gt;$C196,"",IF($D196=1,EOMONTH(EDATE(Bonds!$H196,6*(40-1)),0),EDATE(Bonds!$H196,6*(40-1))))</f>
        <v/>
      </c>
      <c r="AS196" s="3" t="str">
        <f>IF(41&gt;$C196,"",IF($D196=1,EOMONTH(EDATE(Bonds!$H196,6*(41-1)),0),EDATE(Bonds!$H196,6*(41-1))))</f>
        <v/>
      </c>
      <c r="AT196" s="3" t="str">
        <f>IF(42&gt;$C196,"",IF($D196=1,EOMONTH(EDATE(Bonds!$H196,6*(42-1)),0),EDATE(Bonds!$H196,6*(42-1))))</f>
        <v/>
      </c>
      <c r="AU196" s="3" t="str">
        <f>IF(43&gt;$C196,"",IF($D196=1,EOMONTH(EDATE(Bonds!$H196,6*(43-1)),0),EDATE(Bonds!$H196,6*(43-1))))</f>
        <v/>
      </c>
      <c r="AV196" s="3" t="str">
        <f>IF(44&gt;$C196,"",IF($D196=1,EOMONTH(EDATE(Bonds!$H196,6*(44-1)),0),EDATE(Bonds!$H196,6*(44-1))))</f>
        <v/>
      </c>
      <c r="AW196" s="3" t="str">
        <f>IF(45&gt;$C196,"",IF($D196=1,EOMONTH(EDATE(Bonds!$H196,6*(45-1)),0),EDATE(Bonds!$H196,6*(45-1))))</f>
        <v/>
      </c>
      <c r="AX196" s="3" t="str">
        <f>IF(46&gt;$C196,"",IF($D196=1,EOMONTH(EDATE(Bonds!$H196,6*(46-1)),0),EDATE(Bonds!$H196,6*(46-1))))</f>
        <v/>
      </c>
      <c r="AY196" s="3" t="str">
        <f>IF(47&gt;$C196,"",IF($D196=1,EOMONTH(EDATE(Bonds!$H196,6*(47-1)),0),EDATE(Bonds!$H196,6*(47-1))))</f>
        <v/>
      </c>
      <c r="AZ196" s="3" t="str">
        <f>IF(48&gt;$C196,"",IF($D196=1,EOMONTH(EDATE(Bonds!$H196,6*(48-1)),0),EDATE(Bonds!$H196,6*(48-1))))</f>
        <v/>
      </c>
      <c r="BA196" s="3" t="str">
        <f>IF(49&gt;$C196,"",IF($D196=1,EOMONTH(EDATE(Bonds!$H196,6*(49-1)),0),EDATE(Bonds!$H196,6*(49-1))))</f>
        <v/>
      </c>
      <c r="BB196" s="3" t="str">
        <f>IF(50&gt;$C196,"",IF($D196=1,EOMONTH(EDATE(Bonds!$H196,6*(50-1)),0),EDATE(Bonds!$H196,6*(50-1))))</f>
        <v/>
      </c>
      <c r="BC196" s="3" t="str">
        <f>IF(51&gt;$C196,"",IF($D196=1,EOMONTH(EDATE(Bonds!$H196,6*(51-1)),0),EDATE(Bonds!$H196,6*(51-1))))</f>
        <v/>
      </c>
      <c r="BD196" s="3" t="str">
        <f>IF(52&gt;$C196,"",IF($D196=1,EOMONTH(EDATE(Bonds!$H196,6*(52-1)),0),EDATE(Bonds!$H196,6*(52-1))))</f>
        <v/>
      </c>
      <c r="BE196" s="3" t="str">
        <f>IF(53&gt;$C196,"",IF($D196=1,EOMONTH(EDATE(Bonds!$H196,6*(53-1)),0),EDATE(Bonds!$H196,6*(53-1))))</f>
        <v/>
      </c>
      <c r="BF196" s="3" t="str">
        <f>IF(54&gt;$C196,"",IF($D196=1,EOMONTH(EDATE(Bonds!$H196,6*(54-1)),0),EDATE(Bonds!$H196,6*(54-1))))</f>
        <v/>
      </c>
      <c r="BG196" s="3" t="str">
        <f>IF(55&gt;$C196,"",IF($D196=1,EOMONTH(EDATE(Bonds!$H196,6*(55-1)),0),EDATE(Bonds!$H196,6*(55-1))))</f>
        <v/>
      </c>
      <c r="BH196" s="3" t="str">
        <f>IF(56&gt;$C196,"",IF($D196=1,EOMONTH(EDATE(Bonds!$H196,6*(56-1)),0),EDATE(Bonds!$H196,6*(56-1))))</f>
        <v/>
      </c>
      <c r="BI196" s="3" t="str">
        <f>IF(57&gt;$C196,"",IF($D196=1,EOMONTH(EDATE(Bonds!$H196,6*(57-1)),0),EDATE(Bonds!$H196,6*(57-1))))</f>
        <v/>
      </c>
      <c r="BJ196" s="3" t="str">
        <f>IF(58&gt;$C196,"",IF($D196=1,EOMONTH(EDATE(Bonds!$H196,6*(58-1)),0),EDATE(Bonds!$H196,6*(58-1))))</f>
        <v/>
      </c>
      <c r="BK196" s="3" t="str">
        <f>IF(59&gt;$C196,"",IF($D196=1,EOMONTH(EDATE(Bonds!$H196,6*(59-1)),0),EDATE(Bonds!$H196,6*(59-1))))</f>
        <v/>
      </c>
      <c r="BL196" s="3" t="str">
        <f>IF(60&gt;$C196,"",IF($D196=1,EOMONTH(EDATE(Bonds!$H196,6*(60-1)),0),EDATE(Bonds!$H196,6*(60-1))))</f>
        <v/>
      </c>
      <c r="BN196" s="7">
        <f t="shared" si="123"/>
        <v>1.9694040134715884</v>
      </c>
      <c r="BO196" s="7">
        <f t="shared" si="124"/>
        <v>1.9281343569772784</v>
      </c>
      <c r="BP196" s="7">
        <f t="shared" si="125"/>
        <v>1.884989958984949</v>
      </c>
      <c r="BQ196" s="7">
        <f t="shared" si="126"/>
        <v>1.8424889577749151</v>
      </c>
      <c r="BR196" s="7">
        <f t="shared" si="127"/>
        <v>1.8003360021164534</v>
      </c>
      <c r="BS196" s="7">
        <f t="shared" si="128"/>
        <v>1.7598758685752895</v>
      </c>
      <c r="BT196" s="7">
        <f t="shared" si="129"/>
        <v>1.7197494556627251</v>
      </c>
      <c r="BU196" s="7">
        <f t="shared" si="130"/>
        <v>1.6811432061994147</v>
      </c>
      <c r="BV196" s="7">
        <f t="shared" si="131"/>
        <v>83.77347854454473</v>
      </c>
      <c r="BW196" s="7">
        <f t="shared" si="132"/>
        <v>0</v>
      </c>
      <c r="BX196" s="7">
        <f t="shared" si="133"/>
        <v>0</v>
      </c>
      <c r="BY196" s="7">
        <f t="shared" si="134"/>
        <v>0</v>
      </c>
      <c r="BZ196" s="7">
        <f t="shared" si="135"/>
        <v>0</v>
      </c>
      <c r="CA196" s="7">
        <f t="shared" si="136"/>
        <v>0</v>
      </c>
      <c r="CB196" s="7">
        <f t="shared" si="137"/>
        <v>0</v>
      </c>
      <c r="CC196" s="7">
        <f t="shared" si="138"/>
        <v>0</v>
      </c>
      <c r="CD196" s="7">
        <f t="shared" si="139"/>
        <v>0</v>
      </c>
      <c r="CE196" s="7">
        <f t="shared" si="140"/>
        <v>0</v>
      </c>
      <c r="CF196" s="7">
        <f t="shared" si="141"/>
        <v>0</v>
      </c>
      <c r="CG196" s="7">
        <f t="shared" si="142"/>
        <v>0</v>
      </c>
      <c r="CH196" s="7">
        <f t="shared" si="143"/>
        <v>0</v>
      </c>
      <c r="CI196" s="7">
        <f t="shared" si="144"/>
        <v>0</v>
      </c>
      <c r="CJ196" s="7">
        <f t="shared" si="145"/>
        <v>0</v>
      </c>
      <c r="CK196" s="7">
        <f t="shared" si="146"/>
        <v>0</v>
      </c>
      <c r="CL196" s="7">
        <f t="shared" si="147"/>
        <v>0</v>
      </c>
      <c r="CM196" s="7">
        <f t="shared" si="148"/>
        <v>0</v>
      </c>
      <c r="CN196" s="7">
        <f t="shared" si="149"/>
        <v>0</v>
      </c>
      <c r="CO196" s="7">
        <f t="shared" si="150"/>
        <v>0</v>
      </c>
      <c r="CP196" s="7">
        <f t="shared" si="151"/>
        <v>0</v>
      </c>
      <c r="CQ196" s="7">
        <f t="shared" si="152"/>
        <v>0</v>
      </c>
      <c r="CR196" s="7">
        <f t="shared" si="153"/>
        <v>0</v>
      </c>
      <c r="CS196" s="7">
        <f t="shared" si="154"/>
        <v>0</v>
      </c>
      <c r="CT196" s="7">
        <f t="shared" si="155"/>
        <v>0</v>
      </c>
      <c r="CU196" s="7">
        <f t="shared" si="156"/>
        <v>0</v>
      </c>
      <c r="CV196" s="7">
        <f t="shared" si="157"/>
        <v>0</v>
      </c>
      <c r="CW196" s="7">
        <f t="shared" si="158"/>
        <v>0</v>
      </c>
      <c r="CX196" s="7">
        <f t="shared" si="159"/>
        <v>0</v>
      </c>
      <c r="CY196" s="7">
        <f t="shared" si="160"/>
        <v>0</v>
      </c>
      <c r="CZ196" s="7">
        <f t="shared" si="161"/>
        <v>0</v>
      </c>
      <c r="DA196" s="7">
        <f t="shared" si="162"/>
        <v>0</v>
      </c>
      <c r="DB196" s="7">
        <f t="shared" si="163"/>
        <v>0</v>
      </c>
      <c r="DC196" s="7">
        <f t="shared" si="164"/>
        <v>0</v>
      </c>
      <c r="DD196" s="7">
        <f t="shared" si="165"/>
        <v>0</v>
      </c>
      <c r="DE196" s="7">
        <f t="shared" si="166"/>
        <v>0</v>
      </c>
      <c r="DF196" s="7">
        <f t="shared" si="167"/>
        <v>0</v>
      </c>
      <c r="DG196" s="7">
        <f t="shared" si="168"/>
        <v>0</v>
      </c>
      <c r="DH196" s="7">
        <f t="shared" si="169"/>
        <v>0</v>
      </c>
      <c r="DI196" s="7">
        <f t="shared" si="170"/>
        <v>0</v>
      </c>
      <c r="DJ196" s="7">
        <f t="shared" si="171"/>
        <v>0</v>
      </c>
      <c r="DK196" s="7">
        <f t="shared" si="172"/>
        <v>0</v>
      </c>
      <c r="DL196" s="7">
        <f t="shared" si="173"/>
        <v>0</v>
      </c>
      <c r="DM196" s="7">
        <f t="shared" si="174"/>
        <v>0</v>
      </c>
      <c r="DN196" s="7">
        <f t="shared" si="175"/>
        <v>0</v>
      </c>
      <c r="DO196" s="7">
        <f t="shared" si="176"/>
        <v>0</v>
      </c>
      <c r="DP196" s="7">
        <f t="shared" si="177"/>
        <v>0</v>
      </c>
      <c r="DQ196" s="7">
        <f t="shared" si="178"/>
        <v>0</v>
      </c>
      <c r="DR196" s="7">
        <f t="shared" si="179"/>
        <v>0</v>
      </c>
      <c r="DS196" s="7">
        <f t="shared" si="180"/>
        <v>0</v>
      </c>
      <c r="DT196" s="7">
        <f t="shared" si="181"/>
        <v>0</v>
      </c>
      <c r="DU196" s="7">
        <f t="shared" si="182"/>
        <v>0</v>
      </c>
    </row>
    <row r="197" spans="1:125" x14ac:dyDescent="0.2">
      <c r="A197" s="3">
        <f>Bonds!A197</f>
        <v>47894</v>
      </c>
      <c r="B197" s="4">
        <f>Bonds!B197</f>
        <v>1.125</v>
      </c>
      <c r="C197">
        <f>Bonds!P197</f>
        <v>9</v>
      </c>
      <c r="D197">
        <f t="shared" si="122"/>
        <v>0</v>
      </c>
      <c r="E197" s="3">
        <f>IF(1&gt;$C197,"",IF($D197=1,EOMONTH(EDATE(Bonds!$H197,6*(1-1)),0),EDATE(Bonds!$H197,6*(1-1))))</f>
        <v>46433</v>
      </c>
      <c r="F197" s="3">
        <f>IF(2&gt;$C197,"",IF($D197=1,EOMONTH(EDATE(Bonds!$H197,6*(2-1)),0),EDATE(Bonds!$H197,6*(2-1))))</f>
        <v>46614</v>
      </c>
      <c r="G197" s="3">
        <f>IF(3&gt;$C197,"",IF($D197=1,EOMONTH(EDATE(Bonds!$H197,6*(3-1)),0),EDATE(Bonds!$H197,6*(3-1))))</f>
        <v>46798</v>
      </c>
      <c r="H197" s="3">
        <f>IF(4&gt;$C197,"",IF($D197=1,EOMONTH(EDATE(Bonds!$H197,6*(4-1)),0),EDATE(Bonds!$H197,6*(4-1))))</f>
        <v>46980</v>
      </c>
      <c r="I197" s="3">
        <f>IF(5&gt;$C197,"",IF($D197=1,EOMONTH(EDATE(Bonds!$H197,6*(5-1)),0),EDATE(Bonds!$H197,6*(5-1))))</f>
        <v>47164</v>
      </c>
      <c r="J197" s="3">
        <f>IF(6&gt;$C197,"",IF($D197=1,EOMONTH(EDATE(Bonds!$H197,6*(6-1)),0),EDATE(Bonds!$H197,6*(6-1))))</f>
        <v>47345</v>
      </c>
      <c r="K197" s="3">
        <f>IF(7&gt;$C197,"",IF($D197=1,EOMONTH(EDATE(Bonds!$H197,6*(7-1)),0),EDATE(Bonds!$H197,6*(7-1))))</f>
        <v>47529</v>
      </c>
      <c r="L197" s="3">
        <f>IF(8&gt;$C197,"",IF($D197=1,EOMONTH(EDATE(Bonds!$H197,6*(8-1)),0),EDATE(Bonds!$H197,6*(8-1))))</f>
        <v>47710</v>
      </c>
      <c r="M197" s="3">
        <f>IF(9&gt;$C197,"",IF($D197=1,EOMONTH(EDATE(Bonds!$H197,6*(9-1)),0),EDATE(Bonds!$H197,6*(9-1))))</f>
        <v>47894</v>
      </c>
      <c r="N197" s="3" t="str">
        <f>IF(10&gt;$C197,"",IF($D197=1,EOMONTH(EDATE(Bonds!$H197,6*(10-1)),0),EDATE(Bonds!$H197,6*(10-1))))</f>
        <v/>
      </c>
      <c r="O197" s="3" t="str">
        <f>IF(11&gt;$C197,"",IF($D197=1,EOMONTH(EDATE(Bonds!$H197,6*(11-1)),0),EDATE(Bonds!$H197,6*(11-1))))</f>
        <v/>
      </c>
      <c r="P197" s="3" t="str">
        <f>IF(12&gt;$C197,"",IF($D197=1,EOMONTH(EDATE(Bonds!$H197,6*(12-1)),0),EDATE(Bonds!$H197,6*(12-1))))</f>
        <v/>
      </c>
      <c r="Q197" s="3" t="str">
        <f>IF(13&gt;$C197,"",IF($D197=1,EOMONTH(EDATE(Bonds!$H197,6*(13-1)),0),EDATE(Bonds!$H197,6*(13-1))))</f>
        <v/>
      </c>
      <c r="R197" s="3" t="str">
        <f>IF(14&gt;$C197,"",IF($D197=1,EOMONTH(EDATE(Bonds!$H197,6*(14-1)),0),EDATE(Bonds!$H197,6*(14-1))))</f>
        <v/>
      </c>
      <c r="S197" s="3" t="str">
        <f>IF(15&gt;$C197,"",IF($D197=1,EOMONTH(EDATE(Bonds!$H197,6*(15-1)),0),EDATE(Bonds!$H197,6*(15-1))))</f>
        <v/>
      </c>
      <c r="T197" s="3" t="str">
        <f>IF(16&gt;$C197,"",IF($D197=1,EOMONTH(EDATE(Bonds!$H197,6*(16-1)),0),EDATE(Bonds!$H197,6*(16-1))))</f>
        <v/>
      </c>
      <c r="U197" s="3" t="str">
        <f>IF(17&gt;$C197,"",IF($D197=1,EOMONTH(EDATE(Bonds!$H197,6*(17-1)),0),EDATE(Bonds!$H197,6*(17-1))))</f>
        <v/>
      </c>
      <c r="V197" s="3" t="str">
        <f>IF(18&gt;$C197,"",IF($D197=1,EOMONTH(EDATE(Bonds!$H197,6*(18-1)),0),EDATE(Bonds!$H197,6*(18-1))))</f>
        <v/>
      </c>
      <c r="W197" s="3" t="str">
        <f>IF(19&gt;$C197,"",IF($D197=1,EOMONTH(EDATE(Bonds!$H197,6*(19-1)),0),EDATE(Bonds!$H197,6*(19-1))))</f>
        <v/>
      </c>
      <c r="X197" s="3" t="str">
        <f>IF(20&gt;$C197,"",IF($D197=1,EOMONTH(EDATE(Bonds!$H197,6*(20-1)),0),EDATE(Bonds!$H197,6*(20-1))))</f>
        <v/>
      </c>
      <c r="Y197" s="3" t="str">
        <f>IF(21&gt;$C197,"",IF($D197=1,EOMONTH(EDATE(Bonds!$H197,6*(21-1)),0),EDATE(Bonds!$H197,6*(21-1))))</f>
        <v/>
      </c>
      <c r="Z197" s="3" t="str">
        <f>IF(22&gt;$C197,"",IF($D197=1,EOMONTH(EDATE(Bonds!$H197,6*(22-1)),0),EDATE(Bonds!$H197,6*(22-1))))</f>
        <v/>
      </c>
      <c r="AA197" s="3" t="str">
        <f>IF(23&gt;$C197,"",IF($D197=1,EOMONTH(EDATE(Bonds!$H197,6*(23-1)),0),EDATE(Bonds!$H197,6*(23-1))))</f>
        <v/>
      </c>
      <c r="AB197" s="3" t="str">
        <f>IF(24&gt;$C197,"",IF($D197=1,EOMONTH(EDATE(Bonds!$H197,6*(24-1)),0),EDATE(Bonds!$H197,6*(24-1))))</f>
        <v/>
      </c>
      <c r="AC197" s="3" t="str">
        <f>IF(25&gt;$C197,"",IF($D197=1,EOMONTH(EDATE(Bonds!$H197,6*(25-1)),0),EDATE(Bonds!$H197,6*(25-1))))</f>
        <v/>
      </c>
      <c r="AD197" s="3" t="str">
        <f>IF(26&gt;$C197,"",IF($D197=1,EOMONTH(EDATE(Bonds!$H197,6*(26-1)),0),EDATE(Bonds!$H197,6*(26-1))))</f>
        <v/>
      </c>
      <c r="AE197" s="3" t="str">
        <f>IF(27&gt;$C197,"",IF($D197=1,EOMONTH(EDATE(Bonds!$H197,6*(27-1)),0),EDATE(Bonds!$H197,6*(27-1))))</f>
        <v/>
      </c>
      <c r="AF197" s="3" t="str">
        <f>IF(28&gt;$C197,"",IF($D197=1,EOMONTH(EDATE(Bonds!$H197,6*(28-1)),0),EDATE(Bonds!$H197,6*(28-1))))</f>
        <v/>
      </c>
      <c r="AG197" s="3" t="str">
        <f>IF(29&gt;$C197,"",IF($D197=1,EOMONTH(EDATE(Bonds!$H197,6*(29-1)),0),EDATE(Bonds!$H197,6*(29-1))))</f>
        <v/>
      </c>
      <c r="AH197" s="3" t="str">
        <f>IF(30&gt;$C197,"",IF($D197=1,EOMONTH(EDATE(Bonds!$H197,6*(30-1)),0),EDATE(Bonds!$H197,6*(30-1))))</f>
        <v/>
      </c>
      <c r="AI197" s="3" t="str">
        <f>IF(31&gt;$C197,"",IF($D197=1,EOMONTH(EDATE(Bonds!$H197,6*(31-1)),0),EDATE(Bonds!$H197,6*(31-1))))</f>
        <v/>
      </c>
      <c r="AJ197" s="3" t="str">
        <f>IF(32&gt;$C197,"",IF($D197=1,EOMONTH(EDATE(Bonds!$H197,6*(32-1)),0),EDATE(Bonds!$H197,6*(32-1))))</f>
        <v/>
      </c>
      <c r="AK197" s="3" t="str">
        <f>IF(33&gt;$C197,"",IF($D197=1,EOMONTH(EDATE(Bonds!$H197,6*(33-1)),0),EDATE(Bonds!$H197,6*(33-1))))</f>
        <v/>
      </c>
      <c r="AL197" s="3" t="str">
        <f>IF(34&gt;$C197,"",IF($D197=1,EOMONTH(EDATE(Bonds!$H197,6*(34-1)),0),EDATE(Bonds!$H197,6*(34-1))))</f>
        <v/>
      </c>
      <c r="AM197" s="3" t="str">
        <f>IF(35&gt;$C197,"",IF($D197=1,EOMONTH(EDATE(Bonds!$H197,6*(35-1)),0),EDATE(Bonds!$H197,6*(35-1))))</f>
        <v/>
      </c>
      <c r="AN197" s="3" t="str">
        <f>IF(36&gt;$C197,"",IF($D197=1,EOMONTH(EDATE(Bonds!$H197,6*(36-1)),0),EDATE(Bonds!$H197,6*(36-1))))</f>
        <v/>
      </c>
      <c r="AO197" s="3" t="str">
        <f>IF(37&gt;$C197,"",IF($D197=1,EOMONTH(EDATE(Bonds!$H197,6*(37-1)),0),EDATE(Bonds!$H197,6*(37-1))))</f>
        <v/>
      </c>
      <c r="AP197" s="3" t="str">
        <f>IF(38&gt;$C197,"",IF($D197=1,EOMONTH(EDATE(Bonds!$H197,6*(38-1)),0),EDATE(Bonds!$H197,6*(38-1))))</f>
        <v/>
      </c>
      <c r="AQ197" s="3" t="str">
        <f>IF(39&gt;$C197,"",IF($D197=1,EOMONTH(EDATE(Bonds!$H197,6*(39-1)),0),EDATE(Bonds!$H197,6*(39-1))))</f>
        <v/>
      </c>
      <c r="AR197" s="3" t="str">
        <f>IF(40&gt;$C197,"",IF($D197=1,EOMONTH(EDATE(Bonds!$H197,6*(40-1)),0),EDATE(Bonds!$H197,6*(40-1))))</f>
        <v/>
      </c>
      <c r="AS197" s="3" t="str">
        <f>IF(41&gt;$C197,"",IF($D197=1,EOMONTH(EDATE(Bonds!$H197,6*(41-1)),0),EDATE(Bonds!$H197,6*(41-1))))</f>
        <v/>
      </c>
      <c r="AT197" s="3" t="str">
        <f>IF(42&gt;$C197,"",IF($D197=1,EOMONTH(EDATE(Bonds!$H197,6*(42-1)),0),EDATE(Bonds!$H197,6*(42-1))))</f>
        <v/>
      </c>
      <c r="AU197" s="3" t="str">
        <f>IF(43&gt;$C197,"",IF($D197=1,EOMONTH(EDATE(Bonds!$H197,6*(43-1)),0),EDATE(Bonds!$H197,6*(43-1))))</f>
        <v/>
      </c>
      <c r="AV197" s="3" t="str">
        <f>IF(44&gt;$C197,"",IF($D197=1,EOMONTH(EDATE(Bonds!$H197,6*(44-1)),0),EDATE(Bonds!$H197,6*(44-1))))</f>
        <v/>
      </c>
      <c r="AW197" s="3" t="str">
        <f>IF(45&gt;$C197,"",IF($D197=1,EOMONTH(EDATE(Bonds!$H197,6*(45-1)),0),EDATE(Bonds!$H197,6*(45-1))))</f>
        <v/>
      </c>
      <c r="AX197" s="3" t="str">
        <f>IF(46&gt;$C197,"",IF($D197=1,EOMONTH(EDATE(Bonds!$H197,6*(46-1)),0),EDATE(Bonds!$H197,6*(46-1))))</f>
        <v/>
      </c>
      <c r="AY197" s="3" t="str">
        <f>IF(47&gt;$C197,"",IF($D197=1,EOMONTH(EDATE(Bonds!$H197,6*(47-1)),0),EDATE(Bonds!$H197,6*(47-1))))</f>
        <v/>
      </c>
      <c r="AZ197" s="3" t="str">
        <f>IF(48&gt;$C197,"",IF($D197=1,EOMONTH(EDATE(Bonds!$H197,6*(48-1)),0),EDATE(Bonds!$H197,6*(48-1))))</f>
        <v/>
      </c>
      <c r="BA197" s="3" t="str">
        <f>IF(49&gt;$C197,"",IF($D197=1,EOMONTH(EDATE(Bonds!$H197,6*(49-1)),0),EDATE(Bonds!$H197,6*(49-1))))</f>
        <v/>
      </c>
      <c r="BB197" s="3" t="str">
        <f>IF(50&gt;$C197,"",IF($D197=1,EOMONTH(EDATE(Bonds!$H197,6*(50-1)),0),EDATE(Bonds!$H197,6*(50-1))))</f>
        <v/>
      </c>
      <c r="BC197" s="3" t="str">
        <f>IF(51&gt;$C197,"",IF($D197=1,EOMONTH(EDATE(Bonds!$H197,6*(51-1)),0),EDATE(Bonds!$H197,6*(51-1))))</f>
        <v/>
      </c>
      <c r="BD197" s="3" t="str">
        <f>IF(52&gt;$C197,"",IF($D197=1,EOMONTH(EDATE(Bonds!$H197,6*(52-1)),0),EDATE(Bonds!$H197,6*(52-1))))</f>
        <v/>
      </c>
      <c r="BE197" s="3" t="str">
        <f>IF(53&gt;$C197,"",IF($D197=1,EOMONTH(EDATE(Bonds!$H197,6*(53-1)),0),EDATE(Bonds!$H197,6*(53-1))))</f>
        <v/>
      </c>
      <c r="BF197" s="3" t="str">
        <f>IF(54&gt;$C197,"",IF($D197=1,EOMONTH(EDATE(Bonds!$H197,6*(54-1)),0),EDATE(Bonds!$H197,6*(54-1))))</f>
        <v/>
      </c>
      <c r="BG197" s="3" t="str">
        <f>IF(55&gt;$C197,"",IF($D197=1,EOMONTH(EDATE(Bonds!$H197,6*(55-1)),0),EDATE(Bonds!$H197,6*(55-1))))</f>
        <v/>
      </c>
      <c r="BH197" s="3" t="str">
        <f>IF(56&gt;$C197,"",IF($D197=1,EOMONTH(EDATE(Bonds!$H197,6*(56-1)),0),EDATE(Bonds!$H197,6*(56-1))))</f>
        <v/>
      </c>
      <c r="BI197" s="3" t="str">
        <f>IF(57&gt;$C197,"",IF($D197=1,EOMONTH(EDATE(Bonds!$H197,6*(57-1)),0),EDATE(Bonds!$H197,6*(57-1))))</f>
        <v/>
      </c>
      <c r="BJ197" s="3" t="str">
        <f>IF(58&gt;$C197,"",IF($D197=1,EOMONTH(EDATE(Bonds!$H197,6*(58-1)),0),EDATE(Bonds!$H197,6*(58-1))))</f>
        <v/>
      </c>
      <c r="BK197" s="3" t="str">
        <f>IF(59&gt;$C197,"",IF($D197=1,EOMONTH(EDATE(Bonds!$H197,6*(59-1)),0),EDATE(Bonds!$H197,6*(59-1))))</f>
        <v/>
      </c>
      <c r="BL197" s="3" t="str">
        <f>IF(60&gt;$C197,"",IF($D197=1,EOMONTH(EDATE(Bonds!$H197,6*(60-1)),0),EDATE(Bonds!$H197,6*(60-1))))</f>
        <v/>
      </c>
      <c r="BN197" s="7">
        <f t="shared" si="123"/>
        <v>0.55295970878307255</v>
      </c>
      <c r="BO197" s="7">
        <f t="shared" si="124"/>
        <v>0.54130424503915597</v>
      </c>
      <c r="BP197" s="7">
        <f t="shared" si="125"/>
        <v>0.52916293565851558</v>
      </c>
      <c r="BQ197" s="7">
        <f t="shared" si="126"/>
        <v>0.51722351583352566</v>
      </c>
      <c r="BR197" s="7">
        <f t="shared" si="127"/>
        <v>0.5053905654816383</v>
      </c>
      <c r="BS197" s="7">
        <f t="shared" si="128"/>
        <v>0.49403475546910225</v>
      </c>
      <c r="BT197" s="7">
        <f t="shared" si="129"/>
        <v>0.48277110070305002</v>
      </c>
      <c r="BU197" s="7">
        <f t="shared" si="130"/>
        <v>0.4719311777317623</v>
      </c>
      <c r="BV197" s="7">
        <f t="shared" si="131"/>
        <v>82.436290311541896</v>
      </c>
      <c r="BW197" s="7">
        <f t="shared" si="132"/>
        <v>0</v>
      </c>
      <c r="BX197" s="7">
        <f t="shared" si="133"/>
        <v>0</v>
      </c>
      <c r="BY197" s="7">
        <f t="shared" si="134"/>
        <v>0</v>
      </c>
      <c r="BZ197" s="7">
        <f t="shared" si="135"/>
        <v>0</v>
      </c>
      <c r="CA197" s="7">
        <f t="shared" si="136"/>
        <v>0</v>
      </c>
      <c r="CB197" s="7">
        <f t="shared" si="137"/>
        <v>0</v>
      </c>
      <c r="CC197" s="7">
        <f t="shared" si="138"/>
        <v>0</v>
      </c>
      <c r="CD197" s="7">
        <f t="shared" si="139"/>
        <v>0</v>
      </c>
      <c r="CE197" s="7">
        <f t="shared" si="140"/>
        <v>0</v>
      </c>
      <c r="CF197" s="7">
        <f t="shared" si="141"/>
        <v>0</v>
      </c>
      <c r="CG197" s="7">
        <f t="shared" si="142"/>
        <v>0</v>
      </c>
      <c r="CH197" s="7">
        <f t="shared" si="143"/>
        <v>0</v>
      </c>
      <c r="CI197" s="7">
        <f t="shared" si="144"/>
        <v>0</v>
      </c>
      <c r="CJ197" s="7">
        <f t="shared" si="145"/>
        <v>0</v>
      </c>
      <c r="CK197" s="7">
        <f t="shared" si="146"/>
        <v>0</v>
      </c>
      <c r="CL197" s="7">
        <f t="shared" si="147"/>
        <v>0</v>
      </c>
      <c r="CM197" s="7">
        <f t="shared" si="148"/>
        <v>0</v>
      </c>
      <c r="CN197" s="7">
        <f t="shared" si="149"/>
        <v>0</v>
      </c>
      <c r="CO197" s="7">
        <f t="shared" si="150"/>
        <v>0</v>
      </c>
      <c r="CP197" s="7">
        <f t="shared" si="151"/>
        <v>0</v>
      </c>
      <c r="CQ197" s="7">
        <f t="shared" si="152"/>
        <v>0</v>
      </c>
      <c r="CR197" s="7">
        <f t="shared" si="153"/>
        <v>0</v>
      </c>
      <c r="CS197" s="7">
        <f t="shared" si="154"/>
        <v>0</v>
      </c>
      <c r="CT197" s="7">
        <f t="shared" si="155"/>
        <v>0</v>
      </c>
      <c r="CU197" s="7">
        <f t="shared" si="156"/>
        <v>0</v>
      </c>
      <c r="CV197" s="7">
        <f t="shared" si="157"/>
        <v>0</v>
      </c>
      <c r="CW197" s="7">
        <f t="shared" si="158"/>
        <v>0</v>
      </c>
      <c r="CX197" s="7">
        <f t="shared" si="159"/>
        <v>0</v>
      </c>
      <c r="CY197" s="7">
        <f t="shared" si="160"/>
        <v>0</v>
      </c>
      <c r="CZ197" s="7">
        <f t="shared" si="161"/>
        <v>0</v>
      </c>
      <c r="DA197" s="7">
        <f t="shared" si="162"/>
        <v>0</v>
      </c>
      <c r="DB197" s="7">
        <f t="shared" si="163"/>
        <v>0</v>
      </c>
      <c r="DC197" s="7">
        <f t="shared" si="164"/>
        <v>0</v>
      </c>
      <c r="DD197" s="7">
        <f t="shared" si="165"/>
        <v>0</v>
      </c>
      <c r="DE197" s="7">
        <f t="shared" si="166"/>
        <v>0</v>
      </c>
      <c r="DF197" s="7">
        <f t="shared" si="167"/>
        <v>0</v>
      </c>
      <c r="DG197" s="7">
        <f t="shared" si="168"/>
        <v>0</v>
      </c>
      <c r="DH197" s="7">
        <f t="shared" si="169"/>
        <v>0</v>
      </c>
      <c r="DI197" s="7">
        <f t="shared" si="170"/>
        <v>0</v>
      </c>
      <c r="DJ197" s="7">
        <f t="shared" si="171"/>
        <v>0</v>
      </c>
      <c r="DK197" s="7">
        <f t="shared" si="172"/>
        <v>0</v>
      </c>
      <c r="DL197" s="7">
        <f t="shared" si="173"/>
        <v>0</v>
      </c>
      <c r="DM197" s="7">
        <f t="shared" si="174"/>
        <v>0</v>
      </c>
      <c r="DN197" s="7">
        <f t="shared" si="175"/>
        <v>0</v>
      </c>
      <c r="DO197" s="7">
        <f t="shared" si="176"/>
        <v>0</v>
      </c>
      <c r="DP197" s="7">
        <f t="shared" si="177"/>
        <v>0</v>
      </c>
      <c r="DQ197" s="7">
        <f t="shared" si="178"/>
        <v>0</v>
      </c>
      <c r="DR197" s="7">
        <f t="shared" si="179"/>
        <v>0</v>
      </c>
      <c r="DS197" s="7">
        <f t="shared" si="180"/>
        <v>0</v>
      </c>
      <c r="DT197" s="7">
        <f t="shared" si="181"/>
        <v>0</v>
      </c>
      <c r="DU197" s="7">
        <f t="shared" si="182"/>
        <v>0</v>
      </c>
    </row>
    <row r="198" spans="1:125" x14ac:dyDescent="0.2">
      <c r="A198" s="3">
        <f>Bonds!A198</f>
        <v>47894</v>
      </c>
      <c r="B198" s="4">
        <f>Bonds!B198</f>
        <v>5.375</v>
      </c>
      <c r="C198">
        <f>Bonds!P198</f>
        <v>9</v>
      </c>
      <c r="D198">
        <f t="shared" si="122"/>
        <v>0</v>
      </c>
      <c r="E198" s="3">
        <f>IF(1&gt;$C198,"",IF($D198=1,EOMONTH(EDATE(Bonds!$H198,6*(1-1)),0),EDATE(Bonds!$H198,6*(1-1))))</f>
        <v>46433</v>
      </c>
      <c r="F198" s="3">
        <f>IF(2&gt;$C198,"",IF($D198=1,EOMONTH(EDATE(Bonds!$H198,6*(2-1)),0),EDATE(Bonds!$H198,6*(2-1))))</f>
        <v>46614</v>
      </c>
      <c r="G198" s="3">
        <f>IF(3&gt;$C198,"",IF($D198=1,EOMONTH(EDATE(Bonds!$H198,6*(3-1)),0),EDATE(Bonds!$H198,6*(3-1))))</f>
        <v>46798</v>
      </c>
      <c r="H198" s="3">
        <f>IF(4&gt;$C198,"",IF($D198=1,EOMONTH(EDATE(Bonds!$H198,6*(4-1)),0),EDATE(Bonds!$H198,6*(4-1))))</f>
        <v>46980</v>
      </c>
      <c r="I198" s="3">
        <f>IF(5&gt;$C198,"",IF($D198=1,EOMONTH(EDATE(Bonds!$H198,6*(5-1)),0),EDATE(Bonds!$H198,6*(5-1))))</f>
        <v>47164</v>
      </c>
      <c r="J198" s="3">
        <f>IF(6&gt;$C198,"",IF($D198=1,EOMONTH(EDATE(Bonds!$H198,6*(6-1)),0),EDATE(Bonds!$H198,6*(6-1))))</f>
        <v>47345</v>
      </c>
      <c r="K198" s="3">
        <f>IF(7&gt;$C198,"",IF($D198=1,EOMONTH(EDATE(Bonds!$H198,6*(7-1)),0),EDATE(Bonds!$H198,6*(7-1))))</f>
        <v>47529</v>
      </c>
      <c r="L198" s="3">
        <f>IF(8&gt;$C198,"",IF($D198=1,EOMONTH(EDATE(Bonds!$H198,6*(8-1)),0),EDATE(Bonds!$H198,6*(8-1))))</f>
        <v>47710</v>
      </c>
      <c r="M198" s="3">
        <f>IF(9&gt;$C198,"",IF($D198=1,EOMONTH(EDATE(Bonds!$H198,6*(9-1)),0),EDATE(Bonds!$H198,6*(9-1))))</f>
        <v>47894</v>
      </c>
      <c r="N198" s="3" t="str">
        <f>IF(10&gt;$C198,"",IF($D198=1,EOMONTH(EDATE(Bonds!$H198,6*(10-1)),0),EDATE(Bonds!$H198,6*(10-1))))</f>
        <v/>
      </c>
      <c r="O198" s="3" t="str">
        <f>IF(11&gt;$C198,"",IF($D198=1,EOMONTH(EDATE(Bonds!$H198,6*(11-1)),0),EDATE(Bonds!$H198,6*(11-1))))</f>
        <v/>
      </c>
      <c r="P198" s="3" t="str">
        <f>IF(12&gt;$C198,"",IF($D198=1,EOMONTH(EDATE(Bonds!$H198,6*(12-1)),0),EDATE(Bonds!$H198,6*(12-1))))</f>
        <v/>
      </c>
      <c r="Q198" s="3" t="str">
        <f>IF(13&gt;$C198,"",IF($D198=1,EOMONTH(EDATE(Bonds!$H198,6*(13-1)),0),EDATE(Bonds!$H198,6*(13-1))))</f>
        <v/>
      </c>
      <c r="R198" s="3" t="str">
        <f>IF(14&gt;$C198,"",IF($D198=1,EOMONTH(EDATE(Bonds!$H198,6*(14-1)),0),EDATE(Bonds!$H198,6*(14-1))))</f>
        <v/>
      </c>
      <c r="S198" s="3" t="str">
        <f>IF(15&gt;$C198,"",IF($D198=1,EOMONTH(EDATE(Bonds!$H198,6*(15-1)),0),EDATE(Bonds!$H198,6*(15-1))))</f>
        <v/>
      </c>
      <c r="T198" s="3" t="str">
        <f>IF(16&gt;$C198,"",IF($D198=1,EOMONTH(EDATE(Bonds!$H198,6*(16-1)),0),EDATE(Bonds!$H198,6*(16-1))))</f>
        <v/>
      </c>
      <c r="U198" s="3" t="str">
        <f>IF(17&gt;$C198,"",IF($D198=1,EOMONTH(EDATE(Bonds!$H198,6*(17-1)),0),EDATE(Bonds!$H198,6*(17-1))))</f>
        <v/>
      </c>
      <c r="V198" s="3" t="str">
        <f>IF(18&gt;$C198,"",IF($D198=1,EOMONTH(EDATE(Bonds!$H198,6*(18-1)),0),EDATE(Bonds!$H198,6*(18-1))))</f>
        <v/>
      </c>
      <c r="W198" s="3" t="str">
        <f>IF(19&gt;$C198,"",IF($D198=1,EOMONTH(EDATE(Bonds!$H198,6*(19-1)),0),EDATE(Bonds!$H198,6*(19-1))))</f>
        <v/>
      </c>
      <c r="X198" s="3" t="str">
        <f>IF(20&gt;$C198,"",IF($D198=1,EOMONTH(EDATE(Bonds!$H198,6*(20-1)),0),EDATE(Bonds!$H198,6*(20-1))))</f>
        <v/>
      </c>
      <c r="Y198" s="3" t="str">
        <f>IF(21&gt;$C198,"",IF($D198=1,EOMONTH(EDATE(Bonds!$H198,6*(21-1)),0),EDATE(Bonds!$H198,6*(21-1))))</f>
        <v/>
      </c>
      <c r="Z198" s="3" t="str">
        <f>IF(22&gt;$C198,"",IF($D198=1,EOMONTH(EDATE(Bonds!$H198,6*(22-1)),0),EDATE(Bonds!$H198,6*(22-1))))</f>
        <v/>
      </c>
      <c r="AA198" s="3" t="str">
        <f>IF(23&gt;$C198,"",IF($D198=1,EOMONTH(EDATE(Bonds!$H198,6*(23-1)),0),EDATE(Bonds!$H198,6*(23-1))))</f>
        <v/>
      </c>
      <c r="AB198" s="3" t="str">
        <f>IF(24&gt;$C198,"",IF($D198=1,EOMONTH(EDATE(Bonds!$H198,6*(24-1)),0),EDATE(Bonds!$H198,6*(24-1))))</f>
        <v/>
      </c>
      <c r="AC198" s="3" t="str">
        <f>IF(25&gt;$C198,"",IF($D198=1,EOMONTH(EDATE(Bonds!$H198,6*(25-1)),0),EDATE(Bonds!$H198,6*(25-1))))</f>
        <v/>
      </c>
      <c r="AD198" s="3" t="str">
        <f>IF(26&gt;$C198,"",IF($D198=1,EOMONTH(EDATE(Bonds!$H198,6*(26-1)),0),EDATE(Bonds!$H198,6*(26-1))))</f>
        <v/>
      </c>
      <c r="AE198" s="3" t="str">
        <f>IF(27&gt;$C198,"",IF($D198=1,EOMONTH(EDATE(Bonds!$H198,6*(27-1)),0),EDATE(Bonds!$H198,6*(27-1))))</f>
        <v/>
      </c>
      <c r="AF198" s="3" t="str">
        <f>IF(28&gt;$C198,"",IF($D198=1,EOMONTH(EDATE(Bonds!$H198,6*(28-1)),0),EDATE(Bonds!$H198,6*(28-1))))</f>
        <v/>
      </c>
      <c r="AG198" s="3" t="str">
        <f>IF(29&gt;$C198,"",IF($D198=1,EOMONTH(EDATE(Bonds!$H198,6*(29-1)),0),EDATE(Bonds!$H198,6*(29-1))))</f>
        <v/>
      </c>
      <c r="AH198" s="3" t="str">
        <f>IF(30&gt;$C198,"",IF($D198=1,EOMONTH(EDATE(Bonds!$H198,6*(30-1)),0),EDATE(Bonds!$H198,6*(30-1))))</f>
        <v/>
      </c>
      <c r="AI198" s="3" t="str">
        <f>IF(31&gt;$C198,"",IF($D198=1,EOMONTH(EDATE(Bonds!$H198,6*(31-1)),0),EDATE(Bonds!$H198,6*(31-1))))</f>
        <v/>
      </c>
      <c r="AJ198" s="3" t="str">
        <f>IF(32&gt;$C198,"",IF($D198=1,EOMONTH(EDATE(Bonds!$H198,6*(32-1)),0),EDATE(Bonds!$H198,6*(32-1))))</f>
        <v/>
      </c>
      <c r="AK198" s="3" t="str">
        <f>IF(33&gt;$C198,"",IF($D198=1,EOMONTH(EDATE(Bonds!$H198,6*(33-1)),0),EDATE(Bonds!$H198,6*(33-1))))</f>
        <v/>
      </c>
      <c r="AL198" s="3" t="str">
        <f>IF(34&gt;$C198,"",IF($D198=1,EOMONTH(EDATE(Bonds!$H198,6*(34-1)),0),EDATE(Bonds!$H198,6*(34-1))))</f>
        <v/>
      </c>
      <c r="AM198" s="3" t="str">
        <f>IF(35&gt;$C198,"",IF($D198=1,EOMONTH(EDATE(Bonds!$H198,6*(35-1)),0),EDATE(Bonds!$H198,6*(35-1))))</f>
        <v/>
      </c>
      <c r="AN198" s="3" t="str">
        <f>IF(36&gt;$C198,"",IF($D198=1,EOMONTH(EDATE(Bonds!$H198,6*(36-1)),0),EDATE(Bonds!$H198,6*(36-1))))</f>
        <v/>
      </c>
      <c r="AO198" s="3" t="str">
        <f>IF(37&gt;$C198,"",IF($D198=1,EOMONTH(EDATE(Bonds!$H198,6*(37-1)),0),EDATE(Bonds!$H198,6*(37-1))))</f>
        <v/>
      </c>
      <c r="AP198" s="3" t="str">
        <f>IF(38&gt;$C198,"",IF($D198=1,EOMONTH(EDATE(Bonds!$H198,6*(38-1)),0),EDATE(Bonds!$H198,6*(38-1))))</f>
        <v/>
      </c>
      <c r="AQ198" s="3" t="str">
        <f>IF(39&gt;$C198,"",IF($D198=1,EOMONTH(EDATE(Bonds!$H198,6*(39-1)),0),EDATE(Bonds!$H198,6*(39-1))))</f>
        <v/>
      </c>
      <c r="AR198" s="3" t="str">
        <f>IF(40&gt;$C198,"",IF($D198=1,EOMONTH(EDATE(Bonds!$H198,6*(40-1)),0),EDATE(Bonds!$H198,6*(40-1))))</f>
        <v/>
      </c>
      <c r="AS198" s="3" t="str">
        <f>IF(41&gt;$C198,"",IF($D198=1,EOMONTH(EDATE(Bonds!$H198,6*(41-1)),0),EDATE(Bonds!$H198,6*(41-1))))</f>
        <v/>
      </c>
      <c r="AT198" s="3" t="str">
        <f>IF(42&gt;$C198,"",IF($D198=1,EOMONTH(EDATE(Bonds!$H198,6*(42-1)),0),EDATE(Bonds!$H198,6*(42-1))))</f>
        <v/>
      </c>
      <c r="AU198" s="3" t="str">
        <f>IF(43&gt;$C198,"",IF($D198=1,EOMONTH(EDATE(Bonds!$H198,6*(43-1)),0),EDATE(Bonds!$H198,6*(43-1))))</f>
        <v/>
      </c>
      <c r="AV198" s="3" t="str">
        <f>IF(44&gt;$C198,"",IF($D198=1,EOMONTH(EDATE(Bonds!$H198,6*(44-1)),0),EDATE(Bonds!$H198,6*(44-1))))</f>
        <v/>
      </c>
      <c r="AW198" s="3" t="str">
        <f>IF(45&gt;$C198,"",IF($D198=1,EOMONTH(EDATE(Bonds!$H198,6*(45-1)),0),EDATE(Bonds!$H198,6*(45-1))))</f>
        <v/>
      </c>
      <c r="AX198" s="3" t="str">
        <f>IF(46&gt;$C198,"",IF($D198=1,EOMONTH(EDATE(Bonds!$H198,6*(46-1)),0),EDATE(Bonds!$H198,6*(46-1))))</f>
        <v/>
      </c>
      <c r="AY198" s="3" t="str">
        <f>IF(47&gt;$C198,"",IF($D198=1,EOMONTH(EDATE(Bonds!$H198,6*(47-1)),0),EDATE(Bonds!$H198,6*(47-1))))</f>
        <v/>
      </c>
      <c r="AZ198" s="3" t="str">
        <f>IF(48&gt;$C198,"",IF($D198=1,EOMONTH(EDATE(Bonds!$H198,6*(48-1)),0),EDATE(Bonds!$H198,6*(48-1))))</f>
        <v/>
      </c>
      <c r="BA198" s="3" t="str">
        <f>IF(49&gt;$C198,"",IF($D198=1,EOMONTH(EDATE(Bonds!$H198,6*(49-1)),0),EDATE(Bonds!$H198,6*(49-1))))</f>
        <v/>
      </c>
      <c r="BB198" s="3" t="str">
        <f>IF(50&gt;$C198,"",IF($D198=1,EOMONTH(EDATE(Bonds!$H198,6*(50-1)),0),EDATE(Bonds!$H198,6*(50-1))))</f>
        <v/>
      </c>
      <c r="BC198" s="3" t="str">
        <f>IF(51&gt;$C198,"",IF($D198=1,EOMONTH(EDATE(Bonds!$H198,6*(51-1)),0),EDATE(Bonds!$H198,6*(51-1))))</f>
        <v/>
      </c>
      <c r="BD198" s="3" t="str">
        <f>IF(52&gt;$C198,"",IF($D198=1,EOMONTH(EDATE(Bonds!$H198,6*(52-1)),0),EDATE(Bonds!$H198,6*(52-1))))</f>
        <v/>
      </c>
      <c r="BE198" s="3" t="str">
        <f>IF(53&gt;$C198,"",IF($D198=1,EOMONTH(EDATE(Bonds!$H198,6*(53-1)),0),EDATE(Bonds!$H198,6*(53-1))))</f>
        <v/>
      </c>
      <c r="BF198" s="3" t="str">
        <f>IF(54&gt;$C198,"",IF($D198=1,EOMONTH(EDATE(Bonds!$H198,6*(54-1)),0),EDATE(Bonds!$H198,6*(54-1))))</f>
        <v/>
      </c>
      <c r="BG198" s="3" t="str">
        <f>IF(55&gt;$C198,"",IF($D198=1,EOMONTH(EDATE(Bonds!$H198,6*(55-1)),0),EDATE(Bonds!$H198,6*(55-1))))</f>
        <v/>
      </c>
      <c r="BH198" s="3" t="str">
        <f>IF(56&gt;$C198,"",IF($D198=1,EOMONTH(EDATE(Bonds!$H198,6*(56-1)),0),EDATE(Bonds!$H198,6*(56-1))))</f>
        <v/>
      </c>
      <c r="BI198" s="3" t="str">
        <f>IF(57&gt;$C198,"",IF($D198=1,EOMONTH(EDATE(Bonds!$H198,6*(57-1)),0),EDATE(Bonds!$H198,6*(57-1))))</f>
        <v/>
      </c>
      <c r="BJ198" s="3" t="str">
        <f>IF(58&gt;$C198,"",IF($D198=1,EOMONTH(EDATE(Bonds!$H198,6*(58-1)),0),EDATE(Bonds!$H198,6*(58-1))))</f>
        <v/>
      </c>
      <c r="BK198" s="3" t="str">
        <f>IF(59&gt;$C198,"",IF($D198=1,EOMONTH(EDATE(Bonds!$H198,6*(59-1)),0),EDATE(Bonds!$H198,6*(59-1))))</f>
        <v/>
      </c>
      <c r="BL198" s="3" t="str">
        <f>IF(60&gt;$C198,"",IF($D198=1,EOMONTH(EDATE(Bonds!$H198,6*(60-1)),0),EDATE(Bonds!$H198,6*(60-1))))</f>
        <v/>
      </c>
      <c r="BN198" s="7">
        <f t="shared" si="123"/>
        <v>2.6419186086302355</v>
      </c>
      <c r="BO198" s="7">
        <f t="shared" si="124"/>
        <v>2.5862313929648564</v>
      </c>
      <c r="BP198" s="7">
        <f t="shared" si="125"/>
        <v>2.5282229148129081</v>
      </c>
      <c r="BQ198" s="7">
        <f t="shared" si="126"/>
        <v>2.4711790200935115</v>
      </c>
      <c r="BR198" s="7">
        <f t="shared" si="127"/>
        <v>2.4146438128567165</v>
      </c>
      <c r="BS198" s="7">
        <f t="shared" si="128"/>
        <v>2.3603882761301551</v>
      </c>
      <c r="BT198" s="7">
        <f t="shared" si="129"/>
        <v>2.3065730366923503</v>
      </c>
      <c r="BU198" s="7">
        <f t="shared" si="130"/>
        <v>2.2547822936073088</v>
      </c>
      <c r="BV198" s="7">
        <f t="shared" si="131"/>
        <v>84.178262884936814</v>
      </c>
      <c r="BW198" s="7">
        <f t="shared" si="132"/>
        <v>0</v>
      </c>
      <c r="BX198" s="7">
        <f t="shared" si="133"/>
        <v>0</v>
      </c>
      <c r="BY198" s="7">
        <f t="shared" si="134"/>
        <v>0</v>
      </c>
      <c r="BZ198" s="7">
        <f t="shared" si="135"/>
        <v>0</v>
      </c>
      <c r="CA198" s="7">
        <f t="shared" si="136"/>
        <v>0</v>
      </c>
      <c r="CB198" s="7">
        <f t="shared" si="137"/>
        <v>0</v>
      </c>
      <c r="CC198" s="7">
        <f t="shared" si="138"/>
        <v>0</v>
      </c>
      <c r="CD198" s="7">
        <f t="shared" si="139"/>
        <v>0</v>
      </c>
      <c r="CE198" s="7">
        <f t="shared" si="140"/>
        <v>0</v>
      </c>
      <c r="CF198" s="7">
        <f t="shared" si="141"/>
        <v>0</v>
      </c>
      <c r="CG198" s="7">
        <f t="shared" si="142"/>
        <v>0</v>
      </c>
      <c r="CH198" s="7">
        <f t="shared" si="143"/>
        <v>0</v>
      </c>
      <c r="CI198" s="7">
        <f t="shared" si="144"/>
        <v>0</v>
      </c>
      <c r="CJ198" s="7">
        <f t="shared" si="145"/>
        <v>0</v>
      </c>
      <c r="CK198" s="7">
        <f t="shared" si="146"/>
        <v>0</v>
      </c>
      <c r="CL198" s="7">
        <f t="shared" si="147"/>
        <v>0</v>
      </c>
      <c r="CM198" s="7">
        <f t="shared" si="148"/>
        <v>0</v>
      </c>
      <c r="CN198" s="7">
        <f t="shared" si="149"/>
        <v>0</v>
      </c>
      <c r="CO198" s="7">
        <f t="shared" si="150"/>
        <v>0</v>
      </c>
      <c r="CP198" s="7">
        <f t="shared" si="151"/>
        <v>0</v>
      </c>
      <c r="CQ198" s="7">
        <f t="shared" si="152"/>
        <v>0</v>
      </c>
      <c r="CR198" s="7">
        <f t="shared" si="153"/>
        <v>0</v>
      </c>
      <c r="CS198" s="7">
        <f t="shared" si="154"/>
        <v>0</v>
      </c>
      <c r="CT198" s="7">
        <f t="shared" si="155"/>
        <v>0</v>
      </c>
      <c r="CU198" s="7">
        <f t="shared" si="156"/>
        <v>0</v>
      </c>
      <c r="CV198" s="7">
        <f t="shared" si="157"/>
        <v>0</v>
      </c>
      <c r="CW198" s="7">
        <f t="shared" si="158"/>
        <v>0</v>
      </c>
      <c r="CX198" s="7">
        <f t="shared" si="159"/>
        <v>0</v>
      </c>
      <c r="CY198" s="7">
        <f t="shared" si="160"/>
        <v>0</v>
      </c>
      <c r="CZ198" s="7">
        <f t="shared" si="161"/>
        <v>0</v>
      </c>
      <c r="DA198" s="7">
        <f t="shared" si="162"/>
        <v>0</v>
      </c>
      <c r="DB198" s="7">
        <f t="shared" si="163"/>
        <v>0</v>
      </c>
      <c r="DC198" s="7">
        <f t="shared" si="164"/>
        <v>0</v>
      </c>
      <c r="DD198" s="7">
        <f t="shared" si="165"/>
        <v>0</v>
      </c>
      <c r="DE198" s="7">
        <f t="shared" si="166"/>
        <v>0</v>
      </c>
      <c r="DF198" s="7">
        <f t="shared" si="167"/>
        <v>0</v>
      </c>
      <c r="DG198" s="7">
        <f t="shared" si="168"/>
        <v>0</v>
      </c>
      <c r="DH198" s="7">
        <f t="shared" si="169"/>
        <v>0</v>
      </c>
      <c r="DI198" s="7">
        <f t="shared" si="170"/>
        <v>0</v>
      </c>
      <c r="DJ198" s="7">
        <f t="shared" si="171"/>
        <v>0</v>
      </c>
      <c r="DK198" s="7">
        <f t="shared" si="172"/>
        <v>0</v>
      </c>
      <c r="DL198" s="7">
        <f t="shared" si="173"/>
        <v>0</v>
      </c>
      <c r="DM198" s="7">
        <f t="shared" si="174"/>
        <v>0</v>
      </c>
      <c r="DN198" s="7">
        <f t="shared" si="175"/>
        <v>0</v>
      </c>
      <c r="DO198" s="7">
        <f t="shared" si="176"/>
        <v>0</v>
      </c>
      <c r="DP198" s="7">
        <f t="shared" si="177"/>
        <v>0</v>
      </c>
      <c r="DQ198" s="7">
        <f t="shared" si="178"/>
        <v>0</v>
      </c>
      <c r="DR198" s="7">
        <f t="shared" si="179"/>
        <v>0</v>
      </c>
      <c r="DS198" s="7">
        <f t="shared" si="180"/>
        <v>0</v>
      </c>
      <c r="DT198" s="7">
        <f t="shared" si="181"/>
        <v>0</v>
      </c>
      <c r="DU198" s="7">
        <f t="shared" si="182"/>
        <v>0</v>
      </c>
    </row>
    <row r="199" spans="1:125" x14ac:dyDescent="0.2">
      <c r="A199" s="3">
        <f>Bonds!A199</f>
        <v>47907</v>
      </c>
      <c r="B199" s="4">
        <f>Bonds!B199</f>
        <v>3.5</v>
      </c>
      <c r="C199">
        <f>Bonds!P199</f>
        <v>9</v>
      </c>
      <c r="D199">
        <f t="shared" si="122"/>
        <v>1</v>
      </c>
      <c r="E199" s="3">
        <f>IF(1&gt;$C199,"",IF($D199=1,EOMONTH(EDATE(Bonds!$H199,6*(1-1)),0),EDATE(Bonds!$H199,6*(1-1))))</f>
        <v>46446</v>
      </c>
      <c r="F199" s="3">
        <f>IF(2&gt;$C199,"",IF($D199=1,EOMONTH(EDATE(Bonds!$H199,6*(2-1)),0),EDATE(Bonds!$H199,6*(2-1))))</f>
        <v>46630</v>
      </c>
      <c r="G199" s="3">
        <f>IF(3&gt;$C199,"",IF($D199=1,EOMONTH(EDATE(Bonds!$H199,6*(3-1)),0),EDATE(Bonds!$H199,6*(3-1))))</f>
        <v>46812</v>
      </c>
      <c r="H199" s="3">
        <f>IF(4&gt;$C199,"",IF($D199=1,EOMONTH(EDATE(Bonds!$H199,6*(4-1)),0),EDATE(Bonds!$H199,6*(4-1))))</f>
        <v>46996</v>
      </c>
      <c r="I199" s="3">
        <f>IF(5&gt;$C199,"",IF($D199=1,EOMONTH(EDATE(Bonds!$H199,6*(5-1)),0),EDATE(Bonds!$H199,6*(5-1))))</f>
        <v>47177</v>
      </c>
      <c r="J199" s="3">
        <f>IF(6&gt;$C199,"",IF($D199=1,EOMONTH(EDATE(Bonds!$H199,6*(6-1)),0),EDATE(Bonds!$H199,6*(6-1))))</f>
        <v>47361</v>
      </c>
      <c r="K199" s="3">
        <f>IF(7&gt;$C199,"",IF($D199=1,EOMONTH(EDATE(Bonds!$H199,6*(7-1)),0),EDATE(Bonds!$H199,6*(7-1))))</f>
        <v>47542</v>
      </c>
      <c r="L199" s="3">
        <f>IF(8&gt;$C199,"",IF($D199=1,EOMONTH(EDATE(Bonds!$H199,6*(8-1)),0),EDATE(Bonds!$H199,6*(8-1))))</f>
        <v>47726</v>
      </c>
      <c r="M199" s="3">
        <f>IF(9&gt;$C199,"",IF($D199=1,EOMONTH(EDATE(Bonds!$H199,6*(9-1)),0),EDATE(Bonds!$H199,6*(9-1))))</f>
        <v>47907</v>
      </c>
      <c r="N199" s="3" t="str">
        <f>IF(10&gt;$C199,"",IF($D199=1,EOMONTH(EDATE(Bonds!$H199,6*(10-1)),0),EDATE(Bonds!$H199,6*(10-1))))</f>
        <v/>
      </c>
      <c r="O199" s="3" t="str">
        <f>IF(11&gt;$C199,"",IF($D199=1,EOMONTH(EDATE(Bonds!$H199,6*(11-1)),0),EDATE(Bonds!$H199,6*(11-1))))</f>
        <v/>
      </c>
      <c r="P199" s="3" t="str">
        <f>IF(12&gt;$C199,"",IF($D199=1,EOMONTH(EDATE(Bonds!$H199,6*(12-1)),0),EDATE(Bonds!$H199,6*(12-1))))</f>
        <v/>
      </c>
      <c r="Q199" s="3" t="str">
        <f>IF(13&gt;$C199,"",IF($D199=1,EOMONTH(EDATE(Bonds!$H199,6*(13-1)),0),EDATE(Bonds!$H199,6*(13-1))))</f>
        <v/>
      </c>
      <c r="R199" s="3" t="str">
        <f>IF(14&gt;$C199,"",IF($D199=1,EOMONTH(EDATE(Bonds!$H199,6*(14-1)),0),EDATE(Bonds!$H199,6*(14-1))))</f>
        <v/>
      </c>
      <c r="S199" s="3" t="str">
        <f>IF(15&gt;$C199,"",IF($D199=1,EOMONTH(EDATE(Bonds!$H199,6*(15-1)),0),EDATE(Bonds!$H199,6*(15-1))))</f>
        <v/>
      </c>
      <c r="T199" s="3" t="str">
        <f>IF(16&gt;$C199,"",IF($D199=1,EOMONTH(EDATE(Bonds!$H199,6*(16-1)),0),EDATE(Bonds!$H199,6*(16-1))))</f>
        <v/>
      </c>
      <c r="U199" s="3" t="str">
        <f>IF(17&gt;$C199,"",IF($D199=1,EOMONTH(EDATE(Bonds!$H199,6*(17-1)),0),EDATE(Bonds!$H199,6*(17-1))))</f>
        <v/>
      </c>
      <c r="V199" s="3" t="str">
        <f>IF(18&gt;$C199,"",IF($D199=1,EOMONTH(EDATE(Bonds!$H199,6*(18-1)),0),EDATE(Bonds!$H199,6*(18-1))))</f>
        <v/>
      </c>
      <c r="W199" s="3" t="str">
        <f>IF(19&gt;$C199,"",IF($D199=1,EOMONTH(EDATE(Bonds!$H199,6*(19-1)),0),EDATE(Bonds!$H199,6*(19-1))))</f>
        <v/>
      </c>
      <c r="X199" s="3" t="str">
        <f>IF(20&gt;$C199,"",IF($D199=1,EOMONTH(EDATE(Bonds!$H199,6*(20-1)),0),EDATE(Bonds!$H199,6*(20-1))))</f>
        <v/>
      </c>
      <c r="Y199" s="3" t="str">
        <f>IF(21&gt;$C199,"",IF($D199=1,EOMONTH(EDATE(Bonds!$H199,6*(21-1)),0),EDATE(Bonds!$H199,6*(21-1))))</f>
        <v/>
      </c>
      <c r="Z199" s="3" t="str">
        <f>IF(22&gt;$C199,"",IF($D199=1,EOMONTH(EDATE(Bonds!$H199,6*(22-1)),0),EDATE(Bonds!$H199,6*(22-1))))</f>
        <v/>
      </c>
      <c r="AA199" s="3" t="str">
        <f>IF(23&gt;$C199,"",IF($D199=1,EOMONTH(EDATE(Bonds!$H199,6*(23-1)),0),EDATE(Bonds!$H199,6*(23-1))))</f>
        <v/>
      </c>
      <c r="AB199" s="3" t="str">
        <f>IF(24&gt;$C199,"",IF($D199=1,EOMONTH(EDATE(Bonds!$H199,6*(24-1)),0),EDATE(Bonds!$H199,6*(24-1))))</f>
        <v/>
      </c>
      <c r="AC199" s="3" t="str">
        <f>IF(25&gt;$C199,"",IF($D199=1,EOMONTH(EDATE(Bonds!$H199,6*(25-1)),0),EDATE(Bonds!$H199,6*(25-1))))</f>
        <v/>
      </c>
      <c r="AD199" s="3" t="str">
        <f>IF(26&gt;$C199,"",IF($D199=1,EOMONTH(EDATE(Bonds!$H199,6*(26-1)),0),EDATE(Bonds!$H199,6*(26-1))))</f>
        <v/>
      </c>
      <c r="AE199" s="3" t="str">
        <f>IF(27&gt;$C199,"",IF($D199=1,EOMONTH(EDATE(Bonds!$H199,6*(27-1)),0),EDATE(Bonds!$H199,6*(27-1))))</f>
        <v/>
      </c>
      <c r="AF199" s="3" t="str">
        <f>IF(28&gt;$C199,"",IF($D199=1,EOMONTH(EDATE(Bonds!$H199,6*(28-1)),0),EDATE(Bonds!$H199,6*(28-1))))</f>
        <v/>
      </c>
      <c r="AG199" s="3" t="str">
        <f>IF(29&gt;$C199,"",IF($D199=1,EOMONTH(EDATE(Bonds!$H199,6*(29-1)),0),EDATE(Bonds!$H199,6*(29-1))))</f>
        <v/>
      </c>
      <c r="AH199" s="3" t="str">
        <f>IF(30&gt;$C199,"",IF($D199=1,EOMONTH(EDATE(Bonds!$H199,6*(30-1)),0),EDATE(Bonds!$H199,6*(30-1))))</f>
        <v/>
      </c>
      <c r="AI199" s="3" t="str">
        <f>IF(31&gt;$C199,"",IF($D199=1,EOMONTH(EDATE(Bonds!$H199,6*(31-1)),0),EDATE(Bonds!$H199,6*(31-1))))</f>
        <v/>
      </c>
      <c r="AJ199" s="3" t="str">
        <f>IF(32&gt;$C199,"",IF($D199=1,EOMONTH(EDATE(Bonds!$H199,6*(32-1)),0),EDATE(Bonds!$H199,6*(32-1))))</f>
        <v/>
      </c>
      <c r="AK199" s="3" t="str">
        <f>IF(33&gt;$C199,"",IF($D199=1,EOMONTH(EDATE(Bonds!$H199,6*(33-1)),0),EDATE(Bonds!$H199,6*(33-1))))</f>
        <v/>
      </c>
      <c r="AL199" s="3" t="str">
        <f>IF(34&gt;$C199,"",IF($D199=1,EOMONTH(EDATE(Bonds!$H199,6*(34-1)),0),EDATE(Bonds!$H199,6*(34-1))))</f>
        <v/>
      </c>
      <c r="AM199" s="3" t="str">
        <f>IF(35&gt;$C199,"",IF($D199=1,EOMONTH(EDATE(Bonds!$H199,6*(35-1)),0),EDATE(Bonds!$H199,6*(35-1))))</f>
        <v/>
      </c>
      <c r="AN199" s="3" t="str">
        <f>IF(36&gt;$C199,"",IF($D199=1,EOMONTH(EDATE(Bonds!$H199,6*(36-1)),0),EDATE(Bonds!$H199,6*(36-1))))</f>
        <v/>
      </c>
      <c r="AO199" s="3" t="str">
        <f>IF(37&gt;$C199,"",IF($D199=1,EOMONTH(EDATE(Bonds!$H199,6*(37-1)),0),EDATE(Bonds!$H199,6*(37-1))))</f>
        <v/>
      </c>
      <c r="AP199" s="3" t="str">
        <f>IF(38&gt;$C199,"",IF($D199=1,EOMONTH(EDATE(Bonds!$H199,6*(38-1)),0),EDATE(Bonds!$H199,6*(38-1))))</f>
        <v/>
      </c>
      <c r="AQ199" s="3" t="str">
        <f>IF(39&gt;$C199,"",IF($D199=1,EOMONTH(EDATE(Bonds!$H199,6*(39-1)),0),EDATE(Bonds!$H199,6*(39-1))))</f>
        <v/>
      </c>
      <c r="AR199" s="3" t="str">
        <f>IF(40&gt;$C199,"",IF($D199=1,EOMONTH(EDATE(Bonds!$H199,6*(40-1)),0),EDATE(Bonds!$H199,6*(40-1))))</f>
        <v/>
      </c>
      <c r="AS199" s="3" t="str">
        <f>IF(41&gt;$C199,"",IF($D199=1,EOMONTH(EDATE(Bonds!$H199,6*(41-1)),0),EDATE(Bonds!$H199,6*(41-1))))</f>
        <v/>
      </c>
      <c r="AT199" s="3" t="str">
        <f>IF(42&gt;$C199,"",IF($D199=1,EOMONTH(EDATE(Bonds!$H199,6*(42-1)),0),EDATE(Bonds!$H199,6*(42-1))))</f>
        <v/>
      </c>
      <c r="AU199" s="3" t="str">
        <f>IF(43&gt;$C199,"",IF($D199=1,EOMONTH(EDATE(Bonds!$H199,6*(43-1)),0),EDATE(Bonds!$H199,6*(43-1))))</f>
        <v/>
      </c>
      <c r="AV199" s="3" t="str">
        <f>IF(44&gt;$C199,"",IF($D199=1,EOMONTH(EDATE(Bonds!$H199,6*(44-1)),0),EDATE(Bonds!$H199,6*(44-1))))</f>
        <v/>
      </c>
      <c r="AW199" s="3" t="str">
        <f>IF(45&gt;$C199,"",IF($D199=1,EOMONTH(EDATE(Bonds!$H199,6*(45-1)),0),EDATE(Bonds!$H199,6*(45-1))))</f>
        <v/>
      </c>
      <c r="AX199" s="3" t="str">
        <f>IF(46&gt;$C199,"",IF($D199=1,EOMONTH(EDATE(Bonds!$H199,6*(46-1)),0),EDATE(Bonds!$H199,6*(46-1))))</f>
        <v/>
      </c>
      <c r="AY199" s="3" t="str">
        <f>IF(47&gt;$C199,"",IF($D199=1,EOMONTH(EDATE(Bonds!$H199,6*(47-1)),0),EDATE(Bonds!$H199,6*(47-1))))</f>
        <v/>
      </c>
      <c r="AZ199" s="3" t="str">
        <f>IF(48&gt;$C199,"",IF($D199=1,EOMONTH(EDATE(Bonds!$H199,6*(48-1)),0),EDATE(Bonds!$H199,6*(48-1))))</f>
        <v/>
      </c>
      <c r="BA199" s="3" t="str">
        <f>IF(49&gt;$C199,"",IF($D199=1,EOMONTH(EDATE(Bonds!$H199,6*(49-1)),0),EDATE(Bonds!$H199,6*(49-1))))</f>
        <v/>
      </c>
      <c r="BB199" s="3" t="str">
        <f>IF(50&gt;$C199,"",IF($D199=1,EOMONTH(EDATE(Bonds!$H199,6*(50-1)),0),EDATE(Bonds!$H199,6*(50-1))))</f>
        <v/>
      </c>
      <c r="BC199" s="3" t="str">
        <f>IF(51&gt;$C199,"",IF($D199=1,EOMONTH(EDATE(Bonds!$H199,6*(51-1)),0),EDATE(Bonds!$H199,6*(51-1))))</f>
        <v/>
      </c>
      <c r="BD199" s="3" t="str">
        <f>IF(52&gt;$C199,"",IF($D199=1,EOMONTH(EDATE(Bonds!$H199,6*(52-1)),0),EDATE(Bonds!$H199,6*(52-1))))</f>
        <v/>
      </c>
      <c r="BE199" s="3" t="str">
        <f>IF(53&gt;$C199,"",IF($D199=1,EOMONTH(EDATE(Bonds!$H199,6*(53-1)),0),EDATE(Bonds!$H199,6*(53-1))))</f>
        <v/>
      </c>
      <c r="BF199" s="3" t="str">
        <f>IF(54&gt;$C199,"",IF($D199=1,EOMONTH(EDATE(Bonds!$H199,6*(54-1)),0),EDATE(Bonds!$H199,6*(54-1))))</f>
        <v/>
      </c>
      <c r="BG199" s="3" t="str">
        <f>IF(55&gt;$C199,"",IF($D199=1,EOMONTH(EDATE(Bonds!$H199,6*(55-1)),0),EDATE(Bonds!$H199,6*(55-1))))</f>
        <v/>
      </c>
      <c r="BH199" s="3" t="str">
        <f>IF(56&gt;$C199,"",IF($D199=1,EOMONTH(EDATE(Bonds!$H199,6*(56-1)),0),EDATE(Bonds!$H199,6*(56-1))))</f>
        <v/>
      </c>
      <c r="BI199" s="3" t="str">
        <f>IF(57&gt;$C199,"",IF($D199=1,EOMONTH(EDATE(Bonds!$H199,6*(57-1)),0),EDATE(Bonds!$H199,6*(57-1))))</f>
        <v/>
      </c>
      <c r="BJ199" s="3" t="str">
        <f>IF(58&gt;$C199,"",IF($D199=1,EOMONTH(EDATE(Bonds!$H199,6*(58-1)),0),EDATE(Bonds!$H199,6*(58-1))))</f>
        <v/>
      </c>
      <c r="BK199" s="3" t="str">
        <f>IF(59&gt;$C199,"",IF($D199=1,EOMONTH(EDATE(Bonds!$H199,6*(59-1)),0),EDATE(Bonds!$H199,6*(59-1))))</f>
        <v/>
      </c>
      <c r="BL199" s="3" t="str">
        <f>IF(60&gt;$C199,"",IF($D199=1,EOMONTH(EDATE(Bonds!$H199,6*(60-1)),0),EDATE(Bonds!$H199,6*(60-1))))</f>
        <v/>
      </c>
      <c r="BN199" s="7">
        <f t="shared" si="123"/>
        <v>1.7177817388535788</v>
      </c>
      <c r="BO199" s="7">
        <f t="shared" si="124"/>
        <v>1.6807875836361958</v>
      </c>
      <c r="BP199" s="7">
        <f t="shared" si="125"/>
        <v>1.643410233038622</v>
      </c>
      <c r="BQ199" s="7">
        <f t="shared" si="126"/>
        <v>1.605904933223413</v>
      </c>
      <c r="BR199" s="7">
        <f t="shared" si="127"/>
        <v>1.5697590648771973</v>
      </c>
      <c r="BS199" s="7">
        <f t="shared" si="128"/>
        <v>1.5339161851433041</v>
      </c>
      <c r="BT199" s="7">
        <f t="shared" si="129"/>
        <v>1.4995092538473493</v>
      </c>
      <c r="BU199" s="7">
        <f t="shared" si="130"/>
        <v>1.4652802578064115</v>
      </c>
      <c r="BV199" s="7">
        <f t="shared" si="131"/>
        <v>83.272612412829872</v>
      </c>
      <c r="BW199" s="7">
        <f t="shared" si="132"/>
        <v>0</v>
      </c>
      <c r="BX199" s="7">
        <f t="shared" si="133"/>
        <v>0</v>
      </c>
      <c r="BY199" s="7">
        <f t="shared" si="134"/>
        <v>0</v>
      </c>
      <c r="BZ199" s="7">
        <f t="shared" si="135"/>
        <v>0</v>
      </c>
      <c r="CA199" s="7">
        <f t="shared" si="136"/>
        <v>0</v>
      </c>
      <c r="CB199" s="7">
        <f t="shared" si="137"/>
        <v>0</v>
      </c>
      <c r="CC199" s="7">
        <f t="shared" si="138"/>
        <v>0</v>
      </c>
      <c r="CD199" s="7">
        <f t="shared" si="139"/>
        <v>0</v>
      </c>
      <c r="CE199" s="7">
        <f t="shared" si="140"/>
        <v>0</v>
      </c>
      <c r="CF199" s="7">
        <f t="shared" si="141"/>
        <v>0</v>
      </c>
      <c r="CG199" s="7">
        <f t="shared" si="142"/>
        <v>0</v>
      </c>
      <c r="CH199" s="7">
        <f t="shared" si="143"/>
        <v>0</v>
      </c>
      <c r="CI199" s="7">
        <f t="shared" si="144"/>
        <v>0</v>
      </c>
      <c r="CJ199" s="7">
        <f t="shared" si="145"/>
        <v>0</v>
      </c>
      <c r="CK199" s="7">
        <f t="shared" si="146"/>
        <v>0</v>
      </c>
      <c r="CL199" s="7">
        <f t="shared" si="147"/>
        <v>0</v>
      </c>
      <c r="CM199" s="7">
        <f t="shared" si="148"/>
        <v>0</v>
      </c>
      <c r="CN199" s="7">
        <f t="shared" si="149"/>
        <v>0</v>
      </c>
      <c r="CO199" s="7">
        <f t="shared" si="150"/>
        <v>0</v>
      </c>
      <c r="CP199" s="7">
        <f t="shared" si="151"/>
        <v>0</v>
      </c>
      <c r="CQ199" s="7">
        <f t="shared" si="152"/>
        <v>0</v>
      </c>
      <c r="CR199" s="7">
        <f t="shared" si="153"/>
        <v>0</v>
      </c>
      <c r="CS199" s="7">
        <f t="shared" si="154"/>
        <v>0</v>
      </c>
      <c r="CT199" s="7">
        <f t="shared" si="155"/>
        <v>0</v>
      </c>
      <c r="CU199" s="7">
        <f t="shared" si="156"/>
        <v>0</v>
      </c>
      <c r="CV199" s="7">
        <f t="shared" si="157"/>
        <v>0</v>
      </c>
      <c r="CW199" s="7">
        <f t="shared" si="158"/>
        <v>0</v>
      </c>
      <c r="CX199" s="7">
        <f t="shared" si="159"/>
        <v>0</v>
      </c>
      <c r="CY199" s="7">
        <f t="shared" si="160"/>
        <v>0</v>
      </c>
      <c r="CZ199" s="7">
        <f t="shared" si="161"/>
        <v>0</v>
      </c>
      <c r="DA199" s="7">
        <f t="shared" si="162"/>
        <v>0</v>
      </c>
      <c r="DB199" s="7">
        <f t="shared" si="163"/>
        <v>0</v>
      </c>
      <c r="DC199" s="7">
        <f t="shared" si="164"/>
        <v>0</v>
      </c>
      <c r="DD199" s="7">
        <f t="shared" si="165"/>
        <v>0</v>
      </c>
      <c r="DE199" s="7">
        <f t="shared" si="166"/>
        <v>0</v>
      </c>
      <c r="DF199" s="7">
        <f t="shared" si="167"/>
        <v>0</v>
      </c>
      <c r="DG199" s="7">
        <f t="shared" si="168"/>
        <v>0</v>
      </c>
      <c r="DH199" s="7">
        <f t="shared" si="169"/>
        <v>0</v>
      </c>
      <c r="DI199" s="7">
        <f t="shared" si="170"/>
        <v>0</v>
      </c>
      <c r="DJ199" s="7">
        <f t="shared" si="171"/>
        <v>0</v>
      </c>
      <c r="DK199" s="7">
        <f t="shared" si="172"/>
        <v>0</v>
      </c>
      <c r="DL199" s="7">
        <f t="shared" si="173"/>
        <v>0</v>
      </c>
      <c r="DM199" s="7">
        <f t="shared" si="174"/>
        <v>0</v>
      </c>
      <c r="DN199" s="7">
        <f t="shared" si="175"/>
        <v>0</v>
      </c>
      <c r="DO199" s="7">
        <f t="shared" si="176"/>
        <v>0</v>
      </c>
      <c r="DP199" s="7">
        <f t="shared" si="177"/>
        <v>0</v>
      </c>
      <c r="DQ199" s="7">
        <f t="shared" si="178"/>
        <v>0</v>
      </c>
      <c r="DR199" s="7">
        <f t="shared" si="179"/>
        <v>0</v>
      </c>
      <c r="DS199" s="7">
        <f t="shared" si="180"/>
        <v>0</v>
      </c>
      <c r="DT199" s="7">
        <f t="shared" si="181"/>
        <v>0</v>
      </c>
      <c r="DU199" s="7">
        <f t="shared" si="182"/>
        <v>0</v>
      </c>
    </row>
    <row r="200" spans="1:125" x14ac:dyDescent="0.2">
      <c r="A200" s="3">
        <f>Bonds!A200</f>
        <v>47907</v>
      </c>
      <c r="B200" s="4">
        <f>Bonds!B200</f>
        <v>4.25</v>
      </c>
      <c r="C200">
        <f>Bonds!P200</f>
        <v>9</v>
      </c>
      <c r="D200">
        <f t="shared" ref="D200:D263" si="183">IF(DAY(A200)=DAY(EOMONTH(A200,0)),1,0)</f>
        <v>1</v>
      </c>
      <c r="E200" s="3">
        <f>IF(1&gt;$C200,"",IF($D200=1,EOMONTH(EDATE(Bonds!$H200,6*(1-1)),0),EDATE(Bonds!$H200,6*(1-1))))</f>
        <v>46446</v>
      </c>
      <c r="F200" s="3">
        <f>IF(2&gt;$C200,"",IF($D200=1,EOMONTH(EDATE(Bonds!$H200,6*(2-1)),0),EDATE(Bonds!$H200,6*(2-1))))</f>
        <v>46630</v>
      </c>
      <c r="G200" s="3">
        <f>IF(3&gt;$C200,"",IF($D200=1,EOMONTH(EDATE(Bonds!$H200,6*(3-1)),0),EDATE(Bonds!$H200,6*(3-1))))</f>
        <v>46812</v>
      </c>
      <c r="H200" s="3">
        <f>IF(4&gt;$C200,"",IF($D200=1,EOMONTH(EDATE(Bonds!$H200,6*(4-1)),0),EDATE(Bonds!$H200,6*(4-1))))</f>
        <v>46996</v>
      </c>
      <c r="I200" s="3">
        <f>IF(5&gt;$C200,"",IF($D200=1,EOMONTH(EDATE(Bonds!$H200,6*(5-1)),0),EDATE(Bonds!$H200,6*(5-1))))</f>
        <v>47177</v>
      </c>
      <c r="J200" s="3">
        <f>IF(6&gt;$C200,"",IF($D200=1,EOMONTH(EDATE(Bonds!$H200,6*(6-1)),0),EDATE(Bonds!$H200,6*(6-1))))</f>
        <v>47361</v>
      </c>
      <c r="K200" s="3">
        <f>IF(7&gt;$C200,"",IF($D200=1,EOMONTH(EDATE(Bonds!$H200,6*(7-1)),0),EDATE(Bonds!$H200,6*(7-1))))</f>
        <v>47542</v>
      </c>
      <c r="L200" s="3">
        <f>IF(8&gt;$C200,"",IF($D200=1,EOMONTH(EDATE(Bonds!$H200,6*(8-1)),0),EDATE(Bonds!$H200,6*(8-1))))</f>
        <v>47726</v>
      </c>
      <c r="M200" s="3">
        <f>IF(9&gt;$C200,"",IF($D200=1,EOMONTH(EDATE(Bonds!$H200,6*(9-1)),0),EDATE(Bonds!$H200,6*(9-1))))</f>
        <v>47907</v>
      </c>
      <c r="N200" s="3" t="str">
        <f>IF(10&gt;$C200,"",IF($D200=1,EOMONTH(EDATE(Bonds!$H200,6*(10-1)),0),EDATE(Bonds!$H200,6*(10-1))))</f>
        <v/>
      </c>
      <c r="O200" s="3" t="str">
        <f>IF(11&gt;$C200,"",IF($D200=1,EOMONTH(EDATE(Bonds!$H200,6*(11-1)),0),EDATE(Bonds!$H200,6*(11-1))))</f>
        <v/>
      </c>
      <c r="P200" s="3" t="str">
        <f>IF(12&gt;$C200,"",IF($D200=1,EOMONTH(EDATE(Bonds!$H200,6*(12-1)),0),EDATE(Bonds!$H200,6*(12-1))))</f>
        <v/>
      </c>
      <c r="Q200" s="3" t="str">
        <f>IF(13&gt;$C200,"",IF($D200=1,EOMONTH(EDATE(Bonds!$H200,6*(13-1)),0),EDATE(Bonds!$H200,6*(13-1))))</f>
        <v/>
      </c>
      <c r="R200" s="3" t="str">
        <f>IF(14&gt;$C200,"",IF($D200=1,EOMONTH(EDATE(Bonds!$H200,6*(14-1)),0),EDATE(Bonds!$H200,6*(14-1))))</f>
        <v/>
      </c>
      <c r="S200" s="3" t="str">
        <f>IF(15&gt;$C200,"",IF($D200=1,EOMONTH(EDATE(Bonds!$H200,6*(15-1)),0),EDATE(Bonds!$H200,6*(15-1))))</f>
        <v/>
      </c>
      <c r="T200" s="3" t="str">
        <f>IF(16&gt;$C200,"",IF($D200=1,EOMONTH(EDATE(Bonds!$H200,6*(16-1)),0),EDATE(Bonds!$H200,6*(16-1))))</f>
        <v/>
      </c>
      <c r="U200" s="3" t="str">
        <f>IF(17&gt;$C200,"",IF($D200=1,EOMONTH(EDATE(Bonds!$H200,6*(17-1)),0),EDATE(Bonds!$H200,6*(17-1))))</f>
        <v/>
      </c>
      <c r="V200" s="3" t="str">
        <f>IF(18&gt;$C200,"",IF($D200=1,EOMONTH(EDATE(Bonds!$H200,6*(18-1)),0),EDATE(Bonds!$H200,6*(18-1))))</f>
        <v/>
      </c>
      <c r="W200" s="3" t="str">
        <f>IF(19&gt;$C200,"",IF($D200=1,EOMONTH(EDATE(Bonds!$H200,6*(19-1)),0),EDATE(Bonds!$H200,6*(19-1))))</f>
        <v/>
      </c>
      <c r="X200" s="3" t="str">
        <f>IF(20&gt;$C200,"",IF($D200=1,EOMONTH(EDATE(Bonds!$H200,6*(20-1)),0),EDATE(Bonds!$H200,6*(20-1))))</f>
        <v/>
      </c>
      <c r="Y200" s="3" t="str">
        <f>IF(21&gt;$C200,"",IF($D200=1,EOMONTH(EDATE(Bonds!$H200,6*(21-1)),0),EDATE(Bonds!$H200,6*(21-1))))</f>
        <v/>
      </c>
      <c r="Z200" s="3" t="str">
        <f>IF(22&gt;$C200,"",IF($D200=1,EOMONTH(EDATE(Bonds!$H200,6*(22-1)),0),EDATE(Bonds!$H200,6*(22-1))))</f>
        <v/>
      </c>
      <c r="AA200" s="3" t="str">
        <f>IF(23&gt;$C200,"",IF($D200=1,EOMONTH(EDATE(Bonds!$H200,6*(23-1)),0),EDATE(Bonds!$H200,6*(23-1))))</f>
        <v/>
      </c>
      <c r="AB200" s="3" t="str">
        <f>IF(24&gt;$C200,"",IF($D200=1,EOMONTH(EDATE(Bonds!$H200,6*(24-1)),0),EDATE(Bonds!$H200,6*(24-1))))</f>
        <v/>
      </c>
      <c r="AC200" s="3" t="str">
        <f>IF(25&gt;$C200,"",IF($D200=1,EOMONTH(EDATE(Bonds!$H200,6*(25-1)),0),EDATE(Bonds!$H200,6*(25-1))))</f>
        <v/>
      </c>
      <c r="AD200" s="3" t="str">
        <f>IF(26&gt;$C200,"",IF($D200=1,EOMONTH(EDATE(Bonds!$H200,6*(26-1)),0),EDATE(Bonds!$H200,6*(26-1))))</f>
        <v/>
      </c>
      <c r="AE200" s="3" t="str">
        <f>IF(27&gt;$C200,"",IF($D200=1,EOMONTH(EDATE(Bonds!$H200,6*(27-1)),0),EDATE(Bonds!$H200,6*(27-1))))</f>
        <v/>
      </c>
      <c r="AF200" s="3" t="str">
        <f>IF(28&gt;$C200,"",IF($D200=1,EOMONTH(EDATE(Bonds!$H200,6*(28-1)),0),EDATE(Bonds!$H200,6*(28-1))))</f>
        <v/>
      </c>
      <c r="AG200" s="3" t="str">
        <f>IF(29&gt;$C200,"",IF($D200=1,EOMONTH(EDATE(Bonds!$H200,6*(29-1)),0),EDATE(Bonds!$H200,6*(29-1))))</f>
        <v/>
      </c>
      <c r="AH200" s="3" t="str">
        <f>IF(30&gt;$C200,"",IF($D200=1,EOMONTH(EDATE(Bonds!$H200,6*(30-1)),0),EDATE(Bonds!$H200,6*(30-1))))</f>
        <v/>
      </c>
      <c r="AI200" s="3" t="str">
        <f>IF(31&gt;$C200,"",IF($D200=1,EOMONTH(EDATE(Bonds!$H200,6*(31-1)),0),EDATE(Bonds!$H200,6*(31-1))))</f>
        <v/>
      </c>
      <c r="AJ200" s="3" t="str">
        <f>IF(32&gt;$C200,"",IF($D200=1,EOMONTH(EDATE(Bonds!$H200,6*(32-1)),0),EDATE(Bonds!$H200,6*(32-1))))</f>
        <v/>
      </c>
      <c r="AK200" s="3" t="str">
        <f>IF(33&gt;$C200,"",IF($D200=1,EOMONTH(EDATE(Bonds!$H200,6*(33-1)),0),EDATE(Bonds!$H200,6*(33-1))))</f>
        <v/>
      </c>
      <c r="AL200" s="3" t="str">
        <f>IF(34&gt;$C200,"",IF($D200=1,EOMONTH(EDATE(Bonds!$H200,6*(34-1)),0),EDATE(Bonds!$H200,6*(34-1))))</f>
        <v/>
      </c>
      <c r="AM200" s="3" t="str">
        <f>IF(35&gt;$C200,"",IF($D200=1,EOMONTH(EDATE(Bonds!$H200,6*(35-1)),0),EDATE(Bonds!$H200,6*(35-1))))</f>
        <v/>
      </c>
      <c r="AN200" s="3" t="str">
        <f>IF(36&gt;$C200,"",IF($D200=1,EOMONTH(EDATE(Bonds!$H200,6*(36-1)),0),EDATE(Bonds!$H200,6*(36-1))))</f>
        <v/>
      </c>
      <c r="AO200" s="3" t="str">
        <f>IF(37&gt;$C200,"",IF($D200=1,EOMONTH(EDATE(Bonds!$H200,6*(37-1)),0),EDATE(Bonds!$H200,6*(37-1))))</f>
        <v/>
      </c>
      <c r="AP200" s="3" t="str">
        <f>IF(38&gt;$C200,"",IF($D200=1,EOMONTH(EDATE(Bonds!$H200,6*(38-1)),0),EDATE(Bonds!$H200,6*(38-1))))</f>
        <v/>
      </c>
      <c r="AQ200" s="3" t="str">
        <f>IF(39&gt;$C200,"",IF($D200=1,EOMONTH(EDATE(Bonds!$H200,6*(39-1)),0),EDATE(Bonds!$H200,6*(39-1))))</f>
        <v/>
      </c>
      <c r="AR200" s="3" t="str">
        <f>IF(40&gt;$C200,"",IF($D200=1,EOMONTH(EDATE(Bonds!$H200,6*(40-1)),0),EDATE(Bonds!$H200,6*(40-1))))</f>
        <v/>
      </c>
      <c r="AS200" s="3" t="str">
        <f>IF(41&gt;$C200,"",IF($D200=1,EOMONTH(EDATE(Bonds!$H200,6*(41-1)),0),EDATE(Bonds!$H200,6*(41-1))))</f>
        <v/>
      </c>
      <c r="AT200" s="3" t="str">
        <f>IF(42&gt;$C200,"",IF($D200=1,EOMONTH(EDATE(Bonds!$H200,6*(42-1)),0),EDATE(Bonds!$H200,6*(42-1))))</f>
        <v/>
      </c>
      <c r="AU200" s="3" t="str">
        <f>IF(43&gt;$C200,"",IF($D200=1,EOMONTH(EDATE(Bonds!$H200,6*(43-1)),0),EDATE(Bonds!$H200,6*(43-1))))</f>
        <v/>
      </c>
      <c r="AV200" s="3" t="str">
        <f>IF(44&gt;$C200,"",IF($D200=1,EOMONTH(EDATE(Bonds!$H200,6*(44-1)),0),EDATE(Bonds!$H200,6*(44-1))))</f>
        <v/>
      </c>
      <c r="AW200" s="3" t="str">
        <f>IF(45&gt;$C200,"",IF($D200=1,EOMONTH(EDATE(Bonds!$H200,6*(45-1)),0),EDATE(Bonds!$H200,6*(45-1))))</f>
        <v/>
      </c>
      <c r="AX200" s="3" t="str">
        <f>IF(46&gt;$C200,"",IF($D200=1,EOMONTH(EDATE(Bonds!$H200,6*(46-1)),0),EDATE(Bonds!$H200,6*(46-1))))</f>
        <v/>
      </c>
      <c r="AY200" s="3" t="str">
        <f>IF(47&gt;$C200,"",IF($D200=1,EOMONTH(EDATE(Bonds!$H200,6*(47-1)),0),EDATE(Bonds!$H200,6*(47-1))))</f>
        <v/>
      </c>
      <c r="AZ200" s="3" t="str">
        <f>IF(48&gt;$C200,"",IF($D200=1,EOMONTH(EDATE(Bonds!$H200,6*(48-1)),0),EDATE(Bonds!$H200,6*(48-1))))</f>
        <v/>
      </c>
      <c r="BA200" s="3" t="str">
        <f>IF(49&gt;$C200,"",IF($D200=1,EOMONTH(EDATE(Bonds!$H200,6*(49-1)),0),EDATE(Bonds!$H200,6*(49-1))))</f>
        <v/>
      </c>
      <c r="BB200" s="3" t="str">
        <f>IF(50&gt;$C200,"",IF($D200=1,EOMONTH(EDATE(Bonds!$H200,6*(50-1)),0),EDATE(Bonds!$H200,6*(50-1))))</f>
        <v/>
      </c>
      <c r="BC200" s="3" t="str">
        <f>IF(51&gt;$C200,"",IF($D200=1,EOMONTH(EDATE(Bonds!$H200,6*(51-1)),0),EDATE(Bonds!$H200,6*(51-1))))</f>
        <v/>
      </c>
      <c r="BD200" s="3" t="str">
        <f>IF(52&gt;$C200,"",IF($D200=1,EOMONTH(EDATE(Bonds!$H200,6*(52-1)),0),EDATE(Bonds!$H200,6*(52-1))))</f>
        <v/>
      </c>
      <c r="BE200" s="3" t="str">
        <f>IF(53&gt;$C200,"",IF($D200=1,EOMONTH(EDATE(Bonds!$H200,6*(53-1)),0),EDATE(Bonds!$H200,6*(53-1))))</f>
        <v/>
      </c>
      <c r="BF200" s="3" t="str">
        <f>IF(54&gt;$C200,"",IF($D200=1,EOMONTH(EDATE(Bonds!$H200,6*(54-1)),0),EDATE(Bonds!$H200,6*(54-1))))</f>
        <v/>
      </c>
      <c r="BG200" s="3" t="str">
        <f>IF(55&gt;$C200,"",IF($D200=1,EOMONTH(EDATE(Bonds!$H200,6*(55-1)),0),EDATE(Bonds!$H200,6*(55-1))))</f>
        <v/>
      </c>
      <c r="BH200" s="3" t="str">
        <f>IF(56&gt;$C200,"",IF($D200=1,EOMONTH(EDATE(Bonds!$H200,6*(56-1)),0),EDATE(Bonds!$H200,6*(56-1))))</f>
        <v/>
      </c>
      <c r="BI200" s="3" t="str">
        <f>IF(57&gt;$C200,"",IF($D200=1,EOMONTH(EDATE(Bonds!$H200,6*(57-1)),0),EDATE(Bonds!$H200,6*(57-1))))</f>
        <v/>
      </c>
      <c r="BJ200" s="3" t="str">
        <f>IF(58&gt;$C200,"",IF($D200=1,EOMONTH(EDATE(Bonds!$H200,6*(58-1)),0),EDATE(Bonds!$H200,6*(58-1))))</f>
        <v/>
      </c>
      <c r="BK200" s="3" t="str">
        <f>IF(59&gt;$C200,"",IF($D200=1,EOMONTH(EDATE(Bonds!$H200,6*(59-1)),0),EDATE(Bonds!$H200,6*(59-1))))</f>
        <v/>
      </c>
      <c r="BL200" s="3" t="str">
        <f>IF(60&gt;$C200,"",IF($D200=1,EOMONTH(EDATE(Bonds!$H200,6*(60-1)),0),EDATE(Bonds!$H200,6*(60-1))))</f>
        <v/>
      </c>
      <c r="BN200" s="7">
        <f t="shared" ref="BN200:BN263" si="184">IF(E200="",0,($B200/2+IF(1=$C200,100,0))*EXP(-(beta_0+beta_1*(1-EXP(-((E200-Settle)/365)/tau_1))/(((E200-Settle)/365)/tau_1)+beta_2*((1-EXP(-((E200-Settle)/365)/tau_1))/(((E200-Settle)/365)/tau_1)-EXP(-((E200-Settle)/365)/tau_1))+beta_3*((1-EXP(-((E200-Settle)/365)/tau_2))/(((E200-Settle)/365)/tau_2)-EXP(-((E200-Settle)/365)/tau_2)))*((E200-Settle)/365)))</f>
        <v>2.0858778257507744</v>
      </c>
      <c r="BO200" s="7">
        <f t="shared" ref="BO200:BO263" si="185">IF(F200="",0,($B200/2+IF(2=$C200,100,0))*EXP(-(beta_0+beta_1*(1-EXP(-((F200-Settle)/365)/tau_1))/(((F200-Settle)/365)/tau_1)+beta_2*((1-EXP(-((F200-Settle)/365)/tau_1))/(((F200-Settle)/365)/tau_1)-EXP(-((F200-Settle)/365)/tau_1))+beta_3*((1-EXP(-((F200-Settle)/365)/tau_2))/(((F200-Settle)/365)/tau_2)-EXP(-((F200-Settle)/365)/tau_2)))*((F200-Settle)/365)))</f>
        <v>2.0409563515582381</v>
      </c>
      <c r="BP200" s="7">
        <f t="shared" ref="BP200:BP263" si="186">IF(G200="",0,($B200/2+IF(3=$C200,100,0))*EXP(-(beta_0+beta_1*(1-EXP(-((G200-Settle)/365)/tau_1))/(((G200-Settle)/365)/tau_1)+beta_2*((1-EXP(-((G200-Settle)/365)/tau_1))/(((G200-Settle)/365)/tau_1)-EXP(-((G200-Settle)/365)/tau_1))+beta_3*((1-EXP(-((G200-Settle)/365)/tau_2))/(((G200-Settle)/365)/tau_2)-EXP(-((G200-Settle)/365)/tau_2)))*((G200-Settle)/365)))</f>
        <v>1.9955695686897552</v>
      </c>
      <c r="BQ200" s="7">
        <f t="shared" ref="BQ200:BQ263" si="187">IF(H200="",0,($B200/2+IF(4=$C200,100,0))*EXP(-(beta_0+beta_1*(1-EXP(-((H200-Settle)/365)/tau_1))/(((H200-Settle)/365)/tau_1)+beta_2*((1-EXP(-((H200-Settle)/365)/tau_1))/(((H200-Settle)/365)/tau_1)-EXP(-((H200-Settle)/365)/tau_1))+beta_3*((1-EXP(-((H200-Settle)/365)/tau_2))/(((H200-Settle)/365)/tau_2)-EXP(-((H200-Settle)/365)/tau_2)))*((H200-Settle)/365)))</f>
        <v>1.9500274189141444</v>
      </c>
      <c r="BR200" s="7">
        <f t="shared" ref="BR200:BR263" si="188">IF(I200="",0,($B200/2+IF(5=$C200,100,0))*EXP(-(beta_0+beta_1*(1-EXP(-((I200-Settle)/365)/tau_1))/(((I200-Settle)/365)/tau_1)+beta_2*((1-EXP(-((I200-Settle)/365)/tau_1))/(((I200-Settle)/365)/tau_1)-EXP(-((I200-Settle)/365)/tau_1))+beta_3*((1-EXP(-((I200-Settle)/365)/tau_2))/(((I200-Settle)/365)/tau_2)-EXP(-((I200-Settle)/365)/tau_2)))*((I200-Settle)/365)))</f>
        <v>1.9061360073508826</v>
      </c>
      <c r="BS200" s="7">
        <f t="shared" ref="BS200:BS263" si="189">IF(J200="",0,($B200/2+IF(6=$C200,100,0))*EXP(-(beta_0+beta_1*(1-EXP(-((J200-Settle)/365)/tau_1))/(((J200-Settle)/365)/tau_1)+beta_2*((1-EXP(-((J200-Settle)/365)/tau_1))/(((J200-Settle)/365)/tau_1)-EXP(-((J200-Settle)/365)/tau_1))+beta_3*((1-EXP(-((J200-Settle)/365)/tau_2))/(((J200-Settle)/365)/tau_2)-EXP(-((J200-Settle)/365)/tau_2)))*((J200-Settle)/365)))</f>
        <v>1.8626125105311551</v>
      </c>
      <c r="BT200" s="7">
        <f t="shared" ref="BT200:BT263" si="190">IF(K200="",0,($B200/2+IF(7=$C200,100,0))*EXP(-(beta_0+beta_1*(1-EXP(-((K200-Settle)/365)/tau_1))/(((K200-Settle)/365)/tau_1)+beta_2*((1-EXP(-((K200-Settle)/365)/tau_1))/(((K200-Settle)/365)/tau_1)-EXP(-((K200-Settle)/365)/tau_1))+beta_3*((1-EXP(-((K200-Settle)/365)/tau_2))/(((K200-Settle)/365)/tau_2)-EXP(-((K200-Settle)/365)/tau_2)))*((K200-Settle)/365)))</f>
        <v>1.8208326653860669</v>
      </c>
      <c r="BU200" s="7">
        <f t="shared" ref="BU200:BU263" si="191">IF(L200="",0,($B200/2+IF(8=$C200,100,0))*EXP(-(beta_0+beta_1*(1-EXP(-((L200-Settle)/365)/tau_1))/(((L200-Settle)/365)/tau_1)+beta_2*((1-EXP(-((L200-Settle)/365)/tau_1))/(((L200-Settle)/365)/tau_1)-EXP(-((L200-Settle)/365)/tau_1))+beta_3*((1-EXP(-((L200-Settle)/365)/tau_2))/(((L200-Settle)/365)/tau_2)-EXP(-((L200-Settle)/365)/tau_2)))*((L200-Settle)/365)))</f>
        <v>1.7792688844792139</v>
      </c>
      <c r="BV200" s="7">
        <f t="shared" ref="BV200:BV263" si="192">IF(M200="",0,($B200/2+IF(9=$C200,100,0))*EXP(-(beta_0+beta_1*(1-EXP(-((M200-Settle)/365)/tau_1))/(((M200-Settle)/365)/tau_1)+beta_2*((1-EXP(-((M200-Settle)/365)/tau_1))/(((M200-Settle)/365)/tau_1)-EXP(-((M200-Settle)/365)/tau_1))+beta_3*((1-EXP(-((M200-Settle)/365)/tau_2))/(((M200-Settle)/365)/tau_2)-EXP(-((M200-Settle)/365)/tau_2)))*((M200-Settle)/365)))</f>
        <v>83.57951393277888</v>
      </c>
      <c r="BW200" s="7">
        <f t="shared" ref="BW200:BW263" si="193">IF(N200="",0,($B200/2+IF(10=$C200,100,0))*EXP(-(beta_0+beta_1*(1-EXP(-((N200-Settle)/365)/tau_1))/(((N200-Settle)/365)/tau_1)+beta_2*((1-EXP(-((N200-Settle)/365)/tau_1))/(((N200-Settle)/365)/tau_1)-EXP(-((N200-Settle)/365)/tau_1))+beta_3*((1-EXP(-((N200-Settle)/365)/tau_2))/(((N200-Settle)/365)/tau_2)-EXP(-((N200-Settle)/365)/tau_2)))*((N200-Settle)/365)))</f>
        <v>0</v>
      </c>
      <c r="BX200" s="7">
        <f t="shared" ref="BX200:BX263" si="194">IF(O200="",0,($B200/2+IF(11=$C200,100,0))*EXP(-(beta_0+beta_1*(1-EXP(-((O200-Settle)/365)/tau_1))/(((O200-Settle)/365)/tau_1)+beta_2*((1-EXP(-((O200-Settle)/365)/tau_1))/(((O200-Settle)/365)/tau_1)-EXP(-((O200-Settle)/365)/tau_1))+beta_3*((1-EXP(-((O200-Settle)/365)/tau_2))/(((O200-Settle)/365)/tau_2)-EXP(-((O200-Settle)/365)/tau_2)))*((O200-Settle)/365)))</f>
        <v>0</v>
      </c>
      <c r="BY200" s="7">
        <f t="shared" ref="BY200:BY263" si="195">IF(P200="",0,($B200/2+IF(12=$C200,100,0))*EXP(-(beta_0+beta_1*(1-EXP(-((P200-Settle)/365)/tau_1))/(((P200-Settle)/365)/tau_1)+beta_2*((1-EXP(-((P200-Settle)/365)/tau_1))/(((P200-Settle)/365)/tau_1)-EXP(-((P200-Settle)/365)/tau_1))+beta_3*((1-EXP(-((P200-Settle)/365)/tau_2))/(((P200-Settle)/365)/tau_2)-EXP(-((P200-Settle)/365)/tau_2)))*((P200-Settle)/365)))</f>
        <v>0</v>
      </c>
      <c r="BZ200" s="7">
        <f t="shared" ref="BZ200:BZ263" si="196">IF(Q200="",0,($B200/2+IF(13=$C200,100,0))*EXP(-(beta_0+beta_1*(1-EXP(-((Q200-Settle)/365)/tau_1))/(((Q200-Settle)/365)/tau_1)+beta_2*((1-EXP(-((Q200-Settle)/365)/tau_1))/(((Q200-Settle)/365)/tau_1)-EXP(-((Q200-Settle)/365)/tau_1))+beta_3*((1-EXP(-((Q200-Settle)/365)/tau_2))/(((Q200-Settle)/365)/tau_2)-EXP(-((Q200-Settle)/365)/tau_2)))*((Q200-Settle)/365)))</f>
        <v>0</v>
      </c>
      <c r="CA200" s="7">
        <f t="shared" ref="CA200:CA263" si="197">IF(R200="",0,($B200/2+IF(14=$C200,100,0))*EXP(-(beta_0+beta_1*(1-EXP(-((R200-Settle)/365)/tau_1))/(((R200-Settle)/365)/tau_1)+beta_2*((1-EXP(-((R200-Settle)/365)/tau_1))/(((R200-Settle)/365)/tau_1)-EXP(-((R200-Settle)/365)/tau_1))+beta_3*((1-EXP(-((R200-Settle)/365)/tau_2))/(((R200-Settle)/365)/tau_2)-EXP(-((R200-Settle)/365)/tau_2)))*((R200-Settle)/365)))</f>
        <v>0</v>
      </c>
      <c r="CB200" s="7">
        <f t="shared" ref="CB200:CB263" si="198">IF(S200="",0,($B200/2+IF(15=$C200,100,0))*EXP(-(beta_0+beta_1*(1-EXP(-((S200-Settle)/365)/tau_1))/(((S200-Settle)/365)/tau_1)+beta_2*((1-EXP(-((S200-Settle)/365)/tau_1))/(((S200-Settle)/365)/tau_1)-EXP(-((S200-Settle)/365)/tau_1))+beta_3*((1-EXP(-((S200-Settle)/365)/tau_2))/(((S200-Settle)/365)/tau_2)-EXP(-((S200-Settle)/365)/tau_2)))*((S200-Settle)/365)))</f>
        <v>0</v>
      </c>
      <c r="CC200" s="7">
        <f t="shared" ref="CC200:CC263" si="199">IF(T200="",0,($B200/2+IF(16=$C200,100,0))*EXP(-(beta_0+beta_1*(1-EXP(-((T200-Settle)/365)/tau_1))/(((T200-Settle)/365)/tau_1)+beta_2*((1-EXP(-((T200-Settle)/365)/tau_1))/(((T200-Settle)/365)/tau_1)-EXP(-((T200-Settle)/365)/tau_1))+beta_3*((1-EXP(-((T200-Settle)/365)/tau_2))/(((T200-Settle)/365)/tau_2)-EXP(-((T200-Settle)/365)/tau_2)))*((T200-Settle)/365)))</f>
        <v>0</v>
      </c>
      <c r="CD200" s="7">
        <f t="shared" ref="CD200:CD263" si="200">IF(U200="",0,($B200/2+IF(17=$C200,100,0))*EXP(-(beta_0+beta_1*(1-EXP(-((U200-Settle)/365)/tau_1))/(((U200-Settle)/365)/tau_1)+beta_2*((1-EXP(-((U200-Settle)/365)/tau_1))/(((U200-Settle)/365)/tau_1)-EXP(-((U200-Settle)/365)/tau_1))+beta_3*((1-EXP(-((U200-Settle)/365)/tau_2))/(((U200-Settle)/365)/tau_2)-EXP(-((U200-Settle)/365)/tau_2)))*((U200-Settle)/365)))</f>
        <v>0</v>
      </c>
      <c r="CE200" s="7">
        <f t="shared" ref="CE200:CE263" si="201">IF(V200="",0,($B200/2+IF(18=$C200,100,0))*EXP(-(beta_0+beta_1*(1-EXP(-((V200-Settle)/365)/tau_1))/(((V200-Settle)/365)/tau_1)+beta_2*((1-EXP(-((V200-Settle)/365)/tau_1))/(((V200-Settle)/365)/tau_1)-EXP(-((V200-Settle)/365)/tau_1))+beta_3*((1-EXP(-((V200-Settle)/365)/tau_2))/(((V200-Settle)/365)/tau_2)-EXP(-((V200-Settle)/365)/tau_2)))*((V200-Settle)/365)))</f>
        <v>0</v>
      </c>
      <c r="CF200" s="7">
        <f t="shared" ref="CF200:CF263" si="202">IF(W200="",0,($B200/2+IF(19=$C200,100,0))*EXP(-(beta_0+beta_1*(1-EXP(-((W200-Settle)/365)/tau_1))/(((W200-Settle)/365)/tau_1)+beta_2*((1-EXP(-((W200-Settle)/365)/tau_1))/(((W200-Settle)/365)/tau_1)-EXP(-((W200-Settle)/365)/tau_1))+beta_3*((1-EXP(-((W200-Settle)/365)/tau_2))/(((W200-Settle)/365)/tau_2)-EXP(-((W200-Settle)/365)/tau_2)))*((W200-Settle)/365)))</f>
        <v>0</v>
      </c>
      <c r="CG200" s="7">
        <f t="shared" ref="CG200:CG263" si="203">IF(X200="",0,($B200/2+IF(20=$C200,100,0))*EXP(-(beta_0+beta_1*(1-EXP(-((X200-Settle)/365)/tau_1))/(((X200-Settle)/365)/tau_1)+beta_2*((1-EXP(-((X200-Settle)/365)/tau_1))/(((X200-Settle)/365)/tau_1)-EXP(-((X200-Settle)/365)/tau_1))+beta_3*((1-EXP(-((X200-Settle)/365)/tau_2))/(((X200-Settle)/365)/tau_2)-EXP(-((X200-Settle)/365)/tau_2)))*((X200-Settle)/365)))</f>
        <v>0</v>
      </c>
      <c r="CH200" s="7">
        <f t="shared" ref="CH200:CH263" si="204">IF(Y200="",0,($B200/2+IF(21=$C200,100,0))*EXP(-(beta_0+beta_1*(1-EXP(-((Y200-Settle)/365)/tau_1))/(((Y200-Settle)/365)/tau_1)+beta_2*((1-EXP(-((Y200-Settle)/365)/tau_1))/(((Y200-Settle)/365)/tau_1)-EXP(-((Y200-Settle)/365)/tau_1))+beta_3*((1-EXP(-((Y200-Settle)/365)/tau_2))/(((Y200-Settle)/365)/tau_2)-EXP(-((Y200-Settle)/365)/tau_2)))*((Y200-Settle)/365)))</f>
        <v>0</v>
      </c>
      <c r="CI200" s="7">
        <f t="shared" ref="CI200:CI263" si="205">IF(Z200="",0,($B200/2+IF(22=$C200,100,0))*EXP(-(beta_0+beta_1*(1-EXP(-((Z200-Settle)/365)/tau_1))/(((Z200-Settle)/365)/tau_1)+beta_2*((1-EXP(-((Z200-Settle)/365)/tau_1))/(((Z200-Settle)/365)/tau_1)-EXP(-((Z200-Settle)/365)/tau_1))+beta_3*((1-EXP(-((Z200-Settle)/365)/tau_2))/(((Z200-Settle)/365)/tau_2)-EXP(-((Z200-Settle)/365)/tau_2)))*((Z200-Settle)/365)))</f>
        <v>0</v>
      </c>
      <c r="CJ200" s="7">
        <f t="shared" ref="CJ200:CJ263" si="206">IF(AA200="",0,($B200/2+IF(23=$C200,100,0))*EXP(-(beta_0+beta_1*(1-EXP(-((AA200-Settle)/365)/tau_1))/(((AA200-Settle)/365)/tau_1)+beta_2*((1-EXP(-((AA200-Settle)/365)/tau_1))/(((AA200-Settle)/365)/tau_1)-EXP(-((AA200-Settle)/365)/tau_1))+beta_3*((1-EXP(-((AA200-Settle)/365)/tau_2))/(((AA200-Settle)/365)/tau_2)-EXP(-((AA200-Settle)/365)/tau_2)))*((AA200-Settle)/365)))</f>
        <v>0</v>
      </c>
      <c r="CK200" s="7">
        <f t="shared" ref="CK200:CK263" si="207">IF(AB200="",0,($B200/2+IF(24=$C200,100,0))*EXP(-(beta_0+beta_1*(1-EXP(-((AB200-Settle)/365)/tau_1))/(((AB200-Settle)/365)/tau_1)+beta_2*((1-EXP(-((AB200-Settle)/365)/tau_1))/(((AB200-Settle)/365)/tau_1)-EXP(-((AB200-Settle)/365)/tau_1))+beta_3*((1-EXP(-((AB200-Settle)/365)/tau_2))/(((AB200-Settle)/365)/tau_2)-EXP(-((AB200-Settle)/365)/tau_2)))*((AB200-Settle)/365)))</f>
        <v>0</v>
      </c>
      <c r="CL200" s="7">
        <f t="shared" ref="CL200:CL263" si="208">IF(AC200="",0,($B200/2+IF(25=$C200,100,0))*EXP(-(beta_0+beta_1*(1-EXP(-((AC200-Settle)/365)/tau_1))/(((AC200-Settle)/365)/tau_1)+beta_2*((1-EXP(-((AC200-Settle)/365)/tau_1))/(((AC200-Settle)/365)/tau_1)-EXP(-((AC200-Settle)/365)/tau_1))+beta_3*((1-EXP(-((AC200-Settle)/365)/tau_2))/(((AC200-Settle)/365)/tau_2)-EXP(-((AC200-Settle)/365)/tau_2)))*((AC200-Settle)/365)))</f>
        <v>0</v>
      </c>
      <c r="CM200" s="7">
        <f t="shared" ref="CM200:CM263" si="209">IF(AD200="",0,($B200/2+IF(26=$C200,100,0))*EXP(-(beta_0+beta_1*(1-EXP(-((AD200-Settle)/365)/tau_1))/(((AD200-Settle)/365)/tau_1)+beta_2*((1-EXP(-((AD200-Settle)/365)/tau_1))/(((AD200-Settle)/365)/tau_1)-EXP(-((AD200-Settle)/365)/tau_1))+beta_3*((1-EXP(-((AD200-Settle)/365)/tau_2))/(((AD200-Settle)/365)/tau_2)-EXP(-((AD200-Settle)/365)/tau_2)))*((AD200-Settle)/365)))</f>
        <v>0</v>
      </c>
      <c r="CN200" s="7">
        <f t="shared" ref="CN200:CN263" si="210">IF(AE200="",0,($B200/2+IF(27=$C200,100,0))*EXP(-(beta_0+beta_1*(1-EXP(-((AE200-Settle)/365)/tau_1))/(((AE200-Settle)/365)/tau_1)+beta_2*((1-EXP(-((AE200-Settle)/365)/tau_1))/(((AE200-Settle)/365)/tau_1)-EXP(-((AE200-Settle)/365)/tau_1))+beta_3*((1-EXP(-((AE200-Settle)/365)/tau_2))/(((AE200-Settle)/365)/tau_2)-EXP(-((AE200-Settle)/365)/tau_2)))*((AE200-Settle)/365)))</f>
        <v>0</v>
      </c>
      <c r="CO200" s="7">
        <f t="shared" ref="CO200:CO263" si="211">IF(AF200="",0,($B200/2+IF(28=$C200,100,0))*EXP(-(beta_0+beta_1*(1-EXP(-((AF200-Settle)/365)/tau_1))/(((AF200-Settle)/365)/tau_1)+beta_2*((1-EXP(-((AF200-Settle)/365)/tau_1))/(((AF200-Settle)/365)/tau_1)-EXP(-((AF200-Settle)/365)/tau_1))+beta_3*((1-EXP(-((AF200-Settle)/365)/tau_2))/(((AF200-Settle)/365)/tau_2)-EXP(-((AF200-Settle)/365)/tau_2)))*((AF200-Settle)/365)))</f>
        <v>0</v>
      </c>
      <c r="CP200" s="7">
        <f t="shared" ref="CP200:CP263" si="212">IF(AG200="",0,($B200/2+IF(29=$C200,100,0))*EXP(-(beta_0+beta_1*(1-EXP(-((AG200-Settle)/365)/tau_1))/(((AG200-Settle)/365)/tau_1)+beta_2*((1-EXP(-((AG200-Settle)/365)/tau_1))/(((AG200-Settle)/365)/tau_1)-EXP(-((AG200-Settle)/365)/tau_1))+beta_3*((1-EXP(-((AG200-Settle)/365)/tau_2))/(((AG200-Settle)/365)/tau_2)-EXP(-((AG200-Settle)/365)/tau_2)))*((AG200-Settle)/365)))</f>
        <v>0</v>
      </c>
      <c r="CQ200" s="7">
        <f t="shared" ref="CQ200:CQ263" si="213">IF(AH200="",0,($B200/2+IF(30=$C200,100,0))*EXP(-(beta_0+beta_1*(1-EXP(-((AH200-Settle)/365)/tau_1))/(((AH200-Settle)/365)/tau_1)+beta_2*((1-EXP(-((AH200-Settle)/365)/tau_1))/(((AH200-Settle)/365)/tau_1)-EXP(-((AH200-Settle)/365)/tau_1))+beta_3*((1-EXP(-((AH200-Settle)/365)/tau_2))/(((AH200-Settle)/365)/tau_2)-EXP(-((AH200-Settle)/365)/tau_2)))*((AH200-Settle)/365)))</f>
        <v>0</v>
      </c>
      <c r="CR200" s="7">
        <f t="shared" ref="CR200:CR263" si="214">IF(AI200="",0,($B200/2+IF(31=$C200,100,0))*EXP(-(beta_0+beta_1*(1-EXP(-((AI200-Settle)/365)/tau_1))/(((AI200-Settle)/365)/tau_1)+beta_2*((1-EXP(-((AI200-Settle)/365)/tau_1))/(((AI200-Settle)/365)/tau_1)-EXP(-((AI200-Settle)/365)/tau_1))+beta_3*((1-EXP(-((AI200-Settle)/365)/tau_2))/(((AI200-Settle)/365)/tau_2)-EXP(-((AI200-Settle)/365)/tau_2)))*((AI200-Settle)/365)))</f>
        <v>0</v>
      </c>
      <c r="CS200" s="7">
        <f t="shared" ref="CS200:CS263" si="215">IF(AJ200="",0,($B200/2+IF(32=$C200,100,0))*EXP(-(beta_0+beta_1*(1-EXP(-((AJ200-Settle)/365)/tau_1))/(((AJ200-Settle)/365)/tau_1)+beta_2*((1-EXP(-((AJ200-Settle)/365)/tau_1))/(((AJ200-Settle)/365)/tau_1)-EXP(-((AJ200-Settle)/365)/tau_1))+beta_3*((1-EXP(-((AJ200-Settle)/365)/tau_2))/(((AJ200-Settle)/365)/tau_2)-EXP(-((AJ200-Settle)/365)/tau_2)))*((AJ200-Settle)/365)))</f>
        <v>0</v>
      </c>
      <c r="CT200" s="7">
        <f t="shared" ref="CT200:CT263" si="216">IF(AK200="",0,($B200/2+IF(33=$C200,100,0))*EXP(-(beta_0+beta_1*(1-EXP(-((AK200-Settle)/365)/tau_1))/(((AK200-Settle)/365)/tau_1)+beta_2*((1-EXP(-((AK200-Settle)/365)/tau_1))/(((AK200-Settle)/365)/tau_1)-EXP(-((AK200-Settle)/365)/tau_1))+beta_3*((1-EXP(-((AK200-Settle)/365)/tau_2))/(((AK200-Settle)/365)/tau_2)-EXP(-((AK200-Settle)/365)/tau_2)))*((AK200-Settle)/365)))</f>
        <v>0</v>
      </c>
      <c r="CU200" s="7">
        <f t="shared" ref="CU200:CU263" si="217">IF(AL200="",0,($B200/2+IF(34=$C200,100,0))*EXP(-(beta_0+beta_1*(1-EXP(-((AL200-Settle)/365)/tau_1))/(((AL200-Settle)/365)/tau_1)+beta_2*((1-EXP(-((AL200-Settle)/365)/tau_1))/(((AL200-Settle)/365)/tau_1)-EXP(-((AL200-Settle)/365)/tau_1))+beta_3*((1-EXP(-((AL200-Settle)/365)/tau_2))/(((AL200-Settle)/365)/tau_2)-EXP(-((AL200-Settle)/365)/tau_2)))*((AL200-Settle)/365)))</f>
        <v>0</v>
      </c>
      <c r="CV200" s="7">
        <f t="shared" ref="CV200:CV263" si="218">IF(AM200="",0,($B200/2+IF(35=$C200,100,0))*EXP(-(beta_0+beta_1*(1-EXP(-((AM200-Settle)/365)/tau_1))/(((AM200-Settle)/365)/tau_1)+beta_2*((1-EXP(-((AM200-Settle)/365)/tau_1))/(((AM200-Settle)/365)/tau_1)-EXP(-((AM200-Settle)/365)/tau_1))+beta_3*((1-EXP(-((AM200-Settle)/365)/tau_2))/(((AM200-Settle)/365)/tau_2)-EXP(-((AM200-Settle)/365)/tau_2)))*((AM200-Settle)/365)))</f>
        <v>0</v>
      </c>
      <c r="CW200" s="7">
        <f t="shared" ref="CW200:CW263" si="219">IF(AN200="",0,($B200/2+IF(36=$C200,100,0))*EXP(-(beta_0+beta_1*(1-EXP(-((AN200-Settle)/365)/tau_1))/(((AN200-Settle)/365)/tau_1)+beta_2*((1-EXP(-((AN200-Settle)/365)/tau_1))/(((AN200-Settle)/365)/tau_1)-EXP(-((AN200-Settle)/365)/tau_1))+beta_3*((1-EXP(-((AN200-Settle)/365)/tau_2))/(((AN200-Settle)/365)/tau_2)-EXP(-((AN200-Settle)/365)/tau_2)))*((AN200-Settle)/365)))</f>
        <v>0</v>
      </c>
      <c r="CX200" s="7">
        <f t="shared" ref="CX200:CX263" si="220">IF(AO200="",0,($B200/2+IF(37=$C200,100,0))*EXP(-(beta_0+beta_1*(1-EXP(-((AO200-Settle)/365)/tau_1))/(((AO200-Settle)/365)/tau_1)+beta_2*((1-EXP(-((AO200-Settle)/365)/tau_1))/(((AO200-Settle)/365)/tau_1)-EXP(-((AO200-Settle)/365)/tau_1))+beta_3*((1-EXP(-((AO200-Settle)/365)/tau_2))/(((AO200-Settle)/365)/tau_2)-EXP(-((AO200-Settle)/365)/tau_2)))*((AO200-Settle)/365)))</f>
        <v>0</v>
      </c>
      <c r="CY200" s="7">
        <f t="shared" ref="CY200:CY263" si="221">IF(AP200="",0,($B200/2+IF(38=$C200,100,0))*EXP(-(beta_0+beta_1*(1-EXP(-((AP200-Settle)/365)/tau_1))/(((AP200-Settle)/365)/tau_1)+beta_2*((1-EXP(-((AP200-Settle)/365)/tau_1))/(((AP200-Settle)/365)/tau_1)-EXP(-((AP200-Settle)/365)/tau_1))+beta_3*((1-EXP(-((AP200-Settle)/365)/tau_2))/(((AP200-Settle)/365)/tau_2)-EXP(-((AP200-Settle)/365)/tau_2)))*((AP200-Settle)/365)))</f>
        <v>0</v>
      </c>
      <c r="CZ200" s="7">
        <f t="shared" ref="CZ200:CZ263" si="222">IF(AQ200="",0,($B200/2+IF(39=$C200,100,0))*EXP(-(beta_0+beta_1*(1-EXP(-((AQ200-Settle)/365)/tau_1))/(((AQ200-Settle)/365)/tau_1)+beta_2*((1-EXP(-((AQ200-Settle)/365)/tau_1))/(((AQ200-Settle)/365)/tau_1)-EXP(-((AQ200-Settle)/365)/tau_1))+beta_3*((1-EXP(-((AQ200-Settle)/365)/tau_2))/(((AQ200-Settle)/365)/tau_2)-EXP(-((AQ200-Settle)/365)/tau_2)))*((AQ200-Settle)/365)))</f>
        <v>0</v>
      </c>
      <c r="DA200" s="7">
        <f t="shared" ref="DA200:DA263" si="223">IF(AR200="",0,($B200/2+IF(40=$C200,100,0))*EXP(-(beta_0+beta_1*(1-EXP(-((AR200-Settle)/365)/tau_1))/(((AR200-Settle)/365)/tau_1)+beta_2*((1-EXP(-((AR200-Settle)/365)/tau_1))/(((AR200-Settle)/365)/tau_1)-EXP(-((AR200-Settle)/365)/tau_1))+beta_3*((1-EXP(-((AR200-Settle)/365)/tau_2))/(((AR200-Settle)/365)/tau_2)-EXP(-((AR200-Settle)/365)/tau_2)))*((AR200-Settle)/365)))</f>
        <v>0</v>
      </c>
      <c r="DB200" s="7">
        <f t="shared" ref="DB200:DB263" si="224">IF(AS200="",0,($B200/2+IF(41=$C200,100,0))*EXP(-(beta_0+beta_1*(1-EXP(-((AS200-Settle)/365)/tau_1))/(((AS200-Settle)/365)/tau_1)+beta_2*((1-EXP(-((AS200-Settle)/365)/tau_1))/(((AS200-Settle)/365)/tau_1)-EXP(-((AS200-Settle)/365)/tau_1))+beta_3*((1-EXP(-((AS200-Settle)/365)/tau_2))/(((AS200-Settle)/365)/tau_2)-EXP(-((AS200-Settle)/365)/tau_2)))*((AS200-Settle)/365)))</f>
        <v>0</v>
      </c>
      <c r="DC200" s="7">
        <f t="shared" ref="DC200:DC263" si="225">IF(AT200="",0,($B200/2+IF(42=$C200,100,0))*EXP(-(beta_0+beta_1*(1-EXP(-((AT200-Settle)/365)/tau_1))/(((AT200-Settle)/365)/tau_1)+beta_2*((1-EXP(-((AT200-Settle)/365)/tau_1))/(((AT200-Settle)/365)/tau_1)-EXP(-((AT200-Settle)/365)/tau_1))+beta_3*((1-EXP(-((AT200-Settle)/365)/tau_2))/(((AT200-Settle)/365)/tau_2)-EXP(-((AT200-Settle)/365)/tau_2)))*((AT200-Settle)/365)))</f>
        <v>0</v>
      </c>
      <c r="DD200" s="7">
        <f t="shared" ref="DD200:DD263" si="226">IF(AU200="",0,($B200/2+IF(43=$C200,100,0))*EXP(-(beta_0+beta_1*(1-EXP(-((AU200-Settle)/365)/tau_1))/(((AU200-Settle)/365)/tau_1)+beta_2*((1-EXP(-((AU200-Settle)/365)/tau_1))/(((AU200-Settle)/365)/tau_1)-EXP(-((AU200-Settle)/365)/tau_1))+beta_3*((1-EXP(-((AU200-Settle)/365)/tau_2))/(((AU200-Settle)/365)/tau_2)-EXP(-((AU200-Settle)/365)/tau_2)))*((AU200-Settle)/365)))</f>
        <v>0</v>
      </c>
      <c r="DE200" s="7">
        <f t="shared" ref="DE200:DE263" si="227">IF(AV200="",0,($B200/2+IF(44=$C200,100,0))*EXP(-(beta_0+beta_1*(1-EXP(-((AV200-Settle)/365)/tau_1))/(((AV200-Settle)/365)/tau_1)+beta_2*((1-EXP(-((AV200-Settle)/365)/tau_1))/(((AV200-Settle)/365)/tau_1)-EXP(-((AV200-Settle)/365)/tau_1))+beta_3*((1-EXP(-((AV200-Settle)/365)/tau_2))/(((AV200-Settle)/365)/tau_2)-EXP(-((AV200-Settle)/365)/tau_2)))*((AV200-Settle)/365)))</f>
        <v>0</v>
      </c>
      <c r="DF200" s="7">
        <f t="shared" ref="DF200:DF263" si="228">IF(AW200="",0,($B200/2+IF(45=$C200,100,0))*EXP(-(beta_0+beta_1*(1-EXP(-((AW200-Settle)/365)/tau_1))/(((AW200-Settle)/365)/tau_1)+beta_2*((1-EXP(-((AW200-Settle)/365)/tau_1))/(((AW200-Settle)/365)/tau_1)-EXP(-((AW200-Settle)/365)/tau_1))+beta_3*((1-EXP(-((AW200-Settle)/365)/tau_2))/(((AW200-Settle)/365)/tau_2)-EXP(-((AW200-Settle)/365)/tau_2)))*((AW200-Settle)/365)))</f>
        <v>0</v>
      </c>
      <c r="DG200" s="7">
        <f t="shared" ref="DG200:DG263" si="229">IF(AX200="",0,($B200/2+IF(46=$C200,100,0))*EXP(-(beta_0+beta_1*(1-EXP(-((AX200-Settle)/365)/tau_1))/(((AX200-Settle)/365)/tau_1)+beta_2*((1-EXP(-((AX200-Settle)/365)/tau_1))/(((AX200-Settle)/365)/tau_1)-EXP(-((AX200-Settle)/365)/tau_1))+beta_3*((1-EXP(-((AX200-Settle)/365)/tau_2))/(((AX200-Settle)/365)/tau_2)-EXP(-((AX200-Settle)/365)/tau_2)))*((AX200-Settle)/365)))</f>
        <v>0</v>
      </c>
      <c r="DH200" s="7">
        <f t="shared" ref="DH200:DH263" si="230">IF(AY200="",0,($B200/2+IF(47=$C200,100,0))*EXP(-(beta_0+beta_1*(1-EXP(-((AY200-Settle)/365)/tau_1))/(((AY200-Settle)/365)/tau_1)+beta_2*((1-EXP(-((AY200-Settle)/365)/tau_1))/(((AY200-Settle)/365)/tau_1)-EXP(-((AY200-Settle)/365)/tau_1))+beta_3*((1-EXP(-((AY200-Settle)/365)/tau_2))/(((AY200-Settle)/365)/tau_2)-EXP(-((AY200-Settle)/365)/tau_2)))*((AY200-Settle)/365)))</f>
        <v>0</v>
      </c>
      <c r="DI200" s="7">
        <f t="shared" ref="DI200:DI263" si="231">IF(AZ200="",0,($B200/2+IF(48=$C200,100,0))*EXP(-(beta_0+beta_1*(1-EXP(-((AZ200-Settle)/365)/tau_1))/(((AZ200-Settle)/365)/tau_1)+beta_2*((1-EXP(-((AZ200-Settle)/365)/tau_1))/(((AZ200-Settle)/365)/tau_1)-EXP(-((AZ200-Settle)/365)/tau_1))+beta_3*((1-EXP(-((AZ200-Settle)/365)/tau_2))/(((AZ200-Settle)/365)/tau_2)-EXP(-((AZ200-Settle)/365)/tau_2)))*((AZ200-Settle)/365)))</f>
        <v>0</v>
      </c>
      <c r="DJ200" s="7">
        <f t="shared" ref="DJ200:DJ263" si="232">IF(BA200="",0,($B200/2+IF(49=$C200,100,0))*EXP(-(beta_0+beta_1*(1-EXP(-((BA200-Settle)/365)/tau_1))/(((BA200-Settle)/365)/tau_1)+beta_2*((1-EXP(-((BA200-Settle)/365)/tau_1))/(((BA200-Settle)/365)/tau_1)-EXP(-((BA200-Settle)/365)/tau_1))+beta_3*((1-EXP(-((BA200-Settle)/365)/tau_2))/(((BA200-Settle)/365)/tau_2)-EXP(-((BA200-Settle)/365)/tau_2)))*((BA200-Settle)/365)))</f>
        <v>0</v>
      </c>
      <c r="DK200" s="7">
        <f t="shared" ref="DK200:DK263" si="233">IF(BB200="",0,($B200/2+IF(50=$C200,100,0))*EXP(-(beta_0+beta_1*(1-EXP(-((BB200-Settle)/365)/tau_1))/(((BB200-Settle)/365)/tau_1)+beta_2*((1-EXP(-((BB200-Settle)/365)/tau_1))/(((BB200-Settle)/365)/tau_1)-EXP(-((BB200-Settle)/365)/tau_1))+beta_3*((1-EXP(-((BB200-Settle)/365)/tau_2))/(((BB200-Settle)/365)/tau_2)-EXP(-((BB200-Settle)/365)/tau_2)))*((BB200-Settle)/365)))</f>
        <v>0</v>
      </c>
      <c r="DL200" s="7">
        <f t="shared" ref="DL200:DL263" si="234">IF(BC200="",0,($B200/2+IF(51=$C200,100,0))*EXP(-(beta_0+beta_1*(1-EXP(-((BC200-Settle)/365)/tau_1))/(((BC200-Settle)/365)/tau_1)+beta_2*((1-EXP(-((BC200-Settle)/365)/tau_1))/(((BC200-Settle)/365)/tau_1)-EXP(-((BC200-Settle)/365)/tau_1))+beta_3*((1-EXP(-((BC200-Settle)/365)/tau_2))/(((BC200-Settle)/365)/tau_2)-EXP(-((BC200-Settle)/365)/tau_2)))*((BC200-Settle)/365)))</f>
        <v>0</v>
      </c>
      <c r="DM200" s="7">
        <f t="shared" ref="DM200:DM263" si="235">IF(BD200="",0,($B200/2+IF(52=$C200,100,0))*EXP(-(beta_0+beta_1*(1-EXP(-((BD200-Settle)/365)/tau_1))/(((BD200-Settle)/365)/tau_1)+beta_2*((1-EXP(-((BD200-Settle)/365)/tau_1))/(((BD200-Settle)/365)/tau_1)-EXP(-((BD200-Settle)/365)/tau_1))+beta_3*((1-EXP(-((BD200-Settle)/365)/tau_2))/(((BD200-Settle)/365)/tau_2)-EXP(-((BD200-Settle)/365)/tau_2)))*((BD200-Settle)/365)))</f>
        <v>0</v>
      </c>
      <c r="DN200" s="7">
        <f t="shared" ref="DN200:DN263" si="236">IF(BE200="",0,($B200/2+IF(53=$C200,100,0))*EXP(-(beta_0+beta_1*(1-EXP(-((BE200-Settle)/365)/tau_1))/(((BE200-Settle)/365)/tau_1)+beta_2*((1-EXP(-((BE200-Settle)/365)/tau_1))/(((BE200-Settle)/365)/tau_1)-EXP(-((BE200-Settle)/365)/tau_1))+beta_3*((1-EXP(-((BE200-Settle)/365)/tau_2))/(((BE200-Settle)/365)/tau_2)-EXP(-((BE200-Settle)/365)/tau_2)))*((BE200-Settle)/365)))</f>
        <v>0</v>
      </c>
      <c r="DO200" s="7">
        <f t="shared" ref="DO200:DO263" si="237">IF(BF200="",0,($B200/2+IF(54=$C200,100,0))*EXP(-(beta_0+beta_1*(1-EXP(-((BF200-Settle)/365)/tau_1))/(((BF200-Settle)/365)/tau_1)+beta_2*((1-EXP(-((BF200-Settle)/365)/tau_1))/(((BF200-Settle)/365)/tau_1)-EXP(-((BF200-Settle)/365)/tau_1))+beta_3*((1-EXP(-((BF200-Settle)/365)/tau_2))/(((BF200-Settle)/365)/tau_2)-EXP(-((BF200-Settle)/365)/tau_2)))*((BF200-Settle)/365)))</f>
        <v>0</v>
      </c>
      <c r="DP200" s="7">
        <f t="shared" ref="DP200:DP263" si="238">IF(BG200="",0,($B200/2+IF(55=$C200,100,0))*EXP(-(beta_0+beta_1*(1-EXP(-((BG200-Settle)/365)/tau_1))/(((BG200-Settle)/365)/tau_1)+beta_2*((1-EXP(-((BG200-Settle)/365)/tau_1))/(((BG200-Settle)/365)/tau_1)-EXP(-((BG200-Settle)/365)/tau_1))+beta_3*((1-EXP(-((BG200-Settle)/365)/tau_2))/(((BG200-Settle)/365)/tau_2)-EXP(-((BG200-Settle)/365)/tau_2)))*((BG200-Settle)/365)))</f>
        <v>0</v>
      </c>
      <c r="DQ200" s="7">
        <f t="shared" ref="DQ200:DQ263" si="239">IF(BH200="",0,($B200/2+IF(56=$C200,100,0))*EXP(-(beta_0+beta_1*(1-EXP(-((BH200-Settle)/365)/tau_1))/(((BH200-Settle)/365)/tau_1)+beta_2*((1-EXP(-((BH200-Settle)/365)/tau_1))/(((BH200-Settle)/365)/tau_1)-EXP(-((BH200-Settle)/365)/tau_1))+beta_3*((1-EXP(-((BH200-Settle)/365)/tau_2))/(((BH200-Settle)/365)/tau_2)-EXP(-((BH200-Settle)/365)/tau_2)))*((BH200-Settle)/365)))</f>
        <v>0</v>
      </c>
      <c r="DR200" s="7">
        <f t="shared" ref="DR200:DR263" si="240">IF(BI200="",0,($B200/2+IF(57=$C200,100,0))*EXP(-(beta_0+beta_1*(1-EXP(-((BI200-Settle)/365)/tau_1))/(((BI200-Settle)/365)/tau_1)+beta_2*((1-EXP(-((BI200-Settle)/365)/tau_1))/(((BI200-Settle)/365)/tau_1)-EXP(-((BI200-Settle)/365)/tau_1))+beta_3*((1-EXP(-((BI200-Settle)/365)/tau_2))/(((BI200-Settle)/365)/tau_2)-EXP(-((BI200-Settle)/365)/tau_2)))*((BI200-Settle)/365)))</f>
        <v>0</v>
      </c>
      <c r="DS200" s="7">
        <f t="shared" ref="DS200:DS263" si="241">IF(BJ200="",0,($B200/2+IF(58=$C200,100,0))*EXP(-(beta_0+beta_1*(1-EXP(-((BJ200-Settle)/365)/tau_1))/(((BJ200-Settle)/365)/tau_1)+beta_2*((1-EXP(-((BJ200-Settle)/365)/tau_1))/(((BJ200-Settle)/365)/tau_1)-EXP(-((BJ200-Settle)/365)/tau_1))+beta_3*((1-EXP(-((BJ200-Settle)/365)/tau_2))/(((BJ200-Settle)/365)/tau_2)-EXP(-((BJ200-Settle)/365)/tau_2)))*((BJ200-Settle)/365)))</f>
        <v>0</v>
      </c>
      <c r="DT200" s="7">
        <f t="shared" ref="DT200:DT263" si="242">IF(BK200="",0,($B200/2+IF(59=$C200,100,0))*EXP(-(beta_0+beta_1*(1-EXP(-((BK200-Settle)/365)/tau_1))/(((BK200-Settle)/365)/tau_1)+beta_2*((1-EXP(-((BK200-Settle)/365)/tau_1))/(((BK200-Settle)/365)/tau_1)-EXP(-((BK200-Settle)/365)/tau_1))+beta_3*((1-EXP(-((BK200-Settle)/365)/tau_2))/(((BK200-Settle)/365)/tau_2)-EXP(-((BK200-Settle)/365)/tau_2)))*((BK200-Settle)/365)))</f>
        <v>0</v>
      </c>
      <c r="DU200" s="7">
        <f t="shared" ref="DU200:DU263" si="243">IF(BL200="",0,($B200/2+IF(60=$C200,100,0))*EXP(-(beta_0+beta_1*(1-EXP(-((BL200-Settle)/365)/tau_1))/(((BL200-Settle)/365)/tau_1)+beta_2*((1-EXP(-((BL200-Settle)/365)/tau_1))/(((BL200-Settle)/365)/tau_1)-EXP(-((BL200-Settle)/365)/tau_1))+beta_3*((1-EXP(-((BL200-Settle)/365)/tau_2))/(((BL200-Settle)/365)/tau_2)-EXP(-((BL200-Settle)/365)/tau_2)))*((BL200-Settle)/365)))</f>
        <v>0</v>
      </c>
    </row>
    <row r="201" spans="1:125" x14ac:dyDescent="0.2">
      <c r="A201" s="3">
        <f>Bonds!A201</f>
        <v>47938</v>
      </c>
      <c r="B201" s="4">
        <f>Bonds!B201</f>
        <v>3.875</v>
      </c>
      <c r="C201">
        <f>Bonds!P201</f>
        <v>10</v>
      </c>
      <c r="D201">
        <f t="shared" si="183"/>
        <v>1</v>
      </c>
      <c r="E201" s="3">
        <f>IF(1&gt;$C201,"",IF($D201=1,EOMONTH(EDATE(Bonds!$H201,6*(1-1)),0),EDATE(Bonds!$H201,6*(1-1))))</f>
        <v>46295</v>
      </c>
      <c r="F201" s="3">
        <f>IF(2&gt;$C201,"",IF($D201=1,EOMONTH(EDATE(Bonds!$H201,6*(2-1)),0),EDATE(Bonds!$H201,6*(2-1))))</f>
        <v>46477</v>
      </c>
      <c r="G201" s="3">
        <f>IF(3&gt;$C201,"",IF($D201=1,EOMONTH(EDATE(Bonds!$H201,6*(3-1)),0),EDATE(Bonds!$H201,6*(3-1))))</f>
        <v>46660</v>
      </c>
      <c r="H201" s="3">
        <f>IF(4&gt;$C201,"",IF($D201=1,EOMONTH(EDATE(Bonds!$H201,6*(4-1)),0),EDATE(Bonds!$H201,6*(4-1))))</f>
        <v>46843</v>
      </c>
      <c r="I201" s="3">
        <f>IF(5&gt;$C201,"",IF($D201=1,EOMONTH(EDATE(Bonds!$H201,6*(5-1)),0),EDATE(Bonds!$H201,6*(5-1))))</f>
        <v>47026</v>
      </c>
      <c r="J201" s="3">
        <f>IF(6&gt;$C201,"",IF($D201=1,EOMONTH(EDATE(Bonds!$H201,6*(6-1)),0),EDATE(Bonds!$H201,6*(6-1))))</f>
        <v>47208</v>
      </c>
      <c r="K201" s="3">
        <f>IF(7&gt;$C201,"",IF($D201=1,EOMONTH(EDATE(Bonds!$H201,6*(7-1)),0),EDATE(Bonds!$H201,6*(7-1))))</f>
        <v>47391</v>
      </c>
      <c r="L201" s="3">
        <f>IF(8&gt;$C201,"",IF($D201=1,EOMONTH(EDATE(Bonds!$H201,6*(8-1)),0),EDATE(Bonds!$H201,6*(8-1))))</f>
        <v>47573</v>
      </c>
      <c r="M201" s="3">
        <f>IF(9&gt;$C201,"",IF($D201=1,EOMONTH(EDATE(Bonds!$H201,6*(9-1)),0),EDATE(Bonds!$H201,6*(9-1))))</f>
        <v>47756</v>
      </c>
      <c r="N201" s="3">
        <f>IF(10&gt;$C201,"",IF($D201=1,EOMONTH(EDATE(Bonds!$H201,6*(10-1)),0),EDATE(Bonds!$H201,6*(10-1))))</f>
        <v>47938</v>
      </c>
      <c r="O201" s="3" t="str">
        <f>IF(11&gt;$C201,"",IF($D201=1,EOMONTH(EDATE(Bonds!$H201,6*(11-1)),0),EDATE(Bonds!$H201,6*(11-1))))</f>
        <v/>
      </c>
      <c r="P201" s="3" t="str">
        <f>IF(12&gt;$C201,"",IF($D201=1,EOMONTH(EDATE(Bonds!$H201,6*(12-1)),0),EDATE(Bonds!$H201,6*(12-1))))</f>
        <v/>
      </c>
      <c r="Q201" s="3" t="str">
        <f>IF(13&gt;$C201,"",IF($D201=1,EOMONTH(EDATE(Bonds!$H201,6*(13-1)),0),EDATE(Bonds!$H201,6*(13-1))))</f>
        <v/>
      </c>
      <c r="R201" s="3" t="str">
        <f>IF(14&gt;$C201,"",IF($D201=1,EOMONTH(EDATE(Bonds!$H201,6*(14-1)),0),EDATE(Bonds!$H201,6*(14-1))))</f>
        <v/>
      </c>
      <c r="S201" s="3" t="str">
        <f>IF(15&gt;$C201,"",IF($D201=1,EOMONTH(EDATE(Bonds!$H201,6*(15-1)),0),EDATE(Bonds!$H201,6*(15-1))))</f>
        <v/>
      </c>
      <c r="T201" s="3" t="str">
        <f>IF(16&gt;$C201,"",IF($D201=1,EOMONTH(EDATE(Bonds!$H201,6*(16-1)),0),EDATE(Bonds!$H201,6*(16-1))))</f>
        <v/>
      </c>
      <c r="U201" s="3" t="str">
        <f>IF(17&gt;$C201,"",IF($D201=1,EOMONTH(EDATE(Bonds!$H201,6*(17-1)),0),EDATE(Bonds!$H201,6*(17-1))))</f>
        <v/>
      </c>
      <c r="V201" s="3" t="str">
        <f>IF(18&gt;$C201,"",IF($D201=1,EOMONTH(EDATE(Bonds!$H201,6*(18-1)),0),EDATE(Bonds!$H201,6*(18-1))))</f>
        <v/>
      </c>
      <c r="W201" s="3" t="str">
        <f>IF(19&gt;$C201,"",IF($D201=1,EOMONTH(EDATE(Bonds!$H201,6*(19-1)),0),EDATE(Bonds!$H201,6*(19-1))))</f>
        <v/>
      </c>
      <c r="X201" s="3" t="str">
        <f>IF(20&gt;$C201,"",IF($D201=1,EOMONTH(EDATE(Bonds!$H201,6*(20-1)),0),EDATE(Bonds!$H201,6*(20-1))))</f>
        <v/>
      </c>
      <c r="Y201" s="3" t="str">
        <f>IF(21&gt;$C201,"",IF($D201=1,EOMONTH(EDATE(Bonds!$H201,6*(21-1)),0),EDATE(Bonds!$H201,6*(21-1))))</f>
        <v/>
      </c>
      <c r="Z201" s="3" t="str">
        <f>IF(22&gt;$C201,"",IF($D201=1,EOMONTH(EDATE(Bonds!$H201,6*(22-1)),0),EDATE(Bonds!$H201,6*(22-1))))</f>
        <v/>
      </c>
      <c r="AA201" s="3" t="str">
        <f>IF(23&gt;$C201,"",IF($D201=1,EOMONTH(EDATE(Bonds!$H201,6*(23-1)),0),EDATE(Bonds!$H201,6*(23-1))))</f>
        <v/>
      </c>
      <c r="AB201" s="3" t="str">
        <f>IF(24&gt;$C201,"",IF($D201=1,EOMONTH(EDATE(Bonds!$H201,6*(24-1)),0),EDATE(Bonds!$H201,6*(24-1))))</f>
        <v/>
      </c>
      <c r="AC201" s="3" t="str">
        <f>IF(25&gt;$C201,"",IF($D201=1,EOMONTH(EDATE(Bonds!$H201,6*(25-1)),0),EDATE(Bonds!$H201,6*(25-1))))</f>
        <v/>
      </c>
      <c r="AD201" s="3" t="str">
        <f>IF(26&gt;$C201,"",IF($D201=1,EOMONTH(EDATE(Bonds!$H201,6*(26-1)),0),EDATE(Bonds!$H201,6*(26-1))))</f>
        <v/>
      </c>
      <c r="AE201" s="3" t="str">
        <f>IF(27&gt;$C201,"",IF($D201=1,EOMONTH(EDATE(Bonds!$H201,6*(27-1)),0),EDATE(Bonds!$H201,6*(27-1))))</f>
        <v/>
      </c>
      <c r="AF201" s="3" t="str">
        <f>IF(28&gt;$C201,"",IF($D201=1,EOMONTH(EDATE(Bonds!$H201,6*(28-1)),0),EDATE(Bonds!$H201,6*(28-1))))</f>
        <v/>
      </c>
      <c r="AG201" s="3" t="str">
        <f>IF(29&gt;$C201,"",IF($D201=1,EOMONTH(EDATE(Bonds!$H201,6*(29-1)),0),EDATE(Bonds!$H201,6*(29-1))))</f>
        <v/>
      </c>
      <c r="AH201" s="3" t="str">
        <f>IF(30&gt;$C201,"",IF($D201=1,EOMONTH(EDATE(Bonds!$H201,6*(30-1)),0),EDATE(Bonds!$H201,6*(30-1))))</f>
        <v/>
      </c>
      <c r="AI201" s="3" t="str">
        <f>IF(31&gt;$C201,"",IF($D201=1,EOMONTH(EDATE(Bonds!$H201,6*(31-1)),0),EDATE(Bonds!$H201,6*(31-1))))</f>
        <v/>
      </c>
      <c r="AJ201" s="3" t="str">
        <f>IF(32&gt;$C201,"",IF($D201=1,EOMONTH(EDATE(Bonds!$H201,6*(32-1)),0),EDATE(Bonds!$H201,6*(32-1))))</f>
        <v/>
      </c>
      <c r="AK201" s="3" t="str">
        <f>IF(33&gt;$C201,"",IF($D201=1,EOMONTH(EDATE(Bonds!$H201,6*(33-1)),0),EDATE(Bonds!$H201,6*(33-1))))</f>
        <v/>
      </c>
      <c r="AL201" s="3" t="str">
        <f>IF(34&gt;$C201,"",IF($D201=1,EOMONTH(EDATE(Bonds!$H201,6*(34-1)),0),EDATE(Bonds!$H201,6*(34-1))))</f>
        <v/>
      </c>
      <c r="AM201" s="3" t="str">
        <f>IF(35&gt;$C201,"",IF($D201=1,EOMONTH(EDATE(Bonds!$H201,6*(35-1)),0),EDATE(Bonds!$H201,6*(35-1))))</f>
        <v/>
      </c>
      <c r="AN201" s="3" t="str">
        <f>IF(36&gt;$C201,"",IF($D201=1,EOMONTH(EDATE(Bonds!$H201,6*(36-1)),0),EDATE(Bonds!$H201,6*(36-1))))</f>
        <v/>
      </c>
      <c r="AO201" s="3" t="str">
        <f>IF(37&gt;$C201,"",IF($D201=1,EOMONTH(EDATE(Bonds!$H201,6*(37-1)),0),EDATE(Bonds!$H201,6*(37-1))))</f>
        <v/>
      </c>
      <c r="AP201" s="3" t="str">
        <f>IF(38&gt;$C201,"",IF($D201=1,EOMONTH(EDATE(Bonds!$H201,6*(38-1)),0),EDATE(Bonds!$H201,6*(38-1))))</f>
        <v/>
      </c>
      <c r="AQ201" s="3" t="str">
        <f>IF(39&gt;$C201,"",IF($D201=1,EOMONTH(EDATE(Bonds!$H201,6*(39-1)),0),EDATE(Bonds!$H201,6*(39-1))))</f>
        <v/>
      </c>
      <c r="AR201" s="3" t="str">
        <f>IF(40&gt;$C201,"",IF($D201=1,EOMONTH(EDATE(Bonds!$H201,6*(40-1)),0),EDATE(Bonds!$H201,6*(40-1))))</f>
        <v/>
      </c>
      <c r="AS201" s="3" t="str">
        <f>IF(41&gt;$C201,"",IF($D201=1,EOMONTH(EDATE(Bonds!$H201,6*(41-1)),0),EDATE(Bonds!$H201,6*(41-1))))</f>
        <v/>
      </c>
      <c r="AT201" s="3" t="str">
        <f>IF(42&gt;$C201,"",IF($D201=1,EOMONTH(EDATE(Bonds!$H201,6*(42-1)),0),EDATE(Bonds!$H201,6*(42-1))))</f>
        <v/>
      </c>
      <c r="AU201" s="3" t="str">
        <f>IF(43&gt;$C201,"",IF($D201=1,EOMONTH(EDATE(Bonds!$H201,6*(43-1)),0),EDATE(Bonds!$H201,6*(43-1))))</f>
        <v/>
      </c>
      <c r="AV201" s="3" t="str">
        <f>IF(44&gt;$C201,"",IF($D201=1,EOMONTH(EDATE(Bonds!$H201,6*(44-1)),0),EDATE(Bonds!$H201,6*(44-1))))</f>
        <v/>
      </c>
      <c r="AW201" s="3" t="str">
        <f>IF(45&gt;$C201,"",IF($D201=1,EOMONTH(EDATE(Bonds!$H201,6*(45-1)),0),EDATE(Bonds!$H201,6*(45-1))))</f>
        <v/>
      </c>
      <c r="AX201" s="3" t="str">
        <f>IF(46&gt;$C201,"",IF($D201=1,EOMONTH(EDATE(Bonds!$H201,6*(46-1)),0),EDATE(Bonds!$H201,6*(46-1))))</f>
        <v/>
      </c>
      <c r="AY201" s="3" t="str">
        <f>IF(47&gt;$C201,"",IF($D201=1,EOMONTH(EDATE(Bonds!$H201,6*(47-1)),0),EDATE(Bonds!$H201,6*(47-1))))</f>
        <v/>
      </c>
      <c r="AZ201" s="3" t="str">
        <f>IF(48&gt;$C201,"",IF($D201=1,EOMONTH(EDATE(Bonds!$H201,6*(48-1)),0),EDATE(Bonds!$H201,6*(48-1))))</f>
        <v/>
      </c>
      <c r="BA201" s="3" t="str">
        <f>IF(49&gt;$C201,"",IF($D201=1,EOMONTH(EDATE(Bonds!$H201,6*(49-1)),0),EDATE(Bonds!$H201,6*(49-1))))</f>
        <v/>
      </c>
      <c r="BB201" s="3" t="str">
        <f>IF(50&gt;$C201,"",IF($D201=1,EOMONTH(EDATE(Bonds!$H201,6*(50-1)),0),EDATE(Bonds!$H201,6*(50-1))))</f>
        <v/>
      </c>
      <c r="BC201" s="3" t="str">
        <f>IF(51&gt;$C201,"",IF($D201=1,EOMONTH(EDATE(Bonds!$H201,6*(51-1)),0),EDATE(Bonds!$H201,6*(51-1))))</f>
        <v/>
      </c>
      <c r="BD201" s="3" t="str">
        <f>IF(52&gt;$C201,"",IF($D201=1,EOMONTH(EDATE(Bonds!$H201,6*(52-1)),0),EDATE(Bonds!$H201,6*(52-1))))</f>
        <v/>
      </c>
      <c r="BE201" s="3" t="str">
        <f>IF(53&gt;$C201,"",IF($D201=1,EOMONTH(EDATE(Bonds!$H201,6*(53-1)),0),EDATE(Bonds!$H201,6*(53-1))))</f>
        <v/>
      </c>
      <c r="BF201" s="3" t="str">
        <f>IF(54&gt;$C201,"",IF($D201=1,EOMONTH(EDATE(Bonds!$H201,6*(54-1)),0),EDATE(Bonds!$H201,6*(54-1))))</f>
        <v/>
      </c>
      <c r="BG201" s="3" t="str">
        <f>IF(55&gt;$C201,"",IF($D201=1,EOMONTH(EDATE(Bonds!$H201,6*(55-1)),0),EDATE(Bonds!$H201,6*(55-1))))</f>
        <v/>
      </c>
      <c r="BH201" s="3" t="str">
        <f>IF(56&gt;$C201,"",IF($D201=1,EOMONTH(EDATE(Bonds!$H201,6*(56-1)),0),EDATE(Bonds!$H201,6*(56-1))))</f>
        <v/>
      </c>
      <c r="BI201" s="3" t="str">
        <f>IF(57&gt;$C201,"",IF($D201=1,EOMONTH(EDATE(Bonds!$H201,6*(57-1)),0),EDATE(Bonds!$H201,6*(57-1))))</f>
        <v/>
      </c>
      <c r="BJ201" s="3" t="str">
        <f>IF(58&gt;$C201,"",IF($D201=1,EOMONTH(EDATE(Bonds!$H201,6*(58-1)),0),EDATE(Bonds!$H201,6*(58-1))))</f>
        <v/>
      </c>
      <c r="BK201" s="3" t="str">
        <f>IF(59&gt;$C201,"",IF($D201=1,EOMONTH(EDATE(Bonds!$H201,6*(59-1)),0),EDATE(Bonds!$H201,6*(59-1))))</f>
        <v/>
      </c>
      <c r="BL201" s="3" t="str">
        <f>IF(60&gt;$C201,"",IF($D201=1,EOMONTH(EDATE(Bonds!$H201,6*(60-1)),0),EDATE(Bonds!$H201,6*(60-1))))</f>
        <v/>
      </c>
      <c r="BN201" s="7">
        <f t="shared" si="184"/>
        <v>1.9332170044961661</v>
      </c>
      <c r="BO201" s="7">
        <f t="shared" si="185"/>
        <v>1.8950715706102756</v>
      </c>
      <c r="BP201" s="7">
        <f t="shared" si="186"/>
        <v>1.8540683788086316</v>
      </c>
      <c r="BQ201" s="7">
        <f t="shared" si="187"/>
        <v>1.8124510866299766</v>
      </c>
      <c r="BR201" s="7">
        <f t="shared" si="188"/>
        <v>1.7712689677251081</v>
      </c>
      <c r="BS201" s="7">
        <f t="shared" si="189"/>
        <v>1.7311906164091833</v>
      </c>
      <c r="BT201" s="7">
        <f t="shared" si="190"/>
        <v>1.6918886377687259</v>
      </c>
      <c r="BU201" s="7">
        <f t="shared" si="191"/>
        <v>1.6537319230877765</v>
      </c>
      <c r="BV201" s="7">
        <f t="shared" si="192"/>
        <v>1.6161642414011503</v>
      </c>
      <c r="BW201" s="7">
        <f t="shared" si="193"/>
        <v>83.09900502532615</v>
      </c>
      <c r="BX201" s="7">
        <f t="shared" si="194"/>
        <v>0</v>
      </c>
      <c r="BY201" s="7">
        <f t="shared" si="195"/>
        <v>0</v>
      </c>
      <c r="BZ201" s="7">
        <f t="shared" si="196"/>
        <v>0</v>
      </c>
      <c r="CA201" s="7">
        <f t="shared" si="197"/>
        <v>0</v>
      </c>
      <c r="CB201" s="7">
        <f t="shared" si="198"/>
        <v>0</v>
      </c>
      <c r="CC201" s="7">
        <f t="shared" si="199"/>
        <v>0</v>
      </c>
      <c r="CD201" s="7">
        <f t="shared" si="200"/>
        <v>0</v>
      </c>
      <c r="CE201" s="7">
        <f t="shared" si="201"/>
        <v>0</v>
      </c>
      <c r="CF201" s="7">
        <f t="shared" si="202"/>
        <v>0</v>
      </c>
      <c r="CG201" s="7">
        <f t="shared" si="203"/>
        <v>0</v>
      </c>
      <c r="CH201" s="7">
        <f t="shared" si="204"/>
        <v>0</v>
      </c>
      <c r="CI201" s="7">
        <f t="shared" si="205"/>
        <v>0</v>
      </c>
      <c r="CJ201" s="7">
        <f t="shared" si="206"/>
        <v>0</v>
      </c>
      <c r="CK201" s="7">
        <f t="shared" si="207"/>
        <v>0</v>
      </c>
      <c r="CL201" s="7">
        <f t="shared" si="208"/>
        <v>0</v>
      </c>
      <c r="CM201" s="7">
        <f t="shared" si="209"/>
        <v>0</v>
      </c>
      <c r="CN201" s="7">
        <f t="shared" si="210"/>
        <v>0</v>
      </c>
      <c r="CO201" s="7">
        <f t="shared" si="211"/>
        <v>0</v>
      </c>
      <c r="CP201" s="7">
        <f t="shared" si="212"/>
        <v>0</v>
      </c>
      <c r="CQ201" s="7">
        <f t="shared" si="213"/>
        <v>0</v>
      </c>
      <c r="CR201" s="7">
        <f t="shared" si="214"/>
        <v>0</v>
      </c>
      <c r="CS201" s="7">
        <f t="shared" si="215"/>
        <v>0</v>
      </c>
      <c r="CT201" s="7">
        <f t="shared" si="216"/>
        <v>0</v>
      </c>
      <c r="CU201" s="7">
        <f t="shared" si="217"/>
        <v>0</v>
      </c>
      <c r="CV201" s="7">
        <f t="shared" si="218"/>
        <v>0</v>
      </c>
      <c r="CW201" s="7">
        <f t="shared" si="219"/>
        <v>0</v>
      </c>
      <c r="CX201" s="7">
        <f t="shared" si="220"/>
        <v>0</v>
      </c>
      <c r="CY201" s="7">
        <f t="shared" si="221"/>
        <v>0</v>
      </c>
      <c r="CZ201" s="7">
        <f t="shared" si="222"/>
        <v>0</v>
      </c>
      <c r="DA201" s="7">
        <f t="shared" si="223"/>
        <v>0</v>
      </c>
      <c r="DB201" s="7">
        <f t="shared" si="224"/>
        <v>0</v>
      </c>
      <c r="DC201" s="7">
        <f t="shared" si="225"/>
        <v>0</v>
      </c>
      <c r="DD201" s="7">
        <f t="shared" si="226"/>
        <v>0</v>
      </c>
      <c r="DE201" s="7">
        <f t="shared" si="227"/>
        <v>0</v>
      </c>
      <c r="DF201" s="7">
        <f t="shared" si="228"/>
        <v>0</v>
      </c>
      <c r="DG201" s="7">
        <f t="shared" si="229"/>
        <v>0</v>
      </c>
      <c r="DH201" s="7">
        <f t="shared" si="230"/>
        <v>0</v>
      </c>
      <c r="DI201" s="7">
        <f t="shared" si="231"/>
        <v>0</v>
      </c>
      <c r="DJ201" s="7">
        <f t="shared" si="232"/>
        <v>0</v>
      </c>
      <c r="DK201" s="7">
        <f t="shared" si="233"/>
        <v>0</v>
      </c>
      <c r="DL201" s="7">
        <f t="shared" si="234"/>
        <v>0</v>
      </c>
      <c r="DM201" s="7">
        <f t="shared" si="235"/>
        <v>0</v>
      </c>
      <c r="DN201" s="7">
        <f t="shared" si="236"/>
        <v>0</v>
      </c>
      <c r="DO201" s="7">
        <f t="shared" si="237"/>
        <v>0</v>
      </c>
      <c r="DP201" s="7">
        <f t="shared" si="238"/>
        <v>0</v>
      </c>
      <c r="DQ201" s="7">
        <f t="shared" si="239"/>
        <v>0</v>
      </c>
      <c r="DR201" s="7">
        <f t="shared" si="240"/>
        <v>0</v>
      </c>
      <c r="DS201" s="7">
        <f t="shared" si="241"/>
        <v>0</v>
      </c>
      <c r="DT201" s="7">
        <f t="shared" si="242"/>
        <v>0</v>
      </c>
      <c r="DU201" s="7">
        <f t="shared" si="243"/>
        <v>0</v>
      </c>
    </row>
    <row r="202" spans="1:125" x14ac:dyDescent="0.2">
      <c r="A202" s="3">
        <f>Bonds!A202</f>
        <v>47938</v>
      </c>
      <c r="B202" s="4">
        <f>Bonds!B202</f>
        <v>4.125</v>
      </c>
      <c r="C202">
        <f>Bonds!P202</f>
        <v>10</v>
      </c>
      <c r="D202">
        <f t="shared" si="183"/>
        <v>1</v>
      </c>
      <c r="E202" s="3">
        <f>IF(1&gt;$C202,"",IF($D202=1,EOMONTH(EDATE(Bonds!$H202,6*(1-1)),0),EDATE(Bonds!$H202,6*(1-1))))</f>
        <v>46295</v>
      </c>
      <c r="F202" s="3">
        <f>IF(2&gt;$C202,"",IF($D202=1,EOMONTH(EDATE(Bonds!$H202,6*(2-1)),0),EDATE(Bonds!$H202,6*(2-1))))</f>
        <v>46477</v>
      </c>
      <c r="G202" s="3">
        <f>IF(3&gt;$C202,"",IF($D202=1,EOMONTH(EDATE(Bonds!$H202,6*(3-1)),0),EDATE(Bonds!$H202,6*(3-1))))</f>
        <v>46660</v>
      </c>
      <c r="H202" s="3">
        <f>IF(4&gt;$C202,"",IF($D202=1,EOMONTH(EDATE(Bonds!$H202,6*(4-1)),0),EDATE(Bonds!$H202,6*(4-1))))</f>
        <v>46843</v>
      </c>
      <c r="I202" s="3">
        <f>IF(5&gt;$C202,"",IF($D202=1,EOMONTH(EDATE(Bonds!$H202,6*(5-1)),0),EDATE(Bonds!$H202,6*(5-1))))</f>
        <v>47026</v>
      </c>
      <c r="J202" s="3">
        <f>IF(6&gt;$C202,"",IF($D202=1,EOMONTH(EDATE(Bonds!$H202,6*(6-1)),0),EDATE(Bonds!$H202,6*(6-1))))</f>
        <v>47208</v>
      </c>
      <c r="K202" s="3">
        <f>IF(7&gt;$C202,"",IF($D202=1,EOMONTH(EDATE(Bonds!$H202,6*(7-1)),0),EDATE(Bonds!$H202,6*(7-1))))</f>
        <v>47391</v>
      </c>
      <c r="L202" s="3">
        <f>IF(8&gt;$C202,"",IF($D202=1,EOMONTH(EDATE(Bonds!$H202,6*(8-1)),0),EDATE(Bonds!$H202,6*(8-1))))</f>
        <v>47573</v>
      </c>
      <c r="M202" s="3">
        <f>IF(9&gt;$C202,"",IF($D202=1,EOMONTH(EDATE(Bonds!$H202,6*(9-1)),0),EDATE(Bonds!$H202,6*(9-1))))</f>
        <v>47756</v>
      </c>
      <c r="N202" s="3">
        <f>IF(10&gt;$C202,"",IF($D202=1,EOMONTH(EDATE(Bonds!$H202,6*(10-1)),0),EDATE(Bonds!$H202,6*(10-1))))</f>
        <v>47938</v>
      </c>
      <c r="O202" s="3" t="str">
        <f>IF(11&gt;$C202,"",IF($D202=1,EOMONTH(EDATE(Bonds!$H202,6*(11-1)),0),EDATE(Bonds!$H202,6*(11-1))))</f>
        <v/>
      </c>
      <c r="P202" s="3" t="str">
        <f>IF(12&gt;$C202,"",IF($D202=1,EOMONTH(EDATE(Bonds!$H202,6*(12-1)),0),EDATE(Bonds!$H202,6*(12-1))))</f>
        <v/>
      </c>
      <c r="Q202" s="3" t="str">
        <f>IF(13&gt;$C202,"",IF($D202=1,EOMONTH(EDATE(Bonds!$H202,6*(13-1)),0),EDATE(Bonds!$H202,6*(13-1))))</f>
        <v/>
      </c>
      <c r="R202" s="3" t="str">
        <f>IF(14&gt;$C202,"",IF($D202=1,EOMONTH(EDATE(Bonds!$H202,6*(14-1)),0),EDATE(Bonds!$H202,6*(14-1))))</f>
        <v/>
      </c>
      <c r="S202" s="3" t="str">
        <f>IF(15&gt;$C202,"",IF($D202=1,EOMONTH(EDATE(Bonds!$H202,6*(15-1)),0),EDATE(Bonds!$H202,6*(15-1))))</f>
        <v/>
      </c>
      <c r="T202" s="3" t="str">
        <f>IF(16&gt;$C202,"",IF($D202=1,EOMONTH(EDATE(Bonds!$H202,6*(16-1)),0),EDATE(Bonds!$H202,6*(16-1))))</f>
        <v/>
      </c>
      <c r="U202" s="3" t="str">
        <f>IF(17&gt;$C202,"",IF($D202=1,EOMONTH(EDATE(Bonds!$H202,6*(17-1)),0),EDATE(Bonds!$H202,6*(17-1))))</f>
        <v/>
      </c>
      <c r="V202" s="3" t="str">
        <f>IF(18&gt;$C202,"",IF($D202=1,EOMONTH(EDATE(Bonds!$H202,6*(18-1)),0),EDATE(Bonds!$H202,6*(18-1))))</f>
        <v/>
      </c>
      <c r="W202" s="3" t="str">
        <f>IF(19&gt;$C202,"",IF($D202=1,EOMONTH(EDATE(Bonds!$H202,6*(19-1)),0),EDATE(Bonds!$H202,6*(19-1))))</f>
        <v/>
      </c>
      <c r="X202" s="3" t="str">
        <f>IF(20&gt;$C202,"",IF($D202=1,EOMONTH(EDATE(Bonds!$H202,6*(20-1)),0),EDATE(Bonds!$H202,6*(20-1))))</f>
        <v/>
      </c>
      <c r="Y202" s="3" t="str">
        <f>IF(21&gt;$C202,"",IF($D202=1,EOMONTH(EDATE(Bonds!$H202,6*(21-1)),0),EDATE(Bonds!$H202,6*(21-1))))</f>
        <v/>
      </c>
      <c r="Z202" s="3" t="str">
        <f>IF(22&gt;$C202,"",IF($D202=1,EOMONTH(EDATE(Bonds!$H202,6*(22-1)),0),EDATE(Bonds!$H202,6*(22-1))))</f>
        <v/>
      </c>
      <c r="AA202" s="3" t="str">
        <f>IF(23&gt;$C202,"",IF($D202=1,EOMONTH(EDATE(Bonds!$H202,6*(23-1)),0),EDATE(Bonds!$H202,6*(23-1))))</f>
        <v/>
      </c>
      <c r="AB202" s="3" t="str">
        <f>IF(24&gt;$C202,"",IF($D202=1,EOMONTH(EDATE(Bonds!$H202,6*(24-1)),0),EDATE(Bonds!$H202,6*(24-1))))</f>
        <v/>
      </c>
      <c r="AC202" s="3" t="str">
        <f>IF(25&gt;$C202,"",IF($D202=1,EOMONTH(EDATE(Bonds!$H202,6*(25-1)),0),EDATE(Bonds!$H202,6*(25-1))))</f>
        <v/>
      </c>
      <c r="AD202" s="3" t="str">
        <f>IF(26&gt;$C202,"",IF($D202=1,EOMONTH(EDATE(Bonds!$H202,6*(26-1)),0),EDATE(Bonds!$H202,6*(26-1))))</f>
        <v/>
      </c>
      <c r="AE202" s="3" t="str">
        <f>IF(27&gt;$C202,"",IF($D202=1,EOMONTH(EDATE(Bonds!$H202,6*(27-1)),0),EDATE(Bonds!$H202,6*(27-1))))</f>
        <v/>
      </c>
      <c r="AF202" s="3" t="str">
        <f>IF(28&gt;$C202,"",IF($D202=1,EOMONTH(EDATE(Bonds!$H202,6*(28-1)),0),EDATE(Bonds!$H202,6*(28-1))))</f>
        <v/>
      </c>
      <c r="AG202" s="3" t="str">
        <f>IF(29&gt;$C202,"",IF($D202=1,EOMONTH(EDATE(Bonds!$H202,6*(29-1)),0),EDATE(Bonds!$H202,6*(29-1))))</f>
        <v/>
      </c>
      <c r="AH202" s="3" t="str">
        <f>IF(30&gt;$C202,"",IF($D202=1,EOMONTH(EDATE(Bonds!$H202,6*(30-1)),0),EDATE(Bonds!$H202,6*(30-1))))</f>
        <v/>
      </c>
      <c r="AI202" s="3" t="str">
        <f>IF(31&gt;$C202,"",IF($D202=1,EOMONTH(EDATE(Bonds!$H202,6*(31-1)),0),EDATE(Bonds!$H202,6*(31-1))))</f>
        <v/>
      </c>
      <c r="AJ202" s="3" t="str">
        <f>IF(32&gt;$C202,"",IF($D202=1,EOMONTH(EDATE(Bonds!$H202,6*(32-1)),0),EDATE(Bonds!$H202,6*(32-1))))</f>
        <v/>
      </c>
      <c r="AK202" s="3" t="str">
        <f>IF(33&gt;$C202,"",IF($D202=1,EOMONTH(EDATE(Bonds!$H202,6*(33-1)),0),EDATE(Bonds!$H202,6*(33-1))))</f>
        <v/>
      </c>
      <c r="AL202" s="3" t="str">
        <f>IF(34&gt;$C202,"",IF($D202=1,EOMONTH(EDATE(Bonds!$H202,6*(34-1)),0),EDATE(Bonds!$H202,6*(34-1))))</f>
        <v/>
      </c>
      <c r="AM202" s="3" t="str">
        <f>IF(35&gt;$C202,"",IF($D202=1,EOMONTH(EDATE(Bonds!$H202,6*(35-1)),0),EDATE(Bonds!$H202,6*(35-1))))</f>
        <v/>
      </c>
      <c r="AN202" s="3" t="str">
        <f>IF(36&gt;$C202,"",IF($D202=1,EOMONTH(EDATE(Bonds!$H202,6*(36-1)),0),EDATE(Bonds!$H202,6*(36-1))))</f>
        <v/>
      </c>
      <c r="AO202" s="3" t="str">
        <f>IF(37&gt;$C202,"",IF($D202=1,EOMONTH(EDATE(Bonds!$H202,6*(37-1)),0),EDATE(Bonds!$H202,6*(37-1))))</f>
        <v/>
      </c>
      <c r="AP202" s="3" t="str">
        <f>IF(38&gt;$C202,"",IF($D202=1,EOMONTH(EDATE(Bonds!$H202,6*(38-1)),0),EDATE(Bonds!$H202,6*(38-1))))</f>
        <v/>
      </c>
      <c r="AQ202" s="3" t="str">
        <f>IF(39&gt;$C202,"",IF($D202=1,EOMONTH(EDATE(Bonds!$H202,6*(39-1)),0),EDATE(Bonds!$H202,6*(39-1))))</f>
        <v/>
      </c>
      <c r="AR202" s="3" t="str">
        <f>IF(40&gt;$C202,"",IF($D202=1,EOMONTH(EDATE(Bonds!$H202,6*(40-1)),0),EDATE(Bonds!$H202,6*(40-1))))</f>
        <v/>
      </c>
      <c r="AS202" s="3" t="str">
        <f>IF(41&gt;$C202,"",IF($D202=1,EOMONTH(EDATE(Bonds!$H202,6*(41-1)),0),EDATE(Bonds!$H202,6*(41-1))))</f>
        <v/>
      </c>
      <c r="AT202" s="3" t="str">
        <f>IF(42&gt;$C202,"",IF($D202=1,EOMONTH(EDATE(Bonds!$H202,6*(42-1)),0),EDATE(Bonds!$H202,6*(42-1))))</f>
        <v/>
      </c>
      <c r="AU202" s="3" t="str">
        <f>IF(43&gt;$C202,"",IF($D202=1,EOMONTH(EDATE(Bonds!$H202,6*(43-1)),0),EDATE(Bonds!$H202,6*(43-1))))</f>
        <v/>
      </c>
      <c r="AV202" s="3" t="str">
        <f>IF(44&gt;$C202,"",IF($D202=1,EOMONTH(EDATE(Bonds!$H202,6*(44-1)),0),EDATE(Bonds!$H202,6*(44-1))))</f>
        <v/>
      </c>
      <c r="AW202" s="3" t="str">
        <f>IF(45&gt;$C202,"",IF($D202=1,EOMONTH(EDATE(Bonds!$H202,6*(45-1)),0),EDATE(Bonds!$H202,6*(45-1))))</f>
        <v/>
      </c>
      <c r="AX202" s="3" t="str">
        <f>IF(46&gt;$C202,"",IF($D202=1,EOMONTH(EDATE(Bonds!$H202,6*(46-1)),0),EDATE(Bonds!$H202,6*(46-1))))</f>
        <v/>
      </c>
      <c r="AY202" s="3" t="str">
        <f>IF(47&gt;$C202,"",IF($D202=1,EOMONTH(EDATE(Bonds!$H202,6*(47-1)),0),EDATE(Bonds!$H202,6*(47-1))))</f>
        <v/>
      </c>
      <c r="AZ202" s="3" t="str">
        <f>IF(48&gt;$C202,"",IF($D202=1,EOMONTH(EDATE(Bonds!$H202,6*(48-1)),0),EDATE(Bonds!$H202,6*(48-1))))</f>
        <v/>
      </c>
      <c r="BA202" s="3" t="str">
        <f>IF(49&gt;$C202,"",IF($D202=1,EOMONTH(EDATE(Bonds!$H202,6*(49-1)),0),EDATE(Bonds!$H202,6*(49-1))))</f>
        <v/>
      </c>
      <c r="BB202" s="3" t="str">
        <f>IF(50&gt;$C202,"",IF($D202=1,EOMONTH(EDATE(Bonds!$H202,6*(50-1)),0),EDATE(Bonds!$H202,6*(50-1))))</f>
        <v/>
      </c>
      <c r="BC202" s="3" t="str">
        <f>IF(51&gt;$C202,"",IF($D202=1,EOMONTH(EDATE(Bonds!$H202,6*(51-1)),0),EDATE(Bonds!$H202,6*(51-1))))</f>
        <v/>
      </c>
      <c r="BD202" s="3" t="str">
        <f>IF(52&gt;$C202,"",IF($D202=1,EOMONTH(EDATE(Bonds!$H202,6*(52-1)),0),EDATE(Bonds!$H202,6*(52-1))))</f>
        <v/>
      </c>
      <c r="BE202" s="3" t="str">
        <f>IF(53&gt;$C202,"",IF($D202=1,EOMONTH(EDATE(Bonds!$H202,6*(53-1)),0),EDATE(Bonds!$H202,6*(53-1))))</f>
        <v/>
      </c>
      <c r="BF202" s="3" t="str">
        <f>IF(54&gt;$C202,"",IF($D202=1,EOMONTH(EDATE(Bonds!$H202,6*(54-1)),0),EDATE(Bonds!$H202,6*(54-1))))</f>
        <v/>
      </c>
      <c r="BG202" s="3" t="str">
        <f>IF(55&gt;$C202,"",IF($D202=1,EOMONTH(EDATE(Bonds!$H202,6*(55-1)),0),EDATE(Bonds!$H202,6*(55-1))))</f>
        <v/>
      </c>
      <c r="BH202" s="3" t="str">
        <f>IF(56&gt;$C202,"",IF($D202=1,EOMONTH(EDATE(Bonds!$H202,6*(56-1)),0),EDATE(Bonds!$H202,6*(56-1))))</f>
        <v/>
      </c>
      <c r="BI202" s="3" t="str">
        <f>IF(57&gt;$C202,"",IF($D202=1,EOMONTH(EDATE(Bonds!$H202,6*(57-1)),0),EDATE(Bonds!$H202,6*(57-1))))</f>
        <v/>
      </c>
      <c r="BJ202" s="3" t="str">
        <f>IF(58&gt;$C202,"",IF($D202=1,EOMONTH(EDATE(Bonds!$H202,6*(58-1)),0),EDATE(Bonds!$H202,6*(58-1))))</f>
        <v/>
      </c>
      <c r="BK202" s="3" t="str">
        <f>IF(59&gt;$C202,"",IF($D202=1,EOMONTH(EDATE(Bonds!$H202,6*(59-1)),0),EDATE(Bonds!$H202,6*(59-1))))</f>
        <v/>
      </c>
      <c r="BL202" s="3" t="str">
        <f>IF(60&gt;$C202,"",IF($D202=1,EOMONTH(EDATE(Bonds!$H202,6*(60-1)),0),EDATE(Bonds!$H202,6*(60-1))))</f>
        <v/>
      </c>
      <c r="BN202" s="7">
        <f t="shared" si="184"/>
        <v>2.0579406822055963</v>
      </c>
      <c r="BO202" s="7">
        <f t="shared" si="185"/>
        <v>2.0173342525851323</v>
      </c>
      <c r="BP202" s="7">
        <f t="shared" si="186"/>
        <v>1.9736856935704787</v>
      </c>
      <c r="BQ202" s="7">
        <f t="shared" si="187"/>
        <v>1.9293834147996523</v>
      </c>
      <c r="BR202" s="7">
        <f t="shared" si="188"/>
        <v>1.8855443849976958</v>
      </c>
      <c r="BS202" s="7">
        <f t="shared" si="189"/>
        <v>1.8428803335968726</v>
      </c>
      <c r="BT202" s="7">
        <f t="shared" si="190"/>
        <v>1.8010427434312244</v>
      </c>
      <c r="BU202" s="7">
        <f t="shared" si="191"/>
        <v>1.7604243052224717</v>
      </c>
      <c r="BV202" s="7">
        <f t="shared" si="192"/>
        <v>1.7204329021367084</v>
      </c>
      <c r="BW202" s="7">
        <f t="shared" si="193"/>
        <v>83.200904479679707</v>
      </c>
      <c r="BX202" s="7">
        <f t="shared" si="194"/>
        <v>0</v>
      </c>
      <c r="BY202" s="7">
        <f t="shared" si="195"/>
        <v>0</v>
      </c>
      <c r="BZ202" s="7">
        <f t="shared" si="196"/>
        <v>0</v>
      </c>
      <c r="CA202" s="7">
        <f t="shared" si="197"/>
        <v>0</v>
      </c>
      <c r="CB202" s="7">
        <f t="shared" si="198"/>
        <v>0</v>
      </c>
      <c r="CC202" s="7">
        <f t="shared" si="199"/>
        <v>0</v>
      </c>
      <c r="CD202" s="7">
        <f t="shared" si="200"/>
        <v>0</v>
      </c>
      <c r="CE202" s="7">
        <f t="shared" si="201"/>
        <v>0</v>
      </c>
      <c r="CF202" s="7">
        <f t="shared" si="202"/>
        <v>0</v>
      </c>
      <c r="CG202" s="7">
        <f t="shared" si="203"/>
        <v>0</v>
      </c>
      <c r="CH202" s="7">
        <f t="shared" si="204"/>
        <v>0</v>
      </c>
      <c r="CI202" s="7">
        <f t="shared" si="205"/>
        <v>0</v>
      </c>
      <c r="CJ202" s="7">
        <f t="shared" si="206"/>
        <v>0</v>
      </c>
      <c r="CK202" s="7">
        <f t="shared" si="207"/>
        <v>0</v>
      </c>
      <c r="CL202" s="7">
        <f t="shared" si="208"/>
        <v>0</v>
      </c>
      <c r="CM202" s="7">
        <f t="shared" si="209"/>
        <v>0</v>
      </c>
      <c r="CN202" s="7">
        <f t="shared" si="210"/>
        <v>0</v>
      </c>
      <c r="CO202" s="7">
        <f t="shared" si="211"/>
        <v>0</v>
      </c>
      <c r="CP202" s="7">
        <f t="shared" si="212"/>
        <v>0</v>
      </c>
      <c r="CQ202" s="7">
        <f t="shared" si="213"/>
        <v>0</v>
      </c>
      <c r="CR202" s="7">
        <f t="shared" si="214"/>
        <v>0</v>
      </c>
      <c r="CS202" s="7">
        <f t="shared" si="215"/>
        <v>0</v>
      </c>
      <c r="CT202" s="7">
        <f t="shared" si="216"/>
        <v>0</v>
      </c>
      <c r="CU202" s="7">
        <f t="shared" si="217"/>
        <v>0</v>
      </c>
      <c r="CV202" s="7">
        <f t="shared" si="218"/>
        <v>0</v>
      </c>
      <c r="CW202" s="7">
        <f t="shared" si="219"/>
        <v>0</v>
      </c>
      <c r="CX202" s="7">
        <f t="shared" si="220"/>
        <v>0</v>
      </c>
      <c r="CY202" s="7">
        <f t="shared" si="221"/>
        <v>0</v>
      </c>
      <c r="CZ202" s="7">
        <f t="shared" si="222"/>
        <v>0</v>
      </c>
      <c r="DA202" s="7">
        <f t="shared" si="223"/>
        <v>0</v>
      </c>
      <c r="DB202" s="7">
        <f t="shared" si="224"/>
        <v>0</v>
      </c>
      <c r="DC202" s="7">
        <f t="shared" si="225"/>
        <v>0</v>
      </c>
      <c r="DD202" s="7">
        <f t="shared" si="226"/>
        <v>0</v>
      </c>
      <c r="DE202" s="7">
        <f t="shared" si="227"/>
        <v>0</v>
      </c>
      <c r="DF202" s="7">
        <f t="shared" si="228"/>
        <v>0</v>
      </c>
      <c r="DG202" s="7">
        <f t="shared" si="229"/>
        <v>0</v>
      </c>
      <c r="DH202" s="7">
        <f t="shared" si="230"/>
        <v>0</v>
      </c>
      <c r="DI202" s="7">
        <f t="shared" si="231"/>
        <v>0</v>
      </c>
      <c r="DJ202" s="7">
        <f t="shared" si="232"/>
        <v>0</v>
      </c>
      <c r="DK202" s="7">
        <f t="shared" si="233"/>
        <v>0</v>
      </c>
      <c r="DL202" s="7">
        <f t="shared" si="234"/>
        <v>0</v>
      </c>
      <c r="DM202" s="7">
        <f t="shared" si="235"/>
        <v>0</v>
      </c>
      <c r="DN202" s="7">
        <f t="shared" si="236"/>
        <v>0</v>
      </c>
      <c r="DO202" s="7">
        <f t="shared" si="237"/>
        <v>0</v>
      </c>
      <c r="DP202" s="7">
        <f t="shared" si="238"/>
        <v>0</v>
      </c>
      <c r="DQ202" s="7">
        <f t="shared" si="239"/>
        <v>0</v>
      </c>
      <c r="DR202" s="7">
        <f t="shared" si="240"/>
        <v>0</v>
      </c>
      <c r="DS202" s="7">
        <f t="shared" si="241"/>
        <v>0</v>
      </c>
      <c r="DT202" s="7">
        <f t="shared" si="242"/>
        <v>0</v>
      </c>
      <c r="DU202" s="7">
        <f t="shared" si="243"/>
        <v>0</v>
      </c>
    </row>
    <row r="203" spans="1:125" x14ac:dyDescent="0.2">
      <c r="A203" s="3">
        <f>Bonds!A203</f>
        <v>47968</v>
      </c>
      <c r="B203" s="4">
        <f>Bonds!B203</f>
        <v>3.875</v>
      </c>
      <c r="C203">
        <f>Bonds!P203</f>
        <v>10</v>
      </c>
      <c r="D203">
        <f t="shared" si="183"/>
        <v>1</v>
      </c>
      <c r="E203" s="3">
        <f>IF(1&gt;$C203,"",IF($D203=1,EOMONTH(EDATE(Bonds!$H203,6*(1-1)),0),EDATE(Bonds!$H203,6*(1-1))))</f>
        <v>46326</v>
      </c>
      <c r="F203" s="3">
        <f>IF(2&gt;$C203,"",IF($D203=1,EOMONTH(EDATE(Bonds!$H203,6*(2-1)),0),EDATE(Bonds!$H203,6*(2-1))))</f>
        <v>46507</v>
      </c>
      <c r="G203" s="3">
        <f>IF(3&gt;$C203,"",IF($D203=1,EOMONTH(EDATE(Bonds!$H203,6*(3-1)),0),EDATE(Bonds!$H203,6*(3-1))))</f>
        <v>46691</v>
      </c>
      <c r="H203" s="3">
        <f>IF(4&gt;$C203,"",IF($D203=1,EOMONTH(EDATE(Bonds!$H203,6*(4-1)),0),EDATE(Bonds!$H203,6*(4-1))))</f>
        <v>46873</v>
      </c>
      <c r="I203" s="3">
        <f>IF(5&gt;$C203,"",IF($D203=1,EOMONTH(EDATE(Bonds!$H203,6*(5-1)),0),EDATE(Bonds!$H203,6*(5-1))))</f>
        <v>47057</v>
      </c>
      <c r="J203" s="3">
        <f>IF(6&gt;$C203,"",IF($D203=1,EOMONTH(EDATE(Bonds!$H203,6*(6-1)),0),EDATE(Bonds!$H203,6*(6-1))))</f>
        <v>47238</v>
      </c>
      <c r="K203" s="3">
        <f>IF(7&gt;$C203,"",IF($D203=1,EOMONTH(EDATE(Bonds!$H203,6*(7-1)),0),EDATE(Bonds!$H203,6*(7-1))))</f>
        <v>47422</v>
      </c>
      <c r="L203" s="3">
        <f>IF(8&gt;$C203,"",IF($D203=1,EOMONTH(EDATE(Bonds!$H203,6*(8-1)),0),EDATE(Bonds!$H203,6*(8-1))))</f>
        <v>47603</v>
      </c>
      <c r="M203" s="3">
        <f>IF(9&gt;$C203,"",IF($D203=1,EOMONTH(EDATE(Bonds!$H203,6*(9-1)),0),EDATE(Bonds!$H203,6*(9-1))))</f>
        <v>47787</v>
      </c>
      <c r="N203" s="3">
        <f>IF(10&gt;$C203,"",IF($D203=1,EOMONTH(EDATE(Bonds!$H203,6*(10-1)),0),EDATE(Bonds!$H203,6*(10-1))))</f>
        <v>47968</v>
      </c>
      <c r="O203" s="3" t="str">
        <f>IF(11&gt;$C203,"",IF($D203=1,EOMONTH(EDATE(Bonds!$H203,6*(11-1)),0),EDATE(Bonds!$H203,6*(11-1))))</f>
        <v/>
      </c>
      <c r="P203" s="3" t="str">
        <f>IF(12&gt;$C203,"",IF($D203=1,EOMONTH(EDATE(Bonds!$H203,6*(12-1)),0),EDATE(Bonds!$H203,6*(12-1))))</f>
        <v/>
      </c>
      <c r="Q203" s="3" t="str">
        <f>IF(13&gt;$C203,"",IF($D203=1,EOMONTH(EDATE(Bonds!$H203,6*(13-1)),0),EDATE(Bonds!$H203,6*(13-1))))</f>
        <v/>
      </c>
      <c r="R203" s="3" t="str">
        <f>IF(14&gt;$C203,"",IF($D203=1,EOMONTH(EDATE(Bonds!$H203,6*(14-1)),0),EDATE(Bonds!$H203,6*(14-1))))</f>
        <v/>
      </c>
      <c r="S203" s="3" t="str">
        <f>IF(15&gt;$C203,"",IF($D203=1,EOMONTH(EDATE(Bonds!$H203,6*(15-1)),0),EDATE(Bonds!$H203,6*(15-1))))</f>
        <v/>
      </c>
      <c r="T203" s="3" t="str">
        <f>IF(16&gt;$C203,"",IF($D203=1,EOMONTH(EDATE(Bonds!$H203,6*(16-1)),0),EDATE(Bonds!$H203,6*(16-1))))</f>
        <v/>
      </c>
      <c r="U203" s="3" t="str">
        <f>IF(17&gt;$C203,"",IF($D203=1,EOMONTH(EDATE(Bonds!$H203,6*(17-1)),0),EDATE(Bonds!$H203,6*(17-1))))</f>
        <v/>
      </c>
      <c r="V203" s="3" t="str">
        <f>IF(18&gt;$C203,"",IF($D203=1,EOMONTH(EDATE(Bonds!$H203,6*(18-1)),0),EDATE(Bonds!$H203,6*(18-1))))</f>
        <v/>
      </c>
      <c r="W203" s="3" t="str">
        <f>IF(19&gt;$C203,"",IF($D203=1,EOMONTH(EDATE(Bonds!$H203,6*(19-1)),0),EDATE(Bonds!$H203,6*(19-1))))</f>
        <v/>
      </c>
      <c r="X203" s="3" t="str">
        <f>IF(20&gt;$C203,"",IF($D203=1,EOMONTH(EDATE(Bonds!$H203,6*(20-1)),0),EDATE(Bonds!$H203,6*(20-1))))</f>
        <v/>
      </c>
      <c r="Y203" s="3" t="str">
        <f>IF(21&gt;$C203,"",IF($D203=1,EOMONTH(EDATE(Bonds!$H203,6*(21-1)),0),EDATE(Bonds!$H203,6*(21-1))))</f>
        <v/>
      </c>
      <c r="Z203" s="3" t="str">
        <f>IF(22&gt;$C203,"",IF($D203=1,EOMONTH(EDATE(Bonds!$H203,6*(22-1)),0),EDATE(Bonds!$H203,6*(22-1))))</f>
        <v/>
      </c>
      <c r="AA203" s="3" t="str">
        <f>IF(23&gt;$C203,"",IF($D203=1,EOMONTH(EDATE(Bonds!$H203,6*(23-1)),0),EDATE(Bonds!$H203,6*(23-1))))</f>
        <v/>
      </c>
      <c r="AB203" s="3" t="str">
        <f>IF(24&gt;$C203,"",IF($D203=1,EOMONTH(EDATE(Bonds!$H203,6*(24-1)),0),EDATE(Bonds!$H203,6*(24-1))))</f>
        <v/>
      </c>
      <c r="AC203" s="3" t="str">
        <f>IF(25&gt;$C203,"",IF($D203=1,EOMONTH(EDATE(Bonds!$H203,6*(25-1)),0),EDATE(Bonds!$H203,6*(25-1))))</f>
        <v/>
      </c>
      <c r="AD203" s="3" t="str">
        <f>IF(26&gt;$C203,"",IF($D203=1,EOMONTH(EDATE(Bonds!$H203,6*(26-1)),0),EDATE(Bonds!$H203,6*(26-1))))</f>
        <v/>
      </c>
      <c r="AE203" s="3" t="str">
        <f>IF(27&gt;$C203,"",IF($D203=1,EOMONTH(EDATE(Bonds!$H203,6*(27-1)),0),EDATE(Bonds!$H203,6*(27-1))))</f>
        <v/>
      </c>
      <c r="AF203" s="3" t="str">
        <f>IF(28&gt;$C203,"",IF($D203=1,EOMONTH(EDATE(Bonds!$H203,6*(28-1)),0),EDATE(Bonds!$H203,6*(28-1))))</f>
        <v/>
      </c>
      <c r="AG203" s="3" t="str">
        <f>IF(29&gt;$C203,"",IF($D203=1,EOMONTH(EDATE(Bonds!$H203,6*(29-1)),0),EDATE(Bonds!$H203,6*(29-1))))</f>
        <v/>
      </c>
      <c r="AH203" s="3" t="str">
        <f>IF(30&gt;$C203,"",IF($D203=1,EOMONTH(EDATE(Bonds!$H203,6*(30-1)),0),EDATE(Bonds!$H203,6*(30-1))))</f>
        <v/>
      </c>
      <c r="AI203" s="3" t="str">
        <f>IF(31&gt;$C203,"",IF($D203=1,EOMONTH(EDATE(Bonds!$H203,6*(31-1)),0),EDATE(Bonds!$H203,6*(31-1))))</f>
        <v/>
      </c>
      <c r="AJ203" s="3" t="str">
        <f>IF(32&gt;$C203,"",IF($D203=1,EOMONTH(EDATE(Bonds!$H203,6*(32-1)),0),EDATE(Bonds!$H203,6*(32-1))))</f>
        <v/>
      </c>
      <c r="AK203" s="3" t="str">
        <f>IF(33&gt;$C203,"",IF($D203=1,EOMONTH(EDATE(Bonds!$H203,6*(33-1)),0),EDATE(Bonds!$H203,6*(33-1))))</f>
        <v/>
      </c>
      <c r="AL203" s="3" t="str">
        <f>IF(34&gt;$C203,"",IF($D203=1,EOMONTH(EDATE(Bonds!$H203,6*(34-1)),0),EDATE(Bonds!$H203,6*(34-1))))</f>
        <v/>
      </c>
      <c r="AM203" s="3" t="str">
        <f>IF(35&gt;$C203,"",IF($D203=1,EOMONTH(EDATE(Bonds!$H203,6*(35-1)),0),EDATE(Bonds!$H203,6*(35-1))))</f>
        <v/>
      </c>
      <c r="AN203" s="3" t="str">
        <f>IF(36&gt;$C203,"",IF($D203=1,EOMONTH(EDATE(Bonds!$H203,6*(36-1)),0),EDATE(Bonds!$H203,6*(36-1))))</f>
        <v/>
      </c>
      <c r="AO203" s="3" t="str">
        <f>IF(37&gt;$C203,"",IF($D203=1,EOMONTH(EDATE(Bonds!$H203,6*(37-1)),0),EDATE(Bonds!$H203,6*(37-1))))</f>
        <v/>
      </c>
      <c r="AP203" s="3" t="str">
        <f>IF(38&gt;$C203,"",IF($D203=1,EOMONTH(EDATE(Bonds!$H203,6*(38-1)),0),EDATE(Bonds!$H203,6*(38-1))))</f>
        <v/>
      </c>
      <c r="AQ203" s="3" t="str">
        <f>IF(39&gt;$C203,"",IF($D203=1,EOMONTH(EDATE(Bonds!$H203,6*(39-1)),0),EDATE(Bonds!$H203,6*(39-1))))</f>
        <v/>
      </c>
      <c r="AR203" s="3" t="str">
        <f>IF(40&gt;$C203,"",IF($D203=1,EOMONTH(EDATE(Bonds!$H203,6*(40-1)),0),EDATE(Bonds!$H203,6*(40-1))))</f>
        <v/>
      </c>
      <c r="AS203" s="3" t="str">
        <f>IF(41&gt;$C203,"",IF($D203=1,EOMONTH(EDATE(Bonds!$H203,6*(41-1)),0),EDATE(Bonds!$H203,6*(41-1))))</f>
        <v/>
      </c>
      <c r="AT203" s="3" t="str">
        <f>IF(42&gt;$C203,"",IF($D203=1,EOMONTH(EDATE(Bonds!$H203,6*(42-1)),0),EDATE(Bonds!$H203,6*(42-1))))</f>
        <v/>
      </c>
      <c r="AU203" s="3" t="str">
        <f>IF(43&gt;$C203,"",IF($D203=1,EOMONTH(EDATE(Bonds!$H203,6*(43-1)),0),EDATE(Bonds!$H203,6*(43-1))))</f>
        <v/>
      </c>
      <c r="AV203" s="3" t="str">
        <f>IF(44&gt;$C203,"",IF($D203=1,EOMONTH(EDATE(Bonds!$H203,6*(44-1)),0),EDATE(Bonds!$H203,6*(44-1))))</f>
        <v/>
      </c>
      <c r="AW203" s="3" t="str">
        <f>IF(45&gt;$C203,"",IF($D203=1,EOMONTH(EDATE(Bonds!$H203,6*(45-1)),0),EDATE(Bonds!$H203,6*(45-1))))</f>
        <v/>
      </c>
      <c r="AX203" s="3" t="str">
        <f>IF(46&gt;$C203,"",IF($D203=1,EOMONTH(EDATE(Bonds!$H203,6*(46-1)),0),EDATE(Bonds!$H203,6*(46-1))))</f>
        <v/>
      </c>
      <c r="AY203" s="3" t="str">
        <f>IF(47&gt;$C203,"",IF($D203=1,EOMONTH(EDATE(Bonds!$H203,6*(47-1)),0),EDATE(Bonds!$H203,6*(47-1))))</f>
        <v/>
      </c>
      <c r="AZ203" s="3" t="str">
        <f>IF(48&gt;$C203,"",IF($D203=1,EOMONTH(EDATE(Bonds!$H203,6*(48-1)),0),EDATE(Bonds!$H203,6*(48-1))))</f>
        <v/>
      </c>
      <c r="BA203" s="3" t="str">
        <f>IF(49&gt;$C203,"",IF($D203=1,EOMONTH(EDATE(Bonds!$H203,6*(49-1)),0),EDATE(Bonds!$H203,6*(49-1))))</f>
        <v/>
      </c>
      <c r="BB203" s="3" t="str">
        <f>IF(50&gt;$C203,"",IF($D203=1,EOMONTH(EDATE(Bonds!$H203,6*(50-1)),0),EDATE(Bonds!$H203,6*(50-1))))</f>
        <v/>
      </c>
      <c r="BC203" s="3" t="str">
        <f>IF(51&gt;$C203,"",IF($D203=1,EOMONTH(EDATE(Bonds!$H203,6*(51-1)),0),EDATE(Bonds!$H203,6*(51-1))))</f>
        <v/>
      </c>
      <c r="BD203" s="3" t="str">
        <f>IF(52&gt;$C203,"",IF($D203=1,EOMONTH(EDATE(Bonds!$H203,6*(52-1)),0),EDATE(Bonds!$H203,6*(52-1))))</f>
        <v/>
      </c>
      <c r="BE203" s="3" t="str">
        <f>IF(53&gt;$C203,"",IF($D203=1,EOMONTH(EDATE(Bonds!$H203,6*(53-1)),0),EDATE(Bonds!$H203,6*(53-1))))</f>
        <v/>
      </c>
      <c r="BF203" s="3" t="str">
        <f>IF(54&gt;$C203,"",IF($D203=1,EOMONTH(EDATE(Bonds!$H203,6*(54-1)),0),EDATE(Bonds!$H203,6*(54-1))))</f>
        <v/>
      </c>
      <c r="BG203" s="3" t="str">
        <f>IF(55&gt;$C203,"",IF($D203=1,EOMONTH(EDATE(Bonds!$H203,6*(55-1)),0),EDATE(Bonds!$H203,6*(55-1))))</f>
        <v/>
      </c>
      <c r="BH203" s="3" t="str">
        <f>IF(56&gt;$C203,"",IF($D203=1,EOMONTH(EDATE(Bonds!$H203,6*(56-1)),0),EDATE(Bonds!$H203,6*(56-1))))</f>
        <v/>
      </c>
      <c r="BI203" s="3" t="str">
        <f>IF(57&gt;$C203,"",IF($D203=1,EOMONTH(EDATE(Bonds!$H203,6*(57-1)),0),EDATE(Bonds!$H203,6*(57-1))))</f>
        <v/>
      </c>
      <c r="BJ203" s="3" t="str">
        <f>IF(58&gt;$C203,"",IF($D203=1,EOMONTH(EDATE(Bonds!$H203,6*(58-1)),0),EDATE(Bonds!$H203,6*(58-1))))</f>
        <v/>
      </c>
      <c r="BK203" s="3" t="str">
        <f>IF(59&gt;$C203,"",IF($D203=1,EOMONTH(EDATE(Bonds!$H203,6*(59-1)),0),EDATE(Bonds!$H203,6*(59-1))))</f>
        <v/>
      </c>
      <c r="BL203" s="3" t="str">
        <f>IF(60&gt;$C203,"",IF($D203=1,EOMONTH(EDATE(Bonds!$H203,6*(60-1)),0),EDATE(Bonds!$H203,6*(60-1))))</f>
        <v/>
      </c>
      <c r="BN203" s="7">
        <f t="shared" si="184"/>
        <v>1.9270346903616327</v>
      </c>
      <c r="BO203" s="7">
        <f t="shared" si="185"/>
        <v>1.8884619657981676</v>
      </c>
      <c r="BP203" s="7">
        <f t="shared" si="186"/>
        <v>1.8470229641364893</v>
      </c>
      <c r="BQ203" s="7">
        <f t="shared" si="187"/>
        <v>1.8056524710051083</v>
      </c>
      <c r="BR203" s="7">
        <f t="shared" si="188"/>
        <v>1.7643742983982809</v>
      </c>
      <c r="BS203" s="7">
        <f t="shared" si="189"/>
        <v>1.724679333493524</v>
      </c>
      <c r="BT203" s="7">
        <f t="shared" si="190"/>
        <v>1.6853270413770214</v>
      </c>
      <c r="BU203" s="7">
        <f t="shared" si="191"/>
        <v>1.6475225290998941</v>
      </c>
      <c r="BV203" s="7">
        <f t="shared" si="192"/>
        <v>1.609868395040611</v>
      </c>
      <c r="BW203" s="7">
        <f t="shared" si="193"/>
        <v>82.783214711567098</v>
      </c>
      <c r="BX203" s="7">
        <f t="shared" si="194"/>
        <v>0</v>
      </c>
      <c r="BY203" s="7">
        <f t="shared" si="195"/>
        <v>0</v>
      </c>
      <c r="BZ203" s="7">
        <f t="shared" si="196"/>
        <v>0</v>
      </c>
      <c r="CA203" s="7">
        <f t="shared" si="197"/>
        <v>0</v>
      </c>
      <c r="CB203" s="7">
        <f t="shared" si="198"/>
        <v>0</v>
      </c>
      <c r="CC203" s="7">
        <f t="shared" si="199"/>
        <v>0</v>
      </c>
      <c r="CD203" s="7">
        <f t="shared" si="200"/>
        <v>0</v>
      </c>
      <c r="CE203" s="7">
        <f t="shared" si="201"/>
        <v>0</v>
      </c>
      <c r="CF203" s="7">
        <f t="shared" si="202"/>
        <v>0</v>
      </c>
      <c r="CG203" s="7">
        <f t="shared" si="203"/>
        <v>0</v>
      </c>
      <c r="CH203" s="7">
        <f t="shared" si="204"/>
        <v>0</v>
      </c>
      <c r="CI203" s="7">
        <f t="shared" si="205"/>
        <v>0</v>
      </c>
      <c r="CJ203" s="7">
        <f t="shared" si="206"/>
        <v>0</v>
      </c>
      <c r="CK203" s="7">
        <f t="shared" si="207"/>
        <v>0</v>
      </c>
      <c r="CL203" s="7">
        <f t="shared" si="208"/>
        <v>0</v>
      </c>
      <c r="CM203" s="7">
        <f t="shared" si="209"/>
        <v>0</v>
      </c>
      <c r="CN203" s="7">
        <f t="shared" si="210"/>
        <v>0</v>
      </c>
      <c r="CO203" s="7">
        <f t="shared" si="211"/>
        <v>0</v>
      </c>
      <c r="CP203" s="7">
        <f t="shared" si="212"/>
        <v>0</v>
      </c>
      <c r="CQ203" s="7">
        <f t="shared" si="213"/>
        <v>0</v>
      </c>
      <c r="CR203" s="7">
        <f t="shared" si="214"/>
        <v>0</v>
      </c>
      <c r="CS203" s="7">
        <f t="shared" si="215"/>
        <v>0</v>
      </c>
      <c r="CT203" s="7">
        <f t="shared" si="216"/>
        <v>0</v>
      </c>
      <c r="CU203" s="7">
        <f t="shared" si="217"/>
        <v>0</v>
      </c>
      <c r="CV203" s="7">
        <f t="shared" si="218"/>
        <v>0</v>
      </c>
      <c r="CW203" s="7">
        <f t="shared" si="219"/>
        <v>0</v>
      </c>
      <c r="CX203" s="7">
        <f t="shared" si="220"/>
        <v>0</v>
      </c>
      <c r="CY203" s="7">
        <f t="shared" si="221"/>
        <v>0</v>
      </c>
      <c r="CZ203" s="7">
        <f t="shared" si="222"/>
        <v>0</v>
      </c>
      <c r="DA203" s="7">
        <f t="shared" si="223"/>
        <v>0</v>
      </c>
      <c r="DB203" s="7">
        <f t="shared" si="224"/>
        <v>0</v>
      </c>
      <c r="DC203" s="7">
        <f t="shared" si="225"/>
        <v>0</v>
      </c>
      <c r="DD203" s="7">
        <f t="shared" si="226"/>
        <v>0</v>
      </c>
      <c r="DE203" s="7">
        <f t="shared" si="227"/>
        <v>0</v>
      </c>
      <c r="DF203" s="7">
        <f t="shared" si="228"/>
        <v>0</v>
      </c>
      <c r="DG203" s="7">
        <f t="shared" si="229"/>
        <v>0</v>
      </c>
      <c r="DH203" s="7">
        <f t="shared" si="230"/>
        <v>0</v>
      </c>
      <c r="DI203" s="7">
        <f t="shared" si="231"/>
        <v>0</v>
      </c>
      <c r="DJ203" s="7">
        <f t="shared" si="232"/>
        <v>0</v>
      </c>
      <c r="DK203" s="7">
        <f t="shared" si="233"/>
        <v>0</v>
      </c>
      <c r="DL203" s="7">
        <f t="shared" si="234"/>
        <v>0</v>
      </c>
      <c r="DM203" s="7">
        <f t="shared" si="235"/>
        <v>0</v>
      </c>
      <c r="DN203" s="7">
        <f t="shared" si="236"/>
        <v>0</v>
      </c>
      <c r="DO203" s="7">
        <f t="shared" si="237"/>
        <v>0</v>
      </c>
      <c r="DP203" s="7">
        <f t="shared" si="238"/>
        <v>0</v>
      </c>
      <c r="DQ203" s="7">
        <f t="shared" si="239"/>
        <v>0</v>
      </c>
      <c r="DR203" s="7">
        <f t="shared" si="240"/>
        <v>0</v>
      </c>
      <c r="DS203" s="7">
        <f t="shared" si="241"/>
        <v>0</v>
      </c>
      <c r="DT203" s="7">
        <f t="shared" si="242"/>
        <v>0</v>
      </c>
      <c r="DU203" s="7">
        <f t="shared" si="243"/>
        <v>0</v>
      </c>
    </row>
    <row r="204" spans="1:125" x14ac:dyDescent="0.2">
      <c r="A204" s="3">
        <f>Bonds!A204</f>
        <v>47968</v>
      </c>
      <c r="B204" s="4">
        <f>Bonds!B204</f>
        <v>4.625</v>
      </c>
      <c r="C204">
        <f>Bonds!P204</f>
        <v>10</v>
      </c>
      <c r="D204">
        <f t="shared" si="183"/>
        <v>1</v>
      </c>
      <c r="E204" s="3">
        <f>IF(1&gt;$C204,"",IF($D204=1,EOMONTH(EDATE(Bonds!$H204,6*(1-1)),0),EDATE(Bonds!$H204,6*(1-1))))</f>
        <v>46326</v>
      </c>
      <c r="F204" s="3">
        <f>IF(2&gt;$C204,"",IF($D204=1,EOMONTH(EDATE(Bonds!$H204,6*(2-1)),0),EDATE(Bonds!$H204,6*(2-1))))</f>
        <v>46507</v>
      </c>
      <c r="G204" s="3">
        <f>IF(3&gt;$C204,"",IF($D204=1,EOMONTH(EDATE(Bonds!$H204,6*(3-1)),0),EDATE(Bonds!$H204,6*(3-1))))</f>
        <v>46691</v>
      </c>
      <c r="H204" s="3">
        <f>IF(4&gt;$C204,"",IF($D204=1,EOMONTH(EDATE(Bonds!$H204,6*(4-1)),0),EDATE(Bonds!$H204,6*(4-1))))</f>
        <v>46873</v>
      </c>
      <c r="I204" s="3">
        <f>IF(5&gt;$C204,"",IF($D204=1,EOMONTH(EDATE(Bonds!$H204,6*(5-1)),0),EDATE(Bonds!$H204,6*(5-1))))</f>
        <v>47057</v>
      </c>
      <c r="J204" s="3">
        <f>IF(6&gt;$C204,"",IF($D204=1,EOMONTH(EDATE(Bonds!$H204,6*(6-1)),0),EDATE(Bonds!$H204,6*(6-1))))</f>
        <v>47238</v>
      </c>
      <c r="K204" s="3">
        <f>IF(7&gt;$C204,"",IF($D204=1,EOMONTH(EDATE(Bonds!$H204,6*(7-1)),0),EDATE(Bonds!$H204,6*(7-1))))</f>
        <v>47422</v>
      </c>
      <c r="L204" s="3">
        <f>IF(8&gt;$C204,"",IF($D204=1,EOMONTH(EDATE(Bonds!$H204,6*(8-1)),0),EDATE(Bonds!$H204,6*(8-1))))</f>
        <v>47603</v>
      </c>
      <c r="M204" s="3">
        <f>IF(9&gt;$C204,"",IF($D204=1,EOMONTH(EDATE(Bonds!$H204,6*(9-1)),0),EDATE(Bonds!$H204,6*(9-1))))</f>
        <v>47787</v>
      </c>
      <c r="N204" s="3">
        <f>IF(10&gt;$C204,"",IF($D204=1,EOMONTH(EDATE(Bonds!$H204,6*(10-1)),0),EDATE(Bonds!$H204,6*(10-1))))</f>
        <v>47968</v>
      </c>
      <c r="O204" s="3" t="str">
        <f>IF(11&gt;$C204,"",IF($D204=1,EOMONTH(EDATE(Bonds!$H204,6*(11-1)),0),EDATE(Bonds!$H204,6*(11-1))))</f>
        <v/>
      </c>
      <c r="P204" s="3" t="str">
        <f>IF(12&gt;$C204,"",IF($D204=1,EOMONTH(EDATE(Bonds!$H204,6*(12-1)),0),EDATE(Bonds!$H204,6*(12-1))))</f>
        <v/>
      </c>
      <c r="Q204" s="3" t="str">
        <f>IF(13&gt;$C204,"",IF($D204=1,EOMONTH(EDATE(Bonds!$H204,6*(13-1)),0),EDATE(Bonds!$H204,6*(13-1))))</f>
        <v/>
      </c>
      <c r="R204" s="3" t="str">
        <f>IF(14&gt;$C204,"",IF($D204=1,EOMONTH(EDATE(Bonds!$H204,6*(14-1)),0),EDATE(Bonds!$H204,6*(14-1))))</f>
        <v/>
      </c>
      <c r="S204" s="3" t="str">
        <f>IF(15&gt;$C204,"",IF($D204=1,EOMONTH(EDATE(Bonds!$H204,6*(15-1)),0),EDATE(Bonds!$H204,6*(15-1))))</f>
        <v/>
      </c>
      <c r="T204" s="3" t="str">
        <f>IF(16&gt;$C204,"",IF($D204=1,EOMONTH(EDATE(Bonds!$H204,6*(16-1)),0),EDATE(Bonds!$H204,6*(16-1))))</f>
        <v/>
      </c>
      <c r="U204" s="3" t="str">
        <f>IF(17&gt;$C204,"",IF($D204=1,EOMONTH(EDATE(Bonds!$H204,6*(17-1)),0),EDATE(Bonds!$H204,6*(17-1))))</f>
        <v/>
      </c>
      <c r="V204" s="3" t="str">
        <f>IF(18&gt;$C204,"",IF($D204=1,EOMONTH(EDATE(Bonds!$H204,6*(18-1)),0),EDATE(Bonds!$H204,6*(18-1))))</f>
        <v/>
      </c>
      <c r="W204" s="3" t="str">
        <f>IF(19&gt;$C204,"",IF($D204=1,EOMONTH(EDATE(Bonds!$H204,6*(19-1)),0),EDATE(Bonds!$H204,6*(19-1))))</f>
        <v/>
      </c>
      <c r="X204" s="3" t="str">
        <f>IF(20&gt;$C204,"",IF($D204=1,EOMONTH(EDATE(Bonds!$H204,6*(20-1)),0),EDATE(Bonds!$H204,6*(20-1))))</f>
        <v/>
      </c>
      <c r="Y204" s="3" t="str">
        <f>IF(21&gt;$C204,"",IF($D204=1,EOMONTH(EDATE(Bonds!$H204,6*(21-1)),0),EDATE(Bonds!$H204,6*(21-1))))</f>
        <v/>
      </c>
      <c r="Z204" s="3" t="str">
        <f>IF(22&gt;$C204,"",IF($D204=1,EOMONTH(EDATE(Bonds!$H204,6*(22-1)),0),EDATE(Bonds!$H204,6*(22-1))))</f>
        <v/>
      </c>
      <c r="AA204" s="3" t="str">
        <f>IF(23&gt;$C204,"",IF($D204=1,EOMONTH(EDATE(Bonds!$H204,6*(23-1)),0),EDATE(Bonds!$H204,6*(23-1))))</f>
        <v/>
      </c>
      <c r="AB204" s="3" t="str">
        <f>IF(24&gt;$C204,"",IF($D204=1,EOMONTH(EDATE(Bonds!$H204,6*(24-1)),0),EDATE(Bonds!$H204,6*(24-1))))</f>
        <v/>
      </c>
      <c r="AC204" s="3" t="str">
        <f>IF(25&gt;$C204,"",IF($D204=1,EOMONTH(EDATE(Bonds!$H204,6*(25-1)),0),EDATE(Bonds!$H204,6*(25-1))))</f>
        <v/>
      </c>
      <c r="AD204" s="3" t="str">
        <f>IF(26&gt;$C204,"",IF($D204=1,EOMONTH(EDATE(Bonds!$H204,6*(26-1)),0),EDATE(Bonds!$H204,6*(26-1))))</f>
        <v/>
      </c>
      <c r="AE204" s="3" t="str">
        <f>IF(27&gt;$C204,"",IF($D204=1,EOMONTH(EDATE(Bonds!$H204,6*(27-1)),0),EDATE(Bonds!$H204,6*(27-1))))</f>
        <v/>
      </c>
      <c r="AF204" s="3" t="str">
        <f>IF(28&gt;$C204,"",IF($D204=1,EOMONTH(EDATE(Bonds!$H204,6*(28-1)),0),EDATE(Bonds!$H204,6*(28-1))))</f>
        <v/>
      </c>
      <c r="AG204" s="3" t="str">
        <f>IF(29&gt;$C204,"",IF($D204=1,EOMONTH(EDATE(Bonds!$H204,6*(29-1)),0),EDATE(Bonds!$H204,6*(29-1))))</f>
        <v/>
      </c>
      <c r="AH204" s="3" t="str">
        <f>IF(30&gt;$C204,"",IF($D204=1,EOMONTH(EDATE(Bonds!$H204,6*(30-1)),0),EDATE(Bonds!$H204,6*(30-1))))</f>
        <v/>
      </c>
      <c r="AI204" s="3" t="str">
        <f>IF(31&gt;$C204,"",IF($D204=1,EOMONTH(EDATE(Bonds!$H204,6*(31-1)),0),EDATE(Bonds!$H204,6*(31-1))))</f>
        <v/>
      </c>
      <c r="AJ204" s="3" t="str">
        <f>IF(32&gt;$C204,"",IF($D204=1,EOMONTH(EDATE(Bonds!$H204,6*(32-1)),0),EDATE(Bonds!$H204,6*(32-1))))</f>
        <v/>
      </c>
      <c r="AK204" s="3" t="str">
        <f>IF(33&gt;$C204,"",IF($D204=1,EOMONTH(EDATE(Bonds!$H204,6*(33-1)),0),EDATE(Bonds!$H204,6*(33-1))))</f>
        <v/>
      </c>
      <c r="AL204" s="3" t="str">
        <f>IF(34&gt;$C204,"",IF($D204=1,EOMONTH(EDATE(Bonds!$H204,6*(34-1)),0),EDATE(Bonds!$H204,6*(34-1))))</f>
        <v/>
      </c>
      <c r="AM204" s="3" t="str">
        <f>IF(35&gt;$C204,"",IF($D204=1,EOMONTH(EDATE(Bonds!$H204,6*(35-1)),0),EDATE(Bonds!$H204,6*(35-1))))</f>
        <v/>
      </c>
      <c r="AN204" s="3" t="str">
        <f>IF(36&gt;$C204,"",IF($D204=1,EOMONTH(EDATE(Bonds!$H204,6*(36-1)),0),EDATE(Bonds!$H204,6*(36-1))))</f>
        <v/>
      </c>
      <c r="AO204" s="3" t="str">
        <f>IF(37&gt;$C204,"",IF($D204=1,EOMONTH(EDATE(Bonds!$H204,6*(37-1)),0),EDATE(Bonds!$H204,6*(37-1))))</f>
        <v/>
      </c>
      <c r="AP204" s="3" t="str">
        <f>IF(38&gt;$C204,"",IF($D204=1,EOMONTH(EDATE(Bonds!$H204,6*(38-1)),0),EDATE(Bonds!$H204,6*(38-1))))</f>
        <v/>
      </c>
      <c r="AQ204" s="3" t="str">
        <f>IF(39&gt;$C204,"",IF($D204=1,EOMONTH(EDATE(Bonds!$H204,6*(39-1)),0),EDATE(Bonds!$H204,6*(39-1))))</f>
        <v/>
      </c>
      <c r="AR204" s="3" t="str">
        <f>IF(40&gt;$C204,"",IF($D204=1,EOMONTH(EDATE(Bonds!$H204,6*(40-1)),0),EDATE(Bonds!$H204,6*(40-1))))</f>
        <v/>
      </c>
      <c r="AS204" s="3" t="str">
        <f>IF(41&gt;$C204,"",IF($D204=1,EOMONTH(EDATE(Bonds!$H204,6*(41-1)),0),EDATE(Bonds!$H204,6*(41-1))))</f>
        <v/>
      </c>
      <c r="AT204" s="3" t="str">
        <f>IF(42&gt;$C204,"",IF($D204=1,EOMONTH(EDATE(Bonds!$H204,6*(42-1)),0),EDATE(Bonds!$H204,6*(42-1))))</f>
        <v/>
      </c>
      <c r="AU204" s="3" t="str">
        <f>IF(43&gt;$C204,"",IF($D204=1,EOMONTH(EDATE(Bonds!$H204,6*(43-1)),0),EDATE(Bonds!$H204,6*(43-1))))</f>
        <v/>
      </c>
      <c r="AV204" s="3" t="str">
        <f>IF(44&gt;$C204,"",IF($D204=1,EOMONTH(EDATE(Bonds!$H204,6*(44-1)),0),EDATE(Bonds!$H204,6*(44-1))))</f>
        <v/>
      </c>
      <c r="AW204" s="3" t="str">
        <f>IF(45&gt;$C204,"",IF($D204=1,EOMONTH(EDATE(Bonds!$H204,6*(45-1)),0),EDATE(Bonds!$H204,6*(45-1))))</f>
        <v/>
      </c>
      <c r="AX204" s="3" t="str">
        <f>IF(46&gt;$C204,"",IF($D204=1,EOMONTH(EDATE(Bonds!$H204,6*(46-1)),0),EDATE(Bonds!$H204,6*(46-1))))</f>
        <v/>
      </c>
      <c r="AY204" s="3" t="str">
        <f>IF(47&gt;$C204,"",IF($D204=1,EOMONTH(EDATE(Bonds!$H204,6*(47-1)),0),EDATE(Bonds!$H204,6*(47-1))))</f>
        <v/>
      </c>
      <c r="AZ204" s="3" t="str">
        <f>IF(48&gt;$C204,"",IF($D204=1,EOMONTH(EDATE(Bonds!$H204,6*(48-1)),0),EDATE(Bonds!$H204,6*(48-1))))</f>
        <v/>
      </c>
      <c r="BA204" s="3" t="str">
        <f>IF(49&gt;$C204,"",IF($D204=1,EOMONTH(EDATE(Bonds!$H204,6*(49-1)),0),EDATE(Bonds!$H204,6*(49-1))))</f>
        <v/>
      </c>
      <c r="BB204" s="3" t="str">
        <f>IF(50&gt;$C204,"",IF($D204=1,EOMONTH(EDATE(Bonds!$H204,6*(50-1)),0),EDATE(Bonds!$H204,6*(50-1))))</f>
        <v/>
      </c>
      <c r="BC204" s="3" t="str">
        <f>IF(51&gt;$C204,"",IF($D204=1,EOMONTH(EDATE(Bonds!$H204,6*(51-1)),0),EDATE(Bonds!$H204,6*(51-1))))</f>
        <v/>
      </c>
      <c r="BD204" s="3" t="str">
        <f>IF(52&gt;$C204,"",IF($D204=1,EOMONTH(EDATE(Bonds!$H204,6*(52-1)),0),EDATE(Bonds!$H204,6*(52-1))))</f>
        <v/>
      </c>
      <c r="BE204" s="3" t="str">
        <f>IF(53&gt;$C204,"",IF($D204=1,EOMONTH(EDATE(Bonds!$H204,6*(53-1)),0),EDATE(Bonds!$H204,6*(53-1))))</f>
        <v/>
      </c>
      <c r="BF204" s="3" t="str">
        <f>IF(54&gt;$C204,"",IF($D204=1,EOMONTH(EDATE(Bonds!$H204,6*(54-1)),0),EDATE(Bonds!$H204,6*(54-1))))</f>
        <v/>
      </c>
      <c r="BG204" s="3" t="str">
        <f>IF(55&gt;$C204,"",IF($D204=1,EOMONTH(EDATE(Bonds!$H204,6*(55-1)),0),EDATE(Bonds!$H204,6*(55-1))))</f>
        <v/>
      </c>
      <c r="BH204" s="3" t="str">
        <f>IF(56&gt;$C204,"",IF($D204=1,EOMONTH(EDATE(Bonds!$H204,6*(56-1)),0),EDATE(Bonds!$H204,6*(56-1))))</f>
        <v/>
      </c>
      <c r="BI204" s="3" t="str">
        <f>IF(57&gt;$C204,"",IF($D204=1,EOMONTH(EDATE(Bonds!$H204,6*(57-1)),0),EDATE(Bonds!$H204,6*(57-1))))</f>
        <v/>
      </c>
      <c r="BJ204" s="3" t="str">
        <f>IF(58&gt;$C204,"",IF($D204=1,EOMONTH(EDATE(Bonds!$H204,6*(58-1)),0),EDATE(Bonds!$H204,6*(58-1))))</f>
        <v/>
      </c>
      <c r="BK204" s="3" t="str">
        <f>IF(59&gt;$C204,"",IF($D204=1,EOMONTH(EDATE(Bonds!$H204,6*(59-1)),0),EDATE(Bonds!$H204,6*(59-1))))</f>
        <v/>
      </c>
      <c r="BL204" s="3" t="str">
        <f>IF(60&gt;$C204,"",IF($D204=1,EOMONTH(EDATE(Bonds!$H204,6*(60-1)),0),EDATE(Bonds!$H204,6*(60-1))))</f>
        <v/>
      </c>
      <c r="BN204" s="7">
        <f t="shared" si="184"/>
        <v>2.3000091465606585</v>
      </c>
      <c r="BO204" s="7">
        <f t="shared" si="185"/>
        <v>2.2539707333720065</v>
      </c>
      <c r="BP204" s="7">
        <f t="shared" si="186"/>
        <v>2.2045112797758097</v>
      </c>
      <c r="BQ204" s="7">
        <f t="shared" si="187"/>
        <v>2.1551335944254517</v>
      </c>
      <c r="BR204" s="7">
        <f t="shared" si="188"/>
        <v>2.1058660980882706</v>
      </c>
      <c r="BS204" s="7">
        <f t="shared" si="189"/>
        <v>2.058488236750335</v>
      </c>
      <c r="BT204" s="7">
        <f t="shared" si="190"/>
        <v>2.0115193719661222</v>
      </c>
      <c r="BU204" s="7">
        <f t="shared" si="191"/>
        <v>1.9663978573127767</v>
      </c>
      <c r="BV204" s="7">
        <f t="shared" si="192"/>
        <v>1.9214558263387937</v>
      </c>
      <c r="BW204" s="7">
        <f t="shared" si="193"/>
        <v>83.087751368997758</v>
      </c>
      <c r="BX204" s="7">
        <f t="shared" si="194"/>
        <v>0</v>
      </c>
      <c r="BY204" s="7">
        <f t="shared" si="195"/>
        <v>0</v>
      </c>
      <c r="BZ204" s="7">
        <f t="shared" si="196"/>
        <v>0</v>
      </c>
      <c r="CA204" s="7">
        <f t="shared" si="197"/>
        <v>0</v>
      </c>
      <c r="CB204" s="7">
        <f t="shared" si="198"/>
        <v>0</v>
      </c>
      <c r="CC204" s="7">
        <f t="shared" si="199"/>
        <v>0</v>
      </c>
      <c r="CD204" s="7">
        <f t="shared" si="200"/>
        <v>0</v>
      </c>
      <c r="CE204" s="7">
        <f t="shared" si="201"/>
        <v>0</v>
      </c>
      <c r="CF204" s="7">
        <f t="shared" si="202"/>
        <v>0</v>
      </c>
      <c r="CG204" s="7">
        <f t="shared" si="203"/>
        <v>0</v>
      </c>
      <c r="CH204" s="7">
        <f t="shared" si="204"/>
        <v>0</v>
      </c>
      <c r="CI204" s="7">
        <f t="shared" si="205"/>
        <v>0</v>
      </c>
      <c r="CJ204" s="7">
        <f t="shared" si="206"/>
        <v>0</v>
      </c>
      <c r="CK204" s="7">
        <f t="shared" si="207"/>
        <v>0</v>
      </c>
      <c r="CL204" s="7">
        <f t="shared" si="208"/>
        <v>0</v>
      </c>
      <c r="CM204" s="7">
        <f t="shared" si="209"/>
        <v>0</v>
      </c>
      <c r="CN204" s="7">
        <f t="shared" si="210"/>
        <v>0</v>
      </c>
      <c r="CO204" s="7">
        <f t="shared" si="211"/>
        <v>0</v>
      </c>
      <c r="CP204" s="7">
        <f t="shared" si="212"/>
        <v>0</v>
      </c>
      <c r="CQ204" s="7">
        <f t="shared" si="213"/>
        <v>0</v>
      </c>
      <c r="CR204" s="7">
        <f t="shared" si="214"/>
        <v>0</v>
      </c>
      <c r="CS204" s="7">
        <f t="shared" si="215"/>
        <v>0</v>
      </c>
      <c r="CT204" s="7">
        <f t="shared" si="216"/>
        <v>0</v>
      </c>
      <c r="CU204" s="7">
        <f t="shared" si="217"/>
        <v>0</v>
      </c>
      <c r="CV204" s="7">
        <f t="shared" si="218"/>
        <v>0</v>
      </c>
      <c r="CW204" s="7">
        <f t="shared" si="219"/>
        <v>0</v>
      </c>
      <c r="CX204" s="7">
        <f t="shared" si="220"/>
        <v>0</v>
      </c>
      <c r="CY204" s="7">
        <f t="shared" si="221"/>
        <v>0</v>
      </c>
      <c r="CZ204" s="7">
        <f t="shared" si="222"/>
        <v>0</v>
      </c>
      <c r="DA204" s="7">
        <f t="shared" si="223"/>
        <v>0</v>
      </c>
      <c r="DB204" s="7">
        <f t="shared" si="224"/>
        <v>0</v>
      </c>
      <c r="DC204" s="7">
        <f t="shared" si="225"/>
        <v>0</v>
      </c>
      <c r="DD204" s="7">
        <f t="shared" si="226"/>
        <v>0</v>
      </c>
      <c r="DE204" s="7">
        <f t="shared" si="227"/>
        <v>0</v>
      </c>
      <c r="DF204" s="7">
        <f t="shared" si="228"/>
        <v>0</v>
      </c>
      <c r="DG204" s="7">
        <f t="shared" si="229"/>
        <v>0</v>
      </c>
      <c r="DH204" s="7">
        <f t="shared" si="230"/>
        <v>0</v>
      </c>
      <c r="DI204" s="7">
        <f t="shared" si="231"/>
        <v>0</v>
      </c>
      <c r="DJ204" s="7">
        <f t="shared" si="232"/>
        <v>0</v>
      </c>
      <c r="DK204" s="7">
        <f t="shared" si="233"/>
        <v>0</v>
      </c>
      <c r="DL204" s="7">
        <f t="shared" si="234"/>
        <v>0</v>
      </c>
      <c r="DM204" s="7">
        <f t="shared" si="235"/>
        <v>0</v>
      </c>
      <c r="DN204" s="7">
        <f t="shared" si="236"/>
        <v>0</v>
      </c>
      <c r="DO204" s="7">
        <f t="shared" si="237"/>
        <v>0</v>
      </c>
      <c r="DP204" s="7">
        <f t="shared" si="238"/>
        <v>0</v>
      </c>
      <c r="DQ204" s="7">
        <f t="shared" si="239"/>
        <v>0</v>
      </c>
      <c r="DR204" s="7">
        <f t="shared" si="240"/>
        <v>0</v>
      </c>
      <c r="DS204" s="7">
        <f t="shared" si="241"/>
        <v>0</v>
      </c>
      <c r="DT204" s="7">
        <f t="shared" si="242"/>
        <v>0</v>
      </c>
      <c r="DU204" s="7">
        <f t="shared" si="243"/>
        <v>0</v>
      </c>
    </row>
    <row r="205" spans="1:125" x14ac:dyDescent="0.2">
      <c r="A205" s="3">
        <f>Bonds!A205</f>
        <v>47983</v>
      </c>
      <c r="B205" s="4">
        <f>Bonds!B205</f>
        <v>1.625</v>
      </c>
      <c r="C205">
        <f>Bonds!P205</f>
        <v>10</v>
      </c>
      <c r="D205">
        <f t="shared" si="183"/>
        <v>0</v>
      </c>
      <c r="E205" s="3">
        <f>IF(1&gt;$C205,"",IF($D205=1,EOMONTH(EDATE(Bonds!$H205,6*(1-1)),0),EDATE(Bonds!$H205,6*(1-1))))</f>
        <v>46341</v>
      </c>
      <c r="F205" s="3">
        <f>IF(2&gt;$C205,"",IF($D205=1,EOMONTH(EDATE(Bonds!$H205,6*(2-1)),0),EDATE(Bonds!$H205,6*(2-1))))</f>
        <v>46522</v>
      </c>
      <c r="G205" s="3">
        <f>IF(3&gt;$C205,"",IF($D205=1,EOMONTH(EDATE(Bonds!$H205,6*(3-1)),0),EDATE(Bonds!$H205,6*(3-1))))</f>
        <v>46706</v>
      </c>
      <c r="H205" s="3">
        <f>IF(4&gt;$C205,"",IF($D205=1,EOMONTH(EDATE(Bonds!$H205,6*(4-1)),0),EDATE(Bonds!$H205,6*(4-1))))</f>
        <v>46888</v>
      </c>
      <c r="I205" s="3">
        <f>IF(5&gt;$C205,"",IF($D205=1,EOMONTH(EDATE(Bonds!$H205,6*(5-1)),0),EDATE(Bonds!$H205,6*(5-1))))</f>
        <v>47072</v>
      </c>
      <c r="J205" s="3">
        <f>IF(6&gt;$C205,"",IF($D205=1,EOMONTH(EDATE(Bonds!$H205,6*(6-1)),0),EDATE(Bonds!$H205,6*(6-1))))</f>
        <v>47253</v>
      </c>
      <c r="K205" s="3">
        <f>IF(7&gt;$C205,"",IF($D205=1,EOMONTH(EDATE(Bonds!$H205,6*(7-1)),0),EDATE(Bonds!$H205,6*(7-1))))</f>
        <v>47437</v>
      </c>
      <c r="L205" s="3">
        <f>IF(8&gt;$C205,"",IF($D205=1,EOMONTH(EDATE(Bonds!$H205,6*(8-1)),0),EDATE(Bonds!$H205,6*(8-1))))</f>
        <v>47618</v>
      </c>
      <c r="M205" s="3">
        <f>IF(9&gt;$C205,"",IF($D205=1,EOMONTH(EDATE(Bonds!$H205,6*(9-1)),0),EDATE(Bonds!$H205,6*(9-1))))</f>
        <v>47802</v>
      </c>
      <c r="N205" s="3">
        <f>IF(10&gt;$C205,"",IF($D205=1,EOMONTH(EDATE(Bonds!$H205,6*(10-1)),0),EDATE(Bonds!$H205,6*(10-1))))</f>
        <v>47983</v>
      </c>
      <c r="O205" s="3" t="str">
        <f>IF(11&gt;$C205,"",IF($D205=1,EOMONTH(EDATE(Bonds!$H205,6*(11-1)),0),EDATE(Bonds!$H205,6*(11-1))))</f>
        <v/>
      </c>
      <c r="P205" s="3" t="str">
        <f>IF(12&gt;$C205,"",IF($D205=1,EOMONTH(EDATE(Bonds!$H205,6*(12-1)),0),EDATE(Bonds!$H205,6*(12-1))))</f>
        <v/>
      </c>
      <c r="Q205" s="3" t="str">
        <f>IF(13&gt;$C205,"",IF($D205=1,EOMONTH(EDATE(Bonds!$H205,6*(13-1)),0),EDATE(Bonds!$H205,6*(13-1))))</f>
        <v/>
      </c>
      <c r="R205" s="3" t="str">
        <f>IF(14&gt;$C205,"",IF($D205=1,EOMONTH(EDATE(Bonds!$H205,6*(14-1)),0),EDATE(Bonds!$H205,6*(14-1))))</f>
        <v/>
      </c>
      <c r="S205" s="3" t="str">
        <f>IF(15&gt;$C205,"",IF($D205=1,EOMONTH(EDATE(Bonds!$H205,6*(15-1)),0),EDATE(Bonds!$H205,6*(15-1))))</f>
        <v/>
      </c>
      <c r="T205" s="3" t="str">
        <f>IF(16&gt;$C205,"",IF($D205=1,EOMONTH(EDATE(Bonds!$H205,6*(16-1)),0),EDATE(Bonds!$H205,6*(16-1))))</f>
        <v/>
      </c>
      <c r="U205" s="3" t="str">
        <f>IF(17&gt;$C205,"",IF($D205=1,EOMONTH(EDATE(Bonds!$H205,6*(17-1)),0),EDATE(Bonds!$H205,6*(17-1))))</f>
        <v/>
      </c>
      <c r="V205" s="3" t="str">
        <f>IF(18&gt;$C205,"",IF($D205=1,EOMONTH(EDATE(Bonds!$H205,6*(18-1)),0),EDATE(Bonds!$H205,6*(18-1))))</f>
        <v/>
      </c>
      <c r="W205" s="3" t="str">
        <f>IF(19&gt;$C205,"",IF($D205=1,EOMONTH(EDATE(Bonds!$H205,6*(19-1)),0),EDATE(Bonds!$H205,6*(19-1))))</f>
        <v/>
      </c>
      <c r="X205" s="3" t="str">
        <f>IF(20&gt;$C205,"",IF($D205=1,EOMONTH(EDATE(Bonds!$H205,6*(20-1)),0),EDATE(Bonds!$H205,6*(20-1))))</f>
        <v/>
      </c>
      <c r="Y205" s="3" t="str">
        <f>IF(21&gt;$C205,"",IF($D205=1,EOMONTH(EDATE(Bonds!$H205,6*(21-1)),0),EDATE(Bonds!$H205,6*(21-1))))</f>
        <v/>
      </c>
      <c r="Z205" s="3" t="str">
        <f>IF(22&gt;$C205,"",IF($D205=1,EOMONTH(EDATE(Bonds!$H205,6*(22-1)),0),EDATE(Bonds!$H205,6*(22-1))))</f>
        <v/>
      </c>
      <c r="AA205" s="3" t="str">
        <f>IF(23&gt;$C205,"",IF($D205=1,EOMONTH(EDATE(Bonds!$H205,6*(23-1)),0),EDATE(Bonds!$H205,6*(23-1))))</f>
        <v/>
      </c>
      <c r="AB205" s="3" t="str">
        <f>IF(24&gt;$C205,"",IF($D205=1,EOMONTH(EDATE(Bonds!$H205,6*(24-1)),0),EDATE(Bonds!$H205,6*(24-1))))</f>
        <v/>
      </c>
      <c r="AC205" s="3" t="str">
        <f>IF(25&gt;$C205,"",IF($D205=1,EOMONTH(EDATE(Bonds!$H205,6*(25-1)),0),EDATE(Bonds!$H205,6*(25-1))))</f>
        <v/>
      </c>
      <c r="AD205" s="3" t="str">
        <f>IF(26&gt;$C205,"",IF($D205=1,EOMONTH(EDATE(Bonds!$H205,6*(26-1)),0),EDATE(Bonds!$H205,6*(26-1))))</f>
        <v/>
      </c>
      <c r="AE205" s="3" t="str">
        <f>IF(27&gt;$C205,"",IF($D205=1,EOMONTH(EDATE(Bonds!$H205,6*(27-1)),0),EDATE(Bonds!$H205,6*(27-1))))</f>
        <v/>
      </c>
      <c r="AF205" s="3" t="str">
        <f>IF(28&gt;$C205,"",IF($D205=1,EOMONTH(EDATE(Bonds!$H205,6*(28-1)),0),EDATE(Bonds!$H205,6*(28-1))))</f>
        <v/>
      </c>
      <c r="AG205" s="3" t="str">
        <f>IF(29&gt;$C205,"",IF($D205=1,EOMONTH(EDATE(Bonds!$H205,6*(29-1)),0),EDATE(Bonds!$H205,6*(29-1))))</f>
        <v/>
      </c>
      <c r="AH205" s="3" t="str">
        <f>IF(30&gt;$C205,"",IF($D205=1,EOMONTH(EDATE(Bonds!$H205,6*(30-1)),0),EDATE(Bonds!$H205,6*(30-1))))</f>
        <v/>
      </c>
      <c r="AI205" s="3" t="str">
        <f>IF(31&gt;$C205,"",IF($D205=1,EOMONTH(EDATE(Bonds!$H205,6*(31-1)),0),EDATE(Bonds!$H205,6*(31-1))))</f>
        <v/>
      </c>
      <c r="AJ205" s="3" t="str">
        <f>IF(32&gt;$C205,"",IF($D205=1,EOMONTH(EDATE(Bonds!$H205,6*(32-1)),0),EDATE(Bonds!$H205,6*(32-1))))</f>
        <v/>
      </c>
      <c r="AK205" s="3" t="str">
        <f>IF(33&gt;$C205,"",IF($D205=1,EOMONTH(EDATE(Bonds!$H205,6*(33-1)),0),EDATE(Bonds!$H205,6*(33-1))))</f>
        <v/>
      </c>
      <c r="AL205" s="3" t="str">
        <f>IF(34&gt;$C205,"",IF($D205=1,EOMONTH(EDATE(Bonds!$H205,6*(34-1)),0),EDATE(Bonds!$H205,6*(34-1))))</f>
        <v/>
      </c>
      <c r="AM205" s="3" t="str">
        <f>IF(35&gt;$C205,"",IF($D205=1,EOMONTH(EDATE(Bonds!$H205,6*(35-1)),0),EDATE(Bonds!$H205,6*(35-1))))</f>
        <v/>
      </c>
      <c r="AN205" s="3" t="str">
        <f>IF(36&gt;$C205,"",IF($D205=1,EOMONTH(EDATE(Bonds!$H205,6*(36-1)),0),EDATE(Bonds!$H205,6*(36-1))))</f>
        <v/>
      </c>
      <c r="AO205" s="3" t="str">
        <f>IF(37&gt;$C205,"",IF($D205=1,EOMONTH(EDATE(Bonds!$H205,6*(37-1)),0),EDATE(Bonds!$H205,6*(37-1))))</f>
        <v/>
      </c>
      <c r="AP205" s="3" t="str">
        <f>IF(38&gt;$C205,"",IF($D205=1,EOMONTH(EDATE(Bonds!$H205,6*(38-1)),0),EDATE(Bonds!$H205,6*(38-1))))</f>
        <v/>
      </c>
      <c r="AQ205" s="3" t="str">
        <f>IF(39&gt;$C205,"",IF($D205=1,EOMONTH(EDATE(Bonds!$H205,6*(39-1)),0),EDATE(Bonds!$H205,6*(39-1))))</f>
        <v/>
      </c>
      <c r="AR205" s="3" t="str">
        <f>IF(40&gt;$C205,"",IF($D205=1,EOMONTH(EDATE(Bonds!$H205,6*(40-1)),0),EDATE(Bonds!$H205,6*(40-1))))</f>
        <v/>
      </c>
      <c r="AS205" s="3" t="str">
        <f>IF(41&gt;$C205,"",IF($D205=1,EOMONTH(EDATE(Bonds!$H205,6*(41-1)),0),EDATE(Bonds!$H205,6*(41-1))))</f>
        <v/>
      </c>
      <c r="AT205" s="3" t="str">
        <f>IF(42&gt;$C205,"",IF($D205=1,EOMONTH(EDATE(Bonds!$H205,6*(42-1)),0),EDATE(Bonds!$H205,6*(42-1))))</f>
        <v/>
      </c>
      <c r="AU205" s="3" t="str">
        <f>IF(43&gt;$C205,"",IF($D205=1,EOMONTH(EDATE(Bonds!$H205,6*(43-1)),0),EDATE(Bonds!$H205,6*(43-1))))</f>
        <v/>
      </c>
      <c r="AV205" s="3" t="str">
        <f>IF(44&gt;$C205,"",IF($D205=1,EOMONTH(EDATE(Bonds!$H205,6*(44-1)),0),EDATE(Bonds!$H205,6*(44-1))))</f>
        <v/>
      </c>
      <c r="AW205" s="3" t="str">
        <f>IF(45&gt;$C205,"",IF($D205=1,EOMONTH(EDATE(Bonds!$H205,6*(45-1)),0),EDATE(Bonds!$H205,6*(45-1))))</f>
        <v/>
      </c>
      <c r="AX205" s="3" t="str">
        <f>IF(46&gt;$C205,"",IF($D205=1,EOMONTH(EDATE(Bonds!$H205,6*(46-1)),0),EDATE(Bonds!$H205,6*(46-1))))</f>
        <v/>
      </c>
      <c r="AY205" s="3" t="str">
        <f>IF(47&gt;$C205,"",IF($D205=1,EOMONTH(EDATE(Bonds!$H205,6*(47-1)),0),EDATE(Bonds!$H205,6*(47-1))))</f>
        <v/>
      </c>
      <c r="AZ205" s="3" t="str">
        <f>IF(48&gt;$C205,"",IF($D205=1,EOMONTH(EDATE(Bonds!$H205,6*(48-1)),0),EDATE(Bonds!$H205,6*(48-1))))</f>
        <v/>
      </c>
      <c r="BA205" s="3" t="str">
        <f>IF(49&gt;$C205,"",IF($D205=1,EOMONTH(EDATE(Bonds!$H205,6*(49-1)),0),EDATE(Bonds!$H205,6*(49-1))))</f>
        <v/>
      </c>
      <c r="BB205" s="3" t="str">
        <f>IF(50&gt;$C205,"",IF($D205=1,EOMONTH(EDATE(Bonds!$H205,6*(50-1)),0),EDATE(Bonds!$H205,6*(50-1))))</f>
        <v/>
      </c>
      <c r="BC205" s="3" t="str">
        <f>IF(51&gt;$C205,"",IF($D205=1,EOMONTH(EDATE(Bonds!$H205,6*(51-1)),0),EDATE(Bonds!$H205,6*(51-1))))</f>
        <v/>
      </c>
      <c r="BD205" s="3" t="str">
        <f>IF(52&gt;$C205,"",IF($D205=1,EOMONTH(EDATE(Bonds!$H205,6*(52-1)),0),EDATE(Bonds!$H205,6*(52-1))))</f>
        <v/>
      </c>
      <c r="BE205" s="3" t="str">
        <f>IF(53&gt;$C205,"",IF($D205=1,EOMONTH(EDATE(Bonds!$H205,6*(53-1)),0),EDATE(Bonds!$H205,6*(53-1))))</f>
        <v/>
      </c>
      <c r="BF205" s="3" t="str">
        <f>IF(54&gt;$C205,"",IF($D205=1,EOMONTH(EDATE(Bonds!$H205,6*(54-1)),0),EDATE(Bonds!$H205,6*(54-1))))</f>
        <v/>
      </c>
      <c r="BG205" s="3" t="str">
        <f>IF(55&gt;$C205,"",IF($D205=1,EOMONTH(EDATE(Bonds!$H205,6*(55-1)),0),EDATE(Bonds!$H205,6*(55-1))))</f>
        <v/>
      </c>
      <c r="BH205" s="3" t="str">
        <f>IF(56&gt;$C205,"",IF($D205=1,EOMONTH(EDATE(Bonds!$H205,6*(56-1)),0),EDATE(Bonds!$H205,6*(56-1))))</f>
        <v/>
      </c>
      <c r="BI205" s="3" t="str">
        <f>IF(57&gt;$C205,"",IF($D205=1,EOMONTH(EDATE(Bonds!$H205,6*(57-1)),0),EDATE(Bonds!$H205,6*(57-1))))</f>
        <v/>
      </c>
      <c r="BJ205" s="3" t="str">
        <f>IF(58&gt;$C205,"",IF($D205=1,EOMONTH(EDATE(Bonds!$H205,6*(58-1)),0),EDATE(Bonds!$H205,6*(58-1))))</f>
        <v/>
      </c>
      <c r="BK205" s="3" t="str">
        <f>IF(59&gt;$C205,"",IF($D205=1,EOMONTH(EDATE(Bonds!$H205,6*(59-1)),0),EDATE(Bonds!$H205,6*(59-1))))</f>
        <v/>
      </c>
      <c r="BL205" s="3" t="str">
        <f>IF(60&gt;$C205,"",IF($D205=1,EOMONTH(EDATE(Bonds!$H205,6*(60-1)),0),EDATE(Bonds!$H205,6*(60-1))))</f>
        <v/>
      </c>
      <c r="BN205" s="7">
        <f t="shared" si="184"/>
        <v>0.80683328586251513</v>
      </c>
      <c r="BO205" s="7">
        <f t="shared" si="185"/>
        <v>0.79054055054978767</v>
      </c>
      <c r="BP205" s="7">
        <f t="shared" si="186"/>
        <v>0.77312692319656362</v>
      </c>
      <c r="BQ205" s="7">
        <f t="shared" si="187"/>
        <v>0.75578598992567869</v>
      </c>
      <c r="BR205" s="7">
        <f t="shared" si="188"/>
        <v>0.73850394811412834</v>
      </c>
      <c r="BS205" s="7">
        <f t="shared" si="189"/>
        <v>0.72189162668080253</v>
      </c>
      <c r="BT205" s="7">
        <f t="shared" si="190"/>
        <v>0.70542261518378069</v>
      </c>
      <c r="BU205" s="7">
        <f t="shared" si="191"/>
        <v>0.68959787467712585</v>
      </c>
      <c r="BV205" s="7">
        <f t="shared" si="192"/>
        <v>0.67383127459015435</v>
      </c>
      <c r="BW205" s="7">
        <f t="shared" si="193"/>
        <v>81.713704375448046</v>
      </c>
      <c r="BX205" s="7">
        <f t="shared" si="194"/>
        <v>0</v>
      </c>
      <c r="BY205" s="7">
        <f t="shared" si="195"/>
        <v>0</v>
      </c>
      <c r="BZ205" s="7">
        <f t="shared" si="196"/>
        <v>0</v>
      </c>
      <c r="CA205" s="7">
        <f t="shared" si="197"/>
        <v>0</v>
      </c>
      <c r="CB205" s="7">
        <f t="shared" si="198"/>
        <v>0</v>
      </c>
      <c r="CC205" s="7">
        <f t="shared" si="199"/>
        <v>0</v>
      </c>
      <c r="CD205" s="7">
        <f t="shared" si="200"/>
        <v>0</v>
      </c>
      <c r="CE205" s="7">
        <f t="shared" si="201"/>
        <v>0</v>
      </c>
      <c r="CF205" s="7">
        <f t="shared" si="202"/>
        <v>0</v>
      </c>
      <c r="CG205" s="7">
        <f t="shared" si="203"/>
        <v>0</v>
      </c>
      <c r="CH205" s="7">
        <f t="shared" si="204"/>
        <v>0</v>
      </c>
      <c r="CI205" s="7">
        <f t="shared" si="205"/>
        <v>0</v>
      </c>
      <c r="CJ205" s="7">
        <f t="shared" si="206"/>
        <v>0</v>
      </c>
      <c r="CK205" s="7">
        <f t="shared" si="207"/>
        <v>0</v>
      </c>
      <c r="CL205" s="7">
        <f t="shared" si="208"/>
        <v>0</v>
      </c>
      <c r="CM205" s="7">
        <f t="shared" si="209"/>
        <v>0</v>
      </c>
      <c r="CN205" s="7">
        <f t="shared" si="210"/>
        <v>0</v>
      </c>
      <c r="CO205" s="7">
        <f t="shared" si="211"/>
        <v>0</v>
      </c>
      <c r="CP205" s="7">
        <f t="shared" si="212"/>
        <v>0</v>
      </c>
      <c r="CQ205" s="7">
        <f t="shared" si="213"/>
        <v>0</v>
      </c>
      <c r="CR205" s="7">
        <f t="shared" si="214"/>
        <v>0</v>
      </c>
      <c r="CS205" s="7">
        <f t="shared" si="215"/>
        <v>0</v>
      </c>
      <c r="CT205" s="7">
        <f t="shared" si="216"/>
        <v>0</v>
      </c>
      <c r="CU205" s="7">
        <f t="shared" si="217"/>
        <v>0</v>
      </c>
      <c r="CV205" s="7">
        <f t="shared" si="218"/>
        <v>0</v>
      </c>
      <c r="CW205" s="7">
        <f t="shared" si="219"/>
        <v>0</v>
      </c>
      <c r="CX205" s="7">
        <f t="shared" si="220"/>
        <v>0</v>
      </c>
      <c r="CY205" s="7">
        <f t="shared" si="221"/>
        <v>0</v>
      </c>
      <c r="CZ205" s="7">
        <f t="shared" si="222"/>
        <v>0</v>
      </c>
      <c r="DA205" s="7">
        <f t="shared" si="223"/>
        <v>0</v>
      </c>
      <c r="DB205" s="7">
        <f t="shared" si="224"/>
        <v>0</v>
      </c>
      <c r="DC205" s="7">
        <f t="shared" si="225"/>
        <v>0</v>
      </c>
      <c r="DD205" s="7">
        <f t="shared" si="226"/>
        <v>0</v>
      </c>
      <c r="DE205" s="7">
        <f t="shared" si="227"/>
        <v>0</v>
      </c>
      <c r="DF205" s="7">
        <f t="shared" si="228"/>
        <v>0</v>
      </c>
      <c r="DG205" s="7">
        <f t="shared" si="229"/>
        <v>0</v>
      </c>
      <c r="DH205" s="7">
        <f t="shared" si="230"/>
        <v>0</v>
      </c>
      <c r="DI205" s="7">
        <f t="shared" si="231"/>
        <v>0</v>
      </c>
      <c r="DJ205" s="7">
        <f t="shared" si="232"/>
        <v>0</v>
      </c>
      <c r="DK205" s="7">
        <f t="shared" si="233"/>
        <v>0</v>
      </c>
      <c r="DL205" s="7">
        <f t="shared" si="234"/>
        <v>0</v>
      </c>
      <c r="DM205" s="7">
        <f t="shared" si="235"/>
        <v>0</v>
      </c>
      <c r="DN205" s="7">
        <f t="shared" si="236"/>
        <v>0</v>
      </c>
      <c r="DO205" s="7">
        <f t="shared" si="237"/>
        <v>0</v>
      </c>
      <c r="DP205" s="7">
        <f t="shared" si="238"/>
        <v>0</v>
      </c>
      <c r="DQ205" s="7">
        <f t="shared" si="239"/>
        <v>0</v>
      </c>
      <c r="DR205" s="7">
        <f t="shared" si="240"/>
        <v>0</v>
      </c>
      <c r="DS205" s="7">
        <f t="shared" si="241"/>
        <v>0</v>
      </c>
      <c r="DT205" s="7">
        <f t="shared" si="242"/>
        <v>0</v>
      </c>
      <c r="DU205" s="7">
        <f t="shared" si="243"/>
        <v>0</v>
      </c>
    </row>
    <row r="206" spans="1:125" x14ac:dyDescent="0.2">
      <c r="A206" s="3">
        <f>Bonds!A206</f>
        <v>47999</v>
      </c>
      <c r="B206" s="4">
        <f>Bonds!B206</f>
        <v>4.125</v>
      </c>
      <c r="C206">
        <f>Bonds!P206</f>
        <v>10</v>
      </c>
      <c r="D206">
        <f t="shared" si="183"/>
        <v>1</v>
      </c>
      <c r="E206" s="3">
        <f>IF(1&gt;$C206,"",IF($D206=1,EOMONTH(EDATE(Bonds!$H206,6*(1-1)),0),EDATE(Bonds!$H206,6*(1-1))))</f>
        <v>46356</v>
      </c>
      <c r="F206" s="3">
        <f>IF(2&gt;$C206,"",IF($D206=1,EOMONTH(EDATE(Bonds!$H206,6*(2-1)),0),EDATE(Bonds!$H206,6*(2-1))))</f>
        <v>46538</v>
      </c>
      <c r="G206" s="3">
        <f>IF(3&gt;$C206,"",IF($D206=1,EOMONTH(EDATE(Bonds!$H206,6*(3-1)),0),EDATE(Bonds!$H206,6*(3-1))))</f>
        <v>46721</v>
      </c>
      <c r="H206" s="3">
        <f>IF(4&gt;$C206,"",IF($D206=1,EOMONTH(EDATE(Bonds!$H206,6*(4-1)),0),EDATE(Bonds!$H206,6*(4-1))))</f>
        <v>46904</v>
      </c>
      <c r="I206" s="3">
        <f>IF(5&gt;$C206,"",IF($D206=1,EOMONTH(EDATE(Bonds!$H206,6*(5-1)),0),EDATE(Bonds!$H206,6*(5-1))))</f>
        <v>47087</v>
      </c>
      <c r="J206" s="3">
        <f>IF(6&gt;$C206,"",IF($D206=1,EOMONTH(EDATE(Bonds!$H206,6*(6-1)),0),EDATE(Bonds!$H206,6*(6-1))))</f>
        <v>47269</v>
      </c>
      <c r="K206" s="3">
        <f>IF(7&gt;$C206,"",IF($D206=1,EOMONTH(EDATE(Bonds!$H206,6*(7-1)),0),EDATE(Bonds!$H206,6*(7-1))))</f>
        <v>47452</v>
      </c>
      <c r="L206" s="3">
        <f>IF(8&gt;$C206,"",IF($D206=1,EOMONTH(EDATE(Bonds!$H206,6*(8-1)),0),EDATE(Bonds!$H206,6*(8-1))))</f>
        <v>47634</v>
      </c>
      <c r="M206" s="3">
        <f>IF(9&gt;$C206,"",IF($D206=1,EOMONTH(EDATE(Bonds!$H206,6*(9-1)),0),EDATE(Bonds!$H206,6*(9-1))))</f>
        <v>47817</v>
      </c>
      <c r="N206" s="3">
        <f>IF(10&gt;$C206,"",IF($D206=1,EOMONTH(EDATE(Bonds!$H206,6*(10-1)),0),EDATE(Bonds!$H206,6*(10-1))))</f>
        <v>47999</v>
      </c>
      <c r="O206" s="3" t="str">
        <f>IF(11&gt;$C206,"",IF($D206=1,EOMONTH(EDATE(Bonds!$H206,6*(11-1)),0),EDATE(Bonds!$H206,6*(11-1))))</f>
        <v/>
      </c>
      <c r="P206" s="3" t="str">
        <f>IF(12&gt;$C206,"",IF($D206=1,EOMONTH(EDATE(Bonds!$H206,6*(12-1)),0),EDATE(Bonds!$H206,6*(12-1))))</f>
        <v/>
      </c>
      <c r="Q206" s="3" t="str">
        <f>IF(13&gt;$C206,"",IF($D206=1,EOMONTH(EDATE(Bonds!$H206,6*(13-1)),0),EDATE(Bonds!$H206,6*(13-1))))</f>
        <v/>
      </c>
      <c r="R206" s="3" t="str">
        <f>IF(14&gt;$C206,"",IF($D206=1,EOMONTH(EDATE(Bonds!$H206,6*(14-1)),0),EDATE(Bonds!$H206,6*(14-1))))</f>
        <v/>
      </c>
      <c r="S206" s="3" t="str">
        <f>IF(15&gt;$C206,"",IF($D206=1,EOMONTH(EDATE(Bonds!$H206,6*(15-1)),0),EDATE(Bonds!$H206,6*(15-1))))</f>
        <v/>
      </c>
      <c r="T206" s="3" t="str">
        <f>IF(16&gt;$C206,"",IF($D206=1,EOMONTH(EDATE(Bonds!$H206,6*(16-1)),0),EDATE(Bonds!$H206,6*(16-1))))</f>
        <v/>
      </c>
      <c r="U206" s="3" t="str">
        <f>IF(17&gt;$C206,"",IF($D206=1,EOMONTH(EDATE(Bonds!$H206,6*(17-1)),0),EDATE(Bonds!$H206,6*(17-1))))</f>
        <v/>
      </c>
      <c r="V206" s="3" t="str">
        <f>IF(18&gt;$C206,"",IF($D206=1,EOMONTH(EDATE(Bonds!$H206,6*(18-1)),0),EDATE(Bonds!$H206,6*(18-1))))</f>
        <v/>
      </c>
      <c r="W206" s="3" t="str">
        <f>IF(19&gt;$C206,"",IF($D206=1,EOMONTH(EDATE(Bonds!$H206,6*(19-1)),0),EDATE(Bonds!$H206,6*(19-1))))</f>
        <v/>
      </c>
      <c r="X206" s="3" t="str">
        <f>IF(20&gt;$C206,"",IF($D206=1,EOMONTH(EDATE(Bonds!$H206,6*(20-1)),0),EDATE(Bonds!$H206,6*(20-1))))</f>
        <v/>
      </c>
      <c r="Y206" s="3" t="str">
        <f>IF(21&gt;$C206,"",IF($D206=1,EOMONTH(EDATE(Bonds!$H206,6*(21-1)),0),EDATE(Bonds!$H206,6*(21-1))))</f>
        <v/>
      </c>
      <c r="Z206" s="3" t="str">
        <f>IF(22&gt;$C206,"",IF($D206=1,EOMONTH(EDATE(Bonds!$H206,6*(22-1)),0),EDATE(Bonds!$H206,6*(22-1))))</f>
        <v/>
      </c>
      <c r="AA206" s="3" t="str">
        <f>IF(23&gt;$C206,"",IF($D206=1,EOMONTH(EDATE(Bonds!$H206,6*(23-1)),0),EDATE(Bonds!$H206,6*(23-1))))</f>
        <v/>
      </c>
      <c r="AB206" s="3" t="str">
        <f>IF(24&gt;$C206,"",IF($D206=1,EOMONTH(EDATE(Bonds!$H206,6*(24-1)),0),EDATE(Bonds!$H206,6*(24-1))))</f>
        <v/>
      </c>
      <c r="AC206" s="3" t="str">
        <f>IF(25&gt;$C206,"",IF($D206=1,EOMONTH(EDATE(Bonds!$H206,6*(25-1)),0),EDATE(Bonds!$H206,6*(25-1))))</f>
        <v/>
      </c>
      <c r="AD206" s="3" t="str">
        <f>IF(26&gt;$C206,"",IF($D206=1,EOMONTH(EDATE(Bonds!$H206,6*(26-1)),0),EDATE(Bonds!$H206,6*(26-1))))</f>
        <v/>
      </c>
      <c r="AE206" s="3" t="str">
        <f>IF(27&gt;$C206,"",IF($D206=1,EOMONTH(EDATE(Bonds!$H206,6*(27-1)),0),EDATE(Bonds!$H206,6*(27-1))))</f>
        <v/>
      </c>
      <c r="AF206" s="3" t="str">
        <f>IF(28&gt;$C206,"",IF($D206=1,EOMONTH(EDATE(Bonds!$H206,6*(28-1)),0),EDATE(Bonds!$H206,6*(28-1))))</f>
        <v/>
      </c>
      <c r="AG206" s="3" t="str">
        <f>IF(29&gt;$C206,"",IF($D206=1,EOMONTH(EDATE(Bonds!$H206,6*(29-1)),0),EDATE(Bonds!$H206,6*(29-1))))</f>
        <v/>
      </c>
      <c r="AH206" s="3" t="str">
        <f>IF(30&gt;$C206,"",IF($D206=1,EOMONTH(EDATE(Bonds!$H206,6*(30-1)),0),EDATE(Bonds!$H206,6*(30-1))))</f>
        <v/>
      </c>
      <c r="AI206" s="3" t="str">
        <f>IF(31&gt;$C206,"",IF($D206=1,EOMONTH(EDATE(Bonds!$H206,6*(31-1)),0),EDATE(Bonds!$H206,6*(31-1))))</f>
        <v/>
      </c>
      <c r="AJ206" s="3" t="str">
        <f>IF(32&gt;$C206,"",IF($D206=1,EOMONTH(EDATE(Bonds!$H206,6*(32-1)),0),EDATE(Bonds!$H206,6*(32-1))))</f>
        <v/>
      </c>
      <c r="AK206" s="3" t="str">
        <f>IF(33&gt;$C206,"",IF($D206=1,EOMONTH(EDATE(Bonds!$H206,6*(33-1)),0),EDATE(Bonds!$H206,6*(33-1))))</f>
        <v/>
      </c>
      <c r="AL206" s="3" t="str">
        <f>IF(34&gt;$C206,"",IF($D206=1,EOMONTH(EDATE(Bonds!$H206,6*(34-1)),0),EDATE(Bonds!$H206,6*(34-1))))</f>
        <v/>
      </c>
      <c r="AM206" s="3" t="str">
        <f>IF(35&gt;$C206,"",IF($D206=1,EOMONTH(EDATE(Bonds!$H206,6*(35-1)),0),EDATE(Bonds!$H206,6*(35-1))))</f>
        <v/>
      </c>
      <c r="AN206" s="3" t="str">
        <f>IF(36&gt;$C206,"",IF($D206=1,EOMONTH(EDATE(Bonds!$H206,6*(36-1)),0),EDATE(Bonds!$H206,6*(36-1))))</f>
        <v/>
      </c>
      <c r="AO206" s="3" t="str">
        <f>IF(37&gt;$C206,"",IF($D206=1,EOMONTH(EDATE(Bonds!$H206,6*(37-1)),0),EDATE(Bonds!$H206,6*(37-1))))</f>
        <v/>
      </c>
      <c r="AP206" s="3" t="str">
        <f>IF(38&gt;$C206,"",IF($D206=1,EOMONTH(EDATE(Bonds!$H206,6*(38-1)),0),EDATE(Bonds!$H206,6*(38-1))))</f>
        <v/>
      </c>
      <c r="AQ206" s="3" t="str">
        <f>IF(39&gt;$C206,"",IF($D206=1,EOMONTH(EDATE(Bonds!$H206,6*(39-1)),0),EDATE(Bonds!$H206,6*(39-1))))</f>
        <v/>
      </c>
      <c r="AR206" s="3" t="str">
        <f>IF(40&gt;$C206,"",IF($D206=1,EOMONTH(EDATE(Bonds!$H206,6*(40-1)),0),EDATE(Bonds!$H206,6*(40-1))))</f>
        <v/>
      </c>
      <c r="AS206" s="3" t="str">
        <f>IF(41&gt;$C206,"",IF($D206=1,EOMONTH(EDATE(Bonds!$H206,6*(41-1)),0),EDATE(Bonds!$H206,6*(41-1))))</f>
        <v/>
      </c>
      <c r="AT206" s="3" t="str">
        <f>IF(42&gt;$C206,"",IF($D206=1,EOMONTH(EDATE(Bonds!$H206,6*(42-1)),0),EDATE(Bonds!$H206,6*(42-1))))</f>
        <v/>
      </c>
      <c r="AU206" s="3" t="str">
        <f>IF(43&gt;$C206,"",IF($D206=1,EOMONTH(EDATE(Bonds!$H206,6*(43-1)),0),EDATE(Bonds!$H206,6*(43-1))))</f>
        <v/>
      </c>
      <c r="AV206" s="3" t="str">
        <f>IF(44&gt;$C206,"",IF($D206=1,EOMONTH(EDATE(Bonds!$H206,6*(44-1)),0),EDATE(Bonds!$H206,6*(44-1))))</f>
        <v/>
      </c>
      <c r="AW206" s="3" t="str">
        <f>IF(45&gt;$C206,"",IF($D206=1,EOMONTH(EDATE(Bonds!$H206,6*(45-1)),0),EDATE(Bonds!$H206,6*(45-1))))</f>
        <v/>
      </c>
      <c r="AX206" s="3" t="str">
        <f>IF(46&gt;$C206,"",IF($D206=1,EOMONTH(EDATE(Bonds!$H206,6*(46-1)),0),EDATE(Bonds!$H206,6*(46-1))))</f>
        <v/>
      </c>
      <c r="AY206" s="3" t="str">
        <f>IF(47&gt;$C206,"",IF($D206=1,EOMONTH(EDATE(Bonds!$H206,6*(47-1)),0),EDATE(Bonds!$H206,6*(47-1))))</f>
        <v/>
      </c>
      <c r="AZ206" s="3" t="str">
        <f>IF(48&gt;$C206,"",IF($D206=1,EOMONTH(EDATE(Bonds!$H206,6*(48-1)),0),EDATE(Bonds!$H206,6*(48-1))))</f>
        <v/>
      </c>
      <c r="BA206" s="3" t="str">
        <f>IF(49&gt;$C206,"",IF($D206=1,EOMONTH(EDATE(Bonds!$H206,6*(49-1)),0),EDATE(Bonds!$H206,6*(49-1))))</f>
        <v/>
      </c>
      <c r="BB206" s="3" t="str">
        <f>IF(50&gt;$C206,"",IF($D206=1,EOMONTH(EDATE(Bonds!$H206,6*(50-1)),0),EDATE(Bonds!$H206,6*(50-1))))</f>
        <v/>
      </c>
      <c r="BC206" s="3" t="str">
        <f>IF(51&gt;$C206,"",IF($D206=1,EOMONTH(EDATE(Bonds!$H206,6*(51-1)),0),EDATE(Bonds!$H206,6*(51-1))))</f>
        <v/>
      </c>
      <c r="BD206" s="3" t="str">
        <f>IF(52&gt;$C206,"",IF($D206=1,EOMONTH(EDATE(Bonds!$H206,6*(52-1)),0),EDATE(Bonds!$H206,6*(52-1))))</f>
        <v/>
      </c>
      <c r="BE206" s="3" t="str">
        <f>IF(53&gt;$C206,"",IF($D206=1,EOMONTH(EDATE(Bonds!$H206,6*(53-1)),0),EDATE(Bonds!$H206,6*(53-1))))</f>
        <v/>
      </c>
      <c r="BF206" s="3" t="str">
        <f>IF(54&gt;$C206,"",IF($D206=1,EOMONTH(EDATE(Bonds!$H206,6*(54-1)),0),EDATE(Bonds!$H206,6*(54-1))))</f>
        <v/>
      </c>
      <c r="BG206" s="3" t="str">
        <f>IF(55&gt;$C206,"",IF($D206=1,EOMONTH(EDATE(Bonds!$H206,6*(55-1)),0),EDATE(Bonds!$H206,6*(55-1))))</f>
        <v/>
      </c>
      <c r="BH206" s="3" t="str">
        <f>IF(56&gt;$C206,"",IF($D206=1,EOMONTH(EDATE(Bonds!$H206,6*(56-1)),0),EDATE(Bonds!$H206,6*(56-1))))</f>
        <v/>
      </c>
      <c r="BI206" s="3" t="str">
        <f>IF(57&gt;$C206,"",IF($D206=1,EOMONTH(EDATE(Bonds!$H206,6*(57-1)),0),EDATE(Bonds!$H206,6*(57-1))))</f>
        <v/>
      </c>
      <c r="BJ206" s="3" t="str">
        <f>IF(58&gt;$C206,"",IF($D206=1,EOMONTH(EDATE(Bonds!$H206,6*(58-1)),0),EDATE(Bonds!$H206,6*(58-1))))</f>
        <v/>
      </c>
      <c r="BK206" s="3" t="str">
        <f>IF(59&gt;$C206,"",IF($D206=1,EOMONTH(EDATE(Bonds!$H206,6*(59-1)),0),EDATE(Bonds!$H206,6*(59-1))))</f>
        <v/>
      </c>
      <c r="BL206" s="3" t="str">
        <f>IF(60&gt;$C206,"",IF($D206=1,EOMONTH(EDATE(Bonds!$H206,6*(60-1)),0),EDATE(Bonds!$H206,6*(60-1))))</f>
        <v/>
      </c>
      <c r="BN206" s="7">
        <f t="shared" si="184"/>
        <v>2.0448353199365781</v>
      </c>
      <c r="BO206" s="7">
        <f t="shared" si="185"/>
        <v>2.0029641290450422</v>
      </c>
      <c r="BP206" s="7">
        <f t="shared" si="186"/>
        <v>1.958918722869655</v>
      </c>
      <c r="BQ206" s="7">
        <f t="shared" si="187"/>
        <v>1.9146853059634767</v>
      </c>
      <c r="BR206" s="7">
        <f t="shared" si="188"/>
        <v>1.871129716687074</v>
      </c>
      <c r="BS206" s="7">
        <f t="shared" si="189"/>
        <v>1.8288169074094875</v>
      </c>
      <c r="BT206" s="7">
        <f t="shared" si="190"/>
        <v>1.7873250595699033</v>
      </c>
      <c r="BU206" s="7">
        <f t="shared" si="191"/>
        <v>1.7470072994461914</v>
      </c>
      <c r="BV206" s="7">
        <f t="shared" si="192"/>
        <v>1.7072630021667083</v>
      </c>
      <c r="BW206" s="7">
        <f t="shared" si="193"/>
        <v>82.558719998248378</v>
      </c>
      <c r="BX206" s="7">
        <f t="shared" si="194"/>
        <v>0</v>
      </c>
      <c r="BY206" s="7">
        <f t="shared" si="195"/>
        <v>0</v>
      </c>
      <c r="BZ206" s="7">
        <f t="shared" si="196"/>
        <v>0</v>
      </c>
      <c r="CA206" s="7">
        <f t="shared" si="197"/>
        <v>0</v>
      </c>
      <c r="CB206" s="7">
        <f t="shared" si="198"/>
        <v>0</v>
      </c>
      <c r="CC206" s="7">
        <f t="shared" si="199"/>
        <v>0</v>
      </c>
      <c r="CD206" s="7">
        <f t="shared" si="200"/>
        <v>0</v>
      </c>
      <c r="CE206" s="7">
        <f t="shared" si="201"/>
        <v>0</v>
      </c>
      <c r="CF206" s="7">
        <f t="shared" si="202"/>
        <v>0</v>
      </c>
      <c r="CG206" s="7">
        <f t="shared" si="203"/>
        <v>0</v>
      </c>
      <c r="CH206" s="7">
        <f t="shared" si="204"/>
        <v>0</v>
      </c>
      <c r="CI206" s="7">
        <f t="shared" si="205"/>
        <v>0</v>
      </c>
      <c r="CJ206" s="7">
        <f t="shared" si="206"/>
        <v>0</v>
      </c>
      <c r="CK206" s="7">
        <f t="shared" si="207"/>
        <v>0</v>
      </c>
      <c r="CL206" s="7">
        <f t="shared" si="208"/>
        <v>0</v>
      </c>
      <c r="CM206" s="7">
        <f t="shared" si="209"/>
        <v>0</v>
      </c>
      <c r="CN206" s="7">
        <f t="shared" si="210"/>
        <v>0</v>
      </c>
      <c r="CO206" s="7">
        <f t="shared" si="211"/>
        <v>0</v>
      </c>
      <c r="CP206" s="7">
        <f t="shared" si="212"/>
        <v>0</v>
      </c>
      <c r="CQ206" s="7">
        <f t="shared" si="213"/>
        <v>0</v>
      </c>
      <c r="CR206" s="7">
        <f t="shared" si="214"/>
        <v>0</v>
      </c>
      <c r="CS206" s="7">
        <f t="shared" si="215"/>
        <v>0</v>
      </c>
      <c r="CT206" s="7">
        <f t="shared" si="216"/>
        <v>0</v>
      </c>
      <c r="CU206" s="7">
        <f t="shared" si="217"/>
        <v>0</v>
      </c>
      <c r="CV206" s="7">
        <f t="shared" si="218"/>
        <v>0</v>
      </c>
      <c r="CW206" s="7">
        <f t="shared" si="219"/>
        <v>0</v>
      </c>
      <c r="CX206" s="7">
        <f t="shared" si="220"/>
        <v>0</v>
      </c>
      <c r="CY206" s="7">
        <f t="shared" si="221"/>
        <v>0</v>
      </c>
      <c r="CZ206" s="7">
        <f t="shared" si="222"/>
        <v>0</v>
      </c>
      <c r="DA206" s="7">
        <f t="shared" si="223"/>
        <v>0</v>
      </c>
      <c r="DB206" s="7">
        <f t="shared" si="224"/>
        <v>0</v>
      </c>
      <c r="DC206" s="7">
        <f t="shared" si="225"/>
        <v>0</v>
      </c>
      <c r="DD206" s="7">
        <f t="shared" si="226"/>
        <v>0</v>
      </c>
      <c r="DE206" s="7">
        <f t="shared" si="227"/>
        <v>0</v>
      </c>
      <c r="DF206" s="7">
        <f t="shared" si="228"/>
        <v>0</v>
      </c>
      <c r="DG206" s="7">
        <f t="shared" si="229"/>
        <v>0</v>
      </c>
      <c r="DH206" s="7">
        <f t="shared" si="230"/>
        <v>0</v>
      </c>
      <c r="DI206" s="7">
        <f t="shared" si="231"/>
        <v>0</v>
      </c>
      <c r="DJ206" s="7">
        <f t="shared" si="232"/>
        <v>0</v>
      </c>
      <c r="DK206" s="7">
        <f t="shared" si="233"/>
        <v>0</v>
      </c>
      <c r="DL206" s="7">
        <f t="shared" si="234"/>
        <v>0</v>
      </c>
      <c r="DM206" s="7">
        <f t="shared" si="235"/>
        <v>0</v>
      </c>
      <c r="DN206" s="7">
        <f t="shared" si="236"/>
        <v>0</v>
      </c>
      <c r="DO206" s="7">
        <f t="shared" si="237"/>
        <v>0</v>
      </c>
      <c r="DP206" s="7">
        <f t="shared" si="238"/>
        <v>0</v>
      </c>
      <c r="DQ206" s="7">
        <f t="shared" si="239"/>
        <v>0</v>
      </c>
      <c r="DR206" s="7">
        <f t="shared" si="240"/>
        <v>0</v>
      </c>
      <c r="DS206" s="7">
        <f t="shared" si="241"/>
        <v>0</v>
      </c>
      <c r="DT206" s="7">
        <f t="shared" si="242"/>
        <v>0</v>
      </c>
      <c r="DU206" s="7">
        <f t="shared" si="243"/>
        <v>0</v>
      </c>
    </row>
    <row r="207" spans="1:125" x14ac:dyDescent="0.2">
      <c r="A207" s="3">
        <f>Bonds!A207</f>
        <v>47999</v>
      </c>
      <c r="B207" s="4">
        <f>Bonds!B207</f>
        <v>4.625</v>
      </c>
      <c r="C207">
        <f>Bonds!P207</f>
        <v>10</v>
      </c>
      <c r="D207">
        <f t="shared" si="183"/>
        <v>1</v>
      </c>
      <c r="E207" s="3">
        <f>IF(1&gt;$C207,"",IF($D207=1,EOMONTH(EDATE(Bonds!$H207,6*(1-1)),0),EDATE(Bonds!$H207,6*(1-1))))</f>
        <v>46356</v>
      </c>
      <c r="F207" s="3">
        <f>IF(2&gt;$C207,"",IF($D207=1,EOMONTH(EDATE(Bonds!$H207,6*(2-1)),0),EDATE(Bonds!$H207,6*(2-1))))</f>
        <v>46538</v>
      </c>
      <c r="G207" s="3">
        <f>IF(3&gt;$C207,"",IF($D207=1,EOMONTH(EDATE(Bonds!$H207,6*(3-1)),0),EDATE(Bonds!$H207,6*(3-1))))</f>
        <v>46721</v>
      </c>
      <c r="H207" s="3">
        <f>IF(4&gt;$C207,"",IF($D207=1,EOMONTH(EDATE(Bonds!$H207,6*(4-1)),0),EDATE(Bonds!$H207,6*(4-1))))</f>
        <v>46904</v>
      </c>
      <c r="I207" s="3">
        <f>IF(5&gt;$C207,"",IF($D207=1,EOMONTH(EDATE(Bonds!$H207,6*(5-1)),0),EDATE(Bonds!$H207,6*(5-1))))</f>
        <v>47087</v>
      </c>
      <c r="J207" s="3">
        <f>IF(6&gt;$C207,"",IF($D207=1,EOMONTH(EDATE(Bonds!$H207,6*(6-1)),0),EDATE(Bonds!$H207,6*(6-1))))</f>
        <v>47269</v>
      </c>
      <c r="K207" s="3">
        <f>IF(7&gt;$C207,"",IF($D207=1,EOMONTH(EDATE(Bonds!$H207,6*(7-1)),0),EDATE(Bonds!$H207,6*(7-1))))</f>
        <v>47452</v>
      </c>
      <c r="L207" s="3">
        <f>IF(8&gt;$C207,"",IF($D207=1,EOMONTH(EDATE(Bonds!$H207,6*(8-1)),0),EDATE(Bonds!$H207,6*(8-1))))</f>
        <v>47634</v>
      </c>
      <c r="M207" s="3">
        <f>IF(9&gt;$C207,"",IF($D207=1,EOMONTH(EDATE(Bonds!$H207,6*(9-1)),0),EDATE(Bonds!$H207,6*(9-1))))</f>
        <v>47817</v>
      </c>
      <c r="N207" s="3">
        <f>IF(10&gt;$C207,"",IF($D207=1,EOMONTH(EDATE(Bonds!$H207,6*(10-1)),0),EDATE(Bonds!$H207,6*(10-1))))</f>
        <v>47999</v>
      </c>
      <c r="O207" s="3" t="str">
        <f>IF(11&gt;$C207,"",IF($D207=1,EOMONTH(EDATE(Bonds!$H207,6*(11-1)),0),EDATE(Bonds!$H207,6*(11-1))))</f>
        <v/>
      </c>
      <c r="P207" s="3" t="str">
        <f>IF(12&gt;$C207,"",IF($D207=1,EOMONTH(EDATE(Bonds!$H207,6*(12-1)),0),EDATE(Bonds!$H207,6*(12-1))))</f>
        <v/>
      </c>
      <c r="Q207" s="3" t="str">
        <f>IF(13&gt;$C207,"",IF($D207=1,EOMONTH(EDATE(Bonds!$H207,6*(13-1)),0),EDATE(Bonds!$H207,6*(13-1))))</f>
        <v/>
      </c>
      <c r="R207" s="3" t="str">
        <f>IF(14&gt;$C207,"",IF($D207=1,EOMONTH(EDATE(Bonds!$H207,6*(14-1)),0),EDATE(Bonds!$H207,6*(14-1))))</f>
        <v/>
      </c>
      <c r="S207" s="3" t="str">
        <f>IF(15&gt;$C207,"",IF($D207=1,EOMONTH(EDATE(Bonds!$H207,6*(15-1)),0),EDATE(Bonds!$H207,6*(15-1))))</f>
        <v/>
      </c>
      <c r="T207" s="3" t="str">
        <f>IF(16&gt;$C207,"",IF($D207=1,EOMONTH(EDATE(Bonds!$H207,6*(16-1)),0),EDATE(Bonds!$H207,6*(16-1))))</f>
        <v/>
      </c>
      <c r="U207" s="3" t="str">
        <f>IF(17&gt;$C207,"",IF($D207=1,EOMONTH(EDATE(Bonds!$H207,6*(17-1)),0),EDATE(Bonds!$H207,6*(17-1))))</f>
        <v/>
      </c>
      <c r="V207" s="3" t="str">
        <f>IF(18&gt;$C207,"",IF($D207=1,EOMONTH(EDATE(Bonds!$H207,6*(18-1)),0),EDATE(Bonds!$H207,6*(18-1))))</f>
        <v/>
      </c>
      <c r="W207" s="3" t="str">
        <f>IF(19&gt;$C207,"",IF($D207=1,EOMONTH(EDATE(Bonds!$H207,6*(19-1)),0),EDATE(Bonds!$H207,6*(19-1))))</f>
        <v/>
      </c>
      <c r="X207" s="3" t="str">
        <f>IF(20&gt;$C207,"",IF($D207=1,EOMONTH(EDATE(Bonds!$H207,6*(20-1)),0),EDATE(Bonds!$H207,6*(20-1))))</f>
        <v/>
      </c>
      <c r="Y207" s="3" t="str">
        <f>IF(21&gt;$C207,"",IF($D207=1,EOMONTH(EDATE(Bonds!$H207,6*(21-1)),0),EDATE(Bonds!$H207,6*(21-1))))</f>
        <v/>
      </c>
      <c r="Z207" s="3" t="str">
        <f>IF(22&gt;$C207,"",IF($D207=1,EOMONTH(EDATE(Bonds!$H207,6*(22-1)),0),EDATE(Bonds!$H207,6*(22-1))))</f>
        <v/>
      </c>
      <c r="AA207" s="3" t="str">
        <f>IF(23&gt;$C207,"",IF($D207=1,EOMONTH(EDATE(Bonds!$H207,6*(23-1)),0),EDATE(Bonds!$H207,6*(23-1))))</f>
        <v/>
      </c>
      <c r="AB207" s="3" t="str">
        <f>IF(24&gt;$C207,"",IF($D207=1,EOMONTH(EDATE(Bonds!$H207,6*(24-1)),0),EDATE(Bonds!$H207,6*(24-1))))</f>
        <v/>
      </c>
      <c r="AC207" s="3" t="str">
        <f>IF(25&gt;$C207,"",IF($D207=1,EOMONTH(EDATE(Bonds!$H207,6*(25-1)),0),EDATE(Bonds!$H207,6*(25-1))))</f>
        <v/>
      </c>
      <c r="AD207" s="3" t="str">
        <f>IF(26&gt;$C207,"",IF($D207=1,EOMONTH(EDATE(Bonds!$H207,6*(26-1)),0),EDATE(Bonds!$H207,6*(26-1))))</f>
        <v/>
      </c>
      <c r="AE207" s="3" t="str">
        <f>IF(27&gt;$C207,"",IF($D207=1,EOMONTH(EDATE(Bonds!$H207,6*(27-1)),0),EDATE(Bonds!$H207,6*(27-1))))</f>
        <v/>
      </c>
      <c r="AF207" s="3" t="str">
        <f>IF(28&gt;$C207,"",IF($D207=1,EOMONTH(EDATE(Bonds!$H207,6*(28-1)),0),EDATE(Bonds!$H207,6*(28-1))))</f>
        <v/>
      </c>
      <c r="AG207" s="3" t="str">
        <f>IF(29&gt;$C207,"",IF($D207=1,EOMONTH(EDATE(Bonds!$H207,6*(29-1)),0),EDATE(Bonds!$H207,6*(29-1))))</f>
        <v/>
      </c>
      <c r="AH207" s="3" t="str">
        <f>IF(30&gt;$C207,"",IF($D207=1,EOMONTH(EDATE(Bonds!$H207,6*(30-1)),0),EDATE(Bonds!$H207,6*(30-1))))</f>
        <v/>
      </c>
      <c r="AI207" s="3" t="str">
        <f>IF(31&gt;$C207,"",IF($D207=1,EOMONTH(EDATE(Bonds!$H207,6*(31-1)),0),EDATE(Bonds!$H207,6*(31-1))))</f>
        <v/>
      </c>
      <c r="AJ207" s="3" t="str">
        <f>IF(32&gt;$C207,"",IF($D207=1,EOMONTH(EDATE(Bonds!$H207,6*(32-1)),0),EDATE(Bonds!$H207,6*(32-1))))</f>
        <v/>
      </c>
      <c r="AK207" s="3" t="str">
        <f>IF(33&gt;$C207,"",IF($D207=1,EOMONTH(EDATE(Bonds!$H207,6*(33-1)),0),EDATE(Bonds!$H207,6*(33-1))))</f>
        <v/>
      </c>
      <c r="AL207" s="3" t="str">
        <f>IF(34&gt;$C207,"",IF($D207=1,EOMONTH(EDATE(Bonds!$H207,6*(34-1)),0),EDATE(Bonds!$H207,6*(34-1))))</f>
        <v/>
      </c>
      <c r="AM207" s="3" t="str">
        <f>IF(35&gt;$C207,"",IF($D207=1,EOMONTH(EDATE(Bonds!$H207,6*(35-1)),0),EDATE(Bonds!$H207,6*(35-1))))</f>
        <v/>
      </c>
      <c r="AN207" s="3" t="str">
        <f>IF(36&gt;$C207,"",IF($D207=1,EOMONTH(EDATE(Bonds!$H207,6*(36-1)),0),EDATE(Bonds!$H207,6*(36-1))))</f>
        <v/>
      </c>
      <c r="AO207" s="3" t="str">
        <f>IF(37&gt;$C207,"",IF($D207=1,EOMONTH(EDATE(Bonds!$H207,6*(37-1)),0),EDATE(Bonds!$H207,6*(37-1))))</f>
        <v/>
      </c>
      <c r="AP207" s="3" t="str">
        <f>IF(38&gt;$C207,"",IF($D207=1,EOMONTH(EDATE(Bonds!$H207,6*(38-1)),0),EDATE(Bonds!$H207,6*(38-1))))</f>
        <v/>
      </c>
      <c r="AQ207" s="3" t="str">
        <f>IF(39&gt;$C207,"",IF($D207=1,EOMONTH(EDATE(Bonds!$H207,6*(39-1)),0),EDATE(Bonds!$H207,6*(39-1))))</f>
        <v/>
      </c>
      <c r="AR207" s="3" t="str">
        <f>IF(40&gt;$C207,"",IF($D207=1,EOMONTH(EDATE(Bonds!$H207,6*(40-1)),0),EDATE(Bonds!$H207,6*(40-1))))</f>
        <v/>
      </c>
      <c r="AS207" s="3" t="str">
        <f>IF(41&gt;$C207,"",IF($D207=1,EOMONTH(EDATE(Bonds!$H207,6*(41-1)),0),EDATE(Bonds!$H207,6*(41-1))))</f>
        <v/>
      </c>
      <c r="AT207" s="3" t="str">
        <f>IF(42&gt;$C207,"",IF($D207=1,EOMONTH(EDATE(Bonds!$H207,6*(42-1)),0),EDATE(Bonds!$H207,6*(42-1))))</f>
        <v/>
      </c>
      <c r="AU207" s="3" t="str">
        <f>IF(43&gt;$C207,"",IF($D207=1,EOMONTH(EDATE(Bonds!$H207,6*(43-1)),0),EDATE(Bonds!$H207,6*(43-1))))</f>
        <v/>
      </c>
      <c r="AV207" s="3" t="str">
        <f>IF(44&gt;$C207,"",IF($D207=1,EOMONTH(EDATE(Bonds!$H207,6*(44-1)),0),EDATE(Bonds!$H207,6*(44-1))))</f>
        <v/>
      </c>
      <c r="AW207" s="3" t="str">
        <f>IF(45&gt;$C207,"",IF($D207=1,EOMONTH(EDATE(Bonds!$H207,6*(45-1)),0),EDATE(Bonds!$H207,6*(45-1))))</f>
        <v/>
      </c>
      <c r="AX207" s="3" t="str">
        <f>IF(46&gt;$C207,"",IF($D207=1,EOMONTH(EDATE(Bonds!$H207,6*(46-1)),0),EDATE(Bonds!$H207,6*(46-1))))</f>
        <v/>
      </c>
      <c r="AY207" s="3" t="str">
        <f>IF(47&gt;$C207,"",IF($D207=1,EOMONTH(EDATE(Bonds!$H207,6*(47-1)),0),EDATE(Bonds!$H207,6*(47-1))))</f>
        <v/>
      </c>
      <c r="AZ207" s="3" t="str">
        <f>IF(48&gt;$C207,"",IF($D207=1,EOMONTH(EDATE(Bonds!$H207,6*(48-1)),0),EDATE(Bonds!$H207,6*(48-1))))</f>
        <v/>
      </c>
      <c r="BA207" s="3" t="str">
        <f>IF(49&gt;$C207,"",IF($D207=1,EOMONTH(EDATE(Bonds!$H207,6*(49-1)),0),EDATE(Bonds!$H207,6*(49-1))))</f>
        <v/>
      </c>
      <c r="BB207" s="3" t="str">
        <f>IF(50&gt;$C207,"",IF($D207=1,EOMONTH(EDATE(Bonds!$H207,6*(50-1)),0),EDATE(Bonds!$H207,6*(50-1))))</f>
        <v/>
      </c>
      <c r="BC207" s="3" t="str">
        <f>IF(51&gt;$C207,"",IF($D207=1,EOMONTH(EDATE(Bonds!$H207,6*(51-1)),0),EDATE(Bonds!$H207,6*(51-1))))</f>
        <v/>
      </c>
      <c r="BD207" s="3" t="str">
        <f>IF(52&gt;$C207,"",IF($D207=1,EOMONTH(EDATE(Bonds!$H207,6*(52-1)),0),EDATE(Bonds!$H207,6*(52-1))))</f>
        <v/>
      </c>
      <c r="BE207" s="3" t="str">
        <f>IF(53&gt;$C207,"",IF($D207=1,EOMONTH(EDATE(Bonds!$H207,6*(53-1)),0),EDATE(Bonds!$H207,6*(53-1))))</f>
        <v/>
      </c>
      <c r="BF207" s="3" t="str">
        <f>IF(54&gt;$C207,"",IF($D207=1,EOMONTH(EDATE(Bonds!$H207,6*(54-1)),0),EDATE(Bonds!$H207,6*(54-1))))</f>
        <v/>
      </c>
      <c r="BG207" s="3" t="str">
        <f>IF(55&gt;$C207,"",IF($D207=1,EOMONTH(EDATE(Bonds!$H207,6*(55-1)),0),EDATE(Bonds!$H207,6*(55-1))))</f>
        <v/>
      </c>
      <c r="BH207" s="3" t="str">
        <f>IF(56&gt;$C207,"",IF($D207=1,EOMONTH(EDATE(Bonds!$H207,6*(56-1)),0),EDATE(Bonds!$H207,6*(56-1))))</f>
        <v/>
      </c>
      <c r="BI207" s="3" t="str">
        <f>IF(57&gt;$C207,"",IF($D207=1,EOMONTH(EDATE(Bonds!$H207,6*(57-1)),0),EDATE(Bonds!$H207,6*(57-1))))</f>
        <v/>
      </c>
      <c r="BJ207" s="3" t="str">
        <f>IF(58&gt;$C207,"",IF($D207=1,EOMONTH(EDATE(Bonds!$H207,6*(58-1)),0),EDATE(Bonds!$H207,6*(58-1))))</f>
        <v/>
      </c>
      <c r="BK207" s="3" t="str">
        <f>IF(59&gt;$C207,"",IF($D207=1,EOMONTH(EDATE(Bonds!$H207,6*(59-1)),0),EDATE(Bonds!$H207,6*(59-1))))</f>
        <v/>
      </c>
      <c r="BL207" s="3" t="str">
        <f>IF(60&gt;$C207,"",IF($D207=1,EOMONTH(EDATE(Bonds!$H207,6*(60-1)),0),EDATE(Bonds!$H207,6*(60-1))))</f>
        <v/>
      </c>
      <c r="BN207" s="7">
        <f t="shared" si="184"/>
        <v>2.2926941465955575</v>
      </c>
      <c r="BO207" s="7">
        <f t="shared" si="185"/>
        <v>2.2457476598383805</v>
      </c>
      <c r="BP207" s="7">
        <f t="shared" si="186"/>
        <v>2.1963634165508252</v>
      </c>
      <c r="BQ207" s="7">
        <f t="shared" si="187"/>
        <v>2.1467683733529892</v>
      </c>
      <c r="BR207" s="7">
        <f t="shared" si="188"/>
        <v>2.0979333187097495</v>
      </c>
      <c r="BS207" s="7">
        <f t="shared" si="189"/>
        <v>2.0504916840651832</v>
      </c>
      <c r="BT207" s="7">
        <f t="shared" si="190"/>
        <v>2.003970521335952</v>
      </c>
      <c r="BU207" s="7">
        <f t="shared" si="191"/>
        <v>1.9587657599851238</v>
      </c>
      <c r="BV207" s="7">
        <f t="shared" si="192"/>
        <v>1.9142039721263093</v>
      </c>
      <c r="BW207" s="7">
        <f t="shared" si="193"/>
        <v>82.760945889242251</v>
      </c>
      <c r="BX207" s="7">
        <f t="shared" si="194"/>
        <v>0</v>
      </c>
      <c r="BY207" s="7">
        <f t="shared" si="195"/>
        <v>0</v>
      </c>
      <c r="BZ207" s="7">
        <f t="shared" si="196"/>
        <v>0</v>
      </c>
      <c r="CA207" s="7">
        <f t="shared" si="197"/>
        <v>0</v>
      </c>
      <c r="CB207" s="7">
        <f t="shared" si="198"/>
        <v>0</v>
      </c>
      <c r="CC207" s="7">
        <f t="shared" si="199"/>
        <v>0</v>
      </c>
      <c r="CD207" s="7">
        <f t="shared" si="200"/>
        <v>0</v>
      </c>
      <c r="CE207" s="7">
        <f t="shared" si="201"/>
        <v>0</v>
      </c>
      <c r="CF207" s="7">
        <f t="shared" si="202"/>
        <v>0</v>
      </c>
      <c r="CG207" s="7">
        <f t="shared" si="203"/>
        <v>0</v>
      </c>
      <c r="CH207" s="7">
        <f t="shared" si="204"/>
        <v>0</v>
      </c>
      <c r="CI207" s="7">
        <f t="shared" si="205"/>
        <v>0</v>
      </c>
      <c r="CJ207" s="7">
        <f t="shared" si="206"/>
        <v>0</v>
      </c>
      <c r="CK207" s="7">
        <f t="shared" si="207"/>
        <v>0</v>
      </c>
      <c r="CL207" s="7">
        <f t="shared" si="208"/>
        <v>0</v>
      </c>
      <c r="CM207" s="7">
        <f t="shared" si="209"/>
        <v>0</v>
      </c>
      <c r="CN207" s="7">
        <f t="shared" si="210"/>
        <v>0</v>
      </c>
      <c r="CO207" s="7">
        <f t="shared" si="211"/>
        <v>0</v>
      </c>
      <c r="CP207" s="7">
        <f t="shared" si="212"/>
        <v>0</v>
      </c>
      <c r="CQ207" s="7">
        <f t="shared" si="213"/>
        <v>0</v>
      </c>
      <c r="CR207" s="7">
        <f t="shared" si="214"/>
        <v>0</v>
      </c>
      <c r="CS207" s="7">
        <f t="shared" si="215"/>
        <v>0</v>
      </c>
      <c r="CT207" s="7">
        <f t="shared" si="216"/>
        <v>0</v>
      </c>
      <c r="CU207" s="7">
        <f t="shared" si="217"/>
        <v>0</v>
      </c>
      <c r="CV207" s="7">
        <f t="shared" si="218"/>
        <v>0</v>
      </c>
      <c r="CW207" s="7">
        <f t="shared" si="219"/>
        <v>0</v>
      </c>
      <c r="CX207" s="7">
        <f t="shared" si="220"/>
        <v>0</v>
      </c>
      <c r="CY207" s="7">
        <f t="shared" si="221"/>
        <v>0</v>
      </c>
      <c r="CZ207" s="7">
        <f t="shared" si="222"/>
        <v>0</v>
      </c>
      <c r="DA207" s="7">
        <f t="shared" si="223"/>
        <v>0</v>
      </c>
      <c r="DB207" s="7">
        <f t="shared" si="224"/>
        <v>0</v>
      </c>
      <c r="DC207" s="7">
        <f t="shared" si="225"/>
        <v>0</v>
      </c>
      <c r="DD207" s="7">
        <f t="shared" si="226"/>
        <v>0</v>
      </c>
      <c r="DE207" s="7">
        <f t="shared" si="227"/>
        <v>0</v>
      </c>
      <c r="DF207" s="7">
        <f t="shared" si="228"/>
        <v>0</v>
      </c>
      <c r="DG207" s="7">
        <f t="shared" si="229"/>
        <v>0</v>
      </c>
      <c r="DH207" s="7">
        <f t="shared" si="230"/>
        <v>0</v>
      </c>
      <c r="DI207" s="7">
        <f t="shared" si="231"/>
        <v>0</v>
      </c>
      <c r="DJ207" s="7">
        <f t="shared" si="232"/>
        <v>0</v>
      </c>
      <c r="DK207" s="7">
        <f t="shared" si="233"/>
        <v>0</v>
      </c>
      <c r="DL207" s="7">
        <f t="shared" si="234"/>
        <v>0</v>
      </c>
      <c r="DM207" s="7">
        <f t="shared" si="235"/>
        <v>0</v>
      </c>
      <c r="DN207" s="7">
        <f t="shared" si="236"/>
        <v>0</v>
      </c>
      <c r="DO207" s="7">
        <f t="shared" si="237"/>
        <v>0</v>
      </c>
      <c r="DP207" s="7">
        <f t="shared" si="238"/>
        <v>0</v>
      </c>
      <c r="DQ207" s="7">
        <f t="shared" si="239"/>
        <v>0</v>
      </c>
      <c r="DR207" s="7">
        <f t="shared" si="240"/>
        <v>0</v>
      </c>
      <c r="DS207" s="7">
        <f t="shared" si="241"/>
        <v>0</v>
      </c>
      <c r="DT207" s="7">
        <f t="shared" si="242"/>
        <v>0</v>
      </c>
      <c r="DU207" s="7">
        <f t="shared" si="243"/>
        <v>0</v>
      </c>
    </row>
    <row r="208" spans="1:125" x14ac:dyDescent="0.2">
      <c r="A208" s="3">
        <f>Bonds!A208</f>
        <v>48029</v>
      </c>
      <c r="B208" s="4">
        <f>Bonds!B208</f>
        <v>4.125</v>
      </c>
      <c r="C208">
        <f>Bonds!P208</f>
        <v>10</v>
      </c>
      <c r="D208">
        <f t="shared" si="183"/>
        <v>1</v>
      </c>
      <c r="E208" s="3">
        <f>IF(1&gt;$C208,"",IF($D208=1,EOMONTH(EDATE(Bonds!$H208,6*(1-1)),0),EDATE(Bonds!$H208,6*(1-1))))</f>
        <v>46387</v>
      </c>
      <c r="F208" s="3">
        <f>IF(2&gt;$C208,"",IF($D208=1,EOMONTH(EDATE(Bonds!$H208,6*(2-1)),0),EDATE(Bonds!$H208,6*(2-1))))</f>
        <v>46568</v>
      </c>
      <c r="G208" s="3">
        <f>IF(3&gt;$C208,"",IF($D208=1,EOMONTH(EDATE(Bonds!$H208,6*(3-1)),0),EDATE(Bonds!$H208,6*(3-1))))</f>
        <v>46752</v>
      </c>
      <c r="H208" s="3">
        <f>IF(4&gt;$C208,"",IF($D208=1,EOMONTH(EDATE(Bonds!$H208,6*(4-1)),0),EDATE(Bonds!$H208,6*(4-1))))</f>
        <v>46934</v>
      </c>
      <c r="I208" s="3">
        <f>IF(5&gt;$C208,"",IF($D208=1,EOMONTH(EDATE(Bonds!$H208,6*(5-1)),0),EDATE(Bonds!$H208,6*(5-1))))</f>
        <v>47118</v>
      </c>
      <c r="J208" s="3">
        <f>IF(6&gt;$C208,"",IF($D208=1,EOMONTH(EDATE(Bonds!$H208,6*(6-1)),0),EDATE(Bonds!$H208,6*(6-1))))</f>
        <v>47299</v>
      </c>
      <c r="K208" s="3">
        <f>IF(7&gt;$C208,"",IF($D208=1,EOMONTH(EDATE(Bonds!$H208,6*(7-1)),0),EDATE(Bonds!$H208,6*(7-1))))</f>
        <v>47483</v>
      </c>
      <c r="L208" s="3">
        <f>IF(8&gt;$C208,"",IF($D208=1,EOMONTH(EDATE(Bonds!$H208,6*(8-1)),0),EDATE(Bonds!$H208,6*(8-1))))</f>
        <v>47664</v>
      </c>
      <c r="M208" s="3">
        <f>IF(9&gt;$C208,"",IF($D208=1,EOMONTH(EDATE(Bonds!$H208,6*(9-1)),0),EDATE(Bonds!$H208,6*(9-1))))</f>
        <v>47848</v>
      </c>
      <c r="N208" s="3">
        <f>IF(10&gt;$C208,"",IF($D208=1,EOMONTH(EDATE(Bonds!$H208,6*(10-1)),0),EDATE(Bonds!$H208,6*(10-1))))</f>
        <v>48029</v>
      </c>
      <c r="O208" s="3" t="str">
        <f>IF(11&gt;$C208,"",IF($D208=1,EOMONTH(EDATE(Bonds!$H208,6*(11-1)),0),EDATE(Bonds!$H208,6*(11-1))))</f>
        <v/>
      </c>
      <c r="P208" s="3" t="str">
        <f>IF(12&gt;$C208,"",IF($D208=1,EOMONTH(EDATE(Bonds!$H208,6*(12-1)),0),EDATE(Bonds!$H208,6*(12-1))))</f>
        <v/>
      </c>
      <c r="Q208" s="3" t="str">
        <f>IF(13&gt;$C208,"",IF($D208=1,EOMONTH(EDATE(Bonds!$H208,6*(13-1)),0),EDATE(Bonds!$H208,6*(13-1))))</f>
        <v/>
      </c>
      <c r="R208" s="3" t="str">
        <f>IF(14&gt;$C208,"",IF($D208=1,EOMONTH(EDATE(Bonds!$H208,6*(14-1)),0),EDATE(Bonds!$H208,6*(14-1))))</f>
        <v/>
      </c>
      <c r="S208" s="3" t="str">
        <f>IF(15&gt;$C208,"",IF($D208=1,EOMONTH(EDATE(Bonds!$H208,6*(15-1)),0),EDATE(Bonds!$H208,6*(15-1))))</f>
        <v/>
      </c>
      <c r="T208" s="3" t="str">
        <f>IF(16&gt;$C208,"",IF($D208=1,EOMONTH(EDATE(Bonds!$H208,6*(16-1)),0),EDATE(Bonds!$H208,6*(16-1))))</f>
        <v/>
      </c>
      <c r="U208" s="3" t="str">
        <f>IF(17&gt;$C208,"",IF($D208=1,EOMONTH(EDATE(Bonds!$H208,6*(17-1)),0),EDATE(Bonds!$H208,6*(17-1))))</f>
        <v/>
      </c>
      <c r="V208" s="3" t="str">
        <f>IF(18&gt;$C208,"",IF($D208=1,EOMONTH(EDATE(Bonds!$H208,6*(18-1)),0),EDATE(Bonds!$H208,6*(18-1))))</f>
        <v/>
      </c>
      <c r="W208" s="3" t="str">
        <f>IF(19&gt;$C208,"",IF($D208=1,EOMONTH(EDATE(Bonds!$H208,6*(19-1)),0),EDATE(Bonds!$H208,6*(19-1))))</f>
        <v/>
      </c>
      <c r="X208" s="3" t="str">
        <f>IF(20&gt;$C208,"",IF($D208=1,EOMONTH(EDATE(Bonds!$H208,6*(20-1)),0),EDATE(Bonds!$H208,6*(20-1))))</f>
        <v/>
      </c>
      <c r="Y208" s="3" t="str">
        <f>IF(21&gt;$C208,"",IF($D208=1,EOMONTH(EDATE(Bonds!$H208,6*(21-1)),0),EDATE(Bonds!$H208,6*(21-1))))</f>
        <v/>
      </c>
      <c r="Z208" s="3" t="str">
        <f>IF(22&gt;$C208,"",IF($D208=1,EOMONTH(EDATE(Bonds!$H208,6*(22-1)),0),EDATE(Bonds!$H208,6*(22-1))))</f>
        <v/>
      </c>
      <c r="AA208" s="3" t="str">
        <f>IF(23&gt;$C208,"",IF($D208=1,EOMONTH(EDATE(Bonds!$H208,6*(23-1)),0),EDATE(Bonds!$H208,6*(23-1))))</f>
        <v/>
      </c>
      <c r="AB208" s="3" t="str">
        <f>IF(24&gt;$C208,"",IF($D208=1,EOMONTH(EDATE(Bonds!$H208,6*(24-1)),0),EDATE(Bonds!$H208,6*(24-1))))</f>
        <v/>
      </c>
      <c r="AC208" s="3" t="str">
        <f>IF(25&gt;$C208,"",IF($D208=1,EOMONTH(EDATE(Bonds!$H208,6*(25-1)),0),EDATE(Bonds!$H208,6*(25-1))))</f>
        <v/>
      </c>
      <c r="AD208" s="3" t="str">
        <f>IF(26&gt;$C208,"",IF($D208=1,EOMONTH(EDATE(Bonds!$H208,6*(26-1)),0),EDATE(Bonds!$H208,6*(26-1))))</f>
        <v/>
      </c>
      <c r="AE208" s="3" t="str">
        <f>IF(27&gt;$C208,"",IF($D208=1,EOMONTH(EDATE(Bonds!$H208,6*(27-1)),0),EDATE(Bonds!$H208,6*(27-1))))</f>
        <v/>
      </c>
      <c r="AF208" s="3" t="str">
        <f>IF(28&gt;$C208,"",IF($D208=1,EOMONTH(EDATE(Bonds!$H208,6*(28-1)),0),EDATE(Bonds!$H208,6*(28-1))))</f>
        <v/>
      </c>
      <c r="AG208" s="3" t="str">
        <f>IF(29&gt;$C208,"",IF($D208=1,EOMONTH(EDATE(Bonds!$H208,6*(29-1)),0),EDATE(Bonds!$H208,6*(29-1))))</f>
        <v/>
      </c>
      <c r="AH208" s="3" t="str">
        <f>IF(30&gt;$C208,"",IF($D208=1,EOMONTH(EDATE(Bonds!$H208,6*(30-1)),0),EDATE(Bonds!$H208,6*(30-1))))</f>
        <v/>
      </c>
      <c r="AI208" s="3" t="str">
        <f>IF(31&gt;$C208,"",IF($D208=1,EOMONTH(EDATE(Bonds!$H208,6*(31-1)),0),EDATE(Bonds!$H208,6*(31-1))))</f>
        <v/>
      </c>
      <c r="AJ208" s="3" t="str">
        <f>IF(32&gt;$C208,"",IF($D208=1,EOMONTH(EDATE(Bonds!$H208,6*(32-1)),0),EDATE(Bonds!$H208,6*(32-1))))</f>
        <v/>
      </c>
      <c r="AK208" s="3" t="str">
        <f>IF(33&gt;$C208,"",IF($D208=1,EOMONTH(EDATE(Bonds!$H208,6*(33-1)),0),EDATE(Bonds!$H208,6*(33-1))))</f>
        <v/>
      </c>
      <c r="AL208" s="3" t="str">
        <f>IF(34&gt;$C208,"",IF($D208=1,EOMONTH(EDATE(Bonds!$H208,6*(34-1)),0),EDATE(Bonds!$H208,6*(34-1))))</f>
        <v/>
      </c>
      <c r="AM208" s="3" t="str">
        <f>IF(35&gt;$C208,"",IF($D208=1,EOMONTH(EDATE(Bonds!$H208,6*(35-1)),0),EDATE(Bonds!$H208,6*(35-1))))</f>
        <v/>
      </c>
      <c r="AN208" s="3" t="str">
        <f>IF(36&gt;$C208,"",IF($D208=1,EOMONTH(EDATE(Bonds!$H208,6*(36-1)),0),EDATE(Bonds!$H208,6*(36-1))))</f>
        <v/>
      </c>
      <c r="AO208" s="3" t="str">
        <f>IF(37&gt;$C208,"",IF($D208=1,EOMONTH(EDATE(Bonds!$H208,6*(37-1)),0),EDATE(Bonds!$H208,6*(37-1))))</f>
        <v/>
      </c>
      <c r="AP208" s="3" t="str">
        <f>IF(38&gt;$C208,"",IF($D208=1,EOMONTH(EDATE(Bonds!$H208,6*(38-1)),0),EDATE(Bonds!$H208,6*(38-1))))</f>
        <v/>
      </c>
      <c r="AQ208" s="3" t="str">
        <f>IF(39&gt;$C208,"",IF($D208=1,EOMONTH(EDATE(Bonds!$H208,6*(39-1)),0),EDATE(Bonds!$H208,6*(39-1))))</f>
        <v/>
      </c>
      <c r="AR208" s="3" t="str">
        <f>IF(40&gt;$C208,"",IF($D208=1,EOMONTH(EDATE(Bonds!$H208,6*(40-1)),0),EDATE(Bonds!$H208,6*(40-1))))</f>
        <v/>
      </c>
      <c r="AS208" s="3" t="str">
        <f>IF(41&gt;$C208,"",IF($D208=1,EOMONTH(EDATE(Bonds!$H208,6*(41-1)),0),EDATE(Bonds!$H208,6*(41-1))))</f>
        <v/>
      </c>
      <c r="AT208" s="3" t="str">
        <f>IF(42&gt;$C208,"",IF($D208=1,EOMONTH(EDATE(Bonds!$H208,6*(42-1)),0),EDATE(Bonds!$H208,6*(42-1))))</f>
        <v/>
      </c>
      <c r="AU208" s="3" t="str">
        <f>IF(43&gt;$C208,"",IF($D208=1,EOMONTH(EDATE(Bonds!$H208,6*(43-1)),0),EDATE(Bonds!$H208,6*(43-1))))</f>
        <v/>
      </c>
      <c r="AV208" s="3" t="str">
        <f>IF(44&gt;$C208,"",IF($D208=1,EOMONTH(EDATE(Bonds!$H208,6*(44-1)),0),EDATE(Bonds!$H208,6*(44-1))))</f>
        <v/>
      </c>
      <c r="AW208" s="3" t="str">
        <f>IF(45&gt;$C208,"",IF($D208=1,EOMONTH(EDATE(Bonds!$H208,6*(45-1)),0),EDATE(Bonds!$H208,6*(45-1))))</f>
        <v/>
      </c>
      <c r="AX208" s="3" t="str">
        <f>IF(46&gt;$C208,"",IF($D208=1,EOMONTH(EDATE(Bonds!$H208,6*(46-1)),0),EDATE(Bonds!$H208,6*(46-1))))</f>
        <v/>
      </c>
      <c r="AY208" s="3" t="str">
        <f>IF(47&gt;$C208,"",IF($D208=1,EOMONTH(EDATE(Bonds!$H208,6*(47-1)),0),EDATE(Bonds!$H208,6*(47-1))))</f>
        <v/>
      </c>
      <c r="AZ208" s="3" t="str">
        <f>IF(48&gt;$C208,"",IF($D208=1,EOMONTH(EDATE(Bonds!$H208,6*(48-1)),0),EDATE(Bonds!$H208,6*(48-1))))</f>
        <v/>
      </c>
      <c r="BA208" s="3" t="str">
        <f>IF(49&gt;$C208,"",IF($D208=1,EOMONTH(EDATE(Bonds!$H208,6*(49-1)),0),EDATE(Bonds!$H208,6*(49-1))))</f>
        <v/>
      </c>
      <c r="BB208" s="3" t="str">
        <f>IF(50&gt;$C208,"",IF($D208=1,EOMONTH(EDATE(Bonds!$H208,6*(50-1)),0),EDATE(Bonds!$H208,6*(50-1))))</f>
        <v/>
      </c>
      <c r="BC208" s="3" t="str">
        <f>IF(51&gt;$C208,"",IF($D208=1,EOMONTH(EDATE(Bonds!$H208,6*(51-1)),0),EDATE(Bonds!$H208,6*(51-1))))</f>
        <v/>
      </c>
      <c r="BD208" s="3" t="str">
        <f>IF(52&gt;$C208,"",IF($D208=1,EOMONTH(EDATE(Bonds!$H208,6*(52-1)),0),EDATE(Bonds!$H208,6*(52-1))))</f>
        <v/>
      </c>
      <c r="BE208" s="3" t="str">
        <f>IF(53&gt;$C208,"",IF($D208=1,EOMONTH(EDATE(Bonds!$H208,6*(53-1)),0),EDATE(Bonds!$H208,6*(53-1))))</f>
        <v/>
      </c>
      <c r="BF208" s="3" t="str">
        <f>IF(54&gt;$C208,"",IF($D208=1,EOMONTH(EDATE(Bonds!$H208,6*(54-1)),0),EDATE(Bonds!$H208,6*(54-1))))</f>
        <v/>
      </c>
      <c r="BG208" s="3" t="str">
        <f>IF(55&gt;$C208,"",IF($D208=1,EOMONTH(EDATE(Bonds!$H208,6*(55-1)),0),EDATE(Bonds!$H208,6*(55-1))))</f>
        <v/>
      </c>
      <c r="BH208" s="3" t="str">
        <f>IF(56&gt;$C208,"",IF($D208=1,EOMONTH(EDATE(Bonds!$H208,6*(56-1)),0),EDATE(Bonds!$H208,6*(56-1))))</f>
        <v/>
      </c>
      <c r="BI208" s="3" t="str">
        <f>IF(57&gt;$C208,"",IF($D208=1,EOMONTH(EDATE(Bonds!$H208,6*(57-1)),0),EDATE(Bonds!$H208,6*(57-1))))</f>
        <v/>
      </c>
      <c r="BJ208" s="3" t="str">
        <f>IF(58&gt;$C208,"",IF($D208=1,EOMONTH(EDATE(Bonds!$H208,6*(58-1)),0),EDATE(Bonds!$H208,6*(58-1))))</f>
        <v/>
      </c>
      <c r="BK208" s="3" t="str">
        <f>IF(59&gt;$C208,"",IF($D208=1,EOMONTH(EDATE(Bonds!$H208,6*(59-1)),0),EDATE(Bonds!$H208,6*(59-1))))</f>
        <v/>
      </c>
      <c r="BL208" s="3" t="str">
        <f>IF(60&gt;$C208,"",IF($D208=1,EOMONTH(EDATE(Bonds!$H208,6*(60-1)),0),EDATE(Bonds!$H208,6*(60-1))))</f>
        <v/>
      </c>
      <c r="BN208" s="7">
        <f t="shared" si="184"/>
        <v>2.0379534421528263</v>
      </c>
      <c r="BO208" s="7">
        <f t="shared" si="185"/>
        <v>1.9958162521841083</v>
      </c>
      <c r="BP208" s="7">
        <f t="shared" si="186"/>
        <v>1.9514062344003571</v>
      </c>
      <c r="BQ208" s="7">
        <f t="shared" si="187"/>
        <v>1.9074847359125777</v>
      </c>
      <c r="BR208" s="7">
        <f t="shared" si="188"/>
        <v>1.8638479519761113</v>
      </c>
      <c r="BS208" s="7">
        <f t="shared" si="189"/>
        <v>1.8219440833744307</v>
      </c>
      <c r="BT208" s="7">
        <f t="shared" si="190"/>
        <v>1.7803949465960427</v>
      </c>
      <c r="BU208" s="7">
        <f t="shared" si="191"/>
        <v>1.7404416797446955</v>
      </c>
      <c r="BV208" s="7">
        <f t="shared" si="192"/>
        <v>1.7005973392366742</v>
      </c>
      <c r="BW208" s="7">
        <f t="shared" si="193"/>
        <v>82.24388644086838</v>
      </c>
      <c r="BX208" s="7">
        <f t="shared" si="194"/>
        <v>0</v>
      </c>
      <c r="BY208" s="7">
        <f t="shared" si="195"/>
        <v>0</v>
      </c>
      <c r="BZ208" s="7">
        <f t="shared" si="196"/>
        <v>0</v>
      </c>
      <c r="CA208" s="7">
        <f t="shared" si="197"/>
        <v>0</v>
      </c>
      <c r="CB208" s="7">
        <f t="shared" si="198"/>
        <v>0</v>
      </c>
      <c r="CC208" s="7">
        <f t="shared" si="199"/>
        <v>0</v>
      </c>
      <c r="CD208" s="7">
        <f t="shared" si="200"/>
        <v>0</v>
      </c>
      <c r="CE208" s="7">
        <f t="shared" si="201"/>
        <v>0</v>
      </c>
      <c r="CF208" s="7">
        <f t="shared" si="202"/>
        <v>0</v>
      </c>
      <c r="CG208" s="7">
        <f t="shared" si="203"/>
        <v>0</v>
      </c>
      <c r="CH208" s="7">
        <f t="shared" si="204"/>
        <v>0</v>
      </c>
      <c r="CI208" s="7">
        <f t="shared" si="205"/>
        <v>0</v>
      </c>
      <c r="CJ208" s="7">
        <f t="shared" si="206"/>
        <v>0</v>
      </c>
      <c r="CK208" s="7">
        <f t="shared" si="207"/>
        <v>0</v>
      </c>
      <c r="CL208" s="7">
        <f t="shared" si="208"/>
        <v>0</v>
      </c>
      <c r="CM208" s="7">
        <f t="shared" si="209"/>
        <v>0</v>
      </c>
      <c r="CN208" s="7">
        <f t="shared" si="210"/>
        <v>0</v>
      </c>
      <c r="CO208" s="7">
        <f t="shared" si="211"/>
        <v>0</v>
      </c>
      <c r="CP208" s="7">
        <f t="shared" si="212"/>
        <v>0</v>
      </c>
      <c r="CQ208" s="7">
        <f t="shared" si="213"/>
        <v>0</v>
      </c>
      <c r="CR208" s="7">
        <f t="shared" si="214"/>
        <v>0</v>
      </c>
      <c r="CS208" s="7">
        <f t="shared" si="215"/>
        <v>0</v>
      </c>
      <c r="CT208" s="7">
        <f t="shared" si="216"/>
        <v>0</v>
      </c>
      <c r="CU208" s="7">
        <f t="shared" si="217"/>
        <v>0</v>
      </c>
      <c r="CV208" s="7">
        <f t="shared" si="218"/>
        <v>0</v>
      </c>
      <c r="CW208" s="7">
        <f t="shared" si="219"/>
        <v>0</v>
      </c>
      <c r="CX208" s="7">
        <f t="shared" si="220"/>
        <v>0</v>
      </c>
      <c r="CY208" s="7">
        <f t="shared" si="221"/>
        <v>0</v>
      </c>
      <c r="CZ208" s="7">
        <f t="shared" si="222"/>
        <v>0</v>
      </c>
      <c r="DA208" s="7">
        <f t="shared" si="223"/>
        <v>0</v>
      </c>
      <c r="DB208" s="7">
        <f t="shared" si="224"/>
        <v>0</v>
      </c>
      <c r="DC208" s="7">
        <f t="shared" si="225"/>
        <v>0</v>
      </c>
      <c r="DD208" s="7">
        <f t="shared" si="226"/>
        <v>0</v>
      </c>
      <c r="DE208" s="7">
        <f t="shared" si="227"/>
        <v>0</v>
      </c>
      <c r="DF208" s="7">
        <f t="shared" si="228"/>
        <v>0</v>
      </c>
      <c r="DG208" s="7">
        <f t="shared" si="229"/>
        <v>0</v>
      </c>
      <c r="DH208" s="7">
        <f t="shared" si="230"/>
        <v>0</v>
      </c>
      <c r="DI208" s="7">
        <f t="shared" si="231"/>
        <v>0</v>
      </c>
      <c r="DJ208" s="7">
        <f t="shared" si="232"/>
        <v>0</v>
      </c>
      <c r="DK208" s="7">
        <f t="shared" si="233"/>
        <v>0</v>
      </c>
      <c r="DL208" s="7">
        <f t="shared" si="234"/>
        <v>0</v>
      </c>
      <c r="DM208" s="7">
        <f t="shared" si="235"/>
        <v>0</v>
      </c>
      <c r="DN208" s="7">
        <f t="shared" si="236"/>
        <v>0</v>
      </c>
      <c r="DO208" s="7">
        <f t="shared" si="237"/>
        <v>0</v>
      </c>
      <c r="DP208" s="7">
        <f t="shared" si="238"/>
        <v>0</v>
      </c>
      <c r="DQ208" s="7">
        <f t="shared" si="239"/>
        <v>0</v>
      </c>
      <c r="DR208" s="7">
        <f t="shared" si="240"/>
        <v>0</v>
      </c>
      <c r="DS208" s="7">
        <f t="shared" si="241"/>
        <v>0</v>
      </c>
      <c r="DT208" s="7">
        <f t="shared" si="242"/>
        <v>0</v>
      </c>
      <c r="DU208" s="7">
        <f t="shared" si="243"/>
        <v>0</v>
      </c>
    </row>
    <row r="209" spans="1:125" x14ac:dyDescent="0.2">
      <c r="A209" s="3">
        <f>Bonds!A209</f>
        <v>48029</v>
      </c>
      <c r="B209" s="4">
        <f>Bonds!B209</f>
        <v>4.25</v>
      </c>
      <c r="C209">
        <f>Bonds!P209</f>
        <v>10</v>
      </c>
      <c r="D209">
        <f t="shared" si="183"/>
        <v>1</v>
      </c>
      <c r="E209" s="3">
        <f>IF(1&gt;$C209,"",IF($D209=1,EOMONTH(EDATE(Bonds!$H209,6*(1-1)),0),EDATE(Bonds!$H209,6*(1-1))))</f>
        <v>46387</v>
      </c>
      <c r="F209" s="3">
        <f>IF(2&gt;$C209,"",IF($D209=1,EOMONTH(EDATE(Bonds!$H209,6*(2-1)),0),EDATE(Bonds!$H209,6*(2-1))))</f>
        <v>46568</v>
      </c>
      <c r="G209" s="3">
        <f>IF(3&gt;$C209,"",IF($D209=1,EOMONTH(EDATE(Bonds!$H209,6*(3-1)),0),EDATE(Bonds!$H209,6*(3-1))))</f>
        <v>46752</v>
      </c>
      <c r="H209" s="3">
        <f>IF(4&gt;$C209,"",IF($D209=1,EOMONTH(EDATE(Bonds!$H209,6*(4-1)),0),EDATE(Bonds!$H209,6*(4-1))))</f>
        <v>46934</v>
      </c>
      <c r="I209" s="3">
        <f>IF(5&gt;$C209,"",IF($D209=1,EOMONTH(EDATE(Bonds!$H209,6*(5-1)),0),EDATE(Bonds!$H209,6*(5-1))))</f>
        <v>47118</v>
      </c>
      <c r="J209" s="3">
        <f>IF(6&gt;$C209,"",IF($D209=1,EOMONTH(EDATE(Bonds!$H209,6*(6-1)),0),EDATE(Bonds!$H209,6*(6-1))))</f>
        <v>47299</v>
      </c>
      <c r="K209" s="3">
        <f>IF(7&gt;$C209,"",IF($D209=1,EOMONTH(EDATE(Bonds!$H209,6*(7-1)),0),EDATE(Bonds!$H209,6*(7-1))))</f>
        <v>47483</v>
      </c>
      <c r="L209" s="3">
        <f>IF(8&gt;$C209,"",IF($D209=1,EOMONTH(EDATE(Bonds!$H209,6*(8-1)),0),EDATE(Bonds!$H209,6*(8-1))))</f>
        <v>47664</v>
      </c>
      <c r="M209" s="3">
        <f>IF(9&gt;$C209,"",IF($D209=1,EOMONTH(EDATE(Bonds!$H209,6*(9-1)),0),EDATE(Bonds!$H209,6*(9-1))))</f>
        <v>47848</v>
      </c>
      <c r="N209" s="3">
        <f>IF(10&gt;$C209,"",IF($D209=1,EOMONTH(EDATE(Bonds!$H209,6*(10-1)),0),EDATE(Bonds!$H209,6*(10-1))))</f>
        <v>48029</v>
      </c>
      <c r="O209" s="3" t="str">
        <f>IF(11&gt;$C209,"",IF($D209=1,EOMONTH(EDATE(Bonds!$H209,6*(11-1)),0),EDATE(Bonds!$H209,6*(11-1))))</f>
        <v/>
      </c>
      <c r="P209" s="3" t="str">
        <f>IF(12&gt;$C209,"",IF($D209=1,EOMONTH(EDATE(Bonds!$H209,6*(12-1)),0),EDATE(Bonds!$H209,6*(12-1))))</f>
        <v/>
      </c>
      <c r="Q209" s="3" t="str">
        <f>IF(13&gt;$C209,"",IF($D209=1,EOMONTH(EDATE(Bonds!$H209,6*(13-1)),0),EDATE(Bonds!$H209,6*(13-1))))</f>
        <v/>
      </c>
      <c r="R209" s="3" t="str">
        <f>IF(14&gt;$C209,"",IF($D209=1,EOMONTH(EDATE(Bonds!$H209,6*(14-1)),0),EDATE(Bonds!$H209,6*(14-1))))</f>
        <v/>
      </c>
      <c r="S209" s="3" t="str">
        <f>IF(15&gt;$C209,"",IF($D209=1,EOMONTH(EDATE(Bonds!$H209,6*(15-1)),0),EDATE(Bonds!$H209,6*(15-1))))</f>
        <v/>
      </c>
      <c r="T209" s="3" t="str">
        <f>IF(16&gt;$C209,"",IF($D209=1,EOMONTH(EDATE(Bonds!$H209,6*(16-1)),0),EDATE(Bonds!$H209,6*(16-1))))</f>
        <v/>
      </c>
      <c r="U209" s="3" t="str">
        <f>IF(17&gt;$C209,"",IF($D209=1,EOMONTH(EDATE(Bonds!$H209,6*(17-1)),0),EDATE(Bonds!$H209,6*(17-1))))</f>
        <v/>
      </c>
      <c r="V209" s="3" t="str">
        <f>IF(18&gt;$C209,"",IF($D209=1,EOMONTH(EDATE(Bonds!$H209,6*(18-1)),0),EDATE(Bonds!$H209,6*(18-1))))</f>
        <v/>
      </c>
      <c r="W209" s="3" t="str">
        <f>IF(19&gt;$C209,"",IF($D209=1,EOMONTH(EDATE(Bonds!$H209,6*(19-1)),0),EDATE(Bonds!$H209,6*(19-1))))</f>
        <v/>
      </c>
      <c r="X209" s="3" t="str">
        <f>IF(20&gt;$C209,"",IF($D209=1,EOMONTH(EDATE(Bonds!$H209,6*(20-1)),0),EDATE(Bonds!$H209,6*(20-1))))</f>
        <v/>
      </c>
      <c r="Y209" s="3" t="str">
        <f>IF(21&gt;$C209,"",IF($D209=1,EOMONTH(EDATE(Bonds!$H209,6*(21-1)),0),EDATE(Bonds!$H209,6*(21-1))))</f>
        <v/>
      </c>
      <c r="Z209" s="3" t="str">
        <f>IF(22&gt;$C209,"",IF($D209=1,EOMONTH(EDATE(Bonds!$H209,6*(22-1)),0),EDATE(Bonds!$H209,6*(22-1))))</f>
        <v/>
      </c>
      <c r="AA209" s="3" t="str">
        <f>IF(23&gt;$C209,"",IF($D209=1,EOMONTH(EDATE(Bonds!$H209,6*(23-1)),0),EDATE(Bonds!$H209,6*(23-1))))</f>
        <v/>
      </c>
      <c r="AB209" s="3" t="str">
        <f>IF(24&gt;$C209,"",IF($D209=1,EOMONTH(EDATE(Bonds!$H209,6*(24-1)),0),EDATE(Bonds!$H209,6*(24-1))))</f>
        <v/>
      </c>
      <c r="AC209" s="3" t="str">
        <f>IF(25&gt;$C209,"",IF($D209=1,EOMONTH(EDATE(Bonds!$H209,6*(25-1)),0),EDATE(Bonds!$H209,6*(25-1))))</f>
        <v/>
      </c>
      <c r="AD209" s="3" t="str">
        <f>IF(26&gt;$C209,"",IF($D209=1,EOMONTH(EDATE(Bonds!$H209,6*(26-1)),0),EDATE(Bonds!$H209,6*(26-1))))</f>
        <v/>
      </c>
      <c r="AE209" s="3" t="str">
        <f>IF(27&gt;$C209,"",IF($D209=1,EOMONTH(EDATE(Bonds!$H209,6*(27-1)),0),EDATE(Bonds!$H209,6*(27-1))))</f>
        <v/>
      </c>
      <c r="AF209" s="3" t="str">
        <f>IF(28&gt;$C209,"",IF($D209=1,EOMONTH(EDATE(Bonds!$H209,6*(28-1)),0),EDATE(Bonds!$H209,6*(28-1))))</f>
        <v/>
      </c>
      <c r="AG209" s="3" t="str">
        <f>IF(29&gt;$C209,"",IF($D209=1,EOMONTH(EDATE(Bonds!$H209,6*(29-1)),0),EDATE(Bonds!$H209,6*(29-1))))</f>
        <v/>
      </c>
      <c r="AH209" s="3" t="str">
        <f>IF(30&gt;$C209,"",IF($D209=1,EOMONTH(EDATE(Bonds!$H209,6*(30-1)),0),EDATE(Bonds!$H209,6*(30-1))))</f>
        <v/>
      </c>
      <c r="AI209" s="3" t="str">
        <f>IF(31&gt;$C209,"",IF($D209=1,EOMONTH(EDATE(Bonds!$H209,6*(31-1)),0),EDATE(Bonds!$H209,6*(31-1))))</f>
        <v/>
      </c>
      <c r="AJ209" s="3" t="str">
        <f>IF(32&gt;$C209,"",IF($D209=1,EOMONTH(EDATE(Bonds!$H209,6*(32-1)),0),EDATE(Bonds!$H209,6*(32-1))))</f>
        <v/>
      </c>
      <c r="AK209" s="3" t="str">
        <f>IF(33&gt;$C209,"",IF($D209=1,EOMONTH(EDATE(Bonds!$H209,6*(33-1)),0),EDATE(Bonds!$H209,6*(33-1))))</f>
        <v/>
      </c>
      <c r="AL209" s="3" t="str">
        <f>IF(34&gt;$C209,"",IF($D209=1,EOMONTH(EDATE(Bonds!$H209,6*(34-1)),0),EDATE(Bonds!$H209,6*(34-1))))</f>
        <v/>
      </c>
      <c r="AM209" s="3" t="str">
        <f>IF(35&gt;$C209,"",IF($D209=1,EOMONTH(EDATE(Bonds!$H209,6*(35-1)),0),EDATE(Bonds!$H209,6*(35-1))))</f>
        <v/>
      </c>
      <c r="AN209" s="3" t="str">
        <f>IF(36&gt;$C209,"",IF($D209=1,EOMONTH(EDATE(Bonds!$H209,6*(36-1)),0),EDATE(Bonds!$H209,6*(36-1))))</f>
        <v/>
      </c>
      <c r="AO209" s="3" t="str">
        <f>IF(37&gt;$C209,"",IF($D209=1,EOMONTH(EDATE(Bonds!$H209,6*(37-1)),0),EDATE(Bonds!$H209,6*(37-1))))</f>
        <v/>
      </c>
      <c r="AP209" s="3" t="str">
        <f>IF(38&gt;$C209,"",IF($D209=1,EOMONTH(EDATE(Bonds!$H209,6*(38-1)),0),EDATE(Bonds!$H209,6*(38-1))))</f>
        <v/>
      </c>
      <c r="AQ209" s="3" t="str">
        <f>IF(39&gt;$C209,"",IF($D209=1,EOMONTH(EDATE(Bonds!$H209,6*(39-1)),0),EDATE(Bonds!$H209,6*(39-1))))</f>
        <v/>
      </c>
      <c r="AR209" s="3" t="str">
        <f>IF(40&gt;$C209,"",IF($D209=1,EOMONTH(EDATE(Bonds!$H209,6*(40-1)),0),EDATE(Bonds!$H209,6*(40-1))))</f>
        <v/>
      </c>
      <c r="AS209" s="3" t="str">
        <f>IF(41&gt;$C209,"",IF($D209=1,EOMONTH(EDATE(Bonds!$H209,6*(41-1)),0),EDATE(Bonds!$H209,6*(41-1))))</f>
        <v/>
      </c>
      <c r="AT209" s="3" t="str">
        <f>IF(42&gt;$C209,"",IF($D209=1,EOMONTH(EDATE(Bonds!$H209,6*(42-1)),0),EDATE(Bonds!$H209,6*(42-1))))</f>
        <v/>
      </c>
      <c r="AU209" s="3" t="str">
        <f>IF(43&gt;$C209,"",IF($D209=1,EOMONTH(EDATE(Bonds!$H209,6*(43-1)),0),EDATE(Bonds!$H209,6*(43-1))))</f>
        <v/>
      </c>
      <c r="AV209" s="3" t="str">
        <f>IF(44&gt;$C209,"",IF($D209=1,EOMONTH(EDATE(Bonds!$H209,6*(44-1)),0),EDATE(Bonds!$H209,6*(44-1))))</f>
        <v/>
      </c>
      <c r="AW209" s="3" t="str">
        <f>IF(45&gt;$C209,"",IF($D209=1,EOMONTH(EDATE(Bonds!$H209,6*(45-1)),0),EDATE(Bonds!$H209,6*(45-1))))</f>
        <v/>
      </c>
      <c r="AX209" s="3" t="str">
        <f>IF(46&gt;$C209,"",IF($D209=1,EOMONTH(EDATE(Bonds!$H209,6*(46-1)),0),EDATE(Bonds!$H209,6*(46-1))))</f>
        <v/>
      </c>
      <c r="AY209" s="3" t="str">
        <f>IF(47&gt;$C209,"",IF($D209=1,EOMONTH(EDATE(Bonds!$H209,6*(47-1)),0),EDATE(Bonds!$H209,6*(47-1))))</f>
        <v/>
      </c>
      <c r="AZ209" s="3" t="str">
        <f>IF(48&gt;$C209,"",IF($D209=1,EOMONTH(EDATE(Bonds!$H209,6*(48-1)),0),EDATE(Bonds!$H209,6*(48-1))))</f>
        <v/>
      </c>
      <c r="BA209" s="3" t="str">
        <f>IF(49&gt;$C209,"",IF($D209=1,EOMONTH(EDATE(Bonds!$H209,6*(49-1)),0),EDATE(Bonds!$H209,6*(49-1))))</f>
        <v/>
      </c>
      <c r="BB209" s="3" t="str">
        <f>IF(50&gt;$C209,"",IF($D209=1,EOMONTH(EDATE(Bonds!$H209,6*(50-1)),0),EDATE(Bonds!$H209,6*(50-1))))</f>
        <v/>
      </c>
      <c r="BC209" s="3" t="str">
        <f>IF(51&gt;$C209,"",IF($D209=1,EOMONTH(EDATE(Bonds!$H209,6*(51-1)),0),EDATE(Bonds!$H209,6*(51-1))))</f>
        <v/>
      </c>
      <c r="BD209" s="3" t="str">
        <f>IF(52&gt;$C209,"",IF($D209=1,EOMONTH(EDATE(Bonds!$H209,6*(52-1)),0),EDATE(Bonds!$H209,6*(52-1))))</f>
        <v/>
      </c>
      <c r="BE209" s="3" t="str">
        <f>IF(53&gt;$C209,"",IF($D209=1,EOMONTH(EDATE(Bonds!$H209,6*(53-1)),0),EDATE(Bonds!$H209,6*(53-1))))</f>
        <v/>
      </c>
      <c r="BF209" s="3" t="str">
        <f>IF(54&gt;$C209,"",IF($D209=1,EOMONTH(EDATE(Bonds!$H209,6*(54-1)),0),EDATE(Bonds!$H209,6*(54-1))))</f>
        <v/>
      </c>
      <c r="BG209" s="3" t="str">
        <f>IF(55&gt;$C209,"",IF($D209=1,EOMONTH(EDATE(Bonds!$H209,6*(55-1)),0),EDATE(Bonds!$H209,6*(55-1))))</f>
        <v/>
      </c>
      <c r="BH209" s="3" t="str">
        <f>IF(56&gt;$C209,"",IF($D209=1,EOMONTH(EDATE(Bonds!$H209,6*(56-1)),0),EDATE(Bonds!$H209,6*(56-1))))</f>
        <v/>
      </c>
      <c r="BI209" s="3" t="str">
        <f>IF(57&gt;$C209,"",IF($D209=1,EOMONTH(EDATE(Bonds!$H209,6*(57-1)),0),EDATE(Bonds!$H209,6*(57-1))))</f>
        <v/>
      </c>
      <c r="BJ209" s="3" t="str">
        <f>IF(58&gt;$C209,"",IF($D209=1,EOMONTH(EDATE(Bonds!$H209,6*(58-1)),0),EDATE(Bonds!$H209,6*(58-1))))</f>
        <v/>
      </c>
      <c r="BK209" s="3" t="str">
        <f>IF(59&gt;$C209,"",IF($D209=1,EOMONTH(EDATE(Bonds!$H209,6*(59-1)),0),EDATE(Bonds!$H209,6*(59-1))))</f>
        <v/>
      </c>
      <c r="BL209" s="3" t="str">
        <f>IF(60&gt;$C209,"",IF($D209=1,EOMONTH(EDATE(Bonds!$H209,6*(60-1)),0),EDATE(Bonds!$H209,6*(60-1))))</f>
        <v/>
      </c>
      <c r="BN209" s="7">
        <f t="shared" si="184"/>
        <v>2.099709607066548</v>
      </c>
      <c r="BO209" s="7">
        <f t="shared" si="185"/>
        <v>2.0562955325533236</v>
      </c>
      <c r="BP209" s="7">
        <f t="shared" si="186"/>
        <v>2.0105397566549135</v>
      </c>
      <c r="BQ209" s="7">
        <f t="shared" si="187"/>
        <v>1.9652873036675045</v>
      </c>
      <c r="BR209" s="7">
        <f t="shared" si="188"/>
        <v>1.9203281929450844</v>
      </c>
      <c r="BS209" s="7">
        <f t="shared" si="189"/>
        <v>1.8771545101433529</v>
      </c>
      <c r="BT209" s="7">
        <f t="shared" si="190"/>
        <v>1.8343463086141047</v>
      </c>
      <c r="BU209" s="7">
        <f t="shared" si="191"/>
        <v>1.7931823367066562</v>
      </c>
      <c r="BV209" s="7">
        <f t="shared" si="192"/>
        <v>1.7521305919408159</v>
      </c>
      <c r="BW209" s="7">
        <f t="shared" si="193"/>
        <v>82.294250119031801</v>
      </c>
      <c r="BX209" s="7">
        <f t="shared" si="194"/>
        <v>0</v>
      </c>
      <c r="BY209" s="7">
        <f t="shared" si="195"/>
        <v>0</v>
      </c>
      <c r="BZ209" s="7">
        <f t="shared" si="196"/>
        <v>0</v>
      </c>
      <c r="CA209" s="7">
        <f t="shared" si="197"/>
        <v>0</v>
      </c>
      <c r="CB209" s="7">
        <f t="shared" si="198"/>
        <v>0</v>
      </c>
      <c r="CC209" s="7">
        <f t="shared" si="199"/>
        <v>0</v>
      </c>
      <c r="CD209" s="7">
        <f t="shared" si="200"/>
        <v>0</v>
      </c>
      <c r="CE209" s="7">
        <f t="shared" si="201"/>
        <v>0</v>
      </c>
      <c r="CF209" s="7">
        <f t="shared" si="202"/>
        <v>0</v>
      </c>
      <c r="CG209" s="7">
        <f t="shared" si="203"/>
        <v>0</v>
      </c>
      <c r="CH209" s="7">
        <f t="shared" si="204"/>
        <v>0</v>
      </c>
      <c r="CI209" s="7">
        <f t="shared" si="205"/>
        <v>0</v>
      </c>
      <c r="CJ209" s="7">
        <f t="shared" si="206"/>
        <v>0</v>
      </c>
      <c r="CK209" s="7">
        <f t="shared" si="207"/>
        <v>0</v>
      </c>
      <c r="CL209" s="7">
        <f t="shared" si="208"/>
        <v>0</v>
      </c>
      <c r="CM209" s="7">
        <f t="shared" si="209"/>
        <v>0</v>
      </c>
      <c r="CN209" s="7">
        <f t="shared" si="210"/>
        <v>0</v>
      </c>
      <c r="CO209" s="7">
        <f t="shared" si="211"/>
        <v>0</v>
      </c>
      <c r="CP209" s="7">
        <f t="shared" si="212"/>
        <v>0</v>
      </c>
      <c r="CQ209" s="7">
        <f t="shared" si="213"/>
        <v>0</v>
      </c>
      <c r="CR209" s="7">
        <f t="shared" si="214"/>
        <v>0</v>
      </c>
      <c r="CS209" s="7">
        <f t="shared" si="215"/>
        <v>0</v>
      </c>
      <c r="CT209" s="7">
        <f t="shared" si="216"/>
        <v>0</v>
      </c>
      <c r="CU209" s="7">
        <f t="shared" si="217"/>
        <v>0</v>
      </c>
      <c r="CV209" s="7">
        <f t="shared" si="218"/>
        <v>0</v>
      </c>
      <c r="CW209" s="7">
        <f t="shared" si="219"/>
        <v>0</v>
      </c>
      <c r="CX209" s="7">
        <f t="shared" si="220"/>
        <v>0</v>
      </c>
      <c r="CY209" s="7">
        <f t="shared" si="221"/>
        <v>0</v>
      </c>
      <c r="CZ209" s="7">
        <f t="shared" si="222"/>
        <v>0</v>
      </c>
      <c r="DA209" s="7">
        <f t="shared" si="223"/>
        <v>0</v>
      </c>
      <c r="DB209" s="7">
        <f t="shared" si="224"/>
        <v>0</v>
      </c>
      <c r="DC209" s="7">
        <f t="shared" si="225"/>
        <v>0</v>
      </c>
      <c r="DD209" s="7">
        <f t="shared" si="226"/>
        <v>0</v>
      </c>
      <c r="DE209" s="7">
        <f t="shared" si="227"/>
        <v>0</v>
      </c>
      <c r="DF209" s="7">
        <f t="shared" si="228"/>
        <v>0</v>
      </c>
      <c r="DG209" s="7">
        <f t="shared" si="229"/>
        <v>0</v>
      </c>
      <c r="DH209" s="7">
        <f t="shared" si="230"/>
        <v>0</v>
      </c>
      <c r="DI209" s="7">
        <f t="shared" si="231"/>
        <v>0</v>
      </c>
      <c r="DJ209" s="7">
        <f t="shared" si="232"/>
        <v>0</v>
      </c>
      <c r="DK209" s="7">
        <f t="shared" si="233"/>
        <v>0</v>
      </c>
      <c r="DL209" s="7">
        <f t="shared" si="234"/>
        <v>0</v>
      </c>
      <c r="DM209" s="7">
        <f t="shared" si="235"/>
        <v>0</v>
      </c>
      <c r="DN209" s="7">
        <f t="shared" si="236"/>
        <v>0</v>
      </c>
      <c r="DO209" s="7">
        <f t="shared" si="237"/>
        <v>0</v>
      </c>
      <c r="DP209" s="7">
        <f t="shared" si="238"/>
        <v>0</v>
      </c>
      <c r="DQ209" s="7">
        <f t="shared" si="239"/>
        <v>0</v>
      </c>
      <c r="DR209" s="7">
        <f t="shared" si="240"/>
        <v>0</v>
      </c>
      <c r="DS209" s="7">
        <f t="shared" si="241"/>
        <v>0</v>
      </c>
      <c r="DT209" s="7">
        <f t="shared" si="242"/>
        <v>0</v>
      </c>
      <c r="DU209" s="7">
        <f t="shared" si="243"/>
        <v>0</v>
      </c>
    </row>
    <row r="210" spans="1:125" x14ac:dyDescent="0.2">
      <c r="A210" s="3">
        <f>Bonds!A210</f>
        <v>48060</v>
      </c>
      <c r="B210" s="4">
        <f>Bonds!B210</f>
        <v>4.125</v>
      </c>
      <c r="C210">
        <f>Bonds!P210</f>
        <v>10</v>
      </c>
      <c r="D210">
        <f t="shared" si="183"/>
        <v>1</v>
      </c>
      <c r="E210" s="3">
        <f>IF(1&gt;$C210,"",IF($D210=1,EOMONTH(EDATE(Bonds!$H210,6*(1-1)),0),EDATE(Bonds!$H210,6*(1-1))))</f>
        <v>46418</v>
      </c>
      <c r="F210" s="3">
        <f>IF(2&gt;$C210,"",IF($D210=1,EOMONTH(EDATE(Bonds!$H210,6*(2-1)),0),EDATE(Bonds!$H210,6*(2-1))))</f>
        <v>46599</v>
      </c>
      <c r="G210" s="3">
        <f>IF(3&gt;$C210,"",IF($D210=1,EOMONTH(EDATE(Bonds!$H210,6*(3-1)),0),EDATE(Bonds!$H210,6*(3-1))))</f>
        <v>46783</v>
      </c>
      <c r="H210" s="3">
        <f>IF(4&gt;$C210,"",IF($D210=1,EOMONTH(EDATE(Bonds!$H210,6*(4-1)),0),EDATE(Bonds!$H210,6*(4-1))))</f>
        <v>46965</v>
      </c>
      <c r="I210" s="3">
        <f>IF(5&gt;$C210,"",IF($D210=1,EOMONTH(EDATE(Bonds!$H210,6*(5-1)),0),EDATE(Bonds!$H210,6*(5-1))))</f>
        <v>47149</v>
      </c>
      <c r="J210" s="3">
        <f>IF(6&gt;$C210,"",IF($D210=1,EOMONTH(EDATE(Bonds!$H210,6*(6-1)),0),EDATE(Bonds!$H210,6*(6-1))))</f>
        <v>47330</v>
      </c>
      <c r="K210" s="3">
        <f>IF(7&gt;$C210,"",IF($D210=1,EOMONTH(EDATE(Bonds!$H210,6*(7-1)),0),EDATE(Bonds!$H210,6*(7-1))))</f>
        <v>47514</v>
      </c>
      <c r="L210" s="3">
        <f>IF(8&gt;$C210,"",IF($D210=1,EOMONTH(EDATE(Bonds!$H210,6*(8-1)),0),EDATE(Bonds!$H210,6*(8-1))))</f>
        <v>47695</v>
      </c>
      <c r="M210" s="3">
        <f>IF(9&gt;$C210,"",IF($D210=1,EOMONTH(EDATE(Bonds!$H210,6*(9-1)),0),EDATE(Bonds!$H210,6*(9-1))))</f>
        <v>47879</v>
      </c>
      <c r="N210" s="3">
        <f>IF(10&gt;$C210,"",IF($D210=1,EOMONTH(EDATE(Bonds!$H210,6*(10-1)),0),EDATE(Bonds!$H210,6*(10-1))))</f>
        <v>48060</v>
      </c>
      <c r="O210" s="3" t="str">
        <f>IF(11&gt;$C210,"",IF($D210=1,EOMONTH(EDATE(Bonds!$H210,6*(11-1)),0),EDATE(Bonds!$H210,6*(11-1))))</f>
        <v/>
      </c>
      <c r="P210" s="3" t="str">
        <f>IF(12&gt;$C210,"",IF($D210=1,EOMONTH(EDATE(Bonds!$H210,6*(12-1)),0),EDATE(Bonds!$H210,6*(12-1))))</f>
        <v/>
      </c>
      <c r="Q210" s="3" t="str">
        <f>IF(13&gt;$C210,"",IF($D210=1,EOMONTH(EDATE(Bonds!$H210,6*(13-1)),0),EDATE(Bonds!$H210,6*(13-1))))</f>
        <v/>
      </c>
      <c r="R210" s="3" t="str">
        <f>IF(14&gt;$C210,"",IF($D210=1,EOMONTH(EDATE(Bonds!$H210,6*(14-1)),0),EDATE(Bonds!$H210,6*(14-1))))</f>
        <v/>
      </c>
      <c r="S210" s="3" t="str">
        <f>IF(15&gt;$C210,"",IF($D210=1,EOMONTH(EDATE(Bonds!$H210,6*(15-1)),0),EDATE(Bonds!$H210,6*(15-1))))</f>
        <v/>
      </c>
      <c r="T210" s="3" t="str">
        <f>IF(16&gt;$C210,"",IF($D210=1,EOMONTH(EDATE(Bonds!$H210,6*(16-1)),0),EDATE(Bonds!$H210,6*(16-1))))</f>
        <v/>
      </c>
      <c r="U210" s="3" t="str">
        <f>IF(17&gt;$C210,"",IF($D210=1,EOMONTH(EDATE(Bonds!$H210,6*(17-1)),0),EDATE(Bonds!$H210,6*(17-1))))</f>
        <v/>
      </c>
      <c r="V210" s="3" t="str">
        <f>IF(18&gt;$C210,"",IF($D210=1,EOMONTH(EDATE(Bonds!$H210,6*(18-1)),0),EDATE(Bonds!$H210,6*(18-1))))</f>
        <v/>
      </c>
      <c r="W210" s="3" t="str">
        <f>IF(19&gt;$C210,"",IF($D210=1,EOMONTH(EDATE(Bonds!$H210,6*(19-1)),0),EDATE(Bonds!$H210,6*(19-1))))</f>
        <v/>
      </c>
      <c r="X210" s="3" t="str">
        <f>IF(20&gt;$C210,"",IF($D210=1,EOMONTH(EDATE(Bonds!$H210,6*(20-1)),0),EDATE(Bonds!$H210,6*(20-1))))</f>
        <v/>
      </c>
      <c r="Y210" s="3" t="str">
        <f>IF(21&gt;$C210,"",IF($D210=1,EOMONTH(EDATE(Bonds!$H210,6*(21-1)),0),EDATE(Bonds!$H210,6*(21-1))))</f>
        <v/>
      </c>
      <c r="Z210" s="3" t="str">
        <f>IF(22&gt;$C210,"",IF($D210=1,EOMONTH(EDATE(Bonds!$H210,6*(22-1)),0),EDATE(Bonds!$H210,6*(22-1))))</f>
        <v/>
      </c>
      <c r="AA210" s="3" t="str">
        <f>IF(23&gt;$C210,"",IF($D210=1,EOMONTH(EDATE(Bonds!$H210,6*(23-1)),0),EDATE(Bonds!$H210,6*(23-1))))</f>
        <v/>
      </c>
      <c r="AB210" s="3" t="str">
        <f>IF(24&gt;$C210,"",IF($D210=1,EOMONTH(EDATE(Bonds!$H210,6*(24-1)),0),EDATE(Bonds!$H210,6*(24-1))))</f>
        <v/>
      </c>
      <c r="AC210" s="3" t="str">
        <f>IF(25&gt;$C210,"",IF($D210=1,EOMONTH(EDATE(Bonds!$H210,6*(25-1)),0),EDATE(Bonds!$H210,6*(25-1))))</f>
        <v/>
      </c>
      <c r="AD210" s="3" t="str">
        <f>IF(26&gt;$C210,"",IF($D210=1,EOMONTH(EDATE(Bonds!$H210,6*(26-1)),0),EDATE(Bonds!$H210,6*(26-1))))</f>
        <v/>
      </c>
      <c r="AE210" s="3" t="str">
        <f>IF(27&gt;$C210,"",IF($D210=1,EOMONTH(EDATE(Bonds!$H210,6*(27-1)),0),EDATE(Bonds!$H210,6*(27-1))))</f>
        <v/>
      </c>
      <c r="AF210" s="3" t="str">
        <f>IF(28&gt;$C210,"",IF($D210=1,EOMONTH(EDATE(Bonds!$H210,6*(28-1)),0),EDATE(Bonds!$H210,6*(28-1))))</f>
        <v/>
      </c>
      <c r="AG210" s="3" t="str">
        <f>IF(29&gt;$C210,"",IF($D210=1,EOMONTH(EDATE(Bonds!$H210,6*(29-1)),0),EDATE(Bonds!$H210,6*(29-1))))</f>
        <v/>
      </c>
      <c r="AH210" s="3" t="str">
        <f>IF(30&gt;$C210,"",IF($D210=1,EOMONTH(EDATE(Bonds!$H210,6*(30-1)),0),EDATE(Bonds!$H210,6*(30-1))))</f>
        <v/>
      </c>
      <c r="AI210" s="3" t="str">
        <f>IF(31&gt;$C210,"",IF($D210=1,EOMONTH(EDATE(Bonds!$H210,6*(31-1)),0),EDATE(Bonds!$H210,6*(31-1))))</f>
        <v/>
      </c>
      <c r="AJ210" s="3" t="str">
        <f>IF(32&gt;$C210,"",IF($D210=1,EOMONTH(EDATE(Bonds!$H210,6*(32-1)),0),EDATE(Bonds!$H210,6*(32-1))))</f>
        <v/>
      </c>
      <c r="AK210" s="3" t="str">
        <f>IF(33&gt;$C210,"",IF($D210=1,EOMONTH(EDATE(Bonds!$H210,6*(33-1)),0),EDATE(Bonds!$H210,6*(33-1))))</f>
        <v/>
      </c>
      <c r="AL210" s="3" t="str">
        <f>IF(34&gt;$C210,"",IF($D210=1,EOMONTH(EDATE(Bonds!$H210,6*(34-1)),0),EDATE(Bonds!$H210,6*(34-1))))</f>
        <v/>
      </c>
      <c r="AM210" s="3" t="str">
        <f>IF(35&gt;$C210,"",IF($D210=1,EOMONTH(EDATE(Bonds!$H210,6*(35-1)),0),EDATE(Bonds!$H210,6*(35-1))))</f>
        <v/>
      </c>
      <c r="AN210" s="3" t="str">
        <f>IF(36&gt;$C210,"",IF($D210=1,EOMONTH(EDATE(Bonds!$H210,6*(36-1)),0),EDATE(Bonds!$H210,6*(36-1))))</f>
        <v/>
      </c>
      <c r="AO210" s="3" t="str">
        <f>IF(37&gt;$C210,"",IF($D210=1,EOMONTH(EDATE(Bonds!$H210,6*(37-1)),0),EDATE(Bonds!$H210,6*(37-1))))</f>
        <v/>
      </c>
      <c r="AP210" s="3" t="str">
        <f>IF(38&gt;$C210,"",IF($D210=1,EOMONTH(EDATE(Bonds!$H210,6*(38-1)),0),EDATE(Bonds!$H210,6*(38-1))))</f>
        <v/>
      </c>
      <c r="AQ210" s="3" t="str">
        <f>IF(39&gt;$C210,"",IF($D210=1,EOMONTH(EDATE(Bonds!$H210,6*(39-1)),0),EDATE(Bonds!$H210,6*(39-1))))</f>
        <v/>
      </c>
      <c r="AR210" s="3" t="str">
        <f>IF(40&gt;$C210,"",IF($D210=1,EOMONTH(EDATE(Bonds!$H210,6*(40-1)),0),EDATE(Bonds!$H210,6*(40-1))))</f>
        <v/>
      </c>
      <c r="AS210" s="3" t="str">
        <f>IF(41&gt;$C210,"",IF($D210=1,EOMONTH(EDATE(Bonds!$H210,6*(41-1)),0),EDATE(Bonds!$H210,6*(41-1))))</f>
        <v/>
      </c>
      <c r="AT210" s="3" t="str">
        <f>IF(42&gt;$C210,"",IF($D210=1,EOMONTH(EDATE(Bonds!$H210,6*(42-1)),0),EDATE(Bonds!$H210,6*(42-1))))</f>
        <v/>
      </c>
      <c r="AU210" s="3" t="str">
        <f>IF(43&gt;$C210,"",IF($D210=1,EOMONTH(EDATE(Bonds!$H210,6*(43-1)),0),EDATE(Bonds!$H210,6*(43-1))))</f>
        <v/>
      </c>
      <c r="AV210" s="3" t="str">
        <f>IF(44&gt;$C210,"",IF($D210=1,EOMONTH(EDATE(Bonds!$H210,6*(44-1)),0),EDATE(Bonds!$H210,6*(44-1))))</f>
        <v/>
      </c>
      <c r="AW210" s="3" t="str">
        <f>IF(45&gt;$C210,"",IF($D210=1,EOMONTH(EDATE(Bonds!$H210,6*(45-1)),0),EDATE(Bonds!$H210,6*(45-1))))</f>
        <v/>
      </c>
      <c r="AX210" s="3" t="str">
        <f>IF(46&gt;$C210,"",IF($D210=1,EOMONTH(EDATE(Bonds!$H210,6*(46-1)),0),EDATE(Bonds!$H210,6*(46-1))))</f>
        <v/>
      </c>
      <c r="AY210" s="3" t="str">
        <f>IF(47&gt;$C210,"",IF($D210=1,EOMONTH(EDATE(Bonds!$H210,6*(47-1)),0),EDATE(Bonds!$H210,6*(47-1))))</f>
        <v/>
      </c>
      <c r="AZ210" s="3" t="str">
        <f>IF(48&gt;$C210,"",IF($D210=1,EOMONTH(EDATE(Bonds!$H210,6*(48-1)),0),EDATE(Bonds!$H210,6*(48-1))))</f>
        <v/>
      </c>
      <c r="BA210" s="3" t="str">
        <f>IF(49&gt;$C210,"",IF($D210=1,EOMONTH(EDATE(Bonds!$H210,6*(49-1)),0),EDATE(Bonds!$H210,6*(49-1))))</f>
        <v/>
      </c>
      <c r="BB210" s="3" t="str">
        <f>IF(50&gt;$C210,"",IF($D210=1,EOMONTH(EDATE(Bonds!$H210,6*(50-1)),0),EDATE(Bonds!$H210,6*(50-1))))</f>
        <v/>
      </c>
      <c r="BC210" s="3" t="str">
        <f>IF(51&gt;$C210,"",IF($D210=1,EOMONTH(EDATE(Bonds!$H210,6*(51-1)),0),EDATE(Bonds!$H210,6*(51-1))))</f>
        <v/>
      </c>
      <c r="BD210" s="3" t="str">
        <f>IF(52&gt;$C210,"",IF($D210=1,EOMONTH(EDATE(Bonds!$H210,6*(52-1)),0),EDATE(Bonds!$H210,6*(52-1))))</f>
        <v/>
      </c>
      <c r="BE210" s="3" t="str">
        <f>IF(53&gt;$C210,"",IF($D210=1,EOMONTH(EDATE(Bonds!$H210,6*(53-1)),0),EDATE(Bonds!$H210,6*(53-1))))</f>
        <v/>
      </c>
      <c r="BF210" s="3" t="str">
        <f>IF(54&gt;$C210,"",IF($D210=1,EOMONTH(EDATE(Bonds!$H210,6*(54-1)),0),EDATE(Bonds!$H210,6*(54-1))))</f>
        <v/>
      </c>
      <c r="BG210" s="3" t="str">
        <f>IF(55&gt;$C210,"",IF($D210=1,EOMONTH(EDATE(Bonds!$H210,6*(55-1)),0),EDATE(Bonds!$H210,6*(55-1))))</f>
        <v/>
      </c>
      <c r="BH210" s="3" t="str">
        <f>IF(56&gt;$C210,"",IF($D210=1,EOMONTH(EDATE(Bonds!$H210,6*(56-1)),0),EDATE(Bonds!$H210,6*(56-1))))</f>
        <v/>
      </c>
      <c r="BI210" s="3" t="str">
        <f>IF(57&gt;$C210,"",IF($D210=1,EOMONTH(EDATE(Bonds!$H210,6*(57-1)),0),EDATE(Bonds!$H210,6*(57-1))))</f>
        <v/>
      </c>
      <c r="BJ210" s="3" t="str">
        <f>IF(58&gt;$C210,"",IF($D210=1,EOMONTH(EDATE(Bonds!$H210,6*(58-1)),0),EDATE(Bonds!$H210,6*(58-1))))</f>
        <v/>
      </c>
      <c r="BK210" s="3" t="str">
        <f>IF(59&gt;$C210,"",IF($D210=1,EOMONTH(EDATE(Bonds!$H210,6*(59-1)),0),EDATE(Bonds!$H210,6*(59-1))))</f>
        <v/>
      </c>
      <c r="BL210" s="3" t="str">
        <f>IF(60&gt;$C210,"",IF($D210=1,EOMONTH(EDATE(Bonds!$H210,6*(60-1)),0),EDATE(Bonds!$H210,6*(60-1))))</f>
        <v/>
      </c>
      <c r="BN210" s="7">
        <f t="shared" si="184"/>
        <v>2.0309478888925754</v>
      </c>
      <c r="BO210" s="7">
        <f t="shared" si="185"/>
        <v>1.9883885556328185</v>
      </c>
      <c r="BP210" s="7">
        <f t="shared" si="186"/>
        <v>1.9438958952032286</v>
      </c>
      <c r="BQ210" s="7">
        <f t="shared" si="187"/>
        <v>1.9000667377053813</v>
      </c>
      <c r="BR210" s="7">
        <f t="shared" si="188"/>
        <v>1.8565965021825925</v>
      </c>
      <c r="BS210" s="7">
        <f t="shared" si="189"/>
        <v>1.8148719894682674</v>
      </c>
      <c r="BT210" s="7">
        <f t="shared" si="190"/>
        <v>1.7734916261521851</v>
      </c>
      <c r="BU210" s="7">
        <f t="shared" si="191"/>
        <v>1.7336789313931464</v>
      </c>
      <c r="BV210" s="7">
        <f t="shared" si="192"/>
        <v>1.6939490146874854</v>
      </c>
      <c r="BW210" s="7">
        <f t="shared" si="193"/>
        <v>81.919207359582742</v>
      </c>
      <c r="BX210" s="7">
        <f t="shared" si="194"/>
        <v>0</v>
      </c>
      <c r="BY210" s="7">
        <f t="shared" si="195"/>
        <v>0</v>
      </c>
      <c r="BZ210" s="7">
        <f t="shared" si="196"/>
        <v>0</v>
      </c>
      <c r="CA210" s="7">
        <f t="shared" si="197"/>
        <v>0</v>
      </c>
      <c r="CB210" s="7">
        <f t="shared" si="198"/>
        <v>0</v>
      </c>
      <c r="CC210" s="7">
        <f t="shared" si="199"/>
        <v>0</v>
      </c>
      <c r="CD210" s="7">
        <f t="shared" si="200"/>
        <v>0</v>
      </c>
      <c r="CE210" s="7">
        <f t="shared" si="201"/>
        <v>0</v>
      </c>
      <c r="CF210" s="7">
        <f t="shared" si="202"/>
        <v>0</v>
      </c>
      <c r="CG210" s="7">
        <f t="shared" si="203"/>
        <v>0</v>
      </c>
      <c r="CH210" s="7">
        <f t="shared" si="204"/>
        <v>0</v>
      </c>
      <c r="CI210" s="7">
        <f t="shared" si="205"/>
        <v>0</v>
      </c>
      <c r="CJ210" s="7">
        <f t="shared" si="206"/>
        <v>0</v>
      </c>
      <c r="CK210" s="7">
        <f t="shared" si="207"/>
        <v>0</v>
      </c>
      <c r="CL210" s="7">
        <f t="shared" si="208"/>
        <v>0</v>
      </c>
      <c r="CM210" s="7">
        <f t="shared" si="209"/>
        <v>0</v>
      </c>
      <c r="CN210" s="7">
        <f t="shared" si="210"/>
        <v>0</v>
      </c>
      <c r="CO210" s="7">
        <f t="shared" si="211"/>
        <v>0</v>
      </c>
      <c r="CP210" s="7">
        <f t="shared" si="212"/>
        <v>0</v>
      </c>
      <c r="CQ210" s="7">
        <f t="shared" si="213"/>
        <v>0</v>
      </c>
      <c r="CR210" s="7">
        <f t="shared" si="214"/>
        <v>0</v>
      </c>
      <c r="CS210" s="7">
        <f t="shared" si="215"/>
        <v>0</v>
      </c>
      <c r="CT210" s="7">
        <f t="shared" si="216"/>
        <v>0</v>
      </c>
      <c r="CU210" s="7">
        <f t="shared" si="217"/>
        <v>0</v>
      </c>
      <c r="CV210" s="7">
        <f t="shared" si="218"/>
        <v>0</v>
      </c>
      <c r="CW210" s="7">
        <f t="shared" si="219"/>
        <v>0</v>
      </c>
      <c r="CX210" s="7">
        <f t="shared" si="220"/>
        <v>0</v>
      </c>
      <c r="CY210" s="7">
        <f t="shared" si="221"/>
        <v>0</v>
      </c>
      <c r="CZ210" s="7">
        <f t="shared" si="222"/>
        <v>0</v>
      </c>
      <c r="DA210" s="7">
        <f t="shared" si="223"/>
        <v>0</v>
      </c>
      <c r="DB210" s="7">
        <f t="shared" si="224"/>
        <v>0</v>
      </c>
      <c r="DC210" s="7">
        <f t="shared" si="225"/>
        <v>0</v>
      </c>
      <c r="DD210" s="7">
        <f t="shared" si="226"/>
        <v>0</v>
      </c>
      <c r="DE210" s="7">
        <f t="shared" si="227"/>
        <v>0</v>
      </c>
      <c r="DF210" s="7">
        <f t="shared" si="228"/>
        <v>0</v>
      </c>
      <c r="DG210" s="7">
        <f t="shared" si="229"/>
        <v>0</v>
      </c>
      <c r="DH210" s="7">
        <f t="shared" si="230"/>
        <v>0</v>
      </c>
      <c r="DI210" s="7">
        <f t="shared" si="231"/>
        <v>0</v>
      </c>
      <c r="DJ210" s="7">
        <f t="shared" si="232"/>
        <v>0</v>
      </c>
      <c r="DK210" s="7">
        <f t="shared" si="233"/>
        <v>0</v>
      </c>
      <c r="DL210" s="7">
        <f t="shared" si="234"/>
        <v>0</v>
      </c>
      <c r="DM210" s="7">
        <f t="shared" si="235"/>
        <v>0</v>
      </c>
      <c r="DN210" s="7">
        <f t="shared" si="236"/>
        <v>0</v>
      </c>
      <c r="DO210" s="7">
        <f t="shared" si="237"/>
        <v>0</v>
      </c>
      <c r="DP210" s="7">
        <f t="shared" si="238"/>
        <v>0</v>
      </c>
      <c r="DQ210" s="7">
        <f t="shared" si="239"/>
        <v>0</v>
      </c>
      <c r="DR210" s="7">
        <f t="shared" si="240"/>
        <v>0</v>
      </c>
      <c r="DS210" s="7">
        <f t="shared" si="241"/>
        <v>0</v>
      </c>
      <c r="DT210" s="7">
        <f t="shared" si="242"/>
        <v>0</v>
      </c>
      <c r="DU210" s="7">
        <f t="shared" si="243"/>
        <v>0</v>
      </c>
    </row>
    <row r="211" spans="1:125" x14ac:dyDescent="0.2">
      <c r="A211" s="3">
        <f>Bonds!A211</f>
        <v>48060</v>
      </c>
      <c r="B211" s="4">
        <f>Bonds!B211</f>
        <v>4.375</v>
      </c>
      <c r="C211">
        <f>Bonds!P211</f>
        <v>10</v>
      </c>
      <c r="D211">
        <f t="shared" si="183"/>
        <v>1</v>
      </c>
      <c r="E211" s="3">
        <f>IF(1&gt;$C211,"",IF($D211=1,EOMONTH(EDATE(Bonds!$H211,6*(1-1)),0),EDATE(Bonds!$H211,6*(1-1))))</f>
        <v>46418</v>
      </c>
      <c r="F211" s="3">
        <f>IF(2&gt;$C211,"",IF($D211=1,EOMONTH(EDATE(Bonds!$H211,6*(2-1)),0),EDATE(Bonds!$H211,6*(2-1))))</f>
        <v>46599</v>
      </c>
      <c r="G211" s="3">
        <f>IF(3&gt;$C211,"",IF($D211=1,EOMONTH(EDATE(Bonds!$H211,6*(3-1)),0),EDATE(Bonds!$H211,6*(3-1))))</f>
        <v>46783</v>
      </c>
      <c r="H211" s="3">
        <f>IF(4&gt;$C211,"",IF($D211=1,EOMONTH(EDATE(Bonds!$H211,6*(4-1)),0),EDATE(Bonds!$H211,6*(4-1))))</f>
        <v>46965</v>
      </c>
      <c r="I211" s="3">
        <f>IF(5&gt;$C211,"",IF($D211=1,EOMONTH(EDATE(Bonds!$H211,6*(5-1)),0),EDATE(Bonds!$H211,6*(5-1))))</f>
        <v>47149</v>
      </c>
      <c r="J211" s="3">
        <f>IF(6&gt;$C211,"",IF($D211=1,EOMONTH(EDATE(Bonds!$H211,6*(6-1)),0),EDATE(Bonds!$H211,6*(6-1))))</f>
        <v>47330</v>
      </c>
      <c r="K211" s="3">
        <f>IF(7&gt;$C211,"",IF($D211=1,EOMONTH(EDATE(Bonds!$H211,6*(7-1)),0),EDATE(Bonds!$H211,6*(7-1))))</f>
        <v>47514</v>
      </c>
      <c r="L211" s="3">
        <f>IF(8&gt;$C211,"",IF($D211=1,EOMONTH(EDATE(Bonds!$H211,6*(8-1)),0),EDATE(Bonds!$H211,6*(8-1))))</f>
        <v>47695</v>
      </c>
      <c r="M211" s="3">
        <f>IF(9&gt;$C211,"",IF($D211=1,EOMONTH(EDATE(Bonds!$H211,6*(9-1)),0),EDATE(Bonds!$H211,6*(9-1))))</f>
        <v>47879</v>
      </c>
      <c r="N211" s="3">
        <f>IF(10&gt;$C211,"",IF($D211=1,EOMONTH(EDATE(Bonds!$H211,6*(10-1)),0),EDATE(Bonds!$H211,6*(10-1))))</f>
        <v>48060</v>
      </c>
      <c r="O211" s="3" t="str">
        <f>IF(11&gt;$C211,"",IF($D211=1,EOMONTH(EDATE(Bonds!$H211,6*(11-1)),0),EDATE(Bonds!$H211,6*(11-1))))</f>
        <v/>
      </c>
      <c r="P211" s="3" t="str">
        <f>IF(12&gt;$C211,"",IF($D211=1,EOMONTH(EDATE(Bonds!$H211,6*(12-1)),0),EDATE(Bonds!$H211,6*(12-1))))</f>
        <v/>
      </c>
      <c r="Q211" s="3" t="str">
        <f>IF(13&gt;$C211,"",IF($D211=1,EOMONTH(EDATE(Bonds!$H211,6*(13-1)),0),EDATE(Bonds!$H211,6*(13-1))))</f>
        <v/>
      </c>
      <c r="R211" s="3" t="str">
        <f>IF(14&gt;$C211,"",IF($D211=1,EOMONTH(EDATE(Bonds!$H211,6*(14-1)),0),EDATE(Bonds!$H211,6*(14-1))))</f>
        <v/>
      </c>
      <c r="S211" s="3" t="str">
        <f>IF(15&gt;$C211,"",IF($D211=1,EOMONTH(EDATE(Bonds!$H211,6*(15-1)),0),EDATE(Bonds!$H211,6*(15-1))))</f>
        <v/>
      </c>
      <c r="T211" s="3" t="str">
        <f>IF(16&gt;$C211,"",IF($D211=1,EOMONTH(EDATE(Bonds!$H211,6*(16-1)),0),EDATE(Bonds!$H211,6*(16-1))))</f>
        <v/>
      </c>
      <c r="U211" s="3" t="str">
        <f>IF(17&gt;$C211,"",IF($D211=1,EOMONTH(EDATE(Bonds!$H211,6*(17-1)),0),EDATE(Bonds!$H211,6*(17-1))))</f>
        <v/>
      </c>
      <c r="V211" s="3" t="str">
        <f>IF(18&gt;$C211,"",IF($D211=1,EOMONTH(EDATE(Bonds!$H211,6*(18-1)),0),EDATE(Bonds!$H211,6*(18-1))))</f>
        <v/>
      </c>
      <c r="W211" s="3" t="str">
        <f>IF(19&gt;$C211,"",IF($D211=1,EOMONTH(EDATE(Bonds!$H211,6*(19-1)),0),EDATE(Bonds!$H211,6*(19-1))))</f>
        <v/>
      </c>
      <c r="X211" s="3" t="str">
        <f>IF(20&gt;$C211,"",IF($D211=1,EOMONTH(EDATE(Bonds!$H211,6*(20-1)),0),EDATE(Bonds!$H211,6*(20-1))))</f>
        <v/>
      </c>
      <c r="Y211" s="3" t="str">
        <f>IF(21&gt;$C211,"",IF($D211=1,EOMONTH(EDATE(Bonds!$H211,6*(21-1)),0),EDATE(Bonds!$H211,6*(21-1))))</f>
        <v/>
      </c>
      <c r="Z211" s="3" t="str">
        <f>IF(22&gt;$C211,"",IF($D211=1,EOMONTH(EDATE(Bonds!$H211,6*(22-1)),0),EDATE(Bonds!$H211,6*(22-1))))</f>
        <v/>
      </c>
      <c r="AA211" s="3" t="str">
        <f>IF(23&gt;$C211,"",IF($D211=1,EOMONTH(EDATE(Bonds!$H211,6*(23-1)),0),EDATE(Bonds!$H211,6*(23-1))))</f>
        <v/>
      </c>
      <c r="AB211" s="3" t="str">
        <f>IF(24&gt;$C211,"",IF($D211=1,EOMONTH(EDATE(Bonds!$H211,6*(24-1)),0),EDATE(Bonds!$H211,6*(24-1))))</f>
        <v/>
      </c>
      <c r="AC211" s="3" t="str">
        <f>IF(25&gt;$C211,"",IF($D211=1,EOMONTH(EDATE(Bonds!$H211,6*(25-1)),0),EDATE(Bonds!$H211,6*(25-1))))</f>
        <v/>
      </c>
      <c r="AD211" s="3" t="str">
        <f>IF(26&gt;$C211,"",IF($D211=1,EOMONTH(EDATE(Bonds!$H211,6*(26-1)),0),EDATE(Bonds!$H211,6*(26-1))))</f>
        <v/>
      </c>
      <c r="AE211" s="3" t="str">
        <f>IF(27&gt;$C211,"",IF($D211=1,EOMONTH(EDATE(Bonds!$H211,6*(27-1)),0),EDATE(Bonds!$H211,6*(27-1))))</f>
        <v/>
      </c>
      <c r="AF211" s="3" t="str">
        <f>IF(28&gt;$C211,"",IF($D211=1,EOMONTH(EDATE(Bonds!$H211,6*(28-1)),0),EDATE(Bonds!$H211,6*(28-1))))</f>
        <v/>
      </c>
      <c r="AG211" s="3" t="str">
        <f>IF(29&gt;$C211,"",IF($D211=1,EOMONTH(EDATE(Bonds!$H211,6*(29-1)),0),EDATE(Bonds!$H211,6*(29-1))))</f>
        <v/>
      </c>
      <c r="AH211" s="3" t="str">
        <f>IF(30&gt;$C211,"",IF($D211=1,EOMONTH(EDATE(Bonds!$H211,6*(30-1)),0),EDATE(Bonds!$H211,6*(30-1))))</f>
        <v/>
      </c>
      <c r="AI211" s="3" t="str">
        <f>IF(31&gt;$C211,"",IF($D211=1,EOMONTH(EDATE(Bonds!$H211,6*(31-1)),0),EDATE(Bonds!$H211,6*(31-1))))</f>
        <v/>
      </c>
      <c r="AJ211" s="3" t="str">
        <f>IF(32&gt;$C211,"",IF($D211=1,EOMONTH(EDATE(Bonds!$H211,6*(32-1)),0),EDATE(Bonds!$H211,6*(32-1))))</f>
        <v/>
      </c>
      <c r="AK211" s="3" t="str">
        <f>IF(33&gt;$C211,"",IF($D211=1,EOMONTH(EDATE(Bonds!$H211,6*(33-1)),0),EDATE(Bonds!$H211,6*(33-1))))</f>
        <v/>
      </c>
      <c r="AL211" s="3" t="str">
        <f>IF(34&gt;$C211,"",IF($D211=1,EOMONTH(EDATE(Bonds!$H211,6*(34-1)),0),EDATE(Bonds!$H211,6*(34-1))))</f>
        <v/>
      </c>
      <c r="AM211" s="3" t="str">
        <f>IF(35&gt;$C211,"",IF($D211=1,EOMONTH(EDATE(Bonds!$H211,6*(35-1)),0),EDATE(Bonds!$H211,6*(35-1))))</f>
        <v/>
      </c>
      <c r="AN211" s="3" t="str">
        <f>IF(36&gt;$C211,"",IF($D211=1,EOMONTH(EDATE(Bonds!$H211,6*(36-1)),0),EDATE(Bonds!$H211,6*(36-1))))</f>
        <v/>
      </c>
      <c r="AO211" s="3" t="str">
        <f>IF(37&gt;$C211,"",IF($D211=1,EOMONTH(EDATE(Bonds!$H211,6*(37-1)),0),EDATE(Bonds!$H211,6*(37-1))))</f>
        <v/>
      </c>
      <c r="AP211" s="3" t="str">
        <f>IF(38&gt;$C211,"",IF($D211=1,EOMONTH(EDATE(Bonds!$H211,6*(38-1)),0),EDATE(Bonds!$H211,6*(38-1))))</f>
        <v/>
      </c>
      <c r="AQ211" s="3" t="str">
        <f>IF(39&gt;$C211,"",IF($D211=1,EOMONTH(EDATE(Bonds!$H211,6*(39-1)),0),EDATE(Bonds!$H211,6*(39-1))))</f>
        <v/>
      </c>
      <c r="AR211" s="3" t="str">
        <f>IF(40&gt;$C211,"",IF($D211=1,EOMONTH(EDATE(Bonds!$H211,6*(40-1)),0),EDATE(Bonds!$H211,6*(40-1))))</f>
        <v/>
      </c>
      <c r="AS211" s="3" t="str">
        <f>IF(41&gt;$C211,"",IF($D211=1,EOMONTH(EDATE(Bonds!$H211,6*(41-1)),0),EDATE(Bonds!$H211,6*(41-1))))</f>
        <v/>
      </c>
      <c r="AT211" s="3" t="str">
        <f>IF(42&gt;$C211,"",IF($D211=1,EOMONTH(EDATE(Bonds!$H211,6*(42-1)),0),EDATE(Bonds!$H211,6*(42-1))))</f>
        <v/>
      </c>
      <c r="AU211" s="3" t="str">
        <f>IF(43&gt;$C211,"",IF($D211=1,EOMONTH(EDATE(Bonds!$H211,6*(43-1)),0),EDATE(Bonds!$H211,6*(43-1))))</f>
        <v/>
      </c>
      <c r="AV211" s="3" t="str">
        <f>IF(44&gt;$C211,"",IF($D211=1,EOMONTH(EDATE(Bonds!$H211,6*(44-1)),0),EDATE(Bonds!$H211,6*(44-1))))</f>
        <v/>
      </c>
      <c r="AW211" s="3" t="str">
        <f>IF(45&gt;$C211,"",IF($D211=1,EOMONTH(EDATE(Bonds!$H211,6*(45-1)),0),EDATE(Bonds!$H211,6*(45-1))))</f>
        <v/>
      </c>
      <c r="AX211" s="3" t="str">
        <f>IF(46&gt;$C211,"",IF($D211=1,EOMONTH(EDATE(Bonds!$H211,6*(46-1)),0),EDATE(Bonds!$H211,6*(46-1))))</f>
        <v/>
      </c>
      <c r="AY211" s="3" t="str">
        <f>IF(47&gt;$C211,"",IF($D211=1,EOMONTH(EDATE(Bonds!$H211,6*(47-1)),0),EDATE(Bonds!$H211,6*(47-1))))</f>
        <v/>
      </c>
      <c r="AZ211" s="3" t="str">
        <f>IF(48&gt;$C211,"",IF($D211=1,EOMONTH(EDATE(Bonds!$H211,6*(48-1)),0),EDATE(Bonds!$H211,6*(48-1))))</f>
        <v/>
      </c>
      <c r="BA211" s="3" t="str">
        <f>IF(49&gt;$C211,"",IF($D211=1,EOMONTH(EDATE(Bonds!$H211,6*(49-1)),0),EDATE(Bonds!$H211,6*(49-1))))</f>
        <v/>
      </c>
      <c r="BB211" s="3" t="str">
        <f>IF(50&gt;$C211,"",IF($D211=1,EOMONTH(EDATE(Bonds!$H211,6*(50-1)),0),EDATE(Bonds!$H211,6*(50-1))))</f>
        <v/>
      </c>
      <c r="BC211" s="3" t="str">
        <f>IF(51&gt;$C211,"",IF($D211=1,EOMONTH(EDATE(Bonds!$H211,6*(51-1)),0),EDATE(Bonds!$H211,6*(51-1))))</f>
        <v/>
      </c>
      <c r="BD211" s="3" t="str">
        <f>IF(52&gt;$C211,"",IF($D211=1,EOMONTH(EDATE(Bonds!$H211,6*(52-1)),0),EDATE(Bonds!$H211,6*(52-1))))</f>
        <v/>
      </c>
      <c r="BE211" s="3" t="str">
        <f>IF(53&gt;$C211,"",IF($D211=1,EOMONTH(EDATE(Bonds!$H211,6*(53-1)),0),EDATE(Bonds!$H211,6*(53-1))))</f>
        <v/>
      </c>
      <c r="BF211" s="3" t="str">
        <f>IF(54&gt;$C211,"",IF($D211=1,EOMONTH(EDATE(Bonds!$H211,6*(54-1)),0),EDATE(Bonds!$H211,6*(54-1))))</f>
        <v/>
      </c>
      <c r="BG211" s="3" t="str">
        <f>IF(55&gt;$C211,"",IF($D211=1,EOMONTH(EDATE(Bonds!$H211,6*(55-1)),0),EDATE(Bonds!$H211,6*(55-1))))</f>
        <v/>
      </c>
      <c r="BH211" s="3" t="str">
        <f>IF(56&gt;$C211,"",IF($D211=1,EOMONTH(EDATE(Bonds!$H211,6*(56-1)),0),EDATE(Bonds!$H211,6*(56-1))))</f>
        <v/>
      </c>
      <c r="BI211" s="3" t="str">
        <f>IF(57&gt;$C211,"",IF($D211=1,EOMONTH(EDATE(Bonds!$H211,6*(57-1)),0),EDATE(Bonds!$H211,6*(57-1))))</f>
        <v/>
      </c>
      <c r="BJ211" s="3" t="str">
        <f>IF(58&gt;$C211,"",IF($D211=1,EOMONTH(EDATE(Bonds!$H211,6*(58-1)),0),EDATE(Bonds!$H211,6*(58-1))))</f>
        <v/>
      </c>
      <c r="BK211" s="3" t="str">
        <f>IF(59&gt;$C211,"",IF($D211=1,EOMONTH(EDATE(Bonds!$H211,6*(59-1)),0),EDATE(Bonds!$H211,6*(59-1))))</f>
        <v/>
      </c>
      <c r="BL211" s="3" t="str">
        <f>IF(60&gt;$C211,"",IF($D211=1,EOMONTH(EDATE(Bonds!$H211,6*(60-1)),0),EDATE(Bonds!$H211,6*(60-1))))</f>
        <v/>
      </c>
      <c r="BN211" s="7">
        <f t="shared" si="184"/>
        <v>2.1540356397345497</v>
      </c>
      <c r="BO211" s="7">
        <f t="shared" si="185"/>
        <v>2.1088969529438981</v>
      </c>
      <c r="BP211" s="7">
        <f t="shared" si="186"/>
        <v>2.0617077676397879</v>
      </c>
      <c r="BQ211" s="7">
        <f t="shared" si="187"/>
        <v>2.0152222975663134</v>
      </c>
      <c r="BR211" s="7">
        <f t="shared" si="188"/>
        <v>1.9691175023148708</v>
      </c>
      <c r="BS211" s="7">
        <f t="shared" si="189"/>
        <v>1.924864231254223</v>
      </c>
      <c r="BT211" s="7">
        <f t="shared" si="190"/>
        <v>1.8809759671311055</v>
      </c>
      <c r="BU211" s="7">
        <f t="shared" si="191"/>
        <v>1.8387503817806099</v>
      </c>
      <c r="BV211" s="7">
        <f t="shared" si="192"/>
        <v>1.7966125913352118</v>
      </c>
      <c r="BW211" s="7">
        <f t="shared" si="193"/>
        <v>82.019537068535087</v>
      </c>
      <c r="BX211" s="7">
        <f t="shared" si="194"/>
        <v>0</v>
      </c>
      <c r="BY211" s="7">
        <f t="shared" si="195"/>
        <v>0</v>
      </c>
      <c r="BZ211" s="7">
        <f t="shared" si="196"/>
        <v>0</v>
      </c>
      <c r="CA211" s="7">
        <f t="shared" si="197"/>
        <v>0</v>
      </c>
      <c r="CB211" s="7">
        <f t="shared" si="198"/>
        <v>0</v>
      </c>
      <c r="CC211" s="7">
        <f t="shared" si="199"/>
        <v>0</v>
      </c>
      <c r="CD211" s="7">
        <f t="shared" si="200"/>
        <v>0</v>
      </c>
      <c r="CE211" s="7">
        <f t="shared" si="201"/>
        <v>0</v>
      </c>
      <c r="CF211" s="7">
        <f t="shared" si="202"/>
        <v>0</v>
      </c>
      <c r="CG211" s="7">
        <f t="shared" si="203"/>
        <v>0</v>
      </c>
      <c r="CH211" s="7">
        <f t="shared" si="204"/>
        <v>0</v>
      </c>
      <c r="CI211" s="7">
        <f t="shared" si="205"/>
        <v>0</v>
      </c>
      <c r="CJ211" s="7">
        <f t="shared" si="206"/>
        <v>0</v>
      </c>
      <c r="CK211" s="7">
        <f t="shared" si="207"/>
        <v>0</v>
      </c>
      <c r="CL211" s="7">
        <f t="shared" si="208"/>
        <v>0</v>
      </c>
      <c r="CM211" s="7">
        <f t="shared" si="209"/>
        <v>0</v>
      </c>
      <c r="CN211" s="7">
        <f t="shared" si="210"/>
        <v>0</v>
      </c>
      <c r="CO211" s="7">
        <f t="shared" si="211"/>
        <v>0</v>
      </c>
      <c r="CP211" s="7">
        <f t="shared" si="212"/>
        <v>0</v>
      </c>
      <c r="CQ211" s="7">
        <f t="shared" si="213"/>
        <v>0</v>
      </c>
      <c r="CR211" s="7">
        <f t="shared" si="214"/>
        <v>0</v>
      </c>
      <c r="CS211" s="7">
        <f t="shared" si="215"/>
        <v>0</v>
      </c>
      <c r="CT211" s="7">
        <f t="shared" si="216"/>
        <v>0</v>
      </c>
      <c r="CU211" s="7">
        <f t="shared" si="217"/>
        <v>0</v>
      </c>
      <c r="CV211" s="7">
        <f t="shared" si="218"/>
        <v>0</v>
      </c>
      <c r="CW211" s="7">
        <f t="shared" si="219"/>
        <v>0</v>
      </c>
      <c r="CX211" s="7">
        <f t="shared" si="220"/>
        <v>0</v>
      </c>
      <c r="CY211" s="7">
        <f t="shared" si="221"/>
        <v>0</v>
      </c>
      <c r="CZ211" s="7">
        <f t="shared" si="222"/>
        <v>0</v>
      </c>
      <c r="DA211" s="7">
        <f t="shared" si="223"/>
        <v>0</v>
      </c>
      <c r="DB211" s="7">
        <f t="shared" si="224"/>
        <v>0</v>
      </c>
      <c r="DC211" s="7">
        <f t="shared" si="225"/>
        <v>0</v>
      </c>
      <c r="DD211" s="7">
        <f t="shared" si="226"/>
        <v>0</v>
      </c>
      <c r="DE211" s="7">
        <f t="shared" si="227"/>
        <v>0</v>
      </c>
      <c r="DF211" s="7">
        <f t="shared" si="228"/>
        <v>0</v>
      </c>
      <c r="DG211" s="7">
        <f t="shared" si="229"/>
        <v>0</v>
      </c>
      <c r="DH211" s="7">
        <f t="shared" si="230"/>
        <v>0</v>
      </c>
      <c r="DI211" s="7">
        <f t="shared" si="231"/>
        <v>0</v>
      </c>
      <c r="DJ211" s="7">
        <f t="shared" si="232"/>
        <v>0</v>
      </c>
      <c r="DK211" s="7">
        <f t="shared" si="233"/>
        <v>0</v>
      </c>
      <c r="DL211" s="7">
        <f t="shared" si="234"/>
        <v>0</v>
      </c>
      <c r="DM211" s="7">
        <f t="shared" si="235"/>
        <v>0</v>
      </c>
      <c r="DN211" s="7">
        <f t="shared" si="236"/>
        <v>0</v>
      </c>
      <c r="DO211" s="7">
        <f t="shared" si="237"/>
        <v>0</v>
      </c>
      <c r="DP211" s="7">
        <f t="shared" si="238"/>
        <v>0</v>
      </c>
      <c r="DQ211" s="7">
        <f t="shared" si="239"/>
        <v>0</v>
      </c>
      <c r="DR211" s="7">
        <f t="shared" si="240"/>
        <v>0</v>
      </c>
      <c r="DS211" s="7">
        <f t="shared" si="241"/>
        <v>0</v>
      </c>
      <c r="DT211" s="7">
        <f t="shared" si="242"/>
        <v>0</v>
      </c>
      <c r="DU211" s="7">
        <f t="shared" si="243"/>
        <v>0</v>
      </c>
    </row>
    <row r="212" spans="1:125" x14ac:dyDescent="0.2">
      <c r="A212" s="3">
        <f>Bonds!A212</f>
        <v>48075</v>
      </c>
      <c r="B212" s="4">
        <f>Bonds!B212</f>
        <v>1.25</v>
      </c>
      <c r="C212">
        <f>Bonds!P212</f>
        <v>10</v>
      </c>
      <c r="D212">
        <f t="shared" si="183"/>
        <v>0</v>
      </c>
      <c r="E212" s="3">
        <f>IF(1&gt;$C212,"",IF($D212=1,EOMONTH(EDATE(Bonds!$H212,6*(1-1)),0),EDATE(Bonds!$H212,6*(1-1))))</f>
        <v>46433</v>
      </c>
      <c r="F212" s="3">
        <f>IF(2&gt;$C212,"",IF($D212=1,EOMONTH(EDATE(Bonds!$H212,6*(2-1)),0),EDATE(Bonds!$H212,6*(2-1))))</f>
        <v>46614</v>
      </c>
      <c r="G212" s="3">
        <f>IF(3&gt;$C212,"",IF($D212=1,EOMONTH(EDATE(Bonds!$H212,6*(3-1)),0),EDATE(Bonds!$H212,6*(3-1))))</f>
        <v>46798</v>
      </c>
      <c r="H212" s="3">
        <f>IF(4&gt;$C212,"",IF($D212=1,EOMONTH(EDATE(Bonds!$H212,6*(4-1)),0),EDATE(Bonds!$H212,6*(4-1))))</f>
        <v>46980</v>
      </c>
      <c r="I212" s="3">
        <f>IF(5&gt;$C212,"",IF($D212=1,EOMONTH(EDATE(Bonds!$H212,6*(5-1)),0),EDATE(Bonds!$H212,6*(5-1))))</f>
        <v>47164</v>
      </c>
      <c r="J212" s="3">
        <f>IF(6&gt;$C212,"",IF($D212=1,EOMONTH(EDATE(Bonds!$H212,6*(6-1)),0),EDATE(Bonds!$H212,6*(6-1))))</f>
        <v>47345</v>
      </c>
      <c r="K212" s="3">
        <f>IF(7&gt;$C212,"",IF($D212=1,EOMONTH(EDATE(Bonds!$H212,6*(7-1)),0),EDATE(Bonds!$H212,6*(7-1))))</f>
        <v>47529</v>
      </c>
      <c r="L212" s="3">
        <f>IF(8&gt;$C212,"",IF($D212=1,EOMONTH(EDATE(Bonds!$H212,6*(8-1)),0),EDATE(Bonds!$H212,6*(8-1))))</f>
        <v>47710</v>
      </c>
      <c r="M212" s="3">
        <f>IF(9&gt;$C212,"",IF($D212=1,EOMONTH(EDATE(Bonds!$H212,6*(9-1)),0),EDATE(Bonds!$H212,6*(9-1))))</f>
        <v>47894</v>
      </c>
      <c r="N212" s="3">
        <f>IF(10&gt;$C212,"",IF($D212=1,EOMONTH(EDATE(Bonds!$H212,6*(10-1)),0),EDATE(Bonds!$H212,6*(10-1))))</f>
        <v>48075</v>
      </c>
      <c r="O212" s="3" t="str">
        <f>IF(11&gt;$C212,"",IF($D212=1,EOMONTH(EDATE(Bonds!$H212,6*(11-1)),0),EDATE(Bonds!$H212,6*(11-1))))</f>
        <v/>
      </c>
      <c r="P212" s="3" t="str">
        <f>IF(12&gt;$C212,"",IF($D212=1,EOMONTH(EDATE(Bonds!$H212,6*(12-1)),0),EDATE(Bonds!$H212,6*(12-1))))</f>
        <v/>
      </c>
      <c r="Q212" s="3" t="str">
        <f>IF(13&gt;$C212,"",IF($D212=1,EOMONTH(EDATE(Bonds!$H212,6*(13-1)),0),EDATE(Bonds!$H212,6*(13-1))))</f>
        <v/>
      </c>
      <c r="R212" s="3" t="str">
        <f>IF(14&gt;$C212,"",IF($D212=1,EOMONTH(EDATE(Bonds!$H212,6*(14-1)),0),EDATE(Bonds!$H212,6*(14-1))))</f>
        <v/>
      </c>
      <c r="S212" s="3" t="str">
        <f>IF(15&gt;$C212,"",IF($D212=1,EOMONTH(EDATE(Bonds!$H212,6*(15-1)),0),EDATE(Bonds!$H212,6*(15-1))))</f>
        <v/>
      </c>
      <c r="T212" s="3" t="str">
        <f>IF(16&gt;$C212,"",IF($D212=1,EOMONTH(EDATE(Bonds!$H212,6*(16-1)),0),EDATE(Bonds!$H212,6*(16-1))))</f>
        <v/>
      </c>
      <c r="U212" s="3" t="str">
        <f>IF(17&gt;$C212,"",IF($D212=1,EOMONTH(EDATE(Bonds!$H212,6*(17-1)),0),EDATE(Bonds!$H212,6*(17-1))))</f>
        <v/>
      </c>
      <c r="V212" s="3" t="str">
        <f>IF(18&gt;$C212,"",IF($D212=1,EOMONTH(EDATE(Bonds!$H212,6*(18-1)),0),EDATE(Bonds!$H212,6*(18-1))))</f>
        <v/>
      </c>
      <c r="W212" s="3" t="str">
        <f>IF(19&gt;$C212,"",IF($D212=1,EOMONTH(EDATE(Bonds!$H212,6*(19-1)),0),EDATE(Bonds!$H212,6*(19-1))))</f>
        <v/>
      </c>
      <c r="X212" s="3" t="str">
        <f>IF(20&gt;$C212,"",IF($D212=1,EOMONTH(EDATE(Bonds!$H212,6*(20-1)),0),EDATE(Bonds!$H212,6*(20-1))))</f>
        <v/>
      </c>
      <c r="Y212" s="3" t="str">
        <f>IF(21&gt;$C212,"",IF($D212=1,EOMONTH(EDATE(Bonds!$H212,6*(21-1)),0),EDATE(Bonds!$H212,6*(21-1))))</f>
        <v/>
      </c>
      <c r="Z212" s="3" t="str">
        <f>IF(22&gt;$C212,"",IF($D212=1,EOMONTH(EDATE(Bonds!$H212,6*(22-1)),0),EDATE(Bonds!$H212,6*(22-1))))</f>
        <v/>
      </c>
      <c r="AA212" s="3" t="str">
        <f>IF(23&gt;$C212,"",IF($D212=1,EOMONTH(EDATE(Bonds!$H212,6*(23-1)),0),EDATE(Bonds!$H212,6*(23-1))))</f>
        <v/>
      </c>
      <c r="AB212" s="3" t="str">
        <f>IF(24&gt;$C212,"",IF($D212=1,EOMONTH(EDATE(Bonds!$H212,6*(24-1)),0),EDATE(Bonds!$H212,6*(24-1))))</f>
        <v/>
      </c>
      <c r="AC212" s="3" t="str">
        <f>IF(25&gt;$C212,"",IF($D212=1,EOMONTH(EDATE(Bonds!$H212,6*(25-1)),0),EDATE(Bonds!$H212,6*(25-1))))</f>
        <v/>
      </c>
      <c r="AD212" s="3" t="str">
        <f>IF(26&gt;$C212,"",IF($D212=1,EOMONTH(EDATE(Bonds!$H212,6*(26-1)),0),EDATE(Bonds!$H212,6*(26-1))))</f>
        <v/>
      </c>
      <c r="AE212" s="3" t="str">
        <f>IF(27&gt;$C212,"",IF($D212=1,EOMONTH(EDATE(Bonds!$H212,6*(27-1)),0),EDATE(Bonds!$H212,6*(27-1))))</f>
        <v/>
      </c>
      <c r="AF212" s="3" t="str">
        <f>IF(28&gt;$C212,"",IF($D212=1,EOMONTH(EDATE(Bonds!$H212,6*(28-1)),0),EDATE(Bonds!$H212,6*(28-1))))</f>
        <v/>
      </c>
      <c r="AG212" s="3" t="str">
        <f>IF(29&gt;$C212,"",IF($D212=1,EOMONTH(EDATE(Bonds!$H212,6*(29-1)),0),EDATE(Bonds!$H212,6*(29-1))))</f>
        <v/>
      </c>
      <c r="AH212" s="3" t="str">
        <f>IF(30&gt;$C212,"",IF($D212=1,EOMONTH(EDATE(Bonds!$H212,6*(30-1)),0),EDATE(Bonds!$H212,6*(30-1))))</f>
        <v/>
      </c>
      <c r="AI212" s="3" t="str">
        <f>IF(31&gt;$C212,"",IF($D212=1,EOMONTH(EDATE(Bonds!$H212,6*(31-1)),0),EDATE(Bonds!$H212,6*(31-1))))</f>
        <v/>
      </c>
      <c r="AJ212" s="3" t="str">
        <f>IF(32&gt;$C212,"",IF($D212=1,EOMONTH(EDATE(Bonds!$H212,6*(32-1)),0),EDATE(Bonds!$H212,6*(32-1))))</f>
        <v/>
      </c>
      <c r="AK212" s="3" t="str">
        <f>IF(33&gt;$C212,"",IF($D212=1,EOMONTH(EDATE(Bonds!$H212,6*(33-1)),0),EDATE(Bonds!$H212,6*(33-1))))</f>
        <v/>
      </c>
      <c r="AL212" s="3" t="str">
        <f>IF(34&gt;$C212,"",IF($D212=1,EOMONTH(EDATE(Bonds!$H212,6*(34-1)),0),EDATE(Bonds!$H212,6*(34-1))))</f>
        <v/>
      </c>
      <c r="AM212" s="3" t="str">
        <f>IF(35&gt;$C212,"",IF($D212=1,EOMONTH(EDATE(Bonds!$H212,6*(35-1)),0),EDATE(Bonds!$H212,6*(35-1))))</f>
        <v/>
      </c>
      <c r="AN212" s="3" t="str">
        <f>IF(36&gt;$C212,"",IF($D212=1,EOMONTH(EDATE(Bonds!$H212,6*(36-1)),0),EDATE(Bonds!$H212,6*(36-1))))</f>
        <v/>
      </c>
      <c r="AO212" s="3" t="str">
        <f>IF(37&gt;$C212,"",IF($D212=1,EOMONTH(EDATE(Bonds!$H212,6*(37-1)),0),EDATE(Bonds!$H212,6*(37-1))))</f>
        <v/>
      </c>
      <c r="AP212" s="3" t="str">
        <f>IF(38&gt;$C212,"",IF($D212=1,EOMONTH(EDATE(Bonds!$H212,6*(38-1)),0),EDATE(Bonds!$H212,6*(38-1))))</f>
        <v/>
      </c>
      <c r="AQ212" s="3" t="str">
        <f>IF(39&gt;$C212,"",IF($D212=1,EOMONTH(EDATE(Bonds!$H212,6*(39-1)),0),EDATE(Bonds!$H212,6*(39-1))))</f>
        <v/>
      </c>
      <c r="AR212" s="3" t="str">
        <f>IF(40&gt;$C212,"",IF($D212=1,EOMONTH(EDATE(Bonds!$H212,6*(40-1)),0),EDATE(Bonds!$H212,6*(40-1))))</f>
        <v/>
      </c>
      <c r="AS212" s="3" t="str">
        <f>IF(41&gt;$C212,"",IF($D212=1,EOMONTH(EDATE(Bonds!$H212,6*(41-1)),0),EDATE(Bonds!$H212,6*(41-1))))</f>
        <v/>
      </c>
      <c r="AT212" s="3" t="str">
        <f>IF(42&gt;$C212,"",IF($D212=1,EOMONTH(EDATE(Bonds!$H212,6*(42-1)),0),EDATE(Bonds!$H212,6*(42-1))))</f>
        <v/>
      </c>
      <c r="AU212" s="3" t="str">
        <f>IF(43&gt;$C212,"",IF($D212=1,EOMONTH(EDATE(Bonds!$H212,6*(43-1)),0),EDATE(Bonds!$H212,6*(43-1))))</f>
        <v/>
      </c>
      <c r="AV212" s="3" t="str">
        <f>IF(44&gt;$C212,"",IF($D212=1,EOMONTH(EDATE(Bonds!$H212,6*(44-1)),0),EDATE(Bonds!$H212,6*(44-1))))</f>
        <v/>
      </c>
      <c r="AW212" s="3" t="str">
        <f>IF(45&gt;$C212,"",IF($D212=1,EOMONTH(EDATE(Bonds!$H212,6*(45-1)),0),EDATE(Bonds!$H212,6*(45-1))))</f>
        <v/>
      </c>
      <c r="AX212" s="3" t="str">
        <f>IF(46&gt;$C212,"",IF($D212=1,EOMONTH(EDATE(Bonds!$H212,6*(46-1)),0),EDATE(Bonds!$H212,6*(46-1))))</f>
        <v/>
      </c>
      <c r="AY212" s="3" t="str">
        <f>IF(47&gt;$C212,"",IF($D212=1,EOMONTH(EDATE(Bonds!$H212,6*(47-1)),0),EDATE(Bonds!$H212,6*(47-1))))</f>
        <v/>
      </c>
      <c r="AZ212" s="3" t="str">
        <f>IF(48&gt;$C212,"",IF($D212=1,EOMONTH(EDATE(Bonds!$H212,6*(48-1)),0),EDATE(Bonds!$H212,6*(48-1))))</f>
        <v/>
      </c>
      <c r="BA212" s="3" t="str">
        <f>IF(49&gt;$C212,"",IF($D212=1,EOMONTH(EDATE(Bonds!$H212,6*(49-1)),0),EDATE(Bonds!$H212,6*(49-1))))</f>
        <v/>
      </c>
      <c r="BB212" s="3" t="str">
        <f>IF(50&gt;$C212,"",IF($D212=1,EOMONTH(EDATE(Bonds!$H212,6*(50-1)),0),EDATE(Bonds!$H212,6*(50-1))))</f>
        <v/>
      </c>
      <c r="BC212" s="3" t="str">
        <f>IF(51&gt;$C212,"",IF($D212=1,EOMONTH(EDATE(Bonds!$H212,6*(51-1)),0),EDATE(Bonds!$H212,6*(51-1))))</f>
        <v/>
      </c>
      <c r="BD212" s="3" t="str">
        <f>IF(52&gt;$C212,"",IF($D212=1,EOMONTH(EDATE(Bonds!$H212,6*(52-1)),0),EDATE(Bonds!$H212,6*(52-1))))</f>
        <v/>
      </c>
      <c r="BE212" s="3" t="str">
        <f>IF(53&gt;$C212,"",IF($D212=1,EOMONTH(EDATE(Bonds!$H212,6*(53-1)),0),EDATE(Bonds!$H212,6*(53-1))))</f>
        <v/>
      </c>
      <c r="BF212" s="3" t="str">
        <f>IF(54&gt;$C212,"",IF($D212=1,EOMONTH(EDATE(Bonds!$H212,6*(54-1)),0),EDATE(Bonds!$H212,6*(54-1))))</f>
        <v/>
      </c>
      <c r="BG212" s="3" t="str">
        <f>IF(55&gt;$C212,"",IF($D212=1,EOMONTH(EDATE(Bonds!$H212,6*(55-1)),0),EDATE(Bonds!$H212,6*(55-1))))</f>
        <v/>
      </c>
      <c r="BH212" s="3" t="str">
        <f>IF(56&gt;$C212,"",IF($D212=1,EOMONTH(EDATE(Bonds!$H212,6*(56-1)),0),EDATE(Bonds!$H212,6*(56-1))))</f>
        <v/>
      </c>
      <c r="BI212" s="3" t="str">
        <f>IF(57&gt;$C212,"",IF($D212=1,EOMONTH(EDATE(Bonds!$H212,6*(57-1)),0),EDATE(Bonds!$H212,6*(57-1))))</f>
        <v/>
      </c>
      <c r="BJ212" s="3" t="str">
        <f>IF(58&gt;$C212,"",IF($D212=1,EOMONTH(EDATE(Bonds!$H212,6*(58-1)),0),EDATE(Bonds!$H212,6*(58-1))))</f>
        <v/>
      </c>
      <c r="BK212" s="3" t="str">
        <f>IF(59&gt;$C212,"",IF($D212=1,EOMONTH(EDATE(Bonds!$H212,6*(59-1)),0),EDATE(Bonds!$H212,6*(59-1))))</f>
        <v/>
      </c>
      <c r="BL212" s="3" t="str">
        <f>IF(60&gt;$C212,"",IF($D212=1,EOMONTH(EDATE(Bonds!$H212,6*(60-1)),0),EDATE(Bonds!$H212,6*(60-1))))</f>
        <v/>
      </c>
      <c r="BN212" s="7">
        <f t="shared" si="184"/>
        <v>0.6143996764256362</v>
      </c>
      <c r="BO212" s="7">
        <f t="shared" si="185"/>
        <v>0.60144916115461777</v>
      </c>
      <c r="BP212" s="7">
        <f t="shared" si="186"/>
        <v>0.58795881739835065</v>
      </c>
      <c r="BQ212" s="7">
        <f t="shared" si="187"/>
        <v>0.57469279537058404</v>
      </c>
      <c r="BR212" s="7">
        <f t="shared" si="188"/>
        <v>0.56154507275737586</v>
      </c>
      <c r="BS212" s="7">
        <f t="shared" si="189"/>
        <v>0.54892750607678031</v>
      </c>
      <c r="BT212" s="7">
        <f t="shared" si="190"/>
        <v>0.53641233411450007</v>
      </c>
      <c r="BU212" s="7">
        <f t="shared" si="191"/>
        <v>0.52436797525751366</v>
      </c>
      <c r="BV212" s="7">
        <f t="shared" si="192"/>
        <v>0.51234487452791733</v>
      </c>
      <c r="BW212" s="7">
        <f t="shared" si="193"/>
        <v>80.610750521000426</v>
      </c>
      <c r="BX212" s="7">
        <f t="shared" si="194"/>
        <v>0</v>
      </c>
      <c r="BY212" s="7">
        <f t="shared" si="195"/>
        <v>0</v>
      </c>
      <c r="BZ212" s="7">
        <f t="shared" si="196"/>
        <v>0</v>
      </c>
      <c r="CA212" s="7">
        <f t="shared" si="197"/>
        <v>0</v>
      </c>
      <c r="CB212" s="7">
        <f t="shared" si="198"/>
        <v>0</v>
      </c>
      <c r="CC212" s="7">
        <f t="shared" si="199"/>
        <v>0</v>
      </c>
      <c r="CD212" s="7">
        <f t="shared" si="200"/>
        <v>0</v>
      </c>
      <c r="CE212" s="7">
        <f t="shared" si="201"/>
        <v>0</v>
      </c>
      <c r="CF212" s="7">
        <f t="shared" si="202"/>
        <v>0</v>
      </c>
      <c r="CG212" s="7">
        <f t="shared" si="203"/>
        <v>0</v>
      </c>
      <c r="CH212" s="7">
        <f t="shared" si="204"/>
        <v>0</v>
      </c>
      <c r="CI212" s="7">
        <f t="shared" si="205"/>
        <v>0</v>
      </c>
      <c r="CJ212" s="7">
        <f t="shared" si="206"/>
        <v>0</v>
      </c>
      <c r="CK212" s="7">
        <f t="shared" si="207"/>
        <v>0</v>
      </c>
      <c r="CL212" s="7">
        <f t="shared" si="208"/>
        <v>0</v>
      </c>
      <c r="CM212" s="7">
        <f t="shared" si="209"/>
        <v>0</v>
      </c>
      <c r="CN212" s="7">
        <f t="shared" si="210"/>
        <v>0</v>
      </c>
      <c r="CO212" s="7">
        <f t="shared" si="211"/>
        <v>0</v>
      </c>
      <c r="CP212" s="7">
        <f t="shared" si="212"/>
        <v>0</v>
      </c>
      <c r="CQ212" s="7">
        <f t="shared" si="213"/>
        <v>0</v>
      </c>
      <c r="CR212" s="7">
        <f t="shared" si="214"/>
        <v>0</v>
      </c>
      <c r="CS212" s="7">
        <f t="shared" si="215"/>
        <v>0</v>
      </c>
      <c r="CT212" s="7">
        <f t="shared" si="216"/>
        <v>0</v>
      </c>
      <c r="CU212" s="7">
        <f t="shared" si="217"/>
        <v>0</v>
      </c>
      <c r="CV212" s="7">
        <f t="shared" si="218"/>
        <v>0</v>
      </c>
      <c r="CW212" s="7">
        <f t="shared" si="219"/>
        <v>0</v>
      </c>
      <c r="CX212" s="7">
        <f t="shared" si="220"/>
        <v>0</v>
      </c>
      <c r="CY212" s="7">
        <f t="shared" si="221"/>
        <v>0</v>
      </c>
      <c r="CZ212" s="7">
        <f t="shared" si="222"/>
        <v>0</v>
      </c>
      <c r="DA212" s="7">
        <f t="shared" si="223"/>
        <v>0</v>
      </c>
      <c r="DB212" s="7">
        <f t="shared" si="224"/>
        <v>0</v>
      </c>
      <c r="DC212" s="7">
        <f t="shared" si="225"/>
        <v>0</v>
      </c>
      <c r="DD212" s="7">
        <f t="shared" si="226"/>
        <v>0</v>
      </c>
      <c r="DE212" s="7">
        <f t="shared" si="227"/>
        <v>0</v>
      </c>
      <c r="DF212" s="7">
        <f t="shared" si="228"/>
        <v>0</v>
      </c>
      <c r="DG212" s="7">
        <f t="shared" si="229"/>
        <v>0</v>
      </c>
      <c r="DH212" s="7">
        <f t="shared" si="230"/>
        <v>0</v>
      </c>
      <c r="DI212" s="7">
        <f t="shared" si="231"/>
        <v>0</v>
      </c>
      <c r="DJ212" s="7">
        <f t="shared" si="232"/>
        <v>0</v>
      </c>
      <c r="DK212" s="7">
        <f t="shared" si="233"/>
        <v>0</v>
      </c>
      <c r="DL212" s="7">
        <f t="shared" si="234"/>
        <v>0</v>
      </c>
      <c r="DM212" s="7">
        <f t="shared" si="235"/>
        <v>0</v>
      </c>
      <c r="DN212" s="7">
        <f t="shared" si="236"/>
        <v>0</v>
      </c>
      <c r="DO212" s="7">
        <f t="shared" si="237"/>
        <v>0</v>
      </c>
      <c r="DP212" s="7">
        <f t="shared" si="238"/>
        <v>0</v>
      </c>
      <c r="DQ212" s="7">
        <f t="shared" si="239"/>
        <v>0</v>
      </c>
      <c r="DR212" s="7">
        <f t="shared" si="240"/>
        <v>0</v>
      </c>
      <c r="DS212" s="7">
        <f t="shared" si="241"/>
        <v>0</v>
      </c>
      <c r="DT212" s="7">
        <f t="shared" si="242"/>
        <v>0</v>
      </c>
      <c r="DU212" s="7">
        <f t="shared" si="243"/>
        <v>0</v>
      </c>
    </row>
    <row r="213" spans="1:125" x14ac:dyDescent="0.2">
      <c r="A213" s="3">
        <f>Bonds!A213</f>
        <v>48091</v>
      </c>
      <c r="B213" s="4">
        <f>Bonds!B213</f>
        <v>3.75</v>
      </c>
      <c r="C213">
        <f>Bonds!P213</f>
        <v>10</v>
      </c>
      <c r="D213">
        <f t="shared" si="183"/>
        <v>1</v>
      </c>
      <c r="E213" s="3">
        <f>IF(1&gt;$C213,"",IF($D213=1,EOMONTH(EDATE(Bonds!$H213,6*(1-1)),0),EDATE(Bonds!$H213,6*(1-1))))</f>
        <v>46446</v>
      </c>
      <c r="F213" s="3">
        <f>IF(2&gt;$C213,"",IF($D213=1,EOMONTH(EDATE(Bonds!$H213,6*(2-1)),0),EDATE(Bonds!$H213,6*(2-1))))</f>
        <v>46630</v>
      </c>
      <c r="G213" s="3">
        <f>IF(3&gt;$C213,"",IF($D213=1,EOMONTH(EDATE(Bonds!$H213,6*(3-1)),0),EDATE(Bonds!$H213,6*(3-1))))</f>
        <v>46812</v>
      </c>
      <c r="H213" s="3">
        <f>IF(4&gt;$C213,"",IF($D213=1,EOMONTH(EDATE(Bonds!$H213,6*(4-1)),0),EDATE(Bonds!$H213,6*(4-1))))</f>
        <v>46996</v>
      </c>
      <c r="I213" s="3">
        <f>IF(5&gt;$C213,"",IF($D213=1,EOMONTH(EDATE(Bonds!$H213,6*(5-1)),0),EDATE(Bonds!$H213,6*(5-1))))</f>
        <v>47177</v>
      </c>
      <c r="J213" s="3">
        <f>IF(6&gt;$C213,"",IF($D213=1,EOMONTH(EDATE(Bonds!$H213,6*(6-1)),0),EDATE(Bonds!$H213,6*(6-1))))</f>
        <v>47361</v>
      </c>
      <c r="K213" s="3">
        <f>IF(7&gt;$C213,"",IF($D213=1,EOMONTH(EDATE(Bonds!$H213,6*(7-1)),0),EDATE(Bonds!$H213,6*(7-1))))</f>
        <v>47542</v>
      </c>
      <c r="L213" s="3">
        <f>IF(8&gt;$C213,"",IF($D213=1,EOMONTH(EDATE(Bonds!$H213,6*(8-1)),0),EDATE(Bonds!$H213,6*(8-1))))</f>
        <v>47726</v>
      </c>
      <c r="M213" s="3">
        <f>IF(9&gt;$C213,"",IF($D213=1,EOMONTH(EDATE(Bonds!$H213,6*(9-1)),0),EDATE(Bonds!$H213,6*(9-1))))</f>
        <v>47907</v>
      </c>
      <c r="N213" s="3">
        <f>IF(10&gt;$C213,"",IF($D213=1,EOMONTH(EDATE(Bonds!$H213,6*(10-1)),0),EDATE(Bonds!$H213,6*(10-1))))</f>
        <v>48091</v>
      </c>
      <c r="O213" s="3" t="str">
        <f>IF(11&gt;$C213,"",IF($D213=1,EOMONTH(EDATE(Bonds!$H213,6*(11-1)),0),EDATE(Bonds!$H213,6*(11-1))))</f>
        <v/>
      </c>
      <c r="P213" s="3" t="str">
        <f>IF(12&gt;$C213,"",IF($D213=1,EOMONTH(EDATE(Bonds!$H213,6*(12-1)),0),EDATE(Bonds!$H213,6*(12-1))))</f>
        <v/>
      </c>
      <c r="Q213" s="3" t="str">
        <f>IF(13&gt;$C213,"",IF($D213=1,EOMONTH(EDATE(Bonds!$H213,6*(13-1)),0),EDATE(Bonds!$H213,6*(13-1))))</f>
        <v/>
      </c>
      <c r="R213" s="3" t="str">
        <f>IF(14&gt;$C213,"",IF($D213=1,EOMONTH(EDATE(Bonds!$H213,6*(14-1)),0),EDATE(Bonds!$H213,6*(14-1))))</f>
        <v/>
      </c>
      <c r="S213" s="3" t="str">
        <f>IF(15&gt;$C213,"",IF($D213=1,EOMONTH(EDATE(Bonds!$H213,6*(15-1)),0),EDATE(Bonds!$H213,6*(15-1))))</f>
        <v/>
      </c>
      <c r="T213" s="3" t="str">
        <f>IF(16&gt;$C213,"",IF($D213=1,EOMONTH(EDATE(Bonds!$H213,6*(16-1)),0),EDATE(Bonds!$H213,6*(16-1))))</f>
        <v/>
      </c>
      <c r="U213" s="3" t="str">
        <f>IF(17&gt;$C213,"",IF($D213=1,EOMONTH(EDATE(Bonds!$H213,6*(17-1)),0),EDATE(Bonds!$H213,6*(17-1))))</f>
        <v/>
      </c>
      <c r="V213" s="3" t="str">
        <f>IF(18&gt;$C213,"",IF($D213=1,EOMONTH(EDATE(Bonds!$H213,6*(18-1)),0),EDATE(Bonds!$H213,6*(18-1))))</f>
        <v/>
      </c>
      <c r="W213" s="3" t="str">
        <f>IF(19&gt;$C213,"",IF($D213=1,EOMONTH(EDATE(Bonds!$H213,6*(19-1)),0),EDATE(Bonds!$H213,6*(19-1))))</f>
        <v/>
      </c>
      <c r="X213" s="3" t="str">
        <f>IF(20&gt;$C213,"",IF($D213=1,EOMONTH(EDATE(Bonds!$H213,6*(20-1)),0),EDATE(Bonds!$H213,6*(20-1))))</f>
        <v/>
      </c>
      <c r="Y213" s="3" t="str">
        <f>IF(21&gt;$C213,"",IF($D213=1,EOMONTH(EDATE(Bonds!$H213,6*(21-1)),0),EDATE(Bonds!$H213,6*(21-1))))</f>
        <v/>
      </c>
      <c r="Z213" s="3" t="str">
        <f>IF(22&gt;$C213,"",IF($D213=1,EOMONTH(EDATE(Bonds!$H213,6*(22-1)),0),EDATE(Bonds!$H213,6*(22-1))))</f>
        <v/>
      </c>
      <c r="AA213" s="3" t="str">
        <f>IF(23&gt;$C213,"",IF($D213=1,EOMONTH(EDATE(Bonds!$H213,6*(23-1)),0),EDATE(Bonds!$H213,6*(23-1))))</f>
        <v/>
      </c>
      <c r="AB213" s="3" t="str">
        <f>IF(24&gt;$C213,"",IF($D213=1,EOMONTH(EDATE(Bonds!$H213,6*(24-1)),0),EDATE(Bonds!$H213,6*(24-1))))</f>
        <v/>
      </c>
      <c r="AC213" s="3" t="str">
        <f>IF(25&gt;$C213,"",IF($D213=1,EOMONTH(EDATE(Bonds!$H213,6*(25-1)),0),EDATE(Bonds!$H213,6*(25-1))))</f>
        <v/>
      </c>
      <c r="AD213" s="3" t="str">
        <f>IF(26&gt;$C213,"",IF($D213=1,EOMONTH(EDATE(Bonds!$H213,6*(26-1)),0),EDATE(Bonds!$H213,6*(26-1))))</f>
        <v/>
      </c>
      <c r="AE213" s="3" t="str">
        <f>IF(27&gt;$C213,"",IF($D213=1,EOMONTH(EDATE(Bonds!$H213,6*(27-1)),0),EDATE(Bonds!$H213,6*(27-1))))</f>
        <v/>
      </c>
      <c r="AF213" s="3" t="str">
        <f>IF(28&gt;$C213,"",IF($D213=1,EOMONTH(EDATE(Bonds!$H213,6*(28-1)),0),EDATE(Bonds!$H213,6*(28-1))))</f>
        <v/>
      </c>
      <c r="AG213" s="3" t="str">
        <f>IF(29&gt;$C213,"",IF($D213=1,EOMONTH(EDATE(Bonds!$H213,6*(29-1)),0),EDATE(Bonds!$H213,6*(29-1))))</f>
        <v/>
      </c>
      <c r="AH213" s="3" t="str">
        <f>IF(30&gt;$C213,"",IF($D213=1,EOMONTH(EDATE(Bonds!$H213,6*(30-1)),0),EDATE(Bonds!$H213,6*(30-1))))</f>
        <v/>
      </c>
      <c r="AI213" s="3" t="str">
        <f>IF(31&gt;$C213,"",IF($D213=1,EOMONTH(EDATE(Bonds!$H213,6*(31-1)),0),EDATE(Bonds!$H213,6*(31-1))))</f>
        <v/>
      </c>
      <c r="AJ213" s="3" t="str">
        <f>IF(32&gt;$C213,"",IF($D213=1,EOMONTH(EDATE(Bonds!$H213,6*(32-1)),0),EDATE(Bonds!$H213,6*(32-1))))</f>
        <v/>
      </c>
      <c r="AK213" s="3" t="str">
        <f>IF(33&gt;$C213,"",IF($D213=1,EOMONTH(EDATE(Bonds!$H213,6*(33-1)),0),EDATE(Bonds!$H213,6*(33-1))))</f>
        <v/>
      </c>
      <c r="AL213" s="3" t="str">
        <f>IF(34&gt;$C213,"",IF($D213=1,EOMONTH(EDATE(Bonds!$H213,6*(34-1)),0),EDATE(Bonds!$H213,6*(34-1))))</f>
        <v/>
      </c>
      <c r="AM213" s="3" t="str">
        <f>IF(35&gt;$C213,"",IF($D213=1,EOMONTH(EDATE(Bonds!$H213,6*(35-1)),0),EDATE(Bonds!$H213,6*(35-1))))</f>
        <v/>
      </c>
      <c r="AN213" s="3" t="str">
        <f>IF(36&gt;$C213,"",IF($D213=1,EOMONTH(EDATE(Bonds!$H213,6*(36-1)),0),EDATE(Bonds!$H213,6*(36-1))))</f>
        <v/>
      </c>
      <c r="AO213" s="3" t="str">
        <f>IF(37&gt;$C213,"",IF($D213=1,EOMONTH(EDATE(Bonds!$H213,6*(37-1)),0),EDATE(Bonds!$H213,6*(37-1))))</f>
        <v/>
      </c>
      <c r="AP213" s="3" t="str">
        <f>IF(38&gt;$C213,"",IF($D213=1,EOMONTH(EDATE(Bonds!$H213,6*(38-1)),0),EDATE(Bonds!$H213,6*(38-1))))</f>
        <v/>
      </c>
      <c r="AQ213" s="3" t="str">
        <f>IF(39&gt;$C213,"",IF($D213=1,EOMONTH(EDATE(Bonds!$H213,6*(39-1)),0),EDATE(Bonds!$H213,6*(39-1))))</f>
        <v/>
      </c>
      <c r="AR213" s="3" t="str">
        <f>IF(40&gt;$C213,"",IF($D213=1,EOMONTH(EDATE(Bonds!$H213,6*(40-1)),0),EDATE(Bonds!$H213,6*(40-1))))</f>
        <v/>
      </c>
      <c r="AS213" s="3" t="str">
        <f>IF(41&gt;$C213,"",IF($D213=1,EOMONTH(EDATE(Bonds!$H213,6*(41-1)),0),EDATE(Bonds!$H213,6*(41-1))))</f>
        <v/>
      </c>
      <c r="AT213" s="3" t="str">
        <f>IF(42&gt;$C213,"",IF($D213=1,EOMONTH(EDATE(Bonds!$H213,6*(42-1)),0),EDATE(Bonds!$H213,6*(42-1))))</f>
        <v/>
      </c>
      <c r="AU213" s="3" t="str">
        <f>IF(43&gt;$C213,"",IF($D213=1,EOMONTH(EDATE(Bonds!$H213,6*(43-1)),0),EDATE(Bonds!$H213,6*(43-1))))</f>
        <v/>
      </c>
      <c r="AV213" s="3" t="str">
        <f>IF(44&gt;$C213,"",IF($D213=1,EOMONTH(EDATE(Bonds!$H213,6*(44-1)),0),EDATE(Bonds!$H213,6*(44-1))))</f>
        <v/>
      </c>
      <c r="AW213" s="3" t="str">
        <f>IF(45&gt;$C213,"",IF($D213=1,EOMONTH(EDATE(Bonds!$H213,6*(45-1)),0),EDATE(Bonds!$H213,6*(45-1))))</f>
        <v/>
      </c>
      <c r="AX213" s="3" t="str">
        <f>IF(46&gt;$C213,"",IF($D213=1,EOMONTH(EDATE(Bonds!$H213,6*(46-1)),0),EDATE(Bonds!$H213,6*(46-1))))</f>
        <v/>
      </c>
      <c r="AY213" s="3" t="str">
        <f>IF(47&gt;$C213,"",IF($D213=1,EOMONTH(EDATE(Bonds!$H213,6*(47-1)),0),EDATE(Bonds!$H213,6*(47-1))))</f>
        <v/>
      </c>
      <c r="AZ213" s="3" t="str">
        <f>IF(48&gt;$C213,"",IF($D213=1,EOMONTH(EDATE(Bonds!$H213,6*(48-1)),0),EDATE(Bonds!$H213,6*(48-1))))</f>
        <v/>
      </c>
      <c r="BA213" s="3" t="str">
        <f>IF(49&gt;$C213,"",IF($D213=1,EOMONTH(EDATE(Bonds!$H213,6*(49-1)),0),EDATE(Bonds!$H213,6*(49-1))))</f>
        <v/>
      </c>
      <c r="BB213" s="3" t="str">
        <f>IF(50&gt;$C213,"",IF($D213=1,EOMONTH(EDATE(Bonds!$H213,6*(50-1)),0),EDATE(Bonds!$H213,6*(50-1))))</f>
        <v/>
      </c>
      <c r="BC213" s="3" t="str">
        <f>IF(51&gt;$C213,"",IF($D213=1,EOMONTH(EDATE(Bonds!$H213,6*(51-1)),0),EDATE(Bonds!$H213,6*(51-1))))</f>
        <v/>
      </c>
      <c r="BD213" s="3" t="str">
        <f>IF(52&gt;$C213,"",IF($D213=1,EOMONTH(EDATE(Bonds!$H213,6*(52-1)),0),EDATE(Bonds!$H213,6*(52-1))))</f>
        <v/>
      </c>
      <c r="BE213" s="3" t="str">
        <f>IF(53&gt;$C213,"",IF($D213=1,EOMONTH(EDATE(Bonds!$H213,6*(53-1)),0),EDATE(Bonds!$H213,6*(53-1))))</f>
        <v/>
      </c>
      <c r="BF213" s="3" t="str">
        <f>IF(54&gt;$C213,"",IF($D213=1,EOMONTH(EDATE(Bonds!$H213,6*(54-1)),0),EDATE(Bonds!$H213,6*(54-1))))</f>
        <v/>
      </c>
      <c r="BG213" s="3" t="str">
        <f>IF(55&gt;$C213,"",IF($D213=1,EOMONTH(EDATE(Bonds!$H213,6*(55-1)),0),EDATE(Bonds!$H213,6*(55-1))))</f>
        <v/>
      </c>
      <c r="BH213" s="3" t="str">
        <f>IF(56&gt;$C213,"",IF($D213=1,EOMONTH(EDATE(Bonds!$H213,6*(56-1)),0),EDATE(Bonds!$H213,6*(56-1))))</f>
        <v/>
      </c>
      <c r="BI213" s="3" t="str">
        <f>IF(57&gt;$C213,"",IF($D213=1,EOMONTH(EDATE(Bonds!$H213,6*(57-1)),0),EDATE(Bonds!$H213,6*(57-1))))</f>
        <v/>
      </c>
      <c r="BJ213" s="3" t="str">
        <f>IF(58&gt;$C213,"",IF($D213=1,EOMONTH(EDATE(Bonds!$H213,6*(58-1)),0),EDATE(Bonds!$H213,6*(58-1))))</f>
        <v/>
      </c>
      <c r="BK213" s="3" t="str">
        <f>IF(59&gt;$C213,"",IF($D213=1,EOMONTH(EDATE(Bonds!$H213,6*(59-1)),0),EDATE(Bonds!$H213,6*(59-1))))</f>
        <v/>
      </c>
      <c r="BL213" s="3" t="str">
        <f>IF(60&gt;$C213,"",IF($D213=1,EOMONTH(EDATE(Bonds!$H213,6*(60-1)),0),EDATE(Bonds!$H213,6*(60-1))))</f>
        <v/>
      </c>
      <c r="BN213" s="7">
        <f t="shared" si="184"/>
        <v>1.8404804344859773</v>
      </c>
      <c r="BO213" s="7">
        <f t="shared" si="185"/>
        <v>1.80084383961021</v>
      </c>
      <c r="BP213" s="7">
        <f t="shared" si="186"/>
        <v>1.7607966782556665</v>
      </c>
      <c r="BQ213" s="7">
        <f t="shared" si="187"/>
        <v>1.7206124284536568</v>
      </c>
      <c r="BR213" s="7">
        <f t="shared" si="188"/>
        <v>1.6818847123684257</v>
      </c>
      <c r="BS213" s="7">
        <f t="shared" si="189"/>
        <v>1.6434816269392543</v>
      </c>
      <c r="BT213" s="7">
        <f t="shared" si="190"/>
        <v>1.6066170576935885</v>
      </c>
      <c r="BU213" s="7">
        <f t="shared" si="191"/>
        <v>1.5699431333640121</v>
      </c>
      <c r="BV213" s="7">
        <f t="shared" si="192"/>
        <v>1.5345075997450224</v>
      </c>
      <c r="BW213" s="7">
        <f t="shared" si="193"/>
        <v>81.445259464501476</v>
      </c>
      <c r="BX213" s="7">
        <f t="shared" si="194"/>
        <v>0</v>
      </c>
      <c r="BY213" s="7">
        <f t="shared" si="195"/>
        <v>0</v>
      </c>
      <c r="BZ213" s="7">
        <f t="shared" si="196"/>
        <v>0</v>
      </c>
      <c r="CA213" s="7">
        <f t="shared" si="197"/>
        <v>0</v>
      </c>
      <c r="CB213" s="7">
        <f t="shared" si="198"/>
        <v>0</v>
      </c>
      <c r="CC213" s="7">
        <f t="shared" si="199"/>
        <v>0</v>
      </c>
      <c r="CD213" s="7">
        <f t="shared" si="200"/>
        <v>0</v>
      </c>
      <c r="CE213" s="7">
        <f t="shared" si="201"/>
        <v>0</v>
      </c>
      <c r="CF213" s="7">
        <f t="shared" si="202"/>
        <v>0</v>
      </c>
      <c r="CG213" s="7">
        <f t="shared" si="203"/>
        <v>0</v>
      </c>
      <c r="CH213" s="7">
        <f t="shared" si="204"/>
        <v>0</v>
      </c>
      <c r="CI213" s="7">
        <f t="shared" si="205"/>
        <v>0</v>
      </c>
      <c r="CJ213" s="7">
        <f t="shared" si="206"/>
        <v>0</v>
      </c>
      <c r="CK213" s="7">
        <f t="shared" si="207"/>
        <v>0</v>
      </c>
      <c r="CL213" s="7">
        <f t="shared" si="208"/>
        <v>0</v>
      </c>
      <c r="CM213" s="7">
        <f t="shared" si="209"/>
        <v>0</v>
      </c>
      <c r="CN213" s="7">
        <f t="shared" si="210"/>
        <v>0</v>
      </c>
      <c r="CO213" s="7">
        <f t="shared" si="211"/>
        <v>0</v>
      </c>
      <c r="CP213" s="7">
        <f t="shared" si="212"/>
        <v>0</v>
      </c>
      <c r="CQ213" s="7">
        <f t="shared" si="213"/>
        <v>0</v>
      </c>
      <c r="CR213" s="7">
        <f t="shared" si="214"/>
        <v>0</v>
      </c>
      <c r="CS213" s="7">
        <f t="shared" si="215"/>
        <v>0</v>
      </c>
      <c r="CT213" s="7">
        <f t="shared" si="216"/>
        <v>0</v>
      </c>
      <c r="CU213" s="7">
        <f t="shared" si="217"/>
        <v>0</v>
      </c>
      <c r="CV213" s="7">
        <f t="shared" si="218"/>
        <v>0</v>
      </c>
      <c r="CW213" s="7">
        <f t="shared" si="219"/>
        <v>0</v>
      </c>
      <c r="CX213" s="7">
        <f t="shared" si="220"/>
        <v>0</v>
      </c>
      <c r="CY213" s="7">
        <f t="shared" si="221"/>
        <v>0</v>
      </c>
      <c r="CZ213" s="7">
        <f t="shared" si="222"/>
        <v>0</v>
      </c>
      <c r="DA213" s="7">
        <f t="shared" si="223"/>
        <v>0</v>
      </c>
      <c r="DB213" s="7">
        <f t="shared" si="224"/>
        <v>0</v>
      </c>
      <c r="DC213" s="7">
        <f t="shared" si="225"/>
        <v>0</v>
      </c>
      <c r="DD213" s="7">
        <f t="shared" si="226"/>
        <v>0</v>
      </c>
      <c r="DE213" s="7">
        <f t="shared" si="227"/>
        <v>0</v>
      </c>
      <c r="DF213" s="7">
        <f t="shared" si="228"/>
        <v>0</v>
      </c>
      <c r="DG213" s="7">
        <f t="shared" si="229"/>
        <v>0</v>
      </c>
      <c r="DH213" s="7">
        <f t="shared" si="230"/>
        <v>0</v>
      </c>
      <c r="DI213" s="7">
        <f t="shared" si="231"/>
        <v>0</v>
      </c>
      <c r="DJ213" s="7">
        <f t="shared" si="232"/>
        <v>0</v>
      </c>
      <c r="DK213" s="7">
        <f t="shared" si="233"/>
        <v>0</v>
      </c>
      <c r="DL213" s="7">
        <f t="shared" si="234"/>
        <v>0</v>
      </c>
      <c r="DM213" s="7">
        <f t="shared" si="235"/>
        <v>0</v>
      </c>
      <c r="DN213" s="7">
        <f t="shared" si="236"/>
        <v>0</v>
      </c>
      <c r="DO213" s="7">
        <f t="shared" si="237"/>
        <v>0</v>
      </c>
      <c r="DP213" s="7">
        <f t="shared" si="238"/>
        <v>0</v>
      </c>
      <c r="DQ213" s="7">
        <f t="shared" si="239"/>
        <v>0</v>
      </c>
      <c r="DR213" s="7">
        <f t="shared" si="240"/>
        <v>0</v>
      </c>
      <c r="DS213" s="7">
        <f t="shared" si="241"/>
        <v>0</v>
      </c>
      <c r="DT213" s="7">
        <f t="shared" si="242"/>
        <v>0</v>
      </c>
      <c r="DU213" s="7">
        <f t="shared" si="243"/>
        <v>0</v>
      </c>
    </row>
    <row r="214" spans="1:125" x14ac:dyDescent="0.2">
      <c r="A214" s="3">
        <f>Bonds!A214</f>
        <v>48091</v>
      </c>
      <c r="B214" s="4">
        <f>Bonds!B214</f>
        <v>4.375</v>
      </c>
      <c r="C214">
        <f>Bonds!P214</f>
        <v>10</v>
      </c>
      <c r="D214">
        <f t="shared" si="183"/>
        <v>1</v>
      </c>
      <c r="E214" s="3">
        <f>IF(1&gt;$C214,"",IF($D214=1,EOMONTH(EDATE(Bonds!$H214,6*(1-1)),0),EDATE(Bonds!$H214,6*(1-1))))</f>
        <v>46446</v>
      </c>
      <c r="F214" s="3">
        <f>IF(2&gt;$C214,"",IF($D214=1,EOMONTH(EDATE(Bonds!$H214,6*(2-1)),0),EDATE(Bonds!$H214,6*(2-1))))</f>
        <v>46630</v>
      </c>
      <c r="G214" s="3">
        <f>IF(3&gt;$C214,"",IF($D214=1,EOMONTH(EDATE(Bonds!$H214,6*(3-1)),0),EDATE(Bonds!$H214,6*(3-1))))</f>
        <v>46812</v>
      </c>
      <c r="H214" s="3">
        <f>IF(4&gt;$C214,"",IF($D214=1,EOMONTH(EDATE(Bonds!$H214,6*(4-1)),0),EDATE(Bonds!$H214,6*(4-1))))</f>
        <v>46996</v>
      </c>
      <c r="I214" s="3">
        <f>IF(5&gt;$C214,"",IF($D214=1,EOMONTH(EDATE(Bonds!$H214,6*(5-1)),0),EDATE(Bonds!$H214,6*(5-1))))</f>
        <v>47177</v>
      </c>
      <c r="J214" s="3">
        <f>IF(6&gt;$C214,"",IF($D214=1,EOMONTH(EDATE(Bonds!$H214,6*(6-1)),0),EDATE(Bonds!$H214,6*(6-1))))</f>
        <v>47361</v>
      </c>
      <c r="K214" s="3">
        <f>IF(7&gt;$C214,"",IF($D214=1,EOMONTH(EDATE(Bonds!$H214,6*(7-1)),0),EDATE(Bonds!$H214,6*(7-1))))</f>
        <v>47542</v>
      </c>
      <c r="L214" s="3">
        <f>IF(8&gt;$C214,"",IF($D214=1,EOMONTH(EDATE(Bonds!$H214,6*(8-1)),0),EDATE(Bonds!$H214,6*(8-1))))</f>
        <v>47726</v>
      </c>
      <c r="M214" s="3">
        <f>IF(9&gt;$C214,"",IF($D214=1,EOMONTH(EDATE(Bonds!$H214,6*(9-1)),0),EDATE(Bonds!$H214,6*(9-1))))</f>
        <v>47907</v>
      </c>
      <c r="N214" s="3">
        <f>IF(10&gt;$C214,"",IF($D214=1,EOMONTH(EDATE(Bonds!$H214,6*(10-1)),0),EDATE(Bonds!$H214,6*(10-1))))</f>
        <v>48091</v>
      </c>
      <c r="O214" s="3" t="str">
        <f>IF(11&gt;$C214,"",IF($D214=1,EOMONTH(EDATE(Bonds!$H214,6*(11-1)),0),EDATE(Bonds!$H214,6*(11-1))))</f>
        <v/>
      </c>
      <c r="P214" s="3" t="str">
        <f>IF(12&gt;$C214,"",IF($D214=1,EOMONTH(EDATE(Bonds!$H214,6*(12-1)),0),EDATE(Bonds!$H214,6*(12-1))))</f>
        <v/>
      </c>
      <c r="Q214" s="3" t="str">
        <f>IF(13&gt;$C214,"",IF($D214=1,EOMONTH(EDATE(Bonds!$H214,6*(13-1)),0),EDATE(Bonds!$H214,6*(13-1))))</f>
        <v/>
      </c>
      <c r="R214" s="3" t="str">
        <f>IF(14&gt;$C214,"",IF($D214=1,EOMONTH(EDATE(Bonds!$H214,6*(14-1)),0),EDATE(Bonds!$H214,6*(14-1))))</f>
        <v/>
      </c>
      <c r="S214" s="3" t="str">
        <f>IF(15&gt;$C214,"",IF($D214=1,EOMONTH(EDATE(Bonds!$H214,6*(15-1)),0),EDATE(Bonds!$H214,6*(15-1))))</f>
        <v/>
      </c>
      <c r="T214" s="3" t="str">
        <f>IF(16&gt;$C214,"",IF($D214=1,EOMONTH(EDATE(Bonds!$H214,6*(16-1)),0),EDATE(Bonds!$H214,6*(16-1))))</f>
        <v/>
      </c>
      <c r="U214" s="3" t="str">
        <f>IF(17&gt;$C214,"",IF($D214=1,EOMONTH(EDATE(Bonds!$H214,6*(17-1)),0),EDATE(Bonds!$H214,6*(17-1))))</f>
        <v/>
      </c>
      <c r="V214" s="3" t="str">
        <f>IF(18&gt;$C214,"",IF($D214=1,EOMONTH(EDATE(Bonds!$H214,6*(18-1)),0),EDATE(Bonds!$H214,6*(18-1))))</f>
        <v/>
      </c>
      <c r="W214" s="3" t="str">
        <f>IF(19&gt;$C214,"",IF($D214=1,EOMONTH(EDATE(Bonds!$H214,6*(19-1)),0),EDATE(Bonds!$H214,6*(19-1))))</f>
        <v/>
      </c>
      <c r="X214" s="3" t="str">
        <f>IF(20&gt;$C214,"",IF($D214=1,EOMONTH(EDATE(Bonds!$H214,6*(20-1)),0),EDATE(Bonds!$H214,6*(20-1))))</f>
        <v/>
      </c>
      <c r="Y214" s="3" t="str">
        <f>IF(21&gt;$C214,"",IF($D214=1,EOMONTH(EDATE(Bonds!$H214,6*(21-1)),0),EDATE(Bonds!$H214,6*(21-1))))</f>
        <v/>
      </c>
      <c r="Z214" s="3" t="str">
        <f>IF(22&gt;$C214,"",IF($D214=1,EOMONTH(EDATE(Bonds!$H214,6*(22-1)),0),EDATE(Bonds!$H214,6*(22-1))))</f>
        <v/>
      </c>
      <c r="AA214" s="3" t="str">
        <f>IF(23&gt;$C214,"",IF($D214=1,EOMONTH(EDATE(Bonds!$H214,6*(23-1)),0),EDATE(Bonds!$H214,6*(23-1))))</f>
        <v/>
      </c>
      <c r="AB214" s="3" t="str">
        <f>IF(24&gt;$C214,"",IF($D214=1,EOMONTH(EDATE(Bonds!$H214,6*(24-1)),0),EDATE(Bonds!$H214,6*(24-1))))</f>
        <v/>
      </c>
      <c r="AC214" s="3" t="str">
        <f>IF(25&gt;$C214,"",IF($D214=1,EOMONTH(EDATE(Bonds!$H214,6*(25-1)),0),EDATE(Bonds!$H214,6*(25-1))))</f>
        <v/>
      </c>
      <c r="AD214" s="3" t="str">
        <f>IF(26&gt;$C214,"",IF($D214=1,EOMONTH(EDATE(Bonds!$H214,6*(26-1)),0),EDATE(Bonds!$H214,6*(26-1))))</f>
        <v/>
      </c>
      <c r="AE214" s="3" t="str">
        <f>IF(27&gt;$C214,"",IF($D214=1,EOMONTH(EDATE(Bonds!$H214,6*(27-1)),0),EDATE(Bonds!$H214,6*(27-1))))</f>
        <v/>
      </c>
      <c r="AF214" s="3" t="str">
        <f>IF(28&gt;$C214,"",IF($D214=1,EOMONTH(EDATE(Bonds!$H214,6*(28-1)),0),EDATE(Bonds!$H214,6*(28-1))))</f>
        <v/>
      </c>
      <c r="AG214" s="3" t="str">
        <f>IF(29&gt;$C214,"",IF($D214=1,EOMONTH(EDATE(Bonds!$H214,6*(29-1)),0),EDATE(Bonds!$H214,6*(29-1))))</f>
        <v/>
      </c>
      <c r="AH214" s="3" t="str">
        <f>IF(30&gt;$C214,"",IF($D214=1,EOMONTH(EDATE(Bonds!$H214,6*(30-1)),0),EDATE(Bonds!$H214,6*(30-1))))</f>
        <v/>
      </c>
      <c r="AI214" s="3" t="str">
        <f>IF(31&gt;$C214,"",IF($D214=1,EOMONTH(EDATE(Bonds!$H214,6*(31-1)),0),EDATE(Bonds!$H214,6*(31-1))))</f>
        <v/>
      </c>
      <c r="AJ214" s="3" t="str">
        <f>IF(32&gt;$C214,"",IF($D214=1,EOMONTH(EDATE(Bonds!$H214,6*(32-1)),0),EDATE(Bonds!$H214,6*(32-1))))</f>
        <v/>
      </c>
      <c r="AK214" s="3" t="str">
        <f>IF(33&gt;$C214,"",IF($D214=1,EOMONTH(EDATE(Bonds!$H214,6*(33-1)),0),EDATE(Bonds!$H214,6*(33-1))))</f>
        <v/>
      </c>
      <c r="AL214" s="3" t="str">
        <f>IF(34&gt;$C214,"",IF($D214=1,EOMONTH(EDATE(Bonds!$H214,6*(34-1)),0),EDATE(Bonds!$H214,6*(34-1))))</f>
        <v/>
      </c>
      <c r="AM214" s="3" t="str">
        <f>IF(35&gt;$C214,"",IF($D214=1,EOMONTH(EDATE(Bonds!$H214,6*(35-1)),0),EDATE(Bonds!$H214,6*(35-1))))</f>
        <v/>
      </c>
      <c r="AN214" s="3" t="str">
        <f>IF(36&gt;$C214,"",IF($D214=1,EOMONTH(EDATE(Bonds!$H214,6*(36-1)),0),EDATE(Bonds!$H214,6*(36-1))))</f>
        <v/>
      </c>
      <c r="AO214" s="3" t="str">
        <f>IF(37&gt;$C214,"",IF($D214=1,EOMONTH(EDATE(Bonds!$H214,6*(37-1)),0),EDATE(Bonds!$H214,6*(37-1))))</f>
        <v/>
      </c>
      <c r="AP214" s="3" t="str">
        <f>IF(38&gt;$C214,"",IF($D214=1,EOMONTH(EDATE(Bonds!$H214,6*(38-1)),0),EDATE(Bonds!$H214,6*(38-1))))</f>
        <v/>
      </c>
      <c r="AQ214" s="3" t="str">
        <f>IF(39&gt;$C214,"",IF($D214=1,EOMONTH(EDATE(Bonds!$H214,6*(39-1)),0),EDATE(Bonds!$H214,6*(39-1))))</f>
        <v/>
      </c>
      <c r="AR214" s="3" t="str">
        <f>IF(40&gt;$C214,"",IF($D214=1,EOMONTH(EDATE(Bonds!$H214,6*(40-1)),0),EDATE(Bonds!$H214,6*(40-1))))</f>
        <v/>
      </c>
      <c r="AS214" s="3" t="str">
        <f>IF(41&gt;$C214,"",IF($D214=1,EOMONTH(EDATE(Bonds!$H214,6*(41-1)),0),EDATE(Bonds!$H214,6*(41-1))))</f>
        <v/>
      </c>
      <c r="AT214" s="3" t="str">
        <f>IF(42&gt;$C214,"",IF($D214=1,EOMONTH(EDATE(Bonds!$H214,6*(42-1)),0),EDATE(Bonds!$H214,6*(42-1))))</f>
        <v/>
      </c>
      <c r="AU214" s="3" t="str">
        <f>IF(43&gt;$C214,"",IF($D214=1,EOMONTH(EDATE(Bonds!$H214,6*(43-1)),0),EDATE(Bonds!$H214,6*(43-1))))</f>
        <v/>
      </c>
      <c r="AV214" s="3" t="str">
        <f>IF(44&gt;$C214,"",IF($D214=1,EOMONTH(EDATE(Bonds!$H214,6*(44-1)),0),EDATE(Bonds!$H214,6*(44-1))))</f>
        <v/>
      </c>
      <c r="AW214" s="3" t="str">
        <f>IF(45&gt;$C214,"",IF($D214=1,EOMONTH(EDATE(Bonds!$H214,6*(45-1)),0),EDATE(Bonds!$H214,6*(45-1))))</f>
        <v/>
      </c>
      <c r="AX214" s="3" t="str">
        <f>IF(46&gt;$C214,"",IF($D214=1,EOMONTH(EDATE(Bonds!$H214,6*(46-1)),0),EDATE(Bonds!$H214,6*(46-1))))</f>
        <v/>
      </c>
      <c r="AY214" s="3" t="str">
        <f>IF(47&gt;$C214,"",IF($D214=1,EOMONTH(EDATE(Bonds!$H214,6*(47-1)),0),EDATE(Bonds!$H214,6*(47-1))))</f>
        <v/>
      </c>
      <c r="AZ214" s="3" t="str">
        <f>IF(48&gt;$C214,"",IF($D214=1,EOMONTH(EDATE(Bonds!$H214,6*(48-1)),0),EDATE(Bonds!$H214,6*(48-1))))</f>
        <v/>
      </c>
      <c r="BA214" s="3" t="str">
        <f>IF(49&gt;$C214,"",IF($D214=1,EOMONTH(EDATE(Bonds!$H214,6*(49-1)),0),EDATE(Bonds!$H214,6*(49-1))))</f>
        <v/>
      </c>
      <c r="BB214" s="3" t="str">
        <f>IF(50&gt;$C214,"",IF($D214=1,EOMONTH(EDATE(Bonds!$H214,6*(50-1)),0),EDATE(Bonds!$H214,6*(50-1))))</f>
        <v/>
      </c>
      <c r="BC214" s="3" t="str">
        <f>IF(51&gt;$C214,"",IF($D214=1,EOMONTH(EDATE(Bonds!$H214,6*(51-1)),0),EDATE(Bonds!$H214,6*(51-1))))</f>
        <v/>
      </c>
      <c r="BD214" s="3" t="str">
        <f>IF(52&gt;$C214,"",IF($D214=1,EOMONTH(EDATE(Bonds!$H214,6*(52-1)),0),EDATE(Bonds!$H214,6*(52-1))))</f>
        <v/>
      </c>
      <c r="BE214" s="3" t="str">
        <f>IF(53&gt;$C214,"",IF($D214=1,EOMONTH(EDATE(Bonds!$H214,6*(53-1)),0),EDATE(Bonds!$H214,6*(53-1))))</f>
        <v/>
      </c>
      <c r="BF214" s="3" t="str">
        <f>IF(54&gt;$C214,"",IF($D214=1,EOMONTH(EDATE(Bonds!$H214,6*(54-1)),0),EDATE(Bonds!$H214,6*(54-1))))</f>
        <v/>
      </c>
      <c r="BG214" s="3" t="str">
        <f>IF(55&gt;$C214,"",IF($D214=1,EOMONTH(EDATE(Bonds!$H214,6*(55-1)),0),EDATE(Bonds!$H214,6*(55-1))))</f>
        <v/>
      </c>
      <c r="BH214" s="3" t="str">
        <f>IF(56&gt;$C214,"",IF($D214=1,EOMONTH(EDATE(Bonds!$H214,6*(56-1)),0),EDATE(Bonds!$H214,6*(56-1))))</f>
        <v/>
      </c>
      <c r="BI214" s="3" t="str">
        <f>IF(57&gt;$C214,"",IF($D214=1,EOMONTH(EDATE(Bonds!$H214,6*(57-1)),0),EDATE(Bonds!$H214,6*(57-1))))</f>
        <v/>
      </c>
      <c r="BJ214" s="3" t="str">
        <f>IF(58&gt;$C214,"",IF($D214=1,EOMONTH(EDATE(Bonds!$H214,6*(58-1)),0),EDATE(Bonds!$H214,6*(58-1))))</f>
        <v/>
      </c>
      <c r="BK214" s="3" t="str">
        <f>IF(59&gt;$C214,"",IF($D214=1,EOMONTH(EDATE(Bonds!$H214,6*(59-1)),0),EDATE(Bonds!$H214,6*(59-1))))</f>
        <v/>
      </c>
      <c r="BL214" s="3" t="str">
        <f>IF(60&gt;$C214,"",IF($D214=1,EOMONTH(EDATE(Bonds!$H214,6*(60-1)),0),EDATE(Bonds!$H214,6*(60-1))))</f>
        <v/>
      </c>
      <c r="BN214" s="7">
        <f t="shared" si="184"/>
        <v>2.1472271735669737</v>
      </c>
      <c r="BO214" s="7">
        <f t="shared" si="185"/>
        <v>2.1009844795452448</v>
      </c>
      <c r="BP214" s="7">
        <f t="shared" si="186"/>
        <v>2.0542627912982776</v>
      </c>
      <c r="BQ214" s="7">
        <f t="shared" si="187"/>
        <v>2.0073811665292665</v>
      </c>
      <c r="BR214" s="7">
        <f t="shared" si="188"/>
        <v>1.9621988310964968</v>
      </c>
      <c r="BS214" s="7">
        <f t="shared" si="189"/>
        <v>1.91739523142913</v>
      </c>
      <c r="BT214" s="7">
        <f t="shared" si="190"/>
        <v>1.8743865673091866</v>
      </c>
      <c r="BU214" s="7">
        <f t="shared" si="191"/>
        <v>1.8316003222580142</v>
      </c>
      <c r="BV214" s="7">
        <f t="shared" si="192"/>
        <v>1.7902588663691927</v>
      </c>
      <c r="BW214" s="7">
        <f t="shared" si="193"/>
        <v>81.695091548748408</v>
      </c>
      <c r="BX214" s="7">
        <f t="shared" si="194"/>
        <v>0</v>
      </c>
      <c r="BY214" s="7">
        <f t="shared" si="195"/>
        <v>0</v>
      </c>
      <c r="BZ214" s="7">
        <f t="shared" si="196"/>
        <v>0</v>
      </c>
      <c r="CA214" s="7">
        <f t="shared" si="197"/>
        <v>0</v>
      </c>
      <c r="CB214" s="7">
        <f t="shared" si="198"/>
        <v>0</v>
      </c>
      <c r="CC214" s="7">
        <f t="shared" si="199"/>
        <v>0</v>
      </c>
      <c r="CD214" s="7">
        <f t="shared" si="200"/>
        <v>0</v>
      </c>
      <c r="CE214" s="7">
        <f t="shared" si="201"/>
        <v>0</v>
      </c>
      <c r="CF214" s="7">
        <f t="shared" si="202"/>
        <v>0</v>
      </c>
      <c r="CG214" s="7">
        <f t="shared" si="203"/>
        <v>0</v>
      </c>
      <c r="CH214" s="7">
        <f t="shared" si="204"/>
        <v>0</v>
      </c>
      <c r="CI214" s="7">
        <f t="shared" si="205"/>
        <v>0</v>
      </c>
      <c r="CJ214" s="7">
        <f t="shared" si="206"/>
        <v>0</v>
      </c>
      <c r="CK214" s="7">
        <f t="shared" si="207"/>
        <v>0</v>
      </c>
      <c r="CL214" s="7">
        <f t="shared" si="208"/>
        <v>0</v>
      </c>
      <c r="CM214" s="7">
        <f t="shared" si="209"/>
        <v>0</v>
      </c>
      <c r="CN214" s="7">
        <f t="shared" si="210"/>
        <v>0</v>
      </c>
      <c r="CO214" s="7">
        <f t="shared" si="211"/>
        <v>0</v>
      </c>
      <c r="CP214" s="7">
        <f t="shared" si="212"/>
        <v>0</v>
      </c>
      <c r="CQ214" s="7">
        <f t="shared" si="213"/>
        <v>0</v>
      </c>
      <c r="CR214" s="7">
        <f t="shared" si="214"/>
        <v>0</v>
      </c>
      <c r="CS214" s="7">
        <f t="shared" si="215"/>
        <v>0</v>
      </c>
      <c r="CT214" s="7">
        <f t="shared" si="216"/>
        <v>0</v>
      </c>
      <c r="CU214" s="7">
        <f t="shared" si="217"/>
        <v>0</v>
      </c>
      <c r="CV214" s="7">
        <f t="shared" si="218"/>
        <v>0</v>
      </c>
      <c r="CW214" s="7">
        <f t="shared" si="219"/>
        <v>0</v>
      </c>
      <c r="CX214" s="7">
        <f t="shared" si="220"/>
        <v>0</v>
      </c>
      <c r="CY214" s="7">
        <f t="shared" si="221"/>
        <v>0</v>
      </c>
      <c r="CZ214" s="7">
        <f t="shared" si="222"/>
        <v>0</v>
      </c>
      <c r="DA214" s="7">
        <f t="shared" si="223"/>
        <v>0</v>
      </c>
      <c r="DB214" s="7">
        <f t="shared" si="224"/>
        <v>0</v>
      </c>
      <c r="DC214" s="7">
        <f t="shared" si="225"/>
        <v>0</v>
      </c>
      <c r="DD214" s="7">
        <f t="shared" si="226"/>
        <v>0</v>
      </c>
      <c r="DE214" s="7">
        <f t="shared" si="227"/>
        <v>0</v>
      </c>
      <c r="DF214" s="7">
        <f t="shared" si="228"/>
        <v>0</v>
      </c>
      <c r="DG214" s="7">
        <f t="shared" si="229"/>
        <v>0</v>
      </c>
      <c r="DH214" s="7">
        <f t="shared" si="230"/>
        <v>0</v>
      </c>
      <c r="DI214" s="7">
        <f t="shared" si="231"/>
        <v>0</v>
      </c>
      <c r="DJ214" s="7">
        <f t="shared" si="232"/>
        <v>0</v>
      </c>
      <c r="DK214" s="7">
        <f t="shared" si="233"/>
        <v>0</v>
      </c>
      <c r="DL214" s="7">
        <f t="shared" si="234"/>
        <v>0</v>
      </c>
      <c r="DM214" s="7">
        <f t="shared" si="235"/>
        <v>0</v>
      </c>
      <c r="DN214" s="7">
        <f t="shared" si="236"/>
        <v>0</v>
      </c>
      <c r="DO214" s="7">
        <f t="shared" si="237"/>
        <v>0</v>
      </c>
      <c r="DP214" s="7">
        <f t="shared" si="238"/>
        <v>0</v>
      </c>
      <c r="DQ214" s="7">
        <f t="shared" si="239"/>
        <v>0</v>
      </c>
      <c r="DR214" s="7">
        <f t="shared" si="240"/>
        <v>0</v>
      </c>
      <c r="DS214" s="7">
        <f t="shared" si="241"/>
        <v>0</v>
      </c>
      <c r="DT214" s="7">
        <f t="shared" si="242"/>
        <v>0</v>
      </c>
      <c r="DU214" s="7">
        <f t="shared" si="243"/>
        <v>0</v>
      </c>
    </row>
    <row r="215" spans="1:125" x14ac:dyDescent="0.2">
      <c r="A215" s="3">
        <f>Bonds!A215</f>
        <v>48121</v>
      </c>
      <c r="B215" s="4">
        <f>Bonds!B215</f>
        <v>3.625</v>
      </c>
      <c r="C215">
        <f>Bonds!P215</f>
        <v>11</v>
      </c>
      <c r="D215">
        <f t="shared" si="183"/>
        <v>1</v>
      </c>
      <c r="E215" s="3">
        <f>IF(1&gt;$C215,"",IF($D215=1,EOMONTH(EDATE(Bonds!$H215,6*(1-1)),0),EDATE(Bonds!$H215,6*(1-1))))</f>
        <v>46295</v>
      </c>
      <c r="F215" s="3">
        <f>IF(2&gt;$C215,"",IF($D215=1,EOMONTH(EDATE(Bonds!$H215,6*(2-1)),0),EDATE(Bonds!$H215,6*(2-1))))</f>
        <v>46477</v>
      </c>
      <c r="G215" s="3">
        <f>IF(3&gt;$C215,"",IF($D215=1,EOMONTH(EDATE(Bonds!$H215,6*(3-1)),0),EDATE(Bonds!$H215,6*(3-1))))</f>
        <v>46660</v>
      </c>
      <c r="H215" s="3">
        <f>IF(4&gt;$C215,"",IF($D215=1,EOMONTH(EDATE(Bonds!$H215,6*(4-1)),0),EDATE(Bonds!$H215,6*(4-1))))</f>
        <v>46843</v>
      </c>
      <c r="I215" s="3">
        <f>IF(5&gt;$C215,"",IF($D215=1,EOMONTH(EDATE(Bonds!$H215,6*(5-1)),0),EDATE(Bonds!$H215,6*(5-1))))</f>
        <v>47026</v>
      </c>
      <c r="J215" s="3">
        <f>IF(6&gt;$C215,"",IF($D215=1,EOMONTH(EDATE(Bonds!$H215,6*(6-1)),0),EDATE(Bonds!$H215,6*(6-1))))</f>
        <v>47208</v>
      </c>
      <c r="K215" s="3">
        <f>IF(7&gt;$C215,"",IF($D215=1,EOMONTH(EDATE(Bonds!$H215,6*(7-1)),0),EDATE(Bonds!$H215,6*(7-1))))</f>
        <v>47391</v>
      </c>
      <c r="L215" s="3">
        <f>IF(8&gt;$C215,"",IF($D215=1,EOMONTH(EDATE(Bonds!$H215,6*(8-1)),0),EDATE(Bonds!$H215,6*(8-1))))</f>
        <v>47573</v>
      </c>
      <c r="M215" s="3">
        <f>IF(9&gt;$C215,"",IF($D215=1,EOMONTH(EDATE(Bonds!$H215,6*(9-1)),0),EDATE(Bonds!$H215,6*(9-1))))</f>
        <v>47756</v>
      </c>
      <c r="N215" s="3">
        <f>IF(10&gt;$C215,"",IF($D215=1,EOMONTH(EDATE(Bonds!$H215,6*(10-1)),0),EDATE(Bonds!$H215,6*(10-1))))</f>
        <v>47938</v>
      </c>
      <c r="O215" s="3">
        <f>IF(11&gt;$C215,"",IF($D215=1,EOMONTH(EDATE(Bonds!$H215,6*(11-1)),0),EDATE(Bonds!$H215,6*(11-1))))</f>
        <v>48121</v>
      </c>
      <c r="P215" s="3" t="str">
        <f>IF(12&gt;$C215,"",IF($D215=1,EOMONTH(EDATE(Bonds!$H215,6*(12-1)),0),EDATE(Bonds!$H215,6*(12-1))))</f>
        <v/>
      </c>
      <c r="Q215" s="3" t="str">
        <f>IF(13&gt;$C215,"",IF($D215=1,EOMONTH(EDATE(Bonds!$H215,6*(13-1)),0),EDATE(Bonds!$H215,6*(13-1))))</f>
        <v/>
      </c>
      <c r="R215" s="3" t="str">
        <f>IF(14&gt;$C215,"",IF($D215=1,EOMONTH(EDATE(Bonds!$H215,6*(14-1)),0),EDATE(Bonds!$H215,6*(14-1))))</f>
        <v/>
      </c>
      <c r="S215" s="3" t="str">
        <f>IF(15&gt;$C215,"",IF($D215=1,EOMONTH(EDATE(Bonds!$H215,6*(15-1)),0),EDATE(Bonds!$H215,6*(15-1))))</f>
        <v/>
      </c>
      <c r="T215" s="3" t="str">
        <f>IF(16&gt;$C215,"",IF($D215=1,EOMONTH(EDATE(Bonds!$H215,6*(16-1)),0),EDATE(Bonds!$H215,6*(16-1))))</f>
        <v/>
      </c>
      <c r="U215" s="3" t="str">
        <f>IF(17&gt;$C215,"",IF($D215=1,EOMONTH(EDATE(Bonds!$H215,6*(17-1)),0),EDATE(Bonds!$H215,6*(17-1))))</f>
        <v/>
      </c>
      <c r="V215" s="3" t="str">
        <f>IF(18&gt;$C215,"",IF($D215=1,EOMONTH(EDATE(Bonds!$H215,6*(18-1)),0),EDATE(Bonds!$H215,6*(18-1))))</f>
        <v/>
      </c>
      <c r="W215" s="3" t="str">
        <f>IF(19&gt;$C215,"",IF($D215=1,EOMONTH(EDATE(Bonds!$H215,6*(19-1)),0),EDATE(Bonds!$H215,6*(19-1))))</f>
        <v/>
      </c>
      <c r="X215" s="3" t="str">
        <f>IF(20&gt;$C215,"",IF($D215=1,EOMONTH(EDATE(Bonds!$H215,6*(20-1)),0),EDATE(Bonds!$H215,6*(20-1))))</f>
        <v/>
      </c>
      <c r="Y215" s="3" t="str">
        <f>IF(21&gt;$C215,"",IF($D215=1,EOMONTH(EDATE(Bonds!$H215,6*(21-1)),0),EDATE(Bonds!$H215,6*(21-1))))</f>
        <v/>
      </c>
      <c r="Z215" s="3" t="str">
        <f>IF(22&gt;$C215,"",IF($D215=1,EOMONTH(EDATE(Bonds!$H215,6*(22-1)),0),EDATE(Bonds!$H215,6*(22-1))))</f>
        <v/>
      </c>
      <c r="AA215" s="3" t="str">
        <f>IF(23&gt;$C215,"",IF($D215=1,EOMONTH(EDATE(Bonds!$H215,6*(23-1)),0),EDATE(Bonds!$H215,6*(23-1))))</f>
        <v/>
      </c>
      <c r="AB215" s="3" t="str">
        <f>IF(24&gt;$C215,"",IF($D215=1,EOMONTH(EDATE(Bonds!$H215,6*(24-1)),0),EDATE(Bonds!$H215,6*(24-1))))</f>
        <v/>
      </c>
      <c r="AC215" s="3" t="str">
        <f>IF(25&gt;$C215,"",IF($D215=1,EOMONTH(EDATE(Bonds!$H215,6*(25-1)),0),EDATE(Bonds!$H215,6*(25-1))))</f>
        <v/>
      </c>
      <c r="AD215" s="3" t="str">
        <f>IF(26&gt;$C215,"",IF($D215=1,EOMONTH(EDATE(Bonds!$H215,6*(26-1)),0),EDATE(Bonds!$H215,6*(26-1))))</f>
        <v/>
      </c>
      <c r="AE215" s="3" t="str">
        <f>IF(27&gt;$C215,"",IF($D215=1,EOMONTH(EDATE(Bonds!$H215,6*(27-1)),0),EDATE(Bonds!$H215,6*(27-1))))</f>
        <v/>
      </c>
      <c r="AF215" s="3" t="str">
        <f>IF(28&gt;$C215,"",IF($D215=1,EOMONTH(EDATE(Bonds!$H215,6*(28-1)),0),EDATE(Bonds!$H215,6*(28-1))))</f>
        <v/>
      </c>
      <c r="AG215" s="3" t="str">
        <f>IF(29&gt;$C215,"",IF($D215=1,EOMONTH(EDATE(Bonds!$H215,6*(29-1)),0),EDATE(Bonds!$H215,6*(29-1))))</f>
        <v/>
      </c>
      <c r="AH215" s="3" t="str">
        <f>IF(30&gt;$C215,"",IF($D215=1,EOMONTH(EDATE(Bonds!$H215,6*(30-1)),0),EDATE(Bonds!$H215,6*(30-1))))</f>
        <v/>
      </c>
      <c r="AI215" s="3" t="str">
        <f>IF(31&gt;$C215,"",IF($D215=1,EOMONTH(EDATE(Bonds!$H215,6*(31-1)),0),EDATE(Bonds!$H215,6*(31-1))))</f>
        <v/>
      </c>
      <c r="AJ215" s="3" t="str">
        <f>IF(32&gt;$C215,"",IF($D215=1,EOMONTH(EDATE(Bonds!$H215,6*(32-1)),0),EDATE(Bonds!$H215,6*(32-1))))</f>
        <v/>
      </c>
      <c r="AK215" s="3" t="str">
        <f>IF(33&gt;$C215,"",IF($D215=1,EOMONTH(EDATE(Bonds!$H215,6*(33-1)),0),EDATE(Bonds!$H215,6*(33-1))))</f>
        <v/>
      </c>
      <c r="AL215" s="3" t="str">
        <f>IF(34&gt;$C215,"",IF($D215=1,EOMONTH(EDATE(Bonds!$H215,6*(34-1)),0),EDATE(Bonds!$H215,6*(34-1))))</f>
        <v/>
      </c>
      <c r="AM215" s="3" t="str">
        <f>IF(35&gt;$C215,"",IF($D215=1,EOMONTH(EDATE(Bonds!$H215,6*(35-1)),0),EDATE(Bonds!$H215,6*(35-1))))</f>
        <v/>
      </c>
      <c r="AN215" s="3" t="str">
        <f>IF(36&gt;$C215,"",IF($D215=1,EOMONTH(EDATE(Bonds!$H215,6*(36-1)),0),EDATE(Bonds!$H215,6*(36-1))))</f>
        <v/>
      </c>
      <c r="AO215" s="3" t="str">
        <f>IF(37&gt;$C215,"",IF($D215=1,EOMONTH(EDATE(Bonds!$H215,6*(37-1)),0),EDATE(Bonds!$H215,6*(37-1))))</f>
        <v/>
      </c>
      <c r="AP215" s="3" t="str">
        <f>IF(38&gt;$C215,"",IF($D215=1,EOMONTH(EDATE(Bonds!$H215,6*(38-1)),0),EDATE(Bonds!$H215,6*(38-1))))</f>
        <v/>
      </c>
      <c r="AQ215" s="3" t="str">
        <f>IF(39&gt;$C215,"",IF($D215=1,EOMONTH(EDATE(Bonds!$H215,6*(39-1)),0),EDATE(Bonds!$H215,6*(39-1))))</f>
        <v/>
      </c>
      <c r="AR215" s="3" t="str">
        <f>IF(40&gt;$C215,"",IF($D215=1,EOMONTH(EDATE(Bonds!$H215,6*(40-1)),0),EDATE(Bonds!$H215,6*(40-1))))</f>
        <v/>
      </c>
      <c r="AS215" s="3" t="str">
        <f>IF(41&gt;$C215,"",IF($D215=1,EOMONTH(EDATE(Bonds!$H215,6*(41-1)),0),EDATE(Bonds!$H215,6*(41-1))))</f>
        <v/>
      </c>
      <c r="AT215" s="3" t="str">
        <f>IF(42&gt;$C215,"",IF($D215=1,EOMONTH(EDATE(Bonds!$H215,6*(42-1)),0),EDATE(Bonds!$H215,6*(42-1))))</f>
        <v/>
      </c>
      <c r="AU215" s="3" t="str">
        <f>IF(43&gt;$C215,"",IF($D215=1,EOMONTH(EDATE(Bonds!$H215,6*(43-1)),0),EDATE(Bonds!$H215,6*(43-1))))</f>
        <v/>
      </c>
      <c r="AV215" s="3" t="str">
        <f>IF(44&gt;$C215,"",IF($D215=1,EOMONTH(EDATE(Bonds!$H215,6*(44-1)),0),EDATE(Bonds!$H215,6*(44-1))))</f>
        <v/>
      </c>
      <c r="AW215" s="3" t="str">
        <f>IF(45&gt;$C215,"",IF($D215=1,EOMONTH(EDATE(Bonds!$H215,6*(45-1)),0),EDATE(Bonds!$H215,6*(45-1))))</f>
        <v/>
      </c>
      <c r="AX215" s="3" t="str">
        <f>IF(46&gt;$C215,"",IF($D215=1,EOMONTH(EDATE(Bonds!$H215,6*(46-1)),0),EDATE(Bonds!$H215,6*(46-1))))</f>
        <v/>
      </c>
      <c r="AY215" s="3" t="str">
        <f>IF(47&gt;$C215,"",IF($D215=1,EOMONTH(EDATE(Bonds!$H215,6*(47-1)),0),EDATE(Bonds!$H215,6*(47-1))))</f>
        <v/>
      </c>
      <c r="AZ215" s="3" t="str">
        <f>IF(48&gt;$C215,"",IF($D215=1,EOMONTH(EDATE(Bonds!$H215,6*(48-1)),0),EDATE(Bonds!$H215,6*(48-1))))</f>
        <v/>
      </c>
      <c r="BA215" s="3" t="str">
        <f>IF(49&gt;$C215,"",IF($D215=1,EOMONTH(EDATE(Bonds!$H215,6*(49-1)),0),EDATE(Bonds!$H215,6*(49-1))))</f>
        <v/>
      </c>
      <c r="BB215" s="3" t="str">
        <f>IF(50&gt;$C215,"",IF($D215=1,EOMONTH(EDATE(Bonds!$H215,6*(50-1)),0),EDATE(Bonds!$H215,6*(50-1))))</f>
        <v/>
      </c>
      <c r="BC215" s="3" t="str">
        <f>IF(51&gt;$C215,"",IF($D215=1,EOMONTH(EDATE(Bonds!$H215,6*(51-1)),0),EDATE(Bonds!$H215,6*(51-1))))</f>
        <v/>
      </c>
      <c r="BD215" s="3" t="str">
        <f>IF(52&gt;$C215,"",IF($D215=1,EOMONTH(EDATE(Bonds!$H215,6*(52-1)),0),EDATE(Bonds!$H215,6*(52-1))))</f>
        <v/>
      </c>
      <c r="BE215" s="3" t="str">
        <f>IF(53&gt;$C215,"",IF($D215=1,EOMONTH(EDATE(Bonds!$H215,6*(53-1)),0),EDATE(Bonds!$H215,6*(53-1))))</f>
        <v/>
      </c>
      <c r="BF215" s="3" t="str">
        <f>IF(54&gt;$C215,"",IF($D215=1,EOMONTH(EDATE(Bonds!$H215,6*(54-1)),0),EDATE(Bonds!$H215,6*(54-1))))</f>
        <v/>
      </c>
      <c r="BG215" s="3" t="str">
        <f>IF(55&gt;$C215,"",IF($D215=1,EOMONTH(EDATE(Bonds!$H215,6*(55-1)),0),EDATE(Bonds!$H215,6*(55-1))))</f>
        <v/>
      </c>
      <c r="BH215" s="3" t="str">
        <f>IF(56&gt;$C215,"",IF($D215=1,EOMONTH(EDATE(Bonds!$H215,6*(56-1)),0),EDATE(Bonds!$H215,6*(56-1))))</f>
        <v/>
      </c>
      <c r="BI215" s="3" t="str">
        <f>IF(57&gt;$C215,"",IF($D215=1,EOMONTH(EDATE(Bonds!$H215,6*(57-1)),0),EDATE(Bonds!$H215,6*(57-1))))</f>
        <v/>
      </c>
      <c r="BJ215" s="3" t="str">
        <f>IF(58&gt;$C215,"",IF($D215=1,EOMONTH(EDATE(Bonds!$H215,6*(58-1)),0),EDATE(Bonds!$H215,6*(58-1))))</f>
        <v/>
      </c>
      <c r="BK215" s="3" t="str">
        <f>IF(59&gt;$C215,"",IF($D215=1,EOMONTH(EDATE(Bonds!$H215,6*(59-1)),0),EDATE(Bonds!$H215,6*(59-1))))</f>
        <v/>
      </c>
      <c r="BL215" s="3" t="str">
        <f>IF(60&gt;$C215,"",IF($D215=1,EOMONTH(EDATE(Bonds!$H215,6*(60-1)),0),EDATE(Bonds!$H215,6*(60-1))))</f>
        <v/>
      </c>
      <c r="BN215" s="7">
        <f t="shared" si="184"/>
        <v>1.808493326786736</v>
      </c>
      <c r="BO215" s="7">
        <f t="shared" si="185"/>
        <v>1.7728088886354192</v>
      </c>
      <c r="BP215" s="7">
        <f t="shared" si="186"/>
        <v>1.7344510640467843</v>
      </c>
      <c r="BQ215" s="7">
        <f t="shared" si="187"/>
        <v>1.6955187584603006</v>
      </c>
      <c r="BR215" s="7">
        <f t="shared" si="188"/>
        <v>1.6569935504525206</v>
      </c>
      <c r="BS215" s="7">
        <f t="shared" si="189"/>
        <v>1.6195008992214941</v>
      </c>
      <c r="BT215" s="7">
        <f t="shared" si="190"/>
        <v>1.5827345321062274</v>
      </c>
      <c r="BU215" s="7">
        <f t="shared" si="191"/>
        <v>1.5470395409530813</v>
      </c>
      <c r="BV215" s="7">
        <f t="shared" si="192"/>
        <v>1.5118955806655923</v>
      </c>
      <c r="BW215" s="7">
        <f t="shared" si="193"/>
        <v>1.4775420881265837</v>
      </c>
      <c r="BX215" s="7">
        <f t="shared" si="194"/>
        <v>81.083038157755496</v>
      </c>
      <c r="BY215" s="7">
        <f t="shared" si="195"/>
        <v>0</v>
      </c>
      <c r="BZ215" s="7">
        <f t="shared" si="196"/>
        <v>0</v>
      </c>
      <c r="CA215" s="7">
        <f t="shared" si="197"/>
        <v>0</v>
      </c>
      <c r="CB215" s="7">
        <f t="shared" si="198"/>
        <v>0</v>
      </c>
      <c r="CC215" s="7">
        <f t="shared" si="199"/>
        <v>0</v>
      </c>
      <c r="CD215" s="7">
        <f t="shared" si="200"/>
        <v>0</v>
      </c>
      <c r="CE215" s="7">
        <f t="shared" si="201"/>
        <v>0</v>
      </c>
      <c r="CF215" s="7">
        <f t="shared" si="202"/>
        <v>0</v>
      </c>
      <c r="CG215" s="7">
        <f t="shared" si="203"/>
        <v>0</v>
      </c>
      <c r="CH215" s="7">
        <f t="shared" si="204"/>
        <v>0</v>
      </c>
      <c r="CI215" s="7">
        <f t="shared" si="205"/>
        <v>0</v>
      </c>
      <c r="CJ215" s="7">
        <f t="shared" si="206"/>
        <v>0</v>
      </c>
      <c r="CK215" s="7">
        <f t="shared" si="207"/>
        <v>0</v>
      </c>
      <c r="CL215" s="7">
        <f t="shared" si="208"/>
        <v>0</v>
      </c>
      <c r="CM215" s="7">
        <f t="shared" si="209"/>
        <v>0</v>
      </c>
      <c r="CN215" s="7">
        <f t="shared" si="210"/>
        <v>0</v>
      </c>
      <c r="CO215" s="7">
        <f t="shared" si="211"/>
        <v>0</v>
      </c>
      <c r="CP215" s="7">
        <f t="shared" si="212"/>
        <v>0</v>
      </c>
      <c r="CQ215" s="7">
        <f t="shared" si="213"/>
        <v>0</v>
      </c>
      <c r="CR215" s="7">
        <f t="shared" si="214"/>
        <v>0</v>
      </c>
      <c r="CS215" s="7">
        <f t="shared" si="215"/>
        <v>0</v>
      </c>
      <c r="CT215" s="7">
        <f t="shared" si="216"/>
        <v>0</v>
      </c>
      <c r="CU215" s="7">
        <f t="shared" si="217"/>
        <v>0</v>
      </c>
      <c r="CV215" s="7">
        <f t="shared" si="218"/>
        <v>0</v>
      </c>
      <c r="CW215" s="7">
        <f t="shared" si="219"/>
        <v>0</v>
      </c>
      <c r="CX215" s="7">
        <f t="shared" si="220"/>
        <v>0</v>
      </c>
      <c r="CY215" s="7">
        <f t="shared" si="221"/>
        <v>0</v>
      </c>
      <c r="CZ215" s="7">
        <f t="shared" si="222"/>
        <v>0</v>
      </c>
      <c r="DA215" s="7">
        <f t="shared" si="223"/>
        <v>0</v>
      </c>
      <c r="DB215" s="7">
        <f t="shared" si="224"/>
        <v>0</v>
      </c>
      <c r="DC215" s="7">
        <f t="shared" si="225"/>
        <v>0</v>
      </c>
      <c r="DD215" s="7">
        <f t="shared" si="226"/>
        <v>0</v>
      </c>
      <c r="DE215" s="7">
        <f t="shared" si="227"/>
        <v>0</v>
      </c>
      <c r="DF215" s="7">
        <f t="shared" si="228"/>
        <v>0</v>
      </c>
      <c r="DG215" s="7">
        <f t="shared" si="229"/>
        <v>0</v>
      </c>
      <c r="DH215" s="7">
        <f t="shared" si="230"/>
        <v>0</v>
      </c>
      <c r="DI215" s="7">
        <f t="shared" si="231"/>
        <v>0</v>
      </c>
      <c r="DJ215" s="7">
        <f t="shared" si="232"/>
        <v>0</v>
      </c>
      <c r="DK215" s="7">
        <f t="shared" si="233"/>
        <v>0</v>
      </c>
      <c r="DL215" s="7">
        <f t="shared" si="234"/>
        <v>0</v>
      </c>
      <c r="DM215" s="7">
        <f t="shared" si="235"/>
        <v>0</v>
      </c>
      <c r="DN215" s="7">
        <f t="shared" si="236"/>
        <v>0</v>
      </c>
      <c r="DO215" s="7">
        <f t="shared" si="237"/>
        <v>0</v>
      </c>
      <c r="DP215" s="7">
        <f t="shared" si="238"/>
        <v>0</v>
      </c>
      <c r="DQ215" s="7">
        <f t="shared" si="239"/>
        <v>0</v>
      </c>
      <c r="DR215" s="7">
        <f t="shared" si="240"/>
        <v>0</v>
      </c>
      <c r="DS215" s="7">
        <f t="shared" si="241"/>
        <v>0</v>
      </c>
      <c r="DT215" s="7">
        <f t="shared" si="242"/>
        <v>0</v>
      </c>
      <c r="DU215" s="7">
        <f t="shared" si="243"/>
        <v>0</v>
      </c>
    </row>
    <row r="216" spans="1:125" x14ac:dyDescent="0.2">
      <c r="A216" s="3">
        <f>Bonds!A216</f>
        <v>48152</v>
      </c>
      <c r="B216" s="4">
        <f>Bonds!B216</f>
        <v>4.125</v>
      </c>
      <c r="C216">
        <f>Bonds!P216</f>
        <v>11</v>
      </c>
      <c r="D216">
        <f t="shared" si="183"/>
        <v>1</v>
      </c>
      <c r="E216" s="3">
        <f>IF(1&gt;$C216,"",IF($D216=1,EOMONTH(EDATE(Bonds!$H216,6*(1-1)),0),EDATE(Bonds!$H216,6*(1-1))))</f>
        <v>46326</v>
      </c>
      <c r="F216" s="3">
        <f>IF(2&gt;$C216,"",IF($D216=1,EOMONTH(EDATE(Bonds!$H216,6*(2-1)),0),EDATE(Bonds!$H216,6*(2-1))))</f>
        <v>46507</v>
      </c>
      <c r="G216" s="3">
        <f>IF(3&gt;$C216,"",IF($D216=1,EOMONTH(EDATE(Bonds!$H216,6*(3-1)),0),EDATE(Bonds!$H216,6*(3-1))))</f>
        <v>46691</v>
      </c>
      <c r="H216" s="3">
        <f>IF(4&gt;$C216,"",IF($D216=1,EOMONTH(EDATE(Bonds!$H216,6*(4-1)),0),EDATE(Bonds!$H216,6*(4-1))))</f>
        <v>46873</v>
      </c>
      <c r="I216" s="3">
        <f>IF(5&gt;$C216,"",IF($D216=1,EOMONTH(EDATE(Bonds!$H216,6*(5-1)),0),EDATE(Bonds!$H216,6*(5-1))))</f>
        <v>47057</v>
      </c>
      <c r="J216" s="3">
        <f>IF(6&gt;$C216,"",IF($D216=1,EOMONTH(EDATE(Bonds!$H216,6*(6-1)),0),EDATE(Bonds!$H216,6*(6-1))))</f>
        <v>47238</v>
      </c>
      <c r="K216" s="3">
        <f>IF(7&gt;$C216,"",IF($D216=1,EOMONTH(EDATE(Bonds!$H216,6*(7-1)),0),EDATE(Bonds!$H216,6*(7-1))))</f>
        <v>47422</v>
      </c>
      <c r="L216" s="3">
        <f>IF(8&gt;$C216,"",IF($D216=1,EOMONTH(EDATE(Bonds!$H216,6*(8-1)),0),EDATE(Bonds!$H216,6*(8-1))))</f>
        <v>47603</v>
      </c>
      <c r="M216" s="3">
        <f>IF(9&gt;$C216,"",IF($D216=1,EOMONTH(EDATE(Bonds!$H216,6*(9-1)),0),EDATE(Bonds!$H216,6*(9-1))))</f>
        <v>47787</v>
      </c>
      <c r="N216" s="3">
        <f>IF(10&gt;$C216,"",IF($D216=1,EOMONTH(EDATE(Bonds!$H216,6*(10-1)),0),EDATE(Bonds!$H216,6*(10-1))))</f>
        <v>47968</v>
      </c>
      <c r="O216" s="3">
        <f>IF(11&gt;$C216,"",IF($D216=1,EOMONTH(EDATE(Bonds!$H216,6*(11-1)),0),EDATE(Bonds!$H216,6*(11-1))))</f>
        <v>48152</v>
      </c>
      <c r="P216" s="3" t="str">
        <f>IF(12&gt;$C216,"",IF($D216=1,EOMONTH(EDATE(Bonds!$H216,6*(12-1)),0),EDATE(Bonds!$H216,6*(12-1))))</f>
        <v/>
      </c>
      <c r="Q216" s="3" t="str">
        <f>IF(13&gt;$C216,"",IF($D216=1,EOMONTH(EDATE(Bonds!$H216,6*(13-1)),0),EDATE(Bonds!$H216,6*(13-1))))</f>
        <v/>
      </c>
      <c r="R216" s="3" t="str">
        <f>IF(14&gt;$C216,"",IF($D216=1,EOMONTH(EDATE(Bonds!$H216,6*(14-1)),0),EDATE(Bonds!$H216,6*(14-1))))</f>
        <v/>
      </c>
      <c r="S216" s="3" t="str">
        <f>IF(15&gt;$C216,"",IF($D216=1,EOMONTH(EDATE(Bonds!$H216,6*(15-1)),0),EDATE(Bonds!$H216,6*(15-1))))</f>
        <v/>
      </c>
      <c r="T216" s="3" t="str">
        <f>IF(16&gt;$C216,"",IF($D216=1,EOMONTH(EDATE(Bonds!$H216,6*(16-1)),0),EDATE(Bonds!$H216,6*(16-1))))</f>
        <v/>
      </c>
      <c r="U216" s="3" t="str">
        <f>IF(17&gt;$C216,"",IF($D216=1,EOMONTH(EDATE(Bonds!$H216,6*(17-1)),0),EDATE(Bonds!$H216,6*(17-1))))</f>
        <v/>
      </c>
      <c r="V216" s="3" t="str">
        <f>IF(18&gt;$C216,"",IF($D216=1,EOMONTH(EDATE(Bonds!$H216,6*(18-1)),0),EDATE(Bonds!$H216,6*(18-1))))</f>
        <v/>
      </c>
      <c r="W216" s="3" t="str">
        <f>IF(19&gt;$C216,"",IF($D216=1,EOMONTH(EDATE(Bonds!$H216,6*(19-1)),0),EDATE(Bonds!$H216,6*(19-1))))</f>
        <v/>
      </c>
      <c r="X216" s="3" t="str">
        <f>IF(20&gt;$C216,"",IF($D216=1,EOMONTH(EDATE(Bonds!$H216,6*(20-1)),0),EDATE(Bonds!$H216,6*(20-1))))</f>
        <v/>
      </c>
      <c r="Y216" s="3" t="str">
        <f>IF(21&gt;$C216,"",IF($D216=1,EOMONTH(EDATE(Bonds!$H216,6*(21-1)),0),EDATE(Bonds!$H216,6*(21-1))))</f>
        <v/>
      </c>
      <c r="Z216" s="3" t="str">
        <f>IF(22&gt;$C216,"",IF($D216=1,EOMONTH(EDATE(Bonds!$H216,6*(22-1)),0),EDATE(Bonds!$H216,6*(22-1))))</f>
        <v/>
      </c>
      <c r="AA216" s="3" t="str">
        <f>IF(23&gt;$C216,"",IF($D216=1,EOMONTH(EDATE(Bonds!$H216,6*(23-1)),0),EDATE(Bonds!$H216,6*(23-1))))</f>
        <v/>
      </c>
      <c r="AB216" s="3" t="str">
        <f>IF(24&gt;$C216,"",IF($D216=1,EOMONTH(EDATE(Bonds!$H216,6*(24-1)),0),EDATE(Bonds!$H216,6*(24-1))))</f>
        <v/>
      </c>
      <c r="AC216" s="3" t="str">
        <f>IF(25&gt;$C216,"",IF($D216=1,EOMONTH(EDATE(Bonds!$H216,6*(25-1)),0),EDATE(Bonds!$H216,6*(25-1))))</f>
        <v/>
      </c>
      <c r="AD216" s="3" t="str">
        <f>IF(26&gt;$C216,"",IF($D216=1,EOMONTH(EDATE(Bonds!$H216,6*(26-1)),0),EDATE(Bonds!$H216,6*(26-1))))</f>
        <v/>
      </c>
      <c r="AE216" s="3" t="str">
        <f>IF(27&gt;$C216,"",IF($D216=1,EOMONTH(EDATE(Bonds!$H216,6*(27-1)),0),EDATE(Bonds!$H216,6*(27-1))))</f>
        <v/>
      </c>
      <c r="AF216" s="3" t="str">
        <f>IF(28&gt;$C216,"",IF($D216=1,EOMONTH(EDATE(Bonds!$H216,6*(28-1)),0),EDATE(Bonds!$H216,6*(28-1))))</f>
        <v/>
      </c>
      <c r="AG216" s="3" t="str">
        <f>IF(29&gt;$C216,"",IF($D216=1,EOMONTH(EDATE(Bonds!$H216,6*(29-1)),0),EDATE(Bonds!$H216,6*(29-1))))</f>
        <v/>
      </c>
      <c r="AH216" s="3" t="str">
        <f>IF(30&gt;$C216,"",IF($D216=1,EOMONTH(EDATE(Bonds!$H216,6*(30-1)),0),EDATE(Bonds!$H216,6*(30-1))))</f>
        <v/>
      </c>
      <c r="AI216" s="3" t="str">
        <f>IF(31&gt;$C216,"",IF($D216=1,EOMONTH(EDATE(Bonds!$H216,6*(31-1)),0),EDATE(Bonds!$H216,6*(31-1))))</f>
        <v/>
      </c>
      <c r="AJ216" s="3" t="str">
        <f>IF(32&gt;$C216,"",IF($D216=1,EOMONTH(EDATE(Bonds!$H216,6*(32-1)),0),EDATE(Bonds!$H216,6*(32-1))))</f>
        <v/>
      </c>
      <c r="AK216" s="3" t="str">
        <f>IF(33&gt;$C216,"",IF($D216=1,EOMONTH(EDATE(Bonds!$H216,6*(33-1)),0),EDATE(Bonds!$H216,6*(33-1))))</f>
        <v/>
      </c>
      <c r="AL216" s="3" t="str">
        <f>IF(34&gt;$C216,"",IF($D216=1,EOMONTH(EDATE(Bonds!$H216,6*(34-1)),0),EDATE(Bonds!$H216,6*(34-1))))</f>
        <v/>
      </c>
      <c r="AM216" s="3" t="str">
        <f>IF(35&gt;$C216,"",IF($D216=1,EOMONTH(EDATE(Bonds!$H216,6*(35-1)),0),EDATE(Bonds!$H216,6*(35-1))))</f>
        <v/>
      </c>
      <c r="AN216" s="3" t="str">
        <f>IF(36&gt;$C216,"",IF($D216=1,EOMONTH(EDATE(Bonds!$H216,6*(36-1)),0),EDATE(Bonds!$H216,6*(36-1))))</f>
        <v/>
      </c>
      <c r="AO216" s="3" t="str">
        <f>IF(37&gt;$C216,"",IF($D216=1,EOMONTH(EDATE(Bonds!$H216,6*(37-1)),0),EDATE(Bonds!$H216,6*(37-1))))</f>
        <v/>
      </c>
      <c r="AP216" s="3" t="str">
        <f>IF(38&gt;$C216,"",IF($D216=1,EOMONTH(EDATE(Bonds!$H216,6*(38-1)),0),EDATE(Bonds!$H216,6*(38-1))))</f>
        <v/>
      </c>
      <c r="AQ216" s="3" t="str">
        <f>IF(39&gt;$C216,"",IF($D216=1,EOMONTH(EDATE(Bonds!$H216,6*(39-1)),0),EDATE(Bonds!$H216,6*(39-1))))</f>
        <v/>
      </c>
      <c r="AR216" s="3" t="str">
        <f>IF(40&gt;$C216,"",IF($D216=1,EOMONTH(EDATE(Bonds!$H216,6*(40-1)),0),EDATE(Bonds!$H216,6*(40-1))))</f>
        <v/>
      </c>
      <c r="AS216" s="3" t="str">
        <f>IF(41&gt;$C216,"",IF($D216=1,EOMONTH(EDATE(Bonds!$H216,6*(41-1)),0),EDATE(Bonds!$H216,6*(41-1))))</f>
        <v/>
      </c>
      <c r="AT216" s="3" t="str">
        <f>IF(42&gt;$C216,"",IF($D216=1,EOMONTH(EDATE(Bonds!$H216,6*(42-1)),0),EDATE(Bonds!$H216,6*(42-1))))</f>
        <v/>
      </c>
      <c r="AU216" s="3" t="str">
        <f>IF(43&gt;$C216,"",IF($D216=1,EOMONTH(EDATE(Bonds!$H216,6*(43-1)),0),EDATE(Bonds!$H216,6*(43-1))))</f>
        <v/>
      </c>
      <c r="AV216" s="3" t="str">
        <f>IF(44&gt;$C216,"",IF($D216=1,EOMONTH(EDATE(Bonds!$H216,6*(44-1)),0),EDATE(Bonds!$H216,6*(44-1))))</f>
        <v/>
      </c>
      <c r="AW216" s="3" t="str">
        <f>IF(45&gt;$C216,"",IF($D216=1,EOMONTH(EDATE(Bonds!$H216,6*(45-1)),0),EDATE(Bonds!$H216,6*(45-1))))</f>
        <v/>
      </c>
      <c r="AX216" s="3" t="str">
        <f>IF(46&gt;$C216,"",IF($D216=1,EOMONTH(EDATE(Bonds!$H216,6*(46-1)),0),EDATE(Bonds!$H216,6*(46-1))))</f>
        <v/>
      </c>
      <c r="AY216" s="3" t="str">
        <f>IF(47&gt;$C216,"",IF($D216=1,EOMONTH(EDATE(Bonds!$H216,6*(47-1)),0),EDATE(Bonds!$H216,6*(47-1))))</f>
        <v/>
      </c>
      <c r="AZ216" s="3" t="str">
        <f>IF(48&gt;$C216,"",IF($D216=1,EOMONTH(EDATE(Bonds!$H216,6*(48-1)),0),EDATE(Bonds!$H216,6*(48-1))))</f>
        <v/>
      </c>
      <c r="BA216" s="3" t="str">
        <f>IF(49&gt;$C216,"",IF($D216=1,EOMONTH(EDATE(Bonds!$H216,6*(49-1)),0),EDATE(Bonds!$H216,6*(49-1))))</f>
        <v/>
      </c>
      <c r="BB216" s="3" t="str">
        <f>IF(50&gt;$C216,"",IF($D216=1,EOMONTH(EDATE(Bonds!$H216,6*(50-1)),0),EDATE(Bonds!$H216,6*(50-1))))</f>
        <v/>
      </c>
      <c r="BC216" s="3" t="str">
        <f>IF(51&gt;$C216,"",IF($D216=1,EOMONTH(EDATE(Bonds!$H216,6*(51-1)),0),EDATE(Bonds!$H216,6*(51-1))))</f>
        <v/>
      </c>
      <c r="BD216" s="3" t="str">
        <f>IF(52&gt;$C216,"",IF($D216=1,EOMONTH(EDATE(Bonds!$H216,6*(52-1)),0),EDATE(Bonds!$H216,6*(52-1))))</f>
        <v/>
      </c>
      <c r="BE216" s="3" t="str">
        <f>IF(53&gt;$C216,"",IF($D216=1,EOMONTH(EDATE(Bonds!$H216,6*(53-1)),0),EDATE(Bonds!$H216,6*(53-1))))</f>
        <v/>
      </c>
      <c r="BF216" s="3" t="str">
        <f>IF(54&gt;$C216,"",IF($D216=1,EOMONTH(EDATE(Bonds!$H216,6*(54-1)),0),EDATE(Bonds!$H216,6*(54-1))))</f>
        <v/>
      </c>
      <c r="BG216" s="3" t="str">
        <f>IF(55&gt;$C216,"",IF($D216=1,EOMONTH(EDATE(Bonds!$H216,6*(55-1)),0),EDATE(Bonds!$H216,6*(55-1))))</f>
        <v/>
      </c>
      <c r="BH216" s="3" t="str">
        <f>IF(56&gt;$C216,"",IF($D216=1,EOMONTH(EDATE(Bonds!$H216,6*(56-1)),0),EDATE(Bonds!$H216,6*(56-1))))</f>
        <v/>
      </c>
      <c r="BI216" s="3" t="str">
        <f>IF(57&gt;$C216,"",IF($D216=1,EOMONTH(EDATE(Bonds!$H216,6*(57-1)),0),EDATE(Bonds!$H216,6*(57-1))))</f>
        <v/>
      </c>
      <c r="BJ216" s="3" t="str">
        <f>IF(58&gt;$C216,"",IF($D216=1,EOMONTH(EDATE(Bonds!$H216,6*(58-1)),0),EDATE(Bonds!$H216,6*(58-1))))</f>
        <v/>
      </c>
      <c r="BK216" s="3" t="str">
        <f>IF(59&gt;$C216,"",IF($D216=1,EOMONTH(EDATE(Bonds!$H216,6*(59-1)),0),EDATE(Bonds!$H216,6*(59-1))))</f>
        <v/>
      </c>
      <c r="BL216" s="3" t="str">
        <f>IF(60&gt;$C216,"",IF($D216=1,EOMONTH(EDATE(Bonds!$H216,6*(60-1)),0),EDATE(Bonds!$H216,6*(60-1))))</f>
        <v/>
      </c>
      <c r="BN216" s="7">
        <f t="shared" si="184"/>
        <v>2.0513595090946413</v>
      </c>
      <c r="BO216" s="7">
        <f t="shared" si="185"/>
        <v>2.010298221656114</v>
      </c>
      <c r="BP216" s="7">
        <f t="shared" si="186"/>
        <v>1.9661857360162629</v>
      </c>
      <c r="BQ216" s="7">
        <f t="shared" si="187"/>
        <v>1.9221461788118896</v>
      </c>
      <c r="BR216" s="7">
        <f t="shared" si="188"/>
        <v>1.878204898294944</v>
      </c>
      <c r="BS216" s="7">
        <f t="shared" si="189"/>
        <v>1.835948967912461</v>
      </c>
      <c r="BT216" s="7">
        <f t="shared" si="190"/>
        <v>1.7940578182400548</v>
      </c>
      <c r="BU216" s="7">
        <f t="shared" si="191"/>
        <v>1.753814305170855</v>
      </c>
      <c r="BV216" s="7">
        <f t="shared" si="192"/>
        <v>1.7137308721400051</v>
      </c>
      <c r="BW216" s="7">
        <f t="shared" si="193"/>
        <v>1.6749516158686171</v>
      </c>
      <c r="BX216" s="7">
        <f t="shared" si="194"/>
        <v>80.959248434765627</v>
      </c>
      <c r="BY216" s="7">
        <f t="shared" si="195"/>
        <v>0</v>
      </c>
      <c r="BZ216" s="7">
        <f t="shared" si="196"/>
        <v>0</v>
      </c>
      <c r="CA216" s="7">
        <f t="shared" si="197"/>
        <v>0</v>
      </c>
      <c r="CB216" s="7">
        <f t="shared" si="198"/>
        <v>0</v>
      </c>
      <c r="CC216" s="7">
        <f t="shared" si="199"/>
        <v>0</v>
      </c>
      <c r="CD216" s="7">
        <f t="shared" si="200"/>
        <v>0</v>
      </c>
      <c r="CE216" s="7">
        <f t="shared" si="201"/>
        <v>0</v>
      </c>
      <c r="CF216" s="7">
        <f t="shared" si="202"/>
        <v>0</v>
      </c>
      <c r="CG216" s="7">
        <f t="shared" si="203"/>
        <v>0</v>
      </c>
      <c r="CH216" s="7">
        <f t="shared" si="204"/>
        <v>0</v>
      </c>
      <c r="CI216" s="7">
        <f t="shared" si="205"/>
        <v>0</v>
      </c>
      <c r="CJ216" s="7">
        <f t="shared" si="206"/>
        <v>0</v>
      </c>
      <c r="CK216" s="7">
        <f t="shared" si="207"/>
        <v>0</v>
      </c>
      <c r="CL216" s="7">
        <f t="shared" si="208"/>
        <v>0</v>
      </c>
      <c r="CM216" s="7">
        <f t="shared" si="209"/>
        <v>0</v>
      </c>
      <c r="CN216" s="7">
        <f t="shared" si="210"/>
        <v>0</v>
      </c>
      <c r="CO216" s="7">
        <f t="shared" si="211"/>
        <v>0</v>
      </c>
      <c r="CP216" s="7">
        <f t="shared" si="212"/>
        <v>0</v>
      </c>
      <c r="CQ216" s="7">
        <f t="shared" si="213"/>
        <v>0</v>
      </c>
      <c r="CR216" s="7">
        <f t="shared" si="214"/>
        <v>0</v>
      </c>
      <c r="CS216" s="7">
        <f t="shared" si="215"/>
        <v>0</v>
      </c>
      <c r="CT216" s="7">
        <f t="shared" si="216"/>
        <v>0</v>
      </c>
      <c r="CU216" s="7">
        <f t="shared" si="217"/>
        <v>0</v>
      </c>
      <c r="CV216" s="7">
        <f t="shared" si="218"/>
        <v>0</v>
      </c>
      <c r="CW216" s="7">
        <f t="shared" si="219"/>
        <v>0</v>
      </c>
      <c r="CX216" s="7">
        <f t="shared" si="220"/>
        <v>0</v>
      </c>
      <c r="CY216" s="7">
        <f t="shared" si="221"/>
        <v>0</v>
      </c>
      <c r="CZ216" s="7">
        <f t="shared" si="222"/>
        <v>0</v>
      </c>
      <c r="DA216" s="7">
        <f t="shared" si="223"/>
        <v>0</v>
      </c>
      <c r="DB216" s="7">
        <f t="shared" si="224"/>
        <v>0</v>
      </c>
      <c r="DC216" s="7">
        <f t="shared" si="225"/>
        <v>0</v>
      </c>
      <c r="DD216" s="7">
        <f t="shared" si="226"/>
        <v>0</v>
      </c>
      <c r="DE216" s="7">
        <f t="shared" si="227"/>
        <v>0</v>
      </c>
      <c r="DF216" s="7">
        <f t="shared" si="228"/>
        <v>0</v>
      </c>
      <c r="DG216" s="7">
        <f t="shared" si="229"/>
        <v>0</v>
      </c>
      <c r="DH216" s="7">
        <f t="shared" si="230"/>
        <v>0</v>
      </c>
      <c r="DI216" s="7">
        <f t="shared" si="231"/>
        <v>0</v>
      </c>
      <c r="DJ216" s="7">
        <f t="shared" si="232"/>
        <v>0</v>
      </c>
      <c r="DK216" s="7">
        <f t="shared" si="233"/>
        <v>0</v>
      </c>
      <c r="DL216" s="7">
        <f t="shared" si="234"/>
        <v>0</v>
      </c>
      <c r="DM216" s="7">
        <f t="shared" si="235"/>
        <v>0</v>
      </c>
      <c r="DN216" s="7">
        <f t="shared" si="236"/>
        <v>0</v>
      </c>
      <c r="DO216" s="7">
        <f t="shared" si="237"/>
        <v>0</v>
      </c>
      <c r="DP216" s="7">
        <f t="shared" si="238"/>
        <v>0</v>
      </c>
      <c r="DQ216" s="7">
        <f t="shared" si="239"/>
        <v>0</v>
      </c>
      <c r="DR216" s="7">
        <f t="shared" si="240"/>
        <v>0</v>
      </c>
      <c r="DS216" s="7">
        <f t="shared" si="241"/>
        <v>0</v>
      </c>
      <c r="DT216" s="7">
        <f t="shared" si="242"/>
        <v>0</v>
      </c>
      <c r="DU216" s="7">
        <f t="shared" si="243"/>
        <v>0</v>
      </c>
    </row>
    <row r="217" spans="1:125" x14ac:dyDescent="0.2">
      <c r="A217" s="3">
        <f>Bonds!A217</f>
        <v>48167</v>
      </c>
      <c r="B217" s="4">
        <f>Bonds!B217</f>
        <v>1.375</v>
      </c>
      <c r="C217">
        <f>Bonds!P217</f>
        <v>11</v>
      </c>
      <c r="D217">
        <f t="shared" si="183"/>
        <v>0</v>
      </c>
      <c r="E217" s="3">
        <f>IF(1&gt;$C217,"",IF($D217=1,EOMONTH(EDATE(Bonds!$H217,6*(1-1)),0),EDATE(Bonds!$H217,6*(1-1))))</f>
        <v>46341</v>
      </c>
      <c r="F217" s="3">
        <f>IF(2&gt;$C217,"",IF($D217=1,EOMONTH(EDATE(Bonds!$H217,6*(2-1)),0),EDATE(Bonds!$H217,6*(2-1))))</f>
        <v>46522</v>
      </c>
      <c r="G217" s="3">
        <f>IF(3&gt;$C217,"",IF($D217=1,EOMONTH(EDATE(Bonds!$H217,6*(3-1)),0),EDATE(Bonds!$H217,6*(3-1))))</f>
        <v>46706</v>
      </c>
      <c r="H217" s="3">
        <f>IF(4&gt;$C217,"",IF($D217=1,EOMONTH(EDATE(Bonds!$H217,6*(4-1)),0),EDATE(Bonds!$H217,6*(4-1))))</f>
        <v>46888</v>
      </c>
      <c r="I217" s="3">
        <f>IF(5&gt;$C217,"",IF($D217=1,EOMONTH(EDATE(Bonds!$H217,6*(5-1)),0),EDATE(Bonds!$H217,6*(5-1))))</f>
        <v>47072</v>
      </c>
      <c r="J217" s="3">
        <f>IF(6&gt;$C217,"",IF($D217=1,EOMONTH(EDATE(Bonds!$H217,6*(6-1)),0),EDATE(Bonds!$H217,6*(6-1))))</f>
        <v>47253</v>
      </c>
      <c r="K217" s="3">
        <f>IF(7&gt;$C217,"",IF($D217=1,EOMONTH(EDATE(Bonds!$H217,6*(7-1)),0),EDATE(Bonds!$H217,6*(7-1))))</f>
        <v>47437</v>
      </c>
      <c r="L217" s="3">
        <f>IF(8&gt;$C217,"",IF($D217=1,EOMONTH(EDATE(Bonds!$H217,6*(8-1)),0),EDATE(Bonds!$H217,6*(8-1))))</f>
        <v>47618</v>
      </c>
      <c r="M217" s="3">
        <f>IF(9&gt;$C217,"",IF($D217=1,EOMONTH(EDATE(Bonds!$H217,6*(9-1)),0),EDATE(Bonds!$H217,6*(9-1))))</f>
        <v>47802</v>
      </c>
      <c r="N217" s="3">
        <f>IF(10&gt;$C217,"",IF($D217=1,EOMONTH(EDATE(Bonds!$H217,6*(10-1)),0),EDATE(Bonds!$H217,6*(10-1))))</f>
        <v>47983</v>
      </c>
      <c r="O217" s="3">
        <f>IF(11&gt;$C217,"",IF($D217=1,EOMONTH(EDATE(Bonds!$H217,6*(11-1)),0),EDATE(Bonds!$H217,6*(11-1))))</f>
        <v>48167</v>
      </c>
      <c r="P217" s="3" t="str">
        <f>IF(12&gt;$C217,"",IF($D217=1,EOMONTH(EDATE(Bonds!$H217,6*(12-1)),0),EDATE(Bonds!$H217,6*(12-1))))</f>
        <v/>
      </c>
      <c r="Q217" s="3" t="str">
        <f>IF(13&gt;$C217,"",IF($D217=1,EOMONTH(EDATE(Bonds!$H217,6*(13-1)),0),EDATE(Bonds!$H217,6*(13-1))))</f>
        <v/>
      </c>
      <c r="R217" s="3" t="str">
        <f>IF(14&gt;$C217,"",IF($D217=1,EOMONTH(EDATE(Bonds!$H217,6*(14-1)),0),EDATE(Bonds!$H217,6*(14-1))))</f>
        <v/>
      </c>
      <c r="S217" s="3" t="str">
        <f>IF(15&gt;$C217,"",IF($D217=1,EOMONTH(EDATE(Bonds!$H217,6*(15-1)),0),EDATE(Bonds!$H217,6*(15-1))))</f>
        <v/>
      </c>
      <c r="T217" s="3" t="str">
        <f>IF(16&gt;$C217,"",IF($D217=1,EOMONTH(EDATE(Bonds!$H217,6*(16-1)),0),EDATE(Bonds!$H217,6*(16-1))))</f>
        <v/>
      </c>
      <c r="U217" s="3" t="str">
        <f>IF(17&gt;$C217,"",IF($D217=1,EOMONTH(EDATE(Bonds!$H217,6*(17-1)),0),EDATE(Bonds!$H217,6*(17-1))))</f>
        <v/>
      </c>
      <c r="V217" s="3" t="str">
        <f>IF(18&gt;$C217,"",IF($D217=1,EOMONTH(EDATE(Bonds!$H217,6*(18-1)),0),EDATE(Bonds!$H217,6*(18-1))))</f>
        <v/>
      </c>
      <c r="W217" s="3" t="str">
        <f>IF(19&gt;$C217,"",IF($D217=1,EOMONTH(EDATE(Bonds!$H217,6*(19-1)),0),EDATE(Bonds!$H217,6*(19-1))))</f>
        <v/>
      </c>
      <c r="X217" s="3" t="str">
        <f>IF(20&gt;$C217,"",IF($D217=1,EOMONTH(EDATE(Bonds!$H217,6*(20-1)),0),EDATE(Bonds!$H217,6*(20-1))))</f>
        <v/>
      </c>
      <c r="Y217" s="3" t="str">
        <f>IF(21&gt;$C217,"",IF($D217=1,EOMONTH(EDATE(Bonds!$H217,6*(21-1)),0),EDATE(Bonds!$H217,6*(21-1))))</f>
        <v/>
      </c>
      <c r="Z217" s="3" t="str">
        <f>IF(22&gt;$C217,"",IF($D217=1,EOMONTH(EDATE(Bonds!$H217,6*(22-1)),0),EDATE(Bonds!$H217,6*(22-1))))</f>
        <v/>
      </c>
      <c r="AA217" s="3" t="str">
        <f>IF(23&gt;$C217,"",IF($D217=1,EOMONTH(EDATE(Bonds!$H217,6*(23-1)),0),EDATE(Bonds!$H217,6*(23-1))))</f>
        <v/>
      </c>
      <c r="AB217" s="3" t="str">
        <f>IF(24&gt;$C217,"",IF($D217=1,EOMONTH(EDATE(Bonds!$H217,6*(24-1)),0),EDATE(Bonds!$H217,6*(24-1))))</f>
        <v/>
      </c>
      <c r="AC217" s="3" t="str">
        <f>IF(25&gt;$C217,"",IF($D217=1,EOMONTH(EDATE(Bonds!$H217,6*(25-1)),0),EDATE(Bonds!$H217,6*(25-1))))</f>
        <v/>
      </c>
      <c r="AD217" s="3" t="str">
        <f>IF(26&gt;$C217,"",IF($D217=1,EOMONTH(EDATE(Bonds!$H217,6*(26-1)),0),EDATE(Bonds!$H217,6*(26-1))))</f>
        <v/>
      </c>
      <c r="AE217" s="3" t="str">
        <f>IF(27&gt;$C217,"",IF($D217=1,EOMONTH(EDATE(Bonds!$H217,6*(27-1)),0),EDATE(Bonds!$H217,6*(27-1))))</f>
        <v/>
      </c>
      <c r="AF217" s="3" t="str">
        <f>IF(28&gt;$C217,"",IF($D217=1,EOMONTH(EDATE(Bonds!$H217,6*(28-1)),0),EDATE(Bonds!$H217,6*(28-1))))</f>
        <v/>
      </c>
      <c r="AG217" s="3" t="str">
        <f>IF(29&gt;$C217,"",IF($D217=1,EOMONTH(EDATE(Bonds!$H217,6*(29-1)),0),EDATE(Bonds!$H217,6*(29-1))))</f>
        <v/>
      </c>
      <c r="AH217" s="3" t="str">
        <f>IF(30&gt;$C217,"",IF($D217=1,EOMONTH(EDATE(Bonds!$H217,6*(30-1)),0),EDATE(Bonds!$H217,6*(30-1))))</f>
        <v/>
      </c>
      <c r="AI217" s="3" t="str">
        <f>IF(31&gt;$C217,"",IF($D217=1,EOMONTH(EDATE(Bonds!$H217,6*(31-1)),0),EDATE(Bonds!$H217,6*(31-1))))</f>
        <v/>
      </c>
      <c r="AJ217" s="3" t="str">
        <f>IF(32&gt;$C217,"",IF($D217=1,EOMONTH(EDATE(Bonds!$H217,6*(32-1)),0),EDATE(Bonds!$H217,6*(32-1))))</f>
        <v/>
      </c>
      <c r="AK217" s="3" t="str">
        <f>IF(33&gt;$C217,"",IF($D217=1,EOMONTH(EDATE(Bonds!$H217,6*(33-1)),0),EDATE(Bonds!$H217,6*(33-1))))</f>
        <v/>
      </c>
      <c r="AL217" s="3" t="str">
        <f>IF(34&gt;$C217,"",IF($D217=1,EOMONTH(EDATE(Bonds!$H217,6*(34-1)),0),EDATE(Bonds!$H217,6*(34-1))))</f>
        <v/>
      </c>
      <c r="AM217" s="3" t="str">
        <f>IF(35&gt;$C217,"",IF($D217=1,EOMONTH(EDATE(Bonds!$H217,6*(35-1)),0),EDATE(Bonds!$H217,6*(35-1))))</f>
        <v/>
      </c>
      <c r="AN217" s="3" t="str">
        <f>IF(36&gt;$C217,"",IF($D217=1,EOMONTH(EDATE(Bonds!$H217,6*(36-1)),0),EDATE(Bonds!$H217,6*(36-1))))</f>
        <v/>
      </c>
      <c r="AO217" s="3" t="str">
        <f>IF(37&gt;$C217,"",IF($D217=1,EOMONTH(EDATE(Bonds!$H217,6*(37-1)),0),EDATE(Bonds!$H217,6*(37-1))))</f>
        <v/>
      </c>
      <c r="AP217" s="3" t="str">
        <f>IF(38&gt;$C217,"",IF($D217=1,EOMONTH(EDATE(Bonds!$H217,6*(38-1)),0),EDATE(Bonds!$H217,6*(38-1))))</f>
        <v/>
      </c>
      <c r="AQ217" s="3" t="str">
        <f>IF(39&gt;$C217,"",IF($D217=1,EOMONTH(EDATE(Bonds!$H217,6*(39-1)),0),EDATE(Bonds!$H217,6*(39-1))))</f>
        <v/>
      </c>
      <c r="AR217" s="3" t="str">
        <f>IF(40&gt;$C217,"",IF($D217=1,EOMONTH(EDATE(Bonds!$H217,6*(40-1)),0),EDATE(Bonds!$H217,6*(40-1))))</f>
        <v/>
      </c>
      <c r="AS217" s="3" t="str">
        <f>IF(41&gt;$C217,"",IF($D217=1,EOMONTH(EDATE(Bonds!$H217,6*(41-1)),0),EDATE(Bonds!$H217,6*(41-1))))</f>
        <v/>
      </c>
      <c r="AT217" s="3" t="str">
        <f>IF(42&gt;$C217,"",IF($D217=1,EOMONTH(EDATE(Bonds!$H217,6*(42-1)),0),EDATE(Bonds!$H217,6*(42-1))))</f>
        <v/>
      </c>
      <c r="AU217" s="3" t="str">
        <f>IF(43&gt;$C217,"",IF($D217=1,EOMONTH(EDATE(Bonds!$H217,6*(43-1)),0),EDATE(Bonds!$H217,6*(43-1))))</f>
        <v/>
      </c>
      <c r="AV217" s="3" t="str">
        <f>IF(44&gt;$C217,"",IF($D217=1,EOMONTH(EDATE(Bonds!$H217,6*(44-1)),0),EDATE(Bonds!$H217,6*(44-1))))</f>
        <v/>
      </c>
      <c r="AW217" s="3" t="str">
        <f>IF(45&gt;$C217,"",IF($D217=1,EOMONTH(EDATE(Bonds!$H217,6*(45-1)),0),EDATE(Bonds!$H217,6*(45-1))))</f>
        <v/>
      </c>
      <c r="AX217" s="3" t="str">
        <f>IF(46&gt;$C217,"",IF($D217=1,EOMONTH(EDATE(Bonds!$H217,6*(46-1)),0),EDATE(Bonds!$H217,6*(46-1))))</f>
        <v/>
      </c>
      <c r="AY217" s="3" t="str">
        <f>IF(47&gt;$C217,"",IF($D217=1,EOMONTH(EDATE(Bonds!$H217,6*(47-1)),0),EDATE(Bonds!$H217,6*(47-1))))</f>
        <v/>
      </c>
      <c r="AZ217" s="3" t="str">
        <f>IF(48&gt;$C217,"",IF($D217=1,EOMONTH(EDATE(Bonds!$H217,6*(48-1)),0),EDATE(Bonds!$H217,6*(48-1))))</f>
        <v/>
      </c>
      <c r="BA217" s="3" t="str">
        <f>IF(49&gt;$C217,"",IF($D217=1,EOMONTH(EDATE(Bonds!$H217,6*(49-1)),0),EDATE(Bonds!$H217,6*(49-1))))</f>
        <v/>
      </c>
      <c r="BB217" s="3" t="str">
        <f>IF(50&gt;$C217,"",IF($D217=1,EOMONTH(EDATE(Bonds!$H217,6*(50-1)),0),EDATE(Bonds!$H217,6*(50-1))))</f>
        <v/>
      </c>
      <c r="BC217" s="3" t="str">
        <f>IF(51&gt;$C217,"",IF($D217=1,EOMONTH(EDATE(Bonds!$H217,6*(51-1)),0),EDATE(Bonds!$H217,6*(51-1))))</f>
        <v/>
      </c>
      <c r="BD217" s="3" t="str">
        <f>IF(52&gt;$C217,"",IF($D217=1,EOMONTH(EDATE(Bonds!$H217,6*(52-1)),0),EDATE(Bonds!$H217,6*(52-1))))</f>
        <v/>
      </c>
      <c r="BE217" s="3" t="str">
        <f>IF(53&gt;$C217,"",IF($D217=1,EOMONTH(EDATE(Bonds!$H217,6*(53-1)),0),EDATE(Bonds!$H217,6*(53-1))))</f>
        <v/>
      </c>
      <c r="BF217" s="3" t="str">
        <f>IF(54&gt;$C217,"",IF($D217=1,EOMONTH(EDATE(Bonds!$H217,6*(54-1)),0),EDATE(Bonds!$H217,6*(54-1))))</f>
        <v/>
      </c>
      <c r="BG217" s="3" t="str">
        <f>IF(55&gt;$C217,"",IF($D217=1,EOMONTH(EDATE(Bonds!$H217,6*(55-1)),0),EDATE(Bonds!$H217,6*(55-1))))</f>
        <v/>
      </c>
      <c r="BH217" s="3" t="str">
        <f>IF(56&gt;$C217,"",IF($D217=1,EOMONTH(EDATE(Bonds!$H217,6*(56-1)),0),EDATE(Bonds!$H217,6*(56-1))))</f>
        <v/>
      </c>
      <c r="BI217" s="3" t="str">
        <f>IF(57&gt;$C217,"",IF($D217=1,EOMONTH(EDATE(Bonds!$H217,6*(57-1)),0),EDATE(Bonds!$H217,6*(57-1))))</f>
        <v/>
      </c>
      <c r="BJ217" s="3" t="str">
        <f>IF(58&gt;$C217,"",IF($D217=1,EOMONTH(EDATE(Bonds!$H217,6*(58-1)),0),EDATE(Bonds!$H217,6*(58-1))))</f>
        <v/>
      </c>
      <c r="BK217" s="3" t="str">
        <f>IF(59&gt;$C217,"",IF($D217=1,EOMONTH(EDATE(Bonds!$H217,6*(59-1)),0),EDATE(Bonds!$H217,6*(59-1))))</f>
        <v/>
      </c>
      <c r="BL217" s="3" t="str">
        <f>IF(60&gt;$C217,"",IF($D217=1,EOMONTH(EDATE(Bonds!$H217,6*(60-1)),0),EDATE(Bonds!$H217,6*(60-1))))</f>
        <v/>
      </c>
      <c r="BN217" s="7">
        <f t="shared" si="184"/>
        <v>0.68270508803751284</v>
      </c>
      <c r="BO217" s="7">
        <f t="shared" si="185"/>
        <v>0.66891892738828185</v>
      </c>
      <c r="BP217" s="7">
        <f t="shared" si="186"/>
        <v>0.6541843196278615</v>
      </c>
      <c r="BQ217" s="7">
        <f t="shared" si="187"/>
        <v>0.63951122224480494</v>
      </c>
      <c r="BR217" s="7">
        <f t="shared" si="188"/>
        <v>0.62488795609657011</v>
      </c>
      <c r="BS217" s="7">
        <f t="shared" si="189"/>
        <v>0.61083137642221752</v>
      </c>
      <c r="BT217" s="7">
        <f t="shared" si="190"/>
        <v>0.59689605900166054</v>
      </c>
      <c r="BU217" s="7">
        <f t="shared" si="191"/>
        <v>0.58350589395756802</v>
      </c>
      <c r="BV217" s="7">
        <f t="shared" si="192"/>
        <v>0.57016492465320745</v>
      </c>
      <c r="BW217" s="7">
        <f t="shared" si="193"/>
        <v>0.55725402859883966</v>
      </c>
      <c r="BX217" s="7">
        <f t="shared" si="194"/>
        <v>79.714619496120449</v>
      </c>
      <c r="BY217" s="7">
        <f t="shared" si="195"/>
        <v>0</v>
      </c>
      <c r="BZ217" s="7">
        <f t="shared" si="196"/>
        <v>0</v>
      </c>
      <c r="CA217" s="7">
        <f t="shared" si="197"/>
        <v>0</v>
      </c>
      <c r="CB217" s="7">
        <f t="shared" si="198"/>
        <v>0</v>
      </c>
      <c r="CC217" s="7">
        <f t="shared" si="199"/>
        <v>0</v>
      </c>
      <c r="CD217" s="7">
        <f t="shared" si="200"/>
        <v>0</v>
      </c>
      <c r="CE217" s="7">
        <f t="shared" si="201"/>
        <v>0</v>
      </c>
      <c r="CF217" s="7">
        <f t="shared" si="202"/>
        <v>0</v>
      </c>
      <c r="CG217" s="7">
        <f t="shared" si="203"/>
        <v>0</v>
      </c>
      <c r="CH217" s="7">
        <f t="shared" si="204"/>
        <v>0</v>
      </c>
      <c r="CI217" s="7">
        <f t="shared" si="205"/>
        <v>0</v>
      </c>
      <c r="CJ217" s="7">
        <f t="shared" si="206"/>
        <v>0</v>
      </c>
      <c r="CK217" s="7">
        <f t="shared" si="207"/>
        <v>0</v>
      </c>
      <c r="CL217" s="7">
        <f t="shared" si="208"/>
        <v>0</v>
      </c>
      <c r="CM217" s="7">
        <f t="shared" si="209"/>
        <v>0</v>
      </c>
      <c r="CN217" s="7">
        <f t="shared" si="210"/>
        <v>0</v>
      </c>
      <c r="CO217" s="7">
        <f t="shared" si="211"/>
        <v>0</v>
      </c>
      <c r="CP217" s="7">
        <f t="shared" si="212"/>
        <v>0</v>
      </c>
      <c r="CQ217" s="7">
        <f t="shared" si="213"/>
        <v>0</v>
      </c>
      <c r="CR217" s="7">
        <f t="shared" si="214"/>
        <v>0</v>
      </c>
      <c r="CS217" s="7">
        <f t="shared" si="215"/>
        <v>0</v>
      </c>
      <c r="CT217" s="7">
        <f t="shared" si="216"/>
        <v>0</v>
      </c>
      <c r="CU217" s="7">
        <f t="shared" si="217"/>
        <v>0</v>
      </c>
      <c r="CV217" s="7">
        <f t="shared" si="218"/>
        <v>0</v>
      </c>
      <c r="CW217" s="7">
        <f t="shared" si="219"/>
        <v>0</v>
      </c>
      <c r="CX217" s="7">
        <f t="shared" si="220"/>
        <v>0</v>
      </c>
      <c r="CY217" s="7">
        <f t="shared" si="221"/>
        <v>0</v>
      </c>
      <c r="CZ217" s="7">
        <f t="shared" si="222"/>
        <v>0</v>
      </c>
      <c r="DA217" s="7">
        <f t="shared" si="223"/>
        <v>0</v>
      </c>
      <c r="DB217" s="7">
        <f t="shared" si="224"/>
        <v>0</v>
      </c>
      <c r="DC217" s="7">
        <f t="shared" si="225"/>
        <v>0</v>
      </c>
      <c r="DD217" s="7">
        <f t="shared" si="226"/>
        <v>0</v>
      </c>
      <c r="DE217" s="7">
        <f t="shared" si="227"/>
        <v>0</v>
      </c>
      <c r="DF217" s="7">
        <f t="shared" si="228"/>
        <v>0</v>
      </c>
      <c r="DG217" s="7">
        <f t="shared" si="229"/>
        <v>0</v>
      </c>
      <c r="DH217" s="7">
        <f t="shared" si="230"/>
        <v>0</v>
      </c>
      <c r="DI217" s="7">
        <f t="shared" si="231"/>
        <v>0</v>
      </c>
      <c r="DJ217" s="7">
        <f t="shared" si="232"/>
        <v>0</v>
      </c>
      <c r="DK217" s="7">
        <f t="shared" si="233"/>
        <v>0</v>
      </c>
      <c r="DL217" s="7">
        <f t="shared" si="234"/>
        <v>0</v>
      </c>
      <c r="DM217" s="7">
        <f t="shared" si="235"/>
        <v>0</v>
      </c>
      <c r="DN217" s="7">
        <f t="shared" si="236"/>
        <v>0</v>
      </c>
      <c r="DO217" s="7">
        <f t="shared" si="237"/>
        <v>0</v>
      </c>
      <c r="DP217" s="7">
        <f t="shared" si="238"/>
        <v>0</v>
      </c>
      <c r="DQ217" s="7">
        <f t="shared" si="239"/>
        <v>0</v>
      </c>
      <c r="DR217" s="7">
        <f t="shared" si="240"/>
        <v>0</v>
      </c>
      <c r="DS217" s="7">
        <f t="shared" si="241"/>
        <v>0</v>
      </c>
      <c r="DT217" s="7">
        <f t="shared" si="242"/>
        <v>0</v>
      </c>
      <c r="DU217" s="7">
        <f t="shared" si="243"/>
        <v>0</v>
      </c>
    </row>
    <row r="218" spans="1:125" x14ac:dyDescent="0.2">
      <c r="A218" s="3">
        <f>Bonds!A218</f>
        <v>48182</v>
      </c>
      <c r="B218" s="4">
        <f>Bonds!B218</f>
        <v>4.125</v>
      </c>
      <c r="C218">
        <f>Bonds!P218</f>
        <v>11</v>
      </c>
      <c r="D218">
        <f t="shared" si="183"/>
        <v>1</v>
      </c>
      <c r="E218" s="3">
        <f>IF(1&gt;$C218,"",IF($D218=1,EOMONTH(EDATE(Bonds!$H218,6*(1-1)),0),EDATE(Bonds!$H218,6*(1-1))))</f>
        <v>46356</v>
      </c>
      <c r="F218" s="3">
        <f>IF(2&gt;$C218,"",IF($D218=1,EOMONTH(EDATE(Bonds!$H218,6*(2-1)),0),EDATE(Bonds!$H218,6*(2-1))))</f>
        <v>46538</v>
      </c>
      <c r="G218" s="3">
        <f>IF(3&gt;$C218,"",IF($D218=1,EOMONTH(EDATE(Bonds!$H218,6*(3-1)),0),EDATE(Bonds!$H218,6*(3-1))))</f>
        <v>46721</v>
      </c>
      <c r="H218" s="3">
        <f>IF(4&gt;$C218,"",IF($D218=1,EOMONTH(EDATE(Bonds!$H218,6*(4-1)),0),EDATE(Bonds!$H218,6*(4-1))))</f>
        <v>46904</v>
      </c>
      <c r="I218" s="3">
        <f>IF(5&gt;$C218,"",IF($D218=1,EOMONTH(EDATE(Bonds!$H218,6*(5-1)),0),EDATE(Bonds!$H218,6*(5-1))))</f>
        <v>47087</v>
      </c>
      <c r="J218" s="3">
        <f>IF(6&gt;$C218,"",IF($D218=1,EOMONTH(EDATE(Bonds!$H218,6*(6-1)),0),EDATE(Bonds!$H218,6*(6-1))))</f>
        <v>47269</v>
      </c>
      <c r="K218" s="3">
        <f>IF(7&gt;$C218,"",IF($D218=1,EOMONTH(EDATE(Bonds!$H218,6*(7-1)),0),EDATE(Bonds!$H218,6*(7-1))))</f>
        <v>47452</v>
      </c>
      <c r="L218" s="3">
        <f>IF(8&gt;$C218,"",IF($D218=1,EOMONTH(EDATE(Bonds!$H218,6*(8-1)),0),EDATE(Bonds!$H218,6*(8-1))))</f>
        <v>47634</v>
      </c>
      <c r="M218" s="3">
        <f>IF(9&gt;$C218,"",IF($D218=1,EOMONTH(EDATE(Bonds!$H218,6*(9-1)),0),EDATE(Bonds!$H218,6*(9-1))))</f>
        <v>47817</v>
      </c>
      <c r="N218" s="3">
        <f>IF(10&gt;$C218,"",IF($D218=1,EOMONTH(EDATE(Bonds!$H218,6*(10-1)),0),EDATE(Bonds!$H218,6*(10-1))))</f>
        <v>47999</v>
      </c>
      <c r="O218" s="3">
        <f>IF(11&gt;$C218,"",IF($D218=1,EOMONTH(EDATE(Bonds!$H218,6*(11-1)),0),EDATE(Bonds!$H218,6*(11-1))))</f>
        <v>48182</v>
      </c>
      <c r="P218" s="3" t="str">
        <f>IF(12&gt;$C218,"",IF($D218=1,EOMONTH(EDATE(Bonds!$H218,6*(12-1)),0),EDATE(Bonds!$H218,6*(12-1))))</f>
        <v/>
      </c>
      <c r="Q218" s="3" t="str">
        <f>IF(13&gt;$C218,"",IF($D218=1,EOMONTH(EDATE(Bonds!$H218,6*(13-1)),0),EDATE(Bonds!$H218,6*(13-1))))</f>
        <v/>
      </c>
      <c r="R218" s="3" t="str">
        <f>IF(14&gt;$C218,"",IF($D218=1,EOMONTH(EDATE(Bonds!$H218,6*(14-1)),0),EDATE(Bonds!$H218,6*(14-1))))</f>
        <v/>
      </c>
      <c r="S218" s="3" t="str">
        <f>IF(15&gt;$C218,"",IF($D218=1,EOMONTH(EDATE(Bonds!$H218,6*(15-1)),0),EDATE(Bonds!$H218,6*(15-1))))</f>
        <v/>
      </c>
      <c r="T218" s="3" t="str">
        <f>IF(16&gt;$C218,"",IF($D218=1,EOMONTH(EDATE(Bonds!$H218,6*(16-1)),0),EDATE(Bonds!$H218,6*(16-1))))</f>
        <v/>
      </c>
      <c r="U218" s="3" t="str">
        <f>IF(17&gt;$C218,"",IF($D218=1,EOMONTH(EDATE(Bonds!$H218,6*(17-1)),0),EDATE(Bonds!$H218,6*(17-1))))</f>
        <v/>
      </c>
      <c r="V218" s="3" t="str">
        <f>IF(18&gt;$C218,"",IF($D218=1,EOMONTH(EDATE(Bonds!$H218,6*(18-1)),0),EDATE(Bonds!$H218,6*(18-1))))</f>
        <v/>
      </c>
      <c r="W218" s="3" t="str">
        <f>IF(19&gt;$C218,"",IF($D218=1,EOMONTH(EDATE(Bonds!$H218,6*(19-1)),0),EDATE(Bonds!$H218,6*(19-1))))</f>
        <v/>
      </c>
      <c r="X218" s="3" t="str">
        <f>IF(20&gt;$C218,"",IF($D218=1,EOMONTH(EDATE(Bonds!$H218,6*(20-1)),0),EDATE(Bonds!$H218,6*(20-1))))</f>
        <v/>
      </c>
      <c r="Y218" s="3" t="str">
        <f>IF(21&gt;$C218,"",IF($D218=1,EOMONTH(EDATE(Bonds!$H218,6*(21-1)),0),EDATE(Bonds!$H218,6*(21-1))))</f>
        <v/>
      </c>
      <c r="Z218" s="3" t="str">
        <f>IF(22&gt;$C218,"",IF($D218=1,EOMONTH(EDATE(Bonds!$H218,6*(22-1)),0),EDATE(Bonds!$H218,6*(22-1))))</f>
        <v/>
      </c>
      <c r="AA218" s="3" t="str">
        <f>IF(23&gt;$C218,"",IF($D218=1,EOMONTH(EDATE(Bonds!$H218,6*(23-1)),0),EDATE(Bonds!$H218,6*(23-1))))</f>
        <v/>
      </c>
      <c r="AB218" s="3" t="str">
        <f>IF(24&gt;$C218,"",IF($D218=1,EOMONTH(EDATE(Bonds!$H218,6*(24-1)),0),EDATE(Bonds!$H218,6*(24-1))))</f>
        <v/>
      </c>
      <c r="AC218" s="3" t="str">
        <f>IF(25&gt;$C218,"",IF($D218=1,EOMONTH(EDATE(Bonds!$H218,6*(25-1)),0),EDATE(Bonds!$H218,6*(25-1))))</f>
        <v/>
      </c>
      <c r="AD218" s="3" t="str">
        <f>IF(26&gt;$C218,"",IF($D218=1,EOMONTH(EDATE(Bonds!$H218,6*(26-1)),0),EDATE(Bonds!$H218,6*(26-1))))</f>
        <v/>
      </c>
      <c r="AE218" s="3" t="str">
        <f>IF(27&gt;$C218,"",IF($D218=1,EOMONTH(EDATE(Bonds!$H218,6*(27-1)),0),EDATE(Bonds!$H218,6*(27-1))))</f>
        <v/>
      </c>
      <c r="AF218" s="3" t="str">
        <f>IF(28&gt;$C218,"",IF($D218=1,EOMONTH(EDATE(Bonds!$H218,6*(28-1)),0),EDATE(Bonds!$H218,6*(28-1))))</f>
        <v/>
      </c>
      <c r="AG218" s="3" t="str">
        <f>IF(29&gt;$C218,"",IF($D218=1,EOMONTH(EDATE(Bonds!$H218,6*(29-1)),0),EDATE(Bonds!$H218,6*(29-1))))</f>
        <v/>
      </c>
      <c r="AH218" s="3" t="str">
        <f>IF(30&gt;$C218,"",IF($D218=1,EOMONTH(EDATE(Bonds!$H218,6*(30-1)),0),EDATE(Bonds!$H218,6*(30-1))))</f>
        <v/>
      </c>
      <c r="AI218" s="3" t="str">
        <f>IF(31&gt;$C218,"",IF($D218=1,EOMONTH(EDATE(Bonds!$H218,6*(31-1)),0),EDATE(Bonds!$H218,6*(31-1))))</f>
        <v/>
      </c>
      <c r="AJ218" s="3" t="str">
        <f>IF(32&gt;$C218,"",IF($D218=1,EOMONTH(EDATE(Bonds!$H218,6*(32-1)),0),EDATE(Bonds!$H218,6*(32-1))))</f>
        <v/>
      </c>
      <c r="AK218" s="3" t="str">
        <f>IF(33&gt;$C218,"",IF($D218=1,EOMONTH(EDATE(Bonds!$H218,6*(33-1)),0),EDATE(Bonds!$H218,6*(33-1))))</f>
        <v/>
      </c>
      <c r="AL218" s="3" t="str">
        <f>IF(34&gt;$C218,"",IF($D218=1,EOMONTH(EDATE(Bonds!$H218,6*(34-1)),0),EDATE(Bonds!$H218,6*(34-1))))</f>
        <v/>
      </c>
      <c r="AM218" s="3" t="str">
        <f>IF(35&gt;$C218,"",IF($D218=1,EOMONTH(EDATE(Bonds!$H218,6*(35-1)),0),EDATE(Bonds!$H218,6*(35-1))))</f>
        <v/>
      </c>
      <c r="AN218" s="3" t="str">
        <f>IF(36&gt;$C218,"",IF($D218=1,EOMONTH(EDATE(Bonds!$H218,6*(36-1)),0),EDATE(Bonds!$H218,6*(36-1))))</f>
        <v/>
      </c>
      <c r="AO218" s="3" t="str">
        <f>IF(37&gt;$C218,"",IF($D218=1,EOMONTH(EDATE(Bonds!$H218,6*(37-1)),0),EDATE(Bonds!$H218,6*(37-1))))</f>
        <v/>
      </c>
      <c r="AP218" s="3" t="str">
        <f>IF(38&gt;$C218,"",IF($D218=1,EOMONTH(EDATE(Bonds!$H218,6*(38-1)),0),EDATE(Bonds!$H218,6*(38-1))))</f>
        <v/>
      </c>
      <c r="AQ218" s="3" t="str">
        <f>IF(39&gt;$C218,"",IF($D218=1,EOMONTH(EDATE(Bonds!$H218,6*(39-1)),0),EDATE(Bonds!$H218,6*(39-1))))</f>
        <v/>
      </c>
      <c r="AR218" s="3" t="str">
        <f>IF(40&gt;$C218,"",IF($D218=1,EOMONTH(EDATE(Bonds!$H218,6*(40-1)),0),EDATE(Bonds!$H218,6*(40-1))))</f>
        <v/>
      </c>
      <c r="AS218" s="3" t="str">
        <f>IF(41&gt;$C218,"",IF($D218=1,EOMONTH(EDATE(Bonds!$H218,6*(41-1)),0),EDATE(Bonds!$H218,6*(41-1))))</f>
        <v/>
      </c>
      <c r="AT218" s="3" t="str">
        <f>IF(42&gt;$C218,"",IF($D218=1,EOMONTH(EDATE(Bonds!$H218,6*(42-1)),0),EDATE(Bonds!$H218,6*(42-1))))</f>
        <v/>
      </c>
      <c r="AU218" s="3" t="str">
        <f>IF(43&gt;$C218,"",IF($D218=1,EOMONTH(EDATE(Bonds!$H218,6*(43-1)),0),EDATE(Bonds!$H218,6*(43-1))))</f>
        <v/>
      </c>
      <c r="AV218" s="3" t="str">
        <f>IF(44&gt;$C218,"",IF($D218=1,EOMONTH(EDATE(Bonds!$H218,6*(44-1)),0),EDATE(Bonds!$H218,6*(44-1))))</f>
        <v/>
      </c>
      <c r="AW218" s="3" t="str">
        <f>IF(45&gt;$C218,"",IF($D218=1,EOMONTH(EDATE(Bonds!$H218,6*(45-1)),0),EDATE(Bonds!$H218,6*(45-1))))</f>
        <v/>
      </c>
      <c r="AX218" s="3" t="str">
        <f>IF(46&gt;$C218,"",IF($D218=1,EOMONTH(EDATE(Bonds!$H218,6*(46-1)),0),EDATE(Bonds!$H218,6*(46-1))))</f>
        <v/>
      </c>
      <c r="AY218" s="3" t="str">
        <f>IF(47&gt;$C218,"",IF($D218=1,EOMONTH(EDATE(Bonds!$H218,6*(47-1)),0),EDATE(Bonds!$H218,6*(47-1))))</f>
        <v/>
      </c>
      <c r="AZ218" s="3" t="str">
        <f>IF(48&gt;$C218,"",IF($D218=1,EOMONTH(EDATE(Bonds!$H218,6*(48-1)),0),EDATE(Bonds!$H218,6*(48-1))))</f>
        <v/>
      </c>
      <c r="BA218" s="3" t="str">
        <f>IF(49&gt;$C218,"",IF($D218=1,EOMONTH(EDATE(Bonds!$H218,6*(49-1)),0),EDATE(Bonds!$H218,6*(49-1))))</f>
        <v/>
      </c>
      <c r="BB218" s="3" t="str">
        <f>IF(50&gt;$C218,"",IF($D218=1,EOMONTH(EDATE(Bonds!$H218,6*(50-1)),0),EDATE(Bonds!$H218,6*(50-1))))</f>
        <v/>
      </c>
      <c r="BC218" s="3" t="str">
        <f>IF(51&gt;$C218,"",IF($D218=1,EOMONTH(EDATE(Bonds!$H218,6*(51-1)),0),EDATE(Bonds!$H218,6*(51-1))))</f>
        <v/>
      </c>
      <c r="BD218" s="3" t="str">
        <f>IF(52&gt;$C218,"",IF($D218=1,EOMONTH(EDATE(Bonds!$H218,6*(52-1)),0),EDATE(Bonds!$H218,6*(52-1))))</f>
        <v/>
      </c>
      <c r="BE218" s="3" t="str">
        <f>IF(53&gt;$C218,"",IF($D218=1,EOMONTH(EDATE(Bonds!$H218,6*(53-1)),0),EDATE(Bonds!$H218,6*(53-1))))</f>
        <v/>
      </c>
      <c r="BF218" s="3" t="str">
        <f>IF(54&gt;$C218,"",IF($D218=1,EOMONTH(EDATE(Bonds!$H218,6*(54-1)),0),EDATE(Bonds!$H218,6*(54-1))))</f>
        <v/>
      </c>
      <c r="BG218" s="3" t="str">
        <f>IF(55&gt;$C218,"",IF($D218=1,EOMONTH(EDATE(Bonds!$H218,6*(55-1)),0),EDATE(Bonds!$H218,6*(55-1))))</f>
        <v/>
      </c>
      <c r="BH218" s="3" t="str">
        <f>IF(56&gt;$C218,"",IF($D218=1,EOMONTH(EDATE(Bonds!$H218,6*(56-1)),0),EDATE(Bonds!$H218,6*(56-1))))</f>
        <v/>
      </c>
      <c r="BI218" s="3" t="str">
        <f>IF(57&gt;$C218,"",IF($D218=1,EOMONTH(EDATE(Bonds!$H218,6*(57-1)),0),EDATE(Bonds!$H218,6*(57-1))))</f>
        <v/>
      </c>
      <c r="BJ218" s="3" t="str">
        <f>IF(58&gt;$C218,"",IF($D218=1,EOMONTH(EDATE(Bonds!$H218,6*(58-1)),0),EDATE(Bonds!$H218,6*(58-1))))</f>
        <v/>
      </c>
      <c r="BK218" s="3" t="str">
        <f>IF(59&gt;$C218,"",IF($D218=1,EOMONTH(EDATE(Bonds!$H218,6*(59-1)),0),EDATE(Bonds!$H218,6*(59-1))))</f>
        <v/>
      </c>
      <c r="BL218" s="3" t="str">
        <f>IF(60&gt;$C218,"",IF($D218=1,EOMONTH(EDATE(Bonds!$H218,6*(60-1)),0),EDATE(Bonds!$H218,6*(60-1))))</f>
        <v/>
      </c>
      <c r="BN218" s="7">
        <f t="shared" si="184"/>
        <v>2.0448353199365781</v>
      </c>
      <c r="BO218" s="7">
        <f t="shared" si="185"/>
        <v>2.0029641290450422</v>
      </c>
      <c r="BP218" s="7">
        <f t="shared" si="186"/>
        <v>1.958918722869655</v>
      </c>
      <c r="BQ218" s="7">
        <f t="shared" si="187"/>
        <v>1.9146853059634767</v>
      </c>
      <c r="BR218" s="7">
        <f t="shared" si="188"/>
        <v>1.871129716687074</v>
      </c>
      <c r="BS218" s="7">
        <f t="shared" si="189"/>
        <v>1.8288169074094875</v>
      </c>
      <c r="BT218" s="7">
        <f t="shared" si="190"/>
        <v>1.7873250595699033</v>
      </c>
      <c r="BU218" s="7">
        <f t="shared" si="191"/>
        <v>1.7470072994461914</v>
      </c>
      <c r="BV218" s="7">
        <f t="shared" si="192"/>
        <v>1.7072630021667083</v>
      </c>
      <c r="BW218" s="7">
        <f t="shared" si="193"/>
        <v>1.6683636006994469</v>
      </c>
      <c r="BX218" s="7">
        <f t="shared" si="194"/>
        <v>80.647300796670564</v>
      </c>
      <c r="BY218" s="7">
        <f t="shared" si="195"/>
        <v>0</v>
      </c>
      <c r="BZ218" s="7">
        <f t="shared" si="196"/>
        <v>0</v>
      </c>
      <c r="CA218" s="7">
        <f t="shared" si="197"/>
        <v>0</v>
      </c>
      <c r="CB218" s="7">
        <f t="shared" si="198"/>
        <v>0</v>
      </c>
      <c r="CC218" s="7">
        <f t="shared" si="199"/>
        <v>0</v>
      </c>
      <c r="CD218" s="7">
        <f t="shared" si="200"/>
        <v>0</v>
      </c>
      <c r="CE218" s="7">
        <f t="shared" si="201"/>
        <v>0</v>
      </c>
      <c r="CF218" s="7">
        <f t="shared" si="202"/>
        <v>0</v>
      </c>
      <c r="CG218" s="7">
        <f t="shared" si="203"/>
        <v>0</v>
      </c>
      <c r="CH218" s="7">
        <f t="shared" si="204"/>
        <v>0</v>
      </c>
      <c r="CI218" s="7">
        <f t="shared" si="205"/>
        <v>0</v>
      </c>
      <c r="CJ218" s="7">
        <f t="shared" si="206"/>
        <v>0</v>
      </c>
      <c r="CK218" s="7">
        <f t="shared" si="207"/>
        <v>0</v>
      </c>
      <c r="CL218" s="7">
        <f t="shared" si="208"/>
        <v>0</v>
      </c>
      <c r="CM218" s="7">
        <f t="shared" si="209"/>
        <v>0</v>
      </c>
      <c r="CN218" s="7">
        <f t="shared" si="210"/>
        <v>0</v>
      </c>
      <c r="CO218" s="7">
        <f t="shared" si="211"/>
        <v>0</v>
      </c>
      <c r="CP218" s="7">
        <f t="shared" si="212"/>
        <v>0</v>
      </c>
      <c r="CQ218" s="7">
        <f t="shared" si="213"/>
        <v>0</v>
      </c>
      <c r="CR218" s="7">
        <f t="shared" si="214"/>
        <v>0</v>
      </c>
      <c r="CS218" s="7">
        <f t="shared" si="215"/>
        <v>0</v>
      </c>
      <c r="CT218" s="7">
        <f t="shared" si="216"/>
        <v>0</v>
      </c>
      <c r="CU218" s="7">
        <f t="shared" si="217"/>
        <v>0</v>
      </c>
      <c r="CV218" s="7">
        <f t="shared" si="218"/>
        <v>0</v>
      </c>
      <c r="CW218" s="7">
        <f t="shared" si="219"/>
        <v>0</v>
      </c>
      <c r="CX218" s="7">
        <f t="shared" si="220"/>
        <v>0</v>
      </c>
      <c r="CY218" s="7">
        <f t="shared" si="221"/>
        <v>0</v>
      </c>
      <c r="CZ218" s="7">
        <f t="shared" si="222"/>
        <v>0</v>
      </c>
      <c r="DA218" s="7">
        <f t="shared" si="223"/>
        <v>0</v>
      </c>
      <c r="DB218" s="7">
        <f t="shared" si="224"/>
        <v>0</v>
      </c>
      <c r="DC218" s="7">
        <f t="shared" si="225"/>
        <v>0</v>
      </c>
      <c r="DD218" s="7">
        <f t="shared" si="226"/>
        <v>0</v>
      </c>
      <c r="DE218" s="7">
        <f t="shared" si="227"/>
        <v>0</v>
      </c>
      <c r="DF218" s="7">
        <f t="shared" si="228"/>
        <v>0</v>
      </c>
      <c r="DG218" s="7">
        <f t="shared" si="229"/>
        <v>0</v>
      </c>
      <c r="DH218" s="7">
        <f t="shared" si="230"/>
        <v>0</v>
      </c>
      <c r="DI218" s="7">
        <f t="shared" si="231"/>
        <v>0</v>
      </c>
      <c r="DJ218" s="7">
        <f t="shared" si="232"/>
        <v>0</v>
      </c>
      <c r="DK218" s="7">
        <f t="shared" si="233"/>
        <v>0</v>
      </c>
      <c r="DL218" s="7">
        <f t="shared" si="234"/>
        <v>0</v>
      </c>
      <c r="DM218" s="7">
        <f t="shared" si="235"/>
        <v>0</v>
      </c>
      <c r="DN218" s="7">
        <f t="shared" si="236"/>
        <v>0</v>
      </c>
      <c r="DO218" s="7">
        <f t="shared" si="237"/>
        <v>0</v>
      </c>
      <c r="DP218" s="7">
        <f t="shared" si="238"/>
        <v>0</v>
      </c>
      <c r="DQ218" s="7">
        <f t="shared" si="239"/>
        <v>0</v>
      </c>
      <c r="DR218" s="7">
        <f t="shared" si="240"/>
        <v>0</v>
      </c>
      <c r="DS218" s="7">
        <f t="shared" si="241"/>
        <v>0</v>
      </c>
      <c r="DT218" s="7">
        <f t="shared" si="242"/>
        <v>0</v>
      </c>
      <c r="DU218" s="7">
        <f t="shared" si="243"/>
        <v>0</v>
      </c>
    </row>
    <row r="219" spans="1:125" x14ac:dyDescent="0.2">
      <c r="A219" s="3">
        <f>Bonds!A219</f>
        <v>48213</v>
      </c>
      <c r="B219" s="4">
        <f>Bonds!B219</f>
        <v>4.5</v>
      </c>
      <c r="C219">
        <f>Bonds!P219</f>
        <v>11</v>
      </c>
      <c r="D219">
        <f t="shared" si="183"/>
        <v>1</v>
      </c>
      <c r="E219" s="3">
        <f>IF(1&gt;$C219,"",IF($D219=1,EOMONTH(EDATE(Bonds!$H219,6*(1-1)),0),EDATE(Bonds!$H219,6*(1-1))))</f>
        <v>46387</v>
      </c>
      <c r="F219" s="3">
        <f>IF(2&gt;$C219,"",IF($D219=1,EOMONTH(EDATE(Bonds!$H219,6*(2-1)),0),EDATE(Bonds!$H219,6*(2-1))))</f>
        <v>46568</v>
      </c>
      <c r="G219" s="3">
        <f>IF(3&gt;$C219,"",IF($D219=1,EOMONTH(EDATE(Bonds!$H219,6*(3-1)),0),EDATE(Bonds!$H219,6*(3-1))))</f>
        <v>46752</v>
      </c>
      <c r="H219" s="3">
        <f>IF(4&gt;$C219,"",IF($D219=1,EOMONTH(EDATE(Bonds!$H219,6*(4-1)),0),EDATE(Bonds!$H219,6*(4-1))))</f>
        <v>46934</v>
      </c>
      <c r="I219" s="3">
        <f>IF(5&gt;$C219,"",IF($D219=1,EOMONTH(EDATE(Bonds!$H219,6*(5-1)),0),EDATE(Bonds!$H219,6*(5-1))))</f>
        <v>47118</v>
      </c>
      <c r="J219" s="3">
        <f>IF(6&gt;$C219,"",IF($D219=1,EOMONTH(EDATE(Bonds!$H219,6*(6-1)),0),EDATE(Bonds!$H219,6*(6-1))))</f>
        <v>47299</v>
      </c>
      <c r="K219" s="3">
        <f>IF(7&gt;$C219,"",IF($D219=1,EOMONTH(EDATE(Bonds!$H219,6*(7-1)),0),EDATE(Bonds!$H219,6*(7-1))))</f>
        <v>47483</v>
      </c>
      <c r="L219" s="3">
        <f>IF(8&gt;$C219,"",IF($D219=1,EOMONTH(EDATE(Bonds!$H219,6*(8-1)),0),EDATE(Bonds!$H219,6*(8-1))))</f>
        <v>47664</v>
      </c>
      <c r="M219" s="3">
        <f>IF(9&gt;$C219,"",IF($D219=1,EOMONTH(EDATE(Bonds!$H219,6*(9-1)),0),EDATE(Bonds!$H219,6*(9-1))))</f>
        <v>47848</v>
      </c>
      <c r="N219" s="3">
        <f>IF(10&gt;$C219,"",IF($D219=1,EOMONTH(EDATE(Bonds!$H219,6*(10-1)),0),EDATE(Bonds!$H219,6*(10-1))))</f>
        <v>48029</v>
      </c>
      <c r="O219" s="3">
        <f>IF(11&gt;$C219,"",IF($D219=1,EOMONTH(EDATE(Bonds!$H219,6*(11-1)),0),EDATE(Bonds!$H219,6*(11-1))))</f>
        <v>48213</v>
      </c>
      <c r="P219" s="3" t="str">
        <f>IF(12&gt;$C219,"",IF($D219=1,EOMONTH(EDATE(Bonds!$H219,6*(12-1)),0),EDATE(Bonds!$H219,6*(12-1))))</f>
        <v/>
      </c>
      <c r="Q219" s="3" t="str">
        <f>IF(13&gt;$C219,"",IF($D219=1,EOMONTH(EDATE(Bonds!$H219,6*(13-1)),0),EDATE(Bonds!$H219,6*(13-1))))</f>
        <v/>
      </c>
      <c r="R219" s="3" t="str">
        <f>IF(14&gt;$C219,"",IF($D219=1,EOMONTH(EDATE(Bonds!$H219,6*(14-1)),0),EDATE(Bonds!$H219,6*(14-1))))</f>
        <v/>
      </c>
      <c r="S219" s="3" t="str">
        <f>IF(15&gt;$C219,"",IF($D219=1,EOMONTH(EDATE(Bonds!$H219,6*(15-1)),0),EDATE(Bonds!$H219,6*(15-1))))</f>
        <v/>
      </c>
      <c r="T219" s="3" t="str">
        <f>IF(16&gt;$C219,"",IF($D219=1,EOMONTH(EDATE(Bonds!$H219,6*(16-1)),0),EDATE(Bonds!$H219,6*(16-1))))</f>
        <v/>
      </c>
      <c r="U219" s="3" t="str">
        <f>IF(17&gt;$C219,"",IF($D219=1,EOMONTH(EDATE(Bonds!$H219,6*(17-1)),0),EDATE(Bonds!$H219,6*(17-1))))</f>
        <v/>
      </c>
      <c r="V219" s="3" t="str">
        <f>IF(18&gt;$C219,"",IF($D219=1,EOMONTH(EDATE(Bonds!$H219,6*(18-1)),0),EDATE(Bonds!$H219,6*(18-1))))</f>
        <v/>
      </c>
      <c r="W219" s="3" t="str">
        <f>IF(19&gt;$C219,"",IF($D219=1,EOMONTH(EDATE(Bonds!$H219,6*(19-1)),0),EDATE(Bonds!$H219,6*(19-1))))</f>
        <v/>
      </c>
      <c r="X219" s="3" t="str">
        <f>IF(20&gt;$C219,"",IF($D219=1,EOMONTH(EDATE(Bonds!$H219,6*(20-1)),0),EDATE(Bonds!$H219,6*(20-1))))</f>
        <v/>
      </c>
      <c r="Y219" s="3" t="str">
        <f>IF(21&gt;$C219,"",IF($D219=1,EOMONTH(EDATE(Bonds!$H219,6*(21-1)),0),EDATE(Bonds!$H219,6*(21-1))))</f>
        <v/>
      </c>
      <c r="Z219" s="3" t="str">
        <f>IF(22&gt;$C219,"",IF($D219=1,EOMONTH(EDATE(Bonds!$H219,6*(22-1)),0),EDATE(Bonds!$H219,6*(22-1))))</f>
        <v/>
      </c>
      <c r="AA219" s="3" t="str">
        <f>IF(23&gt;$C219,"",IF($D219=1,EOMONTH(EDATE(Bonds!$H219,6*(23-1)),0),EDATE(Bonds!$H219,6*(23-1))))</f>
        <v/>
      </c>
      <c r="AB219" s="3" t="str">
        <f>IF(24&gt;$C219,"",IF($D219=1,EOMONTH(EDATE(Bonds!$H219,6*(24-1)),0),EDATE(Bonds!$H219,6*(24-1))))</f>
        <v/>
      </c>
      <c r="AC219" s="3" t="str">
        <f>IF(25&gt;$C219,"",IF($D219=1,EOMONTH(EDATE(Bonds!$H219,6*(25-1)),0),EDATE(Bonds!$H219,6*(25-1))))</f>
        <v/>
      </c>
      <c r="AD219" s="3" t="str">
        <f>IF(26&gt;$C219,"",IF($D219=1,EOMONTH(EDATE(Bonds!$H219,6*(26-1)),0),EDATE(Bonds!$H219,6*(26-1))))</f>
        <v/>
      </c>
      <c r="AE219" s="3" t="str">
        <f>IF(27&gt;$C219,"",IF($D219=1,EOMONTH(EDATE(Bonds!$H219,6*(27-1)),0),EDATE(Bonds!$H219,6*(27-1))))</f>
        <v/>
      </c>
      <c r="AF219" s="3" t="str">
        <f>IF(28&gt;$C219,"",IF($D219=1,EOMONTH(EDATE(Bonds!$H219,6*(28-1)),0),EDATE(Bonds!$H219,6*(28-1))))</f>
        <v/>
      </c>
      <c r="AG219" s="3" t="str">
        <f>IF(29&gt;$C219,"",IF($D219=1,EOMONTH(EDATE(Bonds!$H219,6*(29-1)),0),EDATE(Bonds!$H219,6*(29-1))))</f>
        <v/>
      </c>
      <c r="AH219" s="3" t="str">
        <f>IF(30&gt;$C219,"",IF($D219=1,EOMONTH(EDATE(Bonds!$H219,6*(30-1)),0),EDATE(Bonds!$H219,6*(30-1))))</f>
        <v/>
      </c>
      <c r="AI219" s="3" t="str">
        <f>IF(31&gt;$C219,"",IF($D219=1,EOMONTH(EDATE(Bonds!$H219,6*(31-1)),0),EDATE(Bonds!$H219,6*(31-1))))</f>
        <v/>
      </c>
      <c r="AJ219" s="3" t="str">
        <f>IF(32&gt;$C219,"",IF($D219=1,EOMONTH(EDATE(Bonds!$H219,6*(32-1)),0),EDATE(Bonds!$H219,6*(32-1))))</f>
        <v/>
      </c>
      <c r="AK219" s="3" t="str">
        <f>IF(33&gt;$C219,"",IF($D219=1,EOMONTH(EDATE(Bonds!$H219,6*(33-1)),0),EDATE(Bonds!$H219,6*(33-1))))</f>
        <v/>
      </c>
      <c r="AL219" s="3" t="str">
        <f>IF(34&gt;$C219,"",IF($D219=1,EOMONTH(EDATE(Bonds!$H219,6*(34-1)),0),EDATE(Bonds!$H219,6*(34-1))))</f>
        <v/>
      </c>
      <c r="AM219" s="3" t="str">
        <f>IF(35&gt;$C219,"",IF($D219=1,EOMONTH(EDATE(Bonds!$H219,6*(35-1)),0),EDATE(Bonds!$H219,6*(35-1))))</f>
        <v/>
      </c>
      <c r="AN219" s="3" t="str">
        <f>IF(36&gt;$C219,"",IF($D219=1,EOMONTH(EDATE(Bonds!$H219,6*(36-1)),0),EDATE(Bonds!$H219,6*(36-1))))</f>
        <v/>
      </c>
      <c r="AO219" s="3" t="str">
        <f>IF(37&gt;$C219,"",IF($D219=1,EOMONTH(EDATE(Bonds!$H219,6*(37-1)),0),EDATE(Bonds!$H219,6*(37-1))))</f>
        <v/>
      </c>
      <c r="AP219" s="3" t="str">
        <f>IF(38&gt;$C219,"",IF($D219=1,EOMONTH(EDATE(Bonds!$H219,6*(38-1)),0),EDATE(Bonds!$H219,6*(38-1))))</f>
        <v/>
      </c>
      <c r="AQ219" s="3" t="str">
        <f>IF(39&gt;$C219,"",IF($D219=1,EOMONTH(EDATE(Bonds!$H219,6*(39-1)),0),EDATE(Bonds!$H219,6*(39-1))))</f>
        <v/>
      </c>
      <c r="AR219" s="3" t="str">
        <f>IF(40&gt;$C219,"",IF($D219=1,EOMONTH(EDATE(Bonds!$H219,6*(40-1)),0),EDATE(Bonds!$H219,6*(40-1))))</f>
        <v/>
      </c>
      <c r="AS219" s="3" t="str">
        <f>IF(41&gt;$C219,"",IF($D219=1,EOMONTH(EDATE(Bonds!$H219,6*(41-1)),0),EDATE(Bonds!$H219,6*(41-1))))</f>
        <v/>
      </c>
      <c r="AT219" s="3" t="str">
        <f>IF(42&gt;$C219,"",IF($D219=1,EOMONTH(EDATE(Bonds!$H219,6*(42-1)),0),EDATE(Bonds!$H219,6*(42-1))))</f>
        <v/>
      </c>
      <c r="AU219" s="3" t="str">
        <f>IF(43&gt;$C219,"",IF($D219=1,EOMONTH(EDATE(Bonds!$H219,6*(43-1)),0),EDATE(Bonds!$H219,6*(43-1))))</f>
        <v/>
      </c>
      <c r="AV219" s="3" t="str">
        <f>IF(44&gt;$C219,"",IF($D219=1,EOMONTH(EDATE(Bonds!$H219,6*(44-1)),0),EDATE(Bonds!$H219,6*(44-1))))</f>
        <v/>
      </c>
      <c r="AW219" s="3" t="str">
        <f>IF(45&gt;$C219,"",IF($D219=1,EOMONTH(EDATE(Bonds!$H219,6*(45-1)),0),EDATE(Bonds!$H219,6*(45-1))))</f>
        <v/>
      </c>
      <c r="AX219" s="3" t="str">
        <f>IF(46&gt;$C219,"",IF($D219=1,EOMONTH(EDATE(Bonds!$H219,6*(46-1)),0),EDATE(Bonds!$H219,6*(46-1))))</f>
        <v/>
      </c>
      <c r="AY219" s="3" t="str">
        <f>IF(47&gt;$C219,"",IF($D219=1,EOMONTH(EDATE(Bonds!$H219,6*(47-1)),0),EDATE(Bonds!$H219,6*(47-1))))</f>
        <v/>
      </c>
      <c r="AZ219" s="3" t="str">
        <f>IF(48&gt;$C219,"",IF($D219=1,EOMONTH(EDATE(Bonds!$H219,6*(48-1)),0),EDATE(Bonds!$H219,6*(48-1))))</f>
        <v/>
      </c>
      <c r="BA219" s="3" t="str">
        <f>IF(49&gt;$C219,"",IF($D219=1,EOMONTH(EDATE(Bonds!$H219,6*(49-1)),0),EDATE(Bonds!$H219,6*(49-1))))</f>
        <v/>
      </c>
      <c r="BB219" s="3" t="str">
        <f>IF(50&gt;$C219,"",IF($D219=1,EOMONTH(EDATE(Bonds!$H219,6*(50-1)),0),EDATE(Bonds!$H219,6*(50-1))))</f>
        <v/>
      </c>
      <c r="BC219" s="3" t="str">
        <f>IF(51&gt;$C219,"",IF($D219=1,EOMONTH(EDATE(Bonds!$H219,6*(51-1)),0),EDATE(Bonds!$H219,6*(51-1))))</f>
        <v/>
      </c>
      <c r="BD219" s="3" t="str">
        <f>IF(52&gt;$C219,"",IF($D219=1,EOMONTH(EDATE(Bonds!$H219,6*(52-1)),0),EDATE(Bonds!$H219,6*(52-1))))</f>
        <v/>
      </c>
      <c r="BE219" s="3" t="str">
        <f>IF(53&gt;$C219,"",IF($D219=1,EOMONTH(EDATE(Bonds!$H219,6*(53-1)),0),EDATE(Bonds!$H219,6*(53-1))))</f>
        <v/>
      </c>
      <c r="BF219" s="3" t="str">
        <f>IF(54&gt;$C219,"",IF($D219=1,EOMONTH(EDATE(Bonds!$H219,6*(54-1)),0),EDATE(Bonds!$H219,6*(54-1))))</f>
        <v/>
      </c>
      <c r="BG219" s="3" t="str">
        <f>IF(55&gt;$C219,"",IF($D219=1,EOMONTH(EDATE(Bonds!$H219,6*(55-1)),0),EDATE(Bonds!$H219,6*(55-1))))</f>
        <v/>
      </c>
      <c r="BH219" s="3" t="str">
        <f>IF(56&gt;$C219,"",IF($D219=1,EOMONTH(EDATE(Bonds!$H219,6*(56-1)),0),EDATE(Bonds!$H219,6*(56-1))))</f>
        <v/>
      </c>
      <c r="BI219" s="3" t="str">
        <f>IF(57&gt;$C219,"",IF($D219=1,EOMONTH(EDATE(Bonds!$H219,6*(57-1)),0),EDATE(Bonds!$H219,6*(57-1))))</f>
        <v/>
      </c>
      <c r="BJ219" s="3" t="str">
        <f>IF(58&gt;$C219,"",IF($D219=1,EOMONTH(EDATE(Bonds!$H219,6*(58-1)),0),EDATE(Bonds!$H219,6*(58-1))))</f>
        <v/>
      </c>
      <c r="BK219" s="3" t="str">
        <f>IF(59&gt;$C219,"",IF($D219=1,EOMONTH(EDATE(Bonds!$H219,6*(59-1)),0),EDATE(Bonds!$H219,6*(59-1))))</f>
        <v/>
      </c>
      <c r="BL219" s="3" t="str">
        <f>IF(60&gt;$C219,"",IF($D219=1,EOMONTH(EDATE(Bonds!$H219,6*(60-1)),0),EDATE(Bonds!$H219,6*(60-1))))</f>
        <v/>
      </c>
      <c r="BN219" s="7">
        <f t="shared" si="184"/>
        <v>2.2232219368939923</v>
      </c>
      <c r="BO219" s="7">
        <f t="shared" si="185"/>
        <v>2.1772540932917543</v>
      </c>
      <c r="BP219" s="7">
        <f t="shared" si="186"/>
        <v>2.1288068011640258</v>
      </c>
      <c r="BQ219" s="7">
        <f t="shared" si="187"/>
        <v>2.0808924391773576</v>
      </c>
      <c r="BR219" s="7">
        <f t="shared" si="188"/>
        <v>2.0332886748830306</v>
      </c>
      <c r="BS219" s="7">
        <f t="shared" si="189"/>
        <v>1.987575363681197</v>
      </c>
      <c r="BT219" s="7">
        <f t="shared" si="190"/>
        <v>1.9422490326502284</v>
      </c>
      <c r="BU219" s="7">
        <f t="shared" si="191"/>
        <v>1.898663650630577</v>
      </c>
      <c r="BV219" s="7">
        <f t="shared" si="192"/>
        <v>1.8551970973490992</v>
      </c>
      <c r="BW219" s="7">
        <f t="shared" si="193"/>
        <v>1.8130924138831974</v>
      </c>
      <c r="BX219" s="7">
        <f t="shared" si="194"/>
        <v>80.473041209529811</v>
      </c>
      <c r="BY219" s="7">
        <f t="shared" si="195"/>
        <v>0</v>
      </c>
      <c r="BZ219" s="7">
        <f t="shared" si="196"/>
        <v>0</v>
      </c>
      <c r="CA219" s="7">
        <f t="shared" si="197"/>
        <v>0</v>
      </c>
      <c r="CB219" s="7">
        <f t="shared" si="198"/>
        <v>0</v>
      </c>
      <c r="CC219" s="7">
        <f t="shared" si="199"/>
        <v>0</v>
      </c>
      <c r="CD219" s="7">
        <f t="shared" si="200"/>
        <v>0</v>
      </c>
      <c r="CE219" s="7">
        <f t="shared" si="201"/>
        <v>0</v>
      </c>
      <c r="CF219" s="7">
        <f t="shared" si="202"/>
        <v>0</v>
      </c>
      <c r="CG219" s="7">
        <f t="shared" si="203"/>
        <v>0</v>
      </c>
      <c r="CH219" s="7">
        <f t="shared" si="204"/>
        <v>0</v>
      </c>
      <c r="CI219" s="7">
        <f t="shared" si="205"/>
        <v>0</v>
      </c>
      <c r="CJ219" s="7">
        <f t="shared" si="206"/>
        <v>0</v>
      </c>
      <c r="CK219" s="7">
        <f t="shared" si="207"/>
        <v>0</v>
      </c>
      <c r="CL219" s="7">
        <f t="shared" si="208"/>
        <v>0</v>
      </c>
      <c r="CM219" s="7">
        <f t="shared" si="209"/>
        <v>0</v>
      </c>
      <c r="CN219" s="7">
        <f t="shared" si="210"/>
        <v>0</v>
      </c>
      <c r="CO219" s="7">
        <f t="shared" si="211"/>
        <v>0</v>
      </c>
      <c r="CP219" s="7">
        <f t="shared" si="212"/>
        <v>0</v>
      </c>
      <c r="CQ219" s="7">
        <f t="shared" si="213"/>
        <v>0</v>
      </c>
      <c r="CR219" s="7">
        <f t="shared" si="214"/>
        <v>0</v>
      </c>
      <c r="CS219" s="7">
        <f t="shared" si="215"/>
        <v>0</v>
      </c>
      <c r="CT219" s="7">
        <f t="shared" si="216"/>
        <v>0</v>
      </c>
      <c r="CU219" s="7">
        <f t="shared" si="217"/>
        <v>0</v>
      </c>
      <c r="CV219" s="7">
        <f t="shared" si="218"/>
        <v>0</v>
      </c>
      <c r="CW219" s="7">
        <f t="shared" si="219"/>
        <v>0</v>
      </c>
      <c r="CX219" s="7">
        <f t="shared" si="220"/>
        <v>0</v>
      </c>
      <c r="CY219" s="7">
        <f t="shared" si="221"/>
        <v>0</v>
      </c>
      <c r="CZ219" s="7">
        <f t="shared" si="222"/>
        <v>0</v>
      </c>
      <c r="DA219" s="7">
        <f t="shared" si="223"/>
        <v>0</v>
      </c>
      <c r="DB219" s="7">
        <f t="shared" si="224"/>
        <v>0</v>
      </c>
      <c r="DC219" s="7">
        <f t="shared" si="225"/>
        <v>0</v>
      </c>
      <c r="DD219" s="7">
        <f t="shared" si="226"/>
        <v>0</v>
      </c>
      <c r="DE219" s="7">
        <f t="shared" si="227"/>
        <v>0</v>
      </c>
      <c r="DF219" s="7">
        <f t="shared" si="228"/>
        <v>0</v>
      </c>
      <c r="DG219" s="7">
        <f t="shared" si="229"/>
        <v>0</v>
      </c>
      <c r="DH219" s="7">
        <f t="shared" si="230"/>
        <v>0</v>
      </c>
      <c r="DI219" s="7">
        <f t="shared" si="231"/>
        <v>0</v>
      </c>
      <c r="DJ219" s="7">
        <f t="shared" si="232"/>
        <v>0</v>
      </c>
      <c r="DK219" s="7">
        <f t="shared" si="233"/>
        <v>0</v>
      </c>
      <c r="DL219" s="7">
        <f t="shared" si="234"/>
        <v>0</v>
      </c>
      <c r="DM219" s="7">
        <f t="shared" si="235"/>
        <v>0</v>
      </c>
      <c r="DN219" s="7">
        <f t="shared" si="236"/>
        <v>0</v>
      </c>
      <c r="DO219" s="7">
        <f t="shared" si="237"/>
        <v>0</v>
      </c>
      <c r="DP219" s="7">
        <f t="shared" si="238"/>
        <v>0</v>
      </c>
      <c r="DQ219" s="7">
        <f t="shared" si="239"/>
        <v>0</v>
      </c>
      <c r="DR219" s="7">
        <f t="shared" si="240"/>
        <v>0</v>
      </c>
      <c r="DS219" s="7">
        <f t="shared" si="241"/>
        <v>0</v>
      </c>
      <c r="DT219" s="7">
        <f t="shared" si="242"/>
        <v>0</v>
      </c>
      <c r="DU219" s="7">
        <f t="shared" si="243"/>
        <v>0</v>
      </c>
    </row>
    <row r="220" spans="1:125" x14ac:dyDescent="0.2">
      <c r="A220" s="3">
        <f>Bonds!A220</f>
        <v>48244</v>
      </c>
      <c r="B220" s="4">
        <f>Bonds!B220</f>
        <v>4.375</v>
      </c>
      <c r="C220">
        <f>Bonds!P220</f>
        <v>11</v>
      </c>
      <c r="D220">
        <f t="shared" si="183"/>
        <v>1</v>
      </c>
      <c r="E220" s="3">
        <f>IF(1&gt;$C220,"",IF($D220=1,EOMONTH(EDATE(Bonds!$H220,6*(1-1)),0),EDATE(Bonds!$H220,6*(1-1))))</f>
        <v>46418</v>
      </c>
      <c r="F220" s="3">
        <f>IF(2&gt;$C220,"",IF($D220=1,EOMONTH(EDATE(Bonds!$H220,6*(2-1)),0),EDATE(Bonds!$H220,6*(2-1))))</f>
        <v>46599</v>
      </c>
      <c r="G220" s="3">
        <f>IF(3&gt;$C220,"",IF($D220=1,EOMONTH(EDATE(Bonds!$H220,6*(3-1)),0),EDATE(Bonds!$H220,6*(3-1))))</f>
        <v>46783</v>
      </c>
      <c r="H220" s="3">
        <f>IF(4&gt;$C220,"",IF($D220=1,EOMONTH(EDATE(Bonds!$H220,6*(4-1)),0),EDATE(Bonds!$H220,6*(4-1))))</f>
        <v>46965</v>
      </c>
      <c r="I220" s="3">
        <f>IF(5&gt;$C220,"",IF($D220=1,EOMONTH(EDATE(Bonds!$H220,6*(5-1)),0),EDATE(Bonds!$H220,6*(5-1))))</f>
        <v>47149</v>
      </c>
      <c r="J220" s="3">
        <f>IF(6&gt;$C220,"",IF($D220=1,EOMONTH(EDATE(Bonds!$H220,6*(6-1)),0),EDATE(Bonds!$H220,6*(6-1))))</f>
        <v>47330</v>
      </c>
      <c r="K220" s="3">
        <f>IF(7&gt;$C220,"",IF($D220=1,EOMONTH(EDATE(Bonds!$H220,6*(7-1)),0),EDATE(Bonds!$H220,6*(7-1))))</f>
        <v>47514</v>
      </c>
      <c r="L220" s="3">
        <f>IF(8&gt;$C220,"",IF($D220=1,EOMONTH(EDATE(Bonds!$H220,6*(8-1)),0),EDATE(Bonds!$H220,6*(8-1))))</f>
        <v>47695</v>
      </c>
      <c r="M220" s="3">
        <f>IF(9&gt;$C220,"",IF($D220=1,EOMONTH(EDATE(Bonds!$H220,6*(9-1)),0),EDATE(Bonds!$H220,6*(9-1))))</f>
        <v>47879</v>
      </c>
      <c r="N220" s="3">
        <f>IF(10&gt;$C220,"",IF($D220=1,EOMONTH(EDATE(Bonds!$H220,6*(10-1)),0),EDATE(Bonds!$H220,6*(10-1))))</f>
        <v>48060</v>
      </c>
      <c r="O220" s="3">
        <f>IF(11&gt;$C220,"",IF($D220=1,EOMONTH(EDATE(Bonds!$H220,6*(11-1)),0),EDATE(Bonds!$H220,6*(11-1))))</f>
        <v>48244</v>
      </c>
      <c r="P220" s="3" t="str">
        <f>IF(12&gt;$C220,"",IF($D220=1,EOMONTH(EDATE(Bonds!$H220,6*(12-1)),0),EDATE(Bonds!$H220,6*(12-1))))</f>
        <v/>
      </c>
      <c r="Q220" s="3" t="str">
        <f>IF(13&gt;$C220,"",IF($D220=1,EOMONTH(EDATE(Bonds!$H220,6*(13-1)),0),EDATE(Bonds!$H220,6*(13-1))))</f>
        <v/>
      </c>
      <c r="R220" s="3" t="str">
        <f>IF(14&gt;$C220,"",IF($D220=1,EOMONTH(EDATE(Bonds!$H220,6*(14-1)),0),EDATE(Bonds!$H220,6*(14-1))))</f>
        <v/>
      </c>
      <c r="S220" s="3" t="str">
        <f>IF(15&gt;$C220,"",IF($D220=1,EOMONTH(EDATE(Bonds!$H220,6*(15-1)),0),EDATE(Bonds!$H220,6*(15-1))))</f>
        <v/>
      </c>
      <c r="T220" s="3" t="str">
        <f>IF(16&gt;$C220,"",IF($D220=1,EOMONTH(EDATE(Bonds!$H220,6*(16-1)),0),EDATE(Bonds!$H220,6*(16-1))))</f>
        <v/>
      </c>
      <c r="U220" s="3" t="str">
        <f>IF(17&gt;$C220,"",IF($D220=1,EOMONTH(EDATE(Bonds!$H220,6*(17-1)),0),EDATE(Bonds!$H220,6*(17-1))))</f>
        <v/>
      </c>
      <c r="V220" s="3" t="str">
        <f>IF(18&gt;$C220,"",IF($D220=1,EOMONTH(EDATE(Bonds!$H220,6*(18-1)),0),EDATE(Bonds!$H220,6*(18-1))))</f>
        <v/>
      </c>
      <c r="W220" s="3" t="str">
        <f>IF(19&gt;$C220,"",IF($D220=1,EOMONTH(EDATE(Bonds!$H220,6*(19-1)),0),EDATE(Bonds!$H220,6*(19-1))))</f>
        <v/>
      </c>
      <c r="X220" s="3" t="str">
        <f>IF(20&gt;$C220,"",IF($D220=1,EOMONTH(EDATE(Bonds!$H220,6*(20-1)),0),EDATE(Bonds!$H220,6*(20-1))))</f>
        <v/>
      </c>
      <c r="Y220" s="3" t="str">
        <f>IF(21&gt;$C220,"",IF($D220=1,EOMONTH(EDATE(Bonds!$H220,6*(21-1)),0),EDATE(Bonds!$H220,6*(21-1))))</f>
        <v/>
      </c>
      <c r="Z220" s="3" t="str">
        <f>IF(22&gt;$C220,"",IF($D220=1,EOMONTH(EDATE(Bonds!$H220,6*(22-1)),0),EDATE(Bonds!$H220,6*(22-1))))</f>
        <v/>
      </c>
      <c r="AA220" s="3" t="str">
        <f>IF(23&gt;$C220,"",IF($D220=1,EOMONTH(EDATE(Bonds!$H220,6*(23-1)),0),EDATE(Bonds!$H220,6*(23-1))))</f>
        <v/>
      </c>
      <c r="AB220" s="3" t="str">
        <f>IF(24&gt;$C220,"",IF($D220=1,EOMONTH(EDATE(Bonds!$H220,6*(24-1)),0),EDATE(Bonds!$H220,6*(24-1))))</f>
        <v/>
      </c>
      <c r="AC220" s="3" t="str">
        <f>IF(25&gt;$C220,"",IF($D220=1,EOMONTH(EDATE(Bonds!$H220,6*(25-1)),0),EDATE(Bonds!$H220,6*(25-1))))</f>
        <v/>
      </c>
      <c r="AD220" s="3" t="str">
        <f>IF(26&gt;$C220,"",IF($D220=1,EOMONTH(EDATE(Bonds!$H220,6*(26-1)),0),EDATE(Bonds!$H220,6*(26-1))))</f>
        <v/>
      </c>
      <c r="AE220" s="3" t="str">
        <f>IF(27&gt;$C220,"",IF($D220=1,EOMONTH(EDATE(Bonds!$H220,6*(27-1)),0),EDATE(Bonds!$H220,6*(27-1))))</f>
        <v/>
      </c>
      <c r="AF220" s="3" t="str">
        <f>IF(28&gt;$C220,"",IF($D220=1,EOMONTH(EDATE(Bonds!$H220,6*(28-1)),0),EDATE(Bonds!$H220,6*(28-1))))</f>
        <v/>
      </c>
      <c r="AG220" s="3" t="str">
        <f>IF(29&gt;$C220,"",IF($D220=1,EOMONTH(EDATE(Bonds!$H220,6*(29-1)),0),EDATE(Bonds!$H220,6*(29-1))))</f>
        <v/>
      </c>
      <c r="AH220" s="3" t="str">
        <f>IF(30&gt;$C220,"",IF($D220=1,EOMONTH(EDATE(Bonds!$H220,6*(30-1)),0),EDATE(Bonds!$H220,6*(30-1))))</f>
        <v/>
      </c>
      <c r="AI220" s="3" t="str">
        <f>IF(31&gt;$C220,"",IF($D220=1,EOMONTH(EDATE(Bonds!$H220,6*(31-1)),0),EDATE(Bonds!$H220,6*(31-1))))</f>
        <v/>
      </c>
      <c r="AJ220" s="3" t="str">
        <f>IF(32&gt;$C220,"",IF($D220=1,EOMONTH(EDATE(Bonds!$H220,6*(32-1)),0),EDATE(Bonds!$H220,6*(32-1))))</f>
        <v/>
      </c>
      <c r="AK220" s="3" t="str">
        <f>IF(33&gt;$C220,"",IF($D220=1,EOMONTH(EDATE(Bonds!$H220,6*(33-1)),0),EDATE(Bonds!$H220,6*(33-1))))</f>
        <v/>
      </c>
      <c r="AL220" s="3" t="str">
        <f>IF(34&gt;$C220,"",IF($D220=1,EOMONTH(EDATE(Bonds!$H220,6*(34-1)),0),EDATE(Bonds!$H220,6*(34-1))))</f>
        <v/>
      </c>
      <c r="AM220" s="3" t="str">
        <f>IF(35&gt;$C220,"",IF($D220=1,EOMONTH(EDATE(Bonds!$H220,6*(35-1)),0),EDATE(Bonds!$H220,6*(35-1))))</f>
        <v/>
      </c>
      <c r="AN220" s="3" t="str">
        <f>IF(36&gt;$C220,"",IF($D220=1,EOMONTH(EDATE(Bonds!$H220,6*(36-1)),0),EDATE(Bonds!$H220,6*(36-1))))</f>
        <v/>
      </c>
      <c r="AO220" s="3" t="str">
        <f>IF(37&gt;$C220,"",IF($D220=1,EOMONTH(EDATE(Bonds!$H220,6*(37-1)),0),EDATE(Bonds!$H220,6*(37-1))))</f>
        <v/>
      </c>
      <c r="AP220" s="3" t="str">
        <f>IF(38&gt;$C220,"",IF($D220=1,EOMONTH(EDATE(Bonds!$H220,6*(38-1)),0),EDATE(Bonds!$H220,6*(38-1))))</f>
        <v/>
      </c>
      <c r="AQ220" s="3" t="str">
        <f>IF(39&gt;$C220,"",IF($D220=1,EOMONTH(EDATE(Bonds!$H220,6*(39-1)),0),EDATE(Bonds!$H220,6*(39-1))))</f>
        <v/>
      </c>
      <c r="AR220" s="3" t="str">
        <f>IF(40&gt;$C220,"",IF($D220=1,EOMONTH(EDATE(Bonds!$H220,6*(40-1)),0),EDATE(Bonds!$H220,6*(40-1))))</f>
        <v/>
      </c>
      <c r="AS220" s="3" t="str">
        <f>IF(41&gt;$C220,"",IF($D220=1,EOMONTH(EDATE(Bonds!$H220,6*(41-1)),0),EDATE(Bonds!$H220,6*(41-1))))</f>
        <v/>
      </c>
      <c r="AT220" s="3" t="str">
        <f>IF(42&gt;$C220,"",IF($D220=1,EOMONTH(EDATE(Bonds!$H220,6*(42-1)),0),EDATE(Bonds!$H220,6*(42-1))))</f>
        <v/>
      </c>
      <c r="AU220" s="3" t="str">
        <f>IF(43&gt;$C220,"",IF($D220=1,EOMONTH(EDATE(Bonds!$H220,6*(43-1)),0),EDATE(Bonds!$H220,6*(43-1))))</f>
        <v/>
      </c>
      <c r="AV220" s="3" t="str">
        <f>IF(44&gt;$C220,"",IF($D220=1,EOMONTH(EDATE(Bonds!$H220,6*(44-1)),0),EDATE(Bonds!$H220,6*(44-1))))</f>
        <v/>
      </c>
      <c r="AW220" s="3" t="str">
        <f>IF(45&gt;$C220,"",IF($D220=1,EOMONTH(EDATE(Bonds!$H220,6*(45-1)),0),EDATE(Bonds!$H220,6*(45-1))))</f>
        <v/>
      </c>
      <c r="AX220" s="3" t="str">
        <f>IF(46&gt;$C220,"",IF($D220=1,EOMONTH(EDATE(Bonds!$H220,6*(46-1)),0),EDATE(Bonds!$H220,6*(46-1))))</f>
        <v/>
      </c>
      <c r="AY220" s="3" t="str">
        <f>IF(47&gt;$C220,"",IF($D220=1,EOMONTH(EDATE(Bonds!$H220,6*(47-1)),0),EDATE(Bonds!$H220,6*(47-1))))</f>
        <v/>
      </c>
      <c r="AZ220" s="3" t="str">
        <f>IF(48&gt;$C220,"",IF($D220=1,EOMONTH(EDATE(Bonds!$H220,6*(48-1)),0),EDATE(Bonds!$H220,6*(48-1))))</f>
        <v/>
      </c>
      <c r="BA220" s="3" t="str">
        <f>IF(49&gt;$C220,"",IF($D220=1,EOMONTH(EDATE(Bonds!$H220,6*(49-1)),0),EDATE(Bonds!$H220,6*(49-1))))</f>
        <v/>
      </c>
      <c r="BB220" s="3" t="str">
        <f>IF(50&gt;$C220,"",IF($D220=1,EOMONTH(EDATE(Bonds!$H220,6*(50-1)),0),EDATE(Bonds!$H220,6*(50-1))))</f>
        <v/>
      </c>
      <c r="BC220" s="3" t="str">
        <f>IF(51&gt;$C220,"",IF($D220=1,EOMONTH(EDATE(Bonds!$H220,6*(51-1)),0),EDATE(Bonds!$H220,6*(51-1))))</f>
        <v/>
      </c>
      <c r="BD220" s="3" t="str">
        <f>IF(52&gt;$C220,"",IF($D220=1,EOMONTH(EDATE(Bonds!$H220,6*(52-1)),0),EDATE(Bonds!$H220,6*(52-1))))</f>
        <v/>
      </c>
      <c r="BE220" s="3" t="str">
        <f>IF(53&gt;$C220,"",IF($D220=1,EOMONTH(EDATE(Bonds!$H220,6*(53-1)),0),EDATE(Bonds!$H220,6*(53-1))))</f>
        <v/>
      </c>
      <c r="BF220" s="3" t="str">
        <f>IF(54&gt;$C220,"",IF($D220=1,EOMONTH(EDATE(Bonds!$H220,6*(54-1)),0),EDATE(Bonds!$H220,6*(54-1))))</f>
        <v/>
      </c>
      <c r="BG220" s="3" t="str">
        <f>IF(55&gt;$C220,"",IF($D220=1,EOMONTH(EDATE(Bonds!$H220,6*(55-1)),0),EDATE(Bonds!$H220,6*(55-1))))</f>
        <v/>
      </c>
      <c r="BH220" s="3" t="str">
        <f>IF(56&gt;$C220,"",IF($D220=1,EOMONTH(EDATE(Bonds!$H220,6*(56-1)),0),EDATE(Bonds!$H220,6*(56-1))))</f>
        <v/>
      </c>
      <c r="BI220" s="3" t="str">
        <f>IF(57&gt;$C220,"",IF($D220=1,EOMONTH(EDATE(Bonds!$H220,6*(57-1)),0),EDATE(Bonds!$H220,6*(57-1))))</f>
        <v/>
      </c>
      <c r="BJ220" s="3" t="str">
        <f>IF(58&gt;$C220,"",IF($D220=1,EOMONTH(EDATE(Bonds!$H220,6*(58-1)),0),EDATE(Bonds!$H220,6*(58-1))))</f>
        <v/>
      </c>
      <c r="BK220" s="3" t="str">
        <f>IF(59&gt;$C220,"",IF($D220=1,EOMONTH(EDATE(Bonds!$H220,6*(59-1)),0),EDATE(Bonds!$H220,6*(59-1))))</f>
        <v/>
      </c>
      <c r="BL220" s="3" t="str">
        <f>IF(60&gt;$C220,"",IF($D220=1,EOMONTH(EDATE(Bonds!$H220,6*(60-1)),0),EDATE(Bonds!$H220,6*(60-1))))</f>
        <v/>
      </c>
      <c r="BN220" s="7">
        <f t="shared" si="184"/>
        <v>2.1540356397345497</v>
      </c>
      <c r="BO220" s="7">
        <f t="shared" si="185"/>
        <v>2.1088969529438981</v>
      </c>
      <c r="BP220" s="7">
        <f t="shared" si="186"/>
        <v>2.0617077676397879</v>
      </c>
      <c r="BQ220" s="7">
        <f t="shared" si="187"/>
        <v>2.0152222975663134</v>
      </c>
      <c r="BR220" s="7">
        <f t="shared" si="188"/>
        <v>1.9691175023148708</v>
      </c>
      <c r="BS220" s="7">
        <f t="shared" si="189"/>
        <v>1.924864231254223</v>
      </c>
      <c r="BT220" s="7">
        <f t="shared" si="190"/>
        <v>1.8809759671311055</v>
      </c>
      <c r="BU220" s="7">
        <f t="shared" si="191"/>
        <v>1.8387503817806099</v>
      </c>
      <c r="BV220" s="7">
        <f t="shared" si="192"/>
        <v>1.7966125913352118</v>
      </c>
      <c r="BW220" s="7">
        <f t="shared" si="193"/>
        <v>1.7557699066658885</v>
      </c>
      <c r="BX220" s="7">
        <f t="shared" si="194"/>
        <v>80.102138500521349</v>
      </c>
      <c r="BY220" s="7">
        <f t="shared" si="195"/>
        <v>0</v>
      </c>
      <c r="BZ220" s="7">
        <f t="shared" si="196"/>
        <v>0</v>
      </c>
      <c r="CA220" s="7">
        <f t="shared" si="197"/>
        <v>0</v>
      </c>
      <c r="CB220" s="7">
        <f t="shared" si="198"/>
        <v>0</v>
      </c>
      <c r="CC220" s="7">
        <f t="shared" si="199"/>
        <v>0</v>
      </c>
      <c r="CD220" s="7">
        <f t="shared" si="200"/>
        <v>0</v>
      </c>
      <c r="CE220" s="7">
        <f t="shared" si="201"/>
        <v>0</v>
      </c>
      <c r="CF220" s="7">
        <f t="shared" si="202"/>
        <v>0</v>
      </c>
      <c r="CG220" s="7">
        <f t="shared" si="203"/>
        <v>0</v>
      </c>
      <c r="CH220" s="7">
        <f t="shared" si="204"/>
        <v>0</v>
      </c>
      <c r="CI220" s="7">
        <f t="shared" si="205"/>
        <v>0</v>
      </c>
      <c r="CJ220" s="7">
        <f t="shared" si="206"/>
        <v>0</v>
      </c>
      <c r="CK220" s="7">
        <f t="shared" si="207"/>
        <v>0</v>
      </c>
      <c r="CL220" s="7">
        <f t="shared" si="208"/>
        <v>0</v>
      </c>
      <c r="CM220" s="7">
        <f t="shared" si="209"/>
        <v>0</v>
      </c>
      <c r="CN220" s="7">
        <f t="shared" si="210"/>
        <v>0</v>
      </c>
      <c r="CO220" s="7">
        <f t="shared" si="211"/>
        <v>0</v>
      </c>
      <c r="CP220" s="7">
        <f t="shared" si="212"/>
        <v>0</v>
      </c>
      <c r="CQ220" s="7">
        <f t="shared" si="213"/>
        <v>0</v>
      </c>
      <c r="CR220" s="7">
        <f t="shared" si="214"/>
        <v>0</v>
      </c>
      <c r="CS220" s="7">
        <f t="shared" si="215"/>
        <v>0</v>
      </c>
      <c r="CT220" s="7">
        <f t="shared" si="216"/>
        <v>0</v>
      </c>
      <c r="CU220" s="7">
        <f t="shared" si="217"/>
        <v>0</v>
      </c>
      <c r="CV220" s="7">
        <f t="shared" si="218"/>
        <v>0</v>
      </c>
      <c r="CW220" s="7">
        <f t="shared" si="219"/>
        <v>0</v>
      </c>
      <c r="CX220" s="7">
        <f t="shared" si="220"/>
        <v>0</v>
      </c>
      <c r="CY220" s="7">
        <f t="shared" si="221"/>
        <v>0</v>
      </c>
      <c r="CZ220" s="7">
        <f t="shared" si="222"/>
        <v>0</v>
      </c>
      <c r="DA220" s="7">
        <f t="shared" si="223"/>
        <v>0</v>
      </c>
      <c r="DB220" s="7">
        <f t="shared" si="224"/>
        <v>0</v>
      </c>
      <c r="DC220" s="7">
        <f t="shared" si="225"/>
        <v>0</v>
      </c>
      <c r="DD220" s="7">
        <f t="shared" si="226"/>
        <v>0</v>
      </c>
      <c r="DE220" s="7">
        <f t="shared" si="227"/>
        <v>0</v>
      </c>
      <c r="DF220" s="7">
        <f t="shared" si="228"/>
        <v>0</v>
      </c>
      <c r="DG220" s="7">
        <f t="shared" si="229"/>
        <v>0</v>
      </c>
      <c r="DH220" s="7">
        <f t="shared" si="230"/>
        <v>0</v>
      </c>
      <c r="DI220" s="7">
        <f t="shared" si="231"/>
        <v>0</v>
      </c>
      <c r="DJ220" s="7">
        <f t="shared" si="232"/>
        <v>0</v>
      </c>
      <c r="DK220" s="7">
        <f t="shared" si="233"/>
        <v>0</v>
      </c>
      <c r="DL220" s="7">
        <f t="shared" si="234"/>
        <v>0</v>
      </c>
      <c r="DM220" s="7">
        <f t="shared" si="235"/>
        <v>0</v>
      </c>
      <c r="DN220" s="7">
        <f t="shared" si="236"/>
        <v>0</v>
      </c>
      <c r="DO220" s="7">
        <f t="shared" si="237"/>
        <v>0</v>
      </c>
      <c r="DP220" s="7">
        <f t="shared" si="238"/>
        <v>0</v>
      </c>
      <c r="DQ220" s="7">
        <f t="shared" si="239"/>
        <v>0</v>
      </c>
      <c r="DR220" s="7">
        <f t="shared" si="240"/>
        <v>0</v>
      </c>
      <c r="DS220" s="7">
        <f t="shared" si="241"/>
        <v>0</v>
      </c>
      <c r="DT220" s="7">
        <f t="shared" si="242"/>
        <v>0</v>
      </c>
      <c r="DU220" s="7">
        <f t="shared" si="243"/>
        <v>0</v>
      </c>
    </row>
    <row r="221" spans="1:125" x14ac:dyDescent="0.2">
      <c r="A221" s="3">
        <f>Bonds!A221</f>
        <v>48259</v>
      </c>
      <c r="B221" s="4">
        <f>Bonds!B221</f>
        <v>1.875</v>
      </c>
      <c r="C221">
        <f>Bonds!P221</f>
        <v>11</v>
      </c>
      <c r="D221">
        <f t="shared" si="183"/>
        <v>0</v>
      </c>
      <c r="E221" s="3">
        <f>IF(1&gt;$C221,"",IF($D221=1,EOMONTH(EDATE(Bonds!$H221,6*(1-1)),0),EDATE(Bonds!$H221,6*(1-1))))</f>
        <v>46433</v>
      </c>
      <c r="F221" s="3">
        <f>IF(2&gt;$C221,"",IF($D221=1,EOMONTH(EDATE(Bonds!$H221,6*(2-1)),0),EDATE(Bonds!$H221,6*(2-1))))</f>
        <v>46614</v>
      </c>
      <c r="G221" s="3">
        <f>IF(3&gt;$C221,"",IF($D221=1,EOMONTH(EDATE(Bonds!$H221,6*(3-1)),0),EDATE(Bonds!$H221,6*(3-1))))</f>
        <v>46798</v>
      </c>
      <c r="H221" s="3">
        <f>IF(4&gt;$C221,"",IF($D221=1,EOMONTH(EDATE(Bonds!$H221,6*(4-1)),0),EDATE(Bonds!$H221,6*(4-1))))</f>
        <v>46980</v>
      </c>
      <c r="I221" s="3">
        <f>IF(5&gt;$C221,"",IF($D221=1,EOMONTH(EDATE(Bonds!$H221,6*(5-1)),0),EDATE(Bonds!$H221,6*(5-1))))</f>
        <v>47164</v>
      </c>
      <c r="J221" s="3">
        <f>IF(6&gt;$C221,"",IF($D221=1,EOMONTH(EDATE(Bonds!$H221,6*(6-1)),0),EDATE(Bonds!$H221,6*(6-1))))</f>
        <v>47345</v>
      </c>
      <c r="K221" s="3">
        <f>IF(7&gt;$C221,"",IF($D221=1,EOMONTH(EDATE(Bonds!$H221,6*(7-1)),0),EDATE(Bonds!$H221,6*(7-1))))</f>
        <v>47529</v>
      </c>
      <c r="L221" s="3">
        <f>IF(8&gt;$C221,"",IF($D221=1,EOMONTH(EDATE(Bonds!$H221,6*(8-1)),0),EDATE(Bonds!$H221,6*(8-1))))</f>
        <v>47710</v>
      </c>
      <c r="M221" s="3">
        <f>IF(9&gt;$C221,"",IF($D221=1,EOMONTH(EDATE(Bonds!$H221,6*(9-1)),0),EDATE(Bonds!$H221,6*(9-1))))</f>
        <v>47894</v>
      </c>
      <c r="N221" s="3">
        <f>IF(10&gt;$C221,"",IF($D221=1,EOMONTH(EDATE(Bonds!$H221,6*(10-1)),0),EDATE(Bonds!$H221,6*(10-1))))</f>
        <v>48075</v>
      </c>
      <c r="O221" s="3">
        <f>IF(11&gt;$C221,"",IF($D221=1,EOMONTH(EDATE(Bonds!$H221,6*(11-1)),0),EDATE(Bonds!$H221,6*(11-1))))</f>
        <v>48259</v>
      </c>
      <c r="P221" s="3" t="str">
        <f>IF(12&gt;$C221,"",IF($D221=1,EOMONTH(EDATE(Bonds!$H221,6*(12-1)),0),EDATE(Bonds!$H221,6*(12-1))))</f>
        <v/>
      </c>
      <c r="Q221" s="3" t="str">
        <f>IF(13&gt;$C221,"",IF($D221=1,EOMONTH(EDATE(Bonds!$H221,6*(13-1)),0),EDATE(Bonds!$H221,6*(13-1))))</f>
        <v/>
      </c>
      <c r="R221" s="3" t="str">
        <f>IF(14&gt;$C221,"",IF($D221=1,EOMONTH(EDATE(Bonds!$H221,6*(14-1)),0),EDATE(Bonds!$H221,6*(14-1))))</f>
        <v/>
      </c>
      <c r="S221" s="3" t="str">
        <f>IF(15&gt;$C221,"",IF($D221=1,EOMONTH(EDATE(Bonds!$H221,6*(15-1)),0),EDATE(Bonds!$H221,6*(15-1))))</f>
        <v/>
      </c>
      <c r="T221" s="3" t="str">
        <f>IF(16&gt;$C221,"",IF($D221=1,EOMONTH(EDATE(Bonds!$H221,6*(16-1)),0),EDATE(Bonds!$H221,6*(16-1))))</f>
        <v/>
      </c>
      <c r="U221" s="3" t="str">
        <f>IF(17&gt;$C221,"",IF($D221=1,EOMONTH(EDATE(Bonds!$H221,6*(17-1)),0),EDATE(Bonds!$H221,6*(17-1))))</f>
        <v/>
      </c>
      <c r="V221" s="3" t="str">
        <f>IF(18&gt;$C221,"",IF($D221=1,EOMONTH(EDATE(Bonds!$H221,6*(18-1)),0),EDATE(Bonds!$H221,6*(18-1))))</f>
        <v/>
      </c>
      <c r="W221" s="3" t="str">
        <f>IF(19&gt;$C221,"",IF($D221=1,EOMONTH(EDATE(Bonds!$H221,6*(19-1)),0),EDATE(Bonds!$H221,6*(19-1))))</f>
        <v/>
      </c>
      <c r="X221" s="3" t="str">
        <f>IF(20&gt;$C221,"",IF($D221=1,EOMONTH(EDATE(Bonds!$H221,6*(20-1)),0),EDATE(Bonds!$H221,6*(20-1))))</f>
        <v/>
      </c>
      <c r="Y221" s="3" t="str">
        <f>IF(21&gt;$C221,"",IF($D221=1,EOMONTH(EDATE(Bonds!$H221,6*(21-1)),0),EDATE(Bonds!$H221,6*(21-1))))</f>
        <v/>
      </c>
      <c r="Z221" s="3" t="str">
        <f>IF(22&gt;$C221,"",IF($D221=1,EOMONTH(EDATE(Bonds!$H221,6*(22-1)),0),EDATE(Bonds!$H221,6*(22-1))))</f>
        <v/>
      </c>
      <c r="AA221" s="3" t="str">
        <f>IF(23&gt;$C221,"",IF($D221=1,EOMONTH(EDATE(Bonds!$H221,6*(23-1)),0),EDATE(Bonds!$H221,6*(23-1))))</f>
        <v/>
      </c>
      <c r="AB221" s="3" t="str">
        <f>IF(24&gt;$C221,"",IF($D221=1,EOMONTH(EDATE(Bonds!$H221,6*(24-1)),0),EDATE(Bonds!$H221,6*(24-1))))</f>
        <v/>
      </c>
      <c r="AC221" s="3" t="str">
        <f>IF(25&gt;$C221,"",IF($D221=1,EOMONTH(EDATE(Bonds!$H221,6*(25-1)),0),EDATE(Bonds!$H221,6*(25-1))))</f>
        <v/>
      </c>
      <c r="AD221" s="3" t="str">
        <f>IF(26&gt;$C221,"",IF($D221=1,EOMONTH(EDATE(Bonds!$H221,6*(26-1)),0),EDATE(Bonds!$H221,6*(26-1))))</f>
        <v/>
      </c>
      <c r="AE221" s="3" t="str">
        <f>IF(27&gt;$C221,"",IF($D221=1,EOMONTH(EDATE(Bonds!$H221,6*(27-1)),0),EDATE(Bonds!$H221,6*(27-1))))</f>
        <v/>
      </c>
      <c r="AF221" s="3" t="str">
        <f>IF(28&gt;$C221,"",IF($D221=1,EOMONTH(EDATE(Bonds!$H221,6*(28-1)),0),EDATE(Bonds!$H221,6*(28-1))))</f>
        <v/>
      </c>
      <c r="AG221" s="3" t="str">
        <f>IF(29&gt;$C221,"",IF($D221=1,EOMONTH(EDATE(Bonds!$H221,6*(29-1)),0),EDATE(Bonds!$H221,6*(29-1))))</f>
        <v/>
      </c>
      <c r="AH221" s="3" t="str">
        <f>IF(30&gt;$C221,"",IF($D221=1,EOMONTH(EDATE(Bonds!$H221,6*(30-1)),0),EDATE(Bonds!$H221,6*(30-1))))</f>
        <v/>
      </c>
      <c r="AI221" s="3" t="str">
        <f>IF(31&gt;$C221,"",IF($D221=1,EOMONTH(EDATE(Bonds!$H221,6*(31-1)),0),EDATE(Bonds!$H221,6*(31-1))))</f>
        <v/>
      </c>
      <c r="AJ221" s="3" t="str">
        <f>IF(32&gt;$C221,"",IF($D221=1,EOMONTH(EDATE(Bonds!$H221,6*(32-1)),0),EDATE(Bonds!$H221,6*(32-1))))</f>
        <v/>
      </c>
      <c r="AK221" s="3" t="str">
        <f>IF(33&gt;$C221,"",IF($D221=1,EOMONTH(EDATE(Bonds!$H221,6*(33-1)),0),EDATE(Bonds!$H221,6*(33-1))))</f>
        <v/>
      </c>
      <c r="AL221" s="3" t="str">
        <f>IF(34&gt;$C221,"",IF($D221=1,EOMONTH(EDATE(Bonds!$H221,6*(34-1)),0),EDATE(Bonds!$H221,6*(34-1))))</f>
        <v/>
      </c>
      <c r="AM221" s="3" t="str">
        <f>IF(35&gt;$C221,"",IF($D221=1,EOMONTH(EDATE(Bonds!$H221,6*(35-1)),0),EDATE(Bonds!$H221,6*(35-1))))</f>
        <v/>
      </c>
      <c r="AN221" s="3" t="str">
        <f>IF(36&gt;$C221,"",IF($D221=1,EOMONTH(EDATE(Bonds!$H221,6*(36-1)),0),EDATE(Bonds!$H221,6*(36-1))))</f>
        <v/>
      </c>
      <c r="AO221" s="3" t="str">
        <f>IF(37&gt;$C221,"",IF($D221=1,EOMONTH(EDATE(Bonds!$H221,6*(37-1)),0),EDATE(Bonds!$H221,6*(37-1))))</f>
        <v/>
      </c>
      <c r="AP221" s="3" t="str">
        <f>IF(38&gt;$C221,"",IF($D221=1,EOMONTH(EDATE(Bonds!$H221,6*(38-1)),0),EDATE(Bonds!$H221,6*(38-1))))</f>
        <v/>
      </c>
      <c r="AQ221" s="3" t="str">
        <f>IF(39&gt;$C221,"",IF($D221=1,EOMONTH(EDATE(Bonds!$H221,6*(39-1)),0),EDATE(Bonds!$H221,6*(39-1))))</f>
        <v/>
      </c>
      <c r="AR221" s="3" t="str">
        <f>IF(40&gt;$C221,"",IF($D221=1,EOMONTH(EDATE(Bonds!$H221,6*(40-1)),0),EDATE(Bonds!$H221,6*(40-1))))</f>
        <v/>
      </c>
      <c r="AS221" s="3" t="str">
        <f>IF(41&gt;$C221,"",IF($D221=1,EOMONTH(EDATE(Bonds!$H221,6*(41-1)),0),EDATE(Bonds!$H221,6*(41-1))))</f>
        <v/>
      </c>
      <c r="AT221" s="3" t="str">
        <f>IF(42&gt;$C221,"",IF($D221=1,EOMONTH(EDATE(Bonds!$H221,6*(42-1)),0),EDATE(Bonds!$H221,6*(42-1))))</f>
        <v/>
      </c>
      <c r="AU221" s="3" t="str">
        <f>IF(43&gt;$C221,"",IF($D221=1,EOMONTH(EDATE(Bonds!$H221,6*(43-1)),0),EDATE(Bonds!$H221,6*(43-1))))</f>
        <v/>
      </c>
      <c r="AV221" s="3" t="str">
        <f>IF(44&gt;$C221,"",IF($D221=1,EOMONTH(EDATE(Bonds!$H221,6*(44-1)),0),EDATE(Bonds!$H221,6*(44-1))))</f>
        <v/>
      </c>
      <c r="AW221" s="3" t="str">
        <f>IF(45&gt;$C221,"",IF($D221=1,EOMONTH(EDATE(Bonds!$H221,6*(45-1)),0),EDATE(Bonds!$H221,6*(45-1))))</f>
        <v/>
      </c>
      <c r="AX221" s="3" t="str">
        <f>IF(46&gt;$C221,"",IF($D221=1,EOMONTH(EDATE(Bonds!$H221,6*(46-1)),0),EDATE(Bonds!$H221,6*(46-1))))</f>
        <v/>
      </c>
      <c r="AY221" s="3" t="str">
        <f>IF(47&gt;$C221,"",IF($D221=1,EOMONTH(EDATE(Bonds!$H221,6*(47-1)),0),EDATE(Bonds!$H221,6*(47-1))))</f>
        <v/>
      </c>
      <c r="AZ221" s="3" t="str">
        <f>IF(48&gt;$C221,"",IF($D221=1,EOMONTH(EDATE(Bonds!$H221,6*(48-1)),0),EDATE(Bonds!$H221,6*(48-1))))</f>
        <v/>
      </c>
      <c r="BA221" s="3" t="str">
        <f>IF(49&gt;$C221,"",IF($D221=1,EOMONTH(EDATE(Bonds!$H221,6*(49-1)),0),EDATE(Bonds!$H221,6*(49-1))))</f>
        <v/>
      </c>
      <c r="BB221" s="3" t="str">
        <f>IF(50&gt;$C221,"",IF($D221=1,EOMONTH(EDATE(Bonds!$H221,6*(50-1)),0),EDATE(Bonds!$H221,6*(50-1))))</f>
        <v/>
      </c>
      <c r="BC221" s="3" t="str">
        <f>IF(51&gt;$C221,"",IF($D221=1,EOMONTH(EDATE(Bonds!$H221,6*(51-1)),0),EDATE(Bonds!$H221,6*(51-1))))</f>
        <v/>
      </c>
      <c r="BD221" s="3" t="str">
        <f>IF(52&gt;$C221,"",IF($D221=1,EOMONTH(EDATE(Bonds!$H221,6*(52-1)),0),EDATE(Bonds!$H221,6*(52-1))))</f>
        <v/>
      </c>
      <c r="BE221" s="3" t="str">
        <f>IF(53&gt;$C221,"",IF($D221=1,EOMONTH(EDATE(Bonds!$H221,6*(53-1)),0),EDATE(Bonds!$H221,6*(53-1))))</f>
        <v/>
      </c>
      <c r="BF221" s="3" t="str">
        <f>IF(54&gt;$C221,"",IF($D221=1,EOMONTH(EDATE(Bonds!$H221,6*(54-1)),0),EDATE(Bonds!$H221,6*(54-1))))</f>
        <v/>
      </c>
      <c r="BG221" s="3" t="str">
        <f>IF(55&gt;$C221,"",IF($D221=1,EOMONTH(EDATE(Bonds!$H221,6*(55-1)),0),EDATE(Bonds!$H221,6*(55-1))))</f>
        <v/>
      </c>
      <c r="BH221" s="3" t="str">
        <f>IF(56&gt;$C221,"",IF($D221=1,EOMONTH(EDATE(Bonds!$H221,6*(56-1)),0),EDATE(Bonds!$H221,6*(56-1))))</f>
        <v/>
      </c>
      <c r="BI221" s="3" t="str">
        <f>IF(57&gt;$C221,"",IF($D221=1,EOMONTH(EDATE(Bonds!$H221,6*(57-1)),0),EDATE(Bonds!$H221,6*(57-1))))</f>
        <v/>
      </c>
      <c r="BJ221" s="3" t="str">
        <f>IF(58&gt;$C221,"",IF($D221=1,EOMONTH(EDATE(Bonds!$H221,6*(58-1)),0),EDATE(Bonds!$H221,6*(58-1))))</f>
        <v/>
      </c>
      <c r="BK221" s="3" t="str">
        <f>IF(59&gt;$C221,"",IF($D221=1,EOMONTH(EDATE(Bonds!$H221,6*(59-1)),0),EDATE(Bonds!$H221,6*(59-1))))</f>
        <v/>
      </c>
      <c r="BL221" s="3" t="str">
        <f>IF(60&gt;$C221,"",IF($D221=1,EOMONTH(EDATE(Bonds!$H221,6*(60-1)),0),EDATE(Bonds!$H221,6*(60-1))))</f>
        <v/>
      </c>
      <c r="BN221" s="7">
        <f t="shared" si="184"/>
        <v>0.92159951463845424</v>
      </c>
      <c r="BO221" s="7">
        <f t="shared" si="185"/>
        <v>0.90217374173192655</v>
      </c>
      <c r="BP221" s="7">
        <f t="shared" si="186"/>
        <v>0.88193822609752603</v>
      </c>
      <c r="BQ221" s="7">
        <f t="shared" si="187"/>
        <v>0.86203919305587606</v>
      </c>
      <c r="BR221" s="7">
        <f t="shared" si="188"/>
        <v>0.84231760913606391</v>
      </c>
      <c r="BS221" s="7">
        <f t="shared" si="189"/>
        <v>0.82339125911517042</v>
      </c>
      <c r="BT221" s="7">
        <f t="shared" si="190"/>
        <v>0.80461850117175004</v>
      </c>
      <c r="BU221" s="7">
        <f t="shared" si="191"/>
        <v>0.78655196288627049</v>
      </c>
      <c r="BV221" s="7">
        <f t="shared" si="192"/>
        <v>0.76851731179187599</v>
      </c>
      <c r="BW221" s="7">
        <f t="shared" si="193"/>
        <v>0.75103183715217781</v>
      </c>
      <c r="BX221" s="7">
        <f t="shared" si="194"/>
        <v>78.96870550613751</v>
      </c>
      <c r="BY221" s="7">
        <f t="shared" si="195"/>
        <v>0</v>
      </c>
      <c r="BZ221" s="7">
        <f t="shared" si="196"/>
        <v>0</v>
      </c>
      <c r="CA221" s="7">
        <f t="shared" si="197"/>
        <v>0</v>
      </c>
      <c r="CB221" s="7">
        <f t="shared" si="198"/>
        <v>0</v>
      </c>
      <c r="CC221" s="7">
        <f t="shared" si="199"/>
        <v>0</v>
      </c>
      <c r="CD221" s="7">
        <f t="shared" si="200"/>
        <v>0</v>
      </c>
      <c r="CE221" s="7">
        <f t="shared" si="201"/>
        <v>0</v>
      </c>
      <c r="CF221" s="7">
        <f t="shared" si="202"/>
        <v>0</v>
      </c>
      <c r="CG221" s="7">
        <f t="shared" si="203"/>
        <v>0</v>
      </c>
      <c r="CH221" s="7">
        <f t="shared" si="204"/>
        <v>0</v>
      </c>
      <c r="CI221" s="7">
        <f t="shared" si="205"/>
        <v>0</v>
      </c>
      <c r="CJ221" s="7">
        <f t="shared" si="206"/>
        <v>0</v>
      </c>
      <c r="CK221" s="7">
        <f t="shared" si="207"/>
        <v>0</v>
      </c>
      <c r="CL221" s="7">
        <f t="shared" si="208"/>
        <v>0</v>
      </c>
      <c r="CM221" s="7">
        <f t="shared" si="209"/>
        <v>0</v>
      </c>
      <c r="CN221" s="7">
        <f t="shared" si="210"/>
        <v>0</v>
      </c>
      <c r="CO221" s="7">
        <f t="shared" si="211"/>
        <v>0</v>
      </c>
      <c r="CP221" s="7">
        <f t="shared" si="212"/>
        <v>0</v>
      </c>
      <c r="CQ221" s="7">
        <f t="shared" si="213"/>
        <v>0</v>
      </c>
      <c r="CR221" s="7">
        <f t="shared" si="214"/>
        <v>0</v>
      </c>
      <c r="CS221" s="7">
        <f t="shared" si="215"/>
        <v>0</v>
      </c>
      <c r="CT221" s="7">
        <f t="shared" si="216"/>
        <v>0</v>
      </c>
      <c r="CU221" s="7">
        <f t="shared" si="217"/>
        <v>0</v>
      </c>
      <c r="CV221" s="7">
        <f t="shared" si="218"/>
        <v>0</v>
      </c>
      <c r="CW221" s="7">
        <f t="shared" si="219"/>
        <v>0</v>
      </c>
      <c r="CX221" s="7">
        <f t="shared" si="220"/>
        <v>0</v>
      </c>
      <c r="CY221" s="7">
        <f t="shared" si="221"/>
        <v>0</v>
      </c>
      <c r="CZ221" s="7">
        <f t="shared" si="222"/>
        <v>0</v>
      </c>
      <c r="DA221" s="7">
        <f t="shared" si="223"/>
        <v>0</v>
      </c>
      <c r="DB221" s="7">
        <f t="shared" si="224"/>
        <v>0</v>
      </c>
      <c r="DC221" s="7">
        <f t="shared" si="225"/>
        <v>0</v>
      </c>
      <c r="DD221" s="7">
        <f t="shared" si="226"/>
        <v>0</v>
      </c>
      <c r="DE221" s="7">
        <f t="shared" si="227"/>
        <v>0</v>
      </c>
      <c r="DF221" s="7">
        <f t="shared" si="228"/>
        <v>0</v>
      </c>
      <c r="DG221" s="7">
        <f t="shared" si="229"/>
        <v>0</v>
      </c>
      <c r="DH221" s="7">
        <f t="shared" si="230"/>
        <v>0</v>
      </c>
      <c r="DI221" s="7">
        <f t="shared" si="231"/>
        <v>0</v>
      </c>
      <c r="DJ221" s="7">
        <f t="shared" si="232"/>
        <v>0</v>
      </c>
      <c r="DK221" s="7">
        <f t="shared" si="233"/>
        <v>0</v>
      </c>
      <c r="DL221" s="7">
        <f t="shared" si="234"/>
        <v>0</v>
      </c>
      <c r="DM221" s="7">
        <f t="shared" si="235"/>
        <v>0</v>
      </c>
      <c r="DN221" s="7">
        <f t="shared" si="236"/>
        <v>0</v>
      </c>
      <c r="DO221" s="7">
        <f t="shared" si="237"/>
        <v>0</v>
      </c>
      <c r="DP221" s="7">
        <f t="shared" si="238"/>
        <v>0</v>
      </c>
      <c r="DQ221" s="7">
        <f t="shared" si="239"/>
        <v>0</v>
      </c>
      <c r="DR221" s="7">
        <f t="shared" si="240"/>
        <v>0</v>
      </c>
      <c r="DS221" s="7">
        <f t="shared" si="241"/>
        <v>0</v>
      </c>
      <c r="DT221" s="7">
        <f t="shared" si="242"/>
        <v>0</v>
      </c>
      <c r="DU221" s="7">
        <f t="shared" si="243"/>
        <v>0</v>
      </c>
    </row>
    <row r="222" spans="1:125" x14ac:dyDescent="0.2">
      <c r="A222" s="3">
        <f>Bonds!A222</f>
        <v>48273</v>
      </c>
      <c r="B222" s="4">
        <f>Bonds!B222</f>
        <v>4.125</v>
      </c>
      <c r="C222">
        <f>Bonds!P222</f>
        <v>11</v>
      </c>
      <c r="D222">
        <f t="shared" si="183"/>
        <v>1</v>
      </c>
      <c r="E222" s="3">
        <f>IF(1&gt;$C222,"",IF($D222=1,EOMONTH(EDATE(Bonds!$H222,6*(1-1)),0),EDATE(Bonds!$H222,6*(1-1))))</f>
        <v>46446</v>
      </c>
      <c r="F222" s="3">
        <f>IF(2&gt;$C222,"",IF($D222=1,EOMONTH(EDATE(Bonds!$H222,6*(2-1)),0),EDATE(Bonds!$H222,6*(2-1))))</f>
        <v>46630</v>
      </c>
      <c r="G222" s="3">
        <f>IF(3&gt;$C222,"",IF($D222=1,EOMONTH(EDATE(Bonds!$H222,6*(3-1)),0),EDATE(Bonds!$H222,6*(3-1))))</f>
        <v>46812</v>
      </c>
      <c r="H222" s="3">
        <f>IF(4&gt;$C222,"",IF($D222=1,EOMONTH(EDATE(Bonds!$H222,6*(4-1)),0),EDATE(Bonds!$H222,6*(4-1))))</f>
        <v>46996</v>
      </c>
      <c r="I222" s="3">
        <f>IF(5&gt;$C222,"",IF($D222=1,EOMONTH(EDATE(Bonds!$H222,6*(5-1)),0),EDATE(Bonds!$H222,6*(5-1))))</f>
        <v>47177</v>
      </c>
      <c r="J222" s="3">
        <f>IF(6&gt;$C222,"",IF($D222=1,EOMONTH(EDATE(Bonds!$H222,6*(6-1)),0),EDATE(Bonds!$H222,6*(6-1))))</f>
        <v>47361</v>
      </c>
      <c r="K222" s="3">
        <f>IF(7&gt;$C222,"",IF($D222=1,EOMONTH(EDATE(Bonds!$H222,6*(7-1)),0),EDATE(Bonds!$H222,6*(7-1))))</f>
        <v>47542</v>
      </c>
      <c r="L222" s="3">
        <f>IF(8&gt;$C222,"",IF($D222=1,EOMONTH(EDATE(Bonds!$H222,6*(8-1)),0),EDATE(Bonds!$H222,6*(8-1))))</f>
        <v>47726</v>
      </c>
      <c r="M222" s="3">
        <f>IF(9&gt;$C222,"",IF($D222=1,EOMONTH(EDATE(Bonds!$H222,6*(9-1)),0),EDATE(Bonds!$H222,6*(9-1))))</f>
        <v>47907</v>
      </c>
      <c r="N222" s="3">
        <f>IF(10&gt;$C222,"",IF($D222=1,EOMONTH(EDATE(Bonds!$H222,6*(10-1)),0),EDATE(Bonds!$H222,6*(10-1))))</f>
        <v>48091</v>
      </c>
      <c r="O222" s="3">
        <f>IF(11&gt;$C222,"",IF($D222=1,EOMONTH(EDATE(Bonds!$H222,6*(11-1)),0),EDATE(Bonds!$H222,6*(11-1))))</f>
        <v>48273</v>
      </c>
      <c r="P222" s="3" t="str">
        <f>IF(12&gt;$C222,"",IF($D222=1,EOMONTH(EDATE(Bonds!$H222,6*(12-1)),0),EDATE(Bonds!$H222,6*(12-1))))</f>
        <v/>
      </c>
      <c r="Q222" s="3" t="str">
        <f>IF(13&gt;$C222,"",IF($D222=1,EOMONTH(EDATE(Bonds!$H222,6*(13-1)),0),EDATE(Bonds!$H222,6*(13-1))))</f>
        <v/>
      </c>
      <c r="R222" s="3" t="str">
        <f>IF(14&gt;$C222,"",IF($D222=1,EOMONTH(EDATE(Bonds!$H222,6*(14-1)),0),EDATE(Bonds!$H222,6*(14-1))))</f>
        <v/>
      </c>
      <c r="S222" s="3" t="str">
        <f>IF(15&gt;$C222,"",IF($D222=1,EOMONTH(EDATE(Bonds!$H222,6*(15-1)),0),EDATE(Bonds!$H222,6*(15-1))))</f>
        <v/>
      </c>
      <c r="T222" s="3" t="str">
        <f>IF(16&gt;$C222,"",IF($D222=1,EOMONTH(EDATE(Bonds!$H222,6*(16-1)),0),EDATE(Bonds!$H222,6*(16-1))))</f>
        <v/>
      </c>
      <c r="U222" s="3" t="str">
        <f>IF(17&gt;$C222,"",IF($D222=1,EOMONTH(EDATE(Bonds!$H222,6*(17-1)),0),EDATE(Bonds!$H222,6*(17-1))))</f>
        <v/>
      </c>
      <c r="V222" s="3" t="str">
        <f>IF(18&gt;$C222,"",IF($D222=1,EOMONTH(EDATE(Bonds!$H222,6*(18-1)),0),EDATE(Bonds!$H222,6*(18-1))))</f>
        <v/>
      </c>
      <c r="W222" s="3" t="str">
        <f>IF(19&gt;$C222,"",IF($D222=1,EOMONTH(EDATE(Bonds!$H222,6*(19-1)),0),EDATE(Bonds!$H222,6*(19-1))))</f>
        <v/>
      </c>
      <c r="X222" s="3" t="str">
        <f>IF(20&gt;$C222,"",IF($D222=1,EOMONTH(EDATE(Bonds!$H222,6*(20-1)),0),EDATE(Bonds!$H222,6*(20-1))))</f>
        <v/>
      </c>
      <c r="Y222" s="3" t="str">
        <f>IF(21&gt;$C222,"",IF($D222=1,EOMONTH(EDATE(Bonds!$H222,6*(21-1)),0),EDATE(Bonds!$H222,6*(21-1))))</f>
        <v/>
      </c>
      <c r="Z222" s="3" t="str">
        <f>IF(22&gt;$C222,"",IF($D222=1,EOMONTH(EDATE(Bonds!$H222,6*(22-1)),0),EDATE(Bonds!$H222,6*(22-1))))</f>
        <v/>
      </c>
      <c r="AA222" s="3" t="str">
        <f>IF(23&gt;$C222,"",IF($D222=1,EOMONTH(EDATE(Bonds!$H222,6*(23-1)),0),EDATE(Bonds!$H222,6*(23-1))))</f>
        <v/>
      </c>
      <c r="AB222" s="3" t="str">
        <f>IF(24&gt;$C222,"",IF($D222=1,EOMONTH(EDATE(Bonds!$H222,6*(24-1)),0),EDATE(Bonds!$H222,6*(24-1))))</f>
        <v/>
      </c>
      <c r="AC222" s="3" t="str">
        <f>IF(25&gt;$C222,"",IF($D222=1,EOMONTH(EDATE(Bonds!$H222,6*(25-1)),0),EDATE(Bonds!$H222,6*(25-1))))</f>
        <v/>
      </c>
      <c r="AD222" s="3" t="str">
        <f>IF(26&gt;$C222,"",IF($D222=1,EOMONTH(EDATE(Bonds!$H222,6*(26-1)),0),EDATE(Bonds!$H222,6*(26-1))))</f>
        <v/>
      </c>
      <c r="AE222" s="3" t="str">
        <f>IF(27&gt;$C222,"",IF($D222=1,EOMONTH(EDATE(Bonds!$H222,6*(27-1)),0),EDATE(Bonds!$H222,6*(27-1))))</f>
        <v/>
      </c>
      <c r="AF222" s="3" t="str">
        <f>IF(28&gt;$C222,"",IF($D222=1,EOMONTH(EDATE(Bonds!$H222,6*(28-1)),0),EDATE(Bonds!$H222,6*(28-1))))</f>
        <v/>
      </c>
      <c r="AG222" s="3" t="str">
        <f>IF(29&gt;$C222,"",IF($D222=1,EOMONTH(EDATE(Bonds!$H222,6*(29-1)),0),EDATE(Bonds!$H222,6*(29-1))))</f>
        <v/>
      </c>
      <c r="AH222" s="3" t="str">
        <f>IF(30&gt;$C222,"",IF($D222=1,EOMONTH(EDATE(Bonds!$H222,6*(30-1)),0),EDATE(Bonds!$H222,6*(30-1))))</f>
        <v/>
      </c>
      <c r="AI222" s="3" t="str">
        <f>IF(31&gt;$C222,"",IF($D222=1,EOMONTH(EDATE(Bonds!$H222,6*(31-1)),0),EDATE(Bonds!$H222,6*(31-1))))</f>
        <v/>
      </c>
      <c r="AJ222" s="3" t="str">
        <f>IF(32&gt;$C222,"",IF($D222=1,EOMONTH(EDATE(Bonds!$H222,6*(32-1)),0),EDATE(Bonds!$H222,6*(32-1))))</f>
        <v/>
      </c>
      <c r="AK222" s="3" t="str">
        <f>IF(33&gt;$C222,"",IF($D222=1,EOMONTH(EDATE(Bonds!$H222,6*(33-1)),0),EDATE(Bonds!$H222,6*(33-1))))</f>
        <v/>
      </c>
      <c r="AL222" s="3" t="str">
        <f>IF(34&gt;$C222,"",IF($D222=1,EOMONTH(EDATE(Bonds!$H222,6*(34-1)),0),EDATE(Bonds!$H222,6*(34-1))))</f>
        <v/>
      </c>
      <c r="AM222" s="3" t="str">
        <f>IF(35&gt;$C222,"",IF($D222=1,EOMONTH(EDATE(Bonds!$H222,6*(35-1)),0),EDATE(Bonds!$H222,6*(35-1))))</f>
        <v/>
      </c>
      <c r="AN222" s="3" t="str">
        <f>IF(36&gt;$C222,"",IF($D222=1,EOMONTH(EDATE(Bonds!$H222,6*(36-1)),0),EDATE(Bonds!$H222,6*(36-1))))</f>
        <v/>
      </c>
      <c r="AO222" s="3" t="str">
        <f>IF(37&gt;$C222,"",IF($D222=1,EOMONTH(EDATE(Bonds!$H222,6*(37-1)),0),EDATE(Bonds!$H222,6*(37-1))))</f>
        <v/>
      </c>
      <c r="AP222" s="3" t="str">
        <f>IF(38&gt;$C222,"",IF($D222=1,EOMONTH(EDATE(Bonds!$H222,6*(38-1)),0),EDATE(Bonds!$H222,6*(38-1))))</f>
        <v/>
      </c>
      <c r="AQ222" s="3" t="str">
        <f>IF(39&gt;$C222,"",IF($D222=1,EOMONTH(EDATE(Bonds!$H222,6*(39-1)),0),EDATE(Bonds!$H222,6*(39-1))))</f>
        <v/>
      </c>
      <c r="AR222" s="3" t="str">
        <f>IF(40&gt;$C222,"",IF($D222=1,EOMONTH(EDATE(Bonds!$H222,6*(40-1)),0),EDATE(Bonds!$H222,6*(40-1))))</f>
        <v/>
      </c>
      <c r="AS222" s="3" t="str">
        <f>IF(41&gt;$C222,"",IF($D222=1,EOMONTH(EDATE(Bonds!$H222,6*(41-1)),0),EDATE(Bonds!$H222,6*(41-1))))</f>
        <v/>
      </c>
      <c r="AT222" s="3" t="str">
        <f>IF(42&gt;$C222,"",IF($D222=1,EOMONTH(EDATE(Bonds!$H222,6*(42-1)),0),EDATE(Bonds!$H222,6*(42-1))))</f>
        <v/>
      </c>
      <c r="AU222" s="3" t="str">
        <f>IF(43&gt;$C222,"",IF($D222=1,EOMONTH(EDATE(Bonds!$H222,6*(43-1)),0),EDATE(Bonds!$H222,6*(43-1))))</f>
        <v/>
      </c>
      <c r="AV222" s="3" t="str">
        <f>IF(44&gt;$C222,"",IF($D222=1,EOMONTH(EDATE(Bonds!$H222,6*(44-1)),0),EDATE(Bonds!$H222,6*(44-1))))</f>
        <v/>
      </c>
      <c r="AW222" s="3" t="str">
        <f>IF(45&gt;$C222,"",IF($D222=1,EOMONTH(EDATE(Bonds!$H222,6*(45-1)),0),EDATE(Bonds!$H222,6*(45-1))))</f>
        <v/>
      </c>
      <c r="AX222" s="3" t="str">
        <f>IF(46&gt;$C222,"",IF($D222=1,EOMONTH(EDATE(Bonds!$H222,6*(46-1)),0),EDATE(Bonds!$H222,6*(46-1))))</f>
        <v/>
      </c>
      <c r="AY222" s="3" t="str">
        <f>IF(47&gt;$C222,"",IF($D222=1,EOMONTH(EDATE(Bonds!$H222,6*(47-1)),0),EDATE(Bonds!$H222,6*(47-1))))</f>
        <v/>
      </c>
      <c r="AZ222" s="3" t="str">
        <f>IF(48&gt;$C222,"",IF($D222=1,EOMONTH(EDATE(Bonds!$H222,6*(48-1)),0),EDATE(Bonds!$H222,6*(48-1))))</f>
        <v/>
      </c>
      <c r="BA222" s="3" t="str">
        <f>IF(49&gt;$C222,"",IF($D222=1,EOMONTH(EDATE(Bonds!$H222,6*(49-1)),0),EDATE(Bonds!$H222,6*(49-1))))</f>
        <v/>
      </c>
      <c r="BB222" s="3" t="str">
        <f>IF(50&gt;$C222,"",IF($D222=1,EOMONTH(EDATE(Bonds!$H222,6*(50-1)),0),EDATE(Bonds!$H222,6*(50-1))))</f>
        <v/>
      </c>
      <c r="BC222" s="3" t="str">
        <f>IF(51&gt;$C222,"",IF($D222=1,EOMONTH(EDATE(Bonds!$H222,6*(51-1)),0),EDATE(Bonds!$H222,6*(51-1))))</f>
        <v/>
      </c>
      <c r="BD222" s="3" t="str">
        <f>IF(52&gt;$C222,"",IF($D222=1,EOMONTH(EDATE(Bonds!$H222,6*(52-1)),0),EDATE(Bonds!$H222,6*(52-1))))</f>
        <v/>
      </c>
      <c r="BE222" s="3" t="str">
        <f>IF(53&gt;$C222,"",IF($D222=1,EOMONTH(EDATE(Bonds!$H222,6*(53-1)),0),EDATE(Bonds!$H222,6*(53-1))))</f>
        <v/>
      </c>
      <c r="BF222" s="3" t="str">
        <f>IF(54&gt;$C222,"",IF($D222=1,EOMONTH(EDATE(Bonds!$H222,6*(54-1)),0),EDATE(Bonds!$H222,6*(54-1))))</f>
        <v/>
      </c>
      <c r="BG222" s="3" t="str">
        <f>IF(55&gt;$C222,"",IF($D222=1,EOMONTH(EDATE(Bonds!$H222,6*(55-1)),0),EDATE(Bonds!$H222,6*(55-1))))</f>
        <v/>
      </c>
      <c r="BH222" s="3" t="str">
        <f>IF(56&gt;$C222,"",IF($D222=1,EOMONTH(EDATE(Bonds!$H222,6*(56-1)),0),EDATE(Bonds!$H222,6*(56-1))))</f>
        <v/>
      </c>
      <c r="BI222" s="3" t="str">
        <f>IF(57&gt;$C222,"",IF($D222=1,EOMONTH(EDATE(Bonds!$H222,6*(57-1)),0),EDATE(Bonds!$H222,6*(57-1))))</f>
        <v/>
      </c>
      <c r="BJ222" s="3" t="str">
        <f>IF(58&gt;$C222,"",IF($D222=1,EOMONTH(EDATE(Bonds!$H222,6*(58-1)),0),EDATE(Bonds!$H222,6*(58-1))))</f>
        <v/>
      </c>
      <c r="BK222" s="3" t="str">
        <f>IF(59&gt;$C222,"",IF($D222=1,EOMONTH(EDATE(Bonds!$H222,6*(59-1)),0),EDATE(Bonds!$H222,6*(59-1))))</f>
        <v/>
      </c>
      <c r="BL222" s="3" t="str">
        <f>IF(60&gt;$C222,"",IF($D222=1,EOMONTH(EDATE(Bonds!$H222,6*(60-1)),0),EDATE(Bonds!$H222,6*(60-1))))</f>
        <v/>
      </c>
      <c r="BN222" s="7">
        <f t="shared" si="184"/>
        <v>2.0245284779345751</v>
      </c>
      <c r="BO222" s="7">
        <f t="shared" si="185"/>
        <v>1.9809282235712309</v>
      </c>
      <c r="BP222" s="7">
        <f t="shared" si="186"/>
        <v>1.936876346081233</v>
      </c>
      <c r="BQ222" s="7">
        <f t="shared" si="187"/>
        <v>1.8926736712990224</v>
      </c>
      <c r="BR222" s="7">
        <f t="shared" si="188"/>
        <v>1.8500731836052684</v>
      </c>
      <c r="BS222" s="7">
        <f t="shared" si="189"/>
        <v>1.8078297896331799</v>
      </c>
      <c r="BT222" s="7">
        <f t="shared" si="190"/>
        <v>1.7672787634629474</v>
      </c>
      <c r="BU222" s="7">
        <f t="shared" si="191"/>
        <v>1.7269374467004135</v>
      </c>
      <c r="BV222" s="7">
        <f t="shared" si="192"/>
        <v>1.6879583597195245</v>
      </c>
      <c r="BW222" s="7">
        <f t="shared" si="193"/>
        <v>1.6488917560297844</v>
      </c>
      <c r="BX222" s="7">
        <f t="shared" si="194"/>
        <v>79.704003850711615</v>
      </c>
      <c r="BY222" s="7">
        <f t="shared" si="195"/>
        <v>0</v>
      </c>
      <c r="BZ222" s="7">
        <f t="shared" si="196"/>
        <v>0</v>
      </c>
      <c r="CA222" s="7">
        <f t="shared" si="197"/>
        <v>0</v>
      </c>
      <c r="CB222" s="7">
        <f t="shared" si="198"/>
        <v>0</v>
      </c>
      <c r="CC222" s="7">
        <f t="shared" si="199"/>
        <v>0</v>
      </c>
      <c r="CD222" s="7">
        <f t="shared" si="200"/>
        <v>0</v>
      </c>
      <c r="CE222" s="7">
        <f t="shared" si="201"/>
        <v>0</v>
      </c>
      <c r="CF222" s="7">
        <f t="shared" si="202"/>
        <v>0</v>
      </c>
      <c r="CG222" s="7">
        <f t="shared" si="203"/>
        <v>0</v>
      </c>
      <c r="CH222" s="7">
        <f t="shared" si="204"/>
        <v>0</v>
      </c>
      <c r="CI222" s="7">
        <f t="shared" si="205"/>
        <v>0</v>
      </c>
      <c r="CJ222" s="7">
        <f t="shared" si="206"/>
        <v>0</v>
      </c>
      <c r="CK222" s="7">
        <f t="shared" si="207"/>
        <v>0</v>
      </c>
      <c r="CL222" s="7">
        <f t="shared" si="208"/>
        <v>0</v>
      </c>
      <c r="CM222" s="7">
        <f t="shared" si="209"/>
        <v>0</v>
      </c>
      <c r="CN222" s="7">
        <f t="shared" si="210"/>
        <v>0</v>
      </c>
      <c r="CO222" s="7">
        <f t="shared" si="211"/>
        <v>0</v>
      </c>
      <c r="CP222" s="7">
        <f t="shared" si="212"/>
        <v>0</v>
      </c>
      <c r="CQ222" s="7">
        <f t="shared" si="213"/>
        <v>0</v>
      </c>
      <c r="CR222" s="7">
        <f t="shared" si="214"/>
        <v>0</v>
      </c>
      <c r="CS222" s="7">
        <f t="shared" si="215"/>
        <v>0</v>
      </c>
      <c r="CT222" s="7">
        <f t="shared" si="216"/>
        <v>0</v>
      </c>
      <c r="CU222" s="7">
        <f t="shared" si="217"/>
        <v>0</v>
      </c>
      <c r="CV222" s="7">
        <f t="shared" si="218"/>
        <v>0</v>
      </c>
      <c r="CW222" s="7">
        <f t="shared" si="219"/>
        <v>0</v>
      </c>
      <c r="CX222" s="7">
        <f t="shared" si="220"/>
        <v>0</v>
      </c>
      <c r="CY222" s="7">
        <f t="shared" si="221"/>
        <v>0</v>
      </c>
      <c r="CZ222" s="7">
        <f t="shared" si="222"/>
        <v>0</v>
      </c>
      <c r="DA222" s="7">
        <f t="shared" si="223"/>
        <v>0</v>
      </c>
      <c r="DB222" s="7">
        <f t="shared" si="224"/>
        <v>0</v>
      </c>
      <c r="DC222" s="7">
        <f t="shared" si="225"/>
        <v>0</v>
      </c>
      <c r="DD222" s="7">
        <f t="shared" si="226"/>
        <v>0</v>
      </c>
      <c r="DE222" s="7">
        <f t="shared" si="227"/>
        <v>0</v>
      </c>
      <c r="DF222" s="7">
        <f t="shared" si="228"/>
        <v>0</v>
      </c>
      <c r="DG222" s="7">
        <f t="shared" si="229"/>
        <v>0</v>
      </c>
      <c r="DH222" s="7">
        <f t="shared" si="230"/>
        <v>0</v>
      </c>
      <c r="DI222" s="7">
        <f t="shared" si="231"/>
        <v>0</v>
      </c>
      <c r="DJ222" s="7">
        <f t="shared" si="232"/>
        <v>0</v>
      </c>
      <c r="DK222" s="7">
        <f t="shared" si="233"/>
        <v>0</v>
      </c>
      <c r="DL222" s="7">
        <f t="shared" si="234"/>
        <v>0</v>
      </c>
      <c r="DM222" s="7">
        <f t="shared" si="235"/>
        <v>0</v>
      </c>
      <c r="DN222" s="7">
        <f t="shared" si="236"/>
        <v>0</v>
      </c>
      <c r="DO222" s="7">
        <f t="shared" si="237"/>
        <v>0</v>
      </c>
      <c r="DP222" s="7">
        <f t="shared" si="238"/>
        <v>0</v>
      </c>
      <c r="DQ222" s="7">
        <f t="shared" si="239"/>
        <v>0</v>
      </c>
      <c r="DR222" s="7">
        <f t="shared" si="240"/>
        <v>0</v>
      </c>
      <c r="DS222" s="7">
        <f t="shared" si="241"/>
        <v>0</v>
      </c>
      <c r="DT222" s="7">
        <f t="shared" si="242"/>
        <v>0</v>
      </c>
      <c r="DU222" s="7">
        <f t="shared" si="243"/>
        <v>0</v>
      </c>
    </row>
    <row r="223" spans="1:125" x14ac:dyDescent="0.2">
      <c r="A223" s="3">
        <f>Bonds!A223</f>
        <v>48304</v>
      </c>
      <c r="B223" s="4">
        <f>Bonds!B223</f>
        <v>4.125</v>
      </c>
      <c r="C223">
        <f>Bonds!P223</f>
        <v>12</v>
      </c>
      <c r="D223">
        <f t="shared" si="183"/>
        <v>1</v>
      </c>
      <c r="E223" s="3">
        <f>IF(1&gt;$C223,"",IF($D223=1,EOMONTH(EDATE(Bonds!$H223,6*(1-1)),0),EDATE(Bonds!$H223,6*(1-1))))</f>
        <v>46295</v>
      </c>
      <c r="F223" s="3">
        <f>IF(2&gt;$C223,"",IF($D223=1,EOMONTH(EDATE(Bonds!$H223,6*(2-1)),0),EDATE(Bonds!$H223,6*(2-1))))</f>
        <v>46477</v>
      </c>
      <c r="G223" s="3">
        <f>IF(3&gt;$C223,"",IF($D223=1,EOMONTH(EDATE(Bonds!$H223,6*(3-1)),0),EDATE(Bonds!$H223,6*(3-1))))</f>
        <v>46660</v>
      </c>
      <c r="H223" s="3">
        <f>IF(4&gt;$C223,"",IF($D223=1,EOMONTH(EDATE(Bonds!$H223,6*(4-1)),0),EDATE(Bonds!$H223,6*(4-1))))</f>
        <v>46843</v>
      </c>
      <c r="I223" s="3">
        <f>IF(5&gt;$C223,"",IF($D223=1,EOMONTH(EDATE(Bonds!$H223,6*(5-1)),0),EDATE(Bonds!$H223,6*(5-1))))</f>
        <v>47026</v>
      </c>
      <c r="J223" s="3">
        <f>IF(6&gt;$C223,"",IF($D223=1,EOMONTH(EDATE(Bonds!$H223,6*(6-1)),0),EDATE(Bonds!$H223,6*(6-1))))</f>
        <v>47208</v>
      </c>
      <c r="K223" s="3">
        <f>IF(7&gt;$C223,"",IF($D223=1,EOMONTH(EDATE(Bonds!$H223,6*(7-1)),0),EDATE(Bonds!$H223,6*(7-1))))</f>
        <v>47391</v>
      </c>
      <c r="L223" s="3">
        <f>IF(8&gt;$C223,"",IF($D223=1,EOMONTH(EDATE(Bonds!$H223,6*(8-1)),0),EDATE(Bonds!$H223,6*(8-1))))</f>
        <v>47573</v>
      </c>
      <c r="M223" s="3">
        <f>IF(9&gt;$C223,"",IF($D223=1,EOMONTH(EDATE(Bonds!$H223,6*(9-1)),0),EDATE(Bonds!$H223,6*(9-1))))</f>
        <v>47756</v>
      </c>
      <c r="N223" s="3">
        <f>IF(10&gt;$C223,"",IF($D223=1,EOMONTH(EDATE(Bonds!$H223,6*(10-1)),0),EDATE(Bonds!$H223,6*(10-1))))</f>
        <v>47938</v>
      </c>
      <c r="O223" s="3">
        <f>IF(11&gt;$C223,"",IF($D223=1,EOMONTH(EDATE(Bonds!$H223,6*(11-1)),0),EDATE(Bonds!$H223,6*(11-1))))</f>
        <v>48121</v>
      </c>
      <c r="P223" s="3">
        <f>IF(12&gt;$C223,"",IF($D223=1,EOMONTH(EDATE(Bonds!$H223,6*(12-1)),0),EDATE(Bonds!$H223,6*(12-1))))</f>
        <v>48304</v>
      </c>
      <c r="Q223" s="3" t="str">
        <f>IF(13&gt;$C223,"",IF($D223=1,EOMONTH(EDATE(Bonds!$H223,6*(13-1)),0),EDATE(Bonds!$H223,6*(13-1))))</f>
        <v/>
      </c>
      <c r="R223" s="3" t="str">
        <f>IF(14&gt;$C223,"",IF($D223=1,EOMONTH(EDATE(Bonds!$H223,6*(14-1)),0),EDATE(Bonds!$H223,6*(14-1))))</f>
        <v/>
      </c>
      <c r="S223" s="3" t="str">
        <f>IF(15&gt;$C223,"",IF($D223=1,EOMONTH(EDATE(Bonds!$H223,6*(15-1)),0),EDATE(Bonds!$H223,6*(15-1))))</f>
        <v/>
      </c>
      <c r="T223" s="3" t="str">
        <f>IF(16&gt;$C223,"",IF($D223=1,EOMONTH(EDATE(Bonds!$H223,6*(16-1)),0),EDATE(Bonds!$H223,6*(16-1))))</f>
        <v/>
      </c>
      <c r="U223" s="3" t="str">
        <f>IF(17&gt;$C223,"",IF($D223=1,EOMONTH(EDATE(Bonds!$H223,6*(17-1)),0),EDATE(Bonds!$H223,6*(17-1))))</f>
        <v/>
      </c>
      <c r="V223" s="3" t="str">
        <f>IF(18&gt;$C223,"",IF($D223=1,EOMONTH(EDATE(Bonds!$H223,6*(18-1)),0),EDATE(Bonds!$H223,6*(18-1))))</f>
        <v/>
      </c>
      <c r="W223" s="3" t="str">
        <f>IF(19&gt;$C223,"",IF($D223=1,EOMONTH(EDATE(Bonds!$H223,6*(19-1)),0),EDATE(Bonds!$H223,6*(19-1))))</f>
        <v/>
      </c>
      <c r="X223" s="3" t="str">
        <f>IF(20&gt;$C223,"",IF($D223=1,EOMONTH(EDATE(Bonds!$H223,6*(20-1)),0),EDATE(Bonds!$H223,6*(20-1))))</f>
        <v/>
      </c>
      <c r="Y223" s="3" t="str">
        <f>IF(21&gt;$C223,"",IF($D223=1,EOMONTH(EDATE(Bonds!$H223,6*(21-1)),0),EDATE(Bonds!$H223,6*(21-1))))</f>
        <v/>
      </c>
      <c r="Z223" s="3" t="str">
        <f>IF(22&gt;$C223,"",IF($D223=1,EOMONTH(EDATE(Bonds!$H223,6*(22-1)),0),EDATE(Bonds!$H223,6*(22-1))))</f>
        <v/>
      </c>
      <c r="AA223" s="3" t="str">
        <f>IF(23&gt;$C223,"",IF($D223=1,EOMONTH(EDATE(Bonds!$H223,6*(23-1)),0),EDATE(Bonds!$H223,6*(23-1))))</f>
        <v/>
      </c>
      <c r="AB223" s="3" t="str">
        <f>IF(24&gt;$C223,"",IF($D223=1,EOMONTH(EDATE(Bonds!$H223,6*(24-1)),0),EDATE(Bonds!$H223,6*(24-1))))</f>
        <v/>
      </c>
      <c r="AC223" s="3" t="str">
        <f>IF(25&gt;$C223,"",IF($D223=1,EOMONTH(EDATE(Bonds!$H223,6*(25-1)),0),EDATE(Bonds!$H223,6*(25-1))))</f>
        <v/>
      </c>
      <c r="AD223" s="3" t="str">
        <f>IF(26&gt;$C223,"",IF($D223=1,EOMONTH(EDATE(Bonds!$H223,6*(26-1)),0),EDATE(Bonds!$H223,6*(26-1))))</f>
        <v/>
      </c>
      <c r="AE223" s="3" t="str">
        <f>IF(27&gt;$C223,"",IF($D223=1,EOMONTH(EDATE(Bonds!$H223,6*(27-1)),0),EDATE(Bonds!$H223,6*(27-1))))</f>
        <v/>
      </c>
      <c r="AF223" s="3" t="str">
        <f>IF(28&gt;$C223,"",IF($D223=1,EOMONTH(EDATE(Bonds!$H223,6*(28-1)),0),EDATE(Bonds!$H223,6*(28-1))))</f>
        <v/>
      </c>
      <c r="AG223" s="3" t="str">
        <f>IF(29&gt;$C223,"",IF($D223=1,EOMONTH(EDATE(Bonds!$H223,6*(29-1)),0),EDATE(Bonds!$H223,6*(29-1))))</f>
        <v/>
      </c>
      <c r="AH223" s="3" t="str">
        <f>IF(30&gt;$C223,"",IF($D223=1,EOMONTH(EDATE(Bonds!$H223,6*(30-1)),0),EDATE(Bonds!$H223,6*(30-1))))</f>
        <v/>
      </c>
      <c r="AI223" s="3" t="str">
        <f>IF(31&gt;$C223,"",IF($D223=1,EOMONTH(EDATE(Bonds!$H223,6*(31-1)),0),EDATE(Bonds!$H223,6*(31-1))))</f>
        <v/>
      </c>
      <c r="AJ223" s="3" t="str">
        <f>IF(32&gt;$C223,"",IF($D223=1,EOMONTH(EDATE(Bonds!$H223,6*(32-1)),0),EDATE(Bonds!$H223,6*(32-1))))</f>
        <v/>
      </c>
      <c r="AK223" s="3" t="str">
        <f>IF(33&gt;$C223,"",IF($D223=1,EOMONTH(EDATE(Bonds!$H223,6*(33-1)),0),EDATE(Bonds!$H223,6*(33-1))))</f>
        <v/>
      </c>
      <c r="AL223" s="3" t="str">
        <f>IF(34&gt;$C223,"",IF($D223=1,EOMONTH(EDATE(Bonds!$H223,6*(34-1)),0),EDATE(Bonds!$H223,6*(34-1))))</f>
        <v/>
      </c>
      <c r="AM223" s="3" t="str">
        <f>IF(35&gt;$C223,"",IF($D223=1,EOMONTH(EDATE(Bonds!$H223,6*(35-1)),0),EDATE(Bonds!$H223,6*(35-1))))</f>
        <v/>
      </c>
      <c r="AN223" s="3" t="str">
        <f>IF(36&gt;$C223,"",IF($D223=1,EOMONTH(EDATE(Bonds!$H223,6*(36-1)),0),EDATE(Bonds!$H223,6*(36-1))))</f>
        <v/>
      </c>
      <c r="AO223" s="3" t="str">
        <f>IF(37&gt;$C223,"",IF($D223=1,EOMONTH(EDATE(Bonds!$H223,6*(37-1)),0),EDATE(Bonds!$H223,6*(37-1))))</f>
        <v/>
      </c>
      <c r="AP223" s="3" t="str">
        <f>IF(38&gt;$C223,"",IF($D223=1,EOMONTH(EDATE(Bonds!$H223,6*(38-1)),0),EDATE(Bonds!$H223,6*(38-1))))</f>
        <v/>
      </c>
      <c r="AQ223" s="3" t="str">
        <f>IF(39&gt;$C223,"",IF($D223=1,EOMONTH(EDATE(Bonds!$H223,6*(39-1)),0),EDATE(Bonds!$H223,6*(39-1))))</f>
        <v/>
      </c>
      <c r="AR223" s="3" t="str">
        <f>IF(40&gt;$C223,"",IF($D223=1,EOMONTH(EDATE(Bonds!$H223,6*(40-1)),0),EDATE(Bonds!$H223,6*(40-1))))</f>
        <v/>
      </c>
      <c r="AS223" s="3" t="str">
        <f>IF(41&gt;$C223,"",IF($D223=1,EOMONTH(EDATE(Bonds!$H223,6*(41-1)),0),EDATE(Bonds!$H223,6*(41-1))))</f>
        <v/>
      </c>
      <c r="AT223" s="3" t="str">
        <f>IF(42&gt;$C223,"",IF($D223=1,EOMONTH(EDATE(Bonds!$H223,6*(42-1)),0),EDATE(Bonds!$H223,6*(42-1))))</f>
        <v/>
      </c>
      <c r="AU223" s="3" t="str">
        <f>IF(43&gt;$C223,"",IF($D223=1,EOMONTH(EDATE(Bonds!$H223,6*(43-1)),0),EDATE(Bonds!$H223,6*(43-1))))</f>
        <v/>
      </c>
      <c r="AV223" s="3" t="str">
        <f>IF(44&gt;$C223,"",IF($D223=1,EOMONTH(EDATE(Bonds!$H223,6*(44-1)),0),EDATE(Bonds!$H223,6*(44-1))))</f>
        <v/>
      </c>
      <c r="AW223" s="3" t="str">
        <f>IF(45&gt;$C223,"",IF($D223=1,EOMONTH(EDATE(Bonds!$H223,6*(45-1)),0),EDATE(Bonds!$H223,6*(45-1))))</f>
        <v/>
      </c>
      <c r="AX223" s="3" t="str">
        <f>IF(46&gt;$C223,"",IF($D223=1,EOMONTH(EDATE(Bonds!$H223,6*(46-1)),0),EDATE(Bonds!$H223,6*(46-1))))</f>
        <v/>
      </c>
      <c r="AY223" s="3" t="str">
        <f>IF(47&gt;$C223,"",IF($D223=1,EOMONTH(EDATE(Bonds!$H223,6*(47-1)),0),EDATE(Bonds!$H223,6*(47-1))))</f>
        <v/>
      </c>
      <c r="AZ223" s="3" t="str">
        <f>IF(48&gt;$C223,"",IF($D223=1,EOMONTH(EDATE(Bonds!$H223,6*(48-1)),0),EDATE(Bonds!$H223,6*(48-1))))</f>
        <v/>
      </c>
      <c r="BA223" s="3" t="str">
        <f>IF(49&gt;$C223,"",IF($D223=1,EOMONTH(EDATE(Bonds!$H223,6*(49-1)),0),EDATE(Bonds!$H223,6*(49-1))))</f>
        <v/>
      </c>
      <c r="BB223" s="3" t="str">
        <f>IF(50&gt;$C223,"",IF($D223=1,EOMONTH(EDATE(Bonds!$H223,6*(50-1)),0),EDATE(Bonds!$H223,6*(50-1))))</f>
        <v/>
      </c>
      <c r="BC223" s="3" t="str">
        <f>IF(51&gt;$C223,"",IF($D223=1,EOMONTH(EDATE(Bonds!$H223,6*(51-1)),0),EDATE(Bonds!$H223,6*(51-1))))</f>
        <v/>
      </c>
      <c r="BD223" s="3" t="str">
        <f>IF(52&gt;$C223,"",IF($D223=1,EOMONTH(EDATE(Bonds!$H223,6*(52-1)),0),EDATE(Bonds!$H223,6*(52-1))))</f>
        <v/>
      </c>
      <c r="BE223" s="3" t="str">
        <f>IF(53&gt;$C223,"",IF($D223=1,EOMONTH(EDATE(Bonds!$H223,6*(53-1)),0),EDATE(Bonds!$H223,6*(53-1))))</f>
        <v/>
      </c>
      <c r="BF223" s="3" t="str">
        <f>IF(54&gt;$C223,"",IF($D223=1,EOMONTH(EDATE(Bonds!$H223,6*(54-1)),0),EDATE(Bonds!$H223,6*(54-1))))</f>
        <v/>
      </c>
      <c r="BG223" s="3" t="str">
        <f>IF(55&gt;$C223,"",IF($D223=1,EOMONTH(EDATE(Bonds!$H223,6*(55-1)),0),EDATE(Bonds!$H223,6*(55-1))))</f>
        <v/>
      </c>
      <c r="BH223" s="3" t="str">
        <f>IF(56&gt;$C223,"",IF($D223=1,EOMONTH(EDATE(Bonds!$H223,6*(56-1)),0),EDATE(Bonds!$H223,6*(56-1))))</f>
        <v/>
      </c>
      <c r="BI223" s="3" t="str">
        <f>IF(57&gt;$C223,"",IF($D223=1,EOMONTH(EDATE(Bonds!$H223,6*(57-1)),0),EDATE(Bonds!$H223,6*(57-1))))</f>
        <v/>
      </c>
      <c r="BJ223" s="3" t="str">
        <f>IF(58&gt;$C223,"",IF($D223=1,EOMONTH(EDATE(Bonds!$H223,6*(58-1)),0),EDATE(Bonds!$H223,6*(58-1))))</f>
        <v/>
      </c>
      <c r="BK223" s="3" t="str">
        <f>IF(59&gt;$C223,"",IF($D223=1,EOMONTH(EDATE(Bonds!$H223,6*(59-1)),0),EDATE(Bonds!$H223,6*(59-1))))</f>
        <v/>
      </c>
      <c r="BL223" s="3" t="str">
        <f>IF(60&gt;$C223,"",IF($D223=1,EOMONTH(EDATE(Bonds!$H223,6*(60-1)),0),EDATE(Bonds!$H223,6*(60-1))))</f>
        <v/>
      </c>
      <c r="BN223" s="7">
        <f t="shared" si="184"/>
        <v>2.0579406822055963</v>
      </c>
      <c r="BO223" s="7">
        <f t="shared" si="185"/>
        <v>2.0173342525851323</v>
      </c>
      <c r="BP223" s="7">
        <f t="shared" si="186"/>
        <v>1.9736856935704787</v>
      </c>
      <c r="BQ223" s="7">
        <f t="shared" si="187"/>
        <v>1.9293834147996523</v>
      </c>
      <c r="BR223" s="7">
        <f t="shared" si="188"/>
        <v>1.8855443849976958</v>
      </c>
      <c r="BS223" s="7">
        <f t="shared" si="189"/>
        <v>1.8428803335968726</v>
      </c>
      <c r="BT223" s="7">
        <f t="shared" si="190"/>
        <v>1.8010427434312244</v>
      </c>
      <c r="BU223" s="7">
        <f t="shared" si="191"/>
        <v>1.7604243052224717</v>
      </c>
      <c r="BV223" s="7">
        <f t="shared" si="192"/>
        <v>1.7204329021367084</v>
      </c>
      <c r="BW223" s="7">
        <f t="shared" si="193"/>
        <v>1.6813409968336988</v>
      </c>
      <c r="BX223" s="7">
        <f t="shared" si="194"/>
        <v>1.6425661505254336</v>
      </c>
      <c r="BY223" s="7">
        <f t="shared" si="195"/>
        <v>79.38360482327144</v>
      </c>
      <c r="BZ223" s="7">
        <f t="shared" si="196"/>
        <v>0</v>
      </c>
      <c r="CA223" s="7">
        <f t="shared" si="197"/>
        <v>0</v>
      </c>
      <c r="CB223" s="7">
        <f t="shared" si="198"/>
        <v>0</v>
      </c>
      <c r="CC223" s="7">
        <f t="shared" si="199"/>
        <v>0</v>
      </c>
      <c r="CD223" s="7">
        <f t="shared" si="200"/>
        <v>0</v>
      </c>
      <c r="CE223" s="7">
        <f t="shared" si="201"/>
        <v>0</v>
      </c>
      <c r="CF223" s="7">
        <f t="shared" si="202"/>
        <v>0</v>
      </c>
      <c r="CG223" s="7">
        <f t="shared" si="203"/>
        <v>0</v>
      </c>
      <c r="CH223" s="7">
        <f t="shared" si="204"/>
        <v>0</v>
      </c>
      <c r="CI223" s="7">
        <f t="shared" si="205"/>
        <v>0</v>
      </c>
      <c r="CJ223" s="7">
        <f t="shared" si="206"/>
        <v>0</v>
      </c>
      <c r="CK223" s="7">
        <f t="shared" si="207"/>
        <v>0</v>
      </c>
      <c r="CL223" s="7">
        <f t="shared" si="208"/>
        <v>0</v>
      </c>
      <c r="CM223" s="7">
        <f t="shared" si="209"/>
        <v>0</v>
      </c>
      <c r="CN223" s="7">
        <f t="shared" si="210"/>
        <v>0</v>
      </c>
      <c r="CO223" s="7">
        <f t="shared" si="211"/>
        <v>0</v>
      </c>
      <c r="CP223" s="7">
        <f t="shared" si="212"/>
        <v>0</v>
      </c>
      <c r="CQ223" s="7">
        <f t="shared" si="213"/>
        <v>0</v>
      </c>
      <c r="CR223" s="7">
        <f t="shared" si="214"/>
        <v>0</v>
      </c>
      <c r="CS223" s="7">
        <f t="shared" si="215"/>
        <v>0</v>
      </c>
      <c r="CT223" s="7">
        <f t="shared" si="216"/>
        <v>0</v>
      </c>
      <c r="CU223" s="7">
        <f t="shared" si="217"/>
        <v>0</v>
      </c>
      <c r="CV223" s="7">
        <f t="shared" si="218"/>
        <v>0</v>
      </c>
      <c r="CW223" s="7">
        <f t="shared" si="219"/>
        <v>0</v>
      </c>
      <c r="CX223" s="7">
        <f t="shared" si="220"/>
        <v>0</v>
      </c>
      <c r="CY223" s="7">
        <f t="shared" si="221"/>
        <v>0</v>
      </c>
      <c r="CZ223" s="7">
        <f t="shared" si="222"/>
        <v>0</v>
      </c>
      <c r="DA223" s="7">
        <f t="shared" si="223"/>
        <v>0</v>
      </c>
      <c r="DB223" s="7">
        <f t="shared" si="224"/>
        <v>0</v>
      </c>
      <c r="DC223" s="7">
        <f t="shared" si="225"/>
        <v>0</v>
      </c>
      <c r="DD223" s="7">
        <f t="shared" si="226"/>
        <v>0</v>
      </c>
      <c r="DE223" s="7">
        <f t="shared" si="227"/>
        <v>0</v>
      </c>
      <c r="DF223" s="7">
        <f t="shared" si="228"/>
        <v>0</v>
      </c>
      <c r="DG223" s="7">
        <f t="shared" si="229"/>
        <v>0</v>
      </c>
      <c r="DH223" s="7">
        <f t="shared" si="230"/>
        <v>0</v>
      </c>
      <c r="DI223" s="7">
        <f t="shared" si="231"/>
        <v>0</v>
      </c>
      <c r="DJ223" s="7">
        <f t="shared" si="232"/>
        <v>0</v>
      </c>
      <c r="DK223" s="7">
        <f t="shared" si="233"/>
        <v>0</v>
      </c>
      <c r="DL223" s="7">
        <f t="shared" si="234"/>
        <v>0</v>
      </c>
      <c r="DM223" s="7">
        <f t="shared" si="235"/>
        <v>0</v>
      </c>
      <c r="DN223" s="7">
        <f t="shared" si="236"/>
        <v>0</v>
      </c>
      <c r="DO223" s="7">
        <f t="shared" si="237"/>
        <v>0</v>
      </c>
      <c r="DP223" s="7">
        <f t="shared" si="238"/>
        <v>0</v>
      </c>
      <c r="DQ223" s="7">
        <f t="shared" si="239"/>
        <v>0</v>
      </c>
      <c r="DR223" s="7">
        <f t="shared" si="240"/>
        <v>0</v>
      </c>
      <c r="DS223" s="7">
        <f t="shared" si="241"/>
        <v>0</v>
      </c>
      <c r="DT223" s="7">
        <f t="shared" si="242"/>
        <v>0</v>
      </c>
      <c r="DU223" s="7">
        <f t="shared" si="243"/>
        <v>0</v>
      </c>
    </row>
    <row r="224" spans="1:125" x14ac:dyDescent="0.2">
      <c r="A224" s="3">
        <f>Bonds!A224</f>
        <v>48334</v>
      </c>
      <c r="B224" s="4">
        <f>Bonds!B224</f>
        <v>4</v>
      </c>
      <c r="C224">
        <f>Bonds!P224</f>
        <v>12</v>
      </c>
      <c r="D224">
        <f t="shared" si="183"/>
        <v>1</v>
      </c>
      <c r="E224" s="3">
        <f>IF(1&gt;$C224,"",IF($D224=1,EOMONTH(EDATE(Bonds!$H224,6*(1-1)),0),EDATE(Bonds!$H224,6*(1-1))))</f>
        <v>46326</v>
      </c>
      <c r="F224" s="3">
        <f>IF(2&gt;$C224,"",IF($D224=1,EOMONTH(EDATE(Bonds!$H224,6*(2-1)),0),EDATE(Bonds!$H224,6*(2-1))))</f>
        <v>46507</v>
      </c>
      <c r="G224" s="3">
        <f>IF(3&gt;$C224,"",IF($D224=1,EOMONTH(EDATE(Bonds!$H224,6*(3-1)),0),EDATE(Bonds!$H224,6*(3-1))))</f>
        <v>46691</v>
      </c>
      <c r="H224" s="3">
        <f>IF(4&gt;$C224,"",IF($D224=1,EOMONTH(EDATE(Bonds!$H224,6*(4-1)),0),EDATE(Bonds!$H224,6*(4-1))))</f>
        <v>46873</v>
      </c>
      <c r="I224" s="3">
        <f>IF(5&gt;$C224,"",IF($D224=1,EOMONTH(EDATE(Bonds!$H224,6*(5-1)),0),EDATE(Bonds!$H224,6*(5-1))))</f>
        <v>47057</v>
      </c>
      <c r="J224" s="3">
        <f>IF(6&gt;$C224,"",IF($D224=1,EOMONTH(EDATE(Bonds!$H224,6*(6-1)),0),EDATE(Bonds!$H224,6*(6-1))))</f>
        <v>47238</v>
      </c>
      <c r="K224" s="3">
        <f>IF(7&gt;$C224,"",IF($D224=1,EOMONTH(EDATE(Bonds!$H224,6*(7-1)),0),EDATE(Bonds!$H224,6*(7-1))))</f>
        <v>47422</v>
      </c>
      <c r="L224" s="3">
        <f>IF(8&gt;$C224,"",IF($D224=1,EOMONTH(EDATE(Bonds!$H224,6*(8-1)),0),EDATE(Bonds!$H224,6*(8-1))))</f>
        <v>47603</v>
      </c>
      <c r="M224" s="3">
        <f>IF(9&gt;$C224,"",IF($D224=1,EOMONTH(EDATE(Bonds!$H224,6*(9-1)),0),EDATE(Bonds!$H224,6*(9-1))))</f>
        <v>47787</v>
      </c>
      <c r="N224" s="3">
        <f>IF(10&gt;$C224,"",IF($D224=1,EOMONTH(EDATE(Bonds!$H224,6*(10-1)),0),EDATE(Bonds!$H224,6*(10-1))))</f>
        <v>47968</v>
      </c>
      <c r="O224" s="3">
        <f>IF(11&gt;$C224,"",IF($D224=1,EOMONTH(EDATE(Bonds!$H224,6*(11-1)),0),EDATE(Bonds!$H224,6*(11-1))))</f>
        <v>48152</v>
      </c>
      <c r="P224" s="3">
        <f>IF(12&gt;$C224,"",IF($D224=1,EOMONTH(EDATE(Bonds!$H224,6*(12-1)),0),EDATE(Bonds!$H224,6*(12-1))))</f>
        <v>48334</v>
      </c>
      <c r="Q224" s="3" t="str">
        <f>IF(13&gt;$C224,"",IF($D224=1,EOMONTH(EDATE(Bonds!$H224,6*(13-1)),0),EDATE(Bonds!$H224,6*(13-1))))</f>
        <v/>
      </c>
      <c r="R224" s="3" t="str">
        <f>IF(14&gt;$C224,"",IF($D224=1,EOMONTH(EDATE(Bonds!$H224,6*(14-1)),0),EDATE(Bonds!$H224,6*(14-1))))</f>
        <v/>
      </c>
      <c r="S224" s="3" t="str">
        <f>IF(15&gt;$C224,"",IF($D224=1,EOMONTH(EDATE(Bonds!$H224,6*(15-1)),0),EDATE(Bonds!$H224,6*(15-1))))</f>
        <v/>
      </c>
      <c r="T224" s="3" t="str">
        <f>IF(16&gt;$C224,"",IF($D224=1,EOMONTH(EDATE(Bonds!$H224,6*(16-1)),0),EDATE(Bonds!$H224,6*(16-1))))</f>
        <v/>
      </c>
      <c r="U224" s="3" t="str">
        <f>IF(17&gt;$C224,"",IF($D224=1,EOMONTH(EDATE(Bonds!$H224,6*(17-1)),0),EDATE(Bonds!$H224,6*(17-1))))</f>
        <v/>
      </c>
      <c r="V224" s="3" t="str">
        <f>IF(18&gt;$C224,"",IF($D224=1,EOMONTH(EDATE(Bonds!$H224,6*(18-1)),0),EDATE(Bonds!$H224,6*(18-1))))</f>
        <v/>
      </c>
      <c r="W224" s="3" t="str">
        <f>IF(19&gt;$C224,"",IF($D224=1,EOMONTH(EDATE(Bonds!$H224,6*(19-1)),0),EDATE(Bonds!$H224,6*(19-1))))</f>
        <v/>
      </c>
      <c r="X224" s="3" t="str">
        <f>IF(20&gt;$C224,"",IF($D224=1,EOMONTH(EDATE(Bonds!$H224,6*(20-1)),0),EDATE(Bonds!$H224,6*(20-1))))</f>
        <v/>
      </c>
      <c r="Y224" s="3" t="str">
        <f>IF(21&gt;$C224,"",IF($D224=1,EOMONTH(EDATE(Bonds!$H224,6*(21-1)),0),EDATE(Bonds!$H224,6*(21-1))))</f>
        <v/>
      </c>
      <c r="Z224" s="3" t="str">
        <f>IF(22&gt;$C224,"",IF($D224=1,EOMONTH(EDATE(Bonds!$H224,6*(22-1)),0),EDATE(Bonds!$H224,6*(22-1))))</f>
        <v/>
      </c>
      <c r="AA224" s="3" t="str">
        <f>IF(23&gt;$C224,"",IF($D224=1,EOMONTH(EDATE(Bonds!$H224,6*(23-1)),0),EDATE(Bonds!$H224,6*(23-1))))</f>
        <v/>
      </c>
      <c r="AB224" s="3" t="str">
        <f>IF(24&gt;$C224,"",IF($D224=1,EOMONTH(EDATE(Bonds!$H224,6*(24-1)),0),EDATE(Bonds!$H224,6*(24-1))))</f>
        <v/>
      </c>
      <c r="AC224" s="3" t="str">
        <f>IF(25&gt;$C224,"",IF($D224=1,EOMONTH(EDATE(Bonds!$H224,6*(25-1)),0),EDATE(Bonds!$H224,6*(25-1))))</f>
        <v/>
      </c>
      <c r="AD224" s="3" t="str">
        <f>IF(26&gt;$C224,"",IF($D224=1,EOMONTH(EDATE(Bonds!$H224,6*(26-1)),0),EDATE(Bonds!$H224,6*(26-1))))</f>
        <v/>
      </c>
      <c r="AE224" s="3" t="str">
        <f>IF(27&gt;$C224,"",IF($D224=1,EOMONTH(EDATE(Bonds!$H224,6*(27-1)),0),EDATE(Bonds!$H224,6*(27-1))))</f>
        <v/>
      </c>
      <c r="AF224" s="3" t="str">
        <f>IF(28&gt;$C224,"",IF($D224=1,EOMONTH(EDATE(Bonds!$H224,6*(28-1)),0),EDATE(Bonds!$H224,6*(28-1))))</f>
        <v/>
      </c>
      <c r="AG224" s="3" t="str">
        <f>IF(29&gt;$C224,"",IF($D224=1,EOMONTH(EDATE(Bonds!$H224,6*(29-1)),0),EDATE(Bonds!$H224,6*(29-1))))</f>
        <v/>
      </c>
      <c r="AH224" s="3" t="str">
        <f>IF(30&gt;$C224,"",IF($D224=1,EOMONTH(EDATE(Bonds!$H224,6*(30-1)),0),EDATE(Bonds!$H224,6*(30-1))))</f>
        <v/>
      </c>
      <c r="AI224" s="3" t="str">
        <f>IF(31&gt;$C224,"",IF($D224=1,EOMONTH(EDATE(Bonds!$H224,6*(31-1)),0),EDATE(Bonds!$H224,6*(31-1))))</f>
        <v/>
      </c>
      <c r="AJ224" s="3" t="str">
        <f>IF(32&gt;$C224,"",IF($D224=1,EOMONTH(EDATE(Bonds!$H224,6*(32-1)),0),EDATE(Bonds!$H224,6*(32-1))))</f>
        <v/>
      </c>
      <c r="AK224" s="3" t="str">
        <f>IF(33&gt;$C224,"",IF($D224=1,EOMONTH(EDATE(Bonds!$H224,6*(33-1)),0),EDATE(Bonds!$H224,6*(33-1))))</f>
        <v/>
      </c>
      <c r="AL224" s="3" t="str">
        <f>IF(34&gt;$C224,"",IF($D224=1,EOMONTH(EDATE(Bonds!$H224,6*(34-1)),0),EDATE(Bonds!$H224,6*(34-1))))</f>
        <v/>
      </c>
      <c r="AM224" s="3" t="str">
        <f>IF(35&gt;$C224,"",IF($D224=1,EOMONTH(EDATE(Bonds!$H224,6*(35-1)),0),EDATE(Bonds!$H224,6*(35-1))))</f>
        <v/>
      </c>
      <c r="AN224" s="3" t="str">
        <f>IF(36&gt;$C224,"",IF($D224=1,EOMONTH(EDATE(Bonds!$H224,6*(36-1)),0),EDATE(Bonds!$H224,6*(36-1))))</f>
        <v/>
      </c>
      <c r="AO224" s="3" t="str">
        <f>IF(37&gt;$C224,"",IF($D224=1,EOMONTH(EDATE(Bonds!$H224,6*(37-1)),0),EDATE(Bonds!$H224,6*(37-1))))</f>
        <v/>
      </c>
      <c r="AP224" s="3" t="str">
        <f>IF(38&gt;$C224,"",IF($D224=1,EOMONTH(EDATE(Bonds!$H224,6*(38-1)),0),EDATE(Bonds!$H224,6*(38-1))))</f>
        <v/>
      </c>
      <c r="AQ224" s="3" t="str">
        <f>IF(39&gt;$C224,"",IF($D224=1,EOMONTH(EDATE(Bonds!$H224,6*(39-1)),0),EDATE(Bonds!$H224,6*(39-1))))</f>
        <v/>
      </c>
      <c r="AR224" s="3" t="str">
        <f>IF(40&gt;$C224,"",IF($D224=1,EOMONTH(EDATE(Bonds!$H224,6*(40-1)),0),EDATE(Bonds!$H224,6*(40-1))))</f>
        <v/>
      </c>
      <c r="AS224" s="3" t="str">
        <f>IF(41&gt;$C224,"",IF($D224=1,EOMONTH(EDATE(Bonds!$H224,6*(41-1)),0),EDATE(Bonds!$H224,6*(41-1))))</f>
        <v/>
      </c>
      <c r="AT224" s="3" t="str">
        <f>IF(42&gt;$C224,"",IF($D224=1,EOMONTH(EDATE(Bonds!$H224,6*(42-1)),0),EDATE(Bonds!$H224,6*(42-1))))</f>
        <v/>
      </c>
      <c r="AU224" s="3" t="str">
        <f>IF(43&gt;$C224,"",IF($D224=1,EOMONTH(EDATE(Bonds!$H224,6*(43-1)),0),EDATE(Bonds!$H224,6*(43-1))))</f>
        <v/>
      </c>
      <c r="AV224" s="3" t="str">
        <f>IF(44&gt;$C224,"",IF($D224=1,EOMONTH(EDATE(Bonds!$H224,6*(44-1)),0),EDATE(Bonds!$H224,6*(44-1))))</f>
        <v/>
      </c>
      <c r="AW224" s="3" t="str">
        <f>IF(45&gt;$C224,"",IF($D224=1,EOMONTH(EDATE(Bonds!$H224,6*(45-1)),0),EDATE(Bonds!$H224,6*(45-1))))</f>
        <v/>
      </c>
      <c r="AX224" s="3" t="str">
        <f>IF(46&gt;$C224,"",IF($D224=1,EOMONTH(EDATE(Bonds!$H224,6*(46-1)),0),EDATE(Bonds!$H224,6*(46-1))))</f>
        <v/>
      </c>
      <c r="AY224" s="3" t="str">
        <f>IF(47&gt;$C224,"",IF($D224=1,EOMONTH(EDATE(Bonds!$H224,6*(47-1)),0),EDATE(Bonds!$H224,6*(47-1))))</f>
        <v/>
      </c>
      <c r="AZ224" s="3" t="str">
        <f>IF(48&gt;$C224,"",IF($D224=1,EOMONTH(EDATE(Bonds!$H224,6*(48-1)),0),EDATE(Bonds!$H224,6*(48-1))))</f>
        <v/>
      </c>
      <c r="BA224" s="3" t="str">
        <f>IF(49&gt;$C224,"",IF($D224=1,EOMONTH(EDATE(Bonds!$H224,6*(49-1)),0),EDATE(Bonds!$H224,6*(49-1))))</f>
        <v/>
      </c>
      <c r="BB224" s="3" t="str">
        <f>IF(50&gt;$C224,"",IF($D224=1,EOMONTH(EDATE(Bonds!$H224,6*(50-1)),0),EDATE(Bonds!$H224,6*(50-1))))</f>
        <v/>
      </c>
      <c r="BC224" s="3" t="str">
        <f>IF(51&gt;$C224,"",IF($D224=1,EOMONTH(EDATE(Bonds!$H224,6*(51-1)),0),EDATE(Bonds!$H224,6*(51-1))))</f>
        <v/>
      </c>
      <c r="BD224" s="3" t="str">
        <f>IF(52&gt;$C224,"",IF($D224=1,EOMONTH(EDATE(Bonds!$H224,6*(52-1)),0),EDATE(Bonds!$H224,6*(52-1))))</f>
        <v/>
      </c>
      <c r="BE224" s="3" t="str">
        <f>IF(53&gt;$C224,"",IF($D224=1,EOMONTH(EDATE(Bonds!$H224,6*(53-1)),0),EDATE(Bonds!$H224,6*(53-1))))</f>
        <v/>
      </c>
      <c r="BF224" s="3" t="str">
        <f>IF(54&gt;$C224,"",IF($D224=1,EOMONTH(EDATE(Bonds!$H224,6*(54-1)),0),EDATE(Bonds!$H224,6*(54-1))))</f>
        <v/>
      </c>
      <c r="BG224" s="3" t="str">
        <f>IF(55&gt;$C224,"",IF($D224=1,EOMONTH(EDATE(Bonds!$H224,6*(55-1)),0),EDATE(Bonds!$H224,6*(55-1))))</f>
        <v/>
      </c>
      <c r="BH224" s="3" t="str">
        <f>IF(56&gt;$C224,"",IF($D224=1,EOMONTH(EDATE(Bonds!$H224,6*(56-1)),0),EDATE(Bonds!$H224,6*(56-1))))</f>
        <v/>
      </c>
      <c r="BI224" s="3" t="str">
        <f>IF(57&gt;$C224,"",IF($D224=1,EOMONTH(EDATE(Bonds!$H224,6*(57-1)),0),EDATE(Bonds!$H224,6*(57-1))))</f>
        <v/>
      </c>
      <c r="BJ224" s="3" t="str">
        <f>IF(58&gt;$C224,"",IF($D224=1,EOMONTH(EDATE(Bonds!$H224,6*(58-1)),0),EDATE(Bonds!$H224,6*(58-1))))</f>
        <v/>
      </c>
      <c r="BK224" s="3" t="str">
        <f>IF(59&gt;$C224,"",IF($D224=1,EOMONTH(EDATE(Bonds!$H224,6*(59-1)),0),EDATE(Bonds!$H224,6*(59-1))))</f>
        <v/>
      </c>
      <c r="BL224" s="3" t="str">
        <f>IF(60&gt;$C224,"",IF($D224=1,EOMONTH(EDATE(Bonds!$H224,6*(60-1)),0),EDATE(Bonds!$H224,6*(60-1))))</f>
        <v/>
      </c>
      <c r="BN224" s="7">
        <f t="shared" si="184"/>
        <v>1.989197099728137</v>
      </c>
      <c r="BO224" s="7">
        <f t="shared" si="185"/>
        <v>1.9493800937271408</v>
      </c>
      <c r="BP224" s="7">
        <f t="shared" si="186"/>
        <v>1.9066043500763761</v>
      </c>
      <c r="BQ224" s="7">
        <f t="shared" si="187"/>
        <v>1.863899324908499</v>
      </c>
      <c r="BR224" s="7">
        <f t="shared" si="188"/>
        <v>1.8212895983466124</v>
      </c>
      <c r="BS224" s="7">
        <f t="shared" si="189"/>
        <v>1.7803141507029925</v>
      </c>
      <c r="BT224" s="7">
        <f t="shared" si="190"/>
        <v>1.7396924298085381</v>
      </c>
      <c r="BU224" s="7">
        <f t="shared" si="191"/>
        <v>1.7006684171353745</v>
      </c>
      <c r="BV224" s="7">
        <f t="shared" si="192"/>
        <v>1.661799633590308</v>
      </c>
      <c r="BW224" s="7">
        <f t="shared" si="193"/>
        <v>1.6241955062968407</v>
      </c>
      <c r="BX224" s="7">
        <f t="shared" si="194"/>
        <v>1.5864641456904471</v>
      </c>
      <c r="BY224" s="7">
        <f t="shared" si="195"/>
        <v>79.025546128977425</v>
      </c>
      <c r="BZ224" s="7">
        <f t="shared" si="196"/>
        <v>0</v>
      </c>
      <c r="CA224" s="7">
        <f t="shared" si="197"/>
        <v>0</v>
      </c>
      <c r="CB224" s="7">
        <f t="shared" si="198"/>
        <v>0</v>
      </c>
      <c r="CC224" s="7">
        <f t="shared" si="199"/>
        <v>0</v>
      </c>
      <c r="CD224" s="7">
        <f t="shared" si="200"/>
        <v>0</v>
      </c>
      <c r="CE224" s="7">
        <f t="shared" si="201"/>
        <v>0</v>
      </c>
      <c r="CF224" s="7">
        <f t="shared" si="202"/>
        <v>0</v>
      </c>
      <c r="CG224" s="7">
        <f t="shared" si="203"/>
        <v>0</v>
      </c>
      <c r="CH224" s="7">
        <f t="shared" si="204"/>
        <v>0</v>
      </c>
      <c r="CI224" s="7">
        <f t="shared" si="205"/>
        <v>0</v>
      </c>
      <c r="CJ224" s="7">
        <f t="shared" si="206"/>
        <v>0</v>
      </c>
      <c r="CK224" s="7">
        <f t="shared" si="207"/>
        <v>0</v>
      </c>
      <c r="CL224" s="7">
        <f t="shared" si="208"/>
        <v>0</v>
      </c>
      <c r="CM224" s="7">
        <f t="shared" si="209"/>
        <v>0</v>
      </c>
      <c r="CN224" s="7">
        <f t="shared" si="210"/>
        <v>0</v>
      </c>
      <c r="CO224" s="7">
        <f t="shared" si="211"/>
        <v>0</v>
      </c>
      <c r="CP224" s="7">
        <f t="shared" si="212"/>
        <v>0</v>
      </c>
      <c r="CQ224" s="7">
        <f t="shared" si="213"/>
        <v>0</v>
      </c>
      <c r="CR224" s="7">
        <f t="shared" si="214"/>
        <v>0</v>
      </c>
      <c r="CS224" s="7">
        <f t="shared" si="215"/>
        <v>0</v>
      </c>
      <c r="CT224" s="7">
        <f t="shared" si="216"/>
        <v>0</v>
      </c>
      <c r="CU224" s="7">
        <f t="shared" si="217"/>
        <v>0</v>
      </c>
      <c r="CV224" s="7">
        <f t="shared" si="218"/>
        <v>0</v>
      </c>
      <c r="CW224" s="7">
        <f t="shared" si="219"/>
        <v>0</v>
      </c>
      <c r="CX224" s="7">
        <f t="shared" si="220"/>
        <v>0</v>
      </c>
      <c r="CY224" s="7">
        <f t="shared" si="221"/>
        <v>0</v>
      </c>
      <c r="CZ224" s="7">
        <f t="shared" si="222"/>
        <v>0</v>
      </c>
      <c r="DA224" s="7">
        <f t="shared" si="223"/>
        <v>0</v>
      </c>
      <c r="DB224" s="7">
        <f t="shared" si="224"/>
        <v>0</v>
      </c>
      <c r="DC224" s="7">
        <f t="shared" si="225"/>
        <v>0</v>
      </c>
      <c r="DD224" s="7">
        <f t="shared" si="226"/>
        <v>0</v>
      </c>
      <c r="DE224" s="7">
        <f t="shared" si="227"/>
        <v>0</v>
      </c>
      <c r="DF224" s="7">
        <f t="shared" si="228"/>
        <v>0</v>
      </c>
      <c r="DG224" s="7">
        <f t="shared" si="229"/>
        <v>0</v>
      </c>
      <c r="DH224" s="7">
        <f t="shared" si="230"/>
        <v>0</v>
      </c>
      <c r="DI224" s="7">
        <f t="shared" si="231"/>
        <v>0</v>
      </c>
      <c r="DJ224" s="7">
        <f t="shared" si="232"/>
        <v>0</v>
      </c>
      <c r="DK224" s="7">
        <f t="shared" si="233"/>
        <v>0</v>
      </c>
      <c r="DL224" s="7">
        <f t="shared" si="234"/>
        <v>0</v>
      </c>
      <c r="DM224" s="7">
        <f t="shared" si="235"/>
        <v>0</v>
      </c>
      <c r="DN224" s="7">
        <f t="shared" si="236"/>
        <v>0</v>
      </c>
      <c r="DO224" s="7">
        <f t="shared" si="237"/>
        <v>0</v>
      </c>
      <c r="DP224" s="7">
        <f t="shared" si="238"/>
        <v>0</v>
      </c>
      <c r="DQ224" s="7">
        <f t="shared" si="239"/>
        <v>0</v>
      </c>
      <c r="DR224" s="7">
        <f t="shared" si="240"/>
        <v>0</v>
      </c>
      <c r="DS224" s="7">
        <f t="shared" si="241"/>
        <v>0</v>
      </c>
      <c r="DT224" s="7">
        <f t="shared" si="242"/>
        <v>0</v>
      </c>
      <c r="DU224" s="7">
        <f t="shared" si="243"/>
        <v>0</v>
      </c>
    </row>
    <row r="225" spans="1:125" x14ac:dyDescent="0.2">
      <c r="A225" s="3">
        <f>Bonds!A225</f>
        <v>48349</v>
      </c>
      <c r="B225" s="4">
        <f>Bonds!B225</f>
        <v>2.875</v>
      </c>
      <c r="C225">
        <f>Bonds!P225</f>
        <v>12</v>
      </c>
      <c r="D225">
        <f t="shared" si="183"/>
        <v>0</v>
      </c>
      <c r="E225" s="3">
        <f>IF(1&gt;$C225,"",IF($D225=1,EOMONTH(EDATE(Bonds!$H225,6*(1-1)),0),EDATE(Bonds!$H225,6*(1-1))))</f>
        <v>46341</v>
      </c>
      <c r="F225" s="3">
        <f>IF(2&gt;$C225,"",IF($D225=1,EOMONTH(EDATE(Bonds!$H225,6*(2-1)),0),EDATE(Bonds!$H225,6*(2-1))))</f>
        <v>46522</v>
      </c>
      <c r="G225" s="3">
        <f>IF(3&gt;$C225,"",IF($D225=1,EOMONTH(EDATE(Bonds!$H225,6*(3-1)),0),EDATE(Bonds!$H225,6*(3-1))))</f>
        <v>46706</v>
      </c>
      <c r="H225" s="3">
        <f>IF(4&gt;$C225,"",IF($D225=1,EOMONTH(EDATE(Bonds!$H225,6*(4-1)),0),EDATE(Bonds!$H225,6*(4-1))))</f>
        <v>46888</v>
      </c>
      <c r="I225" s="3">
        <f>IF(5&gt;$C225,"",IF($D225=1,EOMONTH(EDATE(Bonds!$H225,6*(5-1)),0),EDATE(Bonds!$H225,6*(5-1))))</f>
        <v>47072</v>
      </c>
      <c r="J225" s="3">
        <f>IF(6&gt;$C225,"",IF($D225=1,EOMONTH(EDATE(Bonds!$H225,6*(6-1)),0),EDATE(Bonds!$H225,6*(6-1))))</f>
        <v>47253</v>
      </c>
      <c r="K225" s="3">
        <f>IF(7&gt;$C225,"",IF($D225=1,EOMONTH(EDATE(Bonds!$H225,6*(7-1)),0),EDATE(Bonds!$H225,6*(7-1))))</f>
        <v>47437</v>
      </c>
      <c r="L225" s="3">
        <f>IF(8&gt;$C225,"",IF($D225=1,EOMONTH(EDATE(Bonds!$H225,6*(8-1)),0),EDATE(Bonds!$H225,6*(8-1))))</f>
        <v>47618</v>
      </c>
      <c r="M225" s="3">
        <f>IF(9&gt;$C225,"",IF($D225=1,EOMONTH(EDATE(Bonds!$H225,6*(9-1)),0),EDATE(Bonds!$H225,6*(9-1))))</f>
        <v>47802</v>
      </c>
      <c r="N225" s="3">
        <f>IF(10&gt;$C225,"",IF($D225=1,EOMONTH(EDATE(Bonds!$H225,6*(10-1)),0),EDATE(Bonds!$H225,6*(10-1))))</f>
        <v>47983</v>
      </c>
      <c r="O225" s="3">
        <f>IF(11&gt;$C225,"",IF($D225=1,EOMONTH(EDATE(Bonds!$H225,6*(11-1)),0),EDATE(Bonds!$H225,6*(11-1))))</f>
        <v>48167</v>
      </c>
      <c r="P225" s="3">
        <f>IF(12&gt;$C225,"",IF($D225=1,EOMONTH(EDATE(Bonds!$H225,6*(12-1)),0),EDATE(Bonds!$H225,6*(12-1))))</f>
        <v>48349</v>
      </c>
      <c r="Q225" s="3" t="str">
        <f>IF(13&gt;$C225,"",IF($D225=1,EOMONTH(EDATE(Bonds!$H225,6*(13-1)),0),EDATE(Bonds!$H225,6*(13-1))))</f>
        <v/>
      </c>
      <c r="R225" s="3" t="str">
        <f>IF(14&gt;$C225,"",IF($D225=1,EOMONTH(EDATE(Bonds!$H225,6*(14-1)),0),EDATE(Bonds!$H225,6*(14-1))))</f>
        <v/>
      </c>
      <c r="S225" s="3" t="str">
        <f>IF(15&gt;$C225,"",IF($D225=1,EOMONTH(EDATE(Bonds!$H225,6*(15-1)),0),EDATE(Bonds!$H225,6*(15-1))))</f>
        <v/>
      </c>
      <c r="T225" s="3" t="str">
        <f>IF(16&gt;$C225,"",IF($D225=1,EOMONTH(EDATE(Bonds!$H225,6*(16-1)),0),EDATE(Bonds!$H225,6*(16-1))))</f>
        <v/>
      </c>
      <c r="U225" s="3" t="str">
        <f>IF(17&gt;$C225,"",IF($D225=1,EOMONTH(EDATE(Bonds!$H225,6*(17-1)),0),EDATE(Bonds!$H225,6*(17-1))))</f>
        <v/>
      </c>
      <c r="V225" s="3" t="str">
        <f>IF(18&gt;$C225,"",IF($D225=1,EOMONTH(EDATE(Bonds!$H225,6*(18-1)),0),EDATE(Bonds!$H225,6*(18-1))))</f>
        <v/>
      </c>
      <c r="W225" s="3" t="str">
        <f>IF(19&gt;$C225,"",IF($D225=1,EOMONTH(EDATE(Bonds!$H225,6*(19-1)),0),EDATE(Bonds!$H225,6*(19-1))))</f>
        <v/>
      </c>
      <c r="X225" s="3" t="str">
        <f>IF(20&gt;$C225,"",IF($D225=1,EOMONTH(EDATE(Bonds!$H225,6*(20-1)),0),EDATE(Bonds!$H225,6*(20-1))))</f>
        <v/>
      </c>
      <c r="Y225" s="3" t="str">
        <f>IF(21&gt;$C225,"",IF($D225=1,EOMONTH(EDATE(Bonds!$H225,6*(21-1)),0),EDATE(Bonds!$H225,6*(21-1))))</f>
        <v/>
      </c>
      <c r="Z225" s="3" t="str">
        <f>IF(22&gt;$C225,"",IF($D225=1,EOMONTH(EDATE(Bonds!$H225,6*(22-1)),0),EDATE(Bonds!$H225,6*(22-1))))</f>
        <v/>
      </c>
      <c r="AA225" s="3" t="str">
        <f>IF(23&gt;$C225,"",IF($D225=1,EOMONTH(EDATE(Bonds!$H225,6*(23-1)),0),EDATE(Bonds!$H225,6*(23-1))))</f>
        <v/>
      </c>
      <c r="AB225" s="3" t="str">
        <f>IF(24&gt;$C225,"",IF($D225=1,EOMONTH(EDATE(Bonds!$H225,6*(24-1)),0),EDATE(Bonds!$H225,6*(24-1))))</f>
        <v/>
      </c>
      <c r="AC225" s="3" t="str">
        <f>IF(25&gt;$C225,"",IF($D225=1,EOMONTH(EDATE(Bonds!$H225,6*(25-1)),0),EDATE(Bonds!$H225,6*(25-1))))</f>
        <v/>
      </c>
      <c r="AD225" s="3" t="str">
        <f>IF(26&gt;$C225,"",IF($D225=1,EOMONTH(EDATE(Bonds!$H225,6*(26-1)),0),EDATE(Bonds!$H225,6*(26-1))))</f>
        <v/>
      </c>
      <c r="AE225" s="3" t="str">
        <f>IF(27&gt;$C225,"",IF($D225=1,EOMONTH(EDATE(Bonds!$H225,6*(27-1)),0),EDATE(Bonds!$H225,6*(27-1))))</f>
        <v/>
      </c>
      <c r="AF225" s="3" t="str">
        <f>IF(28&gt;$C225,"",IF($D225=1,EOMONTH(EDATE(Bonds!$H225,6*(28-1)),0),EDATE(Bonds!$H225,6*(28-1))))</f>
        <v/>
      </c>
      <c r="AG225" s="3" t="str">
        <f>IF(29&gt;$C225,"",IF($D225=1,EOMONTH(EDATE(Bonds!$H225,6*(29-1)),0),EDATE(Bonds!$H225,6*(29-1))))</f>
        <v/>
      </c>
      <c r="AH225" s="3" t="str">
        <f>IF(30&gt;$C225,"",IF($D225=1,EOMONTH(EDATE(Bonds!$H225,6*(30-1)),0),EDATE(Bonds!$H225,6*(30-1))))</f>
        <v/>
      </c>
      <c r="AI225" s="3" t="str">
        <f>IF(31&gt;$C225,"",IF($D225=1,EOMONTH(EDATE(Bonds!$H225,6*(31-1)),0),EDATE(Bonds!$H225,6*(31-1))))</f>
        <v/>
      </c>
      <c r="AJ225" s="3" t="str">
        <f>IF(32&gt;$C225,"",IF($D225=1,EOMONTH(EDATE(Bonds!$H225,6*(32-1)),0),EDATE(Bonds!$H225,6*(32-1))))</f>
        <v/>
      </c>
      <c r="AK225" s="3" t="str">
        <f>IF(33&gt;$C225,"",IF($D225=1,EOMONTH(EDATE(Bonds!$H225,6*(33-1)),0),EDATE(Bonds!$H225,6*(33-1))))</f>
        <v/>
      </c>
      <c r="AL225" s="3" t="str">
        <f>IF(34&gt;$C225,"",IF($D225=1,EOMONTH(EDATE(Bonds!$H225,6*(34-1)),0),EDATE(Bonds!$H225,6*(34-1))))</f>
        <v/>
      </c>
      <c r="AM225" s="3" t="str">
        <f>IF(35&gt;$C225,"",IF($D225=1,EOMONTH(EDATE(Bonds!$H225,6*(35-1)),0),EDATE(Bonds!$H225,6*(35-1))))</f>
        <v/>
      </c>
      <c r="AN225" s="3" t="str">
        <f>IF(36&gt;$C225,"",IF($D225=1,EOMONTH(EDATE(Bonds!$H225,6*(36-1)),0),EDATE(Bonds!$H225,6*(36-1))))</f>
        <v/>
      </c>
      <c r="AO225" s="3" t="str">
        <f>IF(37&gt;$C225,"",IF($D225=1,EOMONTH(EDATE(Bonds!$H225,6*(37-1)),0),EDATE(Bonds!$H225,6*(37-1))))</f>
        <v/>
      </c>
      <c r="AP225" s="3" t="str">
        <f>IF(38&gt;$C225,"",IF($D225=1,EOMONTH(EDATE(Bonds!$H225,6*(38-1)),0),EDATE(Bonds!$H225,6*(38-1))))</f>
        <v/>
      </c>
      <c r="AQ225" s="3" t="str">
        <f>IF(39&gt;$C225,"",IF($D225=1,EOMONTH(EDATE(Bonds!$H225,6*(39-1)),0),EDATE(Bonds!$H225,6*(39-1))))</f>
        <v/>
      </c>
      <c r="AR225" s="3" t="str">
        <f>IF(40&gt;$C225,"",IF($D225=1,EOMONTH(EDATE(Bonds!$H225,6*(40-1)),0),EDATE(Bonds!$H225,6*(40-1))))</f>
        <v/>
      </c>
      <c r="AS225" s="3" t="str">
        <f>IF(41&gt;$C225,"",IF($D225=1,EOMONTH(EDATE(Bonds!$H225,6*(41-1)),0),EDATE(Bonds!$H225,6*(41-1))))</f>
        <v/>
      </c>
      <c r="AT225" s="3" t="str">
        <f>IF(42&gt;$C225,"",IF($D225=1,EOMONTH(EDATE(Bonds!$H225,6*(42-1)),0),EDATE(Bonds!$H225,6*(42-1))))</f>
        <v/>
      </c>
      <c r="AU225" s="3" t="str">
        <f>IF(43&gt;$C225,"",IF($D225=1,EOMONTH(EDATE(Bonds!$H225,6*(43-1)),0),EDATE(Bonds!$H225,6*(43-1))))</f>
        <v/>
      </c>
      <c r="AV225" s="3" t="str">
        <f>IF(44&gt;$C225,"",IF($D225=1,EOMONTH(EDATE(Bonds!$H225,6*(44-1)),0),EDATE(Bonds!$H225,6*(44-1))))</f>
        <v/>
      </c>
      <c r="AW225" s="3" t="str">
        <f>IF(45&gt;$C225,"",IF($D225=1,EOMONTH(EDATE(Bonds!$H225,6*(45-1)),0),EDATE(Bonds!$H225,6*(45-1))))</f>
        <v/>
      </c>
      <c r="AX225" s="3" t="str">
        <f>IF(46&gt;$C225,"",IF($D225=1,EOMONTH(EDATE(Bonds!$H225,6*(46-1)),0),EDATE(Bonds!$H225,6*(46-1))))</f>
        <v/>
      </c>
      <c r="AY225" s="3" t="str">
        <f>IF(47&gt;$C225,"",IF($D225=1,EOMONTH(EDATE(Bonds!$H225,6*(47-1)),0),EDATE(Bonds!$H225,6*(47-1))))</f>
        <v/>
      </c>
      <c r="AZ225" s="3" t="str">
        <f>IF(48&gt;$C225,"",IF($D225=1,EOMONTH(EDATE(Bonds!$H225,6*(48-1)),0),EDATE(Bonds!$H225,6*(48-1))))</f>
        <v/>
      </c>
      <c r="BA225" s="3" t="str">
        <f>IF(49&gt;$C225,"",IF($D225=1,EOMONTH(EDATE(Bonds!$H225,6*(49-1)),0),EDATE(Bonds!$H225,6*(49-1))))</f>
        <v/>
      </c>
      <c r="BB225" s="3" t="str">
        <f>IF(50&gt;$C225,"",IF($D225=1,EOMONTH(EDATE(Bonds!$H225,6*(50-1)),0),EDATE(Bonds!$H225,6*(50-1))))</f>
        <v/>
      </c>
      <c r="BC225" s="3" t="str">
        <f>IF(51&gt;$C225,"",IF($D225=1,EOMONTH(EDATE(Bonds!$H225,6*(51-1)),0),EDATE(Bonds!$H225,6*(51-1))))</f>
        <v/>
      </c>
      <c r="BD225" s="3" t="str">
        <f>IF(52&gt;$C225,"",IF($D225=1,EOMONTH(EDATE(Bonds!$H225,6*(52-1)),0),EDATE(Bonds!$H225,6*(52-1))))</f>
        <v/>
      </c>
      <c r="BE225" s="3" t="str">
        <f>IF(53&gt;$C225,"",IF($D225=1,EOMONTH(EDATE(Bonds!$H225,6*(53-1)),0),EDATE(Bonds!$H225,6*(53-1))))</f>
        <v/>
      </c>
      <c r="BF225" s="3" t="str">
        <f>IF(54&gt;$C225,"",IF($D225=1,EOMONTH(EDATE(Bonds!$H225,6*(54-1)),0),EDATE(Bonds!$H225,6*(54-1))))</f>
        <v/>
      </c>
      <c r="BG225" s="3" t="str">
        <f>IF(55&gt;$C225,"",IF($D225=1,EOMONTH(EDATE(Bonds!$H225,6*(55-1)),0),EDATE(Bonds!$H225,6*(55-1))))</f>
        <v/>
      </c>
      <c r="BH225" s="3" t="str">
        <f>IF(56&gt;$C225,"",IF($D225=1,EOMONTH(EDATE(Bonds!$H225,6*(56-1)),0),EDATE(Bonds!$H225,6*(56-1))))</f>
        <v/>
      </c>
      <c r="BI225" s="3" t="str">
        <f>IF(57&gt;$C225,"",IF($D225=1,EOMONTH(EDATE(Bonds!$H225,6*(57-1)),0),EDATE(Bonds!$H225,6*(57-1))))</f>
        <v/>
      </c>
      <c r="BJ225" s="3" t="str">
        <f>IF(58&gt;$C225,"",IF($D225=1,EOMONTH(EDATE(Bonds!$H225,6*(58-1)),0),EDATE(Bonds!$H225,6*(58-1))))</f>
        <v/>
      </c>
      <c r="BK225" s="3" t="str">
        <f>IF(59&gt;$C225,"",IF($D225=1,EOMONTH(EDATE(Bonds!$H225,6*(59-1)),0),EDATE(Bonds!$H225,6*(59-1))))</f>
        <v/>
      </c>
      <c r="BL225" s="3" t="str">
        <f>IF(60&gt;$C225,"",IF($D225=1,EOMONTH(EDATE(Bonds!$H225,6*(60-1)),0),EDATE(Bonds!$H225,6*(60-1))))</f>
        <v/>
      </c>
      <c r="BN225" s="7">
        <f t="shared" si="184"/>
        <v>1.4274742749875267</v>
      </c>
      <c r="BO225" s="7">
        <f t="shared" si="185"/>
        <v>1.3986486663573166</v>
      </c>
      <c r="BP225" s="7">
        <f t="shared" si="186"/>
        <v>1.3678399410400741</v>
      </c>
      <c r="BQ225" s="7">
        <f t="shared" si="187"/>
        <v>1.3371598283300468</v>
      </c>
      <c r="BR225" s="7">
        <f t="shared" si="188"/>
        <v>1.3065839082019193</v>
      </c>
      <c r="BS225" s="7">
        <f t="shared" si="189"/>
        <v>1.2771928779737276</v>
      </c>
      <c r="BT225" s="7">
        <f t="shared" si="190"/>
        <v>1.2480553960943812</v>
      </c>
      <c r="BU225" s="7">
        <f t="shared" si="191"/>
        <v>1.2200577782749149</v>
      </c>
      <c r="BV225" s="7">
        <f t="shared" si="192"/>
        <v>1.1921630242748884</v>
      </c>
      <c r="BW225" s="7">
        <f t="shared" si="193"/>
        <v>1.1651675143430285</v>
      </c>
      <c r="BX225" s="7">
        <f t="shared" si="194"/>
        <v>1.138073400627418</v>
      </c>
      <c r="BY225" s="7">
        <f t="shared" si="195"/>
        <v>78.436025305660408</v>
      </c>
      <c r="BZ225" s="7">
        <f t="shared" si="196"/>
        <v>0</v>
      </c>
      <c r="CA225" s="7">
        <f t="shared" si="197"/>
        <v>0</v>
      </c>
      <c r="CB225" s="7">
        <f t="shared" si="198"/>
        <v>0</v>
      </c>
      <c r="CC225" s="7">
        <f t="shared" si="199"/>
        <v>0</v>
      </c>
      <c r="CD225" s="7">
        <f t="shared" si="200"/>
        <v>0</v>
      </c>
      <c r="CE225" s="7">
        <f t="shared" si="201"/>
        <v>0</v>
      </c>
      <c r="CF225" s="7">
        <f t="shared" si="202"/>
        <v>0</v>
      </c>
      <c r="CG225" s="7">
        <f t="shared" si="203"/>
        <v>0</v>
      </c>
      <c r="CH225" s="7">
        <f t="shared" si="204"/>
        <v>0</v>
      </c>
      <c r="CI225" s="7">
        <f t="shared" si="205"/>
        <v>0</v>
      </c>
      <c r="CJ225" s="7">
        <f t="shared" si="206"/>
        <v>0</v>
      </c>
      <c r="CK225" s="7">
        <f t="shared" si="207"/>
        <v>0</v>
      </c>
      <c r="CL225" s="7">
        <f t="shared" si="208"/>
        <v>0</v>
      </c>
      <c r="CM225" s="7">
        <f t="shared" si="209"/>
        <v>0</v>
      </c>
      <c r="CN225" s="7">
        <f t="shared" si="210"/>
        <v>0</v>
      </c>
      <c r="CO225" s="7">
        <f t="shared" si="211"/>
        <v>0</v>
      </c>
      <c r="CP225" s="7">
        <f t="shared" si="212"/>
        <v>0</v>
      </c>
      <c r="CQ225" s="7">
        <f t="shared" si="213"/>
        <v>0</v>
      </c>
      <c r="CR225" s="7">
        <f t="shared" si="214"/>
        <v>0</v>
      </c>
      <c r="CS225" s="7">
        <f t="shared" si="215"/>
        <v>0</v>
      </c>
      <c r="CT225" s="7">
        <f t="shared" si="216"/>
        <v>0</v>
      </c>
      <c r="CU225" s="7">
        <f t="shared" si="217"/>
        <v>0</v>
      </c>
      <c r="CV225" s="7">
        <f t="shared" si="218"/>
        <v>0</v>
      </c>
      <c r="CW225" s="7">
        <f t="shared" si="219"/>
        <v>0</v>
      </c>
      <c r="CX225" s="7">
        <f t="shared" si="220"/>
        <v>0</v>
      </c>
      <c r="CY225" s="7">
        <f t="shared" si="221"/>
        <v>0</v>
      </c>
      <c r="CZ225" s="7">
        <f t="shared" si="222"/>
        <v>0</v>
      </c>
      <c r="DA225" s="7">
        <f t="shared" si="223"/>
        <v>0</v>
      </c>
      <c r="DB225" s="7">
        <f t="shared" si="224"/>
        <v>0</v>
      </c>
      <c r="DC225" s="7">
        <f t="shared" si="225"/>
        <v>0</v>
      </c>
      <c r="DD225" s="7">
        <f t="shared" si="226"/>
        <v>0</v>
      </c>
      <c r="DE225" s="7">
        <f t="shared" si="227"/>
        <v>0</v>
      </c>
      <c r="DF225" s="7">
        <f t="shared" si="228"/>
        <v>0</v>
      </c>
      <c r="DG225" s="7">
        <f t="shared" si="229"/>
        <v>0</v>
      </c>
      <c r="DH225" s="7">
        <f t="shared" si="230"/>
        <v>0</v>
      </c>
      <c r="DI225" s="7">
        <f t="shared" si="231"/>
        <v>0</v>
      </c>
      <c r="DJ225" s="7">
        <f t="shared" si="232"/>
        <v>0</v>
      </c>
      <c r="DK225" s="7">
        <f t="shared" si="233"/>
        <v>0</v>
      </c>
      <c r="DL225" s="7">
        <f t="shared" si="234"/>
        <v>0</v>
      </c>
      <c r="DM225" s="7">
        <f t="shared" si="235"/>
        <v>0</v>
      </c>
      <c r="DN225" s="7">
        <f t="shared" si="236"/>
        <v>0</v>
      </c>
      <c r="DO225" s="7">
        <f t="shared" si="237"/>
        <v>0</v>
      </c>
      <c r="DP225" s="7">
        <f t="shared" si="238"/>
        <v>0</v>
      </c>
      <c r="DQ225" s="7">
        <f t="shared" si="239"/>
        <v>0</v>
      </c>
      <c r="DR225" s="7">
        <f t="shared" si="240"/>
        <v>0</v>
      </c>
      <c r="DS225" s="7">
        <f t="shared" si="241"/>
        <v>0</v>
      </c>
      <c r="DT225" s="7">
        <f t="shared" si="242"/>
        <v>0</v>
      </c>
      <c r="DU225" s="7">
        <f t="shared" si="243"/>
        <v>0</v>
      </c>
    </row>
    <row r="226" spans="1:125" x14ac:dyDescent="0.2">
      <c r="A226" s="3">
        <f>Bonds!A226</f>
        <v>48365</v>
      </c>
      <c r="B226" s="4">
        <f>Bonds!B226</f>
        <v>4.125</v>
      </c>
      <c r="C226">
        <f>Bonds!P226</f>
        <v>12</v>
      </c>
      <c r="D226">
        <f t="shared" si="183"/>
        <v>1</v>
      </c>
      <c r="E226" s="3">
        <f>IF(1&gt;$C226,"",IF($D226=1,EOMONTH(EDATE(Bonds!$H226,6*(1-1)),0),EDATE(Bonds!$H226,6*(1-1))))</f>
        <v>46356</v>
      </c>
      <c r="F226" s="3">
        <f>IF(2&gt;$C226,"",IF($D226=1,EOMONTH(EDATE(Bonds!$H226,6*(2-1)),0),EDATE(Bonds!$H226,6*(2-1))))</f>
        <v>46538</v>
      </c>
      <c r="G226" s="3">
        <f>IF(3&gt;$C226,"",IF($D226=1,EOMONTH(EDATE(Bonds!$H226,6*(3-1)),0),EDATE(Bonds!$H226,6*(3-1))))</f>
        <v>46721</v>
      </c>
      <c r="H226" s="3">
        <f>IF(4&gt;$C226,"",IF($D226=1,EOMONTH(EDATE(Bonds!$H226,6*(4-1)),0),EDATE(Bonds!$H226,6*(4-1))))</f>
        <v>46904</v>
      </c>
      <c r="I226" s="3">
        <f>IF(5&gt;$C226,"",IF($D226=1,EOMONTH(EDATE(Bonds!$H226,6*(5-1)),0),EDATE(Bonds!$H226,6*(5-1))))</f>
        <v>47087</v>
      </c>
      <c r="J226" s="3">
        <f>IF(6&gt;$C226,"",IF($D226=1,EOMONTH(EDATE(Bonds!$H226,6*(6-1)),0),EDATE(Bonds!$H226,6*(6-1))))</f>
        <v>47269</v>
      </c>
      <c r="K226" s="3">
        <f>IF(7&gt;$C226,"",IF($D226=1,EOMONTH(EDATE(Bonds!$H226,6*(7-1)),0),EDATE(Bonds!$H226,6*(7-1))))</f>
        <v>47452</v>
      </c>
      <c r="L226" s="3">
        <f>IF(8&gt;$C226,"",IF($D226=1,EOMONTH(EDATE(Bonds!$H226,6*(8-1)),0),EDATE(Bonds!$H226,6*(8-1))))</f>
        <v>47634</v>
      </c>
      <c r="M226" s="3">
        <f>IF(9&gt;$C226,"",IF($D226=1,EOMONTH(EDATE(Bonds!$H226,6*(9-1)),0),EDATE(Bonds!$H226,6*(9-1))))</f>
        <v>47817</v>
      </c>
      <c r="N226" s="3">
        <f>IF(10&gt;$C226,"",IF($D226=1,EOMONTH(EDATE(Bonds!$H226,6*(10-1)),0),EDATE(Bonds!$H226,6*(10-1))))</f>
        <v>47999</v>
      </c>
      <c r="O226" s="3">
        <f>IF(11&gt;$C226,"",IF($D226=1,EOMONTH(EDATE(Bonds!$H226,6*(11-1)),0),EDATE(Bonds!$H226,6*(11-1))))</f>
        <v>48182</v>
      </c>
      <c r="P226" s="3">
        <f>IF(12&gt;$C226,"",IF($D226=1,EOMONTH(EDATE(Bonds!$H226,6*(12-1)),0),EDATE(Bonds!$H226,6*(12-1))))</f>
        <v>48365</v>
      </c>
      <c r="Q226" s="3" t="str">
        <f>IF(13&gt;$C226,"",IF($D226=1,EOMONTH(EDATE(Bonds!$H226,6*(13-1)),0),EDATE(Bonds!$H226,6*(13-1))))</f>
        <v/>
      </c>
      <c r="R226" s="3" t="str">
        <f>IF(14&gt;$C226,"",IF($D226=1,EOMONTH(EDATE(Bonds!$H226,6*(14-1)),0),EDATE(Bonds!$H226,6*(14-1))))</f>
        <v/>
      </c>
      <c r="S226" s="3" t="str">
        <f>IF(15&gt;$C226,"",IF($D226=1,EOMONTH(EDATE(Bonds!$H226,6*(15-1)),0),EDATE(Bonds!$H226,6*(15-1))))</f>
        <v/>
      </c>
      <c r="T226" s="3" t="str">
        <f>IF(16&gt;$C226,"",IF($D226=1,EOMONTH(EDATE(Bonds!$H226,6*(16-1)),0),EDATE(Bonds!$H226,6*(16-1))))</f>
        <v/>
      </c>
      <c r="U226" s="3" t="str">
        <f>IF(17&gt;$C226,"",IF($D226=1,EOMONTH(EDATE(Bonds!$H226,6*(17-1)),0),EDATE(Bonds!$H226,6*(17-1))))</f>
        <v/>
      </c>
      <c r="V226" s="3" t="str">
        <f>IF(18&gt;$C226,"",IF($D226=1,EOMONTH(EDATE(Bonds!$H226,6*(18-1)),0),EDATE(Bonds!$H226,6*(18-1))))</f>
        <v/>
      </c>
      <c r="W226" s="3" t="str">
        <f>IF(19&gt;$C226,"",IF($D226=1,EOMONTH(EDATE(Bonds!$H226,6*(19-1)),0),EDATE(Bonds!$H226,6*(19-1))))</f>
        <v/>
      </c>
      <c r="X226" s="3" t="str">
        <f>IF(20&gt;$C226,"",IF($D226=1,EOMONTH(EDATE(Bonds!$H226,6*(20-1)),0),EDATE(Bonds!$H226,6*(20-1))))</f>
        <v/>
      </c>
      <c r="Y226" s="3" t="str">
        <f>IF(21&gt;$C226,"",IF($D226=1,EOMONTH(EDATE(Bonds!$H226,6*(21-1)),0),EDATE(Bonds!$H226,6*(21-1))))</f>
        <v/>
      </c>
      <c r="Z226" s="3" t="str">
        <f>IF(22&gt;$C226,"",IF($D226=1,EOMONTH(EDATE(Bonds!$H226,6*(22-1)),0),EDATE(Bonds!$H226,6*(22-1))))</f>
        <v/>
      </c>
      <c r="AA226" s="3" t="str">
        <f>IF(23&gt;$C226,"",IF($D226=1,EOMONTH(EDATE(Bonds!$H226,6*(23-1)),0),EDATE(Bonds!$H226,6*(23-1))))</f>
        <v/>
      </c>
      <c r="AB226" s="3" t="str">
        <f>IF(24&gt;$C226,"",IF($D226=1,EOMONTH(EDATE(Bonds!$H226,6*(24-1)),0),EDATE(Bonds!$H226,6*(24-1))))</f>
        <v/>
      </c>
      <c r="AC226" s="3" t="str">
        <f>IF(25&gt;$C226,"",IF($D226=1,EOMONTH(EDATE(Bonds!$H226,6*(25-1)),0),EDATE(Bonds!$H226,6*(25-1))))</f>
        <v/>
      </c>
      <c r="AD226" s="3" t="str">
        <f>IF(26&gt;$C226,"",IF($D226=1,EOMONTH(EDATE(Bonds!$H226,6*(26-1)),0),EDATE(Bonds!$H226,6*(26-1))))</f>
        <v/>
      </c>
      <c r="AE226" s="3" t="str">
        <f>IF(27&gt;$C226,"",IF($D226=1,EOMONTH(EDATE(Bonds!$H226,6*(27-1)),0),EDATE(Bonds!$H226,6*(27-1))))</f>
        <v/>
      </c>
      <c r="AF226" s="3" t="str">
        <f>IF(28&gt;$C226,"",IF($D226=1,EOMONTH(EDATE(Bonds!$H226,6*(28-1)),0),EDATE(Bonds!$H226,6*(28-1))))</f>
        <v/>
      </c>
      <c r="AG226" s="3" t="str">
        <f>IF(29&gt;$C226,"",IF($D226=1,EOMONTH(EDATE(Bonds!$H226,6*(29-1)),0),EDATE(Bonds!$H226,6*(29-1))))</f>
        <v/>
      </c>
      <c r="AH226" s="3" t="str">
        <f>IF(30&gt;$C226,"",IF($D226=1,EOMONTH(EDATE(Bonds!$H226,6*(30-1)),0),EDATE(Bonds!$H226,6*(30-1))))</f>
        <v/>
      </c>
      <c r="AI226" s="3" t="str">
        <f>IF(31&gt;$C226,"",IF($D226=1,EOMONTH(EDATE(Bonds!$H226,6*(31-1)),0),EDATE(Bonds!$H226,6*(31-1))))</f>
        <v/>
      </c>
      <c r="AJ226" s="3" t="str">
        <f>IF(32&gt;$C226,"",IF($D226=1,EOMONTH(EDATE(Bonds!$H226,6*(32-1)),0),EDATE(Bonds!$H226,6*(32-1))))</f>
        <v/>
      </c>
      <c r="AK226" s="3" t="str">
        <f>IF(33&gt;$C226,"",IF($D226=1,EOMONTH(EDATE(Bonds!$H226,6*(33-1)),0),EDATE(Bonds!$H226,6*(33-1))))</f>
        <v/>
      </c>
      <c r="AL226" s="3" t="str">
        <f>IF(34&gt;$C226,"",IF($D226=1,EOMONTH(EDATE(Bonds!$H226,6*(34-1)),0),EDATE(Bonds!$H226,6*(34-1))))</f>
        <v/>
      </c>
      <c r="AM226" s="3" t="str">
        <f>IF(35&gt;$C226,"",IF($D226=1,EOMONTH(EDATE(Bonds!$H226,6*(35-1)),0),EDATE(Bonds!$H226,6*(35-1))))</f>
        <v/>
      </c>
      <c r="AN226" s="3" t="str">
        <f>IF(36&gt;$C226,"",IF($D226=1,EOMONTH(EDATE(Bonds!$H226,6*(36-1)),0),EDATE(Bonds!$H226,6*(36-1))))</f>
        <v/>
      </c>
      <c r="AO226" s="3" t="str">
        <f>IF(37&gt;$C226,"",IF($D226=1,EOMONTH(EDATE(Bonds!$H226,6*(37-1)),0),EDATE(Bonds!$H226,6*(37-1))))</f>
        <v/>
      </c>
      <c r="AP226" s="3" t="str">
        <f>IF(38&gt;$C226,"",IF($D226=1,EOMONTH(EDATE(Bonds!$H226,6*(38-1)),0),EDATE(Bonds!$H226,6*(38-1))))</f>
        <v/>
      </c>
      <c r="AQ226" s="3" t="str">
        <f>IF(39&gt;$C226,"",IF($D226=1,EOMONTH(EDATE(Bonds!$H226,6*(39-1)),0),EDATE(Bonds!$H226,6*(39-1))))</f>
        <v/>
      </c>
      <c r="AR226" s="3" t="str">
        <f>IF(40&gt;$C226,"",IF($D226=1,EOMONTH(EDATE(Bonds!$H226,6*(40-1)),0),EDATE(Bonds!$H226,6*(40-1))))</f>
        <v/>
      </c>
      <c r="AS226" s="3" t="str">
        <f>IF(41&gt;$C226,"",IF($D226=1,EOMONTH(EDATE(Bonds!$H226,6*(41-1)),0),EDATE(Bonds!$H226,6*(41-1))))</f>
        <v/>
      </c>
      <c r="AT226" s="3" t="str">
        <f>IF(42&gt;$C226,"",IF($D226=1,EOMONTH(EDATE(Bonds!$H226,6*(42-1)),0),EDATE(Bonds!$H226,6*(42-1))))</f>
        <v/>
      </c>
      <c r="AU226" s="3" t="str">
        <f>IF(43&gt;$C226,"",IF($D226=1,EOMONTH(EDATE(Bonds!$H226,6*(43-1)),0),EDATE(Bonds!$H226,6*(43-1))))</f>
        <v/>
      </c>
      <c r="AV226" s="3" t="str">
        <f>IF(44&gt;$C226,"",IF($D226=1,EOMONTH(EDATE(Bonds!$H226,6*(44-1)),0),EDATE(Bonds!$H226,6*(44-1))))</f>
        <v/>
      </c>
      <c r="AW226" s="3" t="str">
        <f>IF(45&gt;$C226,"",IF($D226=1,EOMONTH(EDATE(Bonds!$H226,6*(45-1)),0),EDATE(Bonds!$H226,6*(45-1))))</f>
        <v/>
      </c>
      <c r="AX226" s="3" t="str">
        <f>IF(46&gt;$C226,"",IF($D226=1,EOMONTH(EDATE(Bonds!$H226,6*(46-1)),0),EDATE(Bonds!$H226,6*(46-1))))</f>
        <v/>
      </c>
      <c r="AY226" s="3" t="str">
        <f>IF(47&gt;$C226,"",IF($D226=1,EOMONTH(EDATE(Bonds!$H226,6*(47-1)),0),EDATE(Bonds!$H226,6*(47-1))))</f>
        <v/>
      </c>
      <c r="AZ226" s="3" t="str">
        <f>IF(48&gt;$C226,"",IF($D226=1,EOMONTH(EDATE(Bonds!$H226,6*(48-1)),0),EDATE(Bonds!$H226,6*(48-1))))</f>
        <v/>
      </c>
      <c r="BA226" s="3" t="str">
        <f>IF(49&gt;$C226,"",IF($D226=1,EOMONTH(EDATE(Bonds!$H226,6*(49-1)),0),EDATE(Bonds!$H226,6*(49-1))))</f>
        <v/>
      </c>
      <c r="BB226" s="3" t="str">
        <f>IF(50&gt;$C226,"",IF($D226=1,EOMONTH(EDATE(Bonds!$H226,6*(50-1)),0),EDATE(Bonds!$H226,6*(50-1))))</f>
        <v/>
      </c>
      <c r="BC226" s="3" t="str">
        <f>IF(51&gt;$C226,"",IF($D226=1,EOMONTH(EDATE(Bonds!$H226,6*(51-1)),0),EDATE(Bonds!$H226,6*(51-1))))</f>
        <v/>
      </c>
      <c r="BD226" s="3" t="str">
        <f>IF(52&gt;$C226,"",IF($D226=1,EOMONTH(EDATE(Bonds!$H226,6*(52-1)),0),EDATE(Bonds!$H226,6*(52-1))))</f>
        <v/>
      </c>
      <c r="BE226" s="3" t="str">
        <f>IF(53&gt;$C226,"",IF($D226=1,EOMONTH(EDATE(Bonds!$H226,6*(53-1)),0),EDATE(Bonds!$H226,6*(53-1))))</f>
        <v/>
      </c>
      <c r="BF226" s="3" t="str">
        <f>IF(54&gt;$C226,"",IF($D226=1,EOMONTH(EDATE(Bonds!$H226,6*(54-1)),0),EDATE(Bonds!$H226,6*(54-1))))</f>
        <v/>
      </c>
      <c r="BG226" s="3" t="str">
        <f>IF(55&gt;$C226,"",IF($D226=1,EOMONTH(EDATE(Bonds!$H226,6*(55-1)),0),EDATE(Bonds!$H226,6*(55-1))))</f>
        <v/>
      </c>
      <c r="BH226" s="3" t="str">
        <f>IF(56&gt;$C226,"",IF($D226=1,EOMONTH(EDATE(Bonds!$H226,6*(56-1)),0),EDATE(Bonds!$H226,6*(56-1))))</f>
        <v/>
      </c>
      <c r="BI226" s="3" t="str">
        <f>IF(57&gt;$C226,"",IF($D226=1,EOMONTH(EDATE(Bonds!$H226,6*(57-1)),0),EDATE(Bonds!$H226,6*(57-1))))</f>
        <v/>
      </c>
      <c r="BJ226" s="3" t="str">
        <f>IF(58&gt;$C226,"",IF($D226=1,EOMONTH(EDATE(Bonds!$H226,6*(58-1)),0),EDATE(Bonds!$H226,6*(58-1))))</f>
        <v/>
      </c>
      <c r="BK226" s="3" t="str">
        <f>IF(59&gt;$C226,"",IF($D226=1,EOMONTH(EDATE(Bonds!$H226,6*(59-1)),0),EDATE(Bonds!$H226,6*(59-1))))</f>
        <v/>
      </c>
      <c r="BL226" s="3" t="str">
        <f>IF(60&gt;$C226,"",IF($D226=1,EOMONTH(EDATE(Bonds!$H226,6*(60-1)),0),EDATE(Bonds!$H226,6*(60-1))))</f>
        <v/>
      </c>
      <c r="BN226" s="7">
        <f t="shared" si="184"/>
        <v>2.0448353199365781</v>
      </c>
      <c r="BO226" s="7">
        <f t="shared" si="185"/>
        <v>2.0029641290450422</v>
      </c>
      <c r="BP226" s="7">
        <f t="shared" si="186"/>
        <v>1.958918722869655</v>
      </c>
      <c r="BQ226" s="7">
        <f t="shared" si="187"/>
        <v>1.9146853059634767</v>
      </c>
      <c r="BR226" s="7">
        <f t="shared" si="188"/>
        <v>1.871129716687074</v>
      </c>
      <c r="BS226" s="7">
        <f t="shared" si="189"/>
        <v>1.8288169074094875</v>
      </c>
      <c r="BT226" s="7">
        <f t="shared" si="190"/>
        <v>1.7873250595699033</v>
      </c>
      <c r="BU226" s="7">
        <f t="shared" si="191"/>
        <v>1.7470072994461914</v>
      </c>
      <c r="BV226" s="7">
        <f t="shared" si="192"/>
        <v>1.7072630021667083</v>
      </c>
      <c r="BW226" s="7">
        <f t="shared" si="193"/>
        <v>1.6683636006994469</v>
      </c>
      <c r="BX226" s="7">
        <f t="shared" si="194"/>
        <v>1.6297372481874641</v>
      </c>
      <c r="BY226" s="7">
        <f t="shared" si="195"/>
        <v>78.754436597340316</v>
      </c>
      <c r="BZ226" s="7">
        <f t="shared" si="196"/>
        <v>0</v>
      </c>
      <c r="CA226" s="7">
        <f t="shared" si="197"/>
        <v>0</v>
      </c>
      <c r="CB226" s="7">
        <f t="shared" si="198"/>
        <v>0</v>
      </c>
      <c r="CC226" s="7">
        <f t="shared" si="199"/>
        <v>0</v>
      </c>
      <c r="CD226" s="7">
        <f t="shared" si="200"/>
        <v>0</v>
      </c>
      <c r="CE226" s="7">
        <f t="shared" si="201"/>
        <v>0</v>
      </c>
      <c r="CF226" s="7">
        <f t="shared" si="202"/>
        <v>0</v>
      </c>
      <c r="CG226" s="7">
        <f t="shared" si="203"/>
        <v>0</v>
      </c>
      <c r="CH226" s="7">
        <f t="shared" si="204"/>
        <v>0</v>
      </c>
      <c r="CI226" s="7">
        <f t="shared" si="205"/>
        <v>0</v>
      </c>
      <c r="CJ226" s="7">
        <f t="shared" si="206"/>
        <v>0</v>
      </c>
      <c r="CK226" s="7">
        <f t="shared" si="207"/>
        <v>0</v>
      </c>
      <c r="CL226" s="7">
        <f t="shared" si="208"/>
        <v>0</v>
      </c>
      <c r="CM226" s="7">
        <f t="shared" si="209"/>
        <v>0</v>
      </c>
      <c r="CN226" s="7">
        <f t="shared" si="210"/>
        <v>0</v>
      </c>
      <c r="CO226" s="7">
        <f t="shared" si="211"/>
        <v>0</v>
      </c>
      <c r="CP226" s="7">
        <f t="shared" si="212"/>
        <v>0</v>
      </c>
      <c r="CQ226" s="7">
        <f t="shared" si="213"/>
        <v>0</v>
      </c>
      <c r="CR226" s="7">
        <f t="shared" si="214"/>
        <v>0</v>
      </c>
      <c r="CS226" s="7">
        <f t="shared" si="215"/>
        <v>0</v>
      </c>
      <c r="CT226" s="7">
        <f t="shared" si="216"/>
        <v>0</v>
      </c>
      <c r="CU226" s="7">
        <f t="shared" si="217"/>
        <v>0</v>
      </c>
      <c r="CV226" s="7">
        <f t="shared" si="218"/>
        <v>0</v>
      </c>
      <c r="CW226" s="7">
        <f t="shared" si="219"/>
        <v>0</v>
      </c>
      <c r="CX226" s="7">
        <f t="shared" si="220"/>
        <v>0</v>
      </c>
      <c r="CY226" s="7">
        <f t="shared" si="221"/>
        <v>0</v>
      </c>
      <c r="CZ226" s="7">
        <f t="shared" si="222"/>
        <v>0</v>
      </c>
      <c r="DA226" s="7">
        <f t="shared" si="223"/>
        <v>0</v>
      </c>
      <c r="DB226" s="7">
        <f t="shared" si="224"/>
        <v>0</v>
      </c>
      <c r="DC226" s="7">
        <f t="shared" si="225"/>
        <v>0</v>
      </c>
      <c r="DD226" s="7">
        <f t="shared" si="226"/>
        <v>0</v>
      </c>
      <c r="DE226" s="7">
        <f t="shared" si="227"/>
        <v>0</v>
      </c>
      <c r="DF226" s="7">
        <f t="shared" si="228"/>
        <v>0</v>
      </c>
      <c r="DG226" s="7">
        <f t="shared" si="229"/>
        <v>0</v>
      </c>
      <c r="DH226" s="7">
        <f t="shared" si="230"/>
        <v>0</v>
      </c>
      <c r="DI226" s="7">
        <f t="shared" si="231"/>
        <v>0</v>
      </c>
      <c r="DJ226" s="7">
        <f t="shared" si="232"/>
        <v>0</v>
      </c>
      <c r="DK226" s="7">
        <f t="shared" si="233"/>
        <v>0</v>
      </c>
      <c r="DL226" s="7">
        <f t="shared" si="234"/>
        <v>0</v>
      </c>
      <c r="DM226" s="7">
        <f t="shared" si="235"/>
        <v>0</v>
      </c>
      <c r="DN226" s="7">
        <f t="shared" si="236"/>
        <v>0</v>
      </c>
      <c r="DO226" s="7">
        <f t="shared" si="237"/>
        <v>0</v>
      </c>
      <c r="DP226" s="7">
        <f t="shared" si="238"/>
        <v>0</v>
      </c>
      <c r="DQ226" s="7">
        <f t="shared" si="239"/>
        <v>0</v>
      </c>
      <c r="DR226" s="7">
        <f t="shared" si="240"/>
        <v>0</v>
      </c>
      <c r="DS226" s="7">
        <f t="shared" si="241"/>
        <v>0</v>
      </c>
      <c r="DT226" s="7">
        <f t="shared" si="242"/>
        <v>0</v>
      </c>
      <c r="DU226" s="7">
        <f t="shared" si="243"/>
        <v>0</v>
      </c>
    </row>
    <row r="227" spans="1:125" x14ac:dyDescent="0.2">
      <c r="A227" s="3">
        <f>Bonds!A227</f>
        <v>48395</v>
      </c>
      <c r="B227" s="4">
        <f>Bonds!B227</f>
        <v>4</v>
      </c>
      <c r="C227">
        <f>Bonds!P227</f>
        <v>12</v>
      </c>
      <c r="D227">
        <f t="shared" si="183"/>
        <v>1</v>
      </c>
      <c r="E227" s="3">
        <f>IF(1&gt;$C227,"",IF($D227=1,EOMONTH(EDATE(Bonds!$H227,6*(1-1)),0),EDATE(Bonds!$H227,6*(1-1))))</f>
        <v>46387</v>
      </c>
      <c r="F227" s="3">
        <f>IF(2&gt;$C227,"",IF($D227=1,EOMONTH(EDATE(Bonds!$H227,6*(2-1)),0),EDATE(Bonds!$H227,6*(2-1))))</f>
        <v>46568</v>
      </c>
      <c r="G227" s="3">
        <f>IF(3&gt;$C227,"",IF($D227=1,EOMONTH(EDATE(Bonds!$H227,6*(3-1)),0),EDATE(Bonds!$H227,6*(3-1))))</f>
        <v>46752</v>
      </c>
      <c r="H227" s="3">
        <f>IF(4&gt;$C227,"",IF($D227=1,EOMONTH(EDATE(Bonds!$H227,6*(4-1)),0),EDATE(Bonds!$H227,6*(4-1))))</f>
        <v>46934</v>
      </c>
      <c r="I227" s="3">
        <f>IF(5&gt;$C227,"",IF($D227=1,EOMONTH(EDATE(Bonds!$H227,6*(5-1)),0),EDATE(Bonds!$H227,6*(5-1))))</f>
        <v>47118</v>
      </c>
      <c r="J227" s="3">
        <f>IF(6&gt;$C227,"",IF($D227=1,EOMONTH(EDATE(Bonds!$H227,6*(6-1)),0),EDATE(Bonds!$H227,6*(6-1))))</f>
        <v>47299</v>
      </c>
      <c r="K227" s="3">
        <f>IF(7&gt;$C227,"",IF($D227=1,EOMONTH(EDATE(Bonds!$H227,6*(7-1)),0),EDATE(Bonds!$H227,6*(7-1))))</f>
        <v>47483</v>
      </c>
      <c r="L227" s="3">
        <f>IF(8&gt;$C227,"",IF($D227=1,EOMONTH(EDATE(Bonds!$H227,6*(8-1)),0),EDATE(Bonds!$H227,6*(8-1))))</f>
        <v>47664</v>
      </c>
      <c r="M227" s="3">
        <f>IF(9&gt;$C227,"",IF($D227=1,EOMONTH(EDATE(Bonds!$H227,6*(9-1)),0),EDATE(Bonds!$H227,6*(9-1))))</f>
        <v>47848</v>
      </c>
      <c r="N227" s="3">
        <f>IF(10&gt;$C227,"",IF($D227=1,EOMONTH(EDATE(Bonds!$H227,6*(10-1)),0),EDATE(Bonds!$H227,6*(10-1))))</f>
        <v>48029</v>
      </c>
      <c r="O227" s="3">
        <f>IF(11&gt;$C227,"",IF($D227=1,EOMONTH(EDATE(Bonds!$H227,6*(11-1)),0),EDATE(Bonds!$H227,6*(11-1))))</f>
        <v>48213</v>
      </c>
      <c r="P227" s="3">
        <f>IF(12&gt;$C227,"",IF($D227=1,EOMONTH(EDATE(Bonds!$H227,6*(12-1)),0),EDATE(Bonds!$H227,6*(12-1))))</f>
        <v>48395</v>
      </c>
      <c r="Q227" s="3" t="str">
        <f>IF(13&gt;$C227,"",IF($D227=1,EOMONTH(EDATE(Bonds!$H227,6*(13-1)),0),EDATE(Bonds!$H227,6*(13-1))))</f>
        <v/>
      </c>
      <c r="R227" s="3" t="str">
        <f>IF(14&gt;$C227,"",IF($D227=1,EOMONTH(EDATE(Bonds!$H227,6*(14-1)),0),EDATE(Bonds!$H227,6*(14-1))))</f>
        <v/>
      </c>
      <c r="S227" s="3" t="str">
        <f>IF(15&gt;$C227,"",IF($D227=1,EOMONTH(EDATE(Bonds!$H227,6*(15-1)),0),EDATE(Bonds!$H227,6*(15-1))))</f>
        <v/>
      </c>
      <c r="T227" s="3" t="str">
        <f>IF(16&gt;$C227,"",IF($D227=1,EOMONTH(EDATE(Bonds!$H227,6*(16-1)),0),EDATE(Bonds!$H227,6*(16-1))))</f>
        <v/>
      </c>
      <c r="U227" s="3" t="str">
        <f>IF(17&gt;$C227,"",IF($D227=1,EOMONTH(EDATE(Bonds!$H227,6*(17-1)),0),EDATE(Bonds!$H227,6*(17-1))))</f>
        <v/>
      </c>
      <c r="V227" s="3" t="str">
        <f>IF(18&gt;$C227,"",IF($D227=1,EOMONTH(EDATE(Bonds!$H227,6*(18-1)),0),EDATE(Bonds!$H227,6*(18-1))))</f>
        <v/>
      </c>
      <c r="W227" s="3" t="str">
        <f>IF(19&gt;$C227,"",IF($D227=1,EOMONTH(EDATE(Bonds!$H227,6*(19-1)),0),EDATE(Bonds!$H227,6*(19-1))))</f>
        <v/>
      </c>
      <c r="X227" s="3" t="str">
        <f>IF(20&gt;$C227,"",IF($D227=1,EOMONTH(EDATE(Bonds!$H227,6*(20-1)),0),EDATE(Bonds!$H227,6*(20-1))))</f>
        <v/>
      </c>
      <c r="Y227" s="3" t="str">
        <f>IF(21&gt;$C227,"",IF($D227=1,EOMONTH(EDATE(Bonds!$H227,6*(21-1)),0),EDATE(Bonds!$H227,6*(21-1))))</f>
        <v/>
      </c>
      <c r="Z227" s="3" t="str">
        <f>IF(22&gt;$C227,"",IF($D227=1,EOMONTH(EDATE(Bonds!$H227,6*(22-1)),0),EDATE(Bonds!$H227,6*(22-1))))</f>
        <v/>
      </c>
      <c r="AA227" s="3" t="str">
        <f>IF(23&gt;$C227,"",IF($D227=1,EOMONTH(EDATE(Bonds!$H227,6*(23-1)),0),EDATE(Bonds!$H227,6*(23-1))))</f>
        <v/>
      </c>
      <c r="AB227" s="3" t="str">
        <f>IF(24&gt;$C227,"",IF($D227=1,EOMONTH(EDATE(Bonds!$H227,6*(24-1)),0),EDATE(Bonds!$H227,6*(24-1))))</f>
        <v/>
      </c>
      <c r="AC227" s="3" t="str">
        <f>IF(25&gt;$C227,"",IF($D227=1,EOMONTH(EDATE(Bonds!$H227,6*(25-1)),0),EDATE(Bonds!$H227,6*(25-1))))</f>
        <v/>
      </c>
      <c r="AD227" s="3" t="str">
        <f>IF(26&gt;$C227,"",IF($D227=1,EOMONTH(EDATE(Bonds!$H227,6*(26-1)),0),EDATE(Bonds!$H227,6*(26-1))))</f>
        <v/>
      </c>
      <c r="AE227" s="3" t="str">
        <f>IF(27&gt;$C227,"",IF($D227=1,EOMONTH(EDATE(Bonds!$H227,6*(27-1)),0),EDATE(Bonds!$H227,6*(27-1))))</f>
        <v/>
      </c>
      <c r="AF227" s="3" t="str">
        <f>IF(28&gt;$C227,"",IF($D227=1,EOMONTH(EDATE(Bonds!$H227,6*(28-1)),0),EDATE(Bonds!$H227,6*(28-1))))</f>
        <v/>
      </c>
      <c r="AG227" s="3" t="str">
        <f>IF(29&gt;$C227,"",IF($D227=1,EOMONTH(EDATE(Bonds!$H227,6*(29-1)),0),EDATE(Bonds!$H227,6*(29-1))))</f>
        <v/>
      </c>
      <c r="AH227" s="3" t="str">
        <f>IF(30&gt;$C227,"",IF($D227=1,EOMONTH(EDATE(Bonds!$H227,6*(30-1)),0),EDATE(Bonds!$H227,6*(30-1))))</f>
        <v/>
      </c>
      <c r="AI227" s="3" t="str">
        <f>IF(31&gt;$C227,"",IF($D227=1,EOMONTH(EDATE(Bonds!$H227,6*(31-1)),0),EDATE(Bonds!$H227,6*(31-1))))</f>
        <v/>
      </c>
      <c r="AJ227" s="3" t="str">
        <f>IF(32&gt;$C227,"",IF($D227=1,EOMONTH(EDATE(Bonds!$H227,6*(32-1)),0),EDATE(Bonds!$H227,6*(32-1))))</f>
        <v/>
      </c>
      <c r="AK227" s="3" t="str">
        <f>IF(33&gt;$C227,"",IF($D227=1,EOMONTH(EDATE(Bonds!$H227,6*(33-1)),0),EDATE(Bonds!$H227,6*(33-1))))</f>
        <v/>
      </c>
      <c r="AL227" s="3" t="str">
        <f>IF(34&gt;$C227,"",IF($D227=1,EOMONTH(EDATE(Bonds!$H227,6*(34-1)),0),EDATE(Bonds!$H227,6*(34-1))))</f>
        <v/>
      </c>
      <c r="AM227" s="3" t="str">
        <f>IF(35&gt;$C227,"",IF($D227=1,EOMONTH(EDATE(Bonds!$H227,6*(35-1)),0),EDATE(Bonds!$H227,6*(35-1))))</f>
        <v/>
      </c>
      <c r="AN227" s="3" t="str">
        <f>IF(36&gt;$C227,"",IF($D227=1,EOMONTH(EDATE(Bonds!$H227,6*(36-1)),0),EDATE(Bonds!$H227,6*(36-1))))</f>
        <v/>
      </c>
      <c r="AO227" s="3" t="str">
        <f>IF(37&gt;$C227,"",IF($D227=1,EOMONTH(EDATE(Bonds!$H227,6*(37-1)),0),EDATE(Bonds!$H227,6*(37-1))))</f>
        <v/>
      </c>
      <c r="AP227" s="3" t="str">
        <f>IF(38&gt;$C227,"",IF($D227=1,EOMONTH(EDATE(Bonds!$H227,6*(38-1)),0),EDATE(Bonds!$H227,6*(38-1))))</f>
        <v/>
      </c>
      <c r="AQ227" s="3" t="str">
        <f>IF(39&gt;$C227,"",IF($D227=1,EOMONTH(EDATE(Bonds!$H227,6*(39-1)),0),EDATE(Bonds!$H227,6*(39-1))))</f>
        <v/>
      </c>
      <c r="AR227" s="3" t="str">
        <f>IF(40&gt;$C227,"",IF($D227=1,EOMONTH(EDATE(Bonds!$H227,6*(40-1)),0),EDATE(Bonds!$H227,6*(40-1))))</f>
        <v/>
      </c>
      <c r="AS227" s="3" t="str">
        <f>IF(41&gt;$C227,"",IF($D227=1,EOMONTH(EDATE(Bonds!$H227,6*(41-1)),0),EDATE(Bonds!$H227,6*(41-1))))</f>
        <v/>
      </c>
      <c r="AT227" s="3" t="str">
        <f>IF(42&gt;$C227,"",IF($D227=1,EOMONTH(EDATE(Bonds!$H227,6*(42-1)),0),EDATE(Bonds!$H227,6*(42-1))))</f>
        <v/>
      </c>
      <c r="AU227" s="3" t="str">
        <f>IF(43&gt;$C227,"",IF($D227=1,EOMONTH(EDATE(Bonds!$H227,6*(43-1)),0),EDATE(Bonds!$H227,6*(43-1))))</f>
        <v/>
      </c>
      <c r="AV227" s="3" t="str">
        <f>IF(44&gt;$C227,"",IF($D227=1,EOMONTH(EDATE(Bonds!$H227,6*(44-1)),0),EDATE(Bonds!$H227,6*(44-1))))</f>
        <v/>
      </c>
      <c r="AW227" s="3" t="str">
        <f>IF(45&gt;$C227,"",IF($D227=1,EOMONTH(EDATE(Bonds!$H227,6*(45-1)),0),EDATE(Bonds!$H227,6*(45-1))))</f>
        <v/>
      </c>
      <c r="AX227" s="3" t="str">
        <f>IF(46&gt;$C227,"",IF($D227=1,EOMONTH(EDATE(Bonds!$H227,6*(46-1)),0),EDATE(Bonds!$H227,6*(46-1))))</f>
        <v/>
      </c>
      <c r="AY227" s="3" t="str">
        <f>IF(47&gt;$C227,"",IF($D227=1,EOMONTH(EDATE(Bonds!$H227,6*(47-1)),0),EDATE(Bonds!$H227,6*(47-1))))</f>
        <v/>
      </c>
      <c r="AZ227" s="3" t="str">
        <f>IF(48&gt;$C227,"",IF($D227=1,EOMONTH(EDATE(Bonds!$H227,6*(48-1)),0),EDATE(Bonds!$H227,6*(48-1))))</f>
        <v/>
      </c>
      <c r="BA227" s="3" t="str">
        <f>IF(49&gt;$C227,"",IF($D227=1,EOMONTH(EDATE(Bonds!$H227,6*(49-1)),0),EDATE(Bonds!$H227,6*(49-1))))</f>
        <v/>
      </c>
      <c r="BB227" s="3" t="str">
        <f>IF(50&gt;$C227,"",IF($D227=1,EOMONTH(EDATE(Bonds!$H227,6*(50-1)),0),EDATE(Bonds!$H227,6*(50-1))))</f>
        <v/>
      </c>
      <c r="BC227" s="3" t="str">
        <f>IF(51&gt;$C227,"",IF($D227=1,EOMONTH(EDATE(Bonds!$H227,6*(51-1)),0),EDATE(Bonds!$H227,6*(51-1))))</f>
        <v/>
      </c>
      <c r="BD227" s="3" t="str">
        <f>IF(52&gt;$C227,"",IF($D227=1,EOMONTH(EDATE(Bonds!$H227,6*(52-1)),0),EDATE(Bonds!$H227,6*(52-1))))</f>
        <v/>
      </c>
      <c r="BE227" s="3" t="str">
        <f>IF(53&gt;$C227,"",IF($D227=1,EOMONTH(EDATE(Bonds!$H227,6*(53-1)),0),EDATE(Bonds!$H227,6*(53-1))))</f>
        <v/>
      </c>
      <c r="BF227" s="3" t="str">
        <f>IF(54&gt;$C227,"",IF($D227=1,EOMONTH(EDATE(Bonds!$H227,6*(54-1)),0),EDATE(Bonds!$H227,6*(54-1))))</f>
        <v/>
      </c>
      <c r="BG227" s="3" t="str">
        <f>IF(55&gt;$C227,"",IF($D227=1,EOMONTH(EDATE(Bonds!$H227,6*(55-1)),0),EDATE(Bonds!$H227,6*(55-1))))</f>
        <v/>
      </c>
      <c r="BH227" s="3" t="str">
        <f>IF(56&gt;$C227,"",IF($D227=1,EOMONTH(EDATE(Bonds!$H227,6*(56-1)),0),EDATE(Bonds!$H227,6*(56-1))))</f>
        <v/>
      </c>
      <c r="BI227" s="3" t="str">
        <f>IF(57&gt;$C227,"",IF($D227=1,EOMONTH(EDATE(Bonds!$H227,6*(57-1)),0),EDATE(Bonds!$H227,6*(57-1))))</f>
        <v/>
      </c>
      <c r="BJ227" s="3" t="str">
        <f>IF(58&gt;$C227,"",IF($D227=1,EOMONTH(EDATE(Bonds!$H227,6*(58-1)),0),EDATE(Bonds!$H227,6*(58-1))))</f>
        <v/>
      </c>
      <c r="BK227" s="3" t="str">
        <f>IF(59&gt;$C227,"",IF($D227=1,EOMONTH(EDATE(Bonds!$H227,6*(59-1)),0),EDATE(Bonds!$H227,6*(59-1))))</f>
        <v/>
      </c>
      <c r="BL227" s="3" t="str">
        <f>IF(60&gt;$C227,"",IF($D227=1,EOMONTH(EDATE(Bonds!$H227,6*(60-1)),0),EDATE(Bonds!$H227,6*(60-1))))</f>
        <v/>
      </c>
      <c r="BN227" s="7">
        <f t="shared" si="184"/>
        <v>1.9761972772391041</v>
      </c>
      <c r="BO227" s="7">
        <f t="shared" si="185"/>
        <v>1.9353369718148929</v>
      </c>
      <c r="BP227" s="7">
        <f t="shared" si="186"/>
        <v>1.8922727121458007</v>
      </c>
      <c r="BQ227" s="7">
        <f t="shared" si="187"/>
        <v>1.8496821681576512</v>
      </c>
      <c r="BR227" s="7">
        <f t="shared" si="188"/>
        <v>1.8073677110071382</v>
      </c>
      <c r="BS227" s="7">
        <f t="shared" si="189"/>
        <v>1.7667336566055085</v>
      </c>
      <c r="BT227" s="7">
        <f t="shared" si="190"/>
        <v>1.7264435845779809</v>
      </c>
      <c r="BU227" s="7">
        <f t="shared" si="191"/>
        <v>1.6877010227827351</v>
      </c>
      <c r="BV227" s="7">
        <f t="shared" si="192"/>
        <v>1.6490640865325326</v>
      </c>
      <c r="BW227" s="7">
        <f t="shared" si="193"/>
        <v>1.6116377012295089</v>
      </c>
      <c r="BX227" s="7">
        <f t="shared" si="194"/>
        <v>1.5740448158343239</v>
      </c>
      <c r="BY227" s="7">
        <f t="shared" si="195"/>
        <v>78.397571587699986</v>
      </c>
      <c r="BZ227" s="7">
        <f t="shared" si="196"/>
        <v>0</v>
      </c>
      <c r="CA227" s="7">
        <f t="shared" si="197"/>
        <v>0</v>
      </c>
      <c r="CB227" s="7">
        <f t="shared" si="198"/>
        <v>0</v>
      </c>
      <c r="CC227" s="7">
        <f t="shared" si="199"/>
        <v>0</v>
      </c>
      <c r="CD227" s="7">
        <f t="shared" si="200"/>
        <v>0</v>
      </c>
      <c r="CE227" s="7">
        <f t="shared" si="201"/>
        <v>0</v>
      </c>
      <c r="CF227" s="7">
        <f t="shared" si="202"/>
        <v>0</v>
      </c>
      <c r="CG227" s="7">
        <f t="shared" si="203"/>
        <v>0</v>
      </c>
      <c r="CH227" s="7">
        <f t="shared" si="204"/>
        <v>0</v>
      </c>
      <c r="CI227" s="7">
        <f t="shared" si="205"/>
        <v>0</v>
      </c>
      <c r="CJ227" s="7">
        <f t="shared" si="206"/>
        <v>0</v>
      </c>
      <c r="CK227" s="7">
        <f t="shared" si="207"/>
        <v>0</v>
      </c>
      <c r="CL227" s="7">
        <f t="shared" si="208"/>
        <v>0</v>
      </c>
      <c r="CM227" s="7">
        <f t="shared" si="209"/>
        <v>0</v>
      </c>
      <c r="CN227" s="7">
        <f t="shared" si="210"/>
        <v>0</v>
      </c>
      <c r="CO227" s="7">
        <f t="shared" si="211"/>
        <v>0</v>
      </c>
      <c r="CP227" s="7">
        <f t="shared" si="212"/>
        <v>0</v>
      </c>
      <c r="CQ227" s="7">
        <f t="shared" si="213"/>
        <v>0</v>
      </c>
      <c r="CR227" s="7">
        <f t="shared" si="214"/>
        <v>0</v>
      </c>
      <c r="CS227" s="7">
        <f t="shared" si="215"/>
        <v>0</v>
      </c>
      <c r="CT227" s="7">
        <f t="shared" si="216"/>
        <v>0</v>
      </c>
      <c r="CU227" s="7">
        <f t="shared" si="217"/>
        <v>0</v>
      </c>
      <c r="CV227" s="7">
        <f t="shared" si="218"/>
        <v>0</v>
      </c>
      <c r="CW227" s="7">
        <f t="shared" si="219"/>
        <v>0</v>
      </c>
      <c r="CX227" s="7">
        <f t="shared" si="220"/>
        <v>0</v>
      </c>
      <c r="CY227" s="7">
        <f t="shared" si="221"/>
        <v>0</v>
      </c>
      <c r="CZ227" s="7">
        <f t="shared" si="222"/>
        <v>0</v>
      </c>
      <c r="DA227" s="7">
        <f t="shared" si="223"/>
        <v>0</v>
      </c>
      <c r="DB227" s="7">
        <f t="shared" si="224"/>
        <v>0</v>
      </c>
      <c r="DC227" s="7">
        <f t="shared" si="225"/>
        <v>0</v>
      </c>
      <c r="DD227" s="7">
        <f t="shared" si="226"/>
        <v>0</v>
      </c>
      <c r="DE227" s="7">
        <f t="shared" si="227"/>
        <v>0</v>
      </c>
      <c r="DF227" s="7">
        <f t="shared" si="228"/>
        <v>0</v>
      </c>
      <c r="DG227" s="7">
        <f t="shared" si="229"/>
        <v>0</v>
      </c>
      <c r="DH227" s="7">
        <f t="shared" si="230"/>
        <v>0</v>
      </c>
      <c r="DI227" s="7">
        <f t="shared" si="231"/>
        <v>0</v>
      </c>
      <c r="DJ227" s="7">
        <f t="shared" si="232"/>
        <v>0</v>
      </c>
      <c r="DK227" s="7">
        <f t="shared" si="233"/>
        <v>0</v>
      </c>
      <c r="DL227" s="7">
        <f t="shared" si="234"/>
        <v>0</v>
      </c>
      <c r="DM227" s="7">
        <f t="shared" si="235"/>
        <v>0</v>
      </c>
      <c r="DN227" s="7">
        <f t="shared" si="236"/>
        <v>0</v>
      </c>
      <c r="DO227" s="7">
        <f t="shared" si="237"/>
        <v>0</v>
      </c>
      <c r="DP227" s="7">
        <f t="shared" si="238"/>
        <v>0</v>
      </c>
      <c r="DQ227" s="7">
        <f t="shared" si="239"/>
        <v>0</v>
      </c>
      <c r="DR227" s="7">
        <f t="shared" si="240"/>
        <v>0</v>
      </c>
      <c r="DS227" s="7">
        <f t="shared" si="241"/>
        <v>0</v>
      </c>
      <c r="DT227" s="7">
        <f t="shared" si="242"/>
        <v>0</v>
      </c>
      <c r="DU227" s="7">
        <f t="shared" si="243"/>
        <v>0</v>
      </c>
    </row>
    <row r="228" spans="1:125" x14ac:dyDescent="0.2">
      <c r="A228" s="3">
        <f>Bonds!A228</f>
        <v>48426</v>
      </c>
      <c r="B228" s="4">
        <f>Bonds!B228</f>
        <v>4</v>
      </c>
      <c r="C228">
        <f>Bonds!P228</f>
        <v>12</v>
      </c>
      <c r="D228">
        <f t="shared" si="183"/>
        <v>1</v>
      </c>
      <c r="E228" s="3">
        <f>IF(1&gt;$C228,"",IF($D228=1,EOMONTH(EDATE(Bonds!$H228,6*(1-1)),0),EDATE(Bonds!$H228,6*(1-1))))</f>
        <v>46418</v>
      </c>
      <c r="F228" s="3">
        <f>IF(2&gt;$C228,"",IF($D228=1,EOMONTH(EDATE(Bonds!$H228,6*(2-1)),0),EDATE(Bonds!$H228,6*(2-1))))</f>
        <v>46599</v>
      </c>
      <c r="G228" s="3">
        <f>IF(3&gt;$C228,"",IF($D228=1,EOMONTH(EDATE(Bonds!$H228,6*(3-1)),0),EDATE(Bonds!$H228,6*(3-1))))</f>
        <v>46783</v>
      </c>
      <c r="H228" s="3">
        <f>IF(4&gt;$C228,"",IF($D228=1,EOMONTH(EDATE(Bonds!$H228,6*(4-1)),0),EDATE(Bonds!$H228,6*(4-1))))</f>
        <v>46965</v>
      </c>
      <c r="I228" s="3">
        <f>IF(5&gt;$C228,"",IF($D228=1,EOMONTH(EDATE(Bonds!$H228,6*(5-1)),0),EDATE(Bonds!$H228,6*(5-1))))</f>
        <v>47149</v>
      </c>
      <c r="J228" s="3">
        <f>IF(6&gt;$C228,"",IF($D228=1,EOMONTH(EDATE(Bonds!$H228,6*(6-1)),0),EDATE(Bonds!$H228,6*(6-1))))</f>
        <v>47330</v>
      </c>
      <c r="K228" s="3">
        <f>IF(7&gt;$C228,"",IF($D228=1,EOMONTH(EDATE(Bonds!$H228,6*(7-1)),0),EDATE(Bonds!$H228,6*(7-1))))</f>
        <v>47514</v>
      </c>
      <c r="L228" s="3">
        <f>IF(8&gt;$C228,"",IF($D228=1,EOMONTH(EDATE(Bonds!$H228,6*(8-1)),0),EDATE(Bonds!$H228,6*(8-1))))</f>
        <v>47695</v>
      </c>
      <c r="M228" s="3">
        <f>IF(9&gt;$C228,"",IF($D228=1,EOMONTH(EDATE(Bonds!$H228,6*(9-1)),0),EDATE(Bonds!$H228,6*(9-1))))</f>
        <v>47879</v>
      </c>
      <c r="N228" s="3">
        <f>IF(10&gt;$C228,"",IF($D228=1,EOMONTH(EDATE(Bonds!$H228,6*(10-1)),0),EDATE(Bonds!$H228,6*(10-1))))</f>
        <v>48060</v>
      </c>
      <c r="O228" s="3">
        <f>IF(11&gt;$C228,"",IF($D228=1,EOMONTH(EDATE(Bonds!$H228,6*(11-1)),0),EDATE(Bonds!$H228,6*(11-1))))</f>
        <v>48244</v>
      </c>
      <c r="P228" s="3">
        <f>IF(12&gt;$C228,"",IF($D228=1,EOMONTH(EDATE(Bonds!$H228,6*(12-1)),0),EDATE(Bonds!$H228,6*(12-1))))</f>
        <v>48426</v>
      </c>
      <c r="Q228" s="3" t="str">
        <f>IF(13&gt;$C228,"",IF($D228=1,EOMONTH(EDATE(Bonds!$H228,6*(13-1)),0),EDATE(Bonds!$H228,6*(13-1))))</f>
        <v/>
      </c>
      <c r="R228" s="3" t="str">
        <f>IF(14&gt;$C228,"",IF($D228=1,EOMONTH(EDATE(Bonds!$H228,6*(14-1)),0),EDATE(Bonds!$H228,6*(14-1))))</f>
        <v/>
      </c>
      <c r="S228" s="3" t="str">
        <f>IF(15&gt;$C228,"",IF($D228=1,EOMONTH(EDATE(Bonds!$H228,6*(15-1)),0),EDATE(Bonds!$H228,6*(15-1))))</f>
        <v/>
      </c>
      <c r="T228" s="3" t="str">
        <f>IF(16&gt;$C228,"",IF($D228=1,EOMONTH(EDATE(Bonds!$H228,6*(16-1)),0),EDATE(Bonds!$H228,6*(16-1))))</f>
        <v/>
      </c>
      <c r="U228" s="3" t="str">
        <f>IF(17&gt;$C228,"",IF($D228=1,EOMONTH(EDATE(Bonds!$H228,6*(17-1)),0),EDATE(Bonds!$H228,6*(17-1))))</f>
        <v/>
      </c>
      <c r="V228" s="3" t="str">
        <f>IF(18&gt;$C228,"",IF($D228=1,EOMONTH(EDATE(Bonds!$H228,6*(18-1)),0),EDATE(Bonds!$H228,6*(18-1))))</f>
        <v/>
      </c>
      <c r="W228" s="3" t="str">
        <f>IF(19&gt;$C228,"",IF($D228=1,EOMONTH(EDATE(Bonds!$H228,6*(19-1)),0),EDATE(Bonds!$H228,6*(19-1))))</f>
        <v/>
      </c>
      <c r="X228" s="3" t="str">
        <f>IF(20&gt;$C228,"",IF($D228=1,EOMONTH(EDATE(Bonds!$H228,6*(20-1)),0),EDATE(Bonds!$H228,6*(20-1))))</f>
        <v/>
      </c>
      <c r="Y228" s="3" t="str">
        <f>IF(21&gt;$C228,"",IF($D228=1,EOMONTH(EDATE(Bonds!$H228,6*(21-1)),0),EDATE(Bonds!$H228,6*(21-1))))</f>
        <v/>
      </c>
      <c r="Z228" s="3" t="str">
        <f>IF(22&gt;$C228,"",IF($D228=1,EOMONTH(EDATE(Bonds!$H228,6*(22-1)),0),EDATE(Bonds!$H228,6*(22-1))))</f>
        <v/>
      </c>
      <c r="AA228" s="3" t="str">
        <f>IF(23&gt;$C228,"",IF($D228=1,EOMONTH(EDATE(Bonds!$H228,6*(23-1)),0),EDATE(Bonds!$H228,6*(23-1))))</f>
        <v/>
      </c>
      <c r="AB228" s="3" t="str">
        <f>IF(24&gt;$C228,"",IF($D228=1,EOMONTH(EDATE(Bonds!$H228,6*(24-1)),0),EDATE(Bonds!$H228,6*(24-1))))</f>
        <v/>
      </c>
      <c r="AC228" s="3" t="str">
        <f>IF(25&gt;$C228,"",IF($D228=1,EOMONTH(EDATE(Bonds!$H228,6*(25-1)),0),EDATE(Bonds!$H228,6*(25-1))))</f>
        <v/>
      </c>
      <c r="AD228" s="3" t="str">
        <f>IF(26&gt;$C228,"",IF($D228=1,EOMONTH(EDATE(Bonds!$H228,6*(26-1)),0),EDATE(Bonds!$H228,6*(26-1))))</f>
        <v/>
      </c>
      <c r="AE228" s="3" t="str">
        <f>IF(27&gt;$C228,"",IF($D228=1,EOMONTH(EDATE(Bonds!$H228,6*(27-1)),0),EDATE(Bonds!$H228,6*(27-1))))</f>
        <v/>
      </c>
      <c r="AF228" s="3" t="str">
        <f>IF(28&gt;$C228,"",IF($D228=1,EOMONTH(EDATE(Bonds!$H228,6*(28-1)),0),EDATE(Bonds!$H228,6*(28-1))))</f>
        <v/>
      </c>
      <c r="AG228" s="3" t="str">
        <f>IF(29&gt;$C228,"",IF($D228=1,EOMONTH(EDATE(Bonds!$H228,6*(29-1)),0),EDATE(Bonds!$H228,6*(29-1))))</f>
        <v/>
      </c>
      <c r="AH228" s="3" t="str">
        <f>IF(30&gt;$C228,"",IF($D228=1,EOMONTH(EDATE(Bonds!$H228,6*(30-1)),0),EDATE(Bonds!$H228,6*(30-1))))</f>
        <v/>
      </c>
      <c r="AI228" s="3" t="str">
        <f>IF(31&gt;$C228,"",IF($D228=1,EOMONTH(EDATE(Bonds!$H228,6*(31-1)),0),EDATE(Bonds!$H228,6*(31-1))))</f>
        <v/>
      </c>
      <c r="AJ228" s="3" t="str">
        <f>IF(32&gt;$C228,"",IF($D228=1,EOMONTH(EDATE(Bonds!$H228,6*(32-1)),0),EDATE(Bonds!$H228,6*(32-1))))</f>
        <v/>
      </c>
      <c r="AK228" s="3" t="str">
        <f>IF(33&gt;$C228,"",IF($D228=1,EOMONTH(EDATE(Bonds!$H228,6*(33-1)),0),EDATE(Bonds!$H228,6*(33-1))))</f>
        <v/>
      </c>
      <c r="AL228" s="3" t="str">
        <f>IF(34&gt;$C228,"",IF($D228=1,EOMONTH(EDATE(Bonds!$H228,6*(34-1)),0),EDATE(Bonds!$H228,6*(34-1))))</f>
        <v/>
      </c>
      <c r="AM228" s="3" t="str">
        <f>IF(35&gt;$C228,"",IF($D228=1,EOMONTH(EDATE(Bonds!$H228,6*(35-1)),0),EDATE(Bonds!$H228,6*(35-1))))</f>
        <v/>
      </c>
      <c r="AN228" s="3" t="str">
        <f>IF(36&gt;$C228,"",IF($D228=1,EOMONTH(EDATE(Bonds!$H228,6*(36-1)),0),EDATE(Bonds!$H228,6*(36-1))))</f>
        <v/>
      </c>
      <c r="AO228" s="3" t="str">
        <f>IF(37&gt;$C228,"",IF($D228=1,EOMONTH(EDATE(Bonds!$H228,6*(37-1)),0),EDATE(Bonds!$H228,6*(37-1))))</f>
        <v/>
      </c>
      <c r="AP228" s="3" t="str">
        <f>IF(38&gt;$C228,"",IF($D228=1,EOMONTH(EDATE(Bonds!$H228,6*(38-1)),0),EDATE(Bonds!$H228,6*(38-1))))</f>
        <v/>
      </c>
      <c r="AQ228" s="3" t="str">
        <f>IF(39&gt;$C228,"",IF($D228=1,EOMONTH(EDATE(Bonds!$H228,6*(39-1)),0),EDATE(Bonds!$H228,6*(39-1))))</f>
        <v/>
      </c>
      <c r="AR228" s="3" t="str">
        <f>IF(40&gt;$C228,"",IF($D228=1,EOMONTH(EDATE(Bonds!$H228,6*(40-1)),0),EDATE(Bonds!$H228,6*(40-1))))</f>
        <v/>
      </c>
      <c r="AS228" s="3" t="str">
        <f>IF(41&gt;$C228,"",IF($D228=1,EOMONTH(EDATE(Bonds!$H228,6*(41-1)),0),EDATE(Bonds!$H228,6*(41-1))))</f>
        <v/>
      </c>
      <c r="AT228" s="3" t="str">
        <f>IF(42&gt;$C228,"",IF($D228=1,EOMONTH(EDATE(Bonds!$H228,6*(42-1)),0),EDATE(Bonds!$H228,6*(42-1))))</f>
        <v/>
      </c>
      <c r="AU228" s="3" t="str">
        <f>IF(43&gt;$C228,"",IF($D228=1,EOMONTH(EDATE(Bonds!$H228,6*(43-1)),0),EDATE(Bonds!$H228,6*(43-1))))</f>
        <v/>
      </c>
      <c r="AV228" s="3" t="str">
        <f>IF(44&gt;$C228,"",IF($D228=1,EOMONTH(EDATE(Bonds!$H228,6*(44-1)),0),EDATE(Bonds!$H228,6*(44-1))))</f>
        <v/>
      </c>
      <c r="AW228" s="3" t="str">
        <f>IF(45&gt;$C228,"",IF($D228=1,EOMONTH(EDATE(Bonds!$H228,6*(45-1)),0),EDATE(Bonds!$H228,6*(45-1))))</f>
        <v/>
      </c>
      <c r="AX228" s="3" t="str">
        <f>IF(46&gt;$C228,"",IF($D228=1,EOMONTH(EDATE(Bonds!$H228,6*(46-1)),0),EDATE(Bonds!$H228,6*(46-1))))</f>
        <v/>
      </c>
      <c r="AY228" s="3" t="str">
        <f>IF(47&gt;$C228,"",IF($D228=1,EOMONTH(EDATE(Bonds!$H228,6*(47-1)),0),EDATE(Bonds!$H228,6*(47-1))))</f>
        <v/>
      </c>
      <c r="AZ228" s="3" t="str">
        <f>IF(48&gt;$C228,"",IF($D228=1,EOMONTH(EDATE(Bonds!$H228,6*(48-1)),0),EDATE(Bonds!$H228,6*(48-1))))</f>
        <v/>
      </c>
      <c r="BA228" s="3" t="str">
        <f>IF(49&gt;$C228,"",IF($D228=1,EOMONTH(EDATE(Bonds!$H228,6*(49-1)),0),EDATE(Bonds!$H228,6*(49-1))))</f>
        <v/>
      </c>
      <c r="BB228" s="3" t="str">
        <f>IF(50&gt;$C228,"",IF($D228=1,EOMONTH(EDATE(Bonds!$H228,6*(50-1)),0),EDATE(Bonds!$H228,6*(50-1))))</f>
        <v/>
      </c>
      <c r="BC228" s="3" t="str">
        <f>IF(51&gt;$C228,"",IF($D228=1,EOMONTH(EDATE(Bonds!$H228,6*(51-1)),0),EDATE(Bonds!$H228,6*(51-1))))</f>
        <v/>
      </c>
      <c r="BD228" s="3" t="str">
        <f>IF(52&gt;$C228,"",IF($D228=1,EOMONTH(EDATE(Bonds!$H228,6*(52-1)),0),EDATE(Bonds!$H228,6*(52-1))))</f>
        <v/>
      </c>
      <c r="BE228" s="3" t="str">
        <f>IF(53&gt;$C228,"",IF($D228=1,EOMONTH(EDATE(Bonds!$H228,6*(53-1)),0),EDATE(Bonds!$H228,6*(53-1))))</f>
        <v/>
      </c>
      <c r="BF228" s="3" t="str">
        <f>IF(54&gt;$C228,"",IF($D228=1,EOMONTH(EDATE(Bonds!$H228,6*(54-1)),0),EDATE(Bonds!$H228,6*(54-1))))</f>
        <v/>
      </c>
      <c r="BG228" s="3" t="str">
        <f>IF(55&gt;$C228,"",IF($D228=1,EOMONTH(EDATE(Bonds!$H228,6*(55-1)),0),EDATE(Bonds!$H228,6*(55-1))))</f>
        <v/>
      </c>
      <c r="BH228" s="3" t="str">
        <f>IF(56&gt;$C228,"",IF($D228=1,EOMONTH(EDATE(Bonds!$H228,6*(56-1)),0),EDATE(Bonds!$H228,6*(56-1))))</f>
        <v/>
      </c>
      <c r="BI228" s="3" t="str">
        <f>IF(57&gt;$C228,"",IF($D228=1,EOMONTH(EDATE(Bonds!$H228,6*(57-1)),0),EDATE(Bonds!$H228,6*(57-1))))</f>
        <v/>
      </c>
      <c r="BJ228" s="3" t="str">
        <f>IF(58&gt;$C228,"",IF($D228=1,EOMONTH(EDATE(Bonds!$H228,6*(58-1)),0),EDATE(Bonds!$H228,6*(58-1))))</f>
        <v/>
      </c>
      <c r="BK228" s="3" t="str">
        <f>IF(59&gt;$C228,"",IF($D228=1,EOMONTH(EDATE(Bonds!$H228,6*(59-1)),0),EDATE(Bonds!$H228,6*(59-1))))</f>
        <v/>
      </c>
      <c r="BL228" s="3" t="str">
        <f>IF(60&gt;$C228,"",IF($D228=1,EOMONTH(EDATE(Bonds!$H228,6*(60-1)),0),EDATE(Bonds!$H228,6*(60-1))))</f>
        <v/>
      </c>
      <c r="BN228" s="7">
        <f t="shared" si="184"/>
        <v>1.9694040134715884</v>
      </c>
      <c r="BO228" s="7">
        <f t="shared" si="185"/>
        <v>1.9281343569772784</v>
      </c>
      <c r="BP228" s="7">
        <f t="shared" si="186"/>
        <v>1.884989958984949</v>
      </c>
      <c r="BQ228" s="7">
        <f t="shared" si="187"/>
        <v>1.8424889577749151</v>
      </c>
      <c r="BR228" s="7">
        <f t="shared" si="188"/>
        <v>1.8003360021164534</v>
      </c>
      <c r="BS228" s="7">
        <f t="shared" si="189"/>
        <v>1.7598758685752895</v>
      </c>
      <c r="BT228" s="7">
        <f t="shared" si="190"/>
        <v>1.7197494556627251</v>
      </c>
      <c r="BU228" s="7">
        <f t="shared" si="191"/>
        <v>1.6811432061994147</v>
      </c>
      <c r="BV228" s="7">
        <f t="shared" si="192"/>
        <v>1.6426172263636223</v>
      </c>
      <c r="BW228" s="7">
        <f t="shared" si="193"/>
        <v>1.6052753432373839</v>
      </c>
      <c r="BX228" s="7">
        <f t="shared" si="194"/>
        <v>1.5677482764628032</v>
      </c>
      <c r="BY228" s="7">
        <f t="shared" si="195"/>
        <v>78.07904209507646</v>
      </c>
      <c r="BZ228" s="7">
        <f t="shared" si="196"/>
        <v>0</v>
      </c>
      <c r="CA228" s="7">
        <f t="shared" si="197"/>
        <v>0</v>
      </c>
      <c r="CB228" s="7">
        <f t="shared" si="198"/>
        <v>0</v>
      </c>
      <c r="CC228" s="7">
        <f t="shared" si="199"/>
        <v>0</v>
      </c>
      <c r="CD228" s="7">
        <f t="shared" si="200"/>
        <v>0</v>
      </c>
      <c r="CE228" s="7">
        <f t="shared" si="201"/>
        <v>0</v>
      </c>
      <c r="CF228" s="7">
        <f t="shared" si="202"/>
        <v>0</v>
      </c>
      <c r="CG228" s="7">
        <f t="shared" si="203"/>
        <v>0</v>
      </c>
      <c r="CH228" s="7">
        <f t="shared" si="204"/>
        <v>0</v>
      </c>
      <c r="CI228" s="7">
        <f t="shared" si="205"/>
        <v>0</v>
      </c>
      <c r="CJ228" s="7">
        <f t="shared" si="206"/>
        <v>0</v>
      </c>
      <c r="CK228" s="7">
        <f t="shared" si="207"/>
        <v>0</v>
      </c>
      <c r="CL228" s="7">
        <f t="shared" si="208"/>
        <v>0</v>
      </c>
      <c r="CM228" s="7">
        <f t="shared" si="209"/>
        <v>0</v>
      </c>
      <c r="CN228" s="7">
        <f t="shared" si="210"/>
        <v>0</v>
      </c>
      <c r="CO228" s="7">
        <f t="shared" si="211"/>
        <v>0</v>
      </c>
      <c r="CP228" s="7">
        <f t="shared" si="212"/>
        <v>0</v>
      </c>
      <c r="CQ228" s="7">
        <f t="shared" si="213"/>
        <v>0</v>
      </c>
      <c r="CR228" s="7">
        <f t="shared" si="214"/>
        <v>0</v>
      </c>
      <c r="CS228" s="7">
        <f t="shared" si="215"/>
        <v>0</v>
      </c>
      <c r="CT228" s="7">
        <f t="shared" si="216"/>
        <v>0</v>
      </c>
      <c r="CU228" s="7">
        <f t="shared" si="217"/>
        <v>0</v>
      </c>
      <c r="CV228" s="7">
        <f t="shared" si="218"/>
        <v>0</v>
      </c>
      <c r="CW228" s="7">
        <f t="shared" si="219"/>
        <v>0</v>
      </c>
      <c r="CX228" s="7">
        <f t="shared" si="220"/>
        <v>0</v>
      </c>
      <c r="CY228" s="7">
        <f t="shared" si="221"/>
        <v>0</v>
      </c>
      <c r="CZ228" s="7">
        <f t="shared" si="222"/>
        <v>0</v>
      </c>
      <c r="DA228" s="7">
        <f t="shared" si="223"/>
        <v>0</v>
      </c>
      <c r="DB228" s="7">
        <f t="shared" si="224"/>
        <v>0</v>
      </c>
      <c r="DC228" s="7">
        <f t="shared" si="225"/>
        <v>0</v>
      </c>
      <c r="DD228" s="7">
        <f t="shared" si="226"/>
        <v>0</v>
      </c>
      <c r="DE228" s="7">
        <f t="shared" si="227"/>
        <v>0</v>
      </c>
      <c r="DF228" s="7">
        <f t="shared" si="228"/>
        <v>0</v>
      </c>
      <c r="DG228" s="7">
        <f t="shared" si="229"/>
        <v>0</v>
      </c>
      <c r="DH228" s="7">
        <f t="shared" si="230"/>
        <v>0</v>
      </c>
      <c r="DI228" s="7">
        <f t="shared" si="231"/>
        <v>0</v>
      </c>
      <c r="DJ228" s="7">
        <f t="shared" si="232"/>
        <v>0</v>
      </c>
      <c r="DK228" s="7">
        <f t="shared" si="233"/>
        <v>0</v>
      </c>
      <c r="DL228" s="7">
        <f t="shared" si="234"/>
        <v>0</v>
      </c>
      <c r="DM228" s="7">
        <f t="shared" si="235"/>
        <v>0</v>
      </c>
      <c r="DN228" s="7">
        <f t="shared" si="236"/>
        <v>0</v>
      </c>
      <c r="DO228" s="7">
        <f t="shared" si="237"/>
        <v>0</v>
      </c>
      <c r="DP228" s="7">
        <f t="shared" si="238"/>
        <v>0</v>
      </c>
      <c r="DQ228" s="7">
        <f t="shared" si="239"/>
        <v>0</v>
      </c>
      <c r="DR228" s="7">
        <f t="shared" si="240"/>
        <v>0</v>
      </c>
      <c r="DS228" s="7">
        <f t="shared" si="241"/>
        <v>0</v>
      </c>
      <c r="DT228" s="7">
        <f t="shared" si="242"/>
        <v>0</v>
      </c>
      <c r="DU228" s="7">
        <f t="shared" si="243"/>
        <v>0</v>
      </c>
    </row>
    <row r="229" spans="1:125" x14ac:dyDescent="0.2">
      <c r="A229" s="3">
        <f>Bonds!A229</f>
        <v>48441</v>
      </c>
      <c r="B229" s="4">
        <f>Bonds!B229</f>
        <v>2.75</v>
      </c>
      <c r="C229">
        <f>Bonds!P229</f>
        <v>12</v>
      </c>
      <c r="D229">
        <f t="shared" si="183"/>
        <v>0</v>
      </c>
      <c r="E229" s="3">
        <f>IF(1&gt;$C229,"",IF($D229=1,EOMONTH(EDATE(Bonds!$H229,6*(1-1)),0),EDATE(Bonds!$H229,6*(1-1))))</f>
        <v>46433</v>
      </c>
      <c r="F229" s="3">
        <f>IF(2&gt;$C229,"",IF($D229=1,EOMONTH(EDATE(Bonds!$H229,6*(2-1)),0),EDATE(Bonds!$H229,6*(2-1))))</f>
        <v>46614</v>
      </c>
      <c r="G229" s="3">
        <f>IF(3&gt;$C229,"",IF($D229=1,EOMONTH(EDATE(Bonds!$H229,6*(3-1)),0),EDATE(Bonds!$H229,6*(3-1))))</f>
        <v>46798</v>
      </c>
      <c r="H229" s="3">
        <f>IF(4&gt;$C229,"",IF($D229=1,EOMONTH(EDATE(Bonds!$H229,6*(4-1)),0),EDATE(Bonds!$H229,6*(4-1))))</f>
        <v>46980</v>
      </c>
      <c r="I229" s="3">
        <f>IF(5&gt;$C229,"",IF($D229=1,EOMONTH(EDATE(Bonds!$H229,6*(5-1)),0),EDATE(Bonds!$H229,6*(5-1))))</f>
        <v>47164</v>
      </c>
      <c r="J229" s="3">
        <f>IF(6&gt;$C229,"",IF($D229=1,EOMONTH(EDATE(Bonds!$H229,6*(6-1)),0),EDATE(Bonds!$H229,6*(6-1))))</f>
        <v>47345</v>
      </c>
      <c r="K229" s="3">
        <f>IF(7&gt;$C229,"",IF($D229=1,EOMONTH(EDATE(Bonds!$H229,6*(7-1)),0),EDATE(Bonds!$H229,6*(7-1))))</f>
        <v>47529</v>
      </c>
      <c r="L229" s="3">
        <f>IF(8&gt;$C229,"",IF($D229=1,EOMONTH(EDATE(Bonds!$H229,6*(8-1)),0),EDATE(Bonds!$H229,6*(8-1))))</f>
        <v>47710</v>
      </c>
      <c r="M229" s="3">
        <f>IF(9&gt;$C229,"",IF($D229=1,EOMONTH(EDATE(Bonds!$H229,6*(9-1)),0),EDATE(Bonds!$H229,6*(9-1))))</f>
        <v>47894</v>
      </c>
      <c r="N229" s="3">
        <f>IF(10&gt;$C229,"",IF($D229=1,EOMONTH(EDATE(Bonds!$H229,6*(10-1)),0),EDATE(Bonds!$H229,6*(10-1))))</f>
        <v>48075</v>
      </c>
      <c r="O229" s="3">
        <f>IF(11&gt;$C229,"",IF($D229=1,EOMONTH(EDATE(Bonds!$H229,6*(11-1)),0),EDATE(Bonds!$H229,6*(11-1))))</f>
        <v>48259</v>
      </c>
      <c r="P229" s="3">
        <f>IF(12&gt;$C229,"",IF($D229=1,EOMONTH(EDATE(Bonds!$H229,6*(12-1)),0),EDATE(Bonds!$H229,6*(12-1))))</f>
        <v>48441</v>
      </c>
      <c r="Q229" s="3" t="str">
        <f>IF(13&gt;$C229,"",IF($D229=1,EOMONTH(EDATE(Bonds!$H229,6*(13-1)),0),EDATE(Bonds!$H229,6*(13-1))))</f>
        <v/>
      </c>
      <c r="R229" s="3" t="str">
        <f>IF(14&gt;$C229,"",IF($D229=1,EOMONTH(EDATE(Bonds!$H229,6*(14-1)),0),EDATE(Bonds!$H229,6*(14-1))))</f>
        <v/>
      </c>
      <c r="S229" s="3" t="str">
        <f>IF(15&gt;$C229,"",IF($D229=1,EOMONTH(EDATE(Bonds!$H229,6*(15-1)),0),EDATE(Bonds!$H229,6*(15-1))))</f>
        <v/>
      </c>
      <c r="T229" s="3" t="str">
        <f>IF(16&gt;$C229,"",IF($D229=1,EOMONTH(EDATE(Bonds!$H229,6*(16-1)),0),EDATE(Bonds!$H229,6*(16-1))))</f>
        <v/>
      </c>
      <c r="U229" s="3" t="str">
        <f>IF(17&gt;$C229,"",IF($D229=1,EOMONTH(EDATE(Bonds!$H229,6*(17-1)),0),EDATE(Bonds!$H229,6*(17-1))))</f>
        <v/>
      </c>
      <c r="V229" s="3" t="str">
        <f>IF(18&gt;$C229,"",IF($D229=1,EOMONTH(EDATE(Bonds!$H229,6*(18-1)),0),EDATE(Bonds!$H229,6*(18-1))))</f>
        <v/>
      </c>
      <c r="W229" s="3" t="str">
        <f>IF(19&gt;$C229,"",IF($D229=1,EOMONTH(EDATE(Bonds!$H229,6*(19-1)),0),EDATE(Bonds!$H229,6*(19-1))))</f>
        <v/>
      </c>
      <c r="X229" s="3" t="str">
        <f>IF(20&gt;$C229,"",IF($D229=1,EOMONTH(EDATE(Bonds!$H229,6*(20-1)),0),EDATE(Bonds!$H229,6*(20-1))))</f>
        <v/>
      </c>
      <c r="Y229" s="3" t="str">
        <f>IF(21&gt;$C229,"",IF($D229=1,EOMONTH(EDATE(Bonds!$H229,6*(21-1)),0),EDATE(Bonds!$H229,6*(21-1))))</f>
        <v/>
      </c>
      <c r="Z229" s="3" t="str">
        <f>IF(22&gt;$C229,"",IF($D229=1,EOMONTH(EDATE(Bonds!$H229,6*(22-1)),0),EDATE(Bonds!$H229,6*(22-1))))</f>
        <v/>
      </c>
      <c r="AA229" s="3" t="str">
        <f>IF(23&gt;$C229,"",IF($D229=1,EOMONTH(EDATE(Bonds!$H229,6*(23-1)),0),EDATE(Bonds!$H229,6*(23-1))))</f>
        <v/>
      </c>
      <c r="AB229" s="3" t="str">
        <f>IF(24&gt;$C229,"",IF($D229=1,EOMONTH(EDATE(Bonds!$H229,6*(24-1)),0),EDATE(Bonds!$H229,6*(24-1))))</f>
        <v/>
      </c>
      <c r="AC229" s="3" t="str">
        <f>IF(25&gt;$C229,"",IF($D229=1,EOMONTH(EDATE(Bonds!$H229,6*(25-1)),0),EDATE(Bonds!$H229,6*(25-1))))</f>
        <v/>
      </c>
      <c r="AD229" s="3" t="str">
        <f>IF(26&gt;$C229,"",IF($D229=1,EOMONTH(EDATE(Bonds!$H229,6*(26-1)),0),EDATE(Bonds!$H229,6*(26-1))))</f>
        <v/>
      </c>
      <c r="AE229" s="3" t="str">
        <f>IF(27&gt;$C229,"",IF($D229=1,EOMONTH(EDATE(Bonds!$H229,6*(27-1)),0),EDATE(Bonds!$H229,6*(27-1))))</f>
        <v/>
      </c>
      <c r="AF229" s="3" t="str">
        <f>IF(28&gt;$C229,"",IF($D229=1,EOMONTH(EDATE(Bonds!$H229,6*(28-1)),0),EDATE(Bonds!$H229,6*(28-1))))</f>
        <v/>
      </c>
      <c r="AG229" s="3" t="str">
        <f>IF(29&gt;$C229,"",IF($D229=1,EOMONTH(EDATE(Bonds!$H229,6*(29-1)),0),EDATE(Bonds!$H229,6*(29-1))))</f>
        <v/>
      </c>
      <c r="AH229" s="3" t="str">
        <f>IF(30&gt;$C229,"",IF($D229=1,EOMONTH(EDATE(Bonds!$H229,6*(30-1)),0),EDATE(Bonds!$H229,6*(30-1))))</f>
        <v/>
      </c>
      <c r="AI229" s="3" t="str">
        <f>IF(31&gt;$C229,"",IF($D229=1,EOMONTH(EDATE(Bonds!$H229,6*(31-1)),0),EDATE(Bonds!$H229,6*(31-1))))</f>
        <v/>
      </c>
      <c r="AJ229" s="3" t="str">
        <f>IF(32&gt;$C229,"",IF($D229=1,EOMONTH(EDATE(Bonds!$H229,6*(32-1)),0),EDATE(Bonds!$H229,6*(32-1))))</f>
        <v/>
      </c>
      <c r="AK229" s="3" t="str">
        <f>IF(33&gt;$C229,"",IF($D229=1,EOMONTH(EDATE(Bonds!$H229,6*(33-1)),0),EDATE(Bonds!$H229,6*(33-1))))</f>
        <v/>
      </c>
      <c r="AL229" s="3" t="str">
        <f>IF(34&gt;$C229,"",IF($D229=1,EOMONTH(EDATE(Bonds!$H229,6*(34-1)),0),EDATE(Bonds!$H229,6*(34-1))))</f>
        <v/>
      </c>
      <c r="AM229" s="3" t="str">
        <f>IF(35&gt;$C229,"",IF($D229=1,EOMONTH(EDATE(Bonds!$H229,6*(35-1)),0),EDATE(Bonds!$H229,6*(35-1))))</f>
        <v/>
      </c>
      <c r="AN229" s="3" t="str">
        <f>IF(36&gt;$C229,"",IF($D229=1,EOMONTH(EDATE(Bonds!$H229,6*(36-1)),0),EDATE(Bonds!$H229,6*(36-1))))</f>
        <v/>
      </c>
      <c r="AO229" s="3" t="str">
        <f>IF(37&gt;$C229,"",IF($D229=1,EOMONTH(EDATE(Bonds!$H229,6*(37-1)),0),EDATE(Bonds!$H229,6*(37-1))))</f>
        <v/>
      </c>
      <c r="AP229" s="3" t="str">
        <f>IF(38&gt;$C229,"",IF($D229=1,EOMONTH(EDATE(Bonds!$H229,6*(38-1)),0),EDATE(Bonds!$H229,6*(38-1))))</f>
        <v/>
      </c>
      <c r="AQ229" s="3" t="str">
        <f>IF(39&gt;$C229,"",IF($D229=1,EOMONTH(EDATE(Bonds!$H229,6*(39-1)),0),EDATE(Bonds!$H229,6*(39-1))))</f>
        <v/>
      </c>
      <c r="AR229" s="3" t="str">
        <f>IF(40&gt;$C229,"",IF($D229=1,EOMONTH(EDATE(Bonds!$H229,6*(40-1)),0),EDATE(Bonds!$H229,6*(40-1))))</f>
        <v/>
      </c>
      <c r="AS229" s="3" t="str">
        <f>IF(41&gt;$C229,"",IF($D229=1,EOMONTH(EDATE(Bonds!$H229,6*(41-1)),0),EDATE(Bonds!$H229,6*(41-1))))</f>
        <v/>
      </c>
      <c r="AT229" s="3" t="str">
        <f>IF(42&gt;$C229,"",IF($D229=1,EOMONTH(EDATE(Bonds!$H229,6*(42-1)),0),EDATE(Bonds!$H229,6*(42-1))))</f>
        <v/>
      </c>
      <c r="AU229" s="3" t="str">
        <f>IF(43&gt;$C229,"",IF($D229=1,EOMONTH(EDATE(Bonds!$H229,6*(43-1)),0),EDATE(Bonds!$H229,6*(43-1))))</f>
        <v/>
      </c>
      <c r="AV229" s="3" t="str">
        <f>IF(44&gt;$C229,"",IF($D229=1,EOMONTH(EDATE(Bonds!$H229,6*(44-1)),0),EDATE(Bonds!$H229,6*(44-1))))</f>
        <v/>
      </c>
      <c r="AW229" s="3" t="str">
        <f>IF(45&gt;$C229,"",IF($D229=1,EOMONTH(EDATE(Bonds!$H229,6*(45-1)),0),EDATE(Bonds!$H229,6*(45-1))))</f>
        <v/>
      </c>
      <c r="AX229" s="3" t="str">
        <f>IF(46&gt;$C229,"",IF($D229=1,EOMONTH(EDATE(Bonds!$H229,6*(46-1)),0),EDATE(Bonds!$H229,6*(46-1))))</f>
        <v/>
      </c>
      <c r="AY229" s="3" t="str">
        <f>IF(47&gt;$C229,"",IF($D229=1,EOMONTH(EDATE(Bonds!$H229,6*(47-1)),0),EDATE(Bonds!$H229,6*(47-1))))</f>
        <v/>
      </c>
      <c r="AZ229" s="3" t="str">
        <f>IF(48&gt;$C229,"",IF($D229=1,EOMONTH(EDATE(Bonds!$H229,6*(48-1)),0),EDATE(Bonds!$H229,6*(48-1))))</f>
        <v/>
      </c>
      <c r="BA229" s="3" t="str">
        <f>IF(49&gt;$C229,"",IF($D229=1,EOMONTH(EDATE(Bonds!$H229,6*(49-1)),0),EDATE(Bonds!$H229,6*(49-1))))</f>
        <v/>
      </c>
      <c r="BB229" s="3" t="str">
        <f>IF(50&gt;$C229,"",IF($D229=1,EOMONTH(EDATE(Bonds!$H229,6*(50-1)),0),EDATE(Bonds!$H229,6*(50-1))))</f>
        <v/>
      </c>
      <c r="BC229" s="3" t="str">
        <f>IF(51&gt;$C229,"",IF($D229=1,EOMONTH(EDATE(Bonds!$H229,6*(51-1)),0),EDATE(Bonds!$H229,6*(51-1))))</f>
        <v/>
      </c>
      <c r="BD229" s="3" t="str">
        <f>IF(52&gt;$C229,"",IF($D229=1,EOMONTH(EDATE(Bonds!$H229,6*(52-1)),0),EDATE(Bonds!$H229,6*(52-1))))</f>
        <v/>
      </c>
      <c r="BE229" s="3" t="str">
        <f>IF(53&gt;$C229,"",IF($D229=1,EOMONTH(EDATE(Bonds!$H229,6*(53-1)),0),EDATE(Bonds!$H229,6*(53-1))))</f>
        <v/>
      </c>
      <c r="BF229" s="3" t="str">
        <f>IF(54&gt;$C229,"",IF($D229=1,EOMONTH(EDATE(Bonds!$H229,6*(54-1)),0),EDATE(Bonds!$H229,6*(54-1))))</f>
        <v/>
      </c>
      <c r="BG229" s="3" t="str">
        <f>IF(55&gt;$C229,"",IF($D229=1,EOMONTH(EDATE(Bonds!$H229,6*(55-1)),0),EDATE(Bonds!$H229,6*(55-1))))</f>
        <v/>
      </c>
      <c r="BH229" s="3" t="str">
        <f>IF(56&gt;$C229,"",IF($D229=1,EOMONTH(EDATE(Bonds!$H229,6*(56-1)),0),EDATE(Bonds!$H229,6*(56-1))))</f>
        <v/>
      </c>
      <c r="BI229" s="3" t="str">
        <f>IF(57&gt;$C229,"",IF($D229=1,EOMONTH(EDATE(Bonds!$H229,6*(57-1)),0),EDATE(Bonds!$H229,6*(57-1))))</f>
        <v/>
      </c>
      <c r="BJ229" s="3" t="str">
        <f>IF(58&gt;$C229,"",IF($D229=1,EOMONTH(EDATE(Bonds!$H229,6*(58-1)),0),EDATE(Bonds!$H229,6*(58-1))))</f>
        <v/>
      </c>
      <c r="BK229" s="3" t="str">
        <f>IF(59&gt;$C229,"",IF($D229=1,EOMONTH(EDATE(Bonds!$H229,6*(59-1)),0),EDATE(Bonds!$H229,6*(59-1))))</f>
        <v/>
      </c>
      <c r="BL229" s="3" t="str">
        <f>IF(60&gt;$C229,"",IF($D229=1,EOMONTH(EDATE(Bonds!$H229,6*(60-1)),0),EDATE(Bonds!$H229,6*(60-1))))</f>
        <v/>
      </c>
      <c r="BN229" s="7">
        <f t="shared" si="184"/>
        <v>1.3516792881363997</v>
      </c>
      <c r="BO229" s="7">
        <f t="shared" si="185"/>
        <v>1.3231881545401589</v>
      </c>
      <c r="BP229" s="7">
        <f t="shared" si="186"/>
        <v>1.2935093982763715</v>
      </c>
      <c r="BQ229" s="7">
        <f t="shared" si="187"/>
        <v>1.2643241498152848</v>
      </c>
      <c r="BR229" s="7">
        <f t="shared" si="188"/>
        <v>1.2353991600662271</v>
      </c>
      <c r="BS229" s="7">
        <f t="shared" si="189"/>
        <v>1.2076405133689168</v>
      </c>
      <c r="BT229" s="7">
        <f t="shared" si="190"/>
        <v>1.1801071350519001</v>
      </c>
      <c r="BU229" s="7">
        <f t="shared" si="191"/>
        <v>1.1536095455665301</v>
      </c>
      <c r="BV229" s="7">
        <f t="shared" si="192"/>
        <v>1.127158723961418</v>
      </c>
      <c r="BW229" s="7">
        <f t="shared" si="193"/>
        <v>1.1015133611565275</v>
      </c>
      <c r="BX229" s="7">
        <f t="shared" si="194"/>
        <v>1.0757346880093035</v>
      </c>
      <c r="BY229" s="7">
        <f t="shared" si="195"/>
        <v>77.447573901800951</v>
      </c>
      <c r="BZ229" s="7">
        <f t="shared" si="196"/>
        <v>0</v>
      </c>
      <c r="CA229" s="7">
        <f t="shared" si="197"/>
        <v>0</v>
      </c>
      <c r="CB229" s="7">
        <f t="shared" si="198"/>
        <v>0</v>
      </c>
      <c r="CC229" s="7">
        <f t="shared" si="199"/>
        <v>0</v>
      </c>
      <c r="CD229" s="7">
        <f t="shared" si="200"/>
        <v>0</v>
      </c>
      <c r="CE229" s="7">
        <f t="shared" si="201"/>
        <v>0</v>
      </c>
      <c r="CF229" s="7">
        <f t="shared" si="202"/>
        <v>0</v>
      </c>
      <c r="CG229" s="7">
        <f t="shared" si="203"/>
        <v>0</v>
      </c>
      <c r="CH229" s="7">
        <f t="shared" si="204"/>
        <v>0</v>
      </c>
      <c r="CI229" s="7">
        <f t="shared" si="205"/>
        <v>0</v>
      </c>
      <c r="CJ229" s="7">
        <f t="shared" si="206"/>
        <v>0</v>
      </c>
      <c r="CK229" s="7">
        <f t="shared" si="207"/>
        <v>0</v>
      </c>
      <c r="CL229" s="7">
        <f t="shared" si="208"/>
        <v>0</v>
      </c>
      <c r="CM229" s="7">
        <f t="shared" si="209"/>
        <v>0</v>
      </c>
      <c r="CN229" s="7">
        <f t="shared" si="210"/>
        <v>0</v>
      </c>
      <c r="CO229" s="7">
        <f t="shared" si="211"/>
        <v>0</v>
      </c>
      <c r="CP229" s="7">
        <f t="shared" si="212"/>
        <v>0</v>
      </c>
      <c r="CQ229" s="7">
        <f t="shared" si="213"/>
        <v>0</v>
      </c>
      <c r="CR229" s="7">
        <f t="shared" si="214"/>
        <v>0</v>
      </c>
      <c r="CS229" s="7">
        <f t="shared" si="215"/>
        <v>0</v>
      </c>
      <c r="CT229" s="7">
        <f t="shared" si="216"/>
        <v>0</v>
      </c>
      <c r="CU229" s="7">
        <f t="shared" si="217"/>
        <v>0</v>
      </c>
      <c r="CV229" s="7">
        <f t="shared" si="218"/>
        <v>0</v>
      </c>
      <c r="CW229" s="7">
        <f t="shared" si="219"/>
        <v>0</v>
      </c>
      <c r="CX229" s="7">
        <f t="shared" si="220"/>
        <v>0</v>
      </c>
      <c r="CY229" s="7">
        <f t="shared" si="221"/>
        <v>0</v>
      </c>
      <c r="CZ229" s="7">
        <f t="shared" si="222"/>
        <v>0</v>
      </c>
      <c r="DA229" s="7">
        <f t="shared" si="223"/>
        <v>0</v>
      </c>
      <c r="DB229" s="7">
        <f t="shared" si="224"/>
        <v>0</v>
      </c>
      <c r="DC229" s="7">
        <f t="shared" si="225"/>
        <v>0</v>
      </c>
      <c r="DD229" s="7">
        <f t="shared" si="226"/>
        <v>0</v>
      </c>
      <c r="DE229" s="7">
        <f t="shared" si="227"/>
        <v>0</v>
      </c>
      <c r="DF229" s="7">
        <f t="shared" si="228"/>
        <v>0</v>
      </c>
      <c r="DG229" s="7">
        <f t="shared" si="229"/>
        <v>0</v>
      </c>
      <c r="DH229" s="7">
        <f t="shared" si="230"/>
        <v>0</v>
      </c>
      <c r="DI229" s="7">
        <f t="shared" si="231"/>
        <v>0</v>
      </c>
      <c r="DJ229" s="7">
        <f t="shared" si="232"/>
        <v>0</v>
      </c>
      <c r="DK229" s="7">
        <f t="shared" si="233"/>
        <v>0</v>
      </c>
      <c r="DL229" s="7">
        <f t="shared" si="234"/>
        <v>0</v>
      </c>
      <c r="DM229" s="7">
        <f t="shared" si="235"/>
        <v>0</v>
      </c>
      <c r="DN229" s="7">
        <f t="shared" si="236"/>
        <v>0</v>
      </c>
      <c r="DO229" s="7">
        <f t="shared" si="237"/>
        <v>0</v>
      </c>
      <c r="DP229" s="7">
        <f t="shared" si="238"/>
        <v>0</v>
      </c>
      <c r="DQ229" s="7">
        <f t="shared" si="239"/>
        <v>0</v>
      </c>
      <c r="DR229" s="7">
        <f t="shared" si="240"/>
        <v>0</v>
      </c>
      <c r="DS229" s="7">
        <f t="shared" si="241"/>
        <v>0</v>
      </c>
      <c r="DT229" s="7">
        <f t="shared" si="242"/>
        <v>0</v>
      </c>
      <c r="DU229" s="7">
        <f t="shared" si="243"/>
        <v>0</v>
      </c>
    </row>
    <row r="230" spans="1:125" x14ac:dyDescent="0.2">
      <c r="A230" s="3">
        <f>Bonds!A230</f>
        <v>48457</v>
      </c>
      <c r="B230" s="4">
        <f>Bonds!B230</f>
        <v>3.875</v>
      </c>
      <c r="C230">
        <f>Bonds!P230</f>
        <v>12</v>
      </c>
      <c r="D230">
        <f t="shared" si="183"/>
        <v>1</v>
      </c>
      <c r="E230" s="3">
        <f>IF(1&gt;$C230,"",IF($D230=1,EOMONTH(EDATE(Bonds!$H230,6*(1-1)),0),EDATE(Bonds!$H230,6*(1-1))))</f>
        <v>46446</v>
      </c>
      <c r="F230" s="3">
        <f>IF(2&gt;$C230,"",IF($D230=1,EOMONTH(EDATE(Bonds!$H230,6*(2-1)),0),EDATE(Bonds!$H230,6*(2-1))))</f>
        <v>46630</v>
      </c>
      <c r="G230" s="3">
        <f>IF(3&gt;$C230,"",IF($D230=1,EOMONTH(EDATE(Bonds!$H230,6*(3-1)),0),EDATE(Bonds!$H230,6*(3-1))))</f>
        <v>46812</v>
      </c>
      <c r="H230" s="3">
        <f>IF(4&gt;$C230,"",IF($D230=1,EOMONTH(EDATE(Bonds!$H230,6*(4-1)),0),EDATE(Bonds!$H230,6*(4-1))))</f>
        <v>46996</v>
      </c>
      <c r="I230" s="3">
        <f>IF(5&gt;$C230,"",IF($D230=1,EOMONTH(EDATE(Bonds!$H230,6*(5-1)),0),EDATE(Bonds!$H230,6*(5-1))))</f>
        <v>47177</v>
      </c>
      <c r="J230" s="3">
        <f>IF(6&gt;$C230,"",IF($D230=1,EOMONTH(EDATE(Bonds!$H230,6*(6-1)),0),EDATE(Bonds!$H230,6*(6-1))))</f>
        <v>47361</v>
      </c>
      <c r="K230" s="3">
        <f>IF(7&gt;$C230,"",IF($D230=1,EOMONTH(EDATE(Bonds!$H230,6*(7-1)),0),EDATE(Bonds!$H230,6*(7-1))))</f>
        <v>47542</v>
      </c>
      <c r="L230" s="3">
        <f>IF(8&gt;$C230,"",IF($D230=1,EOMONTH(EDATE(Bonds!$H230,6*(8-1)),0),EDATE(Bonds!$H230,6*(8-1))))</f>
        <v>47726</v>
      </c>
      <c r="M230" s="3">
        <f>IF(9&gt;$C230,"",IF($D230=1,EOMONTH(EDATE(Bonds!$H230,6*(9-1)),0),EDATE(Bonds!$H230,6*(9-1))))</f>
        <v>47907</v>
      </c>
      <c r="N230" s="3">
        <f>IF(10&gt;$C230,"",IF($D230=1,EOMONTH(EDATE(Bonds!$H230,6*(10-1)),0),EDATE(Bonds!$H230,6*(10-1))))</f>
        <v>48091</v>
      </c>
      <c r="O230" s="3">
        <f>IF(11&gt;$C230,"",IF($D230=1,EOMONTH(EDATE(Bonds!$H230,6*(11-1)),0),EDATE(Bonds!$H230,6*(11-1))))</f>
        <v>48273</v>
      </c>
      <c r="P230" s="3">
        <f>IF(12&gt;$C230,"",IF($D230=1,EOMONTH(EDATE(Bonds!$H230,6*(12-1)),0),EDATE(Bonds!$H230,6*(12-1))))</f>
        <v>48457</v>
      </c>
      <c r="Q230" s="3" t="str">
        <f>IF(13&gt;$C230,"",IF($D230=1,EOMONTH(EDATE(Bonds!$H230,6*(13-1)),0),EDATE(Bonds!$H230,6*(13-1))))</f>
        <v/>
      </c>
      <c r="R230" s="3" t="str">
        <f>IF(14&gt;$C230,"",IF($D230=1,EOMONTH(EDATE(Bonds!$H230,6*(14-1)),0),EDATE(Bonds!$H230,6*(14-1))))</f>
        <v/>
      </c>
      <c r="S230" s="3" t="str">
        <f>IF(15&gt;$C230,"",IF($D230=1,EOMONTH(EDATE(Bonds!$H230,6*(15-1)),0),EDATE(Bonds!$H230,6*(15-1))))</f>
        <v/>
      </c>
      <c r="T230" s="3" t="str">
        <f>IF(16&gt;$C230,"",IF($D230=1,EOMONTH(EDATE(Bonds!$H230,6*(16-1)),0),EDATE(Bonds!$H230,6*(16-1))))</f>
        <v/>
      </c>
      <c r="U230" s="3" t="str">
        <f>IF(17&gt;$C230,"",IF($D230=1,EOMONTH(EDATE(Bonds!$H230,6*(17-1)),0),EDATE(Bonds!$H230,6*(17-1))))</f>
        <v/>
      </c>
      <c r="V230" s="3" t="str">
        <f>IF(18&gt;$C230,"",IF($D230=1,EOMONTH(EDATE(Bonds!$H230,6*(18-1)),0),EDATE(Bonds!$H230,6*(18-1))))</f>
        <v/>
      </c>
      <c r="W230" s="3" t="str">
        <f>IF(19&gt;$C230,"",IF($D230=1,EOMONTH(EDATE(Bonds!$H230,6*(19-1)),0),EDATE(Bonds!$H230,6*(19-1))))</f>
        <v/>
      </c>
      <c r="X230" s="3" t="str">
        <f>IF(20&gt;$C230,"",IF($D230=1,EOMONTH(EDATE(Bonds!$H230,6*(20-1)),0),EDATE(Bonds!$H230,6*(20-1))))</f>
        <v/>
      </c>
      <c r="Y230" s="3" t="str">
        <f>IF(21&gt;$C230,"",IF($D230=1,EOMONTH(EDATE(Bonds!$H230,6*(21-1)),0),EDATE(Bonds!$H230,6*(21-1))))</f>
        <v/>
      </c>
      <c r="Z230" s="3" t="str">
        <f>IF(22&gt;$C230,"",IF($D230=1,EOMONTH(EDATE(Bonds!$H230,6*(22-1)),0),EDATE(Bonds!$H230,6*(22-1))))</f>
        <v/>
      </c>
      <c r="AA230" s="3" t="str">
        <f>IF(23&gt;$C230,"",IF($D230=1,EOMONTH(EDATE(Bonds!$H230,6*(23-1)),0),EDATE(Bonds!$H230,6*(23-1))))</f>
        <v/>
      </c>
      <c r="AB230" s="3" t="str">
        <f>IF(24&gt;$C230,"",IF($D230=1,EOMONTH(EDATE(Bonds!$H230,6*(24-1)),0),EDATE(Bonds!$H230,6*(24-1))))</f>
        <v/>
      </c>
      <c r="AC230" s="3" t="str">
        <f>IF(25&gt;$C230,"",IF($D230=1,EOMONTH(EDATE(Bonds!$H230,6*(25-1)),0),EDATE(Bonds!$H230,6*(25-1))))</f>
        <v/>
      </c>
      <c r="AD230" s="3" t="str">
        <f>IF(26&gt;$C230,"",IF($D230=1,EOMONTH(EDATE(Bonds!$H230,6*(26-1)),0),EDATE(Bonds!$H230,6*(26-1))))</f>
        <v/>
      </c>
      <c r="AE230" s="3" t="str">
        <f>IF(27&gt;$C230,"",IF($D230=1,EOMONTH(EDATE(Bonds!$H230,6*(27-1)),0),EDATE(Bonds!$H230,6*(27-1))))</f>
        <v/>
      </c>
      <c r="AF230" s="3" t="str">
        <f>IF(28&gt;$C230,"",IF($D230=1,EOMONTH(EDATE(Bonds!$H230,6*(28-1)),0),EDATE(Bonds!$H230,6*(28-1))))</f>
        <v/>
      </c>
      <c r="AG230" s="3" t="str">
        <f>IF(29&gt;$C230,"",IF($D230=1,EOMONTH(EDATE(Bonds!$H230,6*(29-1)),0),EDATE(Bonds!$H230,6*(29-1))))</f>
        <v/>
      </c>
      <c r="AH230" s="3" t="str">
        <f>IF(30&gt;$C230,"",IF($D230=1,EOMONTH(EDATE(Bonds!$H230,6*(30-1)),0),EDATE(Bonds!$H230,6*(30-1))))</f>
        <v/>
      </c>
      <c r="AI230" s="3" t="str">
        <f>IF(31&gt;$C230,"",IF($D230=1,EOMONTH(EDATE(Bonds!$H230,6*(31-1)),0),EDATE(Bonds!$H230,6*(31-1))))</f>
        <v/>
      </c>
      <c r="AJ230" s="3" t="str">
        <f>IF(32&gt;$C230,"",IF($D230=1,EOMONTH(EDATE(Bonds!$H230,6*(32-1)),0),EDATE(Bonds!$H230,6*(32-1))))</f>
        <v/>
      </c>
      <c r="AK230" s="3" t="str">
        <f>IF(33&gt;$C230,"",IF($D230=1,EOMONTH(EDATE(Bonds!$H230,6*(33-1)),0),EDATE(Bonds!$H230,6*(33-1))))</f>
        <v/>
      </c>
      <c r="AL230" s="3" t="str">
        <f>IF(34&gt;$C230,"",IF($D230=1,EOMONTH(EDATE(Bonds!$H230,6*(34-1)),0),EDATE(Bonds!$H230,6*(34-1))))</f>
        <v/>
      </c>
      <c r="AM230" s="3" t="str">
        <f>IF(35&gt;$C230,"",IF($D230=1,EOMONTH(EDATE(Bonds!$H230,6*(35-1)),0),EDATE(Bonds!$H230,6*(35-1))))</f>
        <v/>
      </c>
      <c r="AN230" s="3" t="str">
        <f>IF(36&gt;$C230,"",IF($D230=1,EOMONTH(EDATE(Bonds!$H230,6*(36-1)),0),EDATE(Bonds!$H230,6*(36-1))))</f>
        <v/>
      </c>
      <c r="AO230" s="3" t="str">
        <f>IF(37&gt;$C230,"",IF($D230=1,EOMONTH(EDATE(Bonds!$H230,6*(37-1)),0),EDATE(Bonds!$H230,6*(37-1))))</f>
        <v/>
      </c>
      <c r="AP230" s="3" t="str">
        <f>IF(38&gt;$C230,"",IF($D230=1,EOMONTH(EDATE(Bonds!$H230,6*(38-1)),0),EDATE(Bonds!$H230,6*(38-1))))</f>
        <v/>
      </c>
      <c r="AQ230" s="3" t="str">
        <f>IF(39&gt;$C230,"",IF($D230=1,EOMONTH(EDATE(Bonds!$H230,6*(39-1)),0),EDATE(Bonds!$H230,6*(39-1))))</f>
        <v/>
      </c>
      <c r="AR230" s="3" t="str">
        <f>IF(40&gt;$C230,"",IF($D230=1,EOMONTH(EDATE(Bonds!$H230,6*(40-1)),0),EDATE(Bonds!$H230,6*(40-1))))</f>
        <v/>
      </c>
      <c r="AS230" s="3" t="str">
        <f>IF(41&gt;$C230,"",IF($D230=1,EOMONTH(EDATE(Bonds!$H230,6*(41-1)),0),EDATE(Bonds!$H230,6*(41-1))))</f>
        <v/>
      </c>
      <c r="AT230" s="3" t="str">
        <f>IF(42&gt;$C230,"",IF($D230=1,EOMONTH(EDATE(Bonds!$H230,6*(42-1)),0),EDATE(Bonds!$H230,6*(42-1))))</f>
        <v/>
      </c>
      <c r="AU230" s="3" t="str">
        <f>IF(43&gt;$C230,"",IF($D230=1,EOMONTH(EDATE(Bonds!$H230,6*(43-1)),0),EDATE(Bonds!$H230,6*(43-1))))</f>
        <v/>
      </c>
      <c r="AV230" s="3" t="str">
        <f>IF(44&gt;$C230,"",IF($D230=1,EOMONTH(EDATE(Bonds!$H230,6*(44-1)),0),EDATE(Bonds!$H230,6*(44-1))))</f>
        <v/>
      </c>
      <c r="AW230" s="3" t="str">
        <f>IF(45&gt;$C230,"",IF($D230=1,EOMONTH(EDATE(Bonds!$H230,6*(45-1)),0),EDATE(Bonds!$H230,6*(45-1))))</f>
        <v/>
      </c>
      <c r="AX230" s="3" t="str">
        <f>IF(46&gt;$C230,"",IF($D230=1,EOMONTH(EDATE(Bonds!$H230,6*(46-1)),0),EDATE(Bonds!$H230,6*(46-1))))</f>
        <v/>
      </c>
      <c r="AY230" s="3" t="str">
        <f>IF(47&gt;$C230,"",IF($D230=1,EOMONTH(EDATE(Bonds!$H230,6*(47-1)),0),EDATE(Bonds!$H230,6*(47-1))))</f>
        <v/>
      </c>
      <c r="AZ230" s="3" t="str">
        <f>IF(48&gt;$C230,"",IF($D230=1,EOMONTH(EDATE(Bonds!$H230,6*(48-1)),0),EDATE(Bonds!$H230,6*(48-1))))</f>
        <v/>
      </c>
      <c r="BA230" s="3" t="str">
        <f>IF(49&gt;$C230,"",IF($D230=1,EOMONTH(EDATE(Bonds!$H230,6*(49-1)),0),EDATE(Bonds!$H230,6*(49-1))))</f>
        <v/>
      </c>
      <c r="BB230" s="3" t="str">
        <f>IF(50&gt;$C230,"",IF($D230=1,EOMONTH(EDATE(Bonds!$H230,6*(50-1)),0),EDATE(Bonds!$H230,6*(50-1))))</f>
        <v/>
      </c>
      <c r="BC230" s="3" t="str">
        <f>IF(51&gt;$C230,"",IF($D230=1,EOMONTH(EDATE(Bonds!$H230,6*(51-1)),0),EDATE(Bonds!$H230,6*(51-1))))</f>
        <v/>
      </c>
      <c r="BD230" s="3" t="str">
        <f>IF(52&gt;$C230,"",IF($D230=1,EOMONTH(EDATE(Bonds!$H230,6*(52-1)),0),EDATE(Bonds!$H230,6*(52-1))))</f>
        <v/>
      </c>
      <c r="BE230" s="3" t="str">
        <f>IF(53&gt;$C230,"",IF($D230=1,EOMONTH(EDATE(Bonds!$H230,6*(53-1)),0),EDATE(Bonds!$H230,6*(53-1))))</f>
        <v/>
      </c>
      <c r="BF230" s="3" t="str">
        <f>IF(54&gt;$C230,"",IF($D230=1,EOMONTH(EDATE(Bonds!$H230,6*(54-1)),0),EDATE(Bonds!$H230,6*(54-1))))</f>
        <v/>
      </c>
      <c r="BG230" s="3" t="str">
        <f>IF(55&gt;$C230,"",IF($D230=1,EOMONTH(EDATE(Bonds!$H230,6*(55-1)),0),EDATE(Bonds!$H230,6*(55-1))))</f>
        <v/>
      </c>
      <c r="BH230" s="3" t="str">
        <f>IF(56&gt;$C230,"",IF($D230=1,EOMONTH(EDATE(Bonds!$H230,6*(56-1)),0),EDATE(Bonds!$H230,6*(56-1))))</f>
        <v/>
      </c>
      <c r="BI230" s="3" t="str">
        <f>IF(57&gt;$C230,"",IF($D230=1,EOMONTH(EDATE(Bonds!$H230,6*(57-1)),0),EDATE(Bonds!$H230,6*(57-1))))</f>
        <v/>
      </c>
      <c r="BJ230" s="3" t="str">
        <f>IF(58&gt;$C230,"",IF($D230=1,EOMONTH(EDATE(Bonds!$H230,6*(58-1)),0),EDATE(Bonds!$H230,6*(58-1))))</f>
        <v/>
      </c>
      <c r="BK230" s="3" t="str">
        <f>IF(59&gt;$C230,"",IF($D230=1,EOMONTH(EDATE(Bonds!$H230,6*(59-1)),0),EDATE(Bonds!$H230,6*(59-1))))</f>
        <v/>
      </c>
      <c r="BL230" s="3" t="str">
        <f>IF(60&gt;$C230,"",IF($D230=1,EOMONTH(EDATE(Bonds!$H230,6*(60-1)),0),EDATE(Bonds!$H230,6*(60-1))))</f>
        <v/>
      </c>
      <c r="BN230" s="7">
        <f t="shared" si="184"/>
        <v>1.9018297823021766</v>
      </c>
      <c r="BO230" s="7">
        <f t="shared" si="185"/>
        <v>1.860871967597217</v>
      </c>
      <c r="BP230" s="7">
        <f t="shared" si="186"/>
        <v>1.8194899008641887</v>
      </c>
      <c r="BQ230" s="7">
        <f t="shared" si="187"/>
        <v>1.7779661760687788</v>
      </c>
      <c r="BR230" s="7">
        <f t="shared" si="188"/>
        <v>1.73794753611404</v>
      </c>
      <c r="BS230" s="7">
        <f t="shared" si="189"/>
        <v>1.6982643478372295</v>
      </c>
      <c r="BT230" s="7">
        <f t="shared" si="190"/>
        <v>1.660170959616708</v>
      </c>
      <c r="BU230" s="7">
        <f t="shared" si="191"/>
        <v>1.6222745711428126</v>
      </c>
      <c r="BV230" s="7">
        <f t="shared" si="192"/>
        <v>1.5856578530698564</v>
      </c>
      <c r="BW230" s="7">
        <f t="shared" si="193"/>
        <v>1.5489589223310096</v>
      </c>
      <c r="BX230" s="7">
        <f t="shared" si="194"/>
        <v>1.5130582482376362</v>
      </c>
      <c r="BY230" s="7">
        <f t="shared" si="195"/>
        <v>77.713255534280378</v>
      </c>
      <c r="BZ230" s="7">
        <f t="shared" si="196"/>
        <v>0</v>
      </c>
      <c r="CA230" s="7">
        <f t="shared" si="197"/>
        <v>0</v>
      </c>
      <c r="CB230" s="7">
        <f t="shared" si="198"/>
        <v>0</v>
      </c>
      <c r="CC230" s="7">
        <f t="shared" si="199"/>
        <v>0</v>
      </c>
      <c r="CD230" s="7">
        <f t="shared" si="200"/>
        <v>0</v>
      </c>
      <c r="CE230" s="7">
        <f t="shared" si="201"/>
        <v>0</v>
      </c>
      <c r="CF230" s="7">
        <f t="shared" si="202"/>
        <v>0</v>
      </c>
      <c r="CG230" s="7">
        <f t="shared" si="203"/>
        <v>0</v>
      </c>
      <c r="CH230" s="7">
        <f t="shared" si="204"/>
        <v>0</v>
      </c>
      <c r="CI230" s="7">
        <f t="shared" si="205"/>
        <v>0</v>
      </c>
      <c r="CJ230" s="7">
        <f t="shared" si="206"/>
        <v>0</v>
      </c>
      <c r="CK230" s="7">
        <f t="shared" si="207"/>
        <v>0</v>
      </c>
      <c r="CL230" s="7">
        <f t="shared" si="208"/>
        <v>0</v>
      </c>
      <c r="CM230" s="7">
        <f t="shared" si="209"/>
        <v>0</v>
      </c>
      <c r="CN230" s="7">
        <f t="shared" si="210"/>
        <v>0</v>
      </c>
      <c r="CO230" s="7">
        <f t="shared" si="211"/>
        <v>0</v>
      </c>
      <c r="CP230" s="7">
        <f t="shared" si="212"/>
        <v>0</v>
      </c>
      <c r="CQ230" s="7">
        <f t="shared" si="213"/>
        <v>0</v>
      </c>
      <c r="CR230" s="7">
        <f t="shared" si="214"/>
        <v>0</v>
      </c>
      <c r="CS230" s="7">
        <f t="shared" si="215"/>
        <v>0</v>
      </c>
      <c r="CT230" s="7">
        <f t="shared" si="216"/>
        <v>0</v>
      </c>
      <c r="CU230" s="7">
        <f t="shared" si="217"/>
        <v>0</v>
      </c>
      <c r="CV230" s="7">
        <f t="shared" si="218"/>
        <v>0</v>
      </c>
      <c r="CW230" s="7">
        <f t="shared" si="219"/>
        <v>0</v>
      </c>
      <c r="CX230" s="7">
        <f t="shared" si="220"/>
        <v>0</v>
      </c>
      <c r="CY230" s="7">
        <f t="shared" si="221"/>
        <v>0</v>
      </c>
      <c r="CZ230" s="7">
        <f t="shared" si="222"/>
        <v>0</v>
      </c>
      <c r="DA230" s="7">
        <f t="shared" si="223"/>
        <v>0</v>
      </c>
      <c r="DB230" s="7">
        <f t="shared" si="224"/>
        <v>0</v>
      </c>
      <c r="DC230" s="7">
        <f t="shared" si="225"/>
        <v>0</v>
      </c>
      <c r="DD230" s="7">
        <f t="shared" si="226"/>
        <v>0</v>
      </c>
      <c r="DE230" s="7">
        <f t="shared" si="227"/>
        <v>0</v>
      </c>
      <c r="DF230" s="7">
        <f t="shared" si="228"/>
        <v>0</v>
      </c>
      <c r="DG230" s="7">
        <f t="shared" si="229"/>
        <v>0</v>
      </c>
      <c r="DH230" s="7">
        <f t="shared" si="230"/>
        <v>0</v>
      </c>
      <c r="DI230" s="7">
        <f t="shared" si="231"/>
        <v>0</v>
      </c>
      <c r="DJ230" s="7">
        <f t="shared" si="232"/>
        <v>0</v>
      </c>
      <c r="DK230" s="7">
        <f t="shared" si="233"/>
        <v>0</v>
      </c>
      <c r="DL230" s="7">
        <f t="shared" si="234"/>
        <v>0</v>
      </c>
      <c r="DM230" s="7">
        <f t="shared" si="235"/>
        <v>0</v>
      </c>
      <c r="DN230" s="7">
        <f t="shared" si="236"/>
        <v>0</v>
      </c>
      <c r="DO230" s="7">
        <f t="shared" si="237"/>
        <v>0</v>
      </c>
      <c r="DP230" s="7">
        <f t="shared" si="238"/>
        <v>0</v>
      </c>
      <c r="DQ230" s="7">
        <f t="shared" si="239"/>
        <v>0</v>
      </c>
      <c r="DR230" s="7">
        <f t="shared" si="240"/>
        <v>0</v>
      </c>
      <c r="DS230" s="7">
        <f t="shared" si="241"/>
        <v>0</v>
      </c>
      <c r="DT230" s="7">
        <f t="shared" si="242"/>
        <v>0</v>
      </c>
      <c r="DU230" s="7">
        <f t="shared" si="243"/>
        <v>0</v>
      </c>
    </row>
    <row r="231" spans="1:125" x14ac:dyDescent="0.2">
      <c r="A231" s="3">
        <f>Bonds!A231</f>
        <v>48487</v>
      </c>
      <c r="B231" s="4">
        <f>Bonds!B231</f>
        <v>3.875</v>
      </c>
      <c r="C231">
        <f>Bonds!P231</f>
        <v>13</v>
      </c>
      <c r="D231">
        <f t="shared" si="183"/>
        <v>1</v>
      </c>
      <c r="E231" s="3">
        <f>IF(1&gt;$C231,"",IF($D231=1,EOMONTH(EDATE(Bonds!$H231,6*(1-1)),0),EDATE(Bonds!$H231,6*(1-1))))</f>
        <v>46295</v>
      </c>
      <c r="F231" s="3">
        <f>IF(2&gt;$C231,"",IF($D231=1,EOMONTH(EDATE(Bonds!$H231,6*(2-1)),0),EDATE(Bonds!$H231,6*(2-1))))</f>
        <v>46477</v>
      </c>
      <c r="G231" s="3">
        <f>IF(3&gt;$C231,"",IF($D231=1,EOMONTH(EDATE(Bonds!$H231,6*(3-1)),0),EDATE(Bonds!$H231,6*(3-1))))</f>
        <v>46660</v>
      </c>
      <c r="H231" s="3">
        <f>IF(4&gt;$C231,"",IF($D231=1,EOMONTH(EDATE(Bonds!$H231,6*(4-1)),0),EDATE(Bonds!$H231,6*(4-1))))</f>
        <v>46843</v>
      </c>
      <c r="I231" s="3">
        <f>IF(5&gt;$C231,"",IF($D231=1,EOMONTH(EDATE(Bonds!$H231,6*(5-1)),0),EDATE(Bonds!$H231,6*(5-1))))</f>
        <v>47026</v>
      </c>
      <c r="J231" s="3">
        <f>IF(6&gt;$C231,"",IF($D231=1,EOMONTH(EDATE(Bonds!$H231,6*(6-1)),0),EDATE(Bonds!$H231,6*(6-1))))</f>
        <v>47208</v>
      </c>
      <c r="K231" s="3">
        <f>IF(7&gt;$C231,"",IF($D231=1,EOMONTH(EDATE(Bonds!$H231,6*(7-1)),0),EDATE(Bonds!$H231,6*(7-1))))</f>
        <v>47391</v>
      </c>
      <c r="L231" s="3">
        <f>IF(8&gt;$C231,"",IF($D231=1,EOMONTH(EDATE(Bonds!$H231,6*(8-1)),0),EDATE(Bonds!$H231,6*(8-1))))</f>
        <v>47573</v>
      </c>
      <c r="M231" s="3">
        <f>IF(9&gt;$C231,"",IF($D231=1,EOMONTH(EDATE(Bonds!$H231,6*(9-1)),0),EDATE(Bonds!$H231,6*(9-1))))</f>
        <v>47756</v>
      </c>
      <c r="N231" s="3">
        <f>IF(10&gt;$C231,"",IF($D231=1,EOMONTH(EDATE(Bonds!$H231,6*(10-1)),0),EDATE(Bonds!$H231,6*(10-1))))</f>
        <v>47938</v>
      </c>
      <c r="O231" s="3">
        <f>IF(11&gt;$C231,"",IF($D231=1,EOMONTH(EDATE(Bonds!$H231,6*(11-1)),0),EDATE(Bonds!$H231,6*(11-1))))</f>
        <v>48121</v>
      </c>
      <c r="P231" s="3">
        <f>IF(12&gt;$C231,"",IF($D231=1,EOMONTH(EDATE(Bonds!$H231,6*(12-1)),0),EDATE(Bonds!$H231,6*(12-1))))</f>
        <v>48304</v>
      </c>
      <c r="Q231" s="3">
        <f>IF(13&gt;$C231,"",IF($D231=1,EOMONTH(EDATE(Bonds!$H231,6*(13-1)),0),EDATE(Bonds!$H231,6*(13-1))))</f>
        <v>48487</v>
      </c>
      <c r="R231" s="3" t="str">
        <f>IF(14&gt;$C231,"",IF($D231=1,EOMONTH(EDATE(Bonds!$H231,6*(14-1)),0),EDATE(Bonds!$H231,6*(14-1))))</f>
        <v/>
      </c>
      <c r="S231" s="3" t="str">
        <f>IF(15&gt;$C231,"",IF($D231=1,EOMONTH(EDATE(Bonds!$H231,6*(15-1)),0),EDATE(Bonds!$H231,6*(15-1))))</f>
        <v/>
      </c>
      <c r="T231" s="3" t="str">
        <f>IF(16&gt;$C231,"",IF($D231=1,EOMONTH(EDATE(Bonds!$H231,6*(16-1)),0),EDATE(Bonds!$H231,6*(16-1))))</f>
        <v/>
      </c>
      <c r="U231" s="3" t="str">
        <f>IF(17&gt;$C231,"",IF($D231=1,EOMONTH(EDATE(Bonds!$H231,6*(17-1)),0),EDATE(Bonds!$H231,6*(17-1))))</f>
        <v/>
      </c>
      <c r="V231" s="3" t="str">
        <f>IF(18&gt;$C231,"",IF($D231=1,EOMONTH(EDATE(Bonds!$H231,6*(18-1)),0),EDATE(Bonds!$H231,6*(18-1))))</f>
        <v/>
      </c>
      <c r="W231" s="3" t="str">
        <f>IF(19&gt;$C231,"",IF($D231=1,EOMONTH(EDATE(Bonds!$H231,6*(19-1)),0),EDATE(Bonds!$H231,6*(19-1))))</f>
        <v/>
      </c>
      <c r="X231" s="3" t="str">
        <f>IF(20&gt;$C231,"",IF($D231=1,EOMONTH(EDATE(Bonds!$H231,6*(20-1)),0),EDATE(Bonds!$H231,6*(20-1))))</f>
        <v/>
      </c>
      <c r="Y231" s="3" t="str">
        <f>IF(21&gt;$C231,"",IF($D231=1,EOMONTH(EDATE(Bonds!$H231,6*(21-1)),0),EDATE(Bonds!$H231,6*(21-1))))</f>
        <v/>
      </c>
      <c r="Z231" s="3" t="str">
        <f>IF(22&gt;$C231,"",IF($D231=1,EOMONTH(EDATE(Bonds!$H231,6*(22-1)),0),EDATE(Bonds!$H231,6*(22-1))))</f>
        <v/>
      </c>
      <c r="AA231" s="3" t="str">
        <f>IF(23&gt;$C231,"",IF($D231=1,EOMONTH(EDATE(Bonds!$H231,6*(23-1)),0),EDATE(Bonds!$H231,6*(23-1))))</f>
        <v/>
      </c>
      <c r="AB231" s="3" t="str">
        <f>IF(24&gt;$C231,"",IF($D231=1,EOMONTH(EDATE(Bonds!$H231,6*(24-1)),0),EDATE(Bonds!$H231,6*(24-1))))</f>
        <v/>
      </c>
      <c r="AC231" s="3" t="str">
        <f>IF(25&gt;$C231,"",IF($D231=1,EOMONTH(EDATE(Bonds!$H231,6*(25-1)),0),EDATE(Bonds!$H231,6*(25-1))))</f>
        <v/>
      </c>
      <c r="AD231" s="3" t="str">
        <f>IF(26&gt;$C231,"",IF($D231=1,EOMONTH(EDATE(Bonds!$H231,6*(26-1)),0),EDATE(Bonds!$H231,6*(26-1))))</f>
        <v/>
      </c>
      <c r="AE231" s="3" t="str">
        <f>IF(27&gt;$C231,"",IF($D231=1,EOMONTH(EDATE(Bonds!$H231,6*(27-1)),0),EDATE(Bonds!$H231,6*(27-1))))</f>
        <v/>
      </c>
      <c r="AF231" s="3" t="str">
        <f>IF(28&gt;$C231,"",IF($D231=1,EOMONTH(EDATE(Bonds!$H231,6*(28-1)),0),EDATE(Bonds!$H231,6*(28-1))))</f>
        <v/>
      </c>
      <c r="AG231" s="3" t="str">
        <f>IF(29&gt;$C231,"",IF($D231=1,EOMONTH(EDATE(Bonds!$H231,6*(29-1)),0),EDATE(Bonds!$H231,6*(29-1))))</f>
        <v/>
      </c>
      <c r="AH231" s="3" t="str">
        <f>IF(30&gt;$C231,"",IF($D231=1,EOMONTH(EDATE(Bonds!$H231,6*(30-1)),0),EDATE(Bonds!$H231,6*(30-1))))</f>
        <v/>
      </c>
      <c r="AI231" s="3" t="str">
        <f>IF(31&gt;$C231,"",IF($D231=1,EOMONTH(EDATE(Bonds!$H231,6*(31-1)),0),EDATE(Bonds!$H231,6*(31-1))))</f>
        <v/>
      </c>
      <c r="AJ231" s="3" t="str">
        <f>IF(32&gt;$C231,"",IF($D231=1,EOMONTH(EDATE(Bonds!$H231,6*(32-1)),0),EDATE(Bonds!$H231,6*(32-1))))</f>
        <v/>
      </c>
      <c r="AK231" s="3" t="str">
        <f>IF(33&gt;$C231,"",IF($D231=1,EOMONTH(EDATE(Bonds!$H231,6*(33-1)),0),EDATE(Bonds!$H231,6*(33-1))))</f>
        <v/>
      </c>
      <c r="AL231" s="3" t="str">
        <f>IF(34&gt;$C231,"",IF($D231=1,EOMONTH(EDATE(Bonds!$H231,6*(34-1)),0),EDATE(Bonds!$H231,6*(34-1))))</f>
        <v/>
      </c>
      <c r="AM231" s="3" t="str">
        <f>IF(35&gt;$C231,"",IF($D231=1,EOMONTH(EDATE(Bonds!$H231,6*(35-1)),0),EDATE(Bonds!$H231,6*(35-1))))</f>
        <v/>
      </c>
      <c r="AN231" s="3" t="str">
        <f>IF(36&gt;$C231,"",IF($D231=1,EOMONTH(EDATE(Bonds!$H231,6*(36-1)),0),EDATE(Bonds!$H231,6*(36-1))))</f>
        <v/>
      </c>
      <c r="AO231" s="3" t="str">
        <f>IF(37&gt;$C231,"",IF($D231=1,EOMONTH(EDATE(Bonds!$H231,6*(37-1)),0),EDATE(Bonds!$H231,6*(37-1))))</f>
        <v/>
      </c>
      <c r="AP231" s="3" t="str">
        <f>IF(38&gt;$C231,"",IF($D231=1,EOMONTH(EDATE(Bonds!$H231,6*(38-1)),0),EDATE(Bonds!$H231,6*(38-1))))</f>
        <v/>
      </c>
      <c r="AQ231" s="3" t="str">
        <f>IF(39&gt;$C231,"",IF($D231=1,EOMONTH(EDATE(Bonds!$H231,6*(39-1)),0),EDATE(Bonds!$H231,6*(39-1))))</f>
        <v/>
      </c>
      <c r="AR231" s="3" t="str">
        <f>IF(40&gt;$C231,"",IF($D231=1,EOMONTH(EDATE(Bonds!$H231,6*(40-1)),0),EDATE(Bonds!$H231,6*(40-1))))</f>
        <v/>
      </c>
      <c r="AS231" s="3" t="str">
        <f>IF(41&gt;$C231,"",IF($D231=1,EOMONTH(EDATE(Bonds!$H231,6*(41-1)),0),EDATE(Bonds!$H231,6*(41-1))))</f>
        <v/>
      </c>
      <c r="AT231" s="3" t="str">
        <f>IF(42&gt;$C231,"",IF($D231=1,EOMONTH(EDATE(Bonds!$H231,6*(42-1)),0),EDATE(Bonds!$H231,6*(42-1))))</f>
        <v/>
      </c>
      <c r="AU231" s="3" t="str">
        <f>IF(43&gt;$C231,"",IF($D231=1,EOMONTH(EDATE(Bonds!$H231,6*(43-1)),0),EDATE(Bonds!$H231,6*(43-1))))</f>
        <v/>
      </c>
      <c r="AV231" s="3" t="str">
        <f>IF(44&gt;$C231,"",IF($D231=1,EOMONTH(EDATE(Bonds!$H231,6*(44-1)),0),EDATE(Bonds!$H231,6*(44-1))))</f>
        <v/>
      </c>
      <c r="AW231" s="3" t="str">
        <f>IF(45&gt;$C231,"",IF($D231=1,EOMONTH(EDATE(Bonds!$H231,6*(45-1)),0),EDATE(Bonds!$H231,6*(45-1))))</f>
        <v/>
      </c>
      <c r="AX231" s="3" t="str">
        <f>IF(46&gt;$C231,"",IF($D231=1,EOMONTH(EDATE(Bonds!$H231,6*(46-1)),0),EDATE(Bonds!$H231,6*(46-1))))</f>
        <v/>
      </c>
      <c r="AY231" s="3" t="str">
        <f>IF(47&gt;$C231,"",IF($D231=1,EOMONTH(EDATE(Bonds!$H231,6*(47-1)),0),EDATE(Bonds!$H231,6*(47-1))))</f>
        <v/>
      </c>
      <c r="AZ231" s="3" t="str">
        <f>IF(48&gt;$C231,"",IF($D231=1,EOMONTH(EDATE(Bonds!$H231,6*(48-1)),0),EDATE(Bonds!$H231,6*(48-1))))</f>
        <v/>
      </c>
      <c r="BA231" s="3" t="str">
        <f>IF(49&gt;$C231,"",IF($D231=1,EOMONTH(EDATE(Bonds!$H231,6*(49-1)),0),EDATE(Bonds!$H231,6*(49-1))))</f>
        <v/>
      </c>
      <c r="BB231" s="3" t="str">
        <f>IF(50&gt;$C231,"",IF($D231=1,EOMONTH(EDATE(Bonds!$H231,6*(50-1)),0),EDATE(Bonds!$H231,6*(50-1))))</f>
        <v/>
      </c>
      <c r="BC231" s="3" t="str">
        <f>IF(51&gt;$C231,"",IF($D231=1,EOMONTH(EDATE(Bonds!$H231,6*(51-1)),0),EDATE(Bonds!$H231,6*(51-1))))</f>
        <v/>
      </c>
      <c r="BD231" s="3" t="str">
        <f>IF(52&gt;$C231,"",IF($D231=1,EOMONTH(EDATE(Bonds!$H231,6*(52-1)),0),EDATE(Bonds!$H231,6*(52-1))))</f>
        <v/>
      </c>
      <c r="BE231" s="3" t="str">
        <f>IF(53&gt;$C231,"",IF($D231=1,EOMONTH(EDATE(Bonds!$H231,6*(53-1)),0),EDATE(Bonds!$H231,6*(53-1))))</f>
        <v/>
      </c>
      <c r="BF231" s="3" t="str">
        <f>IF(54&gt;$C231,"",IF($D231=1,EOMONTH(EDATE(Bonds!$H231,6*(54-1)),0),EDATE(Bonds!$H231,6*(54-1))))</f>
        <v/>
      </c>
      <c r="BG231" s="3" t="str">
        <f>IF(55&gt;$C231,"",IF($D231=1,EOMONTH(EDATE(Bonds!$H231,6*(55-1)),0),EDATE(Bonds!$H231,6*(55-1))))</f>
        <v/>
      </c>
      <c r="BH231" s="3" t="str">
        <f>IF(56&gt;$C231,"",IF($D231=1,EOMONTH(EDATE(Bonds!$H231,6*(56-1)),0),EDATE(Bonds!$H231,6*(56-1))))</f>
        <v/>
      </c>
      <c r="BI231" s="3" t="str">
        <f>IF(57&gt;$C231,"",IF($D231=1,EOMONTH(EDATE(Bonds!$H231,6*(57-1)),0),EDATE(Bonds!$H231,6*(57-1))))</f>
        <v/>
      </c>
      <c r="BJ231" s="3" t="str">
        <f>IF(58&gt;$C231,"",IF($D231=1,EOMONTH(EDATE(Bonds!$H231,6*(58-1)),0),EDATE(Bonds!$H231,6*(58-1))))</f>
        <v/>
      </c>
      <c r="BK231" s="3" t="str">
        <f>IF(59&gt;$C231,"",IF($D231=1,EOMONTH(EDATE(Bonds!$H231,6*(59-1)),0),EDATE(Bonds!$H231,6*(59-1))))</f>
        <v/>
      </c>
      <c r="BL231" s="3" t="str">
        <f>IF(60&gt;$C231,"",IF($D231=1,EOMONTH(EDATE(Bonds!$H231,6*(60-1)),0),EDATE(Bonds!$H231,6*(60-1))))</f>
        <v/>
      </c>
      <c r="BN231" s="7">
        <f t="shared" si="184"/>
        <v>1.9332170044961661</v>
      </c>
      <c r="BO231" s="7">
        <f t="shared" si="185"/>
        <v>1.8950715706102756</v>
      </c>
      <c r="BP231" s="7">
        <f t="shared" si="186"/>
        <v>1.8540683788086316</v>
      </c>
      <c r="BQ231" s="7">
        <f t="shared" si="187"/>
        <v>1.8124510866299766</v>
      </c>
      <c r="BR231" s="7">
        <f t="shared" si="188"/>
        <v>1.7712689677251081</v>
      </c>
      <c r="BS231" s="7">
        <f t="shared" si="189"/>
        <v>1.7311906164091833</v>
      </c>
      <c r="BT231" s="7">
        <f t="shared" si="190"/>
        <v>1.6918886377687259</v>
      </c>
      <c r="BU231" s="7">
        <f t="shared" si="191"/>
        <v>1.6537319230877765</v>
      </c>
      <c r="BV231" s="7">
        <f t="shared" si="192"/>
        <v>1.6161642414011503</v>
      </c>
      <c r="BW231" s="7">
        <f t="shared" si="193"/>
        <v>1.5794415424801413</v>
      </c>
      <c r="BX231" s="7">
        <f t="shared" si="194"/>
        <v>1.5430166868572257</v>
      </c>
      <c r="BY231" s="7">
        <f t="shared" si="195"/>
        <v>1.5069759641894762</v>
      </c>
      <c r="BZ231" s="7">
        <f t="shared" si="196"/>
        <v>77.405928658515563</v>
      </c>
      <c r="CA231" s="7">
        <f t="shared" si="197"/>
        <v>0</v>
      </c>
      <c r="CB231" s="7">
        <f t="shared" si="198"/>
        <v>0</v>
      </c>
      <c r="CC231" s="7">
        <f t="shared" si="199"/>
        <v>0</v>
      </c>
      <c r="CD231" s="7">
        <f t="shared" si="200"/>
        <v>0</v>
      </c>
      <c r="CE231" s="7">
        <f t="shared" si="201"/>
        <v>0</v>
      </c>
      <c r="CF231" s="7">
        <f t="shared" si="202"/>
        <v>0</v>
      </c>
      <c r="CG231" s="7">
        <f t="shared" si="203"/>
        <v>0</v>
      </c>
      <c r="CH231" s="7">
        <f t="shared" si="204"/>
        <v>0</v>
      </c>
      <c r="CI231" s="7">
        <f t="shared" si="205"/>
        <v>0</v>
      </c>
      <c r="CJ231" s="7">
        <f t="shared" si="206"/>
        <v>0</v>
      </c>
      <c r="CK231" s="7">
        <f t="shared" si="207"/>
        <v>0</v>
      </c>
      <c r="CL231" s="7">
        <f t="shared" si="208"/>
        <v>0</v>
      </c>
      <c r="CM231" s="7">
        <f t="shared" si="209"/>
        <v>0</v>
      </c>
      <c r="CN231" s="7">
        <f t="shared" si="210"/>
        <v>0</v>
      </c>
      <c r="CO231" s="7">
        <f t="shared" si="211"/>
        <v>0</v>
      </c>
      <c r="CP231" s="7">
        <f t="shared" si="212"/>
        <v>0</v>
      </c>
      <c r="CQ231" s="7">
        <f t="shared" si="213"/>
        <v>0</v>
      </c>
      <c r="CR231" s="7">
        <f t="shared" si="214"/>
        <v>0</v>
      </c>
      <c r="CS231" s="7">
        <f t="shared" si="215"/>
        <v>0</v>
      </c>
      <c r="CT231" s="7">
        <f t="shared" si="216"/>
        <v>0</v>
      </c>
      <c r="CU231" s="7">
        <f t="shared" si="217"/>
        <v>0</v>
      </c>
      <c r="CV231" s="7">
        <f t="shared" si="218"/>
        <v>0</v>
      </c>
      <c r="CW231" s="7">
        <f t="shared" si="219"/>
        <v>0</v>
      </c>
      <c r="CX231" s="7">
        <f t="shared" si="220"/>
        <v>0</v>
      </c>
      <c r="CY231" s="7">
        <f t="shared" si="221"/>
        <v>0</v>
      </c>
      <c r="CZ231" s="7">
        <f t="shared" si="222"/>
        <v>0</v>
      </c>
      <c r="DA231" s="7">
        <f t="shared" si="223"/>
        <v>0</v>
      </c>
      <c r="DB231" s="7">
        <f t="shared" si="224"/>
        <v>0</v>
      </c>
      <c r="DC231" s="7">
        <f t="shared" si="225"/>
        <v>0</v>
      </c>
      <c r="DD231" s="7">
        <f t="shared" si="226"/>
        <v>0</v>
      </c>
      <c r="DE231" s="7">
        <f t="shared" si="227"/>
        <v>0</v>
      </c>
      <c r="DF231" s="7">
        <f t="shared" si="228"/>
        <v>0</v>
      </c>
      <c r="DG231" s="7">
        <f t="shared" si="229"/>
        <v>0</v>
      </c>
      <c r="DH231" s="7">
        <f t="shared" si="230"/>
        <v>0</v>
      </c>
      <c r="DI231" s="7">
        <f t="shared" si="231"/>
        <v>0</v>
      </c>
      <c r="DJ231" s="7">
        <f t="shared" si="232"/>
        <v>0</v>
      </c>
      <c r="DK231" s="7">
        <f t="shared" si="233"/>
        <v>0</v>
      </c>
      <c r="DL231" s="7">
        <f t="shared" si="234"/>
        <v>0</v>
      </c>
      <c r="DM231" s="7">
        <f t="shared" si="235"/>
        <v>0</v>
      </c>
      <c r="DN231" s="7">
        <f t="shared" si="236"/>
        <v>0</v>
      </c>
      <c r="DO231" s="7">
        <f t="shared" si="237"/>
        <v>0</v>
      </c>
      <c r="DP231" s="7">
        <f t="shared" si="238"/>
        <v>0</v>
      </c>
      <c r="DQ231" s="7">
        <f t="shared" si="239"/>
        <v>0</v>
      </c>
      <c r="DR231" s="7">
        <f t="shared" si="240"/>
        <v>0</v>
      </c>
      <c r="DS231" s="7">
        <f t="shared" si="241"/>
        <v>0</v>
      </c>
      <c r="DT231" s="7">
        <f t="shared" si="242"/>
        <v>0</v>
      </c>
      <c r="DU231" s="7">
        <f t="shared" si="243"/>
        <v>0</v>
      </c>
    </row>
    <row r="232" spans="1:125" x14ac:dyDescent="0.2">
      <c r="A232" s="3">
        <f>Bonds!A232</f>
        <v>48518</v>
      </c>
      <c r="B232" s="4">
        <f>Bonds!B232</f>
        <v>3.75</v>
      </c>
      <c r="C232">
        <f>Bonds!P232</f>
        <v>13</v>
      </c>
      <c r="D232">
        <f t="shared" si="183"/>
        <v>1</v>
      </c>
      <c r="E232" s="3">
        <f>IF(1&gt;$C232,"",IF($D232=1,EOMONTH(EDATE(Bonds!$H232,6*(1-1)),0),EDATE(Bonds!$H232,6*(1-1))))</f>
        <v>46326</v>
      </c>
      <c r="F232" s="3">
        <f>IF(2&gt;$C232,"",IF($D232=1,EOMONTH(EDATE(Bonds!$H232,6*(2-1)),0),EDATE(Bonds!$H232,6*(2-1))))</f>
        <v>46507</v>
      </c>
      <c r="G232" s="3">
        <f>IF(3&gt;$C232,"",IF($D232=1,EOMONTH(EDATE(Bonds!$H232,6*(3-1)),0),EDATE(Bonds!$H232,6*(3-1))))</f>
        <v>46691</v>
      </c>
      <c r="H232" s="3">
        <f>IF(4&gt;$C232,"",IF($D232=1,EOMONTH(EDATE(Bonds!$H232,6*(4-1)),0),EDATE(Bonds!$H232,6*(4-1))))</f>
        <v>46873</v>
      </c>
      <c r="I232" s="3">
        <f>IF(5&gt;$C232,"",IF($D232=1,EOMONTH(EDATE(Bonds!$H232,6*(5-1)),0),EDATE(Bonds!$H232,6*(5-1))))</f>
        <v>47057</v>
      </c>
      <c r="J232" s="3">
        <f>IF(6&gt;$C232,"",IF($D232=1,EOMONTH(EDATE(Bonds!$H232,6*(6-1)),0),EDATE(Bonds!$H232,6*(6-1))))</f>
        <v>47238</v>
      </c>
      <c r="K232" s="3">
        <f>IF(7&gt;$C232,"",IF($D232=1,EOMONTH(EDATE(Bonds!$H232,6*(7-1)),0),EDATE(Bonds!$H232,6*(7-1))))</f>
        <v>47422</v>
      </c>
      <c r="L232" s="3">
        <f>IF(8&gt;$C232,"",IF($D232=1,EOMONTH(EDATE(Bonds!$H232,6*(8-1)),0),EDATE(Bonds!$H232,6*(8-1))))</f>
        <v>47603</v>
      </c>
      <c r="M232" s="3">
        <f>IF(9&gt;$C232,"",IF($D232=1,EOMONTH(EDATE(Bonds!$H232,6*(9-1)),0),EDATE(Bonds!$H232,6*(9-1))))</f>
        <v>47787</v>
      </c>
      <c r="N232" s="3">
        <f>IF(10&gt;$C232,"",IF($D232=1,EOMONTH(EDATE(Bonds!$H232,6*(10-1)),0),EDATE(Bonds!$H232,6*(10-1))))</f>
        <v>47968</v>
      </c>
      <c r="O232" s="3">
        <f>IF(11&gt;$C232,"",IF($D232=1,EOMONTH(EDATE(Bonds!$H232,6*(11-1)),0),EDATE(Bonds!$H232,6*(11-1))))</f>
        <v>48152</v>
      </c>
      <c r="P232" s="3">
        <f>IF(12&gt;$C232,"",IF($D232=1,EOMONTH(EDATE(Bonds!$H232,6*(12-1)),0),EDATE(Bonds!$H232,6*(12-1))))</f>
        <v>48334</v>
      </c>
      <c r="Q232" s="3">
        <f>IF(13&gt;$C232,"",IF($D232=1,EOMONTH(EDATE(Bonds!$H232,6*(13-1)),0),EDATE(Bonds!$H232,6*(13-1))))</f>
        <v>48518</v>
      </c>
      <c r="R232" s="3" t="str">
        <f>IF(14&gt;$C232,"",IF($D232=1,EOMONTH(EDATE(Bonds!$H232,6*(14-1)),0),EDATE(Bonds!$H232,6*(14-1))))</f>
        <v/>
      </c>
      <c r="S232" s="3" t="str">
        <f>IF(15&gt;$C232,"",IF($D232=1,EOMONTH(EDATE(Bonds!$H232,6*(15-1)),0),EDATE(Bonds!$H232,6*(15-1))))</f>
        <v/>
      </c>
      <c r="T232" s="3" t="str">
        <f>IF(16&gt;$C232,"",IF($D232=1,EOMONTH(EDATE(Bonds!$H232,6*(16-1)),0),EDATE(Bonds!$H232,6*(16-1))))</f>
        <v/>
      </c>
      <c r="U232" s="3" t="str">
        <f>IF(17&gt;$C232,"",IF($D232=1,EOMONTH(EDATE(Bonds!$H232,6*(17-1)),0),EDATE(Bonds!$H232,6*(17-1))))</f>
        <v/>
      </c>
      <c r="V232" s="3" t="str">
        <f>IF(18&gt;$C232,"",IF($D232=1,EOMONTH(EDATE(Bonds!$H232,6*(18-1)),0),EDATE(Bonds!$H232,6*(18-1))))</f>
        <v/>
      </c>
      <c r="W232" s="3" t="str">
        <f>IF(19&gt;$C232,"",IF($D232=1,EOMONTH(EDATE(Bonds!$H232,6*(19-1)),0),EDATE(Bonds!$H232,6*(19-1))))</f>
        <v/>
      </c>
      <c r="X232" s="3" t="str">
        <f>IF(20&gt;$C232,"",IF($D232=1,EOMONTH(EDATE(Bonds!$H232,6*(20-1)),0),EDATE(Bonds!$H232,6*(20-1))))</f>
        <v/>
      </c>
      <c r="Y232" s="3" t="str">
        <f>IF(21&gt;$C232,"",IF($D232=1,EOMONTH(EDATE(Bonds!$H232,6*(21-1)),0),EDATE(Bonds!$H232,6*(21-1))))</f>
        <v/>
      </c>
      <c r="Z232" s="3" t="str">
        <f>IF(22&gt;$C232,"",IF($D232=1,EOMONTH(EDATE(Bonds!$H232,6*(22-1)),0),EDATE(Bonds!$H232,6*(22-1))))</f>
        <v/>
      </c>
      <c r="AA232" s="3" t="str">
        <f>IF(23&gt;$C232,"",IF($D232=1,EOMONTH(EDATE(Bonds!$H232,6*(23-1)),0),EDATE(Bonds!$H232,6*(23-1))))</f>
        <v/>
      </c>
      <c r="AB232" s="3" t="str">
        <f>IF(24&gt;$C232,"",IF($D232=1,EOMONTH(EDATE(Bonds!$H232,6*(24-1)),0),EDATE(Bonds!$H232,6*(24-1))))</f>
        <v/>
      </c>
      <c r="AC232" s="3" t="str">
        <f>IF(25&gt;$C232,"",IF($D232=1,EOMONTH(EDATE(Bonds!$H232,6*(25-1)),0),EDATE(Bonds!$H232,6*(25-1))))</f>
        <v/>
      </c>
      <c r="AD232" s="3" t="str">
        <f>IF(26&gt;$C232,"",IF($D232=1,EOMONTH(EDATE(Bonds!$H232,6*(26-1)),0),EDATE(Bonds!$H232,6*(26-1))))</f>
        <v/>
      </c>
      <c r="AE232" s="3" t="str">
        <f>IF(27&gt;$C232,"",IF($D232=1,EOMONTH(EDATE(Bonds!$H232,6*(27-1)),0),EDATE(Bonds!$H232,6*(27-1))))</f>
        <v/>
      </c>
      <c r="AF232" s="3" t="str">
        <f>IF(28&gt;$C232,"",IF($D232=1,EOMONTH(EDATE(Bonds!$H232,6*(28-1)),0),EDATE(Bonds!$H232,6*(28-1))))</f>
        <v/>
      </c>
      <c r="AG232" s="3" t="str">
        <f>IF(29&gt;$C232,"",IF($D232=1,EOMONTH(EDATE(Bonds!$H232,6*(29-1)),0),EDATE(Bonds!$H232,6*(29-1))))</f>
        <v/>
      </c>
      <c r="AH232" s="3" t="str">
        <f>IF(30&gt;$C232,"",IF($D232=1,EOMONTH(EDATE(Bonds!$H232,6*(30-1)),0),EDATE(Bonds!$H232,6*(30-1))))</f>
        <v/>
      </c>
      <c r="AI232" s="3" t="str">
        <f>IF(31&gt;$C232,"",IF($D232=1,EOMONTH(EDATE(Bonds!$H232,6*(31-1)),0),EDATE(Bonds!$H232,6*(31-1))))</f>
        <v/>
      </c>
      <c r="AJ232" s="3" t="str">
        <f>IF(32&gt;$C232,"",IF($D232=1,EOMONTH(EDATE(Bonds!$H232,6*(32-1)),0),EDATE(Bonds!$H232,6*(32-1))))</f>
        <v/>
      </c>
      <c r="AK232" s="3" t="str">
        <f>IF(33&gt;$C232,"",IF($D232=1,EOMONTH(EDATE(Bonds!$H232,6*(33-1)),0),EDATE(Bonds!$H232,6*(33-1))))</f>
        <v/>
      </c>
      <c r="AL232" s="3" t="str">
        <f>IF(34&gt;$C232,"",IF($D232=1,EOMONTH(EDATE(Bonds!$H232,6*(34-1)),0),EDATE(Bonds!$H232,6*(34-1))))</f>
        <v/>
      </c>
      <c r="AM232" s="3" t="str">
        <f>IF(35&gt;$C232,"",IF($D232=1,EOMONTH(EDATE(Bonds!$H232,6*(35-1)),0),EDATE(Bonds!$H232,6*(35-1))))</f>
        <v/>
      </c>
      <c r="AN232" s="3" t="str">
        <f>IF(36&gt;$C232,"",IF($D232=1,EOMONTH(EDATE(Bonds!$H232,6*(36-1)),0),EDATE(Bonds!$H232,6*(36-1))))</f>
        <v/>
      </c>
      <c r="AO232" s="3" t="str">
        <f>IF(37&gt;$C232,"",IF($D232=1,EOMONTH(EDATE(Bonds!$H232,6*(37-1)),0),EDATE(Bonds!$H232,6*(37-1))))</f>
        <v/>
      </c>
      <c r="AP232" s="3" t="str">
        <f>IF(38&gt;$C232,"",IF($D232=1,EOMONTH(EDATE(Bonds!$H232,6*(38-1)),0),EDATE(Bonds!$H232,6*(38-1))))</f>
        <v/>
      </c>
      <c r="AQ232" s="3" t="str">
        <f>IF(39&gt;$C232,"",IF($D232=1,EOMONTH(EDATE(Bonds!$H232,6*(39-1)),0),EDATE(Bonds!$H232,6*(39-1))))</f>
        <v/>
      </c>
      <c r="AR232" s="3" t="str">
        <f>IF(40&gt;$C232,"",IF($D232=1,EOMONTH(EDATE(Bonds!$H232,6*(40-1)),0),EDATE(Bonds!$H232,6*(40-1))))</f>
        <v/>
      </c>
      <c r="AS232" s="3" t="str">
        <f>IF(41&gt;$C232,"",IF($D232=1,EOMONTH(EDATE(Bonds!$H232,6*(41-1)),0),EDATE(Bonds!$H232,6*(41-1))))</f>
        <v/>
      </c>
      <c r="AT232" s="3" t="str">
        <f>IF(42&gt;$C232,"",IF($D232=1,EOMONTH(EDATE(Bonds!$H232,6*(42-1)),0),EDATE(Bonds!$H232,6*(42-1))))</f>
        <v/>
      </c>
      <c r="AU232" s="3" t="str">
        <f>IF(43&gt;$C232,"",IF($D232=1,EOMONTH(EDATE(Bonds!$H232,6*(43-1)),0),EDATE(Bonds!$H232,6*(43-1))))</f>
        <v/>
      </c>
      <c r="AV232" s="3" t="str">
        <f>IF(44&gt;$C232,"",IF($D232=1,EOMONTH(EDATE(Bonds!$H232,6*(44-1)),0),EDATE(Bonds!$H232,6*(44-1))))</f>
        <v/>
      </c>
      <c r="AW232" s="3" t="str">
        <f>IF(45&gt;$C232,"",IF($D232=1,EOMONTH(EDATE(Bonds!$H232,6*(45-1)),0),EDATE(Bonds!$H232,6*(45-1))))</f>
        <v/>
      </c>
      <c r="AX232" s="3" t="str">
        <f>IF(46&gt;$C232,"",IF($D232=1,EOMONTH(EDATE(Bonds!$H232,6*(46-1)),0),EDATE(Bonds!$H232,6*(46-1))))</f>
        <v/>
      </c>
      <c r="AY232" s="3" t="str">
        <f>IF(47&gt;$C232,"",IF($D232=1,EOMONTH(EDATE(Bonds!$H232,6*(47-1)),0),EDATE(Bonds!$H232,6*(47-1))))</f>
        <v/>
      </c>
      <c r="AZ232" s="3" t="str">
        <f>IF(48&gt;$C232,"",IF($D232=1,EOMONTH(EDATE(Bonds!$H232,6*(48-1)),0),EDATE(Bonds!$H232,6*(48-1))))</f>
        <v/>
      </c>
      <c r="BA232" s="3" t="str">
        <f>IF(49&gt;$C232,"",IF($D232=1,EOMONTH(EDATE(Bonds!$H232,6*(49-1)),0),EDATE(Bonds!$H232,6*(49-1))))</f>
        <v/>
      </c>
      <c r="BB232" s="3" t="str">
        <f>IF(50&gt;$C232,"",IF($D232=1,EOMONTH(EDATE(Bonds!$H232,6*(50-1)),0),EDATE(Bonds!$H232,6*(50-1))))</f>
        <v/>
      </c>
      <c r="BC232" s="3" t="str">
        <f>IF(51&gt;$C232,"",IF($D232=1,EOMONTH(EDATE(Bonds!$H232,6*(51-1)),0),EDATE(Bonds!$H232,6*(51-1))))</f>
        <v/>
      </c>
      <c r="BD232" s="3" t="str">
        <f>IF(52&gt;$C232,"",IF($D232=1,EOMONTH(EDATE(Bonds!$H232,6*(52-1)),0),EDATE(Bonds!$H232,6*(52-1))))</f>
        <v/>
      </c>
      <c r="BE232" s="3" t="str">
        <f>IF(53&gt;$C232,"",IF($D232=1,EOMONTH(EDATE(Bonds!$H232,6*(53-1)),0),EDATE(Bonds!$H232,6*(53-1))))</f>
        <v/>
      </c>
      <c r="BF232" s="3" t="str">
        <f>IF(54&gt;$C232,"",IF($D232=1,EOMONTH(EDATE(Bonds!$H232,6*(54-1)),0),EDATE(Bonds!$H232,6*(54-1))))</f>
        <v/>
      </c>
      <c r="BG232" s="3" t="str">
        <f>IF(55&gt;$C232,"",IF($D232=1,EOMONTH(EDATE(Bonds!$H232,6*(55-1)),0),EDATE(Bonds!$H232,6*(55-1))))</f>
        <v/>
      </c>
      <c r="BH232" s="3" t="str">
        <f>IF(56&gt;$C232,"",IF($D232=1,EOMONTH(EDATE(Bonds!$H232,6*(56-1)),0),EDATE(Bonds!$H232,6*(56-1))))</f>
        <v/>
      </c>
      <c r="BI232" s="3" t="str">
        <f>IF(57&gt;$C232,"",IF($D232=1,EOMONTH(EDATE(Bonds!$H232,6*(57-1)),0),EDATE(Bonds!$H232,6*(57-1))))</f>
        <v/>
      </c>
      <c r="BJ232" s="3" t="str">
        <f>IF(58&gt;$C232,"",IF($D232=1,EOMONTH(EDATE(Bonds!$H232,6*(58-1)),0),EDATE(Bonds!$H232,6*(58-1))))</f>
        <v/>
      </c>
      <c r="BK232" s="3" t="str">
        <f>IF(59&gt;$C232,"",IF($D232=1,EOMONTH(EDATE(Bonds!$H232,6*(59-1)),0),EDATE(Bonds!$H232,6*(59-1))))</f>
        <v/>
      </c>
      <c r="BL232" s="3" t="str">
        <f>IF(60&gt;$C232,"",IF($D232=1,EOMONTH(EDATE(Bonds!$H232,6*(60-1)),0),EDATE(Bonds!$H232,6*(60-1))))</f>
        <v/>
      </c>
      <c r="BN232" s="7">
        <f t="shared" si="184"/>
        <v>1.8648722809951284</v>
      </c>
      <c r="BO232" s="7">
        <f t="shared" si="185"/>
        <v>1.8275438378691946</v>
      </c>
      <c r="BP232" s="7">
        <f t="shared" si="186"/>
        <v>1.7874415781966027</v>
      </c>
      <c r="BQ232" s="7">
        <f t="shared" si="187"/>
        <v>1.7474056171017178</v>
      </c>
      <c r="BR232" s="7">
        <f t="shared" si="188"/>
        <v>1.7074589984499491</v>
      </c>
      <c r="BS232" s="7">
        <f t="shared" si="189"/>
        <v>1.6690445162840555</v>
      </c>
      <c r="BT232" s="7">
        <f t="shared" si="190"/>
        <v>1.6309616529455044</v>
      </c>
      <c r="BU232" s="7">
        <f t="shared" si="191"/>
        <v>1.5943766410644136</v>
      </c>
      <c r="BV232" s="7">
        <f t="shared" si="192"/>
        <v>1.5579371564909137</v>
      </c>
      <c r="BW232" s="7">
        <f t="shared" si="193"/>
        <v>1.5226832871532883</v>
      </c>
      <c r="BX232" s="7">
        <f t="shared" si="194"/>
        <v>1.4873101365847943</v>
      </c>
      <c r="BY232" s="7">
        <f t="shared" si="195"/>
        <v>1.4526754803120849</v>
      </c>
      <c r="BZ232" s="7">
        <f t="shared" si="196"/>
        <v>77.041455894791653</v>
      </c>
      <c r="CA232" s="7">
        <f t="shared" si="197"/>
        <v>0</v>
      </c>
      <c r="CB232" s="7">
        <f t="shared" si="198"/>
        <v>0</v>
      </c>
      <c r="CC232" s="7">
        <f t="shared" si="199"/>
        <v>0</v>
      </c>
      <c r="CD232" s="7">
        <f t="shared" si="200"/>
        <v>0</v>
      </c>
      <c r="CE232" s="7">
        <f t="shared" si="201"/>
        <v>0</v>
      </c>
      <c r="CF232" s="7">
        <f t="shared" si="202"/>
        <v>0</v>
      </c>
      <c r="CG232" s="7">
        <f t="shared" si="203"/>
        <v>0</v>
      </c>
      <c r="CH232" s="7">
        <f t="shared" si="204"/>
        <v>0</v>
      </c>
      <c r="CI232" s="7">
        <f t="shared" si="205"/>
        <v>0</v>
      </c>
      <c r="CJ232" s="7">
        <f t="shared" si="206"/>
        <v>0</v>
      </c>
      <c r="CK232" s="7">
        <f t="shared" si="207"/>
        <v>0</v>
      </c>
      <c r="CL232" s="7">
        <f t="shared" si="208"/>
        <v>0</v>
      </c>
      <c r="CM232" s="7">
        <f t="shared" si="209"/>
        <v>0</v>
      </c>
      <c r="CN232" s="7">
        <f t="shared" si="210"/>
        <v>0</v>
      </c>
      <c r="CO232" s="7">
        <f t="shared" si="211"/>
        <v>0</v>
      </c>
      <c r="CP232" s="7">
        <f t="shared" si="212"/>
        <v>0</v>
      </c>
      <c r="CQ232" s="7">
        <f t="shared" si="213"/>
        <v>0</v>
      </c>
      <c r="CR232" s="7">
        <f t="shared" si="214"/>
        <v>0</v>
      </c>
      <c r="CS232" s="7">
        <f t="shared" si="215"/>
        <v>0</v>
      </c>
      <c r="CT232" s="7">
        <f t="shared" si="216"/>
        <v>0</v>
      </c>
      <c r="CU232" s="7">
        <f t="shared" si="217"/>
        <v>0</v>
      </c>
      <c r="CV232" s="7">
        <f t="shared" si="218"/>
        <v>0</v>
      </c>
      <c r="CW232" s="7">
        <f t="shared" si="219"/>
        <v>0</v>
      </c>
      <c r="CX232" s="7">
        <f t="shared" si="220"/>
        <v>0</v>
      </c>
      <c r="CY232" s="7">
        <f t="shared" si="221"/>
        <v>0</v>
      </c>
      <c r="CZ232" s="7">
        <f t="shared" si="222"/>
        <v>0</v>
      </c>
      <c r="DA232" s="7">
        <f t="shared" si="223"/>
        <v>0</v>
      </c>
      <c r="DB232" s="7">
        <f t="shared" si="224"/>
        <v>0</v>
      </c>
      <c r="DC232" s="7">
        <f t="shared" si="225"/>
        <v>0</v>
      </c>
      <c r="DD232" s="7">
        <f t="shared" si="226"/>
        <v>0</v>
      </c>
      <c r="DE232" s="7">
        <f t="shared" si="227"/>
        <v>0</v>
      </c>
      <c r="DF232" s="7">
        <f t="shared" si="228"/>
        <v>0</v>
      </c>
      <c r="DG232" s="7">
        <f t="shared" si="229"/>
        <v>0</v>
      </c>
      <c r="DH232" s="7">
        <f t="shared" si="230"/>
        <v>0</v>
      </c>
      <c r="DI232" s="7">
        <f t="shared" si="231"/>
        <v>0</v>
      </c>
      <c r="DJ232" s="7">
        <f t="shared" si="232"/>
        <v>0</v>
      </c>
      <c r="DK232" s="7">
        <f t="shared" si="233"/>
        <v>0</v>
      </c>
      <c r="DL232" s="7">
        <f t="shared" si="234"/>
        <v>0</v>
      </c>
      <c r="DM232" s="7">
        <f t="shared" si="235"/>
        <v>0</v>
      </c>
      <c r="DN232" s="7">
        <f t="shared" si="236"/>
        <v>0</v>
      </c>
      <c r="DO232" s="7">
        <f t="shared" si="237"/>
        <v>0</v>
      </c>
      <c r="DP232" s="7">
        <f t="shared" si="238"/>
        <v>0</v>
      </c>
      <c r="DQ232" s="7">
        <f t="shared" si="239"/>
        <v>0</v>
      </c>
      <c r="DR232" s="7">
        <f t="shared" si="240"/>
        <v>0</v>
      </c>
      <c r="DS232" s="7">
        <f t="shared" si="241"/>
        <v>0</v>
      </c>
      <c r="DT232" s="7">
        <f t="shared" si="242"/>
        <v>0</v>
      </c>
      <c r="DU232" s="7">
        <f t="shared" si="243"/>
        <v>0</v>
      </c>
    </row>
    <row r="233" spans="1:125" x14ac:dyDescent="0.2">
      <c r="A233" s="3">
        <f>Bonds!A233</f>
        <v>48533</v>
      </c>
      <c r="B233" s="4">
        <f>Bonds!B233</f>
        <v>4.125</v>
      </c>
      <c r="C233">
        <f>Bonds!P233</f>
        <v>13</v>
      </c>
      <c r="D233">
        <f t="shared" si="183"/>
        <v>0</v>
      </c>
      <c r="E233" s="3">
        <f>IF(1&gt;$C233,"",IF($D233=1,EOMONTH(EDATE(Bonds!$H233,6*(1-1)),0),EDATE(Bonds!$H233,6*(1-1))))</f>
        <v>46341</v>
      </c>
      <c r="F233" s="3">
        <f>IF(2&gt;$C233,"",IF($D233=1,EOMONTH(EDATE(Bonds!$H233,6*(2-1)),0),EDATE(Bonds!$H233,6*(2-1))))</f>
        <v>46522</v>
      </c>
      <c r="G233" s="3">
        <f>IF(3&gt;$C233,"",IF($D233=1,EOMONTH(EDATE(Bonds!$H233,6*(3-1)),0),EDATE(Bonds!$H233,6*(3-1))))</f>
        <v>46706</v>
      </c>
      <c r="H233" s="3">
        <f>IF(4&gt;$C233,"",IF($D233=1,EOMONTH(EDATE(Bonds!$H233,6*(4-1)),0),EDATE(Bonds!$H233,6*(4-1))))</f>
        <v>46888</v>
      </c>
      <c r="I233" s="3">
        <f>IF(5&gt;$C233,"",IF($D233=1,EOMONTH(EDATE(Bonds!$H233,6*(5-1)),0),EDATE(Bonds!$H233,6*(5-1))))</f>
        <v>47072</v>
      </c>
      <c r="J233" s="3">
        <f>IF(6&gt;$C233,"",IF($D233=1,EOMONTH(EDATE(Bonds!$H233,6*(6-1)),0),EDATE(Bonds!$H233,6*(6-1))))</f>
        <v>47253</v>
      </c>
      <c r="K233" s="3">
        <f>IF(7&gt;$C233,"",IF($D233=1,EOMONTH(EDATE(Bonds!$H233,6*(7-1)),0),EDATE(Bonds!$H233,6*(7-1))))</f>
        <v>47437</v>
      </c>
      <c r="L233" s="3">
        <f>IF(8&gt;$C233,"",IF($D233=1,EOMONTH(EDATE(Bonds!$H233,6*(8-1)),0),EDATE(Bonds!$H233,6*(8-1))))</f>
        <v>47618</v>
      </c>
      <c r="M233" s="3">
        <f>IF(9&gt;$C233,"",IF($D233=1,EOMONTH(EDATE(Bonds!$H233,6*(9-1)),0),EDATE(Bonds!$H233,6*(9-1))))</f>
        <v>47802</v>
      </c>
      <c r="N233" s="3">
        <f>IF(10&gt;$C233,"",IF($D233=1,EOMONTH(EDATE(Bonds!$H233,6*(10-1)),0),EDATE(Bonds!$H233,6*(10-1))))</f>
        <v>47983</v>
      </c>
      <c r="O233" s="3">
        <f>IF(11&gt;$C233,"",IF($D233=1,EOMONTH(EDATE(Bonds!$H233,6*(11-1)),0),EDATE(Bonds!$H233,6*(11-1))))</f>
        <v>48167</v>
      </c>
      <c r="P233" s="3">
        <f>IF(12&gt;$C233,"",IF($D233=1,EOMONTH(EDATE(Bonds!$H233,6*(12-1)),0),EDATE(Bonds!$H233,6*(12-1))))</f>
        <v>48349</v>
      </c>
      <c r="Q233" s="3">
        <f>IF(13&gt;$C233,"",IF($D233=1,EOMONTH(EDATE(Bonds!$H233,6*(13-1)),0),EDATE(Bonds!$H233,6*(13-1))))</f>
        <v>48533</v>
      </c>
      <c r="R233" s="3" t="str">
        <f>IF(14&gt;$C233,"",IF($D233=1,EOMONTH(EDATE(Bonds!$H233,6*(14-1)),0),EDATE(Bonds!$H233,6*(14-1))))</f>
        <v/>
      </c>
      <c r="S233" s="3" t="str">
        <f>IF(15&gt;$C233,"",IF($D233=1,EOMONTH(EDATE(Bonds!$H233,6*(15-1)),0),EDATE(Bonds!$H233,6*(15-1))))</f>
        <v/>
      </c>
      <c r="T233" s="3" t="str">
        <f>IF(16&gt;$C233,"",IF($D233=1,EOMONTH(EDATE(Bonds!$H233,6*(16-1)),0),EDATE(Bonds!$H233,6*(16-1))))</f>
        <v/>
      </c>
      <c r="U233" s="3" t="str">
        <f>IF(17&gt;$C233,"",IF($D233=1,EOMONTH(EDATE(Bonds!$H233,6*(17-1)),0),EDATE(Bonds!$H233,6*(17-1))))</f>
        <v/>
      </c>
      <c r="V233" s="3" t="str">
        <f>IF(18&gt;$C233,"",IF($D233=1,EOMONTH(EDATE(Bonds!$H233,6*(18-1)),0),EDATE(Bonds!$H233,6*(18-1))))</f>
        <v/>
      </c>
      <c r="W233" s="3" t="str">
        <f>IF(19&gt;$C233,"",IF($D233=1,EOMONTH(EDATE(Bonds!$H233,6*(19-1)),0),EDATE(Bonds!$H233,6*(19-1))))</f>
        <v/>
      </c>
      <c r="X233" s="3" t="str">
        <f>IF(20&gt;$C233,"",IF($D233=1,EOMONTH(EDATE(Bonds!$H233,6*(20-1)),0),EDATE(Bonds!$H233,6*(20-1))))</f>
        <v/>
      </c>
      <c r="Y233" s="3" t="str">
        <f>IF(21&gt;$C233,"",IF($D233=1,EOMONTH(EDATE(Bonds!$H233,6*(21-1)),0),EDATE(Bonds!$H233,6*(21-1))))</f>
        <v/>
      </c>
      <c r="Z233" s="3" t="str">
        <f>IF(22&gt;$C233,"",IF($D233=1,EOMONTH(EDATE(Bonds!$H233,6*(22-1)),0),EDATE(Bonds!$H233,6*(22-1))))</f>
        <v/>
      </c>
      <c r="AA233" s="3" t="str">
        <f>IF(23&gt;$C233,"",IF($D233=1,EOMONTH(EDATE(Bonds!$H233,6*(23-1)),0),EDATE(Bonds!$H233,6*(23-1))))</f>
        <v/>
      </c>
      <c r="AB233" s="3" t="str">
        <f>IF(24&gt;$C233,"",IF($D233=1,EOMONTH(EDATE(Bonds!$H233,6*(24-1)),0),EDATE(Bonds!$H233,6*(24-1))))</f>
        <v/>
      </c>
      <c r="AC233" s="3" t="str">
        <f>IF(25&gt;$C233,"",IF($D233=1,EOMONTH(EDATE(Bonds!$H233,6*(25-1)),0),EDATE(Bonds!$H233,6*(25-1))))</f>
        <v/>
      </c>
      <c r="AD233" s="3" t="str">
        <f>IF(26&gt;$C233,"",IF($D233=1,EOMONTH(EDATE(Bonds!$H233,6*(26-1)),0),EDATE(Bonds!$H233,6*(26-1))))</f>
        <v/>
      </c>
      <c r="AE233" s="3" t="str">
        <f>IF(27&gt;$C233,"",IF($D233=1,EOMONTH(EDATE(Bonds!$H233,6*(27-1)),0),EDATE(Bonds!$H233,6*(27-1))))</f>
        <v/>
      </c>
      <c r="AF233" s="3" t="str">
        <f>IF(28&gt;$C233,"",IF($D233=1,EOMONTH(EDATE(Bonds!$H233,6*(28-1)),0),EDATE(Bonds!$H233,6*(28-1))))</f>
        <v/>
      </c>
      <c r="AG233" s="3" t="str">
        <f>IF(29&gt;$C233,"",IF($D233=1,EOMONTH(EDATE(Bonds!$H233,6*(29-1)),0),EDATE(Bonds!$H233,6*(29-1))))</f>
        <v/>
      </c>
      <c r="AH233" s="3" t="str">
        <f>IF(30&gt;$C233,"",IF($D233=1,EOMONTH(EDATE(Bonds!$H233,6*(30-1)),0),EDATE(Bonds!$H233,6*(30-1))))</f>
        <v/>
      </c>
      <c r="AI233" s="3" t="str">
        <f>IF(31&gt;$C233,"",IF($D233=1,EOMONTH(EDATE(Bonds!$H233,6*(31-1)),0),EDATE(Bonds!$H233,6*(31-1))))</f>
        <v/>
      </c>
      <c r="AJ233" s="3" t="str">
        <f>IF(32&gt;$C233,"",IF($D233=1,EOMONTH(EDATE(Bonds!$H233,6*(32-1)),0),EDATE(Bonds!$H233,6*(32-1))))</f>
        <v/>
      </c>
      <c r="AK233" s="3" t="str">
        <f>IF(33&gt;$C233,"",IF($D233=1,EOMONTH(EDATE(Bonds!$H233,6*(33-1)),0),EDATE(Bonds!$H233,6*(33-1))))</f>
        <v/>
      </c>
      <c r="AL233" s="3" t="str">
        <f>IF(34&gt;$C233,"",IF($D233=1,EOMONTH(EDATE(Bonds!$H233,6*(34-1)),0),EDATE(Bonds!$H233,6*(34-1))))</f>
        <v/>
      </c>
      <c r="AM233" s="3" t="str">
        <f>IF(35&gt;$C233,"",IF($D233=1,EOMONTH(EDATE(Bonds!$H233,6*(35-1)),0),EDATE(Bonds!$H233,6*(35-1))))</f>
        <v/>
      </c>
      <c r="AN233" s="3" t="str">
        <f>IF(36&gt;$C233,"",IF($D233=1,EOMONTH(EDATE(Bonds!$H233,6*(36-1)),0),EDATE(Bonds!$H233,6*(36-1))))</f>
        <v/>
      </c>
      <c r="AO233" s="3" t="str">
        <f>IF(37&gt;$C233,"",IF($D233=1,EOMONTH(EDATE(Bonds!$H233,6*(37-1)),0),EDATE(Bonds!$H233,6*(37-1))))</f>
        <v/>
      </c>
      <c r="AP233" s="3" t="str">
        <f>IF(38&gt;$C233,"",IF($D233=1,EOMONTH(EDATE(Bonds!$H233,6*(38-1)),0),EDATE(Bonds!$H233,6*(38-1))))</f>
        <v/>
      </c>
      <c r="AQ233" s="3" t="str">
        <f>IF(39&gt;$C233,"",IF($D233=1,EOMONTH(EDATE(Bonds!$H233,6*(39-1)),0),EDATE(Bonds!$H233,6*(39-1))))</f>
        <v/>
      </c>
      <c r="AR233" s="3" t="str">
        <f>IF(40&gt;$C233,"",IF($D233=1,EOMONTH(EDATE(Bonds!$H233,6*(40-1)),0),EDATE(Bonds!$H233,6*(40-1))))</f>
        <v/>
      </c>
      <c r="AS233" s="3" t="str">
        <f>IF(41&gt;$C233,"",IF($D233=1,EOMONTH(EDATE(Bonds!$H233,6*(41-1)),0),EDATE(Bonds!$H233,6*(41-1))))</f>
        <v/>
      </c>
      <c r="AT233" s="3" t="str">
        <f>IF(42&gt;$C233,"",IF($D233=1,EOMONTH(EDATE(Bonds!$H233,6*(42-1)),0),EDATE(Bonds!$H233,6*(42-1))))</f>
        <v/>
      </c>
      <c r="AU233" s="3" t="str">
        <f>IF(43&gt;$C233,"",IF($D233=1,EOMONTH(EDATE(Bonds!$H233,6*(43-1)),0),EDATE(Bonds!$H233,6*(43-1))))</f>
        <v/>
      </c>
      <c r="AV233" s="3" t="str">
        <f>IF(44&gt;$C233,"",IF($D233=1,EOMONTH(EDATE(Bonds!$H233,6*(44-1)),0),EDATE(Bonds!$H233,6*(44-1))))</f>
        <v/>
      </c>
      <c r="AW233" s="3" t="str">
        <f>IF(45&gt;$C233,"",IF($D233=1,EOMONTH(EDATE(Bonds!$H233,6*(45-1)),0),EDATE(Bonds!$H233,6*(45-1))))</f>
        <v/>
      </c>
      <c r="AX233" s="3" t="str">
        <f>IF(46&gt;$C233,"",IF($D233=1,EOMONTH(EDATE(Bonds!$H233,6*(46-1)),0),EDATE(Bonds!$H233,6*(46-1))))</f>
        <v/>
      </c>
      <c r="AY233" s="3" t="str">
        <f>IF(47&gt;$C233,"",IF($D233=1,EOMONTH(EDATE(Bonds!$H233,6*(47-1)),0),EDATE(Bonds!$H233,6*(47-1))))</f>
        <v/>
      </c>
      <c r="AZ233" s="3" t="str">
        <f>IF(48&gt;$C233,"",IF($D233=1,EOMONTH(EDATE(Bonds!$H233,6*(48-1)),0),EDATE(Bonds!$H233,6*(48-1))))</f>
        <v/>
      </c>
      <c r="BA233" s="3" t="str">
        <f>IF(49&gt;$C233,"",IF($D233=1,EOMONTH(EDATE(Bonds!$H233,6*(49-1)),0),EDATE(Bonds!$H233,6*(49-1))))</f>
        <v/>
      </c>
      <c r="BB233" s="3" t="str">
        <f>IF(50&gt;$C233,"",IF($D233=1,EOMONTH(EDATE(Bonds!$H233,6*(50-1)),0),EDATE(Bonds!$H233,6*(50-1))))</f>
        <v/>
      </c>
      <c r="BC233" s="3" t="str">
        <f>IF(51&gt;$C233,"",IF($D233=1,EOMONTH(EDATE(Bonds!$H233,6*(51-1)),0),EDATE(Bonds!$H233,6*(51-1))))</f>
        <v/>
      </c>
      <c r="BD233" s="3" t="str">
        <f>IF(52&gt;$C233,"",IF($D233=1,EOMONTH(EDATE(Bonds!$H233,6*(52-1)),0),EDATE(Bonds!$H233,6*(52-1))))</f>
        <v/>
      </c>
      <c r="BE233" s="3" t="str">
        <f>IF(53&gt;$C233,"",IF($D233=1,EOMONTH(EDATE(Bonds!$H233,6*(53-1)),0),EDATE(Bonds!$H233,6*(53-1))))</f>
        <v/>
      </c>
      <c r="BF233" s="3" t="str">
        <f>IF(54&gt;$C233,"",IF($D233=1,EOMONTH(EDATE(Bonds!$H233,6*(54-1)),0),EDATE(Bonds!$H233,6*(54-1))))</f>
        <v/>
      </c>
      <c r="BG233" s="3" t="str">
        <f>IF(55&gt;$C233,"",IF($D233=1,EOMONTH(EDATE(Bonds!$H233,6*(55-1)),0),EDATE(Bonds!$H233,6*(55-1))))</f>
        <v/>
      </c>
      <c r="BH233" s="3" t="str">
        <f>IF(56&gt;$C233,"",IF($D233=1,EOMONTH(EDATE(Bonds!$H233,6*(56-1)),0),EDATE(Bonds!$H233,6*(56-1))))</f>
        <v/>
      </c>
      <c r="BI233" s="3" t="str">
        <f>IF(57&gt;$C233,"",IF($D233=1,EOMONTH(EDATE(Bonds!$H233,6*(57-1)),0),EDATE(Bonds!$H233,6*(57-1))))</f>
        <v/>
      </c>
      <c r="BJ233" s="3" t="str">
        <f>IF(58&gt;$C233,"",IF($D233=1,EOMONTH(EDATE(Bonds!$H233,6*(58-1)),0),EDATE(Bonds!$H233,6*(58-1))))</f>
        <v/>
      </c>
      <c r="BK233" s="3" t="str">
        <f>IF(59&gt;$C233,"",IF($D233=1,EOMONTH(EDATE(Bonds!$H233,6*(59-1)),0),EDATE(Bonds!$H233,6*(59-1))))</f>
        <v/>
      </c>
      <c r="BL233" s="3" t="str">
        <f>IF(60&gt;$C233,"",IF($D233=1,EOMONTH(EDATE(Bonds!$H233,6*(60-1)),0),EDATE(Bonds!$H233,6*(60-1))))</f>
        <v/>
      </c>
      <c r="BN233" s="7">
        <f t="shared" si="184"/>
        <v>2.0481152641125382</v>
      </c>
      <c r="BO233" s="7">
        <f t="shared" si="185"/>
        <v>2.0067567821648455</v>
      </c>
      <c r="BP233" s="7">
        <f t="shared" si="186"/>
        <v>1.9625529588835846</v>
      </c>
      <c r="BQ233" s="7">
        <f t="shared" si="187"/>
        <v>1.9185336667344151</v>
      </c>
      <c r="BR233" s="7">
        <f t="shared" si="188"/>
        <v>1.8746638682897103</v>
      </c>
      <c r="BS233" s="7">
        <f t="shared" si="189"/>
        <v>1.8324941292666526</v>
      </c>
      <c r="BT233" s="7">
        <f t="shared" si="190"/>
        <v>1.7906881770049818</v>
      </c>
      <c r="BU233" s="7">
        <f t="shared" si="191"/>
        <v>1.750517681872704</v>
      </c>
      <c r="BV233" s="7">
        <f t="shared" si="192"/>
        <v>1.7104947739596226</v>
      </c>
      <c r="BW233" s="7">
        <f t="shared" si="193"/>
        <v>1.6717620857965192</v>
      </c>
      <c r="BX233" s="7">
        <f t="shared" si="194"/>
        <v>1.6328879226393389</v>
      </c>
      <c r="BY233" s="7">
        <f t="shared" si="195"/>
        <v>1.5948175200781229</v>
      </c>
      <c r="BZ233" s="7">
        <f t="shared" si="196"/>
        <v>77.029703967558191</v>
      </c>
      <c r="CA233" s="7">
        <f t="shared" si="197"/>
        <v>0</v>
      </c>
      <c r="CB233" s="7">
        <f t="shared" si="198"/>
        <v>0</v>
      </c>
      <c r="CC233" s="7">
        <f t="shared" si="199"/>
        <v>0</v>
      </c>
      <c r="CD233" s="7">
        <f t="shared" si="200"/>
        <v>0</v>
      </c>
      <c r="CE233" s="7">
        <f t="shared" si="201"/>
        <v>0</v>
      </c>
      <c r="CF233" s="7">
        <f t="shared" si="202"/>
        <v>0</v>
      </c>
      <c r="CG233" s="7">
        <f t="shared" si="203"/>
        <v>0</v>
      </c>
      <c r="CH233" s="7">
        <f t="shared" si="204"/>
        <v>0</v>
      </c>
      <c r="CI233" s="7">
        <f t="shared" si="205"/>
        <v>0</v>
      </c>
      <c r="CJ233" s="7">
        <f t="shared" si="206"/>
        <v>0</v>
      </c>
      <c r="CK233" s="7">
        <f t="shared" si="207"/>
        <v>0</v>
      </c>
      <c r="CL233" s="7">
        <f t="shared" si="208"/>
        <v>0</v>
      </c>
      <c r="CM233" s="7">
        <f t="shared" si="209"/>
        <v>0</v>
      </c>
      <c r="CN233" s="7">
        <f t="shared" si="210"/>
        <v>0</v>
      </c>
      <c r="CO233" s="7">
        <f t="shared" si="211"/>
        <v>0</v>
      </c>
      <c r="CP233" s="7">
        <f t="shared" si="212"/>
        <v>0</v>
      </c>
      <c r="CQ233" s="7">
        <f t="shared" si="213"/>
        <v>0</v>
      </c>
      <c r="CR233" s="7">
        <f t="shared" si="214"/>
        <v>0</v>
      </c>
      <c r="CS233" s="7">
        <f t="shared" si="215"/>
        <v>0</v>
      </c>
      <c r="CT233" s="7">
        <f t="shared" si="216"/>
        <v>0</v>
      </c>
      <c r="CU233" s="7">
        <f t="shared" si="217"/>
        <v>0</v>
      </c>
      <c r="CV233" s="7">
        <f t="shared" si="218"/>
        <v>0</v>
      </c>
      <c r="CW233" s="7">
        <f t="shared" si="219"/>
        <v>0</v>
      </c>
      <c r="CX233" s="7">
        <f t="shared" si="220"/>
        <v>0</v>
      </c>
      <c r="CY233" s="7">
        <f t="shared" si="221"/>
        <v>0</v>
      </c>
      <c r="CZ233" s="7">
        <f t="shared" si="222"/>
        <v>0</v>
      </c>
      <c r="DA233" s="7">
        <f t="shared" si="223"/>
        <v>0</v>
      </c>
      <c r="DB233" s="7">
        <f t="shared" si="224"/>
        <v>0</v>
      </c>
      <c r="DC233" s="7">
        <f t="shared" si="225"/>
        <v>0</v>
      </c>
      <c r="DD233" s="7">
        <f t="shared" si="226"/>
        <v>0</v>
      </c>
      <c r="DE233" s="7">
        <f t="shared" si="227"/>
        <v>0</v>
      </c>
      <c r="DF233" s="7">
        <f t="shared" si="228"/>
        <v>0</v>
      </c>
      <c r="DG233" s="7">
        <f t="shared" si="229"/>
        <v>0</v>
      </c>
      <c r="DH233" s="7">
        <f t="shared" si="230"/>
        <v>0</v>
      </c>
      <c r="DI233" s="7">
        <f t="shared" si="231"/>
        <v>0</v>
      </c>
      <c r="DJ233" s="7">
        <f t="shared" si="232"/>
        <v>0</v>
      </c>
      <c r="DK233" s="7">
        <f t="shared" si="233"/>
        <v>0</v>
      </c>
      <c r="DL233" s="7">
        <f t="shared" si="234"/>
        <v>0</v>
      </c>
      <c r="DM233" s="7">
        <f t="shared" si="235"/>
        <v>0</v>
      </c>
      <c r="DN233" s="7">
        <f t="shared" si="236"/>
        <v>0</v>
      </c>
      <c r="DO233" s="7">
        <f t="shared" si="237"/>
        <v>0</v>
      </c>
      <c r="DP233" s="7">
        <f t="shared" si="238"/>
        <v>0</v>
      </c>
      <c r="DQ233" s="7">
        <f t="shared" si="239"/>
        <v>0</v>
      </c>
      <c r="DR233" s="7">
        <f t="shared" si="240"/>
        <v>0</v>
      </c>
      <c r="DS233" s="7">
        <f t="shared" si="241"/>
        <v>0</v>
      </c>
      <c r="DT233" s="7">
        <f t="shared" si="242"/>
        <v>0</v>
      </c>
      <c r="DU233" s="7">
        <f t="shared" si="243"/>
        <v>0</v>
      </c>
    </row>
    <row r="234" spans="1:125" x14ac:dyDescent="0.2">
      <c r="A234" s="3">
        <f>Bonds!A234</f>
        <v>48548</v>
      </c>
      <c r="B234" s="4">
        <f>Bonds!B234</f>
        <v>3.75</v>
      </c>
      <c r="C234">
        <f>Bonds!P234</f>
        <v>13</v>
      </c>
      <c r="D234">
        <f t="shared" si="183"/>
        <v>1</v>
      </c>
      <c r="E234" s="3">
        <f>IF(1&gt;$C234,"",IF($D234=1,EOMONTH(EDATE(Bonds!$H234,6*(1-1)),0),EDATE(Bonds!$H234,6*(1-1))))</f>
        <v>46356</v>
      </c>
      <c r="F234" s="3">
        <f>IF(2&gt;$C234,"",IF($D234=1,EOMONTH(EDATE(Bonds!$H234,6*(2-1)),0),EDATE(Bonds!$H234,6*(2-1))))</f>
        <v>46538</v>
      </c>
      <c r="G234" s="3">
        <f>IF(3&gt;$C234,"",IF($D234=1,EOMONTH(EDATE(Bonds!$H234,6*(3-1)),0),EDATE(Bonds!$H234,6*(3-1))))</f>
        <v>46721</v>
      </c>
      <c r="H234" s="3">
        <f>IF(4&gt;$C234,"",IF($D234=1,EOMONTH(EDATE(Bonds!$H234,6*(4-1)),0),EDATE(Bonds!$H234,6*(4-1))))</f>
        <v>46904</v>
      </c>
      <c r="I234" s="3">
        <f>IF(5&gt;$C234,"",IF($D234=1,EOMONTH(EDATE(Bonds!$H234,6*(5-1)),0),EDATE(Bonds!$H234,6*(5-1))))</f>
        <v>47087</v>
      </c>
      <c r="J234" s="3">
        <f>IF(6&gt;$C234,"",IF($D234=1,EOMONTH(EDATE(Bonds!$H234,6*(6-1)),0),EDATE(Bonds!$H234,6*(6-1))))</f>
        <v>47269</v>
      </c>
      <c r="K234" s="3">
        <f>IF(7&gt;$C234,"",IF($D234=1,EOMONTH(EDATE(Bonds!$H234,6*(7-1)),0),EDATE(Bonds!$H234,6*(7-1))))</f>
        <v>47452</v>
      </c>
      <c r="L234" s="3">
        <f>IF(8&gt;$C234,"",IF($D234=1,EOMONTH(EDATE(Bonds!$H234,6*(8-1)),0),EDATE(Bonds!$H234,6*(8-1))))</f>
        <v>47634</v>
      </c>
      <c r="M234" s="3">
        <f>IF(9&gt;$C234,"",IF($D234=1,EOMONTH(EDATE(Bonds!$H234,6*(9-1)),0),EDATE(Bonds!$H234,6*(9-1))))</f>
        <v>47817</v>
      </c>
      <c r="N234" s="3">
        <f>IF(10&gt;$C234,"",IF($D234=1,EOMONTH(EDATE(Bonds!$H234,6*(10-1)),0),EDATE(Bonds!$H234,6*(10-1))))</f>
        <v>47999</v>
      </c>
      <c r="O234" s="3">
        <f>IF(11&gt;$C234,"",IF($D234=1,EOMONTH(EDATE(Bonds!$H234,6*(11-1)),0),EDATE(Bonds!$H234,6*(11-1))))</f>
        <v>48182</v>
      </c>
      <c r="P234" s="3">
        <f>IF(12&gt;$C234,"",IF($D234=1,EOMONTH(EDATE(Bonds!$H234,6*(12-1)),0),EDATE(Bonds!$H234,6*(12-1))))</f>
        <v>48365</v>
      </c>
      <c r="Q234" s="3">
        <f>IF(13&gt;$C234,"",IF($D234=1,EOMONTH(EDATE(Bonds!$H234,6*(13-1)),0),EDATE(Bonds!$H234,6*(13-1))))</f>
        <v>48548</v>
      </c>
      <c r="R234" s="3" t="str">
        <f>IF(14&gt;$C234,"",IF($D234=1,EOMONTH(EDATE(Bonds!$H234,6*(14-1)),0),EDATE(Bonds!$H234,6*(14-1))))</f>
        <v/>
      </c>
      <c r="S234" s="3" t="str">
        <f>IF(15&gt;$C234,"",IF($D234=1,EOMONTH(EDATE(Bonds!$H234,6*(15-1)),0),EDATE(Bonds!$H234,6*(15-1))))</f>
        <v/>
      </c>
      <c r="T234" s="3" t="str">
        <f>IF(16&gt;$C234,"",IF($D234=1,EOMONTH(EDATE(Bonds!$H234,6*(16-1)),0),EDATE(Bonds!$H234,6*(16-1))))</f>
        <v/>
      </c>
      <c r="U234" s="3" t="str">
        <f>IF(17&gt;$C234,"",IF($D234=1,EOMONTH(EDATE(Bonds!$H234,6*(17-1)),0),EDATE(Bonds!$H234,6*(17-1))))</f>
        <v/>
      </c>
      <c r="V234" s="3" t="str">
        <f>IF(18&gt;$C234,"",IF($D234=1,EOMONTH(EDATE(Bonds!$H234,6*(18-1)),0),EDATE(Bonds!$H234,6*(18-1))))</f>
        <v/>
      </c>
      <c r="W234" s="3" t="str">
        <f>IF(19&gt;$C234,"",IF($D234=1,EOMONTH(EDATE(Bonds!$H234,6*(19-1)),0),EDATE(Bonds!$H234,6*(19-1))))</f>
        <v/>
      </c>
      <c r="X234" s="3" t="str">
        <f>IF(20&gt;$C234,"",IF($D234=1,EOMONTH(EDATE(Bonds!$H234,6*(20-1)),0),EDATE(Bonds!$H234,6*(20-1))))</f>
        <v/>
      </c>
      <c r="Y234" s="3" t="str">
        <f>IF(21&gt;$C234,"",IF($D234=1,EOMONTH(EDATE(Bonds!$H234,6*(21-1)),0),EDATE(Bonds!$H234,6*(21-1))))</f>
        <v/>
      </c>
      <c r="Z234" s="3" t="str">
        <f>IF(22&gt;$C234,"",IF($D234=1,EOMONTH(EDATE(Bonds!$H234,6*(22-1)),0),EDATE(Bonds!$H234,6*(22-1))))</f>
        <v/>
      </c>
      <c r="AA234" s="3" t="str">
        <f>IF(23&gt;$C234,"",IF($D234=1,EOMONTH(EDATE(Bonds!$H234,6*(23-1)),0),EDATE(Bonds!$H234,6*(23-1))))</f>
        <v/>
      </c>
      <c r="AB234" s="3" t="str">
        <f>IF(24&gt;$C234,"",IF($D234=1,EOMONTH(EDATE(Bonds!$H234,6*(24-1)),0),EDATE(Bonds!$H234,6*(24-1))))</f>
        <v/>
      </c>
      <c r="AC234" s="3" t="str">
        <f>IF(25&gt;$C234,"",IF($D234=1,EOMONTH(EDATE(Bonds!$H234,6*(25-1)),0),EDATE(Bonds!$H234,6*(25-1))))</f>
        <v/>
      </c>
      <c r="AD234" s="3" t="str">
        <f>IF(26&gt;$C234,"",IF($D234=1,EOMONTH(EDATE(Bonds!$H234,6*(26-1)),0),EDATE(Bonds!$H234,6*(26-1))))</f>
        <v/>
      </c>
      <c r="AE234" s="3" t="str">
        <f>IF(27&gt;$C234,"",IF($D234=1,EOMONTH(EDATE(Bonds!$H234,6*(27-1)),0),EDATE(Bonds!$H234,6*(27-1))))</f>
        <v/>
      </c>
      <c r="AF234" s="3" t="str">
        <f>IF(28&gt;$C234,"",IF($D234=1,EOMONTH(EDATE(Bonds!$H234,6*(28-1)),0),EDATE(Bonds!$H234,6*(28-1))))</f>
        <v/>
      </c>
      <c r="AG234" s="3" t="str">
        <f>IF(29&gt;$C234,"",IF($D234=1,EOMONTH(EDATE(Bonds!$H234,6*(29-1)),0),EDATE(Bonds!$H234,6*(29-1))))</f>
        <v/>
      </c>
      <c r="AH234" s="3" t="str">
        <f>IF(30&gt;$C234,"",IF($D234=1,EOMONTH(EDATE(Bonds!$H234,6*(30-1)),0),EDATE(Bonds!$H234,6*(30-1))))</f>
        <v/>
      </c>
      <c r="AI234" s="3" t="str">
        <f>IF(31&gt;$C234,"",IF($D234=1,EOMONTH(EDATE(Bonds!$H234,6*(31-1)),0),EDATE(Bonds!$H234,6*(31-1))))</f>
        <v/>
      </c>
      <c r="AJ234" s="3" t="str">
        <f>IF(32&gt;$C234,"",IF($D234=1,EOMONTH(EDATE(Bonds!$H234,6*(32-1)),0),EDATE(Bonds!$H234,6*(32-1))))</f>
        <v/>
      </c>
      <c r="AK234" s="3" t="str">
        <f>IF(33&gt;$C234,"",IF($D234=1,EOMONTH(EDATE(Bonds!$H234,6*(33-1)),0),EDATE(Bonds!$H234,6*(33-1))))</f>
        <v/>
      </c>
      <c r="AL234" s="3" t="str">
        <f>IF(34&gt;$C234,"",IF($D234=1,EOMONTH(EDATE(Bonds!$H234,6*(34-1)),0),EDATE(Bonds!$H234,6*(34-1))))</f>
        <v/>
      </c>
      <c r="AM234" s="3" t="str">
        <f>IF(35&gt;$C234,"",IF($D234=1,EOMONTH(EDATE(Bonds!$H234,6*(35-1)),0),EDATE(Bonds!$H234,6*(35-1))))</f>
        <v/>
      </c>
      <c r="AN234" s="3" t="str">
        <f>IF(36&gt;$C234,"",IF($D234=1,EOMONTH(EDATE(Bonds!$H234,6*(36-1)),0),EDATE(Bonds!$H234,6*(36-1))))</f>
        <v/>
      </c>
      <c r="AO234" s="3" t="str">
        <f>IF(37&gt;$C234,"",IF($D234=1,EOMONTH(EDATE(Bonds!$H234,6*(37-1)),0),EDATE(Bonds!$H234,6*(37-1))))</f>
        <v/>
      </c>
      <c r="AP234" s="3" t="str">
        <f>IF(38&gt;$C234,"",IF($D234=1,EOMONTH(EDATE(Bonds!$H234,6*(38-1)),0),EDATE(Bonds!$H234,6*(38-1))))</f>
        <v/>
      </c>
      <c r="AQ234" s="3" t="str">
        <f>IF(39&gt;$C234,"",IF($D234=1,EOMONTH(EDATE(Bonds!$H234,6*(39-1)),0),EDATE(Bonds!$H234,6*(39-1))))</f>
        <v/>
      </c>
      <c r="AR234" s="3" t="str">
        <f>IF(40&gt;$C234,"",IF($D234=1,EOMONTH(EDATE(Bonds!$H234,6*(40-1)),0),EDATE(Bonds!$H234,6*(40-1))))</f>
        <v/>
      </c>
      <c r="AS234" s="3" t="str">
        <f>IF(41&gt;$C234,"",IF($D234=1,EOMONTH(EDATE(Bonds!$H234,6*(41-1)),0),EDATE(Bonds!$H234,6*(41-1))))</f>
        <v/>
      </c>
      <c r="AT234" s="3" t="str">
        <f>IF(42&gt;$C234,"",IF($D234=1,EOMONTH(EDATE(Bonds!$H234,6*(42-1)),0),EDATE(Bonds!$H234,6*(42-1))))</f>
        <v/>
      </c>
      <c r="AU234" s="3" t="str">
        <f>IF(43&gt;$C234,"",IF($D234=1,EOMONTH(EDATE(Bonds!$H234,6*(43-1)),0),EDATE(Bonds!$H234,6*(43-1))))</f>
        <v/>
      </c>
      <c r="AV234" s="3" t="str">
        <f>IF(44&gt;$C234,"",IF($D234=1,EOMONTH(EDATE(Bonds!$H234,6*(44-1)),0),EDATE(Bonds!$H234,6*(44-1))))</f>
        <v/>
      </c>
      <c r="AW234" s="3" t="str">
        <f>IF(45&gt;$C234,"",IF($D234=1,EOMONTH(EDATE(Bonds!$H234,6*(45-1)),0),EDATE(Bonds!$H234,6*(45-1))))</f>
        <v/>
      </c>
      <c r="AX234" s="3" t="str">
        <f>IF(46&gt;$C234,"",IF($D234=1,EOMONTH(EDATE(Bonds!$H234,6*(46-1)),0),EDATE(Bonds!$H234,6*(46-1))))</f>
        <v/>
      </c>
      <c r="AY234" s="3" t="str">
        <f>IF(47&gt;$C234,"",IF($D234=1,EOMONTH(EDATE(Bonds!$H234,6*(47-1)),0),EDATE(Bonds!$H234,6*(47-1))))</f>
        <v/>
      </c>
      <c r="AZ234" s="3" t="str">
        <f>IF(48&gt;$C234,"",IF($D234=1,EOMONTH(EDATE(Bonds!$H234,6*(48-1)),0),EDATE(Bonds!$H234,6*(48-1))))</f>
        <v/>
      </c>
      <c r="BA234" s="3" t="str">
        <f>IF(49&gt;$C234,"",IF($D234=1,EOMONTH(EDATE(Bonds!$H234,6*(49-1)),0),EDATE(Bonds!$H234,6*(49-1))))</f>
        <v/>
      </c>
      <c r="BB234" s="3" t="str">
        <f>IF(50&gt;$C234,"",IF($D234=1,EOMONTH(EDATE(Bonds!$H234,6*(50-1)),0),EDATE(Bonds!$H234,6*(50-1))))</f>
        <v/>
      </c>
      <c r="BC234" s="3" t="str">
        <f>IF(51&gt;$C234,"",IF($D234=1,EOMONTH(EDATE(Bonds!$H234,6*(51-1)),0),EDATE(Bonds!$H234,6*(51-1))))</f>
        <v/>
      </c>
      <c r="BD234" s="3" t="str">
        <f>IF(52&gt;$C234,"",IF($D234=1,EOMONTH(EDATE(Bonds!$H234,6*(52-1)),0),EDATE(Bonds!$H234,6*(52-1))))</f>
        <v/>
      </c>
      <c r="BE234" s="3" t="str">
        <f>IF(53&gt;$C234,"",IF($D234=1,EOMONTH(EDATE(Bonds!$H234,6*(53-1)),0),EDATE(Bonds!$H234,6*(53-1))))</f>
        <v/>
      </c>
      <c r="BF234" s="3" t="str">
        <f>IF(54&gt;$C234,"",IF($D234=1,EOMONTH(EDATE(Bonds!$H234,6*(54-1)),0),EDATE(Bonds!$H234,6*(54-1))))</f>
        <v/>
      </c>
      <c r="BG234" s="3" t="str">
        <f>IF(55&gt;$C234,"",IF($D234=1,EOMONTH(EDATE(Bonds!$H234,6*(55-1)),0),EDATE(Bonds!$H234,6*(55-1))))</f>
        <v/>
      </c>
      <c r="BH234" s="3" t="str">
        <f>IF(56&gt;$C234,"",IF($D234=1,EOMONTH(EDATE(Bonds!$H234,6*(56-1)),0),EDATE(Bonds!$H234,6*(56-1))))</f>
        <v/>
      </c>
      <c r="BI234" s="3" t="str">
        <f>IF(57&gt;$C234,"",IF($D234=1,EOMONTH(EDATE(Bonds!$H234,6*(57-1)),0),EDATE(Bonds!$H234,6*(57-1))))</f>
        <v/>
      </c>
      <c r="BJ234" s="3" t="str">
        <f>IF(58&gt;$C234,"",IF($D234=1,EOMONTH(EDATE(Bonds!$H234,6*(58-1)),0),EDATE(Bonds!$H234,6*(58-1))))</f>
        <v/>
      </c>
      <c r="BK234" s="3" t="str">
        <f>IF(59&gt;$C234,"",IF($D234=1,EOMONTH(EDATE(Bonds!$H234,6*(59-1)),0),EDATE(Bonds!$H234,6*(59-1))))</f>
        <v/>
      </c>
      <c r="BL234" s="3" t="str">
        <f>IF(60&gt;$C234,"",IF($D234=1,EOMONTH(EDATE(Bonds!$H234,6*(60-1)),0),EDATE(Bonds!$H234,6*(60-1))))</f>
        <v/>
      </c>
      <c r="BN234" s="7">
        <f t="shared" si="184"/>
        <v>1.8589411999423437</v>
      </c>
      <c r="BO234" s="7">
        <f t="shared" si="185"/>
        <v>1.8208764809500384</v>
      </c>
      <c r="BP234" s="7">
        <f t="shared" si="186"/>
        <v>1.7808352026087773</v>
      </c>
      <c r="BQ234" s="7">
        <f t="shared" si="187"/>
        <v>1.7406230054213425</v>
      </c>
      <c r="BR234" s="7">
        <f t="shared" si="188"/>
        <v>1.7010270151700673</v>
      </c>
      <c r="BS234" s="7">
        <f t="shared" si="189"/>
        <v>1.662560824917716</v>
      </c>
      <c r="BT234" s="7">
        <f t="shared" si="190"/>
        <v>1.6248409632453666</v>
      </c>
      <c r="BU234" s="7">
        <f t="shared" si="191"/>
        <v>1.5881884540419922</v>
      </c>
      <c r="BV234" s="7">
        <f t="shared" si="192"/>
        <v>1.5520572746970076</v>
      </c>
      <c r="BW234" s="7">
        <f t="shared" si="193"/>
        <v>1.5166941824540425</v>
      </c>
      <c r="BX234" s="7">
        <f t="shared" si="194"/>
        <v>1.4815793165340583</v>
      </c>
      <c r="BY234" s="7">
        <f t="shared" si="195"/>
        <v>1.4468053263442802</v>
      </c>
      <c r="BZ234" s="7">
        <f t="shared" si="196"/>
        <v>76.735011375874734</v>
      </c>
      <c r="CA234" s="7">
        <f t="shared" si="197"/>
        <v>0</v>
      </c>
      <c r="CB234" s="7">
        <f t="shared" si="198"/>
        <v>0</v>
      </c>
      <c r="CC234" s="7">
        <f t="shared" si="199"/>
        <v>0</v>
      </c>
      <c r="CD234" s="7">
        <f t="shared" si="200"/>
        <v>0</v>
      </c>
      <c r="CE234" s="7">
        <f t="shared" si="201"/>
        <v>0</v>
      </c>
      <c r="CF234" s="7">
        <f t="shared" si="202"/>
        <v>0</v>
      </c>
      <c r="CG234" s="7">
        <f t="shared" si="203"/>
        <v>0</v>
      </c>
      <c r="CH234" s="7">
        <f t="shared" si="204"/>
        <v>0</v>
      </c>
      <c r="CI234" s="7">
        <f t="shared" si="205"/>
        <v>0</v>
      </c>
      <c r="CJ234" s="7">
        <f t="shared" si="206"/>
        <v>0</v>
      </c>
      <c r="CK234" s="7">
        <f t="shared" si="207"/>
        <v>0</v>
      </c>
      <c r="CL234" s="7">
        <f t="shared" si="208"/>
        <v>0</v>
      </c>
      <c r="CM234" s="7">
        <f t="shared" si="209"/>
        <v>0</v>
      </c>
      <c r="CN234" s="7">
        <f t="shared" si="210"/>
        <v>0</v>
      </c>
      <c r="CO234" s="7">
        <f t="shared" si="211"/>
        <v>0</v>
      </c>
      <c r="CP234" s="7">
        <f t="shared" si="212"/>
        <v>0</v>
      </c>
      <c r="CQ234" s="7">
        <f t="shared" si="213"/>
        <v>0</v>
      </c>
      <c r="CR234" s="7">
        <f t="shared" si="214"/>
        <v>0</v>
      </c>
      <c r="CS234" s="7">
        <f t="shared" si="215"/>
        <v>0</v>
      </c>
      <c r="CT234" s="7">
        <f t="shared" si="216"/>
        <v>0</v>
      </c>
      <c r="CU234" s="7">
        <f t="shared" si="217"/>
        <v>0</v>
      </c>
      <c r="CV234" s="7">
        <f t="shared" si="218"/>
        <v>0</v>
      </c>
      <c r="CW234" s="7">
        <f t="shared" si="219"/>
        <v>0</v>
      </c>
      <c r="CX234" s="7">
        <f t="shared" si="220"/>
        <v>0</v>
      </c>
      <c r="CY234" s="7">
        <f t="shared" si="221"/>
        <v>0</v>
      </c>
      <c r="CZ234" s="7">
        <f t="shared" si="222"/>
        <v>0</v>
      </c>
      <c r="DA234" s="7">
        <f t="shared" si="223"/>
        <v>0</v>
      </c>
      <c r="DB234" s="7">
        <f t="shared" si="224"/>
        <v>0</v>
      </c>
      <c r="DC234" s="7">
        <f t="shared" si="225"/>
        <v>0</v>
      </c>
      <c r="DD234" s="7">
        <f t="shared" si="226"/>
        <v>0</v>
      </c>
      <c r="DE234" s="7">
        <f t="shared" si="227"/>
        <v>0</v>
      </c>
      <c r="DF234" s="7">
        <f t="shared" si="228"/>
        <v>0</v>
      </c>
      <c r="DG234" s="7">
        <f t="shared" si="229"/>
        <v>0</v>
      </c>
      <c r="DH234" s="7">
        <f t="shared" si="230"/>
        <v>0</v>
      </c>
      <c r="DI234" s="7">
        <f t="shared" si="231"/>
        <v>0</v>
      </c>
      <c r="DJ234" s="7">
        <f t="shared" si="232"/>
        <v>0</v>
      </c>
      <c r="DK234" s="7">
        <f t="shared" si="233"/>
        <v>0</v>
      </c>
      <c r="DL234" s="7">
        <f t="shared" si="234"/>
        <v>0</v>
      </c>
      <c r="DM234" s="7">
        <f t="shared" si="235"/>
        <v>0</v>
      </c>
      <c r="DN234" s="7">
        <f t="shared" si="236"/>
        <v>0</v>
      </c>
      <c r="DO234" s="7">
        <f t="shared" si="237"/>
        <v>0</v>
      </c>
      <c r="DP234" s="7">
        <f t="shared" si="238"/>
        <v>0</v>
      </c>
      <c r="DQ234" s="7">
        <f t="shared" si="239"/>
        <v>0</v>
      </c>
      <c r="DR234" s="7">
        <f t="shared" si="240"/>
        <v>0</v>
      </c>
      <c r="DS234" s="7">
        <f t="shared" si="241"/>
        <v>0</v>
      </c>
      <c r="DT234" s="7">
        <f t="shared" si="242"/>
        <v>0</v>
      </c>
      <c r="DU234" s="7">
        <f t="shared" si="243"/>
        <v>0</v>
      </c>
    </row>
    <row r="235" spans="1:125" x14ac:dyDescent="0.2">
      <c r="A235" s="3">
        <f>Bonds!A235</f>
        <v>48579</v>
      </c>
      <c r="B235" s="4">
        <f>Bonds!B235</f>
        <v>3.875</v>
      </c>
      <c r="C235">
        <f>Bonds!P235</f>
        <v>13</v>
      </c>
      <c r="D235">
        <f t="shared" si="183"/>
        <v>1</v>
      </c>
      <c r="E235" s="3">
        <f>IF(1&gt;$C235,"",IF($D235=1,EOMONTH(EDATE(Bonds!$H235,6*(1-1)),0),EDATE(Bonds!$H235,6*(1-1))))</f>
        <v>46387</v>
      </c>
      <c r="F235" s="3">
        <f>IF(2&gt;$C235,"",IF($D235=1,EOMONTH(EDATE(Bonds!$H235,6*(2-1)),0),EDATE(Bonds!$H235,6*(2-1))))</f>
        <v>46568</v>
      </c>
      <c r="G235" s="3">
        <f>IF(3&gt;$C235,"",IF($D235=1,EOMONTH(EDATE(Bonds!$H235,6*(3-1)),0),EDATE(Bonds!$H235,6*(3-1))))</f>
        <v>46752</v>
      </c>
      <c r="H235" s="3">
        <f>IF(4&gt;$C235,"",IF($D235=1,EOMONTH(EDATE(Bonds!$H235,6*(4-1)),0),EDATE(Bonds!$H235,6*(4-1))))</f>
        <v>46934</v>
      </c>
      <c r="I235" s="3">
        <f>IF(5&gt;$C235,"",IF($D235=1,EOMONTH(EDATE(Bonds!$H235,6*(5-1)),0),EDATE(Bonds!$H235,6*(5-1))))</f>
        <v>47118</v>
      </c>
      <c r="J235" s="3">
        <f>IF(6&gt;$C235,"",IF($D235=1,EOMONTH(EDATE(Bonds!$H235,6*(6-1)),0),EDATE(Bonds!$H235,6*(6-1))))</f>
        <v>47299</v>
      </c>
      <c r="K235" s="3">
        <f>IF(7&gt;$C235,"",IF($D235=1,EOMONTH(EDATE(Bonds!$H235,6*(7-1)),0),EDATE(Bonds!$H235,6*(7-1))))</f>
        <v>47483</v>
      </c>
      <c r="L235" s="3">
        <f>IF(8&gt;$C235,"",IF($D235=1,EOMONTH(EDATE(Bonds!$H235,6*(8-1)),0),EDATE(Bonds!$H235,6*(8-1))))</f>
        <v>47664</v>
      </c>
      <c r="M235" s="3">
        <f>IF(9&gt;$C235,"",IF($D235=1,EOMONTH(EDATE(Bonds!$H235,6*(9-1)),0),EDATE(Bonds!$H235,6*(9-1))))</f>
        <v>47848</v>
      </c>
      <c r="N235" s="3">
        <f>IF(10&gt;$C235,"",IF($D235=1,EOMONTH(EDATE(Bonds!$H235,6*(10-1)),0),EDATE(Bonds!$H235,6*(10-1))))</f>
        <v>48029</v>
      </c>
      <c r="O235" s="3">
        <f>IF(11&gt;$C235,"",IF($D235=1,EOMONTH(EDATE(Bonds!$H235,6*(11-1)),0),EDATE(Bonds!$H235,6*(11-1))))</f>
        <v>48213</v>
      </c>
      <c r="P235" s="3">
        <f>IF(12&gt;$C235,"",IF($D235=1,EOMONTH(EDATE(Bonds!$H235,6*(12-1)),0),EDATE(Bonds!$H235,6*(12-1))))</f>
        <v>48395</v>
      </c>
      <c r="Q235" s="3">
        <f>IF(13&gt;$C235,"",IF($D235=1,EOMONTH(EDATE(Bonds!$H235,6*(13-1)),0),EDATE(Bonds!$H235,6*(13-1))))</f>
        <v>48579</v>
      </c>
      <c r="R235" s="3" t="str">
        <f>IF(14&gt;$C235,"",IF($D235=1,EOMONTH(EDATE(Bonds!$H235,6*(14-1)),0),EDATE(Bonds!$H235,6*(14-1))))</f>
        <v/>
      </c>
      <c r="S235" s="3" t="str">
        <f>IF(15&gt;$C235,"",IF($D235=1,EOMONTH(EDATE(Bonds!$H235,6*(15-1)),0),EDATE(Bonds!$H235,6*(15-1))))</f>
        <v/>
      </c>
      <c r="T235" s="3" t="str">
        <f>IF(16&gt;$C235,"",IF($D235=1,EOMONTH(EDATE(Bonds!$H235,6*(16-1)),0),EDATE(Bonds!$H235,6*(16-1))))</f>
        <v/>
      </c>
      <c r="U235" s="3" t="str">
        <f>IF(17&gt;$C235,"",IF($D235=1,EOMONTH(EDATE(Bonds!$H235,6*(17-1)),0),EDATE(Bonds!$H235,6*(17-1))))</f>
        <v/>
      </c>
      <c r="V235" s="3" t="str">
        <f>IF(18&gt;$C235,"",IF($D235=1,EOMONTH(EDATE(Bonds!$H235,6*(18-1)),0),EDATE(Bonds!$H235,6*(18-1))))</f>
        <v/>
      </c>
      <c r="W235" s="3" t="str">
        <f>IF(19&gt;$C235,"",IF($D235=1,EOMONTH(EDATE(Bonds!$H235,6*(19-1)),0),EDATE(Bonds!$H235,6*(19-1))))</f>
        <v/>
      </c>
      <c r="X235" s="3" t="str">
        <f>IF(20&gt;$C235,"",IF($D235=1,EOMONTH(EDATE(Bonds!$H235,6*(20-1)),0),EDATE(Bonds!$H235,6*(20-1))))</f>
        <v/>
      </c>
      <c r="Y235" s="3" t="str">
        <f>IF(21&gt;$C235,"",IF($D235=1,EOMONTH(EDATE(Bonds!$H235,6*(21-1)),0),EDATE(Bonds!$H235,6*(21-1))))</f>
        <v/>
      </c>
      <c r="Z235" s="3" t="str">
        <f>IF(22&gt;$C235,"",IF($D235=1,EOMONTH(EDATE(Bonds!$H235,6*(22-1)),0),EDATE(Bonds!$H235,6*(22-1))))</f>
        <v/>
      </c>
      <c r="AA235" s="3" t="str">
        <f>IF(23&gt;$C235,"",IF($D235=1,EOMONTH(EDATE(Bonds!$H235,6*(23-1)),0),EDATE(Bonds!$H235,6*(23-1))))</f>
        <v/>
      </c>
      <c r="AB235" s="3" t="str">
        <f>IF(24&gt;$C235,"",IF($D235=1,EOMONTH(EDATE(Bonds!$H235,6*(24-1)),0),EDATE(Bonds!$H235,6*(24-1))))</f>
        <v/>
      </c>
      <c r="AC235" s="3" t="str">
        <f>IF(25&gt;$C235,"",IF($D235=1,EOMONTH(EDATE(Bonds!$H235,6*(25-1)),0),EDATE(Bonds!$H235,6*(25-1))))</f>
        <v/>
      </c>
      <c r="AD235" s="3" t="str">
        <f>IF(26&gt;$C235,"",IF($D235=1,EOMONTH(EDATE(Bonds!$H235,6*(26-1)),0),EDATE(Bonds!$H235,6*(26-1))))</f>
        <v/>
      </c>
      <c r="AE235" s="3" t="str">
        <f>IF(27&gt;$C235,"",IF($D235=1,EOMONTH(EDATE(Bonds!$H235,6*(27-1)),0),EDATE(Bonds!$H235,6*(27-1))))</f>
        <v/>
      </c>
      <c r="AF235" s="3" t="str">
        <f>IF(28&gt;$C235,"",IF($D235=1,EOMONTH(EDATE(Bonds!$H235,6*(28-1)),0),EDATE(Bonds!$H235,6*(28-1))))</f>
        <v/>
      </c>
      <c r="AG235" s="3" t="str">
        <f>IF(29&gt;$C235,"",IF($D235=1,EOMONTH(EDATE(Bonds!$H235,6*(29-1)),0),EDATE(Bonds!$H235,6*(29-1))))</f>
        <v/>
      </c>
      <c r="AH235" s="3" t="str">
        <f>IF(30&gt;$C235,"",IF($D235=1,EOMONTH(EDATE(Bonds!$H235,6*(30-1)),0),EDATE(Bonds!$H235,6*(30-1))))</f>
        <v/>
      </c>
      <c r="AI235" s="3" t="str">
        <f>IF(31&gt;$C235,"",IF($D235=1,EOMONTH(EDATE(Bonds!$H235,6*(31-1)),0),EDATE(Bonds!$H235,6*(31-1))))</f>
        <v/>
      </c>
      <c r="AJ235" s="3" t="str">
        <f>IF(32&gt;$C235,"",IF($D235=1,EOMONTH(EDATE(Bonds!$H235,6*(32-1)),0),EDATE(Bonds!$H235,6*(32-1))))</f>
        <v/>
      </c>
      <c r="AK235" s="3" t="str">
        <f>IF(33&gt;$C235,"",IF($D235=1,EOMONTH(EDATE(Bonds!$H235,6*(33-1)),0),EDATE(Bonds!$H235,6*(33-1))))</f>
        <v/>
      </c>
      <c r="AL235" s="3" t="str">
        <f>IF(34&gt;$C235,"",IF($D235=1,EOMONTH(EDATE(Bonds!$H235,6*(34-1)),0),EDATE(Bonds!$H235,6*(34-1))))</f>
        <v/>
      </c>
      <c r="AM235" s="3" t="str">
        <f>IF(35&gt;$C235,"",IF($D235=1,EOMONTH(EDATE(Bonds!$H235,6*(35-1)),0),EDATE(Bonds!$H235,6*(35-1))))</f>
        <v/>
      </c>
      <c r="AN235" s="3" t="str">
        <f>IF(36&gt;$C235,"",IF($D235=1,EOMONTH(EDATE(Bonds!$H235,6*(36-1)),0),EDATE(Bonds!$H235,6*(36-1))))</f>
        <v/>
      </c>
      <c r="AO235" s="3" t="str">
        <f>IF(37&gt;$C235,"",IF($D235=1,EOMONTH(EDATE(Bonds!$H235,6*(37-1)),0),EDATE(Bonds!$H235,6*(37-1))))</f>
        <v/>
      </c>
      <c r="AP235" s="3" t="str">
        <f>IF(38&gt;$C235,"",IF($D235=1,EOMONTH(EDATE(Bonds!$H235,6*(38-1)),0),EDATE(Bonds!$H235,6*(38-1))))</f>
        <v/>
      </c>
      <c r="AQ235" s="3" t="str">
        <f>IF(39&gt;$C235,"",IF($D235=1,EOMONTH(EDATE(Bonds!$H235,6*(39-1)),0),EDATE(Bonds!$H235,6*(39-1))))</f>
        <v/>
      </c>
      <c r="AR235" s="3" t="str">
        <f>IF(40&gt;$C235,"",IF($D235=1,EOMONTH(EDATE(Bonds!$H235,6*(40-1)),0),EDATE(Bonds!$H235,6*(40-1))))</f>
        <v/>
      </c>
      <c r="AS235" s="3" t="str">
        <f>IF(41&gt;$C235,"",IF($D235=1,EOMONTH(EDATE(Bonds!$H235,6*(41-1)),0),EDATE(Bonds!$H235,6*(41-1))))</f>
        <v/>
      </c>
      <c r="AT235" s="3" t="str">
        <f>IF(42&gt;$C235,"",IF($D235=1,EOMONTH(EDATE(Bonds!$H235,6*(42-1)),0),EDATE(Bonds!$H235,6*(42-1))))</f>
        <v/>
      </c>
      <c r="AU235" s="3" t="str">
        <f>IF(43&gt;$C235,"",IF($D235=1,EOMONTH(EDATE(Bonds!$H235,6*(43-1)),0),EDATE(Bonds!$H235,6*(43-1))))</f>
        <v/>
      </c>
      <c r="AV235" s="3" t="str">
        <f>IF(44&gt;$C235,"",IF($D235=1,EOMONTH(EDATE(Bonds!$H235,6*(44-1)),0),EDATE(Bonds!$H235,6*(44-1))))</f>
        <v/>
      </c>
      <c r="AW235" s="3" t="str">
        <f>IF(45&gt;$C235,"",IF($D235=1,EOMONTH(EDATE(Bonds!$H235,6*(45-1)),0),EDATE(Bonds!$H235,6*(45-1))))</f>
        <v/>
      </c>
      <c r="AX235" s="3" t="str">
        <f>IF(46&gt;$C235,"",IF($D235=1,EOMONTH(EDATE(Bonds!$H235,6*(46-1)),0),EDATE(Bonds!$H235,6*(46-1))))</f>
        <v/>
      </c>
      <c r="AY235" s="3" t="str">
        <f>IF(47&gt;$C235,"",IF($D235=1,EOMONTH(EDATE(Bonds!$H235,6*(47-1)),0),EDATE(Bonds!$H235,6*(47-1))))</f>
        <v/>
      </c>
      <c r="AZ235" s="3" t="str">
        <f>IF(48&gt;$C235,"",IF($D235=1,EOMONTH(EDATE(Bonds!$H235,6*(48-1)),0),EDATE(Bonds!$H235,6*(48-1))))</f>
        <v/>
      </c>
      <c r="BA235" s="3" t="str">
        <f>IF(49&gt;$C235,"",IF($D235=1,EOMONTH(EDATE(Bonds!$H235,6*(49-1)),0),EDATE(Bonds!$H235,6*(49-1))))</f>
        <v/>
      </c>
      <c r="BB235" s="3" t="str">
        <f>IF(50&gt;$C235,"",IF($D235=1,EOMONTH(EDATE(Bonds!$H235,6*(50-1)),0),EDATE(Bonds!$H235,6*(50-1))))</f>
        <v/>
      </c>
      <c r="BC235" s="3" t="str">
        <f>IF(51&gt;$C235,"",IF($D235=1,EOMONTH(EDATE(Bonds!$H235,6*(51-1)),0),EDATE(Bonds!$H235,6*(51-1))))</f>
        <v/>
      </c>
      <c r="BD235" s="3" t="str">
        <f>IF(52&gt;$C235,"",IF($D235=1,EOMONTH(EDATE(Bonds!$H235,6*(52-1)),0),EDATE(Bonds!$H235,6*(52-1))))</f>
        <v/>
      </c>
      <c r="BE235" s="3" t="str">
        <f>IF(53&gt;$C235,"",IF($D235=1,EOMONTH(EDATE(Bonds!$H235,6*(53-1)),0),EDATE(Bonds!$H235,6*(53-1))))</f>
        <v/>
      </c>
      <c r="BF235" s="3" t="str">
        <f>IF(54&gt;$C235,"",IF($D235=1,EOMONTH(EDATE(Bonds!$H235,6*(54-1)),0),EDATE(Bonds!$H235,6*(54-1))))</f>
        <v/>
      </c>
      <c r="BG235" s="3" t="str">
        <f>IF(55&gt;$C235,"",IF($D235=1,EOMONTH(EDATE(Bonds!$H235,6*(55-1)),0),EDATE(Bonds!$H235,6*(55-1))))</f>
        <v/>
      </c>
      <c r="BH235" s="3" t="str">
        <f>IF(56&gt;$C235,"",IF($D235=1,EOMONTH(EDATE(Bonds!$H235,6*(56-1)),0),EDATE(Bonds!$H235,6*(56-1))))</f>
        <v/>
      </c>
      <c r="BI235" s="3" t="str">
        <f>IF(57&gt;$C235,"",IF($D235=1,EOMONTH(EDATE(Bonds!$H235,6*(57-1)),0),EDATE(Bonds!$H235,6*(57-1))))</f>
        <v/>
      </c>
      <c r="BJ235" s="3" t="str">
        <f>IF(58&gt;$C235,"",IF($D235=1,EOMONTH(EDATE(Bonds!$H235,6*(58-1)),0),EDATE(Bonds!$H235,6*(58-1))))</f>
        <v/>
      </c>
      <c r="BK235" s="3" t="str">
        <f>IF(59&gt;$C235,"",IF($D235=1,EOMONTH(EDATE(Bonds!$H235,6*(59-1)),0),EDATE(Bonds!$H235,6*(59-1))))</f>
        <v/>
      </c>
      <c r="BL235" s="3" t="str">
        <f>IF(60&gt;$C235,"",IF($D235=1,EOMONTH(EDATE(Bonds!$H235,6*(60-1)),0),EDATE(Bonds!$H235,6*(60-1))))</f>
        <v/>
      </c>
      <c r="BN235" s="7">
        <f t="shared" si="184"/>
        <v>1.9144411123253822</v>
      </c>
      <c r="BO235" s="7">
        <f t="shared" si="185"/>
        <v>1.8748576914456776</v>
      </c>
      <c r="BP235" s="7">
        <f t="shared" si="186"/>
        <v>1.8331391898912444</v>
      </c>
      <c r="BQ235" s="7">
        <f t="shared" si="187"/>
        <v>1.7918796004027246</v>
      </c>
      <c r="BR235" s="7">
        <f t="shared" si="188"/>
        <v>1.7508874700381651</v>
      </c>
      <c r="BS235" s="7">
        <f t="shared" si="189"/>
        <v>1.7115232298365863</v>
      </c>
      <c r="BT235" s="7">
        <f t="shared" si="190"/>
        <v>1.672492222559919</v>
      </c>
      <c r="BU235" s="7">
        <f t="shared" si="191"/>
        <v>1.6349603658207748</v>
      </c>
      <c r="BV235" s="7">
        <f t="shared" si="192"/>
        <v>1.5975308338283909</v>
      </c>
      <c r="BW235" s="7">
        <f t="shared" si="193"/>
        <v>1.5612740230660866</v>
      </c>
      <c r="BX235" s="7">
        <f t="shared" si="194"/>
        <v>1.5248559153395012</v>
      </c>
      <c r="BY235" s="7">
        <f t="shared" si="195"/>
        <v>1.4891695583447913</v>
      </c>
      <c r="BZ235" s="7">
        <f t="shared" si="196"/>
        <v>76.46558141859802</v>
      </c>
      <c r="CA235" s="7">
        <f t="shared" si="197"/>
        <v>0</v>
      </c>
      <c r="CB235" s="7">
        <f t="shared" si="198"/>
        <v>0</v>
      </c>
      <c r="CC235" s="7">
        <f t="shared" si="199"/>
        <v>0</v>
      </c>
      <c r="CD235" s="7">
        <f t="shared" si="200"/>
        <v>0</v>
      </c>
      <c r="CE235" s="7">
        <f t="shared" si="201"/>
        <v>0</v>
      </c>
      <c r="CF235" s="7">
        <f t="shared" si="202"/>
        <v>0</v>
      </c>
      <c r="CG235" s="7">
        <f t="shared" si="203"/>
        <v>0</v>
      </c>
      <c r="CH235" s="7">
        <f t="shared" si="204"/>
        <v>0</v>
      </c>
      <c r="CI235" s="7">
        <f t="shared" si="205"/>
        <v>0</v>
      </c>
      <c r="CJ235" s="7">
        <f t="shared" si="206"/>
        <v>0</v>
      </c>
      <c r="CK235" s="7">
        <f t="shared" si="207"/>
        <v>0</v>
      </c>
      <c r="CL235" s="7">
        <f t="shared" si="208"/>
        <v>0</v>
      </c>
      <c r="CM235" s="7">
        <f t="shared" si="209"/>
        <v>0</v>
      </c>
      <c r="CN235" s="7">
        <f t="shared" si="210"/>
        <v>0</v>
      </c>
      <c r="CO235" s="7">
        <f t="shared" si="211"/>
        <v>0</v>
      </c>
      <c r="CP235" s="7">
        <f t="shared" si="212"/>
        <v>0</v>
      </c>
      <c r="CQ235" s="7">
        <f t="shared" si="213"/>
        <v>0</v>
      </c>
      <c r="CR235" s="7">
        <f t="shared" si="214"/>
        <v>0</v>
      </c>
      <c r="CS235" s="7">
        <f t="shared" si="215"/>
        <v>0</v>
      </c>
      <c r="CT235" s="7">
        <f t="shared" si="216"/>
        <v>0</v>
      </c>
      <c r="CU235" s="7">
        <f t="shared" si="217"/>
        <v>0</v>
      </c>
      <c r="CV235" s="7">
        <f t="shared" si="218"/>
        <v>0</v>
      </c>
      <c r="CW235" s="7">
        <f t="shared" si="219"/>
        <v>0</v>
      </c>
      <c r="CX235" s="7">
        <f t="shared" si="220"/>
        <v>0</v>
      </c>
      <c r="CY235" s="7">
        <f t="shared" si="221"/>
        <v>0</v>
      </c>
      <c r="CZ235" s="7">
        <f t="shared" si="222"/>
        <v>0</v>
      </c>
      <c r="DA235" s="7">
        <f t="shared" si="223"/>
        <v>0</v>
      </c>
      <c r="DB235" s="7">
        <f t="shared" si="224"/>
        <v>0</v>
      </c>
      <c r="DC235" s="7">
        <f t="shared" si="225"/>
        <v>0</v>
      </c>
      <c r="DD235" s="7">
        <f t="shared" si="226"/>
        <v>0</v>
      </c>
      <c r="DE235" s="7">
        <f t="shared" si="227"/>
        <v>0</v>
      </c>
      <c r="DF235" s="7">
        <f t="shared" si="228"/>
        <v>0</v>
      </c>
      <c r="DG235" s="7">
        <f t="shared" si="229"/>
        <v>0</v>
      </c>
      <c r="DH235" s="7">
        <f t="shared" si="230"/>
        <v>0</v>
      </c>
      <c r="DI235" s="7">
        <f t="shared" si="231"/>
        <v>0</v>
      </c>
      <c r="DJ235" s="7">
        <f t="shared" si="232"/>
        <v>0</v>
      </c>
      <c r="DK235" s="7">
        <f t="shared" si="233"/>
        <v>0</v>
      </c>
      <c r="DL235" s="7">
        <f t="shared" si="234"/>
        <v>0</v>
      </c>
      <c r="DM235" s="7">
        <f t="shared" si="235"/>
        <v>0</v>
      </c>
      <c r="DN235" s="7">
        <f t="shared" si="236"/>
        <v>0</v>
      </c>
      <c r="DO235" s="7">
        <f t="shared" si="237"/>
        <v>0</v>
      </c>
      <c r="DP235" s="7">
        <f t="shared" si="238"/>
        <v>0</v>
      </c>
      <c r="DQ235" s="7">
        <f t="shared" si="239"/>
        <v>0</v>
      </c>
      <c r="DR235" s="7">
        <f t="shared" si="240"/>
        <v>0</v>
      </c>
      <c r="DS235" s="7">
        <f t="shared" si="241"/>
        <v>0</v>
      </c>
      <c r="DT235" s="7">
        <f t="shared" si="242"/>
        <v>0</v>
      </c>
      <c r="DU235" s="7">
        <f t="shared" si="243"/>
        <v>0</v>
      </c>
    </row>
    <row r="236" spans="1:125" x14ac:dyDescent="0.2">
      <c r="A236" s="3">
        <f>Bonds!A236</f>
        <v>48610</v>
      </c>
      <c r="B236" s="4">
        <f>Bonds!B236</f>
        <v>4</v>
      </c>
      <c r="C236">
        <f>Bonds!P236</f>
        <v>13</v>
      </c>
      <c r="D236">
        <f t="shared" si="183"/>
        <v>1</v>
      </c>
      <c r="E236" s="3">
        <f>IF(1&gt;$C236,"",IF($D236=1,EOMONTH(EDATE(Bonds!$H236,6*(1-1)),0),EDATE(Bonds!$H236,6*(1-1))))</f>
        <v>46418</v>
      </c>
      <c r="F236" s="3">
        <f>IF(2&gt;$C236,"",IF($D236=1,EOMONTH(EDATE(Bonds!$H236,6*(2-1)),0),EDATE(Bonds!$H236,6*(2-1))))</f>
        <v>46599</v>
      </c>
      <c r="G236" s="3">
        <f>IF(3&gt;$C236,"",IF($D236=1,EOMONTH(EDATE(Bonds!$H236,6*(3-1)),0),EDATE(Bonds!$H236,6*(3-1))))</f>
        <v>46783</v>
      </c>
      <c r="H236" s="3">
        <f>IF(4&gt;$C236,"",IF($D236=1,EOMONTH(EDATE(Bonds!$H236,6*(4-1)),0),EDATE(Bonds!$H236,6*(4-1))))</f>
        <v>46965</v>
      </c>
      <c r="I236" s="3">
        <f>IF(5&gt;$C236,"",IF($D236=1,EOMONTH(EDATE(Bonds!$H236,6*(5-1)),0),EDATE(Bonds!$H236,6*(5-1))))</f>
        <v>47149</v>
      </c>
      <c r="J236" s="3">
        <f>IF(6&gt;$C236,"",IF($D236=1,EOMONTH(EDATE(Bonds!$H236,6*(6-1)),0),EDATE(Bonds!$H236,6*(6-1))))</f>
        <v>47330</v>
      </c>
      <c r="K236" s="3">
        <f>IF(7&gt;$C236,"",IF($D236=1,EOMONTH(EDATE(Bonds!$H236,6*(7-1)),0),EDATE(Bonds!$H236,6*(7-1))))</f>
        <v>47514</v>
      </c>
      <c r="L236" s="3">
        <f>IF(8&gt;$C236,"",IF($D236=1,EOMONTH(EDATE(Bonds!$H236,6*(8-1)),0),EDATE(Bonds!$H236,6*(8-1))))</f>
        <v>47695</v>
      </c>
      <c r="M236" s="3">
        <f>IF(9&gt;$C236,"",IF($D236=1,EOMONTH(EDATE(Bonds!$H236,6*(9-1)),0),EDATE(Bonds!$H236,6*(9-1))))</f>
        <v>47879</v>
      </c>
      <c r="N236" s="3">
        <f>IF(10&gt;$C236,"",IF($D236=1,EOMONTH(EDATE(Bonds!$H236,6*(10-1)),0),EDATE(Bonds!$H236,6*(10-1))))</f>
        <v>48060</v>
      </c>
      <c r="O236" s="3">
        <f>IF(11&gt;$C236,"",IF($D236=1,EOMONTH(EDATE(Bonds!$H236,6*(11-1)),0),EDATE(Bonds!$H236,6*(11-1))))</f>
        <v>48244</v>
      </c>
      <c r="P236" s="3">
        <f>IF(12&gt;$C236,"",IF($D236=1,EOMONTH(EDATE(Bonds!$H236,6*(12-1)),0),EDATE(Bonds!$H236,6*(12-1))))</f>
        <v>48426</v>
      </c>
      <c r="Q236" s="3">
        <f>IF(13&gt;$C236,"",IF($D236=1,EOMONTH(EDATE(Bonds!$H236,6*(13-1)),0),EDATE(Bonds!$H236,6*(13-1))))</f>
        <v>48610</v>
      </c>
      <c r="R236" s="3" t="str">
        <f>IF(14&gt;$C236,"",IF($D236=1,EOMONTH(EDATE(Bonds!$H236,6*(14-1)),0),EDATE(Bonds!$H236,6*(14-1))))</f>
        <v/>
      </c>
      <c r="S236" s="3" t="str">
        <f>IF(15&gt;$C236,"",IF($D236=1,EOMONTH(EDATE(Bonds!$H236,6*(15-1)),0),EDATE(Bonds!$H236,6*(15-1))))</f>
        <v/>
      </c>
      <c r="T236" s="3" t="str">
        <f>IF(16&gt;$C236,"",IF($D236=1,EOMONTH(EDATE(Bonds!$H236,6*(16-1)),0),EDATE(Bonds!$H236,6*(16-1))))</f>
        <v/>
      </c>
      <c r="U236" s="3" t="str">
        <f>IF(17&gt;$C236,"",IF($D236=1,EOMONTH(EDATE(Bonds!$H236,6*(17-1)),0),EDATE(Bonds!$H236,6*(17-1))))</f>
        <v/>
      </c>
      <c r="V236" s="3" t="str">
        <f>IF(18&gt;$C236,"",IF($D236=1,EOMONTH(EDATE(Bonds!$H236,6*(18-1)),0),EDATE(Bonds!$H236,6*(18-1))))</f>
        <v/>
      </c>
      <c r="W236" s="3" t="str">
        <f>IF(19&gt;$C236,"",IF($D236=1,EOMONTH(EDATE(Bonds!$H236,6*(19-1)),0),EDATE(Bonds!$H236,6*(19-1))))</f>
        <v/>
      </c>
      <c r="X236" s="3" t="str">
        <f>IF(20&gt;$C236,"",IF($D236=1,EOMONTH(EDATE(Bonds!$H236,6*(20-1)),0),EDATE(Bonds!$H236,6*(20-1))))</f>
        <v/>
      </c>
      <c r="Y236" s="3" t="str">
        <f>IF(21&gt;$C236,"",IF($D236=1,EOMONTH(EDATE(Bonds!$H236,6*(21-1)),0),EDATE(Bonds!$H236,6*(21-1))))</f>
        <v/>
      </c>
      <c r="Z236" s="3" t="str">
        <f>IF(22&gt;$C236,"",IF($D236=1,EOMONTH(EDATE(Bonds!$H236,6*(22-1)),0),EDATE(Bonds!$H236,6*(22-1))))</f>
        <v/>
      </c>
      <c r="AA236" s="3" t="str">
        <f>IF(23&gt;$C236,"",IF($D236=1,EOMONTH(EDATE(Bonds!$H236,6*(23-1)),0),EDATE(Bonds!$H236,6*(23-1))))</f>
        <v/>
      </c>
      <c r="AB236" s="3" t="str">
        <f>IF(24&gt;$C236,"",IF($D236=1,EOMONTH(EDATE(Bonds!$H236,6*(24-1)),0),EDATE(Bonds!$H236,6*(24-1))))</f>
        <v/>
      </c>
      <c r="AC236" s="3" t="str">
        <f>IF(25&gt;$C236,"",IF($D236=1,EOMONTH(EDATE(Bonds!$H236,6*(25-1)),0),EDATE(Bonds!$H236,6*(25-1))))</f>
        <v/>
      </c>
      <c r="AD236" s="3" t="str">
        <f>IF(26&gt;$C236,"",IF($D236=1,EOMONTH(EDATE(Bonds!$H236,6*(26-1)),0),EDATE(Bonds!$H236,6*(26-1))))</f>
        <v/>
      </c>
      <c r="AE236" s="3" t="str">
        <f>IF(27&gt;$C236,"",IF($D236=1,EOMONTH(EDATE(Bonds!$H236,6*(27-1)),0),EDATE(Bonds!$H236,6*(27-1))))</f>
        <v/>
      </c>
      <c r="AF236" s="3" t="str">
        <f>IF(28&gt;$C236,"",IF($D236=1,EOMONTH(EDATE(Bonds!$H236,6*(28-1)),0),EDATE(Bonds!$H236,6*(28-1))))</f>
        <v/>
      </c>
      <c r="AG236" s="3" t="str">
        <f>IF(29&gt;$C236,"",IF($D236=1,EOMONTH(EDATE(Bonds!$H236,6*(29-1)),0),EDATE(Bonds!$H236,6*(29-1))))</f>
        <v/>
      </c>
      <c r="AH236" s="3" t="str">
        <f>IF(30&gt;$C236,"",IF($D236=1,EOMONTH(EDATE(Bonds!$H236,6*(30-1)),0),EDATE(Bonds!$H236,6*(30-1))))</f>
        <v/>
      </c>
      <c r="AI236" s="3" t="str">
        <f>IF(31&gt;$C236,"",IF($D236=1,EOMONTH(EDATE(Bonds!$H236,6*(31-1)),0),EDATE(Bonds!$H236,6*(31-1))))</f>
        <v/>
      </c>
      <c r="AJ236" s="3" t="str">
        <f>IF(32&gt;$C236,"",IF($D236=1,EOMONTH(EDATE(Bonds!$H236,6*(32-1)),0),EDATE(Bonds!$H236,6*(32-1))))</f>
        <v/>
      </c>
      <c r="AK236" s="3" t="str">
        <f>IF(33&gt;$C236,"",IF($D236=1,EOMONTH(EDATE(Bonds!$H236,6*(33-1)),0),EDATE(Bonds!$H236,6*(33-1))))</f>
        <v/>
      </c>
      <c r="AL236" s="3" t="str">
        <f>IF(34&gt;$C236,"",IF($D236=1,EOMONTH(EDATE(Bonds!$H236,6*(34-1)),0),EDATE(Bonds!$H236,6*(34-1))))</f>
        <v/>
      </c>
      <c r="AM236" s="3" t="str">
        <f>IF(35&gt;$C236,"",IF($D236=1,EOMONTH(EDATE(Bonds!$H236,6*(35-1)),0),EDATE(Bonds!$H236,6*(35-1))))</f>
        <v/>
      </c>
      <c r="AN236" s="3" t="str">
        <f>IF(36&gt;$C236,"",IF($D236=1,EOMONTH(EDATE(Bonds!$H236,6*(36-1)),0),EDATE(Bonds!$H236,6*(36-1))))</f>
        <v/>
      </c>
      <c r="AO236" s="3" t="str">
        <f>IF(37&gt;$C236,"",IF($D236=1,EOMONTH(EDATE(Bonds!$H236,6*(37-1)),0),EDATE(Bonds!$H236,6*(37-1))))</f>
        <v/>
      </c>
      <c r="AP236" s="3" t="str">
        <f>IF(38&gt;$C236,"",IF($D236=1,EOMONTH(EDATE(Bonds!$H236,6*(38-1)),0),EDATE(Bonds!$H236,6*(38-1))))</f>
        <v/>
      </c>
      <c r="AQ236" s="3" t="str">
        <f>IF(39&gt;$C236,"",IF($D236=1,EOMONTH(EDATE(Bonds!$H236,6*(39-1)),0),EDATE(Bonds!$H236,6*(39-1))))</f>
        <v/>
      </c>
      <c r="AR236" s="3" t="str">
        <f>IF(40&gt;$C236,"",IF($D236=1,EOMONTH(EDATE(Bonds!$H236,6*(40-1)),0),EDATE(Bonds!$H236,6*(40-1))))</f>
        <v/>
      </c>
      <c r="AS236" s="3" t="str">
        <f>IF(41&gt;$C236,"",IF($D236=1,EOMONTH(EDATE(Bonds!$H236,6*(41-1)),0),EDATE(Bonds!$H236,6*(41-1))))</f>
        <v/>
      </c>
      <c r="AT236" s="3" t="str">
        <f>IF(42&gt;$C236,"",IF($D236=1,EOMONTH(EDATE(Bonds!$H236,6*(42-1)),0),EDATE(Bonds!$H236,6*(42-1))))</f>
        <v/>
      </c>
      <c r="AU236" s="3" t="str">
        <f>IF(43&gt;$C236,"",IF($D236=1,EOMONTH(EDATE(Bonds!$H236,6*(43-1)),0),EDATE(Bonds!$H236,6*(43-1))))</f>
        <v/>
      </c>
      <c r="AV236" s="3" t="str">
        <f>IF(44&gt;$C236,"",IF($D236=1,EOMONTH(EDATE(Bonds!$H236,6*(44-1)),0),EDATE(Bonds!$H236,6*(44-1))))</f>
        <v/>
      </c>
      <c r="AW236" s="3" t="str">
        <f>IF(45&gt;$C236,"",IF($D236=1,EOMONTH(EDATE(Bonds!$H236,6*(45-1)),0),EDATE(Bonds!$H236,6*(45-1))))</f>
        <v/>
      </c>
      <c r="AX236" s="3" t="str">
        <f>IF(46&gt;$C236,"",IF($D236=1,EOMONTH(EDATE(Bonds!$H236,6*(46-1)),0),EDATE(Bonds!$H236,6*(46-1))))</f>
        <v/>
      </c>
      <c r="AY236" s="3" t="str">
        <f>IF(47&gt;$C236,"",IF($D236=1,EOMONTH(EDATE(Bonds!$H236,6*(47-1)),0),EDATE(Bonds!$H236,6*(47-1))))</f>
        <v/>
      </c>
      <c r="AZ236" s="3" t="str">
        <f>IF(48&gt;$C236,"",IF($D236=1,EOMONTH(EDATE(Bonds!$H236,6*(48-1)),0),EDATE(Bonds!$H236,6*(48-1))))</f>
        <v/>
      </c>
      <c r="BA236" s="3" t="str">
        <f>IF(49&gt;$C236,"",IF($D236=1,EOMONTH(EDATE(Bonds!$H236,6*(49-1)),0),EDATE(Bonds!$H236,6*(49-1))))</f>
        <v/>
      </c>
      <c r="BB236" s="3" t="str">
        <f>IF(50&gt;$C236,"",IF($D236=1,EOMONTH(EDATE(Bonds!$H236,6*(50-1)),0),EDATE(Bonds!$H236,6*(50-1))))</f>
        <v/>
      </c>
      <c r="BC236" s="3" t="str">
        <f>IF(51&gt;$C236,"",IF($D236=1,EOMONTH(EDATE(Bonds!$H236,6*(51-1)),0),EDATE(Bonds!$H236,6*(51-1))))</f>
        <v/>
      </c>
      <c r="BD236" s="3" t="str">
        <f>IF(52&gt;$C236,"",IF($D236=1,EOMONTH(EDATE(Bonds!$H236,6*(52-1)),0),EDATE(Bonds!$H236,6*(52-1))))</f>
        <v/>
      </c>
      <c r="BE236" s="3" t="str">
        <f>IF(53&gt;$C236,"",IF($D236=1,EOMONTH(EDATE(Bonds!$H236,6*(53-1)),0),EDATE(Bonds!$H236,6*(53-1))))</f>
        <v/>
      </c>
      <c r="BF236" s="3" t="str">
        <f>IF(54&gt;$C236,"",IF($D236=1,EOMONTH(EDATE(Bonds!$H236,6*(54-1)),0),EDATE(Bonds!$H236,6*(54-1))))</f>
        <v/>
      </c>
      <c r="BG236" s="3" t="str">
        <f>IF(55&gt;$C236,"",IF($D236=1,EOMONTH(EDATE(Bonds!$H236,6*(55-1)),0),EDATE(Bonds!$H236,6*(55-1))))</f>
        <v/>
      </c>
      <c r="BH236" s="3" t="str">
        <f>IF(56&gt;$C236,"",IF($D236=1,EOMONTH(EDATE(Bonds!$H236,6*(56-1)),0),EDATE(Bonds!$H236,6*(56-1))))</f>
        <v/>
      </c>
      <c r="BI236" s="3" t="str">
        <f>IF(57&gt;$C236,"",IF($D236=1,EOMONTH(EDATE(Bonds!$H236,6*(57-1)),0),EDATE(Bonds!$H236,6*(57-1))))</f>
        <v/>
      </c>
      <c r="BJ236" s="3" t="str">
        <f>IF(58&gt;$C236,"",IF($D236=1,EOMONTH(EDATE(Bonds!$H236,6*(58-1)),0),EDATE(Bonds!$H236,6*(58-1))))</f>
        <v/>
      </c>
      <c r="BK236" s="3" t="str">
        <f>IF(59&gt;$C236,"",IF($D236=1,EOMONTH(EDATE(Bonds!$H236,6*(59-1)),0),EDATE(Bonds!$H236,6*(59-1))))</f>
        <v/>
      </c>
      <c r="BL236" s="3" t="str">
        <f>IF(60&gt;$C236,"",IF($D236=1,EOMONTH(EDATE(Bonds!$H236,6*(60-1)),0),EDATE(Bonds!$H236,6*(60-1))))</f>
        <v/>
      </c>
      <c r="BN236" s="7">
        <f t="shared" si="184"/>
        <v>1.9694040134715884</v>
      </c>
      <c r="BO236" s="7">
        <f t="shared" si="185"/>
        <v>1.9281343569772784</v>
      </c>
      <c r="BP236" s="7">
        <f t="shared" si="186"/>
        <v>1.884989958984949</v>
      </c>
      <c r="BQ236" s="7">
        <f t="shared" si="187"/>
        <v>1.8424889577749151</v>
      </c>
      <c r="BR236" s="7">
        <f t="shared" si="188"/>
        <v>1.8003360021164534</v>
      </c>
      <c r="BS236" s="7">
        <f t="shared" si="189"/>
        <v>1.7598758685752895</v>
      </c>
      <c r="BT236" s="7">
        <f t="shared" si="190"/>
        <v>1.7197494556627251</v>
      </c>
      <c r="BU236" s="7">
        <f t="shared" si="191"/>
        <v>1.6811432061994147</v>
      </c>
      <c r="BV236" s="7">
        <f t="shared" si="192"/>
        <v>1.6426172263636223</v>
      </c>
      <c r="BW236" s="7">
        <f t="shared" si="193"/>
        <v>1.6052753432373839</v>
      </c>
      <c r="BX236" s="7">
        <f t="shared" si="194"/>
        <v>1.5677482764628032</v>
      </c>
      <c r="BY236" s="7">
        <f t="shared" si="195"/>
        <v>1.5309616097073815</v>
      </c>
      <c r="BZ236" s="7">
        <f t="shared" si="196"/>
        <v>76.196109731937739</v>
      </c>
      <c r="CA236" s="7">
        <f t="shared" si="197"/>
        <v>0</v>
      </c>
      <c r="CB236" s="7">
        <f t="shared" si="198"/>
        <v>0</v>
      </c>
      <c r="CC236" s="7">
        <f t="shared" si="199"/>
        <v>0</v>
      </c>
      <c r="CD236" s="7">
        <f t="shared" si="200"/>
        <v>0</v>
      </c>
      <c r="CE236" s="7">
        <f t="shared" si="201"/>
        <v>0</v>
      </c>
      <c r="CF236" s="7">
        <f t="shared" si="202"/>
        <v>0</v>
      </c>
      <c r="CG236" s="7">
        <f t="shared" si="203"/>
        <v>0</v>
      </c>
      <c r="CH236" s="7">
        <f t="shared" si="204"/>
        <v>0</v>
      </c>
      <c r="CI236" s="7">
        <f t="shared" si="205"/>
        <v>0</v>
      </c>
      <c r="CJ236" s="7">
        <f t="shared" si="206"/>
        <v>0</v>
      </c>
      <c r="CK236" s="7">
        <f t="shared" si="207"/>
        <v>0</v>
      </c>
      <c r="CL236" s="7">
        <f t="shared" si="208"/>
        <v>0</v>
      </c>
      <c r="CM236" s="7">
        <f t="shared" si="209"/>
        <v>0</v>
      </c>
      <c r="CN236" s="7">
        <f t="shared" si="210"/>
        <v>0</v>
      </c>
      <c r="CO236" s="7">
        <f t="shared" si="211"/>
        <v>0</v>
      </c>
      <c r="CP236" s="7">
        <f t="shared" si="212"/>
        <v>0</v>
      </c>
      <c r="CQ236" s="7">
        <f t="shared" si="213"/>
        <v>0</v>
      </c>
      <c r="CR236" s="7">
        <f t="shared" si="214"/>
        <v>0</v>
      </c>
      <c r="CS236" s="7">
        <f t="shared" si="215"/>
        <v>0</v>
      </c>
      <c r="CT236" s="7">
        <f t="shared" si="216"/>
        <v>0</v>
      </c>
      <c r="CU236" s="7">
        <f t="shared" si="217"/>
        <v>0</v>
      </c>
      <c r="CV236" s="7">
        <f t="shared" si="218"/>
        <v>0</v>
      </c>
      <c r="CW236" s="7">
        <f t="shared" si="219"/>
        <v>0</v>
      </c>
      <c r="CX236" s="7">
        <f t="shared" si="220"/>
        <v>0</v>
      </c>
      <c r="CY236" s="7">
        <f t="shared" si="221"/>
        <v>0</v>
      </c>
      <c r="CZ236" s="7">
        <f t="shared" si="222"/>
        <v>0</v>
      </c>
      <c r="DA236" s="7">
        <f t="shared" si="223"/>
        <v>0</v>
      </c>
      <c r="DB236" s="7">
        <f t="shared" si="224"/>
        <v>0</v>
      </c>
      <c r="DC236" s="7">
        <f t="shared" si="225"/>
        <v>0</v>
      </c>
      <c r="DD236" s="7">
        <f t="shared" si="226"/>
        <v>0</v>
      </c>
      <c r="DE236" s="7">
        <f t="shared" si="227"/>
        <v>0</v>
      </c>
      <c r="DF236" s="7">
        <f t="shared" si="228"/>
        <v>0</v>
      </c>
      <c r="DG236" s="7">
        <f t="shared" si="229"/>
        <v>0</v>
      </c>
      <c r="DH236" s="7">
        <f t="shared" si="230"/>
        <v>0</v>
      </c>
      <c r="DI236" s="7">
        <f t="shared" si="231"/>
        <v>0</v>
      </c>
      <c r="DJ236" s="7">
        <f t="shared" si="232"/>
        <v>0</v>
      </c>
      <c r="DK236" s="7">
        <f t="shared" si="233"/>
        <v>0</v>
      </c>
      <c r="DL236" s="7">
        <f t="shared" si="234"/>
        <v>0</v>
      </c>
      <c r="DM236" s="7">
        <f t="shared" si="235"/>
        <v>0</v>
      </c>
      <c r="DN236" s="7">
        <f t="shared" si="236"/>
        <v>0</v>
      </c>
      <c r="DO236" s="7">
        <f t="shared" si="237"/>
        <v>0</v>
      </c>
      <c r="DP236" s="7">
        <f t="shared" si="238"/>
        <v>0</v>
      </c>
      <c r="DQ236" s="7">
        <f t="shared" si="239"/>
        <v>0</v>
      </c>
      <c r="DR236" s="7">
        <f t="shared" si="240"/>
        <v>0</v>
      </c>
      <c r="DS236" s="7">
        <f t="shared" si="241"/>
        <v>0</v>
      </c>
      <c r="DT236" s="7">
        <f t="shared" si="242"/>
        <v>0</v>
      </c>
      <c r="DU236" s="7">
        <f t="shared" si="243"/>
        <v>0</v>
      </c>
    </row>
    <row r="237" spans="1:125" x14ac:dyDescent="0.2">
      <c r="A237" s="3">
        <f>Bonds!A237</f>
        <v>48625</v>
      </c>
      <c r="B237" s="4">
        <f>Bonds!B237</f>
        <v>3.5</v>
      </c>
      <c r="C237">
        <f>Bonds!P237</f>
        <v>13</v>
      </c>
      <c r="D237">
        <f t="shared" si="183"/>
        <v>0</v>
      </c>
      <c r="E237" s="3">
        <f>IF(1&gt;$C237,"",IF($D237=1,EOMONTH(EDATE(Bonds!$H237,6*(1-1)),0),EDATE(Bonds!$H237,6*(1-1))))</f>
        <v>46433</v>
      </c>
      <c r="F237" s="3">
        <f>IF(2&gt;$C237,"",IF($D237=1,EOMONTH(EDATE(Bonds!$H237,6*(2-1)),0),EDATE(Bonds!$H237,6*(2-1))))</f>
        <v>46614</v>
      </c>
      <c r="G237" s="3">
        <f>IF(3&gt;$C237,"",IF($D237=1,EOMONTH(EDATE(Bonds!$H237,6*(3-1)),0),EDATE(Bonds!$H237,6*(3-1))))</f>
        <v>46798</v>
      </c>
      <c r="H237" s="3">
        <f>IF(4&gt;$C237,"",IF($D237=1,EOMONTH(EDATE(Bonds!$H237,6*(4-1)),0),EDATE(Bonds!$H237,6*(4-1))))</f>
        <v>46980</v>
      </c>
      <c r="I237" s="3">
        <f>IF(5&gt;$C237,"",IF($D237=1,EOMONTH(EDATE(Bonds!$H237,6*(5-1)),0),EDATE(Bonds!$H237,6*(5-1))))</f>
        <v>47164</v>
      </c>
      <c r="J237" s="3">
        <f>IF(6&gt;$C237,"",IF($D237=1,EOMONTH(EDATE(Bonds!$H237,6*(6-1)),0),EDATE(Bonds!$H237,6*(6-1))))</f>
        <v>47345</v>
      </c>
      <c r="K237" s="3">
        <f>IF(7&gt;$C237,"",IF($D237=1,EOMONTH(EDATE(Bonds!$H237,6*(7-1)),0),EDATE(Bonds!$H237,6*(7-1))))</f>
        <v>47529</v>
      </c>
      <c r="L237" s="3">
        <f>IF(8&gt;$C237,"",IF($D237=1,EOMONTH(EDATE(Bonds!$H237,6*(8-1)),0),EDATE(Bonds!$H237,6*(8-1))))</f>
        <v>47710</v>
      </c>
      <c r="M237" s="3">
        <f>IF(9&gt;$C237,"",IF($D237=1,EOMONTH(EDATE(Bonds!$H237,6*(9-1)),0),EDATE(Bonds!$H237,6*(9-1))))</f>
        <v>47894</v>
      </c>
      <c r="N237" s="3">
        <f>IF(10&gt;$C237,"",IF($D237=1,EOMONTH(EDATE(Bonds!$H237,6*(10-1)),0),EDATE(Bonds!$H237,6*(10-1))))</f>
        <v>48075</v>
      </c>
      <c r="O237" s="3">
        <f>IF(11&gt;$C237,"",IF($D237=1,EOMONTH(EDATE(Bonds!$H237,6*(11-1)),0),EDATE(Bonds!$H237,6*(11-1))))</f>
        <v>48259</v>
      </c>
      <c r="P237" s="3">
        <f>IF(12&gt;$C237,"",IF($D237=1,EOMONTH(EDATE(Bonds!$H237,6*(12-1)),0),EDATE(Bonds!$H237,6*(12-1))))</f>
        <v>48441</v>
      </c>
      <c r="Q237" s="3">
        <f>IF(13&gt;$C237,"",IF($D237=1,EOMONTH(EDATE(Bonds!$H237,6*(13-1)),0),EDATE(Bonds!$H237,6*(13-1))))</f>
        <v>48625</v>
      </c>
      <c r="R237" s="3" t="str">
        <f>IF(14&gt;$C237,"",IF($D237=1,EOMONTH(EDATE(Bonds!$H237,6*(14-1)),0),EDATE(Bonds!$H237,6*(14-1))))</f>
        <v/>
      </c>
      <c r="S237" s="3" t="str">
        <f>IF(15&gt;$C237,"",IF($D237=1,EOMONTH(EDATE(Bonds!$H237,6*(15-1)),0),EDATE(Bonds!$H237,6*(15-1))))</f>
        <v/>
      </c>
      <c r="T237" s="3" t="str">
        <f>IF(16&gt;$C237,"",IF($D237=1,EOMONTH(EDATE(Bonds!$H237,6*(16-1)),0),EDATE(Bonds!$H237,6*(16-1))))</f>
        <v/>
      </c>
      <c r="U237" s="3" t="str">
        <f>IF(17&gt;$C237,"",IF($D237=1,EOMONTH(EDATE(Bonds!$H237,6*(17-1)),0),EDATE(Bonds!$H237,6*(17-1))))</f>
        <v/>
      </c>
      <c r="V237" s="3" t="str">
        <f>IF(18&gt;$C237,"",IF($D237=1,EOMONTH(EDATE(Bonds!$H237,6*(18-1)),0),EDATE(Bonds!$H237,6*(18-1))))</f>
        <v/>
      </c>
      <c r="W237" s="3" t="str">
        <f>IF(19&gt;$C237,"",IF($D237=1,EOMONTH(EDATE(Bonds!$H237,6*(19-1)),0),EDATE(Bonds!$H237,6*(19-1))))</f>
        <v/>
      </c>
      <c r="X237" s="3" t="str">
        <f>IF(20&gt;$C237,"",IF($D237=1,EOMONTH(EDATE(Bonds!$H237,6*(20-1)),0),EDATE(Bonds!$H237,6*(20-1))))</f>
        <v/>
      </c>
      <c r="Y237" s="3" t="str">
        <f>IF(21&gt;$C237,"",IF($D237=1,EOMONTH(EDATE(Bonds!$H237,6*(21-1)),0),EDATE(Bonds!$H237,6*(21-1))))</f>
        <v/>
      </c>
      <c r="Z237" s="3" t="str">
        <f>IF(22&gt;$C237,"",IF($D237=1,EOMONTH(EDATE(Bonds!$H237,6*(22-1)),0),EDATE(Bonds!$H237,6*(22-1))))</f>
        <v/>
      </c>
      <c r="AA237" s="3" t="str">
        <f>IF(23&gt;$C237,"",IF($D237=1,EOMONTH(EDATE(Bonds!$H237,6*(23-1)),0),EDATE(Bonds!$H237,6*(23-1))))</f>
        <v/>
      </c>
      <c r="AB237" s="3" t="str">
        <f>IF(24&gt;$C237,"",IF($D237=1,EOMONTH(EDATE(Bonds!$H237,6*(24-1)),0),EDATE(Bonds!$H237,6*(24-1))))</f>
        <v/>
      </c>
      <c r="AC237" s="3" t="str">
        <f>IF(25&gt;$C237,"",IF($D237=1,EOMONTH(EDATE(Bonds!$H237,6*(25-1)),0),EDATE(Bonds!$H237,6*(25-1))))</f>
        <v/>
      </c>
      <c r="AD237" s="3" t="str">
        <f>IF(26&gt;$C237,"",IF($D237=1,EOMONTH(EDATE(Bonds!$H237,6*(26-1)),0),EDATE(Bonds!$H237,6*(26-1))))</f>
        <v/>
      </c>
      <c r="AE237" s="3" t="str">
        <f>IF(27&gt;$C237,"",IF($D237=1,EOMONTH(EDATE(Bonds!$H237,6*(27-1)),0),EDATE(Bonds!$H237,6*(27-1))))</f>
        <v/>
      </c>
      <c r="AF237" s="3" t="str">
        <f>IF(28&gt;$C237,"",IF($D237=1,EOMONTH(EDATE(Bonds!$H237,6*(28-1)),0),EDATE(Bonds!$H237,6*(28-1))))</f>
        <v/>
      </c>
      <c r="AG237" s="3" t="str">
        <f>IF(29&gt;$C237,"",IF($D237=1,EOMONTH(EDATE(Bonds!$H237,6*(29-1)),0),EDATE(Bonds!$H237,6*(29-1))))</f>
        <v/>
      </c>
      <c r="AH237" s="3" t="str">
        <f>IF(30&gt;$C237,"",IF($D237=1,EOMONTH(EDATE(Bonds!$H237,6*(30-1)),0),EDATE(Bonds!$H237,6*(30-1))))</f>
        <v/>
      </c>
      <c r="AI237" s="3" t="str">
        <f>IF(31&gt;$C237,"",IF($D237=1,EOMONTH(EDATE(Bonds!$H237,6*(31-1)),0),EDATE(Bonds!$H237,6*(31-1))))</f>
        <v/>
      </c>
      <c r="AJ237" s="3" t="str">
        <f>IF(32&gt;$C237,"",IF($D237=1,EOMONTH(EDATE(Bonds!$H237,6*(32-1)),0),EDATE(Bonds!$H237,6*(32-1))))</f>
        <v/>
      </c>
      <c r="AK237" s="3" t="str">
        <f>IF(33&gt;$C237,"",IF($D237=1,EOMONTH(EDATE(Bonds!$H237,6*(33-1)),0),EDATE(Bonds!$H237,6*(33-1))))</f>
        <v/>
      </c>
      <c r="AL237" s="3" t="str">
        <f>IF(34&gt;$C237,"",IF($D237=1,EOMONTH(EDATE(Bonds!$H237,6*(34-1)),0),EDATE(Bonds!$H237,6*(34-1))))</f>
        <v/>
      </c>
      <c r="AM237" s="3" t="str">
        <f>IF(35&gt;$C237,"",IF($D237=1,EOMONTH(EDATE(Bonds!$H237,6*(35-1)),0),EDATE(Bonds!$H237,6*(35-1))))</f>
        <v/>
      </c>
      <c r="AN237" s="3" t="str">
        <f>IF(36&gt;$C237,"",IF($D237=1,EOMONTH(EDATE(Bonds!$H237,6*(36-1)),0),EDATE(Bonds!$H237,6*(36-1))))</f>
        <v/>
      </c>
      <c r="AO237" s="3" t="str">
        <f>IF(37&gt;$C237,"",IF($D237=1,EOMONTH(EDATE(Bonds!$H237,6*(37-1)),0),EDATE(Bonds!$H237,6*(37-1))))</f>
        <v/>
      </c>
      <c r="AP237" s="3" t="str">
        <f>IF(38&gt;$C237,"",IF($D237=1,EOMONTH(EDATE(Bonds!$H237,6*(38-1)),0),EDATE(Bonds!$H237,6*(38-1))))</f>
        <v/>
      </c>
      <c r="AQ237" s="3" t="str">
        <f>IF(39&gt;$C237,"",IF($D237=1,EOMONTH(EDATE(Bonds!$H237,6*(39-1)),0),EDATE(Bonds!$H237,6*(39-1))))</f>
        <v/>
      </c>
      <c r="AR237" s="3" t="str">
        <f>IF(40&gt;$C237,"",IF($D237=1,EOMONTH(EDATE(Bonds!$H237,6*(40-1)),0),EDATE(Bonds!$H237,6*(40-1))))</f>
        <v/>
      </c>
      <c r="AS237" s="3" t="str">
        <f>IF(41&gt;$C237,"",IF($D237=1,EOMONTH(EDATE(Bonds!$H237,6*(41-1)),0),EDATE(Bonds!$H237,6*(41-1))))</f>
        <v/>
      </c>
      <c r="AT237" s="3" t="str">
        <f>IF(42&gt;$C237,"",IF($D237=1,EOMONTH(EDATE(Bonds!$H237,6*(42-1)),0),EDATE(Bonds!$H237,6*(42-1))))</f>
        <v/>
      </c>
      <c r="AU237" s="3" t="str">
        <f>IF(43&gt;$C237,"",IF($D237=1,EOMONTH(EDATE(Bonds!$H237,6*(43-1)),0),EDATE(Bonds!$H237,6*(43-1))))</f>
        <v/>
      </c>
      <c r="AV237" s="3" t="str">
        <f>IF(44&gt;$C237,"",IF($D237=1,EOMONTH(EDATE(Bonds!$H237,6*(44-1)),0),EDATE(Bonds!$H237,6*(44-1))))</f>
        <v/>
      </c>
      <c r="AW237" s="3" t="str">
        <f>IF(45&gt;$C237,"",IF($D237=1,EOMONTH(EDATE(Bonds!$H237,6*(45-1)),0),EDATE(Bonds!$H237,6*(45-1))))</f>
        <v/>
      </c>
      <c r="AX237" s="3" t="str">
        <f>IF(46&gt;$C237,"",IF($D237=1,EOMONTH(EDATE(Bonds!$H237,6*(46-1)),0),EDATE(Bonds!$H237,6*(46-1))))</f>
        <v/>
      </c>
      <c r="AY237" s="3" t="str">
        <f>IF(47&gt;$C237,"",IF($D237=1,EOMONTH(EDATE(Bonds!$H237,6*(47-1)),0),EDATE(Bonds!$H237,6*(47-1))))</f>
        <v/>
      </c>
      <c r="AZ237" s="3" t="str">
        <f>IF(48&gt;$C237,"",IF($D237=1,EOMONTH(EDATE(Bonds!$H237,6*(48-1)),0),EDATE(Bonds!$H237,6*(48-1))))</f>
        <v/>
      </c>
      <c r="BA237" s="3" t="str">
        <f>IF(49&gt;$C237,"",IF($D237=1,EOMONTH(EDATE(Bonds!$H237,6*(49-1)),0),EDATE(Bonds!$H237,6*(49-1))))</f>
        <v/>
      </c>
      <c r="BB237" s="3" t="str">
        <f>IF(50&gt;$C237,"",IF($D237=1,EOMONTH(EDATE(Bonds!$H237,6*(50-1)),0),EDATE(Bonds!$H237,6*(50-1))))</f>
        <v/>
      </c>
      <c r="BC237" s="3" t="str">
        <f>IF(51&gt;$C237,"",IF($D237=1,EOMONTH(EDATE(Bonds!$H237,6*(51-1)),0),EDATE(Bonds!$H237,6*(51-1))))</f>
        <v/>
      </c>
      <c r="BD237" s="3" t="str">
        <f>IF(52&gt;$C237,"",IF($D237=1,EOMONTH(EDATE(Bonds!$H237,6*(52-1)),0),EDATE(Bonds!$H237,6*(52-1))))</f>
        <v/>
      </c>
      <c r="BE237" s="3" t="str">
        <f>IF(53&gt;$C237,"",IF($D237=1,EOMONTH(EDATE(Bonds!$H237,6*(53-1)),0),EDATE(Bonds!$H237,6*(53-1))))</f>
        <v/>
      </c>
      <c r="BF237" s="3" t="str">
        <f>IF(54&gt;$C237,"",IF($D237=1,EOMONTH(EDATE(Bonds!$H237,6*(54-1)),0),EDATE(Bonds!$H237,6*(54-1))))</f>
        <v/>
      </c>
      <c r="BG237" s="3" t="str">
        <f>IF(55&gt;$C237,"",IF($D237=1,EOMONTH(EDATE(Bonds!$H237,6*(55-1)),0),EDATE(Bonds!$H237,6*(55-1))))</f>
        <v/>
      </c>
      <c r="BH237" s="3" t="str">
        <f>IF(56&gt;$C237,"",IF($D237=1,EOMONTH(EDATE(Bonds!$H237,6*(56-1)),0),EDATE(Bonds!$H237,6*(56-1))))</f>
        <v/>
      </c>
      <c r="BI237" s="3" t="str">
        <f>IF(57&gt;$C237,"",IF($D237=1,EOMONTH(EDATE(Bonds!$H237,6*(57-1)),0),EDATE(Bonds!$H237,6*(57-1))))</f>
        <v/>
      </c>
      <c r="BJ237" s="3" t="str">
        <f>IF(58&gt;$C237,"",IF($D237=1,EOMONTH(EDATE(Bonds!$H237,6*(58-1)),0),EDATE(Bonds!$H237,6*(58-1))))</f>
        <v/>
      </c>
      <c r="BK237" s="3" t="str">
        <f>IF(59&gt;$C237,"",IF($D237=1,EOMONTH(EDATE(Bonds!$H237,6*(59-1)),0),EDATE(Bonds!$H237,6*(59-1))))</f>
        <v/>
      </c>
      <c r="BL237" s="3" t="str">
        <f>IF(60&gt;$C237,"",IF($D237=1,EOMONTH(EDATE(Bonds!$H237,6*(60-1)),0),EDATE(Bonds!$H237,6*(60-1))))</f>
        <v/>
      </c>
      <c r="BN237" s="7">
        <f t="shared" si="184"/>
        <v>1.7203190939917814</v>
      </c>
      <c r="BO237" s="7">
        <f t="shared" si="185"/>
        <v>1.6840576512329295</v>
      </c>
      <c r="BP237" s="7">
        <f t="shared" si="186"/>
        <v>1.6462846887153819</v>
      </c>
      <c r="BQ237" s="7">
        <f t="shared" si="187"/>
        <v>1.6091398270376354</v>
      </c>
      <c r="BR237" s="7">
        <f t="shared" si="188"/>
        <v>1.5723262037206527</v>
      </c>
      <c r="BS237" s="7">
        <f t="shared" si="189"/>
        <v>1.5369970170149849</v>
      </c>
      <c r="BT237" s="7">
        <f t="shared" si="190"/>
        <v>1.5019545355206001</v>
      </c>
      <c r="BU237" s="7">
        <f t="shared" si="191"/>
        <v>1.4682303307210383</v>
      </c>
      <c r="BV237" s="7">
        <f t="shared" si="192"/>
        <v>1.4345656486781684</v>
      </c>
      <c r="BW237" s="7">
        <f t="shared" si="193"/>
        <v>1.4019260960173987</v>
      </c>
      <c r="BX237" s="7">
        <f t="shared" si="194"/>
        <v>1.3691168756482046</v>
      </c>
      <c r="BY237" s="7">
        <f t="shared" si="195"/>
        <v>1.3369494878239374</v>
      </c>
      <c r="BZ237" s="7">
        <f t="shared" si="196"/>
        <v>75.856777472592853</v>
      </c>
      <c r="CA237" s="7">
        <f t="shared" si="197"/>
        <v>0</v>
      </c>
      <c r="CB237" s="7">
        <f t="shared" si="198"/>
        <v>0</v>
      </c>
      <c r="CC237" s="7">
        <f t="shared" si="199"/>
        <v>0</v>
      </c>
      <c r="CD237" s="7">
        <f t="shared" si="200"/>
        <v>0</v>
      </c>
      <c r="CE237" s="7">
        <f t="shared" si="201"/>
        <v>0</v>
      </c>
      <c r="CF237" s="7">
        <f t="shared" si="202"/>
        <v>0</v>
      </c>
      <c r="CG237" s="7">
        <f t="shared" si="203"/>
        <v>0</v>
      </c>
      <c r="CH237" s="7">
        <f t="shared" si="204"/>
        <v>0</v>
      </c>
      <c r="CI237" s="7">
        <f t="shared" si="205"/>
        <v>0</v>
      </c>
      <c r="CJ237" s="7">
        <f t="shared" si="206"/>
        <v>0</v>
      </c>
      <c r="CK237" s="7">
        <f t="shared" si="207"/>
        <v>0</v>
      </c>
      <c r="CL237" s="7">
        <f t="shared" si="208"/>
        <v>0</v>
      </c>
      <c r="CM237" s="7">
        <f t="shared" si="209"/>
        <v>0</v>
      </c>
      <c r="CN237" s="7">
        <f t="shared" si="210"/>
        <v>0</v>
      </c>
      <c r="CO237" s="7">
        <f t="shared" si="211"/>
        <v>0</v>
      </c>
      <c r="CP237" s="7">
        <f t="shared" si="212"/>
        <v>0</v>
      </c>
      <c r="CQ237" s="7">
        <f t="shared" si="213"/>
        <v>0</v>
      </c>
      <c r="CR237" s="7">
        <f t="shared" si="214"/>
        <v>0</v>
      </c>
      <c r="CS237" s="7">
        <f t="shared" si="215"/>
        <v>0</v>
      </c>
      <c r="CT237" s="7">
        <f t="shared" si="216"/>
        <v>0</v>
      </c>
      <c r="CU237" s="7">
        <f t="shared" si="217"/>
        <v>0</v>
      </c>
      <c r="CV237" s="7">
        <f t="shared" si="218"/>
        <v>0</v>
      </c>
      <c r="CW237" s="7">
        <f t="shared" si="219"/>
        <v>0</v>
      </c>
      <c r="CX237" s="7">
        <f t="shared" si="220"/>
        <v>0</v>
      </c>
      <c r="CY237" s="7">
        <f t="shared" si="221"/>
        <v>0</v>
      </c>
      <c r="CZ237" s="7">
        <f t="shared" si="222"/>
        <v>0</v>
      </c>
      <c r="DA237" s="7">
        <f t="shared" si="223"/>
        <v>0</v>
      </c>
      <c r="DB237" s="7">
        <f t="shared" si="224"/>
        <v>0</v>
      </c>
      <c r="DC237" s="7">
        <f t="shared" si="225"/>
        <v>0</v>
      </c>
      <c r="DD237" s="7">
        <f t="shared" si="226"/>
        <v>0</v>
      </c>
      <c r="DE237" s="7">
        <f t="shared" si="227"/>
        <v>0</v>
      </c>
      <c r="DF237" s="7">
        <f t="shared" si="228"/>
        <v>0</v>
      </c>
      <c r="DG237" s="7">
        <f t="shared" si="229"/>
        <v>0</v>
      </c>
      <c r="DH237" s="7">
        <f t="shared" si="230"/>
        <v>0</v>
      </c>
      <c r="DI237" s="7">
        <f t="shared" si="231"/>
        <v>0</v>
      </c>
      <c r="DJ237" s="7">
        <f t="shared" si="232"/>
        <v>0</v>
      </c>
      <c r="DK237" s="7">
        <f t="shared" si="233"/>
        <v>0</v>
      </c>
      <c r="DL237" s="7">
        <f t="shared" si="234"/>
        <v>0</v>
      </c>
      <c r="DM237" s="7">
        <f t="shared" si="235"/>
        <v>0</v>
      </c>
      <c r="DN237" s="7">
        <f t="shared" si="236"/>
        <v>0</v>
      </c>
      <c r="DO237" s="7">
        <f t="shared" si="237"/>
        <v>0</v>
      </c>
      <c r="DP237" s="7">
        <f t="shared" si="238"/>
        <v>0</v>
      </c>
      <c r="DQ237" s="7">
        <f t="shared" si="239"/>
        <v>0</v>
      </c>
      <c r="DR237" s="7">
        <f t="shared" si="240"/>
        <v>0</v>
      </c>
      <c r="DS237" s="7">
        <f t="shared" si="241"/>
        <v>0</v>
      </c>
      <c r="DT237" s="7">
        <f t="shared" si="242"/>
        <v>0</v>
      </c>
      <c r="DU237" s="7">
        <f t="shared" si="243"/>
        <v>0</v>
      </c>
    </row>
    <row r="238" spans="1:125" x14ac:dyDescent="0.2">
      <c r="A238" s="3">
        <f>Bonds!A238</f>
        <v>48638</v>
      </c>
      <c r="B238" s="4">
        <f>Bonds!B238</f>
        <v>3.75</v>
      </c>
      <c r="C238">
        <f>Bonds!P238</f>
        <v>13</v>
      </c>
      <c r="D238">
        <f t="shared" si="183"/>
        <v>1</v>
      </c>
      <c r="E238" s="3">
        <f>IF(1&gt;$C238,"",IF($D238=1,EOMONTH(EDATE(Bonds!$H238,6*(1-1)),0),EDATE(Bonds!$H238,6*(1-1))))</f>
        <v>46446</v>
      </c>
      <c r="F238" s="3">
        <f>IF(2&gt;$C238,"",IF($D238=1,EOMONTH(EDATE(Bonds!$H238,6*(2-1)),0),EDATE(Bonds!$H238,6*(2-1))))</f>
        <v>46630</v>
      </c>
      <c r="G238" s="3">
        <f>IF(3&gt;$C238,"",IF($D238=1,EOMONTH(EDATE(Bonds!$H238,6*(3-1)),0),EDATE(Bonds!$H238,6*(3-1))))</f>
        <v>46812</v>
      </c>
      <c r="H238" s="3">
        <f>IF(4&gt;$C238,"",IF($D238=1,EOMONTH(EDATE(Bonds!$H238,6*(4-1)),0),EDATE(Bonds!$H238,6*(4-1))))</f>
        <v>46996</v>
      </c>
      <c r="I238" s="3">
        <f>IF(5&gt;$C238,"",IF($D238=1,EOMONTH(EDATE(Bonds!$H238,6*(5-1)),0),EDATE(Bonds!$H238,6*(5-1))))</f>
        <v>47177</v>
      </c>
      <c r="J238" s="3">
        <f>IF(6&gt;$C238,"",IF($D238=1,EOMONTH(EDATE(Bonds!$H238,6*(6-1)),0),EDATE(Bonds!$H238,6*(6-1))))</f>
        <v>47361</v>
      </c>
      <c r="K238" s="3">
        <f>IF(7&gt;$C238,"",IF($D238=1,EOMONTH(EDATE(Bonds!$H238,6*(7-1)),0),EDATE(Bonds!$H238,6*(7-1))))</f>
        <v>47542</v>
      </c>
      <c r="L238" s="3">
        <f>IF(8&gt;$C238,"",IF($D238=1,EOMONTH(EDATE(Bonds!$H238,6*(8-1)),0),EDATE(Bonds!$H238,6*(8-1))))</f>
        <v>47726</v>
      </c>
      <c r="M238" s="3">
        <f>IF(9&gt;$C238,"",IF($D238=1,EOMONTH(EDATE(Bonds!$H238,6*(9-1)),0),EDATE(Bonds!$H238,6*(9-1))))</f>
        <v>47907</v>
      </c>
      <c r="N238" s="3">
        <f>IF(10&gt;$C238,"",IF($D238=1,EOMONTH(EDATE(Bonds!$H238,6*(10-1)),0),EDATE(Bonds!$H238,6*(10-1))))</f>
        <v>48091</v>
      </c>
      <c r="O238" s="3">
        <f>IF(11&gt;$C238,"",IF($D238=1,EOMONTH(EDATE(Bonds!$H238,6*(11-1)),0),EDATE(Bonds!$H238,6*(11-1))))</f>
        <v>48273</v>
      </c>
      <c r="P238" s="3">
        <f>IF(12&gt;$C238,"",IF($D238=1,EOMONTH(EDATE(Bonds!$H238,6*(12-1)),0),EDATE(Bonds!$H238,6*(12-1))))</f>
        <v>48457</v>
      </c>
      <c r="Q238" s="3">
        <f>IF(13&gt;$C238,"",IF($D238=1,EOMONTH(EDATE(Bonds!$H238,6*(13-1)),0),EDATE(Bonds!$H238,6*(13-1))))</f>
        <v>48638</v>
      </c>
      <c r="R238" s="3" t="str">
        <f>IF(14&gt;$C238,"",IF($D238=1,EOMONTH(EDATE(Bonds!$H238,6*(14-1)),0),EDATE(Bonds!$H238,6*(14-1))))</f>
        <v/>
      </c>
      <c r="S238" s="3" t="str">
        <f>IF(15&gt;$C238,"",IF($D238=1,EOMONTH(EDATE(Bonds!$H238,6*(15-1)),0),EDATE(Bonds!$H238,6*(15-1))))</f>
        <v/>
      </c>
      <c r="T238" s="3" t="str">
        <f>IF(16&gt;$C238,"",IF($D238=1,EOMONTH(EDATE(Bonds!$H238,6*(16-1)),0),EDATE(Bonds!$H238,6*(16-1))))</f>
        <v/>
      </c>
      <c r="U238" s="3" t="str">
        <f>IF(17&gt;$C238,"",IF($D238=1,EOMONTH(EDATE(Bonds!$H238,6*(17-1)),0),EDATE(Bonds!$H238,6*(17-1))))</f>
        <v/>
      </c>
      <c r="V238" s="3" t="str">
        <f>IF(18&gt;$C238,"",IF($D238=1,EOMONTH(EDATE(Bonds!$H238,6*(18-1)),0),EDATE(Bonds!$H238,6*(18-1))))</f>
        <v/>
      </c>
      <c r="W238" s="3" t="str">
        <f>IF(19&gt;$C238,"",IF($D238=1,EOMONTH(EDATE(Bonds!$H238,6*(19-1)),0),EDATE(Bonds!$H238,6*(19-1))))</f>
        <v/>
      </c>
      <c r="X238" s="3" t="str">
        <f>IF(20&gt;$C238,"",IF($D238=1,EOMONTH(EDATE(Bonds!$H238,6*(20-1)),0),EDATE(Bonds!$H238,6*(20-1))))</f>
        <v/>
      </c>
      <c r="Y238" s="3" t="str">
        <f>IF(21&gt;$C238,"",IF($D238=1,EOMONTH(EDATE(Bonds!$H238,6*(21-1)),0),EDATE(Bonds!$H238,6*(21-1))))</f>
        <v/>
      </c>
      <c r="Z238" s="3" t="str">
        <f>IF(22&gt;$C238,"",IF($D238=1,EOMONTH(EDATE(Bonds!$H238,6*(22-1)),0),EDATE(Bonds!$H238,6*(22-1))))</f>
        <v/>
      </c>
      <c r="AA238" s="3" t="str">
        <f>IF(23&gt;$C238,"",IF($D238=1,EOMONTH(EDATE(Bonds!$H238,6*(23-1)),0),EDATE(Bonds!$H238,6*(23-1))))</f>
        <v/>
      </c>
      <c r="AB238" s="3" t="str">
        <f>IF(24&gt;$C238,"",IF($D238=1,EOMONTH(EDATE(Bonds!$H238,6*(24-1)),0),EDATE(Bonds!$H238,6*(24-1))))</f>
        <v/>
      </c>
      <c r="AC238" s="3" t="str">
        <f>IF(25&gt;$C238,"",IF($D238=1,EOMONTH(EDATE(Bonds!$H238,6*(25-1)),0),EDATE(Bonds!$H238,6*(25-1))))</f>
        <v/>
      </c>
      <c r="AD238" s="3" t="str">
        <f>IF(26&gt;$C238,"",IF($D238=1,EOMONTH(EDATE(Bonds!$H238,6*(26-1)),0),EDATE(Bonds!$H238,6*(26-1))))</f>
        <v/>
      </c>
      <c r="AE238" s="3" t="str">
        <f>IF(27&gt;$C238,"",IF($D238=1,EOMONTH(EDATE(Bonds!$H238,6*(27-1)),0),EDATE(Bonds!$H238,6*(27-1))))</f>
        <v/>
      </c>
      <c r="AF238" s="3" t="str">
        <f>IF(28&gt;$C238,"",IF($D238=1,EOMONTH(EDATE(Bonds!$H238,6*(28-1)),0),EDATE(Bonds!$H238,6*(28-1))))</f>
        <v/>
      </c>
      <c r="AG238" s="3" t="str">
        <f>IF(29&gt;$C238,"",IF($D238=1,EOMONTH(EDATE(Bonds!$H238,6*(29-1)),0),EDATE(Bonds!$H238,6*(29-1))))</f>
        <v/>
      </c>
      <c r="AH238" s="3" t="str">
        <f>IF(30&gt;$C238,"",IF($D238=1,EOMONTH(EDATE(Bonds!$H238,6*(30-1)),0),EDATE(Bonds!$H238,6*(30-1))))</f>
        <v/>
      </c>
      <c r="AI238" s="3" t="str">
        <f>IF(31&gt;$C238,"",IF($D238=1,EOMONTH(EDATE(Bonds!$H238,6*(31-1)),0),EDATE(Bonds!$H238,6*(31-1))))</f>
        <v/>
      </c>
      <c r="AJ238" s="3" t="str">
        <f>IF(32&gt;$C238,"",IF($D238=1,EOMONTH(EDATE(Bonds!$H238,6*(32-1)),0),EDATE(Bonds!$H238,6*(32-1))))</f>
        <v/>
      </c>
      <c r="AK238" s="3" t="str">
        <f>IF(33&gt;$C238,"",IF($D238=1,EOMONTH(EDATE(Bonds!$H238,6*(33-1)),0),EDATE(Bonds!$H238,6*(33-1))))</f>
        <v/>
      </c>
      <c r="AL238" s="3" t="str">
        <f>IF(34&gt;$C238,"",IF($D238=1,EOMONTH(EDATE(Bonds!$H238,6*(34-1)),0),EDATE(Bonds!$H238,6*(34-1))))</f>
        <v/>
      </c>
      <c r="AM238" s="3" t="str">
        <f>IF(35&gt;$C238,"",IF($D238=1,EOMONTH(EDATE(Bonds!$H238,6*(35-1)),0),EDATE(Bonds!$H238,6*(35-1))))</f>
        <v/>
      </c>
      <c r="AN238" s="3" t="str">
        <f>IF(36&gt;$C238,"",IF($D238=1,EOMONTH(EDATE(Bonds!$H238,6*(36-1)),0),EDATE(Bonds!$H238,6*(36-1))))</f>
        <v/>
      </c>
      <c r="AO238" s="3" t="str">
        <f>IF(37&gt;$C238,"",IF($D238=1,EOMONTH(EDATE(Bonds!$H238,6*(37-1)),0),EDATE(Bonds!$H238,6*(37-1))))</f>
        <v/>
      </c>
      <c r="AP238" s="3" t="str">
        <f>IF(38&gt;$C238,"",IF($D238=1,EOMONTH(EDATE(Bonds!$H238,6*(38-1)),0),EDATE(Bonds!$H238,6*(38-1))))</f>
        <v/>
      </c>
      <c r="AQ238" s="3" t="str">
        <f>IF(39&gt;$C238,"",IF($D238=1,EOMONTH(EDATE(Bonds!$H238,6*(39-1)),0),EDATE(Bonds!$H238,6*(39-1))))</f>
        <v/>
      </c>
      <c r="AR238" s="3" t="str">
        <f>IF(40&gt;$C238,"",IF($D238=1,EOMONTH(EDATE(Bonds!$H238,6*(40-1)),0),EDATE(Bonds!$H238,6*(40-1))))</f>
        <v/>
      </c>
      <c r="AS238" s="3" t="str">
        <f>IF(41&gt;$C238,"",IF($D238=1,EOMONTH(EDATE(Bonds!$H238,6*(41-1)),0),EDATE(Bonds!$H238,6*(41-1))))</f>
        <v/>
      </c>
      <c r="AT238" s="3" t="str">
        <f>IF(42&gt;$C238,"",IF($D238=1,EOMONTH(EDATE(Bonds!$H238,6*(42-1)),0),EDATE(Bonds!$H238,6*(42-1))))</f>
        <v/>
      </c>
      <c r="AU238" s="3" t="str">
        <f>IF(43&gt;$C238,"",IF($D238=1,EOMONTH(EDATE(Bonds!$H238,6*(43-1)),0),EDATE(Bonds!$H238,6*(43-1))))</f>
        <v/>
      </c>
      <c r="AV238" s="3" t="str">
        <f>IF(44&gt;$C238,"",IF($D238=1,EOMONTH(EDATE(Bonds!$H238,6*(44-1)),0),EDATE(Bonds!$H238,6*(44-1))))</f>
        <v/>
      </c>
      <c r="AW238" s="3" t="str">
        <f>IF(45&gt;$C238,"",IF($D238=1,EOMONTH(EDATE(Bonds!$H238,6*(45-1)),0),EDATE(Bonds!$H238,6*(45-1))))</f>
        <v/>
      </c>
      <c r="AX238" s="3" t="str">
        <f>IF(46&gt;$C238,"",IF($D238=1,EOMONTH(EDATE(Bonds!$H238,6*(46-1)),0),EDATE(Bonds!$H238,6*(46-1))))</f>
        <v/>
      </c>
      <c r="AY238" s="3" t="str">
        <f>IF(47&gt;$C238,"",IF($D238=1,EOMONTH(EDATE(Bonds!$H238,6*(47-1)),0),EDATE(Bonds!$H238,6*(47-1))))</f>
        <v/>
      </c>
      <c r="AZ238" s="3" t="str">
        <f>IF(48&gt;$C238,"",IF($D238=1,EOMONTH(EDATE(Bonds!$H238,6*(48-1)),0),EDATE(Bonds!$H238,6*(48-1))))</f>
        <v/>
      </c>
      <c r="BA238" s="3" t="str">
        <f>IF(49&gt;$C238,"",IF($D238=1,EOMONTH(EDATE(Bonds!$H238,6*(49-1)),0),EDATE(Bonds!$H238,6*(49-1))))</f>
        <v/>
      </c>
      <c r="BB238" s="3" t="str">
        <f>IF(50&gt;$C238,"",IF($D238=1,EOMONTH(EDATE(Bonds!$H238,6*(50-1)),0),EDATE(Bonds!$H238,6*(50-1))))</f>
        <v/>
      </c>
      <c r="BC238" s="3" t="str">
        <f>IF(51&gt;$C238,"",IF($D238=1,EOMONTH(EDATE(Bonds!$H238,6*(51-1)),0),EDATE(Bonds!$H238,6*(51-1))))</f>
        <v/>
      </c>
      <c r="BD238" s="3" t="str">
        <f>IF(52&gt;$C238,"",IF($D238=1,EOMONTH(EDATE(Bonds!$H238,6*(52-1)),0),EDATE(Bonds!$H238,6*(52-1))))</f>
        <v/>
      </c>
      <c r="BE238" s="3" t="str">
        <f>IF(53&gt;$C238,"",IF($D238=1,EOMONTH(EDATE(Bonds!$H238,6*(53-1)),0),EDATE(Bonds!$H238,6*(53-1))))</f>
        <v/>
      </c>
      <c r="BF238" s="3" t="str">
        <f>IF(54&gt;$C238,"",IF($D238=1,EOMONTH(EDATE(Bonds!$H238,6*(54-1)),0),EDATE(Bonds!$H238,6*(54-1))))</f>
        <v/>
      </c>
      <c r="BG238" s="3" t="str">
        <f>IF(55&gt;$C238,"",IF($D238=1,EOMONTH(EDATE(Bonds!$H238,6*(55-1)),0),EDATE(Bonds!$H238,6*(55-1))))</f>
        <v/>
      </c>
      <c r="BH238" s="3" t="str">
        <f>IF(56&gt;$C238,"",IF($D238=1,EOMONTH(EDATE(Bonds!$H238,6*(56-1)),0),EDATE(Bonds!$H238,6*(56-1))))</f>
        <v/>
      </c>
      <c r="BI238" s="3" t="str">
        <f>IF(57&gt;$C238,"",IF($D238=1,EOMONTH(EDATE(Bonds!$H238,6*(57-1)),0),EDATE(Bonds!$H238,6*(57-1))))</f>
        <v/>
      </c>
      <c r="BJ238" s="3" t="str">
        <f>IF(58&gt;$C238,"",IF($D238=1,EOMONTH(EDATE(Bonds!$H238,6*(58-1)),0),EDATE(Bonds!$H238,6*(58-1))))</f>
        <v/>
      </c>
      <c r="BK238" s="3" t="str">
        <f>IF(59&gt;$C238,"",IF($D238=1,EOMONTH(EDATE(Bonds!$H238,6*(59-1)),0),EDATE(Bonds!$H238,6*(59-1))))</f>
        <v/>
      </c>
      <c r="BL238" s="3" t="str">
        <f>IF(60&gt;$C238,"",IF($D238=1,EOMONTH(EDATE(Bonds!$H238,6*(60-1)),0),EDATE(Bonds!$H238,6*(60-1))))</f>
        <v/>
      </c>
      <c r="BN238" s="7">
        <f t="shared" si="184"/>
        <v>1.8404804344859773</v>
      </c>
      <c r="BO238" s="7">
        <f t="shared" si="185"/>
        <v>1.80084383961021</v>
      </c>
      <c r="BP238" s="7">
        <f t="shared" si="186"/>
        <v>1.7607966782556665</v>
      </c>
      <c r="BQ238" s="7">
        <f t="shared" si="187"/>
        <v>1.7206124284536568</v>
      </c>
      <c r="BR238" s="7">
        <f t="shared" si="188"/>
        <v>1.6818847123684257</v>
      </c>
      <c r="BS238" s="7">
        <f t="shared" si="189"/>
        <v>1.6434816269392543</v>
      </c>
      <c r="BT238" s="7">
        <f t="shared" si="190"/>
        <v>1.6066170576935885</v>
      </c>
      <c r="BU238" s="7">
        <f t="shared" si="191"/>
        <v>1.5699431333640121</v>
      </c>
      <c r="BV238" s="7">
        <f t="shared" si="192"/>
        <v>1.5345075997450224</v>
      </c>
      <c r="BW238" s="7">
        <f t="shared" si="193"/>
        <v>1.4989925054816222</v>
      </c>
      <c r="BX238" s="7">
        <f t="shared" si="194"/>
        <v>1.4642499176493255</v>
      </c>
      <c r="BY238" s="7">
        <f t="shared" si="195"/>
        <v>1.4294283666636487</v>
      </c>
      <c r="BZ238" s="7">
        <f t="shared" si="196"/>
        <v>75.817635773361033</v>
      </c>
      <c r="CA238" s="7">
        <f t="shared" si="197"/>
        <v>0</v>
      </c>
      <c r="CB238" s="7">
        <f t="shared" si="198"/>
        <v>0</v>
      </c>
      <c r="CC238" s="7">
        <f t="shared" si="199"/>
        <v>0</v>
      </c>
      <c r="CD238" s="7">
        <f t="shared" si="200"/>
        <v>0</v>
      </c>
      <c r="CE238" s="7">
        <f t="shared" si="201"/>
        <v>0</v>
      </c>
      <c r="CF238" s="7">
        <f t="shared" si="202"/>
        <v>0</v>
      </c>
      <c r="CG238" s="7">
        <f t="shared" si="203"/>
        <v>0</v>
      </c>
      <c r="CH238" s="7">
        <f t="shared" si="204"/>
        <v>0</v>
      </c>
      <c r="CI238" s="7">
        <f t="shared" si="205"/>
        <v>0</v>
      </c>
      <c r="CJ238" s="7">
        <f t="shared" si="206"/>
        <v>0</v>
      </c>
      <c r="CK238" s="7">
        <f t="shared" si="207"/>
        <v>0</v>
      </c>
      <c r="CL238" s="7">
        <f t="shared" si="208"/>
        <v>0</v>
      </c>
      <c r="CM238" s="7">
        <f t="shared" si="209"/>
        <v>0</v>
      </c>
      <c r="CN238" s="7">
        <f t="shared" si="210"/>
        <v>0</v>
      </c>
      <c r="CO238" s="7">
        <f t="shared" si="211"/>
        <v>0</v>
      </c>
      <c r="CP238" s="7">
        <f t="shared" si="212"/>
        <v>0</v>
      </c>
      <c r="CQ238" s="7">
        <f t="shared" si="213"/>
        <v>0</v>
      </c>
      <c r="CR238" s="7">
        <f t="shared" si="214"/>
        <v>0</v>
      </c>
      <c r="CS238" s="7">
        <f t="shared" si="215"/>
        <v>0</v>
      </c>
      <c r="CT238" s="7">
        <f t="shared" si="216"/>
        <v>0</v>
      </c>
      <c r="CU238" s="7">
        <f t="shared" si="217"/>
        <v>0</v>
      </c>
      <c r="CV238" s="7">
        <f t="shared" si="218"/>
        <v>0</v>
      </c>
      <c r="CW238" s="7">
        <f t="shared" si="219"/>
        <v>0</v>
      </c>
      <c r="CX238" s="7">
        <f t="shared" si="220"/>
        <v>0</v>
      </c>
      <c r="CY238" s="7">
        <f t="shared" si="221"/>
        <v>0</v>
      </c>
      <c r="CZ238" s="7">
        <f t="shared" si="222"/>
        <v>0</v>
      </c>
      <c r="DA238" s="7">
        <f t="shared" si="223"/>
        <v>0</v>
      </c>
      <c r="DB238" s="7">
        <f t="shared" si="224"/>
        <v>0</v>
      </c>
      <c r="DC238" s="7">
        <f t="shared" si="225"/>
        <v>0</v>
      </c>
      <c r="DD238" s="7">
        <f t="shared" si="226"/>
        <v>0</v>
      </c>
      <c r="DE238" s="7">
        <f t="shared" si="227"/>
        <v>0</v>
      </c>
      <c r="DF238" s="7">
        <f t="shared" si="228"/>
        <v>0</v>
      </c>
      <c r="DG238" s="7">
        <f t="shared" si="229"/>
        <v>0</v>
      </c>
      <c r="DH238" s="7">
        <f t="shared" si="230"/>
        <v>0</v>
      </c>
      <c r="DI238" s="7">
        <f t="shared" si="231"/>
        <v>0</v>
      </c>
      <c r="DJ238" s="7">
        <f t="shared" si="232"/>
        <v>0</v>
      </c>
      <c r="DK238" s="7">
        <f t="shared" si="233"/>
        <v>0</v>
      </c>
      <c r="DL238" s="7">
        <f t="shared" si="234"/>
        <v>0</v>
      </c>
      <c r="DM238" s="7">
        <f t="shared" si="235"/>
        <v>0</v>
      </c>
      <c r="DN238" s="7">
        <f t="shared" si="236"/>
        <v>0</v>
      </c>
      <c r="DO238" s="7">
        <f t="shared" si="237"/>
        <v>0</v>
      </c>
      <c r="DP238" s="7">
        <f t="shared" si="238"/>
        <v>0</v>
      </c>
      <c r="DQ238" s="7">
        <f t="shared" si="239"/>
        <v>0</v>
      </c>
      <c r="DR238" s="7">
        <f t="shared" si="240"/>
        <v>0</v>
      </c>
      <c r="DS238" s="7">
        <f t="shared" si="241"/>
        <v>0</v>
      </c>
      <c r="DT238" s="7">
        <f t="shared" si="242"/>
        <v>0</v>
      </c>
      <c r="DU238" s="7">
        <f t="shared" si="243"/>
        <v>0</v>
      </c>
    </row>
    <row r="239" spans="1:125" x14ac:dyDescent="0.2">
      <c r="A239" s="3">
        <f>Bonds!A239</f>
        <v>48669</v>
      </c>
      <c r="B239" s="4">
        <f>Bonds!B239</f>
        <v>4.25</v>
      </c>
      <c r="C239">
        <f>Bonds!P239</f>
        <v>14</v>
      </c>
      <c r="D239">
        <f t="shared" si="183"/>
        <v>1</v>
      </c>
      <c r="E239" s="3">
        <f>IF(1&gt;$C239,"",IF($D239=1,EOMONTH(EDATE(Bonds!$H239,6*(1-1)),0),EDATE(Bonds!$H239,6*(1-1))))</f>
        <v>46295</v>
      </c>
      <c r="F239" s="3">
        <f>IF(2&gt;$C239,"",IF($D239=1,EOMONTH(EDATE(Bonds!$H239,6*(2-1)),0),EDATE(Bonds!$H239,6*(2-1))))</f>
        <v>46477</v>
      </c>
      <c r="G239" s="3">
        <f>IF(3&gt;$C239,"",IF($D239=1,EOMONTH(EDATE(Bonds!$H239,6*(3-1)),0),EDATE(Bonds!$H239,6*(3-1))))</f>
        <v>46660</v>
      </c>
      <c r="H239" s="3">
        <f>IF(4&gt;$C239,"",IF($D239=1,EOMONTH(EDATE(Bonds!$H239,6*(4-1)),0),EDATE(Bonds!$H239,6*(4-1))))</f>
        <v>46843</v>
      </c>
      <c r="I239" s="3">
        <f>IF(5&gt;$C239,"",IF($D239=1,EOMONTH(EDATE(Bonds!$H239,6*(5-1)),0),EDATE(Bonds!$H239,6*(5-1))))</f>
        <v>47026</v>
      </c>
      <c r="J239" s="3">
        <f>IF(6&gt;$C239,"",IF($D239=1,EOMONTH(EDATE(Bonds!$H239,6*(6-1)),0),EDATE(Bonds!$H239,6*(6-1))))</f>
        <v>47208</v>
      </c>
      <c r="K239" s="3">
        <f>IF(7&gt;$C239,"",IF($D239=1,EOMONTH(EDATE(Bonds!$H239,6*(7-1)),0),EDATE(Bonds!$H239,6*(7-1))))</f>
        <v>47391</v>
      </c>
      <c r="L239" s="3">
        <f>IF(8&gt;$C239,"",IF($D239=1,EOMONTH(EDATE(Bonds!$H239,6*(8-1)),0),EDATE(Bonds!$H239,6*(8-1))))</f>
        <v>47573</v>
      </c>
      <c r="M239" s="3">
        <f>IF(9&gt;$C239,"",IF($D239=1,EOMONTH(EDATE(Bonds!$H239,6*(9-1)),0),EDATE(Bonds!$H239,6*(9-1))))</f>
        <v>47756</v>
      </c>
      <c r="N239" s="3">
        <f>IF(10&gt;$C239,"",IF($D239=1,EOMONTH(EDATE(Bonds!$H239,6*(10-1)),0),EDATE(Bonds!$H239,6*(10-1))))</f>
        <v>47938</v>
      </c>
      <c r="O239" s="3">
        <f>IF(11&gt;$C239,"",IF($D239=1,EOMONTH(EDATE(Bonds!$H239,6*(11-1)),0),EDATE(Bonds!$H239,6*(11-1))))</f>
        <v>48121</v>
      </c>
      <c r="P239" s="3">
        <f>IF(12&gt;$C239,"",IF($D239=1,EOMONTH(EDATE(Bonds!$H239,6*(12-1)),0),EDATE(Bonds!$H239,6*(12-1))))</f>
        <v>48304</v>
      </c>
      <c r="Q239" s="3">
        <f>IF(13&gt;$C239,"",IF($D239=1,EOMONTH(EDATE(Bonds!$H239,6*(13-1)),0),EDATE(Bonds!$H239,6*(13-1))))</f>
        <v>48487</v>
      </c>
      <c r="R239" s="3">
        <f>IF(14&gt;$C239,"",IF($D239=1,EOMONTH(EDATE(Bonds!$H239,6*(14-1)),0),EDATE(Bonds!$H239,6*(14-1))))</f>
        <v>48669</v>
      </c>
      <c r="S239" s="3" t="str">
        <f>IF(15&gt;$C239,"",IF($D239=1,EOMONTH(EDATE(Bonds!$H239,6*(15-1)),0),EDATE(Bonds!$H239,6*(15-1))))</f>
        <v/>
      </c>
      <c r="T239" s="3" t="str">
        <f>IF(16&gt;$C239,"",IF($D239=1,EOMONTH(EDATE(Bonds!$H239,6*(16-1)),0),EDATE(Bonds!$H239,6*(16-1))))</f>
        <v/>
      </c>
      <c r="U239" s="3" t="str">
        <f>IF(17&gt;$C239,"",IF($D239=1,EOMONTH(EDATE(Bonds!$H239,6*(17-1)),0),EDATE(Bonds!$H239,6*(17-1))))</f>
        <v/>
      </c>
      <c r="V239" s="3" t="str">
        <f>IF(18&gt;$C239,"",IF($D239=1,EOMONTH(EDATE(Bonds!$H239,6*(18-1)),0),EDATE(Bonds!$H239,6*(18-1))))</f>
        <v/>
      </c>
      <c r="W239" s="3" t="str">
        <f>IF(19&gt;$C239,"",IF($D239=1,EOMONTH(EDATE(Bonds!$H239,6*(19-1)),0),EDATE(Bonds!$H239,6*(19-1))))</f>
        <v/>
      </c>
      <c r="X239" s="3" t="str">
        <f>IF(20&gt;$C239,"",IF($D239=1,EOMONTH(EDATE(Bonds!$H239,6*(20-1)),0),EDATE(Bonds!$H239,6*(20-1))))</f>
        <v/>
      </c>
      <c r="Y239" s="3" t="str">
        <f>IF(21&gt;$C239,"",IF($D239=1,EOMONTH(EDATE(Bonds!$H239,6*(21-1)),0),EDATE(Bonds!$H239,6*(21-1))))</f>
        <v/>
      </c>
      <c r="Z239" s="3" t="str">
        <f>IF(22&gt;$C239,"",IF($D239=1,EOMONTH(EDATE(Bonds!$H239,6*(22-1)),0),EDATE(Bonds!$H239,6*(22-1))))</f>
        <v/>
      </c>
      <c r="AA239" s="3" t="str">
        <f>IF(23&gt;$C239,"",IF($D239=1,EOMONTH(EDATE(Bonds!$H239,6*(23-1)),0),EDATE(Bonds!$H239,6*(23-1))))</f>
        <v/>
      </c>
      <c r="AB239" s="3" t="str">
        <f>IF(24&gt;$C239,"",IF($D239=1,EOMONTH(EDATE(Bonds!$H239,6*(24-1)),0),EDATE(Bonds!$H239,6*(24-1))))</f>
        <v/>
      </c>
      <c r="AC239" s="3" t="str">
        <f>IF(25&gt;$C239,"",IF($D239=1,EOMONTH(EDATE(Bonds!$H239,6*(25-1)),0),EDATE(Bonds!$H239,6*(25-1))))</f>
        <v/>
      </c>
      <c r="AD239" s="3" t="str">
        <f>IF(26&gt;$C239,"",IF($D239=1,EOMONTH(EDATE(Bonds!$H239,6*(26-1)),0),EDATE(Bonds!$H239,6*(26-1))))</f>
        <v/>
      </c>
      <c r="AE239" s="3" t="str">
        <f>IF(27&gt;$C239,"",IF($D239=1,EOMONTH(EDATE(Bonds!$H239,6*(27-1)),0),EDATE(Bonds!$H239,6*(27-1))))</f>
        <v/>
      </c>
      <c r="AF239" s="3" t="str">
        <f>IF(28&gt;$C239,"",IF($D239=1,EOMONTH(EDATE(Bonds!$H239,6*(28-1)),0),EDATE(Bonds!$H239,6*(28-1))))</f>
        <v/>
      </c>
      <c r="AG239" s="3" t="str">
        <f>IF(29&gt;$C239,"",IF($D239=1,EOMONTH(EDATE(Bonds!$H239,6*(29-1)),0),EDATE(Bonds!$H239,6*(29-1))))</f>
        <v/>
      </c>
      <c r="AH239" s="3" t="str">
        <f>IF(30&gt;$C239,"",IF($D239=1,EOMONTH(EDATE(Bonds!$H239,6*(30-1)),0),EDATE(Bonds!$H239,6*(30-1))))</f>
        <v/>
      </c>
      <c r="AI239" s="3" t="str">
        <f>IF(31&gt;$C239,"",IF($D239=1,EOMONTH(EDATE(Bonds!$H239,6*(31-1)),0),EDATE(Bonds!$H239,6*(31-1))))</f>
        <v/>
      </c>
      <c r="AJ239" s="3" t="str">
        <f>IF(32&gt;$C239,"",IF($D239=1,EOMONTH(EDATE(Bonds!$H239,6*(32-1)),0),EDATE(Bonds!$H239,6*(32-1))))</f>
        <v/>
      </c>
      <c r="AK239" s="3" t="str">
        <f>IF(33&gt;$C239,"",IF($D239=1,EOMONTH(EDATE(Bonds!$H239,6*(33-1)),0),EDATE(Bonds!$H239,6*(33-1))))</f>
        <v/>
      </c>
      <c r="AL239" s="3" t="str">
        <f>IF(34&gt;$C239,"",IF($D239=1,EOMONTH(EDATE(Bonds!$H239,6*(34-1)),0),EDATE(Bonds!$H239,6*(34-1))))</f>
        <v/>
      </c>
      <c r="AM239" s="3" t="str">
        <f>IF(35&gt;$C239,"",IF($D239=1,EOMONTH(EDATE(Bonds!$H239,6*(35-1)),0),EDATE(Bonds!$H239,6*(35-1))))</f>
        <v/>
      </c>
      <c r="AN239" s="3" t="str">
        <f>IF(36&gt;$C239,"",IF($D239=1,EOMONTH(EDATE(Bonds!$H239,6*(36-1)),0),EDATE(Bonds!$H239,6*(36-1))))</f>
        <v/>
      </c>
      <c r="AO239" s="3" t="str">
        <f>IF(37&gt;$C239,"",IF($D239=1,EOMONTH(EDATE(Bonds!$H239,6*(37-1)),0),EDATE(Bonds!$H239,6*(37-1))))</f>
        <v/>
      </c>
      <c r="AP239" s="3" t="str">
        <f>IF(38&gt;$C239,"",IF($D239=1,EOMONTH(EDATE(Bonds!$H239,6*(38-1)),0),EDATE(Bonds!$H239,6*(38-1))))</f>
        <v/>
      </c>
      <c r="AQ239" s="3" t="str">
        <f>IF(39&gt;$C239,"",IF($D239=1,EOMONTH(EDATE(Bonds!$H239,6*(39-1)),0),EDATE(Bonds!$H239,6*(39-1))))</f>
        <v/>
      </c>
      <c r="AR239" s="3" t="str">
        <f>IF(40&gt;$C239,"",IF($D239=1,EOMONTH(EDATE(Bonds!$H239,6*(40-1)),0),EDATE(Bonds!$H239,6*(40-1))))</f>
        <v/>
      </c>
      <c r="AS239" s="3" t="str">
        <f>IF(41&gt;$C239,"",IF($D239=1,EOMONTH(EDATE(Bonds!$H239,6*(41-1)),0),EDATE(Bonds!$H239,6*(41-1))))</f>
        <v/>
      </c>
      <c r="AT239" s="3" t="str">
        <f>IF(42&gt;$C239,"",IF($D239=1,EOMONTH(EDATE(Bonds!$H239,6*(42-1)),0),EDATE(Bonds!$H239,6*(42-1))))</f>
        <v/>
      </c>
      <c r="AU239" s="3" t="str">
        <f>IF(43&gt;$C239,"",IF($D239=1,EOMONTH(EDATE(Bonds!$H239,6*(43-1)),0),EDATE(Bonds!$H239,6*(43-1))))</f>
        <v/>
      </c>
      <c r="AV239" s="3" t="str">
        <f>IF(44&gt;$C239,"",IF($D239=1,EOMONTH(EDATE(Bonds!$H239,6*(44-1)),0),EDATE(Bonds!$H239,6*(44-1))))</f>
        <v/>
      </c>
      <c r="AW239" s="3" t="str">
        <f>IF(45&gt;$C239,"",IF($D239=1,EOMONTH(EDATE(Bonds!$H239,6*(45-1)),0),EDATE(Bonds!$H239,6*(45-1))))</f>
        <v/>
      </c>
      <c r="AX239" s="3" t="str">
        <f>IF(46&gt;$C239,"",IF($D239=1,EOMONTH(EDATE(Bonds!$H239,6*(46-1)),0),EDATE(Bonds!$H239,6*(46-1))))</f>
        <v/>
      </c>
      <c r="AY239" s="3" t="str">
        <f>IF(47&gt;$C239,"",IF($D239=1,EOMONTH(EDATE(Bonds!$H239,6*(47-1)),0),EDATE(Bonds!$H239,6*(47-1))))</f>
        <v/>
      </c>
      <c r="AZ239" s="3" t="str">
        <f>IF(48&gt;$C239,"",IF($D239=1,EOMONTH(EDATE(Bonds!$H239,6*(48-1)),0),EDATE(Bonds!$H239,6*(48-1))))</f>
        <v/>
      </c>
      <c r="BA239" s="3" t="str">
        <f>IF(49&gt;$C239,"",IF($D239=1,EOMONTH(EDATE(Bonds!$H239,6*(49-1)),0),EDATE(Bonds!$H239,6*(49-1))))</f>
        <v/>
      </c>
      <c r="BB239" s="3" t="str">
        <f>IF(50&gt;$C239,"",IF($D239=1,EOMONTH(EDATE(Bonds!$H239,6*(50-1)),0),EDATE(Bonds!$H239,6*(50-1))))</f>
        <v/>
      </c>
      <c r="BC239" s="3" t="str">
        <f>IF(51&gt;$C239,"",IF($D239=1,EOMONTH(EDATE(Bonds!$H239,6*(51-1)),0),EDATE(Bonds!$H239,6*(51-1))))</f>
        <v/>
      </c>
      <c r="BD239" s="3" t="str">
        <f>IF(52&gt;$C239,"",IF($D239=1,EOMONTH(EDATE(Bonds!$H239,6*(52-1)),0),EDATE(Bonds!$H239,6*(52-1))))</f>
        <v/>
      </c>
      <c r="BE239" s="3" t="str">
        <f>IF(53&gt;$C239,"",IF($D239=1,EOMONTH(EDATE(Bonds!$H239,6*(53-1)),0),EDATE(Bonds!$H239,6*(53-1))))</f>
        <v/>
      </c>
      <c r="BF239" s="3" t="str">
        <f>IF(54&gt;$C239,"",IF($D239=1,EOMONTH(EDATE(Bonds!$H239,6*(54-1)),0),EDATE(Bonds!$H239,6*(54-1))))</f>
        <v/>
      </c>
      <c r="BG239" s="3" t="str">
        <f>IF(55&gt;$C239,"",IF($D239=1,EOMONTH(EDATE(Bonds!$H239,6*(55-1)),0),EDATE(Bonds!$H239,6*(55-1))))</f>
        <v/>
      </c>
      <c r="BH239" s="3" t="str">
        <f>IF(56&gt;$C239,"",IF($D239=1,EOMONTH(EDATE(Bonds!$H239,6*(56-1)),0),EDATE(Bonds!$H239,6*(56-1))))</f>
        <v/>
      </c>
      <c r="BI239" s="3" t="str">
        <f>IF(57&gt;$C239,"",IF($D239=1,EOMONTH(EDATE(Bonds!$H239,6*(57-1)),0),EDATE(Bonds!$H239,6*(57-1))))</f>
        <v/>
      </c>
      <c r="BJ239" s="3" t="str">
        <f>IF(58&gt;$C239,"",IF($D239=1,EOMONTH(EDATE(Bonds!$H239,6*(58-1)),0),EDATE(Bonds!$H239,6*(58-1))))</f>
        <v/>
      </c>
      <c r="BK239" s="3" t="str">
        <f>IF(59&gt;$C239,"",IF($D239=1,EOMONTH(EDATE(Bonds!$H239,6*(59-1)),0),EDATE(Bonds!$H239,6*(59-1))))</f>
        <v/>
      </c>
      <c r="BL239" s="3" t="str">
        <f>IF(60&gt;$C239,"",IF($D239=1,EOMONTH(EDATE(Bonds!$H239,6*(60-1)),0),EDATE(Bonds!$H239,6*(60-1))))</f>
        <v/>
      </c>
      <c r="BN239" s="7">
        <f t="shared" si="184"/>
        <v>2.1203025210603115</v>
      </c>
      <c r="BO239" s="7">
        <f t="shared" si="185"/>
        <v>2.0784655935725604</v>
      </c>
      <c r="BP239" s="7">
        <f t="shared" si="186"/>
        <v>2.0334943509514023</v>
      </c>
      <c r="BQ239" s="7">
        <f t="shared" si="187"/>
        <v>1.9878495788844903</v>
      </c>
      <c r="BR239" s="7">
        <f t="shared" si="188"/>
        <v>1.9426820936339897</v>
      </c>
      <c r="BS239" s="7">
        <f t="shared" si="189"/>
        <v>1.8987251921907171</v>
      </c>
      <c r="BT239" s="7">
        <f t="shared" si="190"/>
        <v>1.8556197962624736</v>
      </c>
      <c r="BU239" s="7">
        <f t="shared" si="191"/>
        <v>1.8137704962898193</v>
      </c>
      <c r="BV239" s="7">
        <f t="shared" si="192"/>
        <v>1.7725672325044874</v>
      </c>
      <c r="BW239" s="7">
        <f t="shared" si="193"/>
        <v>1.7322907240104775</v>
      </c>
      <c r="BX239" s="7">
        <f t="shared" si="194"/>
        <v>1.6923408823595378</v>
      </c>
      <c r="BY239" s="7">
        <f t="shared" si="195"/>
        <v>1.652812347820716</v>
      </c>
      <c r="BZ239" s="7">
        <f t="shared" si="196"/>
        <v>1.6136122467133838</v>
      </c>
      <c r="CA239" s="7">
        <f t="shared" si="197"/>
        <v>75.687595333129863</v>
      </c>
      <c r="CB239" s="7">
        <f t="shared" si="198"/>
        <v>0</v>
      </c>
      <c r="CC239" s="7">
        <f t="shared" si="199"/>
        <v>0</v>
      </c>
      <c r="CD239" s="7">
        <f t="shared" si="200"/>
        <v>0</v>
      </c>
      <c r="CE239" s="7">
        <f t="shared" si="201"/>
        <v>0</v>
      </c>
      <c r="CF239" s="7">
        <f t="shared" si="202"/>
        <v>0</v>
      </c>
      <c r="CG239" s="7">
        <f t="shared" si="203"/>
        <v>0</v>
      </c>
      <c r="CH239" s="7">
        <f t="shared" si="204"/>
        <v>0</v>
      </c>
      <c r="CI239" s="7">
        <f t="shared" si="205"/>
        <v>0</v>
      </c>
      <c r="CJ239" s="7">
        <f t="shared" si="206"/>
        <v>0</v>
      </c>
      <c r="CK239" s="7">
        <f t="shared" si="207"/>
        <v>0</v>
      </c>
      <c r="CL239" s="7">
        <f t="shared" si="208"/>
        <v>0</v>
      </c>
      <c r="CM239" s="7">
        <f t="shared" si="209"/>
        <v>0</v>
      </c>
      <c r="CN239" s="7">
        <f t="shared" si="210"/>
        <v>0</v>
      </c>
      <c r="CO239" s="7">
        <f t="shared" si="211"/>
        <v>0</v>
      </c>
      <c r="CP239" s="7">
        <f t="shared" si="212"/>
        <v>0</v>
      </c>
      <c r="CQ239" s="7">
        <f t="shared" si="213"/>
        <v>0</v>
      </c>
      <c r="CR239" s="7">
        <f t="shared" si="214"/>
        <v>0</v>
      </c>
      <c r="CS239" s="7">
        <f t="shared" si="215"/>
        <v>0</v>
      </c>
      <c r="CT239" s="7">
        <f t="shared" si="216"/>
        <v>0</v>
      </c>
      <c r="CU239" s="7">
        <f t="shared" si="217"/>
        <v>0</v>
      </c>
      <c r="CV239" s="7">
        <f t="shared" si="218"/>
        <v>0</v>
      </c>
      <c r="CW239" s="7">
        <f t="shared" si="219"/>
        <v>0</v>
      </c>
      <c r="CX239" s="7">
        <f t="shared" si="220"/>
        <v>0</v>
      </c>
      <c r="CY239" s="7">
        <f t="shared" si="221"/>
        <v>0</v>
      </c>
      <c r="CZ239" s="7">
        <f t="shared" si="222"/>
        <v>0</v>
      </c>
      <c r="DA239" s="7">
        <f t="shared" si="223"/>
        <v>0</v>
      </c>
      <c r="DB239" s="7">
        <f t="shared" si="224"/>
        <v>0</v>
      </c>
      <c r="DC239" s="7">
        <f t="shared" si="225"/>
        <v>0</v>
      </c>
      <c r="DD239" s="7">
        <f t="shared" si="226"/>
        <v>0</v>
      </c>
      <c r="DE239" s="7">
        <f t="shared" si="227"/>
        <v>0</v>
      </c>
      <c r="DF239" s="7">
        <f t="shared" si="228"/>
        <v>0</v>
      </c>
      <c r="DG239" s="7">
        <f t="shared" si="229"/>
        <v>0</v>
      </c>
      <c r="DH239" s="7">
        <f t="shared" si="230"/>
        <v>0</v>
      </c>
      <c r="DI239" s="7">
        <f t="shared" si="231"/>
        <v>0</v>
      </c>
      <c r="DJ239" s="7">
        <f t="shared" si="232"/>
        <v>0</v>
      </c>
      <c r="DK239" s="7">
        <f t="shared" si="233"/>
        <v>0</v>
      </c>
      <c r="DL239" s="7">
        <f t="shared" si="234"/>
        <v>0</v>
      </c>
      <c r="DM239" s="7">
        <f t="shared" si="235"/>
        <v>0</v>
      </c>
      <c r="DN239" s="7">
        <f t="shared" si="236"/>
        <v>0</v>
      </c>
      <c r="DO239" s="7">
        <f t="shared" si="237"/>
        <v>0</v>
      </c>
      <c r="DP239" s="7">
        <f t="shared" si="238"/>
        <v>0</v>
      </c>
      <c r="DQ239" s="7">
        <f t="shared" si="239"/>
        <v>0</v>
      </c>
      <c r="DR239" s="7">
        <f t="shared" si="240"/>
        <v>0</v>
      </c>
      <c r="DS239" s="7">
        <f t="shared" si="241"/>
        <v>0</v>
      </c>
      <c r="DT239" s="7">
        <f t="shared" si="242"/>
        <v>0</v>
      </c>
      <c r="DU239" s="7">
        <f t="shared" si="243"/>
        <v>0</v>
      </c>
    </row>
    <row r="240" spans="1:125" x14ac:dyDescent="0.2">
      <c r="A240" s="3">
        <f>Bonds!A240</f>
        <v>48699</v>
      </c>
      <c r="B240" s="4">
        <f>Bonds!B240</f>
        <v>4.125</v>
      </c>
      <c r="C240">
        <f>Bonds!P240</f>
        <v>14</v>
      </c>
      <c r="D240">
        <f t="shared" si="183"/>
        <v>1</v>
      </c>
      <c r="E240" s="3">
        <f>IF(1&gt;$C240,"",IF($D240=1,EOMONTH(EDATE(Bonds!$H240,6*(1-1)),0),EDATE(Bonds!$H240,6*(1-1))))</f>
        <v>46326</v>
      </c>
      <c r="F240" s="3">
        <f>IF(2&gt;$C240,"",IF($D240=1,EOMONTH(EDATE(Bonds!$H240,6*(2-1)),0),EDATE(Bonds!$H240,6*(2-1))))</f>
        <v>46507</v>
      </c>
      <c r="G240" s="3">
        <f>IF(3&gt;$C240,"",IF($D240=1,EOMONTH(EDATE(Bonds!$H240,6*(3-1)),0),EDATE(Bonds!$H240,6*(3-1))))</f>
        <v>46691</v>
      </c>
      <c r="H240" s="3">
        <f>IF(4&gt;$C240,"",IF($D240=1,EOMONTH(EDATE(Bonds!$H240,6*(4-1)),0),EDATE(Bonds!$H240,6*(4-1))))</f>
        <v>46873</v>
      </c>
      <c r="I240" s="3">
        <f>IF(5&gt;$C240,"",IF($D240=1,EOMONTH(EDATE(Bonds!$H240,6*(5-1)),0),EDATE(Bonds!$H240,6*(5-1))))</f>
        <v>47057</v>
      </c>
      <c r="J240" s="3">
        <f>IF(6&gt;$C240,"",IF($D240=1,EOMONTH(EDATE(Bonds!$H240,6*(6-1)),0),EDATE(Bonds!$H240,6*(6-1))))</f>
        <v>47238</v>
      </c>
      <c r="K240" s="3">
        <f>IF(7&gt;$C240,"",IF($D240=1,EOMONTH(EDATE(Bonds!$H240,6*(7-1)),0),EDATE(Bonds!$H240,6*(7-1))))</f>
        <v>47422</v>
      </c>
      <c r="L240" s="3">
        <f>IF(8&gt;$C240,"",IF($D240=1,EOMONTH(EDATE(Bonds!$H240,6*(8-1)),0),EDATE(Bonds!$H240,6*(8-1))))</f>
        <v>47603</v>
      </c>
      <c r="M240" s="3">
        <f>IF(9&gt;$C240,"",IF($D240=1,EOMONTH(EDATE(Bonds!$H240,6*(9-1)),0),EDATE(Bonds!$H240,6*(9-1))))</f>
        <v>47787</v>
      </c>
      <c r="N240" s="3">
        <f>IF(10&gt;$C240,"",IF($D240=1,EOMONTH(EDATE(Bonds!$H240,6*(10-1)),0),EDATE(Bonds!$H240,6*(10-1))))</f>
        <v>47968</v>
      </c>
      <c r="O240" s="3">
        <f>IF(11&gt;$C240,"",IF($D240=1,EOMONTH(EDATE(Bonds!$H240,6*(11-1)),0),EDATE(Bonds!$H240,6*(11-1))))</f>
        <v>48152</v>
      </c>
      <c r="P240" s="3">
        <f>IF(12&gt;$C240,"",IF($D240=1,EOMONTH(EDATE(Bonds!$H240,6*(12-1)),0),EDATE(Bonds!$H240,6*(12-1))))</f>
        <v>48334</v>
      </c>
      <c r="Q240" s="3">
        <f>IF(13&gt;$C240,"",IF($D240=1,EOMONTH(EDATE(Bonds!$H240,6*(13-1)),0),EDATE(Bonds!$H240,6*(13-1))))</f>
        <v>48518</v>
      </c>
      <c r="R240" s="3">
        <f>IF(14&gt;$C240,"",IF($D240=1,EOMONTH(EDATE(Bonds!$H240,6*(14-1)),0),EDATE(Bonds!$H240,6*(14-1))))</f>
        <v>48699</v>
      </c>
      <c r="S240" s="3" t="str">
        <f>IF(15&gt;$C240,"",IF($D240=1,EOMONTH(EDATE(Bonds!$H240,6*(15-1)),0),EDATE(Bonds!$H240,6*(15-1))))</f>
        <v/>
      </c>
      <c r="T240" s="3" t="str">
        <f>IF(16&gt;$C240,"",IF($D240=1,EOMONTH(EDATE(Bonds!$H240,6*(16-1)),0),EDATE(Bonds!$H240,6*(16-1))))</f>
        <v/>
      </c>
      <c r="U240" s="3" t="str">
        <f>IF(17&gt;$C240,"",IF($D240=1,EOMONTH(EDATE(Bonds!$H240,6*(17-1)),0),EDATE(Bonds!$H240,6*(17-1))))</f>
        <v/>
      </c>
      <c r="V240" s="3" t="str">
        <f>IF(18&gt;$C240,"",IF($D240=1,EOMONTH(EDATE(Bonds!$H240,6*(18-1)),0),EDATE(Bonds!$H240,6*(18-1))))</f>
        <v/>
      </c>
      <c r="W240" s="3" t="str">
        <f>IF(19&gt;$C240,"",IF($D240=1,EOMONTH(EDATE(Bonds!$H240,6*(19-1)),0),EDATE(Bonds!$H240,6*(19-1))))</f>
        <v/>
      </c>
      <c r="X240" s="3" t="str">
        <f>IF(20&gt;$C240,"",IF($D240=1,EOMONTH(EDATE(Bonds!$H240,6*(20-1)),0),EDATE(Bonds!$H240,6*(20-1))))</f>
        <v/>
      </c>
      <c r="Y240" s="3" t="str">
        <f>IF(21&gt;$C240,"",IF($D240=1,EOMONTH(EDATE(Bonds!$H240,6*(21-1)),0),EDATE(Bonds!$H240,6*(21-1))))</f>
        <v/>
      </c>
      <c r="Z240" s="3" t="str">
        <f>IF(22&gt;$C240,"",IF($D240=1,EOMONTH(EDATE(Bonds!$H240,6*(22-1)),0),EDATE(Bonds!$H240,6*(22-1))))</f>
        <v/>
      </c>
      <c r="AA240" s="3" t="str">
        <f>IF(23&gt;$C240,"",IF($D240=1,EOMONTH(EDATE(Bonds!$H240,6*(23-1)),0),EDATE(Bonds!$H240,6*(23-1))))</f>
        <v/>
      </c>
      <c r="AB240" s="3" t="str">
        <f>IF(24&gt;$C240,"",IF($D240=1,EOMONTH(EDATE(Bonds!$H240,6*(24-1)),0),EDATE(Bonds!$H240,6*(24-1))))</f>
        <v/>
      </c>
      <c r="AC240" s="3" t="str">
        <f>IF(25&gt;$C240,"",IF($D240=1,EOMONTH(EDATE(Bonds!$H240,6*(25-1)),0),EDATE(Bonds!$H240,6*(25-1))))</f>
        <v/>
      </c>
      <c r="AD240" s="3" t="str">
        <f>IF(26&gt;$C240,"",IF($D240=1,EOMONTH(EDATE(Bonds!$H240,6*(26-1)),0),EDATE(Bonds!$H240,6*(26-1))))</f>
        <v/>
      </c>
      <c r="AE240" s="3" t="str">
        <f>IF(27&gt;$C240,"",IF($D240=1,EOMONTH(EDATE(Bonds!$H240,6*(27-1)),0),EDATE(Bonds!$H240,6*(27-1))))</f>
        <v/>
      </c>
      <c r="AF240" s="3" t="str">
        <f>IF(28&gt;$C240,"",IF($D240=1,EOMONTH(EDATE(Bonds!$H240,6*(28-1)),0),EDATE(Bonds!$H240,6*(28-1))))</f>
        <v/>
      </c>
      <c r="AG240" s="3" t="str">
        <f>IF(29&gt;$C240,"",IF($D240=1,EOMONTH(EDATE(Bonds!$H240,6*(29-1)),0),EDATE(Bonds!$H240,6*(29-1))))</f>
        <v/>
      </c>
      <c r="AH240" s="3" t="str">
        <f>IF(30&gt;$C240,"",IF($D240=1,EOMONTH(EDATE(Bonds!$H240,6*(30-1)),0),EDATE(Bonds!$H240,6*(30-1))))</f>
        <v/>
      </c>
      <c r="AI240" s="3" t="str">
        <f>IF(31&gt;$C240,"",IF($D240=1,EOMONTH(EDATE(Bonds!$H240,6*(31-1)),0),EDATE(Bonds!$H240,6*(31-1))))</f>
        <v/>
      </c>
      <c r="AJ240" s="3" t="str">
        <f>IF(32&gt;$C240,"",IF($D240=1,EOMONTH(EDATE(Bonds!$H240,6*(32-1)),0),EDATE(Bonds!$H240,6*(32-1))))</f>
        <v/>
      </c>
      <c r="AK240" s="3" t="str">
        <f>IF(33&gt;$C240,"",IF($D240=1,EOMONTH(EDATE(Bonds!$H240,6*(33-1)),0),EDATE(Bonds!$H240,6*(33-1))))</f>
        <v/>
      </c>
      <c r="AL240" s="3" t="str">
        <f>IF(34&gt;$C240,"",IF($D240=1,EOMONTH(EDATE(Bonds!$H240,6*(34-1)),0),EDATE(Bonds!$H240,6*(34-1))))</f>
        <v/>
      </c>
      <c r="AM240" s="3" t="str">
        <f>IF(35&gt;$C240,"",IF($D240=1,EOMONTH(EDATE(Bonds!$H240,6*(35-1)),0),EDATE(Bonds!$H240,6*(35-1))))</f>
        <v/>
      </c>
      <c r="AN240" s="3" t="str">
        <f>IF(36&gt;$C240,"",IF($D240=1,EOMONTH(EDATE(Bonds!$H240,6*(36-1)),0),EDATE(Bonds!$H240,6*(36-1))))</f>
        <v/>
      </c>
      <c r="AO240" s="3" t="str">
        <f>IF(37&gt;$C240,"",IF($D240=1,EOMONTH(EDATE(Bonds!$H240,6*(37-1)),0),EDATE(Bonds!$H240,6*(37-1))))</f>
        <v/>
      </c>
      <c r="AP240" s="3" t="str">
        <f>IF(38&gt;$C240,"",IF($D240=1,EOMONTH(EDATE(Bonds!$H240,6*(38-1)),0),EDATE(Bonds!$H240,6*(38-1))))</f>
        <v/>
      </c>
      <c r="AQ240" s="3" t="str">
        <f>IF(39&gt;$C240,"",IF($D240=1,EOMONTH(EDATE(Bonds!$H240,6*(39-1)),0),EDATE(Bonds!$H240,6*(39-1))))</f>
        <v/>
      </c>
      <c r="AR240" s="3" t="str">
        <f>IF(40&gt;$C240,"",IF($D240=1,EOMONTH(EDATE(Bonds!$H240,6*(40-1)),0),EDATE(Bonds!$H240,6*(40-1))))</f>
        <v/>
      </c>
      <c r="AS240" s="3" t="str">
        <f>IF(41&gt;$C240,"",IF($D240=1,EOMONTH(EDATE(Bonds!$H240,6*(41-1)),0),EDATE(Bonds!$H240,6*(41-1))))</f>
        <v/>
      </c>
      <c r="AT240" s="3" t="str">
        <f>IF(42&gt;$C240,"",IF($D240=1,EOMONTH(EDATE(Bonds!$H240,6*(42-1)),0),EDATE(Bonds!$H240,6*(42-1))))</f>
        <v/>
      </c>
      <c r="AU240" s="3" t="str">
        <f>IF(43&gt;$C240,"",IF($D240=1,EOMONTH(EDATE(Bonds!$H240,6*(43-1)),0),EDATE(Bonds!$H240,6*(43-1))))</f>
        <v/>
      </c>
      <c r="AV240" s="3" t="str">
        <f>IF(44&gt;$C240,"",IF($D240=1,EOMONTH(EDATE(Bonds!$H240,6*(44-1)),0),EDATE(Bonds!$H240,6*(44-1))))</f>
        <v/>
      </c>
      <c r="AW240" s="3" t="str">
        <f>IF(45&gt;$C240,"",IF($D240=1,EOMONTH(EDATE(Bonds!$H240,6*(45-1)),0),EDATE(Bonds!$H240,6*(45-1))))</f>
        <v/>
      </c>
      <c r="AX240" s="3" t="str">
        <f>IF(46&gt;$C240,"",IF($D240=1,EOMONTH(EDATE(Bonds!$H240,6*(46-1)),0),EDATE(Bonds!$H240,6*(46-1))))</f>
        <v/>
      </c>
      <c r="AY240" s="3" t="str">
        <f>IF(47&gt;$C240,"",IF($D240=1,EOMONTH(EDATE(Bonds!$H240,6*(47-1)),0),EDATE(Bonds!$H240,6*(47-1))))</f>
        <v/>
      </c>
      <c r="AZ240" s="3" t="str">
        <f>IF(48&gt;$C240,"",IF($D240=1,EOMONTH(EDATE(Bonds!$H240,6*(48-1)),0),EDATE(Bonds!$H240,6*(48-1))))</f>
        <v/>
      </c>
      <c r="BA240" s="3" t="str">
        <f>IF(49&gt;$C240,"",IF($D240=1,EOMONTH(EDATE(Bonds!$H240,6*(49-1)),0),EDATE(Bonds!$H240,6*(49-1))))</f>
        <v/>
      </c>
      <c r="BB240" s="3" t="str">
        <f>IF(50&gt;$C240,"",IF($D240=1,EOMONTH(EDATE(Bonds!$H240,6*(50-1)),0),EDATE(Bonds!$H240,6*(50-1))))</f>
        <v/>
      </c>
      <c r="BC240" s="3" t="str">
        <f>IF(51&gt;$C240,"",IF($D240=1,EOMONTH(EDATE(Bonds!$H240,6*(51-1)),0),EDATE(Bonds!$H240,6*(51-1))))</f>
        <v/>
      </c>
      <c r="BD240" s="3" t="str">
        <f>IF(52&gt;$C240,"",IF($D240=1,EOMONTH(EDATE(Bonds!$H240,6*(52-1)),0),EDATE(Bonds!$H240,6*(52-1))))</f>
        <v/>
      </c>
      <c r="BE240" s="3" t="str">
        <f>IF(53&gt;$C240,"",IF($D240=1,EOMONTH(EDATE(Bonds!$H240,6*(53-1)),0),EDATE(Bonds!$H240,6*(53-1))))</f>
        <v/>
      </c>
      <c r="BF240" s="3" t="str">
        <f>IF(54&gt;$C240,"",IF($D240=1,EOMONTH(EDATE(Bonds!$H240,6*(54-1)),0),EDATE(Bonds!$H240,6*(54-1))))</f>
        <v/>
      </c>
      <c r="BG240" s="3" t="str">
        <f>IF(55&gt;$C240,"",IF($D240=1,EOMONTH(EDATE(Bonds!$H240,6*(55-1)),0),EDATE(Bonds!$H240,6*(55-1))))</f>
        <v/>
      </c>
      <c r="BH240" s="3" t="str">
        <f>IF(56&gt;$C240,"",IF($D240=1,EOMONTH(EDATE(Bonds!$H240,6*(56-1)),0),EDATE(Bonds!$H240,6*(56-1))))</f>
        <v/>
      </c>
      <c r="BI240" s="3" t="str">
        <f>IF(57&gt;$C240,"",IF($D240=1,EOMONTH(EDATE(Bonds!$H240,6*(57-1)),0),EDATE(Bonds!$H240,6*(57-1))))</f>
        <v/>
      </c>
      <c r="BJ240" s="3" t="str">
        <f>IF(58&gt;$C240,"",IF($D240=1,EOMONTH(EDATE(Bonds!$H240,6*(58-1)),0),EDATE(Bonds!$H240,6*(58-1))))</f>
        <v/>
      </c>
      <c r="BK240" s="3" t="str">
        <f>IF(59&gt;$C240,"",IF($D240=1,EOMONTH(EDATE(Bonds!$H240,6*(59-1)),0),EDATE(Bonds!$H240,6*(59-1))))</f>
        <v/>
      </c>
      <c r="BL240" s="3" t="str">
        <f>IF(60&gt;$C240,"",IF($D240=1,EOMONTH(EDATE(Bonds!$H240,6*(60-1)),0),EDATE(Bonds!$H240,6*(60-1))))</f>
        <v/>
      </c>
      <c r="BN240" s="7">
        <f t="shared" si="184"/>
        <v>2.0513595090946413</v>
      </c>
      <c r="BO240" s="7">
        <f t="shared" si="185"/>
        <v>2.010298221656114</v>
      </c>
      <c r="BP240" s="7">
        <f t="shared" si="186"/>
        <v>1.9661857360162629</v>
      </c>
      <c r="BQ240" s="7">
        <f t="shared" si="187"/>
        <v>1.9221461788118896</v>
      </c>
      <c r="BR240" s="7">
        <f t="shared" si="188"/>
        <v>1.878204898294944</v>
      </c>
      <c r="BS240" s="7">
        <f t="shared" si="189"/>
        <v>1.835948967912461</v>
      </c>
      <c r="BT240" s="7">
        <f t="shared" si="190"/>
        <v>1.7940578182400548</v>
      </c>
      <c r="BU240" s="7">
        <f t="shared" si="191"/>
        <v>1.753814305170855</v>
      </c>
      <c r="BV240" s="7">
        <f t="shared" si="192"/>
        <v>1.7137308721400051</v>
      </c>
      <c r="BW240" s="7">
        <f t="shared" si="193"/>
        <v>1.6749516158686171</v>
      </c>
      <c r="BX240" s="7">
        <f t="shared" si="194"/>
        <v>1.6360411502432737</v>
      </c>
      <c r="BY240" s="7">
        <f t="shared" si="195"/>
        <v>1.5979430283432934</v>
      </c>
      <c r="BZ240" s="7">
        <f t="shared" si="196"/>
        <v>1.5597349966430212</v>
      </c>
      <c r="CA240" s="7">
        <f t="shared" si="197"/>
        <v>75.335880731542517</v>
      </c>
      <c r="CB240" s="7">
        <f t="shared" si="198"/>
        <v>0</v>
      </c>
      <c r="CC240" s="7">
        <f t="shared" si="199"/>
        <v>0</v>
      </c>
      <c r="CD240" s="7">
        <f t="shared" si="200"/>
        <v>0</v>
      </c>
      <c r="CE240" s="7">
        <f t="shared" si="201"/>
        <v>0</v>
      </c>
      <c r="CF240" s="7">
        <f t="shared" si="202"/>
        <v>0</v>
      </c>
      <c r="CG240" s="7">
        <f t="shared" si="203"/>
        <v>0</v>
      </c>
      <c r="CH240" s="7">
        <f t="shared" si="204"/>
        <v>0</v>
      </c>
      <c r="CI240" s="7">
        <f t="shared" si="205"/>
        <v>0</v>
      </c>
      <c r="CJ240" s="7">
        <f t="shared" si="206"/>
        <v>0</v>
      </c>
      <c r="CK240" s="7">
        <f t="shared" si="207"/>
        <v>0</v>
      </c>
      <c r="CL240" s="7">
        <f t="shared" si="208"/>
        <v>0</v>
      </c>
      <c r="CM240" s="7">
        <f t="shared" si="209"/>
        <v>0</v>
      </c>
      <c r="CN240" s="7">
        <f t="shared" si="210"/>
        <v>0</v>
      </c>
      <c r="CO240" s="7">
        <f t="shared" si="211"/>
        <v>0</v>
      </c>
      <c r="CP240" s="7">
        <f t="shared" si="212"/>
        <v>0</v>
      </c>
      <c r="CQ240" s="7">
        <f t="shared" si="213"/>
        <v>0</v>
      </c>
      <c r="CR240" s="7">
        <f t="shared" si="214"/>
        <v>0</v>
      </c>
      <c r="CS240" s="7">
        <f t="shared" si="215"/>
        <v>0</v>
      </c>
      <c r="CT240" s="7">
        <f t="shared" si="216"/>
        <v>0</v>
      </c>
      <c r="CU240" s="7">
        <f t="shared" si="217"/>
        <v>0</v>
      </c>
      <c r="CV240" s="7">
        <f t="shared" si="218"/>
        <v>0</v>
      </c>
      <c r="CW240" s="7">
        <f t="shared" si="219"/>
        <v>0</v>
      </c>
      <c r="CX240" s="7">
        <f t="shared" si="220"/>
        <v>0</v>
      </c>
      <c r="CY240" s="7">
        <f t="shared" si="221"/>
        <v>0</v>
      </c>
      <c r="CZ240" s="7">
        <f t="shared" si="222"/>
        <v>0</v>
      </c>
      <c r="DA240" s="7">
        <f t="shared" si="223"/>
        <v>0</v>
      </c>
      <c r="DB240" s="7">
        <f t="shared" si="224"/>
        <v>0</v>
      </c>
      <c r="DC240" s="7">
        <f t="shared" si="225"/>
        <v>0</v>
      </c>
      <c r="DD240" s="7">
        <f t="shared" si="226"/>
        <v>0</v>
      </c>
      <c r="DE240" s="7">
        <f t="shared" si="227"/>
        <v>0</v>
      </c>
      <c r="DF240" s="7">
        <f t="shared" si="228"/>
        <v>0</v>
      </c>
      <c r="DG240" s="7">
        <f t="shared" si="229"/>
        <v>0</v>
      </c>
      <c r="DH240" s="7">
        <f t="shared" si="230"/>
        <v>0</v>
      </c>
      <c r="DI240" s="7">
        <f t="shared" si="231"/>
        <v>0</v>
      </c>
      <c r="DJ240" s="7">
        <f t="shared" si="232"/>
        <v>0</v>
      </c>
      <c r="DK240" s="7">
        <f t="shared" si="233"/>
        <v>0</v>
      </c>
      <c r="DL240" s="7">
        <f t="shared" si="234"/>
        <v>0</v>
      </c>
      <c r="DM240" s="7">
        <f t="shared" si="235"/>
        <v>0</v>
      </c>
      <c r="DN240" s="7">
        <f t="shared" si="236"/>
        <v>0</v>
      </c>
      <c r="DO240" s="7">
        <f t="shared" si="237"/>
        <v>0</v>
      </c>
      <c r="DP240" s="7">
        <f t="shared" si="238"/>
        <v>0</v>
      </c>
      <c r="DQ240" s="7">
        <f t="shared" si="239"/>
        <v>0</v>
      </c>
      <c r="DR240" s="7">
        <f t="shared" si="240"/>
        <v>0</v>
      </c>
      <c r="DS240" s="7">
        <f t="shared" si="241"/>
        <v>0</v>
      </c>
      <c r="DT240" s="7">
        <f t="shared" si="242"/>
        <v>0</v>
      </c>
      <c r="DU240" s="7">
        <f t="shared" si="243"/>
        <v>0</v>
      </c>
    </row>
    <row r="241" spans="1:125" x14ac:dyDescent="0.2">
      <c r="A241" s="3">
        <f>Bonds!A241</f>
        <v>48714</v>
      </c>
      <c r="B241" s="4">
        <f>Bonds!B241</f>
        <v>3.375</v>
      </c>
      <c r="C241">
        <f>Bonds!P241</f>
        <v>14</v>
      </c>
      <c r="D241">
        <f t="shared" si="183"/>
        <v>0</v>
      </c>
      <c r="E241" s="3">
        <f>IF(1&gt;$C241,"",IF($D241=1,EOMONTH(EDATE(Bonds!$H241,6*(1-1)),0),EDATE(Bonds!$H241,6*(1-1))))</f>
        <v>46341</v>
      </c>
      <c r="F241" s="3">
        <f>IF(2&gt;$C241,"",IF($D241=1,EOMONTH(EDATE(Bonds!$H241,6*(2-1)),0),EDATE(Bonds!$H241,6*(2-1))))</f>
        <v>46522</v>
      </c>
      <c r="G241" s="3">
        <f>IF(3&gt;$C241,"",IF($D241=1,EOMONTH(EDATE(Bonds!$H241,6*(3-1)),0),EDATE(Bonds!$H241,6*(3-1))))</f>
        <v>46706</v>
      </c>
      <c r="H241" s="3">
        <f>IF(4&gt;$C241,"",IF($D241=1,EOMONTH(EDATE(Bonds!$H241,6*(4-1)),0),EDATE(Bonds!$H241,6*(4-1))))</f>
        <v>46888</v>
      </c>
      <c r="I241" s="3">
        <f>IF(5&gt;$C241,"",IF($D241=1,EOMONTH(EDATE(Bonds!$H241,6*(5-1)),0),EDATE(Bonds!$H241,6*(5-1))))</f>
        <v>47072</v>
      </c>
      <c r="J241" s="3">
        <f>IF(6&gt;$C241,"",IF($D241=1,EOMONTH(EDATE(Bonds!$H241,6*(6-1)),0),EDATE(Bonds!$H241,6*(6-1))))</f>
        <v>47253</v>
      </c>
      <c r="K241" s="3">
        <f>IF(7&gt;$C241,"",IF($D241=1,EOMONTH(EDATE(Bonds!$H241,6*(7-1)),0),EDATE(Bonds!$H241,6*(7-1))))</f>
        <v>47437</v>
      </c>
      <c r="L241" s="3">
        <f>IF(8&gt;$C241,"",IF($D241=1,EOMONTH(EDATE(Bonds!$H241,6*(8-1)),0),EDATE(Bonds!$H241,6*(8-1))))</f>
        <v>47618</v>
      </c>
      <c r="M241" s="3">
        <f>IF(9&gt;$C241,"",IF($D241=1,EOMONTH(EDATE(Bonds!$H241,6*(9-1)),0),EDATE(Bonds!$H241,6*(9-1))))</f>
        <v>47802</v>
      </c>
      <c r="N241" s="3">
        <f>IF(10&gt;$C241,"",IF($D241=1,EOMONTH(EDATE(Bonds!$H241,6*(10-1)),0),EDATE(Bonds!$H241,6*(10-1))))</f>
        <v>47983</v>
      </c>
      <c r="O241" s="3">
        <f>IF(11&gt;$C241,"",IF($D241=1,EOMONTH(EDATE(Bonds!$H241,6*(11-1)),0),EDATE(Bonds!$H241,6*(11-1))))</f>
        <v>48167</v>
      </c>
      <c r="P241" s="3">
        <f>IF(12&gt;$C241,"",IF($D241=1,EOMONTH(EDATE(Bonds!$H241,6*(12-1)),0),EDATE(Bonds!$H241,6*(12-1))))</f>
        <v>48349</v>
      </c>
      <c r="Q241" s="3">
        <f>IF(13&gt;$C241,"",IF($D241=1,EOMONTH(EDATE(Bonds!$H241,6*(13-1)),0),EDATE(Bonds!$H241,6*(13-1))))</f>
        <v>48533</v>
      </c>
      <c r="R241" s="3">
        <f>IF(14&gt;$C241,"",IF($D241=1,EOMONTH(EDATE(Bonds!$H241,6*(14-1)),0),EDATE(Bonds!$H241,6*(14-1))))</f>
        <v>48714</v>
      </c>
      <c r="S241" s="3" t="str">
        <f>IF(15&gt;$C241,"",IF($D241=1,EOMONTH(EDATE(Bonds!$H241,6*(15-1)),0),EDATE(Bonds!$H241,6*(15-1))))</f>
        <v/>
      </c>
      <c r="T241" s="3" t="str">
        <f>IF(16&gt;$C241,"",IF($D241=1,EOMONTH(EDATE(Bonds!$H241,6*(16-1)),0),EDATE(Bonds!$H241,6*(16-1))))</f>
        <v/>
      </c>
      <c r="U241" s="3" t="str">
        <f>IF(17&gt;$C241,"",IF($D241=1,EOMONTH(EDATE(Bonds!$H241,6*(17-1)),0),EDATE(Bonds!$H241,6*(17-1))))</f>
        <v/>
      </c>
      <c r="V241" s="3" t="str">
        <f>IF(18&gt;$C241,"",IF($D241=1,EOMONTH(EDATE(Bonds!$H241,6*(18-1)),0),EDATE(Bonds!$H241,6*(18-1))))</f>
        <v/>
      </c>
      <c r="W241" s="3" t="str">
        <f>IF(19&gt;$C241,"",IF($D241=1,EOMONTH(EDATE(Bonds!$H241,6*(19-1)),0),EDATE(Bonds!$H241,6*(19-1))))</f>
        <v/>
      </c>
      <c r="X241" s="3" t="str">
        <f>IF(20&gt;$C241,"",IF($D241=1,EOMONTH(EDATE(Bonds!$H241,6*(20-1)),0),EDATE(Bonds!$H241,6*(20-1))))</f>
        <v/>
      </c>
      <c r="Y241" s="3" t="str">
        <f>IF(21&gt;$C241,"",IF($D241=1,EOMONTH(EDATE(Bonds!$H241,6*(21-1)),0),EDATE(Bonds!$H241,6*(21-1))))</f>
        <v/>
      </c>
      <c r="Z241" s="3" t="str">
        <f>IF(22&gt;$C241,"",IF($D241=1,EOMONTH(EDATE(Bonds!$H241,6*(22-1)),0),EDATE(Bonds!$H241,6*(22-1))))</f>
        <v/>
      </c>
      <c r="AA241" s="3" t="str">
        <f>IF(23&gt;$C241,"",IF($D241=1,EOMONTH(EDATE(Bonds!$H241,6*(23-1)),0),EDATE(Bonds!$H241,6*(23-1))))</f>
        <v/>
      </c>
      <c r="AB241" s="3" t="str">
        <f>IF(24&gt;$C241,"",IF($D241=1,EOMONTH(EDATE(Bonds!$H241,6*(24-1)),0),EDATE(Bonds!$H241,6*(24-1))))</f>
        <v/>
      </c>
      <c r="AC241" s="3" t="str">
        <f>IF(25&gt;$C241,"",IF($D241=1,EOMONTH(EDATE(Bonds!$H241,6*(25-1)),0),EDATE(Bonds!$H241,6*(25-1))))</f>
        <v/>
      </c>
      <c r="AD241" s="3" t="str">
        <f>IF(26&gt;$C241,"",IF($D241=1,EOMONTH(EDATE(Bonds!$H241,6*(26-1)),0),EDATE(Bonds!$H241,6*(26-1))))</f>
        <v/>
      </c>
      <c r="AE241" s="3" t="str">
        <f>IF(27&gt;$C241,"",IF($D241=1,EOMONTH(EDATE(Bonds!$H241,6*(27-1)),0),EDATE(Bonds!$H241,6*(27-1))))</f>
        <v/>
      </c>
      <c r="AF241" s="3" t="str">
        <f>IF(28&gt;$C241,"",IF($D241=1,EOMONTH(EDATE(Bonds!$H241,6*(28-1)),0),EDATE(Bonds!$H241,6*(28-1))))</f>
        <v/>
      </c>
      <c r="AG241" s="3" t="str">
        <f>IF(29&gt;$C241,"",IF($D241=1,EOMONTH(EDATE(Bonds!$H241,6*(29-1)),0),EDATE(Bonds!$H241,6*(29-1))))</f>
        <v/>
      </c>
      <c r="AH241" s="3" t="str">
        <f>IF(30&gt;$C241,"",IF($D241=1,EOMONTH(EDATE(Bonds!$H241,6*(30-1)),0),EDATE(Bonds!$H241,6*(30-1))))</f>
        <v/>
      </c>
      <c r="AI241" s="3" t="str">
        <f>IF(31&gt;$C241,"",IF($D241=1,EOMONTH(EDATE(Bonds!$H241,6*(31-1)),0),EDATE(Bonds!$H241,6*(31-1))))</f>
        <v/>
      </c>
      <c r="AJ241" s="3" t="str">
        <f>IF(32&gt;$C241,"",IF($D241=1,EOMONTH(EDATE(Bonds!$H241,6*(32-1)),0),EDATE(Bonds!$H241,6*(32-1))))</f>
        <v/>
      </c>
      <c r="AK241" s="3" t="str">
        <f>IF(33&gt;$C241,"",IF($D241=1,EOMONTH(EDATE(Bonds!$H241,6*(33-1)),0),EDATE(Bonds!$H241,6*(33-1))))</f>
        <v/>
      </c>
      <c r="AL241" s="3" t="str">
        <f>IF(34&gt;$C241,"",IF($D241=1,EOMONTH(EDATE(Bonds!$H241,6*(34-1)),0),EDATE(Bonds!$H241,6*(34-1))))</f>
        <v/>
      </c>
      <c r="AM241" s="3" t="str">
        <f>IF(35&gt;$C241,"",IF($D241=1,EOMONTH(EDATE(Bonds!$H241,6*(35-1)),0),EDATE(Bonds!$H241,6*(35-1))))</f>
        <v/>
      </c>
      <c r="AN241" s="3" t="str">
        <f>IF(36&gt;$C241,"",IF($D241=1,EOMONTH(EDATE(Bonds!$H241,6*(36-1)),0),EDATE(Bonds!$H241,6*(36-1))))</f>
        <v/>
      </c>
      <c r="AO241" s="3" t="str">
        <f>IF(37&gt;$C241,"",IF($D241=1,EOMONTH(EDATE(Bonds!$H241,6*(37-1)),0),EDATE(Bonds!$H241,6*(37-1))))</f>
        <v/>
      </c>
      <c r="AP241" s="3" t="str">
        <f>IF(38&gt;$C241,"",IF($D241=1,EOMONTH(EDATE(Bonds!$H241,6*(38-1)),0),EDATE(Bonds!$H241,6*(38-1))))</f>
        <v/>
      </c>
      <c r="AQ241" s="3" t="str">
        <f>IF(39&gt;$C241,"",IF($D241=1,EOMONTH(EDATE(Bonds!$H241,6*(39-1)),0),EDATE(Bonds!$H241,6*(39-1))))</f>
        <v/>
      </c>
      <c r="AR241" s="3" t="str">
        <f>IF(40&gt;$C241,"",IF($D241=1,EOMONTH(EDATE(Bonds!$H241,6*(40-1)),0),EDATE(Bonds!$H241,6*(40-1))))</f>
        <v/>
      </c>
      <c r="AS241" s="3" t="str">
        <f>IF(41&gt;$C241,"",IF($D241=1,EOMONTH(EDATE(Bonds!$H241,6*(41-1)),0),EDATE(Bonds!$H241,6*(41-1))))</f>
        <v/>
      </c>
      <c r="AT241" s="3" t="str">
        <f>IF(42&gt;$C241,"",IF($D241=1,EOMONTH(EDATE(Bonds!$H241,6*(42-1)),0),EDATE(Bonds!$H241,6*(42-1))))</f>
        <v/>
      </c>
      <c r="AU241" s="3" t="str">
        <f>IF(43&gt;$C241,"",IF($D241=1,EOMONTH(EDATE(Bonds!$H241,6*(43-1)),0),EDATE(Bonds!$H241,6*(43-1))))</f>
        <v/>
      </c>
      <c r="AV241" s="3" t="str">
        <f>IF(44&gt;$C241,"",IF($D241=1,EOMONTH(EDATE(Bonds!$H241,6*(44-1)),0),EDATE(Bonds!$H241,6*(44-1))))</f>
        <v/>
      </c>
      <c r="AW241" s="3" t="str">
        <f>IF(45&gt;$C241,"",IF($D241=1,EOMONTH(EDATE(Bonds!$H241,6*(45-1)),0),EDATE(Bonds!$H241,6*(45-1))))</f>
        <v/>
      </c>
      <c r="AX241" s="3" t="str">
        <f>IF(46&gt;$C241,"",IF($D241=1,EOMONTH(EDATE(Bonds!$H241,6*(46-1)),0),EDATE(Bonds!$H241,6*(46-1))))</f>
        <v/>
      </c>
      <c r="AY241" s="3" t="str">
        <f>IF(47&gt;$C241,"",IF($D241=1,EOMONTH(EDATE(Bonds!$H241,6*(47-1)),0),EDATE(Bonds!$H241,6*(47-1))))</f>
        <v/>
      </c>
      <c r="AZ241" s="3" t="str">
        <f>IF(48&gt;$C241,"",IF($D241=1,EOMONTH(EDATE(Bonds!$H241,6*(48-1)),0),EDATE(Bonds!$H241,6*(48-1))))</f>
        <v/>
      </c>
      <c r="BA241" s="3" t="str">
        <f>IF(49&gt;$C241,"",IF($D241=1,EOMONTH(EDATE(Bonds!$H241,6*(49-1)),0),EDATE(Bonds!$H241,6*(49-1))))</f>
        <v/>
      </c>
      <c r="BB241" s="3" t="str">
        <f>IF(50&gt;$C241,"",IF($D241=1,EOMONTH(EDATE(Bonds!$H241,6*(50-1)),0),EDATE(Bonds!$H241,6*(50-1))))</f>
        <v/>
      </c>
      <c r="BC241" s="3" t="str">
        <f>IF(51&gt;$C241,"",IF($D241=1,EOMONTH(EDATE(Bonds!$H241,6*(51-1)),0),EDATE(Bonds!$H241,6*(51-1))))</f>
        <v/>
      </c>
      <c r="BD241" s="3" t="str">
        <f>IF(52&gt;$C241,"",IF($D241=1,EOMONTH(EDATE(Bonds!$H241,6*(52-1)),0),EDATE(Bonds!$H241,6*(52-1))))</f>
        <v/>
      </c>
      <c r="BE241" s="3" t="str">
        <f>IF(53&gt;$C241,"",IF($D241=1,EOMONTH(EDATE(Bonds!$H241,6*(53-1)),0),EDATE(Bonds!$H241,6*(53-1))))</f>
        <v/>
      </c>
      <c r="BF241" s="3" t="str">
        <f>IF(54&gt;$C241,"",IF($D241=1,EOMONTH(EDATE(Bonds!$H241,6*(54-1)),0),EDATE(Bonds!$H241,6*(54-1))))</f>
        <v/>
      </c>
      <c r="BG241" s="3" t="str">
        <f>IF(55&gt;$C241,"",IF($D241=1,EOMONTH(EDATE(Bonds!$H241,6*(55-1)),0),EDATE(Bonds!$H241,6*(55-1))))</f>
        <v/>
      </c>
      <c r="BH241" s="3" t="str">
        <f>IF(56&gt;$C241,"",IF($D241=1,EOMONTH(EDATE(Bonds!$H241,6*(56-1)),0),EDATE(Bonds!$H241,6*(56-1))))</f>
        <v/>
      </c>
      <c r="BI241" s="3" t="str">
        <f>IF(57&gt;$C241,"",IF($D241=1,EOMONTH(EDATE(Bonds!$H241,6*(57-1)),0),EDATE(Bonds!$H241,6*(57-1))))</f>
        <v/>
      </c>
      <c r="BJ241" s="3" t="str">
        <f>IF(58&gt;$C241,"",IF($D241=1,EOMONTH(EDATE(Bonds!$H241,6*(58-1)),0),EDATE(Bonds!$H241,6*(58-1))))</f>
        <v/>
      </c>
      <c r="BK241" s="3" t="str">
        <f>IF(59&gt;$C241,"",IF($D241=1,EOMONTH(EDATE(Bonds!$H241,6*(59-1)),0),EDATE(Bonds!$H241,6*(59-1))))</f>
        <v/>
      </c>
      <c r="BL241" s="3" t="str">
        <f>IF(60&gt;$C241,"",IF($D241=1,EOMONTH(EDATE(Bonds!$H241,6*(60-1)),0),EDATE(Bonds!$H241,6*(60-1))))</f>
        <v/>
      </c>
      <c r="BN241" s="7">
        <f t="shared" si="184"/>
        <v>1.6757306706375314</v>
      </c>
      <c r="BO241" s="7">
        <f t="shared" si="185"/>
        <v>1.6418919126803282</v>
      </c>
      <c r="BP241" s="7">
        <f t="shared" si="186"/>
        <v>1.6057251481774784</v>
      </c>
      <c r="BQ241" s="7">
        <f t="shared" si="187"/>
        <v>1.569709363691794</v>
      </c>
      <c r="BR241" s="7">
        <f t="shared" si="188"/>
        <v>1.5338158922370357</v>
      </c>
      <c r="BS241" s="7">
        <f t="shared" si="189"/>
        <v>1.4993133784908974</v>
      </c>
      <c r="BT241" s="7">
        <f t="shared" si="190"/>
        <v>1.4651085084586215</v>
      </c>
      <c r="BU241" s="7">
        <f t="shared" si="191"/>
        <v>1.4322417397140306</v>
      </c>
      <c r="BV241" s="7">
        <f t="shared" si="192"/>
        <v>1.399495724148782</v>
      </c>
      <c r="BW241" s="7">
        <f t="shared" si="193"/>
        <v>1.3678053429244248</v>
      </c>
      <c r="BX241" s="7">
        <f t="shared" si="194"/>
        <v>1.3359992094321864</v>
      </c>
      <c r="BY241" s="7">
        <f t="shared" si="195"/>
        <v>1.3048506982457371</v>
      </c>
      <c r="BZ241" s="7">
        <f t="shared" si="196"/>
        <v>1.2736080876448692</v>
      </c>
      <c r="CA241" s="7">
        <f t="shared" si="197"/>
        <v>74.907060307784917</v>
      </c>
      <c r="CB241" s="7">
        <f t="shared" si="198"/>
        <v>0</v>
      </c>
      <c r="CC241" s="7">
        <f t="shared" si="199"/>
        <v>0</v>
      </c>
      <c r="CD241" s="7">
        <f t="shared" si="200"/>
        <v>0</v>
      </c>
      <c r="CE241" s="7">
        <f t="shared" si="201"/>
        <v>0</v>
      </c>
      <c r="CF241" s="7">
        <f t="shared" si="202"/>
        <v>0</v>
      </c>
      <c r="CG241" s="7">
        <f t="shared" si="203"/>
        <v>0</v>
      </c>
      <c r="CH241" s="7">
        <f t="shared" si="204"/>
        <v>0</v>
      </c>
      <c r="CI241" s="7">
        <f t="shared" si="205"/>
        <v>0</v>
      </c>
      <c r="CJ241" s="7">
        <f t="shared" si="206"/>
        <v>0</v>
      </c>
      <c r="CK241" s="7">
        <f t="shared" si="207"/>
        <v>0</v>
      </c>
      <c r="CL241" s="7">
        <f t="shared" si="208"/>
        <v>0</v>
      </c>
      <c r="CM241" s="7">
        <f t="shared" si="209"/>
        <v>0</v>
      </c>
      <c r="CN241" s="7">
        <f t="shared" si="210"/>
        <v>0</v>
      </c>
      <c r="CO241" s="7">
        <f t="shared" si="211"/>
        <v>0</v>
      </c>
      <c r="CP241" s="7">
        <f t="shared" si="212"/>
        <v>0</v>
      </c>
      <c r="CQ241" s="7">
        <f t="shared" si="213"/>
        <v>0</v>
      </c>
      <c r="CR241" s="7">
        <f t="shared" si="214"/>
        <v>0</v>
      </c>
      <c r="CS241" s="7">
        <f t="shared" si="215"/>
        <v>0</v>
      </c>
      <c r="CT241" s="7">
        <f t="shared" si="216"/>
        <v>0</v>
      </c>
      <c r="CU241" s="7">
        <f t="shared" si="217"/>
        <v>0</v>
      </c>
      <c r="CV241" s="7">
        <f t="shared" si="218"/>
        <v>0</v>
      </c>
      <c r="CW241" s="7">
        <f t="shared" si="219"/>
        <v>0</v>
      </c>
      <c r="CX241" s="7">
        <f t="shared" si="220"/>
        <v>0</v>
      </c>
      <c r="CY241" s="7">
        <f t="shared" si="221"/>
        <v>0</v>
      </c>
      <c r="CZ241" s="7">
        <f t="shared" si="222"/>
        <v>0</v>
      </c>
      <c r="DA241" s="7">
        <f t="shared" si="223"/>
        <v>0</v>
      </c>
      <c r="DB241" s="7">
        <f t="shared" si="224"/>
        <v>0</v>
      </c>
      <c r="DC241" s="7">
        <f t="shared" si="225"/>
        <v>0</v>
      </c>
      <c r="DD241" s="7">
        <f t="shared" si="226"/>
        <v>0</v>
      </c>
      <c r="DE241" s="7">
        <f t="shared" si="227"/>
        <v>0</v>
      </c>
      <c r="DF241" s="7">
        <f t="shared" si="228"/>
        <v>0</v>
      </c>
      <c r="DG241" s="7">
        <f t="shared" si="229"/>
        <v>0</v>
      </c>
      <c r="DH241" s="7">
        <f t="shared" si="230"/>
        <v>0</v>
      </c>
      <c r="DI241" s="7">
        <f t="shared" si="231"/>
        <v>0</v>
      </c>
      <c r="DJ241" s="7">
        <f t="shared" si="232"/>
        <v>0</v>
      </c>
      <c r="DK241" s="7">
        <f t="shared" si="233"/>
        <v>0</v>
      </c>
      <c r="DL241" s="7">
        <f t="shared" si="234"/>
        <v>0</v>
      </c>
      <c r="DM241" s="7">
        <f t="shared" si="235"/>
        <v>0</v>
      </c>
      <c r="DN241" s="7">
        <f t="shared" si="236"/>
        <v>0</v>
      </c>
      <c r="DO241" s="7">
        <f t="shared" si="237"/>
        <v>0</v>
      </c>
      <c r="DP241" s="7">
        <f t="shared" si="238"/>
        <v>0</v>
      </c>
      <c r="DQ241" s="7">
        <f t="shared" si="239"/>
        <v>0</v>
      </c>
      <c r="DR241" s="7">
        <f t="shared" si="240"/>
        <v>0</v>
      </c>
      <c r="DS241" s="7">
        <f t="shared" si="241"/>
        <v>0</v>
      </c>
      <c r="DT241" s="7">
        <f t="shared" si="242"/>
        <v>0</v>
      </c>
      <c r="DU241" s="7">
        <f t="shared" si="243"/>
        <v>0</v>
      </c>
    </row>
    <row r="242" spans="1:125" x14ac:dyDescent="0.2">
      <c r="A242" s="3">
        <f>Bonds!A242</f>
        <v>48730</v>
      </c>
      <c r="B242" s="4">
        <f>Bonds!B242</f>
        <v>4.25</v>
      </c>
      <c r="C242">
        <f>Bonds!P242</f>
        <v>14</v>
      </c>
      <c r="D242">
        <f t="shared" si="183"/>
        <v>1</v>
      </c>
      <c r="E242" s="3">
        <f>IF(1&gt;$C242,"",IF($D242=1,EOMONTH(EDATE(Bonds!$H242,6*(1-1)),0),EDATE(Bonds!$H242,6*(1-1))))</f>
        <v>46356</v>
      </c>
      <c r="F242" s="3">
        <f>IF(2&gt;$C242,"",IF($D242=1,EOMONTH(EDATE(Bonds!$H242,6*(2-1)),0),EDATE(Bonds!$H242,6*(2-1))))</f>
        <v>46538</v>
      </c>
      <c r="G242" s="3">
        <f>IF(3&gt;$C242,"",IF($D242=1,EOMONTH(EDATE(Bonds!$H242,6*(3-1)),0),EDATE(Bonds!$H242,6*(3-1))))</f>
        <v>46721</v>
      </c>
      <c r="H242" s="3">
        <f>IF(4&gt;$C242,"",IF($D242=1,EOMONTH(EDATE(Bonds!$H242,6*(4-1)),0),EDATE(Bonds!$H242,6*(4-1))))</f>
        <v>46904</v>
      </c>
      <c r="I242" s="3">
        <f>IF(5&gt;$C242,"",IF($D242=1,EOMONTH(EDATE(Bonds!$H242,6*(5-1)),0),EDATE(Bonds!$H242,6*(5-1))))</f>
        <v>47087</v>
      </c>
      <c r="J242" s="3">
        <f>IF(6&gt;$C242,"",IF($D242=1,EOMONTH(EDATE(Bonds!$H242,6*(6-1)),0),EDATE(Bonds!$H242,6*(6-1))))</f>
        <v>47269</v>
      </c>
      <c r="K242" s="3">
        <f>IF(7&gt;$C242,"",IF($D242=1,EOMONTH(EDATE(Bonds!$H242,6*(7-1)),0),EDATE(Bonds!$H242,6*(7-1))))</f>
        <v>47452</v>
      </c>
      <c r="L242" s="3">
        <f>IF(8&gt;$C242,"",IF($D242=1,EOMONTH(EDATE(Bonds!$H242,6*(8-1)),0),EDATE(Bonds!$H242,6*(8-1))))</f>
        <v>47634</v>
      </c>
      <c r="M242" s="3">
        <f>IF(9&gt;$C242,"",IF($D242=1,EOMONTH(EDATE(Bonds!$H242,6*(9-1)),0),EDATE(Bonds!$H242,6*(9-1))))</f>
        <v>47817</v>
      </c>
      <c r="N242" s="3">
        <f>IF(10&gt;$C242,"",IF($D242=1,EOMONTH(EDATE(Bonds!$H242,6*(10-1)),0),EDATE(Bonds!$H242,6*(10-1))))</f>
        <v>47999</v>
      </c>
      <c r="O242" s="3">
        <f>IF(11&gt;$C242,"",IF($D242=1,EOMONTH(EDATE(Bonds!$H242,6*(11-1)),0),EDATE(Bonds!$H242,6*(11-1))))</f>
        <v>48182</v>
      </c>
      <c r="P242" s="3">
        <f>IF(12&gt;$C242,"",IF($D242=1,EOMONTH(EDATE(Bonds!$H242,6*(12-1)),0),EDATE(Bonds!$H242,6*(12-1))))</f>
        <v>48365</v>
      </c>
      <c r="Q242" s="3">
        <f>IF(13&gt;$C242,"",IF($D242=1,EOMONTH(EDATE(Bonds!$H242,6*(13-1)),0),EDATE(Bonds!$H242,6*(13-1))))</f>
        <v>48548</v>
      </c>
      <c r="R242" s="3">
        <f>IF(14&gt;$C242,"",IF($D242=1,EOMONTH(EDATE(Bonds!$H242,6*(14-1)),0),EDATE(Bonds!$H242,6*(14-1))))</f>
        <v>48730</v>
      </c>
      <c r="S242" s="3" t="str">
        <f>IF(15&gt;$C242,"",IF($D242=1,EOMONTH(EDATE(Bonds!$H242,6*(15-1)),0),EDATE(Bonds!$H242,6*(15-1))))</f>
        <v/>
      </c>
      <c r="T242" s="3" t="str">
        <f>IF(16&gt;$C242,"",IF($D242=1,EOMONTH(EDATE(Bonds!$H242,6*(16-1)),0),EDATE(Bonds!$H242,6*(16-1))))</f>
        <v/>
      </c>
      <c r="U242" s="3" t="str">
        <f>IF(17&gt;$C242,"",IF($D242=1,EOMONTH(EDATE(Bonds!$H242,6*(17-1)),0),EDATE(Bonds!$H242,6*(17-1))))</f>
        <v/>
      </c>
      <c r="V242" s="3" t="str">
        <f>IF(18&gt;$C242,"",IF($D242=1,EOMONTH(EDATE(Bonds!$H242,6*(18-1)),0),EDATE(Bonds!$H242,6*(18-1))))</f>
        <v/>
      </c>
      <c r="W242" s="3" t="str">
        <f>IF(19&gt;$C242,"",IF($D242=1,EOMONTH(EDATE(Bonds!$H242,6*(19-1)),0),EDATE(Bonds!$H242,6*(19-1))))</f>
        <v/>
      </c>
      <c r="X242" s="3" t="str">
        <f>IF(20&gt;$C242,"",IF($D242=1,EOMONTH(EDATE(Bonds!$H242,6*(20-1)),0),EDATE(Bonds!$H242,6*(20-1))))</f>
        <v/>
      </c>
      <c r="Y242" s="3" t="str">
        <f>IF(21&gt;$C242,"",IF($D242=1,EOMONTH(EDATE(Bonds!$H242,6*(21-1)),0),EDATE(Bonds!$H242,6*(21-1))))</f>
        <v/>
      </c>
      <c r="Z242" s="3" t="str">
        <f>IF(22&gt;$C242,"",IF($D242=1,EOMONTH(EDATE(Bonds!$H242,6*(22-1)),0),EDATE(Bonds!$H242,6*(22-1))))</f>
        <v/>
      </c>
      <c r="AA242" s="3" t="str">
        <f>IF(23&gt;$C242,"",IF($D242=1,EOMONTH(EDATE(Bonds!$H242,6*(23-1)),0),EDATE(Bonds!$H242,6*(23-1))))</f>
        <v/>
      </c>
      <c r="AB242" s="3" t="str">
        <f>IF(24&gt;$C242,"",IF($D242=1,EOMONTH(EDATE(Bonds!$H242,6*(24-1)),0),EDATE(Bonds!$H242,6*(24-1))))</f>
        <v/>
      </c>
      <c r="AC242" s="3" t="str">
        <f>IF(25&gt;$C242,"",IF($D242=1,EOMONTH(EDATE(Bonds!$H242,6*(25-1)),0),EDATE(Bonds!$H242,6*(25-1))))</f>
        <v/>
      </c>
      <c r="AD242" s="3" t="str">
        <f>IF(26&gt;$C242,"",IF($D242=1,EOMONTH(EDATE(Bonds!$H242,6*(26-1)),0),EDATE(Bonds!$H242,6*(26-1))))</f>
        <v/>
      </c>
      <c r="AE242" s="3" t="str">
        <f>IF(27&gt;$C242,"",IF($D242=1,EOMONTH(EDATE(Bonds!$H242,6*(27-1)),0),EDATE(Bonds!$H242,6*(27-1))))</f>
        <v/>
      </c>
      <c r="AF242" s="3" t="str">
        <f>IF(28&gt;$C242,"",IF($D242=1,EOMONTH(EDATE(Bonds!$H242,6*(28-1)),0),EDATE(Bonds!$H242,6*(28-1))))</f>
        <v/>
      </c>
      <c r="AG242" s="3" t="str">
        <f>IF(29&gt;$C242,"",IF($D242=1,EOMONTH(EDATE(Bonds!$H242,6*(29-1)),0),EDATE(Bonds!$H242,6*(29-1))))</f>
        <v/>
      </c>
      <c r="AH242" s="3" t="str">
        <f>IF(30&gt;$C242,"",IF($D242=1,EOMONTH(EDATE(Bonds!$H242,6*(30-1)),0),EDATE(Bonds!$H242,6*(30-1))))</f>
        <v/>
      </c>
      <c r="AI242" s="3" t="str">
        <f>IF(31&gt;$C242,"",IF($D242=1,EOMONTH(EDATE(Bonds!$H242,6*(31-1)),0),EDATE(Bonds!$H242,6*(31-1))))</f>
        <v/>
      </c>
      <c r="AJ242" s="3" t="str">
        <f>IF(32&gt;$C242,"",IF($D242=1,EOMONTH(EDATE(Bonds!$H242,6*(32-1)),0),EDATE(Bonds!$H242,6*(32-1))))</f>
        <v/>
      </c>
      <c r="AK242" s="3" t="str">
        <f>IF(33&gt;$C242,"",IF($D242=1,EOMONTH(EDATE(Bonds!$H242,6*(33-1)),0),EDATE(Bonds!$H242,6*(33-1))))</f>
        <v/>
      </c>
      <c r="AL242" s="3" t="str">
        <f>IF(34&gt;$C242,"",IF($D242=1,EOMONTH(EDATE(Bonds!$H242,6*(34-1)),0),EDATE(Bonds!$H242,6*(34-1))))</f>
        <v/>
      </c>
      <c r="AM242" s="3" t="str">
        <f>IF(35&gt;$C242,"",IF($D242=1,EOMONTH(EDATE(Bonds!$H242,6*(35-1)),0),EDATE(Bonds!$H242,6*(35-1))))</f>
        <v/>
      </c>
      <c r="AN242" s="3" t="str">
        <f>IF(36&gt;$C242,"",IF($D242=1,EOMONTH(EDATE(Bonds!$H242,6*(36-1)),0),EDATE(Bonds!$H242,6*(36-1))))</f>
        <v/>
      </c>
      <c r="AO242" s="3" t="str">
        <f>IF(37&gt;$C242,"",IF($D242=1,EOMONTH(EDATE(Bonds!$H242,6*(37-1)),0),EDATE(Bonds!$H242,6*(37-1))))</f>
        <v/>
      </c>
      <c r="AP242" s="3" t="str">
        <f>IF(38&gt;$C242,"",IF($D242=1,EOMONTH(EDATE(Bonds!$H242,6*(38-1)),0),EDATE(Bonds!$H242,6*(38-1))))</f>
        <v/>
      </c>
      <c r="AQ242" s="3" t="str">
        <f>IF(39&gt;$C242,"",IF($D242=1,EOMONTH(EDATE(Bonds!$H242,6*(39-1)),0),EDATE(Bonds!$H242,6*(39-1))))</f>
        <v/>
      </c>
      <c r="AR242" s="3" t="str">
        <f>IF(40&gt;$C242,"",IF($D242=1,EOMONTH(EDATE(Bonds!$H242,6*(40-1)),0),EDATE(Bonds!$H242,6*(40-1))))</f>
        <v/>
      </c>
      <c r="AS242" s="3" t="str">
        <f>IF(41&gt;$C242,"",IF($D242=1,EOMONTH(EDATE(Bonds!$H242,6*(41-1)),0),EDATE(Bonds!$H242,6*(41-1))))</f>
        <v/>
      </c>
      <c r="AT242" s="3" t="str">
        <f>IF(42&gt;$C242,"",IF($D242=1,EOMONTH(EDATE(Bonds!$H242,6*(42-1)),0),EDATE(Bonds!$H242,6*(42-1))))</f>
        <v/>
      </c>
      <c r="AU242" s="3" t="str">
        <f>IF(43&gt;$C242,"",IF($D242=1,EOMONTH(EDATE(Bonds!$H242,6*(43-1)),0),EDATE(Bonds!$H242,6*(43-1))))</f>
        <v/>
      </c>
      <c r="AV242" s="3" t="str">
        <f>IF(44&gt;$C242,"",IF($D242=1,EOMONTH(EDATE(Bonds!$H242,6*(44-1)),0),EDATE(Bonds!$H242,6*(44-1))))</f>
        <v/>
      </c>
      <c r="AW242" s="3" t="str">
        <f>IF(45&gt;$C242,"",IF($D242=1,EOMONTH(EDATE(Bonds!$H242,6*(45-1)),0),EDATE(Bonds!$H242,6*(45-1))))</f>
        <v/>
      </c>
      <c r="AX242" s="3" t="str">
        <f>IF(46&gt;$C242,"",IF($D242=1,EOMONTH(EDATE(Bonds!$H242,6*(46-1)),0),EDATE(Bonds!$H242,6*(46-1))))</f>
        <v/>
      </c>
      <c r="AY242" s="3" t="str">
        <f>IF(47&gt;$C242,"",IF($D242=1,EOMONTH(EDATE(Bonds!$H242,6*(47-1)),0),EDATE(Bonds!$H242,6*(47-1))))</f>
        <v/>
      </c>
      <c r="AZ242" s="3" t="str">
        <f>IF(48&gt;$C242,"",IF($D242=1,EOMONTH(EDATE(Bonds!$H242,6*(48-1)),0),EDATE(Bonds!$H242,6*(48-1))))</f>
        <v/>
      </c>
      <c r="BA242" s="3" t="str">
        <f>IF(49&gt;$C242,"",IF($D242=1,EOMONTH(EDATE(Bonds!$H242,6*(49-1)),0),EDATE(Bonds!$H242,6*(49-1))))</f>
        <v/>
      </c>
      <c r="BB242" s="3" t="str">
        <f>IF(50&gt;$C242,"",IF($D242=1,EOMONTH(EDATE(Bonds!$H242,6*(50-1)),0),EDATE(Bonds!$H242,6*(50-1))))</f>
        <v/>
      </c>
      <c r="BC242" s="3" t="str">
        <f>IF(51&gt;$C242,"",IF($D242=1,EOMONTH(EDATE(Bonds!$H242,6*(51-1)),0),EDATE(Bonds!$H242,6*(51-1))))</f>
        <v/>
      </c>
      <c r="BD242" s="3" t="str">
        <f>IF(52&gt;$C242,"",IF($D242=1,EOMONTH(EDATE(Bonds!$H242,6*(52-1)),0),EDATE(Bonds!$H242,6*(52-1))))</f>
        <v/>
      </c>
      <c r="BE242" s="3" t="str">
        <f>IF(53&gt;$C242,"",IF($D242=1,EOMONTH(EDATE(Bonds!$H242,6*(53-1)),0),EDATE(Bonds!$H242,6*(53-1))))</f>
        <v/>
      </c>
      <c r="BF242" s="3" t="str">
        <f>IF(54&gt;$C242,"",IF($D242=1,EOMONTH(EDATE(Bonds!$H242,6*(54-1)),0),EDATE(Bonds!$H242,6*(54-1))))</f>
        <v/>
      </c>
      <c r="BG242" s="3" t="str">
        <f>IF(55&gt;$C242,"",IF($D242=1,EOMONTH(EDATE(Bonds!$H242,6*(55-1)),0),EDATE(Bonds!$H242,6*(55-1))))</f>
        <v/>
      </c>
      <c r="BH242" s="3" t="str">
        <f>IF(56&gt;$C242,"",IF($D242=1,EOMONTH(EDATE(Bonds!$H242,6*(56-1)),0),EDATE(Bonds!$H242,6*(56-1))))</f>
        <v/>
      </c>
      <c r="BI242" s="3" t="str">
        <f>IF(57&gt;$C242,"",IF($D242=1,EOMONTH(EDATE(Bonds!$H242,6*(57-1)),0),EDATE(Bonds!$H242,6*(57-1))))</f>
        <v/>
      </c>
      <c r="BJ242" s="3" t="str">
        <f>IF(58&gt;$C242,"",IF($D242=1,EOMONTH(EDATE(Bonds!$H242,6*(58-1)),0),EDATE(Bonds!$H242,6*(58-1))))</f>
        <v/>
      </c>
      <c r="BK242" s="3" t="str">
        <f>IF(59&gt;$C242,"",IF($D242=1,EOMONTH(EDATE(Bonds!$H242,6*(59-1)),0),EDATE(Bonds!$H242,6*(59-1))))</f>
        <v/>
      </c>
      <c r="BL242" s="3" t="str">
        <f>IF(60&gt;$C242,"",IF($D242=1,EOMONTH(EDATE(Bonds!$H242,6*(60-1)),0),EDATE(Bonds!$H242,6*(60-1))))</f>
        <v/>
      </c>
      <c r="BN242" s="7">
        <f t="shared" si="184"/>
        <v>2.1068000266013232</v>
      </c>
      <c r="BO242" s="7">
        <f t="shared" si="185"/>
        <v>2.063660011743377</v>
      </c>
      <c r="BP242" s="7">
        <f t="shared" si="186"/>
        <v>2.0182798962899478</v>
      </c>
      <c r="BQ242" s="7">
        <f t="shared" si="187"/>
        <v>1.972706072810855</v>
      </c>
      <c r="BR242" s="7">
        <f t="shared" si="188"/>
        <v>1.9278306171927428</v>
      </c>
      <c r="BS242" s="7">
        <f t="shared" si="189"/>
        <v>1.8842356015734114</v>
      </c>
      <c r="BT242" s="7">
        <f t="shared" si="190"/>
        <v>1.8414864250114154</v>
      </c>
      <c r="BU242" s="7">
        <f t="shared" si="191"/>
        <v>1.7999469145809246</v>
      </c>
      <c r="BV242" s="7">
        <f t="shared" si="192"/>
        <v>1.7589982446566086</v>
      </c>
      <c r="BW242" s="7">
        <f t="shared" si="193"/>
        <v>1.7189200734479149</v>
      </c>
      <c r="BX242" s="7">
        <f t="shared" si="194"/>
        <v>1.6791232254052659</v>
      </c>
      <c r="BY242" s="7">
        <f t="shared" si="195"/>
        <v>1.6397127031901844</v>
      </c>
      <c r="BZ242" s="7">
        <f t="shared" si="196"/>
        <v>1.6006075992513749</v>
      </c>
      <c r="CA242" s="7">
        <f t="shared" si="197"/>
        <v>75.066573465160459</v>
      </c>
      <c r="CB242" s="7">
        <f t="shared" si="198"/>
        <v>0</v>
      </c>
      <c r="CC242" s="7">
        <f t="shared" si="199"/>
        <v>0</v>
      </c>
      <c r="CD242" s="7">
        <f t="shared" si="200"/>
        <v>0</v>
      </c>
      <c r="CE242" s="7">
        <f t="shared" si="201"/>
        <v>0</v>
      </c>
      <c r="CF242" s="7">
        <f t="shared" si="202"/>
        <v>0</v>
      </c>
      <c r="CG242" s="7">
        <f t="shared" si="203"/>
        <v>0</v>
      </c>
      <c r="CH242" s="7">
        <f t="shared" si="204"/>
        <v>0</v>
      </c>
      <c r="CI242" s="7">
        <f t="shared" si="205"/>
        <v>0</v>
      </c>
      <c r="CJ242" s="7">
        <f t="shared" si="206"/>
        <v>0</v>
      </c>
      <c r="CK242" s="7">
        <f t="shared" si="207"/>
        <v>0</v>
      </c>
      <c r="CL242" s="7">
        <f t="shared" si="208"/>
        <v>0</v>
      </c>
      <c r="CM242" s="7">
        <f t="shared" si="209"/>
        <v>0</v>
      </c>
      <c r="CN242" s="7">
        <f t="shared" si="210"/>
        <v>0</v>
      </c>
      <c r="CO242" s="7">
        <f t="shared" si="211"/>
        <v>0</v>
      </c>
      <c r="CP242" s="7">
        <f t="shared" si="212"/>
        <v>0</v>
      </c>
      <c r="CQ242" s="7">
        <f t="shared" si="213"/>
        <v>0</v>
      </c>
      <c r="CR242" s="7">
        <f t="shared" si="214"/>
        <v>0</v>
      </c>
      <c r="CS242" s="7">
        <f t="shared" si="215"/>
        <v>0</v>
      </c>
      <c r="CT242" s="7">
        <f t="shared" si="216"/>
        <v>0</v>
      </c>
      <c r="CU242" s="7">
        <f t="shared" si="217"/>
        <v>0</v>
      </c>
      <c r="CV242" s="7">
        <f t="shared" si="218"/>
        <v>0</v>
      </c>
      <c r="CW242" s="7">
        <f t="shared" si="219"/>
        <v>0</v>
      </c>
      <c r="CX242" s="7">
        <f t="shared" si="220"/>
        <v>0</v>
      </c>
      <c r="CY242" s="7">
        <f t="shared" si="221"/>
        <v>0</v>
      </c>
      <c r="CZ242" s="7">
        <f t="shared" si="222"/>
        <v>0</v>
      </c>
      <c r="DA242" s="7">
        <f t="shared" si="223"/>
        <v>0</v>
      </c>
      <c r="DB242" s="7">
        <f t="shared" si="224"/>
        <v>0</v>
      </c>
      <c r="DC242" s="7">
        <f t="shared" si="225"/>
        <v>0</v>
      </c>
      <c r="DD242" s="7">
        <f t="shared" si="226"/>
        <v>0</v>
      </c>
      <c r="DE242" s="7">
        <f t="shared" si="227"/>
        <v>0</v>
      </c>
      <c r="DF242" s="7">
        <f t="shared" si="228"/>
        <v>0</v>
      </c>
      <c r="DG242" s="7">
        <f t="shared" si="229"/>
        <v>0</v>
      </c>
      <c r="DH242" s="7">
        <f t="shared" si="230"/>
        <v>0</v>
      </c>
      <c r="DI242" s="7">
        <f t="shared" si="231"/>
        <v>0</v>
      </c>
      <c r="DJ242" s="7">
        <f t="shared" si="232"/>
        <v>0</v>
      </c>
      <c r="DK242" s="7">
        <f t="shared" si="233"/>
        <v>0</v>
      </c>
      <c r="DL242" s="7">
        <f t="shared" si="234"/>
        <v>0</v>
      </c>
      <c r="DM242" s="7">
        <f t="shared" si="235"/>
        <v>0</v>
      </c>
      <c r="DN242" s="7">
        <f t="shared" si="236"/>
        <v>0</v>
      </c>
      <c r="DO242" s="7">
        <f t="shared" si="237"/>
        <v>0</v>
      </c>
      <c r="DP242" s="7">
        <f t="shared" si="238"/>
        <v>0</v>
      </c>
      <c r="DQ242" s="7">
        <f t="shared" si="239"/>
        <v>0</v>
      </c>
      <c r="DR242" s="7">
        <f t="shared" si="240"/>
        <v>0</v>
      </c>
      <c r="DS242" s="7">
        <f t="shared" si="241"/>
        <v>0</v>
      </c>
      <c r="DT242" s="7">
        <f t="shared" si="242"/>
        <v>0</v>
      </c>
      <c r="DU242" s="7">
        <f t="shared" si="243"/>
        <v>0</v>
      </c>
    </row>
    <row r="243" spans="1:125" x14ac:dyDescent="0.2">
      <c r="A243" s="3">
        <f>Bonds!A243</f>
        <v>48760</v>
      </c>
      <c r="B243" s="4">
        <f>Bonds!B243</f>
        <v>4.25</v>
      </c>
      <c r="C243">
        <f>Bonds!P243</f>
        <v>14</v>
      </c>
      <c r="D243">
        <f t="shared" si="183"/>
        <v>1</v>
      </c>
      <c r="E243" s="3">
        <f>IF(1&gt;$C243,"",IF($D243=1,EOMONTH(EDATE(Bonds!$H243,6*(1-1)),0),EDATE(Bonds!$H243,6*(1-1))))</f>
        <v>46387</v>
      </c>
      <c r="F243" s="3">
        <f>IF(2&gt;$C243,"",IF($D243=1,EOMONTH(EDATE(Bonds!$H243,6*(2-1)),0),EDATE(Bonds!$H243,6*(2-1))))</f>
        <v>46568</v>
      </c>
      <c r="G243" s="3">
        <f>IF(3&gt;$C243,"",IF($D243=1,EOMONTH(EDATE(Bonds!$H243,6*(3-1)),0),EDATE(Bonds!$H243,6*(3-1))))</f>
        <v>46752</v>
      </c>
      <c r="H243" s="3">
        <f>IF(4&gt;$C243,"",IF($D243=1,EOMONTH(EDATE(Bonds!$H243,6*(4-1)),0),EDATE(Bonds!$H243,6*(4-1))))</f>
        <v>46934</v>
      </c>
      <c r="I243" s="3">
        <f>IF(5&gt;$C243,"",IF($D243=1,EOMONTH(EDATE(Bonds!$H243,6*(5-1)),0),EDATE(Bonds!$H243,6*(5-1))))</f>
        <v>47118</v>
      </c>
      <c r="J243" s="3">
        <f>IF(6&gt;$C243,"",IF($D243=1,EOMONTH(EDATE(Bonds!$H243,6*(6-1)),0),EDATE(Bonds!$H243,6*(6-1))))</f>
        <v>47299</v>
      </c>
      <c r="K243" s="3">
        <f>IF(7&gt;$C243,"",IF($D243=1,EOMONTH(EDATE(Bonds!$H243,6*(7-1)),0),EDATE(Bonds!$H243,6*(7-1))))</f>
        <v>47483</v>
      </c>
      <c r="L243" s="3">
        <f>IF(8&gt;$C243,"",IF($D243=1,EOMONTH(EDATE(Bonds!$H243,6*(8-1)),0),EDATE(Bonds!$H243,6*(8-1))))</f>
        <v>47664</v>
      </c>
      <c r="M243" s="3">
        <f>IF(9&gt;$C243,"",IF($D243=1,EOMONTH(EDATE(Bonds!$H243,6*(9-1)),0),EDATE(Bonds!$H243,6*(9-1))))</f>
        <v>47848</v>
      </c>
      <c r="N243" s="3">
        <f>IF(10&gt;$C243,"",IF($D243=1,EOMONTH(EDATE(Bonds!$H243,6*(10-1)),0),EDATE(Bonds!$H243,6*(10-1))))</f>
        <v>48029</v>
      </c>
      <c r="O243" s="3">
        <f>IF(11&gt;$C243,"",IF($D243=1,EOMONTH(EDATE(Bonds!$H243,6*(11-1)),0),EDATE(Bonds!$H243,6*(11-1))))</f>
        <v>48213</v>
      </c>
      <c r="P243" s="3">
        <f>IF(12&gt;$C243,"",IF($D243=1,EOMONTH(EDATE(Bonds!$H243,6*(12-1)),0),EDATE(Bonds!$H243,6*(12-1))))</f>
        <v>48395</v>
      </c>
      <c r="Q243" s="3">
        <f>IF(13&gt;$C243,"",IF($D243=1,EOMONTH(EDATE(Bonds!$H243,6*(13-1)),0),EDATE(Bonds!$H243,6*(13-1))))</f>
        <v>48579</v>
      </c>
      <c r="R243" s="3">
        <f>IF(14&gt;$C243,"",IF($D243=1,EOMONTH(EDATE(Bonds!$H243,6*(14-1)),0),EDATE(Bonds!$H243,6*(14-1))))</f>
        <v>48760</v>
      </c>
      <c r="S243" s="3" t="str">
        <f>IF(15&gt;$C243,"",IF($D243=1,EOMONTH(EDATE(Bonds!$H243,6*(15-1)),0),EDATE(Bonds!$H243,6*(15-1))))</f>
        <v/>
      </c>
      <c r="T243" s="3" t="str">
        <f>IF(16&gt;$C243,"",IF($D243=1,EOMONTH(EDATE(Bonds!$H243,6*(16-1)),0),EDATE(Bonds!$H243,6*(16-1))))</f>
        <v/>
      </c>
      <c r="U243" s="3" t="str">
        <f>IF(17&gt;$C243,"",IF($D243=1,EOMONTH(EDATE(Bonds!$H243,6*(17-1)),0),EDATE(Bonds!$H243,6*(17-1))))</f>
        <v/>
      </c>
      <c r="V243" s="3" t="str">
        <f>IF(18&gt;$C243,"",IF($D243=1,EOMONTH(EDATE(Bonds!$H243,6*(18-1)),0),EDATE(Bonds!$H243,6*(18-1))))</f>
        <v/>
      </c>
      <c r="W243" s="3" t="str">
        <f>IF(19&gt;$C243,"",IF($D243=1,EOMONTH(EDATE(Bonds!$H243,6*(19-1)),0),EDATE(Bonds!$H243,6*(19-1))))</f>
        <v/>
      </c>
      <c r="X243" s="3" t="str">
        <f>IF(20&gt;$C243,"",IF($D243=1,EOMONTH(EDATE(Bonds!$H243,6*(20-1)),0),EDATE(Bonds!$H243,6*(20-1))))</f>
        <v/>
      </c>
      <c r="Y243" s="3" t="str">
        <f>IF(21&gt;$C243,"",IF($D243=1,EOMONTH(EDATE(Bonds!$H243,6*(21-1)),0),EDATE(Bonds!$H243,6*(21-1))))</f>
        <v/>
      </c>
      <c r="Z243" s="3" t="str">
        <f>IF(22&gt;$C243,"",IF($D243=1,EOMONTH(EDATE(Bonds!$H243,6*(22-1)),0),EDATE(Bonds!$H243,6*(22-1))))</f>
        <v/>
      </c>
      <c r="AA243" s="3" t="str">
        <f>IF(23&gt;$C243,"",IF($D243=1,EOMONTH(EDATE(Bonds!$H243,6*(23-1)),0),EDATE(Bonds!$H243,6*(23-1))))</f>
        <v/>
      </c>
      <c r="AB243" s="3" t="str">
        <f>IF(24&gt;$C243,"",IF($D243=1,EOMONTH(EDATE(Bonds!$H243,6*(24-1)),0),EDATE(Bonds!$H243,6*(24-1))))</f>
        <v/>
      </c>
      <c r="AC243" s="3" t="str">
        <f>IF(25&gt;$C243,"",IF($D243=1,EOMONTH(EDATE(Bonds!$H243,6*(25-1)),0),EDATE(Bonds!$H243,6*(25-1))))</f>
        <v/>
      </c>
      <c r="AD243" s="3" t="str">
        <f>IF(26&gt;$C243,"",IF($D243=1,EOMONTH(EDATE(Bonds!$H243,6*(26-1)),0),EDATE(Bonds!$H243,6*(26-1))))</f>
        <v/>
      </c>
      <c r="AE243" s="3" t="str">
        <f>IF(27&gt;$C243,"",IF($D243=1,EOMONTH(EDATE(Bonds!$H243,6*(27-1)),0),EDATE(Bonds!$H243,6*(27-1))))</f>
        <v/>
      </c>
      <c r="AF243" s="3" t="str">
        <f>IF(28&gt;$C243,"",IF($D243=1,EOMONTH(EDATE(Bonds!$H243,6*(28-1)),0),EDATE(Bonds!$H243,6*(28-1))))</f>
        <v/>
      </c>
      <c r="AG243" s="3" t="str">
        <f>IF(29&gt;$C243,"",IF($D243=1,EOMONTH(EDATE(Bonds!$H243,6*(29-1)),0),EDATE(Bonds!$H243,6*(29-1))))</f>
        <v/>
      </c>
      <c r="AH243" s="3" t="str">
        <f>IF(30&gt;$C243,"",IF($D243=1,EOMONTH(EDATE(Bonds!$H243,6*(30-1)),0),EDATE(Bonds!$H243,6*(30-1))))</f>
        <v/>
      </c>
      <c r="AI243" s="3" t="str">
        <f>IF(31&gt;$C243,"",IF($D243=1,EOMONTH(EDATE(Bonds!$H243,6*(31-1)),0),EDATE(Bonds!$H243,6*(31-1))))</f>
        <v/>
      </c>
      <c r="AJ243" s="3" t="str">
        <f>IF(32&gt;$C243,"",IF($D243=1,EOMONTH(EDATE(Bonds!$H243,6*(32-1)),0),EDATE(Bonds!$H243,6*(32-1))))</f>
        <v/>
      </c>
      <c r="AK243" s="3" t="str">
        <f>IF(33&gt;$C243,"",IF($D243=1,EOMONTH(EDATE(Bonds!$H243,6*(33-1)),0),EDATE(Bonds!$H243,6*(33-1))))</f>
        <v/>
      </c>
      <c r="AL243" s="3" t="str">
        <f>IF(34&gt;$C243,"",IF($D243=1,EOMONTH(EDATE(Bonds!$H243,6*(34-1)),0),EDATE(Bonds!$H243,6*(34-1))))</f>
        <v/>
      </c>
      <c r="AM243" s="3" t="str">
        <f>IF(35&gt;$C243,"",IF($D243=1,EOMONTH(EDATE(Bonds!$H243,6*(35-1)),0),EDATE(Bonds!$H243,6*(35-1))))</f>
        <v/>
      </c>
      <c r="AN243" s="3" t="str">
        <f>IF(36&gt;$C243,"",IF($D243=1,EOMONTH(EDATE(Bonds!$H243,6*(36-1)),0),EDATE(Bonds!$H243,6*(36-1))))</f>
        <v/>
      </c>
      <c r="AO243" s="3" t="str">
        <f>IF(37&gt;$C243,"",IF($D243=1,EOMONTH(EDATE(Bonds!$H243,6*(37-1)),0),EDATE(Bonds!$H243,6*(37-1))))</f>
        <v/>
      </c>
      <c r="AP243" s="3" t="str">
        <f>IF(38&gt;$C243,"",IF($D243=1,EOMONTH(EDATE(Bonds!$H243,6*(38-1)),0),EDATE(Bonds!$H243,6*(38-1))))</f>
        <v/>
      </c>
      <c r="AQ243" s="3" t="str">
        <f>IF(39&gt;$C243,"",IF($D243=1,EOMONTH(EDATE(Bonds!$H243,6*(39-1)),0),EDATE(Bonds!$H243,6*(39-1))))</f>
        <v/>
      </c>
      <c r="AR243" s="3" t="str">
        <f>IF(40&gt;$C243,"",IF($D243=1,EOMONTH(EDATE(Bonds!$H243,6*(40-1)),0),EDATE(Bonds!$H243,6*(40-1))))</f>
        <v/>
      </c>
      <c r="AS243" s="3" t="str">
        <f>IF(41&gt;$C243,"",IF($D243=1,EOMONTH(EDATE(Bonds!$H243,6*(41-1)),0),EDATE(Bonds!$H243,6*(41-1))))</f>
        <v/>
      </c>
      <c r="AT243" s="3" t="str">
        <f>IF(42&gt;$C243,"",IF($D243=1,EOMONTH(EDATE(Bonds!$H243,6*(42-1)),0),EDATE(Bonds!$H243,6*(42-1))))</f>
        <v/>
      </c>
      <c r="AU243" s="3" t="str">
        <f>IF(43&gt;$C243,"",IF($D243=1,EOMONTH(EDATE(Bonds!$H243,6*(43-1)),0),EDATE(Bonds!$H243,6*(43-1))))</f>
        <v/>
      </c>
      <c r="AV243" s="3" t="str">
        <f>IF(44&gt;$C243,"",IF($D243=1,EOMONTH(EDATE(Bonds!$H243,6*(44-1)),0),EDATE(Bonds!$H243,6*(44-1))))</f>
        <v/>
      </c>
      <c r="AW243" s="3" t="str">
        <f>IF(45&gt;$C243,"",IF($D243=1,EOMONTH(EDATE(Bonds!$H243,6*(45-1)),0),EDATE(Bonds!$H243,6*(45-1))))</f>
        <v/>
      </c>
      <c r="AX243" s="3" t="str">
        <f>IF(46&gt;$C243,"",IF($D243=1,EOMONTH(EDATE(Bonds!$H243,6*(46-1)),0),EDATE(Bonds!$H243,6*(46-1))))</f>
        <v/>
      </c>
      <c r="AY243" s="3" t="str">
        <f>IF(47&gt;$C243,"",IF($D243=1,EOMONTH(EDATE(Bonds!$H243,6*(47-1)),0),EDATE(Bonds!$H243,6*(47-1))))</f>
        <v/>
      </c>
      <c r="AZ243" s="3" t="str">
        <f>IF(48&gt;$C243,"",IF($D243=1,EOMONTH(EDATE(Bonds!$H243,6*(48-1)),0),EDATE(Bonds!$H243,6*(48-1))))</f>
        <v/>
      </c>
      <c r="BA243" s="3" t="str">
        <f>IF(49&gt;$C243,"",IF($D243=1,EOMONTH(EDATE(Bonds!$H243,6*(49-1)),0),EDATE(Bonds!$H243,6*(49-1))))</f>
        <v/>
      </c>
      <c r="BB243" s="3" t="str">
        <f>IF(50&gt;$C243,"",IF($D243=1,EOMONTH(EDATE(Bonds!$H243,6*(50-1)),0),EDATE(Bonds!$H243,6*(50-1))))</f>
        <v/>
      </c>
      <c r="BC243" s="3" t="str">
        <f>IF(51&gt;$C243,"",IF($D243=1,EOMONTH(EDATE(Bonds!$H243,6*(51-1)),0),EDATE(Bonds!$H243,6*(51-1))))</f>
        <v/>
      </c>
      <c r="BD243" s="3" t="str">
        <f>IF(52&gt;$C243,"",IF($D243=1,EOMONTH(EDATE(Bonds!$H243,6*(52-1)),0),EDATE(Bonds!$H243,6*(52-1))))</f>
        <v/>
      </c>
      <c r="BE243" s="3" t="str">
        <f>IF(53&gt;$C243,"",IF($D243=1,EOMONTH(EDATE(Bonds!$H243,6*(53-1)),0),EDATE(Bonds!$H243,6*(53-1))))</f>
        <v/>
      </c>
      <c r="BF243" s="3" t="str">
        <f>IF(54&gt;$C243,"",IF($D243=1,EOMONTH(EDATE(Bonds!$H243,6*(54-1)),0),EDATE(Bonds!$H243,6*(54-1))))</f>
        <v/>
      </c>
      <c r="BG243" s="3" t="str">
        <f>IF(55&gt;$C243,"",IF($D243=1,EOMONTH(EDATE(Bonds!$H243,6*(55-1)),0),EDATE(Bonds!$H243,6*(55-1))))</f>
        <v/>
      </c>
      <c r="BH243" s="3" t="str">
        <f>IF(56&gt;$C243,"",IF($D243=1,EOMONTH(EDATE(Bonds!$H243,6*(56-1)),0),EDATE(Bonds!$H243,6*(56-1))))</f>
        <v/>
      </c>
      <c r="BI243" s="3" t="str">
        <f>IF(57&gt;$C243,"",IF($D243=1,EOMONTH(EDATE(Bonds!$H243,6*(57-1)),0),EDATE(Bonds!$H243,6*(57-1))))</f>
        <v/>
      </c>
      <c r="BJ243" s="3" t="str">
        <f>IF(58&gt;$C243,"",IF($D243=1,EOMONTH(EDATE(Bonds!$H243,6*(58-1)),0),EDATE(Bonds!$H243,6*(58-1))))</f>
        <v/>
      </c>
      <c r="BK243" s="3" t="str">
        <f>IF(59&gt;$C243,"",IF($D243=1,EOMONTH(EDATE(Bonds!$H243,6*(59-1)),0),EDATE(Bonds!$H243,6*(59-1))))</f>
        <v/>
      </c>
      <c r="BL243" s="3" t="str">
        <f>IF(60&gt;$C243,"",IF($D243=1,EOMONTH(EDATE(Bonds!$H243,6*(60-1)),0),EDATE(Bonds!$H243,6*(60-1))))</f>
        <v/>
      </c>
      <c r="BN243" s="7">
        <f t="shared" si="184"/>
        <v>2.099709607066548</v>
      </c>
      <c r="BO243" s="7">
        <f t="shared" si="185"/>
        <v>2.0562955325533236</v>
      </c>
      <c r="BP243" s="7">
        <f t="shared" si="186"/>
        <v>2.0105397566549135</v>
      </c>
      <c r="BQ243" s="7">
        <f t="shared" si="187"/>
        <v>1.9652873036675045</v>
      </c>
      <c r="BR243" s="7">
        <f t="shared" si="188"/>
        <v>1.9203281929450844</v>
      </c>
      <c r="BS243" s="7">
        <f t="shared" si="189"/>
        <v>1.8771545101433529</v>
      </c>
      <c r="BT243" s="7">
        <f t="shared" si="190"/>
        <v>1.8343463086141047</v>
      </c>
      <c r="BU243" s="7">
        <f t="shared" si="191"/>
        <v>1.7931823367066562</v>
      </c>
      <c r="BV243" s="7">
        <f t="shared" si="192"/>
        <v>1.7521305919408159</v>
      </c>
      <c r="BW243" s="7">
        <f t="shared" si="193"/>
        <v>1.7123650575563532</v>
      </c>
      <c r="BX243" s="7">
        <f t="shared" si="194"/>
        <v>1.6724226168239691</v>
      </c>
      <c r="BY243" s="7">
        <f t="shared" si="195"/>
        <v>1.6332827414104163</v>
      </c>
      <c r="BZ243" s="7">
        <f t="shared" si="196"/>
        <v>1.5940096678309827</v>
      </c>
      <c r="CA243" s="7">
        <f t="shared" si="197"/>
        <v>74.761623047570865</v>
      </c>
      <c r="CB243" s="7">
        <f t="shared" si="198"/>
        <v>0</v>
      </c>
      <c r="CC243" s="7">
        <f t="shared" si="199"/>
        <v>0</v>
      </c>
      <c r="CD243" s="7">
        <f t="shared" si="200"/>
        <v>0</v>
      </c>
      <c r="CE243" s="7">
        <f t="shared" si="201"/>
        <v>0</v>
      </c>
      <c r="CF243" s="7">
        <f t="shared" si="202"/>
        <v>0</v>
      </c>
      <c r="CG243" s="7">
        <f t="shared" si="203"/>
        <v>0</v>
      </c>
      <c r="CH243" s="7">
        <f t="shared" si="204"/>
        <v>0</v>
      </c>
      <c r="CI243" s="7">
        <f t="shared" si="205"/>
        <v>0</v>
      </c>
      <c r="CJ243" s="7">
        <f t="shared" si="206"/>
        <v>0</v>
      </c>
      <c r="CK243" s="7">
        <f t="shared" si="207"/>
        <v>0</v>
      </c>
      <c r="CL243" s="7">
        <f t="shared" si="208"/>
        <v>0</v>
      </c>
      <c r="CM243" s="7">
        <f t="shared" si="209"/>
        <v>0</v>
      </c>
      <c r="CN243" s="7">
        <f t="shared" si="210"/>
        <v>0</v>
      </c>
      <c r="CO243" s="7">
        <f t="shared" si="211"/>
        <v>0</v>
      </c>
      <c r="CP243" s="7">
        <f t="shared" si="212"/>
        <v>0</v>
      </c>
      <c r="CQ243" s="7">
        <f t="shared" si="213"/>
        <v>0</v>
      </c>
      <c r="CR243" s="7">
        <f t="shared" si="214"/>
        <v>0</v>
      </c>
      <c r="CS243" s="7">
        <f t="shared" si="215"/>
        <v>0</v>
      </c>
      <c r="CT243" s="7">
        <f t="shared" si="216"/>
        <v>0</v>
      </c>
      <c r="CU243" s="7">
        <f t="shared" si="217"/>
        <v>0</v>
      </c>
      <c r="CV243" s="7">
        <f t="shared" si="218"/>
        <v>0</v>
      </c>
      <c r="CW243" s="7">
        <f t="shared" si="219"/>
        <v>0</v>
      </c>
      <c r="CX243" s="7">
        <f t="shared" si="220"/>
        <v>0</v>
      </c>
      <c r="CY243" s="7">
        <f t="shared" si="221"/>
        <v>0</v>
      </c>
      <c r="CZ243" s="7">
        <f t="shared" si="222"/>
        <v>0</v>
      </c>
      <c r="DA243" s="7">
        <f t="shared" si="223"/>
        <v>0</v>
      </c>
      <c r="DB243" s="7">
        <f t="shared" si="224"/>
        <v>0</v>
      </c>
      <c r="DC243" s="7">
        <f t="shared" si="225"/>
        <v>0</v>
      </c>
      <c r="DD243" s="7">
        <f t="shared" si="226"/>
        <v>0</v>
      </c>
      <c r="DE243" s="7">
        <f t="shared" si="227"/>
        <v>0</v>
      </c>
      <c r="DF243" s="7">
        <f t="shared" si="228"/>
        <v>0</v>
      </c>
      <c r="DG243" s="7">
        <f t="shared" si="229"/>
        <v>0</v>
      </c>
      <c r="DH243" s="7">
        <f t="shared" si="230"/>
        <v>0</v>
      </c>
      <c r="DI243" s="7">
        <f t="shared" si="231"/>
        <v>0</v>
      </c>
      <c r="DJ243" s="7">
        <f t="shared" si="232"/>
        <v>0</v>
      </c>
      <c r="DK243" s="7">
        <f t="shared" si="233"/>
        <v>0</v>
      </c>
      <c r="DL243" s="7">
        <f t="shared" si="234"/>
        <v>0</v>
      </c>
      <c r="DM243" s="7">
        <f t="shared" si="235"/>
        <v>0</v>
      </c>
      <c r="DN243" s="7">
        <f t="shared" si="236"/>
        <v>0</v>
      </c>
      <c r="DO243" s="7">
        <f t="shared" si="237"/>
        <v>0</v>
      </c>
      <c r="DP243" s="7">
        <f t="shared" si="238"/>
        <v>0</v>
      </c>
      <c r="DQ243" s="7">
        <f t="shared" si="239"/>
        <v>0</v>
      </c>
      <c r="DR243" s="7">
        <f t="shared" si="240"/>
        <v>0</v>
      </c>
      <c r="DS243" s="7">
        <f t="shared" si="241"/>
        <v>0</v>
      </c>
      <c r="DT243" s="7">
        <f t="shared" si="242"/>
        <v>0</v>
      </c>
      <c r="DU243" s="7">
        <f t="shared" si="243"/>
        <v>0</v>
      </c>
    </row>
    <row r="244" spans="1:125" x14ac:dyDescent="0.2">
      <c r="A244" s="3">
        <f>Bonds!A244</f>
        <v>48791</v>
      </c>
      <c r="B244" s="4">
        <f>Bonds!B244</f>
        <v>4.375</v>
      </c>
      <c r="C244">
        <f>Bonds!P244</f>
        <v>14</v>
      </c>
      <c r="D244">
        <f t="shared" si="183"/>
        <v>1</v>
      </c>
      <c r="E244" s="3">
        <f>IF(1&gt;$C244,"",IF($D244=1,EOMONTH(EDATE(Bonds!$H244,6*(1-1)),0),EDATE(Bonds!$H244,6*(1-1))))</f>
        <v>46418</v>
      </c>
      <c r="F244" s="3">
        <f>IF(2&gt;$C244,"",IF($D244=1,EOMONTH(EDATE(Bonds!$H244,6*(2-1)),0),EDATE(Bonds!$H244,6*(2-1))))</f>
        <v>46599</v>
      </c>
      <c r="G244" s="3">
        <f>IF(3&gt;$C244,"",IF($D244=1,EOMONTH(EDATE(Bonds!$H244,6*(3-1)),0),EDATE(Bonds!$H244,6*(3-1))))</f>
        <v>46783</v>
      </c>
      <c r="H244" s="3">
        <f>IF(4&gt;$C244,"",IF($D244=1,EOMONTH(EDATE(Bonds!$H244,6*(4-1)),0),EDATE(Bonds!$H244,6*(4-1))))</f>
        <v>46965</v>
      </c>
      <c r="I244" s="3">
        <f>IF(5&gt;$C244,"",IF($D244=1,EOMONTH(EDATE(Bonds!$H244,6*(5-1)),0),EDATE(Bonds!$H244,6*(5-1))))</f>
        <v>47149</v>
      </c>
      <c r="J244" s="3">
        <f>IF(6&gt;$C244,"",IF($D244=1,EOMONTH(EDATE(Bonds!$H244,6*(6-1)),0),EDATE(Bonds!$H244,6*(6-1))))</f>
        <v>47330</v>
      </c>
      <c r="K244" s="3">
        <f>IF(7&gt;$C244,"",IF($D244=1,EOMONTH(EDATE(Bonds!$H244,6*(7-1)),0),EDATE(Bonds!$H244,6*(7-1))))</f>
        <v>47514</v>
      </c>
      <c r="L244" s="3">
        <f>IF(8&gt;$C244,"",IF($D244=1,EOMONTH(EDATE(Bonds!$H244,6*(8-1)),0),EDATE(Bonds!$H244,6*(8-1))))</f>
        <v>47695</v>
      </c>
      <c r="M244" s="3">
        <f>IF(9&gt;$C244,"",IF($D244=1,EOMONTH(EDATE(Bonds!$H244,6*(9-1)),0),EDATE(Bonds!$H244,6*(9-1))))</f>
        <v>47879</v>
      </c>
      <c r="N244" s="3">
        <f>IF(10&gt;$C244,"",IF($D244=1,EOMONTH(EDATE(Bonds!$H244,6*(10-1)),0),EDATE(Bonds!$H244,6*(10-1))))</f>
        <v>48060</v>
      </c>
      <c r="O244" s="3">
        <f>IF(11&gt;$C244,"",IF($D244=1,EOMONTH(EDATE(Bonds!$H244,6*(11-1)),0),EDATE(Bonds!$H244,6*(11-1))))</f>
        <v>48244</v>
      </c>
      <c r="P244" s="3">
        <f>IF(12&gt;$C244,"",IF($D244=1,EOMONTH(EDATE(Bonds!$H244,6*(12-1)),0),EDATE(Bonds!$H244,6*(12-1))))</f>
        <v>48426</v>
      </c>
      <c r="Q244" s="3">
        <f>IF(13&gt;$C244,"",IF($D244=1,EOMONTH(EDATE(Bonds!$H244,6*(13-1)),0),EDATE(Bonds!$H244,6*(13-1))))</f>
        <v>48610</v>
      </c>
      <c r="R244" s="3">
        <f>IF(14&gt;$C244,"",IF($D244=1,EOMONTH(EDATE(Bonds!$H244,6*(14-1)),0),EDATE(Bonds!$H244,6*(14-1))))</f>
        <v>48791</v>
      </c>
      <c r="S244" s="3" t="str">
        <f>IF(15&gt;$C244,"",IF($D244=1,EOMONTH(EDATE(Bonds!$H244,6*(15-1)),0),EDATE(Bonds!$H244,6*(15-1))))</f>
        <v/>
      </c>
      <c r="T244" s="3" t="str">
        <f>IF(16&gt;$C244,"",IF($D244=1,EOMONTH(EDATE(Bonds!$H244,6*(16-1)),0),EDATE(Bonds!$H244,6*(16-1))))</f>
        <v/>
      </c>
      <c r="U244" s="3" t="str">
        <f>IF(17&gt;$C244,"",IF($D244=1,EOMONTH(EDATE(Bonds!$H244,6*(17-1)),0),EDATE(Bonds!$H244,6*(17-1))))</f>
        <v/>
      </c>
      <c r="V244" s="3" t="str">
        <f>IF(18&gt;$C244,"",IF($D244=1,EOMONTH(EDATE(Bonds!$H244,6*(18-1)),0),EDATE(Bonds!$H244,6*(18-1))))</f>
        <v/>
      </c>
      <c r="W244" s="3" t="str">
        <f>IF(19&gt;$C244,"",IF($D244=1,EOMONTH(EDATE(Bonds!$H244,6*(19-1)),0),EDATE(Bonds!$H244,6*(19-1))))</f>
        <v/>
      </c>
      <c r="X244" s="3" t="str">
        <f>IF(20&gt;$C244,"",IF($D244=1,EOMONTH(EDATE(Bonds!$H244,6*(20-1)),0),EDATE(Bonds!$H244,6*(20-1))))</f>
        <v/>
      </c>
      <c r="Y244" s="3" t="str">
        <f>IF(21&gt;$C244,"",IF($D244=1,EOMONTH(EDATE(Bonds!$H244,6*(21-1)),0),EDATE(Bonds!$H244,6*(21-1))))</f>
        <v/>
      </c>
      <c r="Z244" s="3" t="str">
        <f>IF(22&gt;$C244,"",IF($D244=1,EOMONTH(EDATE(Bonds!$H244,6*(22-1)),0),EDATE(Bonds!$H244,6*(22-1))))</f>
        <v/>
      </c>
      <c r="AA244" s="3" t="str">
        <f>IF(23&gt;$C244,"",IF($D244=1,EOMONTH(EDATE(Bonds!$H244,6*(23-1)),0),EDATE(Bonds!$H244,6*(23-1))))</f>
        <v/>
      </c>
      <c r="AB244" s="3" t="str">
        <f>IF(24&gt;$C244,"",IF($D244=1,EOMONTH(EDATE(Bonds!$H244,6*(24-1)),0),EDATE(Bonds!$H244,6*(24-1))))</f>
        <v/>
      </c>
      <c r="AC244" s="3" t="str">
        <f>IF(25&gt;$C244,"",IF($D244=1,EOMONTH(EDATE(Bonds!$H244,6*(25-1)),0),EDATE(Bonds!$H244,6*(25-1))))</f>
        <v/>
      </c>
      <c r="AD244" s="3" t="str">
        <f>IF(26&gt;$C244,"",IF($D244=1,EOMONTH(EDATE(Bonds!$H244,6*(26-1)),0),EDATE(Bonds!$H244,6*(26-1))))</f>
        <v/>
      </c>
      <c r="AE244" s="3" t="str">
        <f>IF(27&gt;$C244,"",IF($D244=1,EOMONTH(EDATE(Bonds!$H244,6*(27-1)),0),EDATE(Bonds!$H244,6*(27-1))))</f>
        <v/>
      </c>
      <c r="AF244" s="3" t="str">
        <f>IF(28&gt;$C244,"",IF($D244=1,EOMONTH(EDATE(Bonds!$H244,6*(28-1)),0),EDATE(Bonds!$H244,6*(28-1))))</f>
        <v/>
      </c>
      <c r="AG244" s="3" t="str">
        <f>IF(29&gt;$C244,"",IF($D244=1,EOMONTH(EDATE(Bonds!$H244,6*(29-1)),0),EDATE(Bonds!$H244,6*(29-1))))</f>
        <v/>
      </c>
      <c r="AH244" s="3" t="str">
        <f>IF(30&gt;$C244,"",IF($D244=1,EOMONTH(EDATE(Bonds!$H244,6*(30-1)),0),EDATE(Bonds!$H244,6*(30-1))))</f>
        <v/>
      </c>
      <c r="AI244" s="3" t="str">
        <f>IF(31&gt;$C244,"",IF($D244=1,EOMONTH(EDATE(Bonds!$H244,6*(31-1)),0),EDATE(Bonds!$H244,6*(31-1))))</f>
        <v/>
      </c>
      <c r="AJ244" s="3" t="str">
        <f>IF(32&gt;$C244,"",IF($D244=1,EOMONTH(EDATE(Bonds!$H244,6*(32-1)),0),EDATE(Bonds!$H244,6*(32-1))))</f>
        <v/>
      </c>
      <c r="AK244" s="3" t="str">
        <f>IF(33&gt;$C244,"",IF($D244=1,EOMONTH(EDATE(Bonds!$H244,6*(33-1)),0),EDATE(Bonds!$H244,6*(33-1))))</f>
        <v/>
      </c>
      <c r="AL244" s="3" t="str">
        <f>IF(34&gt;$C244,"",IF($D244=1,EOMONTH(EDATE(Bonds!$H244,6*(34-1)),0),EDATE(Bonds!$H244,6*(34-1))))</f>
        <v/>
      </c>
      <c r="AM244" s="3" t="str">
        <f>IF(35&gt;$C244,"",IF($D244=1,EOMONTH(EDATE(Bonds!$H244,6*(35-1)),0),EDATE(Bonds!$H244,6*(35-1))))</f>
        <v/>
      </c>
      <c r="AN244" s="3" t="str">
        <f>IF(36&gt;$C244,"",IF($D244=1,EOMONTH(EDATE(Bonds!$H244,6*(36-1)),0),EDATE(Bonds!$H244,6*(36-1))))</f>
        <v/>
      </c>
      <c r="AO244" s="3" t="str">
        <f>IF(37&gt;$C244,"",IF($D244=1,EOMONTH(EDATE(Bonds!$H244,6*(37-1)),0),EDATE(Bonds!$H244,6*(37-1))))</f>
        <v/>
      </c>
      <c r="AP244" s="3" t="str">
        <f>IF(38&gt;$C244,"",IF($D244=1,EOMONTH(EDATE(Bonds!$H244,6*(38-1)),0),EDATE(Bonds!$H244,6*(38-1))))</f>
        <v/>
      </c>
      <c r="AQ244" s="3" t="str">
        <f>IF(39&gt;$C244,"",IF($D244=1,EOMONTH(EDATE(Bonds!$H244,6*(39-1)),0),EDATE(Bonds!$H244,6*(39-1))))</f>
        <v/>
      </c>
      <c r="AR244" s="3" t="str">
        <f>IF(40&gt;$C244,"",IF($D244=1,EOMONTH(EDATE(Bonds!$H244,6*(40-1)),0),EDATE(Bonds!$H244,6*(40-1))))</f>
        <v/>
      </c>
      <c r="AS244" s="3" t="str">
        <f>IF(41&gt;$C244,"",IF($D244=1,EOMONTH(EDATE(Bonds!$H244,6*(41-1)),0),EDATE(Bonds!$H244,6*(41-1))))</f>
        <v/>
      </c>
      <c r="AT244" s="3" t="str">
        <f>IF(42&gt;$C244,"",IF($D244=1,EOMONTH(EDATE(Bonds!$H244,6*(42-1)),0),EDATE(Bonds!$H244,6*(42-1))))</f>
        <v/>
      </c>
      <c r="AU244" s="3" t="str">
        <f>IF(43&gt;$C244,"",IF($D244=1,EOMONTH(EDATE(Bonds!$H244,6*(43-1)),0),EDATE(Bonds!$H244,6*(43-1))))</f>
        <v/>
      </c>
      <c r="AV244" s="3" t="str">
        <f>IF(44&gt;$C244,"",IF($D244=1,EOMONTH(EDATE(Bonds!$H244,6*(44-1)),0),EDATE(Bonds!$H244,6*(44-1))))</f>
        <v/>
      </c>
      <c r="AW244" s="3" t="str">
        <f>IF(45&gt;$C244,"",IF($D244=1,EOMONTH(EDATE(Bonds!$H244,6*(45-1)),0),EDATE(Bonds!$H244,6*(45-1))))</f>
        <v/>
      </c>
      <c r="AX244" s="3" t="str">
        <f>IF(46&gt;$C244,"",IF($D244=1,EOMONTH(EDATE(Bonds!$H244,6*(46-1)),0),EDATE(Bonds!$H244,6*(46-1))))</f>
        <v/>
      </c>
      <c r="AY244" s="3" t="str">
        <f>IF(47&gt;$C244,"",IF($D244=1,EOMONTH(EDATE(Bonds!$H244,6*(47-1)),0),EDATE(Bonds!$H244,6*(47-1))))</f>
        <v/>
      </c>
      <c r="AZ244" s="3" t="str">
        <f>IF(48&gt;$C244,"",IF($D244=1,EOMONTH(EDATE(Bonds!$H244,6*(48-1)),0),EDATE(Bonds!$H244,6*(48-1))))</f>
        <v/>
      </c>
      <c r="BA244" s="3" t="str">
        <f>IF(49&gt;$C244,"",IF($D244=1,EOMONTH(EDATE(Bonds!$H244,6*(49-1)),0),EDATE(Bonds!$H244,6*(49-1))))</f>
        <v/>
      </c>
      <c r="BB244" s="3" t="str">
        <f>IF(50&gt;$C244,"",IF($D244=1,EOMONTH(EDATE(Bonds!$H244,6*(50-1)),0),EDATE(Bonds!$H244,6*(50-1))))</f>
        <v/>
      </c>
      <c r="BC244" s="3" t="str">
        <f>IF(51&gt;$C244,"",IF($D244=1,EOMONTH(EDATE(Bonds!$H244,6*(51-1)),0),EDATE(Bonds!$H244,6*(51-1))))</f>
        <v/>
      </c>
      <c r="BD244" s="3" t="str">
        <f>IF(52&gt;$C244,"",IF($D244=1,EOMONTH(EDATE(Bonds!$H244,6*(52-1)),0),EDATE(Bonds!$H244,6*(52-1))))</f>
        <v/>
      </c>
      <c r="BE244" s="3" t="str">
        <f>IF(53&gt;$C244,"",IF($D244=1,EOMONTH(EDATE(Bonds!$H244,6*(53-1)),0),EDATE(Bonds!$H244,6*(53-1))))</f>
        <v/>
      </c>
      <c r="BF244" s="3" t="str">
        <f>IF(54&gt;$C244,"",IF($D244=1,EOMONTH(EDATE(Bonds!$H244,6*(54-1)),0),EDATE(Bonds!$H244,6*(54-1))))</f>
        <v/>
      </c>
      <c r="BG244" s="3" t="str">
        <f>IF(55&gt;$C244,"",IF($D244=1,EOMONTH(EDATE(Bonds!$H244,6*(55-1)),0),EDATE(Bonds!$H244,6*(55-1))))</f>
        <v/>
      </c>
      <c r="BH244" s="3" t="str">
        <f>IF(56&gt;$C244,"",IF($D244=1,EOMONTH(EDATE(Bonds!$H244,6*(56-1)),0),EDATE(Bonds!$H244,6*(56-1))))</f>
        <v/>
      </c>
      <c r="BI244" s="3" t="str">
        <f>IF(57&gt;$C244,"",IF($D244=1,EOMONTH(EDATE(Bonds!$H244,6*(57-1)),0),EDATE(Bonds!$H244,6*(57-1))))</f>
        <v/>
      </c>
      <c r="BJ244" s="3" t="str">
        <f>IF(58&gt;$C244,"",IF($D244=1,EOMONTH(EDATE(Bonds!$H244,6*(58-1)),0),EDATE(Bonds!$H244,6*(58-1))))</f>
        <v/>
      </c>
      <c r="BK244" s="3" t="str">
        <f>IF(59&gt;$C244,"",IF($D244=1,EOMONTH(EDATE(Bonds!$H244,6*(59-1)),0),EDATE(Bonds!$H244,6*(59-1))))</f>
        <v/>
      </c>
      <c r="BL244" s="3" t="str">
        <f>IF(60&gt;$C244,"",IF($D244=1,EOMONTH(EDATE(Bonds!$H244,6*(60-1)),0),EDATE(Bonds!$H244,6*(60-1))))</f>
        <v/>
      </c>
      <c r="BN244" s="7">
        <f t="shared" si="184"/>
        <v>2.1540356397345497</v>
      </c>
      <c r="BO244" s="7">
        <f t="shared" si="185"/>
        <v>2.1088969529438981</v>
      </c>
      <c r="BP244" s="7">
        <f t="shared" si="186"/>
        <v>2.0617077676397879</v>
      </c>
      <c r="BQ244" s="7">
        <f t="shared" si="187"/>
        <v>2.0152222975663134</v>
      </c>
      <c r="BR244" s="7">
        <f t="shared" si="188"/>
        <v>1.9691175023148708</v>
      </c>
      <c r="BS244" s="7">
        <f t="shared" si="189"/>
        <v>1.924864231254223</v>
      </c>
      <c r="BT244" s="7">
        <f t="shared" si="190"/>
        <v>1.8809759671311055</v>
      </c>
      <c r="BU244" s="7">
        <f t="shared" si="191"/>
        <v>1.8387503817806099</v>
      </c>
      <c r="BV244" s="7">
        <f t="shared" si="192"/>
        <v>1.7966125913352118</v>
      </c>
      <c r="BW244" s="7">
        <f t="shared" si="193"/>
        <v>1.7557699066658885</v>
      </c>
      <c r="BX244" s="7">
        <f t="shared" si="194"/>
        <v>1.7147246773811911</v>
      </c>
      <c r="BY244" s="7">
        <f t="shared" si="195"/>
        <v>1.6744892606174484</v>
      </c>
      <c r="BZ244" s="7">
        <f t="shared" si="196"/>
        <v>1.634107745476606</v>
      </c>
      <c r="CA244" s="7">
        <f t="shared" si="197"/>
        <v>74.492393613461672</v>
      </c>
      <c r="CB244" s="7">
        <f t="shared" si="198"/>
        <v>0</v>
      </c>
      <c r="CC244" s="7">
        <f t="shared" si="199"/>
        <v>0</v>
      </c>
      <c r="CD244" s="7">
        <f t="shared" si="200"/>
        <v>0</v>
      </c>
      <c r="CE244" s="7">
        <f t="shared" si="201"/>
        <v>0</v>
      </c>
      <c r="CF244" s="7">
        <f t="shared" si="202"/>
        <v>0</v>
      </c>
      <c r="CG244" s="7">
        <f t="shared" si="203"/>
        <v>0</v>
      </c>
      <c r="CH244" s="7">
        <f t="shared" si="204"/>
        <v>0</v>
      </c>
      <c r="CI244" s="7">
        <f t="shared" si="205"/>
        <v>0</v>
      </c>
      <c r="CJ244" s="7">
        <f t="shared" si="206"/>
        <v>0</v>
      </c>
      <c r="CK244" s="7">
        <f t="shared" si="207"/>
        <v>0</v>
      </c>
      <c r="CL244" s="7">
        <f t="shared" si="208"/>
        <v>0</v>
      </c>
      <c r="CM244" s="7">
        <f t="shared" si="209"/>
        <v>0</v>
      </c>
      <c r="CN244" s="7">
        <f t="shared" si="210"/>
        <v>0</v>
      </c>
      <c r="CO244" s="7">
        <f t="shared" si="211"/>
        <v>0</v>
      </c>
      <c r="CP244" s="7">
        <f t="shared" si="212"/>
        <v>0</v>
      </c>
      <c r="CQ244" s="7">
        <f t="shared" si="213"/>
        <v>0</v>
      </c>
      <c r="CR244" s="7">
        <f t="shared" si="214"/>
        <v>0</v>
      </c>
      <c r="CS244" s="7">
        <f t="shared" si="215"/>
        <v>0</v>
      </c>
      <c r="CT244" s="7">
        <f t="shared" si="216"/>
        <v>0</v>
      </c>
      <c r="CU244" s="7">
        <f t="shared" si="217"/>
        <v>0</v>
      </c>
      <c r="CV244" s="7">
        <f t="shared" si="218"/>
        <v>0</v>
      </c>
      <c r="CW244" s="7">
        <f t="shared" si="219"/>
        <v>0</v>
      </c>
      <c r="CX244" s="7">
        <f t="shared" si="220"/>
        <v>0</v>
      </c>
      <c r="CY244" s="7">
        <f t="shared" si="221"/>
        <v>0</v>
      </c>
      <c r="CZ244" s="7">
        <f t="shared" si="222"/>
        <v>0</v>
      </c>
      <c r="DA244" s="7">
        <f t="shared" si="223"/>
        <v>0</v>
      </c>
      <c r="DB244" s="7">
        <f t="shared" si="224"/>
        <v>0</v>
      </c>
      <c r="DC244" s="7">
        <f t="shared" si="225"/>
        <v>0</v>
      </c>
      <c r="DD244" s="7">
        <f t="shared" si="226"/>
        <v>0</v>
      </c>
      <c r="DE244" s="7">
        <f t="shared" si="227"/>
        <v>0</v>
      </c>
      <c r="DF244" s="7">
        <f t="shared" si="228"/>
        <v>0</v>
      </c>
      <c r="DG244" s="7">
        <f t="shared" si="229"/>
        <v>0</v>
      </c>
      <c r="DH244" s="7">
        <f t="shared" si="230"/>
        <v>0</v>
      </c>
      <c r="DI244" s="7">
        <f t="shared" si="231"/>
        <v>0</v>
      </c>
      <c r="DJ244" s="7">
        <f t="shared" si="232"/>
        <v>0</v>
      </c>
      <c r="DK244" s="7">
        <f t="shared" si="233"/>
        <v>0</v>
      </c>
      <c r="DL244" s="7">
        <f t="shared" si="234"/>
        <v>0</v>
      </c>
      <c r="DM244" s="7">
        <f t="shared" si="235"/>
        <v>0</v>
      </c>
      <c r="DN244" s="7">
        <f t="shared" si="236"/>
        <v>0</v>
      </c>
      <c r="DO244" s="7">
        <f t="shared" si="237"/>
        <v>0</v>
      </c>
      <c r="DP244" s="7">
        <f t="shared" si="238"/>
        <v>0</v>
      </c>
      <c r="DQ244" s="7">
        <f t="shared" si="239"/>
        <v>0</v>
      </c>
      <c r="DR244" s="7">
        <f t="shared" si="240"/>
        <v>0</v>
      </c>
      <c r="DS244" s="7">
        <f t="shared" si="241"/>
        <v>0</v>
      </c>
      <c r="DT244" s="7">
        <f t="shared" si="242"/>
        <v>0</v>
      </c>
      <c r="DU244" s="7">
        <f t="shared" si="243"/>
        <v>0</v>
      </c>
    </row>
    <row r="245" spans="1:125" x14ac:dyDescent="0.2">
      <c r="A245" s="3">
        <f>Bonds!A245</f>
        <v>48806</v>
      </c>
      <c r="B245" s="4">
        <f>Bonds!B245</f>
        <v>3.875</v>
      </c>
      <c r="C245">
        <f>Bonds!P245</f>
        <v>14</v>
      </c>
      <c r="D245">
        <f t="shared" si="183"/>
        <v>0</v>
      </c>
      <c r="E245" s="3">
        <f>IF(1&gt;$C245,"",IF($D245=1,EOMONTH(EDATE(Bonds!$H245,6*(1-1)),0),EDATE(Bonds!$H245,6*(1-1))))</f>
        <v>46433</v>
      </c>
      <c r="F245" s="3">
        <f>IF(2&gt;$C245,"",IF($D245=1,EOMONTH(EDATE(Bonds!$H245,6*(2-1)),0),EDATE(Bonds!$H245,6*(2-1))))</f>
        <v>46614</v>
      </c>
      <c r="G245" s="3">
        <f>IF(3&gt;$C245,"",IF($D245=1,EOMONTH(EDATE(Bonds!$H245,6*(3-1)),0),EDATE(Bonds!$H245,6*(3-1))))</f>
        <v>46798</v>
      </c>
      <c r="H245" s="3">
        <f>IF(4&gt;$C245,"",IF($D245=1,EOMONTH(EDATE(Bonds!$H245,6*(4-1)),0),EDATE(Bonds!$H245,6*(4-1))))</f>
        <v>46980</v>
      </c>
      <c r="I245" s="3">
        <f>IF(5&gt;$C245,"",IF($D245=1,EOMONTH(EDATE(Bonds!$H245,6*(5-1)),0),EDATE(Bonds!$H245,6*(5-1))))</f>
        <v>47164</v>
      </c>
      <c r="J245" s="3">
        <f>IF(6&gt;$C245,"",IF($D245=1,EOMONTH(EDATE(Bonds!$H245,6*(6-1)),0),EDATE(Bonds!$H245,6*(6-1))))</f>
        <v>47345</v>
      </c>
      <c r="K245" s="3">
        <f>IF(7&gt;$C245,"",IF($D245=1,EOMONTH(EDATE(Bonds!$H245,6*(7-1)),0),EDATE(Bonds!$H245,6*(7-1))))</f>
        <v>47529</v>
      </c>
      <c r="L245" s="3">
        <f>IF(8&gt;$C245,"",IF($D245=1,EOMONTH(EDATE(Bonds!$H245,6*(8-1)),0),EDATE(Bonds!$H245,6*(8-1))))</f>
        <v>47710</v>
      </c>
      <c r="M245" s="3">
        <f>IF(9&gt;$C245,"",IF($D245=1,EOMONTH(EDATE(Bonds!$H245,6*(9-1)),0),EDATE(Bonds!$H245,6*(9-1))))</f>
        <v>47894</v>
      </c>
      <c r="N245" s="3">
        <f>IF(10&gt;$C245,"",IF($D245=1,EOMONTH(EDATE(Bonds!$H245,6*(10-1)),0),EDATE(Bonds!$H245,6*(10-1))))</f>
        <v>48075</v>
      </c>
      <c r="O245" s="3">
        <f>IF(11&gt;$C245,"",IF($D245=1,EOMONTH(EDATE(Bonds!$H245,6*(11-1)),0),EDATE(Bonds!$H245,6*(11-1))))</f>
        <v>48259</v>
      </c>
      <c r="P245" s="3">
        <f>IF(12&gt;$C245,"",IF($D245=1,EOMONTH(EDATE(Bonds!$H245,6*(12-1)),0),EDATE(Bonds!$H245,6*(12-1))))</f>
        <v>48441</v>
      </c>
      <c r="Q245" s="3">
        <f>IF(13&gt;$C245,"",IF($D245=1,EOMONTH(EDATE(Bonds!$H245,6*(13-1)),0),EDATE(Bonds!$H245,6*(13-1))))</f>
        <v>48625</v>
      </c>
      <c r="R245" s="3">
        <f>IF(14&gt;$C245,"",IF($D245=1,EOMONTH(EDATE(Bonds!$H245,6*(14-1)),0),EDATE(Bonds!$H245,6*(14-1))))</f>
        <v>48806</v>
      </c>
      <c r="S245" s="3" t="str">
        <f>IF(15&gt;$C245,"",IF($D245=1,EOMONTH(EDATE(Bonds!$H245,6*(15-1)),0),EDATE(Bonds!$H245,6*(15-1))))</f>
        <v/>
      </c>
      <c r="T245" s="3" t="str">
        <f>IF(16&gt;$C245,"",IF($D245=1,EOMONTH(EDATE(Bonds!$H245,6*(16-1)),0),EDATE(Bonds!$H245,6*(16-1))))</f>
        <v/>
      </c>
      <c r="U245" s="3" t="str">
        <f>IF(17&gt;$C245,"",IF($D245=1,EOMONTH(EDATE(Bonds!$H245,6*(17-1)),0),EDATE(Bonds!$H245,6*(17-1))))</f>
        <v/>
      </c>
      <c r="V245" s="3" t="str">
        <f>IF(18&gt;$C245,"",IF($D245=1,EOMONTH(EDATE(Bonds!$H245,6*(18-1)),0),EDATE(Bonds!$H245,6*(18-1))))</f>
        <v/>
      </c>
      <c r="W245" s="3" t="str">
        <f>IF(19&gt;$C245,"",IF($D245=1,EOMONTH(EDATE(Bonds!$H245,6*(19-1)),0),EDATE(Bonds!$H245,6*(19-1))))</f>
        <v/>
      </c>
      <c r="X245" s="3" t="str">
        <f>IF(20&gt;$C245,"",IF($D245=1,EOMONTH(EDATE(Bonds!$H245,6*(20-1)),0),EDATE(Bonds!$H245,6*(20-1))))</f>
        <v/>
      </c>
      <c r="Y245" s="3" t="str">
        <f>IF(21&gt;$C245,"",IF($D245=1,EOMONTH(EDATE(Bonds!$H245,6*(21-1)),0),EDATE(Bonds!$H245,6*(21-1))))</f>
        <v/>
      </c>
      <c r="Z245" s="3" t="str">
        <f>IF(22&gt;$C245,"",IF($D245=1,EOMONTH(EDATE(Bonds!$H245,6*(22-1)),0),EDATE(Bonds!$H245,6*(22-1))))</f>
        <v/>
      </c>
      <c r="AA245" s="3" t="str">
        <f>IF(23&gt;$C245,"",IF($D245=1,EOMONTH(EDATE(Bonds!$H245,6*(23-1)),0),EDATE(Bonds!$H245,6*(23-1))))</f>
        <v/>
      </c>
      <c r="AB245" s="3" t="str">
        <f>IF(24&gt;$C245,"",IF($D245=1,EOMONTH(EDATE(Bonds!$H245,6*(24-1)),0),EDATE(Bonds!$H245,6*(24-1))))</f>
        <v/>
      </c>
      <c r="AC245" s="3" t="str">
        <f>IF(25&gt;$C245,"",IF($D245=1,EOMONTH(EDATE(Bonds!$H245,6*(25-1)),0),EDATE(Bonds!$H245,6*(25-1))))</f>
        <v/>
      </c>
      <c r="AD245" s="3" t="str">
        <f>IF(26&gt;$C245,"",IF($D245=1,EOMONTH(EDATE(Bonds!$H245,6*(26-1)),0),EDATE(Bonds!$H245,6*(26-1))))</f>
        <v/>
      </c>
      <c r="AE245" s="3" t="str">
        <f>IF(27&gt;$C245,"",IF($D245=1,EOMONTH(EDATE(Bonds!$H245,6*(27-1)),0),EDATE(Bonds!$H245,6*(27-1))))</f>
        <v/>
      </c>
      <c r="AF245" s="3" t="str">
        <f>IF(28&gt;$C245,"",IF($D245=1,EOMONTH(EDATE(Bonds!$H245,6*(28-1)),0),EDATE(Bonds!$H245,6*(28-1))))</f>
        <v/>
      </c>
      <c r="AG245" s="3" t="str">
        <f>IF(29&gt;$C245,"",IF($D245=1,EOMONTH(EDATE(Bonds!$H245,6*(29-1)),0),EDATE(Bonds!$H245,6*(29-1))))</f>
        <v/>
      </c>
      <c r="AH245" s="3" t="str">
        <f>IF(30&gt;$C245,"",IF($D245=1,EOMONTH(EDATE(Bonds!$H245,6*(30-1)),0),EDATE(Bonds!$H245,6*(30-1))))</f>
        <v/>
      </c>
      <c r="AI245" s="3" t="str">
        <f>IF(31&gt;$C245,"",IF($D245=1,EOMONTH(EDATE(Bonds!$H245,6*(31-1)),0),EDATE(Bonds!$H245,6*(31-1))))</f>
        <v/>
      </c>
      <c r="AJ245" s="3" t="str">
        <f>IF(32&gt;$C245,"",IF($D245=1,EOMONTH(EDATE(Bonds!$H245,6*(32-1)),0),EDATE(Bonds!$H245,6*(32-1))))</f>
        <v/>
      </c>
      <c r="AK245" s="3" t="str">
        <f>IF(33&gt;$C245,"",IF($D245=1,EOMONTH(EDATE(Bonds!$H245,6*(33-1)),0),EDATE(Bonds!$H245,6*(33-1))))</f>
        <v/>
      </c>
      <c r="AL245" s="3" t="str">
        <f>IF(34&gt;$C245,"",IF($D245=1,EOMONTH(EDATE(Bonds!$H245,6*(34-1)),0),EDATE(Bonds!$H245,6*(34-1))))</f>
        <v/>
      </c>
      <c r="AM245" s="3" t="str">
        <f>IF(35&gt;$C245,"",IF($D245=1,EOMONTH(EDATE(Bonds!$H245,6*(35-1)),0),EDATE(Bonds!$H245,6*(35-1))))</f>
        <v/>
      </c>
      <c r="AN245" s="3" t="str">
        <f>IF(36&gt;$C245,"",IF($D245=1,EOMONTH(EDATE(Bonds!$H245,6*(36-1)),0),EDATE(Bonds!$H245,6*(36-1))))</f>
        <v/>
      </c>
      <c r="AO245" s="3" t="str">
        <f>IF(37&gt;$C245,"",IF($D245=1,EOMONTH(EDATE(Bonds!$H245,6*(37-1)),0),EDATE(Bonds!$H245,6*(37-1))))</f>
        <v/>
      </c>
      <c r="AP245" s="3" t="str">
        <f>IF(38&gt;$C245,"",IF($D245=1,EOMONTH(EDATE(Bonds!$H245,6*(38-1)),0),EDATE(Bonds!$H245,6*(38-1))))</f>
        <v/>
      </c>
      <c r="AQ245" s="3" t="str">
        <f>IF(39&gt;$C245,"",IF($D245=1,EOMONTH(EDATE(Bonds!$H245,6*(39-1)),0),EDATE(Bonds!$H245,6*(39-1))))</f>
        <v/>
      </c>
      <c r="AR245" s="3" t="str">
        <f>IF(40&gt;$C245,"",IF($D245=1,EOMONTH(EDATE(Bonds!$H245,6*(40-1)),0),EDATE(Bonds!$H245,6*(40-1))))</f>
        <v/>
      </c>
      <c r="AS245" s="3" t="str">
        <f>IF(41&gt;$C245,"",IF($D245=1,EOMONTH(EDATE(Bonds!$H245,6*(41-1)),0),EDATE(Bonds!$H245,6*(41-1))))</f>
        <v/>
      </c>
      <c r="AT245" s="3" t="str">
        <f>IF(42&gt;$C245,"",IF($D245=1,EOMONTH(EDATE(Bonds!$H245,6*(42-1)),0),EDATE(Bonds!$H245,6*(42-1))))</f>
        <v/>
      </c>
      <c r="AU245" s="3" t="str">
        <f>IF(43&gt;$C245,"",IF($D245=1,EOMONTH(EDATE(Bonds!$H245,6*(43-1)),0),EDATE(Bonds!$H245,6*(43-1))))</f>
        <v/>
      </c>
      <c r="AV245" s="3" t="str">
        <f>IF(44&gt;$C245,"",IF($D245=1,EOMONTH(EDATE(Bonds!$H245,6*(44-1)),0),EDATE(Bonds!$H245,6*(44-1))))</f>
        <v/>
      </c>
      <c r="AW245" s="3" t="str">
        <f>IF(45&gt;$C245,"",IF($D245=1,EOMONTH(EDATE(Bonds!$H245,6*(45-1)),0),EDATE(Bonds!$H245,6*(45-1))))</f>
        <v/>
      </c>
      <c r="AX245" s="3" t="str">
        <f>IF(46&gt;$C245,"",IF($D245=1,EOMONTH(EDATE(Bonds!$H245,6*(46-1)),0),EDATE(Bonds!$H245,6*(46-1))))</f>
        <v/>
      </c>
      <c r="AY245" s="3" t="str">
        <f>IF(47&gt;$C245,"",IF($D245=1,EOMONTH(EDATE(Bonds!$H245,6*(47-1)),0),EDATE(Bonds!$H245,6*(47-1))))</f>
        <v/>
      </c>
      <c r="AZ245" s="3" t="str">
        <f>IF(48&gt;$C245,"",IF($D245=1,EOMONTH(EDATE(Bonds!$H245,6*(48-1)),0),EDATE(Bonds!$H245,6*(48-1))))</f>
        <v/>
      </c>
      <c r="BA245" s="3" t="str">
        <f>IF(49&gt;$C245,"",IF($D245=1,EOMONTH(EDATE(Bonds!$H245,6*(49-1)),0),EDATE(Bonds!$H245,6*(49-1))))</f>
        <v/>
      </c>
      <c r="BB245" s="3" t="str">
        <f>IF(50&gt;$C245,"",IF($D245=1,EOMONTH(EDATE(Bonds!$H245,6*(50-1)),0),EDATE(Bonds!$H245,6*(50-1))))</f>
        <v/>
      </c>
      <c r="BC245" s="3" t="str">
        <f>IF(51&gt;$C245,"",IF($D245=1,EOMONTH(EDATE(Bonds!$H245,6*(51-1)),0),EDATE(Bonds!$H245,6*(51-1))))</f>
        <v/>
      </c>
      <c r="BD245" s="3" t="str">
        <f>IF(52&gt;$C245,"",IF($D245=1,EOMONTH(EDATE(Bonds!$H245,6*(52-1)),0),EDATE(Bonds!$H245,6*(52-1))))</f>
        <v/>
      </c>
      <c r="BE245" s="3" t="str">
        <f>IF(53&gt;$C245,"",IF($D245=1,EOMONTH(EDATE(Bonds!$H245,6*(53-1)),0),EDATE(Bonds!$H245,6*(53-1))))</f>
        <v/>
      </c>
      <c r="BF245" s="3" t="str">
        <f>IF(54&gt;$C245,"",IF($D245=1,EOMONTH(EDATE(Bonds!$H245,6*(54-1)),0),EDATE(Bonds!$H245,6*(54-1))))</f>
        <v/>
      </c>
      <c r="BG245" s="3" t="str">
        <f>IF(55&gt;$C245,"",IF($D245=1,EOMONTH(EDATE(Bonds!$H245,6*(55-1)),0),EDATE(Bonds!$H245,6*(55-1))))</f>
        <v/>
      </c>
      <c r="BH245" s="3" t="str">
        <f>IF(56&gt;$C245,"",IF($D245=1,EOMONTH(EDATE(Bonds!$H245,6*(56-1)),0),EDATE(Bonds!$H245,6*(56-1))))</f>
        <v/>
      </c>
      <c r="BI245" s="3" t="str">
        <f>IF(57&gt;$C245,"",IF($D245=1,EOMONTH(EDATE(Bonds!$H245,6*(57-1)),0),EDATE(Bonds!$H245,6*(57-1))))</f>
        <v/>
      </c>
      <c r="BJ245" s="3" t="str">
        <f>IF(58&gt;$C245,"",IF($D245=1,EOMONTH(EDATE(Bonds!$H245,6*(58-1)),0),EDATE(Bonds!$H245,6*(58-1))))</f>
        <v/>
      </c>
      <c r="BK245" s="3" t="str">
        <f>IF(59&gt;$C245,"",IF($D245=1,EOMONTH(EDATE(Bonds!$H245,6*(59-1)),0),EDATE(Bonds!$H245,6*(59-1))))</f>
        <v/>
      </c>
      <c r="BL245" s="3" t="str">
        <f>IF(60&gt;$C245,"",IF($D245=1,EOMONTH(EDATE(Bonds!$H245,6*(60-1)),0),EDATE(Bonds!$H245,6*(60-1))))</f>
        <v/>
      </c>
      <c r="BN245" s="7">
        <f t="shared" si="184"/>
        <v>1.9046389969194721</v>
      </c>
      <c r="BO245" s="7">
        <f t="shared" si="185"/>
        <v>1.864492399579315</v>
      </c>
      <c r="BP245" s="7">
        <f t="shared" si="186"/>
        <v>1.8226723339348871</v>
      </c>
      <c r="BQ245" s="7">
        <f t="shared" si="187"/>
        <v>1.7815476656488105</v>
      </c>
      <c r="BR245" s="7">
        <f t="shared" si="188"/>
        <v>1.7407897255478653</v>
      </c>
      <c r="BS245" s="7">
        <f t="shared" si="189"/>
        <v>1.701675268838019</v>
      </c>
      <c r="BT245" s="7">
        <f t="shared" si="190"/>
        <v>1.6628782357549501</v>
      </c>
      <c r="BU245" s="7">
        <f t="shared" si="191"/>
        <v>1.6255407232982924</v>
      </c>
      <c r="BV245" s="7">
        <f t="shared" si="192"/>
        <v>1.5882691110365437</v>
      </c>
      <c r="BW245" s="7">
        <f t="shared" si="193"/>
        <v>1.5521324634478342</v>
      </c>
      <c r="BX245" s="7">
        <f t="shared" si="194"/>
        <v>1.5158079694676549</v>
      </c>
      <c r="BY245" s="7">
        <f t="shared" si="195"/>
        <v>1.4801940758050736</v>
      </c>
      <c r="BZ245" s="7">
        <f t="shared" si="196"/>
        <v>1.4444472368859818</v>
      </c>
      <c r="CA245" s="7">
        <f t="shared" si="197"/>
        <v>74.158229341844304</v>
      </c>
      <c r="CB245" s="7">
        <f t="shared" si="198"/>
        <v>0</v>
      </c>
      <c r="CC245" s="7">
        <f t="shared" si="199"/>
        <v>0</v>
      </c>
      <c r="CD245" s="7">
        <f t="shared" si="200"/>
        <v>0</v>
      </c>
      <c r="CE245" s="7">
        <f t="shared" si="201"/>
        <v>0</v>
      </c>
      <c r="CF245" s="7">
        <f t="shared" si="202"/>
        <v>0</v>
      </c>
      <c r="CG245" s="7">
        <f t="shared" si="203"/>
        <v>0</v>
      </c>
      <c r="CH245" s="7">
        <f t="shared" si="204"/>
        <v>0</v>
      </c>
      <c r="CI245" s="7">
        <f t="shared" si="205"/>
        <v>0</v>
      </c>
      <c r="CJ245" s="7">
        <f t="shared" si="206"/>
        <v>0</v>
      </c>
      <c r="CK245" s="7">
        <f t="shared" si="207"/>
        <v>0</v>
      </c>
      <c r="CL245" s="7">
        <f t="shared" si="208"/>
        <v>0</v>
      </c>
      <c r="CM245" s="7">
        <f t="shared" si="209"/>
        <v>0</v>
      </c>
      <c r="CN245" s="7">
        <f t="shared" si="210"/>
        <v>0</v>
      </c>
      <c r="CO245" s="7">
        <f t="shared" si="211"/>
        <v>0</v>
      </c>
      <c r="CP245" s="7">
        <f t="shared" si="212"/>
        <v>0</v>
      </c>
      <c r="CQ245" s="7">
        <f t="shared" si="213"/>
        <v>0</v>
      </c>
      <c r="CR245" s="7">
        <f t="shared" si="214"/>
        <v>0</v>
      </c>
      <c r="CS245" s="7">
        <f t="shared" si="215"/>
        <v>0</v>
      </c>
      <c r="CT245" s="7">
        <f t="shared" si="216"/>
        <v>0</v>
      </c>
      <c r="CU245" s="7">
        <f t="shared" si="217"/>
        <v>0</v>
      </c>
      <c r="CV245" s="7">
        <f t="shared" si="218"/>
        <v>0</v>
      </c>
      <c r="CW245" s="7">
        <f t="shared" si="219"/>
        <v>0</v>
      </c>
      <c r="CX245" s="7">
        <f t="shared" si="220"/>
        <v>0</v>
      </c>
      <c r="CY245" s="7">
        <f t="shared" si="221"/>
        <v>0</v>
      </c>
      <c r="CZ245" s="7">
        <f t="shared" si="222"/>
        <v>0</v>
      </c>
      <c r="DA245" s="7">
        <f t="shared" si="223"/>
        <v>0</v>
      </c>
      <c r="DB245" s="7">
        <f t="shared" si="224"/>
        <v>0</v>
      </c>
      <c r="DC245" s="7">
        <f t="shared" si="225"/>
        <v>0</v>
      </c>
      <c r="DD245" s="7">
        <f t="shared" si="226"/>
        <v>0</v>
      </c>
      <c r="DE245" s="7">
        <f t="shared" si="227"/>
        <v>0</v>
      </c>
      <c r="DF245" s="7">
        <f t="shared" si="228"/>
        <v>0</v>
      </c>
      <c r="DG245" s="7">
        <f t="shared" si="229"/>
        <v>0</v>
      </c>
      <c r="DH245" s="7">
        <f t="shared" si="230"/>
        <v>0</v>
      </c>
      <c r="DI245" s="7">
        <f t="shared" si="231"/>
        <v>0</v>
      </c>
      <c r="DJ245" s="7">
        <f t="shared" si="232"/>
        <v>0</v>
      </c>
      <c r="DK245" s="7">
        <f t="shared" si="233"/>
        <v>0</v>
      </c>
      <c r="DL245" s="7">
        <f t="shared" si="234"/>
        <v>0</v>
      </c>
      <c r="DM245" s="7">
        <f t="shared" si="235"/>
        <v>0</v>
      </c>
      <c r="DN245" s="7">
        <f t="shared" si="236"/>
        <v>0</v>
      </c>
      <c r="DO245" s="7">
        <f t="shared" si="237"/>
        <v>0</v>
      </c>
      <c r="DP245" s="7">
        <f t="shared" si="238"/>
        <v>0</v>
      </c>
      <c r="DQ245" s="7">
        <f t="shared" si="239"/>
        <v>0</v>
      </c>
      <c r="DR245" s="7">
        <f t="shared" si="240"/>
        <v>0</v>
      </c>
      <c r="DS245" s="7">
        <f t="shared" si="241"/>
        <v>0</v>
      </c>
      <c r="DT245" s="7">
        <f t="shared" si="242"/>
        <v>0</v>
      </c>
      <c r="DU245" s="7">
        <f t="shared" si="243"/>
        <v>0</v>
      </c>
    </row>
    <row r="246" spans="1:125" x14ac:dyDescent="0.2">
      <c r="A246" s="3">
        <f>Bonds!A246</f>
        <v>48822</v>
      </c>
      <c r="B246" s="4">
        <f>Bonds!B246</f>
        <v>4.5</v>
      </c>
      <c r="C246">
        <f>Bonds!P246</f>
        <v>14</v>
      </c>
      <c r="D246">
        <f t="shared" si="183"/>
        <v>1</v>
      </c>
      <c r="E246" s="3">
        <f>IF(1&gt;$C246,"",IF($D246=1,EOMONTH(EDATE(Bonds!$H246,6*(1-1)),0),EDATE(Bonds!$H246,6*(1-1))))</f>
        <v>46446</v>
      </c>
      <c r="F246" s="3">
        <f>IF(2&gt;$C246,"",IF($D246=1,EOMONTH(EDATE(Bonds!$H246,6*(2-1)),0),EDATE(Bonds!$H246,6*(2-1))))</f>
        <v>46630</v>
      </c>
      <c r="G246" s="3">
        <f>IF(3&gt;$C246,"",IF($D246=1,EOMONTH(EDATE(Bonds!$H246,6*(3-1)),0),EDATE(Bonds!$H246,6*(3-1))))</f>
        <v>46812</v>
      </c>
      <c r="H246" s="3">
        <f>IF(4&gt;$C246,"",IF($D246=1,EOMONTH(EDATE(Bonds!$H246,6*(4-1)),0),EDATE(Bonds!$H246,6*(4-1))))</f>
        <v>46996</v>
      </c>
      <c r="I246" s="3">
        <f>IF(5&gt;$C246,"",IF($D246=1,EOMONTH(EDATE(Bonds!$H246,6*(5-1)),0),EDATE(Bonds!$H246,6*(5-1))))</f>
        <v>47177</v>
      </c>
      <c r="J246" s="3">
        <f>IF(6&gt;$C246,"",IF($D246=1,EOMONTH(EDATE(Bonds!$H246,6*(6-1)),0),EDATE(Bonds!$H246,6*(6-1))))</f>
        <v>47361</v>
      </c>
      <c r="K246" s="3">
        <f>IF(7&gt;$C246,"",IF($D246=1,EOMONTH(EDATE(Bonds!$H246,6*(7-1)),0),EDATE(Bonds!$H246,6*(7-1))))</f>
        <v>47542</v>
      </c>
      <c r="L246" s="3">
        <f>IF(8&gt;$C246,"",IF($D246=1,EOMONTH(EDATE(Bonds!$H246,6*(8-1)),0),EDATE(Bonds!$H246,6*(8-1))))</f>
        <v>47726</v>
      </c>
      <c r="M246" s="3">
        <f>IF(9&gt;$C246,"",IF($D246=1,EOMONTH(EDATE(Bonds!$H246,6*(9-1)),0),EDATE(Bonds!$H246,6*(9-1))))</f>
        <v>47907</v>
      </c>
      <c r="N246" s="3">
        <f>IF(10&gt;$C246,"",IF($D246=1,EOMONTH(EDATE(Bonds!$H246,6*(10-1)),0),EDATE(Bonds!$H246,6*(10-1))))</f>
        <v>48091</v>
      </c>
      <c r="O246" s="3">
        <f>IF(11&gt;$C246,"",IF($D246=1,EOMONTH(EDATE(Bonds!$H246,6*(11-1)),0),EDATE(Bonds!$H246,6*(11-1))))</f>
        <v>48273</v>
      </c>
      <c r="P246" s="3">
        <f>IF(12&gt;$C246,"",IF($D246=1,EOMONTH(EDATE(Bonds!$H246,6*(12-1)),0),EDATE(Bonds!$H246,6*(12-1))))</f>
        <v>48457</v>
      </c>
      <c r="Q246" s="3">
        <f>IF(13&gt;$C246,"",IF($D246=1,EOMONTH(EDATE(Bonds!$H246,6*(13-1)),0),EDATE(Bonds!$H246,6*(13-1))))</f>
        <v>48638</v>
      </c>
      <c r="R246" s="3">
        <f>IF(14&gt;$C246,"",IF($D246=1,EOMONTH(EDATE(Bonds!$H246,6*(14-1)),0),EDATE(Bonds!$H246,6*(14-1))))</f>
        <v>48822</v>
      </c>
      <c r="S246" s="3" t="str">
        <f>IF(15&gt;$C246,"",IF($D246=1,EOMONTH(EDATE(Bonds!$H246,6*(15-1)),0),EDATE(Bonds!$H246,6*(15-1))))</f>
        <v/>
      </c>
      <c r="T246" s="3" t="str">
        <f>IF(16&gt;$C246,"",IF($D246=1,EOMONTH(EDATE(Bonds!$H246,6*(16-1)),0),EDATE(Bonds!$H246,6*(16-1))))</f>
        <v/>
      </c>
      <c r="U246" s="3" t="str">
        <f>IF(17&gt;$C246,"",IF($D246=1,EOMONTH(EDATE(Bonds!$H246,6*(17-1)),0),EDATE(Bonds!$H246,6*(17-1))))</f>
        <v/>
      </c>
      <c r="V246" s="3" t="str">
        <f>IF(18&gt;$C246,"",IF($D246=1,EOMONTH(EDATE(Bonds!$H246,6*(18-1)),0),EDATE(Bonds!$H246,6*(18-1))))</f>
        <v/>
      </c>
      <c r="W246" s="3" t="str">
        <f>IF(19&gt;$C246,"",IF($D246=1,EOMONTH(EDATE(Bonds!$H246,6*(19-1)),0),EDATE(Bonds!$H246,6*(19-1))))</f>
        <v/>
      </c>
      <c r="X246" s="3" t="str">
        <f>IF(20&gt;$C246,"",IF($D246=1,EOMONTH(EDATE(Bonds!$H246,6*(20-1)),0),EDATE(Bonds!$H246,6*(20-1))))</f>
        <v/>
      </c>
      <c r="Y246" s="3" t="str">
        <f>IF(21&gt;$C246,"",IF($D246=1,EOMONTH(EDATE(Bonds!$H246,6*(21-1)),0),EDATE(Bonds!$H246,6*(21-1))))</f>
        <v/>
      </c>
      <c r="Z246" s="3" t="str">
        <f>IF(22&gt;$C246,"",IF($D246=1,EOMONTH(EDATE(Bonds!$H246,6*(22-1)),0),EDATE(Bonds!$H246,6*(22-1))))</f>
        <v/>
      </c>
      <c r="AA246" s="3" t="str">
        <f>IF(23&gt;$C246,"",IF($D246=1,EOMONTH(EDATE(Bonds!$H246,6*(23-1)),0),EDATE(Bonds!$H246,6*(23-1))))</f>
        <v/>
      </c>
      <c r="AB246" s="3" t="str">
        <f>IF(24&gt;$C246,"",IF($D246=1,EOMONTH(EDATE(Bonds!$H246,6*(24-1)),0),EDATE(Bonds!$H246,6*(24-1))))</f>
        <v/>
      </c>
      <c r="AC246" s="3" t="str">
        <f>IF(25&gt;$C246,"",IF($D246=1,EOMONTH(EDATE(Bonds!$H246,6*(25-1)),0),EDATE(Bonds!$H246,6*(25-1))))</f>
        <v/>
      </c>
      <c r="AD246" s="3" t="str">
        <f>IF(26&gt;$C246,"",IF($D246=1,EOMONTH(EDATE(Bonds!$H246,6*(26-1)),0),EDATE(Bonds!$H246,6*(26-1))))</f>
        <v/>
      </c>
      <c r="AE246" s="3" t="str">
        <f>IF(27&gt;$C246,"",IF($D246=1,EOMONTH(EDATE(Bonds!$H246,6*(27-1)),0),EDATE(Bonds!$H246,6*(27-1))))</f>
        <v/>
      </c>
      <c r="AF246" s="3" t="str">
        <f>IF(28&gt;$C246,"",IF($D246=1,EOMONTH(EDATE(Bonds!$H246,6*(28-1)),0),EDATE(Bonds!$H246,6*(28-1))))</f>
        <v/>
      </c>
      <c r="AG246" s="3" t="str">
        <f>IF(29&gt;$C246,"",IF($D246=1,EOMONTH(EDATE(Bonds!$H246,6*(29-1)),0),EDATE(Bonds!$H246,6*(29-1))))</f>
        <v/>
      </c>
      <c r="AH246" s="3" t="str">
        <f>IF(30&gt;$C246,"",IF($D246=1,EOMONTH(EDATE(Bonds!$H246,6*(30-1)),0),EDATE(Bonds!$H246,6*(30-1))))</f>
        <v/>
      </c>
      <c r="AI246" s="3" t="str">
        <f>IF(31&gt;$C246,"",IF($D246=1,EOMONTH(EDATE(Bonds!$H246,6*(31-1)),0),EDATE(Bonds!$H246,6*(31-1))))</f>
        <v/>
      </c>
      <c r="AJ246" s="3" t="str">
        <f>IF(32&gt;$C246,"",IF($D246=1,EOMONTH(EDATE(Bonds!$H246,6*(32-1)),0),EDATE(Bonds!$H246,6*(32-1))))</f>
        <v/>
      </c>
      <c r="AK246" s="3" t="str">
        <f>IF(33&gt;$C246,"",IF($D246=1,EOMONTH(EDATE(Bonds!$H246,6*(33-1)),0),EDATE(Bonds!$H246,6*(33-1))))</f>
        <v/>
      </c>
      <c r="AL246" s="3" t="str">
        <f>IF(34&gt;$C246,"",IF($D246=1,EOMONTH(EDATE(Bonds!$H246,6*(34-1)),0),EDATE(Bonds!$H246,6*(34-1))))</f>
        <v/>
      </c>
      <c r="AM246" s="3" t="str">
        <f>IF(35&gt;$C246,"",IF($D246=1,EOMONTH(EDATE(Bonds!$H246,6*(35-1)),0),EDATE(Bonds!$H246,6*(35-1))))</f>
        <v/>
      </c>
      <c r="AN246" s="3" t="str">
        <f>IF(36&gt;$C246,"",IF($D246=1,EOMONTH(EDATE(Bonds!$H246,6*(36-1)),0),EDATE(Bonds!$H246,6*(36-1))))</f>
        <v/>
      </c>
      <c r="AO246" s="3" t="str">
        <f>IF(37&gt;$C246,"",IF($D246=1,EOMONTH(EDATE(Bonds!$H246,6*(37-1)),0),EDATE(Bonds!$H246,6*(37-1))))</f>
        <v/>
      </c>
      <c r="AP246" s="3" t="str">
        <f>IF(38&gt;$C246,"",IF($D246=1,EOMONTH(EDATE(Bonds!$H246,6*(38-1)),0),EDATE(Bonds!$H246,6*(38-1))))</f>
        <v/>
      </c>
      <c r="AQ246" s="3" t="str">
        <f>IF(39&gt;$C246,"",IF($D246=1,EOMONTH(EDATE(Bonds!$H246,6*(39-1)),0),EDATE(Bonds!$H246,6*(39-1))))</f>
        <v/>
      </c>
      <c r="AR246" s="3" t="str">
        <f>IF(40&gt;$C246,"",IF($D246=1,EOMONTH(EDATE(Bonds!$H246,6*(40-1)),0),EDATE(Bonds!$H246,6*(40-1))))</f>
        <v/>
      </c>
      <c r="AS246" s="3" t="str">
        <f>IF(41&gt;$C246,"",IF($D246=1,EOMONTH(EDATE(Bonds!$H246,6*(41-1)),0),EDATE(Bonds!$H246,6*(41-1))))</f>
        <v/>
      </c>
      <c r="AT246" s="3" t="str">
        <f>IF(42&gt;$C246,"",IF($D246=1,EOMONTH(EDATE(Bonds!$H246,6*(42-1)),0),EDATE(Bonds!$H246,6*(42-1))))</f>
        <v/>
      </c>
      <c r="AU246" s="3" t="str">
        <f>IF(43&gt;$C246,"",IF($D246=1,EOMONTH(EDATE(Bonds!$H246,6*(43-1)),0),EDATE(Bonds!$H246,6*(43-1))))</f>
        <v/>
      </c>
      <c r="AV246" s="3" t="str">
        <f>IF(44&gt;$C246,"",IF($D246=1,EOMONTH(EDATE(Bonds!$H246,6*(44-1)),0),EDATE(Bonds!$H246,6*(44-1))))</f>
        <v/>
      </c>
      <c r="AW246" s="3" t="str">
        <f>IF(45&gt;$C246,"",IF($D246=1,EOMONTH(EDATE(Bonds!$H246,6*(45-1)),0),EDATE(Bonds!$H246,6*(45-1))))</f>
        <v/>
      </c>
      <c r="AX246" s="3" t="str">
        <f>IF(46&gt;$C246,"",IF($D246=1,EOMONTH(EDATE(Bonds!$H246,6*(46-1)),0),EDATE(Bonds!$H246,6*(46-1))))</f>
        <v/>
      </c>
      <c r="AY246" s="3" t="str">
        <f>IF(47&gt;$C246,"",IF($D246=1,EOMONTH(EDATE(Bonds!$H246,6*(47-1)),0),EDATE(Bonds!$H246,6*(47-1))))</f>
        <v/>
      </c>
      <c r="AZ246" s="3" t="str">
        <f>IF(48&gt;$C246,"",IF($D246=1,EOMONTH(EDATE(Bonds!$H246,6*(48-1)),0),EDATE(Bonds!$H246,6*(48-1))))</f>
        <v/>
      </c>
      <c r="BA246" s="3" t="str">
        <f>IF(49&gt;$C246,"",IF($D246=1,EOMONTH(EDATE(Bonds!$H246,6*(49-1)),0),EDATE(Bonds!$H246,6*(49-1))))</f>
        <v/>
      </c>
      <c r="BB246" s="3" t="str">
        <f>IF(50&gt;$C246,"",IF($D246=1,EOMONTH(EDATE(Bonds!$H246,6*(50-1)),0),EDATE(Bonds!$H246,6*(50-1))))</f>
        <v/>
      </c>
      <c r="BC246" s="3" t="str">
        <f>IF(51&gt;$C246,"",IF($D246=1,EOMONTH(EDATE(Bonds!$H246,6*(51-1)),0),EDATE(Bonds!$H246,6*(51-1))))</f>
        <v/>
      </c>
      <c r="BD246" s="3" t="str">
        <f>IF(52&gt;$C246,"",IF($D246=1,EOMONTH(EDATE(Bonds!$H246,6*(52-1)),0),EDATE(Bonds!$H246,6*(52-1))))</f>
        <v/>
      </c>
      <c r="BE246" s="3" t="str">
        <f>IF(53&gt;$C246,"",IF($D246=1,EOMONTH(EDATE(Bonds!$H246,6*(53-1)),0),EDATE(Bonds!$H246,6*(53-1))))</f>
        <v/>
      </c>
      <c r="BF246" s="3" t="str">
        <f>IF(54&gt;$C246,"",IF($D246=1,EOMONTH(EDATE(Bonds!$H246,6*(54-1)),0),EDATE(Bonds!$H246,6*(54-1))))</f>
        <v/>
      </c>
      <c r="BG246" s="3" t="str">
        <f>IF(55&gt;$C246,"",IF($D246=1,EOMONTH(EDATE(Bonds!$H246,6*(55-1)),0),EDATE(Bonds!$H246,6*(55-1))))</f>
        <v/>
      </c>
      <c r="BH246" s="3" t="str">
        <f>IF(56&gt;$C246,"",IF($D246=1,EOMONTH(EDATE(Bonds!$H246,6*(56-1)),0),EDATE(Bonds!$H246,6*(56-1))))</f>
        <v/>
      </c>
      <c r="BI246" s="3" t="str">
        <f>IF(57&gt;$C246,"",IF($D246=1,EOMONTH(EDATE(Bonds!$H246,6*(57-1)),0),EDATE(Bonds!$H246,6*(57-1))))</f>
        <v/>
      </c>
      <c r="BJ246" s="3" t="str">
        <f>IF(58&gt;$C246,"",IF($D246=1,EOMONTH(EDATE(Bonds!$H246,6*(58-1)),0),EDATE(Bonds!$H246,6*(58-1))))</f>
        <v/>
      </c>
      <c r="BK246" s="3" t="str">
        <f>IF(59&gt;$C246,"",IF($D246=1,EOMONTH(EDATE(Bonds!$H246,6*(59-1)),0),EDATE(Bonds!$H246,6*(59-1))))</f>
        <v/>
      </c>
      <c r="BL246" s="3" t="str">
        <f>IF(60&gt;$C246,"",IF($D246=1,EOMONTH(EDATE(Bonds!$H246,6*(60-1)),0),EDATE(Bonds!$H246,6*(60-1))))</f>
        <v/>
      </c>
      <c r="BN246" s="7">
        <f t="shared" si="184"/>
        <v>2.208576521383173</v>
      </c>
      <c r="BO246" s="7">
        <f t="shared" si="185"/>
        <v>2.161012607532252</v>
      </c>
      <c r="BP246" s="7">
        <f t="shared" si="186"/>
        <v>2.1129560139067998</v>
      </c>
      <c r="BQ246" s="7">
        <f t="shared" si="187"/>
        <v>2.0647349141443883</v>
      </c>
      <c r="BR246" s="7">
        <f t="shared" si="188"/>
        <v>2.0182616548421111</v>
      </c>
      <c r="BS246" s="7">
        <f t="shared" si="189"/>
        <v>1.9721779523271052</v>
      </c>
      <c r="BT246" s="7">
        <f t="shared" si="190"/>
        <v>1.9279404692323061</v>
      </c>
      <c r="BU246" s="7">
        <f t="shared" si="191"/>
        <v>1.8839317600368146</v>
      </c>
      <c r="BV246" s="7">
        <f t="shared" si="192"/>
        <v>1.8414091196940268</v>
      </c>
      <c r="BW246" s="7">
        <f t="shared" si="193"/>
        <v>1.7987910065779467</v>
      </c>
      <c r="BX246" s="7">
        <f t="shared" si="194"/>
        <v>1.7570999011791906</v>
      </c>
      <c r="BY246" s="7">
        <f t="shared" si="195"/>
        <v>1.7153140399963784</v>
      </c>
      <c r="BZ246" s="7">
        <f t="shared" si="196"/>
        <v>1.674499931190796</v>
      </c>
      <c r="CA246" s="7">
        <f t="shared" si="197"/>
        <v>74.223110056769286</v>
      </c>
      <c r="CB246" s="7">
        <f t="shared" si="198"/>
        <v>0</v>
      </c>
      <c r="CC246" s="7">
        <f t="shared" si="199"/>
        <v>0</v>
      </c>
      <c r="CD246" s="7">
        <f t="shared" si="200"/>
        <v>0</v>
      </c>
      <c r="CE246" s="7">
        <f t="shared" si="201"/>
        <v>0</v>
      </c>
      <c r="CF246" s="7">
        <f t="shared" si="202"/>
        <v>0</v>
      </c>
      <c r="CG246" s="7">
        <f t="shared" si="203"/>
        <v>0</v>
      </c>
      <c r="CH246" s="7">
        <f t="shared" si="204"/>
        <v>0</v>
      </c>
      <c r="CI246" s="7">
        <f t="shared" si="205"/>
        <v>0</v>
      </c>
      <c r="CJ246" s="7">
        <f t="shared" si="206"/>
        <v>0</v>
      </c>
      <c r="CK246" s="7">
        <f t="shared" si="207"/>
        <v>0</v>
      </c>
      <c r="CL246" s="7">
        <f t="shared" si="208"/>
        <v>0</v>
      </c>
      <c r="CM246" s="7">
        <f t="shared" si="209"/>
        <v>0</v>
      </c>
      <c r="CN246" s="7">
        <f t="shared" si="210"/>
        <v>0</v>
      </c>
      <c r="CO246" s="7">
        <f t="shared" si="211"/>
        <v>0</v>
      </c>
      <c r="CP246" s="7">
        <f t="shared" si="212"/>
        <v>0</v>
      </c>
      <c r="CQ246" s="7">
        <f t="shared" si="213"/>
        <v>0</v>
      </c>
      <c r="CR246" s="7">
        <f t="shared" si="214"/>
        <v>0</v>
      </c>
      <c r="CS246" s="7">
        <f t="shared" si="215"/>
        <v>0</v>
      </c>
      <c r="CT246" s="7">
        <f t="shared" si="216"/>
        <v>0</v>
      </c>
      <c r="CU246" s="7">
        <f t="shared" si="217"/>
        <v>0</v>
      </c>
      <c r="CV246" s="7">
        <f t="shared" si="218"/>
        <v>0</v>
      </c>
      <c r="CW246" s="7">
        <f t="shared" si="219"/>
        <v>0</v>
      </c>
      <c r="CX246" s="7">
        <f t="shared" si="220"/>
        <v>0</v>
      </c>
      <c r="CY246" s="7">
        <f t="shared" si="221"/>
        <v>0</v>
      </c>
      <c r="CZ246" s="7">
        <f t="shared" si="222"/>
        <v>0</v>
      </c>
      <c r="DA246" s="7">
        <f t="shared" si="223"/>
        <v>0</v>
      </c>
      <c r="DB246" s="7">
        <f t="shared" si="224"/>
        <v>0</v>
      </c>
      <c r="DC246" s="7">
        <f t="shared" si="225"/>
        <v>0</v>
      </c>
      <c r="DD246" s="7">
        <f t="shared" si="226"/>
        <v>0</v>
      </c>
      <c r="DE246" s="7">
        <f t="shared" si="227"/>
        <v>0</v>
      </c>
      <c r="DF246" s="7">
        <f t="shared" si="228"/>
        <v>0</v>
      </c>
      <c r="DG246" s="7">
        <f t="shared" si="229"/>
        <v>0</v>
      </c>
      <c r="DH246" s="7">
        <f t="shared" si="230"/>
        <v>0</v>
      </c>
      <c r="DI246" s="7">
        <f t="shared" si="231"/>
        <v>0</v>
      </c>
      <c r="DJ246" s="7">
        <f t="shared" si="232"/>
        <v>0</v>
      </c>
      <c r="DK246" s="7">
        <f t="shared" si="233"/>
        <v>0</v>
      </c>
      <c r="DL246" s="7">
        <f t="shared" si="234"/>
        <v>0</v>
      </c>
      <c r="DM246" s="7">
        <f t="shared" si="235"/>
        <v>0</v>
      </c>
      <c r="DN246" s="7">
        <f t="shared" si="236"/>
        <v>0</v>
      </c>
      <c r="DO246" s="7">
        <f t="shared" si="237"/>
        <v>0</v>
      </c>
      <c r="DP246" s="7">
        <f t="shared" si="238"/>
        <v>0</v>
      </c>
      <c r="DQ246" s="7">
        <f t="shared" si="239"/>
        <v>0</v>
      </c>
      <c r="DR246" s="7">
        <f t="shared" si="240"/>
        <v>0</v>
      </c>
      <c r="DS246" s="7">
        <f t="shared" si="241"/>
        <v>0</v>
      </c>
      <c r="DT246" s="7">
        <f t="shared" si="242"/>
        <v>0</v>
      </c>
      <c r="DU246" s="7">
        <f t="shared" si="243"/>
        <v>0</v>
      </c>
    </row>
    <row r="247" spans="1:125" x14ac:dyDescent="0.2">
      <c r="A247" s="3">
        <f>Bonds!A247</f>
        <v>48898</v>
      </c>
      <c r="B247" s="4">
        <f>Bonds!B247</f>
        <v>4.5</v>
      </c>
      <c r="C247">
        <f>Bonds!P247</f>
        <v>15</v>
      </c>
      <c r="D247">
        <f t="shared" si="183"/>
        <v>0</v>
      </c>
      <c r="E247" s="3">
        <f>IF(1&gt;$C247,"",IF($D247=1,EOMONTH(EDATE(Bonds!$H247,6*(1-1)),0),EDATE(Bonds!$H247,6*(1-1))))</f>
        <v>46341</v>
      </c>
      <c r="F247" s="3">
        <f>IF(2&gt;$C247,"",IF($D247=1,EOMONTH(EDATE(Bonds!$H247,6*(2-1)),0),EDATE(Bonds!$H247,6*(2-1))))</f>
        <v>46522</v>
      </c>
      <c r="G247" s="3">
        <f>IF(3&gt;$C247,"",IF($D247=1,EOMONTH(EDATE(Bonds!$H247,6*(3-1)),0),EDATE(Bonds!$H247,6*(3-1))))</f>
        <v>46706</v>
      </c>
      <c r="H247" s="3">
        <f>IF(4&gt;$C247,"",IF($D247=1,EOMONTH(EDATE(Bonds!$H247,6*(4-1)),0),EDATE(Bonds!$H247,6*(4-1))))</f>
        <v>46888</v>
      </c>
      <c r="I247" s="3">
        <f>IF(5&gt;$C247,"",IF($D247=1,EOMONTH(EDATE(Bonds!$H247,6*(5-1)),0),EDATE(Bonds!$H247,6*(5-1))))</f>
        <v>47072</v>
      </c>
      <c r="J247" s="3">
        <f>IF(6&gt;$C247,"",IF($D247=1,EOMONTH(EDATE(Bonds!$H247,6*(6-1)),0),EDATE(Bonds!$H247,6*(6-1))))</f>
        <v>47253</v>
      </c>
      <c r="K247" s="3">
        <f>IF(7&gt;$C247,"",IF($D247=1,EOMONTH(EDATE(Bonds!$H247,6*(7-1)),0),EDATE(Bonds!$H247,6*(7-1))))</f>
        <v>47437</v>
      </c>
      <c r="L247" s="3">
        <f>IF(8&gt;$C247,"",IF($D247=1,EOMONTH(EDATE(Bonds!$H247,6*(8-1)),0),EDATE(Bonds!$H247,6*(8-1))))</f>
        <v>47618</v>
      </c>
      <c r="M247" s="3">
        <f>IF(9&gt;$C247,"",IF($D247=1,EOMONTH(EDATE(Bonds!$H247,6*(9-1)),0),EDATE(Bonds!$H247,6*(9-1))))</f>
        <v>47802</v>
      </c>
      <c r="N247" s="3">
        <f>IF(10&gt;$C247,"",IF($D247=1,EOMONTH(EDATE(Bonds!$H247,6*(10-1)),0),EDATE(Bonds!$H247,6*(10-1))))</f>
        <v>47983</v>
      </c>
      <c r="O247" s="3">
        <f>IF(11&gt;$C247,"",IF($D247=1,EOMONTH(EDATE(Bonds!$H247,6*(11-1)),0),EDATE(Bonds!$H247,6*(11-1))))</f>
        <v>48167</v>
      </c>
      <c r="P247" s="3">
        <f>IF(12&gt;$C247,"",IF($D247=1,EOMONTH(EDATE(Bonds!$H247,6*(12-1)),0),EDATE(Bonds!$H247,6*(12-1))))</f>
        <v>48349</v>
      </c>
      <c r="Q247" s="3">
        <f>IF(13&gt;$C247,"",IF($D247=1,EOMONTH(EDATE(Bonds!$H247,6*(13-1)),0),EDATE(Bonds!$H247,6*(13-1))))</f>
        <v>48533</v>
      </c>
      <c r="R247" s="3">
        <f>IF(14&gt;$C247,"",IF($D247=1,EOMONTH(EDATE(Bonds!$H247,6*(14-1)),0),EDATE(Bonds!$H247,6*(14-1))))</f>
        <v>48714</v>
      </c>
      <c r="S247" s="3">
        <f>IF(15&gt;$C247,"",IF($D247=1,EOMONTH(EDATE(Bonds!$H247,6*(15-1)),0),EDATE(Bonds!$H247,6*(15-1))))</f>
        <v>48898</v>
      </c>
      <c r="T247" s="3" t="str">
        <f>IF(16&gt;$C247,"",IF($D247=1,EOMONTH(EDATE(Bonds!$H247,6*(16-1)),0),EDATE(Bonds!$H247,6*(16-1))))</f>
        <v/>
      </c>
      <c r="U247" s="3" t="str">
        <f>IF(17&gt;$C247,"",IF($D247=1,EOMONTH(EDATE(Bonds!$H247,6*(17-1)),0),EDATE(Bonds!$H247,6*(17-1))))</f>
        <v/>
      </c>
      <c r="V247" s="3" t="str">
        <f>IF(18&gt;$C247,"",IF($D247=1,EOMONTH(EDATE(Bonds!$H247,6*(18-1)),0),EDATE(Bonds!$H247,6*(18-1))))</f>
        <v/>
      </c>
      <c r="W247" s="3" t="str">
        <f>IF(19&gt;$C247,"",IF($D247=1,EOMONTH(EDATE(Bonds!$H247,6*(19-1)),0),EDATE(Bonds!$H247,6*(19-1))))</f>
        <v/>
      </c>
      <c r="X247" s="3" t="str">
        <f>IF(20&gt;$C247,"",IF($D247=1,EOMONTH(EDATE(Bonds!$H247,6*(20-1)),0),EDATE(Bonds!$H247,6*(20-1))))</f>
        <v/>
      </c>
      <c r="Y247" s="3" t="str">
        <f>IF(21&gt;$C247,"",IF($D247=1,EOMONTH(EDATE(Bonds!$H247,6*(21-1)),0),EDATE(Bonds!$H247,6*(21-1))))</f>
        <v/>
      </c>
      <c r="Z247" s="3" t="str">
        <f>IF(22&gt;$C247,"",IF($D247=1,EOMONTH(EDATE(Bonds!$H247,6*(22-1)),0),EDATE(Bonds!$H247,6*(22-1))))</f>
        <v/>
      </c>
      <c r="AA247" s="3" t="str">
        <f>IF(23&gt;$C247,"",IF($D247=1,EOMONTH(EDATE(Bonds!$H247,6*(23-1)),0),EDATE(Bonds!$H247,6*(23-1))))</f>
        <v/>
      </c>
      <c r="AB247" s="3" t="str">
        <f>IF(24&gt;$C247,"",IF($D247=1,EOMONTH(EDATE(Bonds!$H247,6*(24-1)),0),EDATE(Bonds!$H247,6*(24-1))))</f>
        <v/>
      </c>
      <c r="AC247" s="3" t="str">
        <f>IF(25&gt;$C247,"",IF($D247=1,EOMONTH(EDATE(Bonds!$H247,6*(25-1)),0),EDATE(Bonds!$H247,6*(25-1))))</f>
        <v/>
      </c>
      <c r="AD247" s="3" t="str">
        <f>IF(26&gt;$C247,"",IF($D247=1,EOMONTH(EDATE(Bonds!$H247,6*(26-1)),0),EDATE(Bonds!$H247,6*(26-1))))</f>
        <v/>
      </c>
      <c r="AE247" s="3" t="str">
        <f>IF(27&gt;$C247,"",IF($D247=1,EOMONTH(EDATE(Bonds!$H247,6*(27-1)),0),EDATE(Bonds!$H247,6*(27-1))))</f>
        <v/>
      </c>
      <c r="AF247" s="3" t="str">
        <f>IF(28&gt;$C247,"",IF($D247=1,EOMONTH(EDATE(Bonds!$H247,6*(28-1)),0),EDATE(Bonds!$H247,6*(28-1))))</f>
        <v/>
      </c>
      <c r="AG247" s="3" t="str">
        <f>IF(29&gt;$C247,"",IF($D247=1,EOMONTH(EDATE(Bonds!$H247,6*(29-1)),0),EDATE(Bonds!$H247,6*(29-1))))</f>
        <v/>
      </c>
      <c r="AH247" s="3" t="str">
        <f>IF(30&gt;$C247,"",IF($D247=1,EOMONTH(EDATE(Bonds!$H247,6*(30-1)),0),EDATE(Bonds!$H247,6*(30-1))))</f>
        <v/>
      </c>
      <c r="AI247" s="3" t="str">
        <f>IF(31&gt;$C247,"",IF($D247=1,EOMONTH(EDATE(Bonds!$H247,6*(31-1)),0),EDATE(Bonds!$H247,6*(31-1))))</f>
        <v/>
      </c>
      <c r="AJ247" s="3" t="str">
        <f>IF(32&gt;$C247,"",IF($D247=1,EOMONTH(EDATE(Bonds!$H247,6*(32-1)),0),EDATE(Bonds!$H247,6*(32-1))))</f>
        <v/>
      </c>
      <c r="AK247" s="3" t="str">
        <f>IF(33&gt;$C247,"",IF($D247=1,EOMONTH(EDATE(Bonds!$H247,6*(33-1)),0),EDATE(Bonds!$H247,6*(33-1))))</f>
        <v/>
      </c>
      <c r="AL247" s="3" t="str">
        <f>IF(34&gt;$C247,"",IF($D247=1,EOMONTH(EDATE(Bonds!$H247,6*(34-1)),0),EDATE(Bonds!$H247,6*(34-1))))</f>
        <v/>
      </c>
      <c r="AM247" s="3" t="str">
        <f>IF(35&gt;$C247,"",IF($D247=1,EOMONTH(EDATE(Bonds!$H247,6*(35-1)),0),EDATE(Bonds!$H247,6*(35-1))))</f>
        <v/>
      </c>
      <c r="AN247" s="3" t="str">
        <f>IF(36&gt;$C247,"",IF($D247=1,EOMONTH(EDATE(Bonds!$H247,6*(36-1)),0),EDATE(Bonds!$H247,6*(36-1))))</f>
        <v/>
      </c>
      <c r="AO247" s="3" t="str">
        <f>IF(37&gt;$C247,"",IF($D247=1,EOMONTH(EDATE(Bonds!$H247,6*(37-1)),0),EDATE(Bonds!$H247,6*(37-1))))</f>
        <v/>
      </c>
      <c r="AP247" s="3" t="str">
        <f>IF(38&gt;$C247,"",IF($D247=1,EOMONTH(EDATE(Bonds!$H247,6*(38-1)),0),EDATE(Bonds!$H247,6*(38-1))))</f>
        <v/>
      </c>
      <c r="AQ247" s="3" t="str">
        <f>IF(39&gt;$C247,"",IF($D247=1,EOMONTH(EDATE(Bonds!$H247,6*(39-1)),0),EDATE(Bonds!$H247,6*(39-1))))</f>
        <v/>
      </c>
      <c r="AR247" s="3" t="str">
        <f>IF(40&gt;$C247,"",IF($D247=1,EOMONTH(EDATE(Bonds!$H247,6*(40-1)),0),EDATE(Bonds!$H247,6*(40-1))))</f>
        <v/>
      </c>
      <c r="AS247" s="3" t="str">
        <f>IF(41&gt;$C247,"",IF($D247=1,EOMONTH(EDATE(Bonds!$H247,6*(41-1)),0),EDATE(Bonds!$H247,6*(41-1))))</f>
        <v/>
      </c>
      <c r="AT247" s="3" t="str">
        <f>IF(42&gt;$C247,"",IF($D247=1,EOMONTH(EDATE(Bonds!$H247,6*(42-1)),0),EDATE(Bonds!$H247,6*(42-1))))</f>
        <v/>
      </c>
      <c r="AU247" s="3" t="str">
        <f>IF(43&gt;$C247,"",IF($D247=1,EOMONTH(EDATE(Bonds!$H247,6*(43-1)),0),EDATE(Bonds!$H247,6*(43-1))))</f>
        <v/>
      </c>
      <c r="AV247" s="3" t="str">
        <f>IF(44&gt;$C247,"",IF($D247=1,EOMONTH(EDATE(Bonds!$H247,6*(44-1)),0),EDATE(Bonds!$H247,6*(44-1))))</f>
        <v/>
      </c>
      <c r="AW247" s="3" t="str">
        <f>IF(45&gt;$C247,"",IF($D247=1,EOMONTH(EDATE(Bonds!$H247,6*(45-1)),0),EDATE(Bonds!$H247,6*(45-1))))</f>
        <v/>
      </c>
      <c r="AX247" s="3" t="str">
        <f>IF(46&gt;$C247,"",IF($D247=1,EOMONTH(EDATE(Bonds!$H247,6*(46-1)),0),EDATE(Bonds!$H247,6*(46-1))))</f>
        <v/>
      </c>
      <c r="AY247" s="3" t="str">
        <f>IF(47&gt;$C247,"",IF($D247=1,EOMONTH(EDATE(Bonds!$H247,6*(47-1)),0),EDATE(Bonds!$H247,6*(47-1))))</f>
        <v/>
      </c>
      <c r="AZ247" s="3" t="str">
        <f>IF(48&gt;$C247,"",IF($D247=1,EOMONTH(EDATE(Bonds!$H247,6*(48-1)),0),EDATE(Bonds!$H247,6*(48-1))))</f>
        <v/>
      </c>
      <c r="BA247" s="3" t="str">
        <f>IF(49&gt;$C247,"",IF($D247=1,EOMONTH(EDATE(Bonds!$H247,6*(49-1)),0),EDATE(Bonds!$H247,6*(49-1))))</f>
        <v/>
      </c>
      <c r="BB247" s="3" t="str">
        <f>IF(50&gt;$C247,"",IF($D247=1,EOMONTH(EDATE(Bonds!$H247,6*(50-1)),0),EDATE(Bonds!$H247,6*(50-1))))</f>
        <v/>
      </c>
      <c r="BC247" s="3" t="str">
        <f>IF(51&gt;$C247,"",IF($D247=1,EOMONTH(EDATE(Bonds!$H247,6*(51-1)),0),EDATE(Bonds!$H247,6*(51-1))))</f>
        <v/>
      </c>
      <c r="BD247" s="3" t="str">
        <f>IF(52&gt;$C247,"",IF($D247=1,EOMONTH(EDATE(Bonds!$H247,6*(52-1)),0),EDATE(Bonds!$H247,6*(52-1))))</f>
        <v/>
      </c>
      <c r="BE247" s="3" t="str">
        <f>IF(53&gt;$C247,"",IF($D247=1,EOMONTH(EDATE(Bonds!$H247,6*(53-1)),0),EDATE(Bonds!$H247,6*(53-1))))</f>
        <v/>
      </c>
      <c r="BF247" s="3" t="str">
        <f>IF(54&gt;$C247,"",IF($D247=1,EOMONTH(EDATE(Bonds!$H247,6*(54-1)),0),EDATE(Bonds!$H247,6*(54-1))))</f>
        <v/>
      </c>
      <c r="BG247" s="3" t="str">
        <f>IF(55&gt;$C247,"",IF($D247=1,EOMONTH(EDATE(Bonds!$H247,6*(55-1)),0),EDATE(Bonds!$H247,6*(55-1))))</f>
        <v/>
      </c>
      <c r="BH247" s="3" t="str">
        <f>IF(56&gt;$C247,"",IF($D247=1,EOMONTH(EDATE(Bonds!$H247,6*(56-1)),0),EDATE(Bonds!$H247,6*(56-1))))</f>
        <v/>
      </c>
      <c r="BI247" s="3" t="str">
        <f>IF(57&gt;$C247,"",IF($D247=1,EOMONTH(EDATE(Bonds!$H247,6*(57-1)),0),EDATE(Bonds!$H247,6*(57-1))))</f>
        <v/>
      </c>
      <c r="BJ247" s="3" t="str">
        <f>IF(58&gt;$C247,"",IF($D247=1,EOMONTH(EDATE(Bonds!$H247,6*(58-1)),0),EDATE(Bonds!$H247,6*(58-1))))</f>
        <v/>
      </c>
      <c r="BK247" s="3" t="str">
        <f>IF(59&gt;$C247,"",IF($D247=1,EOMONTH(EDATE(Bonds!$H247,6*(59-1)),0),EDATE(Bonds!$H247,6*(59-1))))</f>
        <v/>
      </c>
      <c r="BL247" s="3" t="str">
        <f>IF(60&gt;$C247,"",IF($D247=1,EOMONTH(EDATE(Bonds!$H247,6*(60-1)),0),EDATE(Bonds!$H247,6*(60-1))))</f>
        <v/>
      </c>
      <c r="BN247" s="7">
        <f t="shared" si="184"/>
        <v>2.2343075608500418</v>
      </c>
      <c r="BO247" s="7">
        <f t="shared" si="185"/>
        <v>2.1891892169071041</v>
      </c>
      <c r="BP247" s="7">
        <f t="shared" si="186"/>
        <v>2.1409668642366375</v>
      </c>
      <c r="BQ247" s="7">
        <f t="shared" si="187"/>
        <v>2.0929458182557257</v>
      </c>
      <c r="BR247" s="7">
        <f t="shared" si="188"/>
        <v>2.0450878563160475</v>
      </c>
      <c r="BS247" s="7">
        <f t="shared" si="189"/>
        <v>1.99908450465453</v>
      </c>
      <c r="BT247" s="7">
        <f t="shared" si="190"/>
        <v>1.953478011278162</v>
      </c>
      <c r="BU247" s="7">
        <f t="shared" si="191"/>
        <v>1.9096556529520408</v>
      </c>
      <c r="BV247" s="7">
        <f t="shared" si="192"/>
        <v>1.8659942988650426</v>
      </c>
      <c r="BW247" s="7">
        <f t="shared" si="193"/>
        <v>1.8237404572325664</v>
      </c>
      <c r="BX247" s="7">
        <f t="shared" si="194"/>
        <v>1.7813322792429152</v>
      </c>
      <c r="BY247" s="7">
        <f t="shared" si="195"/>
        <v>1.7398009309943161</v>
      </c>
      <c r="BZ247" s="7">
        <f t="shared" si="196"/>
        <v>1.6981441168598255</v>
      </c>
      <c r="CA247" s="7">
        <f t="shared" si="197"/>
        <v>1.65743956427797</v>
      </c>
      <c r="CB247" s="7">
        <f t="shared" si="198"/>
        <v>73.452645013782771</v>
      </c>
      <c r="CC247" s="7">
        <f t="shared" si="199"/>
        <v>0</v>
      </c>
      <c r="CD247" s="7">
        <f t="shared" si="200"/>
        <v>0</v>
      </c>
      <c r="CE247" s="7">
        <f t="shared" si="201"/>
        <v>0</v>
      </c>
      <c r="CF247" s="7">
        <f t="shared" si="202"/>
        <v>0</v>
      </c>
      <c r="CG247" s="7">
        <f t="shared" si="203"/>
        <v>0</v>
      </c>
      <c r="CH247" s="7">
        <f t="shared" si="204"/>
        <v>0</v>
      </c>
      <c r="CI247" s="7">
        <f t="shared" si="205"/>
        <v>0</v>
      </c>
      <c r="CJ247" s="7">
        <f t="shared" si="206"/>
        <v>0</v>
      </c>
      <c r="CK247" s="7">
        <f t="shared" si="207"/>
        <v>0</v>
      </c>
      <c r="CL247" s="7">
        <f t="shared" si="208"/>
        <v>0</v>
      </c>
      <c r="CM247" s="7">
        <f t="shared" si="209"/>
        <v>0</v>
      </c>
      <c r="CN247" s="7">
        <f t="shared" si="210"/>
        <v>0</v>
      </c>
      <c r="CO247" s="7">
        <f t="shared" si="211"/>
        <v>0</v>
      </c>
      <c r="CP247" s="7">
        <f t="shared" si="212"/>
        <v>0</v>
      </c>
      <c r="CQ247" s="7">
        <f t="shared" si="213"/>
        <v>0</v>
      </c>
      <c r="CR247" s="7">
        <f t="shared" si="214"/>
        <v>0</v>
      </c>
      <c r="CS247" s="7">
        <f t="shared" si="215"/>
        <v>0</v>
      </c>
      <c r="CT247" s="7">
        <f t="shared" si="216"/>
        <v>0</v>
      </c>
      <c r="CU247" s="7">
        <f t="shared" si="217"/>
        <v>0</v>
      </c>
      <c r="CV247" s="7">
        <f t="shared" si="218"/>
        <v>0</v>
      </c>
      <c r="CW247" s="7">
        <f t="shared" si="219"/>
        <v>0</v>
      </c>
      <c r="CX247" s="7">
        <f t="shared" si="220"/>
        <v>0</v>
      </c>
      <c r="CY247" s="7">
        <f t="shared" si="221"/>
        <v>0</v>
      </c>
      <c r="CZ247" s="7">
        <f t="shared" si="222"/>
        <v>0</v>
      </c>
      <c r="DA247" s="7">
        <f t="shared" si="223"/>
        <v>0</v>
      </c>
      <c r="DB247" s="7">
        <f t="shared" si="224"/>
        <v>0</v>
      </c>
      <c r="DC247" s="7">
        <f t="shared" si="225"/>
        <v>0</v>
      </c>
      <c r="DD247" s="7">
        <f t="shared" si="226"/>
        <v>0</v>
      </c>
      <c r="DE247" s="7">
        <f t="shared" si="227"/>
        <v>0</v>
      </c>
      <c r="DF247" s="7">
        <f t="shared" si="228"/>
        <v>0</v>
      </c>
      <c r="DG247" s="7">
        <f t="shared" si="229"/>
        <v>0</v>
      </c>
      <c r="DH247" s="7">
        <f t="shared" si="230"/>
        <v>0</v>
      </c>
      <c r="DI247" s="7">
        <f t="shared" si="231"/>
        <v>0</v>
      </c>
      <c r="DJ247" s="7">
        <f t="shared" si="232"/>
        <v>0</v>
      </c>
      <c r="DK247" s="7">
        <f t="shared" si="233"/>
        <v>0</v>
      </c>
      <c r="DL247" s="7">
        <f t="shared" si="234"/>
        <v>0</v>
      </c>
      <c r="DM247" s="7">
        <f t="shared" si="235"/>
        <v>0</v>
      </c>
      <c r="DN247" s="7">
        <f t="shared" si="236"/>
        <v>0</v>
      </c>
      <c r="DO247" s="7">
        <f t="shared" si="237"/>
        <v>0</v>
      </c>
      <c r="DP247" s="7">
        <f t="shared" si="238"/>
        <v>0</v>
      </c>
      <c r="DQ247" s="7">
        <f t="shared" si="239"/>
        <v>0</v>
      </c>
      <c r="DR247" s="7">
        <f t="shared" si="240"/>
        <v>0</v>
      </c>
      <c r="DS247" s="7">
        <f t="shared" si="241"/>
        <v>0</v>
      </c>
      <c r="DT247" s="7">
        <f t="shared" si="242"/>
        <v>0</v>
      </c>
      <c r="DU247" s="7">
        <f t="shared" si="243"/>
        <v>0</v>
      </c>
    </row>
    <row r="248" spans="1:125" x14ac:dyDescent="0.2">
      <c r="A248" s="3">
        <f>Bonds!A248</f>
        <v>48990</v>
      </c>
      <c r="B248" s="4">
        <f>Bonds!B248</f>
        <v>4</v>
      </c>
      <c r="C248">
        <f>Bonds!P248</f>
        <v>15</v>
      </c>
      <c r="D248">
        <f t="shared" si="183"/>
        <v>0</v>
      </c>
      <c r="E248" s="3">
        <f>IF(1&gt;$C248,"",IF($D248=1,EOMONTH(EDATE(Bonds!$H248,6*(1-1)),0),EDATE(Bonds!$H248,6*(1-1))))</f>
        <v>46433</v>
      </c>
      <c r="F248" s="3">
        <f>IF(2&gt;$C248,"",IF($D248=1,EOMONTH(EDATE(Bonds!$H248,6*(2-1)),0),EDATE(Bonds!$H248,6*(2-1))))</f>
        <v>46614</v>
      </c>
      <c r="G248" s="3">
        <f>IF(3&gt;$C248,"",IF($D248=1,EOMONTH(EDATE(Bonds!$H248,6*(3-1)),0),EDATE(Bonds!$H248,6*(3-1))))</f>
        <v>46798</v>
      </c>
      <c r="H248" s="3">
        <f>IF(4&gt;$C248,"",IF($D248=1,EOMONTH(EDATE(Bonds!$H248,6*(4-1)),0),EDATE(Bonds!$H248,6*(4-1))))</f>
        <v>46980</v>
      </c>
      <c r="I248" s="3">
        <f>IF(5&gt;$C248,"",IF($D248=1,EOMONTH(EDATE(Bonds!$H248,6*(5-1)),0),EDATE(Bonds!$H248,6*(5-1))))</f>
        <v>47164</v>
      </c>
      <c r="J248" s="3">
        <f>IF(6&gt;$C248,"",IF($D248=1,EOMONTH(EDATE(Bonds!$H248,6*(6-1)),0),EDATE(Bonds!$H248,6*(6-1))))</f>
        <v>47345</v>
      </c>
      <c r="K248" s="3">
        <f>IF(7&gt;$C248,"",IF($D248=1,EOMONTH(EDATE(Bonds!$H248,6*(7-1)),0),EDATE(Bonds!$H248,6*(7-1))))</f>
        <v>47529</v>
      </c>
      <c r="L248" s="3">
        <f>IF(8&gt;$C248,"",IF($D248=1,EOMONTH(EDATE(Bonds!$H248,6*(8-1)),0),EDATE(Bonds!$H248,6*(8-1))))</f>
        <v>47710</v>
      </c>
      <c r="M248" s="3">
        <f>IF(9&gt;$C248,"",IF($D248=1,EOMONTH(EDATE(Bonds!$H248,6*(9-1)),0),EDATE(Bonds!$H248,6*(9-1))))</f>
        <v>47894</v>
      </c>
      <c r="N248" s="3">
        <f>IF(10&gt;$C248,"",IF($D248=1,EOMONTH(EDATE(Bonds!$H248,6*(10-1)),0),EDATE(Bonds!$H248,6*(10-1))))</f>
        <v>48075</v>
      </c>
      <c r="O248" s="3">
        <f>IF(11&gt;$C248,"",IF($D248=1,EOMONTH(EDATE(Bonds!$H248,6*(11-1)),0),EDATE(Bonds!$H248,6*(11-1))))</f>
        <v>48259</v>
      </c>
      <c r="P248" s="3">
        <f>IF(12&gt;$C248,"",IF($D248=1,EOMONTH(EDATE(Bonds!$H248,6*(12-1)),0),EDATE(Bonds!$H248,6*(12-1))))</f>
        <v>48441</v>
      </c>
      <c r="Q248" s="3">
        <f>IF(13&gt;$C248,"",IF($D248=1,EOMONTH(EDATE(Bonds!$H248,6*(13-1)),0),EDATE(Bonds!$H248,6*(13-1))))</f>
        <v>48625</v>
      </c>
      <c r="R248" s="3">
        <f>IF(14&gt;$C248,"",IF($D248=1,EOMONTH(EDATE(Bonds!$H248,6*(14-1)),0),EDATE(Bonds!$H248,6*(14-1))))</f>
        <v>48806</v>
      </c>
      <c r="S248" s="3">
        <f>IF(15&gt;$C248,"",IF($D248=1,EOMONTH(EDATE(Bonds!$H248,6*(15-1)),0),EDATE(Bonds!$H248,6*(15-1))))</f>
        <v>48990</v>
      </c>
      <c r="T248" s="3" t="str">
        <f>IF(16&gt;$C248,"",IF($D248=1,EOMONTH(EDATE(Bonds!$H248,6*(16-1)),0),EDATE(Bonds!$H248,6*(16-1))))</f>
        <v/>
      </c>
      <c r="U248" s="3" t="str">
        <f>IF(17&gt;$C248,"",IF($D248=1,EOMONTH(EDATE(Bonds!$H248,6*(17-1)),0),EDATE(Bonds!$H248,6*(17-1))))</f>
        <v/>
      </c>
      <c r="V248" s="3" t="str">
        <f>IF(18&gt;$C248,"",IF($D248=1,EOMONTH(EDATE(Bonds!$H248,6*(18-1)),0),EDATE(Bonds!$H248,6*(18-1))))</f>
        <v/>
      </c>
      <c r="W248" s="3" t="str">
        <f>IF(19&gt;$C248,"",IF($D248=1,EOMONTH(EDATE(Bonds!$H248,6*(19-1)),0),EDATE(Bonds!$H248,6*(19-1))))</f>
        <v/>
      </c>
      <c r="X248" s="3" t="str">
        <f>IF(20&gt;$C248,"",IF($D248=1,EOMONTH(EDATE(Bonds!$H248,6*(20-1)),0),EDATE(Bonds!$H248,6*(20-1))))</f>
        <v/>
      </c>
      <c r="Y248" s="3" t="str">
        <f>IF(21&gt;$C248,"",IF($D248=1,EOMONTH(EDATE(Bonds!$H248,6*(21-1)),0),EDATE(Bonds!$H248,6*(21-1))))</f>
        <v/>
      </c>
      <c r="Z248" s="3" t="str">
        <f>IF(22&gt;$C248,"",IF($D248=1,EOMONTH(EDATE(Bonds!$H248,6*(22-1)),0),EDATE(Bonds!$H248,6*(22-1))))</f>
        <v/>
      </c>
      <c r="AA248" s="3" t="str">
        <f>IF(23&gt;$C248,"",IF($D248=1,EOMONTH(EDATE(Bonds!$H248,6*(23-1)),0),EDATE(Bonds!$H248,6*(23-1))))</f>
        <v/>
      </c>
      <c r="AB248" s="3" t="str">
        <f>IF(24&gt;$C248,"",IF($D248=1,EOMONTH(EDATE(Bonds!$H248,6*(24-1)),0),EDATE(Bonds!$H248,6*(24-1))))</f>
        <v/>
      </c>
      <c r="AC248" s="3" t="str">
        <f>IF(25&gt;$C248,"",IF($D248=1,EOMONTH(EDATE(Bonds!$H248,6*(25-1)),0),EDATE(Bonds!$H248,6*(25-1))))</f>
        <v/>
      </c>
      <c r="AD248" s="3" t="str">
        <f>IF(26&gt;$C248,"",IF($D248=1,EOMONTH(EDATE(Bonds!$H248,6*(26-1)),0),EDATE(Bonds!$H248,6*(26-1))))</f>
        <v/>
      </c>
      <c r="AE248" s="3" t="str">
        <f>IF(27&gt;$C248,"",IF($D248=1,EOMONTH(EDATE(Bonds!$H248,6*(27-1)),0),EDATE(Bonds!$H248,6*(27-1))))</f>
        <v/>
      </c>
      <c r="AF248" s="3" t="str">
        <f>IF(28&gt;$C248,"",IF($D248=1,EOMONTH(EDATE(Bonds!$H248,6*(28-1)),0),EDATE(Bonds!$H248,6*(28-1))))</f>
        <v/>
      </c>
      <c r="AG248" s="3" t="str">
        <f>IF(29&gt;$C248,"",IF($D248=1,EOMONTH(EDATE(Bonds!$H248,6*(29-1)),0),EDATE(Bonds!$H248,6*(29-1))))</f>
        <v/>
      </c>
      <c r="AH248" s="3" t="str">
        <f>IF(30&gt;$C248,"",IF($D248=1,EOMONTH(EDATE(Bonds!$H248,6*(30-1)),0),EDATE(Bonds!$H248,6*(30-1))))</f>
        <v/>
      </c>
      <c r="AI248" s="3" t="str">
        <f>IF(31&gt;$C248,"",IF($D248=1,EOMONTH(EDATE(Bonds!$H248,6*(31-1)),0),EDATE(Bonds!$H248,6*(31-1))))</f>
        <v/>
      </c>
      <c r="AJ248" s="3" t="str">
        <f>IF(32&gt;$C248,"",IF($D248=1,EOMONTH(EDATE(Bonds!$H248,6*(32-1)),0),EDATE(Bonds!$H248,6*(32-1))))</f>
        <v/>
      </c>
      <c r="AK248" s="3" t="str">
        <f>IF(33&gt;$C248,"",IF($D248=1,EOMONTH(EDATE(Bonds!$H248,6*(33-1)),0),EDATE(Bonds!$H248,6*(33-1))))</f>
        <v/>
      </c>
      <c r="AL248" s="3" t="str">
        <f>IF(34&gt;$C248,"",IF($D248=1,EOMONTH(EDATE(Bonds!$H248,6*(34-1)),0),EDATE(Bonds!$H248,6*(34-1))))</f>
        <v/>
      </c>
      <c r="AM248" s="3" t="str">
        <f>IF(35&gt;$C248,"",IF($D248=1,EOMONTH(EDATE(Bonds!$H248,6*(35-1)),0),EDATE(Bonds!$H248,6*(35-1))))</f>
        <v/>
      </c>
      <c r="AN248" s="3" t="str">
        <f>IF(36&gt;$C248,"",IF($D248=1,EOMONTH(EDATE(Bonds!$H248,6*(36-1)),0),EDATE(Bonds!$H248,6*(36-1))))</f>
        <v/>
      </c>
      <c r="AO248" s="3" t="str">
        <f>IF(37&gt;$C248,"",IF($D248=1,EOMONTH(EDATE(Bonds!$H248,6*(37-1)),0),EDATE(Bonds!$H248,6*(37-1))))</f>
        <v/>
      </c>
      <c r="AP248" s="3" t="str">
        <f>IF(38&gt;$C248,"",IF($D248=1,EOMONTH(EDATE(Bonds!$H248,6*(38-1)),0),EDATE(Bonds!$H248,6*(38-1))))</f>
        <v/>
      </c>
      <c r="AQ248" s="3" t="str">
        <f>IF(39&gt;$C248,"",IF($D248=1,EOMONTH(EDATE(Bonds!$H248,6*(39-1)),0),EDATE(Bonds!$H248,6*(39-1))))</f>
        <v/>
      </c>
      <c r="AR248" s="3" t="str">
        <f>IF(40&gt;$C248,"",IF($D248=1,EOMONTH(EDATE(Bonds!$H248,6*(40-1)),0),EDATE(Bonds!$H248,6*(40-1))))</f>
        <v/>
      </c>
      <c r="AS248" s="3" t="str">
        <f>IF(41&gt;$C248,"",IF($D248=1,EOMONTH(EDATE(Bonds!$H248,6*(41-1)),0),EDATE(Bonds!$H248,6*(41-1))))</f>
        <v/>
      </c>
      <c r="AT248" s="3" t="str">
        <f>IF(42&gt;$C248,"",IF($D248=1,EOMONTH(EDATE(Bonds!$H248,6*(42-1)),0),EDATE(Bonds!$H248,6*(42-1))))</f>
        <v/>
      </c>
      <c r="AU248" s="3" t="str">
        <f>IF(43&gt;$C248,"",IF($D248=1,EOMONTH(EDATE(Bonds!$H248,6*(43-1)),0),EDATE(Bonds!$H248,6*(43-1))))</f>
        <v/>
      </c>
      <c r="AV248" s="3" t="str">
        <f>IF(44&gt;$C248,"",IF($D248=1,EOMONTH(EDATE(Bonds!$H248,6*(44-1)),0),EDATE(Bonds!$H248,6*(44-1))))</f>
        <v/>
      </c>
      <c r="AW248" s="3" t="str">
        <f>IF(45&gt;$C248,"",IF($D248=1,EOMONTH(EDATE(Bonds!$H248,6*(45-1)),0),EDATE(Bonds!$H248,6*(45-1))))</f>
        <v/>
      </c>
      <c r="AX248" s="3" t="str">
        <f>IF(46&gt;$C248,"",IF($D248=1,EOMONTH(EDATE(Bonds!$H248,6*(46-1)),0),EDATE(Bonds!$H248,6*(46-1))))</f>
        <v/>
      </c>
      <c r="AY248" s="3" t="str">
        <f>IF(47&gt;$C248,"",IF($D248=1,EOMONTH(EDATE(Bonds!$H248,6*(47-1)),0),EDATE(Bonds!$H248,6*(47-1))))</f>
        <v/>
      </c>
      <c r="AZ248" s="3" t="str">
        <f>IF(48&gt;$C248,"",IF($D248=1,EOMONTH(EDATE(Bonds!$H248,6*(48-1)),0),EDATE(Bonds!$H248,6*(48-1))))</f>
        <v/>
      </c>
      <c r="BA248" s="3" t="str">
        <f>IF(49&gt;$C248,"",IF($D248=1,EOMONTH(EDATE(Bonds!$H248,6*(49-1)),0),EDATE(Bonds!$H248,6*(49-1))))</f>
        <v/>
      </c>
      <c r="BB248" s="3" t="str">
        <f>IF(50&gt;$C248,"",IF($D248=1,EOMONTH(EDATE(Bonds!$H248,6*(50-1)),0),EDATE(Bonds!$H248,6*(50-1))))</f>
        <v/>
      </c>
      <c r="BC248" s="3" t="str">
        <f>IF(51&gt;$C248,"",IF($D248=1,EOMONTH(EDATE(Bonds!$H248,6*(51-1)),0),EDATE(Bonds!$H248,6*(51-1))))</f>
        <v/>
      </c>
      <c r="BD248" s="3" t="str">
        <f>IF(52&gt;$C248,"",IF($D248=1,EOMONTH(EDATE(Bonds!$H248,6*(52-1)),0),EDATE(Bonds!$H248,6*(52-1))))</f>
        <v/>
      </c>
      <c r="BE248" s="3" t="str">
        <f>IF(53&gt;$C248,"",IF($D248=1,EOMONTH(EDATE(Bonds!$H248,6*(53-1)),0),EDATE(Bonds!$H248,6*(53-1))))</f>
        <v/>
      </c>
      <c r="BF248" s="3" t="str">
        <f>IF(54&gt;$C248,"",IF($D248=1,EOMONTH(EDATE(Bonds!$H248,6*(54-1)),0),EDATE(Bonds!$H248,6*(54-1))))</f>
        <v/>
      </c>
      <c r="BG248" s="3" t="str">
        <f>IF(55&gt;$C248,"",IF($D248=1,EOMONTH(EDATE(Bonds!$H248,6*(55-1)),0),EDATE(Bonds!$H248,6*(55-1))))</f>
        <v/>
      </c>
      <c r="BH248" s="3" t="str">
        <f>IF(56&gt;$C248,"",IF($D248=1,EOMONTH(EDATE(Bonds!$H248,6*(56-1)),0),EDATE(Bonds!$H248,6*(56-1))))</f>
        <v/>
      </c>
      <c r="BI248" s="3" t="str">
        <f>IF(57&gt;$C248,"",IF($D248=1,EOMONTH(EDATE(Bonds!$H248,6*(57-1)),0),EDATE(Bonds!$H248,6*(57-1))))</f>
        <v/>
      </c>
      <c r="BJ248" s="3" t="str">
        <f>IF(58&gt;$C248,"",IF($D248=1,EOMONTH(EDATE(Bonds!$H248,6*(58-1)),0),EDATE(Bonds!$H248,6*(58-1))))</f>
        <v/>
      </c>
      <c r="BK248" s="3" t="str">
        <f>IF(59&gt;$C248,"",IF($D248=1,EOMONTH(EDATE(Bonds!$H248,6*(59-1)),0),EDATE(Bonds!$H248,6*(59-1))))</f>
        <v/>
      </c>
      <c r="BL248" s="3" t="str">
        <f>IF(60&gt;$C248,"",IF($D248=1,EOMONTH(EDATE(Bonds!$H248,6*(60-1)),0),EDATE(Bonds!$H248,6*(60-1))))</f>
        <v/>
      </c>
      <c r="BN248" s="7">
        <f t="shared" si="184"/>
        <v>1.9660789645620358</v>
      </c>
      <c r="BO248" s="7">
        <f t="shared" si="185"/>
        <v>1.9246373156947767</v>
      </c>
      <c r="BP248" s="7">
        <f t="shared" si="186"/>
        <v>1.8814682156747222</v>
      </c>
      <c r="BQ248" s="7">
        <f t="shared" si="187"/>
        <v>1.8390169451858689</v>
      </c>
      <c r="BR248" s="7">
        <f t="shared" si="188"/>
        <v>1.7969442328236029</v>
      </c>
      <c r="BS248" s="7">
        <f t="shared" si="189"/>
        <v>1.756568019445697</v>
      </c>
      <c r="BT248" s="7">
        <f t="shared" si="190"/>
        <v>1.7165194691664001</v>
      </c>
      <c r="BU248" s="7">
        <f t="shared" si="191"/>
        <v>1.6779775208240437</v>
      </c>
      <c r="BV248" s="7">
        <f t="shared" si="192"/>
        <v>1.6395035984893354</v>
      </c>
      <c r="BW248" s="7">
        <f t="shared" si="193"/>
        <v>1.6022012525913127</v>
      </c>
      <c r="BX248" s="7">
        <f t="shared" si="194"/>
        <v>1.5647050007408052</v>
      </c>
      <c r="BY248" s="7">
        <f t="shared" si="195"/>
        <v>1.5279422717987856</v>
      </c>
      <c r="BZ248" s="7">
        <f t="shared" si="196"/>
        <v>1.491042309043594</v>
      </c>
      <c r="CA248" s="7">
        <f t="shared" si="197"/>
        <v>1.4549744567375953</v>
      </c>
      <c r="CB248" s="7">
        <f t="shared" si="198"/>
        <v>72.345399752052089</v>
      </c>
      <c r="CC248" s="7">
        <f t="shared" si="199"/>
        <v>0</v>
      </c>
      <c r="CD248" s="7">
        <f t="shared" si="200"/>
        <v>0</v>
      </c>
      <c r="CE248" s="7">
        <f t="shared" si="201"/>
        <v>0</v>
      </c>
      <c r="CF248" s="7">
        <f t="shared" si="202"/>
        <v>0</v>
      </c>
      <c r="CG248" s="7">
        <f t="shared" si="203"/>
        <v>0</v>
      </c>
      <c r="CH248" s="7">
        <f t="shared" si="204"/>
        <v>0</v>
      </c>
      <c r="CI248" s="7">
        <f t="shared" si="205"/>
        <v>0</v>
      </c>
      <c r="CJ248" s="7">
        <f t="shared" si="206"/>
        <v>0</v>
      </c>
      <c r="CK248" s="7">
        <f t="shared" si="207"/>
        <v>0</v>
      </c>
      <c r="CL248" s="7">
        <f t="shared" si="208"/>
        <v>0</v>
      </c>
      <c r="CM248" s="7">
        <f t="shared" si="209"/>
        <v>0</v>
      </c>
      <c r="CN248" s="7">
        <f t="shared" si="210"/>
        <v>0</v>
      </c>
      <c r="CO248" s="7">
        <f t="shared" si="211"/>
        <v>0</v>
      </c>
      <c r="CP248" s="7">
        <f t="shared" si="212"/>
        <v>0</v>
      </c>
      <c r="CQ248" s="7">
        <f t="shared" si="213"/>
        <v>0</v>
      </c>
      <c r="CR248" s="7">
        <f t="shared" si="214"/>
        <v>0</v>
      </c>
      <c r="CS248" s="7">
        <f t="shared" si="215"/>
        <v>0</v>
      </c>
      <c r="CT248" s="7">
        <f t="shared" si="216"/>
        <v>0</v>
      </c>
      <c r="CU248" s="7">
        <f t="shared" si="217"/>
        <v>0</v>
      </c>
      <c r="CV248" s="7">
        <f t="shared" si="218"/>
        <v>0</v>
      </c>
      <c r="CW248" s="7">
        <f t="shared" si="219"/>
        <v>0</v>
      </c>
      <c r="CX248" s="7">
        <f t="shared" si="220"/>
        <v>0</v>
      </c>
      <c r="CY248" s="7">
        <f t="shared" si="221"/>
        <v>0</v>
      </c>
      <c r="CZ248" s="7">
        <f t="shared" si="222"/>
        <v>0</v>
      </c>
      <c r="DA248" s="7">
        <f t="shared" si="223"/>
        <v>0</v>
      </c>
      <c r="DB248" s="7">
        <f t="shared" si="224"/>
        <v>0</v>
      </c>
      <c r="DC248" s="7">
        <f t="shared" si="225"/>
        <v>0</v>
      </c>
      <c r="DD248" s="7">
        <f t="shared" si="226"/>
        <v>0</v>
      </c>
      <c r="DE248" s="7">
        <f t="shared" si="227"/>
        <v>0</v>
      </c>
      <c r="DF248" s="7">
        <f t="shared" si="228"/>
        <v>0</v>
      </c>
      <c r="DG248" s="7">
        <f t="shared" si="229"/>
        <v>0</v>
      </c>
      <c r="DH248" s="7">
        <f t="shared" si="230"/>
        <v>0</v>
      </c>
      <c r="DI248" s="7">
        <f t="shared" si="231"/>
        <v>0</v>
      </c>
      <c r="DJ248" s="7">
        <f t="shared" si="232"/>
        <v>0</v>
      </c>
      <c r="DK248" s="7">
        <f t="shared" si="233"/>
        <v>0</v>
      </c>
      <c r="DL248" s="7">
        <f t="shared" si="234"/>
        <v>0</v>
      </c>
      <c r="DM248" s="7">
        <f t="shared" si="235"/>
        <v>0</v>
      </c>
      <c r="DN248" s="7">
        <f t="shared" si="236"/>
        <v>0</v>
      </c>
      <c r="DO248" s="7">
        <f t="shared" si="237"/>
        <v>0</v>
      </c>
      <c r="DP248" s="7">
        <f t="shared" si="238"/>
        <v>0</v>
      </c>
      <c r="DQ248" s="7">
        <f t="shared" si="239"/>
        <v>0</v>
      </c>
      <c r="DR248" s="7">
        <f t="shared" si="240"/>
        <v>0</v>
      </c>
      <c r="DS248" s="7">
        <f t="shared" si="241"/>
        <v>0</v>
      </c>
      <c r="DT248" s="7">
        <f t="shared" si="242"/>
        <v>0</v>
      </c>
      <c r="DU248" s="7">
        <f t="shared" si="243"/>
        <v>0</v>
      </c>
    </row>
    <row r="249" spans="1:125" x14ac:dyDescent="0.2">
      <c r="A249" s="3">
        <f>Bonds!A249</f>
        <v>49079</v>
      </c>
      <c r="B249" s="4">
        <f>Bonds!B249</f>
        <v>4.375</v>
      </c>
      <c r="C249">
        <f>Bonds!P249</f>
        <v>16</v>
      </c>
      <c r="D249">
        <f t="shared" si="183"/>
        <v>0</v>
      </c>
      <c r="E249" s="3">
        <f>IF(1&gt;$C249,"",IF($D249=1,EOMONTH(EDATE(Bonds!$H249,6*(1-1)),0),EDATE(Bonds!$H249,6*(1-1))))</f>
        <v>46341</v>
      </c>
      <c r="F249" s="3">
        <f>IF(2&gt;$C249,"",IF($D249=1,EOMONTH(EDATE(Bonds!$H249,6*(2-1)),0),EDATE(Bonds!$H249,6*(2-1))))</f>
        <v>46522</v>
      </c>
      <c r="G249" s="3">
        <f>IF(3&gt;$C249,"",IF($D249=1,EOMONTH(EDATE(Bonds!$H249,6*(3-1)),0),EDATE(Bonds!$H249,6*(3-1))))</f>
        <v>46706</v>
      </c>
      <c r="H249" s="3">
        <f>IF(4&gt;$C249,"",IF($D249=1,EOMONTH(EDATE(Bonds!$H249,6*(4-1)),0),EDATE(Bonds!$H249,6*(4-1))))</f>
        <v>46888</v>
      </c>
      <c r="I249" s="3">
        <f>IF(5&gt;$C249,"",IF($D249=1,EOMONTH(EDATE(Bonds!$H249,6*(5-1)),0),EDATE(Bonds!$H249,6*(5-1))))</f>
        <v>47072</v>
      </c>
      <c r="J249" s="3">
        <f>IF(6&gt;$C249,"",IF($D249=1,EOMONTH(EDATE(Bonds!$H249,6*(6-1)),0),EDATE(Bonds!$H249,6*(6-1))))</f>
        <v>47253</v>
      </c>
      <c r="K249" s="3">
        <f>IF(7&gt;$C249,"",IF($D249=1,EOMONTH(EDATE(Bonds!$H249,6*(7-1)),0),EDATE(Bonds!$H249,6*(7-1))))</f>
        <v>47437</v>
      </c>
      <c r="L249" s="3">
        <f>IF(8&gt;$C249,"",IF($D249=1,EOMONTH(EDATE(Bonds!$H249,6*(8-1)),0),EDATE(Bonds!$H249,6*(8-1))))</f>
        <v>47618</v>
      </c>
      <c r="M249" s="3">
        <f>IF(9&gt;$C249,"",IF($D249=1,EOMONTH(EDATE(Bonds!$H249,6*(9-1)),0),EDATE(Bonds!$H249,6*(9-1))))</f>
        <v>47802</v>
      </c>
      <c r="N249" s="3">
        <f>IF(10&gt;$C249,"",IF($D249=1,EOMONTH(EDATE(Bonds!$H249,6*(10-1)),0),EDATE(Bonds!$H249,6*(10-1))))</f>
        <v>47983</v>
      </c>
      <c r="O249" s="3">
        <f>IF(11&gt;$C249,"",IF($D249=1,EOMONTH(EDATE(Bonds!$H249,6*(11-1)),0),EDATE(Bonds!$H249,6*(11-1))))</f>
        <v>48167</v>
      </c>
      <c r="P249" s="3">
        <f>IF(12&gt;$C249,"",IF($D249=1,EOMONTH(EDATE(Bonds!$H249,6*(12-1)),0),EDATE(Bonds!$H249,6*(12-1))))</f>
        <v>48349</v>
      </c>
      <c r="Q249" s="3">
        <f>IF(13&gt;$C249,"",IF($D249=1,EOMONTH(EDATE(Bonds!$H249,6*(13-1)),0),EDATE(Bonds!$H249,6*(13-1))))</f>
        <v>48533</v>
      </c>
      <c r="R249" s="3">
        <f>IF(14&gt;$C249,"",IF($D249=1,EOMONTH(EDATE(Bonds!$H249,6*(14-1)),0),EDATE(Bonds!$H249,6*(14-1))))</f>
        <v>48714</v>
      </c>
      <c r="S249" s="3">
        <f>IF(15&gt;$C249,"",IF($D249=1,EOMONTH(EDATE(Bonds!$H249,6*(15-1)),0),EDATE(Bonds!$H249,6*(15-1))))</f>
        <v>48898</v>
      </c>
      <c r="T249" s="3">
        <f>IF(16&gt;$C249,"",IF($D249=1,EOMONTH(EDATE(Bonds!$H249,6*(16-1)),0),EDATE(Bonds!$H249,6*(16-1))))</f>
        <v>49079</v>
      </c>
      <c r="U249" s="3" t="str">
        <f>IF(17&gt;$C249,"",IF($D249=1,EOMONTH(EDATE(Bonds!$H249,6*(17-1)),0),EDATE(Bonds!$H249,6*(17-1))))</f>
        <v/>
      </c>
      <c r="V249" s="3" t="str">
        <f>IF(18&gt;$C249,"",IF($D249=1,EOMONTH(EDATE(Bonds!$H249,6*(18-1)),0),EDATE(Bonds!$H249,6*(18-1))))</f>
        <v/>
      </c>
      <c r="W249" s="3" t="str">
        <f>IF(19&gt;$C249,"",IF($D249=1,EOMONTH(EDATE(Bonds!$H249,6*(19-1)),0),EDATE(Bonds!$H249,6*(19-1))))</f>
        <v/>
      </c>
      <c r="X249" s="3" t="str">
        <f>IF(20&gt;$C249,"",IF($D249=1,EOMONTH(EDATE(Bonds!$H249,6*(20-1)),0),EDATE(Bonds!$H249,6*(20-1))))</f>
        <v/>
      </c>
      <c r="Y249" s="3" t="str">
        <f>IF(21&gt;$C249,"",IF($D249=1,EOMONTH(EDATE(Bonds!$H249,6*(21-1)),0),EDATE(Bonds!$H249,6*(21-1))))</f>
        <v/>
      </c>
      <c r="Z249" s="3" t="str">
        <f>IF(22&gt;$C249,"",IF($D249=1,EOMONTH(EDATE(Bonds!$H249,6*(22-1)),0),EDATE(Bonds!$H249,6*(22-1))))</f>
        <v/>
      </c>
      <c r="AA249" s="3" t="str">
        <f>IF(23&gt;$C249,"",IF($D249=1,EOMONTH(EDATE(Bonds!$H249,6*(23-1)),0),EDATE(Bonds!$H249,6*(23-1))))</f>
        <v/>
      </c>
      <c r="AB249" s="3" t="str">
        <f>IF(24&gt;$C249,"",IF($D249=1,EOMONTH(EDATE(Bonds!$H249,6*(24-1)),0),EDATE(Bonds!$H249,6*(24-1))))</f>
        <v/>
      </c>
      <c r="AC249" s="3" t="str">
        <f>IF(25&gt;$C249,"",IF($D249=1,EOMONTH(EDATE(Bonds!$H249,6*(25-1)),0),EDATE(Bonds!$H249,6*(25-1))))</f>
        <v/>
      </c>
      <c r="AD249" s="3" t="str">
        <f>IF(26&gt;$C249,"",IF($D249=1,EOMONTH(EDATE(Bonds!$H249,6*(26-1)),0),EDATE(Bonds!$H249,6*(26-1))))</f>
        <v/>
      </c>
      <c r="AE249" s="3" t="str">
        <f>IF(27&gt;$C249,"",IF($D249=1,EOMONTH(EDATE(Bonds!$H249,6*(27-1)),0),EDATE(Bonds!$H249,6*(27-1))))</f>
        <v/>
      </c>
      <c r="AF249" s="3" t="str">
        <f>IF(28&gt;$C249,"",IF($D249=1,EOMONTH(EDATE(Bonds!$H249,6*(28-1)),0),EDATE(Bonds!$H249,6*(28-1))))</f>
        <v/>
      </c>
      <c r="AG249" s="3" t="str">
        <f>IF(29&gt;$C249,"",IF($D249=1,EOMONTH(EDATE(Bonds!$H249,6*(29-1)),0),EDATE(Bonds!$H249,6*(29-1))))</f>
        <v/>
      </c>
      <c r="AH249" s="3" t="str">
        <f>IF(30&gt;$C249,"",IF($D249=1,EOMONTH(EDATE(Bonds!$H249,6*(30-1)),0),EDATE(Bonds!$H249,6*(30-1))))</f>
        <v/>
      </c>
      <c r="AI249" s="3" t="str">
        <f>IF(31&gt;$C249,"",IF($D249=1,EOMONTH(EDATE(Bonds!$H249,6*(31-1)),0),EDATE(Bonds!$H249,6*(31-1))))</f>
        <v/>
      </c>
      <c r="AJ249" s="3" t="str">
        <f>IF(32&gt;$C249,"",IF($D249=1,EOMONTH(EDATE(Bonds!$H249,6*(32-1)),0),EDATE(Bonds!$H249,6*(32-1))))</f>
        <v/>
      </c>
      <c r="AK249" s="3" t="str">
        <f>IF(33&gt;$C249,"",IF($D249=1,EOMONTH(EDATE(Bonds!$H249,6*(33-1)),0),EDATE(Bonds!$H249,6*(33-1))))</f>
        <v/>
      </c>
      <c r="AL249" s="3" t="str">
        <f>IF(34&gt;$C249,"",IF($D249=1,EOMONTH(EDATE(Bonds!$H249,6*(34-1)),0),EDATE(Bonds!$H249,6*(34-1))))</f>
        <v/>
      </c>
      <c r="AM249" s="3" t="str">
        <f>IF(35&gt;$C249,"",IF($D249=1,EOMONTH(EDATE(Bonds!$H249,6*(35-1)),0),EDATE(Bonds!$H249,6*(35-1))))</f>
        <v/>
      </c>
      <c r="AN249" s="3" t="str">
        <f>IF(36&gt;$C249,"",IF($D249=1,EOMONTH(EDATE(Bonds!$H249,6*(36-1)),0),EDATE(Bonds!$H249,6*(36-1))))</f>
        <v/>
      </c>
      <c r="AO249" s="3" t="str">
        <f>IF(37&gt;$C249,"",IF($D249=1,EOMONTH(EDATE(Bonds!$H249,6*(37-1)),0),EDATE(Bonds!$H249,6*(37-1))))</f>
        <v/>
      </c>
      <c r="AP249" s="3" t="str">
        <f>IF(38&gt;$C249,"",IF($D249=1,EOMONTH(EDATE(Bonds!$H249,6*(38-1)),0),EDATE(Bonds!$H249,6*(38-1))))</f>
        <v/>
      </c>
      <c r="AQ249" s="3" t="str">
        <f>IF(39&gt;$C249,"",IF($D249=1,EOMONTH(EDATE(Bonds!$H249,6*(39-1)),0),EDATE(Bonds!$H249,6*(39-1))))</f>
        <v/>
      </c>
      <c r="AR249" s="3" t="str">
        <f>IF(40&gt;$C249,"",IF($D249=1,EOMONTH(EDATE(Bonds!$H249,6*(40-1)),0),EDATE(Bonds!$H249,6*(40-1))))</f>
        <v/>
      </c>
      <c r="AS249" s="3" t="str">
        <f>IF(41&gt;$C249,"",IF($D249=1,EOMONTH(EDATE(Bonds!$H249,6*(41-1)),0),EDATE(Bonds!$H249,6*(41-1))))</f>
        <v/>
      </c>
      <c r="AT249" s="3" t="str">
        <f>IF(42&gt;$C249,"",IF($D249=1,EOMONTH(EDATE(Bonds!$H249,6*(42-1)),0),EDATE(Bonds!$H249,6*(42-1))))</f>
        <v/>
      </c>
      <c r="AU249" s="3" t="str">
        <f>IF(43&gt;$C249,"",IF($D249=1,EOMONTH(EDATE(Bonds!$H249,6*(43-1)),0),EDATE(Bonds!$H249,6*(43-1))))</f>
        <v/>
      </c>
      <c r="AV249" s="3" t="str">
        <f>IF(44&gt;$C249,"",IF($D249=1,EOMONTH(EDATE(Bonds!$H249,6*(44-1)),0),EDATE(Bonds!$H249,6*(44-1))))</f>
        <v/>
      </c>
      <c r="AW249" s="3" t="str">
        <f>IF(45&gt;$C249,"",IF($D249=1,EOMONTH(EDATE(Bonds!$H249,6*(45-1)),0),EDATE(Bonds!$H249,6*(45-1))))</f>
        <v/>
      </c>
      <c r="AX249" s="3" t="str">
        <f>IF(46&gt;$C249,"",IF($D249=1,EOMONTH(EDATE(Bonds!$H249,6*(46-1)),0),EDATE(Bonds!$H249,6*(46-1))))</f>
        <v/>
      </c>
      <c r="AY249" s="3" t="str">
        <f>IF(47&gt;$C249,"",IF($D249=1,EOMONTH(EDATE(Bonds!$H249,6*(47-1)),0),EDATE(Bonds!$H249,6*(47-1))))</f>
        <v/>
      </c>
      <c r="AZ249" s="3" t="str">
        <f>IF(48&gt;$C249,"",IF($D249=1,EOMONTH(EDATE(Bonds!$H249,6*(48-1)),0),EDATE(Bonds!$H249,6*(48-1))))</f>
        <v/>
      </c>
      <c r="BA249" s="3" t="str">
        <f>IF(49&gt;$C249,"",IF($D249=1,EOMONTH(EDATE(Bonds!$H249,6*(49-1)),0),EDATE(Bonds!$H249,6*(49-1))))</f>
        <v/>
      </c>
      <c r="BB249" s="3" t="str">
        <f>IF(50&gt;$C249,"",IF($D249=1,EOMONTH(EDATE(Bonds!$H249,6*(50-1)),0),EDATE(Bonds!$H249,6*(50-1))))</f>
        <v/>
      </c>
      <c r="BC249" s="3" t="str">
        <f>IF(51&gt;$C249,"",IF($D249=1,EOMONTH(EDATE(Bonds!$H249,6*(51-1)),0),EDATE(Bonds!$H249,6*(51-1))))</f>
        <v/>
      </c>
      <c r="BD249" s="3" t="str">
        <f>IF(52&gt;$C249,"",IF($D249=1,EOMONTH(EDATE(Bonds!$H249,6*(52-1)),0),EDATE(Bonds!$H249,6*(52-1))))</f>
        <v/>
      </c>
      <c r="BE249" s="3" t="str">
        <f>IF(53&gt;$C249,"",IF($D249=1,EOMONTH(EDATE(Bonds!$H249,6*(53-1)),0),EDATE(Bonds!$H249,6*(53-1))))</f>
        <v/>
      </c>
      <c r="BF249" s="3" t="str">
        <f>IF(54&gt;$C249,"",IF($D249=1,EOMONTH(EDATE(Bonds!$H249,6*(54-1)),0),EDATE(Bonds!$H249,6*(54-1))))</f>
        <v/>
      </c>
      <c r="BG249" s="3" t="str">
        <f>IF(55&gt;$C249,"",IF($D249=1,EOMONTH(EDATE(Bonds!$H249,6*(55-1)),0),EDATE(Bonds!$H249,6*(55-1))))</f>
        <v/>
      </c>
      <c r="BH249" s="3" t="str">
        <f>IF(56&gt;$C249,"",IF($D249=1,EOMONTH(EDATE(Bonds!$H249,6*(56-1)),0),EDATE(Bonds!$H249,6*(56-1))))</f>
        <v/>
      </c>
      <c r="BI249" s="3" t="str">
        <f>IF(57&gt;$C249,"",IF($D249=1,EOMONTH(EDATE(Bonds!$H249,6*(57-1)),0),EDATE(Bonds!$H249,6*(57-1))))</f>
        <v/>
      </c>
      <c r="BJ249" s="3" t="str">
        <f>IF(58&gt;$C249,"",IF($D249=1,EOMONTH(EDATE(Bonds!$H249,6*(58-1)),0),EDATE(Bonds!$H249,6*(58-1))))</f>
        <v/>
      </c>
      <c r="BK249" s="3" t="str">
        <f>IF(59&gt;$C249,"",IF($D249=1,EOMONTH(EDATE(Bonds!$H249,6*(59-1)),0),EDATE(Bonds!$H249,6*(59-1))))</f>
        <v/>
      </c>
      <c r="BL249" s="3" t="str">
        <f>IF(60&gt;$C249,"",IF($D249=1,EOMONTH(EDATE(Bonds!$H249,6*(60-1)),0),EDATE(Bonds!$H249,6*(60-1))))</f>
        <v/>
      </c>
      <c r="BN249" s="7">
        <f t="shared" si="184"/>
        <v>2.1722434619375406</v>
      </c>
      <c r="BO249" s="7">
        <f t="shared" si="185"/>
        <v>2.1283784053263513</v>
      </c>
      <c r="BP249" s="7">
        <f t="shared" si="186"/>
        <v>2.0814955624522868</v>
      </c>
      <c r="BQ249" s="7">
        <f t="shared" si="187"/>
        <v>2.0348084344152886</v>
      </c>
      <c r="BR249" s="7">
        <f t="shared" si="188"/>
        <v>1.9882798603072687</v>
      </c>
      <c r="BS249" s="7">
        <f t="shared" si="189"/>
        <v>1.9435543795252375</v>
      </c>
      <c r="BT249" s="7">
        <f t="shared" si="190"/>
        <v>1.8992147331871019</v>
      </c>
      <c r="BU249" s="7">
        <f t="shared" si="191"/>
        <v>1.8566096625922619</v>
      </c>
      <c r="BV249" s="7">
        <f t="shared" si="192"/>
        <v>1.8141611238965694</v>
      </c>
      <c r="BW249" s="7">
        <f t="shared" si="193"/>
        <v>1.7730810000872173</v>
      </c>
      <c r="BX249" s="7">
        <f t="shared" si="194"/>
        <v>1.731850827041723</v>
      </c>
      <c r="BY249" s="7">
        <f t="shared" si="195"/>
        <v>1.691473127355585</v>
      </c>
      <c r="BZ249" s="7">
        <f t="shared" si="196"/>
        <v>1.6509734469470527</v>
      </c>
      <c r="CA249" s="7">
        <f t="shared" si="197"/>
        <v>1.6113995763813598</v>
      </c>
      <c r="CB249" s="7">
        <f t="shared" si="198"/>
        <v>1.5714196671652791</v>
      </c>
      <c r="CC249" s="7">
        <f t="shared" si="199"/>
        <v>71.582302442080831</v>
      </c>
      <c r="CD249" s="7">
        <f t="shared" si="200"/>
        <v>0</v>
      </c>
      <c r="CE249" s="7">
        <f t="shared" si="201"/>
        <v>0</v>
      </c>
      <c r="CF249" s="7">
        <f t="shared" si="202"/>
        <v>0</v>
      </c>
      <c r="CG249" s="7">
        <f t="shared" si="203"/>
        <v>0</v>
      </c>
      <c r="CH249" s="7">
        <f t="shared" si="204"/>
        <v>0</v>
      </c>
      <c r="CI249" s="7">
        <f t="shared" si="205"/>
        <v>0</v>
      </c>
      <c r="CJ249" s="7">
        <f t="shared" si="206"/>
        <v>0</v>
      </c>
      <c r="CK249" s="7">
        <f t="shared" si="207"/>
        <v>0</v>
      </c>
      <c r="CL249" s="7">
        <f t="shared" si="208"/>
        <v>0</v>
      </c>
      <c r="CM249" s="7">
        <f t="shared" si="209"/>
        <v>0</v>
      </c>
      <c r="CN249" s="7">
        <f t="shared" si="210"/>
        <v>0</v>
      </c>
      <c r="CO249" s="7">
        <f t="shared" si="211"/>
        <v>0</v>
      </c>
      <c r="CP249" s="7">
        <f t="shared" si="212"/>
        <v>0</v>
      </c>
      <c r="CQ249" s="7">
        <f t="shared" si="213"/>
        <v>0</v>
      </c>
      <c r="CR249" s="7">
        <f t="shared" si="214"/>
        <v>0</v>
      </c>
      <c r="CS249" s="7">
        <f t="shared" si="215"/>
        <v>0</v>
      </c>
      <c r="CT249" s="7">
        <f t="shared" si="216"/>
        <v>0</v>
      </c>
      <c r="CU249" s="7">
        <f t="shared" si="217"/>
        <v>0</v>
      </c>
      <c r="CV249" s="7">
        <f t="shared" si="218"/>
        <v>0</v>
      </c>
      <c r="CW249" s="7">
        <f t="shared" si="219"/>
        <v>0</v>
      </c>
      <c r="CX249" s="7">
        <f t="shared" si="220"/>
        <v>0</v>
      </c>
      <c r="CY249" s="7">
        <f t="shared" si="221"/>
        <v>0</v>
      </c>
      <c r="CZ249" s="7">
        <f t="shared" si="222"/>
        <v>0</v>
      </c>
      <c r="DA249" s="7">
        <f t="shared" si="223"/>
        <v>0</v>
      </c>
      <c r="DB249" s="7">
        <f t="shared" si="224"/>
        <v>0</v>
      </c>
      <c r="DC249" s="7">
        <f t="shared" si="225"/>
        <v>0</v>
      </c>
      <c r="DD249" s="7">
        <f t="shared" si="226"/>
        <v>0</v>
      </c>
      <c r="DE249" s="7">
        <f t="shared" si="227"/>
        <v>0</v>
      </c>
      <c r="DF249" s="7">
        <f t="shared" si="228"/>
        <v>0</v>
      </c>
      <c r="DG249" s="7">
        <f t="shared" si="229"/>
        <v>0</v>
      </c>
      <c r="DH249" s="7">
        <f t="shared" si="230"/>
        <v>0</v>
      </c>
      <c r="DI249" s="7">
        <f t="shared" si="231"/>
        <v>0</v>
      </c>
      <c r="DJ249" s="7">
        <f t="shared" si="232"/>
        <v>0</v>
      </c>
      <c r="DK249" s="7">
        <f t="shared" si="233"/>
        <v>0</v>
      </c>
      <c r="DL249" s="7">
        <f t="shared" si="234"/>
        <v>0</v>
      </c>
      <c r="DM249" s="7">
        <f t="shared" si="235"/>
        <v>0</v>
      </c>
      <c r="DN249" s="7">
        <f t="shared" si="236"/>
        <v>0</v>
      </c>
      <c r="DO249" s="7">
        <f t="shared" si="237"/>
        <v>0</v>
      </c>
      <c r="DP249" s="7">
        <f t="shared" si="238"/>
        <v>0</v>
      </c>
      <c r="DQ249" s="7">
        <f t="shared" si="239"/>
        <v>0</v>
      </c>
      <c r="DR249" s="7">
        <f t="shared" si="240"/>
        <v>0</v>
      </c>
      <c r="DS249" s="7">
        <f t="shared" si="241"/>
        <v>0</v>
      </c>
      <c r="DT249" s="7">
        <f t="shared" si="242"/>
        <v>0</v>
      </c>
      <c r="DU249" s="7">
        <f t="shared" si="243"/>
        <v>0</v>
      </c>
    </row>
    <row r="250" spans="1:125" x14ac:dyDescent="0.2">
      <c r="A250" s="3">
        <f>Bonds!A250</f>
        <v>49171</v>
      </c>
      <c r="B250" s="4">
        <f>Bonds!B250</f>
        <v>3.875</v>
      </c>
      <c r="C250">
        <f>Bonds!P250</f>
        <v>16</v>
      </c>
      <c r="D250">
        <f t="shared" si="183"/>
        <v>0</v>
      </c>
      <c r="E250" s="3">
        <f>IF(1&gt;$C250,"",IF($D250=1,EOMONTH(EDATE(Bonds!$H250,6*(1-1)),0),EDATE(Bonds!$H250,6*(1-1))))</f>
        <v>46433</v>
      </c>
      <c r="F250" s="3">
        <f>IF(2&gt;$C250,"",IF($D250=1,EOMONTH(EDATE(Bonds!$H250,6*(2-1)),0),EDATE(Bonds!$H250,6*(2-1))))</f>
        <v>46614</v>
      </c>
      <c r="G250" s="3">
        <f>IF(3&gt;$C250,"",IF($D250=1,EOMONTH(EDATE(Bonds!$H250,6*(3-1)),0),EDATE(Bonds!$H250,6*(3-1))))</f>
        <v>46798</v>
      </c>
      <c r="H250" s="3">
        <f>IF(4&gt;$C250,"",IF($D250=1,EOMONTH(EDATE(Bonds!$H250,6*(4-1)),0),EDATE(Bonds!$H250,6*(4-1))))</f>
        <v>46980</v>
      </c>
      <c r="I250" s="3">
        <f>IF(5&gt;$C250,"",IF($D250=1,EOMONTH(EDATE(Bonds!$H250,6*(5-1)),0),EDATE(Bonds!$H250,6*(5-1))))</f>
        <v>47164</v>
      </c>
      <c r="J250" s="3">
        <f>IF(6&gt;$C250,"",IF($D250=1,EOMONTH(EDATE(Bonds!$H250,6*(6-1)),0),EDATE(Bonds!$H250,6*(6-1))))</f>
        <v>47345</v>
      </c>
      <c r="K250" s="3">
        <f>IF(7&gt;$C250,"",IF($D250=1,EOMONTH(EDATE(Bonds!$H250,6*(7-1)),0),EDATE(Bonds!$H250,6*(7-1))))</f>
        <v>47529</v>
      </c>
      <c r="L250" s="3">
        <f>IF(8&gt;$C250,"",IF($D250=1,EOMONTH(EDATE(Bonds!$H250,6*(8-1)),0),EDATE(Bonds!$H250,6*(8-1))))</f>
        <v>47710</v>
      </c>
      <c r="M250" s="3">
        <f>IF(9&gt;$C250,"",IF($D250=1,EOMONTH(EDATE(Bonds!$H250,6*(9-1)),0),EDATE(Bonds!$H250,6*(9-1))))</f>
        <v>47894</v>
      </c>
      <c r="N250" s="3">
        <f>IF(10&gt;$C250,"",IF($D250=1,EOMONTH(EDATE(Bonds!$H250,6*(10-1)),0),EDATE(Bonds!$H250,6*(10-1))))</f>
        <v>48075</v>
      </c>
      <c r="O250" s="3">
        <f>IF(11&gt;$C250,"",IF($D250=1,EOMONTH(EDATE(Bonds!$H250,6*(11-1)),0),EDATE(Bonds!$H250,6*(11-1))))</f>
        <v>48259</v>
      </c>
      <c r="P250" s="3">
        <f>IF(12&gt;$C250,"",IF($D250=1,EOMONTH(EDATE(Bonds!$H250,6*(12-1)),0),EDATE(Bonds!$H250,6*(12-1))))</f>
        <v>48441</v>
      </c>
      <c r="Q250" s="3">
        <f>IF(13&gt;$C250,"",IF($D250=1,EOMONTH(EDATE(Bonds!$H250,6*(13-1)),0),EDATE(Bonds!$H250,6*(13-1))))</f>
        <v>48625</v>
      </c>
      <c r="R250" s="3">
        <f>IF(14&gt;$C250,"",IF($D250=1,EOMONTH(EDATE(Bonds!$H250,6*(14-1)),0),EDATE(Bonds!$H250,6*(14-1))))</f>
        <v>48806</v>
      </c>
      <c r="S250" s="3">
        <f>IF(15&gt;$C250,"",IF($D250=1,EOMONTH(EDATE(Bonds!$H250,6*(15-1)),0),EDATE(Bonds!$H250,6*(15-1))))</f>
        <v>48990</v>
      </c>
      <c r="T250" s="3">
        <f>IF(16&gt;$C250,"",IF($D250=1,EOMONTH(EDATE(Bonds!$H250,6*(16-1)),0),EDATE(Bonds!$H250,6*(16-1))))</f>
        <v>49171</v>
      </c>
      <c r="U250" s="3" t="str">
        <f>IF(17&gt;$C250,"",IF($D250=1,EOMONTH(EDATE(Bonds!$H250,6*(17-1)),0),EDATE(Bonds!$H250,6*(17-1))))</f>
        <v/>
      </c>
      <c r="V250" s="3" t="str">
        <f>IF(18&gt;$C250,"",IF($D250=1,EOMONTH(EDATE(Bonds!$H250,6*(18-1)),0),EDATE(Bonds!$H250,6*(18-1))))</f>
        <v/>
      </c>
      <c r="W250" s="3" t="str">
        <f>IF(19&gt;$C250,"",IF($D250=1,EOMONTH(EDATE(Bonds!$H250,6*(19-1)),0),EDATE(Bonds!$H250,6*(19-1))))</f>
        <v/>
      </c>
      <c r="X250" s="3" t="str">
        <f>IF(20&gt;$C250,"",IF($D250=1,EOMONTH(EDATE(Bonds!$H250,6*(20-1)),0),EDATE(Bonds!$H250,6*(20-1))))</f>
        <v/>
      </c>
      <c r="Y250" s="3" t="str">
        <f>IF(21&gt;$C250,"",IF($D250=1,EOMONTH(EDATE(Bonds!$H250,6*(21-1)),0),EDATE(Bonds!$H250,6*(21-1))))</f>
        <v/>
      </c>
      <c r="Z250" s="3" t="str">
        <f>IF(22&gt;$C250,"",IF($D250=1,EOMONTH(EDATE(Bonds!$H250,6*(22-1)),0),EDATE(Bonds!$H250,6*(22-1))))</f>
        <v/>
      </c>
      <c r="AA250" s="3" t="str">
        <f>IF(23&gt;$C250,"",IF($D250=1,EOMONTH(EDATE(Bonds!$H250,6*(23-1)),0),EDATE(Bonds!$H250,6*(23-1))))</f>
        <v/>
      </c>
      <c r="AB250" s="3" t="str">
        <f>IF(24&gt;$C250,"",IF($D250=1,EOMONTH(EDATE(Bonds!$H250,6*(24-1)),0),EDATE(Bonds!$H250,6*(24-1))))</f>
        <v/>
      </c>
      <c r="AC250" s="3" t="str">
        <f>IF(25&gt;$C250,"",IF($D250=1,EOMONTH(EDATE(Bonds!$H250,6*(25-1)),0),EDATE(Bonds!$H250,6*(25-1))))</f>
        <v/>
      </c>
      <c r="AD250" s="3" t="str">
        <f>IF(26&gt;$C250,"",IF($D250=1,EOMONTH(EDATE(Bonds!$H250,6*(26-1)),0),EDATE(Bonds!$H250,6*(26-1))))</f>
        <v/>
      </c>
      <c r="AE250" s="3" t="str">
        <f>IF(27&gt;$C250,"",IF($D250=1,EOMONTH(EDATE(Bonds!$H250,6*(27-1)),0),EDATE(Bonds!$H250,6*(27-1))))</f>
        <v/>
      </c>
      <c r="AF250" s="3" t="str">
        <f>IF(28&gt;$C250,"",IF($D250=1,EOMONTH(EDATE(Bonds!$H250,6*(28-1)),0),EDATE(Bonds!$H250,6*(28-1))))</f>
        <v/>
      </c>
      <c r="AG250" s="3" t="str">
        <f>IF(29&gt;$C250,"",IF($D250=1,EOMONTH(EDATE(Bonds!$H250,6*(29-1)),0),EDATE(Bonds!$H250,6*(29-1))))</f>
        <v/>
      </c>
      <c r="AH250" s="3" t="str">
        <f>IF(30&gt;$C250,"",IF($D250=1,EOMONTH(EDATE(Bonds!$H250,6*(30-1)),0),EDATE(Bonds!$H250,6*(30-1))))</f>
        <v/>
      </c>
      <c r="AI250" s="3" t="str">
        <f>IF(31&gt;$C250,"",IF($D250=1,EOMONTH(EDATE(Bonds!$H250,6*(31-1)),0),EDATE(Bonds!$H250,6*(31-1))))</f>
        <v/>
      </c>
      <c r="AJ250" s="3" t="str">
        <f>IF(32&gt;$C250,"",IF($D250=1,EOMONTH(EDATE(Bonds!$H250,6*(32-1)),0),EDATE(Bonds!$H250,6*(32-1))))</f>
        <v/>
      </c>
      <c r="AK250" s="3" t="str">
        <f>IF(33&gt;$C250,"",IF($D250=1,EOMONTH(EDATE(Bonds!$H250,6*(33-1)),0),EDATE(Bonds!$H250,6*(33-1))))</f>
        <v/>
      </c>
      <c r="AL250" s="3" t="str">
        <f>IF(34&gt;$C250,"",IF($D250=1,EOMONTH(EDATE(Bonds!$H250,6*(34-1)),0),EDATE(Bonds!$H250,6*(34-1))))</f>
        <v/>
      </c>
      <c r="AM250" s="3" t="str">
        <f>IF(35&gt;$C250,"",IF($D250=1,EOMONTH(EDATE(Bonds!$H250,6*(35-1)),0),EDATE(Bonds!$H250,6*(35-1))))</f>
        <v/>
      </c>
      <c r="AN250" s="3" t="str">
        <f>IF(36&gt;$C250,"",IF($D250=1,EOMONTH(EDATE(Bonds!$H250,6*(36-1)),0),EDATE(Bonds!$H250,6*(36-1))))</f>
        <v/>
      </c>
      <c r="AO250" s="3" t="str">
        <f>IF(37&gt;$C250,"",IF($D250=1,EOMONTH(EDATE(Bonds!$H250,6*(37-1)),0),EDATE(Bonds!$H250,6*(37-1))))</f>
        <v/>
      </c>
      <c r="AP250" s="3" t="str">
        <f>IF(38&gt;$C250,"",IF($D250=1,EOMONTH(EDATE(Bonds!$H250,6*(38-1)),0),EDATE(Bonds!$H250,6*(38-1))))</f>
        <v/>
      </c>
      <c r="AQ250" s="3" t="str">
        <f>IF(39&gt;$C250,"",IF($D250=1,EOMONTH(EDATE(Bonds!$H250,6*(39-1)),0),EDATE(Bonds!$H250,6*(39-1))))</f>
        <v/>
      </c>
      <c r="AR250" s="3" t="str">
        <f>IF(40&gt;$C250,"",IF($D250=1,EOMONTH(EDATE(Bonds!$H250,6*(40-1)),0),EDATE(Bonds!$H250,6*(40-1))))</f>
        <v/>
      </c>
      <c r="AS250" s="3" t="str">
        <f>IF(41&gt;$C250,"",IF($D250=1,EOMONTH(EDATE(Bonds!$H250,6*(41-1)),0),EDATE(Bonds!$H250,6*(41-1))))</f>
        <v/>
      </c>
      <c r="AT250" s="3" t="str">
        <f>IF(42&gt;$C250,"",IF($D250=1,EOMONTH(EDATE(Bonds!$H250,6*(42-1)),0),EDATE(Bonds!$H250,6*(42-1))))</f>
        <v/>
      </c>
      <c r="AU250" s="3" t="str">
        <f>IF(43&gt;$C250,"",IF($D250=1,EOMONTH(EDATE(Bonds!$H250,6*(43-1)),0),EDATE(Bonds!$H250,6*(43-1))))</f>
        <v/>
      </c>
      <c r="AV250" s="3" t="str">
        <f>IF(44&gt;$C250,"",IF($D250=1,EOMONTH(EDATE(Bonds!$H250,6*(44-1)),0),EDATE(Bonds!$H250,6*(44-1))))</f>
        <v/>
      </c>
      <c r="AW250" s="3" t="str">
        <f>IF(45&gt;$C250,"",IF($D250=1,EOMONTH(EDATE(Bonds!$H250,6*(45-1)),0),EDATE(Bonds!$H250,6*(45-1))))</f>
        <v/>
      </c>
      <c r="AX250" s="3" t="str">
        <f>IF(46&gt;$C250,"",IF($D250=1,EOMONTH(EDATE(Bonds!$H250,6*(46-1)),0),EDATE(Bonds!$H250,6*(46-1))))</f>
        <v/>
      </c>
      <c r="AY250" s="3" t="str">
        <f>IF(47&gt;$C250,"",IF($D250=1,EOMONTH(EDATE(Bonds!$H250,6*(47-1)),0),EDATE(Bonds!$H250,6*(47-1))))</f>
        <v/>
      </c>
      <c r="AZ250" s="3" t="str">
        <f>IF(48&gt;$C250,"",IF($D250=1,EOMONTH(EDATE(Bonds!$H250,6*(48-1)),0),EDATE(Bonds!$H250,6*(48-1))))</f>
        <v/>
      </c>
      <c r="BA250" s="3" t="str">
        <f>IF(49&gt;$C250,"",IF($D250=1,EOMONTH(EDATE(Bonds!$H250,6*(49-1)),0),EDATE(Bonds!$H250,6*(49-1))))</f>
        <v/>
      </c>
      <c r="BB250" s="3" t="str">
        <f>IF(50&gt;$C250,"",IF($D250=1,EOMONTH(EDATE(Bonds!$H250,6*(50-1)),0),EDATE(Bonds!$H250,6*(50-1))))</f>
        <v/>
      </c>
      <c r="BC250" s="3" t="str">
        <f>IF(51&gt;$C250,"",IF($D250=1,EOMONTH(EDATE(Bonds!$H250,6*(51-1)),0),EDATE(Bonds!$H250,6*(51-1))))</f>
        <v/>
      </c>
      <c r="BD250" s="3" t="str">
        <f>IF(52&gt;$C250,"",IF($D250=1,EOMONTH(EDATE(Bonds!$H250,6*(52-1)),0),EDATE(Bonds!$H250,6*(52-1))))</f>
        <v/>
      </c>
      <c r="BE250" s="3" t="str">
        <f>IF(53&gt;$C250,"",IF($D250=1,EOMONTH(EDATE(Bonds!$H250,6*(53-1)),0),EDATE(Bonds!$H250,6*(53-1))))</f>
        <v/>
      </c>
      <c r="BF250" s="3" t="str">
        <f>IF(54&gt;$C250,"",IF($D250=1,EOMONTH(EDATE(Bonds!$H250,6*(54-1)),0),EDATE(Bonds!$H250,6*(54-1))))</f>
        <v/>
      </c>
      <c r="BG250" s="3" t="str">
        <f>IF(55&gt;$C250,"",IF($D250=1,EOMONTH(EDATE(Bonds!$H250,6*(55-1)),0),EDATE(Bonds!$H250,6*(55-1))))</f>
        <v/>
      </c>
      <c r="BH250" s="3" t="str">
        <f>IF(56&gt;$C250,"",IF($D250=1,EOMONTH(EDATE(Bonds!$H250,6*(56-1)),0),EDATE(Bonds!$H250,6*(56-1))))</f>
        <v/>
      </c>
      <c r="BI250" s="3" t="str">
        <f>IF(57&gt;$C250,"",IF($D250=1,EOMONTH(EDATE(Bonds!$H250,6*(57-1)),0),EDATE(Bonds!$H250,6*(57-1))))</f>
        <v/>
      </c>
      <c r="BJ250" s="3" t="str">
        <f>IF(58&gt;$C250,"",IF($D250=1,EOMONTH(EDATE(Bonds!$H250,6*(58-1)),0),EDATE(Bonds!$H250,6*(58-1))))</f>
        <v/>
      </c>
      <c r="BK250" s="3" t="str">
        <f>IF(59&gt;$C250,"",IF($D250=1,EOMONTH(EDATE(Bonds!$H250,6*(59-1)),0),EDATE(Bonds!$H250,6*(59-1))))</f>
        <v/>
      </c>
      <c r="BL250" s="3" t="str">
        <f>IF(60&gt;$C250,"",IF($D250=1,EOMONTH(EDATE(Bonds!$H250,6*(60-1)),0),EDATE(Bonds!$H250,6*(60-1))))</f>
        <v/>
      </c>
      <c r="BN250" s="7">
        <f t="shared" si="184"/>
        <v>1.9046389969194721</v>
      </c>
      <c r="BO250" s="7">
        <f t="shared" si="185"/>
        <v>1.864492399579315</v>
      </c>
      <c r="BP250" s="7">
        <f t="shared" si="186"/>
        <v>1.8226723339348871</v>
      </c>
      <c r="BQ250" s="7">
        <f t="shared" si="187"/>
        <v>1.7815476656488105</v>
      </c>
      <c r="BR250" s="7">
        <f t="shared" si="188"/>
        <v>1.7407897255478653</v>
      </c>
      <c r="BS250" s="7">
        <f t="shared" si="189"/>
        <v>1.701675268838019</v>
      </c>
      <c r="BT250" s="7">
        <f t="shared" si="190"/>
        <v>1.6628782357549501</v>
      </c>
      <c r="BU250" s="7">
        <f t="shared" si="191"/>
        <v>1.6255407232982924</v>
      </c>
      <c r="BV250" s="7">
        <f t="shared" si="192"/>
        <v>1.5882691110365437</v>
      </c>
      <c r="BW250" s="7">
        <f t="shared" si="193"/>
        <v>1.5521324634478342</v>
      </c>
      <c r="BX250" s="7">
        <f t="shared" si="194"/>
        <v>1.5158079694676549</v>
      </c>
      <c r="BY250" s="7">
        <f t="shared" si="195"/>
        <v>1.4801940758050736</v>
      </c>
      <c r="BZ250" s="7">
        <f t="shared" si="196"/>
        <v>1.4444472368859818</v>
      </c>
      <c r="CA250" s="7">
        <f t="shared" si="197"/>
        <v>1.4095065049645454</v>
      </c>
      <c r="CB250" s="7">
        <f t="shared" si="198"/>
        <v>1.3742079609764795</v>
      </c>
      <c r="CC250" s="7">
        <f t="shared" si="199"/>
        <v>70.486387888323208</v>
      </c>
      <c r="CD250" s="7">
        <f t="shared" si="200"/>
        <v>0</v>
      </c>
      <c r="CE250" s="7">
        <f t="shared" si="201"/>
        <v>0</v>
      </c>
      <c r="CF250" s="7">
        <f t="shared" si="202"/>
        <v>0</v>
      </c>
      <c r="CG250" s="7">
        <f t="shared" si="203"/>
        <v>0</v>
      </c>
      <c r="CH250" s="7">
        <f t="shared" si="204"/>
        <v>0</v>
      </c>
      <c r="CI250" s="7">
        <f t="shared" si="205"/>
        <v>0</v>
      </c>
      <c r="CJ250" s="7">
        <f t="shared" si="206"/>
        <v>0</v>
      </c>
      <c r="CK250" s="7">
        <f t="shared" si="207"/>
        <v>0</v>
      </c>
      <c r="CL250" s="7">
        <f t="shared" si="208"/>
        <v>0</v>
      </c>
      <c r="CM250" s="7">
        <f t="shared" si="209"/>
        <v>0</v>
      </c>
      <c r="CN250" s="7">
        <f t="shared" si="210"/>
        <v>0</v>
      </c>
      <c r="CO250" s="7">
        <f t="shared" si="211"/>
        <v>0</v>
      </c>
      <c r="CP250" s="7">
        <f t="shared" si="212"/>
        <v>0</v>
      </c>
      <c r="CQ250" s="7">
        <f t="shared" si="213"/>
        <v>0</v>
      </c>
      <c r="CR250" s="7">
        <f t="shared" si="214"/>
        <v>0</v>
      </c>
      <c r="CS250" s="7">
        <f t="shared" si="215"/>
        <v>0</v>
      </c>
      <c r="CT250" s="7">
        <f t="shared" si="216"/>
        <v>0</v>
      </c>
      <c r="CU250" s="7">
        <f t="shared" si="217"/>
        <v>0</v>
      </c>
      <c r="CV250" s="7">
        <f t="shared" si="218"/>
        <v>0</v>
      </c>
      <c r="CW250" s="7">
        <f t="shared" si="219"/>
        <v>0</v>
      </c>
      <c r="CX250" s="7">
        <f t="shared" si="220"/>
        <v>0</v>
      </c>
      <c r="CY250" s="7">
        <f t="shared" si="221"/>
        <v>0</v>
      </c>
      <c r="CZ250" s="7">
        <f t="shared" si="222"/>
        <v>0</v>
      </c>
      <c r="DA250" s="7">
        <f t="shared" si="223"/>
        <v>0</v>
      </c>
      <c r="DB250" s="7">
        <f t="shared" si="224"/>
        <v>0</v>
      </c>
      <c r="DC250" s="7">
        <f t="shared" si="225"/>
        <v>0</v>
      </c>
      <c r="DD250" s="7">
        <f t="shared" si="226"/>
        <v>0</v>
      </c>
      <c r="DE250" s="7">
        <f t="shared" si="227"/>
        <v>0</v>
      </c>
      <c r="DF250" s="7">
        <f t="shared" si="228"/>
        <v>0</v>
      </c>
      <c r="DG250" s="7">
        <f t="shared" si="229"/>
        <v>0</v>
      </c>
      <c r="DH250" s="7">
        <f t="shared" si="230"/>
        <v>0</v>
      </c>
      <c r="DI250" s="7">
        <f t="shared" si="231"/>
        <v>0</v>
      </c>
      <c r="DJ250" s="7">
        <f t="shared" si="232"/>
        <v>0</v>
      </c>
      <c r="DK250" s="7">
        <f t="shared" si="233"/>
        <v>0</v>
      </c>
      <c r="DL250" s="7">
        <f t="shared" si="234"/>
        <v>0</v>
      </c>
      <c r="DM250" s="7">
        <f t="shared" si="235"/>
        <v>0</v>
      </c>
      <c r="DN250" s="7">
        <f t="shared" si="236"/>
        <v>0</v>
      </c>
      <c r="DO250" s="7">
        <f t="shared" si="237"/>
        <v>0</v>
      </c>
      <c r="DP250" s="7">
        <f t="shared" si="238"/>
        <v>0</v>
      </c>
      <c r="DQ250" s="7">
        <f t="shared" si="239"/>
        <v>0</v>
      </c>
      <c r="DR250" s="7">
        <f t="shared" si="240"/>
        <v>0</v>
      </c>
      <c r="DS250" s="7">
        <f t="shared" si="241"/>
        <v>0</v>
      </c>
      <c r="DT250" s="7">
        <f t="shared" si="242"/>
        <v>0</v>
      </c>
      <c r="DU250" s="7">
        <f t="shared" si="243"/>
        <v>0</v>
      </c>
    </row>
    <row r="251" spans="1:125" x14ac:dyDescent="0.2">
      <c r="A251" s="3">
        <f>Bonds!A251</f>
        <v>49263</v>
      </c>
      <c r="B251" s="4">
        <f>Bonds!B251</f>
        <v>4.25</v>
      </c>
      <c r="C251">
        <f>Bonds!P251</f>
        <v>17</v>
      </c>
      <c r="D251">
        <f t="shared" si="183"/>
        <v>0</v>
      </c>
      <c r="E251" s="3">
        <f>IF(1&gt;$C251,"",IF($D251=1,EOMONTH(EDATE(Bonds!$H251,6*(1-1)),0),EDATE(Bonds!$H251,6*(1-1))))</f>
        <v>46341</v>
      </c>
      <c r="F251" s="3">
        <f>IF(2&gt;$C251,"",IF($D251=1,EOMONTH(EDATE(Bonds!$H251,6*(2-1)),0),EDATE(Bonds!$H251,6*(2-1))))</f>
        <v>46522</v>
      </c>
      <c r="G251" s="3">
        <f>IF(3&gt;$C251,"",IF($D251=1,EOMONTH(EDATE(Bonds!$H251,6*(3-1)),0),EDATE(Bonds!$H251,6*(3-1))))</f>
        <v>46706</v>
      </c>
      <c r="H251" s="3">
        <f>IF(4&gt;$C251,"",IF($D251=1,EOMONTH(EDATE(Bonds!$H251,6*(4-1)),0),EDATE(Bonds!$H251,6*(4-1))))</f>
        <v>46888</v>
      </c>
      <c r="I251" s="3">
        <f>IF(5&gt;$C251,"",IF($D251=1,EOMONTH(EDATE(Bonds!$H251,6*(5-1)),0),EDATE(Bonds!$H251,6*(5-1))))</f>
        <v>47072</v>
      </c>
      <c r="J251" s="3">
        <f>IF(6&gt;$C251,"",IF($D251=1,EOMONTH(EDATE(Bonds!$H251,6*(6-1)),0),EDATE(Bonds!$H251,6*(6-1))))</f>
        <v>47253</v>
      </c>
      <c r="K251" s="3">
        <f>IF(7&gt;$C251,"",IF($D251=1,EOMONTH(EDATE(Bonds!$H251,6*(7-1)),0),EDATE(Bonds!$H251,6*(7-1))))</f>
        <v>47437</v>
      </c>
      <c r="L251" s="3">
        <f>IF(8&gt;$C251,"",IF($D251=1,EOMONTH(EDATE(Bonds!$H251,6*(8-1)),0),EDATE(Bonds!$H251,6*(8-1))))</f>
        <v>47618</v>
      </c>
      <c r="M251" s="3">
        <f>IF(9&gt;$C251,"",IF($D251=1,EOMONTH(EDATE(Bonds!$H251,6*(9-1)),0),EDATE(Bonds!$H251,6*(9-1))))</f>
        <v>47802</v>
      </c>
      <c r="N251" s="3">
        <f>IF(10&gt;$C251,"",IF($D251=1,EOMONTH(EDATE(Bonds!$H251,6*(10-1)),0),EDATE(Bonds!$H251,6*(10-1))))</f>
        <v>47983</v>
      </c>
      <c r="O251" s="3">
        <f>IF(11&gt;$C251,"",IF($D251=1,EOMONTH(EDATE(Bonds!$H251,6*(11-1)),0),EDATE(Bonds!$H251,6*(11-1))))</f>
        <v>48167</v>
      </c>
      <c r="P251" s="3">
        <f>IF(12&gt;$C251,"",IF($D251=1,EOMONTH(EDATE(Bonds!$H251,6*(12-1)),0),EDATE(Bonds!$H251,6*(12-1))))</f>
        <v>48349</v>
      </c>
      <c r="Q251" s="3">
        <f>IF(13&gt;$C251,"",IF($D251=1,EOMONTH(EDATE(Bonds!$H251,6*(13-1)),0),EDATE(Bonds!$H251,6*(13-1))))</f>
        <v>48533</v>
      </c>
      <c r="R251" s="3">
        <f>IF(14&gt;$C251,"",IF($D251=1,EOMONTH(EDATE(Bonds!$H251,6*(14-1)),0),EDATE(Bonds!$H251,6*(14-1))))</f>
        <v>48714</v>
      </c>
      <c r="S251" s="3">
        <f>IF(15&gt;$C251,"",IF($D251=1,EOMONTH(EDATE(Bonds!$H251,6*(15-1)),0),EDATE(Bonds!$H251,6*(15-1))))</f>
        <v>48898</v>
      </c>
      <c r="T251" s="3">
        <f>IF(16&gt;$C251,"",IF($D251=1,EOMONTH(EDATE(Bonds!$H251,6*(16-1)),0),EDATE(Bonds!$H251,6*(16-1))))</f>
        <v>49079</v>
      </c>
      <c r="U251" s="3">
        <f>IF(17&gt;$C251,"",IF($D251=1,EOMONTH(EDATE(Bonds!$H251,6*(17-1)),0),EDATE(Bonds!$H251,6*(17-1))))</f>
        <v>49263</v>
      </c>
      <c r="V251" s="3" t="str">
        <f>IF(18&gt;$C251,"",IF($D251=1,EOMONTH(EDATE(Bonds!$H251,6*(18-1)),0),EDATE(Bonds!$H251,6*(18-1))))</f>
        <v/>
      </c>
      <c r="W251" s="3" t="str">
        <f>IF(19&gt;$C251,"",IF($D251=1,EOMONTH(EDATE(Bonds!$H251,6*(19-1)),0),EDATE(Bonds!$H251,6*(19-1))))</f>
        <v/>
      </c>
      <c r="X251" s="3" t="str">
        <f>IF(20&gt;$C251,"",IF($D251=1,EOMONTH(EDATE(Bonds!$H251,6*(20-1)),0),EDATE(Bonds!$H251,6*(20-1))))</f>
        <v/>
      </c>
      <c r="Y251" s="3" t="str">
        <f>IF(21&gt;$C251,"",IF($D251=1,EOMONTH(EDATE(Bonds!$H251,6*(21-1)),0),EDATE(Bonds!$H251,6*(21-1))))</f>
        <v/>
      </c>
      <c r="Z251" s="3" t="str">
        <f>IF(22&gt;$C251,"",IF($D251=1,EOMONTH(EDATE(Bonds!$H251,6*(22-1)),0),EDATE(Bonds!$H251,6*(22-1))))</f>
        <v/>
      </c>
      <c r="AA251" s="3" t="str">
        <f>IF(23&gt;$C251,"",IF($D251=1,EOMONTH(EDATE(Bonds!$H251,6*(23-1)),0),EDATE(Bonds!$H251,6*(23-1))))</f>
        <v/>
      </c>
      <c r="AB251" s="3" t="str">
        <f>IF(24&gt;$C251,"",IF($D251=1,EOMONTH(EDATE(Bonds!$H251,6*(24-1)),0),EDATE(Bonds!$H251,6*(24-1))))</f>
        <v/>
      </c>
      <c r="AC251" s="3" t="str">
        <f>IF(25&gt;$C251,"",IF($D251=1,EOMONTH(EDATE(Bonds!$H251,6*(25-1)),0),EDATE(Bonds!$H251,6*(25-1))))</f>
        <v/>
      </c>
      <c r="AD251" s="3" t="str">
        <f>IF(26&gt;$C251,"",IF($D251=1,EOMONTH(EDATE(Bonds!$H251,6*(26-1)),0),EDATE(Bonds!$H251,6*(26-1))))</f>
        <v/>
      </c>
      <c r="AE251" s="3" t="str">
        <f>IF(27&gt;$C251,"",IF($D251=1,EOMONTH(EDATE(Bonds!$H251,6*(27-1)),0),EDATE(Bonds!$H251,6*(27-1))))</f>
        <v/>
      </c>
      <c r="AF251" s="3" t="str">
        <f>IF(28&gt;$C251,"",IF($D251=1,EOMONTH(EDATE(Bonds!$H251,6*(28-1)),0),EDATE(Bonds!$H251,6*(28-1))))</f>
        <v/>
      </c>
      <c r="AG251" s="3" t="str">
        <f>IF(29&gt;$C251,"",IF($D251=1,EOMONTH(EDATE(Bonds!$H251,6*(29-1)),0),EDATE(Bonds!$H251,6*(29-1))))</f>
        <v/>
      </c>
      <c r="AH251" s="3" t="str">
        <f>IF(30&gt;$C251,"",IF($D251=1,EOMONTH(EDATE(Bonds!$H251,6*(30-1)),0),EDATE(Bonds!$H251,6*(30-1))))</f>
        <v/>
      </c>
      <c r="AI251" s="3" t="str">
        <f>IF(31&gt;$C251,"",IF($D251=1,EOMONTH(EDATE(Bonds!$H251,6*(31-1)),0),EDATE(Bonds!$H251,6*(31-1))))</f>
        <v/>
      </c>
      <c r="AJ251" s="3" t="str">
        <f>IF(32&gt;$C251,"",IF($D251=1,EOMONTH(EDATE(Bonds!$H251,6*(32-1)),0),EDATE(Bonds!$H251,6*(32-1))))</f>
        <v/>
      </c>
      <c r="AK251" s="3" t="str">
        <f>IF(33&gt;$C251,"",IF($D251=1,EOMONTH(EDATE(Bonds!$H251,6*(33-1)),0),EDATE(Bonds!$H251,6*(33-1))))</f>
        <v/>
      </c>
      <c r="AL251" s="3" t="str">
        <f>IF(34&gt;$C251,"",IF($D251=1,EOMONTH(EDATE(Bonds!$H251,6*(34-1)),0),EDATE(Bonds!$H251,6*(34-1))))</f>
        <v/>
      </c>
      <c r="AM251" s="3" t="str">
        <f>IF(35&gt;$C251,"",IF($D251=1,EOMONTH(EDATE(Bonds!$H251,6*(35-1)),0),EDATE(Bonds!$H251,6*(35-1))))</f>
        <v/>
      </c>
      <c r="AN251" s="3" t="str">
        <f>IF(36&gt;$C251,"",IF($D251=1,EOMONTH(EDATE(Bonds!$H251,6*(36-1)),0),EDATE(Bonds!$H251,6*(36-1))))</f>
        <v/>
      </c>
      <c r="AO251" s="3" t="str">
        <f>IF(37&gt;$C251,"",IF($D251=1,EOMONTH(EDATE(Bonds!$H251,6*(37-1)),0),EDATE(Bonds!$H251,6*(37-1))))</f>
        <v/>
      </c>
      <c r="AP251" s="3" t="str">
        <f>IF(38&gt;$C251,"",IF($D251=1,EOMONTH(EDATE(Bonds!$H251,6*(38-1)),0),EDATE(Bonds!$H251,6*(38-1))))</f>
        <v/>
      </c>
      <c r="AQ251" s="3" t="str">
        <f>IF(39&gt;$C251,"",IF($D251=1,EOMONTH(EDATE(Bonds!$H251,6*(39-1)),0),EDATE(Bonds!$H251,6*(39-1))))</f>
        <v/>
      </c>
      <c r="AR251" s="3" t="str">
        <f>IF(40&gt;$C251,"",IF($D251=1,EOMONTH(EDATE(Bonds!$H251,6*(40-1)),0),EDATE(Bonds!$H251,6*(40-1))))</f>
        <v/>
      </c>
      <c r="AS251" s="3" t="str">
        <f>IF(41&gt;$C251,"",IF($D251=1,EOMONTH(EDATE(Bonds!$H251,6*(41-1)),0),EDATE(Bonds!$H251,6*(41-1))))</f>
        <v/>
      </c>
      <c r="AT251" s="3" t="str">
        <f>IF(42&gt;$C251,"",IF($D251=1,EOMONTH(EDATE(Bonds!$H251,6*(42-1)),0),EDATE(Bonds!$H251,6*(42-1))))</f>
        <v/>
      </c>
      <c r="AU251" s="3" t="str">
        <f>IF(43&gt;$C251,"",IF($D251=1,EOMONTH(EDATE(Bonds!$H251,6*(43-1)),0),EDATE(Bonds!$H251,6*(43-1))))</f>
        <v/>
      </c>
      <c r="AV251" s="3" t="str">
        <f>IF(44&gt;$C251,"",IF($D251=1,EOMONTH(EDATE(Bonds!$H251,6*(44-1)),0),EDATE(Bonds!$H251,6*(44-1))))</f>
        <v/>
      </c>
      <c r="AW251" s="3" t="str">
        <f>IF(45&gt;$C251,"",IF($D251=1,EOMONTH(EDATE(Bonds!$H251,6*(45-1)),0),EDATE(Bonds!$H251,6*(45-1))))</f>
        <v/>
      </c>
      <c r="AX251" s="3" t="str">
        <f>IF(46&gt;$C251,"",IF($D251=1,EOMONTH(EDATE(Bonds!$H251,6*(46-1)),0),EDATE(Bonds!$H251,6*(46-1))))</f>
        <v/>
      </c>
      <c r="AY251" s="3" t="str">
        <f>IF(47&gt;$C251,"",IF($D251=1,EOMONTH(EDATE(Bonds!$H251,6*(47-1)),0),EDATE(Bonds!$H251,6*(47-1))))</f>
        <v/>
      </c>
      <c r="AZ251" s="3" t="str">
        <f>IF(48&gt;$C251,"",IF($D251=1,EOMONTH(EDATE(Bonds!$H251,6*(48-1)),0),EDATE(Bonds!$H251,6*(48-1))))</f>
        <v/>
      </c>
      <c r="BA251" s="3" t="str">
        <f>IF(49&gt;$C251,"",IF($D251=1,EOMONTH(EDATE(Bonds!$H251,6*(49-1)),0),EDATE(Bonds!$H251,6*(49-1))))</f>
        <v/>
      </c>
      <c r="BB251" s="3" t="str">
        <f>IF(50&gt;$C251,"",IF($D251=1,EOMONTH(EDATE(Bonds!$H251,6*(50-1)),0),EDATE(Bonds!$H251,6*(50-1))))</f>
        <v/>
      </c>
      <c r="BC251" s="3" t="str">
        <f>IF(51&gt;$C251,"",IF($D251=1,EOMONTH(EDATE(Bonds!$H251,6*(51-1)),0),EDATE(Bonds!$H251,6*(51-1))))</f>
        <v/>
      </c>
      <c r="BD251" s="3" t="str">
        <f>IF(52&gt;$C251,"",IF($D251=1,EOMONTH(EDATE(Bonds!$H251,6*(52-1)),0),EDATE(Bonds!$H251,6*(52-1))))</f>
        <v/>
      </c>
      <c r="BE251" s="3" t="str">
        <f>IF(53&gt;$C251,"",IF($D251=1,EOMONTH(EDATE(Bonds!$H251,6*(53-1)),0),EDATE(Bonds!$H251,6*(53-1))))</f>
        <v/>
      </c>
      <c r="BF251" s="3" t="str">
        <f>IF(54&gt;$C251,"",IF($D251=1,EOMONTH(EDATE(Bonds!$H251,6*(54-1)),0),EDATE(Bonds!$H251,6*(54-1))))</f>
        <v/>
      </c>
      <c r="BG251" s="3" t="str">
        <f>IF(55&gt;$C251,"",IF($D251=1,EOMONTH(EDATE(Bonds!$H251,6*(55-1)),0),EDATE(Bonds!$H251,6*(55-1))))</f>
        <v/>
      </c>
      <c r="BH251" s="3" t="str">
        <f>IF(56&gt;$C251,"",IF($D251=1,EOMONTH(EDATE(Bonds!$H251,6*(56-1)),0),EDATE(Bonds!$H251,6*(56-1))))</f>
        <v/>
      </c>
      <c r="BI251" s="3" t="str">
        <f>IF(57&gt;$C251,"",IF($D251=1,EOMONTH(EDATE(Bonds!$H251,6*(57-1)),0),EDATE(Bonds!$H251,6*(57-1))))</f>
        <v/>
      </c>
      <c r="BJ251" s="3" t="str">
        <f>IF(58&gt;$C251,"",IF($D251=1,EOMONTH(EDATE(Bonds!$H251,6*(58-1)),0),EDATE(Bonds!$H251,6*(58-1))))</f>
        <v/>
      </c>
      <c r="BK251" s="3" t="str">
        <f>IF(59&gt;$C251,"",IF($D251=1,EOMONTH(EDATE(Bonds!$H251,6*(59-1)),0),EDATE(Bonds!$H251,6*(59-1))))</f>
        <v/>
      </c>
      <c r="BL251" s="3" t="str">
        <f>IF(60&gt;$C251,"",IF($D251=1,EOMONTH(EDATE(Bonds!$H251,6*(60-1)),0),EDATE(Bonds!$H251,6*(60-1))))</f>
        <v/>
      </c>
      <c r="BN251" s="7">
        <f t="shared" si="184"/>
        <v>2.1101793630250394</v>
      </c>
      <c r="BO251" s="7">
        <f t="shared" si="185"/>
        <v>2.0675675937455984</v>
      </c>
      <c r="BP251" s="7">
        <f t="shared" si="186"/>
        <v>2.0220242606679357</v>
      </c>
      <c r="BQ251" s="7">
        <f t="shared" si="187"/>
        <v>1.9766710505748519</v>
      </c>
      <c r="BR251" s="7">
        <f t="shared" si="188"/>
        <v>1.9314718642984894</v>
      </c>
      <c r="BS251" s="7">
        <f t="shared" si="189"/>
        <v>1.8880242543959449</v>
      </c>
      <c r="BT251" s="7">
        <f t="shared" si="190"/>
        <v>1.8449514550960417</v>
      </c>
      <c r="BU251" s="7">
        <f t="shared" si="191"/>
        <v>1.8035636722324828</v>
      </c>
      <c r="BV251" s="7">
        <f t="shared" si="192"/>
        <v>1.7623279489280959</v>
      </c>
      <c r="BW251" s="7">
        <f t="shared" si="193"/>
        <v>1.7224215429418681</v>
      </c>
      <c r="BX251" s="7">
        <f t="shared" si="194"/>
        <v>1.6823693748405308</v>
      </c>
      <c r="BY251" s="7">
        <f t="shared" si="195"/>
        <v>1.6431453237168541</v>
      </c>
      <c r="BZ251" s="7">
        <f t="shared" si="196"/>
        <v>1.6038027770342798</v>
      </c>
      <c r="CA251" s="7">
        <f t="shared" si="197"/>
        <v>1.5653595884847493</v>
      </c>
      <c r="CB251" s="7">
        <f t="shared" si="198"/>
        <v>1.5265219623891284</v>
      </c>
      <c r="CC251" s="7">
        <f t="shared" si="199"/>
        <v>1.4885616409973996</v>
      </c>
      <c r="CD251" s="7">
        <f t="shared" si="200"/>
        <v>69.697066489831954</v>
      </c>
      <c r="CE251" s="7">
        <f t="shared" si="201"/>
        <v>0</v>
      </c>
      <c r="CF251" s="7">
        <f t="shared" si="202"/>
        <v>0</v>
      </c>
      <c r="CG251" s="7">
        <f t="shared" si="203"/>
        <v>0</v>
      </c>
      <c r="CH251" s="7">
        <f t="shared" si="204"/>
        <v>0</v>
      </c>
      <c r="CI251" s="7">
        <f t="shared" si="205"/>
        <v>0</v>
      </c>
      <c r="CJ251" s="7">
        <f t="shared" si="206"/>
        <v>0</v>
      </c>
      <c r="CK251" s="7">
        <f t="shared" si="207"/>
        <v>0</v>
      </c>
      <c r="CL251" s="7">
        <f t="shared" si="208"/>
        <v>0</v>
      </c>
      <c r="CM251" s="7">
        <f t="shared" si="209"/>
        <v>0</v>
      </c>
      <c r="CN251" s="7">
        <f t="shared" si="210"/>
        <v>0</v>
      </c>
      <c r="CO251" s="7">
        <f t="shared" si="211"/>
        <v>0</v>
      </c>
      <c r="CP251" s="7">
        <f t="shared" si="212"/>
        <v>0</v>
      </c>
      <c r="CQ251" s="7">
        <f t="shared" si="213"/>
        <v>0</v>
      </c>
      <c r="CR251" s="7">
        <f t="shared" si="214"/>
        <v>0</v>
      </c>
      <c r="CS251" s="7">
        <f t="shared" si="215"/>
        <v>0</v>
      </c>
      <c r="CT251" s="7">
        <f t="shared" si="216"/>
        <v>0</v>
      </c>
      <c r="CU251" s="7">
        <f t="shared" si="217"/>
        <v>0</v>
      </c>
      <c r="CV251" s="7">
        <f t="shared" si="218"/>
        <v>0</v>
      </c>
      <c r="CW251" s="7">
        <f t="shared" si="219"/>
        <v>0</v>
      </c>
      <c r="CX251" s="7">
        <f t="shared" si="220"/>
        <v>0</v>
      </c>
      <c r="CY251" s="7">
        <f t="shared" si="221"/>
        <v>0</v>
      </c>
      <c r="CZ251" s="7">
        <f t="shared" si="222"/>
        <v>0</v>
      </c>
      <c r="DA251" s="7">
        <f t="shared" si="223"/>
        <v>0</v>
      </c>
      <c r="DB251" s="7">
        <f t="shared" si="224"/>
        <v>0</v>
      </c>
      <c r="DC251" s="7">
        <f t="shared" si="225"/>
        <v>0</v>
      </c>
      <c r="DD251" s="7">
        <f t="shared" si="226"/>
        <v>0</v>
      </c>
      <c r="DE251" s="7">
        <f t="shared" si="227"/>
        <v>0</v>
      </c>
      <c r="DF251" s="7">
        <f t="shared" si="228"/>
        <v>0</v>
      </c>
      <c r="DG251" s="7">
        <f t="shared" si="229"/>
        <v>0</v>
      </c>
      <c r="DH251" s="7">
        <f t="shared" si="230"/>
        <v>0</v>
      </c>
      <c r="DI251" s="7">
        <f t="shared" si="231"/>
        <v>0</v>
      </c>
      <c r="DJ251" s="7">
        <f t="shared" si="232"/>
        <v>0</v>
      </c>
      <c r="DK251" s="7">
        <f t="shared" si="233"/>
        <v>0</v>
      </c>
      <c r="DL251" s="7">
        <f t="shared" si="234"/>
        <v>0</v>
      </c>
      <c r="DM251" s="7">
        <f t="shared" si="235"/>
        <v>0</v>
      </c>
      <c r="DN251" s="7">
        <f t="shared" si="236"/>
        <v>0</v>
      </c>
      <c r="DO251" s="7">
        <f t="shared" si="237"/>
        <v>0</v>
      </c>
      <c r="DP251" s="7">
        <f t="shared" si="238"/>
        <v>0</v>
      </c>
      <c r="DQ251" s="7">
        <f t="shared" si="239"/>
        <v>0</v>
      </c>
      <c r="DR251" s="7">
        <f t="shared" si="240"/>
        <v>0</v>
      </c>
      <c r="DS251" s="7">
        <f t="shared" si="241"/>
        <v>0</v>
      </c>
      <c r="DT251" s="7">
        <f t="shared" si="242"/>
        <v>0</v>
      </c>
      <c r="DU251" s="7">
        <f t="shared" si="243"/>
        <v>0</v>
      </c>
    </row>
    <row r="252" spans="1:125" x14ac:dyDescent="0.2">
      <c r="A252" s="3">
        <f>Bonds!A252</f>
        <v>49355</v>
      </c>
      <c r="B252" s="4">
        <f>Bonds!B252</f>
        <v>4.625</v>
      </c>
      <c r="C252">
        <f>Bonds!P252</f>
        <v>17</v>
      </c>
      <c r="D252">
        <f t="shared" si="183"/>
        <v>0</v>
      </c>
      <c r="E252" s="3">
        <f>IF(1&gt;$C252,"",IF($D252=1,EOMONTH(EDATE(Bonds!$H252,6*(1-1)),0),EDATE(Bonds!$H252,6*(1-1))))</f>
        <v>46433</v>
      </c>
      <c r="F252" s="3">
        <f>IF(2&gt;$C252,"",IF($D252=1,EOMONTH(EDATE(Bonds!$H252,6*(2-1)),0),EDATE(Bonds!$H252,6*(2-1))))</f>
        <v>46614</v>
      </c>
      <c r="G252" s="3">
        <f>IF(3&gt;$C252,"",IF($D252=1,EOMONTH(EDATE(Bonds!$H252,6*(3-1)),0),EDATE(Bonds!$H252,6*(3-1))))</f>
        <v>46798</v>
      </c>
      <c r="H252" s="3">
        <f>IF(4&gt;$C252,"",IF($D252=1,EOMONTH(EDATE(Bonds!$H252,6*(4-1)),0),EDATE(Bonds!$H252,6*(4-1))))</f>
        <v>46980</v>
      </c>
      <c r="I252" s="3">
        <f>IF(5&gt;$C252,"",IF($D252=1,EOMONTH(EDATE(Bonds!$H252,6*(5-1)),0),EDATE(Bonds!$H252,6*(5-1))))</f>
        <v>47164</v>
      </c>
      <c r="J252" s="3">
        <f>IF(6&gt;$C252,"",IF($D252=1,EOMONTH(EDATE(Bonds!$H252,6*(6-1)),0),EDATE(Bonds!$H252,6*(6-1))))</f>
        <v>47345</v>
      </c>
      <c r="K252" s="3">
        <f>IF(7&gt;$C252,"",IF($D252=1,EOMONTH(EDATE(Bonds!$H252,6*(7-1)),0),EDATE(Bonds!$H252,6*(7-1))))</f>
        <v>47529</v>
      </c>
      <c r="L252" s="3">
        <f>IF(8&gt;$C252,"",IF($D252=1,EOMONTH(EDATE(Bonds!$H252,6*(8-1)),0),EDATE(Bonds!$H252,6*(8-1))))</f>
        <v>47710</v>
      </c>
      <c r="M252" s="3">
        <f>IF(9&gt;$C252,"",IF($D252=1,EOMONTH(EDATE(Bonds!$H252,6*(9-1)),0),EDATE(Bonds!$H252,6*(9-1))))</f>
        <v>47894</v>
      </c>
      <c r="N252" s="3">
        <f>IF(10&gt;$C252,"",IF($D252=1,EOMONTH(EDATE(Bonds!$H252,6*(10-1)),0),EDATE(Bonds!$H252,6*(10-1))))</f>
        <v>48075</v>
      </c>
      <c r="O252" s="3">
        <f>IF(11&gt;$C252,"",IF($D252=1,EOMONTH(EDATE(Bonds!$H252,6*(11-1)),0),EDATE(Bonds!$H252,6*(11-1))))</f>
        <v>48259</v>
      </c>
      <c r="P252" s="3">
        <f>IF(12&gt;$C252,"",IF($D252=1,EOMONTH(EDATE(Bonds!$H252,6*(12-1)),0),EDATE(Bonds!$H252,6*(12-1))))</f>
        <v>48441</v>
      </c>
      <c r="Q252" s="3">
        <f>IF(13&gt;$C252,"",IF($D252=1,EOMONTH(EDATE(Bonds!$H252,6*(13-1)),0),EDATE(Bonds!$H252,6*(13-1))))</f>
        <v>48625</v>
      </c>
      <c r="R252" s="3">
        <f>IF(14&gt;$C252,"",IF($D252=1,EOMONTH(EDATE(Bonds!$H252,6*(14-1)),0),EDATE(Bonds!$H252,6*(14-1))))</f>
        <v>48806</v>
      </c>
      <c r="S252" s="3">
        <f>IF(15&gt;$C252,"",IF($D252=1,EOMONTH(EDATE(Bonds!$H252,6*(15-1)),0),EDATE(Bonds!$H252,6*(15-1))))</f>
        <v>48990</v>
      </c>
      <c r="T252" s="3">
        <f>IF(16&gt;$C252,"",IF($D252=1,EOMONTH(EDATE(Bonds!$H252,6*(16-1)),0),EDATE(Bonds!$H252,6*(16-1))))</f>
        <v>49171</v>
      </c>
      <c r="U252" s="3">
        <f>IF(17&gt;$C252,"",IF($D252=1,EOMONTH(EDATE(Bonds!$H252,6*(17-1)),0),EDATE(Bonds!$H252,6*(17-1))))</f>
        <v>49355</v>
      </c>
      <c r="V252" s="3" t="str">
        <f>IF(18&gt;$C252,"",IF($D252=1,EOMONTH(EDATE(Bonds!$H252,6*(18-1)),0),EDATE(Bonds!$H252,6*(18-1))))</f>
        <v/>
      </c>
      <c r="W252" s="3" t="str">
        <f>IF(19&gt;$C252,"",IF($D252=1,EOMONTH(EDATE(Bonds!$H252,6*(19-1)),0),EDATE(Bonds!$H252,6*(19-1))))</f>
        <v/>
      </c>
      <c r="X252" s="3" t="str">
        <f>IF(20&gt;$C252,"",IF($D252=1,EOMONTH(EDATE(Bonds!$H252,6*(20-1)),0),EDATE(Bonds!$H252,6*(20-1))))</f>
        <v/>
      </c>
      <c r="Y252" s="3" t="str">
        <f>IF(21&gt;$C252,"",IF($D252=1,EOMONTH(EDATE(Bonds!$H252,6*(21-1)),0),EDATE(Bonds!$H252,6*(21-1))))</f>
        <v/>
      </c>
      <c r="Z252" s="3" t="str">
        <f>IF(22&gt;$C252,"",IF($D252=1,EOMONTH(EDATE(Bonds!$H252,6*(22-1)),0),EDATE(Bonds!$H252,6*(22-1))))</f>
        <v/>
      </c>
      <c r="AA252" s="3" t="str">
        <f>IF(23&gt;$C252,"",IF($D252=1,EOMONTH(EDATE(Bonds!$H252,6*(23-1)),0),EDATE(Bonds!$H252,6*(23-1))))</f>
        <v/>
      </c>
      <c r="AB252" s="3" t="str">
        <f>IF(24&gt;$C252,"",IF($D252=1,EOMONTH(EDATE(Bonds!$H252,6*(24-1)),0),EDATE(Bonds!$H252,6*(24-1))))</f>
        <v/>
      </c>
      <c r="AC252" s="3" t="str">
        <f>IF(25&gt;$C252,"",IF($D252=1,EOMONTH(EDATE(Bonds!$H252,6*(25-1)),0),EDATE(Bonds!$H252,6*(25-1))))</f>
        <v/>
      </c>
      <c r="AD252" s="3" t="str">
        <f>IF(26&gt;$C252,"",IF($D252=1,EOMONTH(EDATE(Bonds!$H252,6*(26-1)),0),EDATE(Bonds!$H252,6*(26-1))))</f>
        <v/>
      </c>
      <c r="AE252" s="3" t="str">
        <f>IF(27&gt;$C252,"",IF($D252=1,EOMONTH(EDATE(Bonds!$H252,6*(27-1)),0),EDATE(Bonds!$H252,6*(27-1))))</f>
        <v/>
      </c>
      <c r="AF252" s="3" t="str">
        <f>IF(28&gt;$C252,"",IF($D252=1,EOMONTH(EDATE(Bonds!$H252,6*(28-1)),0),EDATE(Bonds!$H252,6*(28-1))))</f>
        <v/>
      </c>
      <c r="AG252" s="3" t="str">
        <f>IF(29&gt;$C252,"",IF($D252=1,EOMONTH(EDATE(Bonds!$H252,6*(29-1)),0),EDATE(Bonds!$H252,6*(29-1))))</f>
        <v/>
      </c>
      <c r="AH252" s="3" t="str">
        <f>IF(30&gt;$C252,"",IF($D252=1,EOMONTH(EDATE(Bonds!$H252,6*(30-1)),0),EDATE(Bonds!$H252,6*(30-1))))</f>
        <v/>
      </c>
      <c r="AI252" s="3" t="str">
        <f>IF(31&gt;$C252,"",IF($D252=1,EOMONTH(EDATE(Bonds!$H252,6*(31-1)),0),EDATE(Bonds!$H252,6*(31-1))))</f>
        <v/>
      </c>
      <c r="AJ252" s="3" t="str">
        <f>IF(32&gt;$C252,"",IF($D252=1,EOMONTH(EDATE(Bonds!$H252,6*(32-1)),0),EDATE(Bonds!$H252,6*(32-1))))</f>
        <v/>
      </c>
      <c r="AK252" s="3" t="str">
        <f>IF(33&gt;$C252,"",IF($D252=1,EOMONTH(EDATE(Bonds!$H252,6*(33-1)),0),EDATE(Bonds!$H252,6*(33-1))))</f>
        <v/>
      </c>
      <c r="AL252" s="3" t="str">
        <f>IF(34&gt;$C252,"",IF($D252=1,EOMONTH(EDATE(Bonds!$H252,6*(34-1)),0),EDATE(Bonds!$H252,6*(34-1))))</f>
        <v/>
      </c>
      <c r="AM252" s="3" t="str">
        <f>IF(35&gt;$C252,"",IF($D252=1,EOMONTH(EDATE(Bonds!$H252,6*(35-1)),0),EDATE(Bonds!$H252,6*(35-1))))</f>
        <v/>
      </c>
      <c r="AN252" s="3" t="str">
        <f>IF(36&gt;$C252,"",IF($D252=1,EOMONTH(EDATE(Bonds!$H252,6*(36-1)),0),EDATE(Bonds!$H252,6*(36-1))))</f>
        <v/>
      </c>
      <c r="AO252" s="3" t="str">
        <f>IF(37&gt;$C252,"",IF($D252=1,EOMONTH(EDATE(Bonds!$H252,6*(37-1)),0),EDATE(Bonds!$H252,6*(37-1))))</f>
        <v/>
      </c>
      <c r="AP252" s="3" t="str">
        <f>IF(38&gt;$C252,"",IF($D252=1,EOMONTH(EDATE(Bonds!$H252,6*(38-1)),0),EDATE(Bonds!$H252,6*(38-1))))</f>
        <v/>
      </c>
      <c r="AQ252" s="3" t="str">
        <f>IF(39&gt;$C252,"",IF($D252=1,EOMONTH(EDATE(Bonds!$H252,6*(39-1)),0),EDATE(Bonds!$H252,6*(39-1))))</f>
        <v/>
      </c>
      <c r="AR252" s="3" t="str">
        <f>IF(40&gt;$C252,"",IF($D252=1,EOMONTH(EDATE(Bonds!$H252,6*(40-1)),0),EDATE(Bonds!$H252,6*(40-1))))</f>
        <v/>
      </c>
      <c r="AS252" s="3" t="str">
        <f>IF(41&gt;$C252,"",IF($D252=1,EOMONTH(EDATE(Bonds!$H252,6*(41-1)),0),EDATE(Bonds!$H252,6*(41-1))))</f>
        <v/>
      </c>
      <c r="AT252" s="3" t="str">
        <f>IF(42&gt;$C252,"",IF($D252=1,EOMONTH(EDATE(Bonds!$H252,6*(42-1)),0),EDATE(Bonds!$H252,6*(42-1))))</f>
        <v/>
      </c>
      <c r="AU252" s="3" t="str">
        <f>IF(43&gt;$C252,"",IF($D252=1,EOMONTH(EDATE(Bonds!$H252,6*(43-1)),0),EDATE(Bonds!$H252,6*(43-1))))</f>
        <v/>
      </c>
      <c r="AV252" s="3" t="str">
        <f>IF(44&gt;$C252,"",IF($D252=1,EOMONTH(EDATE(Bonds!$H252,6*(44-1)),0),EDATE(Bonds!$H252,6*(44-1))))</f>
        <v/>
      </c>
      <c r="AW252" s="3" t="str">
        <f>IF(45&gt;$C252,"",IF($D252=1,EOMONTH(EDATE(Bonds!$H252,6*(45-1)),0),EDATE(Bonds!$H252,6*(45-1))))</f>
        <v/>
      </c>
      <c r="AX252" s="3" t="str">
        <f>IF(46&gt;$C252,"",IF($D252=1,EOMONTH(EDATE(Bonds!$H252,6*(46-1)),0),EDATE(Bonds!$H252,6*(46-1))))</f>
        <v/>
      </c>
      <c r="AY252" s="3" t="str">
        <f>IF(47&gt;$C252,"",IF($D252=1,EOMONTH(EDATE(Bonds!$H252,6*(47-1)),0),EDATE(Bonds!$H252,6*(47-1))))</f>
        <v/>
      </c>
      <c r="AZ252" s="3" t="str">
        <f>IF(48&gt;$C252,"",IF($D252=1,EOMONTH(EDATE(Bonds!$H252,6*(48-1)),0),EDATE(Bonds!$H252,6*(48-1))))</f>
        <v/>
      </c>
      <c r="BA252" s="3" t="str">
        <f>IF(49&gt;$C252,"",IF($D252=1,EOMONTH(EDATE(Bonds!$H252,6*(49-1)),0),EDATE(Bonds!$H252,6*(49-1))))</f>
        <v/>
      </c>
      <c r="BB252" s="3" t="str">
        <f>IF(50&gt;$C252,"",IF($D252=1,EOMONTH(EDATE(Bonds!$H252,6*(50-1)),0),EDATE(Bonds!$H252,6*(50-1))))</f>
        <v/>
      </c>
      <c r="BC252" s="3" t="str">
        <f>IF(51&gt;$C252,"",IF($D252=1,EOMONTH(EDATE(Bonds!$H252,6*(51-1)),0),EDATE(Bonds!$H252,6*(51-1))))</f>
        <v/>
      </c>
      <c r="BD252" s="3" t="str">
        <f>IF(52&gt;$C252,"",IF($D252=1,EOMONTH(EDATE(Bonds!$H252,6*(52-1)),0),EDATE(Bonds!$H252,6*(52-1))))</f>
        <v/>
      </c>
      <c r="BE252" s="3" t="str">
        <f>IF(53&gt;$C252,"",IF($D252=1,EOMONTH(EDATE(Bonds!$H252,6*(53-1)),0),EDATE(Bonds!$H252,6*(53-1))))</f>
        <v/>
      </c>
      <c r="BF252" s="3" t="str">
        <f>IF(54&gt;$C252,"",IF($D252=1,EOMONTH(EDATE(Bonds!$H252,6*(54-1)),0),EDATE(Bonds!$H252,6*(54-1))))</f>
        <v/>
      </c>
      <c r="BG252" s="3" t="str">
        <f>IF(55&gt;$C252,"",IF($D252=1,EOMONTH(EDATE(Bonds!$H252,6*(55-1)),0),EDATE(Bonds!$H252,6*(55-1))))</f>
        <v/>
      </c>
      <c r="BH252" s="3" t="str">
        <f>IF(56&gt;$C252,"",IF($D252=1,EOMONTH(EDATE(Bonds!$H252,6*(56-1)),0),EDATE(Bonds!$H252,6*(56-1))))</f>
        <v/>
      </c>
      <c r="BI252" s="3" t="str">
        <f>IF(57&gt;$C252,"",IF($D252=1,EOMONTH(EDATE(Bonds!$H252,6*(57-1)),0),EDATE(Bonds!$H252,6*(57-1))))</f>
        <v/>
      </c>
      <c r="BJ252" s="3" t="str">
        <f>IF(58&gt;$C252,"",IF($D252=1,EOMONTH(EDATE(Bonds!$H252,6*(58-1)),0),EDATE(Bonds!$H252,6*(58-1))))</f>
        <v/>
      </c>
      <c r="BK252" s="3" t="str">
        <f>IF(59&gt;$C252,"",IF($D252=1,EOMONTH(EDATE(Bonds!$H252,6*(59-1)),0),EDATE(Bonds!$H252,6*(59-1))))</f>
        <v/>
      </c>
      <c r="BL252" s="3" t="str">
        <f>IF(60&gt;$C252,"",IF($D252=1,EOMONTH(EDATE(Bonds!$H252,6*(60-1)),0),EDATE(Bonds!$H252,6*(60-1))))</f>
        <v/>
      </c>
      <c r="BN252" s="7">
        <f t="shared" si="184"/>
        <v>2.2732788027748541</v>
      </c>
      <c r="BO252" s="7">
        <f t="shared" si="185"/>
        <v>2.2253618962720854</v>
      </c>
      <c r="BP252" s="7">
        <f t="shared" si="186"/>
        <v>2.1754476243738976</v>
      </c>
      <c r="BQ252" s="7">
        <f t="shared" si="187"/>
        <v>2.1263633428711608</v>
      </c>
      <c r="BR252" s="7">
        <f t="shared" si="188"/>
        <v>2.0777167692022909</v>
      </c>
      <c r="BS252" s="7">
        <f t="shared" si="189"/>
        <v>2.031031772484087</v>
      </c>
      <c r="BT252" s="7">
        <f t="shared" si="190"/>
        <v>1.9847256362236501</v>
      </c>
      <c r="BU252" s="7">
        <f t="shared" si="191"/>
        <v>1.9401615084528006</v>
      </c>
      <c r="BV252" s="7">
        <f t="shared" si="192"/>
        <v>1.895676035753294</v>
      </c>
      <c r="BW252" s="7">
        <f t="shared" si="193"/>
        <v>1.8525451983087053</v>
      </c>
      <c r="BX252" s="7">
        <f t="shared" si="194"/>
        <v>1.8091901571065561</v>
      </c>
      <c r="BY252" s="7">
        <f t="shared" si="195"/>
        <v>1.7666832517673459</v>
      </c>
      <c r="BZ252" s="7">
        <f t="shared" si="196"/>
        <v>1.7240176698316556</v>
      </c>
      <c r="CA252" s="7">
        <f t="shared" si="197"/>
        <v>1.6823142156028446</v>
      </c>
      <c r="CB252" s="7">
        <f t="shared" si="198"/>
        <v>1.6401836953590239</v>
      </c>
      <c r="CC252" s="7">
        <f t="shared" si="199"/>
        <v>1.5990167699987485</v>
      </c>
      <c r="CD252" s="7">
        <f t="shared" si="200"/>
        <v>68.908144725477072</v>
      </c>
      <c r="CE252" s="7">
        <f t="shared" si="201"/>
        <v>0</v>
      </c>
      <c r="CF252" s="7">
        <f t="shared" si="202"/>
        <v>0</v>
      </c>
      <c r="CG252" s="7">
        <f t="shared" si="203"/>
        <v>0</v>
      </c>
      <c r="CH252" s="7">
        <f t="shared" si="204"/>
        <v>0</v>
      </c>
      <c r="CI252" s="7">
        <f t="shared" si="205"/>
        <v>0</v>
      </c>
      <c r="CJ252" s="7">
        <f t="shared" si="206"/>
        <v>0</v>
      </c>
      <c r="CK252" s="7">
        <f t="shared" si="207"/>
        <v>0</v>
      </c>
      <c r="CL252" s="7">
        <f t="shared" si="208"/>
        <v>0</v>
      </c>
      <c r="CM252" s="7">
        <f t="shared" si="209"/>
        <v>0</v>
      </c>
      <c r="CN252" s="7">
        <f t="shared" si="210"/>
        <v>0</v>
      </c>
      <c r="CO252" s="7">
        <f t="shared" si="211"/>
        <v>0</v>
      </c>
      <c r="CP252" s="7">
        <f t="shared" si="212"/>
        <v>0</v>
      </c>
      <c r="CQ252" s="7">
        <f t="shared" si="213"/>
        <v>0</v>
      </c>
      <c r="CR252" s="7">
        <f t="shared" si="214"/>
        <v>0</v>
      </c>
      <c r="CS252" s="7">
        <f t="shared" si="215"/>
        <v>0</v>
      </c>
      <c r="CT252" s="7">
        <f t="shared" si="216"/>
        <v>0</v>
      </c>
      <c r="CU252" s="7">
        <f t="shared" si="217"/>
        <v>0</v>
      </c>
      <c r="CV252" s="7">
        <f t="shared" si="218"/>
        <v>0</v>
      </c>
      <c r="CW252" s="7">
        <f t="shared" si="219"/>
        <v>0</v>
      </c>
      <c r="CX252" s="7">
        <f t="shared" si="220"/>
        <v>0</v>
      </c>
      <c r="CY252" s="7">
        <f t="shared" si="221"/>
        <v>0</v>
      </c>
      <c r="CZ252" s="7">
        <f t="shared" si="222"/>
        <v>0</v>
      </c>
      <c r="DA252" s="7">
        <f t="shared" si="223"/>
        <v>0</v>
      </c>
      <c r="DB252" s="7">
        <f t="shared" si="224"/>
        <v>0</v>
      </c>
      <c r="DC252" s="7">
        <f t="shared" si="225"/>
        <v>0</v>
      </c>
      <c r="DD252" s="7">
        <f t="shared" si="226"/>
        <v>0</v>
      </c>
      <c r="DE252" s="7">
        <f t="shared" si="227"/>
        <v>0</v>
      </c>
      <c r="DF252" s="7">
        <f t="shared" si="228"/>
        <v>0</v>
      </c>
      <c r="DG252" s="7">
        <f t="shared" si="229"/>
        <v>0</v>
      </c>
      <c r="DH252" s="7">
        <f t="shared" si="230"/>
        <v>0</v>
      </c>
      <c r="DI252" s="7">
        <f t="shared" si="231"/>
        <v>0</v>
      </c>
      <c r="DJ252" s="7">
        <f t="shared" si="232"/>
        <v>0</v>
      </c>
      <c r="DK252" s="7">
        <f t="shared" si="233"/>
        <v>0</v>
      </c>
      <c r="DL252" s="7">
        <f t="shared" si="234"/>
        <v>0</v>
      </c>
      <c r="DM252" s="7">
        <f t="shared" si="235"/>
        <v>0</v>
      </c>
      <c r="DN252" s="7">
        <f t="shared" si="236"/>
        <v>0</v>
      </c>
      <c r="DO252" s="7">
        <f t="shared" si="237"/>
        <v>0</v>
      </c>
      <c r="DP252" s="7">
        <f t="shared" si="238"/>
        <v>0</v>
      </c>
      <c r="DQ252" s="7">
        <f t="shared" si="239"/>
        <v>0</v>
      </c>
      <c r="DR252" s="7">
        <f t="shared" si="240"/>
        <v>0</v>
      </c>
      <c r="DS252" s="7">
        <f t="shared" si="241"/>
        <v>0</v>
      </c>
      <c r="DT252" s="7">
        <f t="shared" si="242"/>
        <v>0</v>
      </c>
      <c r="DU252" s="7">
        <f t="shared" si="243"/>
        <v>0</v>
      </c>
    </row>
    <row r="253" spans="1:125" x14ac:dyDescent="0.2">
      <c r="A253" s="3">
        <f>Bonds!A253</f>
        <v>49444</v>
      </c>
      <c r="B253" s="4">
        <f>Bonds!B253</f>
        <v>4.25</v>
      </c>
      <c r="C253">
        <f>Bonds!P253</f>
        <v>18</v>
      </c>
      <c r="D253">
        <f t="shared" si="183"/>
        <v>0</v>
      </c>
      <c r="E253" s="3">
        <f>IF(1&gt;$C253,"",IF($D253=1,EOMONTH(EDATE(Bonds!$H253,6*(1-1)),0),EDATE(Bonds!$H253,6*(1-1))))</f>
        <v>46341</v>
      </c>
      <c r="F253" s="3">
        <f>IF(2&gt;$C253,"",IF($D253=1,EOMONTH(EDATE(Bonds!$H253,6*(2-1)),0),EDATE(Bonds!$H253,6*(2-1))))</f>
        <v>46522</v>
      </c>
      <c r="G253" s="3">
        <f>IF(3&gt;$C253,"",IF($D253=1,EOMONTH(EDATE(Bonds!$H253,6*(3-1)),0),EDATE(Bonds!$H253,6*(3-1))))</f>
        <v>46706</v>
      </c>
      <c r="H253" s="3">
        <f>IF(4&gt;$C253,"",IF($D253=1,EOMONTH(EDATE(Bonds!$H253,6*(4-1)),0),EDATE(Bonds!$H253,6*(4-1))))</f>
        <v>46888</v>
      </c>
      <c r="I253" s="3">
        <f>IF(5&gt;$C253,"",IF($D253=1,EOMONTH(EDATE(Bonds!$H253,6*(5-1)),0),EDATE(Bonds!$H253,6*(5-1))))</f>
        <v>47072</v>
      </c>
      <c r="J253" s="3">
        <f>IF(6&gt;$C253,"",IF($D253=1,EOMONTH(EDATE(Bonds!$H253,6*(6-1)),0),EDATE(Bonds!$H253,6*(6-1))))</f>
        <v>47253</v>
      </c>
      <c r="K253" s="3">
        <f>IF(7&gt;$C253,"",IF($D253=1,EOMONTH(EDATE(Bonds!$H253,6*(7-1)),0),EDATE(Bonds!$H253,6*(7-1))))</f>
        <v>47437</v>
      </c>
      <c r="L253" s="3">
        <f>IF(8&gt;$C253,"",IF($D253=1,EOMONTH(EDATE(Bonds!$H253,6*(8-1)),0),EDATE(Bonds!$H253,6*(8-1))))</f>
        <v>47618</v>
      </c>
      <c r="M253" s="3">
        <f>IF(9&gt;$C253,"",IF($D253=1,EOMONTH(EDATE(Bonds!$H253,6*(9-1)),0),EDATE(Bonds!$H253,6*(9-1))))</f>
        <v>47802</v>
      </c>
      <c r="N253" s="3">
        <f>IF(10&gt;$C253,"",IF($D253=1,EOMONTH(EDATE(Bonds!$H253,6*(10-1)),0),EDATE(Bonds!$H253,6*(10-1))))</f>
        <v>47983</v>
      </c>
      <c r="O253" s="3">
        <f>IF(11&gt;$C253,"",IF($D253=1,EOMONTH(EDATE(Bonds!$H253,6*(11-1)),0),EDATE(Bonds!$H253,6*(11-1))))</f>
        <v>48167</v>
      </c>
      <c r="P253" s="3">
        <f>IF(12&gt;$C253,"",IF($D253=1,EOMONTH(EDATE(Bonds!$H253,6*(12-1)),0),EDATE(Bonds!$H253,6*(12-1))))</f>
        <v>48349</v>
      </c>
      <c r="Q253" s="3">
        <f>IF(13&gt;$C253,"",IF($D253=1,EOMONTH(EDATE(Bonds!$H253,6*(13-1)),0),EDATE(Bonds!$H253,6*(13-1))))</f>
        <v>48533</v>
      </c>
      <c r="R253" s="3">
        <f>IF(14&gt;$C253,"",IF($D253=1,EOMONTH(EDATE(Bonds!$H253,6*(14-1)),0),EDATE(Bonds!$H253,6*(14-1))))</f>
        <v>48714</v>
      </c>
      <c r="S253" s="3">
        <f>IF(15&gt;$C253,"",IF($D253=1,EOMONTH(EDATE(Bonds!$H253,6*(15-1)),0),EDATE(Bonds!$H253,6*(15-1))))</f>
        <v>48898</v>
      </c>
      <c r="T253" s="3">
        <f>IF(16&gt;$C253,"",IF($D253=1,EOMONTH(EDATE(Bonds!$H253,6*(16-1)),0),EDATE(Bonds!$H253,6*(16-1))))</f>
        <v>49079</v>
      </c>
      <c r="U253" s="3">
        <f>IF(17&gt;$C253,"",IF($D253=1,EOMONTH(EDATE(Bonds!$H253,6*(17-1)),0),EDATE(Bonds!$H253,6*(17-1))))</f>
        <v>49263</v>
      </c>
      <c r="V253" s="3">
        <f>IF(18&gt;$C253,"",IF($D253=1,EOMONTH(EDATE(Bonds!$H253,6*(18-1)),0),EDATE(Bonds!$H253,6*(18-1))))</f>
        <v>49444</v>
      </c>
      <c r="W253" s="3" t="str">
        <f>IF(19&gt;$C253,"",IF($D253=1,EOMONTH(EDATE(Bonds!$H253,6*(19-1)),0),EDATE(Bonds!$H253,6*(19-1))))</f>
        <v/>
      </c>
      <c r="X253" s="3" t="str">
        <f>IF(20&gt;$C253,"",IF($D253=1,EOMONTH(EDATE(Bonds!$H253,6*(20-1)),0),EDATE(Bonds!$H253,6*(20-1))))</f>
        <v/>
      </c>
      <c r="Y253" s="3" t="str">
        <f>IF(21&gt;$C253,"",IF($D253=1,EOMONTH(EDATE(Bonds!$H253,6*(21-1)),0),EDATE(Bonds!$H253,6*(21-1))))</f>
        <v/>
      </c>
      <c r="Z253" s="3" t="str">
        <f>IF(22&gt;$C253,"",IF($D253=1,EOMONTH(EDATE(Bonds!$H253,6*(22-1)),0),EDATE(Bonds!$H253,6*(22-1))))</f>
        <v/>
      </c>
      <c r="AA253" s="3" t="str">
        <f>IF(23&gt;$C253,"",IF($D253=1,EOMONTH(EDATE(Bonds!$H253,6*(23-1)),0),EDATE(Bonds!$H253,6*(23-1))))</f>
        <v/>
      </c>
      <c r="AB253" s="3" t="str">
        <f>IF(24&gt;$C253,"",IF($D253=1,EOMONTH(EDATE(Bonds!$H253,6*(24-1)),0),EDATE(Bonds!$H253,6*(24-1))))</f>
        <v/>
      </c>
      <c r="AC253" s="3" t="str">
        <f>IF(25&gt;$C253,"",IF($D253=1,EOMONTH(EDATE(Bonds!$H253,6*(25-1)),0),EDATE(Bonds!$H253,6*(25-1))))</f>
        <v/>
      </c>
      <c r="AD253" s="3" t="str">
        <f>IF(26&gt;$C253,"",IF($D253=1,EOMONTH(EDATE(Bonds!$H253,6*(26-1)),0),EDATE(Bonds!$H253,6*(26-1))))</f>
        <v/>
      </c>
      <c r="AE253" s="3" t="str">
        <f>IF(27&gt;$C253,"",IF($D253=1,EOMONTH(EDATE(Bonds!$H253,6*(27-1)),0),EDATE(Bonds!$H253,6*(27-1))))</f>
        <v/>
      </c>
      <c r="AF253" s="3" t="str">
        <f>IF(28&gt;$C253,"",IF($D253=1,EOMONTH(EDATE(Bonds!$H253,6*(28-1)),0),EDATE(Bonds!$H253,6*(28-1))))</f>
        <v/>
      </c>
      <c r="AG253" s="3" t="str">
        <f>IF(29&gt;$C253,"",IF($D253=1,EOMONTH(EDATE(Bonds!$H253,6*(29-1)),0),EDATE(Bonds!$H253,6*(29-1))))</f>
        <v/>
      </c>
      <c r="AH253" s="3" t="str">
        <f>IF(30&gt;$C253,"",IF($D253=1,EOMONTH(EDATE(Bonds!$H253,6*(30-1)),0),EDATE(Bonds!$H253,6*(30-1))))</f>
        <v/>
      </c>
      <c r="AI253" s="3" t="str">
        <f>IF(31&gt;$C253,"",IF($D253=1,EOMONTH(EDATE(Bonds!$H253,6*(31-1)),0),EDATE(Bonds!$H253,6*(31-1))))</f>
        <v/>
      </c>
      <c r="AJ253" s="3" t="str">
        <f>IF(32&gt;$C253,"",IF($D253=1,EOMONTH(EDATE(Bonds!$H253,6*(32-1)),0),EDATE(Bonds!$H253,6*(32-1))))</f>
        <v/>
      </c>
      <c r="AK253" s="3" t="str">
        <f>IF(33&gt;$C253,"",IF($D253=1,EOMONTH(EDATE(Bonds!$H253,6*(33-1)),0),EDATE(Bonds!$H253,6*(33-1))))</f>
        <v/>
      </c>
      <c r="AL253" s="3" t="str">
        <f>IF(34&gt;$C253,"",IF($D253=1,EOMONTH(EDATE(Bonds!$H253,6*(34-1)),0),EDATE(Bonds!$H253,6*(34-1))))</f>
        <v/>
      </c>
      <c r="AM253" s="3" t="str">
        <f>IF(35&gt;$C253,"",IF($D253=1,EOMONTH(EDATE(Bonds!$H253,6*(35-1)),0),EDATE(Bonds!$H253,6*(35-1))))</f>
        <v/>
      </c>
      <c r="AN253" s="3" t="str">
        <f>IF(36&gt;$C253,"",IF($D253=1,EOMONTH(EDATE(Bonds!$H253,6*(36-1)),0),EDATE(Bonds!$H253,6*(36-1))))</f>
        <v/>
      </c>
      <c r="AO253" s="3" t="str">
        <f>IF(37&gt;$C253,"",IF($D253=1,EOMONTH(EDATE(Bonds!$H253,6*(37-1)),0),EDATE(Bonds!$H253,6*(37-1))))</f>
        <v/>
      </c>
      <c r="AP253" s="3" t="str">
        <f>IF(38&gt;$C253,"",IF($D253=1,EOMONTH(EDATE(Bonds!$H253,6*(38-1)),0),EDATE(Bonds!$H253,6*(38-1))))</f>
        <v/>
      </c>
      <c r="AQ253" s="3" t="str">
        <f>IF(39&gt;$C253,"",IF($D253=1,EOMONTH(EDATE(Bonds!$H253,6*(39-1)),0),EDATE(Bonds!$H253,6*(39-1))))</f>
        <v/>
      </c>
      <c r="AR253" s="3" t="str">
        <f>IF(40&gt;$C253,"",IF($D253=1,EOMONTH(EDATE(Bonds!$H253,6*(40-1)),0),EDATE(Bonds!$H253,6*(40-1))))</f>
        <v/>
      </c>
      <c r="AS253" s="3" t="str">
        <f>IF(41&gt;$C253,"",IF($D253=1,EOMONTH(EDATE(Bonds!$H253,6*(41-1)),0),EDATE(Bonds!$H253,6*(41-1))))</f>
        <v/>
      </c>
      <c r="AT253" s="3" t="str">
        <f>IF(42&gt;$C253,"",IF($D253=1,EOMONTH(EDATE(Bonds!$H253,6*(42-1)),0),EDATE(Bonds!$H253,6*(42-1))))</f>
        <v/>
      </c>
      <c r="AU253" s="3" t="str">
        <f>IF(43&gt;$C253,"",IF($D253=1,EOMONTH(EDATE(Bonds!$H253,6*(43-1)),0),EDATE(Bonds!$H253,6*(43-1))))</f>
        <v/>
      </c>
      <c r="AV253" s="3" t="str">
        <f>IF(44&gt;$C253,"",IF($D253=1,EOMONTH(EDATE(Bonds!$H253,6*(44-1)),0),EDATE(Bonds!$H253,6*(44-1))))</f>
        <v/>
      </c>
      <c r="AW253" s="3" t="str">
        <f>IF(45&gt;$C253,"",IF($D253=1,EOMONTH(EDATE(Bonds!$H253,6*(45-1)),0),EDATE(Bonds!$H253,6*(45-1))))</f>
        <v/>
      </c>
      <c r="AX253" s="3" t="str">
        <f>IF(46&gt;$C253,"",IF($D253=1,EOMONTH(EDATE(Bonds!$H253,6*(46-1)),0),EDATE(Bonds!$H253,6*(46-1))))</f>
        <v/>
      </c>
      <c r="AY253" s="3" t="str">
        <f>IF(47&gt;$C253,"",IF($D253=1,EOMONTH(EDATE(Bonds!$H253,6*(47-1)),0),EDATE(Bonds!$H253,6*(47-1))))</f>
        <v/>
      </c>
      <c r="AZ253" s="3" t="str">
        <f>IF(48&gt;$C253,"",IF($D253=1,EOMONTH(EDATE(Bonds!$H253,6*(48-1)),0),EDATE(Bonds!$H253,6*(48-1))))</f>
        <v/>
      </c>
      <c r="BA253" s="3" t="str">
        <f>IF(49&gt;$C253,"",IF($D253=1,EOMONTH(EDATE(Bonds!$H253,6*(49-1)),0),EDATE(Bonds!$H253,6*(49-1))))</f>
        <v/>
      </c>
      <c r="BB253" s="3" t="str">
        <f>IF(50&gt;$C253,"",IF($D253=1,EOMONTH(EDATE(Bonds!$H253,6*(50-1)),0),EDATE(Bonds!$H253,6*(50-1))))</f>
        <v/>
      </c>
      <c r="BC253" s="3" t="str">
        <f>IF(51&gt;$C253,"",IF($D253=1,EOMONTH(EDATE(Bonds!$H253,6*(51-1)),0),EDATE(Bonds!$H253,6*(51-1))))</f>
        <v/>
      </c>
      <c r="BD253" s="3" t="str">
        <f>IF(52&gt;$C253,"",IF($D253=1,EOMONTH(EDATE(Bonds!$H253,6*(52-1)),0),EDATE(Bonds!$H253,6*(52-1))))</f>
        <v/>
      </c>
      <c r="BE253" s="3" t="str">
        <f>IF(53&gt;$C253,"",IF($D253=1,EOMONTH(EDATE(Bonds!$H253,6*(53-1)),0),EDATE(Bonds!$H253,6*(53-1))))</f>
        <v/>
      </c>
      <c r="BF253" s="3" t="str">
        <f>IF(54&gt;$C253,"",IF($D253=1,EOMONTH(EDATE(Bonds!$H253,6*(54-1)),0),EDATE(Bonds!$H253,6*(54-1))))</f>
        <v/>
      </c>
      <c r="BG253" s="3" t="str">
        <f>IF(55&gt;$C253,"",IF($D253=1,EOMONTH(EDATE(Bonds!$H253,6*(55-1)),0),EDATE(Bonds!$H253,6*(55-1))))</f>
        <v/>
      </c>
      <c r="BH253" s="3" t="str">
        <f>IF(56&gt;$C253,"",IF($D253=1,EOMONTH(EDATE(Bonds!$H253,6*(56-1)),0),EDATE(Bonds!$H253,6*(56-1))))</f>
        <v/>
      </c>
      <c r="BI253" s="3" t="str">
        <f>IF(57&gt;$C253,"",IF($D253=1,EOMONTH(EDATE(Bonds!$H253,6*(57-1)),0),EDATE(Bonds!$H253,6*(57-1))))</f>
        <v/>
      </c>
      <c r="BJ253" s="3" t="str">
        <f>IF(58&gt;$C253,"",IF($D253=1,EOMONTH(EDATE(Bonds!$H253,6*(58-1)),0),EDATE(Bonds!$H253,6*(58-1))))</f>
        <v/>
      </c>
      <c r="BK253" s="3" t="str">
        <f>IF(59&gt;$C253,"",IF($D253=1,EOMONTH(EDATE(Bonds!$H253,6*(59-1)),0),EDATE(Bonds!$H253,6*(59-1))))</f>
        <v/>
      </c>
      <c r="BL253" s="3" t="str">
        <f>IF(60&gt;$C253,"",IF($D253=1,EOMONTH(EDATE(Bonds!$H253,6*(60-1)),0),EDATE(Bonds!$H253,6*(60-1))))</f>
        <v/>
      </c>
      <c r="BN253" s="7">
        <f t="shared" si="184"/>
        <v>2.1101793630250394</v>
      </c>
      <c r="BO253" s="7">
        <f t="shared" si="185"/>
        <v>2.0675675937455984</v>
      </c>
      <c r="BP253" s="7">
        <f t="shared" si="186"/>
        <v>2.0220242606679357</v>
      </c>
      <c r="BQ253" s="7">
        <f t="shared" si="187"/>
        <v>1.9766710505748519</v>
      </c>
      <c r="BR253" s="7">
        <f t="shared" si="188"/>
        <v>1.9314718642984894</v>
      </c>
      <c r="BS253" s="7">
        <f t="shared" si="189"/>
        <v>1.8880242543959449</v>
      </c>
      <c r="BT253" s="7">
        <f t="shared" si="190"/>
        <v>1.8449514550960417</v>
      </c>
      <c r="BU253" s="7">
        <f t="shared" si="191"/>
        <v>1.8035636722324828</v>
      </c>
      <c r="BV253" s="7">
        <f t="shared" si="192"/>
        <v>1.7623279489280959</v>
      </c>
      <c r="BW253" s="7">
        <f t="shared" si="193"/>
        <v>1.7224215429418681</v>
      </c>
      <c r="BX253" s="7">
        <f t="shared" si="194"/>
        <v>1.6823693748405308</v>
      </c>
      <c r="BY253" s="7">
        <f t="shared" si="195"/>
        <v>1.6431453237168541</v>
      </c>
      <c r="BZ253" s="7">
        <f t="shared" si="196"/>
        <v>1.6038027770342798</v>
      </c>
      <c r="CA253" s="7">
        <f t="shared" si="197"/>
        <v>1.5653595884847493</v>
      </c>
      <c r="CB253" s="7">
        <f t="shared" si="198"/>
        <v>1.5265219623891284</v>
      </c>
      <c r="CC253" s="7">
        <f t="shared" si="199"/>
        <v>1.4885616409973996</v>
      </c>
      <c r="CD253" s="7">
        <f t="shared" si="200"/>
        <v>1.4502449575607628</v>
      </c>
      <c r="CE253" s="7">
        <f t="shared" si="201"/>
        <v>67.900353369459395</v>
      </c>
      <c r="CF253" s="7">
        <f t="shared" si="202"/>
        <v>0</v>
      </c>
      <c r="CG253" s="7">
        <f t="shared" si="203"/>
        <v>0</v>
      </c>
      <c r="CH253" s="7">
        <f t="shared" si="204"/>
        <v>0</v>
      </c>
      <c r="CI253" s="7">
        <f t="shared" si="205"/>
        <v>0</v>
      </c>
      <c r="CJ253" s="7">
        <f t="shared" si="206"/>
        <v>0</v>
      </c>
      <c r="CK253" s="7">
        <f t="shared" si="207"/>
        <v>0</v>
      </c>
      <c r="CL253" s="7">
        <f t="shared" si="208"/>
        <v>0</v>
      </c>
      <c r="CM253" s="7">
        <f t="shared" si="209"/>
        <v>0</v>
      </c>
      <c r="CN253" s="7">
        <f t="shared" si="210"/>
        <v>0</v>
      </c>
      <c r="CO253" s="7">
        <f t="shared" si="211"/>
        <v>0</v>
      </c>
      <c r="CP253" s="7">
        <f t="shared" si="212"/>
        <v>0</v>
      </c>
      <c r="CQ253" s="7">
        <f t="shared" si="213"/>
        <v>0</v>
      </c>
      <c r="CR253" s="7">
        <f t="shared" si="214"/>
        <v>0</v>
      </c>
      <c r="CS253" s="7">
        <f t="shared" si="215"/>
        <v>0</v>
      </c>
      <c r="CT253" s="7">
        <f t="shared" si="216"/>
        <v>0</v>
      </c>
      <c r="CU253" s="7">
        <f t="shared" si="217"/>
        <v>0</v>
      </c>
      <c r="CV253" s="7">
        <f t="shared" si="218"/>
        <v>0</v>
      </c>
      <c r="CW253" s="7">
        <f t="shared" si="219"/>
        <v>0</v>
      </c>
      <c r="CX253" s="7">
        <f t="shared" si="220"/>
        <v>0</v>
      </c>
      <c r="CY253" s="7">
        <f t="shared" si="221"/>
        <v>0</v>
      </c>
      <c r="CZ253" s="7">
        <f t="shared" si="222"/>
        <v>0</v>
      </c>
      <c r="DA253" s="7">
        <f t="shared" si="223"/>
        <v>0</v>
      </c>
      <c r="DB253" s="7">
        <f t="shared" si="224"/>
        <v>0</v>
      </c>
      <c r="DC253" s="7">
        <f t="shared" si="225"/>
        <v>0</v>
      </c>
      <c r="DD253" s="7">
        <f t="shared" si="226"/>
        <v>0</v>
      </c>
      <c r="DE253" s="7">
        <f t="shared" si="227"/>
        <v>0</v>
      </c>
      <c r="DF253" s="7">
        <f t="shared" si="228"/>
        <v>0</v>
      </c>
      <c r="DG253" s="7">
        <f t="shared" si="229"/>
        <v>0</v>
      </c>
      <c r="DH253" s="7">
        <f t="shared" si="230"/>
        <v>0</v>
      </c>
      <c r="DI253" s="7">
        <f t="shared" si="231"/>
        <v>0</v>
      </c>
      <c r="DJ253" s="7">
        <f t="shared" si="232"/>
        <v>0</v>
      </c>
      <c r="DK253" s="7">
        <f t="shared" si="233"/>
        <v>0</v>
      </c>
      <c r="DL253" s="7">
        <f t="shared" si="234"/>
        <v>0</v>
      </c>
      <c r="DM253" s="7">
        <f t="shared" si="235"/>
        <v>0</v>
      </c>
      <c r="DN253" s="7">
        <f t="shared" si="236"/>
        <v>0</v>
      </c>
      <c r="DO253" s="7">
        <f t="shared" si="237"/>
        <v>0</v>
      </c>
      <c r="DP253" s="7">
        <f t="shared" si="238"/>
        <v>0</v>
      </c>
      <c r="DQ253" s="7">
        <f t="shared" si="239"/>
        <v>0</v>
      </c>
      <c r="DR253" s="7">
        <f t="shared" si="240"/>
        <v>0</v>
      </c>
      <c r="DS253" s="7">
        <f t="shared" si="241"/>
        <v>0</v>
      </c>
      <c r="DT253" s="7">
        <f t="shared" si="242"/>
        <v>0</v>
      </c>
      <c r="DU253" s="7">
        <f t="shared" si="243"/>
        <v>0</v>
      </c>
    </row>
    <row r="254" spans="1:125" x14ac:dyDescent="0.2">
      <c r="A254" s="3">
        <f>Bonds!A254</f>
        <v>49536</v>
      </c>
      <c r="B254" s="4">
        <f>Bonds!B254</f>
        <v>4.25</v>
      </c>
      <c r="C254">
        <f>Bonds!P254</f>
        <v>18</v>
      </c>
      <c r="D254">
        <f t="shared" si="183"/>
        <v>0</v>
      </c>
      <c r="E254" s="3">
        <f>IF(1&gt;$C254,"",IF($D254=1,EOMONTH(EDATE(Bonds!$H254,6*(1-1)),0),EDATE(Bonds!$H254,6*(1-1))))</f>
        <v>46433</v>
      </c>
      <c r="F254" s="3">
        <f>IF(2&gt;$C254,"",IF($D254=1,EOMONTH(EDATE(Bonds!$H254,6*(2-1)),0),EDATE(Bonds!$H254,6*(2-1))))</f>
        <v>46614</v>
      </c>
      <c r="G254" s="3">
        <f>IF(3&gt;$C254,"",IF($D254=1,EOMONTH(EDATE(Bonds!$H254,6*(3-1)),0),EDATE(Bonds!$H254,6*(3-1))))</f>
        <v>46798</v>
      </c>
      <c r="H254" s="3">
        <f>IF(4&gt;$C254,"",IF($D254=1,EOMONTH(EDATE(Bonds!$H254,6*(4-1)),0),EDATE(Bonds!$H254,6*(4-1))))</f>
        <v>46980</v>
      </c>
      <c r="I254" s="3">
        <f>IF(5&gt;$C254,"",IF($D254=1,EOMONTH(EDATE(Bonds!$H254,6*(5-1)),0),EDATE(Bonds!$H254,6*(5-1))))</f>
        <v>47164</v>
      </c>
      <c r="J254" s="3">
        <f>IF(6&gt;$C254,"",IF($D254=1,EOMONTH(EDATE(Bonds!$H254,6*(6-1)),0),EDATE(Bonds!$H254,6*(6-1))))</f>
        <v>47345</v>
      </c>
      <c r="K254" s="3">
        <f>IF(7&gt;$C254,"",IF($D254=1,EOMONTH(EDATE(Bonds!$H254,6*(7-1)),0),EDATE(Bonds!$H254,6*(7-1))))</f>
        <v>47529</v>
      </c>
      <c r="L254" s="3">
        <f>IF(8&gt;$C254,"",IF($D254=1,EOMONTH(EDATE(Bonds!$H254,6*(8-1)),0),EDATE(Bonds!$H254,6*(8-1))))</f>
        <v>47710</v>
      </c>
      <c r="M254" s="3">
        <f>IF(9&gt;$C254,"",IF($D254=1,EOMONTH(EDATE(Bonds!$H254,6*(9-1)),0),EDATE(Bonds!$H254,6*(9-1))))</f>
        <v>47894</v>
      </c>
      <c r="N254" s="3">
        <f>IF(10&gt;$C254,"",IF($D254=1,EOMONTH(EDATE(Bonds!$H254,6*(10-1)),0),EDATE(Bonds!$H254,6*(10-1))))</f>
        <v>48075</v>
      </c>
      <c r="O254" s="3">
        <f>IF(11&gt;$C254,"",IF($D254=1,EOMONTH(EDATE(Bonds!$H254,6*(11-1)),0),EDATE(Bonds!$H254,6*(11-1))))</f>
        <v>48259</v>
      </c>
      <c r="P254" s="3">
        <f>IF(12&gt;$C254,"",IF($D254=1,EOMONTH(EDATE(Bonds!$H254,6*(12-1)),0),EDATE(Bonds!$H254,6*(12-1))))</f>
        <v>48441</v>
      </c>
      <c r="Q254" s="3">
        <f>IF(13&gt;$C254,"",IF($D254=1,EOMONTH(EDATE(Bonds!$H254,6*(13-1)),0),EDATE(Bonds!$H254,6*(13-1))))</f>
        <v>48625</v>
      </c>
      <c r="R254" s="3">
        <f>IF(14&gt;$C254,"",IF($D254=1,EOMONTH(EDATE(Bonds!$H254,6*(14-1)),0),EDATE(Bonds!$H254,6*(14-1))))</f>
        <v>48806</v>
      </c>
      <c r="S254" s="3">
        <f>IF(15&gt;$C254,"",IF($D254=1,EOMONTH(EDATE(Bonds!$H254,6*(15-1)),0),EDATE(Bonds!$H254,6*(15-1))))</f>
        <v>48990</v>
      </c>
      <c r="T254" s="3">
        <f>IF(16&gt;$C254,"",IF($D254=1,EOMONTH(EDATE(Bonds!$H254,6*(16-1)),0),EDATE(Bonds!$H254,6*(16-1))))</f>
        <v>49171</v>
      </c>
      <c r="U254" s="3">
        <f>IF(17&gt;$C254,"",IF($D254=1,EOMONTH(EDATE(Bonds!$H254,6*(17-1)),0),EDATE(Bonds!$H254,6*(17-1))))</f>
        <v>49355</v>
      </c>
      <c r="V254" s="3">
        <f>IF(18&gt;$C254,"",IF($D254=1,EOMONTH(EDATE(Bonds!$H254,6*(18-1)),0),EDATE(Bonds!$H254,6*(18-1))))</f>
        <v>49536</v>
      </c>
      <c r="W254" s="3" t="str">
        <f>IF(19&gt;$C254,"",IF($D254=1,EOMONTH(EDATE(Bonds!$H254,6*(19-1)),0),EDATE(Bonds!$H254,6*(19-1))))</f>
        <v/>
      </c>
      <c r="X254" s="3" t="str">
        <f>IF(20&gt;$C254,"",IF($D254=1,EOMONTH(EDATE(Bonds!$H254,6*(20-1)),0),EDATE(Bonds!$H254,6*(20-1))))</f>
        <v/>
      </c>
      <c r="Y254" s="3" t="str">
        <f>IF(21&gt;$C254,"",IF($D254=1,EOMONTH(EDATE(Bonds!$H254,6*(21-1)),0),EDATE(Bonds!$H254,6*(21-1))))</f>
        <v/>
      </c>
      <c r="Z254" s="3" t="str">
        <f>IF(22&gt;$C254,"",IF($D254=1,EOMONTH(EDATE(Bonds!$H254,6*(22-1)),0),EDATE(Bonds!$H254,6*(22-1))))</f>
        <v/>
      </c>
      <c r="AA254" s="3" t="str">
        <f>IF(23&gt;$C254,"",IF($D254=1,EOMONTH(EDATE(Bonds!$H254,6*(23-1)),0),EDATE(Bonds!$H254,6*(23-1))))</f>
        <v/>
      </c>
      <c r="AB254" s="3" t="str">
        <f>IF(24&gt;$C254,"",IF($D254=1,EOMONTH(EDATE(Bonds!$H254,6*(24-1)),0),EDATE(Bonds!$H254,6*(24-1))))</f>
        <v/>
      </c>
      <c r="AC254" s="3" t="str">
        <f>IF(25&gt;$C254,"",IF($D254=1,EOMONTH(EDATE(Bonds!$H254,6*(25-1)),0),EDATE(Bonds!$H254,6*(25-1))))</f>
        <v/>
      </c>
      <c r="AD254" s="3" t="str">
        <f>IF(26&gt;$C254,"",IF($D254=1,EOMONTH(EDATE(Bonds!$H254,6*(26-1)),0),EDATE(Bonds!$H254,6*(26-1))))</f>
        <v/>
      </c>
      <c r="AE254" s="3" t="str">
        <f>IF(27&gt;$C254,"",IF($D254=1,EOMONTH(EDATE(Bonds!$H254,6*(27-1)),0),EDATE(Bonds!$H254,6*(27-1))))</f>
        <v/>
      </c>
      <c r="AF254" s="3" t="str">
        <f>IF(28&gt;$C254,"",IF($D254=1,EOMONTH(EDATE(Bonds!$H254,6*(28-1)),0),EDATE(Bonds!$H254,6*(28-1))))</f>
        <v/>
      </c>
      <c r="AG254" s="3" t="str">
        <f>IF(29&gt;$C254,"",IF($D254=1,EOMONTH(EDATE(Bonds!$H254,6*(29-1)),0),EDATE(Bonds!$H254,6*(29-1))))</f>
        <v/>
      </c>
      <c r="AH254" s="3" t="str">
        <f>IF(30&gt;$C254,"",IF($D254=1,EOMONTH(EDATE(Bonds!$H254,6*(30-1)),0),EDATE(Bonds!$H254,6*(30-1))))</f>
        <v/>
      </c>
      <c r="AI254" s="3" t="str">
        <f>IF(31&gt;$C254,"",IF($D254=1,EOMONTH(EDATE(Bonds!$H254,6*(31-1)),0),EDATE(Bonds!$H254,6*(31-1))))</f>
        <v/>
      </c>
      <c r="AJ254" s="3" t="str">
        <f>IF(32&gt;$C254,"",IF($D254=1,EOMONTH(EDATE(Bonds!$H254,6*(32-1)),0),EDATE(Bonds!$H254,6*(32-1))))</f>
        <v/>
      </c>
      <c r="AK254" s="3" t="str">
        <f>IF(33&gt;$C254,"",IF($D254=1,EOMONTH(EDATE(Bonds!$H254,6*(33-1)),0),EDATE(Bonds!$H254,6*(33-1))))</f>
        <v/>
      </c>
      <c r="AL254" s="3" t="str">
        <f>IF(34&gt;$C254,"",IF($D254=1,EOMONTH(EDATE(Bonds!$H254,6*(34-1)),0),EDATE(Bonds!$H254,6*(34-1))))</f>
        <v/>
      </c>
      <c r="AM254" s="3" t="str">
        <f>IF(35&gt;$C254,"",IF($D254=1,EOMONTH(EDATE(Bonds!$H254,6*(35-1)),0),EDATE(Bonds!$H254,6*(35-1))))</f>
        <v/>
      </c>
      <c r="AN254" s="3" t="str">
        <f>IF(36&gt;$C254,"",IF($D254=1,EOMONTH(EDATE(Bonds!$H254,6*(36-1)),0),EDATE(Bonds!$H254,6*(36-1))))</f>
        <v/>
      </c>
      <c r="AO254" s="3" t="str">
        <f>IF(37&gt;$C254,"",IF($D254=1,EOMONTH(EDATE(Bonds!$H254,6*(37-1)),0),EDATE(Bonds!$H254,6*(37-1))))</f>
        <v/>
      </c>
      <c r="AP254" s="3" t="str">
        <f>IF(38&gt;$C254,"",IF($D254=1,EOMONTH(EDATE(Bonds!$H254,6*(38-1)),0),EDATE(Bonds!$H254,6*(38-1))))</f>
        <v/>
      </c>
      <c r="AQ254" s="3" t="str">
        <f>IF(39&gt;$C254,"",IF($D254=1,EOMONTH(EDATE(Bonds!$H254,6*(39-1)),0),EDATE(Bonds!$H254,6*(39-1))))</f>
        <v/>
      </c>
      <c r="AR254" s="3" t="str">
        <f>IF(40&gt;$C254,"",IF($D254=1,EOMONTH(EDATE(Bonds!$H254,6*(40-1)),0),EDATE(Bonds!$H254,6*(40-1))))</f>
        <v/>
      </c>
      <c r="AS254" s="3" t="str">
        <f>IF(41&gt;$C254,"",IF($D254=1,EOMONTH(EDATE(Bonds!$H254,6*(41-1)),0),EDATE(Bonds!$H254,6*(41-1))))</f>
        <v/>
      </c>
      <c r="AT254" s="3" t="str">
        <f>IF(42&gt;$C254,"",IF($D254=1,EOMONTH(EDATE(Bonds!$H254,6*(42-1)),0),EDATE(Bonds!$H254,6*(42-1))))</f>
        <v/>
      </c>
      <c r="AU254" s="3" t="str">
        <f>IF(43&gt;$C254,"",IF($D254=1,EOMONTH(EDATE(Bonds!$H254,6*(43-1)),0),EDATE(Bonds!$H254,6*(43-1))))</f>
        <v/>
      </c>
      <c r="AV254" s="3" t="str">
        <f>IF(44&gt;$C254,"",IF($D254=1,EOMONTH(EDATE(Bonds!$H254,6*(44-1)),0),EDATE(Bonds!$H254,6*(44-1))))</f>
        <v/>
      </c>
      <c r="AW254" s="3" t="str">
        <f>IF(45&gt;$C254,"",IF($D254=1,EOMONTH(EDATE(Bonds!$H254,6*(45-1)),0),EDATE(Bonds!$H254,6*(45-1))))</f>
        <v/>
      </c>
      <c r="AX254" s="3" t="str">
        <f>IF(46&gt;$C254,"",IF($D254=1,EOMONTH(EDATE(Bonds!$H254,6*(46-1)),0),EDATE(Bonds!$H254,6*(46-1))))</f>
        <v/>
      </c>
      <c r="AY254" s="3" t="str">
        <f>IF(47&gt;$C254,"",IF($D254=1,EOMONTH(EDATE(Bonds!$H254,6*(47-1)),0),EDATE(Bonds!$H254,6*(47-1))))</f>
        <v/>
      </c>
      <c r="AZ254" s="3" t="str">
        <f>IF(48&gt;$C254,"",IF($D254=1,EOMONTH(EDATE(Bonds!$H254,6*(48-1)),0),EDATE(Bonds!$H254,6*(48-1))))</f>
        <v/>
      </c>
      <c r="BA254" s="3" t="str">
        <f>IF(49&gt;$C254,"",IF($D254=1,EOMONTH(EDATE(Bonds!$H254,6*(49-1)),0),EDATE(Bonds!$H254,6*(49-1))))</f>
        <v/>
      </c>
      <c r="BB254" s="3" t="str">
        <f>IF(50&gt;$C254,"",IF($D254=1,EOMONTH(EDATE(Bonds!$H254,6*(50-1)),0),EDATE(Bonds!$H254,6*(50-1))))</f>
        <v/>
      </c>
      <c r="BC254" s="3" t="str">
        <f>IF(51&gt;$C254,"",IF($D254=1,EOMONTH(EDATE(Bonds!$H254,6*(51-1)),0),EDATE(Bonds!$H254,6*(51-1))))</f>
        <v/>
      </c>
      <c r="BD254" s="3" t="str">
        <f>IF(52&gt;$C254,"",IF($D254=1,EOMONTH(EDATE(Bonds!$H254,6*(52-1)),0),EDATE(Bonds!$H254,6*(52-1))))</f>
        <v/>
      </c>
      <c r="BE254" s="3" t="str">
        <f>IF(53&gt;$C254,"",IF($D254=1,EOMONTH(EDATE(Bonds!$H254,6*(53-1)),0),EDATE(Bonds!$H254,6*(53-1))))</f>
        <v/>
      </c>
      <c r="BF254" s="3" t="str">
        <f>IF(54&gt;$C254,"",IF($D254=1,EOMONTH(EDATE(Bonds!$H254,6*(54-1)),0),EDATE(Bonds!$H254,6*(54-1))))</f>
        <v/>
      </c>
      <c r="BG254" s="3" t="str">
        <f>IF(55&gt;$C254,"",IF($D254=1,EOMONTH(EDATE(Bonds!$H254,6*(55-1)),0),EDATE(Bonds!$H254,6*(55-1))))</f>
        <v/>
      </c>
      <c r="BH254" s="3" t="str">
        <f>IF(56&gt;$C254,"",IF($D254=1,EOMONTH(EDATE(Bonds!$H254,6*(56-1)),0),EDATE(Bonds!$H254,6*(56-1))))</f>
        <v/>
      </c>
      <c r="BI254" s="3" t="str">
        <f>IF(57&gt;$C254,"",IF($D254=1,EOMONTH(EDATE(Bonds!$H254,6*(57-1)),0),EDATE(Bonds!$H254,6*(57-1))))</f>
        <v/>
      </c>
      <c r="BJ254" s="3" t="str">
        <f>IF(58&gt;$C254,"",IF($D254=1,EOMONTH(EDATE(Bonds!$H254,6*(58-1)),0),EDATE(Bonds!$H254,6*(58-1))))</f>
        <v/>
      </c>
      <c r="BK254" s="3" t="str">
        <f>IF(59&gt;$C254,"",IF($D254=1,EOMONTH(EDATE(Bonds!$H254,6*(59-1)),0),EDATE(Bonds!$H254,6*(59-1))))</f>
        <v/>
      </c>
      <c r="BL254" s="3" t="str">
        <f>IF(60&gt;$C254,"",IF($D254=1,EOMONTH(EDATE(Bonds!$H254,6*(60-1)),0),EDATE(Bonds!$H254,6*(60-1))))</f>
        <v/>
      </c>
      <c r="BN254" s="7">
        <f t="shared" si="184"/>
        <v>2.0889588998471629</v>
      </c>
      <c r="BO254" s="7">
        <f t="shared" si="185"/>
        <v>2.0449271479257001</v>
      </c>
      <c r="BP254" s="7">
        <f t="shared" si="186"/>
        <v>1.9990599791543924</v>
      </c>
      <c r="BQ254" s="7">
        <f t="shared" si="187"/>
        <v>1.9539555042599857</v>
      </c>
      <c r="BR254" s="7">
        <f t="shared" si="188"/>
        <v>1.9092532473750781</v>
      </c>
      <c r="BS254" s="7">
        <f t="shared" si="189"/>
        <v>1.8663535206610531</v>
      </c>
      <c r="BT254" s="7">
        <f t="shared" si="190"/>
        <v>1.8238019359893001</v>
      </c>
      <c r="BU254" s="7">
        <f t="shared" si="191"/>
        <v>1.7828511158755465</v>
      </c>
      <c r="BV254" s="7">
        <f t="shared" si="192"/>
        <v>1.7419725733949187</v>
      </c>
      <c r="BW254" s="7">
        <f t="shared" si="193"/>
        <v>1.7023388308782699</v>
      </c>
      <c r="BX254" s="7">
        <f t="shared" si="194"/>
        <v>1.6624990632871055</v>
      </c>
      <c r="BY254" s="7">
        <f t="shared" si="195"/>
        <v>1.6234386637862097</v>
      </c>
      <c r="BZ254" s="7">
        <f t="shared" si="196"/>
        <v>1.5842324533588186</v>
      </c>
      <c r="CA254" s="7">
        <f t="shared" si="197"/>
        <v>1.545910360283695</v>
      </c>
      <c r="CB254" s="7">
        <f t="shared" si="198"/>
        <v>1.5071958281677518</v>
      </c>
      <c r="CC254" s="7">
        <f t="shared" si="199"/>
        <v>1.4693667616204715</v>
      </c>
      <c r="CD254" s="7">
        <f t="shared" si="200"/>
        <v>1.4312015398083202</v>
      </c>
      <c r="CE254" s="7">
        <f t="shared" si="201"/>
        <v>66.993409603500666</v>
      </c>
      <c r="CF254" s="7">
        <f t="shared" si="202"/>
        <v>0</v>
      </c>
      <c r="CG254" s="7">
        <f t="shared" si="203"/>
        <v>0</v>
      </c>
      <c r="CH254" s="7">
        <f t="shared" si="204"/>
        <v>0</v>
      </c>
      <c r="CI254" s="7">
        <f t="shared" si="205"/>
        <v>0</v>
      </c>
      <c r="CJ254" s="7">
        <f t="shared" si="206"/>
        <v>0</v>
      </c>
      <c r="CK254" s="7">
        <f t="shared" si="207"/>
        <v>0</v>
      </c>
      <c r="CL254" s="7">
        <f t="shared" si="208"/>
        <v>0</v>
      </c>
      <c r="CM254" s="7">
        <f t="shared" si="209"/>
        <v>0</v>
      </c>
      <c r="CN254" s="7">
        <f t="shared" si="210"/>
        <v>0</v>
      </c>
      <c r="CO254" s="7">
        <f t="shared" si="211"/>
        <v>0</v>
      </c>
      <c r="CP254" s="7">
        <f t="shared" si="212"/>
        <v>0</v>
      </c>
      <c r="CQ254" s="7">
        <f t="shared" si="213"/>
        <v>0</v>
      </c>
      <c r="CR254" s="7">
        <f t="shared" si="214"/>
        <v>0</v>
      </c>
      <c r="CS254" s="7">
        <f t="shared" si="215"/>
        <v>0</v>
      </c>
      <c r="CT254" s="7">
        <f t="shared" si="216"/>
        <v>0</v>
      </c>
      <c r="CU254" s="7">
        <f t="shared" si="217"/>
        <v>0</v>
      </c>
      <c r="CV254" s="7">
        <f t="shared" si="218"/>
        <v>0</v>
      </c>
      <c r="CW254" s="7">
        <f t="shared" si="219"/>
        <v>0</v>
      </c>
      <c r="CX254" s="7">
        <f t="shared" si="220"/>
        <v>0</v>
      </c>
      <c r="CY254" s="7">
        <f t="shared" si="221"/>
        <v>0</v>
      </c>
      <c r="CZ254" s="7">
        <f t="shared" si="222"/>
        <v>0</v>
      </c>
      <c r="DA254" s="7">
        <f t="shared" si="223"/>
        <v>0</v>
      </c>
      <c r="DB254" s="7">
        <f t="shared" si="224"/>
        <v>0</v>
      </c>
      <c r="DC254" s="7">
        <f t="shared" si="225"/>
        <v>0</v>
      </c>
      <c r="DD254" s="7">
        <f t="shared" si="226"/>
        <v>0</v>
      </c>
      <c r="DE254" s="7">
        <f t="shared" si="227"/>
        <v>0</v>
      </c>
      <c r="DF254" s="7">
        <f t="shared" si="228"/>
        <v>0</v>
      </c>
      <c r="DG254" s="7">
        <f t="shared" si="229"/>
        <v>0</v>
      </c>
      <c r="DH254" s="7">
        <f t="shared" si="230"/>
        <v>0</v>
      </c>
      <c r="DI254" s="7">
        <f t="shared" si="231"/>
        <v>0</v>
      </c>
      <c r="DJ254" s="7">
        <f t="shared" si="232"/>
        <v>0</v>
      </c>
      <c r="DK254" s="7">
        <f t="shared" si="233"/>
        <v>0</v>
      </c>
      <c r="DL254" s="7">
        <f t="shared" si="234"/>
        <v>0</v>
      </c>
      <c r="DM254" s="7">
        <f t="shared" si="235"/>
        <v>0</v>
      </c>
      <c r="DN254" s="7">
        <f t="shared" si="236"/>
        <v>0</v>
      </c>
      <c r="DO254" s="7">
        <f t="shared" si="237"/>
        <v>0</v>
      </c>
      <c r="DP254" s="7">
        <f t="shared" si="238"/>
        <v>0</v>
      </c>
      <c r="DQ254" s="7">
        <f t="shared" si="239"/>
        <v>0</v>
      </c>
      <c r="DR254" s="7">
        <f t="shared" si="240"/>
        <v>0</v>
      </c>
      <c r="DS254" s="7">
        <f t="shared" si="241"/>
        <v>0</v>
      </c>
      <c r="DT254" s="7">
        <f t="shared" si="242"/>
        <v>0</v>
      </c>
      <c r="DU254" s="7">
        <f t="shared" si="243"/>
        <v>0</v>
      </c>
    </row>
    <row r="255" spans="1:125" x14ac:dyDescent="0.2">
      <c r="A255" s="3">
        <f>Bonds!A255</f>
        <v>49628</v>
      </c>
      <c r="B255" s="4">
        <f>Bonds!B255</f>
        <v>4</v>
      </c>
      <c r="C255">
        <f>Bonds!P255</f>
        <v>19</v>
      </c>
      <c r="D255">
        <f t="shared" si="183"/>
        <v>0</v>
      </c>
      <c r="E255" s="3">
        <f>IF(1&gt;$C255,"",IF($D255=1,EOMONTH(EDATE(Bonds!$H255,6*(1-1)),0),EDATE(Bonds!$H255,6*(1-1))))</f>
        <v>46341</v>
      </c>
      <c r="F255" s="3">
        <f>IF(2&gt;$C255,"",IF($D255=1,EOMONTH(EDATE(Bonds!$H255,6*(2-1)),0),EDATE(Bonds!$H255,6*(2-1))))</f>
        <v>46522</v>
      </c>
      <c r="G255" s="3">
        <f>IF(3&gt;$C255,"",IF($D255=1,EOMONTH(EDATE(Bonds!$H255,6*(3-1)),0),EDATE(Bonds!$H255,6*(3-1))))</f>
        <v>46706</v>
      </c>
      <c r="H255" s="3">
        <f>IF(4&gt;$C255,"",IF($D255=1,EOMONTH(EDATE(Bonds!$H255,6*(4-1)),0),EDATE(Bonds!$H255,6*(4-1))))</f>
        <v>46888</v>
      </c>
      <c r="I255" s="3">
        <f>IF(5&gt;$C255,"",IF($D255=1,EOMONTH(EDATE(Bonds!$H255,6*(5-1)),0),EDATE(Bonds!$H255,6*(5-1))))</f>
        <v>47072</v>
      </c>
      <c r="J255" s="3">
        <f>IF(6&gt;$C255,"",IF($D255=1,EOMONTH(EDATE(Bonds!$H255,6*(6-1)),0),EDATE(Bonds!$H255,6*(6-1))))</f>
        <v>47253</v>
      </c>
      <c r="K255" s="3">
        <f>IF(7&gt;$C255,"",IF($D255=1,EOMONTH(EDATE(Bonds!$H255,6*(7-1)),0),EDATE(Bonds!$H255,6*(7-1))))</f>
        <v>47437</v>
      </c>
      <c r="L255" s="3">
        <f>IF(8&gt;$C255,"",IF($D255=1,EOMONTH(EDATE(Bonds!$H255,6*(8-1)),0),EDATE(Bonds!$H255,6*(8-1))))</f>
        <v>47618</v>
      </c>
      <c r="M255" s="3">
        <f>IF(9&gt;$C255,"",IF($D255=1,EOMONTH(EDATE(Bonds!$H255,6*(9-1)),0),EDATE(Bonds!$H255,6*(9-1))))</f>
        <v>47802</v>
      </c>
      <c r="N255" s="3">
        <f>IF(10&gt;$C255,"",IF($D255=1,EOMONTH(EDATE(Bonds!$H255,6*(10-1)),0),EDATE(Bonds!$H255,6*(10-1))))</f>
        <v>47983</v>
      </c>
      <c r="O255" s="3">
        <f>IF(11&gt;$C255,"",IF($D255=1,EOMONTH(EDATE(Bonds!$H255,6*(11-1)),0),EDATE(Bonds!$H255,6*(11-1))))</f>
        <v>48167</v>
      </c>
      <c r="P255" s="3">
        <f>IF(12&gt;$C255,"",IF($D255=1,EOMONTH(EDATE(Bonds!$H255,6*(12-1)),0),EDATE(Bonds!$H255,6*(12-1))))</f>
        <v>48349</v>
      </c>
      <c r="Q255" s="3">
        <f>IF(13&gt;$C255,"",IF($D255=1,EOMONTH(EDATE(Bonds!$H255,6*(13-1)),0),EDATE(Bonds!$H255,6*(13-1))))</f>
        <v>48533</v>
      </c>
      <c r="R255" s="3">
        <f>IF(14&gt;$C255,"",IF($D255=1,EOMONTH(EDATE(Bonds!$H255,6*(14-1)),0),EDATE(Bonds!$H255,6*(14-1))))</f>
        <v>48714</v>
      </c>
      <c r="S255" s="3">
        <f>IF(15&gt;$C255,"",IF($D255=1,EOMONTH(EDATE(Bonds!$H255,6*(15-1)),0),EDATE(Bonds!$H255,6*(15-1))))</f>
        <v>48898</v>
      </c>
      <c r="T255" s="3">
        <f>IF(16&gt;$C255,"",IF($D255=1,EOMONTH(EDATE(Bonds!$H255,6*(16-1)),0),EDATE(Bonds!$H255,6*(16-1))))</f>
        <v>49079</v>
      </c>
      <c r="U255" s="3">
        <f>IF(17&gt;$C255,"",IF($D255=1,EOMONTH(EDATE(Bonds!$H255,6*(17-1)),0),EDATE(Bonds!$H255,6*(17-1))))</f>
        <v>49263</v>
      </c>
      <c r="V255" s="3">
        <f>IF(18&gt;$C255,"",IF($D255=1,EOMONTH(EDATE(Bonds!$H255,6*(18-1)),0),EDATE(Bonds!$H255,6*(18-1))))</f>
        <v>49444</v>
      </c>
      <c r="W255" s="3">
        <f>IF(19&gt;$C255,"",IF($D255=1,EOMONTH(EDATE(Bonds!$H255,6*(19-1)),0),EDATE(Bonds!$H255,6*(19-1))))</f>
        <v>49628</v>
      </c>
      <c r="X255" s="3" t="str">
        <f>IF(20&gt;$C255,"",IF($D255=1,EOMONTH(EDATE(Bonds!$H255,6*(20-1)),0),EDATE(Bonds!$H255,6*(20-1))))</f>
        <v/>
      </c>
      <c r="Y255" s="3" t="str">
        <f>IF(21&gt;$C255,"",IF($D255=1,EOMONTH(EDATE(Bonds!$H255,6*(21-1)),0),EDATE(Bonds!$H255,6*(21-1))))</f>
        <v/>
      </c>
      <c r="Z255" s="3" t="str">
        <f>IF(22&gt;$C255,"",IF($D255=1,EOMONTH(EDATE(Bonds!$H255,6*(22-1)),0),EDATE(Bonds!$H255,6*(22-1))))</f>
        <v/>
      </c>
      <c r="AA255" s="3" t="str">
        <f>IF(23&gt;$C255,"",IF($D255=1,EOMONTH(EDATE(Bonds!$H255,6*(23-1)),0),EDATE(Bonds!$H255,6*(23-1))))</f>
        <v/>
      </c>
      <c r="AB255" s="3" t="str">
        <f>IF(24&gt;$C255,"",IF($D255=1,EOMONTH(EDATE(Bonds!$H255,6*(24-1)),0),EDATE(Bonds!$H255,6*(24-1))))</f>
        <v/>
      </c>
      <c r="AC255" s="3" t="str">
        <f>IF(25&gt;$C255,"",IF($D255=1,EOMONTH(EDATE(Bonds!$H255,6*(25-1)),0),EDATE(Bonds!$H255,6*(25-1))))</f>
        <v/>
      </c>
      <c r="AD255" s="3" t="str">
        <f>IF(26&gt;$C255,"",IF($D255=1,EOMONTH(EDATE(Bonds!$H255,6*(26-1)),0),EDATE(Bonds!$H255,6*(26-1))))</f>
        <v/>
      </c>
      <c r="AE255" s="3" t="str">
        <f>IF(27&gt;$C255,"",IF($D255=1,EOMONTH(EDATE(Bonds!$H255,6*(27-1)),0),EDATE(Bonds!$H255,6*(27-1))))</f>
        <v/>
      </c>
      <c r="AF255" s="3" t="str">
        <f>IF(28&gt;$C255,"",IF($D255=1,EOMONTH(EDATE(Bonds!$H255,6*(28-1)),0),EDATE(Bonds!$H255,6*(28-1))))</f>
        <v/>
      </c>
      <c r="AG255" s="3" t="str">
        <f>IF(29&gt;$C255,"",IF($D255=1,EOMONTH(EDATE(Bonds!$H255,6*(29-1)),0),EDATE(Bonds!$H255,6*(29-1))))</f>
        <v/>
      </c>
      <c r="AH255" s="3" t="str">
        <f>IF(30&gt;$C255,"",IF($D255=1,EOMONTH(EDATE(Bonds!$H255,6*(30-1)),0),EDATE(Bonds!$H255,6*(30-1))))</f>
        <v/>
      </c>
      <c r="AI255" s="3" t="str">
        <f>IF(31&gt;$C255,"",IF($D255=1,EOMONTH(EDATE(Bonds!$H255,6*(31-1)),0),EDATE(Bonds!$H255,6*(31-1))))</f>
        <v/>
      </c>
      <c r="AJ255" s="3" t="str">
        <f>IF(32&gt;$C255,"",IF($D255=1,EOMONTH(EDATE(Bonds!$H255,6*(32-1)),0),EDATE(Bonds!$H255,6*(32-1))))</f>
        <v/>
      </c>
      <c r="AK255" s="3" t="str">
        <f>IF(33&gt;$C255,"",IF($D255=1,EOMONTH(EDATE(Bonds!$H255,6*(33-1)),0),EDATE(Bonds!$H255,6*(33-1))))</f>
        <v/>
      </c>
      <c r="AL255" s="3" t="str">
        <f>IF(34&gt;$C255,"",IF($D255=1,EOMONTH(EDATE(Bonds!$H255,6*(34-1)),0),EDATE(Bonds!$H255,6*(34-1))))</f>
        <v/>
      </c>
      <c r="AM255" s="3" t="str">
        <f>IF(35&gt;$C255,"",IF($D255=1,EOMONTH(EDATE(Bonds!$H255,6*(35-1)),0),EDATE(Bonds!$H255,6*(35-1))))</f>
        <v/>
      </c>
      <c r="AN255" s="3" t="str">
        <f>IF(36&gt;$C255,"",IF($D255=1,EOMONTH(EDATE(Bonds!$H255,6*(36-1)),0),EDATE(Bonds!$H255,6*(36-1))))</f>
        <v/>
      </c>
      <c r="AO255" s="3" t="str">
        <f>IF(37&gt;$C255,"",IF($D255=1,EOMONTH(EDATE(Bonds!$H255,6*(37-1)),0),EDATE(Bonds!$H255,6*(37-1))))</f>
        <v/>
      </c>
      <c r="AP255" s="3" t="str">
        <f>IF(38&gt;$C255,"",IF($D255=1,EOMONTH(EDATE(Bonds!$H255,6*(38-1)),0),EDATE(Bonds!$H255,6*(38-1))))</f>
        <v/>
      </c>
      <c r="AQ255" s="3" t="str">
        <f>IF(39&gt;$C255,"",IF($D255=1,EOMONTH(EDATE(Bonds!$H255,6*(39-1)),0),EDATE(Bonds!$H255,6*(39-1))))</f>
        <v/>
      </c>
      <c r="AR255" s="3" t="str">
        <f>IF(40&gt;$C255,"",IF($D255=1,EOMONTH(EDATE(Bonds!$H255,6*(40-1)),0),EDATE(Bonds!$H255,6*(40-1))))</f>
        <v/>
      </c>
      <c r="AS255" s="3" t="str">
        <f>IF(41&gt;$C255,"",IF($D255=1,EOMONTH(EDATE(Bonds!$H255,6*(41-1)),0),EDATE(Bonds!$H255,6*(41-1))))</f>
        <v/>
      </c>
      <c r="AT255" s="3" t="str">
        <f>IF(42&gt;$C255,"",IF($D255=1,EOMONTH(EDATE(Bonds!$H255,6*(42-1)),0),EDATE(Bonds!$H255,6*(42-1))))</f>
        <v/>
      </c>
      <c r="AU255" s="3" t="str">
        <f>IF(43&gt;$C255,"",IF($D255=1,EOMONTH(EDATE(Bonds!$H255,6*(43-1)),0),EDATE(Bonds!$H255,6*(43-1))))</f>
        <v/>
      </c>
      <c r="AV255" s="3" t="str">
        <f>IF(44&gt;$C255,"",IF($D255=1,EOMONTH(EDATE(Bonds!$H255,6*(44-1)),0),EDATE(Bonds!$H255,6*(44-1))))</f>
        <v/>
      </c>
      <c r="AW255" s="3" t="str">
        <f>IF(45&gt;$C255,"",IF($D255=1,EOMONTH(EDATE(Bonds!$H255,6*(45-1)),0),EDATE(Bonds!$H255,6*(45-1))))</f>
        <v/>
      </c>
      <c r="AX255" s="3" t="str">
        <f>IF(46&gt;$C255,"",IF($D255=1,EOMONTH(EDATE(Bonds!$H255,6*(46-1)),0),EDATE(Bonds!$H255,6*(46-1))))</f>
        <v/>
      </c>
      <c r="AY255" s="3" t="str">
        <f>IF(47&gt;$C255,"",IF($D255=1,EOMONTH(EDATE(Bonds!$H255,6*(47-1)),0),EDATE(Bonds!$H255,6*(47-1))))</f>
        <v/>
      </c>
      <c r="AZ255" s="3" t="str">
        <f>IF(48&gt;$C255,"",IF($D255=1,EOMONTH(EDATE(Bonds!$H255,6*(48-1)),0),EDATE(Bonds!$H255,6*(48-1))))</f>
        <v/>
      </c>
      <c r="BA255" s="3" t="str">
        <f>IF(49&gt;$C255,"",IF($D255=1,EOMONTH(EDATE(Bonds!$H255,6*(49-1)),0),EDATE(Bonds!$H255,6*(49-1))))</f>
        <v/>
      </c>
      <c r="BB255" s="3" t="str">
        <f>IF(50&gt;$C255,"",IF($D255=1,EOMONTH(EDATE(Bonds!$H255,6*(50-1)),0),EDATE(Bonds!$H255,6*(50-1))))</f>
        <v/>
      </c>
      <c r="BC255" s="3" t="str">
        <f>IF(51&gt;$C255,"",IF($D255=1,EOMONTH(EDATE(Bonds!$H255,6*(51-1)),0),EDATE(Bonds!$H255,6*(51-1))))</f>
        <v/>
      </c>
      <c r="BD255" s="3" t="str">
        <f>IF(52&gt;$C255,"",IF($D255=1,EOMONTH(EDATE(Bonds!$H255,6*(52-1)),0),EDATE(Bonds!$H255,6*(52-1))))</f>
        <v/>
      </c>
      <c r="BE255" s="3" t="str">
        <f>IF(53&gt;$C255,"",IF($D255=1,EOMONTH(EDATE(Bonds!$H255,6*(53-1)),0),EDATE(Bonds!$H255,6*(53-1))))</f>
        <v/>
      </c>
      <c r="BF255" s="3" t="str">
        <f>IF(54&gt;$C255,"",IF($D255=1,EOMONTH(EDATE(Bonds!$H255,6*(54-1)),0),EDATE(Bonds!$H255,6*(54-1))))</f>
        <v/>
      </c>
      <c r="BG255" s="3" t="str">
        <f>IF(55&gt;$C255,"",IF($D255=1,EOMONTH(EDATE(Bonds!$H255,6*(55-1)),0),EDATE(Bonds!$H255,6*(55-1))))</f>
        <v/>
      </c>
      <c r="BH255" s="3" t="str">
        <f>IF(56&gt;$C255,"",IF($D255=1,EOMONTH(EDATE(Bonds!$H255,6*(56-1)),0),EDATE(Bonds!$H255,6*(56-1))))</f>
        <v/>
      </c>
      <c r="BI255" s="3" t="str">
        <f>IF(57&gt;$C255,"",IF($D255=1,EOMONTH(EDATE(Bonds!$H255,6*(57-1)),0),EDATE(Bonds!$H255,6*(57-1))))</f>
        <v/>
      </c>
      <c r="BJ255" s="3" t="str">
        <f>IF(58&gt;$C255,"",IF($D255=1,EOMONTH(EDATE(Bonds!$H255,6*(58-1)),0),EDATE(Bonds!$H255,6*(58-1))))</f>
        <v/>
      </c>
      <c r="BK255" s="3" t="str">
        <f>IF(59&gt;$C255,"",IF($D255=1,EOMONTH(EDATE(Bonds!$H255,6*(59-1)),0),EDATE(Bonds!$H255,6*(59-1))))</f>
        <v/>
      </c>
      <c r="BL255" s="3" t="str">
        <f>IF(60&gt;$C255,"",IF($D255=1,EOMONTH(EDATE(Bonds!$H255,6*(60-1)),0),EDATE(Bonds!$H255,6*(60-1))))</f>
        <v/>
      </c>
      <c r="BN255" s="7">
        <f t="shared" si="184"/>
        <v>1.9860511652000372</v>
      </c>
      <c r="BO255" s="7">
        <f t="shared" si="185"/>
        <v>1.9459459705840927</v>
      </c>
      <c r="BP255" s="7">
        <f t="shared" si="186"/>
        <v>1.9030816570992335</v>
      </c>
      <c r="BQ255" s="7">
        <f t="shared" si="187"/>
        <v>1.8603962828939782</v>
      </c>
      <c r="BR255" s="7">
        <f t="shared" si="188"/>
        <v>1.8178558722809313</v>
      </c>
      <c r="BS255" s="7">
        <f t="shared" si="189"/>
        <v>1.77696400413736</v>
      </c>
      <c r="BT255" s="7">
        <f t="shared" si="190"/>
        <v>1.7364248989139217</v>
      </c>
      <c r="BU255" s="7">
        <f t="shared" si="191"/>
        <v>1.6974716915129251</v>
      </c>
      <c r="BV255" s="7">
        <f t="shared" si="192"/>
        <v>1.6586615989911491</v>
      </c>
      <c r="BW255" s="7">
        <f t="shared" si="193"/>
        <v>1.6211026286511701</v>
      </c>
      <c r="BX255" s="7">
        <f t="shared" si="194"/>
        <v>1.5834064704381468</v>
      </c>
      <c r="BY255" s="7">
        <f t="shared" si="195"/>
        <v>1.546489716439392</v>
      </c>
      <c r="BZ255" s="7">
        <f t="shared" si="196"/>
        <v>1.5094614372087338</v>
      </c>
      <c r="CA255" s="7">
        <f t="shared" si="197"/>
        <v>1.4732796126915289</v>
      </c>
      <c r="CB255" s="7">
        <f t="shared" si="198"/>
        <v>1.4367265528368267</v>
      </c>
      <c r="CC255" s="7">
        <f t="shared" si="199"/>
        <v>1.4009991915269644</v>
      </c>
      <c r="CD255" s="7">
        <f t="shared" si="200"/>
        <v>1.3649364306454237</v>
      </c>
      <c r="CE255" s="7">
        <f t="shared" si="201"/>
        <v>1.3297498823884337</v>
      </c>
      <c r="CF255" s="7">
        <f t="shared" si="202"/>
        <v>66.010239055715616</v>
      </c>
      <c r="CG255" s="7">
        <f t="shared" si="203"/>
        <v>0</v>
      </c>
      <c r="CH255" s="7">
        <f t="shared" si="204"/>
        <v>0</v>
      </c>
      <c r="CI255" s="7">
        <f t="shared" si="205"/>
        <v>0</v>
      </c>
      <c r="CJ255" s="7">
        <f t="shared" si="206"/>
        <v>0</v>
      </c>
      <c r="CK255" s="7">
        <f t="shared" si="207"/>
        <v>0</v>
      </c>
      <c r="CL255" s="7">
        <f t="shared" si="208"/>
        <v>0</v>
      </c>
      <c r="CM255" s="7">
        <f t="shared" si="209"/>
        <v>0</v>
      </c>
      <c r="CN255" s="7">
        <f t="shared" si="210"/>
        <v>0</v>
      </c>
      <c r="CO255" s="7">
        <f t="shared" si="211"/>
        <v>0</v>
      </c>
      <c r="CP255" s="7">
        <f t="shared" si="212"/>
        <v>0</v>
      </c>
      <c r="CQ255" s="7">
        <f t="shared" si="213"/>
        <v>0</v>
      </c>
      <c r="CR255" s="7">
        <f t="shared" si="214"/>
        <v>0</v>
      </c>
      <c r="CS255" s="7">
        <f t="shared" si="215"/>
        <v>0</v>
      </c>
      <c r="CT255" s="7">
        <f t="shared" si="216"/>
        <v>0</v>
      </c>
      <c r="CU255" s="7">
        <f t="shared" si="217"/>
        <v>0</v>
      </c>
      <c r="CV255" s="7">
        <f t="shared" si="218"/>
        <v>0</v>
      </c>
      <c r="CW255" s="7">
        <f t="shared" si="219"/>
        <v>0</v>
      </c>
      <c r="CX255" s="7">
        <f t="shared" si="220"/>
        <v>0</v>
      </c>
      <c r="CY255" s="7">
        <f t="shared" si="221"/>
        <v>0</v>
      </c>
      <c r="CZ255" s="7">
        <f t="shared" si="222"/>
        <v>0</v>
      </c>
      <c r="DA255" s="7">
        <f t="shared" si="223"/>
        <v>0</v>
      </c>
      <c r="DB255" s="7">
        <f t="shared" si="224"/>
        <v>0</v>
      </c>
      <c r="DC255" s="7">
        <f t="shared" si="225"/>
        <v>0</v>
      </c>
      <c r="DD255" s="7">
        <f t="shared" si="226"/>
        <v>0</v>
      </c>
      <c r="DE255" s="7">
        <f t="shared" si="227"/>
        <v>0</v>
      </c>
      <c r="DF255" s="7">
        <f t="shared" si="228"/>
        <v>0</v>
      </c>
      <c r="DG255" s="7">
        <f t="shared" si="229"/>
        <v>0</v>
      </c>
      <c r="DH255" s="7">
        <f t="shared" si="230"/>
        <v>0</v>
      </c>
      <c r="DI255" s="7">
        <f t="shared" si="231"/>
        <v>0</v>
      </c>
      <c r="DJ255" s="7">
        <f t="shared" si="232"/>
        <v>0</v>
      </c>
      <c r="DK255" s="7">
        <f t="shared" si="233"/>
        <v>0</v>
      </c>
      <c r="DL255" s="7">
        <f t="shared" si="234"/>
        <v>0</v>
      </c>
      <c r="DM255" s="7">
        <f t="shared" si="235"/>
        <v>0</v>
      </c>
      <c r="DN255" s="7">
        <f t="shared" si="236"/>
        <v>0</v>
      </c>
      <c r="DO255" s="7">
        <f t="shared" si="237"/>
        <v>0</v>
      </c>
      <c r="DP255" s="7">
        <f t="shared" si="238"/>
        <v>0</v>
      </c>
      <c r="DQ255" s="7">
        <f t="shared" si="239"/>
        <v>0</v>
      </c>
      <c r="DR255" s="7">
        <f t="shared" si="240"/>
        <v>0</v>
      </c>
      <c r="DS255" s="7">
        <f t="shared" si="241"/>
        <v>0</v>
      </c>
      <c r="DT255" s="7">
        <f t="shared" si="242"/>
        <v>0</v>
      </c>
      <c r="DU255" s="7">
        <f t="shared" si="243"/>
        <v>0</v>
      </c>
    </row>
    <row r="256" spans="1:125" x14ac:dyDescent="0.2">
      <c r="A256" s="3">
        <f>Bonds!A256</f>
        <v>49720</v>
      </c>
      <c r="B256" s="4">
        <f>Bonds!B256</f>
        <v>4.125</v>
      </c>
      <c r="C256">
        <f>Bonds!P256</f>
        <v>19</v>
      </c>
      <c r="D256">
        <f t="shared" si="183"/>
        <v>0</v>
      </c>
      <c r="E256" s="3">
        <f>IF(1&gt;$C256,"",IF($D256=1,EOMONTH(EDATE(Bonds!$H256,6*(1-1)),0),EDATE(Bonds!$H256,6*(1-1))))</f>
        <v>46433</v>
      </c>
      <c r="F256" s="3">
        <f>IF(2&gt;$C256,"",IF($D256=1,EOMONTH(EDATE(Bonds!$H256,6*(2-1)),0),EDATE(Bonds!$H256,6*(2-1))))</f>
        <v>46614</v>
      </c>
      <c r="G256" s="3">
        <f>IF(3&gt;$C256,"",IF($D256=1,EOMONTH(EDATE(Bonds!$H256,6*(3-1)),0),EDATE(Bonds!$H256,6*(3-1))))</f>
        <v>46798</v>
      </c>
      <c r="H256" s="3">
        <f>IF(4&gt;$C256,"",IF($D256=1,EOMONTH(EDATE(Bonds!$H256,6*(4-1)),0),EDATE(Bonds!$H256,6*(4-1))))</f>
        <v>46980</v>
      </c>
      <c r="I256" s="3">
        <f>IF(5&gt;$C256,"",IF($D256=1,EOMONTH(EDATE(Bonds!$H256,6*(5-1)),0),EDATE(Bonds!$H256,6*(5-1))))</f>
        <v>47164</v>
      </c>
      <c r="J256" s="3">
        <f>IF(6&gt;$C256,"",IF($D256=1,EOMONTH(EDATE(Bonds!$H256,6*(6-1)),0),EDATE(Bonds!$H256,6*(6-1))))</f>
        <v>47345</v>
      </c>
      <c r="K256" s="3">
        <f>IF(7&gt;$C256,"",IF($D256=1,EOMONTH(EDATE(Bonds!$H256,6*(7-1)),0),EDATE(Bonds!$H256,6*(7-1))))</f>
        <v>47529</v>
      </c>
      <c r="L256" s="3">
        <f>IF(8&gt;$C256,"",IF($D256=1,EOMONTH(EDATE(Bonds!$H256,6*(8-1)),0),EDATE(Bonds!$H256,6*(8-1))))</f>
        <v>47710</v>
      </c>
      <c r="M256" s="3">
        <f>IF(9&gt;$C256,"",IF($D256=1,EOMONTH(EDATE(Bonds!$H256,6*(9-1)),0),EDATE(Bonds!$H256,6*(9-1))))</f>
        <v>47894</v>
      </c>
      <c r="N256" s="3">
        <f>IF(10&gt;$C256,"",IF($D256=1,EOMONTH(EDATE(Bonds!$H256,6*(10-1)),0),EDATE(Bonds!$H256,6*(10-1))))</f>
        <v>48075</v>
      </c>
      <c r="O256" s="3">
        <f>IF(11&gt;$C256,"",IF($D256=1,EOMONTH(EDATE(Bonds!$H256,6*(11-1)),0),EDATE(Bonds!$H256,6*(11-1))))</f>
        <v>48259</v>
      </c>
      <c r="P256" s="3">
        <f>IF(12&gt;$C256,"",IF($D256=1,EOMONTH(EDATE(Bonds!$H256,6*(12-1)),0),EDATE(Bonds!$H256,6*(12-1))))</f>
        <v>48441</v>
      </c>
      <c r="Q256" s="3">
        <f>IF(13&gt;$C256,"",IF($D256=1,EOMONTH(EDATE(Bonds!$H256,6*(13-1)),0),EDATE(Bonds!$H256,6*(13-1))))</f>
        <v>48625</v>
      </c>
      <c r="R256" s="3">
        <f>IF(14&gt;$C256,"",IF($D256=1,EOMONTH(EDATE(Bonds!$H256,6*(14-1)),0),EDATE(Bonds!$H256,6*(14-1))))</f>
        <v>48806</v>
      </c>
      <c r="S256" s="3">
        <f>IF(15&gt;$C256,"",IF($D256=1,EOMONTH(EDATE(Bonds!$H256,6*(15-1)),0),EDATE(Bonds!$H256,6*(15-1))))</f>
        <v>48990</v>
      </c>
      <c r="T256" s="3">
        <f>IF(16&gt;$C256,"",IF($D256=1,EOMONTH(EDATE(Bonds!$H256,6*(16-1)),0),EDATE(Bonds!$H256,6*(16-1))))</f>
        <v>49171</v>
      </c>
      <c r="U256" s="3">
        <f>IF(17&gt;$C256,"",IF($D256=1,EOMONTH(EDATE(Bonds!$H256,6*(17-1)),0),EDATE(Bonds!$H256,6*(17-1))))</f>
        <v>49355</v>
      </c>
      <c r="V256" s="3">
        <f>IF(18&gt;$C256,"",IF($D256=1,EOMONTH(EDATE(Bonds!$H256,6*(18-1)),0),EDATE(Bonds!$H256,6*(18-1))))</f>
        <v>49536</v>
      </c>
      <c r="W256" s="3">
        <f>IF(19&gt;$C256,"",IF($D256=1,EOMONTH(EDATE(Bonds!$H256,6*(19-1)),0),EDATE(Bonds!$H256,6*(19-1))))</f>
        <v>49720</v>
      </c>
      <c r="X256" s="3" t="str">
        <f>IF(20&gt;$C256,"",IF($D256=1,EOMONTH(EDATE(Bonds!$H256,6*(20-1)),0),EDATE(Bonds!$H256,6*(20-1))))</f>
        <v/>
      </c>
      <c r="Y256" s="3" t="str">
        <f>IF(21&gt;$C256,"",IF($D256=1,EOMONTH(EDATE(Bonds!$H256,6*(21-1)),0),EDATE(Bonds!$H256,6*(21-1))))</f>
        <v/>
      </c>
      <c r="Z256" s="3" t="str">
        <f>IF(22&gt;$C256,"",IF($D256=1,EOMONTH(EDATE(Bonds!$H256,6*(22-1)),0),EDATE(Bonds!$H256,6*(22-1))))</f>
        <v/>
      </c>
      <c r="AA256" s="3" t="str">
        <f>IF(23&gt;$C256,"",IF($D256=1,EOMONTH(EDATE(Bonds!$H256,6*(23-1)),0),EDATE(Bonds!$H256,6*(23-1))))</f>
        <v/>
      </c>
      <c r="AB256" s="3" t="str">
        <f>IF(24&gt;$C256,"",IF($D256=1,EOMONTH(EDATE(Bonds!$H256,6*(24-1)),0),EDATE(Bonds!$H256,6*(24-1))))</f>
        <v/>
      </c>
      <c r="AC256" s="3" t="str">
        <f>IF(25&gt;$C256,"",IF($D256=1,EOMONTH(EDATE(Bonds!$H256,6*(25-1)),0),EDATE(Bonds!$H256,6*(25-1))))</f>
        <v/>
      </c>
      <c r="AD256" s="3" t="str">
        <f>IF(26&gt;$C256,"",IF($D256=1,EOMONTH(EDATE(Bonds!$H256,6*(26-1)),0),EDATE(Bonds!$H256,6*(26-1))))</f>
        <v/>
      </c>
      <c r="AE256" s="3" t="str">
        <f>IF(27&gt;$C256,"",IF($D256=1,EOMONTH(EDATE(Bonds!$H256,6*(27-1)),0),EDATE(Bonds!$H256,6*(27-1))))</f>
        <v/>
      </c>
      <c r="AF256" s="3" t="str">
        <f>IF(28&gt;$C256,"",IF($D256=1,EOMONTH(EDATE(Bonds!$H256,6*(28-1)),0),EDATE(Bonds!$H256,6*(28-1))))</f>
        <v/>
      </c>
      <c r="AG256" s="3" t="str">
        <f>IF(29&gt;$C256,"",IF($D256=1,EOMONTH(EDATE(Bonds!$H256,6*(29-1)),0),EDATE(Bonds!$H256,6*(29-1))))</f>
        <v/>
      </c>
      <c r="AH256" s="3" t="str">
        <f>IF(30&gt;$C256,"",IF($D256=1,EOMONTH(EDATE(Bonds!$H256,6*(30-1)),0),EDATE(Bonds!$H256,6*(30-1))))</f>
        <v/>
      </c>
      <c r="AI256" s="3" t="str">
        <f>IF(31&gt;$C256,"",IF($D256=1,EOMONTH(EDATE(Bonds!$H256,6*(31-1)),0),EDATE(Bonds!$H256,6*(31-1))))</f>
        <v/>
      </c>
      <c r="AJ256" s="3" t="str">
        <f>IF(32&gt;$C256,"",IF($D256=1,EOMONTH(EDATE(Bonds!$H256,6*(32-1)),0),EDATE(Bonds!$H256,6*(32-1))))</f>
        <v/>
      </c>
      <c r="AK256" s="3" t="str">
        <f>IF(33&gt;$C256,"",IF($D256=1,EOMONTH(EDATE(Bonds!$H256,6*(33-1)),0),EDATE(Bonds!$H256,6*(33-1))))</f>
        <v/>
      </c>
      <c r="AL256" s="3" t="str">
        <f>IF(34&gt;$C256,"",IF($D256=1,EOMONTH(EDATE(Bonds!$H256,6*(34-1)),0),EDATE(Bonds!$H256,6*(34-1))))</f>
        <v/>
      </c>
      <c r="AM256" s="3" t="str">
        <f>IF(35&gt;$C256,"",IF($D256=1,EOMONTH(EDATE(Bonds!$H256,6*(35-1)),0),EDATE(Bonds!$H256,6*(35-1))))</f>
        <v/>
      </c>
      <c r="AN256" s="3" t="str">
        <f>IF(36&gt;$C256,"",IF($D256=1,EOMONTH(EDATE(Bonds!$H256,6*(36-1)),0),EDATE(Bonds!$H256,6*(36-1))))</f>
        <v/>
      </c>
      <c r="AO256" s="3" t="str">
        <f>IF(37&gt;$C256,"",IF($D256=1,EOMONTH(EDATE(Bonds!$H256,6*(37-1)),0),EDATE(Bonds!$H256,6*(37-1))))</f>
        <v/>
      </c>
      <c r="AP256" s="3" t="str">
        <f>IF(38&gt;$C256,"",IF($D256=1,EOMONTH(EDATE(Bonds!$H256,6*(38-1)),0),EDATE(Bonds!$H256,6*(38-1))))</f>
        <v/>
      </c>
      <c r="AQ256" s="3" t="str">
        <f>IF(39&gt;$C256,"",IF($D256=1,EOMONTH(EDATE(Bonds!$H256,6*(39-1)),0),EDATE(Bonds!$H256,6*(39-1))))</f>
        <v/>
      </c>
      <c r="AR256" s="3" t="str">
        <f>IF(40&gt;$C256,"",IF($D256=1,EOMONTH(EDATE(Bonds!$H256,6*(40-1)),0),EDATE(Bonds!$H256,6*(40-1))))</f>
        <v/>
      </c>
      <c r="AS256" s="3" t="str">
        <f>IF(41&gt;$C256,"",IF($D256=1,EOMONTH(EDATE(Bonds!$H256,6*(41-1)),0),EDATE(Bonds!$H256,6*(41-1))))</f>
        <v/>
      </c>
      <c r="AT256" s="3" t="str">
        <f>IF(42&gt;$C256,"",IF($D256=1,EOMONTH(EDATE(Bonds!$H256,6*(42-1)),0),EDATE(Bonds!$H256,6*(42-1))))</f>
        <v/>
      </c>
      <c r="AU256" s="3" t="str">
        <f>IF(43&gt;$C256,"",IF($D256=1,EOMONTH(EDATE(Bonds!$H256,6*(43-1)),0),EDATE(Bonds!$H256,6*(43-1))))</f>
        <v/>
      </c>
      <c r="AV256" s="3" t="str">
        <f>IF(44&gt;$C256,"",IF($D256=1,EOMONTH(EDATE(Bonds!$H256,6*(44-1)),0),EDATE(Bonds!$H256,6*(44-1))))</f>
        <v/>
      </c>
      <c r="AW256" s="3" t="str">
        <f>IF(45&gt;$C256,"",IF($D256=1,EOMONTH(EDATE(Bonds!$H256,6*(45-1)),0),EDATE(Bonds!$H256,6*(45-1))))</f>
        <v/>
      </c>
      <c r="AX256" s="3" t="str">
        <f>IF(46&gt;$C256,"",IF($D256=1,EOMONTH(EDATE(Bonds!$H256,6*(46-1)),0),EDATE(Bonds!$H256,6*(46-1))))</f>
        <v/>
      </c>
      <c r="AY256" s="3" t="str">
        <f>IF(47&gt;$C256,"",IF($D256=1,EOMONTH(EDATE(Bonds!$H256,6*(47-1)),0),EDATE(Bonds!$H256,6*(47-1))))</f>
        <v/>
      </c>
      <c r="AZ256" s="3" t="str">
        <f>IF(48&gt;$C256,"",IF($D256=1,EOMONTH(EDATE(Bonds!$H256,6*(48-1)),0),EDATE(Bonds!$H256,6*(48-1))))</f>
        <v/>
      </c>
      <c r="BA256" s="3" t="str">
        <f>IF(49&gt;$C256,"",IF($D256=1,EOMONTH(EDATE(Bonds!$H256,6*(49-1)),0),EDATE(Bonds!$H256,6*(49-1))))</f>
        <v/>
      </c>
      <c r="BB256" s="3" t="str">
        <f>IF(50&gt;$C256,"",IF($D256=1,EOMONTH(EDATE(Bonds!$H256,6*(50-1)),0),EDATE(Bonds!$H256,6*(50-1))))</f>
        <v/>
      </c>
      <c r="BC256" s="3" t="str">
        <f>IF(51&gt;$C256,"",IF($D256=1,EOMONTH(EDATE(Bonds!$H256,6*(51-1)),0),EDATE(Bonds!$H256,6*(51-1))))</f>
        <v/>
      </c>
      <c r="BD256" s="3" t="str">
        <f>IF(52&gt;$C256,"",IF($D256=1,EOMONTH(EDATE(Bonds!$H256,6*(52-1)),0),EDATE(Bonds!$H256,6*(52-1))))</f>
        <v/>
      </c>
      <c r="BE256" s="3" t="str">
        <f>IF(53&gt;$C256,"",IF($D256=1,EOMONTH(EDATE(Bonds!$H256,6*(53-1)),0),EDATE(Bonds!$H256,6*(53-1))))</f>
        <v/>
      </c>
      <c r="BF256" s="3" t="str">
        <f>IF(54&gt;$C256,"",IF($D256=1,EOMONTH(EDATE(Bonds!$H256,6*(54-1)),0),EDATE(Bonds!$H256,6*(54-1))))</f>
        <v/>
      </c>
      <c r="BG256" s="3" t="str">
        <f>IF(55&gt;$C256,"",IF($D256=1,EOMONTH(EDATE(Bonds!$H256,6*(55-1)),0),EDATE(Bonds!$H256,6*(55-1))))</f>
        <v/>
      </c>
      <c r="BH256" s="3" t="str">
        <f>IF(56&gt;$C256,"",IF($D256=1,EOMONTH(EDATE(Bonds!$H256,6*(56-1)),0),EDATE(Bonds!$H256,6*(56-1))))</f>
        <v/>
      </c>
      <c r="BI256" s="3" t="str">
        <f>IF(57&gt;$C256,"",IF($D256=1,EOMONTH(EDATE(Bonds!$H256,6*(57-1)),0),EDATE(Bonds!$H256,6*(57-1))))</f>
        <v/>
      </c>
      <c r="BJ256" s="3" t="str">
        <f>IF(58&gt;$C256,"",IF($D256=1,EOMONTH(EDATE(Bonds!$H256,6*(58-1)),0),EDATE(Bonds!$H256,6*(58-1))))</f>
        <v/>
      </c>
      <c r="BK256" s="3" t="str">
        <f>IF(59&gt;$C256,"",IF($D256=1,EOMONTH(EDATE(Bonds!$H256,6*(59-1)),0),EDATE(Bonds!$H256,6*(59-1))))</f>
        <v/>
      </c>
      <c r="BL256" s="3" t="str">
        <f>IF(60&gt;$C256,"",IF($D256=1,EOMONTH(EDATE(Bonds!$H256,6*(60-1)),0),EDATE(Bonds!$H256,6*(60-1))))</f>
        <v/>
      </c>
      <c r="BN256" s="7">
        <f t="shared" si="184"/>
        <v>2.0275189322045994</v>
      </c>
      <c r="BO256" s="7">
        <f t="shared" si="185"/>
        <v>1.9847822318102384</v>
      </c>
      <c r="BP256" s="7">
        <f t="shared" si="186"/>
        <v>1.9402640974145573</v>
      </c>
      <c r="BQ256" s="7">
        <f t="shared" si="187"/>
        <v>1.8964862247229273</v>
      </c>
      <c r="BR256" s="7">
        <f t="shared" si="188"/>
        <v>1.8530987400993406</v>
      </c>
      <c r="BS256" s="7">
        <f t="shared" si="189"/>
        <v>1.8114607700533749</v>
      </c>
      <c r="BT256" s="7">
        <f t="shared" si="190"/>
        <v>1.7701607025778501</v>
      </c>
      <c r="BU256" s="7">
        <f t="shared" si="191"/>
        <v>1.7304143183497951</v>
      </c>
      <c r="BV256" s="7">
        <f t="shared" si="192"/>
        <v>1.690738085942127</v>
      </c>
      <c r="BW256" s="7">
        <f t="shared" si="193"/>
        <v>1.6522700417347913</v>
      </c>
      <c r="BX256" s="7">
        <f t="shared" si="194"/>
        <v>1.6136020320139555</v>
      </c>
      <c r="BY256" s="7">
        <f t="shared" si="195"/>
        <v>1.5756904677924977</v>
      </c>
      <c r="BZ256" s="7">
        <f t="shared" si="196"/>
        <v>1.5376373812012063</v>
      </c>
      <c r="CA256" s="7">
        <f t="shared" si="197"/>
        <v>1.5004424085106451</v>
      </c>
      <c r="CB256" s="7">
        <f t="shared" si="198"/>
        <v>1.4628665391039943</v>
      </c>
      <c r="CC256" s="7">
        <f t="shared" si="199"/>
        <v>1.4261500921610459</v>
      </c>
      <c r="CD256" s="7">
        <f t="shared" si="200"/>
        <v>1.3891073768727815</v>
      </c>
      <c r="CE256" s="7">
        <f t="shared" si="201"/>
        <v>1.3529880764476878</v>
      </c>
      <c r="CF256" s="7">
        <f t="shared" si="202"/>
        <v>65.153961048962714</v>
      </c>
      <c r="CG256" s="7">
        <f t="shared" si="203"/>
        <v>0</v>
      </c>
      <c r="CH256" s="7">
        <f t="shared" si="204"/>
        <v>0</v>
      </c>
      <c r="CI256" s="7">
        <f t="shared" si="205"/>
        <v>0</v>
      </c>
      <c r="CJ256" s="7">
        <f t="shared" si="206"/>
        <v>0</v>
      </c>
      <c r="CK256" s="7">
        <f t="shared" si="207"/>
        <v>0</v>
      </c>
      <c r="CL256" s="7">
        <f t="shared" si="208"/>
        <v>0</v>
      </c>
      <c r="CM256" s="7">
        <f t="shared" si="209"/>
        <v>0</v>
      </c>
      <c r="CN256" s="7">
        <f t="shared" si="210"/>
        <v>0</v>
      </c>
      <c r="CO256" s="7">
        <f t="shared" si="211"/>
        <v>0</v>
      </c>
      <c r="CP256" s="7">
        <f t="shared" si="212"/>
        <v>0</v>
      </c>
      <c r="CQ256" s="7">
        <f t="shared" si="213"/>
        <v>0</v>
      </c>
      <c r="CR256" s="7">
        <f t="shared" si="214"/>
        <v>0</v>
      </c>
      <c r="CS256" s="7">
        <f t="shared" si="215"/>
        <v>0</v>
      </c>
      <c r="CT256" s="7">
        <f t="shared" si="216"/>
        <v>0</v>
      </c>
      <c r="CU256" s="7">
        <f t="shared" si="217"/>
        <v>0</v>
      </c>
      <c r="CV256" s="7">
        <f t="shared" si="218"/>
        <v>0</v>
      </c>
      <c r="CW256" s="7">
        <f t="shared" si="219"/>
        <v>0</v>
      </c>
      <c r="CX256" s="7">
        <f t="shared" si="220"/>
        <v>0</v>
      </c>
      <c r="CY256" s="7">
        <f t="shared" si="221"/>
        <v>0</v>
      </c>
      <c r="CZ256" s="7">
        <f t="shared" si="222"/>
        <v>0</v>
      </c>
      <c r="DA256" s="7">
        <f t="shared" si="223"/>
        <v>0</v>
      </c>
      <c r="DB256" s="7">
        <f t="shared" si="224"/>
        <v>0</v>
      </c>
      <c r="DC256" s="7">
        <f t="shared" si="225"/>
        <v>0</v>
      </c>
      <c r="DD256" s="7">
        <f t="shared" si="226"/>
        <v>0</v>
      </c>
      <c r="DE256" s="7">
        <f t="shared" si="227"/>
        <v>0</v>
      </c>
      <c r="DF256" s="7">
        <f t="shared" si="228"/>
        <v>0</v>
      </c>
      <c r="DG256" s="7">
        <f t="shared" si="229"/>
        <v>0</v>
      </c>
      <c r="DH256" s="7">
        <f t="shared" si="230"/>
        <v>0</v>
      </c>
      <c r="DI256" s="7">
        <f t="shared" si="231"/>
        <v>0</v>
      </c>
      <c r="DJ256" s="7">
        <f t="shared" si="232"/>
        <v>0</v>
      </c>
      <c r="DK256" s="7">
        <f t="shared" si="233"/>
        <v>0</v>
      </c>
      <c r="DL256" s="7">
        <f t="shared" si="234"/>
        <v>0</v>
      </c>
      <c r="DM256" s="7">
        <f t="shared" si="235"/>
        <v>0</v>
      </c>
      <c r="DN256" s="7">
        <f t="shared" si="236"/>
        <v>0</v>
      </c>
      <c r="DO256" s="7">
        <f t="shared" si="237"/>
        <v>0</v>
      </c>
      <c r="DP256" s="7">
        <f t="shared" si="238"/>
        <v>0</v>
      </c>
      <c r="DQ256" s="7">
        <f t="shared" si="239"/>
        <v>0</v>
      </c>
      <c r="DR256" s="7">
        <f t="shared" si="240"/>
        <v>0</v>
      </c>
      <c r="DS256" s="7">
        <f t="shared" si="241"/>
        <v>0</v>
      </c>
      <c r="DT256" s="7">
        <f t="shared" si="242"/>
        <v>0</v>
      </c>
      <c r="DU256" s="7">
        <f t="shared" si="243"/>
        <v>0</v>
      </c>
    </row>
    <row r="257" spans="1:125" x14ac:dyDescent="0.2">
      <c r="A257" s="3">
        <f>Bonds!A257</f>
        <v>49720</v>
      </c>
      <c r="B257" s="4">
        <f>Bonds!B257</f>
        <v>4.5</v>
      </c>
      <c r="C257">
        <f>Bonds!P257</f>
        <v>19</v>
      </c>
      <c r="D257">
        <f t="shared" si="183"/>
        <v>0</v>
      </c>
      <c r="E257" s="3">
        <f>IF(1&gt;$C257,"",IF($D257=1,EOMONTH(EDATE(Bonds!$H257,6*(1-1)),0),EDATE(Bonds!$H257,6*(1-1))))</f>
        <v>46433</v>
      </c>
      <c r="F257" s="3">
        <f>IF(2&gt;$C257,"",IF($D257=1,EOMONTH(EDATE(Bonds!$H257,6*(2-1)),0),EDATE(Bonds!$H257,6*(2-1))))</f>
        <v>46614</v>
      </c>
      <c r="G257" s="3">
        <f>IF(3&gt;$C257,"",IF($D257=1,EOMONTH(EDATE(Bonds!$H257,6*(3-1)),0),EDATE(Bonds!$H257,6*(3-1))))</f>
        <v>46798</v>
      </c>
      <c r="H257" s="3">
        <f>IF(4&gt;$C257,"",IF($D257=1,EOMONTH(EDATE(Bonds!$H257,6*(4-1)),0),EDATE(Bonds!$H257,6*(4-1))))</f>
        <v>46980</v>
      </c>
      <c r="I257" s="3">
        <f>IF(5&gt;$C257,"",IF($D257=1,EOMONTH(EDATE(Bonds!$H257,6*(5-1)),0),EDATE(Bonds!$H257,6*(5-1))))</f>
        <v>47164</v>
      </c>
      <c r="J257" s="3">
        <f>IF(6&gt;$C257,"",IF($D257=1,EOMONTH(EDATE(Bonds!$H257,6*(6-1)),0),EDATE(Bonds!$H257,6*(6-1))))</f>
        <v>47345</v>
      </c>
      <c r="K257" s="3">
        <f>IF(7&gt;$C257,"",IF($D257=1,EOMONTH(EDATE(Bonds!$H257,6*(7-1)),0),EDATE(Bonds!$H257,6*(7-1))))</f>
        <v>47529</v>
      </c>
      <c r="L257" s="3">
        <f>IF(8&gt;$C257,"",IF($D257=1,EOMONTH(EDATE(Bonds!$H257,6*(8-1)),0),EDATE(Bonds!$H257,6*(8-1))))</f>
        <v>47710</v>
      </c>
      <c r="M257" s="3">
        <f>IF(9&gt;$C257,"",IF($D257=1,EOMONTH(EDATE(Bonds!$H257,6*(9-1)),0),EDATE(Bonds!$H257,6*(9-1))))</f>
        <v>47894</v>
      </c>
      <c r="N257" s="3">
        <f>IF(10&gt;$C257,"",IF($D257=1,EOMONTH(EDATE(Bonds!$H257,6*(10-1)),0),EDATE(Bonds!$H257,6*(10-1))))</f>
        <v>48075</v>
      </c>
      <c r="O257" s="3">
        <f>IF(11&gt;$C257,"",IF($D257=1,EOMONTH(EDATE(Bonds!$H257,6*(11-1)),0),EDATE(Bonds!$H257,6*(11-1))))</f>
        <v>48259</v>
      </c>
      <c r="P257" s="3">
        <f>IF(12&gt;$C257,"",IF($D257=1,EOMONTH(EDATE(Bonds!$H257,6*(12-1)),0),EDATE(Bonds!$H257,6*(12-1))))</f>
        <v>48441</v>
      </c>
      <c r="Q257" s="3">
        <f>IF(13&gt;$C257,"",IF($D257=1,EOMONTH(EDATE(Bonds!$H257,6*(13-1)),0),EDATE(Bonds!$H257,6*(13-1))))</f>
        <v>48625</v>
      </c>
      <c r="R257" s="3">
        <f>IF(14&gt;$C257,"",IF($D257=1,EOMONTH(EDATE(Bonds!$H257,6*(14-1)),0),EDATE(Bonds!$H257,6*(14-1))))</f>
        <v>48806</v>
      </c>
      <c r="S257" s="3">
        <f>IF(15&gt;$C257,"",IF($D257=1,EOMONTH(EDATE(Bonds!$H257,6*(15-1)),0),EDATE(Bonds!$H257,6*(15-1))))</f>
        <v>48990</v>
      </c>
      <c r="T257" s="3">
        <f>IF(16&gt;$C257,"",IF($D257=1,EOMONTH(EDATE(Bonds!$H257,6*(16-1)),0),EDATE(Bonds!$H257,6*(16-1))))</f>
        <v>49171</v>
      </c>
      <c r="U257" s="3">
        <f>IF(17&gt;$C257,"",IF($D257=1,EOMONTH(EDATE(Bonds!$H257,6*(17-1)),0),EDATE(Bonds!$H257,6*(17-1))))</f>
        <v>49355</v>
      </c>
      <c r="V257" s="3">
        <f>IF(18&gt;$C257,"",IF($D257=1,EOMONTH(EDATE(Bonds!$H257,6*(18-1)),0),EDATE(Bonds!$H257,6*(18-1))))</f>
        <v>49536</v>
      </c>
      <c r="W257" s="3">
        <f>IF(19&gt;$C257,"",IF($D257=1,EOMONTH(EDATE(Bonds!$H257,6*(19-1)),0),EDATE(Bonds!$H257,6*(19-1))))</f>
        <v>49720</v>
      </c>
      <c r="X257" s="3" t="str">
        <f>IF(20&gt;$C257,"",IF($D257=1,EOMONTH(EDATE(Bonds!$H257,6*(20-1)),0),EDATE(Bonds!$H257,6*(20-1))))</f>
        <v/>
      </c>
      <c r="Y257" s="3" t="str">
        <f>IF(21&gt;$C257,"",IF($D257=1,EOMONTH(EDATE(Bonds!$H257,6*(21-1)),0),EDATE(Bonds!$H257,6*(21-1))))</f>
        <v/>
      </c>
      <c r="Z257" s="3" t="str">
        <f>IF(22&gt;$C257,"",IF($D257=1,EOMONTH(EDATE(Bonds!$H257,6*(22-1)),0),EDATE(Bonds!$H257,6*(22-1))))</f>
        <v/>
      </c>
      <c r="AA257" s="3" t="str">
        <f>IF(23&gt;$C257,"",IF($D257=1,EOMONTH(EDATE(Bonds!$H257,6*(23-1)),0),EDATE(Bonds!$H257,6*(23-1))))</f>
        <v/>
      </c>
      <c r="AB257" s="3" t="str">
        <f>IF(24&gt;$C257,"",IF($D257=1,EOMONTH(EDATE(Bonds!$H257,6*(24-1)),0),EDATE(Bonds!$H257,6*(24-1))))</f>
        <v/>
      </c>
      <c r="AC257" s="3" t="str">
        <f>IF(25&gt;$C257,"",IF($D257=1,EOMONTH(EDATE(Bonds!$H257,6*(25-1)),0),EDATE(Bonds!$H257,6*(25-1))))</f>
        <v/>
      </c>
      <c r="AD257" s="3" t="str">
        <f>IF(26&gt;$C257,"",IF($D257=1,EOMONTH(EDATE(Bonds!$H257,6*(26-1)),0),EDATE(Bonds!$H257,6*(26-1))))</f>
        <v/>
      </c>
      <c r="AE257" s="3" t="str">
        <f>IF(27&gt;$C257,"",IF($D257=1,EOMONTH(EDATE(Bonds!$H257,6*(27-1)),0),EDATE(Bonds!$H257,6*(27-1))))</f>
        <v/>
      </c>
      <c r="AF257" s="3" t="str">
        <f>IF(28&gt;$C257,"",IF($D257=1,EOMONTH(EDATE(Bonds!$H257,6*(28-1)),0),EDATE(Bonds!$H257,6*(28-1))))</f>
        <v/>
      </c>
      <c r="AG257" s="3" t="str">
        <f>IF(29&gt;$C257,"",IF($D257=1,EOMONTH(EDATE(Bonds!$H257,6*(29-1)),0),EDATE(Bonds!$H257,6*(29-1))))</f>
        <v/>
      </c>
      <c r="AH257" s="3" t="str">
        <f>IF(30&gt;$C257,"",IF($D257=1,EOMONTH(EDATE(Bonds!$H257,6*(30-1)),0),EDATE(Bonds!$H257,6*(30-1))))</f>
        <v/>
      </c>
      <c r="AI257" s="3" t="str">
        <f>IF(31&gt;$C257,"",IF($D257=1,EOMONTH(EDATE(Bonds!$H257,6*(31-1)),0),EDATE(Bonds!$H257,6*(31-1))))</f>
        <v/>
      </c>
      <c r="AJ257" s="3" t="str">
        <f>IF(32&gt;$C257,"",IF($D257=1,EOMONTH(EDATE(Bonds!$H257,6*(32-1)),0),EDATE(Bonds!$H257,6*(32-1))))</f>
        <v/>
      </c>
      <c r="AK257" s="3" t="str">
        <f>IF(33&gt;$C257,"",IF($D257=1,EOMONTH(EDATE(Bonds!$H257,6*(33-1)),0),EDATE(Bonds!$H257,6*(33-1))))</f>
        <v/>
      </c>
      <c r="AL257" s="3" t="str">
        <f>IF(34&gt;$C257,"",IF($D257=1,EOMONTH(EDATE(Bonds!$H257,6*(34-1)),0),EDATE(Bonds!$H257,6*(34-1))))</f>
        <v/>
      </c>
      <c r="AM257" s="3" t="str">
        <f>IF(35&gt;$C257,"",IF($D257=1,EOMONTH(EDATE(Bonds!$H257,6*(35-1)),0),EDATE(Bonds!$H257,6*(35-1))))</f>
        <v/>
      </c>
      <c r="AN257" s="3" t="str">
        <f>IF(36&gt;$C257,"",IF($D257=1,EOMONTH(EDATE(Bonds!$H257,6*(36-1)),0),EDATE(Bonds!$H257,6*(36-1))))</f>
        <v/>
      </c>
      <c r="AO257" s="3" t="str">
        <f>IF(37&gt;$C257,"",IF($D257=1,EOMONTH(EDATE(Bonds!$H257,6*(37-1)),0),EDATE(Bonds!$H257,6*(37-1))))</f>
        <v/>
      </c>
      <c r="AP257" s="3" t="str">
        <f>IF(38&gt;$C257,"",IF($D257=1,EOMONTH(EDATE(Bonds!$H257,6*(38-1)),0),EDATE(Bonds!$H257,6*(38-1))))</f>
        <v/>
      </c>
      <c r="AQ257" s="3" t="str">
        <f>IF(39&gt;$C257,"",IF($D257=1,EOMONTH(EDATE(Bonds!$H257,6*(39-1)),0),EDATE(Bonds!$H257,6*(39-1))))</f>
        <v/>
      </c>
      <c r="AR257" s="3" t="str">
        <f>IF(40&gt;$C257,"",IF($D257=1,EOMONTH(EDATE(Bonds!$H257,6*(40-1)),0),EDATE(Bonds!$H257,6*(40-1))))</f>
        <v/>
      </c>
      <c r="AS257" s="3" t="str">
        <f>IF(41&gt;$C257,"",IF($D257=1,EOMONTH(EDATE(Bonds!$H257,6*(41-1)),0),EDATE(Bonds!$H257,6*(41-1))))</f>
        <v/>
      </c>
      <c r="AT257" s="3" t="str">
        <f>IF(42&gt;$C257,"",IF($D257=1,EOMONTH(EDATE(Bonds!$H257,6*(42-1)),0),EDATE(Bonds!$H257,6*(42-1))))</f>
        <v/>
      </c>
      <c r="AU257" s="3" t="str">
        <f>IF(43&gt;$C257,"",IF($D257=1,EOMONTH(EDATE(Bonds!$H257,6*(43-1)),0),EDATE(Bonds!$H257,6*(43-1))))</f>
        <v/>
      </c>
      <c r="AV257" s="3" t="str">
        <f>IF(44&gt;$C257,"",IF($D257=1,EOMONTH(EDATE(Bonds!$H257,6*(44-1)),0),EDATE(Bonds!$H257,6*(44-1))))</f>
        <v/>
      </c>
      <c r="AW257" s="3" t="str">
        <f>IF(45&gt;$C257,"",IF($D257=1,EOMONTH(EDATE(Bonds!$H257,6*(45-1)),0),EDATE(Bonds!$H257,6*(45-1))))</f>
        <v/>
      </c>
      <c r="AX257" s="3" t="str">
        <f>IF(46&gt;$C257,"",IF($D257=1,EOMONTH(EDATE(Bonds!$H257,6*(46-1)),0),EDATE(Bonds!$H257,6*(46-1))))</f>
        <v/>
      </c>
      <c r="AY257" s="3" t="str">
        <f>IF(47&gt;$C257,"",IF($D257=1,EOMONTH(EDATE(Bonds!$H257,6*(47-1)),0),EDATE(Bonds!$H257,6*(47-1))))</f>
        <v/>
      </c>
      <c r="AZ257" s="3" t="str">
        <f>IF(48&gt;$C257,"",IF($D257=1,EOMONTH(EDATE(Bonds!$H257,6*(48-1)),0),EDATE(Bonds!$H257,6*(48-1))))</f>
        <v/>
      </c>
      <c r="BA257" s="3" t="str">
        <f>IF(49&gt;$C257,"",IF($D257=1,EOMONTH(EDATE(Bonds!$H257,6*(49-1)),0),EDATE(Bonds!$H257,6*(49-1))))</f>
        <v/>
      </c>
      <c r="BB257" s="3" t="str">
        <f>IF(50&gt;$C257,"",IF($D257=1,EOMONTH(EDATE(Bonds!$H257,6*(50-1)),0),EDATE(Bonds!$H257,6*(50-1))))</f>
        <v/>
      </c>
      <c r="BC257" s="3" t="str">
        <f>IF(51&gt;$C257,"",IF($D257=1,EOMONTH(EDATE(Bonds!$H257,6*(51-1)),0),EDATE(Bonds!$H257,6*(51-1))))</f>
        <v/>
      </c>
      <c r="BD257" s="3" t="str">
        <f>IF(52&gt;$C257,"",IF($D257=1,EOMONTH(EDATE(Bonds!$H257,6*(52-1)),0),EDATE(Bonds!$H257,6*(52-1))))</f>
        <v/>
      </c>
      <c r="BE257" s="3" t="str">
        <f>IF(53&gt;$C257,"",IF($D257=1,EOMONTH(EDATE(Bonds!$H257,6*(53-1)),0),EDATE(Bonds!$H257,6*(53-1))))</f>
        <v/>
      </c>
      <c r="BF257" s="3" t="str">
        <f>IF(54&gt;$C257,"",IF($D257=1,EOMONTH(EDATE(Bonds!$H257,6*(54-1)),0),EDATE(Bonds!$H257,6*(54-1))))</f>
        <v/>
      </c>
      <c r="BG257" s="3" t="str">
        <f>IF(55&gt;$C257,"",IF($D257=1,EOMONTH(EDATE(Bonds!$H257,6*(55-1)),0),EDATE(Bonds!$H257,6*(55-1))))</f>
        <v/>
      </c>
      <c r="BH257" s="3" t="str">
        <f>IF(56&gt;$C257,"",IF($D257=1,EOMONTH(EDATE(Bonds!$H257,6*(56-1)),0),EDATE(Bonds!$H257,6*(56-1))))</f>
        <v/>
      </c>
      <c r="BI257" s="3" t="str">
        <f>IF(57&gt;$C257,"",IF($D257=1,EOMONTH(EDATE(Bonds!$H257,6*(57-1)),0),EDATE(Bonds!$H257,6*(57-1))))</f>
        <v/>
      </c>
      <c r="BJ257" s="3" t="str">
        <f>IF(58&gt;$C257,"",IF($D257=1,EOMONTH(EDATE(Bonds!$H257,6*(58-1)),0),EDATE(Bonds!$H257,6*(58-1))))</f>
        <v/>
      </c>
      <c r="BK257" s="3" t="str">
        <f>IF(59&gt;$C257,"",IF($D257=1,EOMONTH(EDATE(Bonds!$H257,6*(59-1)),0),EDATE(Bonds!$H257,6*(59-1))))</f>
        <v/>
      </c>
      <c r="BL257" s="3" t="str">
        <f>IF(60&gt;$C257,"",IF($D257=1,EOMONTH(EDATE(Bonds!$H257,6*(60-1)),0),EDATE(Bonds!$H257,6*(60-1))))</f>
        <v/>
      </c>
      <c r="BN257" s="7">
        <f t="shared" si="184"/>
        <v>2.2118388351322902</v>
      </c>
      <c r="BO257" s="7">
        <f t="shared" si="185"/>
        <v>2.1652169801566239</v>
      </c>
      <c r="BP257" s="7">
        <f t="shared" si="186"/>
        <v>2.1166517426340623</v>
      </c>
      <c r="BQ257" s="7">
        <f t="shared" si="187"/>
        <v>2.0688940633341026</v>
      </c>
      <c r="BR257" s="7">
        <f t="shared" si="188"/>
        <v>2.0215622619265532</v>
      </c>
      <c r="BS257" s="7">
        <f t="shared" si="189"/>
        <v>1.976139021876409</v>
      </c>
      <c r="BT257" s="7">
        <f t="shared" si="190"/>
        <v>1.9310844028122001</v>
      </c>
      <c r="BU257" s="7">
        <f t="shared" si="191"/>
        <v>1.8877247109270492</v>
      </c>
      <c r="BV257" s="7">
        <f t="shared" si="192"/>
        <v>1.8444415483005023</v>
      </c>
      <c r="BW257" s="7">
        <f t="shared" si="193"/>
        <v>1.8024764091652268</v>
      </c>
      <c r="BX257" s="7">
        <f t="shared" si="194"/>
        <v>1.7602931258334058</v>
      </c>
      <c r="BY257" s="7">
        <f t="shared" si="195"/>
        <v>1.7189350557736338</v>
      </c>
      <c r="BZ257" s="7">
        <f t="shared" si="196"/>
        <v>1.6774225976740433</v>
      </c>
      <c r="CA257" s="7">
        <f t="shared" si="197"/>
        <v>1.6368462638297947</v>
      </c>
      <c r="CB257" s="7">
        <f t="shared" si="198"/>
        <v>1.5958544062952664</v>
      </c>
      <c r="CC257" s="7">
        <f t="shared" si="199"/>
        <v>1.5558001005393229</v>
      </c>
      <c r="CD257" s="7">
        <f t="shared" si="200"/>
        <v>1.5153898656793978</v>
      </c>
      <c r="CE257" s="7">
        <f t="shared" si="201"/>
        <v>1.4759869924883868</v>
      </c>
      <c r="CF257" s="7">
        <f t="shared" si="202"/>
        <v>65.273656017209433</v>
      </c>
      <c r="CG257" s="7">
        <f t="shared" si="203"/>
        <v>0</v>
      </c>
      <c r="CH257" s="7">
        <f t="shared" si="204"/>
        <v>0</v>
      </c>
      <c r="CI257" s="7">
        <f t="shared" si="205"/>
        <v>0</v>
      </c>
      <c r="CJ257" s="7">
        <f t="shared" si="206"/>
        <v>0</v>
      </c>
      <c r="CK257" s="7">
        <f t="shared" si="207"/>
        <v>0</v>
      </c>
      <c r="CL257" s="7">
        <f t="shared" si="208"/>
        <v>0</v>
      </c>
      <c r="CM257" s="7">
        <f t="shared" si="209"/>
        <v>0</v>
      </c>
      <c r="CN257" s="7">
        <f t="shared" si="210"/>
        <v>0</v>
      </c>
      <c r="CO257" s="7">
        <f t="shared" si="211"/>
        <v>0</v>
      </c>
      <c r="CP257" s="7">
        <f t="shared" si="212"/>
        <v>0</v>
      </c>
      <c r="CQ257" s="7">
        <f t="shared" si="213"/>
        <v>0</v>
      </c>
      <c r="CR257" s="7">
        <f t="shared" si="214"/>
        <v>0</v>
      </c>
      <c r="CS257" s="7">
        <f t="shared" si="215"/>
        <v>0</v>
      </c>
      <c r="CT257" s="7">
        <f t="shared" si="216"/>
        <v>0</v>
      </c>
      <c r="CU257" s="7">
        <f t="shared" si="217"/>
        <v>0</v>
      </c>
      <c r="CV257" s="7">
        <f t="shared" si="218"/>
        <v>0</v>
      </c>
      <c r="CW257" s="7">
        <f t="shared" si="219"/>
        <v>0</v>
      </c>
      <c r="CX257" s="7">
        <f t="shared" si="220"/>
        <v>0</v>
      </c>
      <c r="CY257" s="7">
        <f t="shared" si="221"/>
        <v>0</v>
      </c>
      <c r="CZ257" s="7">
        <f t="shared" si="222"/>
        <v>0</v>
      </c>
      <c r="DA257" s="7">
        <f t="shared" si="223"/>
        <v>0</v>
      </c>
      <c r="DB257" s="7">
        <f t="shared" si="224"/>
        <v>0</v>
      </c>
      <c r="DC257" s="7">
        <f t="shared" si="225"/>
        <v>0</v>
      </c>
      <c r="DD257" s="7">
        <f t="shared" si="226"/>
        <v>0</v>
      </c>
      <c r="DE257" s="7">
        <f t="shared" si="227"/>
        <v>0</v>
      </c>
      <c r="DF257" s="7">
        <f t="shared" si="228"/>
        <v>0</v>
      </c>
      <c r="DG257" s="7">
        <f t="shared" si="229"/>
        <v>0</v>
      </c>
      <c r="DH257" s="7">
        <f t="shared" si="230"/>
        <v>0</v>
      </c>
      <c r="DI257" s="7">
        <f t="shared" si="231"/>
        <v>0</v>
      </c>
      <c r="DJ257" s="7">
        <f t="shared" si="232"/>
        <v>0</v>
      </c>
      <c r="DK257" s="7">
        <f t="shared" si="233"/>
        <v>0</v>
      </c>
      <c r="DL257" s="7">
        <f t="shared" si="234"/>
        <v>0</v>
      </c>
      <c r="DM257" s="7">
        <f t="shared" si="235"/>
        <v>0</v>
      </c>
      <c r="DN257" s="7">
        <f t="shared" si="236"/>
        <v>0</v>
      </c>
      <c r="DO257" s="7">
        <f t="shared" si="237"/>
        <v>0</v>
      </c>
      <c r="DP257" s="7">
        <f t="shared" si="238"/>
        <v>0</v>
      </c>
      <c r="DQ257" s="7">
        <f t="shared" si="239"/>
        <v>0</v>
      </c>
      <c r="DR257" s="7">
        <f t="shared" si="240"/>
        <v>0</v>
      </c>
      <c r="DS257" s="7">
        <f t="shared" si="241"/>
        <v>0</v>
      </c>
      <c r="DT257" s="7">
        <f t="shared" si="242"/>
        <v>0</v>
      </c>
      <c r="DU257" s="7">
        <f t="shared" si="243"/>
        <v>0</v>
      </c>
    </row>
    <row r="258" spans="1:125" x14ac:dyDescent="0.2">
      <c r="A258" s="3">
        <f>Bonds!A258</f>
        <v>49810</v>
      </c>
      <c r="B258" s="4">
        <f>Bonds!B258</f>
        <v>4.375</v>
      </c>
      <c r="C258">
        <f>Bonds!P258</f>
        <v>20</v>
      </c>
      <c r="D258">
        <f t="shared" si="183"/>
        <v>0</v>
      </c>
      <c r="E258" s="3">
        <f>IF(1&gt;$C258,"",IF($D258=1,EOMONTH(EDATE(Bonds!$H258,6*(1-1)),0),EDATE(Bonds!$H258,6*(1-1))))</f>
        <v>46341</v>
      </c>
      <c r="F258" s="3">
        <f>IF(2&gt;$C258,"",IF($D258=1,EOMONTH(EDATE(Bonds!$H258,6*(2-1)),0),EDATE(Bonds!$H258,6*(2-1))))</f>
        <v>46522</v>
      </c>
      <c r="G258" s="3">
        <f>IF(3&gt;$C258,"",IF($D258=1,EOMONTH(EDATE(Bonds!$H258,6*(3-1)),0),EDATE(Bonds!$H258,6*(3-1))))</f>
        <v>46706</v>
      </c>
      <c r="H258" s="3">
        <f>IF(4&gt;$C258,"",IF($D258=1,EOMONTH(EDATE(Bonds!$H258,6*(4-1)),0),EDATE(Bonds!$H258,6*(4-1))))</f>
        <v>46888</v>
      </c>
      <c r="I258" s="3">
        <f>IF(5&gt;$C258,"",IF($D258=1,EOMONTH(EDATE(Bonds!$H258,6*(5-1)),0),EDATE(Bonds!$H258,6*(5-1))))</f>
        <v>47072</v>
      </c>
      <c r="J258" s="3">
        <f>IF(6&gt;$C258,"",IF($D258=1,EOMONTH(EDATE(Bonds!$H258,6*(6-1)),0),EDATE(Bonds!$H258,6*(6-1))))</f>
        <v>47253</v>
      </c>
      <c r="K258" s="3">
        <f>IF(7&gt;$C258,"",IF($D258=1,EOMONTH(EDATE(Bonds!$H258,6*(7-1)),0),EDATE(Bonds!$H258,6*(7-1))))</f>
        <v>47437</v>
      </c>
      <c r="L258" s="3">
        <f>IF(8&gt;$C258,"",IF($D258=1,EOMONTH(EDATE(Bonds!$H258,6*(8-1)),0),EDATE(Bonds!$H258,6*(8-1))))</f>
        <v>47618</v>
      </c>
      <c r="M258" s="3">
        <f>IF(9&gt;$C258,"",IF($D258=1,EOMONTH(EDATE(Bonds!$H258,6*(9-1)),0),EDATE(Bonds!$H258,6*(9-1))))</f>
        <v>47802</v>
      </c>
      <c r="N258" s="3">
        <f>IF(10&gt;$C258,"",IF($D258=1,EOMONTH(EDATE(Bonds!$H258,6*(10-1)),0),EDATE(Bonds!$H258,6*(10-1))))</f>
        <v>47983</v>
      </c>
      <c r="O258" s="3">
        <f>IF(11&gt;$C258,"",IF($D258=1,EOMONTH(EDATE(Bonds!$H258,6*(11-1)),0),EDATE(Bonds!$H258,6*(11-1))))</f>
        <v>48167</v>
      </c>
      <c r="P258" s="3">
        <f>IF(12&gt;$C258,"",IF($D258=1,EOMONTH(EDATE(Bonds!$H258,6*(12-1)),0),EDATE(Bonds!$H258,6*(12-1))))</f>
        <v>48349</v>
      </c>
      <c r="Q258" s="3">
        <f>IF(13&gt;$C258,"",IF($D258=1,EOMONTH(EDATE(Bonds!$H258,6*(13-1)),0),EDATE(Bonds!$H258,6*(13-1))))</f>
        <v>48533</v>
      </c>
      <c r="R258" s="3">
        <f>IF(14&gt;$C258,"",IF($D258=1,EOMONTH(EDATE(Bonds!$H258,6*(14-1)),0),EDATE(Bonds!$H258,6*(14-1))))</f>
        <v>48714</v>
      </c>
      <c r="S258" s="3">
        <f>IF(15&gt;$C258,"",IF($D258=1,EOMONTH(EDATE(Bonds!$H258,6*(15-1)),0),EDATE(Bonds!$H258,6*(15-1))))</f>
        <v>48898</v>
      </c>
      <c r="T258" s="3">
        <f>IF(16&gt;$C258,"",IF($D258=1,EOMONTH(EDATE(Bonds!$H258,6*(16-1)),0),EDATE(Bonds!$H258,6*(16-1))))</f>
        <v>49079</v>
      </c>
      <c r="U258" s="3">
        <f>IF(17&gt;$C258,"",IF($D258=1,EOMONTH(EDATE(Bonds!$H258,6*(17-1)),0),EDATE(Bonds!$H258,6*(17-1))))</f>
        <v>49263</v>
      </c>
      <c r="V258" s="3">
        <f>IF(18&gt;$C258,"",IF($D258=1,EOMONTH(EDATE(Bonds!$H258,6*(18-1)),0),EDATE(Bonds!$H258,6*(18-1))))</f>
        <v>49444</v>
      </c>
      <c r="W258" s="3">
        <f>IF(19&gt;$C258,"",IF($D258=1,EOMONTH(EDATE(Bonds!$H258,6*(19-1)),0),EDATE(Bonds!$H258,6*(19-1))))</f>
        <v>49628</v>
      </c>
      <c r="X258" s="3">
        <f>IF(20&gt;$C258,"",IF($D258=1,EOMONTH(EDATE(Bonds!$H258,6*(20-1)),0),EDATE(Bonds!$H258,6*(20-1))))</f>
        <v>49810</v>
      </c>
      <c r="Y258" s="3" t="str">
        <f>IF(21&gt;$C258,"",IF($D258=1,EOMONTH(EDATE(Bonds!$H258,6*(21-1)),0),EDATE(Bonds!$H258,6*(21-1))))</f>
        <v/>
      </c>
      <c r="Z258" s="3" t="str">
        <f>IF(22&gt;$C258,"",IF($D258=1,EOMONTH(EDATE(Bonds!$H258,6*(22-1)),0),EDATE(Bonds!$H258,6*(22-1))))</f>
        <v/>
      </c>
      <c r="AA258" s="3" t="str">
        <f>IF(23&gt;$C258,"",IF($D258=1,EOMONTH(EDATE(Bonds!$H258,6*(23-1)),0),EDATE(Bonds!$H258,6*(23-1))))</f>
        <v/>
      </c>
      <c r="AB258" s="3" t="str">
        <f>IF(24&gt;$C258,"",IF($D258=1,EOMONTH(EDATE(Bonds!$H258,6*(24-1)),0),EDATE(Bonds!$H258,6*(24-1))))</f>
        <v/>
      </c>
      <c r="AC258" s="3" t="str">
        <f>IF(25&gt;$C258,"",IF($D258=1,EOMONTH(EDATE(Bonds!$H258,6*(25-1)),0),EDATE(Bonds!$H258,6*(25-1))))</f>
        <v/>
      </c>
      <c r="AD258" s="3" t="str">
        <f>IF(26&gt;$C258,"",IF($D258=1,EOMONTH(EDATE(Bonds!$H258,6*(26-1)),0),EDATE(Bonds!$H258,6*(26-1))))</f>
        <v/>
      </c>
      <c r="AE258" s="3" t="str">
        <f>IF(27&gt;$C258,"",IF($D258=1,EOMONTH(EDATE(Bonds!$H258,6*(27-1)),0),EDATE(Bonds!$H258,6*(27-1))))</f>
        <v/>
      </c>
      <c r="AF258" s="3" t="str">
        <f>IF(28&gt;$C258,"",IF($D258=1,EOMONTH(EDATE(Bonds!$H258,6*(28-1)),0),EDATE(Bonds!$H258,6*(28-1))))</f>
        <v/>
      </c>
      <c r="AG258" s="3" t="str">
        <f>IF(29&gt;$C258,"",IF($D258=1,EOMONTH(EDATE(Bonds!$H258,6*(29-1)),0),EDATE(Bonds!$H258,6*(29-1))))</f>
        <v/>
      </c>
      <c r="AH258" s="3" t="str">
        <f>IF(30&gt;$C258,"",IF($D258=1,EOMONTH(EDATE(Bonds!$H258,6*(30-1)),0),EDATE(Bonds!$H258,6*(30-1))))</f>
        <v/>
      </c>
      <c r="AI258" s="3" t="str">
        <f>IF(31&gt;$C258,"",IF($D258=1,EOMONTH(EDATE(Bonds!$H258,6*(31-1)),0),EDATE(Bonds!$H258,6*(31-1))))</f>
        <v/>
      </c>
      <c r="AJ258" s="3" t="str">
        <f>IF(32&gt;$C258,"",IF($D258=1,EOMONTH(EDATE(Bonds!$H258,6*(32-1)),0),EDATE(Bonds!$H258,6*(32-1))))</f>
        <v/>
      </c>
      <c r="AK258" s="3" t="str">
        <f>IF(33&gt;$C258,"",IF($D258=1,EOMONTH(EDATE(Bonds!$H258,6*(33-1)),0),EDATE(Bonds!$H258,6*(33-1))))</f>
        <v/>
      </c>
      <c r="AL258" s="3" t="str">
        <f>IF(34&gt;$C258,"",IF($D258=1,EOMONTH(EDATE(Bonds!$H258,6*(34-1)),0),EDATE(Bonds!$H258,6*(34-1))))</f>
        <v/>
      </c>
      <c r="AM258" s="3" t="str">
        <f>IF(35&gt;$C258,"",IF($D258=1,EOMONTH(EDATE(Bonds!$H258,6*(35-1)),0),EDATE(Bonds!$H258,6*(35-1))))</f>
        <v/>
      </c>
      <c r="AN258" s="3" t="str">
        <f>IF(36&gt;$C258,"",IF($D258=1,EOMONTH(EDATE(Bonds!$H258,6*(36-1)),0),EDATE(Bonds!$H258,6*(36-1))))</f>
        <v/>
      </c>
      <c r="AO258" s="3" t="str">
        <f>IF(37&gt;$C258,"",IF($D258=1,EOMONTH(EDATE(Bonds!$H258,6*(37-1)),0),EDATE(Bonds!$H258,6*(37-1))))</f>
        <v/>
      </c>
      <c r="AP258" s="3" t="str">
        <f>IF(38&gt;$C258,"",IF($D258=1,EOMONTH(EDATE(Bonds!$H258,6*(38-1)),0),EDATE(Bonds!$H258,6*(38-1))))</f>
        <v/>
      </c>
      <c r="AQ258" s="3" t="str">
        <f>IF(39&gt;$C258,"",IF($D258=1,EOMONTH(EDATE(Bonds!$H258,6*(39-1)),0),EDATE(Bonds!$H258,6*(39-1))))</f>
        <v/>
      </c>
      <c r="AR258" s="3" t="str">
        <f>IF(40&gt;$C258,"",IF($D258=1,EOMONTH(EDATE(Bonds!$H258,6*(40-1)),0),EDATE(Bonds!$H258,6*(40-1))))</f>
        <v/>
      </c>
      <c r="AS258" s="3" t="str">
        <f>IF(41&gt;$C258,"",IF($D258=1,EOMONTH(EDATE(Bonds!$H258,6*(41-1)),0),EDATE(Bonds!$H258,6*(41-1))))</f>
        <v/>
      </c>
      <c r="AT258" s="3" t="str">
        <f>IF(42&gt;$C258,"",IF($D258=1,EOMONTH(EDATE(Bonds!$H258,6*(42-1)),0),EDATE(Bonds!$H258,6*(42-1))))</f>
        <v/>
      </c>
      <c r="AU258" s="3" t="str">
        <f>IF(43&gt;$C258,"",IF($D258=1,EOMONTH(EDATE(Bonds!$H258,6*(43-1)),0),EDATE(Bonds!$H258,6*(43-1))))</f>
        <v/>
      </c>
      <c r="AV258" s="3" t="str">
        <f>IF(44&gt;$C258,"",IF($D258=1,EOMONTH(EDATE(Bonds!$H258,6*(44-1)),0),EDATE(Bonds!$H258,6*(44-1))))</f>
        <v/>
      </c>
      <c r="AW258" s="3" t="str">
        <f>IF(45&gt;$C258,"",IF($D258=1,EOMONTH(EDATE(Bonds!$H258,6*(45-1)),0),EDATE(Bonds!$H258,6*(45-1))))</f>
        <v/>
      </c>
      <c r="AX258" s="3" t="str">
        <f>IF(46&gt;$C258,"",IF($D258=1,EOMONTH(EDATE(Bonds!$H258,6*(46-1)),0),EDATE(Bonds!$H258,6*(46-1))))</f>
        <v/>
      </c>
      <c r="AY258" s="3" t="str">
        <f>IF(47&gt;$C258,"",IF($D258=1,EOMONTH(EDATE(Bonds!$H258,6*(47-1)),0),EDATE(Bonds!$H258,6*(47-1))))</f>
        <v/>
      </c>
      <c r="AZ258" s="3" t="str">
        <f>IF(48&gt;$C258,"",IF($D258=1,EOMONTH(EDATE(Bonds!$H258,6*(48-1)),0),EDATE(Bonds!$H258,6*(48-1))))</f>
        <v/>
      </c>
      <c r="BA258" s="3" t="str">
        <f>IF(49&gt;$C258,"",IF($D258=1,EOMONTH(EDATE(Bonds!$H258,6*(49-1)),0),EDATE(Bonds!$H258,6*(49-1))))</f>
        <v/>
      </c>
      <c r="BB258" s="3" t="str">
        <f>IF(50&gt;$C258,"",IF($D258=1,EOMONTH(EDATE(Bonds!$H258,6*(50-1)),0),EDATE(Bonds!$H258,6*(50-1))))</f>
        <v/>
      </c>
      <c r="BC258" s="3" t="str">
        <f>IF(51&gt;$C258,"",IF($D258=1,EOMONTH(EDATE(Bonds!$H258,6*(51-1)),0),EDATE(Bonds!$H258,6*(51-1))))</f>
        <v/>
      </c>
      <c r="BD258" s="3" t="str">
        <f>IF(52&gt;$C258,"",IF($D258=1,EOMONTH(EDATE(Bonds!$H258,6*(52-1)),0),EDATE(Bonds!$H258,6*(52-1))))</f>
        <v/>
      </c>
      <c r="BE258" s="3" t="str">
        <f>IF(53&gt;$C258,"",IF($D258=1,EOMONTH(EDATE(Bonds!$H258,6*(53-1)),0),EDATE(Bonds!$H258,6*(53-1))))</f>
        <v/>
      </c>
      <c r="BF258" s="3" t="str">
        <f>IF(54&gt;$C258,"",IF($D258=1,EOMONTH(EDATE(Bonds!$H258,6*(54-1)),0),EDATE(Bonds!$H258,6*(54-1))))</f>
        <v/>
      </c>
      <c r="BG258" s="3" t="str">
        <f>IF(55&gt;$C258,"",IF($D258=1,EOMONTH(EDATE(Bonds!$H258,6*(55-1)),0),EDATE(Bonds!$H258,6*(55-1))))</f>
        <v/>
      </c>
      <c r="BH258" s="3" t="str">
        <f>IF(56&gt;$C258,"",IF($D258=1,EOMONTH(EDATE(Bonds!$H258,6*(56-1)),0),EDATE(Bonds!$H258,6*(56-1))))</f>
        <v/>
      </c>
      <c r="BI258" s="3" t="str">
        <f>IF(57&gt;$C258,"",IF($D258=1,EOMONTH(EDATE(Bonds!$H258,6*(57-1)),0),EDATE(Bonds!$H258,6*(57-1))))</f>
        <v/>
      </c>
      <c r="BJ258" s="3" t="str">
        <f>IF(58&gt;$C258,"",IF($D258=1,EOMONTH(EDATE(Bonds!$H258,6*(58-1)),0),EDATE(Bonds!$H258,6*(58-1))))</f>
        <v/>
      </c>
      <c r="BK258" s="3" t="str">
        <f>IF(59&gt;$C258,"",IF($D258=1,EOMONTH(EDATE(Bonds!$H258,6*(59-1)),0),EDATE(Bonds!$H258,6*(59-1))))</f>
        <v/>
      </c>
      <c r="BL258" s="3" t="str">
        <f>IF(60&gt;$C258,"",IF($D258=1,EOMONTH(EDATE(Bonds!$H258,6*(60-1)),0),EDATE(Bonds!$H258,6*(60-1))))</f>
        <v/>
      </c>
      <c r="BN258" s="7">
        <f t="shared" si="184"/>
        <v>2.1722434619375406</v>
      </c>
      <c r="BO258" s="7">
        <f t="shared" si="185"/>
        <v>2.1283784053263513</v>
      </c>
      <c r="BP258" s="7">
        <f t="shared" si="186"/>
        <v>2.0814955624522868</v>
      </c>
      <c r="BQ258" s="7">
        <f t="shared" si="187"/>
        <v>2.0348084344152886</v>
      </c>
      <c r="BR258" s="7">
        <f t="shared" si="188"/>
        <v>1.9882798603072687</v>
      </c>
      <c r="BS258" s="7">
        <f t="shared" si="189"/>
        <v>1.9435543795252375</v>
      </c>
      <c r="BT258" s="7">
        <f t="shared" si="190"/>
        <v>1.8992147331871019</v>
      </c>
      <c r="BU258" s="7">
        <f t="shared" si="191"/>
        <v>1.8566096625922619</v>
      </c>
      <c r="BV258" s="7">
        <f t="shared" si="192"/>
        <v>1.8141611238965694</v>
      </c>
      <c r="BW258" s="7">
        <f t="shared" si="193"/>
        <v>1.7730810000872173</v>
      </c>
      <c r="BX258" s="7">
        <f t="shared" si="194"/>
        <v>1.731850827041723</v>
      </c>
      <c r="BY258" s="7">
        <f t="shared" si="195"/>
        <v>1.691473127355585</v>
      </c>
      <c r="BZ258" s="7">
        <f t="shared" si="196"/>
        <v>1.6509734469470527</v>
      </c>
      <c r="CA258" s="7">
        <f t="shared" si="197"/>
        <v>1.6113995763813598</v>
      </c>
      <c r="CB258" s="7">
        <f t="shared" si="198"/>
        <v>1.5714196671652791</v>
      </c>
      <c r="CC258" s="7">
        <f t="shared" si="199"/>
        <v>1.5323428657326172</v>
      </c>
      <c r="CD258" s="7">
        <f t="shared" si="200"/>
        <v>1.4928992210184322</v>
      </c>
      <c r="CE258" s="7">
        <f t="shared" si="201"/>
        <v>1.4544139338623494</v>
      </c>
      <c r="CF258" s="7">
        <f t="shared" si="202"/>
        <v>1.4156607640625285</v>
      </c>
      <c r="CG258" s="7">
        <f t="shared" si="203"/>
        <v>64.360620346310796</v>
      </c>
      <c r="CH258" s="7">
        <f t="shared" si="204"/>
        <v>0</v>
      </c>
      <c r="CI258" s="7">
        <f t="shared" si="205"/>
        <v>0</v>
      </c>
      <c r="CJ258" s="7">
        <f t="shared" si="206"/>
        <v>0</v>
      </c>
      <c r="CK258" s="7">
        <f t="shared" si="207"/>
        <v>0</v>
      </c>
      <c r="CL258" s="7">
        <f t="shared" si="208"/>
        <v>0</v>
      </c>
      <c r="CM258" s="7">
        <f t="shared" si="209"/>
        <v>0</v>
      </c>
      <c r="CN258" s="7">
        <f t="shared" si="210"/>
        <v>0</v>
      </c>
      <c r="CO258" s="7">
        <f t="shared" si="211"/>
        <v>0</v>
      </c>
      <c r="CP258" s="7">
        <f t="shared" si="212"/>
        <v>0</v>
      </c>
      <c r="CQ258" s="7">
        <f t="shared" si="213"/>
        <v>0</v>
      </c>
      <c r="CR258" s="7">
        <f t="shared" si="214"/>
        <v>0</v>
      </c>
      <c r="CS258" s="7">
        <f t="shared" si="215"/>
        <v>0</v>
      </c>
      <c r="CT258" s="7">
        <f t="shared" si="216"/>
        <v>0</v>
      </c>
      <c r="CU258" s="7">
        <f t="shared" si="217"/>
        <v>0</v>
      </c>
      <c r="CV258" s="7">
        <f t="shared" si="218"/>
        <v>0</v>
      </c>
      <c r="CW258" s="7">
        <f t="shared" si="219"/>
        <v>0</v>
      </c>
      <c r="CX258" s="7">
        <f t="shared" si="220"/>
        <v>0</v>
      </c>
      <c r="CY258" s="7">
        <f t="shared" si="221"/>
        <v>0</v>
      </c>
      <c r="CZ258" s="7">
        <f t="shared" si="222"/>
        <v>0</v>
      </c>
      <c r="DA258" s="7">
        <f t="shared" si="223"/>
        <v>0</v>
      </c>
      <c r="DB258" s="7">
        <f t="shared" si="224"/>
        <v>0</v>
      </c>
      <c r="DC258" s="7">
        <f t="shared" si="225"/>
        <v>0</v>
      </c>
      <c r="DD258" s="7">
        <f t="shared" si="226"/>
        <v>0</v>
      </c>
      <c r="DE258" s="7">
        <f t="shared" si="227"/>
        <v>0</v>
      </c>
      <c r="DF258" s="7">
        <f t="shared" si="228"/>
        <v>0</v>
      </c>
      <c r="DG258" s="7">
        <f t="shared" si="229"/>
        <v>0</v>
      </c>
      <c r="DH258" s="7">
        <f t="shared" si="230"/>
        <v>0</v>
      </c>
      <c r="DI258" s="7">
        <f t="shared" si="231"/>
        <v>0</v>
      </c>
      <c r="DJ258" s="7">
        <f t="shared" si="232"/>
        <v>0</v>
      </c>
      <c r="DK258" s="7">
        <f t="shared" si="233"/>
        <v>0</v>
      </c>
      <c r="DL258" s="7">
        <f t="shared" si="234"/>
        <v>0</v>
      </c>
      <c r="DM258" s="7">
        <f t="shared" si="235"/>
        <v>0</v>
      </c>
      <c r="DN258" s="7">
        <f t="shared" si="236"/>
        <v>0</v>
      </c>
      <c r="DO258" s="7">
        <f t="shared" si="237"/>
        <v>0</v>
      </c>
      <c r="DP258" s="7">
        <f t="shared" si="238"/>
        <v>0</v>
      </c>
      <c r="DQ258" s="7">
        <f t="shared" si="239"/>
        <v>0</v>
      </c>
      <c r="DR258" s="7">
        <f t="shared" si="240"/>
        <v>0</v>
      </c>
      <c r="DS258" s="7">
        <f t="shared" si="241"/>
        <v>0</v>
      </c>
      <c r="DT258" s="7">
        <f t="shared" si="242"/>
        <v>0</v>
      </c>
      <c r="DU258" s="7">
        <f t="shared" si="243"/>
        <v>0</v>
      </c>
    </row>
    <row r="259" spans="1:125" x14ac:dyDescent="0.2">
      <c r="A259" s="3">
        <f>Bonds!A259</f>
        <v>49902</v>
      </c>
      <c r="B259" s="4">
        <f>Bonds!B259</f>
        <v>4.625</v>
      </c>
      <c r="C259">
        <f>Bonds!P259</f>
        <v>20</v>
      </c>
      <c r="D259">
        <f t="shared" si="183"/>
        <v>0</v>
      </c>
      <c r="E259" s="3">
        <f>IF(1&gt;$C259,"",IF($D259=1,EOMONTH(EDATE(Bonds!$H259,6*(1-1)),0),EDATE(Bonds!$H259,6*(1-1))))</f>
        <v>46433</v>
      </c>
      <c r="F259" s="3">
        <f>IF(2&gt;$C259,"",IF($D259=1,EOMONTH(EDATE(Bonds!$H259,6*(2-1)),0),EDATE(Bonds!$H259,6*(2-1))))</f>
        <v>46614</v>
      </c>
      <c r="G259" s="3">
        <f>IF(3&gt;$C259,"",IF($D259=1,EOMONTH(EDATE(Bonds!$H259,6*(3-1)),0),EDATE(Bonds!$H259,6*(3-1))))</f>
        <v>46798</v>
      </c>
      <c r="H259" s="3">
        <f>IF(4&gt;$C259,"",IF($D259=1,EOMONTH(EDATE(Bonds!$H259,6*(4-1)),0),EDATE(Bonds!$H259,6*(4-1))))</f>
        <v>46980</v>
      </c>
      <c r="I259" s="3">
        <f>IF(5&gt;$C259,"",IF($D259=1,EOMONTH(EDATE(Bonds!$H259,6*(5-1)),0),EDATE(Bonds!$H259,6*(5-1))))</f>
        <v>47164</v>
      </c>
      <c r="J259" s="3">
        <f>IF(6&gt;$C259,"",IF($D259=1,EOMONTH(EDATE(Bonds!$H259,6*(6-1)),0),EDATE(Bonds!$H259,6*(6-1))))</f>
        <v>47345</v>
      </c>
      <c r="K259" s="3">
        <f>IF(7&gt;$C259,"",IF($D259=1,EOMONTH(EDATE(Bonds!$H259,6*(7-1)),0),EDATE(Bonds!$H259,6*(7-1))))</f>
        <v>47529</v>
      </c>
      <c r="L259" s="3">
        <f>IF(8&gt;$C259,"",IF($D259=1,EOMONTH(EDATE(Bonds!$H259,6*(8-1)),0),EDATE(Bonds!$H259,6*(8-1))))</f>
        <v>47710</v>
      </c>
      <c r="M259" s="3">
        <f>IF(9&gt;$C259,"",IF($D259=1,EOMONTH(EDATE(Bonds!$H259,6*(9-1)),0),EDATE(Bonds!$H259,6*(9-1))))</f>
        <v>47894</v>
      </c>
      <c r="N259" s="3">
        <f>IF(10&gt;$C259,"",IF($D259=1,EOMONTH(EDATE(Bonds!$H259,6*(10-1)),0),EDATE(Bonds!$H259,6*(10-1))))</f>
        <v>48075</v>
      </c>
      <c r="O259" s="3">
        <f>IF(11&gt;$C259,"",IF($D259=1,EOMONTH(EDATE(Bonds!$H259,6*(11-1)),0),EDATE(Bonds!$H259,6*(11-1))))</f>
        <v>48259</v>
      </c>
      <c r="P259" s="3">
        <f>IF(12&gt;$C259,"",IF($D259=1,EOMONTH(EDATE(Bonds!$H259,6*(12-1)),0),EDATE(Bonds!$H259,6*(12-1))))</f>
        <v>48441</v>
      </c>
      <c r="Q259" s="3">
        <f>IF(13&gt;$C259,"",IF($D259=1,EOMONTH(EDATE(Bonds!$H259,6*(13-1)),0),EDATE(Bonds!$H259,6*(13-1))))</f>
        <v>48625</v>
      </c>
      <c r="R259" s="3">
        <f>IF(14&gt;$C259,"",IF($D259=1,EOMONTH(EDATE(Bonds!$H259,6*(14-1)),0),EDATE(Bonds!$H259,6*(14-1))))</f>
        <v>48806</v>
      </c>
      <c r="S259" s="3">
        <f>IF(15&gt;$C259,"",IF($D259=1,EOMONTH(EDATE(Bonds!$H259,6*(15-1)),0),EDATE(Bonds!$H259,6*(15-1))))</f>
        <v>48990</v>
      </c>
      <c r="T259" s="3">
        <f>IF(16&gt;$C259,"",IF($D259=1,EOMONTH(EDATE(Bonds!$H259,6*(16-1)),0),EDATE(Bonds!$H259,6*(16-1))))</f>
        <v>49171</v>
      </c>
      <c r="U259" s="3">
        <f>IF(17&gt;$C259,"",IF($D259=1,EOMONTH(EDATE(Bonds!$H259,6*(17-1)),0),EDATE(Bonds!$H259,6*(17-1))))</f>
        <v>49355</v>
      </c>
      <c r="V259" s="3">
        <f>IF(18&gt;$C259,"",IF($D259=1,EOMONTH(EDATE(Bonds!$H259,6*(18-1)),0),EDATE(Bonds!$H259,6*(18-1))))</f>
        <v>49536</v>
      </c>
      <c r="W259" s="3">
        <f>IF(19&gt;$C259,"",IF($D259=1,EOMONTH(EDATE(Bonds!$H259,6*(19-1)),0),EDATE(Bonds!$H259,6*(19-1))))</f>
        <v>49720</v>
      </c>
      <c r="X259" s="3">
        <f>IF(20&gt;$C259,"",IF($D259=1,EOMONTH(EDATE(Bonds!$H259,6*(20-1)),0),EDATE(Bonds!$H259,6*(20-1))))</f>
        <v>49902</v>
      </c>
      <c r="Y259" s="3" t="str">
        <f>IF(21&gt;$C259,"",IF($D259=1,EOMONTH(EDATE(Bonds!$H259,6*(21-1)),0),EDATE(Bonds!$H259,6*(21-1))))</f>
        <v/>
      </c>
      <c r="Z259" s="3" t="str">
        <f>IF(22&gt;$C259,"",IF($D259=1,EOMONTH(EDATE(Bonds!$H259,6*(22-1)),0),EDATE(Bonds!$H259,6*(22-1))))</f>
        <v/>
      </c>
      <c r="AA259" s="3" t="str">
        <f>IF(23&gt;$C259,"",IF($D259=1,EOMONTH(EDATE(Bonds!$H259,6*(23-1)),0),EDATE(Bonds!$H259,6*(23-1))))</f>
        <v/>
      </c>
      <c r="AB259" s="3" t="str">
        <f>IF(24&gt;$C259,"",IF($D259=1,EOMONTH(EDATE(Bonds!$H259,6*(24-1)),0),EDATE(Bonds!$H259,6*(24-1))))</f>
        <v/>
      </c>
      <c r="AC259" s="3" t="str">
        <f>IF(25&gt;$C259,"",IF($D259=1,EOMONTH(EDATE(Bonds!$H259,6*(25-1)),0),EDATE(Bonds!$H259,6*(25-1))))</f>
        <v/>
      </c>
      <c r="AD259" s="3" t="str">
        <f>IF(26&gt;$C259,"",IF($D259=1,EOMONTH(EDATE(Bonds!$H259,6*(26-1)),0),EDATE(Bonds!$H259,6*(26-1))))</f>
        <v/>
      </c>
      <c r="AE259" s="3" t="str">
        <f>IF(27&gt;$C259,"",IF($D259=1,EOMONTH(EDATE(Bonds!$H259,6*(27-1)),0),EDATE(Bonds!$H259,6*(27-1))))</f>
        <v/>
      </c>
      <c r="AF259" s="3" t="str">
        <f>IF(28&gt;$C259,"",IF($D259=1,EOMONTH(EDATE(Bonds!$H259,6*(28-1)),0),EDATE(Bonds!$H259,6*(28-1))))</f>
        <v/>
      </c>
      <c r="AG259" s="3" t="str">
        <f>IF(29&gt;$C259,"",IF($D259=1,EOMONTH(EDATE(Bonds!$H259,6*(29-1)),0),EDATE(Bonds!$H259,6*(29-1))))</f>
        <v/>
      </c>
      <c r="AH259" s="3" t="str">
        <f>IF(30&gt;$C259,"",IF($D259=1,EOMONTH(EDATE(Bonds!$H259,6*(30-1)),0),EDATE(Bonds!$H259,6*(30-1))))</f>
        <v/>
      </c>
      <c r="AI259" s="3" t="str">
        <f>IF(31&gt;$C259,"",IF($D259=1,EOMONTH(EDATE(Bonds!$H259,6*(31-1)),0),EDATE(Bonds!$H259,6*(31-1))))</f>
        <v/>
      </c>
      <c r="AJ259" s="3" t="str">
        <f>IF(32&gt;$C259,"",IF($D259=1,EOMONTH(EDATE(Bonds!$H259,6*(32-1)),0),EDATE(Bonds!$H259,6*(32-1))))</f>
        <v/>
      </c>
      <c r="AK259" s="3" t="str">
        <f>IF(33&gt;$C259,"",IF($D259=1,EOMONTH(EDATE(Bonds!$H259,6*(33-1)),0),EDATE(Bonds!$H259,6*(33-1))))</f>
        <v/>
      </c>
      <c r="AL259" s="3" t="str">
        <f>IF(34&gt;$C259,"",IF($D259=1,EOMONTH(EDATE(Bonds!$H259,6*(34-1)),0),EDATE(Bonds!$H259,6*(34-1))))</f>
        <v/>
      </c>
      <c r="AM259" s="3" t="str">
        <f>IF(35&gt;$C259,"",IF($D259=1,EOMONTH(EDATE(Bonds!$H259,6*(35-1)),0),EDATE(Bonds!$H259,6*(35-1))))</f>
        <v/>
      </c>
      <c r="AN259" s="3" t="str">
        <f>IF(36&gt;$C259,"",IF($D259=1,EOMONTH(EDATE(Bonds!$H259,6*(36-1)),0),EDATE(Bonds!$H259,6*(36-1))))</f>
        <v/>
      </c>
      <c r="AO259" s="3" t="str">
        <f>IF(37&gt;$C259,"",IF($D259=1,EOMONTH(EDATE(Bonds!$H259,6*(37-1)),0),EDATE(Bonds!$H259,6*(37-1))))</f>
        <v/>
      </c>
      <c r="AP259" s="3" t="str">
        <f>IF(38&gt;$C259,"",IF($D259=1,EOMONTH(EDATE(Bonds!$H259,6*(38-1)),0),EDATE(Bonds!$H259,6*(38-1))))</f>
        <v/>
      </c>
      <c r="AQ259" s="3" t="str">
        <f>IF(39&gt;$C259,"",IF($D259=1,EOMONTH(EDATE(Bonds!$H259,6*(39-1)),0),EDATE(Bonds!$H259,6*(39-1))))</f>
        <v/>
      </c>
      <c r="AR259" s="3" t="str">
        <f>IF(40&gt;$C259,"",IF($D259=1,EOMONTH(EDATE(Bonds!$H259,6*(40-1)),0),EDATE(Bonds!$H259,6*(40-1))))</f>
        <v/>
      </c>
      <c r="AS259" s="3" t="str">
        <f>IF(41&gt;$C259,"",IF($D259=1,EOMONTH(EDATE(Bonds!$H259,6*(41-1)),0),EDATE(Bonds!$H259,6*(41-1))))</f>
        <v/>
      </c>
      <c r="AT259" s="3" t="str">
        <f>IF(42&gt;$C259,"",IF($D259=1,EOMONTH(EDATE(Bonds!$H259,6*(42-1)),0),EDATE(Bonds!$H259,6*(42-1))))</f>
        <v/>
      </c>
      <c r="AU259" s="3" t="str">
        <f>IF(43&gt;$C259,"",IF($D259=1,EOMONTH(EDATE(Bonds!$H259,6*(43-1)),0),EDATE(Bonds!$H259,6*(43-1))))</f>
        <v/>
      </c>
      <c r="AV259" s="3" t="str">
        <f>IF(44&gt;$C259,"",IF($D259=1,EOMONTH(EDATE(Bonds!$H259,6*(44-1)),0),EDATE(Bonds!$H259,6*(44-1))))</f>
        <v/>
      </c>
      <c r="AW259" s="3" t="str">
        <f>IF(45&gt;$C259,"",IF($D259=1,EOMONTH(EDATE(Bonds!$H259,6*(45-1)),0),EDATE(Bonds!$H259,6*(45-1))))</f>
        <v/>
      </c>
      <c r="AX259" s="3" t="str">
        <f>IF(46&gt;$C259,"",IF($D259=1,EOMONTH(EDATE(Bonds!$H259,6*(46-1)),0),EDATE(Bonds!$H259,6*(46-1))))</f>
        <v/>
      </c>
      <c r="AY259" s="3" t="str">
        <f>IF(47&gt;$C259,"",IF($D259=1,EOMONTH(EDATE(Bonds!$H259,6*(47-1)),0),EDATE(Bonds!$H259,6*(47-1))))</f>
        <v/>
      </c>
      <c r="AZ259" s="3" t="str">
        <f>IF(48&gt;$C259,"",IF($D259=1,EOMONTH(EDATE(Bonds!$H259,6*(48-1)),0),EDATE(Bonds!$H259,6*(48-1))))</f>
        <v/>
      </c>
      <c r="BA259" s="3" t="str">
        <f>IF(49&gt;$C259,"",IF($D259=1,EOMONTH(EDATE(Bonds!$H259,6*(49-1)),0),EDATE(Bonds!$H259,6*(49-1))))</f>
        <v/>
      </c>
      <c r="BB259" s="3" t="str">
        <f>IF(50&gt;$C259,"",IF($D259=1,EOMONTH(EDATE(Bonds!$H259,6*(50-1)),0),EDATE(Bonds!$H259,6*(50-1))))</f>
        <v/>
      </c>
      <c r="BC259" s="3" t="str">
        <f>IF(51&gt;$C259,"",IF($D259=1,EOMONTH(EDATE(Bonds!$H259,6*(51-1)),0),EDATE(Bonds!$H259,6*(51-1))))</f>
        <v/>
      </c>
      <c r="BD259" s="3" t="str">
        <f>IF(52&gt;$C259,"",IF($D259=1,EOMONTH(EDATE(Bonds!$H259,6*(52-1)),0),EDATE(Bonds!$H259,6*(52-1))))</f>
        <v/>
      </c>
      <c r="BE259" s="3" t="str">
        <f>IF(53&gt;$C259,"",IF($D259=1,EOMONTH(EDATE(Bonds!$H259,6*(53-1)),0),EDATE(Bonds!$H259,6*(53-1))))</f>
        <v/>
      </c>
      <c r="BF259" s="3" t="str">
        <f>IF(54&gt;$C259,"",IF($D259=1,EOMONTH(EDATE(Bonds!$H259,6*(54-1)),0),EDATE(Bonds!$H259,6*(54-1))))</f>
        <v/>
      </c>
      <c r="BG259" s="3" t="str">
        <f>IF(55&gt;$C259,"",IF($D259=1,EOMONTH(EDATE(Bonds!$H259,6*(55-1)),0),EDATE(Bonds!$H259,6*(55-1))))</f>
        <v/>
      </c>
      <c r="BH259" s="3" t="str">
        <f>IF(56&gt;$C259,"",IF($D259=1,EOMONTH(EDATE(Bonds!$H259,6*(56-1)),0),EDATE(Bonds!$H259,6*(56-1))))</f>
        <v/>
      </c>
      <c r="BI259" s="3" t="str">
        <f>IF(57&gt;$C259,"",IF($D259=1,EOMONTH(EDATE(Bonds!$H259,6*(57-1)),0),EDATE(Bonds!$H259,6*(57-1))))</f>
        <v/>
      </c>
      <c r="BJ259" s="3" t="str">
        <f>IF(58&gt;$C259,"",IF($D259=1,EOMONTH(EDATE(Bonds!$H259,6*(58-1)),0),EDATE(Bonds!$H259,6*(58-1))))</f>
        <v/>
      </c>
      <c r="BK259" s="3" t="str">
        <f>IF(59&gt;$C259,"",IF($D259=1,EOMONTH(EDATE(Bonds!$H259,6*(59-1)),0),EDATE(Bonds!$H259,6*(59-1))))</f>
        <v/>
      </c>
      <c r="BL259" s="3" t="str">
        <f>IF(60&gt;$C259,"",IF($D259=1,EOMONTH(EDATE(Bonds!$H259,6*(60-1)),0),EDATE(Bonds!$H259,6*(60-1))))</f>
        <v/>
      </c>
      <c r="BN259" s="7">
        <f t="shared" si="184"/>
        <v>2.2732788027748541</v>
      </c>
      <c r="BO259" s="7">
        <f t="shared" si="185"/>
        <v>2.2253618962720854</v>
      </c>
      <c r="BP259" s="7">
        <f t="shared" si="186"/>
        <v>2.1754476243738976</v>
      </c>
      <c r="BQ259" s="7">
        <f t="shared" si="187"/>
        <v>2.1263633428711608</v>
      </c>
      <c r="BR259" s="7">
        <f t="shared" si="188"/>
        <v>2.0777167692022909</v>
      </c>
      <c r="BS259" s="7">
        <f t="shared" si="189"/>
        <v>2.031031772484087</v>
      </c>
      <c r="BT259" s="7">
        <f t="shared" si="190"/>
        <v>1.9847256362236501</v>
      </c>
      <c r="BU259" s="7">
        <f t="shared" si="191"/>
        <v>1.9401615084528006</v>
      </c>
      <c r="BV259" s="7">
        <f t="shared" si="192"/>
        <v>1.895676035753294</v>
      </c>
      <c r="BW259" s="7">
        <f t="shared" si="193"/>
        <v>1.8525451983087053</v>
      </c>
      <c r="BX259" s="7">
        <f t="shared" si="194"/>
        <v>1.8091901571065561</v>
      </c>
      <c r="BY259" s="7">
        <f t="shared" si="195"/>
        <v>1.7666832517673459</v>
      </c>
      <c r="BZ259" s="7">
        <f t="shared" si="196"/>
        <v>1.7240176698316556</v>
      </c>
      <c r="CA259" s="7">
        <f t="shared" si="197"/>
        <v>1.6823142156028446</v>
      </c>
      <c r="CB259" s="7">
        <f t="shared" si="198"/>
        <v>1.6401836953590239</v>
      </c>
      <c r="CC259" s="7">
        <f t="shared" si="199"/>
        <v>1.5990167699987485</v>
      </c>
      <c r="CD259" s="7">
        <f t="shared" si="200"/>
        <v>1.5574840286149367</v>
      </c>
      <c r="CE259" s="7">
        <f t="shared" si="201"/>
        <v>1.5169866311686198</v>
      </c>
      <c r="CF259" s="7">
        <f t="shared" si="202"/>
        <v>1.4762379417095042</v>
      </c>
      <c r="CG259" s="7">
        <f t="shared" si="203"/>
        <v>63.551342917502168</v>
      </c>
      <c r="CH259" s="7">
        <f t="shared" si="204"/>
        <v>0</v>
      </c>
      <c r="CI259" s="7">
        <f t="shared" si="205"/>
        <v>0</v>
      </c>
      <c r="CJ259" s="7">
        <f t="shared" si="206"/>
        <v>0</v>
      </c>
      <c r="CK259" s="7">
        <f t="shared" si="207"/>
        <v>0</v>
      </c>
      <c r="CL259" s="7">
        <f t="shared" si="208"/>
        <v>0</v>
      </c>
      <c r="CM259" s="7">
        <f t="shared" si="209"/>
        <v>0</v>
      </c>
      <c r="CN259" s="7">
        <f t="shared" si="210"/>
        <v>0</v>
      </c>
      <c r="CO259" s="7">
        <f t="shared" si="211"/>
        <v>0</v>
      </c>
      <c r="CP259" s="7">
        <f t="shared" si="212"/>
        <v>0</v>
      </c>
      <c r="CQ259" s="7">
        <f t="shared" si="213"/>
        <v>0</v>
      </c>
      <c r="CR259" s="7">
        <f t="shared" si="214"/>
        <v>0</v>
      </c>
      <c r="CS259" s="7">
        <f t="shared" si="215"/>
        <v>0</v>
      </c>
      <c r="CT259" s="7">
        <f t="shared" si="216"/>
        <v>0</v>
      </c>
      <c r="CU259" s="7">
        <f t="shared" si="217"/>
        <v>0</v>
      </c>
      <c r="CV259" s="7">
        <f t="shared" si="218"/>
        <v>0</v>
      </c>
      <c r="CW259" s="7">
        <f t="shared" si="219"/>
        <v>0</v>
      </c>
      <c r="CX259" s="7">
        <f t="shared" si="220"/>
        <v>0</v>
      </c>
      <c r="CY259" s="7">
        <f t="shared" si="221"/>
        <v>0</v>
      </c>
      <c r="CZ259" s="7">
        <f t="shared" si="222"/>
        <v>0</v>
      </c>
      <c r="DA259" s="7">
        <f t="shared" si="223"/>
        <v>0</v>
      </c>
      <c r="DB259" s="7">
        <f t="shared" si="224"/>
        <v>0</v>
      </c>
      <c r="DC259" s="7">
        <f t="shared" si="225"/>
        <v>0</v>
      </c>
      <c r="DD259" s="7">
        <f t="shared" si="226"/>
        <v>0</v>
      </c>
      <c r="DE259" s="7">
        <f t="shared" si="227"/>
        <v>0</v>
      </c>
      <c r="DF259" s="7">
        <f t="shared" si="228"/>
        <v>0</v>
      </c>
      <c r="DG259" s="7">
        <f t="shared" si="229"/>
        <v>0</v>
      </c>
      <c r="DH259" s="7">
        <f t="shared" si="230"/>
        <v>0</v>
      </c>
      <c r="DI259" s="7">
        <f t="shared" si="231"/>
        <v>0</v>
      </c>
      <c r="DJ259" s="7">
        <f t="shared" si="232"/>
        <v>0</v>
      </c>
      <c r="DK259" s="7">
        <f t="shared" si="233"/>
        <v>0</v>
      </c>
      <c r="DL259" s="7">
        <f t="shared" si="234"/>
        <v>0</v>
      </c>
      <c r="DM259" s="7">
        <f t="shared" si="235"/>
        <v>0</v>
      </c>
      <c r="DN259" s="7">
        <f t="shared" si="236"/>
        <v>0</v>
      </c>
      <c r="DO259" s="7">
        <f t="shared" si="237"/>
        <v>0</v>
      </c>
      <c r="DP259" s="7">
        <f t="shared" si="238"/>
        <v>0</v>
      </c>
      <c r="DQ259" s="7">
        <f t="shared" si="239"/>
        <v>0</v>
      </c>
      <c r="DR259" s="7">
        <f t="shared" si="240"/>
        <v>0</v>
      </c>
      <c r="DS259" s="7">
        <f t="shared" si="241"/>
        <v>0</v>
      </c>
      <c r="DT259" s="7">
        <f t="shared" si="242"/>
        <v>0</v>
      </c>
      <c r="DU259" s="7">
        <f t="shared" si="243"/>
        <v>0</v>
      </c>
    </row>
    <row r="260" spans="1:125" x14ac:dyDescent="0.2">
      <c r="A260" s="3">
        <f>Bonds!A260</f>
        <v>50086</v>
      </c>
      <c r="B260" s="4">
        <f>Bonds!B260</f>
        <v>4.75</v>
      </c>
      <c r="C260">
        <f>Bonds!P260</f>
        <v>21</v>
      </c>
      <c r="D260">
        <f t="shared" si="183"/>
        <v>0</v>
      </c>
      <c r="E260" s="3">
        <f>IF(1&gt;$C260,"",IF($D260=1,EOMONTH(EDATE(Bonds!$H260,6*(1-1)),0),EDATE(Bonds!$H260,6*(1-1))))</f>
        <v>46433</v>
      </c>
      <c r="F260" s="3">
        <f>IF(2&gt;$C260,"",IF($D260=1,EOMONTH(EDATE(Bonds!$H260,6*(2-1)),0),EDATE(Bonds!$H260,6*(2-1))))</f>
        <v>46614</v>
      </c>
      <c r="G260" s="3">
        <f>IF(3&gt;$C260,"",IF($D260=1,EOMONTH(EDATE(Bonds!$H260,6*(3-1)),0),EDATE(Bonds!$H260,6*(3-1))))</f>
        <v>46798</v>
      </c>
      <c r="H260" s="3">
        <f>IF(4&gt;$C260,"",IF($D260=1,EOMONTH(EDATE(Bonds!$H260,6*(4-1)),0),EDATE(Bonds!$H260,6*(4-1))))</f>
        <v>46980</v>
      </c>
      <c r="I260" s="3">
        <f>IF(5&gt;$C260,"",IF($D260=1,EOMONTH(EDATE(Bonds!$H260,6*(5-1)),0),EDATE(Bonds!$H260,6*(5-1))))</f>
        <v>47164</v>
      </c>
      <c r="J260" s="3">
        <f>IF(6&gt;$C260,"",IF($D260=1,EOMONTH(EDATE(Bonds!$H260,6*(6-1)),0),EDATE(Bonds!$H260,6*(6-1))))</f>
        <v>47345</v>
      </c>
      <c r="K260" s="3">
        <f>IF(7&gt;$C260,"",IF($D260=1,EOMONTH(EDATE(Bonds!$H260,6*(7-1)),0),EDATE(Bonds!$H260,6*(7-1))))</f>
        <v>47529</v>
      </c>
      <c r="L260" s="3">
        <f>IF(8&gt;$C260,"",IF($D260=1,EOMONTH(EDATE(Bonds!$H260,6*(8-1)),0),EDATE(Bonds!$H260,6*(8-1))))</f>
        <v>47710</v>
      </c>
      <c r="M260" s="3">
        <f>IF(9&gt;$C260,"",IF($D260=1,EOMONTH(EDATE(Bonds!$H260,6*(9-1)),0),EDATE(Bonds!$H260,6*(9-1))))</f>
        <v>47894</v>
      </c>
      <c r="N260" s="3">
        <f>IF(10&gt;$C260,"",IF($D260=1,EOMONTH(EDATE(Bonds!$H260,6*(10-1)),0),EDATE(Bonds!$H260,6*(10-1))))</f>
        <v>48075</v>
      </c>
      <c r="O260" s="3">
        <f>IF(11&gt;$C260,"",IF($D260=1,EOMONTH(EDATE(Bonds!$H260,6*(11-1)),0),EDATE(Bonds!$H260,6*(11-1))))</f>
        <v>48259</v>
      </c>
      <c r="P260" s="3">
        <f>IF(12&gt;$C260,"",IF($D260=1,EOMONTH(EDATE(Bonds!$H260,6*(12-1)),0),EDATE(Bonds!$H260,6*(12-1))))</f>
        <v>48441</v>
      </c>
      <c r="Q260" s="3">
        <f>IF(13&gt;$C260,"",IF($D260=1,EOMONTH(EDATE(Bonds!$H260,6*(13-1)),0),EDATE(Bonds!$H260,6*(13-1))))</f>
        <v>48625</v>
      </c>
      <c r="R260" s="3">
        <f>IF(14&gt;$C260,"",IF($D260=1,EOMONTH(EDATE(Bonds!$H260,6*(14-1)),0),EDATE(Bonds!$H260,6*(14-1))))</f>
        <v>48806</v>
      </c>
      <c r="S260" s="3">
        <f>IF(15&gt;$C260,"",IF($D260=1,EOMONTH(EDATE(Bonds!$H260,6*(15-1)),0),EDATE(Bonds!$H260,6*(15-1))))</f>
        <v>48990</v>
      </c>
      <c r="T260" s="3">
        <f>IF(16&gt;$C260,"",IF($D260=1,EOMONTH(EDATE(Bonds!$H260,6*(16-1)),0),EDATE(Bonds!$H260,6*(16-1))))</f>
        <v>49171</v>
      </c>
      <c r="U260" s="3">
        <f>IF(17&gt;$C260,"",IF($D260=1,EOMONTH(EDATE(Bonds!$H260,6*(17-1)),0),EDATE(Bonds!$H260,6*(17-1))))</f>
        <v>49355</v>
      </c>
      <c r="V260" s="3">
        <f>IF(18&gt;$C260,"",IF($D260=1,EOMONTH(EDATE(Bonds!$H260,6*(18-1)),0),EDATE(Bonds!$H260,6*(18-1))))</f>
        <v>49536</v>
      </c>
      <c r="W260" s="3">
        <f>IF(19&gt;$C260,"",IF($D260=1,EOMONTH(EDATE(Bonds!$H260,6*(19-1)),0),EDATE(Bonds!$H260,6*(19-1))))</f>
        <v>49720</v>
      </c>
      <c r="X260" s="3">
        <f>IF(20&gt;$C260,"",IF($D260=1,EOMONTH(EDATE(Bonds!$H260,6*(20-1)),0),EDATE(Bonds!$H260,6*(20-1))))</f>
        <v>49902</v>
      </c>
      <c r="Y260" s="3">
        <f>IF(21&gt;$C260,"",IF($D260=1,EOMONTH(EDATE(Bonds!$H260,6*(21-1)),0),EDATE(Bonds!$H260,6*(21-1))))</f>
        <v>50086</v>
      </c>
      <c r="Z260" s="3" t="str">
        <f>IF(22&gt;$C260,"",IF($D260=1,EOMONTH(EDATE(Bonds!$H260,6*(22-1)),0),EDATE(Bonds!$H260,6*(22-1))))</f>
        <v/>
      </c>
      <c r="AA260" s="3" t="str">
        <f>IF(23&gt;$C260,"",IF($D260=1,EOMONTH(EDATE(Bonds!$H260,6*(23-1)),0),EDATE(Bonds!$H260,6*(23-1))))</f>
        <v/>
      </c>
      <c r="AB260" s="3" t="str">
        <f>IF(24&gt;$C260,"",IF($D260=1,EOMONTH(EDATE(Bonds!$H260,6*(24-1)),0),EDATE(Bonds!$H260,6*(24-1))))</f>
        <v/>
      </c>
      <c r="AC260" s="3" t="str">
        <f>IF(25&gt;$C260,"",IF($D260=1,EOMONTH(EDATE(Bonds!$H260,6*(25-1)),0),EDATE(Bonds!$H260,6*(25-1))))</f>
        <v/>
      </c>
      <c r="AD260" s="3" t="str">
        <f>IF(26&gt;$C260,"",IF($D260=1,EOMONTH(EDATE(Bonds!$H260,6*(26-1)),0),EDATE(Bonds!$H260,6*(26-1))))</f>
        <v/>
      </c>
      <c r="AE260" s="3" t="str">
        <f>IF(27&gt;$C260,"",IF($D260=1,EOMONTH(EDATE(Bonds!$H260,6*(27-1)),0),EDATE(Bonds!$H260,6*(27-1))))</f>
        <v/>
      </c>
      <c r="AF260" s="3" t="str">
        <f>IF(28&gt;$C260,"",IF($D260=1,EOMONTH(EDATE(Bonds!$H260,6*(28-1)),0),EDATE(Bonds!$H260,6*(28-1))))</f>
        <v/>
      </c>
      <c r="AG260" s="3" t="str">
        <f>IF(29&gt;$C260,"",IF($D260=1,EOMONTH(EDATE(Bonds!$H260,6*(29-1)),0),EDATE(Bonds!$H260,6*(29-1))))</f>
        <v/>
      </c>
      <c r="AH260" s="3" t="str">
        <f>IF(30&gt;$C260,"",IF($D260=1,EOMONTH(EDATE(Bonds!$H260,6*(30-1)),0),EDATE(Bonds!$H260,6*(30-1))))</f>
        <v/>
      </c>
      <c r="AI260" s="3" t="str">
        <f>IF(31&gt;$C260,"",IF($D260=1,EOMONTH(EDATE(Bonds!$H260,6*(31-1)),0),EDATE(Bonds!$H260,6*(31-1))))</f>
        <v/>
      </c>
      <c r="AJ260" s="3" t="str">
        <f>IF(32&gt;$C260,"",IF($D260=1,EOMONTH(EDATE(Bonds!$H260,6*(32-1)),0),EDATE(Bonds!$H260,6*(32-1))))</f>
        <v/>
      </c>
      <c r="AK260" s="3" t="str">
        <f>IF(33&gt;$C260,"",IF($D260=1,EOMONTH(EDATE(Bonds!$H260,6*(33-1)),0),EDATE(Bonds!$H260,6*(33-1))))</f>
        <v/>
      </c>
      <c r="AL260" s="3" t="str">
        <f>IF(34&gt;$C260,"",IF($D260=1,EOMONTH(EDATE(Bonds!$H260,6*(34-1)),0),EDATE(Bonds!$H260,6*(34-1))))</f>
        <v/>
      </c>
      <c r="AM260" s="3" t="str">
        <f>IF(35&gt;$C260,"",IF($D260=1,EOMONTH(EDATE(Bonds!$H260,6*(35-1)),0),EDATE(Bonds!$H260,6*(35-1))))</f>
        <v/>
      </c>
      <c r="AN260" s="3" t="str">
        <f>IF(36&gt;$C260,"",IF($D260=1,EOMONTH(EDATE(Bonds!$H260,6*(36-1)),0),EDATE(Bonds!$H260,6*(36-1))))</f>
        <v/>
      </c>
      <c r="AO260" s="3" t="str">
        <f>IF(37&gt;$C260,"",IF($D260=1,EOMONTH(EDATE(Bonds!$H260,6*(37-1)),0),EDATE(Bonds!$H260,6*(37-1))))</f>
        <v/>
      </c>
      <c r="AP260" s="3" t="str">
        <f>IF(38&gt;$C260,"",IF($D260=1,EOMONTH(EDATE(Bonds!$H260,6*(38-1)),0),EDATE(Bonds!$H260,6*(38-1))))</f>
        <v/>
      </c>
      <c r="AQ260" s="3" t="str">
        <f>IF(39&gt;$C260,"",IF($D260=1,EOMONTH(EDATE(Bonds!$H260,6*(39-1)),0),EDATE(Bonds!$H260,6*(39-1))))</f>
        <v/>
      </c>
      <c r="AR260" s="3" t="str">
        <f>IF(40&gt;$C260,"",IF($D260=1,EOMONTH(EDATE(Bonds!$H260,6*(40-1)),0),EDATE(Bonds!$H260,6*(40-1))))</f>
        <v/>
      </c>
      <c r="AS260" s="3" t="str">
        <f>IF(41&gt;$C260,"",IF($D260=1,EOMONTH(EDATE(Bonds!$H260,6*(41-1)),0),EDATE(Bonds!$H260,6*(41-1))))</f>
        <v/>
      </c>
      <c r="AT260" s="3" t="str">
        <f>IF(42&gt;$C260,"",IF($D260=1,EOMONTH(EDATE(Bonds!$H260,6*(42-1)),0),EDATE(Bonds!$H260,6*(42-1))))</f>
        <v/>
      </c>
      <c r="AU260" s="3" t="str">
        <f>IF(43&gt;$C260,"",IF($D260=1,EOMONTH(EDATE(Bonds!$H260,6*(43-1)),0),EDATE(Bonds!$H260,6*(43-1))))</f>
        <v/>
      </c>
      <c r="AV260" s="3" t="str">
        <f>IF(44&gt;$C260,"",IF($D260=1,EOMONTH(EDATE(Bonds!$H260,6*(44-1)),0),EDATE(Bonds!$H260,6*(44-1))))</f>
        <v/>
      </c>
      <c r="AW260" s="3" t="str">
        <f>IF(45&gt;$C260,"",IF($D260=1,EOMONTH(EDATE(Bonds!$H260,6*(45-1)),0),EDATE(Bonds!$H260,6*(45-1))))</f>
        <v/>
      </c>
      <c r="AX260" s="3" t="str">
        <f>IF(46&gt;$C260,"",IF($D260=1,EOMONTH(EDATE(Bonds!$H260,6*(46-1)),0),EDATE(Bonds!$H260,6*(46-1))))</f>
        <v/>
      </c>
      <c r="AY260" s="3" t="str">
        <f>IF(47&gt;$C260,"",IF($D260=1,EOMONTH(EDATE(Bonds!$H260,6*(47-1)),0),EDATE(Bonds!$H260,6*(47-1))))</f>
        <v/>
      </c>
      <c r="AZ260" s="3" t="str">
        <f>IF(48&gt;$C260,"",IF($D260=1,EOMONTH(EDATE(Bonds!$H260,6*(48-1)),0),EDATE(Bonds!$H260,6*(48-1))))</f>
        <v/>
      </c>
      <c r="BA260" s="3" t="str">
        <f>IF(49&gt;$C260,"",IF($D260=1,EOMONTH(EDATE(Bonds!$H260,6*(49-1)),0),EDATE(Bonds!$H260,6*(49-1))))</f>
        <v/>
      </c>
      <c r="BB260" s="3" t="str">
        <f>IF(50&gt;$C260,"",IF($D260=1,EOMONTH(EDATE(Bonds!$H260,6*(50-1)),0),EDATE(Bonds!$H260,6*(50-1))))</f>
        <v/>
      </c>
      <c r="BC260" s="3" t="str">
        <f>IF(51&gt;$C260,"",IF($D260=1,EOMONTH(EDATE(Bonds!$H260,6*(51-1)),0),EDATE(Bonds!$H260,6*(51-1))))</f>
        <v/>
      </c>
      <c r="BD260" s="3" t="str">
        <f>IF(52&gt;$C260,"",IF($D260=1,EOMONTH(EDATE(Bonds!$H260,6*(52-1)),0),EDATE(Bonds!$H260,6*(52-1))))</f>
        <v/>
      </c>
      <c r="BE260" s="3" t="str">
        <f>IF(53&gt;$C260,"",IF($D260=1,EOMONTH(EDATE(Bonds!$H260,6*(53-1)),0),EDATE(Bonds!$H260,6*(53-1))))</f>
        <v/>
      </c>
      <c r="BF260" s="3" t="str">
        <f>IF(54&gt;$C260,"",IF($D260=1,EOMONTH(EDATE(Bonds!$H260,6*(54-1)),0),EDATE(Bonds!$H260,6*(54-1))))</f>
        <v/>
      </c>
      <c r="BG260" s="3" t="str">
        <f>IF(55&gt;$C260,"",IF($D260=1,EOMONTH(EDATE(Bonds!$H260,6*(55-1)),0),EDATE(Bonds!$H260,6*(55-1))))</f>
        <v/>
      </c>
      <c r="BH260" s="3" t="str">
        <f>IF(56&gt;$C260,"",IF($D260=1,EOMONTH(EDATE(Bonds!$H260,6*(56-1)),0),EDATE(Bonds!$H260,6*(56-1))))</f>
        <v/>
      </c>
      <c r="BI260" s="3" t="str">
        <f>IF(57&gt;$C260,"",IF($D260=1,EOMONTH(EDATE(Bonds!$H260,6*(57-1)),0),EDATE(Bonds!$H260,6*(57-1))))</f>
        <v/>
      </c>
      <c r="BJ260" s="3" t="str">
        <f>IF(58&gt;$C260,"",IF($D260=1,EOMONTH(EDATE(Bonds!$H260,6*(58-1)),0),EDATE(Bonds!$H260,6*(58-1))))</f>
        <v/>
      </c>
      <c r="BK260" s="3" t="str">
        <f>IF(59&gt;$C260,"",IF($D260=1,EOMONTH(EDATE(Bonds!$H260,6*(59-1)),0),EDATE(Bonds!$H260,6*(59-1))))</f>
        <v/>
      </c>
      <c r="BL260" s="3" t="str">
        <f>IF(60&gt;$C260,"",IF($D260=1,EOMONTH(EDATE(Bonds!$H260,6*(60-1)),0),EDATE(Bonds!$H260,6*(60-1))))</f>
        <v/>
      </c>
      <c r="BN260" s="7">
        <f t="shared" si="184"/>
        <v>2.3347187704174175</v>
      </c>
      <c r="BO260" s="7">
        <f t="shared" si="185"/>
        <v>2.2855068123875473</v>
      </c>
      <c r="BP260" s="7">
        <f t="shared" si="186"/>
        <v>2.2342435061137325</v>
      </c>
      <c r="BQ260" s="7">
        <f t="shared" si="187"/>
        <v>2.1838326224082194</v>
      </c>
      <c r="BR260" s="7">
        <f t="shared" si="188"/>
        <v>2.1338712764780285</v>
      </c>
      <c r="BS260" s="7">
        <f t="shared" si="189"/>
        <v>2.0859245230917653</v>
      </c>
      <c r="BT260" s="7">
        <f t="shared" si="190"/>
        <v>2.0383668696351003</v>
      </c>
      <c r="BU260" s="7">
        <f t="shared" si="191"/>
        <v>1.9925983059785519</v>
      </c>
      <c r="BV260" s="7">
        <f t="shared" si="192"/>
        <v>1.9469105232060857</v>
      </c>
      <c r="BW260" s="7">
        <f t="shared" si="193"/>
        <v>1.9026139874521839</v>
      </c>
      <c r="BX260" s="7">
        <f t="shared" si="194"/>
        <v>1.8580871883797061</v>
      </c>
      <c r="BY260" s="7">
        <f t="shared" si="195"/>
        <v>1.8144314477610579</v>
      </c>
      <c r="BZ260" s="7">
        <f t="shared" si="196"/>
        <v>1.7706127419892679</v>
      </c>
      <c r="CA260" s="7">
        <f t="shared" si="197"/>
        <v>1.7277821673758944</v>
      </c>
      <c r="CB260" s="7">
        <f t="shared" si="198"/>
        <v>1.6845129844227813</v>
      </c>
      <c r="CC260" s="7">
        <f t="shared" si="199"/>
        <v>1.6422334394581741</v>
      </c>
      <c r="CD260" s="7">
        <f t="shared" si="200"/>
        <v>1.5995781915504756</v>
      </c>
      <c r="CE260" s="7">
        <f t="shared" si="201"/>
        <v>1.5579862698488527</v>
      </c>
      <c r="CF260" s="7">
        <f t="shared" si="202"/>
        <v>1.5161362644584098</v>
      </c>
      <c r="CG260" s="7">
        <f t="shared" si="203"/>
        <v>1.4752297073091523</v>
      </c>
      <c r="CH260" s="7">
        <f t="shared" si="204"/>
        <v>61.831497035389845</v>
      </c>
      <c r="CI260" s="7">
        <f t="shared" si="205"/>
        <v>0</v>
      </c>
      <c r="CJ260" s="7">
        <f t="shared" si="206"/>
        <v>0</v>
      </c>
      <c r="CK260" s="7">
        <f t="shared" si="207"/>
        <v>0</v>
      </c>
      <c r="CL260" s="7">
        <f t="shared" si="208"/>
        <v>0</v>
      </c>
      <c r="CM260" s="7">
        <f t="shared" si="209"/>
        <v>0</v>
      </c>
      <c r="CN260" s="7">
        <f t="shared" si="210"/>
        <v>0</v>
      </c>
      <c r="CO260" s="7">
        <f t="shared" si="211"/>
        <v>0</v>
      </c>
      <c r="CP260" s="7">
        <f t="shared" si="212"/>
        <v>0</v>
      </c>
      <c r="CQ260" s="7">
        <f t="shared" si="213"/>
        <v>0</v>
      </c>
      <c r="CR260" s="7">
        <f t="shared" si="214"/>
        <v>0</v>
      </c>
      <c r="CS260" s="7">
        <f t="shared" si="215"/>
        <v>0</v>
      </c>
      <c r="CT260" s="7">
        <f t="shared" si="216"/>
        <v>0</v>
      </c>
      <c r="CU260" s="7">
        <f t="shared" si="217"/>
        <v>0</v>
      </c>
      <c r="CV260" s="7">
        <f t="shared" si="218"/>
        <v>0</v>
      </c>
      <c r="CW260" s="7">
        <f t="shared" si="219"/>
        <v>0</v>
      </c>
      <c r="CX260" s="7">
        <f t="shared" si="220"/>
        <v>0</v>
      </c>
      <c r="CY260" s="7">
        <f t="shared" si="221"/>
        <v>0</v>
      </c>
      <c r="CZ260" s="7">
        <f t="shared" si="222"/>
        <v>0</v>
      </c>
      <c r="DA260" s="7">
        <f t="shared" si="223"/>
        <v>0</v>
      </c>
      <c r="DB260" s="7">
        <f t="shared" si="224"/>
        <v>0</v>
      </c>
      <c r="DC260" s="7">
        <f t="shared" si="225"/>
        <v>0</v>
      </c>
      <c r="DD260" s="7">
        <f t="shared" si="226"/>
        <v>0</v>
      </c>
      <c r="DE260" s="7">
        <f t="shared" si="227"/>
        <v>0</v>
      </c>
      <c r="DF260" s="7">
        <f t="shared" si="228"/>
        <v>0</v>
      </c>
      <c r="DG260" s="7">
        <f t="shared" si="229"/>
        <v>0</v>
      </c>
      <c r="DH260" s="7">
        <f t="shared" si="230"/>
        <v>0</v>
      </c>
      <c r="DI260" s="7">
        <f t="shared" si="231"/>
        <v>0</v>
      </c>
      <c r="DJ260" s="7">
        <f t="shared" si="232"/>
        <v>0</v>
      </c>
      <c r="DK260" s="7">
        <f t="shared" si="233"/>
        <v>0</v>
      </c>
      <c r="DL260" s="7">
        <f t="shared" si="234"/>
        <v>0</v>
      </c>
      <c r="DM260" s="7">
        <f t="shared" si="235"/>
        <v>0</v>
      </c>
      <c r="DN260" s="7">
        <f t="shared" si="236"/>
        <v>0</v>
      </c>
      <c r="DO260" s="7">
        <f t="shared" si="237"/>
        <v>0</v>
      </c>
      <c r="DP260" s="7">
        <f t="shared" si="238"/>
        <v>0</v>
      </c>
      <c r="DQ260" s="7">
        <f t="shared" si="239"/>
        <v>0</v>
      </c>
      <c r="DR260" s="7">
        <f t="shared" si="240"/>
        <v>0</v>
      </c>
      <c r="DS260" s="7">
        <f t="shared" si="241"/>
        <v>0</v>
      </c>
      <c r="DT260" s="7">
        <f t="shared" si="242"/>
        <v>0</v>
      </c>
      <c r="DU260" s="7">
        <f t="shared" si="243"/>
        <v>0</v>
      </c>
    </row>
    <row r="261" spans="1:125" x14ac:dyDescent="0.2">
      <c r="A261" s="3">
        <f>Bonds!A261</f>
        <v>50175</v>
      </c>
      <c r="B261" s="4">
        <f>Bonds!B261</f>
        <v>5</v>
      </c>
      <c r="C261">
        <f>Bonds!P261</f>
        <v>22</v>
      </c>
      <c r="D261">
        <f t="shared" si="183"/>
        <v>0</v>
      </c>
      <c r="E261" s="3">
        <f>IF(1&gt;$C261,"",IF($D261=1,EOMONTH(EDATE(Bonds!$H261,6*(1-1)),0),EDATE(Bonds!$H261,6*(1-1))))</f>
        <v>46341</v>
      </c>
      <c r="F261" s="3">
        <f>IF(2&gt;$C261,"",IF($D261=1,EOMONTH(EDATE(Bonds!$H261,6*(2-1)),0),EDATE(Bonds!$H261,6*(2-1))))</f>
        <v>46522</v>
      </c>
      <c r="G261" s="3">
        <f>IF(3&gt;$C261,"",IF($D261=1,EOMONTH(EDATE(Bonds!$H261,6*(3-1)),0),EDATE(Bonds!$H261,6*(3-1))))</f>
        <v>46706</v>
      </c>
      <c r="H261" s="3">
        <f>IF(4&gt;$C261,"",IF($D261=1,EOMONTH(EDATE(Bonds!$H261,6*(4-1)),0),EDATE(Bonds!$H261,6*(4-1))))</f>
        <v>46888</v>
      </c>
      <c r="I261" s="3">
        <f>IF(5&gt;$C261,"",IF($D261=1,EOMONTH(EDATE(Bonds!$H261,6*(5-1)),0),EDATE(Bonds!$H261,6*(5-1))))</f>
        <v>47072</v>
      </c>
      <c r="J261" s="3">
        <f>IF(6&gt;$C261,"",IF($D261=1,EOMONTH(EDATE(Bonds!$H261,6*(6-1)),0),EDATE(Bonds!$H261,6*(6-1))))</f>
        <v>47253</v>
      </c>
      <c r="K261" s="3">
        <f>IF(7&gt;$C261,"",IF($D261=1,EOMONTH(EDATE(Bonds!$H261,6*(7-1)),0),EDATE(Bonds!$H261,6*(7-1))))</f>
        <v>47437</v>
      </c>
      <c r="L261" s="3">
        <f>IF(8&gt;$C261,"",IF($D261=1,EOMONTH(EDATE(Bonds!$H261,6*(8-1)),0),EDATE(Bonds!$H261,6*(8-1))))</f>
        <v>47618</v>
      </c>
      <c r="M261" s="3">
        <f>IF(9&gt;$C261,"",IF($D261=1,EOMONTH(EDATE(Bonds!$H261,6*(9-1)),0),EDATE(Bonds!$H261,6*(9-1))))</f>
        <v>47802</v>
      </c>
      <c r="N261" s="3">
        <f>IF(10&gt;$C261,"",IF($D261=1,EOMONTH(EDATE(Bonds!$H261,6*(10-1)),0),EDATE(Bonds!$H261,6*(10-1))))</f>
        <v>47983</v>
      </c>
      <c r="O261" s="3">
        <f>IF(11&gt;$C261,"",IF($D261=1,EOMONTH(EDATE(Bonds!$H261,6*(11-1)),0),EDATE(Bonds!$H261,6*(11-1))))</f>
        <v>48167</v>
      </c>
      <c r="P261" s="3">
        <f>IF(12&gt;$C261,"",IF($D261=1,EOMONTH(EDATE(Bonds!$H261,6*(12-1)),0),EDATE(Bonds!$H261,6*(12-1))))</f>
        <v>48349</v>
      </c>
      <c r="Q261" s="3">
        <f>IF(13&gt;$C261,"",IF($D261=1,EOMONTH(EDATE(Bonds!$H261,6*(13-1)),0),EDATE(Bonds!$H261,6*(13-1))))</f>
        <v>48533</v>
      </c>
      <c r="R261" s="3">
        <f>IF(14&gt;$C261,"",IF($D261=1,EOMONTH(EDATE(Bonds!$H261,6*(14-1)),0),EDATE(Bonds!$H261,6*(14-1))))</f>
        <v>48714</v>
      </c>
      <c r="S261" s="3">
        <f>IF(15&gt;$C261,"",IF($D261=1,EOMONTH(EDATE(Bonds!$H261,6*(15-1)),0),EDATE(Bonds!$H261,6*(15-1))))</f>
        <v>48898</v>
      </c>
      <c r="T261" s="3">
        <f>IF(16&gt;$C261,"",IF($D261=1,EOMONTH(EDATE(Bonds!$H261,6*(16-1)),0),EDATE(Bonds!$H261,6*(16-1))))</f>
        <v>49079</v>
      </c>
      <c r="U261" s="3">
        <f>IF(17&gt;$C261,"",IF($D261=1,EOMONTH(EDATE(Bonds!$H261,6*(17-1)),0),EDATE(Bonds!$H261,6*(17-1))))</f>
        <v>49263</v>
      </c>
      <c r="V261" s="3">
        <f>IF(18&gt;$C261,"",IF($D261=1,EOMONTH(EDATE(Bonds!$H261,6*(18-1)),0),EDATE(Bonds!$H261,6*(18-1))))</f>
        <v>49444</v>
      </c>
      <c r="W261" s="3">
        <f>IF(19&gt;$C261,"",IF($D261=1,EOMONTH(EDATE(Bonds!$H261,6*(19-1)),0),EDATE(Bonds!$H261,6*(19-1))))</f>
        <v>49628</v>
      </c>
      <c r="X261" s="3">
        <f>IF(20&gt;$C261,"",IF($D261=1,EOMONTH(EDATE(Bonds!$H261,6*(20-1)),0),EDATE(Bonds!$H261,6*(20-1))))</f>
        <v>49810</v>
      </c>
      <c r="Y261" s="3">
        <f>IF(21&gt;$C261,"",IF($D261=1,EOMONTH(EDATE(Bonds!$H261,6*(21-1)),0),EDATE(Bonds!$H261,6*(21-1))))</f>
        <v>49994</v>
      </c>
      <c r="Z261" s="3">
        <f>IF(22&gt;$C261,"",IF($D261=1,EOMONTH(EDATE(Bonds!$H261,6*(22-1)),0),EDATE(Bonds!$H261,6*(22-1))))</f>
        <v>50175</v>
      </c>
      <c r="AA261" s="3" t="str">
        <f>IF(23&gt;$C261,"",IF($D261=1,EOMONTH(EDATE(Bonds!$H261,6*(23-1)),0),EDATE(Bonds!$H261,6*(23-1))))</f>
        <v/>
      </c>
      <c r="AB261" s="3" t="str">
        <f>IF(24&gt;$C261,"",IF($D261=1,EOMONTH(EDATE(Bonds!$H261,6*(24-1)),0),EDATE(Bonds!$H261,6*(24-1))))</f>
        <v/>
      </c>
      <c r="AC261" s="3" t="str">
        <f>IF(25&gt;$C261,"",IF($D261=1,EOMONTH(EDATE(Bonds!$H261,6*(25-1)),0),EDATE(Bonds!$H261,6*(25-1))))</f>
        <v/>
      </c>
      <c r="AD261" s="3" t="str">
        <f>IF(26&gt;$C261,"",IF($D261=1,EOMONTH(EDATE(Bonds!$H261,6*(26-1)),0),EDATE(Bonds!$H261,6*(26-1))))</f>
        <v/>
      </c>
      <c r="AE261" s="3" t="str">
        <f>IF(27&gt;$C261,"",IF($D261=1,EOMONTH(EDATE(Bonds!$H261,6*(27-1)),0),EDATE(Bonds!$H261,6*(27-1))))</f>
        <v/>
      </c>
      <c r="AF261" s="3" t="str">
        <f>IF(28&gt;$C261,"",IF($D261=1,EOMONTH(EDATE(Bonds!$H261,6*(28-1)),0),EDATE(Bonds!$H261,6*(28-1))))</f>
        <v/>
      </c>
      <c r="AG261" s="3" t="str">
        <f>IF(29&gt;$C261,"",IF($D261=1,EOMONTH(EDATE(Bonds!$H261,6*(29-1)),0),EDATE(Bonds!$H261,6*(29-1))))</f>
        <v/>
      </c>
      <c r="AH261" s="3" t="str">
        <f>IF(30&gt;$C261,"",IF($D261=1,EOMONTH(EDATE(Bonds!$H261,6*(30-1)),0),EDATE(Bonds!$H261,6*(30-1))))</f>
        <v/>
      </c>
      <c r="AI261" s="3" t="str">
        <f>IF(31&gt;$C261,"",IF($D261=1,EOMONTH(EDATE(Bonds!$H261,6*(31-1)),0),EDATE(Bonds!$H261,6*(31-1))))</f>
        <v/>
      </c>
      <c r="AJ261" s="3" t="str">
        <f>IF(32&gt;$C261,"",IF($D261=1,EOMONTH(EDATE(Bonds!$H261,6*(32-1)),0),EDATE(Bonds!$H261,6*(32-1))))</f>
        <v/>
      </c>
      <c r="AK261" s="3" t="str">
        <f>IF(33&gt;$C261,"",IF($D261=1,EOMONTH(EDATE(Bonds!$H261,6*(33-1)),0),EDATE(Bonds!$H261,6*(33-1))))</f>
        <v/>
      </c>
      <c r="AL261" s="3" t="str">
        <f>IF(34&gt;$C261,"",IF($D261=1,EOMONTH(EDATE(Bonds!$H261,6*(34-1)),0),EDATE(Bonds!$H261,6*(34-1))))</f>
        <v/>
      </c>
      <c r="AM261" s="3" t="str">
        <f>IF(35&gt;$C261,"",IF($D261=1,EOMONTH(EDATE(Bonds!$H261,6*(35-1)),0),EDATE(Bonds!$H261,6*(35-1))))</f>
        <v/>
      </c>
      <c r="AN261" s="3" t="str">
        <f>IF(36&gt;$C261,"",IF($D261=1,EOMONTH(EDATE(Bonds!$H261,6*(36-1)),0),EDATE(Bonds!$H261,6*(36-1))))</f>
        <v/>
      </c>
      <c r="AO261" s="3" t="str">
        <f>IF(37&gt;$C261,"",IF($D261=1,EOMONTH(EDATE(Bonds!$H261,6*(37-1)),0),EDATE(Bonds!$H261,6*(37-1))))</f>
        <v/>
      </c>
      <c r="AP261" s="3" t="str">
        <f>IF(38&gt;$C261,"",IF($D261=1,EOMONTH(EDATE(Bonds!$H261,6*(38-1)),0),EDATE(Bonds!$H261,6*(38-1))))</f>
        <v/>
      </c>
      <c r="AQ261" s="3" t="str">
        <f>IF(39&gt;$C261,"",IF($D261=1,EOMONTH(EDATE(Bonds!$H261,6*(39-1)),0),EDATE(Bonds!$H261,6*(39-1))))</f>
        <v/>
      </c>
      <c r="AR261" s="3" t="str">
        <f>IF(40&gt;$C261,"",IF($D261=1,EOMONTH(EDATE(Bonds!$H261,6*(40-1)),0),EDATE(Bonds!$H261,6*(40-1))))</f>
        <v/>
      </c>
      <c r="AS261" s="3" t="str">
        <f>IF(41&gt;$C261,"",IF($D261=1,EOMONTH(EDATE(Bonds!$H261,6*(41-1)),0),EDATE(Bonds!$H261,6*(41-1))))</f>
        <v/>
      </c>
      <c r="AT261" s="3" t="str">
        <f>IF(42&gt;$C261,"",IF($D261=1,EOMONTH(EDATE(Bonds!$H261,6*(42-1)),0),EDATE(Bonds!$H261,6*(42-1))))</f>
        <v/>
      </c>
      <c r="AU261" s="3" t="str">
        <f>IF(43&gt;$C261,"",IF($D261=1,EOMONTH(EDATE(Bonds!$H261,6*(43-1)),0),EDATE(Bonds!$H261,6*(43-1))))</f>
        <v/>
      </c>
      <c r="AV261" s="3" t="str">
        <f>IF(44&gt;$C261,"",IF($D261=1,EOMONTH(EDATE(Bonds!$H261,6*(44-1)),0),EDATE(Bonds!$H261,6*(44-1))))</f>
        <v/>
      </c>
      <c r="AW261" s="3" t="str">
        <f>IF(45&gt;$C261,"",IF($D261=1,EOMONTH(EDATE(Bonds!$H261,6*(45-1)),0),EDATE(Bonds!$H261,6*(45-1))))</f>
        <v/>
      </c>
      <c r="AX261" s="3" t="str">
        <f>IF(46&gt;$C261,"",IF($D261=1,EOMONTH(EDATE(Bonds!$H261,6*(46-1)),0),EDATE(Bonds!$H261,6*(46-1))))</f>
        <v/>
      </c>
      <c r="AY261" s="3" t="str">
        <f>IF(47&gt;$C261,"",IF($D261=1,EOMONTH(EDATE(Bonds!$H261,6*(47-1)),0),EDATE(Bonds!$H261,6*(47-1))))</f>
        <v/>
      </c>
      <c r="AZ261" s="3" t="str">
        <f>IF(48&gt;$C261,"",IF($D261=1,EOMONTH(EDATE(Bonds!$H261,6*(48-1)),0),EDATE(Bonds!$H261,6*(48-1))))</f>
        <v/>
      </c>
      <c r="BA261" s="3" t="str">
        <f>IF(49&gt;$C261,"",IF($D261=1,EOMONTH(EDATE(Bonds!$H261,6*(49-1)),0),EDATE(Bonds!$H261,6*(49-1))))</f>
        <v/>
      </c>
      <c r="BB261" s="3" t="str">
        <f>IF(50&gt;$C261,"",IF($D261=1,EOMONTH(EDATE(Bonds!$H261,6*(50-1)),0),EDATE(Bonds!$H261,6*(50-1))))</f>
        <v/>
      </c>
      <c r="BC261" s="3" t="str">
        <f>IF(51&gt;$C261,"",IF($D261=1,EOMONTH(EDATE(Bonds!$H261,6*(51-1)),0),EDATE(Bonds!$H261,6*(51-1))))</f>
        <v/>
      </c>
      <c r="BD261" s="3" t="str">
        <f>IF(52&gt;$C261,"",IF($D261=1,EOMONTH(EDATE(Bonds!$H261,6*(52-1)),0),EDATE(Bonds!$H261,6*(52-1))))</f>
        <v/>
      </c>
      <c r="BE261" s="3" t="str">
        <f>IF(53&gt;$C261,"",IF($D261=1,EOMONTH(EDATE(Bonds!$H261,6*(53-1)),0),EDATE(Bonds!$H261,6*(53-1))))</f>
        <v/>
      </c>
      <c r="BF261" s="3" t="str">
        <f>IF(54&gt;$C261,"",IF($D261=1,EOMONTH(EDATE(Bonds!$H261,6*(54-1)),0),EDATE(Bonds!$H261,6*(54-1))))</f>
        <v/>
      </c>
      <c r="BG261" s="3" t="str">
        <f>IF(55&gt;$C261,"",IF($D261=1,EOMONTH(EDATE(Bonds!$H261,6*(55-1)),0),EDATE(Bonds!$H261,6*(55-1))))</f>
        <v/>
      </c>
      <c r="BH261" s="3" t="str">
        <f>IF(56&gt;$C261,"",IF($D261=1,EOMONTH(EDATE(Bonds!$H261,6*(56-1)),0),EDATE(Bonds!$H261,6*(56-1))))</f>
        <v/>
      </c>
      <c r="BI261" s="3" t="str">
        <f>IF(57&gt;$C261,"",IF($D261=1,EOMONTH(EDATE(Bonds!$H261,6*(57-1)),0),EDATE(Bonds!$H261,6*(57-1))))</f>
        <v/>
      </c>
      <c r="BJ261" s="3" t="str">
        <f>IF(58&gt;$C261,"",IF($D261=1,EOMONTH(EDATE(Bonds!$H261,6*(58-1)),0),EDATE(Bonds!$H261,6*(58-1))))</f>
        <v/>
      </c>
      <c r="BK261" s="3" t="str">
        <f>IF(59&gt;$C261,"",IF($D261=1,EOMONTH(EDATE(Bonds!$H261,6*(59-1)),0),EDATE(Bonds!$H261,6*(59-1))))</f>
        <v/>
      </c>
      <c r="BL261" s="3" t="str">
        <f>IF(60&gt;$C261,"",IF($D261=1,EOMONTH(EDATE(Bonds!$H261,6*(60-1)),0),EDATE(Bonds!$H261,6*(60-1))))</f>
        <v/>
      </c>
      <c r="BN261" s="7">
        <f t="shared" si="184"/>
        <v>2.4825639565000466</v>
      </c>
      <c r="BO261" s="7">
        <f t="shared" si="185"/>
        <v>2.432432463230116</v>
      </c>
      <c r="BP261" s="7">
        <f t="shared" si="186"/>
        <v>2.378852071374042</v>
      </c>
      <c r="BQ261" s="7">
        <f t="shared" si="187"/>
        <v>2.3254953536174727</v>
      </c>
      <c r="BR261" s="7">
        <f t="shared" si="188"/>
        <v>2.2723198403511642</v>
      </c>
      <c r="BS261" s="7">
        <f t="shared" si="189"/>
        <v>2.2212050051716998</v>
      </c>
      <c r="BT261" s="7">
        <f t="shared" si="190"/>
        <v>2.1705311236424021</v>
      </c>
      <c r="BU261" s="7">
        <f t="shared" si="191"/>
        <v>2.1218396143911562</v>
      </c>
      <c r="BV261" s="7">
        <f t="shared" si="192"/>
        <v>2.0733269987389362</v>
      </c>
      <c r="BW261" s="7">
        <f t="shared" si="193"/>
        <v>2.0263782858139625</v>
      </c>
      <c r="BX261" s="7">
        <f t="shared" si="194"/>
        <v>1.9792580880476836</v>
      </c>
      <c r="BY261" s="7">
        <f t="shared" si="195"/>
        <v>1.9331121455492402</v>
      </c>
      <c r="BZ261" s="7">
        <f t="shared" si="196"/>
        <v>1.8868267965109173</v>
      </c>
      <c r="CA261" s="7">
        <f t="shared" si="197"/>
        <v>1.8415995158644112</v>
      </c>
      <c r="CB261" s="7">
        <f t="shared" si="198"/>
        <v>1.7959081910460335</v>
      </c>
      <c r="CC261" s="7">
        <f t="shared" si="199"/>
        <v>1.7512489894087055</v>
      </c>
      <c r="CD261" s="7">
        <f t="shared" si="200"/>
        <v>1.7061705383067796</v>
      </c>
      <c r="CE261" s="7">
        <f t="shared" si="201"/>
        <v>1.6621873529855422</v>
      </c>
      <c r="CF261" s="7">
        <f t="shared" si="202"/>
        <v>1.6178980160714613</v>
      </c>
      <c r="CG261" s="7">
        <f t="shared" si="203"/>
        <v>1.5745717515917015</v>
      </c>
      <c r="CH261" s="7">
        <f t="shared" si="204"/>
        <v>1.5313222688760635</v>
      </c>
      <c r="CI261" s="7">
        <f t="shared" si="205"/>
        <v>61.064757316945432</v>
      </c>
      <c r="CJ261" s="7">
        <f t="shared" si="206"/>
        <v>0</v>
      </c>
      <c r="CK261" s="7">
        <f t="shared" si="207"/>
        <v>0</v>
      </c>
      <c r="CL261" s="7">
        <f t="shared" si="208"/>
        <v>0</v>
      </c>
      <c r="CM261" s="7">
        <f t="shared" si="209"/>
        <v>0</v>
      </c>
      <c r="CN261" s="7">
        <f t="shared" si="210"/>
        <v>0</v>
      </c>
      <c r="CO261" s="7">
        <f t="shared" si="211"/>
        <v>0</v>
      </c>
      <c r="CP261" s="7">
        <f t="shared" si="212"/>
        <v>0</v>
      </c>
      <c r="CQ261" s="7">
        <f t="shared" si="213"/>
        <v>0</v>
      </c>
      <c r="CR261" s="7">
        <f t="shared" si="214"/>
        <v>0</v>
      </c>
      <c r="CS261" s="7">
        <f t="shared" si="215"/>
        <v>0</v>
      </c>
      <c r="CT261" s="7">
        <f t="shared" si="216"/>
        <v>0</v>
      </c>
      <c r="CU261" s="7">
        <f t="shared" si="217"/>
        <v>0</v>
      </c>
      <c r="CV261" s="7">
        <f t="shared" si="218"/>
        <v>0</v>
      </c>
      <c r="CW261" s="7">
        <f t="shared" si="219"/>
        <v>0</v>
      </c>
      <c r="CX261" s="7">
        <f t="shared" si="220"/>
        <v>0</v>
      </c>
      <c r="CY261" s="7">
        <f t="shared" si="221"/>
        <v>0</v>
      </c>
      <c r="CZ261" s="7">
        <f t="shared" si="222"/>
        <v>0</v>
      </c>
      <c r="DA261" s="7">
        <f t="shared" si="223"/>
        <v>0</v>
      </c>
      <c r="DB261" s="7">
        <f t="shared" si="224"/>
        <v>0</v>
      </c>
      <c r="DC261" s="7">
        <f t="shared" si="225"/>
        <v>0</v>
      </c>
      <c r="DD261" s="7">
        <f t="shared" si="226"/>
        <v>0</v>
      </c>
      <c r="DE261" s="7">
        <f t="shared" si="227"/>
        <v>0</v>
      </c>
      <c r="DF261" s="7">
        <f t="shared" si="228"/>
        <v>0</v>
      </c>
      <c r="DG261" s="7">
        <f t="shared" si="229"/>
        <v>0</v>
      </c>
      <c r="DH261" s="7">
        <f t="shared" si="230"/>
        <v>0</v>
      </c>
      <c r="DI261" s="7">
        <f t="shared" si="231"/>
        <v>0</v>
      </c>
      <c r="DJ261" s="7">
        <f t="shared" si="232"/>
        <v>0</v>
      </c>
      <c r="DK261" s="7">
        <f t="shared" si="233"/>
        <v>0</v>
      </c>
      <c r="DL261" s="7">
        <f t="shared" si="234"/>
        <v>0</v>
      </c>
      <c r="DM261" s="7">
        <f t="shared" si="235"/>
        <v>0</v>
      </c>
      <c r="DN261" s="7">
        <f t="shared" si="236"/>
        <v>0</v>
      </c>
      <c r="DO261" s="7">
        <f t="shared" si="237"/>
        <v>0</v>
      </c>
      <c r="DP261" s="7">
        <f t="shared" si="238"/>
        <v>0</v>
      </c>
      <c r="DQ261" s="7">
        <f t="shared" si="239"/>
        <v>0</v>
      </c>
      <c r="DR261" s="7">
        <f t="shared" si="240"/>
        <v>0</v>
      </c>
      <c r="DS261" s="7">
        <f t="shared" si="241"/>
        <v>0</v>
      </c>
      <c r="DT261" s="7">
        <f t="shared" si="242"/>
        <v>0</v>
      </c>
      <c r="DU261" s="7">
        <f t="shared" si="243"/>
        <v>0</v>
      </c>
    </row>
    <row r="262" spans="1:125" x14ac:dyDescent="0.2">
      <c r="A262" s="3">
        <f>Bonds!A262</f>
        <v>50451</v>
      </c>
      <c r="B262" s="4">
        <f>Bonds!B262</f>
        <v>4.375</v>
      </c>
      <c r="C262">
        <f>Bonds!P262</f>
        <v>23</v>
      </c>
      <c r="D262">
        <f t="shared" si="183"/>
        <v>0</v>
      </c>
      <c r="E262" s="3">
        <f>IF(1&gt;$C262,"",IF($D262=1,EOMONTH(EDATE(Bonds!$H262,6*(1-1)),0),EDATE(Bonds!$H262,6*(1-1))))</f>
        <v>46433</v>
      </c>
      <c r="F262" s="3">
        <f>IF(2&gt;$C262,"",IF($D262=1,EOMONTH(EDATE(Bonds!$H262,6*(2-1)),0),EDATE(Bonds!$H262,6*(2-1))))</f>
        <v>46614</v>
      </c>
      <c r="G262" s="3">
        <f>IF(3&gt;$C262,"",IF($D262=1,EOMONTH(EDATE(Bonds!$H262,6*(3-1)),0),EDATE(Bonds!$H262,6*(3-1))))</f>
        <v>46798</v>
      </c>
      <c r="H262" s="3">
        <f>IF(4&gt;$C262,"",IF($D262=1,EOMONTH(EDATE(Bonds!$H262,6*(4-1)),0),EDATE(Bonds!$H262,6*(4-1))))</f>
        <v>46980</v>
      </c>
      <c r="I262" s="3">
        <f>IF(5&gt;$C262,"",IF($D262=1,EOMONTH(EDATE(Bonds!$H262,6*(5-1)),0),EDATE(Bonds!$H262,6*(5-1))))</f>
        <v>47164</v>
      </c>
      <c r="J262" s="3">
        <f>IF(6&gt;$C262,"",IF($D262=1,EOMONTH(EDATE(Bonds!$H262,6*(6-1)),0),EDATE(Bonds!$H262,6*(6-1))))</f>
        <v>47345</v>
      </c>
      <c r="K262" s="3">
        <f>IF(7&gt;$C262,"",IF($D262=1,EOMONTH(EDATE(Bonds!$H262,6*(7-1)),0),EDATE(Bonds!$H262,6*(7-1))))</f>
        <v>47529</v>
      </c>
      <c r="L262" s="3">
        <f>IF(8&gt;$C262,"",IF($D262=1,EOMONTH(EDATE(Bonds!$H262,6*(8-1)),0),EDATE(Bonds!$H262,6*(8-1))))</f>
        <v>47710</v>
      </c>
      <c r="M262" s="3">
        <f>IF(9&gt;$C262,"",IF($D262=1,EOMONTH(EDATE(Bonds!$H262,6*(9-1)),0),EDATE(Bonds!$H262,6*(9-1))))</f>
        <v>47894</v>
      </c>
      <c r="N262" s="3">
        <f>IF(10&gt;$C262,"",IF($D262=1,EOMONTH(EDATE(Bonds!$H262,6*(10-1)),0),EDATE(Bonds!$H262,6*(10-1))))</f>
        <v>48075</v>
      </c>
      <c r="O262" s="3">
        <f>IF(11&gt;$C262,"",IF($D262=1,EOMONTH(EDATE(Bonds!$H262,6*(11-1)),0),EDATE(Bonds!$H262,6*(11-1))))</f>
        <v>48259</v>
      </c>
      <c r="P262" s="3">
        <f>IF(12&gt;$C262,"",IF($D262=1,EOMONTH(EDATE(Bonds!$H262,6*(12-1)),0),EDATE(Bonds!$H262,6*(12-1))))</f>
        <v>48441</v>
      </c>
      <c r="Q262" s="3">
        <f>IF(13&gt;$C262,"",IF($D262=1,EOMONTH(EDATE(Bonds!$H262,6*(13-1)),0),EDATE(Bonds!$H262,6*(13-1))))</f>
        <v>48625</v>
      </c>
      <c r="R262" s="3">
        <f>IF(14&gt;$C262,"",IF($D262=1,EOMONTH(EDATE(Bonds!$H262,6*(14-1)),0),EDATE(Bonds!$H262,6*(14-1))))</f>
        <v>48806</v>
      </c>
      <c r="S262" s="3">
        <f>IF(15&gt;$C262,"",IF($D262=1,EOMONTH(EDATE(Bonds!$H262,6*(15-1)),0),EDATE(Bonds!$H262,6*(15-1))))</f>
        <v>48990</v>
      </c>
      <c r="T262" s="3">
        <f>IF(16&gt;$C262,"",IF($D262=1,EOMONTH(EDATE(Bonds!$H262,6*(16-1)),0),EDATE(Bonds!$H262,6*(16-1))))</f>
        <v>49171</v>
      </c>
      <c r="U262" s="3">
        <f>IF(17&gt;$C262,"",IF($D262=1,EOMONTH(EDATE(Bonds!$H262,6*(17-1)),0),EDATE(Bonds!$H262,6*(17-1))))</f>
        <v>49355</v>
      </c>
      <c r="V262" s="3">
        <f>IF(18&gt;$C262,"",IF($D262=1,EOMONTH(EDATE(Bonds!$H262,6*(18-1)),0),EDATE(Bonds!$H262,6*(18-1))))</f>
        <v>49536</v>
      </c>
      <c r="W262" s="3">
        <f>IF(19&gt;$C262,"",IF($D262=1,EOMONTH(EDATE(Bonds!$H262,6*(19-1)),0),EDATE(Bonds!$H262,6*(19-1))))</f>
        <v>49720</v>
      </c>
      <c r="X262" s="3">
        <f>IF(20&gt;$C262,"",IF($D262=1,EOMONTH(EDATE(Bonds!$H262,6*(20-1)),0),EDATE(Bonds!$H262,6*(20-1))))</f>
        <v>49902</v>
      </c>
      <c r="Y262" s="3">
        <f>IF(21&gt;$C262,"",IF($D262=1,EOMONTH(EDATE(Bonds!$H262,6*(21-1)),0),EDATE(Bonds!$H262,6*(21-1))))</f>
        <v>50086</v>
      </c>
      <c r="Z262" s="3">
        <f>IF(22&gt;$C262,"",IF($D262=1,EOMONTH(EDATE(Bonds!$H262,6*(22-1)),0),EDATE(Bonds!$H262,6*(22-1))))</f>
        <v>50267</v>
      </c>
      <c r="AA262" s="3">
        <f>IF(23&gt;$C262,"",IF($D262=1,EOMONTH(EDATE(Bonds!$H262,6*(23-1)),0),EDATE(Bonds!$H262,6*(23-1))))</f>
        <v>50451</v>
      </c>
      <c r="AB262" s="3" t="str">
        <f>IF(24&gt;$C262,"",IF($D262=1,EOMONTH(EDATE(Bonds!$H262,6*(24-1)),0),EDATE(Bonds!$H262,6*(24-1))))</f>
        <v/>
      </c>
      <c r="AC262" s="3" t="str">
        <f>IF(25&gt;$C262,"",IF($D262=1,EOMONTH(EDATE(Bonds!$H262,6*(25-1)),0),EDATE(Bonds!$H262,6*(25-1))))</f>
        <v/>
      </c>
      <c r="AD262" s="3" t="str">
        <f>IF(26&gt;$C262,"",IF($D262=1,EOMONTH(EDATE(Bonds!$H262,6*(26-1)),0),EDATE(Bonds!$H262,6*(26-1))))</f>
        <v/>
      </c>
      <c r="AE262" s="3" t="str">
        <f>IF(27&gt;$C262,"",IF($D262=1,EOMONTH(EDATE(Bonds!$H262,6*(27-1)),0),EDATE(Bonds!$H262,6*(27-1))))</f>
        <v/>
      </c>
      <c r="AF262" s="3" t="str">
        <f>IF(28&gt;$C262,"",IF($D262=1,EOMONTH(EDATE(Bonds!$H262,6*(28-1)),0),EDATE(Bonds!$H262,6*(28-1))))</f>
        <v/>
      </c>
      <c r="AG262" s="3" t="str">
        <f>IF(29&gt;$C262,"",IF($D262=1,EOMONTH(EDATE(Bonds!$H262,6*(29-1)),0),EDATE(Bonds!$H262,6*(29-1))))</f>
        <v/>
      </c>
      <c r="AH262" s="3" t="str">
        <f>IF(30&gt;$C262,"",IF($D262=1,EOMONTH(EDATE(Bonds!$H262,6*(30-1)),0),EDATE(Bonds!$H262,6*(30-1))))</f>
        <v/>
      </c>
      <c r="AI262" s="3" t="str">
        <f>IF(31&gt;$C262,"",IF($D262=1,EOMONTH(EDATE(Bonds!$H262,6*(31-1)),0),EDATE(Bonds!$H262,6*(31-1))))</f>
        <v/>
      </c>
      <c r="AJ262" s="3" t="str">
        <f>IF(32&gt;$C262,"",IF($D262=1,EOMONTH(EDATE(Bonds!$H262,6*(32-1)),0),EDATE(Bonds!$H262,6*(32-1))))</f>
        <v/>
      </c>
      <c r="AK262" s="3" t="str">
        <f>IF(33&gt;$C262,"",IF($D262=1,EOMONTH(EDATE(Bonds!$H262,6*(33-1)),0),EDATE(Bonds!$H262,6*(33-1))))</f>
        <v/>
      </c>
      <c r="AL262" s="3" t="str">
        <f>IF(34&gt;$C262,"",IF($D262=1,EOMONTH(EDATE(Bonds!$H262,6*(34-1)),0),EDATE(Bonds!$H262,6*(34-1))))</f>
        <v/>
      </c>
      <c r="AM262" s="3" t="str">
        <f>IF(35&gt;$C262,"",IF($D262=1,EOMONTH(EDATE(Bonds!$H262,6*(35-1)),0),EDATE(Bonds!$H262,6*(35-1))))</f>
        <v/>
      </c>
      <c r="AN262" s="3" t="str">
        <f>IF(36&gt;$C262,"",IF($D262=1,EOMONTH(EDATE(Bonds!$H262,6*(36-1)),0),EDATE(Bonds!$H262,6*(36-1))))</f>
        <v/>
      </c>
      <c r="AO262" s="3" t="str">
        <f>IF(37&gt;$C262,"",IF($D262=1,EOMONTH(EDATE(Bonds!$H262,6*(37-1)),0),EDATE(Bonds!$H262,6*(37-1))))</f>
        <v/>
      </c>
      <c r="AP262" s="3" t="str">
        <f>IF(38&gt;$C262,"",IF($D262=1,EOMONTH(EDATE(Bonds!$H262,6*(38-1)),0),EDATE(Bonds!$H262,6*(38-1))))</f>
        <v/>
      </c>
      <c r="AQ262" s="3" t="str">
        <f>IF(39&gt;$C262,"",IF($D262=1,EOMONTH(EDATE(Bonds!$H262,6*(39-1)),0),EDATE(Bonds!$H262,6*(39-1))))</f>
        <v/>
      </c>
      <c r="AR262" s="3" t="str">
        <f>IF(40&gt;$C262,"",IF($D262=1,EOMONTH(EDATE(Bonds!$H262,6*(40-1)),0),EDATE(Bonds!$H262,6*(40-1))))</f>
        <v/>
      </c>
      <c r="AS262" s="3" t="str">
        <f>IF(41&gt;$C262,"",IF($D262=1,EOMONTH(EDATE(Bonds!$H262,6*(41-1)),0),EDATE(Bonds!$H262,6*(41-1))))</f>
        <v/>
      </c>
      <c r="AT262" s="3" t="str">
        <f>IF(42&gt;$C262,"",IF($D262=1,EOMONTH(EDATE(Bonds!$H262,6*(42-1)),0),EDATE(Bonds!$H262,6*(42-1))))</f>
        <v/>
      </c>
      <c r="AU262" s="3" t="str">
        <f>IF(43&gt;$C262,"",IF($D262=1,EOMONTH(EDATE(Bonds!$H262,6*(43-1)),0),EDATE(Bonds!$H262,6*(43-1))))</f>
        <v/>
      </c>
      <c r="AV262" s="3" t="str">
        <f>IF(44&gt;$C262,"",IF($D262=1,EOMONTH(EDATE(Bonds!$H262,6*(44-1)),0),EDATE(Bonds!$H262,6*(44-1))))</f>
        <v/>
      </c>
      <c r="AW262" s="3" t="str">
        <f>IF(45&gt;$C262,"",IF($D262=1,EOMONTH(EDATE(Bonds!$H262,6*(45-1)),0),EDATE(Bonds!$H262,6*(45-1))))</f>
        <v/>
      </c>
      <c r="AX262" s="3" t="str">
        <f>IF(46&gt;$C262,"",IF($D262=1,EOMONTH(EDATE(Bonds!$H262,6*(46-1)),0),EDATE(Bonds!$H262,6*(46-1))))</f>
        <v/>
      </c>
      <c r="AY262" s="3" t="str">
        <f>IF(47&gt;$C262,"",IF($D262=1,EOMONTH(EDATE(Bonds!$H262,6*(47-1)),0),EDATE(Bonds!$H262,6*(47-1))))</f>
        <v/>
      </c>
      <c r="AZ262" s="3" t="str">
        <f>IF(48&gt;$C262,"",IF($D262=1,EOMONTH(EDATE(Bonds!$H262,6*(48-1)),0),EDATE(Bonds!$H262,6*(48-1))))</f>
        <v/>
      </c>
      <c r="BA262" s="3" t="str">
        <f>IF(49&gt;$C262,"",IF($D262=1,EOMONTH(EDATE(Bonds!$H262,6*(49-1)),0),EDATE(Bonds!$H262,6*(49-1))))</f>
        <v/>
      </c>
      <c r="BB262" s="3" t="str">
        <f>IF(50&gt;$C262,"",IF($D262=1,EOMONTH(EDATE(Bonds!$H262,6*(50-1)),0),EDATE(Bonds!$H262,6*(50-1))))</f>
        <v/>
      </c>
      <c r="BC262" s="3" t="str">
        <f>IF(51&gt;$C262,"",IF($D262=1,EOMONTH(EDATE(Bonds!$H262,6*(51-1)),0),EDATE(Bonds!$H262,6*(51-1))))</f>
        <v/>
      </c>
      <c r="BD262" s="3" t="str">
        <f>IF(52&gt;$C262,"",IF($D262=1,EOMONTH(EDATE(Bonds!$H262,6*(52-1)),0),EDATE(Bonds!$H262,6*(52-1))))</f>
        <v/>
      </c>
      <c r="BE262" s="3" t="str">
        <f>IF(53&gt;$C262,"",IF($D262=1,EOMONTH(EDATE(Bonds!$H262,6*(53-1)),0),EDATE(Bonds!$H262,6*(53-1))))</f>
        <v/>
      </c>
      <c r="BF262" s="3" t="str">
        <f>IF(54&gt;$C262,"",IF($D262=1,EOMONTH(EDATE(Bonds!$H262,6*(54-1)),0),EDATE(Bonds!$H262,6*(54-1))))</f>
        <v/>
      </c>
      <c r="BG262" s="3" t="str">
        <f>IF(55&gt;$C262,"",IF($D262=1,EOMONTH(EDATE(Bonds!$H262,6*(55-1)),0),EDATE(Bonds!$H262,6*(55-1))))</f>
        <v/>
      </c>
      <c r="BH262" s="3" t="str">
        <f>IF(56&gt;$C262,"",IF($D262=1,EOMONTH(EDATE(Bonds!$H262,6*(56-1)),0),EDATE(Bonds!$H262,6*(56-1))))</f>
        <v/>
      </c>
      <c r="BI262" s="3" t="str">
        <f>IF(57&gt;$C262,"",IF($D262=1,EOMONTH(EDATE(Bonds!$H262,6*(57-1)),0),EDATE(Bonds!$H262,6*(57-1))))</f>
        <v/>
      </c>
      <c r="BJ262" s="3" t="str">
        <f>IF(58&gt;$C262,"",IF($D262=1,EOMONTH(EDATE(Bonds!$H262,6*(58-1)),0),EDATE(Bonds!$H262,6*(58-1))))</f>
        <v/>
      </c>
      <c r="BK262" s="3" t="str">
        <f>IF(59&gt;$C262,"",IF($D262=1,EOMONTH(EDATE(Bonds!$H262,6*(59-1)),0),EDATE(Bonds!$H262,6*(59-1))))</f>
        <v/>
      </c>
      <c r="BL262" s="3" t="str">
        <f>IF(60&gt;$C262,"",IF($D262=1,EOMONTH(EDATE(Bonds!$H262,6*(60-1)),0),EDATE(Bonds!$H262,6*(60-1))))</f>
        <v/>
      </c>
      <c r="BN262" s="7">
        <f t="shared" si="184"/>
        <v>2.1503988674897268</v>
      </c>
      <c r="BO262" s="7">
        <f t="shared" si="185"/>
        <v>2.105072064041162</v>
      </c>
      <c r="BP262" s="7">
        <f t="shared" si="186"/>
        <v>2.0578558608942275</v>
      </c>
      <c r="BQ262" s="7">
        <f t="shared" si="187"/>
        <v>2.011424783797044</v>
      </c>
      <c r="BR262" s="7">
        <f t="shared" si="188"/>
        <v>1.9654077546508157</v>
      </c>
      <c r="BS262" s="7">
        <f t="shared" si="189"/>
        <v>1.921246271268731</v>
      </c>
      <c r="BT262" s="7">
        <f t="shared" si="190"/>
        <v>1.8774431694007501</v>
      </c>
      <c r="BU262" s="7">
        <f t="shared" si="191"/>
        <v>1.8352879134012978</v>
      </c>
      <c r="BV262" s="7">
        <f t="shared" si="192"/>
        <v>1.7932070608477106</v>
      </c>
      <c r="BW262" s="7">
        <f t="shared" si="193"/>
        <v>1.7524076200217482</v>
      </c>
      <c r="BX262" s="7">
        <f t="shared" si="194"/>
        <v>1.7113960945602558</v>
      </c>
      <c r="BY262" s="7">
        <f t="shared" si="195"/>
        <v>1.6711868597799218</v>
      </c>
      <c r="BZ262" s="7">
        <f t="shared" si="196"/>
        <v>1.6308275255164311</v>
      </c>
      <c r="CA262" s="7">
        <f t="shared" si="197"/>
        <v>1.5913783120567448</v>
      </c>
      <c r="CB262" s="7">
        <f t="shared" si="198"/>
        <v>1.5515251172315092</v>
      </c>
      <c r="CC262" s="7">
        <f t="shared" si="199"/>
        <v>1.5125834310798973</v>
      </c>
      <c r="CD262" s="7">
        <f t="shared" si="200"/>
        <v>1.4732957027438591</v>
      </c>
      <c r="CE262" s="7">
        <f t="shared" si="201"/>
        <v>1.4349873538081537</v>
      </c>
      <c r="CF262" s="7">
        <f t="shared" si="202"/>
        <v>1.3964412962116932</v>
      </c>
      <c r="CG262" s="7">
        <f t="shared" si="203"/>
        <v>1.358764204100535</v>
      </c>
      <c r="CH262" s="7">
        <f t="shared" si="204"/>
        <v>1.3211858340895266</v>
      </c>
      <c r="CI262" s="7">
        <f t="shared" si="205"/>
        <v>1.2847782440078928</v>
      </c>
      <c r="CJ262" s="7">
        <f t="shared" si="206"/>
        <v>58.31753837011933</v>
      </c>
      <c r="CK262" s="7">
        <f t="shared" si="207"/>
        <v>0</v>
      </c>
      <c r="CL262" s="7">
        <f t="shared" si="208"/>
        <v>0</v>
      </c>
      <c r="CM262" s="7">
        <f t="shared" si="209"/>
        <v>0</v>
      </c>
      <c r="CN262" s="7">
        <f t="shared" si="210"/>
        <v>0</v>
      </c>
      <c r="CO262" s="7">
        <f t="shared" si="211"/>
        <v>0</v>
      </c>
      <c r="CP262" s="7">
        <f t="shared" si="212"/>
        <v>0</v>
      </c>
      <c r="CQ262" s="7">
        <f t="shared" si="213"/>
        <v>0</v>
      </c>
      <c r="CR262" s="7">
        <f t="shared" si="214"/>
        <v>0</v>
      </c>
      <c r="CS262" s="7">
        <f t="shared" si="215"/>
        <v>0</v>
      </c>
      <c r="CT262" s="7">
        <f t="shared" si="216"/>
        <v>0</v>
      </c>
      <c r="CU262" s="7">
        <f t="shared" si="217"/>
        <v>0</v>
      </c>
      <c r="CV262" s="7">
        <f t="shared" si="218"/>
        <v>0</v>
      </c>
      <c r="CW262" s="7">
        <f t="shared" si="219"/>
        <v>0</v>
      </c>
      <c r="CX262" s="7">
        <f t="shared" si="220"/>
        <v>0</v>
      </c>
      <c r="CY262" s="7">
        <f t="shared" si="221"/>
        <v>0</v>
      </c>
      <c r="CZ262" s="7">
        <f t="shared" si="222"/>
        <v>0</v>
      </c>
      <c r="DA262" s="7">
        <f t="shared" si="223"/>
        <v>0</v>
      </c>
      <c r="DB262" s="7">
        <f t="shared" si="224"/>
        <v>0</v>
      </c>
      <c r="DC262" s="7">
        <f t="shared" si="225"/>
        <v>0</v>
      </c>
      <c r="DD262" s="7">
        <f t="shared" si="226"/>
        <v>0</v>
      </c>
      <c r="DE262" s="7">
        <f t="shared" si="227"/>
        <v>0</v>
      </c>
      <c r="DF262" s="7">
        <f t="shared" si="228"/>
        <v>0</v>
      </c>
      <c r="DG262" s="7">
        <f t="shared" si="229"/>
        <v>0</v>
      </c>
      <c r="DH262" s="7">
        <f t="shared" si="230"/>
        <v>0</v>
      </c>
      <c r="DI262" s="7">
        <f t="shared" si="231"/>
        <v>0</v>
      </c>
      <c r="DJ262" s="7">
        <f t="shared" si="232"/>
        <v>0</v>
      </c>
      <c r="DK262" s="7">
        <f t="shared" si="233"/>
        <v>0</v>
      </c>
      <c r="DL262" s="7">
        <f t="shared" si="234"/>
        <v>0</v>
      </c>
      <c r="DM262" s="7">
        <f t="shared" si="235"/>
        <v>0</v>
      </c>
      <c r="DN262" s="7">
        <f t="shared" si="236"/>
        <v>0</v>
      </c>
      <c r="DO262" s="7">
        <f t="shared" si="237"/>
        <v>0</v>
      </c>
      <c r="DP262" s="7">
        <f t="shared" si="238"/>
        <v>0</v>
      </c>
      <c r="DQ262" s="7">
        <f t="shared" si="239"/>
        <v>0</v>
      </c>
      <c r="DR262" s="7">
        <f t="shared" si="240"/>
        <v>0</v>
      </c>
      <c r="DS262" s="7">
        <f t="shared" si="241"/>
        <v>0</v>
      </c>
      <c r="DT262" s="7">
        <f t="shared" si="242"/>
        <v>0</v>
      </c>
      <c r="DU262" s="7">
        <f t="shared" si="243"/>
        <v>0</v>
      </c>
    </row>
    <row r="263" spans="1:125" x14ac:dyDescent="0.2">
      <c r="A263" s="3">
        <f>Bonds!A263</f>
        <v>50540</v>
      </c>
      <c r="B263" s="4">
        <f>Bonds!B263</f>
        <v>4.5</v>
      </c>
      <c r="C263">
        <f>Bonds!P263</f>
        <v>24</v>
      </c>
      <c r="D263">
        <f t="shared" si="183"/>
        <v>0</v>
      </c>
      <c r="E263" s="3">
        <f>IF(1&gt;$C263,"",IF($D263=1,EOMONTH(EDATE(Bonds!$H263,6*(1-1)),0),EDATE(Bonds!$H263,6*(1-1))))</f>
        <v>46341</v>
      </c>
      <c r="F263" s="3">
        <f>IF(2&gt;$C263,"",IF($D263=1,EOMONTH(EDATE(Bonds!$H263,6*(2-1)),0),EDATE(Bonds!$H263,6*(2-1))))</f>
        <v>46522</v>
      </c>
      <c r="G263" s="3">
        <f>IF(3&gt;$C263,"",IF($D263=1,EOMONTH(EDATE(Bonds!$H263,6*(3-1)),0),EDATE(Bonds!$H263,6*(3-1))))</f>
        <v>46706</v>
      </c>
      <c r="H263" s="3">
        <f>IF(4&gt;$C263,"",IF($D263=1,EOMONTH(EDATE(Bonds!$H263,6*(4-1)),0),EDATE(Bonds!$H263,6*(4-1))))</f>
        <v>46888</v>
      </c>
      <c r="I263" s="3">
        <f>IF(5&gt;$C263,"",IF($D263=1,EOMONTH(EDATE(Bonds!$H263,6*(5-1)),0),EDATE(Bonds!$H263,6*(5-1))))</f>
        <v>47072</v>
      </c>
      <c r="J263" s="3">
        <f>IF(6&gt;$C263,"",IF($D263=1,EOMONTH(EDATE(Bonds!$H263,6*(6-1)),0),EDATE(Bonds!$H263,6*(6-1))))</f>
        <v>47253</v>
      </c>
      <c r="K263" s="3">
        <f>IF(7&gt;$C263,"",IF($D263=1,EOMONTH(EDATE(Bonds!$H263,6*(7-1)),0),EDATE(Bonds!$H263,6*(7-1))))</f>
        <v>47437</v>
      </c>
      <c r="L263" s="3">
        <f>IF(8&gt;$C263,"",IF($D263=1,EOMONTH(EDATE(Bonds!$H263,6*(8-1)),0),EDATE(Bonds!$H263,6*(8-1))))</f>
        <v>47618</v>
      </c>
      <c r="M263" s="3">
        <f>IF(9&gt;$C263,"",IF($D263=1,EOMONTH(EDATE(Bonds!$H263,6*(9-1)),0),EDATE(Bonds!$H263,6*(9-1))))</f>
        <v>47802</v>
      </c>
      <c r="N263" s="3">
        <f>IF(10&gt;$C263,"",IF($D263=1,EOMONTH(EDATE(Bonds!$H263,6*(10-1)),0),EDATE(Bonds!$H263,6*(10-1))))</f>
        <v>47983</v>
      </c>
      <c r="O263" s="3">
        <f>IF(11&gt;$C263,"",IF($D263=1,EOMONTH(EDATE(Bonds!$H263,6*(11-1)),0),EDATE(Bonds!$H263,6*(11-1))))</f>
        <v>48167</v>
      </c>
      <c r="P263" s="3">
        <f>IF(12&gt;$C263,"",IF($D263=1,EOMONTH(EDATE(Bonds!$H263,6*(12-1)),0),EDATE(Bonds!$H263,6*(12-1))))</f>
        <v>48349</v>
      </c>
      <c r="Q263" s="3">
        <f>IF(13&gt;$C263,"",IF($D263=1,EOMONTH(EDATE(Bonds!$H263,6*(13-1)),0),EDATE(Bonds!$H263,6*(13-1))))</f>
        <v>48533</v>
      </c>
      <c r="R263" s="3">
        <f>IF(14&gt;$C263,"",IF($D263=1,EOMONTH(EDATE(Bonds!$H263,6*(14-1)),0),EDATE(Bonds!$H263,6*(14-1))))</f>
        <v>48714</v>
      </c>
      <c r="S263" s="3">
        <f>IF(15&gt;$C263,"",IF($D263=1,EOMONTH(EDATE(Bonds!$H263,6*(15-1)),0),EDATE(Bonds!$H263,6*(15-1))))</f>
        <v>48898</v>
      </c>
      <c r="T263" s="3">
        <f>IF(16&gt;$C263,"",IF($D263=1,EOMONTH(EDATE(Bonds!$H263,6*(16-1)),0),EDATE(Bonds!$H263,6*(16-1))))</f>
        <v>49079</v>
      </c>
      <c r="U263" s="3">
        <f>IF(17&gt;$C263,"",IF($D263=1,EOMONTH(EDATE(Bonds!$H263,6*(17-1)),0),EDATE(Bonds!$H263,6*(17-1))))</f>
        <v>49263</v>
      </c>
      <c r="V263" s="3">
        <f>IF(18&gt;$C263,"",IF($D263=1,EOMONTH(EDATE(Bonds!$H263,6*(18-1)),0),EDATE(Bonds!$H263,6*(18-1))))</f>
        <v>49444</v>
      </c>
      <c r="W263" s="3">
        <f>IF(19&gt;$C263,"",IF($D263=1,EOMONTH(EDATE(Bonds!$H263,6*(19-1)),0),EDATE(Bonds!$H263,6*(19-1))))</f>
        <v>49628</v>
      </c>
      <c r="X263" s="3">
        <f>IF(20&gt;$C263,"",IF($D263=1,EOMONTH(EDATE(Bonds!$H263,6*(20-1)),0),EDATE(Bonds!$H263,6*(20-1))))</f>
        <v>49810</v>
      </c>
      <c r="Y263" s="3">
        <f>IF(21&gt;$C263,"",IF($D263=1,EOMONTH(EDATE(Bonds!$H263,6*(21-1)),0),EDATE(Bonds!$H263,6*(21-1))))</f>
        <v>49994</v>
      </c>
      <c r="Z263" s="3">
        <f>IF(22&gt;$C263,"",IF($D263=1,EOMONTH(EDATE(Bonds!$H263,6*(22-1)),0),EDATE(Bonds!$H263,6*(22-1))))</f>
        <v>50175</v>
      </c>
      <c r="AA263" s="3">
        <f>IF(23&gt;$C263,"",IF($D263=1,EOMONTH(EDATE(Bonds!$H263,6*(23-1)),0),EDATE(Bonds!$H263,6*(23-1))))</f>
        <v>50359</v>
      </c>
      <c r="AB263" s="3">
        <f>IF(24&gt;$C263,"",IF($D263=1,EOMONTH(EDATE(Bonds!$H263,6*(24-1)),0),EDATE(Bonds!$H263,6*(24-1))))</f>
        <v>50540</v>
      </c>
      <c r="AC263" s="3" t="str">
        <f>IF(25&gt;$C263,"",IF($D263=1,EOMONTH(EDATE(Bonds!$H263,6*(25-1)),0),EDATE(Bonds!$H263,6*(25-1))))</f>
        <v/>
      </c>
      <c r="AD263" s="3" t="str">
        <f>IF(26&gt;$C263,"",IF($D263=1,EOMONTH(EDATE(Bonds!$H263,6*(26-1)),0),EDATE(Bonds!$H263,6*(26-1))))</f>
        <v/>
      </c>
      <c r="AE263" s="3" t="str">
        <f>IF(27&gt;$C263,"",IF($D263=1,EOMONTH(EDATE(Bonds!$H263,6*(27-1)),0),EDATE(Bonds!$H263,6*(27-1))))</f>
        <v/>
      </c>
      <c r="AF263" s="3" t="str">
        <f>IF(28&gt;$C263,"",IF($D263=1,EOMONTH(EDATE(Bonds!$H263,6*(28-1)),0),EDATE(Bonds!$H263,6*(28-1))))</f>
        <v/>
      </c>
      <c r="AG263" s="3" t="str">
        <f>IF(29&gt;$C263,"",IF($D263=1,EOMONTH(EDATE(Bonds!$H263,6*(29-1)),0),EDATE(Bonds!$H263,6*(29-1))))</f>
        <v/>
      </c>
      <c r="AH263" s="3" t="str">
        <f>IF(30&gt;$C263,"",IF($D263=1,EOMONTH(EDATE(Bonds!$H263,6*(30-1)),0),EDATE(Bonds!$H263,6*(30-1))))</f>
        <v/>
      </c>
      <c r="AI263" s="3" t="str">
        <f>IF(31&gt;$C263,"",IF($D263=1,EOMONTH(EDATE(Bonds!$H263,6*(31-1)),0),EDATE(Bonds!$H263,6*(31-1))))</f>
        <v/>
      </c>
      <c r="AJ263" s="3" t="str">
        <f>IF(32&gt;$C263,"",IF($D263=1,EOMONTH(EDATE(Bonds!$H263,6*(32-1)),0),EDATE(Bonds!$H263,6*(32-1))))</f>
        <v/>
      </c>
      <c r="AK263" s="3" t="str">
        <f>IF(33&gt;$C263,"",IF($D263=1,EOMONTH(EDATE(Bonds!$H263,6*(33-1)),0),EDATE(Bonds!$H263,6*(33-1))))</f>
        <v/>
      </c>
      <c r="AL263" s="3" t="str">
        <f>IF(34&gt;$C263,"",IF($D263=1,EOMONTH(EDATE(Bonds!$H263,6*(34-1)),0),EDATE(Bonds!$H263,6*(34-1))))</f>
        <v/>
      </c>
      <c r="AM263" s="3" t="str">
        <f>IF(35&gt;$C263,"",IF($D263=1,EOMONTH(EDATE(Bonds!$H263,6*(35-1)),0),EDATE(Bonds!$H263,6*(35-1))))</f>
        <v/>
      </c>
      <c r="AN263" s="3" t="str">
        <f>IF(36&gt;$C263,"",IF($D263=1,EOMONTH(EDATE(Bonds!$H263,6*(36-1)),0),EDATE(Bonds!$H263,6*(36-1))))</f>
        <v/>
      </c>
      <c r="AO263" s="3" t="str">
        <f>IF(37&gt;$C263,"",IF($D263=1,EOMONTH(EDATE(Bonds!$H263,6*(37-1)),0),EDATE(Bonds!$H263,6*(37-1))))</f>
        <v/>
      </c>
      <c r="AP263" s="3" t="str">
        <f>IF(38&gt;$C263,"",IF($D263=1,EOMONTH(EDATE(Bonds!$H263,6*(38-1)),0),EDATE(Bonds!$H263,6*(38-1))))</f>
        <v/>
      </c>
      <c r="AQ263" s="3" t="str">
        <f>IF(39&gt;$C263,"",IF($D263=1,EOMONTH(EDATE(Bonds!$H263,6*(39-1)),0),EDATE(Bonds!$H263,6*(39-1))))</f>
        <v/>
      </c>
      <c r="AR263" s="3" t="str">
        <f>IF(40&gt;$C263,"",IF($D263=1,EOMONTH(EDATE(Bonds!$H263,6*(40-1)),0),EDATE(Bonds!$H263,6*(40-1))))</f>
        <v/>
      </c>
      <c r="AS263" s="3" t="str">
        <f>IF(41&gt;$C263,"",IF($D263=1,EOMONTH(EDATE(Bonds!$H263,6*(41-1)),0),EDATE(Bonds!$H263,6*(41-1))))</f>
        <v/>
      </c>
      <c r="AT263" s="3" t="str">
        <f>IF(42&gt;$C263,"",IF($D263=1,EOMONTH(EDATE(Bonds!$H263,6*(42-1)),0),EDATE(Bonds!$H263,6*(42-1))))</f>
        <v/>
      </c>
      <c r="AU263" s="3" t="str">
        <f>IF(43&gt;$C263,"",IF($D263=1,EOMONTH(EDATE(Bonds!$H263,6*(43-1)),0),EDATE(Bonds!$H263,6*(43-1))))</f>
        <v/>
      </c>
      <c r="AV263" s="3" t="str">
        <f>IF(44&gt;$C263,"",IF($D263=1,EOMONTH(EDATE(Bonds!$H263,6*(44-1)),0),EDATE(Bonds!$H263,6*(44-1))))</f>
        <v/>
      </c>
      <c r="AW263" s="3" t="str">
        <f>IF(45&gt;$C263,"",IF($D263=1,EOMONTH(EDATE(Bonds!$H263,6*(45-1)),0),EDATE(Bonds!$H263,6*(45-1))))</f>
        <v/>
      </c>
      <c r="AX263" s="3" t="str">
        <f>IF(46&gt;$C263,"",IF($D263=1,EOMONTH(EDATE(Bonds!$H263,6*(46-1)),0),EDATE(Bonds!$H263,6*(46-1))))</f>
        <v/>
      </c>
      <c r="AY263" s="3" t="str">
        <f>IF(47&gt;$C263,"",IF($D263=1,EOMONTH(EDATE(Bonds!$H263,6*(47-1)),0),EDATE(Bonds!$H263,6*(47-1))))</f>
        <v/>
      </c>
      <c r="AZ263" s="3" t="str">
        <f>IF(48&gt;$C263,"",IF($D263=1,EOMONTH(EDATE(Bonds!$H263,6*(48-1)),0),EDATE(Bonds!$H263,6*(48-1))))</f>
        <v/>
      </c>
      <c r="BA263" s="3" t="str">
        <f>IF(49&gt;$C263,"",IF($D263=1,EOMONTH(EDATE(Bonds!$H263,6*(49-1)),0),EDATE(Bonds!$H263,6*(49-1))))</f>
        <v/>
      </c>
      <c r="BB263" s="3" t="str">
        <f>IF(50&gt;$C263,"",IF($D263=1,EOMONTH(EDATE(Bonds!$H263,6*(50-1)),0),EDATE(Bonds!$H263,6*(50-1))))</f>
        <v/>
      </c>
      <c r="BC263" s="3" t="str">
        <f>IF(51&gt;$C263,"",IF($D263=1,EOMONTH(EDATE(Bonds!$H263,6*(51-1)),0),EDATE(Bonds!$H263,6*(51-1))))</f>
        <v/>
      </c>
      <c r="BD263" s="3" t="str">
        <f>IF(52&gt;$C263,"",IF($D263=1,EOMONTH(EDATE(Bonds!$H263,6*(52-1)),0),EDATE(Bonds!$H263,6*(52-1))))</f>
        <v/>
      </c>
      <c r="BE263" s="3" t="str">
        <f>IF(53&gt;$C263,"",IF($D263=1,EOMONTH(EDATE(Bonds!$H263,6*(53-1)),0),EDATE(Bonds!$H263,6*(53-1))))</f>
        <v/>
      </c>
      <c r="BF263" s="3" t="str">
        <f>IF(54&gt;$C263,"",IF($D263=1,EOMONTH(EDATE(Bonds!$H263,6*(54-1)),0),EDATE(Bonds!$H263,6*(54-1))))</f>
        <v/>
      </c>
      <c r="BG263" s="3" t="str">
        <f>IF(55&gt;$C263,"",IF($D263=1,EOMONTH(EDATE(Bonds!$H263,6*(55-1)),0),EDATE(Bonds!$H263,6*(55-1))))</f>
        <v/>
      </c>
      <c r="BH263" s="3" t="str">
        <f>IF(56&gt;$C263,"",IF($D263=1,EOMONTH(EDATE(Bonds!$H263,6*(56-1)),0),EDATE(Bonds!$H263,6*(56-1))))</f>
        <v/>
      </c>
      <c r="BI263" s="3" t="str">
        <f>IF(57&gt;$C263,"",IF($D263=1,EOMONTH(EDATE(Bonds!$H263,6*(57-1)),0),EDATE(Bonds!$H263,6*(57-1))))</f>
        <v/>
      </c>
      <c r="BJ263" s="3" t="str">
        <f>IF(58&gt;$C263,"",IF($D263=1,EOMONTH(EDATE(Bonds!$H263,6*(58-1)),0),EDATE(Bonds!$H263,6*(58-1))))</f>
        <v/>
      </c>
      <c r="BK263" s="3" t="str">
        <f>IF(59&gt;$C263,"",IF($D263=1,EOMONTH(EDATE(Bonds!$H263,6*(59-1)),0),EDATE(Bonds!$H263,6*(59-1))))</f>
        <v/>
      </c>
      <c r="BL263" s="3" t="str">
        <f>IF(60&gt;$C263,"",IF($D263=1,EOMONTH(EDATE(Bonds!$H263,6*(60-1)),0),EDATE(Bonds!$H263,6*(60-1))))</f>
        <v/>
      </c>
      <c r="BN263" s="7">
        <f t="shared" si="184"/>
        <v>2.2343075608500418</v>
      </c>
      <c r="BO263" s="7">
        <f t="shared" si="185"/>
        <v>2.1891892169071041</v>
      </c>
      <c r="BP263" s="7">
        <f t="shared" si="186"/>
        <v>2.1409668642366375</v>
      </c>
      <c r="BQ263" s="7">
        <f t="shared" si="187"/>
        <v>2.0929458182557257</v>
      </c>
      <c r="BR263" s="7">
        <f t="shared" si="188"/>
        <v>2.0450878563160475</v>
      </c>
      <c r="BS263" s="7">
        <f t="shared" si="189"/>
        <v>1.99908450465453</v>
      </c>
      <c r="BT263" s="7">
        <f t="shared" si="190"/>
        <v>1.953478011278162</v>
      </c>
      <c r="BU263" s="7">
        <f t="shared" si="191"/>
        <v>1.9096556529520408</v>
      </c>
      <c r="BV263" s="7">
        <f t="shared" si="192"/>
        <v>1.8659942988650426</v>
      </c>
      <c r="BW263" s="7">
        <f t="shared" si="193"/>
        <v>1.8237404572325664</v>
      </c>
      <c r="BX263" s="7">
        <f t="shared" si="194"/>
        <v>1.7813322792429152</v>
      </c>
      <c r="BY263" s="7">
        <f t="shared" si="195"/>
        <v>1.7398009309943161</v>
      </c>
      <c r="BZ263" s="7">
        <f t="shared" si="196"/>
        <v>1.6981441168598255</v>
      </c>
      <c r="CA263" s="7">
        <f t="shared" si="197"/>
        <v>1.65743956427797</v>
      </c>
      <c r="CB263" s="7">
        <f t="shared" si="198"/>
        <v>1.6163173719414301</v>
      </c>
      <c r="CC263" s="7">
        <f t="shared" si="199"/>
        <v>1.5761240904678349</v>
      </c>
      <c r="CD263" s="7">
        <f t="shared" si="200"/>
        <v>1.5355534844761016</v>
      </c>
      <c r="CE263" s="7">
        <f t="shared" si="201"/>
        <v>1.495968617686988</v>
      </c>
      <c r="CF263" s="7">
        <f t="shared" si="202"/>
        <v>1.4561082144643152</v>
      </c>
      <c r="CG263" s="7">
        <f t="shared" si="203"/>
        <v>1.4171145764325315</v>
      </c>
      <c r="CH263" s="7">
        <f t="shared" si="204"/>
        <v>1.3781900419884572</v>
      </c>
      <c r="CI263" s="7">
        <f t="shared" si="205"/>
        <v>1.3404458923231923</v>
      </c>
      <c r="CJ263" s="7">
        <f t="shared" si="206"/>
        <v>1.302687349875467</v>
      </c>
      <c r="CK263" s="7">
        <f t="shared" si="207"/>
        <v>57.541624747734915</v>
      </c>
      <c r="CL263" s="7">
        <f t="shared" si="208"/>
        <v>0</v>
      </c>
      <c r="CM263" s="7">
        <f t="shared" si="209"/>
        <v>0</v>
      </c>
      <c r="CN263" s="7">
        <f t="shared" si="210"/>
        <v>0</v>
      </c>
      <c r="CO263" s="7">
        <f t="shared" si="211"/>
        <v>0</v>
      </c>
      <c r="CP263" s="7">
        <f t="shared" si="212"/>
        <v>0</v>
      </c>
      <c r="CQ263" s="7">
        <f t="shared" si="213"/>
        <v>0</v>
      </c>
      <c r="CR263" s="7">
        <f t="shared" si="214"/>
        <v>0</v>
      </c>
      <c r="CS263" s="7">
        <f t="shared" si="215"/>
        <v>0</v>
      </c>
      <c r="CT263" s="7">
        <f t="shared" si="216"/>
        <v>0</v>
      </c>
      <c r="CU263" s="7">
        <f t="shared" si="217"/>
        <v>0</v>
      </c>
      <c r="CV263" s="7">
        <f t="shared" si="218"/>
        <v>0</v>
      </c>
      <c r="CW263" s="7">
        <f t="shared" si="219"/>
        <v>0</v>
      </c>
      <c r="CX263" s="7">
        <f t="shared" si="220"/>
        <v>0</v>
      </c>
      <c r="CY263" s="7">
        <f t="shared" si="221"/>
        <v>0</v>
      </c>
      <c r="CZ263" s="7">
        <f t="shared" si="222"/>
        <v>0</v>
      </c>
      <c r="DA263" s="7">
        <f t="shared" si="223"/>
        <v>0</v>
      </c>
      <c r="DB263" s="7">
        <f t="shared" si="224"/>
        <v>0</v>
      </c>
      <c r="DC263" s="7">
        <f t="shared" si="225"/>
        <v>0</v>
      </c>
      <c r="DD263" s="7">
        <f t="shared" si="226"/>
        <v>0</v>
      </c>
      <c r="DE263" s="7">
        <f t="shared" si="227"/>
        <v>0</v>
      </c>
      <c r="DF263" s="7">
        <f t="shared" si="228"/>
        <v>0</v>
      </c>
      <c r="DG263" s="7">
        <f t="shared" si="229"/>
        <v>0</v>
      </c>
      <c r="DH263" s="7">
        <f t="shared" si="230"/>
        <v>0</v>
      </c>
      <c r="DI263" s="7">
        <f t="shared" si="231"/>
        <v>0</v>
      </c>
      <c r="DJ263" s="7">
        <f t="shared" si="232"/>
        <v>0</v>
      </c>
      <c r="DK263" s="7">
        <f t="shared" si="233"/>
        <v>0</v>
      </c>
      <c r="DL263" s="7">
        <f t="shared" si="234"/>
        <v>0</v>
      </c>
      <c r="DM263" s="7">
        <f t="shared" si="235"/>
        <v>0</v>
      </c>
      <c r="DN263" s="7">
        <f t="shared" si="236"/>
        <v>0</v>
      </c>
      <c r="DO263" s="7">
        <f t="shared" si="237"/>
        <v>0</v>
      </c>
      <c r="DP263" s="7">
        <f t="shared" si="238"/>
        <v>0</v>
      </c>
      <c r="DQ263" s="7">
        <f t="shared" si="239"/>
        <v>0</v>
      </c>
      <c r="DR263" s="7">
        <f t="shared" si="240"/>
        <v>0</v>
      </c>
      <c r="DS263" s="7">
        <f t="shared" si="241"/>
        <v>0</v>
      </c>
      <c r="DT263" s="7">
        <f t="shared" si="242"/>
        <v>0</v>
      </c>
      <c r="DU263" s="7">
        <f t="shared" si="243"/>
        <v>0</v>
      </c>
    </row>
    <row r="264" spans="1:125" x14ac:dyDescent="0.2">
      <c r="A264" s="3">
        <f>Bonds!A264</f>
        <v>50816</v>
      </c>
      <c r="B264" s="4">
        <f>Bonds!B264</f>
        <v>3.5</v>
      </c>
      <c r="C264">
        <f>Bonds!P264</f>
        <v>25</v>
      </c>
      <c r="D264">
        <f t="shared" ref="D264:D327" si="244">IF(DAY(A264)=DAY(EOMONTH(A264,0)),1,0)</f>
        <v>0</v>
      </c>
      <c r="E264" s="3">
        <f>IF(1&gt;$C264,"",IF($D264=1,EOMONTH(EDATE(Bonds!$H264,6*(1-1)),0),EDATE(Bonds!$H264,6*(1-1))))</f>
        <v>46433</v>
      </c>
      <c r="F264" s="3">
        <f>IF(2&gt;$C264,"",IF($D264=1,EOMONTH(EDATE(Bonds!$H264,6*(2-1)),0),EDATE(Bonds!$H264,6*(2-1))))</f>
        <v>46614</v>
      </c>
      <c r="G264" s="3">
        <f>IF(3&gt;$C264,"",IF($D264=1,EOMONTH(EDATE(Bonds!$H264,6*(3-1)),0),EDATE(Bonds!$H264,6*(3-1))))</f>
        <v>46798</v>
      </c>
      <c r="H264" s="3">
        <f>IF(4&gt;$C264,"",IF($D264=1,EOMONTH(EDATE(Bonds!$H264,6*(4-1)),0),EDATE(Bonds!$H264,6*(4-1))))</f>
        <v>46980</v>
      </c>
      <c r="I264" s="3">
        <f>IF(5&gt;$C264,"",IF($D264=1,EOMONTH(EDATE(Bonds!$H264,6*(5-1)),0),EDATE(Bonds!$H264,6*(5-1))))</f>
        <v>47164</v>
      </c>
      <c r="J264" s="3">
        <f>IF(6&gt;$C264,"",IF($D264=1,EOMONTH(EDATE(Bonds!$H264,6*(6-1)),0),EDATE(Bonds!$H264,6*(6-1))))</f>
        <v>47345</v>
      </c>
      <c r="K264" s="3">
        <f>IF(7&gt;$C264,"",IF($D264=1,EOMONTH(EDATE(Bonds!$H264,6*(7-1)),0),EDATE(Bonds!$H264,6*(7-1))))</f>
        <v>47529</v>
      </c>
      <c r="L264" s="3">
        <f>IF(8&gt;$C264,"",IF($D264=1,EOMONTH(EDATE(Bonds!$H264,6*(8-1)),0),EDATE(Bonds!$H264,6*(8-1))))</f>
        <v>47710</v>
      </c>
      <c r="M264" s="3">
        <f>IF(9&gt;$C264,"",IF($D264=1,EOMONTH(EDATE(Bonds!$H264,6*(9-1)),0),EDATE(Bonds!$H264,6*(9-1))))</f>
        <v>47894</v>
      </c>
      <c r="N264" s="3">
        <f>IF(10&gt;$C264,"",IF($D264=1,EOMONTH(EDATE(Bonds!$H264,6*(10-1)),0),EDATE(Bonds!$H264,6*(10-1))))</f>
        <v>48075</v>
      </c>
      <c r="O264" s="3">
        <f>IF(11&gt;$C264,"",IF($D264=1,EOMONTH(EDATE(Bonds!$H264,6*(11-1)),0),EDATE(Bonds!$H264,6*(11-1))))</f>
        <v>48259</v>
      </c>
      <c r="P264" s="3">
        <f>IF(12&gt;$C264,"",IF($D264=1,EOMONTH(EDATE(Bonds!$H264,6*(12-1)),0),EDATE(Bonds!$H264,6*(12-1))))</f>
        <v>48441</v>
      </c>
      <c r="Q264" s="3">
        <f>IF(13&gt;$C264,"",IF($D264=1,EOMONTH(EDATE(Bonds!$H264,6*(13-1)),0),EDATE(Bonds!$H264,6*(13-1))))</f>
        <v>48625</v>
      </c>
      <c r="R264" s="3">
        <f>IF(14&gt;$C264,"",IF($D264=1,EOMONTH(EDATE(Bonds!$H264,6*(14-1)),0),EDATE(Bonds!$H264,6*(14-1))))</f>
        <v>48806</v>
      </c>
      <c r="S264" s="3">
        <f>IF(15&gt;$C264,"",IF($D264=1,EOMONTH(EDATE(Bonds!$H264,6*(15-1)),0),EDATE(Bonds!$H264,6*(15-1))))</f>
        <v>48990</v>
      </c>
      <c r="T264" s="3">
        <f>IF(16&gt;$C264,"",IF($D264=1,EOMONTH(EDATE(Bonds!$H264,6*(16-1)),0),EDATE(Bonds!$H264,6*(16-1))))</f>
        <v>49171</v>
      </c>
      <c r="U264" s="3">
        <f>IF(17&gt;$C264,"",IF($D264=1,EOMONTH(EDATE(Bonds!$H264,6*(17-1)),0),EDATE(Bonds!$H264,6*(17-1))))</f>
        <v>49355</v>
      </c>
      <c r="V264" s="3">
        <f>IF(18&gt;$C264,"",IF($D264=1,EOMONTH(EDATE(Bonds!$H264,6*(18-1)),0),EDATE(Bonds!$H264,6*(18-1))))</f>
        <v>49536</v>
      </c>
      <c r="W264" s="3">
        <f>IF(19&gt;$C264,"",IF($D264=1,EOMONTH(EDATE(Bonds!$H264,6*(19-1)),0),EDATE(Bonds!$H264,6*(19-1))))</f>
        <v>49720</v>
      </c>
      <c r="X264" s="3">
        <f>IF(20&gt;$C264,"",IF($D264=1,EOMONTH(EDATE(Bonds!$H264,6*(20-1)),0),EDATE(Bonds!$H264,6*(20-1))))</f>
        <v>49902</v>
      </c>
      <c r="Y264" s="3">
        <f>IF(21&gt;$C264,"",IF($D264=1,EOMONTH(EDATE(Bonds!$H264,6*(21-1)),0),EDATE(Bonds!$H264,6*(21-1))))</f>
        <v>50086</v>
      </c>
      <c r="Z264" s="3">
        <f>IF(22&gt;$C264,"",IF($D264=1,EOMONTH(EDATE(Bonds!$H264,6*(22-1)),0),EDATE(Bonds!$H264,6*(22-1))))</f>
        <v>50267</v>
      </c>
      <c r="AA264" s="3">
        <f>IF(23&gt;$C264,"",IF($D264=1,EOMONTH(EDATE(Bonds!$H264,6*(23-1)),0),EDATE(Bonds!$H264,6*(23-1))))</f>
        <v>50451</v>
      </c>
      <c r="AB264" s="3">
        <f>IF(24&gt;$C264,"",IF($D264=1,EOMONTH(EDATE(Bonds!$H264,6*(24-1)),0),EDATE(Bonds!$H264,6*(24-1))))</f>
        <v>50632</v>
      </c>
      <c r="AC264" s="3">
        <f>IF(25&gt;$C264,"",IF($D264=1,EOMONTH(EDATE(Bonds!$H264,6*(25-1)),0),EDATE(Bonds!$H264,6*(25-1))))</f>
        <v>50816</v>
      </c>
      <c r="AD264" s="3" t="str">
        <f>IF(26&gt;$C264,"",IF($D264=1,EOMONTH(EDATE(Bonds!$H264,6*(26-1)),0),EDATE(Bonds!$H264,6*(26-1))))</f>
        <v/>
      </c>
      <c r="AE264" s="3" t="str">
        <f>IF(27&gt;$C264,"",IF($D264=1,EOMONTH(EDATE(Bonds!$H264,6*(27-1)),0),EDATE(Bonds!$H264,6*(27-1))))</f>
        <v/>
      </c>
      <c r="AF264" s="3" t="str">
        <f>IF(28&gt;$C264,"",IF($D264=1,EOMONTH(EDATE(Bonds!$H264,6*(28-1)),0),EDATE(Bonds!$H264,6*(28-1))))</f>
        <v/>
      </c>
      <c r="AG264" s="3" t="str">
        <f>IF(29&gt;$C264,"",IF($D264=1,EOMONTH(EDATE(Bonds!$H264,6*(29-1)),0),EDATE(Bonds!$H264,6*(29-1))))</f>
        <v/>
      </c>
      <c r="AH264" s="3" t="str">
        <f>IF(30&gt;$C264,"",IF($D264=1,EOMONTH(EDATE(Bonds!$H264,6*(30-1)),0),EDATE(Bonds!$H264,6*(30-1))))</f>
        <v/>
      </c>
      <c r="AI264" s="3" t="str">
        <f>IF(31&gt;$C264,"",IF($D264=1,EOMONTH(EDATE(Bonds!$H264,6*(31-1)),0),EDATE(Bonds!$H264,6*(31-1))))</f>
        <v/>
      </c>
      <c r="AJ264" s="3" t="str">
        <f>IF(32&gt;$C264,"",IF($D264=1,EOMONTH(EDATE(Bonds!$H264,6*(32-1)),0),EDATE(Bonds!$H264,6*(32-1))))</f>
        <v/>
      </c>
      <c r="AK264" s="3" t="str">
        <f>IF(33&gt;$C264,"",IF($D264=1,EOMONTH(EDATE(Bonds!$H264,6*(33-1)),0),EDATE(Bonds!$H264,6*(33-1))))</f>
        <v/>
      </c>
      <c r="AL264" s="3" t="str">
        <f>IF(34&gt;$C264,"",IF($D264=1,EOMONTH(EDATE(Bonds!$H264,6*(34-1)),0),EDATE(Bonds!$H264,6*(34-1))))</f>
        <v/>
      </c>
      <c r="AM264" s="3" t="str">
        <f>IF(35&gt;$C264,"",IF($D264=1,EOMONTH(EDATE(Bonds!$H264,6*(35-1)),0),EDATE(Bonds!$H264,6*(35-1))))</f>
        <v/>
      </c>
      <c r="AN264" s="3" t="str">
        <f>IF(36&gt;$C264,"",IF($D264=1,EOMONTH(EDATE(Bonds!$H264,6*(36-1)),0),EDATE(Bonds!$H264,6*(36-1))))</f>
        <v/>
      </c>
      <c r="AO264" s="3" t="str">
        <f>IF(37&gt;$C264,"",IF($D264=1,EOMONTH(EDATE(Bonds!$H264,6*(37-1)),0),EDATE(Bonds!$H264,6*(37-1))))</f>
        <v/>
      </c>
      <c r="AP264" s="3" t="str">
        <f>IF(38&gt;$C264,"",IF($D264=1,EOMONTH(EDATE(Bonds!$H264,6*(38-1)),0),EDATE(Bonds!$H264,6*(38-1))))</f>
        <v/>
      </c>
      <c r="AQ264" s="3" t="str">
        <f>IF(39&gt;$C264,"",IF($D264=1,EOMONTH(EDATE(Bonds!$H264,6*(39-1)),0),EDATE(Bonds!$H264,6*(39-1))))</f>
        <v/>
      </c>
      <c r="AR264" s="3" t="str">
        <f>IF(40&gt;$C264,"",IF($D264=1,EOMONTH(EDATE(Bonds!$H264,6*(40-1)),0),EDATE(Bonds!$H264,6*(40-1))))</f>
        <v/>
      </c>
      <c r="AS264" s="3" t="str">
        <f>IF(41&gt;$C264,"",IF($D264=1,EOMONTH(EDATE(Bonds!$H264,6*(41-1)),0),EDATE(Bonds!$H264,6*(41-1))))</f>
        <v/>
      </c>
      <c r="AT264" s="3" t="str">
        <f>IF(42&gt;$C264,"",IF($D264=1,EOMONTH(EDATE(Bonds!$H264,6*(42-1)),0),EDATE(Bonds!$H264,6*(42-1))))</f>
        <v/>
      </c>
      <c r="AU264" s="3" t="str">
        <f>IF(43&gt;$C264,"",IF($D264=1,EOMONTH(EDATE(Bonds!$H264,6*(43-1)),0),EDATE(Bonds!$H264,6*(43-1))))</f>
        <v/>
      </c>
      <c r="AV264" s="3" t="str">
        <f>IF(44&gt;$C264,"",IF($D264=1,EOMONTH(EDATE(Bonds!$H264,6*(44-1)),0),EDATE(Bonds!$H264,6*(44-1))))</f>
        <v/>
      </c>
      <c r="AW264" s="3" t="str">
        <f>IF(45&gt;$C264,"",IF($D264=1,EOMONTH(EDATE(Bonds!$H264,6*(45-1)),0),EDATE(Bonds!$H264,6*(45-1))))</f>
        <v/>
      </c>
      <c r="AX264" s="3" t="str">
        <f>IF(46&gt;$C264,"",IF($D264=1,EOMONTH(EDATE(Bonds!$H264,6*(46-1)),0),EDATE(Bonds!$H264,6*(46-1))))</f>
        <v/>
      </c>
      <c r="AY264" s="3" t="str">
        <f>IF(47&gt;$C264,"",IF($D264=1,EOMONTH(EDATE(Bonds!$H264,6*(47-1)),0),EDATE(Bonds!$H264,6*(47-1))))</f>
        <v/>
      </c>
      <c r="AZ264" s="3" t="str">
        <f>IF(48&gt;$C264,"",IF($D264=1,EOMONTH(EDATE(Bonds!$H264,6*(48-1)),0),EDATE(Bonds!$H264,6*(48-1))))</f>
        <v/>
      </c>
      <c r="BA264" s="3" t="str">
        <f>IF(49&gt;$C264,"",IF($D264=1,EOMONTH(EDATE(Bonds!$H264,6*(49-1)),0),EDATE(Bonds!$H264,6*(49-1))))</f>
        <v/>
      </c>
      <c r="BB264" s="3" t="str">
        <f>IF(50&gt;$C264,"",IF($D264=1,EOMONTH(EDATE(Bonds!$H264,6*(50-1)),0),EDATE(Bonds!$H264,6*(50-1))))</f>
        <v/>
      </c>
      <c r="BC264" s="3" t="str">
        <f>IF(51&gt;$C264,"",IF($D264=1,EOMONTH(EDATE(Bonds!$H264,6*(51-1)),0),EDATE(Bonds!$H264,6*(51-1))))</f>
        <v/>
      </c>
      <c r="BD264" s="3" t="str">
        <f>IF(52&gt;$C264,"",IF($D264=1,EOMONTH(EDATE(Bonds!$H264,6*(52-1)),0),EDATE(Bonds!$H264,6*(52-1))))</f>
        <v/>
      </c>
      <c r="BE264" s="3" t="str">
        <f>IF(53&gt;$C264,"",IF($D264=1,EOMONTH(EDATE(Bonds!$H264,6*(53-1)),0),EDATE(Bonds!$H264,6*(53-1))))</f>
        <v/>
      </c>
      <c r="BF264" s="3" t="str">
        <f>IF(54&gt;$C264,"",IF($D264=1,EOMONTH(EDATE(Bonds!$H264,6*(54-1)),0),EDATE(Bonds!$H264,6*(54-1))))</f>
        <v/>
      </c>
      <c r="BG264" s="3" t="str">
        <f>IF(55&gt;$C264,"",IF($D264=1,EOMONTH(EDATE(Bonds!$H264,6*(55-1)),0),EDATE(Bonds!$H264,6*(55-1))))</f>
        <v/>
      </c>
      <c r="BH264" s="3" t="str">
        <f>IF(56&gt;$C264,"",IF($D264=1,EOMONTH(EDATE(Bonds!$H264,6*(56-1)),0),EDATE(Bonds!$H264,6*(56-1))))</f>
        <v/>
      </c>
      <c r="BI264" s="3" t="str">
        <f>IF(57&gt;$C264,"",IF($D264=1,EOMONTH(EDATE(Bonds!$H264,6*(57-1)),0),EDATE(Bonds!$H264,6*(57-1))))</f>
        <v/>
      </c>
      <c r="BJ264" s="3" t="str">
        <f>IF(58&gt;$C264,"",IF($D264=1,EOMONTH(EDATE(Bonds!$H264,6*(58-1)),0),EDATE(Bonds!$H264,6*(58-1))))</f>
        <v/>
      </c>
      <c r="BK264" s="3" t="str">
        <f>IF(59&gt;$C264,"",IF($D264=1,EOMONTH(EDATE(Bonds!$H264,6*(59-1)),0),EDATE(Bonds!$H264,6*(59-1))))</f>
        <v/>
      </c>
      <c r="BL264" s="3" t="str">
        <f>IF(60&gt;$C264,"",IF($D264=1,EOMONTH(EDATE(Bonds!$H264,6*(60-1)),0),EDATE(Bonds!$H264,6*(60-1))))</f>
        <v/>
      </c>
      <c r="BN264" s="7">
        <f t="shared" ref="BN264:BN327" si="245">IF(E264="",0,($B264/2+IF(1=$C264,100,0))*EXP(-(beta_0+beta_1*(1-EXP(-((E264-Settle)/365)/tau_1))/(((E264-Settle)/365)/tau_1)+beta_2*((1-EXP(-((E264-Settle)/365)/tau_1))/(((E264-Settle)/365)/tau_1)-EXP(-((E264-Settle)/365)/tau_1))+beta_3*((1-EXP(-((E264-Settle)/365)/tau_2))/(((E264-Settle)/365)/tau_2)-EXP(-((E264-Settle)/365)/tau_2)))*((E264-Settle)/365)))</f>
        <v>1.7203190939917814</v>
      </c>
      <c r="BO264" s="7">
        <f t="shared" ref="BO264:BO327" si="246">IF(F264="",0,($B264/2+IF(2=$C264,100,0))*EXP(-(beta_0+beta_1*(1-EXP(-((F264-Settle)/365)/tau_1))/(((F264-Settle)/365)/tau_1)+beta_2*((1-EXP(-((F264-Settle)/365)/tau_1))/(((F264-Settle)/365)/tau_1)-EXP(-((F264-Settle)/365)/tau_1))+beta_3*((1-EXP(-((F264-Settle)/365)/tau_2))/(((F264-Settle)/365)/tau_2)-EXP(-((F264-Settle)/365)/tau_2)))*((F264-Settle)/365)))</f>
        <v>1.6840576512329295</v>
      </c>
      <c r="BP264" s="7">
        <f t="shared" ref="BP264:BP327" si="247">IF(G264="",0,($B264/2+IF(3=$C264,100,0))*EXP(-(beta_0+beta_1*(1-EXP(-((G264-Settle)/365)/tau_1))/(((G264-Settle)/365)/tau_1)+beta_2*((1-EXP(-((G264-Settle)/365)/tau_1))/(((G264-Settle)/365)/tau_1)-EXP(-((G264-Settle)/365)/tau_1))+beta_3*((1-EXP(-((G264-Settle)/365)/tau_2))/(((G264-Settle)/365)/tau_2)-EXP(-((G264-Settle)/365)/tau_2)))*((G264-Settle)/365)))</f>
        <v>1.6462846887153819</v>
      </c>
      <c r="BQ264" s="7">
        <f t="shared" ref="BQ264:BQ327" si="248">IF(H264="",0,($B264/2+IF(4=$C264,100,0))*EXP(-(beta_0+beta_1*(1-EXP(-((H264-Settle)/365)/tau_1))/(((H264-Settle)/365)/tau_1)+beta_2*((1-EXP(-((H264-Settle)/365)/tau_1))/(((H264-Settle)/365)/tau_1)-EXP(-((H264-Settle)/365)/tau_1))+beta_3*((1-EXP(-((H264-Settle)/365)/tau_2))/(((H264-Settle)/365)/tau_2)-EXP(-((H264-Settle)/365)/tau_2)))*((H264-Settle)/365)))</f>
        <v>1.6091398270376354</v>
      </c>
      <c r="BR264" s="7">
        <f t="shared" ref="BR264:BR327" si="249">IF(I264="",0,($B264/2+IF(5=$C264,100,0))*EXP(-(beta_0+beta_1*(1-EXP(-((I264-Settle)/365)/tau_1))/(((I264-Settle)/365)/tau_1)+beta_2*((1-EXP(-((I264-Settle)/365)/tau_1))/(((I264-Settle)/365)/tau_1)-EXP(-((I264-Settle)/365)/tau_1))+beta_3*((1-EXP(-((I264-Settle)/365)/tau_2))/(((I264-Settle)/365)/tau_2)-EXP(-((I264-Settle)/365)/tau_2)))*((I264-Settle)/365)))</f>
        <v>1.5723262037206527</v>
      </c>
      <c r="BS264" s="7">
        <f t="shared" ref="BS264:BS327" si="250">IF(J264="",0,($B264/2+IF(6=$C264,100,0))*EXP(-(beta_0+beta_1*(1-EXP(-((J264-Settle)/365)/tau_1))/(((J264-Settle)/365)/tau_1)+beta_2*((1-EXP(-((J264-Settle)/365)/tau_1))/(((J264-Settle)/365)/tau_1)-EXP(-((J264-Settle)/365)/tau_1))+beta_3*((1-EXP(-((J264-Settle)/365)/tau_2))/(((J264-Settle)/365)/tau_2)-EXP(-((J264-Settle)/365)/tau_2)))*((J264-Settle)/365)))</f>
        <v>1.5369970170149849</v>
      </c>
      <c r="BT264" s="7">
        <f t="shared" ref="BT264:BT327" si="251">IF(K264="",0,($B264/2+IF(7=$C264,100,0))*EXP(-(beta_0+beta_1*(1-EXP(-((K264-Settle)/365)/tau_1))/(((K264-Settle)/365)/tau_1)+beta_2*((1-EXP(-((K264-Settle)/365)/tau_1))/(((K264-Settle)/365)/tau_1)-EXP(-((K264-Settle)/365)/tau_1))+beta_3*((1-EXP(-((K264-Settle)/365)/tau_2))/(((K264-Settle)/365)/tau_2)-EXP(-((K264-Settle)/365)/tau_2)))*((K264-Settle)/365)))</f>
        <v>1.5019545355206001</v>
      </c>
      <c r="BU264" s="7">
        <f t="shared" ref="BU264:BU327" si="252">IF(L264="",0,($B264/2+IF(8=$C264,100,0))*EXP(-(beta_0+beta_1*(1-EXP(-((L264-Settle)/365)/tau_1))/(((L264-Settle)/365)/tau_1)+beta_2*((1-EXP(-((L264-Settle)/365)/tau_1))/(((L264-Settle)/365)/tau_1)-EXP(-((L264-Settle)/365)/tau_1))+beta_3*((1-EXP(-((L264-Settle)/365)/tau_2))/(((L264-Settle)/365)/tau_2)-EXP(-((L264-Settle)/365)/tau_2)))*((L264-Settle)/365)))</f>
        <v>1.4682303307210383</v>
      </c>
      <c r="BV264" s="7">
        <f t="shared" ref="BV264:BV327" si="253">IF(M264="",0,($B264/2+IF(9=$C264,100,0))*EXP(-(beta_0+beta_1*(1-EXP(-((M264-Settle)/365)/tau_1))/(((M264-Settle)/365)/tau_1)+beta_2*((1-EXP(-((M264-Settle)/365)/tau_1))/(((M264-Settle)/365)/tau_1)-EXP(-((M264-Settle)/365)/tau_1))+beta_3*((1-EXP(-((M264-Settle)/365)/tau_2))/(((M264-Settle)/365)/tau_2)-EXP(-((M264-Settle)/365)/tau_2)))*((M264-Settle)/365)))</f>
        <v>1.4345656486781684</v>
      </c>
      <c r="BW264" s="7">
        <f t="shared" ref="BW264:BW327" si="254">IF(N264="",0,($B264/2+IF(10=$C264,100,0))*EXP(-(beta_0+beta_1*(1-EXP(-((N264-Settle)/365)/tau_1))/(((N264-Settle)/365)/tau_1)+beta_2*((1-EXP(-((N264-Settle)/365)/tau_1))/(((N264-Settle)/365)/tau_1)-EXP(-((N264-Settle)/365)/tau_1))+beta_3*((1-EXP(-((N264-Settle)/365)/tau_2))/(((N264-Settle)/365)/tau_2)-EXP(-((N264-Settle)/365)/tau_2)))*((N264-Settle)/365)))</f>
        <v>1.4019260960173987</v>
      </c>
      <c r="BX264" s="7">
        <f t="shared" ref="BX264:BX327" si="255">IF(O264="",0,($B264/2+IF(11=$C264,100,0))*EXP(-(beta_0+beta_1*(1-EXP(-((O264-Settle)/365)/tau_1))/(((O264-Settle)/365)/tau_1)+beta_2*((1-EXP(-((O264-Settle)/365)/tau_1))/(((O264-Settle)/365)/tau_1)-EXP(-((O264-Settle)/365)/tau_1))+beta_3*((1-EXP(-((O264-Settle)/365)/tau_2))/(((O264-Settle)/365)/tau_2)-EXP(-((O264-Settle)/365)/tau_2)))*((O264-Settle)/365)))</f>
        <v>1.3691168756482046</v>
      </c>
      <c r="BY264" s="7">
        <f t="shared" ref="BY264:BY327" si="256">IF(P264="",0,($B264/2+IF(12=$C264,100,0))*EXP(-(beta_0+beta_1*(1-EXP(-((P264-Settle)/365)/tau_1))/(((P264-Settle)/365)/tau_1)+beta_2*((1-EXP(-((P264-Settle)/365)/tau_1))/(((P264-Settle)/365)/tau_1)-EXP(-((P264-Settle)/365)/tau_1))+beta_3*((1-EXP(-((P264-Settle)/365)/tau_2))/(((P264-Settle)/365)/tau_2)-EXP(-((P264-Settle)/365)/tau_2)))*((P264-Settle)/365)))</f>
        <v>1.3369494878239374</v>
      </c>
      <c r="BZ264" s="7">
        <f t="shared" ref="BZ264:BZ327" si="257">IF(Q264="",0,($B264/2+IF(13=$C264,100,0))*EXP(-(beta_0+beta_1*(1-EXP(-((Q264-Settle)/365)/tau_1))/(((Q264-Settle)/365)/tau_1)+beta_2*((1-EXP(-((Q264-Settle)/365)/tau_1))/(((Q264-Settle)/365)/tau_1)-EXP(-((Q264-Settle)/365)/tau_1))+beta_3*((1-EXP(-((Q264-Settle)/365)/tau_2))/(((Q264-Settle)/365)/tau_2)-EXP(-((Q264-Settle)/365)/tau_2)))*((Q264-Settle)/365)))</f>
        <v>1.3046620204131447</v>
      </c>
      <c r="CA264" s="7">
        <f t="shared" ref="CA264:CA327" si="258">IF(R264="",0,($B264/2+IF(14=$C264,100,0))*EXP(-(beta_0+beta_1*(1-EXP(-((R264-Settle)/365)/tau_1))/(((R264-Settle)/365)/tau_1)+beta_2*((1-EXP(-((R264-Settle)/365)/tau_1))/(((R264-Settle)/365)/tau_1)-EXP(-((R264-Settle)/365)/tau_1))+beta_3*((1-EXP(-((R264-Settle)/365)/tau_2))/(((R264-Settle)/365)/tau_2)-EXP(-((R264-Settle)/365)/tau_2)))*((R264-Settle)/365)))</f>
        <v>1.2731026496453959</v>
      </c>
      <c r="CB264" s="7">
        <f t="shared" ref="CB264:CB327" si="259">IF(S264="",0,($B264/2+IF(15=$C264,100,0))*EXP(-(beta_0+beta_1*(1-EXP(-((S264-Settle)/365)/tau_1))/(((S264-Settle)/365)/tau_1)+beta_2*((1-EXP(-((S264-Settle)/365)/tau_1))/(((S264-Settle)/365)/tau_1)-EXP(-((S264-Settle)/365)/tau_1))+beta_3*((1-EXP(-((S264-Settle)/365)/tau_2))/(((S264-Settle)/365)/tau_2)-EXP(-((S264-Settle)/365)/tau_2)))*((S264-Settle)/365)))</f>
        <v>1.2412200937852074</v>
      </c>
      <c r="CC264" s="7">
        <f t="shared" ref="CC264:CC327" si="260">IF(T264="",0,($B264/2+IF(16=$C264,100,0))*EXP(-(beta_0+beta_1*(1-EXP(-((T264-Settle)/365)/tau_1))/(((T264-Settle)/365)/tau_1)+beta_2*((1-EXP(-((T264-Settle)/365)/tau_1))/(((T264-Settle)/365)/tau_1)-EXP(-((T264-Settle)/365)/tau_1))+beta_3*((1-EXP(-((T264-Settle)/365)/tau_2))/(((T264-Settle)/365)/tau_2)-EXP(-((T264-Settle)/365)/tau_2)))*((T264-Settle)/365)))</f>
        <v>1.2100667448639177</v>
      </c>
      <c r="CD264" s="7">
        <f t="shared" ref="CD264:CD327" si="261">IF(U264="",0,($B264/2+IF(17=$C264,100,0))*EXP(-(beta_0+beta_1*(1-EXP(-((U264-Settle)/365)/tau_1))/(((U264-Settle)/365)/tau_1)+beta_2*((1-EXP(-((U264-Settle)/365)/tau_1))/(((U264-Settle)/365)/tau_1)-EXP(-((U264-Settle)/365)/tau_1))+beta_3*((1-EXP(-((U264-Settle)/365)/tau_2))/(((U264-Settle)/365)/tau_2)-EXP(-((U264-Settle)/365)/tau_2)))*((U264-Settle)/365)))</f>
        <v>1.1786365621950874</v>
      </c>
      <c r="CE264" s="7">
        <f t="shared" ref="CE264:CE327" si="262">IF(V264="",0,($B264/2+IF(18=$C264,100,0))*EXP(-(beta_0+beta_1*(1-EXP(-((V264-Settle)/365)/tau_1))/(((V264-Settle)/365)/tau_1)+beta_2*((1-EXP(-((V264-Settle)/365)/tau_1))/(((V264-Settle)/365)/tau_1)-EXP(-((V264-Settle)/365)/tau_1))+beta_3*((1-EXP(-((V264-Settle)/365)/tau_2))/(((V264-Settle)/365)/tau_2)-EXP(-((V264-Settle)/365)/tau_2)))*((V264-Settle)/365)))</f>
        <v>1.1479898830465229</v>
      </c>
      <c r="CF264" s="7">
        <f t="shared" ref="CF264:CF327" si="263">IF(W264="",0,($B264/2+IF(19=$C264,100,0))*EXP(-(beta_0+beta_1*(1-EXP(-((W264-Settle)/365)/tau_1))/(((W264-Settle)/365)/tau_1)+beta_2*((1-EXP(-((W264-Settle)/365)/tau_1))/(((W264-Settle)/365)/tau_1)-EXP(-((W264-Settle)/365)/tau_1))+beta_3*((1-EXP(-((W264-Settle)/365)/tau_2))/(((W264-Settle)/365)/tau_2)-EXP(-((W264-Settle)/365)/tau_2)))*((W264-Settle)/365)))</f>
        <v>1.1171530369693545</v>
      </c>
      <c r="CG264" s="7">
        <f t="shared" ref="CG264:CG327" si="264">IF(X264="",0,($B264/2+IF(20=$C264,100,0))*EXP(-(beta_0+beta_1*(1-EXP(-((X264-Settle)/365)/tau_1))/(((X264-Settle)/365)/tau_1)+beta_2*((1-EXP(-((X264-Settle)/365)/tau_1))/(((X264-Settle)/365)/tau_1)-EXP(-((X264-Settle)/365)/tau_1))+beta_3*((1-EXP(-((X264-Settle)/365)/tau_2))/(((X264-Settle)/365)/tau_2)-EXP(-((X264-Settle)/365)/tau_2)))*((X264-Settle)/365)))</f>
        <v>1.0870113632804279</v>
      </c>
      <c r="CH264" s="7">
        <f t="shared" ref="CH264:CH327" si="265">IF(Y264="",0,($B264/2+IF(21=$C264,100,0))*EXP(-(beta_0+beta_1*(1-EXP(-((Y264-Settle)/365)/tau_1))/(((Y264-Settle)/365)/tau_1)+beta_2*((1-EXP(-((Y264-Settle)/365)/tau_1))/(((Y264-Settle)/365)/tau_1)-EXP(-((Y264-Settle)/365)/tau_1))+beta_3*((1-EXP(-((Y264-Settle)/365)/tau_2))/(((Y264-Settle)/365)/tau_2)-EXP(-((Y264-Settle)/365)/tau_2)))*((Y264-Settle)/365)))</f>
        <v>1.0569486672716213</v>
      </c>
      <c r="CI264" s="7">
        <f t="shared" ref="CI264:CI327" si="266">IF(Z264="",0,($B264/2+IF(22=$C264,100,0))*EXP(-(beta_0+beta_1*(1-EXP(-((Z264-Settle)/365)/tau_1))/(((Z264-Settle)/365)/tau_1)+beta_2*((1-EXP(-((Z264-Settle)/365)/tau_1))/(((Z264-Settle)/365)/tau_1)-EXP(-((Z264-Settle)/365)/tau_1))+beta_3*((1-EXP(-((Z264-Settle)/365)/tau_2))/(((Z264-Settle)/365)/tau_2)-EXP(-((Z264-Settle)/365)/tau_2)))*((Z264-Settle)/365)))</f>
        <v>1.0278225952063142</v>
      </c>
      <c r="CJ264" s="7">
        <f t="shared" ref="CJ264:CJ327" si="267">IF(AA264="",0,($B264/2+IF(23=$C264,100,0))*EXP(-(beta_0+beta_1*(1-EXP(-((AA264-Settle)/365)/tau_1))/(((AA264-Settle)/365)/tau_1)+beta_2*((1-EXP(-((AA264-Settle)/365)/tau_1))/(((AA264-Settle)/365)/tau_1)-EXP(-((AA264-Settle)/365)/tau_1))+beta_3*((1-EXP(-((AA264-Settle)/365)/tau_2))/(((AA264-Settle)/365)/tau_2)-EXP(-((AA264-Settle)/365)/tau_2)))*((AA264-Settle)/365)))</f>
        <v>0.99871013722528512</v>
      </c>
      <c r="CK264" s="7">
        <f t="shared" ref="CK264:CK327" si="268">IF(AB264="",0,($B264/2+IF(24=$C264,100,0))*EXP(-(beta_0+beta_1*(1-EXP(-((AB264-Settle)/365)/tau_1))/(((AB264-Settle)/365)/tau_1)+beta_2*((1-EXP(-((AB264-Settle)/365)/tau_1))/(((AB264-Settle)/365)/tau_1)-EXP(-((AB264-Settle)/365)/tau_1))+beta_3*((1-EXP(-((AB264-Settle)/365)/tau_2))/(((AB264-Settle)/365)/tau_2)-EXP(-((AB264-Settle)/365)/tau_2)))*((AB264-Settle)/365)))</f>
        <v>0.97059885337542884</v>
      </c>
      <c r="CL264" s="7">
        <f t="shared" ref="CL264:CL327" si="269">IF(AC264="",0,($B264/2+IF(25=$C264,100,0))*EXP(-(beta_0+beta_1*(1-EXP(-((AC264-Settle)/365)/tau_1))/(((AC264-Settle)/365)/tau_1)+beta_2*((1-EXP(-((AC264-Settle)/365)/tau_1))/(((AC264-Settle)/365)/tau_1)-EXP(-((AC264-Settle)/365)/tau_1))+beta_3*((1-EXP(-((AC264-Settle)/365)/tau_2))/(((AC264-Settle)/365)/tau_2)-EXP(-((AC264-Settle)/365)/tau_2)))*((AC264-Settle)/365)))</f>
        <v>54.804987929156297</v>
      </c>
      <c r="CM264" s="7">
        <f t="shared" ref="CM264:CM327" si="270">IF(AD264="",0,($B264/2+IF(26=$C264,100,0))*EXP(-(beta_0+beta_1*(1-EXP(-((AD264-Settle)/365)/tau_1))/(((AD264-Settle)/365)/tau_1)+beta_2*((1-EXP(-((AD264-Settle)/365)/tau_1))/(((AD264-Settle)/365)/tau_1)-EXP(-((AD264-Settle)/365)/tau_1))+beta_3*((1-EXP(-((AD264-Settle)/365)/tau_2))/(((AD264-Settle)/365)/tau_2)-EXP(-((AD264-Settle)/365)/tau_2)))*((AD264-Settle)/365)))</f>
        <v>0</v>
      </c>
      <c r="CN264" s="7">
        <f t="shared" ref="CN264:CN327" si="271">IF(AE264="",0,($B264/2+IF(27=$C264,100,0))*EXP(-(beta_0+beta_1*(1-EXP(-((AE264-Settle)/365)/tau_1))/(((AE264-Settle)/365)/tau_1)+beta_2*((1-EXP(-((AE264-Settle)/365)/tau_1))/(((AE264-Settle)/365)/tau_1)-EXP(-((AE264-Settle)/365)/tau_1))+beta_3*((1-EXP(-((AE264-Settle)/365)/tau_2))/(((AE264-Settle)/365)/tau_2)-EXP(-((AE264-Settle)/365)/tau_2)))*((AE264-Settle)/365)))</f>
        <v>0</v>
      </c>
      <c r="CO264" s="7">
        <f t="shared" ref="CO264:CO327" si="272">IF(AF264="",0,($B264/2+IF(28=$C264,100,0))*EXP(-(beta_0+beta_1*(1-EXP(-((AF264-Settle)/365)/tau_1))/(((AF264-Settle)/365)/tau_1)+beta_2*((1-EXP(-((AF264-Settle)/365)/tau_1))/(((AF264-Settle)/365)/tau_1)-EXP(-((AF264-Settle)/365)/tau_1))+beta_3*((1-EXP(-((AF264-Settle)/365)/tau_2))/(((AF264-Settle)/365)/tau_2)-EXP(-((AF264-Settle)/365)/tau_2)))*((AF264-Settle)/365)))</f>
        <v>0</v>
      </c>
      <c r="CP264" s="7">
        <f t="shared" ref="CP264:CP327" si="273">IF(AG264="",0,($B264/2+IF(29=$C264,100,0))*EXP(-(beta_0+beta_1*(1-EXP(-((AG264-Settle)/365)/tau_1))/(((AG264-Settle)/365)/tau_1)+beta_2*((1-EXP(-((AG264-Settle)/365)/tau_1))/(((AG264-Settle)/365)/tau_1)-EXP(-((AG264-Settle)/365)/tau_1))+beta_3*((1-EXP(-((AG264-Settle)/365)/tau_2))/(((AG264-Settle)/365)/tau_2)-EXP(-((AG264-Settle)/365)/tau_2)))*((AG264-Settle)/365)))</f>
        <v>0</v>
      </c>
      <c r="CQ264" s="7">
        <f t="shared" ref="CQ264:CQ327" si="274">IF(AH264="",0,($B264/2+IF(30=$C264,100,0))*EXP(-(beta_0+beta_1*(1-EXP(-((AH264-Settle)/365)/tau_1))/(((AH264-Settle)/365)/tau_1)+beta_2*((1-EXP(-((AH264-Settle)/365)/tau_1))/(((AH264-Settle)/365)/tau_1)-EXP(-((AH264-Settle)/365)/tau_1))+beta_3*((1-EXP(-((AH264-Settle)/365)/tau_2))/(((AH264-Settle)/365)/tau_2)-EXP(-((AH264-Settle)/365)/tau_2)))*((AH264-Settle)/365)))</f>
        <v>0</v>
      </c>
      <c r="CR264" s="7">
        <f t="shared" ref="CR264:CR327" si="275">IF(AI264="",0,($B264/2+IF(31=$C264,100,0))*EXP(-(beta_0+beta_1*(1-EXP(-((AI264-Settle)/365)/tau_1))/(((AI264-Settle)/365)/tau_1)+beta_2*((1-EXP(-((AI264-Settle)/365)/tau_1))/(((AI264-Settle)/365)/tau_1)-EXP(-((AI264-Settle)/365)/tau_1))+beta_3*((1-EXP(-((AI264-Settle)/365)/tau_2))/(((AI264-Settle)/365)/tau_2)-EXP(-((AI264-Settle)/365)/tau_2)))*((AI264-Settle)/365)))</f>
        <v>0</v>
      </c>
      <c r="CS264" s="7">
        <f t="shared" ref="CS264:CS327" si="276">IF(AJ264="",0,($B264/2+IF(32=$C264,100,0))*EXP(-(beta_0+beta_1*(1-EXP(-((AJ264-Settle)/365)/tau_1))/(((AJ264-Settle)/365)/tau_1)+beta_2*((1-EXP(-((AJ264-Settle)/365)/tau_1))/(((AJ264-Settle)/365)/tau_1)-EXP(-((AJ264-Settle)/365)/tau_1))+beta_3*((1-EXP(-((AJ264-Settle)/365)/tau_2))/(((AJ264-Settle)/365)/tau_2)-EXP(-((AJ264-Settle)/365)/tau_2)))*((AJ264-Settle)/365)))</f>
        <v>0</v>
      </c>
      <c r="CT264" s="7">
        <f t="shared" ref="CT264:CT327" si="277">IF(AK264="",0,($B264/2+IF(33=$C264,100,0))*EXP(-(beta_0+beta_1*(1-EXP(-((AK264-Settle)/365)/tau_1))/(((AK264-Settle)/365)/tau_1)+beta_2*((1-EXP(-((AK264-Settle)/365)/tau_1))/(((AK264-Settle)/365)/tau_1)-EXP(-((AK264-Settle)/365)/tau_1))+beta_3*((1-EXP(-((AK264-Settle)/365)/tau_2))/(((AK264-Settle)/365)/tau_2)-EXP(-((AK264-Settle)/365)/tau_2)))*((AK264-Settle)/365)))</f>
        <v>0</v>
      </c>
      <c r="CU264" s="7">
        <f t="shared" ref="CU264:CU327" si="278">IF(AL264="",0,($B264/2+IF(34=$C264,100,0))*EXP(-(beta_0+beta_1*(1-EXP(-((AL264-Settle)/365)/tau_1))/(((AL264-Settle)/365)/tau_1)+beta_2*((1-EXP(-((AL264-Settle)/365)/tau_1))/(((AL264-Settle)/365)/tau_1)-EXP(-((AL264-Settle)/365)/tau_1))+beta_3*((1-EXP(-((AL264-Settle)/365)/tau_2))/(((AL264-Settle)/365)/tau_2)-EXP(-((AL264-Settle)/365)/tau_2)))*((AL264-Settle)/365)))</f>
        <v>0</v>
      </c>
      <c r="CV264" s="7">
        <f t="shared" ref="CV264:CV327" si="279">IF(AM264="",0,($B264/2+IF(35=$C264,100,0))*EXP(-(beta_0+beta_1*(1-EXP(-((AM264-Settle)/365)/tau_1))/(((AM264-Settle)/365)/tau_1)+beta_2*((1-EXP(-((AM264-Settle)/365)/tau_1))/(((AM264-Settle)/365)/tau_1)-EXP(-((AM264-Settle)/365)/tau_1))+beta_3*((1-EXP(-((AM264-Settle)/365)/tau_2))/(((AM264-Settle)/365)/tau_2)-EXP(-((AM264-Settle)/365)/tau_2)))*((AM264-Settle)/365)))</f>
        <v>0</v>
      </c>
      <c r="CW264" s="7">
        <f t="shared" ref="CW264:CW327" si="280">IF(AN264="",0,($B264/2+IF(36=$C264,100,0))*EXP(-(beta_0+beta_1*(1-EXP(-((AN264-Settle)/365)/tau_1))/(((AN264-Settle)/365)/tau_1)+beta_2*((1-EXP(-((AN264-Settle)/365)/tau_1))/(((AN264-Settle)/365)/tau_1)-EXP(-((AN264-Settle)/365)/tau_1))+beta_3*((1-EXP(-((AN264-Settle)/365)/tau_2))/(((AN264-Settle)/365)/tau_2)-EXP(-((AN264-Settle)/365)/tau_2)))*((AN264-Settle)/365)))</f>
        <v>0</v>
      </c>
      <c r="CX264" s="7">
        <f t="shared" ref="CX264:CX327" si="281">IF(AO264="",0,($B264/2+IF(37=$C264,100,0))*EXP(-(beta_0+beta_1*(1-EXP(-((AO264-Settle)/365)/tau_1))/(((AO264-Settle)/365)/tau_1)+beta_2*((1-EXP(-((AO264-Settle)/365)/tau_1))/(((AO264-Settle)/365)/tau_1)-EXP(-((AO264-Settle)/365)/tau_1))+beta_3*((1-EXP(-((AO264-Settle)/365)/tau_2))/(((AO264-Settle)/365)/tau_2)-EXP(-((AO264-Settle)/365)/tau_2)))*((AO264-Settle)/365)))</f>
        <v>0</v>
      </c>
      <c r="CY264" s="7">
        <f t="shared" ref="CY264:CY327" si="282">IF(AP264="",0,($B264/2+IF(38=$C264,100,0))*EXP(-(beta_0+beta_1*(1-EXP(-((AP264-Settle)/365)/tau_1))/(((AP264-Settle)/365)/tau_1)+beta_2*((1-EXP(-((AP264-Settle)/365)/tau_1))/(((AP264-Settle)/365)/tau_1)-EXP(-((AP264-Settle)/365)/tau_1))+beta_3*((1-EXP(-((AP264-Settle)/365)/tau_2))/(((AP264-Settle)/365)/tau_2)-EXP(-((AP264-Settle)/365)/tau_2)))*((AP264-Settle)/365)))</f>
        <v>0</v>
      </c>
      <c r="CZ264" s="7">
        <f t="shared" ref="CZ264:CZ327" si="283">IF(AQ264="",0,($B264/2+IF(39=$C264,100,0))*EXP(-(beta_0+beta_1*(1-EXP(-((AQ264-Settle)/365)/tau_1))/(((AQ264-Settle)/365)/tau_1)+beta_2*((1-EXP(-((AQ264-Settle)/365)/tau_1))/(((AQ264-Settle)/365)/tau_1)-EXP(-((AQ264-Settle)/365)/tau_1))+beta_3*((1-EXP(-((AQ264-Settle)/365)/tau_2))/(((AQ264-Settle)/365)/tau_2)-EXP(-((AQ264-Settle)/365)/tau_2)))*((AQ264-Settle)/365)))</f>
        <v>0</v>
      </c>
      <c r="DA264" s="7">
        <f t="shared" ref="DA264:DA327" si="284">IF(AR264="",0,($B264/2+IF(40=$C264,100,0))*EXP(-(beta_0+beta_1*(1-EXP(-((AR264-Settle)/365)/tau_1))/(((AR264-Settle)/365)/tau_1)+beta_2*((1-EXP(-((AR264-Settle)/365)/tau_1))/(((AR264-Settle)/365)/tau_1)-EXP(-((AR264-Settle)/365)/tau_1))+beta_3*((1-EXP(-((AR264-Settle)/365)/tau_2))/(((AR264-Settle)/365)/tau_2)-EXP(-((AR264-Settle)/365)/tau_2)))*((AR264-Settle)/365)))</f>
        <v>0</v>
      </c>
      <c r="DB264" s="7">
        <f t="shared" ref="DB264:DB327" si="285">IF(AS264="",0,($B264/2+IF(41=$C264,100,0))*EXP(-(beta_0+beta_1*(1-EXP(-((AS264-Settle)/365)/tau_1))/(((AS264-Settle)/365)/tau_1)+beta_2*((1-EXP(-((AS264-Settle)/365)/tau_1))/(((AS264-Settle)/365)/tau_1)-EXP(-((AS264-Settle)/365)/tau_1))+beta_3*((1-EXP(-((AS264-Settle)/365)/tau_2))/(((AS264-Settle)/365)/tau_2)-EXP(-((AS264-Settle)/365)/tau_2)))*((AS264-Settle)/365)))</f>
        <v>0</v>
      </c>
      <c r="DC264" s="7">
        <f t="shared" ref="DC264:DC327" si="286">IF(AT264="",0,($B264/2+IF(42=$C264,100,0))*EXP(-(beta_0+beta_1*(1-EXP(-((AT264-Settle)/365)/tau_1))/(((AT264-Settle)/365)/tau_1)+beta_2*((1-EXP(-((AT264-Settle)/365)/tau_1))/(((AT264-Settle)/365)/tau_1)-EXP(-((AT264-Settle)/365)/tau_1))+beta_3*((1-EXP(-((AT264-Settle)/365)/tau_2))/(((AT264-Settle)/365)/tau_2)-EXP(-((AT264-Settle)/365)/tau_2)))*((AT264-Settle)/365)))</f>
        <v>0</v>
      </c>
      <c r="DD264" s="7">
        <f t="shared" ref="DD264:DD327" si="287">IF(AU264="",0,($B264/2+IF(43=$C264,100,0))*EXP(-(beta_0+beta_1*(1-EXP(-((AU264-Settle)/365)/tau_1))/(((AU264-Settle)/365)/tau_1)+beta_2*((1-EXP(-((AU264-Settle)/365)/tau_1))/(((AU264-Settle)/365)/tau_1)-EXP(-((AU264-Settle)/365)/tau_1))+beta_3*((1-EXP(-((AU264-Settle)/365)/tau_2))/(((AU264-Settle)/365)/tau_2)-EXP(-((AU264-Settle)/365)/tau_2)))*((AU264-Settle)/365)))</f>
        <v>0</v>
      </c>
      <c r="DE264" s="7">
        <f t="shared" ref="DE264:DE327" si="288">IF(AV264="",0,($B264/2+IF(44=$C264,100,0))*EXP(-(beta_0+beta_1*(1-EXP(-((AV264-Settle)/365)/tau_1))/(((AV264-Settle)/365)/tau_1)+beta_2*((1-EXP(-((AV264-Settle)/365)/tau_1))/(((AV264-Settle)/365)/tau_1)-EXP(-((AV264-Settle)/365)/tau_1))+beta_3*((1-EXP(-((AV264-Settle)/365)/tau_2))/(((AV264-Settle)/365)/tau_2)-EXP(-((AV264-Settle)/365)/tau_2)))*((AV264-Settle)/365)))</f>
        <v>0</v>
      </c>
      <c r="DF264" s="7">
        <f t="shared" ref="DF264:DF327" si="289">IF(AW264="",0,($B264/2+IF(45=$C264,100,0))*EXP(-(beta_0+beta_1*(1-EXP(-((AW264-Settle)/365)/tau_1))/(((AW264-Settle)/365)/tau_1)+beta_2*((1-EXP(-((AW264-Settle)/365)/tau_1))/(((AW264-Settle)/365)/tau_1)-EXP(-((AW264-Settle)/365)/tau_1))+beta_3*((1-EXP(-((AW264-Settle)/365)/tau_2))/(((AW264-Settle)/365)/tau_2)-EXP(-((AW264-Settle)/365)/tau_2)))*((AW264-Settle)/365)))</f>
        <v>0</v>
      </c>
      <c r="DG264" s="7">
        <f t="shared" ref="DG264:DG327" si="290">IF(AX264="",0,($B264/2+IF(46=$C264,100,0))*EXP(-(beta_0+beta_1*(1-EXP(-((AX264-Settle)/365)/tau_1))/(((AX264-Settle)/365)/tau_1)+beta_2*((1-EXP(-((AX264-Settle)/365)/tau_1))/(((AX264-Settle)/365)/tau_1)-EXP(-((AX264-Settle)/365)/tau_1))+beta_3*((1-EXP(-((AX264-Settle)/365)/tau_2))/(((AX264-Settle)/365)/tau_2)-EXP(-((AX264-Settle)/365)/tau_2)))*((AX264-Settle)/365)))</f>
        <v>0</v>
      </c>
      <c r="DH264" s="7">
        <f t="shared" ref="DH264:DH327" si="291">IF(AY264="",0,($B264/2+IF(47=$C264,100,0))*EXP(-(beta_0+beta_1*(1-EXP(-((AY264-Settle)/365)/tau_1))/(((AY264-Settle)/365)/tau_1)+beta_2*((1-EXP(-((AY264-Settle)/365)/tau_1))/(((AY264-Settle)/365)/tau_1)-EXP(-((AY264-Settle)/365)/tau_1))+beta_3*((1-EXP(-((AY264-Settle)/365)/tau_2))/(((AY264-Settle)/365)/tau_2)-EXP(-((AY264-Settle)/365)/tau_2)))*((AY264-Settle)/365)))</f>
        <v>0</v>
      </c>
      <c r="DI264" s="7">
        <f t="shared" ref="DI264:DI327" si="292">IF(AZ264="",0,($B264/2+IF(48=$C264,100,0))*EXP(-(beta_0+beta_1*(1-EXP(-((AZ264-Settle)/365)/tau_1))/(((AZ264-Settle)/365)/tau_1)+beta_2*((1-EXP(-((AZ264-Settle)/365)/tau_1))/(((AZ264-Settle)/365)/tau_1)-EXP(-((AZ264-Settle)/365)/tau_1))+beta_3*((1-EXP(-((AZ264-Settle)/365)/tau_2))/(((AZ264-Settle)/365)/tau_2)-EXP(-((AZ264-Settle)/365)/tau_2)))*((AZ264-Settle)/365)))</f>
        <v>0</v>
      </c>
      <c r="DJ264" s="7">
        <f t="shared" ref="DJ264:DJ327" si="293">IF(BA264="",0,($B264/2+IF(49=$C264,100,0))*EXP(-(beta_0+beta_1*(1-EXP(-((BA264-Settle)/365)/tau_1))/(((BA264-Settle)/365)/tau_1)+beta_2*((1-EXP(-((BA264-Settle)/365)/tau_1))/(((BA264-Settle)/365)/tau_1)-EXP(-((BA264-Settle)/365)/tau_1))+beta_3*((1-EXP(-((BA264-Settle)/365)/tau_2))/(((BA264-Settle)/365)/tau_2)-EXP(-((BA264-Settle)/365)/tau_2)))*((BA264-Settle)/365)))</f>
        <v>0</v>
      </c>
      <c r="DK264" s="7">
        <f t="shared" ref="DK264:DK327" si="294">IF(BB264="",0,($B264/2+IF(50=$C264,100,0))*EXP(-(beta_0+beta_1*(1-EXP(-((BB264-Settle)/365)/tau_1))/(((BB264-Settle)/365)/tau_1)+beta_2*((1-EXP(-((BB264-Settle)/365)/tau_1))/(((BB264-Settle)/365)/tau_1)-EXP(-((BB264-Settle)/365)/tau_1))+beta_3*((1-EXP(-((BB264-Settle)/365)/tau_2))/(((BB264-Settle)/365)/tau_2)-EXP(-((BB264-Settle)/365)/tau_2)))*((BB264-Settle)/365)))</f>
        <v>0</v>
      </c>
      <c r="DL264" s="7">
        <f t="shared" ref="DL264:DL327" si="295">IF(BC264="",0,($B264/2+IF(51=$C264,100,0))*EXP(-(beta_0+beta_1*(1-EXP(-((BC264-Settle)/365)/tau_1))/(((BC264-Settle)/365)/tau_1)+beta_2*((1-EXP(-((BC264-Settle)/365)/tau_1))/(((BC264-Settle)/365)/tau_1)-EXP(-((BC264-Settle)/365)/tau_1))+beta_3*((1-EXP(-((BC264-Settle)/365)/tau_2))/(((BC264-Settle)/365)/tau_2)-EXP(-((BC264-Settle)/365)/tau_2)))*((BC264-Settle)/365)))</f>
        <v>0</v>
      </c>
      <c r="DM264" s="7">
        <f t="shared" ref="DM264:DM327" si="296">IF(BD264="",0,($B264/2+IF(52=$C264,100,0))*EXP(-(beta_0+beta_1*(1-EXP(-((BD264-Settle)/365)/tau_1))/(((BD264-Settle)/365)/tau_1)+beta_2*((1-EXP(-((BD264-Settle)/365)/tau_1))/(((BD264-Settle)/365)/tau_1)-EXP(-((BD264-Settle)/365)/tau_1))+beta_3*((1-EXP(-((BD264-Settle)/365)/tau_2))/(((BD264-Settle)/365)/tau_2)-EXP(-((BD264-Settle)/365)/tau_2)))*((BD264-Settle)/365)))</f>
        <v>0</v>
      </c>
      <c r="DN264" s="7">
        <f t="shared" ref="DN264:DN327" si="297">IF(BE264="",0,($B264/2+IF(53=$C264,100,0))*EXP(-(beta_0+beta_1*(1-EXP(-((BE264-Settle)/365)/tau_1))/(((BE264-Settle)/365)/tau_1)+beta_2*((1-EXP(-((BE264-Settle)/365)/tau_1))/(((BE264-Settle)/365)/tau_1)-EXP(-((BE264-Settle)/365)/tau_1))+beta_3*((1-EXP(-((BE264-Settle)/365)/tau_2))/(((BE264-Settle)/365)/tau_2)-EXP(-((BE264-Settle)/365)/tau_2)))*((BE264-Settle)/365)))</f>
        <v>0</v>
      </c>
      <c r="DO264" s="7">
        <f t="shared" ref="DO264:DO327" si="298">IF(BF264="",0,($B264/2+IF(54=$C264,100,0))*EXP(-(beta_0+beta_1*(1-EXP(-((BF264-Settle)/365)/tau_1))/(((BF264-Settle)/365)/tau_1)+beta_2*((1-EXP(-((BF264-Settle)/365)/tau_1))/(((BF264-Settle)/365)/tau_1)-EXP(-((BF264-Settle)/365)/tau_1))+beta_3*((1-EXP(-((BF264-Settle)/365)/tau_2))/(((BF264-Settle)/365)/tau_2)-EXP(-((BF264-Settle)/365)/tau_2)))*((BF264-Settle)/365)))</f>
        <v>0</v>
      </c>
      <c r="DP264" s="7">
        <f t="shared" ref="DP264:DP327" si="299">IF(BG264="",0,($B264/2+IF(55=$C264,100,0))*EXP(-(beta_0+beta_1*(1-EXP(-((BG264-Settle)/365)/tau_1))/(((BG264-Settle)/365)/tau_1)+beta_2*((1-EXP(-((BG264-Settle)/365)/tau_1))/(((BG264-Settle)/365)/tau_1)-EXP(-((BG264-Settle)/365)/tau_1))+beta_3*((1-EXP(-((BG264-Settle)/365)/tau_2))/(((BG264-Settle)/365)/tau_2)-EXP(-((BG264-Settle)/365)/tau_2)))*((BG264-Settle)/365)))</f>
        <v>0</v>
      </c>
      <c r="DQ264" s="7">
        <f t="shared" ref="DQ264:DQ327" si="300">IF(BH264="",0,($B264/2+IF(56=$C264,100,0))*EXP(-(beta_0+beta_1*(1-EXP(-((BH264-Settle)/365)/tau_1))/(((BH264-Settle)/365)/tau_1)+beta_2*((1-EXP(-((BH264-Settle)/365)/tau_1))/(((BH264-Settle)/365)/tau_1)-EXP(-((BH264-Settle)/365)/tau_1))+beta_3*((1-EXP(-((BH264-Settle)/365)/tau_2))/(((BH264-Settle)/365)/tau_2)-EXP(-((BH264-Settle)/365)/tau_2)))*((BH264-Settle)/365)))</f>
        <v>0</v>
      </c>
      <c r="DR264" s="7">
        <f t="shared" ref="DR264:DR327" si="301">IF(BI264="",0,($B264/2+IF(57=$C264,100,0))*EXP(-(beta_0+beta_1*(1-EXP(-((BI264-Settle)/365)/tau_1))/(((BI264-Settle)/365)/tau_1)+beta_2*((1-EXP(-((BI264-Settle)/365)/tau_1))/(((BI264-Settle)/365)/tau_1)-EXP(-((BI264-Settle)/365)/tau_1))+beta_3*((1-EXP(-((BI264-Settle)/365)/tau_2))/(((BI264-Settle)/365)/tau_2)-EXP(-((BI264-Settle)/365)/tau_2)))*((BI264-Settle)/365)))</f>
        <v>0</v>
      </c>
      <c r="DS264" s="7">
        <f t="shared" ref="DS264:DS327" si="302">IF(BJ264="",0,($B264/2+IF(58=$C264,100,0))*EXP(-(beta_0+beta_1*(1-EXP(-((BJ264-Settle)/365)/tau_1))/(((BJ264-Settle)/365)/tau_1)+beta_2*((1-EXP(-((BJ264-Settle)/365)/tau_1))/(((BJ264-Settle)/365)/tau_1)-EXP(-((BJ264-Settle)/365)/tau_1))+beta_3*((1-EXP(-((BJ264-Settle)/365)/tau_2))/(((BJ264-Settle)/365)/tau_2)-EXP(-((BJ264-Settle)/365)/tau_2)))*((BJ264-Settle)/365)))</f>
        <v>0</v>
      </c>
      <c r="DT264" s="7">
        <f t="shared" ref="DT264:DT327" si="303">IF(BK264="",0,($B264/2+IF(59=$C264,100,0))*EXP(-(beta_0+beta_1*(1-EXP(-((BK264-Settle)/365)/tau_1))/(((BK264-Settle)/365)/tau_1)+beta_2*((1-EXP(-((BK264-Settle)/365)/tau_1))/(((BK264-Settle)/365)/tau_1)-EXP(-((BK264-Settle)/365)/tau_1))+beta_3*((1-EXP(-((BK264-Settle)/365)/tau_2))/(((BK264-Settle)/365)/tau_2)-EXP(-((BK264-Settle)/365)/tau_2)))*((BK264-Settle)/365)))</f>
        <v>0</v>
      </c>
      <c r="DU264" s="7">
        <f t="shared" ref="DU264:DU327" si="304">IF(BL264="",0,($B264/2+IF(60=$C264,100,0))*EXP(-(beta_0+beta_1*(1-EXP(-((BL264-Settle)/365)/tau_1))/(((BL264-Settle)/365)/tau_1)+beta_2*((1-EXP(-((BL264-Settle)/365)/tau_1))/(((BL264-Settle)/365)/tau_1)-EXP(-((BL264-Settle)/365)/tau_1))+beta_3*((1-EXP(-((BL264-Settle)/365)/tau_2))/(((BL264-Settle)/365)/tau_2)-EXP(-((BL264-Settle)/365)/tau_2)))*((BL264-Settle)/365)))</f>
        <v>0</v>
      </c>
    </row>
    <row r="265" spans="1:125" x14ac:dyDescent="0.2">
      <c r="A265" s="3">
        <f>Bonds!A265</f>
        <v>50905</v>
      </c>
      <c r="B265" s="4">
        <f>Bonds!B265</f>
        <v>4.25</v>
      </c>
      <c r="C265">
        <f>Bonds!P265</f>
        <v>26</v>
      </c>
      <c r="D265">
        <f t="shared" si="244"/>
        <v>0</v>
      </c>
      <c r="E265" s="3">
        <f>IF(1&gt;$C265,"",IF($D265=1,EOMONTH(EDATE(Bonds!$H265,6*(1-1)),0),EDATE(Bonds!$H265,6*(1-1))))</f>
        <v>46341</v>
      </c>
      <c r="F265" s="3">
        <f>IF(2&gt;$C265,"",IF($D265=1,EOMONTH(EDATE(Bonds!$H265,6*(2-1)),0),EDATE(Bonds!$H265,6*(2-1))))</f>
        <v>46522</v>
      </c>
      <c r="G265" s="3">
        <f>IF(3&gt;$C265,"",IF($D265=1,EOMONTH(EDATE(Bonds!$H265,6*(3-1)),0),EDATE(Bonds!$H265,6*(3-1))))</f>
        <v>46706</v>
      </c>
      <c r="H265" s="3">
        <f>IF(4&gt;$C265,"",IF($D265=1,EOMONTH(EDATE(Bonds!$H265,6*(4-1)),0),EDATE(Bonds!$H265,6*(4-1))))</f>
        <v>46888</v>
      </c>
      <c r="I265" s="3">
        <f>IF(5&gt;$C265,"",IF($D265=1,EOMONTH(EDATE(Bonds!$H265,6*(5-1)),0),EDATE(Bonds!$H265,6*(5-1))))</f>
        <v>47072</v>
      </c>
      <c r="J265" s="3">
        <f>IF(6&gt;$C265,"",IF($D265=1,EOMONTH(EDATE(Bonds!$H265,6*(6-1)),0),EDATE(Bonds!$H265,6*(6-1))))</f>
        <v>47253</v>
      </c>
      <c r="K265" s="3">
        <f>IF(7&gt;$C265,"",IF($D265=1,EOMONTH(EDATE(Bonds!$H265,6*(7-1)),0),EDATE(Bonds!$H265,6*(7-1))))</f>
        <v>47437</v>
      </c>
      <c r="L265" s="3">
        <f>IF(8&gt;$C265,"",IF($D265=1,EOMONTH(EDATE(Bonds!$H265,6*(8-1)),0),EDATE(Bonds!$H265,6*(8-1))))</f>
        <v>47618</v>
      </c>
      <c r="M265" s="3">
        <f>IF(9&gt;$C265,"",IF($D265=1,EOMONTH(EDATE(Bonds!$H265,6*(9-1)),0),EDATE(Bonds!$H265,6*(9-1))))</f>
        <v>47802</v>
      </c>
      <c r="N265" s="3">
        <f>IF(10&gt;$C265,"",IF($D265=1,EOMONTH(EDATE(Bonds!$H265,6*(10-1)),0),EDATE(Bonds!$H265,6*(10-1))))</f>
        <v>47983</v>
      </c>
      <c r="O265" s="3">
        <f>IF(11&gt;$C265,"",IF($D265=1,EOMONTH(EDATE(Bonds!$H265,6*(11-1)),0),EDATE(Bonds!$H265,6*(11-1))))</f>
        <v>48167</v>
      </c>
      <c r="P265" s="3">
        <f>IF(12&gt;$C265,"",IF($D265=1,EOMONTH(EDATE(Bonds!$H265,6*(12-1)),0),EDATE(Bonds!$H265,6*(12-1))))</f>
        <v>48349</v>
      </c>
      <c r="Q265" s="3">
        <f>IF(13&gt;$C265,"",IF($D265=1,EOMONTH(EDATE(Bonds!$H265,6*(13-1)),0),EDATE(Bonds!$H265,6*(13-1))))</f>
        <v>48533</v>
      </c>
      <c r="R265" s="3">
        <f>IF(14&gt;$C265,"",IF($D265=1,EOMONTH(EDATE(Bonds!$H265,6*(14-1)),0),EDATE(Bonds!$H265,6*(14-1))))</f>
        <v>48714</v>
      </c>
      <c r="S265" s="3">
        <f>IF(15&gt;$C265,"",IF($D265=1,EOMONTH(EDATE(Bonds!$H265,6*(15-1)),0),EDATE(Bonds!$H265,6*(15-1))))</f>
        <v>48898</v>
      </c>
      <c r="T265" s="3">
        <f>IF(16&gt;$C265,"",IF($D265=1,EOMONTH(EDATE(Bonds!$H265,6*(16-1)),0),EDATE(Bonds!$H265,6*(16-1))))</f>
        <v>49079</v>
      </c>
      <c r="U265" s="3">
        <f>IF(17&gt;$C265,"",IF($D265=1,EOMONTH(EDATE(Bonds!$H265,6*(17-1)),0),EDATE(Bonds!$H265,6*(17-1))))</f>
        <v>49263</v>
      </c>
      <c r="V265" s="3">
        <f>IF(18&gt;$C265,"",IF($D265=1,EOMONTH(EDATE(Bonds!$H265,6*(18-1)),0),EDATE(Bonds!$H265,6*(18-1))))</f>
        <v>49444</v>
      </c>
      <c r="W265" s="3">
        <f>IF(19&gt;$C265,"",IF($D265=1,EOMONTH(EDATE(Bonds!$H265,6*(19-1)),0),EDATE(Bonds!$H265,6*(19-1))))</f>
        <v>49628</v>
      </c>
      <c r="X265" s="3">
        <f>IF(20&gt;$C265,"",IF($D265=1,EOMONTH(EDATE(Bonds!$H265,6*(20-1)),0),EDATE(Bonds!$H265,6*(20-1))))</f>
        <v>49810</v>
      </c>
      <c r="Y265" s="3">
        <f>IF(21&gt;$C265,"",IF($D265=1,EOMONTH(EDATE(Bonds!$H265,6*(21-1)),0),EDATE(Bonds!$H265,6*(21-1))))</f>
        <v>49994</v>
      </c>
      <c r="Z265" s="3">
        <f>IF(22&gt;$C265,"",IF($D265=1,EOMONTH(EDATE(Bonds!$H265,6*(22-1)),0),EDATE(Bonds!$H265,6*(22-1))))</f>
        <v>50175</v>
      </c>
      <c r="AA265" s="3">
        <f>IF(23&gt;$C265,"",IF($D265=1,EOMONTH(EDATE(Bonds!$H265,6*(23-1)),0),EDATE(Bonds!$H265,6*(23-1))))</f>
        <v>50359</v>
      </c>
      <c r="AB265" s="3">
        <f>IF(24&gt;$C265,"",IF($D265=1,EOMONTH(EDATE(Bonds!$H265,6*(24-1)),0),EDATE(Bonds!$H265,6*(24-1))))</f>
        <v>50540</v>
      </c>
      <c r="AC265" s="3">
        <f>IF(25&gt;$C265,"",IF($D265=1,EOMONTH(EDATE(Bonds!$H265,6*(25-1)),0),EDATE(Bonds!$H265,6*(25-1))))</f>
        <v>50724</v>
      </c>
      <c r="AD265" s="3">
        <f>IF(26&gt;$C265,"",IF($D265=1,EOMONTH(EDATE(Bonds!$H265,6*(26-1)),0),EDATE(Bonds!$H265,6*(26-1))))</f>
        <v>50905</v>
      </c>
      <c r="AE265" s="3" t="str">
        <f>IF(27&gt;$C265,"",IF($D265=1,EOMONTH(EDATE(Bonds!$H265,6*(27-1)),0),EDATE(Bonds!$H265,6*(27-1))))</f>
        <v/>
      </c>
      <c r="AF265" s="3" t="str">
        <f>IF(28&gt;$C265,"",IF($D265=1,EOMONTH(EDATE(Bonds!$H265,6*(28-1)),0),EDATE(Bonds!$H265,6*(28-1))))</f>
        <v/>
      </c>
      <c r="AG265" s="3" t="str">
        <f>IF(29&gt;$C265,"",IF($D265=1,EOMONTH(EDATE(Bonds!$H265,6*(29-1)),0),EDATE(Bonds!$H265,6*(29-1))))</f>
        <v/>
      </c>
      <c r="AH265" s="3" t="str">
        <f>IF(30&gt;$C265,"",IF($D265=1,EOMONTH(EDATE(Bonds!$H265,6*(30-1)),0),EDATE(Bonds!$H265,6*(30-1))))</f>
        <v/>
      </c>
      <c r="AI265" s="3" t="str">
        <f>IF(31&gt;$C265,"",IF($D265=1,EOMONTH(EDATE(Bonds!$H265,6*(31-1)),0),EDATE(Bonds!$H265,6*(31-1))))</f>
        <v/>
      </c>
      <c r="AJ265" s="3" t="str">
        <f>IF(32&gt;$C265,"",IF($D265=1,EOMONTH(EDATE(Bonds!$H265,6*(32-1)),0),EDATE(Bonds!$H265,6*(32-1))))</f>
        <v/>
      </c>
      <c r="AK265" s="3" t="str">
        <f>IF(33&gt;$C265,"",IF($D265=1,EOMONTH(EDATE(Bonds!$H265,6*(33-1)),0),EDATE(Bonds!$H265,6*(33-1))))</f>
        <v/>
      </c>
      <c r="AL265" s="3" t="str">
        <f>IF(34&gt;$C265,"",IF($D265=1,EOMONTH(EDATE(Bonds!$H265,6*(34-1)),0),EDATE(Bonds!$H265,6*(34-1))))</f>
        <v/>
      </c>
      <c r="AM265" s="3" t="str">
        <f>IF(35&gt;$C265,"",IF($D265=1,EOMONTH(EDATE(Bonds!$H265,6*(35-1)),0),EDATE(Bonds!$H265,6*(35-1))))</f>
        <v/>
      </c>
      <c r="AN265" s="3" t="str">
        <f>IF(36&gt;$C265,"",IF($D265=1,EOMONTH(EDATE(Bonds!$H265,6*(36-1)),0),EDATE(Bonds!$H265,6*(36-1))))</f>
        <v/>
      </c>
      <c r="AO265" s="3" t="str">
        <f>IF(37&gt;$C265,"",IF($D265=1,EOMONTH(EDATE(Bonds!$H265,6*(37-1)),0),EDATE(Bonds!$H265,6*(37-1))))</f>
        <v/>
      </c>
      <c r="AP265" s="3" t="str">
        <f>IF(38&gt;$C265,"",IF($D265=1,EOMONTH(EDATE(Bonds!$H265,6*(38-1)),0),EDATE(Bonds!$H265,6*(38-1))))</f>
        <v/>
      </c>
      <c r="AQ265" s="3" t="str">
        <f>IF(39&gt;$C265,"",IF($D265=1,EOMONTH(EDATE(Bonds!$H265,6*(39-1)),0),EDATE(Bonds!$H265,6*(39-1))))</f>
        <v/>
      </c>
      <c r="AR265" s="3" t="str">
        <f>IF(40&gt;$C265,"",IF($D265=1,EOMONTH(EDATE(Bonds!$H265,6*(40-1)),0),EDATE(Bonds!$H265,6*(40-1))))</f>
        <v/>
      </c>
      <c r="AS265" s="3" t="str">
        <f>IF(41&gt;$C265,"",IF($D265=1,EOMONTH(EDATE(Bonds!$H265,6*(41-1)),0),EDATE(Bonds!$H265,6*(41-1))))</f>
        <v/>
      </c>
      <c r="AT265" s="3" t="str">
        <f>IF(42&gt;$C265,"",IF($D265=1,EOMONTH(EDATE(Bonds!$H265,6*(42-1)),0),EDATE(Bonds!$H265,6*(42-1))))</f>
        <v/>
      </c>
      <c r="AU265" s="3" t="str">
        <f>IF(43&gt;$C265,"",IF($D265=1,EOMONTH(EDATE(Bonds!$H265,6*(43-1)),0),EDATE(Bonds!$H265,6*(43-1))))</f>
        <v/>
      </c>
      <c r="AV265" s="3" t="str">
        <f>IF(44&gt;$C265,"",IF($D265=1,EOMONTH(EDATE(Bonds!$H265,6*(44-1)),0),EDATE(Bonds!$H265,6*(44-1))))</f>
        <v/>
      </c>
      <c r="AW265" s="3" t="str">
        <f>IF(45&gt;$C265,"",IF($D265=1,EOMONTH(EDATE(Bonds!$H265,6*(45-1)),0),EDATE(Bonds!$H265,6*(45-1))))</f>
        <v/>
      </c>
      <c r="AX265" s="3" t="str">
        <f>IF(46&gt;$C265,"",IF($D265=1,EOMONTH(EDATE(Bonds!$H265,6*(46-1)),0),EDATE(Bonds!$H265,6*(46-1))))</f>
        <v/>
      </c>
      <c r="AY265" s="3" t="str">
        <f>IF(47&gt;$C265,"",IF($D265=1,EOMONTH(EDATE(Bonds!$H265,6*(47-1)),0),EDATE(Bonds!$H265,6*(47-1))))</f>
        <v/>
      </c>
      <c r="AZ265" s="3" t="str">
        <f>IF(48&gt;$C265,"",IF($D265=1,EOMONTH(EDATE(Bonds!$H265,6*(48-1)),0),EDATE(Bonds!$H265,6*(48-1))))</f>
        <v/>
      </c>
      <c r="BA265" s="3" t="str">
        <f>IF(49&gt;$C265,"",IF($D265=1,EOMONTH(EDATE(Bonds!$H265,6*(49-1)),0),EDATE(Bonds!$H265,6*(49-1))))</f>
        <v/>
      </c>
      <c r="BB265" s="3" t="str">
        <f>IF(50&gt;$C265,"",IF($D265=1,EOMONTH(EDATE(Bonds!$H265,6*(50-1)),0),EDATE(Bonds!$H265,6*(50-1))))</f>
        <v/>
      </c>
      <c r="BC265" s="3" t="str">
        <f>IF(51&gt;$C265,"",IF($D265=1,EOMONTH(EDATE(Bonds!$H265,6*(51-1)),0),EDATE(Bonds!$H265,6*(51-1))))</f>
        <v/>
      </c>
      <c r="BD265" s="3" t="str">
        <f>IF(52&gt;$C265,"",IF($D265=1,EOMONTH(EDATE(Bonds!$H265,6*(52-1)),0),EDATE(Bonds!$H265,6*(52-1))))</f>
        <v/>
      </c>
      <c r="BE265" s="3" t="str">
        <f>IF(53&gt;$C265,"",IF($D265=1,EOMONTH(EDATE(Bonds!$H265,6*(53-1)),0),EDATE(Bonds!$H265,6*(53-1))))</f>
        <v/>
      </c>
      <c r="BF265" s="3" t="str">
        <f>IF(54&gt;$C265,"",IF($D265=1,EOMONTH(EDATE(Bonds!$H265,6*(54-1)),0),EDATE(Bonds!$H265,6*(54-1))))</f>
        <v/>
      </c>
      <c r="BG265" s="3" t="str">
        <f>IF(55&gt;$C265,"",IF($D265=1,EOMONTH(EDATE(Bonds!$H265,6*(55-1)),0),EDATE(Bonds!$H265,6*(55-1))))</f>
        <v/>
      </c>
      <c r="BH265" s="3" t="str">
        <f>IF(56&gt;$C265,"",IF($D265=1,EOMONTH(EDATE(Bonds!$H265,6*(56-1)),0),EDATE(Bonds!$H265,6*(56-1))))</f>
        <v/>
      </c>
      <c r="BI265" s="3" t="str">
        <f>IF(57&gt;$C265,"",IF($D265=1,EOMONTH(EDATE(Bonds!$H265,6*(57-1)),0),EDATE(Bonds!$H265,6*(57-1))))</f>
        <v/>
      </c>
      <c r="BJ265" s="3" t="str">
        <f>IF(58&gt;$C265,"",IF($D265=1,EOMONTH(EDATE(Bonds!$H265,6*(58-1)),0),EDATE(Bonds!$H265,6*(58-1))))</f>
        <v/>
      </c>
      <c r="BK265" s="3" t="str">
        <f>IF(59&gt;$C265,"",IF($D265=1,EOMONTH(EDATE(Bonds!$H265,6*(59-1)),0),EDATE(Bonds!$H265,6*(59-1))))</f>
        <v/>
      </c>
      <c r="BL265" s="3" t="str">
        <f>IF(60&gt;$C265,"",IF($D265=1,EOMONTH(EDATE(Bonds!$H265,6*(60-1)),0),EDATE(Bonds!$H265,6*(60-1))))</f>
        <v/>
      </c>
      <c r="BN265" s="7">
        <f t="shared" si="245"/>
        <v>2.1101793630250394</v>
      </c>
      <c r="BO265" s="7">
        <f t="shared" si="246"/>
        <v>2.0675675937455984</v>
      </c>
      <c r="BP265" s="7">
        <f t="shared" si="247"/>
        <v>2.0220242606679357</v>
      </c>
      <c r="BQ265" s="7">
        <f t="shared" si="248"/>
        <v>1.9766710505748519</v>
      </c>
      <c r="BR265" s="7">
        <f t="shared" si="249"/>
        <v>1.9314718642984894</v>
      </c>
      <c r="BS265" s="7">
        <f t="shared" si="250"/>
        <v>1.8880242543959449</v>
      </c>
      <c r="BT265" s="7">
        <f t="shared" si="251"/>
        <v>1.8449514550960417</v>
      </c>
      <c r="BU265" s="7">
        <f t="shared" si="252"/>
        <v>1.8035636722324828</v>
      </c>
      <c r="BV265" s="7">
        <f t="shared" si="253"/>
        <v>1.7623279489280959</v>
      </c>
      <c r="BW265" s="7">
        <f t="shared" si="254"/>
        <v>1.7224215429418681</v>
      </c>
      <c r="BX265" s="7">
        <f t="shared" si="255"/>
        <v>1.6823693748405308</v>
      </c>
      <c r="BY265" s="7">
        <f t="shared" si="256"/>
        <v>1.6431453237168541</v>
      </c>
      <c r="BZ265" s="7">
        <f t="shared" si="257"/>
        <v>1.6038027770342798</v>
      </c>
      <c r="CA265" s="7">
        <f t="shared" si="258"/>
        <v>1.5653595884847493</v>
      </c>
      <c r="CB265" s="7">
        <f t="shared" si="259"/>
        <v>1.5265219623891284</v>
      </c>
      <c r="CC265" s="7">
        <f t="shared" si="260"/>
        <v>1.4885616409973996</v>
      </c>
      <c r="CD265" s="7">
        <f t="shared" si="261"/>
        <v>1.4502449575607628</v>
      </c>
      <c r="CE265" s="7">
        <f t="shared" si="262"/>
        <v>1.4128592500377108</v>
      </c>
      <c r="CF265" s="7">
        <f t="shared" si="263"/>
        <v>1.3752133136607421</v>
      </c>
      <c r="CG265" s="7">
        <f t="shared" si="264"/>
        <v>1.3383859888529464</v>
      </c>
      <c r="CH265" s="7">
        <f t="shared" si="265"/>
        <v>1.301623928544654</v>
      </c>
      <c r="CI265" s="7">
        <f t="shared" si="266"/>
        <v>1.2659766760830151</v>
      </c>
      <c r="CJ265" s="7">
        <f t="shared" si="267"/>
        <v>1.2303158304379409</v>
      </c>
      <c r="CK265" s="7">
        <f t="shared" si="268"/>
        <v>1.1958528370556154</v>
      </c>
      <c r="CL265" s="7">
        <f t="shared" si="269"/>
        <v>1.1614903834976167</v>
      </c>
      <c r="CM265" s="7">
        <f t="shared" si="270"/>
        <v>54.229003153551432</v>
      </c>
      <c r="CN265" s="7">
        <f t="shared" si="271"/>
        <v>0</v>
      </c>
      <c r="CO265" s="7">
        <f t="shared" si="272"/>
        <v>0</v>
      </c>
      <c r="CP265" s="7">
        <f t="shared" si="273"/>
        <v>0</v>
      </c>
      <c r="CQ265" s="7">
        <f t="shared" si="274"/>
        <v>0</v>
      </c>
      <c r="CR265" s="7">
        <f t="shared" si="275"/>
        <v>0</v>
      </c>
      <c r="CS265" s="7">
        <f t="shared" si="276"/>
        <v>0</v>
      </c>
      <c r="CT265" s="7">
        <f t="shared" si="277"/>
        <v>0</v>
      </c>
      <c r="CU265" s="7">
        <f t="shared" si="278"/>
        <v>0</v>
      </c>
      <c r="CV265" s="7">
        <f t="shared" si="279"/>
        <v>0</v>
      </c>
      <c r="CW265" s="7">
        <f t="shared" si="280"/>
        <v>0</v>
      </c>
      <c r="CX265" s="7">
        <f t="shared" si="281"/>
        <v>0</v>
      </c>
      <c r="CY265" s="7">
        <f t="shared" si="282"/>
        <v>0</v>
      </c>
      <c r="CZ265" s="7">
        <f t="shared" si="283"/>
        <v>0</v>
      </c>
      <c r="DA265" s="7">
        <f t="shared" si="284"/>
        <v>0</v>
      </c>
      <c r="DB265" s="7">
        <f t="shared" si="285"/>
        <v>0</v>
      </c>
      <c r="DC265" s="7">
        <f t="shared" si="286"/>
        <v>0</v>
      </c>
      <c r="DD265" s="7">
        <f t="shared" si="287"/>
        <v>0</v>
      </c>
      <c r="DE265" s="7">
        <f t="shared" si="288"/>
        <v>0</v>
      </c>
      <c r="DF265" s="7">
        <f t="shared" si="289"/>
        <v>0</v>
      </c>
      <c r="DG265" s="7">
        <f t="shared" si="290"/>
        <v>0</v>
      </c>
      <c r="DH265" s="7">
        <f t="shared" si="291"/>
        <v>0</v>
      </c>
      <c r="DI265" s="7">
        <f t="shared" si="292"/>
        <v>0</v>
      </c>
      <c r="DJ265" s="7">
        <f t="shared" si="293"/>
        <v>0</v>
      </c>
      <c r="DK265" s="7">
        <f t="shared" si="294"/>
        <v>0</v>
      </c>
      <c r="DL265" s="7">
        <f t="shared" si="295"/>
        <v>0</v>
      </c>
      <c r="DM265" s="7">
        <f t="shared" si="296"/>
        <v>0</v>
      </c>
      <c r="DN265" s="7">
        <f t="shared" si="297"/>
        <v>0</v>
      </c>
      <c r="DO265" s="7">
        <f t="shared" si="298"/>
        <v>0</v>
      </c>
      <c r="DP265" s="7">
        <f t="shared" si="299"/>
        <v>0</v>
      </c>
      <c r="DQ265" s="7">
        <f t="shared" si="300"/>
        <v>0</v>
      </c>
      <c r="DR265" s="7">
        <f t="shared" si="301"/>
        <v>0</v>
      </c>
      <c r="DS265" s="7">
        <f t="shared" si="302"/>
        <v>0</v>
      </c>
      <c r="DT265" s="7">
        <f t="shared" si="303"/>
        <v>0</v>
      </c>
      <c r="DU265" s="7">
        <f t="shared" si="304"/>
        <v>0</v>
      </c>
    </row>
    <row r="266" spans="1:125" x14ac:dyDescent="0.2">
      <c r="A266" s="3">
        <f>Bonds!A266</f>
        <v>50997</v>
      </c>
      <c r="B266" s="4">
        <f>Bonds!B266</f>
        <v>4.5</v>
      </c>
      <c r="C266">
        <f>Bonds!P266</f>
        <v>26</v>
      </c>
      <c r="D266">
        <f t="shared" si="244"/>
        <v>0</v>
      </c>
      <c r="E266" s="3">
        <f>IF(1&gt;$C266,"",IF($D266=1,EOMONTH(EDATE(Bonds!$H266,6*(1-1)),0),EDATE(Bonds!$H266,6*(1-1))))</f>
        <v>46433</v>
      </c>
      <c r="F266" s="3">
        <f>IF(2&gt;$C266,"",IF($D266=1,EOMONTH(EDATE(Bonds!$H266,6*(2-1)),0),EDATE(Bonds!$H266,6*(2-1))))</f>
        <v>46614</v>
      </c>
      <c r="G266" s="3">
        <f>IF(3&gt;$C266,"",IF($D266=1,EOMONTH(EDATE(Bonds!$H266,6*(3-1)),0),EDATE(Bonds!$H266,6*(3-1))))</f>
        <v>46798</v>
      </c>
      <c r="H266" s="3">
        <f>IF(4&gt;$C266,"",IF($D266=1,EOMONTH(EDATE(Bonds!$H266,6*(4-1)),0),EDATE(Bonds!$H266,6*(4-1))))</f>
        <v>46980</v>
      </c>
      <c r="I266" s="3">
        <f>IF(5&gt;$C266,"",IF($D266=1,EOMONTH(EDATE(Bonds!$H266,6*(5-1)),0),EDATE(Bonds!$H266,6*(5-1))))</f>
        <v>47164</v>
      </c>
      <c r="J266" s="3">
        <f>IF(6&gt;$C266,"",IF($D266=1,EOMONTH(EDATE(Bonds!$H266,6*(6-1)),0),EDATE(Bonds!$H266,6*(6-1))))</f>
        <v>47345</v>
      </c>
      <c r="K266" s="3">
        <f>IF(7&gt;$C266,"",IF($D266=1,EOMONTH(EDATE(Bonds!$H266,6*(7-1)),0),EDATE(Bonds!$H266,6*(7-1))))</f>
        <v>47529</v>
      </c>
      <c r="L266" s="3">
        <f>IF(8&gt;$C266,"",IF($D266=1,EOMONTH(EDATE(Bonds!$H266,6*(8-1)),0),EDATE(Bonds!$H266,6*(8-1))))</f>
        <v>47710</v>
      </c>
      <c r="M266" s="3">
        <f>IF(9&gt;$C266,"",IF($D266=1,EOMONTH(EDATE(Bonds!$H266,6*(9-1)),0),EDATE(Bonds!$H266,6*(9-1))))</f>
        <v>47894</v>
      </c>
      <c r="N266" s="3">
        <f>IF(10&gt;$C266,"",IF($D266=1,EOMONTH(EDATE(Bonds!$H266,6*(10-1)),0),EDATE(Bonds!$H266,6*(10-1))))</f>
        <v>48075</v>
      </c>
      <c r="O266" s="3">
        <f>IF(11&gt;$C266,"",IF($D266=1,EOMONTH(EDATE(Bonds!$H266,6*(11-1)),0),EDATE(Bonds!$H266,6*(11-1))))</f>
        <v>48259</v>
      </c>
      <c r="P266" s="3">
        <f>IF(12&gt;$C266,"",IF($D266=1,EOMONTH(EDATE(Bonds!$H266,6*(12-1)),0),EDATE(Bonds!$H266,6*(12-1))))</f>
        <v>48441</v>
      </c>
      <c r="Q266" s="3">
        <f>IF(13&gt;$C266,"",IF($D266=1,EOMONTH(EDATE(Bonds!$H266,6*(13-1)),0),EDATE(Bonds!$H266,6*(13-1))))</f>
        <v>48625</v>
      </c>
      <c r="R266" s="3">
        <f>IF(14&gt;$C266,"",IF($D266=1,EOMONTH(EDATE(Bonds!$H266,6*(14-1)),0),EDATE(Bonds!$H266,6*(14-1))))</f>
        <v>48806</v>
      </c>
      <c r="S266" s="3">
        <f>IF(15&gt;$C266,"",IF($D266=1,EOMONTH(EDATE(Bonds!$H266,6*(15-1)),0),EDATE(Bonds!$H266,6*(15-1))))</f>
        <v>48990</v>
      </c>
      <c r="T266" s="3">
        <f>IF(16&gt;$C266,"",IF($D266=1,EOMONTH(EDATE(Bonds!$H266,6*(16-1)),0),EDATE(Bonds!$H266,6*(16-1))))</f>
        <v>49171</v>
      </c>
      <c r="U266" s="3">
        <f>IF(17&gt;$C266,"",IF($D266=1,EOMONTH(EDATE(Bonds!$H266,6*(17-1)),0),EDATE(Bonds!$H266,6*(17-1))))</f>
        <v>49355</v>
      </c>
      <c r="V266" s="3">
        <f>IF(18&gt;$C266,"",IF($D266=1,EOMONTH(EDATE(Bonds!$H266,6*(18-1)),0),EDATE(Bonds!$H266,6*(18-1))))</f>
        <v>49536</v>
      </c>
      <c r="W266" s="3">
        <f>IF(19&gt;$C266,"",IF($D266=1,EOMONTH(EDATE(Bonds!$H266,6*(19-1)),0),EDATE(Bonds!$H266,6*(19-1))))</f>
        <v>49720</v>
      </c>
      <c r="X266" s="3">
        <f>IF(20&gt;$C266,"",IF($D266=1,EOMONTH(EDATE(Bonds!$H266,6*(20-1)),0),EDATE(Bonds!$H266,6*(20-1))))</f>
        <v>49902</v>
      </c>
      <c r="Y266" s="3">
        <f>IF(21&gt;$C266,"",IF($D266=1,EOMONTH(EDATE(Bonds!$H266,6*(21-1)),0),EDATE(Bonds!$H266,6*(21-1))))</f>
        <v>50086</v>
      </c>
      <c r="Z266" s="3">
        <f>IF(22&gt;$C266,"",IF($D266=1,EOMONTH(EDATE(Bonds!$H266,6*(22-1)),0),EDATE(Bonds!$H266,6*(22-1))))</f>
        <v>50267</v>
      </c>
      <c r="AA266" s="3">
        <f>IF(23&gt;$C266,"",IF($D266=1,EOMONTH(EDATE(Bonds!$H266,6*(23-1)),0),EDATE(Bonds!$H266,6*(23-1))))</f>
        <v>50451</v>
      </c>
      <c r="AB266" s="3">
        <f>IF(24&gt;$C266,"",IF($D266=1,EOMONTH(EDATE(Bonds!$H266,6*(24-1)),0),EDATE(Bonds!$H266,6*(24-1))))</f>
        <v>50632</v>
      </c>
      <c r="AC266" s="3">
        <f>IF(25&gt;$C266,"",IF($D266=1,EOMONTH(EDATE(Bonds!$H266,6*(25-1)),0),EDATE(Bonds!$H266,6*(25-1))))</f>
        <v>50816</v>
      </c>
      <c r="AD266" s="3">
        <f>IF(26&gt;$C266,"",IF($D266=1,EOMONTH(EDATE(Bonds!$H266,6*(26-1)),0),EDATE(Bonds!$H266,6*(26-1))))</f>
        <v>50997</v>
      </c>
      <c r="AE266" s="3" t="str">
        <f>IF(27&gt;$C266,"",IF($D266=1,EOMONTH(EDATE(Bonds!$H266,6*(27-1)),0),EDATE(Bonds!$H266,6*(27-1))))</f>
        <v/>
      </c>
      <c r="AF266" s="3" t="str">
        <f>IF(28&gt;$C266,"",IF($D266=1,EOMONTH(EDATE(Bonds!$H266,6*(28-1)),0),EDATE(Bonds!$H266,6*(28-1))))</f>
        <v/>
      </c>
      <c r="AG266" s="3" t="str">
        <f>IF(29&gt;$C266,"",IF($D266=1,EOMONTH(EDATE(Bonds!$H266,6*(29-1)),0),EDATE(Bonds!$H266,6*(29-1))))</f>
        <v/>
      </c>
      <c r="AH266" s="3" t="str">
        <f>IF(30&gt;$C266,"",IF($D266=1,EOMONTH(EDATE(Bonds!$H266,6*(30-1)),0),EDATE(Bonds!$H266,6*(30-1))))</f>
        <v/>
      </c>
      <c r="AI266" s="3" t="str">
        <f>IF(31&gt;$C266,"",IF($D266=1,EOMONTH(EDATE(Bonds!$H266,6*(31-1)),0),EDATE(Bonds!$H266,6*(31-1))))</f>
        <v/>
      </c>
      <c r="AJ266" s="3" t="str">
        <f>IF(32&gt;$C266,"",IF($D266=1,EOMONTH(EDATE(Bonds!$H266,6*(32-1)),0),EDATE(Bonds!$H266,6*(32-1))))</f>
        <v/>
      </c>
      <c r="AK266" s="3" t="str">
        <f>IF(33&gt;$C266,"",IF($D266=1,EOMONTH(EDATE(Bonds!$H266,6*(33-1)),0),EDATE(Bonds!$H266,6*(33-1))))</f>
        <v/>
      </c>
      <c r="AL266" s="3" t="str">
        <f>IF(34&gt;$C266,"",IF($D266=1,EOMONTH(EDATE(Bonds!$H266,6*(34-1)),0),EDATE(Bonds!$H266,6*(34-1))))</f>
        <v/>
      </c>
      <c r="AM266" s="3" t="str">
        <f>IF(35&gt;$C266,"",IF($D266=1,EOMONTH(EDATE(Bonds!$H266,6*(35-1)),0),EDATE(Bonds!$H266,6*(35-1))))</f>
        <v/>
      </c>
      <c r="AN266" s="3" t="str">
        <f>IF(36&gt;$C266,"",IF($D266=1,EOMONTH(EDATE(Bonds!$H266,6*(36-1)),0),EDATE(Bonds!$H266,6*(36-1))))</f>
        <v/>
      </c>
      <c r="AO266" s="3" t="str">
        <f>IF(37&gt;$C266,"",IF($D266=1,EOMONTH(EDATE(Bonds!$H266,6*(37-1)),0),EDATE(Bonds!$H266,6*(37-1))))</f>
        <v/>
      </c>
      <c r="AP266" s="3" t="str">
        <f>IF(38&gt;$C266,"",IF($D266=1,EOMONTH(EDATE(Bonds!$H266,6*(38-1)),0),EDATE(Bonds!$H266,6*(38-1))))</f>
        <v/>
      </c>
      <c r="AQ266" s="3" t="str">
        <f>IF(39&gt;$C266,"",IF($D266=1,EOMONTH(EDATE(Bonds!$H266,6*(39-1)),0),EDATE(Bonds!$H266,6*(39-1))))</f>
        <v/>
      </c>
      <c r="AR266" s="3" t="str">
        <f>IF(40&gt;$C266,"",IF($D266=1,EOMONTH(EDATE(Bonds!$H266,6*(40-1)),0),EDATE(Bonds!$H266,6*(40-1))))</f>
        <v/>
      </c>
      <c r="AS266" s="3" t="str">
        <f>IF(41&gt;$C266,"",IF($D266=1,EOMONTH(EDATE(Bonds!$H266,6*(41-1)),0),EDATE(Bonds!$H266,6*(41-1))))</f>
        <v/>
      </c>
      <c r="AT266" s="3" t="str">
        <f>IF(42&gt;$C266,"",IF($D266=1,EOMONTH(EDATE(Bonds!$H266,6*(42-1)),0),EDATE(Bonds!$H266,6*(42-1))))</f>
        <v/>
      </c>
      <c r="AU266" s="3" t="str">
        <f>IF(43&gt;$C266,"",IF($D266=1,EOMONTH(EDATE(Bonds!$H266,6*(43-1)),0),EDATE(Bonds!$H266,6*(43-1))))</f>
        <v/>
      </c>
      <c r="AV266" s="3" t="str">
        <f>IF(44&gt;$C266,"",IF($D266=1,EOMONTH(EDATE(Bonds!$H266,6*(44-1)),0),EDATE(Bonds!$H266,6*(44-1))))</f>
        <v/>
      </c>
      <c r="AW266" s="3" t="str">
        <f>IF(45&gt;$C266,"",IF($D266=1,EOMONTH(EDATE(Bonds!$H266,6*(45-1)),0),EDATE(Bonds!$H266,6*(45-1))))</f>
        <v/>
      </c>
      <c r="AX266" s="3" t="str">
        <f>IF(46&gt;$C266,"",IF($D266=1,EOMONTH(EDATE(Bonds!$H266,6*(46-1)),0),EDATE(Bonds!$H266,6*(46-1))))</f>
        <v/>
      </c>
      <c r="AY266" s="3" t="str">
        <f>IF(47&gt;$C266,"",IF($D266=1,EOMONTH(EDATE(Bonds!$H266,6*(47-1)),0),EDATE(Bonds!$H266,6*(47-1))))</f>
        <v/>
      </c>
      <c r="AZ266" s="3" t="str">
        <f>IF(48&gt;$C266,"",IF($D266=1,EOMONTH(EDATE(Bonds!$H266,6*(48-1)),0),EDATE(Bonds!$H266,6*(48-1))))</f>
        <v/>
      </c>
      <c r="BA266" s="3" t="str">
        <f>IF(49&gt;$C266,"",IF($D266=1,EOMONTH(EDATE(Bonds!$H266,6*(49-1)),0),EDATE(Bonds!$H266,6*(49-1))))</f>
        <v/>
      </c>
      <c r="BB266" s="3" t="str">
        <f>IF(50&gt;$C266,"",IF($D266=1,EOMONTH(EDATE(Bonds!$H266,6*(50-1)),0),EDATE(Bonds!$H266,6*(50-1))))</f>
        <v/>
      </c>
      <c r="BC266" s="3" t="str">
        <f>IF(51&gt;$C266,"",IF($D266=1,EOMONTH(EDATE(Bonds!$H266,6*(51-1)),0),EDATE(Bonds!$H266,6*(51-1))))</f>
        <v/>
      </c>
      <c r="BD266" s="3" t="str">
        <f>IF(52&gt;$C266,"",IF($D266=1,EOMONTH(EDATE(Bonds!$H266,6*(52-1)),0),EDATE(Bonds!$H266,6*(52-1))))</f>
        <v/>
      </c>
      <c r="BE266" s="3" t="str">
        <f>IF(53&gt;$C266,"",IF($D266=1,EOMONTH(EDATE(Bonds!$H266,6*(53-1)),0),EDATE(Bonds!$H266,6*(53-1))))</f>
        <v/>
      </c>
      <c r="BF266" s="3" t="str">
        <f>IF(54&gt;$C266,"",IF($D266=1,EOMONTH(EDATE(Bonds!$H266,6*(54-1)),0),EDATE(Bonds!$H266,6*(54-1))))</f>
        <v/>
      </c>
      <c r="BG266" s="3" t="str">
        <f>IF(55&gt;$C266,"",IF($D266=1,EOMONTH(EDATE(Bonds!$H266,6*(55-1)),0),EDATE(Bonds!$H266,6*(55-1))))</f>
        <v/>
      </c>
      <c r="BH266" s="3" t="str">
        <f>IF(56&gt;$C266,"",IF($D266=1,EOMONTH(EDATE(Bonds!$H266,6*(56-1)),0),EDATE(Bonds!$H266,6*(56-1))))</f>
        <v/>
      </c>
      <c r="BI266" s="3" t="str">
        <f>IF(57&gt;$C266,"",IF($D266=1,EOMONTH(EDATE(Bonds!$H266,6*(57-1)),0),EDATE(Bonds!$H266,6*(57-1))))</f>
        <v/>
      </c>
      <c r="BJ266" s="3" t="str">
        <f>IF(58&gt;$C266,"",IF($D266=1,EOMONTH(EDATE(Bonds!$H266,6*(58-1)),0),EDATE(Bonds!$H266,6*(58-1))))</f>
        <v/>
      </c>
      <c r="BK266" s="3" t="str">
        <f>IF(59&gt;$C266,"",IF($D266=1,EOMONTH(EDATE(Bonds!$H266,6*(59-1)),0),EDATE(Bonds!$H266,6*(59-1))))</f>
        <v/>
      </c>
      <c r="BL266" s="3" t="str">
        <f>IF(60&gt;$C266,"",IF($D266=1,EOMONTH(EDATE(Bonds!$H266,6*(60-1)),0),EDATE(Bonds!$H266,6*(60-1))))</f>
        <v/>
      </c>
      <c r="BN266" s="7">
        <f t="shared" si="245"/>
        <v>2.2118388351322902</v>
      </c>
      <c r="BO266" s="7">
        <f t="shared" si="246"/>
        <v>2.1652169801566239</v>
      </c>
      <c r="BP266" s="7">
        <f t="shared" si="247"/>
        <v>2.1166517426340623</v>
      </c>
      <c r="BQ266" s="7">
        <f t="shared" si="248"/>
        <v>2.0688940633341026</v>
      </c>
      <c r="BR266" s="7">
        <f t="shared" si="249"/>
        <v>2.0215622619265532</v>
      </c>
      <c r="BS266" s="7">
        <f t="shared" si="250"/>
        <v>1.976139021876409</v>
      </c>
      <c r="BT266" s="7">
        <f t="shared" si="251"/>
        <v>1.9310844028122001</v>
      </c>
      <c r="BU266" s="7">
        <f t="shared" si="252"/>
        <v>1.8877247109270492</v>
      </c>
      <c r="BV266" s="7">
        <f t="shared" si="253"/>
        <v>1.8444415483005023</v>
      </c>
      <c r="BW266" s="7">
        <f t="shared" si="254"/>
        <v>1.8024764091652268</v>
      </c>
      <c r="BX266" s="7">
        <f t="shared" si="255"/>
        <v>1.7602931258334058</v>
      </c>
      <c r="BY266" s="7">
        <f t="shared" si="256"/>
        <v>1.7189350557736338</v>
      </c>
      <c r="BZ266" s="7">
        <f t="shared" si="257"/>
        <v>1.6774225976740433</v>
      </c>
      <c r="CA266" s="7">
        <f t="shared" si="258"/>
        <v>1.6368462638297947</v>
      </c>
      <c r="CB266" s="7">
        <f t="shared" si="259"/>
        <v>1.5958544062952664</v>
      </c>
      <c r="CC266" s="7">
        <f t="shared" si="260"/>
        <v>1.5558001005393229</v>
      </c>
      <c r="CD266" s="7">
        <f t="shared" si="261"/>
        <v>1.5153898656793978</v>
      </c>
      <c r="CE266" s="7">
        <f t="shared" si="262"/>
        <v>1.4759869924883868</v>
      </c>
      <c r="CF266" s="7">
        <f t="shared" si="263"/>
        <v>1.4363396189605988</v>
      </c>
      <c r="CG266" s="7">
        <f t="shared" si="264"/>
        <v>1.3975860385034076</v>
      </c>
      <c r="CH266" s="7">
        <f t="shared" si="265"/>
        <v>1.3589340007777988</v>
      </c>
      <c r="CI266" s="7">
        <f t="shared" si="266"/>
        <v>1.3214861938366897</v>
      </c>
      <c r="CJ266" s="7">
        <f t="shared" si="267"/>
        <v>1.2840558907182238</v>
      </c>
      <c r="CK266" s="7">
        <f t="shared" si="268"/>
        <v>1.2479128114826943</v>
      </c>
      <c r="CL266" s="7">
        <f t="shared" si="269"/>
        <v>1.2119039099813431</v>
      </c>
      <c r="CM266" s="7">
        <f t="shared" si="270"/>
        <v>53.499106164564701</v>
      </c>
      <c r="CN266" s="7">
        <f t="shared" si="271"/>
        <v>0</v>
      </c>
      <c r="CO266" s="7">
        <f t="shared" si="272"/>
        <v>0</v>
      </c>
      <c r="CP266" s="7">
        <f t="shared" si="273"/>
        <v>0</v>
      </c>
      <c r="CQ266" s="7">
        <f t="shared" si="274"/>
        <v>0</v>
      </c>
      <c r="CR266" s="7">
        <f t="shared" si="275"/>
        <v>0</v>
      </c>
      <c r="CS266" s="7">
        <f t="shared" si="276"/>
        <v>0</v>
      </c>
      <c r="CT266" s="7">
        <f t="shared" si="277"/>
        <v>0</v>
      </c>
      <c r="CU266" s="7">
        <f t="shared" si="278"/>
        <v>0</v>
      </c>
      <c r="CV266" s="7">
        <f t="shared" si="279"/>
        <v>0</v>
      </c>
      <c r="CW266" s="7">
        <f t="shared" si="280"/>
        <v>0</v>
      </c>
      <c r="CX266" s="7">
        <f t="shared" si="281"/>
        <v>0</v>
      </c>
      <c r="CY266" s="7">
        <f t="shared" si="282"/>
        <v>0</v>
      </c>
      <c r="CZ266" s="7">
        <f t="shared" si="283"/>
        <v>0</v>
      </c>
      <c r="DA266" s="7">
        <f t="shared" si="284"/>
        <v>0</v>
      </c>
      <c r="DB266" s="7">
        <f t="shared" si="285"/>
        <v>0</v>
      </c>
      <c r="DC266" s="7">
        <f t="shared" si="286"/>
        <v>0</v>
      </c>
      <c r="DD266" s="7">
        <f t="shared" si="287"/>
        <v>0</v>
      </c>
      <c r="DE266" s="7">
        <f t="shared" si="288"/>
        <v>0</v>
      </c>
      <c r="DF266" s="7">
        <f t="shared" si="289"/>
        <v>0</v>
      </c>
      <c r="DG266" s="7">
        <f t="shared" si="290"/>
        <v>0</v>
      </c>
      <c r="DH266" s="7">
        <f t="shared" si="291"/>
        <v>0</v>
      </c>
      <c r="DI266" s="7">
        <f t="shared" si="292"/>
        <v>0</v>
      </c>
      <c r="DJ266" s="7">
        <f t="shared" si="293"/>
        <v>0</v>
      </c>
      <c r="DK266" s="7">
        <f t="shared" si="294"/>
        <v>0</v>
      </c>
      <c r="DL266" s="7">
        <f t="shared" si="295"/>
        <v>0</v>
      </c>
      <c r="DM266" s="7">
        <f t="shared" si="296"/>
        <v>0</v>
      </c>
      <c r="DN266" s="7">
        <f t="shared" si="297"/>
        <v>0</v>
      </c>
      <c r="DO266" s="7">
        <f t="shared" si="298"/>
        <v>0</v>
      </c>
      <c r="DP266" s="7">
        <f t="shared" si="299"/>
        <v>0</v>
      </c>
      <c r="DQ266" s="7">
        <f t="shared" si="300"/>
        <v>0</v>
      </c>
      <c r="DR266" s="7">
        <f t="shared" si="301"/>
        <v>0</v>
      </c>
      <c r="DS266" s="7">
        <f t="shared" si="302"/>
        <v>0</v>
      </c>
      <c r="DT266" s="7">
        <f t="shared" si="303"/>
        <v>0</v>
      </c>
      <c r="DU266" s="7">
        <f t="shared" si="304"/>
        <v>0</v>
      </c>
    </row>
    <row r="267" spans="1:125" x14ac:dyDescent="0.2">
      <c r="A267" s="3">
        <f>Bonds!A267</f>
        <v>51089</v>
      </c>
      <c r="B267" s="4">
        <f>Bonds!B267</f>
        <v>4.375</v>
      </c>
      <c r="C267">
        <f>Bonds!P267</f>
        <v>27</v>
      </c>
      <c r="D267">
        <f t="shared" si="244"/>
        <v>0</v>
      </c>
      <c r="E267" s="3">
        <f>IF(1&gt;$C267,"",IF($D267=1,EOMONTH(EDATE(Bonds!$H267,6*(1-1)),0),EDATE(Bonds!$H267,6*(1-1))))</f>
        <v>46341</v>
      </c>
      <c r="F267" s="3">
        <f>IF(2&gt;$C267,"",IF($D267=1,EOMONTH(EDATE(Bonds!$H267,6*(2-1)),0),EDATE(Bonds!$H267,6*(2-1))))</f>
        <v>46522</v>
      </c>
      <c r="G267" s="3">
        <f>IF(3&gt;$C267,"",IF($D267=1,EOMONTH(EDATE(Bonds!$H267,6*(3-1)),0),EDATE(Bonds!$H267,6*(3-1))))</f>
        <v>46706</v>
      </c>
      <c r="H267" s="3">
        <f>IF(4&gt;$C267,"",IF($D267=1,EOMONTH(EDATE(Bonds!$H267,6*(4-1)),0),EDATE(Bonds!$H267,6*(4-1))))</f>
        <v>46888</v>
      </c>
      <c r="I267" s="3">
        <f>IF(5&gt;$C267,"",IF($D267=1,EOMONTH(EDATE(Bonds!$H267,6*(5-1)),0),EDATE(Bonds!$H267,6*(5-1))))</f>
        <v>47072</v>
      </c>
      <c r="J267" s="3">
        <f>IF(6&gt;$C267,"",IF($D267=1,EOMONTH(EDATE(Bonds!$H267,6*(6-1)),0),EDATE(Bonds!$H267,6*(6-1))))</f>
        <v>47253</v>
      </c>
      <c r="K267" s="3">
        <f>IF(7&gt;$C267,"",IF($D267=1,EOMONTH(EDATE(Bonds!$H267,6*(7-1)),0),EDATE(Bonds!$H267,6*(7-1))))</f>
        <v>47437</v>
      </c>
      <c r="L267" s="3">
        <f>IF(8&gt;$C267,"",IF($D267=1,EOMONTH(EDATE(Bonds!$H267,6*(8-1)),0),EDATE(Bonds!$H267,6*(8-1))))</f>
        <v>47618</v>
      </c>
      <c r="M267" s="3">
        <f>IF(9&gt;$C267,"",IF($D267=1,EOMONTH(EDATE(Bonds!$H267,6*(9-1)),0),EDATE(Bonds!$H267,6*(9-1))))</f>
        <v>47802</v>
      </c>
      <c r="N267" s="3">
        <f>IF(10&gt;$C267,"",IF($D267=1,EOMONTH(EDATE(Bonds!$H267,6*(10-1)),0),EDATE(Bonds!$H267,6*(10-1))))</f>
        <v>47983</v>
      </c>
      <c r="O267" s="3">
        <f>IF(11&gt;$C267,"",IF($D267=1,EOMONTH(EDATE(Bonds!$H267,6*(11-1)),0),EDATE(Bonds!$H267,6*(11-1))))</f>
        <v>48167</v>
      </c>
      <c r="P267" s="3">
        <f>IF(12&gt;$C267,"",IF($D267=1,EOMONTH(EDATE(Bonds!$H267,6*(12-1)),0),EDATE(Bonds!$H267,6*(12-1))))</f>
        <v>48349</v>
      </c>
      <c r="Q267" s="3">
        <f>IF(13&gt;$C267,"",IF($D267=1,EOMONTH(EDATE(Bonds!$H267,6*(13-1)),0),EDATE(Bonds!$H267,6*(13-1))))</f>
        <v>48533</v>
      </c>
      <c r="R267" s="3">
        <f>IF(14&gt;$C267,"",IF($D267=1,EOMONTH(EDATE(Bonds!$H267,6*(14-1)),0),EDATE(Bonds!$H267,6*(14-1))))</f>
        <v>48714</v>
      </c>
      <c r="S267" s="3">
        <f>IF(15&gt;$C267,"",IF($D267=1,EOMONTH(EDATE(Bonds!$H267,6*(15-1)),0),EDATE(Bonds!$H267,6*(15-1))))</f>
        <v>48898</v>
      </c>
      <c r="T267" s="3">
        <f>IF(16&gt;$C267,"",IF($D267=1,EOMONTH(EDATE(Bonds!$H267,6*(16-1)),0),EDATE(Bonds!$H267,6*(16-1))))</f>
        <v>49079</v>
      </c>
      <c r="U267" s="3">
        <f>IF(17&gt;$C267,"",IF($D267=1,EOMONTH(EDATE(Bonds!$H267,6*(17-1)),0),EDATE(Bonds!$H267,6*(17-1))))</f>
        <v>49263</v>
      </c>
      <c r="V267" s="3">
        <f>IF(18&gt;$C267,"",IF($D267=1,EOMONTH(EDATE(Bonds!$H267,6*(18-1)),0),EDATE(Bonds!$H267,6*(18-1))))</f>
        <v>49444</v>
      </c>
      <c r="W267" s="3">
        <f>IF(19&gt;$C267,"",IF($D267=1,EOMONTH(EDATE(Bonds!$H267,6*(19-1)),0),EDATE(Bonds!$H267,6*(19-1))))</f>
        <v>49628</v>
      </c>
      <c r="X267" s="3">
        <f>IF(20&gt;$C267,"",IF($D267=1,EOMONTH(EDATE(Bonds!$H267,6*(20-1)),0),EDATE(Bonds!$H267,6*(20-1))))</f>
        <v>49810</v>
      </c>
      <c r="Y267" s="3">
        <f>IF(21&gt;$C267,"",IF($D267=1,EOMONTH(EDATE(Bonds!$H267,6*(21-1)),0),EDATE(Bonds!$H267,6*(21-1))))</f>
        <v>49994</v>
      </c>
      <c r="Z267" s="3">
        <f>IF(22&gt;$C267,"",IF($D267=1,EOMONTH(EDATE(Bonds!$H267,6*(22-1)),0),EDATE(Bonds!$H267,6*(22-1))))</f>
        <v>50175</v>
      </c>
      <c r="AA267" s="3">
        <f>IF(23&gt;$C267,"",IF($D267=1,EOMONTH(EDATE(Bonds!$H267,6*(23-1)),0),EDATE(Bonds!$H267,6*(23-1))))</f>
        <v>50359</v>
      </c>
      <c r="AB267" s="3">
        <f>IF(24&gt;$C267,"",IF($D267=1,EOMONTH(EDATE(Bonds!$H267,6*(24-1)),0),EDATE(Bonds!$H267,6*(24-1))))</f>
        <v>50540</v>
      </c>
      <c r="AC267" s="3">
        <f>IF(25&gt;$C267,"",IF($D267=1,EOMONTH(EDATE(Bonds!$H267,6*(25-1)),0),EDATE(Bonds!$H267,6*(25-1))))</f>
        <v>50724</v>
      </c>
      <c r="AD267" s="3">
        <f>IF(26&gt;$C267,"",IF($D267=1,EOMONTH(EDATE(Bonds!$H267,6*(26-1)),0),EDATE(Bonds!$H267,6*(26-1))))</f>
        <v>50905</v>
      </c>
      <c r="AE267" s="3">
        <f>IF(27&gt;$C267,"",IF($D267=1,EOMONTH(EDATE(Bonds!$H267,6*(27-1)),0),EDATE(Bonds!$H267,6*(27-1))))</f>
        <v>51089</v>
      </c>
      <c r="AF267" s="3" t="str">
        <f>IF(28&gt;$C267,"",IF($D267=1,EOMONTH(EDATE(Bonds!$H267,6*(28-1)),0),EDATE(Bonds!$H267,6*(28-1))))</f>
        <v/>
      </c>
      <c r="AG267" s="3" t="str">
        <f>IF(29&gt;$C267,"",IF($D267=1,EOMONTH(EDATE(Bonds!$H267,6*(29-1)),0),EDATE(Bonds!$H267,6*(29-1))))</f>
        <v/>
      </c>
      <c r="AH267" s="3" t="str">
        <f>IF(30&gt;$C267,"",IF($D267=1,EOMONTH(EDATE(Bonds!$H267,6*(30-1)),0),EDATE(Bonds!$H267,6*(30-1))))</f>
        <v/>
      </c>
      <c r="AI267" s="3" t="str">
        <f>IF(31&gt;$C267,"",IF($D267=1,EOMONTH(EDATE(Bonds!$H267,6*(31-1)),0),EDATE(Bonds!$H267,6*(31-1))))</f>
        <v/>
      </c>
      <c r="AJ267" s="3" t="str">
        <f>IF(32&gt;$C267,"",IF($D267=1,EOMONTH(EDATE(Bonds!$H267,6*(32-1)),0),EDATE(Bonds!$H267,6*(32-1))))</f>
        <v/>
      </c>
      <c r="AK267" s="3" t="str">
        <f>IF(33&gt;$C267,"",IF($D267=1,EOMONTH(EDATE(Bonds!$H267,6*(33-1)),0),EDATE(Bonds!$H267,6*(33-1))))</f>
        <v/>
      </c>
      <c r="AL267" s="3" t="str">
        <f>IF(34&gt;$C267,"",IF($D267=1,EOMONTH(EDATE(Bonds!$H267,6*(34-1)),0),EDATE(Bonds!$H267,6*(34-1))))</f>
        <v/>
      </c>
      <c r="AM267" s="3" t="str">
        <f>IF(35&gt;$C267,"",IF($D267=1,EOMONTH(EDATE(Bonds!$H267,6*(35-1)),0),EDATE(Bonds!$H267,6*(35-1))))</f>
        <v/>
      </c>
      <c r="AN267" s="3" t="str">
        <f>IF(36&gt;$C267,"",IF($D267=1,EOMONTH(EDATE(Bonds!$H267,6*(36-1)),0),EDATE(Bonds!$H267,6*(36-1))))</f>
        <v/>
      </c>
      <c r="AO267" s="3" t="str">
        <f>IF(37&gt;$C267,"",IF($D267=1,EOMONTH(EDATE(Bonds!$H267,6*(37-1)),0),EDATE(Bonds!$H267,6*(37-1))))</f>
        <v/>
      </c>
      <c r="AP267" s="3" t="str">
        <f>IF(38&gt;$C267,"",IF($D267=1,EOMONTH(EDATE(Bonds!$H267,6*(38-1)),0),EDATE(Bonds!$H267,6*(38-1))))</f>
        <v/>
      </c>
      <c r="AQ267" s="3" t="str">
        <f>IF(39&gt;$C267,"",IF($D267=1,EOMONTH(EDATE(Bonds!$H267,6*(39-1)),0),EDATE(Bonds!$H267,6*(39-1))))</f>
        <v/>
      </c>
      <c r="AR267" s="3" t="str">
        <f>IF(40&gt;$C267,"",IF($D267=1,EOMONTH(EDATE(Bonds!$H267,6*(40-1)),0),EDATE(Bonds!$H267,6*(40-1))))</f>
        <v/>
      </c>
      <c r="AS267" s="3" t="str">
        <f>IF(41&gt;$C267,"",IF($D267=1,EOMONTH(EDATE(Bonds!$H267,6*(41-1)),0),EDATE(Bonds!$H267,6*(41-1))))</f>
        <v/>
      </c>
      <c r="AT267" s="3" t="str">
        <f>IF(42&gt;$C267,"",IF($D267=1,EOMONTH(EDATE(Bonds!$H267,6*(42-1)),0),EDATE(Bonds!$H267,6*(42-1))))</f>
        <v/>
      </c>
      <c r="AU267" s="3" t="str">
        <f>IF(43&gt;$C267,"",IF($D267=1,EOMONTH(EDATE(Bonds!$H267,6*(43-1)),0),EDATE(Bonds!$H267,6*(43-1))))</f>
        <v/>
      </c>
      <c r="AV267" s="3" t="str">
        <f>IF(44&gt;$C267,"",IF($D267=1,EOMONTH(EDATE(Bonds!$H267,6*(44-1)),0),EDATE(Bonds!$H267,6*(44-1))))</f>
        <v/>
      </c>
      <c r="AW267" s="3" t="str">
        <f>IF(45&gt;$C267,"",IF($D267=1,EOMONTH(EDATE(Bonds!$H267,6*(45-1)),0),EDATE(Bonds!$H267,6*(45-1))))</f>
        <v/>
      </c>
      <c r="AX267" s="3" t="str">
        <f>IF(46&gt;$C267,"",IF($D267=1,EOMONTH(EDATE(Bonds!$H267,6*(46-1)),0),EDATE(Bonds!$H267,6*(46-1))))</f>
        <v/>
      </c>
      <c r="AY267" s="3" t="str">
        <f>IF(47&gt;$C267,"",IF($D267=1,EOMONTH(EDATE(Bonds!$H267,6*(47-1)),0),EDATE(Bonds!$H267,6*(47-1))))</f>
        <v/>
      </c>
      <c r="AZ267" s="3" t="str">
        <f>IF(48&gt;$C267,"",IF($D267=1,EOMONTH(EDATE(Bonds!$H267,6*(48-1)),0),EDATE(Bonds!$H267,6*(48-1))))</f>
        <v/>
      </c>
      <c r="BA267" s="3" t="str">
        <f>IF(49&gt;$C267,"",IF($D267=1,EOMONTH(EDATE(Bonds!$H267,6*(49-1)),0),EDATE(Bonds!$H267,6*(49-1))))</f>
        <v/>
      </c>
      <c r="BB267" s="3" t="str">
        <f>IF(50&gt;$C267,"",IF($D267=1,EOMONTH(EDATE(Bonds!$H267,6*(50-1)),0),EDATE(Bonds!$H267,6*(50-1))))</f>
        <v/>
      </c>
      <c r="BC267" s="3" t="str">
        <f>IF(51&gt;$C267,"",IF($D267=1,EOMONTH(EDATE(Bonds!$H267,6*(51-1)),0),EDATE(Bonds!$H267,6*(51-1))))</f>
        <v/>
      </c>
      <c r="BD267" s="3" t="str">
        <f>IF(52&gt;$C267,"",IF($D267=1,EOMONTH(EDATE(Bonds!$H267,6*(52-1)),0),EDATE(Bonds!$H267,6*(52-1))))</f>
        <v/>
      </c>
      <c r="BE267" s="3" t="str">
        <f>IF(53&gt;$C267,"",IF($D267=1,EOMONTH(EDATE(Bonds!$H267,6*(53-1)),0),EDATE(Bonds!$H267,6*(53-1))))</f>
        <v/>
      </c>
      <c r="BF267" s="3" t="str">
        <f>IF(54&gt;$C267,"",IF($D267=1,EOMONTH(EDATE(Bonds!$H267,6*(54-1)),0),EDATE(Bonds!$H267,6*(54-1))))</f>
        <v/>
      </c>
      <c r="BG267" s="3" t="str">
        <f>IF(55&gt;$C267,"",IF($D267=1,EOMONTH(EDATE(Bonds!$H267,6*(55-1)),0),EDATE(Bonds!$H267,6*(55-1))))</f>
        <v/>
      </c>
      <c r="BH267" s="3" t="str">
        <f>IF(56&gt;$C267,"",IF($D267=1,EOMONTH(EDATE(Bonds!$H267,6*(56-1)),0),EDATE(Bonds!$H267,6*(56-1))))</f>
        <v/>
      </c>
      <c r="BI267" s="3" t="str">
        <f>IF(57&gt;$C267,"",IF($D267=1,EOMONTH(EDATE(Bonds!$H267,6*(57-1)),0),EDATE(Bonds!$H267,6*(57-1))))</f>
        <v/>
      </c>
      <c r="BJ267" s="3" t="str">
        <f>IF(58&gt;$C267,"",IF($D267=1,EOMONTH(EDATE(Bonds!$H267,6*(58-1)),0),EDATE(Bonds!$H267,6*(58-1))))</f>
        <v/>
      </c>
      <c r="BK267" s="3" t="str">
        <f>IF(59&gt;$C267,"",IF($D267=1,EOMONTH(EDATE(Bonds!$H267,6*(59-1)),0),EDATE(Bonds!$H267,6*(59-1))))</f>
        <v/>
      </c>
      <c r="BL267" s="3" t="str">
        <f>IF(60&gt;$C267,"",IF($D267=1,EOMONTH(EDATE(Bonds!$H267,6*(60-1)),0),EDATE(Bonds!$H267,6*(60-1))))</f>
        <v/>
      </c>
      <c r="BN267" s="7">
        <f t="shared" si="245"/>
        <v>2.1722434619375406</v>
      </c>
      <c r="BO267" s="7">
        <f t="shared" si="246"/>
        <v>2.1283784053263513</v>
      </c>
      <c r="BP267" s="7">
        <f t="shared" si="247"/>
        <v>2.0814955624522868</v>
      </c>
      <c r="BQ267" s="7">
        <f t="shared" si="248"/>
        <v>2.0348084344152886</v>
      </c>
      <c r="BR267" s="7">
        <f t="shared" si="249"/>
        <v>1.9882798603072687</v>
      </c>
      <c r="BS267" s="7">
        <f t="shared" si="250"/>
        <v>1.9435543795252375</v>
      </c>
      <c r="BT267" s="7">
        <f t="shared" si="251"/>
        <v>1.8992147331871019</v>
      </c>
      <c r="BU267" s="7">
        <f t="shared" si="252"/>
        <v>1.8566096625922619</v>
      </c>
      <c r="BV267" s="7">
        <f t="shared" si="253"/>
        <v>1.8141611238965694</v>
      </c>
      <c r="BW267" s="7">
        <f t="shared" si="254"/>
        <v>1.7730810000872173</v>
      </c>
      <c r="BX267" s="7">
        <f t="shared" si="255"/>
        <v>1.731850827041723</v>
      </c>
      <c r="BY267" s="7">
        <f t="shared" si="256"/>
        <v>1.691473127355585</v>
      </c>
      <c r="BZ267" s="7">
        <f t="shared" si="257"/>
        <v>1.6509734469470527</v>
      </c>
      <c r="CA267" s="7">
        <f t="shared" si="258"/>
        <v>1.6113995763813598</v>
      </c>
      <c r="CB267" s="7">
        <f t="shared" si="259"/>
        <v>1.5714196671652791</v>
      </c>
      <c r="CC267" s="7">
        <f t="shared" si="260"/>
        <v>1.5323428657326172</v>
      </c>
      <c r="CD267" s="7">
        <f t="shared" si="261"/>
        <v>1.4928992210184322</v>
      </c>
      <c r="CE267" s="7">
        <f t="shared" si="262"/>
        <v>1.4544139338623494</v>
      </c>
      <c r="CF267" s="7">
        <f t="shared" si="263"/>
        <v>1.4156607640625285</v>
      </c>
      <c r="CG267" s="7">
        <f t="shared" si="264"/>
        <v>1.3777502826427388</v>
      </c>
      <c r="CH267" s="7">
        <f t="shared" si="265"/>
        <v>1.3399069852665557</v>
      </c>
      <c r="CI267" s="7">
        <f t="shared" si="266"/>
        <v>1.3032112842031036</v>
      </c>
      <c r="CJ267" s="7">
        <f t="shared" si="267"/>
        <v>1.266501590156704</v>
      </c>
      <c r="CK267" s="7">
        <f t="shared" si="268"/>
        <v>1.2310249793219572</v>
      </c>
      <c r="CL267" s="7">
        <f t="shared" si="269"/>
        <v>1.1956518653651937</v>
      </c>
      <c r="CM267" s="7">
        <f t="shared" si="270"/>
        <v>1.1615759549414322</v>
      </c>
      <c r="CN267" s="7">
        <f t="shared" si="271"/>
        <v>52.679847648359349</v>
      </c>
      <c r="CO267" s="7">
        <f t="shared" si="272"/>
        <v>0</v>
      </c>
      <c r="CP267" s="7">
        <f t="shared" si="273"/>
        <v>0</v>
      </c>
      <c r="CQ267" s="7">
        <f t="shared" si="274"/>
        <v>0</v>
      </c>
      <c r="CR267" s="7">
        <f t="shared" si="275"/>
        <v>0</v>
      </c>
      <c r="CS267" s="7">
        <f t="shared" si="276"/>
        <v>0</v>
      </c>
      <c r="CT267" s="7">
        <f t="shared" si="277"/>
        <v>0</v>
      </c>
      <c r="CU267" s="7">
        <f t="shared" si="278"/>
        <v>0</v>
      </c>
      <c r="CV267" s="7">
        <f t="shared" si="279"/>
        <v>0</v>
      </c>
      <c r="CW267" s="7">
        <f t="shared" si="280"/>
        <v>0</v>
      </c>
      <c r="CX267" s="7">
        <f t="shared" si="281"/>
        <v>0</v>
      </c>
      <c r="CY267" s="7">
        <f t="shared" si="282"/>
        <v>0</v>
      </c>
      <c r="CZ267" s="7">
        <f t="shared" si="283"/>
        <v>0</v>
      </c>
      <c r="DA267" s="7">
        <f t="shared" si="284"/>
        <v>0</v>
      </c>
      <c r="DB267" s="7">
        <f t="shared" si="285"/>
        <v>0</v>
      </c>
      <c r="DC267" s="7">
        <f t="shared" si="286"/>
        <v>0</v>
      </c>
      <c r="DD267" s="7">
        <f t="shared" si="287"/>
        <v>0</v>
      </c>
      <c r="DE267" s="7">
        <f t="shared" si="288"/>
        <v>0</v>
      </c>
      <c r="DF267" s="7">
        <f t="shared" si="289"/>
        <v>0</v>
      </c>
      <c r="DG267" s="7">
        <f t="shared" si="290"/>
        <v>0</v>
      </c>
      <c r="DH267" s="7">
        <f t="shared" si="291"/>
        <v>0</v>
      </c>
      <c r="DI267" s="7">
        <f t="shared" si="292"/>
        <v>0</v>
      </c>
      <c r="DJ267" s="7">
        <f t="shared" si="293"/>
        <v>0</v>
      </c>
      <c r="DK267" s="7">
        <f t="shared" si="294"/>
        <v>0</v>
      </c>
      <c r="DL267" s="7">
        <f t="shared" si="295"/>
        <v>0</v>
      </c>
      <c r="DM267" s="7">
        <f t="shared" si="296"/>
        <v>0</v>
      </c>
      <c r="DN267" s="7">
        <f t="shared" si="297"/>
        <v>0</v>
      </c>
      <c r="DO267" s="7">
        <f t="shared" si="298"/>
        <v>0</v>
      </c>
      <c r="DP267" s="7">
        <f t="shared" si="299"/>
        <v>0</v>
      </c>
      <c r="DQ267" s="7">
        <f t="shared" si="300"/>
        <v>0</v>
      </c>
      <c r="DR267" s="7">
        <f t="shared" si="301"/>
        <v>0</v>
      </c>
      <c r="DS267" s="7">
        <f t="shared" si="302"/>
        <v>0</v>
      </c>
      <c r="DT267" s="7">
        <f t="shared" si="303"/>
        <v>0</v>
      </c>
      <c r="DU267" s="7">
        <f t="shared" si="304"/>
        <v>0</v>
      </c>
    </row>
    <row r="268" spans="1:125" x14ac:dyDescent="0.2">
      <c r="A268" s="3">
        <f>Bonds!A268</f>
        <v>51181</v>
      </c>
      <c r="B268" s="4">
        <f>Bonds!B268</f>
        <v>4.625</v>
      </c>
      <c r="C268">
        <f>Bonds!P268</f>
        <v>27</v>
      </c>
      <c r="D268">
        <f t="shared" si="244"/>
        <v>0</v>
      </c>
      <c r="E268" s="3">
        <f>IF(1&gt;$C268,"",IF($D268=1,EOMONTH(EDATE(Bonds!$H268,6*(1-1)),0),EDATE(Bonds!$H268,6*(1-1))))</f>
        <v>46433</v>
      </c>
      <c r="F268" s="3">
        <f>IF(2&gt;$C268,"",IF($D268=1,EOMONTH(EDATE(Bonds!$H268,6*(2-1)),0),EDATE(Bonds!$H268,6*(2-1))))</f>
        <v>46614</v>
      </c>
      <c r="G268" s="3">
        <f>IF(3&gt;$C268,"",IF($D268=1,EOMONTH(EDATE(Bonds!$H268,6*(3-1)),0),EDATE(Bonds!$H268,6*(3-1))))</f>
        <v>46798</v>
      </c>
      <c r="H268" s="3">
        <f>IF(4&gt;$C268,"",IF($D268=1,EOMONTH(EDATE(Bonds!$H268,6*(4-1)),0),EDATE(Bonds!$H268,6*(4-1))))</f>
        <v>46980</v>
      </c>
      <c r="I268" s="3">
        <f>IF(5&gt;$C268,"",IF($D268=1,EOMONTH(EDATE(Bonds!$H268,6*(5-1)),0),EDATE(Bonds!$H268,6*(5-1))))</f>
        <v>47164</v>
      </c>
      <c r="J268" s="3">
        <f>IF(6&gt;$C268,"",IF($D268=1,EOMONTH(EDATE(Bonds!$H268,6*(6-1)),0),EDATE(Bonds!$H268,6*(6-1))))</f>
        <v>47345</v>
      </c>
      <c r="K268" s="3">
        <f>IF(7&gt;$C268,"",IF($D268=1,EOMONTH(EDATE(Bonds!$H268,6*(7-1)),0),EDATE(Bonds!$H268,6*(7-1))))</f>
        <v>47529</v>
      </c>
      <c r="L268" s="3">
        <f>IF(8&gt;$C268,"",IF($D268=1,EOMONTH(EDATE(Bonds!$H268,6*(8-1)),0),EDATE(Bonds!$H268,6*(8-1))))</f>
        <v>47710</v>
      </c>
      <c r="M268" s="3">
        <f>IF(9&gt;$C268,"",IF($D268=1,EOMONTH(EDATE(Bonds!$H268,6*(9-1)),0),EDATE(Bonds!$H268,6*(9-1))))</f>
        <v>47894</v>
      </c>
      <c r="N268" s="3">
        <f>IF(10&gt;$C268,"",IF($D268=1,EOMONTH(EDATE(Bonds!$H268,6*(10-1)),0),EDATE(Bonds!$H268,6*(10-1))))</f>
        <v>48075</v>
      </c>
      <c r="O268" s="3">
        <f>IF(11&gt;$C268,"",IF($D268=1,EOMONTH(EDATE(Bonds!$H268,6*(11-1)),0),EDATE(Bonds!$H268,6*(11-1))))</f>
        <v>48259</v>
      </c>
      <c r="P268" s="3">
        <f>IF(12&gt;$C268,"",IF($D268=1,EOMONTH(EDATE(Bonds!$H268,6*(12-1)),0),EDATE(Bonds!$H268,6*(12-1))))</f>
        <v>48441</v>
      </c>
      <c r="Q268" s="3">
        <f>IF(13&gt;$C268,"",IF($D268=1,EOMONTH(EDATE(Bonds!$H268,6*(13-1)),0),EDATE(Bonds!$H268,6*(13-1))))</f>
        <v>48625</v>
      </c>
      <c r="R268" s="3">
        <f>IF(14&gt;$C268,"",IF($D268=1,EOMONTH(EDATE(Bonds!$H268,6*(14-1)),0),EDATE(Bonds!$H268,6*(14-1))))</f>
        <v>48806</v>
      </c>
      <c r="S268" s="3">
        <f>IF(15&gt;$C268,"",IF($D268=1,EOMONTH(EDATE(Bonds!$H268,6*(15-1)),0),EDATE(Bonds!$H268,6*(15-1))))</f>
        <v>48990</v>
      </c>
      <c r="T268" s="3">
        <f>IF(16&gt;$C268,"",IF($D268=1,EOMONTH(EDATE(Bonds!$H268,6*(16-1)),0),EDATE(Bonds!$H268,6*(16-1))))</f>
        <v>49171</v>
      </c>
      <c r="U268" s="3">
        <f>IF(17&gt;$C268,"",IF($D268=1,EOMONTH(EDATE(Bonds!$H268,6*(17-1)),0),EDATE(Bonds!$H268,6*(17-1))))</f>
        <v>49355</v>
      </c>
      <c r="V268" s="3">
        <f>IF(18&gt;$C268,"",IF($D268=1,EOMONTH(EDATE(Bonds!$H268,6*(18-1)),0),EDATE(Bonds!$H268,6*(18-1))))</f>
        <v>49536</v>
      </c>
      <c r="W268" s="3">
        <f>IF(19&gt;$C268,"",IF($D268=1,EOMONTH(EDATE(Bonds!$H268,6*(19-1)),0),EDATE(Bonds!$H268,6*(19-1))))</f>
        <v>49720</v>
      </c>
      <c r="X268" s="3">
        <f>IF(20&gt;$C268,"",IF($D268=1,EOMONTH(EDATE(Bonds!$H268,6*(20-1)),0),EDATE(Bonds!$H268,6*(20-1))))</f>
        <v>49902</v>
      </c>
      <c r="Y268" s="3">
        <f>IF(21&gt;$C268,"",IF($D268=1,EOMONTH(EDATE(Bonds!$H268,6*(21-1)),0),EDATE(Bonds!$H268,6*(21-1))))</f>
        <v>50086</v>
      </c>
      <c r="Z268" s="3">
        <f>IF(22&gt;$C268,"",IF($D268=1,EOMONTH(EDATE(Bonds!$H268,6*(22-1)),0),EDATE(Bonds!$H268,6*(22-1))))</f>
        <v>50267</v>
      </c>
      <c r="AA268" s="3">
        <f>IF(23&gt;$C268,"",IF($D268=1,EOMONTH(EDATE(Bonds!$H268,6*(23-1)),0),EDATE(Bonds!$H268,6*(23-1))))</f>
        <v>50451</v>
      </c>
      <c r="AB268" s="3">
        <f>IF(24&gt;$C268,"",IF($D268=1,EOMONTH(EDATE(Bonds!$H268,6*(24-1)),0),EDATE(Bonds!$H268,6*(24-1))))</f>
        <v>50632</v>
      </c>
      <c r="AC268" s="3">
        <f>IF(25&gt;$C268,"",IF($D268=1,EOMONTH(EDATE(Bonds!$H268,6*(25-1)),0),EDATE(Bonds!$H268,6*(25-1))))</f>
        <v>50816</v>
      </c>
      <c r="AD268" s="3">
        <f>IF(26&gt;$C268,"",IF($D268=1,EOMONTH(EDATE(Bonds!$H268,6*(26-1)),0),EDATE(Bonds!$H268,6*(26-1))))</f>
        <v>50997</v>
      </c>
      <c r="AE268" s="3">
        <f>IF(27&gt;$C268,"",IF($D268=1,EOMONTH(EDATE(Bonds!$H268,6*(27-1)),0),EDATE(Bonds!$H268,6*(27-1))))</f>
        <v>51181</v>
      </c>
      <c r="AF268" s="3" t="str">
        <f>IF(28&gt;$C268,"",IF($D268=1,EOMONTH(EDATE(Bonds!$H268,6*(28-1)),0),EDATE(Bonds!$H268,6*(28-1))))</f>
        <v/>
      </c>
      <c r="AG268" s="3" t="str">
        <f>IF(29&gt;$C268,"",IF($D268=1,EOMONTH(EDATE(Bonds!$H268,6*(29-1)),0),EDATE(Bonds!$H268,6*(29-1))))</f>
        <v/>
      </c>
      <c r="AH268" s="3" t="str">
        <f>IF(30&gt;$C268,"",IF($D268=1,EOMONTH(EDATE(Bonds!$H268,6*(30-1)),0),EDATE(Bonds!$H268,6*(30-1))))</f>
        <v/>
      </c>
      <c r="AI268" s="3" t="str">
        <f>IF(31&gt;$C268,"",IF($D268=1,EOMONTH(EDATE(Bonds!$H268,6*(31-1)),0),EDATE(Bonds!$H268,6*(31-1))))</f>
        <v/>
      </c>
      <c r="AJ268" s="3" t="str">
        <f>IF(32&gt;$C268,"",IF($D268=1,EOMONTH(EDATE(Bonds!$H268,6*(32-1)),0),EDATE(Bonds!$H268,6*(32-1))))</f>
        <v/>
      </c>
      <c r="AK268" s="3" t="str">
        <f>IF(33&gt;$C268,"",IF($D268=1,EOMONTH(EDATE(Bonds!$H268,6*(33-1)),0),EDATE(Bonds!$H268,6*(33-1))))</f>
        <v/>
      </c>
      <c r="AL268" s="3" t="str">
        <f>IF(34&gt;$C268,"",IF($D268=1,EOMONTH(EDATE(Bonds!$H268,6*(34-1)),0),EDATE(Bonds!$H268,6*(34-1))))</f>
        <v/>
      </c>
      <c r="AM268" s="3" t="str">
        <f>IF(35&gt;$C268,"",IF($D268=1,EOMONTH(EDATE(Bonds!$H268,6*(35-1)),0),EDATE(Bonds!$H268,6*(35-1))))</f>
        <v/>
      </c>
      <c r="AN268" s="3" t="str">
        <f>IF(36&gt;$C268,"",IF($D268=1,EOMONTH(EDATE(Bonds!$H268,6*(36-1)),0),EDATE(Bonds!$H268,6*(36-1))))</f>
        <v/>
      </c>
      <c r="AO268" s="3" t="str">
        <f>IF(37&gt;$C268,"",IF($D268=1,EOMONTH(EDATE(Bonds!$H268,6*(37-1)),0),EDATE(Bonds!$H268,6*(37-1))))</f>
        <v/>
      </c>
      <c r="AP268" s="3" t="str">
        <f>IF(38&gt;$C268,"",IF($D268=1,EOMONTH(EDATE(Bonds!$H268,6*(38-1)),0),EDATE(Bonds!$H268,6*(38-1))))</f>
        <v/>
      </c>
      <c r="AQ268" s="3" t="str">
        <f>IF(39&gt;$C268,"",IF($D268=1,EOMONTH(EDATE(Bonds!$H268,6*(39-1)),0),EDATE(Bonds!$H268,6*(39-1))))</f>
        <v/>
      </c>
      <c r="AR268" s="3" t="str">
        <f>IF(40&gt;$C268,"",IF($D268=1,EOMONTH(EDATE(Bonds!$H268,6*(40-1)),0),EDATE(Bonds!$H268,6*(40-1))))</f>
        <v/>
      </c>
      <c r="AS268" s="3" t="str">
        <f>IF(41&gt;$C268,"",IF($D268=1,EOMONTH(EDATE(Bonds!$H268,6*(41-1)),0),EDATE(Bonds!$H268,6*(41-1))))</f>
        <v/>
      </c>
      <c r="AT268" s="3" t="str">
        <f>IF(42&gt;$C268,"",IF($D268=1,EOMONTH(EDATE(Bonds!$H268,6*(42-1)),0),EDATE(Bonds!$H268,6*(42-1))))</f>
        <v/>
      </c>
      <c r="AU268" s="3" t="str">
        <f>IF(43&gt;$C268,"",IF($D268=1,EOMONTH(EDATE(Bonds!$H268,6*(43-1)),0),EDATE(Bonds!$H268,6*(43-1))))</f>
        <v/>
      </c>
      <c r="AV268" s="3" t="str">
        <f>IF(44&gt;$C268,"",IF($D268=1,EOMONTH(EDATE(Bonds!$H268,6*(44-1)),0),EDATE(Bonds!$H268,6*(44-1))))</f>
        <v/>
      </c>
      <c r="AW268" s="3" t="str">
        <f>IF(45&gt;$C268,"",IF($D268=1,EOMONTH(EDATE(Bonds!$H268,6*(45-1)),0),EDATE(Bonds!$H268,6*(45-1))))</f>
        <v/>
      </c>
      <c r="AX268" s="3" t="str">
        <f>IF(46&gt;$C268,"",IF($D268=1,EOMONTH(EDATE(Bonds!$H268,6*(46-1)),0),EDATE(Bonds!$H268,6*(46-1))))</f>
        <v/>
      </c>
      <c r="AY268" s="3" t="str">
        <f>IF(47&gt;$C268,"",IF($D268=1,EOMONTH(EDATE(Bonds!$H268,6*(47-1)),0),EDATE(Bonds!$H268,6*(47-1))))</f>
        <v/>
      </c>
      <c r="AZ268" s="3" t="str">
        <f>IF(48&gt;$C268,"",IF($D268=1,EOMONTH(EDATE(Bonds!$H268,6*(48-1)),0),EDATE(Bonds!$H268,6*(48-1))))</f>
        <v/>
      </c>
      <c r="BA268" s="3" t="str">
        <f>IF(49&gt;$C268,"",IF($D268=1,EOMONTH(EDATE(Bonds!$H268,6*(49-1)),0),EDATE(Bonds!$H268,6*(49-1))))</f>
        <v/>
      </c>
      <c r="BB268" s="3" t="str">
        <f>IF(50&gt;$C268,"",IF($D268=1,EOMONTH(EDATE(Bonds!$H268,6*(50-1)),0),EDATE(Bonds!$H268,6*(50-1))))</f>
        <v/>
      </c>
      <c r="BC268" s="3" t="str">
        <f>IF(51&gt;$C268,"",IF($D268=1,EOMONTH(EDATE(Bonds!$H268,6*(51-1)),0),EDATE(Bonds!$H268,6*(51-1))))</f>
        <v/>
      </c>
      <c r="BD268" s="3" t="str">
        <f>IF(52&gt;$C268,"",IF($D268=1,EOMONTH(EDATE(Bonds!$H268,6*(52-1)),0),EDATE(Bonds!$H268,6*(52-1))))</f>
        <v/>
      </c>
      <c r="BE268" s="3" t="str">
        <f>IF(53&gt;$C268,"",IF($D268=1,EOMONTH(EDATE(Bonds!$H268,6*(53-1)),0),EDATE(Bonds!$H268,6*(53-1))))</f>
        <v/>
      </c>
      <c r="BF268" s="3" t="str">
        <f>IF(54&gt;$C268,"",IF($D268=1,EOMONTH(EDATE(Bonds!$H268,6*(54-1)),0),EDATE(Bonds!$H268,6*(54-1))))</f>
        <v/>
      </c>
      <c r="BG268" s="3" t="str">
        <f>IF(55&gt;$C268,"",IF($D268=1,EOMONTH(EDATE(Bonds!$H268,6*(55-1)),0),EDATE(Bonds!$H268,6*(55-1))))</f>
        <v/>
      </c>
      <c r="BH268" s="3" t="str">
        <f>IF(56&gt;$C268,"",IF($D268=1,EOMONTH(EDATE(Bonds!$H268,6*(56-1)),0),EDATE(Bonds!$H268,6*(56-1))))</f>
        <v/>
      </c>
      <c r="BI268" s="3" t="str">
        <f>IF(57&gt;$C268,"",IF($D268=1,EOMONTH(EDATE(Bonds!$H268,6*(57-1)),0),EDATE(Bonds!$H268,6*(57-1))))</f>
        <v/>
      </c>
      <c r="BJ268" s="3" t="str">
        <f>IF(58&gt;$C268,"",IF($D268=1,EOMONTH(EDATE(Bonds!$H268,6*(58-1)),0),EDATE(Bonds!$H268,6*(58-1))))</f>
        <v/>
      </c>
      <c r="BK268" s="3" t="str">
        <f>IF(59&gt;$C268,"",IF($D268=1,EOMONTH(EDATE(Bonds!$H268,6*(59-1)),0),EDATE(Bonds!$H268,6*(59-1))))</f>
        <v/>
      </c>
      <c r="BL268" s="3" t="str">
        <f>IF(60&gt;$C268,"",IF($D268=1,EOMONTH(EDATE(Bonds!$H268,6*(60-1)),0),EDATE(Bonds!$H268,6*(60-1))))</f>
        <v/>
      </c>
      <c r="BN268" s="7">
        <f t="shared" si="245"/>
        <v>2.2732788027748541</v>
      </c>
      <c r="BO268" s="7">
        <f t="shared" si="246"/>
        <v>2.2253618962720854</v>
      </c>
      <c r="BP268" s="7">
        <f t="shared" si="247"/>
        <v>2.1754476243738976</v>
      </c>
      <c r="BQ268" s="7">
        <f t="shared" si="248"/>
        <v>2.1263633428711608</v>
      </c>
      <c r="BR268" s="7">
        <f t="shared" si="249"/>
        <v>2.0777167692022909</v>
      </c>
      <c r="BS268" s="7">
        <f t="shared" si="250"/>
        <v>2.031031772484087</v>
      </c>
      <c r="BT268" s="7">
        <f t="shared" si="251"/>
        <v>1.9847256362236501</v>
      </c>
      <c r="BU268" s="7">
        <f t="shared" si="252"/>
        <v>1.9401615084528006</v>
      </c>
      <c r="BV268" s="7">
        <f t="shared" si="253"/>
        <v>1.895676035753294</v>
      </c>
      <c r="BW268" s="7">
        <f t="shared" si="254"/>
        <v>1.8525451983087053</v>
      </c>
      <c r="BX268" s="7">
        <f t="shared" si="255"/>
        <v>1.8091901571065561</v>
      </c>
      <c r="BY268" s="7">
        <f t="shared" si="256"/>
        <v>1.7666832517673459</v>
      </c>
      <c r="BZ268" s="7">
        <f t="shared" si="257"/>
        <v>1.7240176698316556</v>
      </c>
      <c r="CA268" s="7">
        <f t="shared" si="258"/>
        <v>1.6823142156028446</v>
      </c>
      <c r="CB268" s="7">
        <f t="shared" si="259"/>
        <v>1.6401836953590239</v>
      </c>
      <c r="CC268" s="7">
        <f t="shared" si="260"/>
        <v>1.5990167699987485</v>
      </c>
      <c r="CD268" s="7">
        <f t="shared" si="261"/>
        <v>1.5574840286149367</v>
      </c>
      <c r="CE268" s="7">
        <f t="shared" si="262"/>
        <v>1.5169866311686198</v>
      </c>
      <c r="CF268" s="7">
        <f t="shared" si="263"/>
        <v>1.4762379417095042</v>
      </c>
      <c r="CG268" s="7">
        <f t="shared" si="264"/>
        <v>1.4364078729062799</v>
      </c>
      <c r="CH268" s="7">
        <f t="shared" si="265"/>
        <v>1.396682167466071</v>
      </c>
      <c r="CI268" s="7">
        <f t="shared" si="266"/>
        <v>1.3581941436654867</v>
      </c>
      <c r="CJ268" s="7">
        <f t="shared" si="267"/>
        <v>1.3197241099048411</v>
      </c>
      <c r="CK268" s="7">
        <f t="shared" si="268"/>
        <v>1.2825770562461025</v>
      </c>
      <c r="CL268" s="7">
        <f t="shared" si="269"/>
        <v>1.245567907480825</v>
      </c>
      <c r="CM268" s="7">
        <f t="shared" si="270"/>
        <v>1.2099431100787861</v>
      </c>
      <c r="CN268" s="7">
        <f t="shared" si="271"/>
        <v>51.966176254380535</v>
      </c>
      <c r="CO268" s="7">
        <f t="shared" si="272"/>
        <v>0</v>
      </c>
      <c r="CP268" s="7">
        <f t="shared" si="273"/>
        <v>0</v>
      </c>
      <c r="CQ268" s="7">
        <f t="shared" si="274"/>
        <v>0</v>
      </c>
      <c r="CR268" s="7">
        <f t="shared" si="275"/>
        <v>0</v>
      </c>
      <c r="CS268" s="7">
        <f t="shared" si="276"/>
        <v>0</v>
      </c>
      <c r="CT268" s="7">
        <f t="shared" si="277"/>
        <v>0</v>
      </c>
      <c r="CU268" s="7">
        <f t="shared" si="278"/>
        <v>0</v>
      </c>
      <c r="CV268" s="7">
        <f t="shared" si="279"/>
        <v>0</v>
      </c>
      <c r="CW268" s="7">
        <f t="shared" si="280"/>
        <v>0</v>
      </c>
      <c r="CX268" s="7">
        <f t="shared" si="281"/>
        <v>0</v>
      </c>
      <c r="CY268" s="7">
        <f t="shared" si="282"/>
        <v>0</v>
      </c>
      <c r="CZ268" s="7">
        <f t="shared" si="283"/>
        <v>0</v>
      </c>
      <c r="DA268" s="7">
        <f t="shared" si="284"/>
        <v>0</v>
      </c>
      <c r="DB268" s="7">
        <f t="shared" si="285"/>
        <v>0</v>
      </c>
      <c r="DC268" s="7">
        <f t="shared" si="286"/>
        <v>0</v>
      </c>
      <c r="DD268" s="7">
        <f t="shared" si="287"/>
        <v>0</v>
      </c>
      <c r="DE268" s="7">
        <f t="shared" si="288"/>
        <v>0</v>
      </c>
      <c r="DF268" s="7">
        <f t="shared" si="289"/>
        <v>0</v>
      </c>
      <c r="DG268" s="7">
        <f t="shared" si="290"/>
        <v>0</v>
      </c>
      <c r="DH268" s="7">
        <f t="shared" si="291"/>
        <v>0</v>
      </c>
      <c r="DI268" s="7">
        <f t="shared" si="292"/>
        <v>0</v>
      </c>
      <c r="DJ268" s="7">
        <f t="shared" si="293"/>
        <v>0</v>
      </c>
      <c r="DK268" s="7">
        <f t="shared" si="294"/>
        <v>0</v>
      </c>
      <c r="DL268" s="7">
        <f t="shared" si="295"/>
        <v>0</v>
      </c>
      <c r="DM268" s="7">
        <f t="shared" si="296"/>
        <v>0</v>
      </c>
      <c r="DN268" s="7">
        <f t="shared" si="297"/>
        <v>0</v>
      </c>
      <c r="DO268" s="7">
        <f t="shared" si="298"/>
        <v>0</v>
      </c>
      <c r="DP268" s="7">
        <f t="shared" si="299"/>
        <v>0</v>
      </c>
      <c r="DQ268" s="7">
        <f t="shared" si="300"/>
        <v>0</v>
      </c>
      <c r="DR268" s="7">
        <f t="shared" si="301"/>
        <v>0</v>
      </c>
      <c r="DS268" s="7">
        <f t="shared" si="302"/>
        <v>0</v>
      </c>
      <c r="DT268" s="7">
        <f t="shared" si="303"/>
        <v>0</v>
      </c>
      <c r="DU268" s="7">
        <f t="shared" si="304"/>
        <v>0</v>
      </c>
    </row>
    <row r="269" spans="1:125" x14ac:dyDescent="0.2">
      <c r="A269" s="3">
        <f>Bonds!A269</f>
        <v>51271</v>
      </c>
      <c r="B269" s="4">
        <f>Bonds!B269</f>
        <v>1.125</v>
      </c>
      <c r="C269">
        <f>Bonds!P269</f>
        <v>28</v>
      </c>
      <c r="D269">
        <f t="shared" si="244"/>
        <v>0</v>
      </c>
      <c r="E269" s="3">
        <f>IF(1&gt;$C269,"",IF($D269=1,EOMONTH(EDATE(Bonds!$H269,6*(1-1)),0),EDATE(Bonds!$H269,6*(1-1))))</f>
        <v>46341</v>
      </c>
      <c r="F269" s="3">
        <f>IF(2&gt;$C269,"",IF($D269=1,EOMONTH(EDATE(Bonds!$H269,6*(2-1)),0),EDATE(Bonds!$H269,6*(2-1))))</f>
        <v>46522</v>
      </c>
      <c r="G269" s="3">
        <f>IF(3&gt;$C269,"",IF($D269=1,EOMONTH(EDATE(Bonds!$H269,6*(3-1)),0),EDATE(Bonds!$H269,6*(3-1))))</f>
        <v>46706</v>
      </c>
      <c r="H269" s="3">
        <f>IF(4&gt;$C269,"",IF($D269=1,EOMONTH(EDATE(Bonds!$H269,6*(4-1)),0),EDATE(Bonds!$H269,6*(4-1))))</f>
        <v>46888</v>
      </c>
      <c r="I269" s="3">
        <f>IF(5&gt;$C269,"",IF($D269=1,EOMONTH(EDATE(Bonds!$H269,6*(5-1)),0),EDATE(Bonds!$H269,6*(5-1))))</f>
        <v>47072</v>
      </c>
      <c r="J269" s="3">
        <f>IF(6&gt;$C269,"",IF($D269=1,EOMONTH(EDATE(Bonds!$H269,6*(6-1)),0),EDATE(Bonds!$H269,6*(6-1))))</f>
        <v>47253</v>
      </c>
      <c r="K269" s="3">
        <f>IF(7&gt;$C269,"",IF($D269=1,EOMONTH(EDATE(Bonds!$H269,6*(7-1)),0),EDATE(Bonds!$H269,6*(7-1))))</f>
        <v>47437</v>
      </c>
      <c r="L269" s="3">
        <f>IF(8&gt;$C269,"",IF($D269=1,EOMONTH(EDATE(Bonds!$H269,6*(8-1)),0),EDATE(Bonds!$H269,6*(8-1))))</f>
        <v>47618</v>
      </c>
      <c r="M269" s="3">
        <f>IF(9&gt;$C269,"",IF($D269=1,EOMONTH(EDATE(Bonds!$H269,6*(9-1)),0),EDATE(Bonds!$H269,6*(9-1))))</f>
        <v>47802</v>
      </c>
      <c r="N269" s="3">
        <f>IF(10&gt;$C269,"",IF($D269=1,EOMONTH(EDATE(Bonds!$H269,6*(10-1)),0),EDATE(Bonds!$H269,6*(10-1))))</f>
        <v>47983</v>
      </c>
      <c r="O269" s="3">
        <f>IF(11&gt;$C269,"",IF($D269=1,EOMONTH(EDATE(Bonds!$H269,6*(11-1)),0),EDATE(Bonds!$H269,6*(11-1))))</f>
        <v>48167</v>
      </c>
      <c r="P269" s="3">
        <f>IF(12&gt;$C269,"",IF($D269=1,EOMONTH(EDATE(Bonds!$H269,6*(12-1)),0),EDATE(Bonds!$H269,6*(12-1))))</f>
        <v>48349</v>
      </c>
      <c r="Q269" s="3">
        <f>IF(13&gt;$C269,"",IF($D269=1,EOMONTH(EDATE(Bonds!$H269,6*(13-1)),0),EDATE(Bonds!$H269,6*(13-1))))</f>
        <v>48533</v>
      </c>
      <c r="R269" s="3">
        <f>IF(14&gt;$C269,"",IF($D269=1,EOMONTH(EDATE(Bonds!$H269,6*(14-1)),0),EDATE(Bonds!$H269,6*(14-1))))</f>
        <v>48714</v>
      </c>
      <c r="S269" s="3">
        <f>IF(15&gt;$C269,"",IF($D269=1,EOMONTH(EDATE(Bonds!$H269,6*(15-1)),0),EDATE(Bonds!$H269,6*(15-1))))</f>
        <v>48898</v>
      </c>
      <c r="T269" s="3">
        <f>IF(16&gt;$C269,"",IF($D269=1,EOMONTH(EDATE(Bonds!$H269,6*(16-1)),0),EDATE(Bonds!$H269,6*(16-1))))</f>
        <v>49079</v>
      </c>
      <c r="U269" s="3">
        <f>IF(17&gt;$C269,"",IF($D269=1,EOMONTH(EDATE(Bonds!$H269,6*(17-1)),0),EDATE(Bonds!$H269,6*(17-1))))</f>
        <v>49263</v>
      </c>
      <c r="V269" s="3">
        <f>IF(18&gt;$C269,"",IF($D269=1,EOMONTH(EDATE(Bonds!$H269,6*(18-1)),0),EDATE(Bonds!$H269,6*(18-1))))</f>
        <v>49444</v>
      </c>
      <c r="W269" s="3">
        <f>IF(19&gt;$C269,"",IF($D269=1,EOMONTH(EDATE(Bonds!$H269,6*(19-1)),0),EDATE(Bonds!$H269,6*(19-1))))</f>
        <v>49628</v>
      </c>
      <c r="X269" s="3">
        <f>IF(20&gt;$C269,"",IF($D269=1,EOMONTH(EDATE(Bonds!$H269,6*(20-1)),0),EDATE(Bonds!$H269,6*(20-1))))</f>
        <v>49810</v>
      </c>
      <c r="Y269" s="3">
        <f>IF(21&gt;$C269,"",IF($D269=1,EOMONTH(EDATE(Bonds!$H269,6*(21-1)),0),EDATE(Bonds!$H269,6*(21-1))))</f>
        <v>49994</v>
      </c>
      <c r="Z269" s="3">
        <f>IF(22&gt;$C269,"",IF($D269=1,EOMONTH(EDATE(Bonds!$H269,6*(22-1)),0),EDATE(Bonds!$H269,6*(22-1))))</f>
        <v>50175</v>
      </c>
      <c r="AA269" s="3">
        <f>IF(23&gt;$C269,"",IF($D269=1,EOMONTH(EDATE(Bonds!$H269,6*(23-1)),0),EDATE(Bonds!$H269,6*(23-1))))</f>
        <v>50359</v>
      </c>
      <c r="AB269" s="3">
        <f>IF(24&gt;$C269,"",IF($D269=1,EOMONTH(EDATE(Bonds!$H269,6*(24-1)),0),EDATE(Bonds!$H269,6*(24-1))))</f>
        <v>50540</v>
      </c>
      <c r="AC269" s="3">
        <f>IF(25&gt;$C269,"",IF($D269=1,EOMONTH(EDATE(Bonds!$H269,6*(25-1)),0),EDATE(Bonds!$H269,6*(25-1))))</f>
        <v>50724</v>
      </c>
      <c r="AD269" s="3">
        <f>IF(26&gt;$C269,"",IF($D269=1,EOMONTH(EDATE(Bonds!$H269,6*(26-1)),0),EDATE(Bonds!$H269,6*(26-1))))</f>
        <v>50905</v>
      </c>
      <c r="AE269" s="3">
        <f>IF(27&gt;$C269,"",IF($D269=1,EOMONTH(EDATE(Bonds!$H269,6*(27-1)),0),EDATE(Bonds!$H269,6*(27-1))))</f>
        <v>51089</v>
      </c>
      <c r="AF269" s="3">
        <f>IF(28&gt;$C269,"",IF($D269=1,EOMONTH(EDATE(Bonds!$H269,6*(28-1)),0),EDATE(Bonds!$H269,6*(28-1))))</f>
        <v>51271</v>
      </c>
      <c r="AG269" s="3" t="str">
        <f>IF(29&gt;$C269,"",IF($D269=1,EOMONTH(EDATE(Bonds!$H269,6*(29-1)),0),EDATE(Bonds!$H269,6*(29-1))))</f>
        <v/>
      </c>
      <c r="AH269" s="3" t="str">
        <f>IF(30&gt;$C269,"",IF($D269=1,EOMONTH(EDATE(Bonds!$H269,6*(30-1)),0),EDATE(Bonds!$H269,6*(30-1))))</f>
        <v/>
      </c>
      <c r="AI269" s="3" t="str">
        <f>IF(31&gt;$C269,"",IF($D269=1,EOMONTH(EDATE(Bonds!$H269,6*(31-1)),0),EDATE(Bonds!$H269,6*(31-1))))</f>
        <v/>
      </c>
      <c r="AJ269" s="3" t="str">
        <f>IF(32&gt;$C269,"",IF($D269=1,EOMONTH(EDATE(Bonds!$H269,6*(32-1)),0),EDATE(Bonds!$H269,6*(32-1))))</f>
        <v/>
      </c>
      <c r="AK269" s="3" t="str">
        <f>IF(33&gt;$C269,"",IF($D269=1,EOMONTH(EDATE(Bonds!$H269,6*(33-1)),0),EDATE(Bonds!$H269,6*(33-1))))</f>
        <v/>
      </c>
      <c r="AL269" s="3" t="str">
        <f>IF(34&gt;$C269,"",IF($D269=1,EOMONTH(EDATE(Bonds!$H269,6*(34-1)),0),EDATE(Bonds!$H269,6*(34-1))))</f>
        <v/>
      </c>
      <c r="AM269" s="3" t="str">
        <f>IF(35&gt;$C269,"",IF($D269=1,EOMONTH(EDATE(Bonds!$H269,6*(35-1)),0),EDATE(Bonds!$H269,6*(35-1))))</f>
        <v/>
      </c>
      <c r="AN269" s="3" t="str">
        <f>IF(36&gt;$C269,"",IF($D269=1,EOMONTH(EDATE(Bonds!$H269,6*(36-1)),0),EDATE(Bonds!$H269,6*(36-1))))</f>
        <v/>
      </c>
      <c r="AO269" s="3" t="str">
        <f>IF(37&gt;$C269,"",IF($D269=1,EOMONTH(EDATE(Bonds!$H269,6*(37-1)),0),EDATE(Bonds!$H269,6*(37-1))))</f>
        <v/>
      </c>
      <c r="AP269" s="3" t="str">
        <f>IF(38&gt;$C269,"",IF($D269=1,EOMONTH(EDATE(Bonds!$H269,6*(38-1)),0),EDATE(Bonds!$H269,6*(38-1))))</f>
        <v/>
      </c>
      <c r="AQ269" s="3" t="str">
        <f>IF(39&gt;$C269,"",IF($D269=1,EOMONTH(EDATE(Bonds!$H269,6*(39-1)),0),EDATE(Bonds!$H269,6*(39-1))))</f>
        <v/>
      </c>
      <c r="AR269" s="3" t="str">
        <f>IF(40&gt;$C269,"",IF($D269=1,EOMONTH(EDATE(Bonds!$H269,6*(40-1)),0),EDATE(Bonds!$H269,6*(40-1))))</f>
        <v/>
      </c>
      <c r="AS269" s="3" t="str">
        <f>IF(41&gt;$C269,"",IF($D269=1,EOMONTH(EDATE(Bonds!$H269,6*(41-1)),0),EDATE(Bonds!$H269,6*(41-1))))</f>
        <v/>
      </c>
      <c r="AT269" s="3" t="str">
        <f>IF(42&gt;$C269,"",IF($D269=1,EOMONTH(EDATE(Bonds!$H269,6*(42-1)),0),EDATE(Bonds!$H269,6*(42-1))))</f>
        <v/>
      </c>
      <c r="AU269" s="3" t="str">
        <f>IF(43&gt;$C269,"",IF($D269=1,EOMONTH(EDATE(Bonds!$H269,6*(43-1)),0),EDATE(Bonds!$H269,6*(43-1))))</f>
        <v/>
      </c>
      <c r="AV269" s="3" t="str">
        <f>IF(44&gt;$C269,"",IF($D269=1,EOMONTH(EDATE(Bonds!$H269,6*(44-1)),0),EDATE(Bonds!$H269,6*(44-1))))</f>
        <v/>
      </c>
      <c r="AW269" s="3" t="str">
        <f>IF(45&gt;$C269,"",IF($D269=1,EOMONTH(EDATE(Bonds!$H269,6*(45-1)),0),EDATE(Bonds!$H269,6*(45-1))))</f>
        <v/>
      </c>
      <c r="AX269" s="3" t="str">
        <f>IF(46&gt;$C269,"",IF($D269=1,EOMONTH(EDATE(Bonds!$H269,6*(46-1)),0),EDATE(Bonds!$H269,6*(46-1))))</f>
        <v/>
      </c>
      <c r="AY269" s="3" t="str">
        <f>IF(47&gt;$C269,"",IF($D269=1,EOMONTH(EDATE(Bonds!$H269,6*(47-1)),0),EDATE(Bonds!$H269,6*(47-1))))</f>
        <v/>
      </c>
      <c r="AZ269" s="3" t="str">
        <f>IF(48&gt;$C269,"",IF($D269=1,EOMONTH(EDATE(Bonds!$H269,6*(48-1)),0),EDATE(Bonds!$H269,6*(48-1))))</f>
        <v/>
      </c>
      <c r="BA269" s="3" t="str">
        <f>IF(49&gt;$C269,"",IF($D269=1,EOMONTH(EDATE(Bonds!$H269,6*(49-1)),0),EDATE(Bonds!$H269,6*(49-1))))</f>
        <v/>
      </c>
      <c r="BB269" s="3" t="str">
        <f>IF(50&gt;$C269,"",IF($D269=1,EOMONTH(EDATE(Bonds!$H269,6*(50-1)),0),EDATE(Bonds!$H269,6*(50-1))))</f>
        <v/>
      </c>
      <c r="BC269" s="3" t="str">
        <f>IF(51&gt;$C269,"",IF($D269=1,EOMONTH(EDATE(Bonds!$H269,6*(51-1)),0),EDATE(Bonds!$H269,6*(51-1))))</f>
        <v/>
      </c>
      <c r="BD269" s="3" t="str">
        <f>IF(52&gt;$C269,"",IF($D269=1,EOMONTH(EDATE(Bonds!$H269,6*(52-1)),0),EDATE(Bonds!$H269,6*(52-1))))</f>
        <v/>
      </c>
      <c r="BE269" s="3" t="str">
        <f>IF(53&gt;$C269,"",IF($D269=1,EOMONTH(EDATE(Bonds!$H269,6*(53-1)),0),EDATE(Bonds!$H269,6*(53-1))))</f>
        <v/>
      </c>
      <c r="BF269" s="3" t="str">
        <f>IF(54&gt;$C269,"",IF($D269=1,EOMONTH(EDATE(Bonds!$H269,6*(54-1)),0),EDATE(Bonds!$H269,6*(54-1))))</f>
        <v/>
      </c>
      <c r="BG269" s="3" t="str">
        <f>IF(55&gt;$C269,"",IF($D269=1,EOMONTH(EDATE(Bonds!$H269,6*(55-1)),0),EDATE(Bonds!$H269,6*(55-1))))</f>
        <v/>
      </c>
      <c r="BH269" s="3" t="str">
        <f>IF(56&gt;$C269,"",IF($D269=1,EOMONTH(EDATE(Bonds!$H269,6*(56-1)),0),EDATE(Bonds!$H269,6*(56-1))))</f>
        <v/>
      </c>
      <c r="BI269" s="3" t="str">
        <f>IF(57&gt;$C269,"",IF($D269=1,EOMONTH(EDATE(Bonds!$H269,6*(57-1)),0),EDATE(Bonds!$H269,6*(57-1))))</f>
        <v/>
      </c>
      <c r="BJ269" s="3" t="str">
        <f>IF(58&gt;$C269,"",IF($D269=1,EOMONTH(EDATE(Bonds!$H269,6*(58-1)),0),EDATE(Bonds!$H269,6*(58-1))))</f>
        <v/>
      </c>
      <c r="BK269" s="3" t="str">
        <f>IF(59&gt;$C269,"",IF($D269=1,EOMONTH(EDATE(Bonds!$H269,6*(59-1)),0),EDATE(Bonds!$H269,6*(59-1))))</f>
        <v/>
      </c>
      <c r="BL269" s="3" t="str">
        <f>IF(60&gt;$C269,"",IF($D269=1,EOMONTH(EDATE(Bonds!$H269,6*(60-1)),0),EDATE(Bonds!$H269,6*(60-1))))</f>
        <v/>
      </c>
      <c r="BN269" s="7">
        <f t="shared" si="245"/>
        <v>0.55857689021251045</v>
      </c>
      <c r="BO269" s="7">
        <f t="shared" si="246"/>
        <v>0.54729730422677603</v>
      </c>
      <c r="BP269" s="7">
        <f t="shared" si="247"/>
        <v>0.53524171605915938</v>
      </c>
      <c r="BQ269" s="7">
        <f t="shared" si="248"/>
        <v>0.52323645456393142</v>
      </c>
      <c r="BR269" s="7">
        <f t="shared" si="249"/>
        <v>0.51127196407901188</v>
      </c>
      <c r="BS269" s="7">
        <f t="shared" si="250"/>
        <v>0.49977112616363251</v>
      </c>
      <c r="BT269" s="7">
        <f t="shared" si="251"/>
        <v>0.4883695028195405</v>
      </c>
      <c r="BU269" s="7">
        <f t="shared" si="252"/>
        <v>0.47741391323801019</v>
      </c>
      <c r="BV269" s="7">
        <f t="shared" si="253"/>
        <v>0.46649857471626066</v>
      </c>
      <c r="BW269" s="7">
        <f t="shared" si="254"/>
        <v>0.4559351143081416</v>
      </c>
      <c r="BX269" s="7">
        <f t="shared" si="255"/>
        <v>0.44533306981072879</v>
      </c>
      <c r="BY269" s="7">
        <f t="shared" si="256"/>
        <v>0.43495023274857902</v>
      </c>
      <c r="BZ269" s="7">
        <f t="shared" si="257"/>
        <v>0.42453602921495637</v>
      </c>
      <c r="CA269" s="7">
        <f t="shared" si="258"/>
        <v>0.4143598910694925</v>
      </c>
      <c r="CB269" s="7">
        <f t="shared" si="259"/>
        <v>0.40407934298535753</v>
      </c>
      <c r="CC269" s="7">
        <f t="shared" si="260"/>
        <v>0.39403102261695871</v>
      </c>
      <c r="CD269" s="7">
        <f t="shared" si="261"/>
        <v>0.38388837111902541</v>
      </c>
      <c r="CE269" s="7">
        <f t="shared" si="262"/>
        <v>0.37399215442174699</v>
      </c>
      <c r="CF269" s="7">
        <f t="shared" si="263"/>
        <v>0.36402705361607879</v>
      </c>
      <c r="CG269" s="7">
        <f t="shared" si="264"/>
        <v>0.35427864410813287</v>
      </c>
      <c r="CH269" s="7">
        <f t="shared" si="265"/>
        <v>0.3445475104971143</v>
      </c>
      <c r="CI269" s="7">
        <f t="shared" si="266"/>
        <v>0.33511147308079808</v>
      </c>
      <c r="CJ269" s="7">
        <f t="shared" si="267"/>
        <v>0.32567183746886674</v>
      </c>
      <c r="CK269" s="7">
        <f t="shared" si="268"/>
        <v>0.31654928039707469</v>
      </c>
      <c r="CL269" s="7">
        <f t="shared" si="269"/>
        <v>0.30745333680819265</v>
      </c>
      <c r="CM269" s="7">
        <f t="shared" si="270"/>
        <v>0.29869095984208255</v>
      </c>
      <c r="CN269" s="7">
        <f t="shared" si="271"/>
        <v>0.28998081274326248</v>
      </c>
      <c r="CO269" s="7">
        <f t="shared" si="272"/>
        <v>50.338237025705311</v>
      </c>
      <c r="CP269" s="7">
        <f t="shared" si="273"/>
        <v>0</v>
      </c>
      <c r="CQ269" s="7">
        <f t="shared" si="274"/>
        <v>0</v>
      </c>
      <c r="CR269" s="7">
        <f t="shared" si="275"/>
        <v>0</v>
      </c>
      <c r="CS269" s="7">
        <f t="shared" si="276"/>
        <v>0</v>
      </c>
      <c r="CT269" s="7">
        <f t="shared" si="277"/>
        <v>0</v>
      </c>
      <c r="CU269" s="7">
        <f t="shared" si="278"/>
        <v>0</v>
      </c>
      <c r="CV269" s="7">
        <f t="shared" si="279"/>
        <v>0</v>
      </c>
      <c r="CW269" s="7">
        <f t="shared" si="280"/>
        <v>0</v>
      </c>
      <c r="CX269" s="7">
        <f t="shared" si="281"/>
        <v>0</v>
      </c>
      <c r="CY269" s="7">
        <f t="shared" si="282"/>
        <v>0</v>
      </c>
      <c r="CZ269" s="7">
        <f t="shared" si="283"/>
        <v>0</v>
      </c>
      <c r="DA269" s="7">
        <f t="shared" si="284"/>
        <v>0</v>
      </c>
      <c r="DB269" s="7">
        <f t="shared" si="285"/>
        <v>0</v>
      </c>
      <c r="DC269" s="7">
        <f t="shared" si="286"/>
        <v>0</v>
      </c>
      <c r="DD269" s="7">
        <f t="shared" si="287"/>
        <v>0</v>
      </c>
      <c r="DE269" s="7">
        <f t="shared" si="288"/>
        <v>0</v>
      </c>
      <c r="DF269" s="7">
        <f t="shared" si="289"/>
        <v>0</v>
      </c>
      <c r="DG269" s="7">
        <f t="shared" si="290"/>
        <v>0</v>
      </c>
      <c r="DH269" s="7">
        <f t="shared" si="291"/>
        <v>0</v>
      </c>
      <c r="DI269" s="7">
        <f t="shared" si="292"/>
        <v>0</v>
      </c>
      <c r="DJ269" s="7">
        <f t="shared" si="293"/>
        <v>0</v>
      </c>
      <c r="DK269" s="7">
        <f t="shared" si="294"/>
        <v>0</v>
      </c>
      <c r="DL269" s="7">
        <f t="shared" si="295"/>
        <v>0</v>
      </c>
      <c r="DM269" s="7">
        <f t="shared" si="296"/>
        <v>0</v>
      </c>
      <c r="DN269" s="7">
        <f t="shared" si="297"/>
        <v>0</v>
      </c>
      <c r="DO269" s="7">
        <f t="shared" si="298"/>
        <v>0</v>
      </c>
      <c r="DP269" s="7">
        <f t="shared" si="299"/>
        <v>0</v>
      </c>
      <c r="DQ269" s="7">
        <f t="shared" si="300"/>
        <v>0</v>
      </c>
      <c r="DR269" s="7">
        <f t="shared" si="301"/>
        <v>0</v>
      </c>
      <c r="DS269" s="7">
        <f t="shared" si="302"/>
        <v>0</v>
      </c>
      <c r="DT269" s="7">
        <f t="shared" si="303"/>
        <v>0</v>
      </c>
      <c r="DU269" s="7">
        <f t="shared" si="304"/>
        <v>0</v>
      </c>
    </row>
    <row r="270" spans="1:125" x14ac:dyDescent="0.2">
      <c r="A270" s="3">
        <f>Bonds!A270</f>
        <v>51271</v>
      </c>
      <c r="B270" s="4">
        <f>Bonds!B270</f>
        <v>4.375</v>
      </c>
      <c r="C270">
        <f>Bonds!P270</f>
        <v>28</v>
      </c>
      <c r="D270">
        <f t="shared" si="244"/>
        <v>0</v>
      </c>
      <c r="E270" s="3">
        <f>IF(1&gt;$C270,"",IF($D270=1,EOMONTH(EDATE(Bonds!$H270,6*(1-1)),0),EDATE(Bonds!$H270,6*(1-1))))</f>
        <v>46341</v>
      </c>
      <c r="F270" s="3">
        <f>IF(2&gt;$C270,"",IF($D270=1,EOMONTH(EDATE(Bonds!$H270,6*(2-1)),0),EDATE(Bonds!$H270,6*(2-1))))</f>
        <v>46522</v>
      </c>
      <c r="G270" s="3">
        <f>IF(3&gt;$C270,"",IF($D270=1,EOMONTH(EDATE(Bonds!$H270,6*(3-1)),0),EDATE(Bonds!$H270,6*(3-1))))</f>
        <v>46706</v>
      </c>
      <c r="H270" s="3">
        <f>IF(4&gt;$C270,"",IF($D270=1,EOMONTH(EDATE(Bonds!$H270,6*(4-1)),0),EDATE(Bonds!$H270,6*(4-1))))</f>
        <v>46888</v>
      </c>
      <c r="I270" s="3">
        <f>IF(5&gt;$C270,"",IF($D270=1,EOMONTH(EDATE(Bonds!$H270,6*(5-1)),0),EDATE(Bonds!$H270,6*(5-1))))</f>
        <v>47072</v>
      </c>
      <c r="J270" s="3">
        <f>IF(6&gt;$C270,"",IF($D270=1,EOMONTH(EDATE(Bonds!$H270,6*(6-1)),0),EDATE(Bonds!$H270,6*(6-1))))</f>
        <v>47253</v>
      </c>
      <c r="K270" s="3">
        <f>IF(7&gt;$C270,"",IF($D270=1,EOMONTH(EDATE(Bonds!$H270,6*(7-1)),0),EDATE(Bonds!$H270,6*(7-1))))</f>
        <v>47437</v>
      </c>
      <c r="L270" s="3">
        <f>IF(8&gt;$C270,"",IF($D270=1,EOMONTH(EDATE(Bonds!$H270,6*(8-1)),0),EDATE(Bonds!$H270,6*(8-1))))</f>
        <v>47618</v>
      </c>
      <c r="M270" s="3">
        <f>IF(9&gt;$C270,"",IF($D270=1,EOMONTH(EDATE(Bonds!$H270,6*(9-1)),0),EDATE(Bonds!$H270,6*(9-1))))</f>
        <v>47802</v>
      </c>
      <c r="N270" s="3">
        <f>IF(10&gt;$C270,"",IF($D270=1,EOMONTH(EDATE(Bonds!$H270,6*(10-1)),0),EDATE(Bonds!$H270,6*(10-1))))</f>
        <v>47983</v>
      </c>
      <c r="O270" s="3">
        <f>IF(11&gt;$C270,"",IF($D270=1,EOMONTH(EDATE(Bonds!$H270,6*(11-1)),0),EDATE(Bonds!$H270,6*(11-1))))</f>
        <v>48167</v>
      </c>
      <c r="P270" s="3">
        <f>IF(12&gt;$C270,"",IF($D270=1,EOMONTH(EDATE(Bonds!$H270,6*(12-1)),0),EDATE(Bonds!$H270,6*(12-1))))</f>
        <v>48349</v>
      </c>
      <c r="Q270" s="3">
        <f>IF(13&gt;$C270,"",IF($D270=1,EOMONTH(EDATE(Bonds!$H270,6*(13-1)),0),EDATE(Bonds!$H270,6*(13-1))))</f>
        <v>48533</v>
      </c>
      <c r="R270" s="3">
        <f>IF(14&gt;$C270,"",IF($D270=1,EOMONTH(EDATE(Bonds!$H270,6*(14-1)),0),EDATE(Bonds!$H270,6*(14-1))))</f>
        <v>48714</v>
      </c>
      <c r="S270" s="3">
        <f>IF(15&gt;$C270,"",IF($D270=1,EOMONTH(EDATE(Bonds!$H270,6*(15-1)),0),EDATE(Bonds!$H270,6*(15-1))))</f>
        <v>48898</v>
      </c>
      <c r="T270" s="3">
        <f>IF(16&gt;$C270,"",IF($D270=1,EOMONTH(EDATE(Bonds!$H270,6*(16-1)),0),EDATE(Bonds!$H270,6*(16-1))))</f>
        <v>49079</v>
      </c>
      <c r="U270" s="3">
        <f>IF(17&gt;$C270,"",IF($D270=1,EOMONTH(EDATE(Bonds!$H270,6*(17-1)),0),EDATE(Bonds!$H270,6*(17-1))))</f>
        <v>49263</v>
      </c>
      <c r="V270" s="3">
        <f>IF(18&gt;$C270,"",IF($D270=1,EOMONTH(EDATE(Bonds!$H270,6*(18-1)),0),EDATE(Bonds!$H270,6*(18-1))))</f>
        <v>49444</v>
      </c>
      <c r="W270" s="3">
        <f>IF(19&gt;$C270,"",IF($D270=1,EOMONTH(EDATE(Bonds!$H270,6*(19-1)),0),EDATE(Bonds!$H270,6*(19-1))))</f>
        <v>49628</v>
      </c>
      <c r="X270" s="3">
        <f>IF(20&gt;$C270,"",IF($D270=1,EOMONTH(EDATE(Bonds!$H270,6*(20-1)),0),EDATE(Bonds!$H270,6*(20-1))))</f>
        <v>49810</v>
      </c>
      <c r="Y270" s="3">
        <f>IF(21&gt;$C270,"",IF($D270=1,EOMONTH(EDATE(Bonds!$H270,6*(21-1)),0),EDATE(Bonds!$H270,6*(21-1))))</f>
        <v>49994</v>
      </c>
      <c r="Z270" s="3">
        <f>IF(22&gt;$C270,"",IF($D270=1,EOMONTH(EDATE(Bonds!$H270,6*(22-1)),0),EDATE(Bonds!$H270,6*(22-1))))</f>
        <v>50175</v>
      </c>
      <c r="AA270" s="3">
        <f>IF(23&gt;$C270,"",IF($D270=1,EOMONTH(EDATE(Bonds!$H270,6*(23-1)),0),EDATE(Bonds!$H270,6*(23-1))))</f>
        <v>50359</v>
      </c>
      <c r="AB270" s="3">
        <f>IF(24&gt;$C270,"",IF($D270=1,EOMONTH(EDATE(Bonds!$H270,6*(24-1)),0),EDATE(Bonds!$H270,6*(24-1))))</f>
        <v>50540</v>
      </c>
      <c r="AC270" s="3">
        <f>IF(25&gt;$C270,"",IF($D270=1,EOMONTH(EDATE(Bonds!$H270,6*(25-1)),0),EDATE(Bonds!$H270,6*(25-1))))</f>
        <v>50724</v>
      </c>
      <c r="AD270" s="3">
        <f>IF(26&gt;$C270,"",IF($D270=1,EOMONTH(EDATE(Bonds!$H270,6*(26-1)),0),EDATE(Bonds!$H270,6*(26-1))))</f>
        <v>50905</v>
      </c>
      <c r="AE270" s="3">
        <f>IF(27&gt;$C270,"",IF($D270=1,EOMONTH(EDATE(Bonds!$H270,6*(27-1)),0),EDATE(Bonds!$H270,6*(27-1))))</f>
        <v>51089</v>
      </c>
      <c r="AF270" s="3">
        <f>IF(28&gt;$C270,"",IF($D270=1,EOMONTH(EDATE(Bonds!$H270,6*(28-1)),0),EDATE(Bonds!$H270,6*(28-1))))</f>
        <v>51271</v>
      </c>
      <c r="AG270" s="3" t="str">
        <f>IF(29&gt;$C270,"",IF($D270=1,EOMONTH(EDATE(Bonds!$H270,6*(29-1)),0),EDATE(Bonds!$H270,6*(29-1))))</f>
        <v/>
      </c>
      <c r="AH270" s="3" t="str">
        <f>IF(30&gt;$C270,"",IF($D270=1,EOMONTH(EDATE(Bonds!$H270,6*(30-1)),0),EDATE(Bonds!$H270,6*(30-1))))</f>
        <v/>
      </c>
      <c r="AI270" s="3" t="str">
        <f>IF(31&gt;$C270,"",IF($D270=1,EOMONTH(EDATE(Bonds!$H270,6*(31-1)),0),EDATE(Bonds!$H270,6*(31-1))))</f>
        <v/>
      </c>
      <c r="AJ270" s="3" t="str">
        <f>IF(32&gt;$C270,"",IF($D270=1,EOMONTH(EDATE(Bonds!$H270,6*(32-1)),0),EDATE(Bonds!$H270,6*(32-1))))</f>
        <v/>
      </c>
      <c r="AK270" s="3" t="str">
        <f>IF(33&gt;$C270,"",IF($D270=1,EOMONTH(EDATE(Bonds!$H270,6*(33-1)),0),EDATE(Bonds!$H270,6*(33-1))))</f>
        <v/>
      </c>
      <c r="AL270" s="3" t="str">
        <f>IF(34&gt;$C270,"",IF($D270=1,EOMONTH(EDATE(Bonds!$H270,6*(34-1)),0),EDATE(Bonds!$H270,6*(34-1))))</f>
        <v/>
      </c>
      <c r="AM270" s="3" t="str">
        <f>IF(35&gt;$C270,"",IF($D270=1,EOMONTH(EDATE(Bonds!$H270,6*(35-1)),0),EDATE(Bonds!$H270,6*(35-1))))</f>
        <v/>
      </c>
      <c r="AN270" s="3" t="str">
        <f>IF(36&gt;$C270,"",IF($D270=1,EOMONTH(EDATE(Bonds!$H270,6*(36-1)),0),EDATE(Bonds!$H270,6*(36-1))))</f>
        <v/>
      </c>
      <c r="AO270" s="3" t="str">
        <f>IF(37&gt;$C270,"",IF($D270=1,EOMONTH(EDATE(Bonds!$H270,6*(37-1)),0),EDATE(Bonds!$H270,6*(37-1))))</f>
        <v/>
      </c>
      <c r="AP270" s="3" t="str">
        <f>IF(38&gt;$C270,"",IF($D270=1,EOMONTH(EDATE(Bonds!$H270,6*(38-1)),0),EDATE(Bonds!$H270,6*(38-1))))</f>
        <v/>
      </c>
      <c r="AQ270" s="3" t="str">
        <f>IF(39&gt;$C270,"",IF($D270=1,EOMONTH(EDATE(Bonds!$H270,6*(39-1)),0),EDATE(Bonds!$H270,6*(39-1))))</f>
        <v/>
      </c>
      <c r="AR270" s="3" t="str">
        <f>IF(40&gt;$C270,"",IF($D270=1,EOMONTH(EDATE(Bonds!$H270,6*(40-1)),0),EDATE(Bonds!$H270,6*(40-1))))</f>
        <v/>
      </c>
      <c r="AS270" s="3" t="str">
        <f>IF(41&gt;$C270,"",IF($D270=1,EOMONTH(EDATE(Bonds!$H270,6*(41-1)),0),EDATE(Bonds!$H270,6*(41-1))))</f>
        <v/>
      </c>
      <c r="AT270" s="3" t="str">
        <f>IF(42&gt;$C270,"",IF($D270=1,EOMONTH(EDATE(Bonds!$H270,6*(42-1)),0),EDATE(Bonds!$H270,6*(42-1))))</f>
        <v/>
      </c>
      <c r="AU270" s="3" t="str">
        <f>IF(43&gt;$C270,"",IF($D270=1,EOMONTH(EDATE(Bonds!$H270,6*(43-1)),0),EDATE(Bonds!$H270,6*(43-1))))</f>
        <v/>
      </c>
      <c r="AV270" s="3" t="str">
        <f>IF(44&gt;$C270,"",IF($D270=1,EOMONTH(EDATE(Bonds!$H270,6*(44-1)),0),EDATE(Bonds!$H270,6*(44-1))))</f>
        <v/>
      </c>
      <c r="AW270" s="3" t="str">
        <f>IF(45&gt;$C270,"",IF($D270=1,EOMONTH(EDATE(Bonds!$H270,6*(45-1)),0),EDATE(Bonds!$H270,6*(45-1))))</f>
        <v/>
      </c>
      <c r="AX270" s="3" t="str">
        <f>IF(46&gt;$C270,"",IF($D270=1,EOMONTH(EDATE(Bonds!$H270,6*(46-1)),0),EDATE(Bonds!$H270,6*(46-1))))</f>
        <v/>
      </c>
      <c r="AY270" s="3" t="str">
        <f>IF(47&gt;$C270,"",IF($D270=1,EOMONTH(EDATE(Bonds!$H270,6*(47-1)),0),EDATE(Bonds!$H270,6*(47-1))))</f>
        <v/>
      </c>
      <c r="AZ270" s="3" t="str">
        <f>IF(48&gt;$C270,"",IF($D270=1,EOMONTH(EDATE(Bonds!$H270,6*(48-1)),0),EDATE(Bonds!$H270,6*(48-1))))</f>
        <v/>
      </c>
      <c r="BA270" s="3" t="str">
        <f>IF(49&gt;$C270,"",IF($D270=1,EOMONTH(EDATE(Bonds!$H270,6*(49-1)),0),EDATE(Bonds!$H270,6*(49-1))))</f>
        <v/>
      </c>
      <c r="BB270" s="3" t="str">
        <f>IF(50&gt;$C270,"",IF($D270=1,EOMONTH(EDATE(Bonds!$H270,6*(50-1)),0),EDATE(Bonds!$H270,6*(50-1))))</f>
        <v/>
      </c>
      <c r="BC270" s="3" t="str">
        <f>IF(51&gt;$C270,"",IF($D270=1,EOMONTH(EDATE(Bonds!$H270,6*(51-1)),0),EDATE(Bonds!$H270,6*(51-1))))</f>
        <v/>
      </c>
      <c r="BD270" s="3" t="str">
        <f>IF(52&gt;$C270,"",IF($D270=1,EOMONTH(EDATE(Bonds!$H270,6*(52-1)),0),EDATE(Bonds!$H270,6*(52-1))))</f>
        <v/>
      </c>
      <c r="BE270" s="3" t="str">
        <f>IF(53&gt;$C270,"",IF($D270=1,EOMONTH(EDATE(Bonds!$H270,6*(53-1)),0),EDATE(Bonds!$H270,6*(53-1))))</f>
        <v/>
      </c>
      <c r="BF270" s="3" t="str">
        <f>IF(54&gt;$C270,"",IF($D270=1,EOMONTH(EDATE(Bonds!$H270,6*(54-1)),0),EDATE(Bonds!$H270,6*(54-1))))</f>
        <v/>
      </c>
      <c r="BG270" s="3" t="str">
        <f>IF(55&gt;$C270,"",IF($D270=1,EOMONTH(EDATE(Bonds!$H270,6*(55-1)),0),EDATE(Bonds!$H270,6*(55-1))))</f>
        <v/>
      </c>
      <c r="BH270" s="3" t="str">
        <f>IF(56&gt;$C270,"",IF($D270=1,EOMONTH(EDATE(Bonds!$H270,6*(56-1)),0),EDATE(Bonds!$H270,6*(56-1))))</f>
        <v/>
      </c>
      <c r="BI270" s="3" t="str">
        <f>IF(57&gt;$C270,"",IF($D270=1,EOMONTH(EDATE(Bonds!$H270,6*(57-1)),0),EDATE(Bonds!$H270,6*(57-1))))</f>
        <v/>
      </c>
      <c r="BJ270" s="3" t="str">
        <f>IF(58&gt;$C270,"",IF($D270=1,EOMONTH(EDATE(Bonds!$H270,6*(58-1)),0),EDATE(Bonds!$H270,6*(58-1))))</f>
        <v/>
      </c>
      <c r="BK270" s="3" t="str">
        <f>IF(59&gt;$C270,"",IF($D270=1,EOMONTH(EDATE(Bonds!$H270,6*(59-1)),0),EDATE(Bonds!$H270,6*(59-1))))</f>
        <v/>
      </c>
      <c r="BL270" s="3" t="str">
        <f>IF(60&gt;$C270,"",IF($D270=1,EOMONTH(EDATE(Bonds!$H270,6*(60-1)),0),EDATE(Bonds!$H270,6*(60-1))))</f>
        <v/>
      </c>
      <c r="BN270" s="7">
        <f t="shared" si="245"/>
        <v>2.1722434619375406</v>
      </c>
      <c r="BO270" s="7">
        <f t="shared" si="246"/>
        <v>2.1283784053263513</v>
      </c>
      <c r="BP270" s="7">
        <f t="shared" si="247"/>
        <v>2.0814955624522868</v>
      </c>
      <c r="BQ270" s="7">
        <f t="shared" si="248"/>
        <v>2.0348084344152886</v>
      </c>
      <c r="BR270" s="7">
        <f t="shared" si="249"/>
        <v>1.9882798603072687</v>
      </c>
      <c r="BS270" s="7">
        <f t="shared" si="250"/>
        <v>1.9435543795252375</v>
      </c>
      <c r="BT270" s="7">
        <f t="shared" si="251"/>
        <v>1.8992147331871019</v>
      </c>
      <c r="BU270" s="7">
        <f t="shared" si="252"/>
        <v>1.8566096625922619</v>
      </c>
      <c r="BV270" s="7">
        <f t="shared" si="253"/>
        <v>1.8141611238965694</v>
      </c>
      <c r="BW270" s="7">
        <f t="shared" si="254"/>
        <v>1.7730810000872173</v>
      </c>
      <c r="BX270" s="7">
        <f t="shared" si="255"/>
        <v>1.731850827041723</v>
      </c>
      <c r="BY270" s="7">
        <f t="shared" si="256"/>
        <v>1.691473127355585</v>
      </c>
      <c r="BZ270" s="7">
        <f t="shared" si="257"/>
        <v>1.6509734469470527</v>
      </c>
      <c r="CA270" s="7">
        <f t="shared" si="258"/>
        <v>1.6113995763813598</v>
      </c>
      <c r="CB270" s="7">
        <f t="shared" si="259"/>
        <v>1.5714196671652791</v>
      </c>
      <c r="CC270" s="7">
        <f t="shared" si="260"/>
        <v>1.5323428657326172</v>
      </c>
      <c r="CD270" s="7">
        <f t="shared" si="261"/>
        <v>1.4928992210184322</v>
      </c>
      <c r="CE270" s="7">
        <f t="shared" si="262"/>
        <v>1.4544139338623494</v>
      </c>
      <c r="CF270" s="7">
        <f t="shared" si="263"/>
        <v>1.4156607640625285</v>
      </c>
      <c r="CG270" s="7">
        <f t="shared" si="264"/>
        <v>1.3777502826427388</v>
      </c>
      <c r="CH270" s="7">
        <f t="shared" si="265"/>
        <v>1.3399069852665557</v>
      </c>
      <c r="CI270" s="7">
        <f t="shared" si="266"/>
        <v>1.3032112842031036</v>
      </c>
      <c r="CJ270" s="7">
        <f t="shared" si="267"/>
        <v>1.266501590156704</v>
      </c>
      <c r="CK270" s="7">
        <f t="shared" si="268"/>
        <v>1.2310249793219572</v>
      </c>
      <c r="CL270" s="7">
        <f t="shared" si="269"/>
        <v>1.1956518653651937</v>
      </c>
      <c r="CM270" s="7">
        <f t="shared" si="270"/>
        <v>1.1615759549414322</v>
      </c>
      <c r="CN270" s="7">
        <f t="shared" si="271"/>
        <v>1.1277031606682431</v>
      </c>
      <c r="CO270" s="7">
        <f t="shared" si="272"/>
        <v>51.15165788503927</v>
      </c>
      <c r="CP270" s="7">
        <f t="shared" si="273"/>
        <v>0</v>
      </c>
      <c r="CQ270" s="7">
        <f t="shared" si="274"/>
        <v>0</v>
      </c>
      <c r="CR270" s="7">
        <f t="shared" si="275"/>
        <v>0</v>
      </c>
      <c r="CS270" s="7">
        <f t="shared" si="276"/>
        <v>0</v>
      </c>
      <c r="CT270" s="7">
        <f t="shared" si="277"/>
        <v>0</v>
      </c>
      <c r="CU270" s="7">
        <f t="shared" si="278"/>
        <v>0</v>
      </c>
      <c r="CV270" s="7">
        <f t="shared" si="279"/>
        <v>0</v>
      </c>
      <c r="CW270" s="7">
        <f t="shared" si="280"/>
        <v>0</v>
      </c>
      <c r="CX270" s="7">
        <f t="shared" si="281"/>
        <v>0</v>
      </c>
      <c r="CY270" s="7">
        <f t="shared" si="282"/>
        <v>0</v>
      </c>
      <c r="CZ270" s="7">
        <f t="shared" si="283"/>
        <v>0</v>
      </c>
      <c r="DA270" s="7">
        <f t="shared" si="284"/>
        <v>0</v>
      </c>
      <c r="DB270" s="7">
        <f t="shared" si="285"/>
        <v>0</v>
      </c>
      <c r="DC270" s="7">
        <f t="shared" si="286"/>
        <v>0</v>
      </c>
      <c r="DD270" s="7">
        <f t="shared" si="287"/>
        <v>0</v>
      </c>
      <c r="DE270" s="7">
        <f t="shared" si="288"/>
        <v>0</v>
      </c>
      <c r="DF270" s="7">
        <f t="shared" si="289"/>
        <v>0</v>
      </c>
      <c r="DG270" s="7">
        <f t="shared" si="290"/>
        <v>0</v>
      </c>
      <c r="DH270" s="7">
        <f t="shared" si="291"/>
        <v>0</v>
      </c>
      <c r="DI270" s="7">
        <f t="shared" si="292"/>
        <v>0</v>
      </c>
      <c r="DJ270" s="7">
        <f t="shared" si="293"/>
        <v>0</v>
      </c>
      <c r="DK270" s="7">
        <f t="shared" si="294"/>
        <v>0</v>
      </c>
      <c r="DL270" s="7">
        <f t="shared" si="295"/>
        <v>0</v>
      </c>
      <c r="DM270" s="7">
        <f t="shared" si="296"/>
        <v>0</v>
      </c>
      <c r="DN270" s="7">
        <f t="shared" si="297"/>
        <v>0</v>
      </c>
      <c r="DO270" s="7">
        <f t="shared" si="298"/>
        <v>0</v>
      </c>
      <c r="DP270" s="7">
        <f t="shared" si="299"/>
        <v>0</v>
      </c>
      <c r="DQ270" s="7">
        <f t="shared" si="300"/>
        <v>0</v>
      </c>
      <c r="DR270" s="7">
        <f t="shared" si="301"/>
        <v>0</v>
      </c>
      <c r="DS270" s="7">
        <f t="shared" si="302"/>
        <v>0</v>
      </c>
      <c r="DT270" s="7">
        <f t="shared" si="303"/>
        <v>0</v>
      </c>
      <c r="DU270" s="7">
        <f t="shared" si="304"/>
        <v>0</v>
      </c>
    </row>
    <row r="271" spans="1:125" x14ac:dyDescent="0.2">
      <c r="A271" s="3">
        <f>Bonds!A271</f>
        <v>51363</v>
      </c>
      <c r="B271" s="4">
        <f>Bonds!B271</f>
        <v>1.125</v>
      </c>
      <c r="C271">
        <f>Bonds!P271</f>
        <v>28</v>
      </c>
      <c r="D271">
        <f t="shared" si="244"/>
        <v>0</v>
      </c>
      <c r="E271" s="3">
        <f>IF(1&gt;$C271,"",IF($D271=1,EOMONTH(EDATE(Bonds!$H271,6*(1-1)),0),EDATE(Bonds!$H271,6*(1-1))))</f>
        <v>46433</v>
      </c>
      <c r="F271" s="3">
        <f>IF(2&gt;$C271,"",IF($D271=1,EOMONTH(EDATE(Bonds!$H271,6*(2-1)),0),EDATE(Bonds!$H271,6*(2-1))))</f>
        <v>46614</v>
      </c>
      <c r="G271" s="3">
        <f>IF(3&gt;$C271,"",IF($D271=1,EOMONTH(EDATE(Bonds!$H271,6*(3-1)),0),EDATE(Bonds!$H271,6*(3-1))))</f>
        <v>46798</v>
      </c>
      <c r="H271" s="3">
        <f>IF(4&gt;$C271,"",IF($D271=1,EOMONTH(EDATE(Bonds!$H271,6*(4-1)),0),EDATE(Bonds!$H271,6*(4-1))))</f>
        <v>46980</v>
      </c>
      <c r="I271" s="3">
        <f>IF(5&gt;$C271,"",IF($D271=1,EOMONTH(EDATE(Bonds!$H271,6*(5-1)),0),EDATE(Bonds!$H271,6*(5-1))))</f>
        <v>47164</v>
      </c>
      <c r="J271" s="3">
        <f>IF(6&gt;$C271,"",IF($D271=1,EOMONTH(EDATE(Bonds!$H271,6*(6-1)),0),EDATE(Bonds!$H271,6*(6-1))))</f>
        <v>47345</v>
      </c>
      <c r="K271" s="3">
        <f>IF(7&gt;$C271,"",IF($D271=1,EOMONTH(EDATE(Bonds!$H271,6*(7-1)),0),EDATE(Bonds!$H271,6*(7-1))))</f>
        <v>47529</v>
      </c>
      <c r="L271" s="3">
        <f>IF(8&gt;$C271,"",IF($D271=1,EOMONTH(EDATE(Bonds!$H271,6*(8-1)),0),EDATE(Bonds!$H271,6*(8-1))))</f>
        <v>47710</v>
      </c>
      <c r="M271" s="3">
        <f>IF(9&gt;$C271,"",IF($D271=1,EOMONTH(EDATE(Bonds!$H271,6*(9-1)),0),EDATE(Bonds!$H271,6*(9-1))))</f>
        <v>47894</v>
      </c>
      <c r="N271" s="3">
        <f>IF(10&gt;$C271,"",IF($D271=1,EOMONTH(EDATE(Bonds!$H271,6*(10-1)),0),EDATE(Bonds!$H271,6*(10-1))))</f>
        <v>48075</v>
      </c>
      <c r="O271" s="3">
        <f>IF(11&gt;$C271,"",IF($D271=1,EOMONTH(EDATE(Bonds!$H271,6*(11-1)),0),EDATE(Bonds!$H271,6*(11-1))))</f>
        <v>48259</v>
      </c>
      <c r="P271" s="3">
        <f>IF(12&gt;$C271,"",IF($D271=1,EOMONTH(EDATE(Bonds!$H271,6*(12-1)),0),EDATE(Bonds!$H271,6*(12-1))))</f>
        <v>48441</v>
      </c>
      <c r="Q271" s="3">
        <f>IF(13&gt;$C271,"",IF($D271=1,EOMONTH(EDATE(Bonds!$H271,6*(13-1)),0),EDATE(Bonds!$H271,6*(13-1))))</f>
        <v>48625</v>
      </c>
      <c r="R271" s="3">
        <f>IF(14&gt;$C271,"",IF($D271=1,EOMONTH(EDATE(Bonds!$H271,6*(14-1)),0),EDATE(Bonds!$H271,6*(14-1))))</f>
        <v>48806</v>
      </c>
      <c r="S271" s="3">
        <f>IF(15&gt;$C271,"",IF($D271=1,EOMONTH(EDATE(Bonds!$H271,6*(15-1)),0),EDATE(Bonds!$H271,6*(15-1))))</f>
        <v>48990</v>
      </c>
      <c r="T271" s="3">
        <f>IF(16&gt;$C271,"",IF($D271=1,EOMONTH(EDATE(Bonds!$H271,6*(16-1)),0),EDATE(Bonds!$H271,6*(16-1))))</f>
        <v>49171</v>
      </c>
      <c r="U271" s="3">
        <f>IF(17&gt;$C271,"",IF($D271=1,EOMONTH(EDATE(Bonds!$H271,6*(17-1)),0),EDATE(Bonds!$H271,6*(17-1))))</f>
        <v>49355</v>
      </c>
      <c r="V271" s="3">
        <f>IF(18&gt;$C271,"",IF($D271=1,EOMONTH(EDATE(Bonds!$H271,6*(18-1)),0),EDATE(Bonds!$H271,6*(18-1))))</f>
        <v>49536</v>
      </c>
      <c r="W271" s="3">
        <f>IF(19&gt;$C271,"",IF($D271=1,EOMONTH(EDATE(Bonds!$H271,6*(19-1)),0),EDATE(Bonds!$H271,6*(19-1))))</f>
        <v>49720</v>
      </c>
      <c r="X271" s="3">
        <f>IF(20&gt;$C271,"",IF($D271=1,EOMONTH(EDATE(Bonds!$H271,6*(20-1)),0),EDATE(Bonds!$H271,6*(20-1))))</f>
        <v>49902</v>
      </c>
      <c r="Y271" s="3">
        <f>IF(21&gt;$C271,"",IF($D271=1,EOMONTH(EDATE(Bonds!$H271,6*(21-1)),0),EDATE(Bonds!$H271,6*(21-1))))</f>
        <v>50086</v>
      </c>
      <c r="Z271" s="3">
        <f>IF(22&gt;$C271,"",IF($D271=1,EOMONTH(EDATE(Bonds!$H271,6*(22-1)),0),EDATE(Bonds!$H271,6*(22-1))))</f>
        <v>50267</v>
      </c>
      <c r="AA271" s="3">
        <f>IF(23&gt;$C271,"",IF($D271=1,EOMONTH(EDATE(Bonds!$H271,6*(23-1)),0),EDATE(Bonds!$H271,6*(23-1))))</f>
        <v>50451</v>
      </c>
      <c r="AB271" s="3">
        <f>IF(24&gt;$C271,"",IF($D271=1,EOMONTH(EDATE(Bonds!$H271,6*(24-1)),0),EDATE(Bonds!$H271,6*(24-1))))</f>
        <v>50632</v>
      </c>
      <c r="AC271" s="3">
        <f>IF(25&gt;$C271,"",IF($D271=1,EOMONTH(EDATE(Bonds!$H271,6*(25-1)),0),EDATE(Bonds!$H271,6*(25-1))))</f>
        <v>50816</v>
      </c>
      <c r="AD271" s="3">
        <f>IF(26&gt;$C271,"",IF($D271=1,EOMONTH(EDATE(Bonds!$H271,6*(26-1)),0),EDATE(Bonds!$H271,6*(26-1))))</f>
        <v>50997</v>
      </c>
      <c r="AE271" s="3">
        <f>IF(27&gt;$C271,"",IF($D271=1,EOMONTH(EDATE(Bonds!$H271,6*(27-1)),0),EDATE(Bonds!$H271,6*(27-1))))</f>
        <v>51181</v>
      </c>
      <c r="AF271" s="3">
        <f>IF(28&gt;$C271,"",IF($D271=1,EOMONTH(EDATE(Bonds!$H271,6*(28-1)),0),EDATE(Bonds!$H271,6*(28-1))))</f>
        <v>51363</v>
      </c>
      <c r="AG271" s="3" t="str">
        <f>IF(29&gt;$C271,"",IF($D271=1,EOMONTH(EDATE(Bonds!$H271,6*(29-1)),0),EDATE(Bonds!$H271,6*(29-1))))</f>
        <v/>
      </c>
      <c r="AH271" s="3" t="str">
        <f>IF(30&gt;$C271,"",IF($D271=1,EOMONTH(EDATE(Bonds!$H271,6*(30-1)),0),EDATE(Bonds!$H271,6*(30-1))))</f>
        <v/>
      </c>
      <c r="AI271" s="3" t="str">
        <f>IF(31&gt;$C271,"",IF($D271=1,EOMONTH(EDATE(Bonds!$H271,6*(31-1)),0),EDATE(Bonds!$H271,6*(31-1))))</f>
        <v/>
      </c>
      <c r="AJ271" s="3" t="str">
        <f>IF(32&gt;$C271,"",IF($D271=1,EOMONTH(EDATE(Bonds!$H271,6*(32-1)),0),EDATE(Bonds!$H271,6*(32-1))))</f>
        <v/>
      </c>
      <c r="AK271" s="3" t="str">
        <f>IF(33&gt;$C271,"",IF($D271=1,EOMONTH(EDATE(Bonds!$H271,6*(33-1)),0),EDATE(Bonds!$H271,6*(33-1))))</f>
        <v/>
      </c>
      <c r="AL271" s="3" t="str">
        <f>IF(34&gt;$C271,"",IF($D271=1,EOMONTH(EDATE(Bonds!$H271,6*(34-1)),0),EDATE(Bonds!$H271,6*(34-1))))</f>
        <v/>
      </c>
      <c r="AM271" s="3" t="str">
        <f>IF(35&gt;$C271,"",IF($D271=1,EOMONTH(EDATE(Bonds!$H271,6*(35-1)),0),EDATE(Bonds!$H271,6*(35-1))))</f>
        <v/>
      </c>
      <c r="AN271" s="3" t="str">
        <f>IF(36&gt;$C271,"",IF($D271=1,EOMONTH(EDATE(Bonds!$H271,6*(36-1)),0),EDATE(Bonds!$H271,6*(36-1))))</f>
        <v/>
      </c>
      <c r="AO271" s="3" t="str">
        <f>IF(37&gt;$C271,"",IF($D271=1,EOMONTH(EDATE(Bonds!$H271,6*(37-1)),0),EDATE(Bonds!$H271,6*(37-1))))</f>
        <v/>
      </c>
      <c r="AP271" s="3" t="str">
        <f>IF(38&gt;$C271,"",IF($D271=1,EOMONTH(EDATE(Bonds!$H271,6*(38-1)),0),EDATE(Bonds!$H271,6*(38-1))))</f>
        <v/>
      </c>
      <c r="AQ271" s="3" t="str">
        <f>IF(39&gt;$C271,"",IF($D271=1,EOMONTH(EDATE(Bonds!$H271,6*(39-1)),0),EDATE(Bonds!$H271,6*(39-1))))</f>
        <v/>
      </c>
      <c r="AR271" s="3" t="str">
        <f>IF(40&gt;$C271,"",IF($D271=1,EOMONTH(EDATE(Bonds!$H271,6*(40-1)),0),EDATE(Bonds!$H271,6*(40-1))))</f>
        <v/>
      </c>
      <c r="AS271" s="3" t="str">
        <f>IF(41&gt;$C271,"",IF($D271=1,EOMONTH(EDATE(Bonds!$H271,6*(41-1)),0),EDATE(Bonds!$H271,6*(41-1))))</f>
        <v/>
      </c>
      <c r="AT271" s="3" t="str">
        <f>IF(42&gt;$C271,"",IF($D271=1,EOMONTH(EDATE(Bonds!$H271,6*(42-1)),0),EDATE(Bonds!$H271,6*(42-1))))</f>
        <v/>
      </c>
      <c r="AU271" s="3" t="str">
        <f>IF(43&gt;$C271,"",IF($D271=1,EOMONTH(EDATE(Bonds!$H271,6*(43-1)),0),EDATE(Bonds!$H271,6*(43-1))))</f>
        <v/>
      </c>
      <c r="AV271" s="3" t="str">
        <f>IF(44&gt;$C271,"",IF($D271=1,EOMONTH(EDATE(Bonds!$H271,6*(44-1)),0),EDATE(Bonds!$H271,6*(44-1))))</f>
        <v/>
      </c>
      <c r="AW271" s="3" t="str">
        <f>IF(45&gt;$C271,"",IF($D271=1,EOMONTH(EDATE(Bonds!$H271,6*(45-1)),0),EDATE(Bonds!$H271,6*(45-1))))</f>
        <v/>
      </c>
      <c r="AX271" s="3" t="str">
        <f>IF(46&gt;$C271,"",IF($D271=1,EOMONTH(EDATE(Bonds!$H271,6*(46-1)),0),EDATE(Bonds!$H271,6*(46-1))))</f>
        <v/>
      </c>
      <c r="AY271" s="3" t="str">
        <f>IF(47&gt;$C271,"",IF($D271=1,EOMONTH(EDATE(Bonds!$H271,6*(47-1)),0),EDATE(Bonds!$H271,6*(47-1))))</f>
        <v/>
      </c>
      <c r="AZ271" s="3" t="str">
        <f>IF(48&gt;$C271,"",IF($D271=1,EOMONTH(EDATE(Bonds!$H271,6*(48-1)),0),EDATE(Bonds!$H271,6*(48-1))))</f>
        <v/>
      </c>
      <c r="BA271" s="3" t="str">
        <f>IF(49&gt;$C271,"",IF($D271=1,EOMONTH(EDATE(Bonds!$H271,6*(49-1)),0),EDATE(Bonds!$H271,6*(49-1))))</f>
        <v/>
      </c>
      <c r="BB271" s="3" t="str">
        <f>IF(50&gt;$C271,"",IF($D271=1,EOMONTH(EDATE(Bonds!$H271,6*(50-1)),0),EDATE(Bonds!$H271,6*(50-1))))</f>
        <v/>
      </c>
      <c r="BC271" s="3" t="str">
        <f>IF(51&gt;$C271,"",IF($D271=1,EOMONTH(EDATE(Bonds!$H271,6*(51-1)),0),EDATE(Bonds!$H271,6*(51-1))))</f>
        <v/>
      </c>
      <c r="BD271" s="3" t="str">
        <f>IF(52&gt;$C271,"",IF($D271=1,EOMONTH(EDATE(Bonds!$H271,6*(52-1)),0),EDATE(Bonds!$H271,6*(52-1))))</f>
        <v/>
      </c>
      <c r="BE271" s="3" t="str">
        <f>IF(53&gt;$C271,"",IF($D271=1,EOMONTH(EDATE(Bonds!$H271,6*(53-1)),0),EDATE(Bonds!$H271,6*(53-1))))</f>
        <v/>
      </c>
      <c r="BF271" s="3" t="str">
        <f>IF(54&gt;$C271,"",IF($D271=1,EOMONTH(EDATE(Bonds!$H271,6*(54-1)),0),EDATE(Bonds!$H271,6*(54-1))))</f>
        <v/>
      </c>
      <c r="BG271" s="3" t="str">
        <f>IF(55&gt;$C271,"",IF($D271=1,EOMONTH(EDATE(Bonds!$H271,6*(55-1)),0),EDATE(Bonds!$H271,6*(55-1))))</f>
        <v/>
      </c>
      <c r="BH271" s="3" t="str">
        <f>IF(56&gt;$C271,"",IF($D271=1,EOMONTH(EDATE(Bonds!$H271,6*(56-1)),0),EDATE(Bonds!$H271,6*(56-1))))</f>
        <v/>
      </c>
      <c r="BI271" s="3" t="str">
        <f>IF(57&gt;$C271,"",IF($D271=1,EOMONTH(EDATE(Bonds!$H271,6*(57-1)),0),EDATE(Bonds!$H271,6*(57-1))))</f>
        <v/>
      </c>
      <c r="BJ271" s="3" t="str">
        <f>IF(58&gt;$C271,"",IF($D271=1,EOMONTH(EDATE(Bonds!$H271,6*(58-1)),0),EDATE(Bonds!$H271,6*(58-1))))</f>
        <v/>
      </c>
      <c r="BK271" s="3" t="str">
        <f>IF(59&gt;$C271,"",IF($D271=1,EOMONTH(EDATE(Bonds!$H271,6*(59-1)),0),EDATE(Bonds!$H271,6*(59-1))))</f>
        <v/>
      </c>
      <c r="BL271" s="3" t="str">
        <f>IF(60&gt;$C271,"",IF($D271=1,EOMONTH(EDATE(Bonds!$H271,6*(60-1)),0),EDATE(Bonds!$H271,6*(60-1))))</f>
        <v/>
      </c>
      <c r="BN271" s="7">
        <f t="shared" si="245"/>
        <v>0.55295970878307255</v>
      </c>
      <c r="BO271" s="7">
        <f t="shared" si="246"/>
        <v>0.54130424503915597</v>
      </c>
      <c r="BP271" s="7">
        <f t="shared" si="247"/>
        <v>0.52916293565851558</v>
      </c>
      <c r="BQ271" s="7">
        <f t="shared" si="248"/>
        <v>0.51722351583352566</v>
      </c>
      <c r="BR271" s="7">
        <f t="shared" si="249"/>
        <v>0.5053905654816383</v>
      </c>
      <c r="BS271" s="7">
        <f t="shared" si="250"/>
        <v>0.49403475546910225</v>
      </c>
      <c r="BT271" s="7">
        <f t="shared" si="251"/>
        <v>0.48277110070305002</v>
      </c>
      <c r="BU271" s="7">
        <f t="shared" si="252"/>
        <v>0.4719311777317623</v>
      </c>
      <c r="BV271" s="7">
        <f t="shared" si="253"/>
        <v>0.46111038707512558</v>
      </c>
      <c r="BW271" s="7">
        <f t="shared" si="254"/>
        <v>0.45061910229130669</v>
      </c>
      <c r="BX271" s="7">
        <f t="shared" si="255"/>
        <v>0.44007328145835145</v>
      </c>
      <c r="BY271" s="7">
        <f t="shared" si="256"/>
        <v>0.42973376394340845</v>
      </c>
      <c r="BZ271" s="7">
        <f t="shared" si="257"/>
        <v>0.41935564941851083</v>
      </c>
      <c r="CA271" s="7">
        <f t="shared" si="258"/>
        <v>0.40921156595744868</v>
      </c>
      <c r="CB271" s="7">
        <f t="shared" si="259"/>
        <v>0.39896360157381661</v>
      </c>
      <c r="CC271" s="7">
        <f t="shared" si="260"/>
        <v>0.38895002513483073</v>
      </c>
      <c r="CD271" s="7">
        <f t="shared" si="261"/>
        <v>0.37884746641984945</v>
      </c>
      <c r="CE271" s="7">
        <f t="shared" si="262"/>
        <v>0.36899674812209671</v>
      </c>
      <c r="CF271" s="7">
        <f t="shared" si="263"/>
        <v>0.3590849047401497</v>
      </c>
      <c r="CG271" s="7">
        <f t="shared" si="264"/>
        <v>0.34939650962585189</v>
      </c>
      <c r="CH271" s="7">
        <f t="shared" si="265"/>
        <v>0.3397335001944497</v>
      </c>
      <c r="CI271" s="7">
        <f t="shared" si="266"/>
        <v>0.33037154845917244</v>
      </c>
      <c r="CJ271" s="7">
        <f t="shared" si="267"/>
        <v>0.32101397267955595</v>
      </c>
      <c r="CK271" s="7">
        <f t="shared" si="268"/>
        <v>0.31197820287067357</v>
      </c>
      <c r="CL271" s="7">
        <f t="shared" si="269"/>
        <v>0.30297597749533578</v>
      </c>
      <c r="CM271" s="7">
        <f t="shared" si="270"/>
        <v>0.29431048623538042</v>
      </c>
      <c r="CN271" s="7">
        <f t="shared" si="271"/>
        <v>0.28570286273025342</v>
      </c>
      <c r="CO271" s="7">
        <f t="shared" si="272"/>
        <v>49.59214935440648</v>
      </c>
      <c r="CP271" s="7">
        <f t="shared" si="273"/>
        <v>0</v>
      </c>
      <c r="CQ271" s="7">
        <f t="shared" si="274"/>
        <v>0</v>
      </c>
      <c r="CR271" s="7">
        <f t="shared" si="275"/>
        <v>0</v>
      </c>
      <c r="CS271" s="7">
        <f t="shared" si="276"/>
        <v>0</v>
      </c>
      <c r="CT271" s="7">
        <f t="shared" si="277"/>
        <v>0</v>
      </c>
      <c r="CU271" s="7">
        <f t="shared" si="278"/>
        <v>0</v>
      </c>
      <c r="CV271" s="7">
        <f t="shared" si="279"/>
        <v>0</v>
      </c>
      <c r="CW271" s="7">
        <f t="shared" si="280"/>
        <v>0</v>
      </c>
      <c r="CX271" s="7">
        <f t="shared" si="281"/>
        <v>0</v>
      </c>
      <c r="CY271" s="7">
        <f t="shared" si="282"/>
        <v>0</v>
      </c>
      <c r="CZ271" s="7">
        <f t="shared" si="283"/>
        <v>0</v>
      </c>
      <c r="DA271" s="7">
        <f t="shared" si="284"/>
        <v>0</v>
      </c>
      <c r="DB271" s="7">
        <f t="shared" si="285"/>
        <v>0</v>
      </c>
      <c r="DC271" s="7">
        <f t="shared" si="286"/>
        <v>0</v>
      </c>
      <c r="DD271" s="7">
        <f t="shared" si="287"/>
        <v>0</v>
      </c>
      <c r="DE271" s="7">
        <f t="shared" si="288"/>
        <v>0</v>
      </c>
      <c r="DF271" s="7">
        <f t="shared" si="289"/>
        <v>0</v>
      </c>
      <c r="DG271" s="7">
        <f t="shared" si="290"/>
        <v>0</v>
      </c>
      <c r="DH271" s="7">
        <f t="shared" si="291"/>
        <v>0</v>
      </c>
      <c r="DI271" s="7">
        <f t="shared" si="292"/>
        <v>0</v>
      </c>
      <c r="DJ271" s="7">
        <f t="shared" si="293"/>
        <v>0</v>
      </c>
      <c r="DK271" s="7">
        <f t="shared" si="294"/>
        <v>0</v>
      </c>
      <c r="DL271" s="7">
        <f t="shared" si="295"/>
        <v>0</v>
      </c>
      <c r="DM271" s="7">
        <f t="shared" si="296"/>
        <v>0</v>
      </c>
      <c r="DN271" s="7">
        <f t="shared" si="297"/>
        <v>0</v>
      </c>
      <c r="DO271" s="7">
        <f t="shared" si="298"/>
        <v>0</v>
      </c>
      <c r="DP271" s="7">
        <f t="shared" si="299"/>
        <v>0</v>
      </c>
      <c r="DQ271" s="7">
        <f t="shared" si="300"/>
        <v>0</v>
      </c>
      <c r="DR271" s="7">
        <f t="shared" si="301"/>
        <v>0</v>
      </c>
      <c r="DS271" s="7">
        <f t="shared" si="302"/>
        <v>0</v>
      </c>
      <c r="DT271" s="7">
        <f t="shared" si="303"/>
        <v>0</v>
      </c>
      <c r="DU271" s="7">
        <f t="shared" si="304"/>
        <v>0</v>
      </c>
    </row>
    <row r="272" spans="1:125" x14ac:dyDescent="0.2">
      <c r="A272" s="3">
        <f>Bonds!A272</f>
        <v>51363</v>
      </c>
      <c r="B272" s="4">
        <f>Bonds!B272</f>
        <v>3.875</v>
      </c>
      <c r="C272">
        <f>Bonds!P272</f>
        <v>28</v>
      </c>
      <c r="D272">
        <f t="shared" si="244"/>
        <v>0</v>
      </c>
      <c r="E272" s="3">
        <f>IF(1&gt;$C272,"",IF($D272=1,EOMONTH(EDATE(Bonds!$H272,6*(1-1)),0),EDATE(Bonds!$H272,6*(1-1))))</f>
        <v>46433</v>
      </c>
      <c r="F272" s="3">
        <f>IF(2&gt;$C272,"",IF($D272=1,EOMONTH(EDATE(Bonds!$H272,6*(2-1)),0),EDATE(Bonds!$H272,6*(2-1))))</f>
        <v>46614</v>
      </c>
      <c r="G272" s="3">
        <f>IF(3&gt;$C272,"",IF($D272=1,EOMONTH(EDATE(Bonds!$H272,6*(3-1)),0),EDATE(Bonds!$H272,6*(3-1))))</f>
        <v>46798</v>
      </c>
      <c r="H272" s="3">
        <f>IF(4&gt;$C272,"",IF($D272=1,EOMONTH(EDATE(Bonds!$H272,6*(4-1)),0),EDATE(Bonds!$H272,6*(4-1))))</f>
        <v>46980</v>
      </c>
      <c r="I272" s="3">
        <f>IF(5&gt;$C272,"",IF($D272=1,EOMONTH(EDATE(Bonds!$H272,6*(5-1)),0),EDATE(Bonds!$H272,6*(5-1))))</f>
        <v>47164</v>
      </c>
      <c r="J272" s="3">
        <f>IF(6&gt;$C272,"",IF($D272=1,EOMONTH(EDATE(Bonds!$H272,6*(6-1)),0),EDATE(Bonds!$H272,6*(6-1))))</f>
        <v>47345</v>
      </c>
      <c r="K272" s="3">
        <f>IF(7&gt;$C272,"",IF($D272=1,EOMONTH(EDATE(Bonds!$H272,6*(7-1)),0),EDATE(Bonds!$H272,6*(7-1))))</f>
        <v>47529</v>
      </c>
      <c r="L272" s="3">
        <f>IF(8&gt;$C272,"",IF($D272=1,EOMONTH(EDATE(Bonds!$H272,6*(8-1)),0),EDATE(Bonds!$H272,6*(8-1))))</f>
        <v>47710</v>
      </c>
      <c r="M272" s="3">
        <f>IF(9&gt;$C272,"",IF($D272=1,EOMONTH(EDATE(Bonds!$H272,6*(9-1)),0),EDATE(Bonds!$H272,6*(9-1))))</f>
        <v>47894</v>
      </c>
      <c r="N272" s="3">
        <f>IF(10&gt;$C272,"",IF($D272=1,EOMONTH(EDATE(Bonds!$H272,6*(10-1)),0),EDATE(Bonds!$H272,6*(10-1))))</f>
        <v>48075</v>
      </c>
      <c r="O272" s="3">
        <f>IF(11&gt;$C272,"",IF($D272=1,EOMONTH(EDATE(Bonds!$H272,6*(11-1)),0),EDATE(Bonds!$H272,6*(11-1))))</f>
        <v>48259</v>
      </c>
      <c r="P272" s="3">
        <f>IF(12&gt;$C272,"",IF($D272=1,EOMONTH(EDATE(Bonds!$H272,6*(12-1)),0),EDATE(Bonds!$H272,6*(12-1))))</f>
        <v>48441</v>
      </c>
      <c r="Q272" s="3">
        <f>IF(13&gt;$C272,"",IF($D272=1,EOMONTH(EDATE(Bonds!$H272,6*(13-1)),0),EDATE(Bonds!$H272,6*(13-1))))</f>
        <v>48625</v>
      </c>
      <c r="R272" s="3">
        <f>IF(14&gt;$C272,"",IF($D272=1,EOMONTH(EDATE(Bonds!$H272,6*(14-1)),0),EDATE(Bonds!$H272,6*(14-1))))</f>
        <v>48806</v>
      </c>
      <c r="S272" s="3">
        <f>IF(15&gt;$C272,"",IF($D272=1,EOMONTH(EDATE(Bonds!$H272,6*(15-1)),0),EDATE(Bonds!$H272,6*(15-1))))</f>
        <v>48990</v>
      </c>
      <c r="T272" s="3">
        <f>IF(16&gt;$C272,"",IF($D272=1,EOMONTH(EDATE(Bonds!$H272,6*(16-1)),0),EDATE(Bonds!$H272,6*(16-1))))</f>
        <v>49171</v>
      </c>
      <c r="U272" s="3">
        <f>IF(17&gt;$C272,"",IF($D272=1,EOMONTH(EDATE(Bonds!$H272,6*(17-1)),0),EDATE(Bonds!$H272,6*(17-1))))</f>
        <v>49355</v>
      </c>
      <c r="V272" s="3">
        <f>IF(18&gt;$C272,"",IF($D272=1,EOMONTH(EDATE(Bonds!$H272,6*(18-1)),0),EDATE(Bonds!$H272,6*(18-1))))</f>
        <v>49536</v>
      </c>
      <c r="W272" s="3">
        <f>IF(19&gt;$C272,"",IF($D272=1,EOMONTH(EDATE(Bonds!$H272,6*(19-1)),0),EDATE(Bonds!$H272,6*(19-1))))</f>
        <v>49720</v>
      </c>
      <c r="X272" s="3">
        <f>IF(20&gt;$C272,"",IF($D272=1,EOMONTH(EDATE(Bonds!$H272,6*(20-1)),0),EDATE(Bonds!$H272,6*(20-1))))</f>
        <v>49902</v>
      </c>
      <c r="Y272" s="3">
        <f>IF(21&gt;$C272,"",IF($D272=1,EOMONTH(EDATE(Bonds!$H272,6*(21-1)),0),EDATE(Bonds!$H272,6*(21-1))))</f>
        <v>50086</v>
      </c>
      <c r="Z272" s="3">
        <f>IF(22&gt;$C272,"",IF($D272=1,EOMONTH(EDATE(Bonds!$H272,6*(22-1)),0),EDATE(Bonds!$H272,6*(22-1))))</f>
        <v>50267</v>
      </c>
      <c r="AA272" s="3">
        <f>IF(23&gt;$C272,"",IF($D272=1,EOMONTH(EDATE(Bonds!$H272,6*(23-1)),0),EDATE(Bonds!$H272,6*(23-1))))</f>
        <v>50451</v>
      </c>
      <c r="AB272" s="3">
        <f>IF(24&gt;$C272,"",IF($D272=1,EOMONTH(EDATE(Bonds!$H272,6*(24-1)),0),EDATE(Bonds!$H272,6*(24-1))))</f>
        <v>50632</v>
      </c>
      <c r="AC272" s="3">
        <f>IF(25&gt;$C272,"",IF($D272=1,EOMONTH(EDATE(Bonds!$H272,6*(25-1)),0),EDATE(Bonds!$H272,6*(25-1))))</f>
        <v>50816</v>
      </c>
      <c r="AD272" s="3">
        <f>IF(26&gt;$C272,"",IF($D272=1,EOMONTH(EDATE(Bonds!$H272,6*(26-1)),0),EDATE(Bonds!$H272,6*(26-1))))</f>
        <v>50997</v>
      </c>
      <c r="AE272" s="3">
        <f>IF(27&gt;$C272,"",IF($D272=1,EOMONTH(EDATE(Bonds!$H272,6*(27-1)),0),EDATE(Bonds!$H272,6*(27-1))))</f>
        <v>51181</v>
      </c>
      <c r="AF272" s="3">
        <f>IF(28&gt;$C272,"",IF($D272=1,EOMONTH(EDATE(Bonds!$H272,6*(28-1)),0),EDATE(Bonds!$H272,6*(28-1))))</f>
        <v>51363</v>
      </c>
      <c r="AG272" s="3" t="str">
        <f>IF(29&gt;$C272,"",IF($D272=1,EOMONTH(EDATE(Bonds!$H272,6*(29-1)),0),EDATE(Bonds!$H272,6*(29-1))))</f>
        <v/>
      </c>
      <c r="AH272" s="3" t="str">
        <f>IF(30&gt;$C272,"",IF($D272=1,EOMONTH(EDATE(Bonds!$H272,6*(30-1)),0),EDATE(Bonds!$H272,6*(30-1))))</f>
        <v/>
      </c>
      <c r="AI272" s="3" t="str">
        <f>IF(31&gt;$C272,"",IF($D272=1,EOMONTH(EDATE(Bonds!$H272,6*(31-1)),0),EDATE(Bonds!$H272,6*(31-1))))</f>
        <v/>
      </c>
      <c r="AJ272" s="3" t="str">
        <f>IF(32&gt;$C272,"",IF($D272=1,EOMONTH(EDATE(Bonds!$H272,6*(32-1)),0),EDATE(Bonds!$H272,6*(32-1))))</f>
        <v/>
      </c>
      <c r="AK272" s="3" t="str">
        <f>IF(33&gt;$C272,"",IF($D272=1,EOMONTH(EDATE(Bonds!$H272,6*(33-1)),0),EDATE(Bonds!$H272,6*(33-1))))</f>
        <v/>
      </c>
      <c r="AL272" s="3" t="str">
        <f>IF(34&gt;$C272,"",IF($D272=1,EOMONTH(EDATE(Bonds!$H272,6*(34-1)),0),EDATE(Bonds!$H272,6*(34-1))))</f>
        <v/>
      </c>
      <c r="AM272" s="3" t="str">
        <f>IF(35&gt;$C272,"",IF($D272=1,EOMONTH(EDATE(Bonds!$H272,6*(35-1)),0),EDATE(Bonds!$H272,6*(35-1))))</f>
        <v/>
      </c>
      <c r="AN272" s="3" t="str">
        <f>IF(36&gt;$C272,"",IF($D272=1,EOMONTH(EDATE(Bonds!$H272,6*(36-1)),0),EDATE(Bonds!$H272,6*(36-1))))</f>
        <v/>
      </c>
      <c r="AO272" s="3" t="str">
        <f>IF(37&gt;$C272,"",IF($D272=1,EOMONTH(EDATE(Bonds!$H272,6*(37-1)),0),EDATE(Bonds!$H272,6*(37-1))))</f>
        <v/>
      </c>
      <c r="AP272" s="3" t="str">
        <f>IF(38&gt;$C272,"",IF($D272=1,EOMONTH(EDATE(Bonds!$H272,6*(38-1)),0),EDATE(Bonds!$H272,6*(38-1))))</f>
        <v/>
      </c>
      <c r="AQ272" s="3" t="str">
        <f>IF(39&gt;$C272,"",IF($D272=1,EOMONTH(EDATE(Bonds!$H272,6*(39-1)),0),EDATE(Bonds!$H272,6*(39-1))))</f>
        <v/>
      </c>
      <c r="AR272" s="3" t="str">
        <f>IF(40&gt;$C272,"",IF($D272=1,EOMONTH(EDATE(Bonds!$H272,6*(40-1)),0),EDATE(Bonds!$H272,6*(40-1))))</f>
        <v/>
      </c>
      <c r="AS272" s="3" t="str">
        <f>IF(41&gt;$C272,"",IF($D272=1,EOMONTH(EDATE(Bonds!$H272,6*(41-1)),0),EDATE(Bonds!$H272,6*(41-1))))</f>
        <v/>
      </c>
      <c r="AT272" s="3" t="str">
        <f>IF(42&gt;$C272,"",IF($D272=1,EOMONTH(EDATE(Bonds!$H272,6*(42-1)),0),EDATE(Bonds!$H272,6*(42-1))))</f>
        <v/>
      </c>
      <c r="AU272" s="3" t="str">
        <f>IF(43&gt;$C272,"",IF($D272=1,EOMONTH(EDATE(Bonds!$H272,6*(43-1)),0),EDATE(Bonds!$H272,6*(43-1))))</f>
        <v/>
      </c>
      <c r="AV272" s="3" t="str">
        <f>IF(44&gt;$C272,"",IF($D272=1,EOMONTH(EDATE(Bonds!$H272,6*(44-1)),0),EDATE(Bonds!$H272,6*(44-1))))</f>
        <v/>
      </c>
      <c r="AW272" s="3" t="str">
        <f>IF(45&gt;$C272,"",IF($D272=1,EOMONTH(EDATE(Bonds!$H272,6*(45-1)),0),EDATE(Bonds!$H272,6*(45-1))))</f>
        <v/>
      </c>
      <c r="AX272" s="3" t="str">
        <f>IF(46&gt;$C272,"",IF($D272=1,EOMONTH(EDATE(Bonds!$H272,6*(46-1)),0),EDATE(Bonds!$H272,6*(46-1))))</f>
        <v/>
      </c>
      <c r="AY272" s="3" t="str">
        <f>IF(47&gt;$C272,"",IF($D272=1,EOMONTH(EDATE(Bonds!$H272,6*(47-1)),0),EDATE(Bonds!$H272,6*(47-1))))</f>
        <v/>
      </c>
      <c r="AZ272" s="3" t="str">
        <f>IF(48&gt;$C272,"",IF($D272=1,EOMONTH(EDATE(Bonds!$H272,6*(48-1)),0),EDATE(Bonds!$H272,6*(48-1))))</f>
        <v/>
      </c>
      <c r="BA272" s="3" t="str">
        <f>IF(49&gt;$C272,"",IF($D272=1,EOMONTH(EDATE(Bonds!$H272,6*(49-1)),0),EDATE(Bonds!$H272,6*(49-1))))</f>
        <v/>
      </c>
      <c r="BB272" s="3" t="str">
        <f>IF(50&gt;$C272,"",IF($D272=1,EOMONTH(EDATE(Bonds!$H272,6*(50-1)),0),EDATE(Bonds!$H272,6*(50-1))))</f>
        <v/>
      </c>
      <c r="BC272" s="3" t="str">
        <f>IF(51&gt;$C272,"",IF($D272=1,EOMONTH(EDATE(Bonds!$H272,6*(51-1)),0),EDATE(Bonds!$H272,6*(51-1))))</f>
        <v/>
      </c>
      <c r="BD272" s="3" t="str">
        <f>IF(52&gt;$C272,"",IF($D272=1,EOMONTH(EDATE(Bonds!$H272,6*(52-1)),0),EDATE(Bonds!$H272,6*(52-1))))</f>
        <v/>
      </c>
      <c r="BE272" s="3" t="str">
        <f>IF(53&gt;$C272,"",IF($D272=1,EOMONTH(EDATE(Bonds!$H272,6*(53-1)),0),EDATE(Bonds!$H272,6*(53-1))))</f>
        <v/>
      </c>
      <c r="BF272" s="3" t="str">
        <f>IF(54&gt;$C272,"",IF($D272=1,EOMONTH(EDATE(Bonds!$H272,6*(54-1)),0),EDATE(Bonds!$H272,6*(54-1))))</f>
        <v/>
      </c>
      <c r="BG272" s="3" t="str">
        <f>IF(55&gt;$C272,"",IF($D272=1,EOMONTH(EDATE(Bonds!$H272,6*(55-1)),0),EDATE(Bonds!$H272,6*(55-1))))</f>
        <v/>
      </c>
      <c r="BH272" s="3" t="str">
        <f>IF(56&gt;$C272,"",IF($D272=1,EOMONTH(EDATE(Bonds!$H272,6*(56-1)),0),EDATE(Bonds!$H272,6*(56-1))))</f>
        <v/>
      </c>
      <c r="BI272" s="3" t="str">
        <f>IF(57&gt;$C272,"",IF($D272=1,EOMONTH(EDATE(Bonds!$H272,6*(57-1)),0),EDATE(Bonds!$H272,6*(57-1))))</f>
        <v/>
      </c>
      <c r="BJ272" s="3" t="str">
        <f>IF(58&gt;$C272,"",IF($D272=1,EOMONTH(EDATE(Bonds!$H272,6*(58-1)),0),EDATE(Bonds!$H272,6*(58-1))))</f>
        <v/>
      </c>
      <c r="BK272" s="3" t="str">
        <f>IF(59&gt;$C272,"",IF($D272=1,EOMONTH(EDATE(Bonds!$H272,6*(59-1)),0),EDATE(Bonds!$H272,6*(59-1))))</f>
        <v/>
      </c>
      <c r="BL272" s="3" t="str">
        <f>IF(60&gt;$C272,"",IF($D272=1,EOMONTH(EDATE(Bonds!$H272,6*(60-1)),0),EDATE(Bonds!$H272,6*(60-1))))</f>
        <v/>
      </c>
      <c r="BN272" s="7">
        <f t="shared" si="245"/>
        <v>1.9046389969194721</v>
      </c>
      <c r="BO272" s="7">
        <f t="shared" si="246"/>
        <v>1.864492399579315</v>
      </c>
      <c r="BP272" s="7">
        <f t="shared" si="247"/>
        <v>1.8226723339348871</v>
      </c>
      <c r="BQ272" s="7">
        <f t="shared" si="248"/>
        <v>1.7815476656488105</v>
      </c>
      <c r="BR272" s="7">
        <f t="shared" si="249"/>
        <v>1.7407897255478653</v>
      </c>
      <c r="BS272" s="7">
        <f t="shared" si="250"/>
        <v>1.701675268838019</v>
      </c>
      <c r="BT272" s="7">
        <f t="shared" si="251"/>
        <v>1.6628782357549501</v>
      </c>
      <c r="BU272" s="7">
        <f t="shared" si="252"/>
        <v>1.6255407232982924</v>
      </c>
      <c r="BV272" s="7">
        <f t="shared" si="253"/>
        <v>1.5882691110365437</v>
      </c>
      <c r="BW272" s="7">
        <f t="shared" si="254"/>
        <v>1.5521324634478342</v>
      </c>
      <c r="BX272" s="7">
        <f t="shared" si="255"/>
        <v>1.5158079694676549</v>
      </c>
      <c r="BY272" s="7">
        <f t="shared" si="256"/>
        <v>1.4801940758050736</v>
      </c>
      <c r="BZ272" s="7">
        <f t="shared" si="257"/>
        <v>1.4444472368859818</v>
      </c>
      <c r="CA272" s="7">
        <f t="shared" si="258"/>
        <v>1.4095065049645454</v>
      </c>
      <c r="CB272" s="7">
        <f t="shared" si="259"/>
        <v>1.3742079609764795</v>
      </c>
      <c r="CC272" s="7">
        <f t="shared" si="260"/>
        <v>1.3397167532421947</v>
      </c>
      <c r="CD272" s="7">
        <f t="shared" si="261"/>
        <v>1.3049190510017037</v>
      </c>
      <c r="CE272" s="7">
        <f t="shared" si="262"/>
        <v>1.270988799087222</v>
      </c>
      <c r="CF272" s="7">
        <f t="shared" si="263"/>
        <v>1.2368480052160711</v>
      </c>
      <c r="CG272" s="7">
        <f t="shared" si="264"/>
        <v>1.2034768664890454</v>
      </c>
      <c r="CH272" s="7">
        <f t="shared" si="265"/>
        <v>1.1701931673364379</v>
      </c>
      <c r="CI272" s="7">
        <f t="shared" si="266"/>
        <v>1.137946444692705</v>
      </c>
      <c r="CJ272" s="7">
        <f t="shared" si="267"/>
        <v>1.1057147947851371</v>
      </c>
      <c r="CK272" s="7">
        <f t="shared" si="268"/>
        <v>1.0745915876656533</v>
      </c>
      <c r="CL272" s="7">
        <f t="shared" si="269"/>
        <v>1.0435839224839345</v>
      </c>
      <c r="CM272" s="7">
        <f t="shared" si="270"/>
        <v>1.0137361192551992</v>
      </c>
      <c r="CN272" s="7">
        <f t="shared" si="271"/>
        <v>0.98408763829309509</v>
      </c>
      <c r="CO272" s="7">
        <f t="shared" si="272"/>
        <v>50.270227220035402</v>
      </c>
      <c r="CP272" s="7">
        <f t="shared" si="273"/>
        <v>0</v>
      </c>
      <c r="CQ272" s="7">
        <f t="shared" si="274"/>
        <v>0</v>
      </c>
      <c r="CR272" s="7">
        <f t="shared" si="275"/>
        <v>0</v>
      </c>
      <c r="CS272" s="7">
        <f t="shared" si="276"/>
        <v>0</v>
      </c>
      <c r="CT272" s="7">
        <f t="shared" si="277"/>
        <v>0</v>
      </c>
      <c r="CU272" s="7">
        <f t="shared" si="278"/>
        <v>0</v>
      </c>
      <c r="CV272" s="7">
        <f t="shared" si="279"/>
        <v>0</v>
      </c>
      <c r="CW272" s="7">
        <f t="shared" si="280"/>
        <v>0</v>
      </c>
      <c r="CX272" s="7">
        <f t="shared" si="281"/>
        <v>0</v>
      </c>
      <c r="CY272" s="7">
        <f t="shared" si="282"/>
        <v>0</v>
      </c>
      <c r="CZ272" s="7">
        <f t="shared" si="283"/>
        <v>0</v>
      </c>
      <c r="DA272" s="7">
        <f t="shared" si="284"/>
        <v>0</v>
      </c>
      <c r="DB272" s="7">
        <f t="shared" si="285"/>
        <v>0</v>
      </c>
      <c r="DC272" s="7">
        <f t="shared" si="286"/>
        <v>0</v>
      </c>
      <c r="DD272" s="7">
        <f t="shared" si="287"/>
        <v>0</v>
      </c>
      <c r="DE272" s="7">
        <f t="shared" si="288"/>
        <v>0</v>
      </c>
      <c r="DF272" s="7">
        <f t="shared" si="289"/>
        <v>0</v>
      </c>
      <c r="DG272" s="7">
        <f t="shared" si="290"/>
        <v>0</v>
      </c>
      <c r="DH272" s="7">
        <f t="shared" si="291"/>
        <v>0</v>
      </c>
      <c r="DI272" s="7">
        <f t="shared" si="292"/>
        <v>0</v>
      </c>
      <c r="DJ272" s="7">
        <f t="shared" si="293"/>
        <v>0</v>
      </c>
      <c r="DK272" s="7">
        <f t="shared" si="294"/>
        <v>0</v>
      </c>
      <c r="DL272" s="7">
        <f t="shared" si="295"/>
        <v>0</v>
      </c>
      <c r="DM272" s="7">
        <f t="shared" si="296"/>
        <v>0</v>
      </c>
      <c r="DN272" s="7">
        <f t="shared" si="297"/>
        <v>0</v>
      </c>
      <c r="DO272" s="7">
        <f t="shared" si="298"/>
        <v>0</v>
      </c>
      <c r="DP272" s="7">
        <f t="shared" si="299"/>
        <v>0</v>
      </c>
      <c r="DQ272" s="7">
        <f t="shared" si="300"/>
        <v>0</v>
      </c>
      <c r="DR272" s="7">
        <f t="shared" si="301"/>
        <v>0</v>
      </c>
      <c r="DS272" s="7">
        <f t="shared" si="302"/>
        <v>0</v>
      </c>
      <c r="DT272" s="7">
        <f t="shared" si="303"/>
        <v>0</v>
      </c>
      <c r="DU272" s="7">
        <f t="shared" si="304"/>
        <v>0</v>
      </c>
    </row>
    <row r="273" spans="1:125" x14ac:dyDescent="0.2">
      <c r="A273" s="3">
        <f>Bonds!A273</f>
        <v>51455</v>
      </c>
      <c r="B273" s="4">
        <f>Bonds!B273</f>
        <v>1.375</v>
      </c>
      <c r="C273">
        <f>Bonds!P273</f>
        <v>29</v>
      </c>
      <c r="D273">
        <f t="shared" si="244"/>
        <v>0</v>
      </c>
      <c r="E273" s="3">
        <f>IF(1&gt;$C273,"",IF($D273=1,EOMONTH(EDATE(Bonds!$H273,6*(1-1)),0),EDATE(Bonds!$H273,6*(1-1))))</f>
        <v>46341</v>
      </c>
      <c r="F273" s="3">
        <f>IF(2&gt;$C273,"",IF($D273=1,EOMONTH(EDATE(Bonds!$H273,6*(2-1)),0),EDATE(Bonds!$H273,6*(2-1))))</f>
        <v>46522</v>
      </c>
      <c r="G273" s="3">
        <f>IF(3&gt;$C273,"",IF($D273=1,EOMONTH(EDATE(Bonds!$H273,6*(3-1)),0),EDATE(Bonds!$H273,6*(3-1))))</f>
        <v>46706</v>
      </c>
      <c r="H273" s="3">
        <f>IF(4&gt;$C273,"",IF($D273=1,EOMONTH(EDATE(Bonds!$H273,6*(4-1)),0),EDATE(Bonds!$H273,6*(4-1))))</f>
        <v>46888</v>
      </c>
      <c r="I273" s="3">
        <f>IF(5&gt;$C273,"",IF($D273=1,EOMONTH(EDATE(Bonds!$H273,6*(5-1)),0),EDATE(Bonds!$H273,6*(5-1))))</f>
        <v>47072</v>
      </c>
      <c r="J273" s="3">
        <f>IF(6&gt;$C273,"",IF($D273=1,EOMONTH(EDATE(Bonds!$H273,6*(6-1)),0),EDATE(Bonds!$H273,6*(6-1))))</f>
        <v>47253</v>
      </c>
      <c r="K273" s="3">
        <f>IF(7&gt;$C273,"",IF($D273=1,EOMONTH(EDATE(Bonds!$H273,6*(7-1)),0),EDATE(Bonds!$H273,6*(7-1))))</f>
        <v>47437</v>
      </c>
      <c r="L273" s="3">
        <f>IF(8&gt;$C273,"",IF($D273=1,EOMONTH(EDATE(Bonds!$H273,6*(8-1)),0),EDATE(Bonds!$H273,6*(8-1))))</f>
        <v>47618</v>
      </c>
      <c r="M273" s="3">
        <f>IF(9&gt;$C273,"",IF($D273=1,EOMONTH(EDATE(Bonds!$H273,6*(9-1)),0),EDATE(Bonds!$H273,6*(9-1))))</f>
        <v>47802</v>
      </c>
      <c r="N273" s="3">
        <f>IF(10&gt;$C273,"",IF($D273=1,EOMONTH(EDATE(Bonds!$H273,6*(10-1)),0),EDATE(Bonds!$H273,6*(10-1))))</f>
        <v>47983</v>
      </c>
      <c r="O273" s="3">
        <f>IF(11&gt;$C273,"",IF($D273=1,EOMONTH(EDATE(Bonds!$H273,6*(11-1)),0),EDATE(Bonds!$H273,6*(11-1))))</f>
        <v>48167</v>
      </c>
      <c r="P273" s="3">
        <f>IF(12&gt;$C273,"",IF($D273=1,EOMONTH(EDATE(Bonds!$H273,6*(12-1)),0),EDATE(Bonds!$H273,6*(12-1))))</f>
        <v>48349</v>
      </c>
      <c r="Q273" s="3">
        <f>IF(13&gt;$C273,"",IF($D273=1,EOMONTH(EDATE(Bonds!$H273,6*(13-1)),0),EDATE(Bonds!$H273,6*(13-1))))</f>
        <v>48533</v>
      </c>
      <c r="R273" s="3">
        <f>IF(14&gt;$C273,"",IF($D273=1,EOMONTH(EDATE(Bonds!$H273,6*(14-1)),0),EDATE(Bonds!$H273,6*(14-1))))</f>
        <v>48714</v>
      </c>
      <c r="S273" s="3">
        <f>IF(15&gt;$C273,"",IF($D273=1,EOMONTH(EDATE(Bonds!$H273,6*(15-1)),0),EDATE(Bonds!$H273,6*(15-1))))</f>
        <v>48898</v>
      </c>
      <c r="T273" s="3">
        <f>IF(16&gt;$C273,"",IF($D273=1,EOMONTH(EDATE(Bonds!$H273,6*(16-1)),0),EDATE(Bonds!$H273,6*(16-1))))</f>
        <v>49079</v>
      </c>
      <c r="U273" s="3">
        <f>IF(17&gt;$C273,"",IF($D273=1,EOMONTH(EDATE(Bonds!$H273,6*(17-1)),0),EDATE(Bonds!$H273,6*(17-1))))</f>
        <v>49263</v>
      </c>
      <c r="V273" s="3">
        <f>IF(18&gt;$C273,"",IF($D273=1,EOMONTH(EDATE(Bonds!$H273,6*(18-1)),0),EDATE(Bonds!$H273,6*(18-1))))</f>
        <v>49444</v>
      </c>
      <c r="W273" s="3">
        <f>IF(19&gt;$C273,"",IF($D273=1,EOMONTH(EDATE(Bonds!$H273,6*(19-1)),0),EDATE(Bonds!$H273,6*(19-1))))</f>
        <v>49628</v>
      </c>
      <c r="X273" s="3">
        <f>IF(20&gt;$C273,"",IF($D273=1,EOMONTH(EDATE(Bonds!$H273,6*(20-1)),0),EDATE(Bonds!$H273,6*(20-1))))</f>
        <v>49810</v>
      </c>
      <c r="Y273" s="3">
        <f>IF(21&gt;$C273,"",IF($D273=1,EOMONTH(EDATE(Bonds!$H273,6*(21-1)),0),EDATE(Bonds!$H273,6*(21-1))))</f>
        <v>49994</v>
      </c>
      <c r="Z273" s="3">
        <f>IF(22&gt;$C273,"",IF($D273=1,EOMONTH(EDATE(Bonds!$H273,6*(22-1)),0),EDATE(Bonds!$H273,6*(22-1))))</f>
        <v>50175</v>
      </c>
      <c r="AA273" s="3">
        <f>IF(23&gt;$C273,"",IF($D273=1,EOMONTH(EDATE(Bonds!$H273,6*(23-1)),0),EDATE(Bonds!$H273,6*(23-1))))</f>
        <v>50359</v>
      </c>
      <c r="AB273" s="3">
        <f>IF(24&gt;$C273,"",IF($D273=1,EOMONTH(EDATE(Bonds!$H273,6*(24-1)),0),EDATE(Bonds!$H273,6*(24-1))))</f>
        <v>50540</v>
      </c>
      <c r="AC273" s="3">
        <f>IF(25&gt;$C273,"",IF($D273=1,EOMONTH(EDATE(Bonds!$H273,6*(25-1)),0),EDATE(Bonds!$H273,6*(25-1))))</f>
        <v>50724</v>
      </c>
      <c r="AD273" s="3">
        <f>IF(26&gt;$C273,"",IF($D273=1,EOMONTH(EDATE(Bonds!$H273,6*(26-1)),0),EDATE(Bonds!$H273,6*(26-1))))</f>
        <v>50905</v>
      </c>
      <c r="AE273" s="3">
        <f>IF(27&gt;$C273,"",IF($D273=1,EOMONTH(EDATE(Bonds!$H273,6*(27-1)),0),EDATE(Bonds!$H273,6*(27-1))))</f>
        <v>51089</v>
      </c>
      <c r="AF273" s="3">
        <f>IF(28&gt;$C273,"",IF($D273=1,EOMONTH(EDATE(Bonds!$H273,6*(28-1)),0),EDATE(Bonds!$H273,6*(28-1))))</f>
        <v>51271</v>
      </c>
      <c r="AG273" s="3">
        <f>IF(29&gt;$C273,"",IF($D273=1,EOMONTH(EDATE(Bonds!$H273,6*(29-1)),0),EDATE(Bonds!$H273,6*(29-1))))</f>
        <v>51455</v>
      </c>
      <c r="AH273" s="3" t="str">
        <f>IF(30&gt;$C273,"",IF($D273=1,EOMONTH(EDATE(Bonds!$H273,6*(30-1)),0),EDATE(Bonds!$H273,6*(30-1))))</f>
        <v/>
      </c>
      <c r="AI273" s="3" t="str">
        <f>IF(31&gt;$C273,"",IF($D273=1,EOMONTH(EDATE(Bonds!$H273,6*(31-1)),0),EDATE(Bonds!$H273,6*(31-1))))</f>
        <v/>
      </c>
      <c r="AJ273" s="3" t="str">
        <f>IF(32&gt;$C273,"",IF($D273=1,EOMONTH(EDATE(Bonds!$H273,6*(32-1)),0),EDATE(Bonds!$H273,6*(32-1))))</f>
        <v/>
      </c>
      <c r="AK273" s="3" t="str">
        <f>IF(33&gt;$C273,"",IF($D273=1,EOMONTH(EDATE(Bonds!$H273,6*(33-1)),0),EDATE(Bonds!$H273,6*(33-1))))</f>
        <v/>
      </c>
      <c r="AL273" s="3" t="str">
        <f>IF(34&gt;$C273,"",IF($D273=1,EOMONTH(EDATE(Bonds!$H273,6*(34-1)),0),EDATE(Bonds!$H273,6*(34-1))))</f>
        <v/>
      </c>
      <c r="AM273" s="3" t="str">
        <f>IF(35&gt;$C273,"",IF($D273=1,EOMONTH(EDATE(Bonds!$H273,6*(35-1)),0),EDATE(Bonds!$H273,6*(35-1))))</f>
        <v/>
      </c>
      <c r="AN273" s="3" t="str">
        <f>IF(36&gt;$C273,"",IF($D273=1,EOMONTH(EDATE(Bonds!$H273,6*(36-1)),0),EDATE(Bonds!$H273,6*(36-1))))</f>
        <v/>
      </c>
      <c r="AO273" s="3" t="str">
        <f>IF(37&gt;$C273,"",IF($D273=1,EOMONTH(EDATE(Bonds!$H273,6*(37-1)),0),EDATE(Bonds!$H273,6*(37-1))))</f>
        <v/>
      </c>
      <c r="AP273" s="3" t="str">
        <f>IF(38&gt;$C273,"",IF($D273=1,EOMONTH(EDATE(Bonds!$H273,6*(38-1)),0),EDATE(Bonds!$H273,6*(38-1))))</f>
        <v/>
      </c>
      <c r="AQ273" s="3" t="str">
        <f>IF(39&gt;$C273,"",IF($D273=1,EOMONTH(EDATE(Bonds!$H273,6*(39-1)),0),EDATE(Bonds!$H273,6*(39-1))))</f>
        <v/>
      </c>
      <c r="AR273" s="3" t="str">
        <f>IF(40&gt;$C273,"",IF($D273=1,EOMONTH(EDATE(Bonds!$H273,6*(40-1)),0),EDATE(Bonds!$H273,6*(40-1))))</f>
        <v/>
      </c>
      <c r="AS273" s="3" t="str">
        <f>IF(41&gt;$C273,"",IF($D273=1,EOMONTH(EDATE(Bonds!$H273,6*(41-1)),0),EDATE(Bonds!$H273,6*(41-1))))</f>
        <v/>
      </c>
      <c r="AT273" s="3" t="str">
        <f>IF(42&gt;$C273,"",IF($D273=1,EOMONTH(EDATE(Bonds!$H273,6*(42-1)),0),EDATE(Bonds!$H273,6*(42-1))))</f>
        <v/>
      </c>
      <c r="AU273" s="3" t="str">
        <f>IF(43&gt;$C273,"",IF($D273=1,EOMONTH(EDATE(Bonds!$H273,6*(43-1)),0),EDATE(Bonds!$H273,6*(43-1))))</f>
        <v/>
      </c>
      <c r="AV273" s="3" t="str">
        <f>IF(44&gt;$C273,"",IF($D273=1,EOMONTH(EDATE(Bonds!$H273,6*(44-1)),0),EDATE(Bonds!$H273,6*(44-1))))</f>
        <v/>
      </c>
      <c r="AW273" s="3" t="str">
        <f>IF(45&gt;$C273,"",IF($D273=1,EOMONTH(EDATE(Bonds!$H273,6*(45-1)),0),EDATE(Bonds!$H273,6*(45-1))))</f>
        <v/>
      </c>
      <c r="AX273" s="3" t="str">
        <f>IF(46&gt;$C273,"",IF($D273=1,EOMONTH(EDATE(Bonds!$H273,6*(46-1)),0),EDATE(Bonds!$H273,6*(46-1))))</f>
        <v/>
      </c>
      <c r="AY273" s="3" t="str">
        <f>IF(47&gt;$C273,"",IF($D273=1,EOMONTH(EDATE(Bonds!$H273,6*(47-1)),0),EDATE(Bonds!$H273,6*(47-1))))</f>
        <v/>
      </c>
      <c r="AZ273" s="3" t="str">
        <f>IF(48&gt;$C273,"",IF($D273=1,EOMONTH(EDATE(Bonds!$H273,6*(48-1)),0),EDATE(Bonds!$H273,6*(48-1))))</f>
        <v/>
      </c>
      <c r="BA273" s="3" t="str">
        <f>IF(49&gt;$C273,"",IF($D273=1,EOMONTH(EDATE(Bonds!$H273,6*(49-1)),0),EDATE(Bonds!$H273,6*(49-1))))</f>
        <v/>
      </c>
      <c r="BB273" s="3" t="str">
        <f>IF(50&gt;$C273,"",IF($D273=1,EOMONTH(EDATE(Bonds!$H273,6*(50-1)),0),EDATE(Bonds!$H273,6*(50-1))))</f>
        <v/>
      </c>
      <c r="BC273" s="3" t="str">
        <f>IF(51&gt;$C273,"",IF($D273=1,EOMONTH(EDATE(Bonds!$H273,6*(51-1)),0),EDATE(Bonds!$H273,6*(51-1))))</f>
        <v/>
      </c>
      <c r="BD273" s="3" t="str">
        <f>IF(52&gt;$C273,"",IF($D273=1,EOMONTH(EDATE(Bonds!$H273,6*(52-1)),0),EDATE(Bonds!$H273,6*(52-1))))</f>
        <v/>
      </c>
      <c r="BE273" s="3" t="str">
        <f>IF(53&gt;$C273,"",IF($D273=1,EOMONTH(EDATE(Bonds!$H273,6*(53-1)),0),EDATE(Bonds!$H273,6*(53-1))))</f>
        <v/>
      </c>
      <c r="BF273" s="3" t="str">
        <f>IF(54&gt;$C273,"",IF($D273=1,EOMONTH(EDATE(Bonds!$H273,6*(54-1)),0),EDATE(Bonds!$H273,6*(54-1))))</f>
        <v/>
      </c>
      <c r="BG273" s="3" t="str">
        <f>IF(55&gt;$C273,"",IF($D273=1,EOMONTH(EDATE(Bonds!$H273,6*(55-1)),0),EDATE(Bonds!$H273,6*(55-1))))</f>
        <v/>
      </c>
      <c r="BH273" s="3" t="str">
        <f>IF(56&gt;$C273,"",IF($D273=1,EOMONTH(EDATE(Bonds!$H273,6*(56-1)),0),EDATE(Bonds!$H273,6*(56-1))))</f>
        <v/>
      </c>
      <c r="BI273" s="3" t="str">
        <f>IF(57&gt;$C273,"",IF($D273=1,EOMONTH(EDATE(Bonds!$H273,6*(57-1)),0),EDATE(Bonds!$H273,6*(57-1))))</f>
        <v/>
      </c>
      <c r="BJ273" s="3" t="str">
        <f>IF(58&gt;$C273,"",IF($D273=1,EOMONTH(EDATE(Bonds!$H273,6*(58-1)),0),EDATE(Bonds!$H273,6*(58-1))))</f>
        <v/>
      </c>
      <c r="BK273" s="3" t="str">
        <f>IF(59&gt;$C273,"",IF($D273=1,EOMONTH(EDATE(Bonds!$H273,6*(59-1)),0),EDATE(Bonds!$H273,6*(59-1))))</f>
        <v/>
      </c>
      <c r="BL273" s="3" t="str">
        <f>IF(60&gt;$C273,"",IF($D273=1,EOMONTH(EDATE(Bonds!$H273,6*(60-1)),0),EDATE(Bonds!$H273,6*(60-1))))</f>
        <v/>
      </c>
      <c r="BN273" s="7">
        <f t="shared" si="245"/>
        <v>0.68270508803751284</v>
      </c>
      <c r="BO273" s="7">
        <f t="shared" si="246"/>
        <v>0.66891892738828185</v>
      </c>
      <c r="BP273" s="7">
        <f t="shared" si="247"/>
        <v>0.6541843196278615</v>
      </c>
      <c r="BQ273" s="7">
        <f t="shared" si="248"/>
        <v>0.63951122224480494</v>
      </c>
      <c r="BR273" s="7">
        <f t="shared" si="249"/>
        <v>0.62488795609657011</v>
      </c>
      <c r="BS273" s="7">
        <f t="shared" si="250"/>
        <v>0.61083137642221752</v>
      </c>
      <c r="BT273" s="7">
        <f t="shared" si="251"/>
        <v>0.59689605900166054</v>
      </c>
      <c r="BU273" s="7">
        <f t="shared" si="252"/>
        <v>0.58350589395756802</v>
      </c>
      <c r="BV273" s="7">
        <f t="shared" si="253"/>
        <v>0.57016492465320745</v>
      </c>
      <c r="BW273" s="7">
        <f t="shared" si="254"/>
        <v>0.55725402859883966</v>
      </c>
      <c r="BX273" s="7">
        <f t="shared" si="255"/>
        <v>0.54429597421311293</v>
      </c>
      <c r="BY273" s="7">
        <f t="shared" si="256"/>
        <v>0.53160584002604105</v>
      </c>
      <c r="BZ273" s="7">
        <f t="shared" si="257"/>
        <v>0.5188773690405023</v>
      </c>
      <c r="CA273" s="7">
        <f t="shared" si="258"/>
        <v>0.50643986686271303</v>
      </c>
      <c r="CB273" s="7">
        <f t="shared" si="259"/>
        <v>0.49387475253765917</v>
      </c>
      <c r="CC273" s="7">
        <f t="shared" si="260"/>
        <v>0.481593472087394</v>
      </c>
      <c r="CD273" s="7">
        <f t="shared" si="261"/>
        <v>0.46919689803436437</v>
      </c>
      <c r="CE273" s="7">
        <f t="shared" si="262"/>
        <v>0.45710152207102411</v>
      </c>
      <c r="CF273" s="7">
        <f t="shared" si="263"/>
        <v>0.44492195441965182</v>
      </c>
      <c r="CG273" s="7">
        <f t="shared" si="264"/>
        <v>0.43300723168771793</v>
      </c>
      <c r="CH273" s="7">
        <f t="shared" si="265"/>
        <v>0.4211136239409175</v>
      </c>
      <c r="CI273" s="7">
        <f t="shared" si="266"/>
        <v>0.40958068932097547</v>
      </c>
      <c r="CJ273" s="7">
        <f t="shared" si="267"/>
        <v>0.3980433569063927</v>
      </c>
      <c r="CK273" s="7">
        <f t="shared" si="268"/>
        <v>0.38689356492975796</v>
      </c>
      <c r="CL273" s="7">
        <f t="shared" si="269"/>
        <v>0.3757763005433466</v>
      </c>
      <c r="CM273" s="7">
        <f t="shared" si="270"/>
        <v>0.36506672869587864</v>
      </c>
      <c r="CN273" s="7">
        <f t="shared" si="271"/>
        <v>0.35442099335287636</v>
      </c>
      <c r="CO273" s="7">
        <f t="shared" si="272"/>
        <v>0.34413959433359753</v>
      </c>
      <c r="CP273" s="7">
        <f t="shared" si="273"/>
        <v>48.916431204001199</v>
      </c>
      <c r="CQ273" s="7">
        <f t="shared" si="274"/>
        <v>0</v>
      </c>
      <c r="CR273" s="7">
        <f t="shared" si="275"/>
        <v>0</v>
      </c>
      <c r="CS273" s="7">
        <f t="shared" si="276"/>
        <v>0</v>
      </c>
      <c r="CT273" s="7">
        <f t="shared" si="277"/>
        <v>0</v>
      </c>
      <c r="CU273" s="7">
        <f t="shared" si="278"/>
        <v>0</v>
      </c>
      <c r="CV273" s="7">
        <f t="shared" si="279"/>
        <v>0</v>
      </c>
      <c r="CW273" s="7">
        <f t="shared" si="280"/>
        <v>0</v>
      </c>
      <c r="CX273" s="7">
        <f t="shared" si="281"/>
        <v>0</v>
      </c>
      <c r="CY273" s="7">
        <f t="shared" si="282"/>
        <v>0</v>
      </c>
      <c r="CZ273" s="7">
        <f t="shared" si="283"/>
        <v>0</v>
      </c>
      <c r="DA273" s="7">
        <f t="shared" si="284"/>
        <v>0</v>
      </c>
      <c r="DB273" s="7">
        <f t="shared" si="285"/>
        <v>0</v>
      </c>
      <c r="DC273" s="7">
        <f t="shared" si="286"/>
        <v>0</v>
      </c>
      <c r="DD273" s="7">
        <f t="shared" si="287"/>
        <v>0</v>
      </c>
      <c r="DE273" s="7">
        <f t="shared" si="288"/>
        <v>0</v>
      </c>
      <c r="DF273" s="7">
        <f t="shared" si="289"/>
        <v>0</v>
      </c>
      <c r="DG273" s="7">
        <f t="shared" si="290"/>
        <v>0</v>
      </c>
      <c r="DH273" s="7">
        <f t="shared" si="291"/>
        <v>0</v>
      </c>
      <c r="DI273" s="7">
        <f t="shared" si="292"/>
        <v>0</v>
      </c>
      <c r="DJ273" s="7">
        <f t="shared" si="293"/>
        <v>0</v>
      </c>
      <c r="DK273" s="7">
        <f t="shared" si="294"/>
        <v>0</v>
      </c>
      <c r="DL273" s="7">
        <f t="shared" si="295"/>
        <v>0</v>
      </c>
      <c r="DM273" s="7">
        <f t="shared" si="296"/>
        <v>0</v>
      </c>
      <c r="DN273" s="7">
        <f t="shared" si="297"/>
        <v>0</v>
      </c>
      <c r="DO273" s="7">
        <f t="shared" si="298"/>
        <v>0</v>
      </c>
      <c r="DP273" s="7">
        <f t="shared" si="299"/>
        <v>0</v>
      </c>
      <c r="DQ273" s="7">
        <f t="shared" si="300"/>
        <v>0</v>
      </c>
      <c r="DR273" s="7">
        <f t="shared" si="301"/>
        <v>0</v>
      </c>
      <c r="DS273" s="7">
        <f t="shared" si="302"/>
        <v>0</v>
      </c>
      <c r="DT273" s="7">
        <f t="shared" si="303"/>
        <v>0</v>
      </c>
      <c r="DU273" s="7">
        <f t="shared" si="304"/>
        <v>0</v>
      </c>
    </row>
    <row r="274" spans="1:125" x14ac:dyDescent="0.2">
      <c r="A274" s="3">
        <f>Bonds!A274</f>
        <v>51455</v>
      </c>
      <c r="B274" s="4">
        <f>Bonds!B274</f>
        <v>4.25</v>
      </c>
      <c r="C274">
        <f>Bonds!P274</f>
        <v>29</v>
      </c>
      <c r="D274">
        <f t="shared" si="244"/>
        <v>0</v>
      </c>
      <c r="E274" s="3">
        <f>IF(1&gt;$C274,"",IF($D274=1,EOMONTH(EDATE(Bonds!$H274,6*(1-1)),0),EDATE(Bonds!$H274,6*(1-1))))</f>
        <v>46341</v>
      </c>
      <c r="F274" s="3">
        <f>IF(2&gt;$C274,"",IF($D274=1,EOMONTH(EDATE(Bonds!$H274,6*(2-1)),0),EDATE(Bonds!$H274,6*(2-1))))</f>
        <v>46522</v>
      </c>
      <c r="G274" s="3">
        <f>IF(3&gt;$C274,"",IF($D274=1,EOMONTH(EDATE(Bonds!$H274,6*(3-1)),0),EDATE(Bonds!$H274,6*(3-1))))</f>
        <v>46706</v>
      </c>
      <c r="H274" s="3">
        <f>IF(4&gt;$C274,"",IF($D274=1,EOMONTH(EDATE(Bonds!$H274,6*(4-1)),0),EDATE(Bonds!$H274,6*(4-1))))</f>
        <v>46888</v>
      </c>
      <c r="I274" s="3">
        <f>IF(5&gt;$C274,"",IF($D274=1,EOMONTH(EDATE(Bonds!$H274,6*(5-1)),0),EDATE(Bonds!$H274,6*(5-1))))</f>
        <v>47072</v>
      </c>
      <c r="J274" s="3">
        <f>IF(6&gt;$C274,"",IF($D274=1,EOMONTH(EDATE(Bonds!$H274,6*(6-1)),0),EDATE(Bonds!$H274,6*(6-1))))</f>
        <v>47253</v>
      </c>
      <c r="K274" s="3">
        <f>IF(7&gt;$C274,"",IF($D274=1,EOMONTH(EDATE(Bonds!$H274,6*(7-1)),0),EDATE(Bonds!$H274,6*(7-1))))</f>
        <v>47437</v>
      </c>
      <c r="L274" s="3">
        <f>IF(8&gt;$C274,"",IF($D274=1,EOMONTH(EDATE(Bonds!$H274,6*(8-1)),0),EDATE(Bonds!$H274,6*(8-1))))</f>
        <v>47618</v>
      </c>
      <c r="M274" s="3">
        <f>IF(9&gt;$C274,"",IF($D274=1,EOMONTH(EDATE(Bonds!$H274,6*(9-1)),0),EDATE(Bonds!$H274,6*(9-1))))</f>
        <v>47802</v>
      </c>
      <c r="N274" s="3">
        <f>IF(10&gt;$C274,"",IF($D274=1,EOMONTH(EDATE(Bonds!$H274,6*(10-1)),0),EDATE(Bonds!$H274,6*(10-1))))</f>
        <v>47983</v>
      </c>
      <c r="O274" s="3">
        <f>IF(11&gt;$C274,"",IF($D274=1,EOMONTH(EDATE(Bonds!$H274,6*(11-1)),0),EDATE(Bonds!$H274,6*(11-1))))</f>
        <v>48167</v>
      </c>
      <c r="P274" s="3">
        <f>IF(12&gt;$C274,"",IF($D274=1,EOMONTH(EDATE(Bonds!$H274,6*(12-1)),0),EDATE(Bonds!$H274,6*(12-1))))</f>
        <v>48349</v>
      </c>
      <c r="Q274" s="3">
        <f>IF(13&gt;$C274,"",IF($D274=1,EOMONTH(EDATE(Bonds!$H274,6*(13-1)),0),EDATE(Bonds!$H274,6*(13-1))))</f>
        <v>48533</v>
      </c>
      <c r="R274" s="3">
        <f>IF(14&gt;$C274,"",IF($D274=1,EOMONTH(EDATE(Bonds!$H274,6*(14-1)),0),EDATE(Bonds!$H274,6*(14-1))))</f>
        <v>48714</v>
      </c>
      <c r="S274" s="3">
        <f>IF(15&gt;$C274,"",IF($D274=1,EOMONTH(EDATE(Bonds!$H274,6*(15-1)),0),EDATE(Bonds!$H274,6*(15-1))))</f>
        <v>48898</v>
      </c>
      <c r="T274" s="3">
        <f>IF(16&gt;$C274,"",IF($D274=1,EOMONTH(EDATE(Bonds!$H274,6*(16-1)),0),EDATE(Bonds!$H274,6*(16-1))))</f>
        <v>49079</v>
      </c>
      <c r="U274" s="3">
        <f>IF(17&gt;$C274,"",IF($D274=1,EOMONTH(EDATE(Bonds!$H274,6*(17-1)),0),EDATE(Bonds!$H274,6*(17-1))))</f>
        <v>49263</v>
      </c>
      <c r="V274" s="3">
        <f>IF(18&gt;$C274,"",IF($D274=1,EOMONTH(EDATE(Bonds!$H274,6*(18-1)),0),EDATE(Bonds!$H274,6*(18-1))))</f>
        <v>49444</v>
      </c>
      <c r="W274" s="3">
        <f>IF(19&gt;$C274,"",IF($D274=1,EOMONTH(EDATE(Bonds!$H274,6*(19-1)),0),EDATE(Bonds!$H274,6*(19-1))))</f>
        <v>49628</v>
      </c>
      <c r="X274" s="3">
        <f>IF(20&gt;$C274,"",IF($D274=1,EOMONTH(EDATE(Bonds!$H274,6*(20-1)),0),EDATE(Bonds!$H274,6*(20-1))))</f>
        <v>49810</v>
      </c>
      <c r="Y274" s="3">
        <f>IF(21&gt;$C274,"",IF($D274=1,EOMONTH(EDATE(Bonds!$H274,6*(21-1)),0),EDATE(Bonds!$H274,6*(21-1))))</f>
        <v>49994</v>
      </c>
      <c r="Z274" s="3">
        <f>IF(22&gt;$C274,"",IF($D274=1,EOMONTH(EDATE(Bonds!$H274,6*(22-1)),0),EDATE(Bonds!$H274,6*(22-1))))</f>
        <v>50175</v>
      </c>
      <c r="AA274" s="3">
        <f>IF(23&gt;$C274,"",IF($D274=1,EOMONTH(EDATE(Bonds!$H274,6*(23-1)),0),EDATE(Bonds!$H274,6*(23-1))))</f>
        <v>50359</v>
      </c>
      <c r="AB274" s="3">
        <f>IF(24&gt;$C274,"",IF($D274=1,EOMONTH(EDATE(Bonds!$H274,6*(24-1)),0),EDATE(Bonds!$H274,6*(24-1))))</f>
        <v>50540</v>
      </c>
      <c r="AC274" s="3">
        <f>IF(25&gt;$C274,"",IF($D274=1,EOMONTH(EDATE(Bonds!$H274,6*(25-1)),0),EDATE(Bonds!$H274,6*(25-1))))</f>
        <v>50724</v>
      </c>
      <c r="AD274" s="3">
        <f>IF(26&gt;$C274,"",IF($D274=1,EOMONTH(EDATE(Bonds!$H274,6*(26-1)),0),EDATE(Bonds!$H274,6*(26-1))))</f>
        <v>50905</v>
      </c>
      <c r="AE274" s="3">
        <f>IF(27&gt;$C274,"",IF($D274=1,EOMONTH(EDATE(Bonds!$H274,6*(27-1)),0),EDATE(Bonds!$H274,6*(27-1))))</f>
        <v>51089</v>
      </c>
      <c r="AF274" s="3">
        <f>IF(28&gt;$C274,"",IF($D274=1,EOMONTH(EDATE(Bonds!$H274,6*(28-1)),0),EDATE(Bonds!$H274,6*(28-1))))</f>
        <v>51271</v>
      </c>
      <c r="AG274" s="3">
        <f>IF(29&gt;$C274,"",IF($D274=1,EOMONTH(EDATE(Bonds!$H274,6*(29-1)),0),EDATE(Bonds!$H274,6*(29-1))))</f>
        <v>51455</v>
      </c>
      <c r="AH274" s="3" t="str">
        <f>IF(30&gt;$C274,"",IF($D274=1,EOMONTH(EDATE(Bonds!$H274,6*(30-1)),0),EDATE(Bonds!$H274,6*(30-1))))</f>
        <v/>
      </c>
      <c r="AI274" s="3" t="str">
        <f>IF(31&gt;$C274,"",IF($D274=1,EOMONTH(EDATE(Bonds!$H274,6*(31-1)),0),EDATE(Bonds!$H274,6*(31-1))))</f>
        <v/>
      </c>
      <c r="AJ274" s="3" t="str">
        <f>IF(32&gt;$C274,"",IF($D274=1,EOMONTH(EDATE(Bonds!$H274,6*(32-1)),0),EDATE(Bonds!$H274,6*(32-1))))</f>
        <v/>
      </c>
      <c r="AK274" s="3" t="str">
        <f>IF(33&gt;$C274,"",IF($D274=1,EOMONTH(EDATE(Bonds!$H274,6*(33-1)),0),EDATE(Bonds!$H274,6*(33-1))))</f>
        <v/>
      </c>
      <c r="AL274" s="3" t="str">
        <f>IF(34&gt;$C274,"",IF($D274=1,EOMONTH(EDATE(Bonds!$H274,6*(34-1)),0),EDATE(Bonds!$H274,6*(34-1))))</f>
        <v/>
      </c>
      <c r="AM274" s="3" t="str">
        <f>IF(35&gt;$C274,"",IF($D274=1,EOMONTH(EDATE(Bonds!$H274,6*(35-1)),0),EDATE(Bonds!$H274,6*(35-1))))</f>
        <v/>
      </c>
      <c r="AN274" s="3" t="str">
        <f>IF(36&gt;$C274,"",IF($D274=1,EOMONTH(EDATE(Bonds!$H274,6*(36-1)),0),EDATE(Bonds!$H274,6*(36-1))))</f>
        <v/>
      </c>
      <c r="AO274" s="3" t="str">
        <f>IF(37&gt;$C274,"",IF($D274=1,EOMONTH(EDATE(Bonds!$H274,6*(37-1)),0),EDATE(Bonds!$H274,6*(37-1))))</f>
        <v/>
      </c>
      <c r="AP274" s="3" t="str">
        <f>IF(38&gt;$C274,"",IF($D274=1,EOMONTH(EDATE(Bonds!$H274,6*(38-1)),0),EDATE(Bonds!$H274,6*(38-1))))</f>
        <v/>
      </c>
      <c r="AQ274" s="3" t="str">
        <f>IF(39&gt;$C274,"",IF($D274=1,EOMONTH(EDATE(Bonds!$H274,6*(39-1)),0),EDATE(Bonds!$H274,6*(39-1))))</f>
        <v/>
      </c>
      <c r="AR274" s="3" t="str">
        <f>IF(40&gt;$C274,"",IF($D274=1,EOMONTH(EDATE(Bonds!$H274,6*(40-1)),0),EDATE(Bonds!$H274,6*(40-1))))</f>
        <v/>
      </c>
      <c r="AS274" s="3" t="str">
        <f>IF(41&gt;$C274,"",IF($D274=1,EOMONTH(EDATE(Bonds!$H274,6*(41-1)),0),EDATE(Bonds!$H274,6*(41-1))))</f>
        <v/>
      </c>
      <c r="AT274" s="3" t="str">
        <f>IF(42&gt;$C274,"",IF($D274=1,EOMONTH(EDATE(Bonds!$H274,6*(42-1)),0),EDATE(Bonds!$H274,6*(42-1))))</f>
        <v/>
      </c>
      <c r="AU274" s="3" t="str">
        <f>IF(43&gt;$C274,"",IF($D274=1,EOMONTH(EDATE(Bonds!$H274,6*(43-1)),0),EDATE(Bonds!$H274,6*(43-1))))</f>
        <v/>
      </c>
      <c r="AV274" s="3" t="str">
        <f>IF(44&gt;$C274,"",IF($D274=1,EOMONTH(EDATE(Bonds!$H274,6*(44-1)),0),EDATE(Bonds!$H274,6*(44-1))))</f>
        <v/>
      </c>
      <c r="AW274" s="3" t="str">
        <f>IF(45&gt;$C274,"",IF($D274=1,EOMONTH(EDATE(Bonds!$H274,6*(45-1)),0),EDATE(Bonds!$H274,6*(45-1))))</f>
        <v/>
      </c>
      <c r="AX274" s="3" t="str">
        <f>IF(46&gt;$C274,"",IF($D274=1,EOMONTH(EDATE(Bonds!$H274,6*(46-1)),0),EDATE(Bonds!$H274,6*(46-1))))</f>
        <v/>
      </c>
      <c r="AY274" s="3" t="str">
        <f>IF(47&gt;$C274,"",IF($D274=1,EOMONTH(EDATE(Bonds!$H274,6*(47-1)),0),EDATE(Bonds!$H274,6*(47-1))))</f>
        <v/>
      </c>
      <c r="AZ274" s="3" t="str">
        <f>IF(48&gt;$C274,"",IF($D274=1,EOMONTH(EDATE(Bonds!$H274,6*(48-1)),0),EDATE(Bonds!$H274,6*(48-1))))</f>
        <v/>
      </c>
      <c r="BA274" s="3" t="str">
        <f>IF(49&gt;$C274,"",IF($D274=1,EOMONTH(EDATE(Bonds!$H274,6*(49-1)),0),EDATE(Bonds!$H274,6*(49-1))))</f>
        <v/>
      </c>
      <c r="BB274" s="3" t="str">
        <f>IF(50&gt;$C274,"",IF($D274=1,EOMONTH(EDATE(Bonds!$H274,6*(50-1)),0),EDATE(Bonds!$H274,6*(50-1))))</f>
        <v/>
      </c>
      <c r="BC274" s="3" t="str">
        <f>IF(51&gt;$C274,"",IF($D274=1,EOMONTH(EDATE(Bonds!$H274,6*(51-1)),0),EDATE(Bonds!$H274,6*(51-1))))</f>
        <v/>
      </c>
      <c r="BD274" s="3" t="str">
        <f>IF(52&gt;$C274,"",IF($D274=1,EOMONTH(EDATE(Bonds!$H274,6*(52-1)),0),EDATE(Bonds!$H274,6*(52-1))))</f>
        <v/>
      </c>
      <c r="BE274" s="3" t="str">
        <f>IF(53&gt;$C274,"",IF($D274=1,EOMONTH(EDATE(Bonds!$H274,6*(53-1)),0),EDATE(Bonds!$H274,6*(53-1))))</f>
        <v/>
      </c>
      <c r="BF274" s="3" t="str">
        <f>IF(54&gt;$C274,"",IF($D274=1,EOMONTH(EDATE(Bonds!$H274,6*(54-1)),0),EDATE(Bonds!$H274,6*(54-1))))</f>
        <v/>
      </c>
      <c r="BG274" s="3" t="str">
        <f>IF(55&gt;$C274,"",IF($D274=1,EOMONTH(EDATE(Bonds!$H274,6*(55-1)),0),EDATE(Bonds!$H274,6*(55-1))))</f>
        <v/>
      </c>
      <c r="BH274" s="3" t="str">
        <f>IF(56&gt;$C274,"",IF($D274=1,EOMONTH(EDATE(Bonds!$H274,6*(56-1)),0),EDATE(Bonds!$H274,6*(56-1))))</f>
        <v/>
      </c>
      <c r="BI274" s="3" t="str">
        <f>IF(57&gt;$C274,"",IF($D274=1,EOMONTH(EDATE(Bonds!$H274,6*(57-1)),0),EDATE(Bonds!$H274,6*(57-1))))</f>
        <v/>
      </c>
      <c r="BJ274" s="3" t="str">
        <f>IF(58&gt;$C274,"",IF($D274=1,EOMONTH(EDATE(Bonds!$H274,6*(58-1)),0),EDATE(Bonds!$H274,6*(58-1))))</f>
        <v/>
      </c>
      <c r="BK274" s="3" t="str">
        <f>IF(59&gt;$C274,"",IF($D274=1,EOMONTH(EDATE(Bonds!$H274,6*(59-1)),0),EDATE(Bonds!$H274,6*(59-1))))</f>
        <v/>
      </c>
      <c r="BL274" s="3" t="str">
        <f>IF(60&gt;$C274,"",IF($D274=1,EOMONTH(EDATE(Bonds!$H274,6*(60-1)),0),EDATE(Bonds!$H274,6*(60-1))))</f>
        <v/>
      </c>
      <c r="BN274" s="7">
        <f t="shared" si="245"/>
        <v>2.1101793630250394</v>
      </c>
      <c r="BO274" s="7">
        <f t="shared" si="246"/>
        <v>2.0675675937455984</v>
      </c>
      <c r="BP274" s="7">
        <f t="shared" si="247"/>
        <v>2.0220242606679357</v>
      </c>
      <c r="BQ274" s="7">
        <f t="shared" si="248"/>
        <v>1.9766710505748519</v>
      </c>
      <c r="BR274" s="7">
        <f t="shared" si="249"/>
        <v>1.9314718642984894</v>
      </c>
      <c r="BS274" s="7">
        <f t="shared" si="250"/>
        <v>1.8880242543959449</v>
      </c>
      <c r="BT274" s="7">
        <f t="shared" si="251"/>
        <v>1.8449514550960417</v>
      </c>
      <c r="BU274" s="7">
        <f t="shared" si="252"/>
        <v>1.8035636722324828</v>
      </c>
      <c r="BV274" s="7">
        <f t="shared" si="253"/>
        <v>1.7623279489280959</v>
      </c>
      <c r="BW274" s="7">
        <f t="shared" si="254"/>
        <v>1.7224215429418681</v>
      </c>
      <c r="BX274" s="7">
        <f t="shared" si="255"/>
        <v>1.6823693748405308</v>
      </c>
      <c r="BY274" s="7">
        <f t="shared" si="256"/>
        <v>1.6431453237168541</v>
      </c>
      <c r="BZ274" s="7">
        <f t="shared" si="257"/>
        <v>1.6038027770342798</v>
      </c>
      <c r="CA274" s="7">
        <f t="shared" si="258"/>
        <v>1.5653595884847493</v>
      </c>
      <c r="CB274" s="7">
        <f t="shared" si="259"/>
        <v>1.5265219623891284</v>
      </c>
      <c r="CC274" s="7">
        <f t="shared" si="260"/>
        <v>1.4885616409973996</v>
      </c>
      <c r="CD274" s="7">
        <f t="shared" si="261"/>
        <v>1.4502449575607628</v>
      </c>
      <c r="CE274" s="7">
        <f t="shared" si="262"/>
        <v>1.4128592500377108</v>
      </c>
      <c r="CF274" s="7">
        <f t="shared" si="263"/>
        <v>1.3752133136607421</v>
      </c>
      <c r="CG274" s="7">
        <f t="shared" si="264"/>
        <v>1.3383859888529464</v>
      </c>
      <c r="CH274" s="7">
        <f t="shared" si="265"/>
        <v>1.301623928544654</v>
      </c>
      <c r="CI274" s="7">
        <f t="shared" si="266"/>
        <v>1.2659766760830151</v>
      </c>
      <c r="CJ274" s="7">
        <f t="shared" si="267"/>
        <v>1.2303158304379409</v>
      </c>
      <c r="CK274" s="7">
        <f t="shared" si="268"/>
        <v>1.1958528370556154</v>
      </c>
      <c r="CL274" s="7">
        <f t="shared" si="269"/>
        <v>1.1614903834976167</v>
      </c>
      <c r="CM274" s="7">
        <f t="shared" si="270"/>
        <v>1.1283880705145339</v>
      </c>
      <c r="CN274" s="7">
        <f t="shared" si="271"/>
        <v>1.0954830703634362</v>
      </c>
      <c r="CO274" s="7">
        <f t="shared" si="272"/>
        <v>1.0637042006674833</v>
      </c>
      <c r="CP274" s="7">
        <f t="shared" si="273"/>
        <v>49.614803592388554</v>
      </c>
      <c r="CQ274" s="7">
        <f t="shared" si="274"/>
        <v>0</v>
      </c>
      <c r="CR274" s="7">
        <f t="shared" si="275"/>
        <v>0</v>
      </c>
      <c r="CS274" s="7">
        <f t="shared" si="276"/>
        <v>0</v>
      </c>
      <c r="CT274" s="7">
        <f t="shared" si="277"/>
        <v>0</v>
      </c>
      <c r="CU274" s="7">
        <f t="shared" si="278"/>
        <v>0</v>
      </c>
      <c r="CV274" s="7">
        <f t="shared" si="279"/>
        <v>0</v>
      </c>
      <c r="CW274" s="7">
        <f t="shared" si="280"/>
        <v>0</v>
      </c>
      <c r="CX274" s="7">
        <f t="shared" si="281"/>
        <v>0</v>
      </c>
      <c r="CY274" s="7">
        <f t="shared" si="282"/>
        <v>0</v>
      </c>
      <c r="CZ274" s="7">
        <f t="shared" si="283"/>
        <v>0</v>
      </c>
      <c r="DA274" s="7">
        <f t="shared" si="284"/>
        <v>0</v>
      </c>
      <c r="DB274" s="7">
        <f t="shared" si="285"/>
        <v>0</v>
      </c>
      <c r="DC274" s="7">
        <f t="shared" si="286"/>
        <v>0</v>
      </c>
      <c r="DD274" s="7">
        <f t="shared" si="287"/>
        <v>0</v>
      </c>
      <c r="DE274" s="7">
        <f t="shared" si="288"/>
        <v>0</v>
      </c>
      <c r="DF274" s="7">
        <f t="shared" si="289"/>
        <v>0</v>
      </c>
      <c r="DG274" s="7">
        <f t="shared" si="290"/>
        <v>0</v>
      </c>
      <c r="DH274" s="7">
        <f t="shared" si="291"/>
        <v>0</v>
      </c>
      <c r="DI274" s="7">
        <f t="shared" si="292"/>
        <v>0</v>
      </c>
      <c r="DJ274" s="7">
        <f t="shared" si="293"/>
        <v>0</v>
      </c>
      <c r="DK274" s="7">
        <f t="shared" si="294"/>
        <v>0</v>
      </c>
      <c r="DL274" s="7">
        <f t="shared" si="295"/>
        <v>0</v>
      </c>
      <c r="DM274" s="7">
        <f t="shared" si="296"/>
        <v>0</v>
      </c>
      <c r="DN274" s="7">
        <f t="shared" si="297"/>
        <v>0</v>
      </c>
      <c r="DO274" s="7">
        <f t="shared" si="298"/>
        <v>0</v>
      </c>
      <c r="DP274" s="7">
        <f t="shared" si="299"/>
        <v>0</v>
      </c>
      <c r="DQ274" s="7">
        <f t="shared" si="300"/>
        <v>0</v>
      </c>
      <c r="DR274" s="7">
        <f t="shared" si="301"/>
        <v>0</v>
      </c>
      <c r="DS274" s="7">
        <f t="shared" si="302"/>
        <v>0</v>
      </c>
      <c r="DT274" s="7">
        <f t="shared" si="303"/>
        <v>0</v>
      </c>
      <c r="DU274" s="7">
        <f t="shared" si="304"/>
        <v>0</v>
      </c>
    </row>
    <row r="275" spans="1:125" x14ac:dyDescent="0.2">
      <c r="A275" s="3">
        <f>Bonds!A275</f>
        <v>51547</v>
      </c>
      <c r="B275" s="4">
        <f>Bonds!B275</f>
        <v>1.875</v>
      </c>
      <c r="C275">
        <f>Bonds!P275</f>
        <v>29</v>
      </c>
      <c r="D275">
        <f t="shared" si="244"/>
        <v>0</v>
      </c>
      <c r="E275" s="3">
        <f>IF(1&gt;$C275,"",IF($D275=1,EOMONTH(EDATE(Bonds!$H275,6*(1-1)),0),EDATE(Bonds!$H275,6*(1-1))))</f>
        <v>46433</v>
      </c>
      <c r="F275" s="3">
        <f>IF(2&gt;$C275,"",IF($D275=1,EOMONTH(EDATE(Bonds!$H275,6*(2-1)),0),EDATE(Bonds!$H275,6*(2-1))))</f>
        <v>46614</v>
      </c>
      <c r="G275" s="3">
        <f>IF(3&gt;$C275,"",IF($D275=1,EOMONTH(EDATE(Bonds!$H275,6*(3-1)),0),EDATE(Bonds!$H275,6*(3-1))))</f>
        <v>46798</v>
      </c>
      <c r="H275" s="3">
        <f>IF(4&gt;$C275,"",IF($D275=1,EOMONTH(EDATE(Bonds!$H275,6*(4-1)),0),EDATE(Bonds!$H275,6*(4-1))))</f>
        <v>46980</v>
      </c>
      <c r="I275" s="3">
        <f>IF(5&gt;$C275,"",IF($D275=1,EOMONTH(EDATE(Bonds!$H275,6*(5-1)),0),EDATE(Bonds!$H275,6*(5-1))))</f>
        <v>47164</v>
      </c>
      <c r="J275" s="3">
        <f>IF(6&gt;$C275,"",IF($D275=1,EOMONTH(EDATE(Bonds!$H275,6*(6-1)),0),EDATE(Bonds!$H275,6*(6-1))))</f>
        <v>47345</v>
      </c>
      <c r="K275" s="3">
        <f>IF(7&gt;$C275,"",IF($D275=1,EOMONTH(EDATE(Bonds!$H275,6*(7-1)),0),EDATE(Bonds!$H275,6*(7-1))))</f>
        <v>47529</v>
      </c>
      <c r="L275" s="3">
        <f>IF(8&gt;$C275,"",IF($D275=1,EOMONTH(EDATE(Bonds!$H275,6*(8-1)),0),EDATE(Bonds!$H275,6*(8-1))))</f>
        <v>47710</v>
      </c>
      <c r="M275" s="3">
        <f>IF(9&gt;$C275,"",IF($D275=1,EOMONTH(EDATE(Bonds!$H275,6*(9-1)),0),EDATE(Bonds!$H275,6*(9-1))))</f>
        <v>47894</v>
      </c>
      <c r="N275" s="3">
        <f>IF(10&gt;$C275,"",IF($D275=1,EOMONTH(EDATE(Bonds!$H275,6*(10-1)),0),EDATE(Bonds!$H275,6*(10-1))))</f>
        <v>48075</v>
      </c>
      <c r="O275" s="3">
        <f>IF(11&gt;$C275,"",IF($D275=1,EOMONTH(EDATE(Bonds!$H275,6*(11-1)),0),EDATE(Bonds!$H275,6*(11-1))))</f>
        <v>48259</v>
      </c>
      <c r="P275" s="3">
        <f>IF(12&gt;$C275,"",IF($D275=1,EOMONTH(EDATE(Bonds!$H275,6*(12-1)),0),EDATE(Bonds!$H275,6*(12-1))))</f>
        <v>48441</v>
      </c>
      <c r="Q275" s="3">
        <f>IF(13&gt;$C275,"",IF($D275=1,EOMONTH(EDATE(Bonds!$H275,6*(13-1)),0),EDATE(Bonds!$H275,6*(13-1))))</f>
        <v>48625</v>
      </c>
      <c r="R275" s="3">
        <f>IF(14&gt;$C275,"",IF($D275=1,EOMONTH(EDATE(Bonds!$H275,6*(14-1)),0),EDATE(Bonds!$H275,6*(14-1))))</f>
        <v>48806</v>
      </c>
      <c r="S275" s="3">
        <f>IF(15&gt;$C275,"",IF($D275=1,EOMONTH(EDATE(Bonds!$H275,6*(15-1)),0),EDATE(Bonds!$H275,6*(15-1))))</f>
        <v>48990</v>
      </c>
      <c r="T275" s="3">
        <f>IF(16&gt;$C275,"",IF($D275=1,EOMONTH(EDATE(Bonds!$H275,6*(16-1)),0),EDATE(Bonds!$H275,6*(16-1))))</f>
        <v>49171</v>
      </c>
      <c r="U275" s="3">
        <f>IF(17&gt;$C275,"",IF($D275=1,EOMONTH(EDATE(Bonds!$H275,6*(17-1)),0),EDATE(Bonds!$H275,6*(17-1))))</f>
        <v>49355</v>
      </c>
      <c r="V275" s="3">
        <f>IF(18&gt;$C275,"",IF($D275=1,EOMONTH(EDATE(Bonds!$H275,6*(18-1)),0),EDATE(Bonds!$H275,6*(18-1))))</f>
        <v>49536</v>
      </c>
      <c r="W275" s="3">
        <f>IF(19&gt;$C275,"",IF($D275=1,EOMONTH(EDATE(Bonds!$H275,6*(19-1)),0),EDATE(Bonds!$H275,6*(19-1))))</f>
        <v>49720</v>
      </c>
      <c r="X275" s="3">
        <f>IF(20&gt;$C275,"",IF($D275=1,EOMONTH(EDATE(Bonds!$H275,6*(20-1)),0),EDATE(Bonds!$H275,6*(20-1))))</f>
        <v>49902</v>
      </c>
      <c r="Y275" s="3">
        <f>IF(21&gt;$C275,"",IF($D275=1,EOMONTH(EDATE(Bonds!$H275,6*(21-1)),0),EDATE(Bonds!$H275,6*(21-1))))</f>
        <v>50086</v>
      </c>
      <c r="Z275" s="3">
        <f>IF(22&gt;$C275,"",IF($D275=1,EOMONTH(EDATE(Bonds!$H275,6*(22-1)),0),EDATE(Bonds!$H275,6*(22-1))))</f>
        <v>50267</v>
      </c>
      <c r="AA275" s="3">
        <f>IF(23&gt;$C275,"",IF($D275=1,EOMONTH(EDATE(Bonds!$H275,6*(23-1)),0),EDATE(Bonds!$H275,6*(23-1))))</f>
        <v>50451</v>
      </c>
      <c r="AB275" s="3">
        <f>IF(24&gt;$C275,"",IF($D275=1,EOMONTH(EDATE(Bonds!$H275,6*(24-1)),0),EDATE(Bonds!$H275,6*(24-1))))</f>
        <v>50632</v>
      </c>
      <c r="AC275" s="3">
        <f>IF(25&gt;$C275,"",IF($D275=1,EOMONTH(EDATE(Bonds!$H275,6*(25-1)),0),EDATE(Bonds!$H275,6*(25-1))))</f>
        <v>50816</v>
      </c>
      <c r="AD275" s="3">
        <f>IF(26&gt;$C275,"",IF($D275=1,EOMONTH(EDATE(Bonds!$H275,6*(26-1)),0),EDATE(Bonds!$H275,6*(26-1))))</f>
        <v>50997</v>
      </c>
      <c r="AE275" s="3">
        <f>IF(27&gt;$C275,"",IF($D275=1,EOMONTH(EDATE(Bonds!$H275,6*(27-1)),0),EDATE(Bonds!$H275,6*(27-1))))</f>
        <v>51181</v>
      </c>
      <c r="AF275" s="3">
        <f>IF(28&gt;$C275,"",IF($D275=1,EOMONTH(EDATE(Bonds!$H275,6*(28-1)),0),EDATE(Bonds!$H275,6*(28-1))))</f>
        <v>51363</v>
      </c>
      <c r="AG275" s="3">
        <f>IF(29&gt;$C275,"",IF($D275=1,EOMONTH(EDATE(Bonds!$H275,6*(29-1)),0),EDATE(Bonds!$H275,6*(29-1))))</f>
        <v>51547</v>
      </c>
      <c r="AH275" s="3" t="str">
        <f>IF(30&gt;$C275,"",IF($D275=1,EOMONTH(EDATE(Bonds!$H275,6*(30-1)),0),EDATE(Bonds!$H275,6*(30-1))))</f>
        <v/>
      </c>
      <c r="AI275" s="3" t="str">
        <f>IF(31&gt;$C275,"",IF($D275=1,EOMONTH(EDATE(Bonds!$H275,6*(31-1)),0),EDATE(Bonds!$H275,6*(31-1))))</f>
        <v/>
      </c>
      <c r="AJ275" s="3" t="str">
        <f>IF(32&gt;$C275,"",IF($D275=1,EOMONTH(EDATE(Bonds!$H275,6*(32-1)),0),EDATE(Bonds!$H275,6*(32-1))))</f>
        <v/>
      </c>
      <c r="AK275" s="3" t="str">
        <f>IF(33&gt;$C275,"",IF($D275=1,EOMONTH(EDATE(Bonds!$H275,6*(33-1)),0),EDATE(Bonds!$H275,6*(33-1))))</f>
        <v/>
      </c>
      <c r="AL275" s="3" t="str">
        <f>IF(34&gt;$C275,"",IF($D275=1,EOMONTH(EDATE(Bonds!$H275,6*(34-1)),0),EDATE(Bonds!$H275,6*(34-1))))</f>
        <v/>
      </c>
      <c r="AM275" s="3" t="str">
        <f>IF(35&gt;$C275,"",IF($D275=1,EOMONTH(EDATE(Bonds!$H275,6*(35-1)),0),EDATE(Bonds!$H275,6*(35-1))))</f>
        <v/>
      </c>
      <c r="AN275" s="3" t="str">
        <f>IF(36&gt;$C275,"",IF($D275=1,EOMONTH(EDATE(Bonds!$H275,6*(36-1)),0),EDATE(Bonds!$H275,6*(36-1))))</f>
        <v/>
      </c>
      <c r="AO275" s="3" t="str">
        <f>IF(37&gt;$C275,"",IF($D275=1,EOMONTH(EDATE(Bonds!$H275,6*(37-1)),0),EDATE(Bonds!$H275,6*(37-1))))</f>
        <v/>
      </c>
      <c r="AP275" s="3" t="str">
        <f>IF(38&gt;$C275,"",IF($D275=1,EOMONTH(EDATE(Bonds!$H275,6*(38-1)),0),EDATE(Bonds!$H275,6*(38-1))))</f>
        <v/>
      </c>
      <c r="AQ275" s="3" t="str">
        <f>IF(39&gt;$C275,"",IF($D275=1,EOMONTH(EDATE(Bonds!$H275,6*(39-1)),0),EDATE(Bonds!$H275,6*(39-1))))</f>
        <v/>
      </c>
      <c r="AR275" s="3" t="str">
        <f>IF(40&gt;$C275,"",IF($D275=1,EOMONTH(EDATE(Bonds!$H275,6*(40-1)),0),EDATE(Bonds!$H275,6*(40-1))))</f>
        <v/>
      </c>
      <c r="AS275" s="3" t="str">
        <f>IF(41&gt;$C275,"",IF($D275=1,EOMONTH(EDATE(Bonds!$H275,6*(41-1)),0),EDATE(Bonds!$H275,6*(41-1))))</f>
        <v/>
      </c>
      <c r="AT275" s="3" t="str">
        <f>IF(42&gt;$C275,"",IF($D275=1,EOMONTH(EDATE(Bonds!$H275,6*(42-1)),0),EDATE(Bonds!$H275,6*(42-1))))</f>
        <v/>
      </c>
      <c r="AU275" s="3" t="str">
        <f>IF(43&gt;$C275,"",IF($D275=1,EOMONTH(EDATE(Bonds!$H275,6*(43-1)),0),EDATE(Bonds!$H275,6*(43-1))))</f>
        <v/>
      </c>
      <c r="AV275" s="3" t="str">
        <f>IF(44&gt;$C275,"",IF($D275=1,EOMONTH(EDATE(Bonds!$H275,6*(44-1)),0),EDATE(Bonds!$H275,6*(44-1))))</f>
        <v/>
      </c>
      <c r="AW275" s="3" t="str">
        <f>IF(45&gt;$C275,"",IF($D275=1,EOMONTH(EDATE(Bonds!$H275,6*(45-1)),0),EDATE(Bonds!$H275,6*(45-1))))</f>
        <v/>
      </c>
      <c r="AX275" s="3" t="str">
        <f>IF(46&gt;$C275,"",IF($D275=1,EOMONTH(EDATE(Bonds!$H275,6*(46-1)),0),EDATE(Bonds!$H275,6*(46-1))))</f>
        <v/>
      </c>
      <c r="AY275" s="3" t="str">
        <f>IF(47&gt;$C275,"",IF($D275=1,EOMONTH(EDATE(Bonds!$H275,6*(47-1)),0),EDATE(Bonds!$H275,6*(47-1))))</f>
        <v/>
      </c>
      <c r="AZ275" s="3" t="str">
        <f>IF(48&gt;$C275,"",IF($D275=1,EOMONTH(EDATE(Bonds!$H275,6*(48-1)),0),EDATE(Bonds!$H275,6*(48-1))))</f>
        <v/>
      </c>
      <c r="BA275" s="3" t="str">
        <f>IF(49&gt;$C275,"",IF($D275=1,EOMONTH(EDATE(Bonds!$H275,6*(49-1)),0),EDATE(Bonds!$H275,6*(49-1))))</f>
        <v/>
      </c>
      <c r="BB275" s="3" t="str">
        <f>IF(50&gt;$C275,"",IF($D275=1,EOMONTH(EDATE(Bonds!$H275,6*(50-1)),0),EDATE(Bonds!$H275,6*(50-1))))</f>
        <v/>
      </c>
      <c r="BC275" s="3" t="str">
        <f>IF(51&gt;$C275,"",IF($D275=1,EOMONTH(EDATE(Bonds!$H275,6*(51-1)),0),EDATE(Bonds!$H275,6*(51-1))))</f>
        <v/>
      </c>
      <c r="BD275" s="3" t="str">
        <f>IF(52&gt;$C275,"",IF($D275=1,EOMONTH(EDATE(Bonds!$H275,6*(52-1)),0),EDATE(Bonds!$H275,6*(52-1))))</f>
        <v/>
      </c>
      <c r="BE275" s="3" t="str">
        <f>IF(53&gt;$C275,"",IF($D275=1,EOMONTH(EDATE(Bonds!$H275,6*(53-1)),0),EDATE(Bonds!$H275,6*(53-1))))</f>
        <v/>
      </c>
      <c r="BF275" s="3" t="str">
        <f>IF(54&gt;$C275,"",IF($D275=1,EOMONTH(EDATE(Bonds!$H275,6*(54-1)),0),EDATE(Bonds!$H275,6*(54-1))))</f>
        <v/>
      </c>
      <c r="BG275" s="3" t="str">
        <f>IF(55&gt;$C275,"",IF($D275=1,EOMONTH(EDATE(Bonds!$H275,6*(55-1)),0),EDATE(Bonds!$H275,6*(55-1))))</f>
        <v/>
      </c>
      <c r="BH275" s="3" t="str">
        <f>IF(56&gt;$C275,"",IF($D275=1,EOMONTH(EDATE(Bonds!$H275,6*(56-1)),0),EDATE(Bonds!$H275,6*(56-1))))</f>
        <v/>
      </c>
      <c r="BI275" s="3" t="str">
        <f>IF(57&gt;$C275,"",IF($D275=1,EOMONTH(EDATE(Bonds!$H275,6*(57-1)),0),EDATE(Bonds!$H275,6*(57-1))))</f>
        <v/>
      </c>
      <c r="BJ275" s="3" t="str">
        <f>IF(58&gt;$C275,"",IF($D275=1,EOMONTH(EDATE(Bonds!$H275,6*(58-1)),0),EDATE(Bonds!$H275,6*(58-1))))</f>
        <v/>
      </c>
      <c r="BK275" s="3" t="str">
        <f>IF(59&gt;$C275,"",IF($D275=1,EOMONTH(EDATE(Bonds!$H275,6*(59-1)),0),EDATE(Bonds!$H275,6*(59-1))))</f>
        <v/>
      </c>
      <c r="BL275" s="3" t="str">
        <f>IF(60&gt;$C275,"",IF($D275=1,EOMONTH(EDATE(Bonds!$H275,6*(60-1)),0),EDATE(Bonds!$H275,6*(60-1))))</f>
        <v/>
      </c>
      <c r="BN275" s="7">
        <f t="shared" si="245"/>
        <v>0.92159951463845424</v>
      </c>
      <c r="BO275" s="7">
        <f t="shared" si="246"/>
        <v>0.90217374173192655</v>
      </c>
      <c r="BP275" s="7">
        <f t="shared" si="247"/>
        <v>0.88193822609752603</v>
      </c>
      <c r="BQ275" s="7">
        <f t="shared" si="248"/>
        <v>0.86203919305587606</v>
      </c>
      <c r="BR275" s="7">
        <f t="shared" si="249"/>
        <v>0.84231760913606391</v>
      </c>
      <c r="BS275" s="7">
        <f t="shared" si="250"/>
        <v>0.82339125911517042</v>
      </c>
      <c r="BT275" s="7">
        <f t="shared" si="251"/>
        <v>0.80461850117175004</v>
      </c>
      <c r="BU275" s="7">
        <f t="shared" si="252"/>
        <v>0.78655196288627049</v>
      </c>
      <c r="BV275" s="7">
        <f t="shared" si="253"/>
        <v>0.76851731179187599</v>
      </c>
      <c r="BW275" s="7">
        <f t="shared" si="254"/>
        <v>0.75103183715217781</v>
      </c>
      <c r="BX275" s="7">
        <f t="shared" si="255"/>
        <v>0.73345546909725245</v>
      </c>
      <c r="BY275" s="7">
        <f t="shared" si="256"/>
        <v>0.71622293990568076</v>
      </c>
      <c r="BZ275" s="7">
        <f t="shared" si="257"/>
        <v>0.69892608236418474</v>
      </c>
      <c r="CA275" s="7">
        <f t="shared" si="258"/>
        <v>0.68201927659574779</v>
      </c>
      <c r="CB275" s="7">
        <f t="shared" si="259"/>
        <v>0.66493933595636101</v>
      </c>
      <c r="CC275" s="7">
        <f t="shared" si="260"/>
        <v>0.64825004189138458</v>
      </c>
      <c r="CD275" s="7">
        <f t="shared" si="261"/>
        <v>0.6314124440330825</v>
      </c>
      <c r="CE275" s="7">
        <f t="shared" si="262"/>
        <v>0.61499458020349451</v>
      </c>
      <c r="CF275" s="7">
        <f t="shared" si="263"/>
        <v>0.59847484123358285</v>
      </c>
      <c r="CG275" s="7">
        <f t="shared" si="264"/>
        <v>0.58232751604308641</v>
      </c>
      <c r="CH275" s="7">
        <f t="shared" si="265"/>
        <v>0.56622250032408283</v>
      </c>
      <c r="CI275" s="7">
        <f t="shared" si="266"/>
        <v>0.55061924743195401</v>
      </c>
      <c r="CJ275" s="7">
        <f t="shared" si="267"/>
        <v>0.53502328779925989</v>
      </c>
      <c r="CK275" s="7">
        <f t="shared" si="268"/>
        <v>0.51996367145112266</v>
      </c>
      <c r="CL275" s="7">
        <f t="shared" si="269"/>
        <v>0.5049599624922263</v>
      </c>
      <c r="CM275" s="7">
        <f t="shared" si="270"/>
        <v>0.49051747705896731</v>
      </c>
      <c r="CN275" s="7">
        <f t="shared" si="271"/>
        <v>0.47617143788375565</v>
      </c>
      <c r="CO275" s="7">
        <f t="shared" si="272"/>
        <v>0.46232581747426799</v>
      </c>
      <c r="CP275" s="7">
        <f t="shared" si="273"/>
        <v>48.308473659470138</v>
      </c>
      <c r="CQ275" s="7">
        <f t="shared" si="274"/>
        <v>0</v>
      </c>
      <c r="CR275" s="7">
        <f t="shared" si="275"/>
        <v>0</v>
      </c>
      <c r="CS275" s="7">
        <f t="shared" si="276"/>
        <v>0</v>
      </c>
      <c r="CT275" s="7">
        <f t="shared" si="277"/>
        <v>0</v>
      </c>
      <c r="CU275" s="7">
        <f t="shared" si="278"/>
        <v>0</v>
      </c>
      <c r="CV275" s="7">
        <f t="shared" si="279"/>
        <v>0</v>
      </c>
      <c r="CW275" s="7">
        <f t="shared" si="280"/>
        <v>0</v>
      </c>
      <c r="CX275" s="7">
        <f t="shared" si="281"/>
        <v>0</v>
      </c>
      <c r="CY275" s="7">
        <f t="shared" si="282"/>
        <v>0</v>
      </c>
      <c r="CZ275" s="7">
        <f t="shared" si="283"/>
        <v>0</v>
      </c>
      <c r="DA275" s="7">
        <f t="shared" si="284"/>
        <v>0</v>
      </c>
      <c r="DB275" s="7">
        <f t="shared" si="285"/>
        <v>0</v>
      </c>
      <c r="DC275" s="7">
        <f t="shared" si="286"/>
        <v>0</v>
      </c>
      <c r="DD275" s="7">
        <f t="shared" si="287"/>
        <v>0</v>
      </c>
      <c r="DE275" s="7">
        <f t="shared" si="288"/>
        <v>0</v>
      </c>
      <c r="DF275" s="7">
        <f t="shared" si="289"/>
        <v>0</v>
      </c>
      <c r="DG275" s="7">
        <f t="shared" si="290"/>
        <v>0</v>
      </c>
      <c r="DH275" s="7">
        <f t="shared" si="291"/>
        <v>0</v>
      </c>
      <c r="DI275" s="7">
        <f t="shared" si="292"/>
        <v>0</v>
      </c>
      <c r="DJ275" s="7">
        <f t="shared" si="293"/>
        <v>0</v>
      </c>
      <c r="DK275" s="7">
        <f t="shared" si="294"/>
        <v>0</v>
      </c>
      <c r="DL275" s="7">
        <f t="shared" si="295"/>
        <v>0</v>
      </c>
      <c r="DM275" s="7">
        <f t="shared" si="296"/>
        <v>0</v>
      </c>
      <c r="DN275" s="7">
        <f t="shared" si="297"/>
        <v>0</v>
      </c>
      <c r="DO275" s="7">
        <f t="shared" si="298"/>
        <v>0</v>
      </c>
      <c r="DP275" s="7">
        <f t="shared" si="299"/>
        <v>0</v>
      </c>
      <c r="DQ275" s="7">
        <f t="shared" si="300"/>
        <v>0</v>
      </c>
      <c r="DR275" s="7">
        <f t="shared" si="301"/>
        <v>0</v>
      </c>
      <c r="DS275" s="7">
        <f t="shared" si="302"/>
        <v>0</v>
      </c>
      <c r="DT275" s="7">
        <f t="shared" si="303"/>
        <v>0</v>
      </c>
      <c r="DU275" s="7">
        <f t="shared" si="304"/>
        <v>0</v>
      </c>
    </row>
    <row r="276" spans="1:125" x14ac:dyDescent="0.2">
      <c r="A276" s="3">
        <f>Bonds!A276</f>
        <v>51547</v>
      </c>
      <c r="B276" s="4">
        <f>Bonds!B276</f>
        <v>4.75</v>
      </c>
      <c r="C276">
        <f>Bonds!P276</f>
        <v>29</v>
      </c>
      <c r="D276">
        <f t="shared" si="244"/>
        <v>0</v>
      </c>
      <c r="E276" s="3">
        <f>IF(1&gt;$C276,"",IF($D276=1,EOMONTH(EDATE(Bonds!$H276,6*(1-1)),0),EDATE(Bonds!$H276,6*(1-1))))</f>
        <v>46433</v>
      </c>
      <c r="F276" s="3">
        <f>IF(2&gt;$C276,"",IF($D276=1,EOMONTH(EDATE(Bonds!$H276,6*(2-1)),0),EDATE(Bonds!$H276,6*(2-1))))</f>
        <v>46614</v>
      </c>
      <c r="G276" s="3">
        <f>IF(3&gt;$C276,"",IF($D276=1,EOMONTH(EDATE(Bonds!$H276,6*(3-1)),0),EDATE(Bonds!$H276,6*(3-1))))</f>
        <v>46798</v>
      </c>
      <c r="H276" s="3">
        <f>IF(4&gt;$C276,"",IF($D276=1,EOMONTH(EDATE(Bonds!$H276,6*(4-1)),0),EDATE(Bonds!$H276,6*(4-1))))</f>
        <v>46980</v>
      </c>
      <c r="I276" s="3">
        <f>IF(5&gt;$C276,"",IF($D276=1,EOMONTH(EDATE(Bonds!$H276,6*(5-1)),0),EDATE(Bonds!$H276,6*(5-1))))</f>
        <v>47164</v>
      </c>
      <c r="J276" s="3">
        <f>IF(6&gt;$C276,"",IF($D276=1,EOMONTH(EDATE(Bonds!$H276,6*(6-1)),0),EDATE(Bonds!$H276,6*(6-1))))</f>
        <v>47345</v>
      </c>
      <c r="K276" s="3">
        <f>IF(7&gt;$C276,"",IF($D276=1,EOMONTH(EDATE(Bonds!$H276,6*(7-1)),0),EDATE(Bonds!$H276,6*(7-1))))</f>
        <v>47529</v>
      </c>
      <c r="L276" s="3">
        <f>IF(8&gt;$C276,"",IF($D276=1,EOMONTH(EDATE(Bonds!$H276,6*(8-1)),0),EDATE(Bonds!$H276,6*(8-1))))</f>
        <v>47710</v>
      </c>
      <c r="M276" s="3">
        <f>IF(9&gt;$C276,"",IF($D276=1,EOMONTH(EDATE(Bonds!$H276,6*(9-1)),0),EDATE(Bonds!$H276,6*(9-1))))</f>
        <v>47894</v>
      </c>
      <c r="N276" s="3">
        <f>IF(10&gt;$C276,"",IF($D276=1,EOMONTH(EDATE(Bonds!$H276,6*(10-1)),0),EDATE(Bonds!$H276,6*(10-1))))</f>
        <v>48075</v>
      </c>
      <c r="O276" s="3">
        <f>IF(11&gt;$C276,"",IF($D276=1,EOMONTH(EDATE(Bonds!$H276,6*(11-1)),0),EDATE(Bonds!$H276,6*(11-1))))</f>
        <v>48259</v>
      </c>
      <c r="P276" s="3">
        <f>IF(12&gt;$C276,"",IF($D276=1,EOMONTH(EDATE(Bonds!$H276,6*(12-1)),0),EDATE(Bonds!$H276,6*(12-1))))</f>
        <v>48441</v>
      </c>
      <c r="Q276" s="3">
        <f>IF(13&gt;$C276,"",IF($D276=1,EOMONTH(EDATE(Bonds!$H276,6*(13-1)),0),EDATE(Bonds!$H276,6*(13-1))))</f>
        <v>48625</v>
      </c>
      <c r="R276" s="3">
        <f>IF(14&gt;$C276,"",IF($D276=1,EOMONTH(EDATE(Bonds!$H276,6*(14-1)),0),EDATE(Bonds!$H276,6*(14-1))))</f>
        <v>48806</v>
      </c>
      <c r="S276" s="3">
        <f>IF(15&gt;$C276,"",IF($D276=1,EOMONTH(EDATE(Bonds!$H276,6*(15-1)),0),EDATE(Bonds!$H276,6*(15-1))))</f>
        <v>48990</v>
      </c>
      <c r="T276" s="3">
        <f>IF(16&gt;$C276,"",IF($D276=1,EOMONTH(EDATE(Bonds!$H276,6*(16-1)),0),EDATE(Bonds!$H276,6*(16-1))))</f>
        <v>49171</v>
      </c>
      <c r="U276" s="3">
        <f>IF(17&gt;$C276,"",IF($D276=1,EOMONTH(EDATE(Bonds!$H276,6*(17-1)),0),EDATE(Bonds!$H276,6*(17-1))))</f>
        <v>49355</v>
      </c>
      <c r="V276" s="3">
        <f>IF(18&gt;$C276,"",IF($D276=1,EOMONTH(EDATE(Bonds!$H276,6*(18-1)),0),EDATE(Bonds!$H276,6*(18-1))))</f>
        <v>49536</v>
      </c>
      <c r="W276" s="3">
        <f>IF(19&gt;$C276,"",IF($D276=1,EOMONTH(EDATE(Bonds!$H276,6*(19-1)),0),EDATE(Bonds!$H276,6*(19-1))))</f>
        <v>49720</v>
      </c>
      <c r="X276" s="3">
        <f>IF(20&gt;$C276,"",IF($D276=1,EOMONTH(EDATE(Bonds!$H276,6*(20-1)),0),EDATE(Bonds!$H276,6*(20-1))))</f>
        <v>49902</v>
      </c>
      <c r="Y276" s="3">
        <f>IF(21&gt;$C276,"",IF($D276=1,EOMONTH(EDATE(Bonds!$H276,6*(21-1)),0),EDATE(Bonds!$H276,6*(21-1))))</f>
        <v>50086</v>
      </c>
      <c r="Z276" s="3">
        <f>IF(22&gt;$C276,"",IF($D276=1,EOMONTH(EDATE(Bonds!$H276,6*(22-1)),0),EDATE(Bonds!$H276,6*(22-1))))</f>
        <v>50267</v>
      </c>
      <c r="AA276" s="3">
        <f>IF(23&gt;$C276,"",IF($D276=1,EOMONTH(EDATE(Bonds!$H276,6*(23-1)),0),EDATE(Bonds!$H276,6*(23-1))))</f>
        <v>50451</v>
      </c>
      <c r="AB276" s="3">
        <f>IF(24&gt;$C276,"",IF($D276=1,EOMONTH(EDATE(Bonds!$H276,6*(24-1)),0),EDATE(Bonds!$H276,6*(24-1))))</f>
        <v>50632</v>
      </c>
      <c r="AC276" s="3">
        <f>IF(25&gt;$C276,"",IF($D276=1,EOMONTH(EDATE(Bonds!$H276,6*(25-1)),0),EDATE(Bonds!$H276,6*(25-1))))</f>
        <v>50816</v>
      </c>
      <c r="AD276" s="3">
        <f>IF(26&gt;$C276,"",IF($D276=1,EOMONTH(EDATE(Bonds!$H276,6*(26-1)),0),EDATE(Bonds!$H276,6*(26-1))))</f>
        <v>50997</v>
      </c>
      <c r="AE276" s="3">
        <f>IF(27&gt;$C276,"",IF($D276=1,EOMONTH(EDATE(Bonds!$H276,6*(27-1)),0),EDATE(Bonds!$H276,6*(27-1))))</f>
        <v>51181</v>
      </c>
      <c r="AF276" s="3">
        <f>IF(28&gt;$C276,"",IF($D276=1,EOMONTH(EDATE(Bonds!$H276,6*(28-1)),0),EDATE(Bonds!$H276,6*(28-1))))</f>
        <v>51363</v>
      </c>
      <c r="AG276" s="3">
        <f>IF(29&gt;$C276,"",IF($D276=1,EOMONTH(EDATE(Bonds!$H276,6*(29-1)),0),EDATE(Bonds!$H276,6*(29-1))))</f>
        <v>51547</v>
      </c>
      <c r="AH276" s="3" t="str">
        <f>IF(30&gt;$C276,"",IF($D276=1,EOMONTH(EDATE(Bonds!$H276,6*(30-1)),0),EDATE(Bonds!$H276,6*(30-1))))</f>
        <v/>
      </c>
      <c r="AI276" s="3" t="str">
        <f>IF(31&gt;$C276,"",IF($D276=1,EOMONTH(EDATE(Bonds!$H276,6*(31-1)),0),EDATE(Bonds!$H276,6*(31-1))))</f>
        <v/>
      </c>
      <c r="AJ276" s="3" t="str">
        <f>IF(32&gt;$C276,"",IF($D276=1,EOMONTH(EDATE(Bonds!$H276,6*(32-1)),0),EDATE(Bonds!$H276,6*(32-1))))</f>
        <v/>
      </c>
      <c r="AK276" s="3" t="str">
        <f>IF(33&gt;$C276,"",IF($D276=1,EOMONTH(EDATE(Bonds!$H276,6*(33-1)),0),EDATE(Bonds!$H276,6*(33-1))))</f>
        <v/>
      </c>
      <c r="AL276" s="3" t="str">
        <f>IF(34&gt;$C276,"",IF($D276=1,EOMONTH(EDATE(Bonds!$H276,6*(34-1)),0),EDATE(Bonds!$H276,6*(34-1))))</f>
        <v/>
      </c>
      <c r="AM276" s="3" t="str">
        <f>IF(35&gt;$C276,"",IF($D276=1,EOMONTH(EDATE(Bonds!$H276,6*(35-1)),0),EDATE(Bonds!$H276,6*(35-1))))</f>
        <v/>
      </c>
      <c r="AN276" s="3" t="str">
        <f>IF(36&gt;$C276,"",IF($D276=1,EOMONTH(EDATE(Bonds!$H276,6*(36-1)),0),EDATE(Bonds!$H276,6*(36-1))))</f>
        <v/>
      </c>
      <c r="AO276" s="3" t="str">
        <f>IF(37&gt;$C276,"",IF($D276=1,EOMONTH(EDATE(Bonds!$H276,6*(37-1)),0),EDATE(Bonds!$H276,6*(37-1))))</f>
        <v/>
      </c>
      <c r="AP276" s="3" t="str">
        <f>IF(38&gt;$C276,"",IF($D276=1,EOMONTH(EDATE(Bonds!$H276,6*(38-1)),0),EDATE(Bonds!$H276,6*(38-1))))</f>
        <v/>
      </c>
      <c r="AQ276" s="3" t="str">
        <f>IF(39&gt;$C276,"",IF($D276=1,EOMONTH(EDATE(Bonds!$H276,6*(39-1)),0),EDATE(Bonds!$H276,6*(39-1))))</f>
        <v/>
      </c>
      <c r="AR276" s="3" t="str">
        <f>IF(40&gt;$C276,"",IF($D276=1,EOMONTH(EDATE(Bonds!$H276,6*(40-1)),0),EDATE(Bonds!$H276,6*(40-1))))</f>
        <v/>
      </c>
      <c r="AS276" s="3" t="str">
        <f>IF(41&gt;$C276,"",IF($D276=1,EOMONTH(EDATE(Bonds!$H276,6*(41-1)),0),EDATE(Bonds!$H276,6*(41-1))))</f>
        <v/>
      </c>
      <c r="AT276" s="3" t="str">
        <f>IF(42&gt;$C276,"",IF($D276=1,EOMONTH(EDATE(Bonds!$H276,6*(42-1)),0),EDATE(Bonds!$H276,6*(42-1))))</f>
        <v/>
      </c>
      <c r="AU276" s="3" t="str">
        <f>IF(43&gt;$C276,"",IF($D276=1,EOMONTH(EDATE(Bonds!$H276,6*(43-1)),0),EDATE(Bonds!$H276,6*(43-1))))</f>
        <v/>
      </c>
      <c r="AV276" s="3" t="str">
        <f>IF(44&gt;$C276,"",IF($D276=1,EOMONTH(EDATE(Bonds!$H276,6*(44-1)),0),EDATE(Bonds!$H276,6*(44-1))))</f>
        <v/>
      </c>
      <c r="AW276" s="3" t="str">
        <f>IF(45&gt;$C276,"",IF($D276=1,EOMONTH(EDATE(Bonds!$H276,6*(45-1)),0),EDATE(Bonds!$H276,6*(45-1))))</f>
        <v/>
      </c>
      <c r="AX276" s="3" t="str">
        <f>IF(46&gt;$C276,"",IF($D276=1,EOMONTH(EDATE(Bonds!$H276,6*(46-1)),0),EDATE(Bonds!$H276,6*(46-1))))</f>
        <v/>
      </c>
      <c r="AY276" s="3" t="str">
        <f>IF(47&gt;$C276,"",IF($D276=1,EOMONTH(EDATE(Bonds!$H276,6*(47-1)),0),EDATE(Bonds!$H276,6*(47-1))))</f>
        <v/>
      </c>
      <c r="AZ276" s="3" t="str">
        <f>IF(48&gt;$C276,"",IF($D276=1,EOMONTH(EDATE(Bonds!$H276,6*(48-1)),0),EDATE(Bonds!$H276,6*(48-1))))</f>
        <v/>
      </c>
      <c r="BA276" s="3" t="str">
        <f>IF(49&gt;$C276,"",IF($D276=1,EOMONTH(EDATE(Bonds!$H276,6*(49-1)),0),EDATE(Bonds!$H276,6*(49-1))))</f>
        <v/>
      </c>
      <c r="BB276" s="3" t="str">
        <f>IF(50&gt;$C276,"",IF($D276=1,EOMONTH(EDATE(Bonds!$H276,6*(50-1)),0),EDATE(Bonds!$H276,6*(50-1))))</f>
        <v/>
      </c>
      <c r="BC276" s="3" t="str">
        <f>IF(51&gt;$C276,"",IF($D276=1,EOMONTH(EDATE(Bonds!$H276,6*(51-1)),0),EDATE(Bonds!$H276,6*(51-1))))</f>
        <v/>
      </c>
      <c r="BD276" s="3" t="str">
        <f>IF(52&gt;$C276,"",IF($D276=1,EOMONTH(EDATE(Bonds!$H276,6*(52-1)),0),EDATE(Bonds!$H276,6*(52-1))))</f>
        <v/>
      </c>
      <c r="BE276" s="3" t="str">
        <f>IF(53&gt;$C276,"",IF($D276=1,EOMONTH(EDATE(Bonds!$H276,6*(53-1)),0),EDATE(Bonds!$H276,6*(53-1))))</f>
        <v/>
      </c>
      <c r="BF276" s="3" t="str">
        <f>IF(54&gt;$C276,"",IF($D276=1,EOMONTH(EDATE(Bonds!$H276,6*(54-1)),0),EDATE(Bonds!$H276,6*(54-1))))</f>
        <v/>
      </c>
      <c r="BG276" s="3" t="str">
        <f>IF(55&gt;$C276,"",IF($D276=1,EOMONTH(EDATE(Bonds!$H276,6*(55-1)),0),EDATE(Bonds!$H276,6*(55-1))))</f>
        <v/>
      </c>
      <c r="BH276" s="3" t="str">
        <f>IF(56&gt;$C276,"",IF($D276=1,EOMONTH(EDATE(Bonds!$H276,6*(56-1)),0),EDATE(Bonds!$H276,6*(56-1))))</f>
        <v/>
      </c>
      <c r="BI276" s="3" t="str">
        <f>IF(57&gt;$C276,"",IF($D276=1,EOMONTH(EDATE(Bonds!$H276,6*(57-1)),0),EDATE(Bonds!$H276,6*(57-1))))</f>
        <v/>
      </c>
      <c r="BJ276" s="3" t="str">
        <f>IF(58&gt;$C276,"",IF($D276=1,EOMONTH(EDATE(Bonds!$H276,6*(58-1)),0),EDATE(Bonds!$H276,6*(58-1))))</f>
        <v/>
      </c>
      <c r="BK276" s="3" t="str">
        <f>IF(59&gt;$C276,"",IF($D276=1,EOMONTH(EDATE(Bonds!$H276,6*(59-1)),0),EDATE(Bonds!$H276,6*(59-1))))</f>
        <v/>
      </c>
      <c r="BL276" s="3" t="str">
        <f>IF(60&gt;$C276,"",IF($D276=1,EOMONTH(EDATE(Bonds!$H276,6*(60-1)),0),EDATE(Bonds!$H276,6*(60-1))))</f>
        <v/>
      </c>
      <c r="BN276" s="7">
        <f t="shared" si="245"/>
        <v>2.3347187704174175</v>
      </c>
      <c r="BO276" s="7">
        <f t="shared" si="246"/>
        <v>2.2855068123875473</v>
      </c>
      <c r="BP276" s="7">
        <f t="shared" si="247"/>
        <v>2.2342435061137325</v>
      </c>
      <c r="BQ276" s="7">
        <f t="shared" si="248"/>
        <v>2.1838326224082194</v>
      </c>
      <c r="BR276" s="7">
        <f t="shared" si="249"/>
        <v>2.1338712764780285</v>
      </c>
      <c r="BS276" s="7">
        <f t="shared" si="250"/>
        <v>2.0859245230917653</v>
      </c>
      <c r="BT276" s="7">
        <f t="shared" si="251"/>
        <v>2.0383668696351003</v>
      </c>
      <c r="BU276" s="7">
        <f t="shared" si="252"/>
        <v>1.9925983059785519</v>
      </c>
      <c r="BV276" s="7">
        <f t="shared" si="253"/>
        <v>1.9469105232060857</v>
      </c>
      <c r="BW276" s="7">
        <f t="shared" si="254"/>
        <v>1.9026139874521839</v>
      </c>
      <c r="BX276" s="7">
        <f t="shared" si="255"/>
        <v>1.8580871883797061</v>
      </c>
      <c r="BY276" s="7">
        <f t="shared" si="256"/>
        <v>1.8144314477610579</v>
      </c>
      <c r="BZ276" s="7">
        <f t="shared" si="257"/>
        <v>1.7706127419892679</v>
      </c>
      <c r="CA276" s="7">
        <f t="shared" si="258"/>
        <v>1.7277821673758944</v>
      </c>
      <c r="CB276" s="7">
        <f t="shared" si="259"/>
        <v>1.6845129844227813</v>
      </c>
      <c r="CC276" s="7">
        <f t="shared" si="260"/>
        <v>1.6422334394581741</v>
      </c>
      <c r="CD276" s="7">
        <f t="shared" si="261"/>
        <v>1.5995781915504756</v>
      </c>
      <c r="CE276" s="7">
        <f t="shared" si="262"/>
        <v>1.5579862698488527</v>
      </c>
      <c r="CF276" s="7">
        <f t="shared" si="263"/>
        <v>1.5161362644584098</v>
      </c>
      <c r="CG276" s="7">
        <f t="shared" si="264"/>
        <v>1.4752297073091523</v>
      </c>
      <c r="CH276" s="7">
        <f t="shared" si="265"/>
        <v>1.4344303341543432</v>
      </c>
      <c r="CI276" s="7">
        <f t="shared" si="266"/>
        <v>1.3949020934942835</v>
      </c>
      <c r="CJ276" s="7">
        <f t="shared" si="267"/>
        <v>1.3553923290914585</v>
      </c>
      <c r="CK276" s="7">
        <f t="shared" si="268"/>
        <v>1.3172413010095105</v>
      </c>
      <c r="CL276" s="7">
        <f t="shared" si="269"/>
        <v>1.2792319049803067</v>
      </c>
      <c r="CM276" s="7">
        <f t="shared" si="270"/>
        <v>1.2426442752160505</v>
      </c>
      <c r="CN276" s="7">
        <f t="shared" si="271"/>
        <v>1.206300975972181</v>
      </c>
      <c r="CO276" s="7">
        <f t="shared" si="272"/>
        <v>1.1712254042681456</v>
      </c>
      <c r="CP276" s="7">
        <f t="shared" si="273"/>
        <v>48.996458114063216</v>
      </c>
      <c r="CQ276" s="7">
        <f t="shared" si="274"/>
        <v>0</v>
      </c>
      <c r="CR276" s="7">
        <f t="shared" si="275"/>
        <v>0</v>
      </c>
      <c r="CS276" s="7">
        <f t="shared" si="276"/>
        <v>0</v>
      </c>
      <c r="CT276" s="7">
        <f t="shared" si="277"/>
        <v>0</v>
      </c>
      <c r="CU276" s="7">
        <f t="shared" si="278"/>
        <v>0</v>
      </c>
      <c r="CV276" s="7">
        <f t="shared" si="279"/>
        <v>0</v>
      </c>
      <c r="CW276" s="7">
        <f t="shared" si="280"/>
        <v>0</v>
      </c>
      <c r="CX276" s="7">
        <f t="shared" si="281"/>
        <v>0</v>
      </c>
      <c r="CY276" s="7">
        <f t="shared" si="282"/>
        <v>0</v>
      </c>
      <c r="CZ276" s="7">
        <f t="shared" si="283"/>
        <v>0</v>
      </c>
      <c r="DA276" s="7">
        <f t="shared" si="284"/>
        <v>0</v>
      </c>
      <c r="DB276" s="7">
        <f t="shared" si="285"/>
        <v>0</v>
      </c>
      <c r="DC276" s="7">
        <f t="shared" si="286"/>
        <v>0</v>
      </c>
      <c r="DD276" s="7">
        <f t="shared" si="287"/>
        <v>0</v>
      </c>
      <c r="DE276" s="7">
        <f t="shared" si="288"/>
        <v>0</v>
      </c>
      <c r="DF276" s="7">
        <f t="shared" si="289"/>
        <v>0</v>
      </c>
      <c r="DG276" s="7">
        <f t="shared" si="290"/>
        <v>0</v>
      </c>
      <c r="DH276" s="7">
        <f t="shared" si="291"/>
        <v>0</v>
      </c>
      <c r="DI276" s="7">
        <f t="shared" si="292"/>
        <v>0</v>
      </c>
      <c r="DJ276" s="7">
        <f t="shared" si="293"/>
        <v>0</v>
      </c>
      <c r="DK276" s="7">
        <f t="shared" si="294"/>
        <v>0</v>
      </c>
      <c r="DL276" s="7">
        <f t="shared" si="295"/>
        <v>0</v>
      </c>
      <c r="DM276" s="7">
        <f t="shared" si="296"/>
        <v>0</v>
      </c>
      <c r="DN276" s="7">
        <f t="shared" si="297"/>
        <v>0</v>
      </c>
      <c r="DO276" s="7">
        <f t="shared" si="298"/>
        <v>0</v>
      </c>
      <c r="DP276" s="7">
        <f t="shared" si="299"/>
        <v>0</v>
      </c>
      <c r="DQ276" s="7">
        <f t="shared" si="300"/>
        <v>0</v>
      </c>
      <c r="DR276" s="7">
        <f t="shared" si="301"/>
        <v>0</v>
      </c>
      <c r="DS276" s="7">
        <f t="shared" si="302"/>
        <v>0</v>
      </c>
      <c r="DT276" s="7">
        <f t="shared" si="303"/>
        <v>0</v>
      </c>
      <c r="DU276" s="7">
        <f t="shared" si="304"/>
        <v>0</v>
      </c>
    </row>
    <row r="277" spans="1:125" x14ac:dyDescent="0.2">
      <c r="A277" s="3">
        <f>Bonds!A277</f>
        <v>51636</v>
      </c>
      <c r="B277" s="4">
        <f>Bonds!B277</f>
        <v>2.25</v>
      </c>
      <c r="C277">
        <f>Bonds!P277</f>
        <v>30</v>
      </c>
      <c r="D277">
        <f t="shared" si="244"/>
        <v>0</v>
      </c>
      <c r="E277" s="3">
        <f>IF(1&gt;$C277,"",IF($D277=1,EOMONTH(EDATE(Bonds!$H277,6*(1-1)),0),EDATE(Bonds!$H277,6*(1-1))))</f>
        <v>46341</v>
      </c>
      <c r="F277" s="3">
        <f>IF(2&gt;$C277,"",IF($D277=1,EOMONTH(EDATE(Bonds!$H277,6*(2-1)),0),EDATE(Bonds!$H277,6*(2-1))))</f>
        <v>46522</v>
      </c>
      <c r="G277" s="3">
        <f>IF(3&gt;$C277,"",IF($D277=1,EOMONTH(EDATE(Bonds!$H277,6*(3-1)),0),EDATE(Bonds!$H277,6*(3-1))))</f>
        <v>46706</v>
      </c>
      <c r="H277" s="3">
        <f>IF(4&gt;$C277,"",IF($D277=1,EOMONTH(EDATE(Bonds!$H277,6*(4-1)),0),EDATE(Bonds!$H277,6*(4-1))))</f>
        <v>46888</v>
      </c>
      <c r="I277" s="3">
        <f>IF(5&gt;$C277,"",IF($D277=1,EOMONTH(EDATE(Bonds!$H277,6*(5-1)),0),EDATE(Bonds!$H277,6*(5-1))))</f>
        <v>47072</v>
      </c>
      <c r="J277" s="3">
        <f>IF(6&gt;$C277,"",IF($D277=1,EOMONTH(EDATE(Bonds!$H277,6*(6-1)),0),EDATE(Bonds!$H277,6*(6-1))))</f>
        <v>47253</v>
      </c>
      <c r="K277" s="3">
        <f>IF(7&gt;$C277,"",IF($D277=1,EOMONTH(EDATE(Bonds!$H277,6*(7-1)),0),EDATE(Bonds!$H277,6*(7-1))))</f>
        <v>47437</v>
      </c>
      <c r="L277" s="3">
        <f>IF(8&gt;$C277,"",IF($D277=1,EOMONTH(EDATE(Bonds!$H277,6*(8-1)),0),EDATE(Bonds!$H277,6*(8-1))))</f>
        <v>47618</v>
      </c>
      <c r="M277" s="3">
        <f>IF(9&gt;$C277,"",IF($D277=1,EOMONTH(EDATE(Bonds!$H277,6*(9-1)),0),EDATE(Bonds!$H277,6*(9-1))))</f>
        <v>47802</v>
      </c>
      <c r="N277" s="3">
        <f>IF(10&gt;$C277,"",IF($D277=1,EOMONTH(EDATE(Bonds!$H277,6*(10-1)),0),EDATE(Bonds!$H277,6*(10-1))))</f>
        <v>47983</v>
      </c>
      <c r="O277" s="3">
        <f>IF(11&gt;$C277,"",IF($D277=1,EOMONTH(EDATE(Bonds!$H277,6*(11-1)),0),EDATE(Bonds!$H277,6*(11-1))))</f>
        <v>48167</v>
      </c>
      <c r="P277" s="3">
        <f>IF(12&gt;$C277,"",IF($D277=1,EOMONTH(EDATE(Bonds!$H277,6*(12-1)),0),EDATE(Bonds!$H277,6*(12-1))))</f>
        <v>48349</v>
      </c>
      <c r="Q277" s="3">
        <f>IF(13&gt;$C277,"",IF($D277=1,EOMONTH(EDATE(Bonds!$H277,6*(13-1)),0),EDATE(Bonds!$H277,6*(13-1))))</f>
        <v>48533</v>
      </c>
      <c r="R277" s="3">
        <f>IF(14&gt;$C277,"",IF($D277=1,EOMONTH(EDATE(Bonds!$H277,6*(14-1)),0),EDATE(Bonds!$H277,6*(14-1))))</f>
        <v>48714</v>
      </c>
      <c r="S277" s="3">
        <f>IF(15&gt;$C277,"",IF($D277=1,EOMONTH(EDATE(Bonds!$H277,6*(15-1)),0),EDATE(Bonds!$H277,6*(15-1))))</f>
        <v>48898</v>
      </c>
      <c r="T277" s="3">
        <f>IF(16&gt;$C277,"",IF($D277=1,EOMONTH(EDATE(Bonds!$H277,6*(16-1)),0),EDATE(Bonds!$H277,6*(16-1))))</f>
        <v>49079</v>
      </c>
      <c r="U277" s="3">
        <f>IF(17&gt;$C277,"",IF($D277=1,EOMONTH(EDATE(Bonds!$H277,6*(17-1)),0),EDATE(Bonds!$H277,6*(17-1))))</f>
        <v>49263</v>
      </c>
      <c r="V277" s="3">
        <f>IF(18&gt;$C277,"",IF($D277=1,EOMONTH(EDATE(Bonds!$H277,6*(18-1)),0),EDATE(Bonds!$H277,6*(18-1))))</f>
        <v>49444</v>
      </c>
      <c r="W277" s="3">
        <f>IF(19&gt;$C277,"",IF($D277=1,EOMONTH(EDATE(Bonds!$H277,6*(19-1)),0),EDATE(Bonds!$H277,6*(19-1))))</f>
        <v>49628</v>
      </c>
      <c r="X277" s="3">
        <f>IF(20&gt;$C277,"",IF($D277=1,EOMONTH(EDATE(Bonds!$H277,6*(20-1)),0),EDATE(Bonds!$H277,6*(20-1))))</f>
        <v>49810</v>
      </c>
      <c r="Y277" s="3">
        <f>IF(21&gt;$C277,"",IF($D277=1,EOMONTH(EDATE(Bonds!$H277,6*(21-1)),0),EDATE(Bonds!$H277,6*(21-1))))</f>
        <v>49994</v>
      </c>
      <c r="Z277" s="3">
        <f>IF(22&gt;$C277,"",IF($D277=1,EOMONTH(EDATE(Bonds!$H277,6*(22-1)),0),EDATE(Bonds!$H277,6*(22-1))))</f>
        <v>50175</v>
      </c>
      <c r="AA277" s="3">
        <f>IF(23&gt;$C277,"",IF($D277=1,EOMONTH(EDATE(Bonds!$H277,6*(23-1)),0),EDATE(Bonds!$H277,6*(23-1))))</f>
        <v>50359</v>
      </c>
      <c r="AB277" s="3">
        <f>IF(24&gt;$C277,"",IF($D277=1,EOMONTH(EDATE(Bonds!$H277,6*(24-1)),0),EDATE(Bonds!$H277,6*(24-1))))</f>
        <v>50540</v>
      </c>
      <c r="AC277" s="3">
        <f>IF(25&gt;$C277,"",IF($D277=1,EOMONTH(EDATE(Bonds!$H277,6*(25-1)),0),EDATE(Bonds!$H277,6*(25-1))))</f>
        <v>50724</v>
      </c>
      <c r="AD277" s="3">
        <f>IF(26&gt;$C277,"",IF($D277=1,EOMONTH(EDATE(Bonds!$H277,6*(26-1)),0),EDATE(Bonds!$H277,6*(26-1))))</f>
        <v>50905</v>
      </c>
      <c r="AE277" s="3">
        <f>IF(27&gt;$C277,"",IF($D277=1,EOMONTH(EDATE(Bonds!$H277,6*(27-1)),0),EDATE(Bonds!$H277,6*(27-1))))</f>
        <v>51089</v>
      </c>
      <c r="AF277" s="3">
        <f>IF(28&gt;$C277,"",IF($D277=1,EOMONTH(EDATE(Bonds!$H277,6*(28-1)),0),EDATE(Bonds!$H277,6*(28-1))))</f>
        <v>51271</v>
      </c>
      <c r="AG277" s="3">
        <f>IF(29&gt;$C277,"",IF($D277=1,EOMONTH(EDATE(Bonds!$H277,6*(29-1)),0),EDATE(Bonds!$H277,6*(29-1))))</f>
        <v>51455</v>
      </c>
      <c r="AH277" s="3">
        <f>IF(30&gt;$C277,"",IF($D277=1,EOMONTH(EDATE(Bonds!$H277,6*(30-1)),0),EDATE(Bonds!$H277,6*(30-1))))</f>
        <v>51636</v>
      </c>
      <c r="AI277" s="3" t="str">
        <f>IF(31&gt;$C277,"",IF($D277=1,EOMONTH(EDATE(Bonds!$H277,6*(31-1)),0),EDATE(Bonds!$H277,6*(31-1))))</f>
        <v/>
      </c>
      <c r="AJ277" s="3" t="str">
        <f>IF(32&gt;$C277,"",IF($D277=1,EOMONTH(EDATE(Bonds!$H277,6*(32-1)),0),EDATE(Bonds!$H277,6*(32-1))))</f>
        <v/>
      </c>
      <c r="AK277" s="3" t="str">
        <f>IF(33&gt;$C277,"",IF($D277=1,EOMONTH(EDATE(Bonds!$H277,6*(33-1)),0),EDATE(Bonds!$H277,6*(33-1))))</f>
        <v/>
      </c>
      <c r="AL277" s="3" t="str">
        <f>IF(34&gt;$C277,"",IF($D277=1,EOMONTH(EDATE(Bonds!$H277,6*(34-1)),0),EDATE(Bonds!$H277,6*(34-1))))</f>
        <v/>
      </c>
      <c r="AM277" s="3" t="str">
        <f>IF(35&gt;$C277,"",IF($D277=1,EOMONTH(EDATE(Bonds!$H277,6*(35-1)),0),EDATE(Bonds!$H277,6*(35-1))))</f>
        <v/>
      </c>
      <c r="AN277" s="3" t="str">
        <f>IF(36&gt;$C277,"",IF($D277=1,EOMONTH(EDATE(Bonds!$H277,6*(36-1)),0),EDATE(Bonds!$H277,6*(36-1))))</f>
        <v/>
      </c>
      <c r="AO277" s="3" t="str">
        <f>IF(37&gt;$C277,"",IF($D277=1,EOMONTH(EDATE(Bonds!$H277,6*(37-1)),0),EDATE(Bonds!$H277,6*(37-1))))</f>
        <v/>
      </c>
      <c r="AP277" s="3" t="str">
        <f>IF(38&gt;$C277,"",IF($D277=1,EOMONTH(EDATE(Bonds!$H277,6*(38-1)),0),EDATE(Bonds!$H277,6*(38-1))))</f>
        <v/>
      </c>
      <c r="AQ277" s="3" t="str">
        <f>IF(39&gt;$C277,"",IF($D277=1,EOMONTH(EDATE(Bonds!$H277,6*(39-1)),0),EDATE(Bonds!$H277,6*(39-1))))</f>
        <v/>
      </c>
      <c r="AR277" s="3" t="str">
        <f>IF(40&gt;$C277,"",IF($D277=1,EOMONTH(EDATE(Bonds!$H277,6*(40-1)),0),EDATE(Bonds!$H277,6*(40-1))))</f>
        <v/>
      </c>
      <c r="AS277" s="3" t="str">
        <f>IF(41&gt;$C277,"",IF($D277=1,EOMONTH(EDATE(Bonds!$H277,6*(41-1)),0),EDATE(Bonds!$H277,6*(41-1))))</f>
        <v/>
      </c>
      <c r="AT277" s="3" t="str">
        <f>IF(42&gt;$C277,"",IF($D277=1,EOMONTH(EDATE(Bonds!$H277,6*(42-1)),0),EDATE(Bonds!$H277,6*(42-1))))</f>
        <v/>
      </c>
      <c r="AU277" s="3" t="str">
        <f>IF(43&gt;$C277,"",IF($D277=1,EOMONTH(EDATE(Bonds!$H277,6*(43-1)),0),EDATE(Bonds!$H277,6*(43-1))))</f>
        <v/>
      </c>
      <c r="AV277" s="3" t="str">
        <f>IF(44&gt;$C277,"",IF($D277=1,EOMONTH(EDATE(Bonds!$H277,6*(44-1)),0),EDATE(Bonds!$H277,6*(44-1))))</f>
        <v/>
      </c>
      <c r="AW277" s="3" t="str">
        <f>IF(45&gt;$C277,"",IF($D277=1,EOMONTH(EDATE(Bonds!$H277,6*(45-1)),0),EDATE(Bonds!$H277,6*(45-1))))</f>
        <v/>
      </c>
      <c r="AX277" s="3" t="str">
        <f>IF(46&gt;$C277,"",IF($D277=1,EOMONTH(EDATE(Bonds!$H277,6*(46-1)),0),EDATE(Bonds!$H277,6*(46-1))))</f>
        <v/>
      </c>
      <c r="AY277" s="3" t="str">
        <f>IF(47&gt;$C277,"",IF($D277=1,EOMONTH(EDATE(Bonds!$H277,6*(47-1)),0),EDATE(Bonds!$H277,6*(47-1))))</f>
        <v/>
      </c>
      <c r="AZ277" s="3" t="str">
        <f>IF(48&gt;$C277,"",IF($D277=1,EOMONTH(EDATE(Bonds!$H277,6*(48-1)),0),EDATE(Bonds!$H277,6*(48-1))))</f>
        <v/>
      </c>
      <c r="BA277" s="3" t="str">
        <f>IF(49&gt;$C277,"",IF($D277=1,EOMONTH(EDATE(Bonds!$H277,6*(49-1)),0),EDATE(Bonds!$H277,6*(49-1))))</f>
        <v/>
      </c>
      <c r="BB277" s="3" t="str">
        <f>IF(50&gt;$C277,"",IF($D277=1,EOMONTH(EDATE(Bonds!$H277,6*(50-1)),0),EDATE(Bonds!$H277,6*(50-1))))</f>
        <v/>
      </c>
      <c r="BC277" s="3" t="str">
        <f>IF(51&gt;$C277,"",IF($D277=1,EOMONTH(EDATE(Bonds!$H277,6*(51-1)),0),EDATE(Bonds!$H277,6*(51-1))))</f>
        <v/>
      </c>
      <c r="BD277" s="3" t="str">
        <f>IF(52&gt;$C277,"",IF($D277=1,EOMONTH(EDATE(Bonds!$H277,6*(52-1)),0),EDATE(Bonds!$H277,6*(52-1))))</f>
        <v/>
      </c>
      <c r="BE277" s="3" t="str">
        <f>IF(53&gt;$C277,"",IF($D277=1,EOMONTH(EDATE(Bonds!$H277,6*(53-1)),0),EDATE(Bonds!$H277,6*(53-1))))</f>
        <v/>
      </c>
      <c r="BF277" s="3" t="str">
        <f>IF(54&gt;$C277,"",IF($D277=1,EOMONTH(EDATE(Bonds!$H277,6*(54-1)),0),EDATE(Bonds!$H277,6*(54-1))))</f>
        <v/>
      </c>
      <c r="BG277" s="3" t="str">
        <f>IF(55&gt;$C277,"",IF($D277=1,EOMONTH(EDATE(Bonds!$H277,6*(55-1)),0),EDATE(Bonds!$H277,6*(55-1))))</f>
        <v/>
      </c>
      <c r="BH277" s="3" t="str">
        <f>IF(56&gt;$C277,"",IF($D277=1,EOMONTH(EDATE(Bonds!$H277,6*(56-1)),0),EDATE(Bonds!$H277,6*(56-1))))</f>
        <v/>
      </c>
      <c r="BI277" s="3" t="str">
        <f>IF(57&gt;$C277,"",IF($D277=1,EOMONTH(EDATE(Bonds!$H277,6*(57-1)),0),EDATE(Bonds!$H277,6*(57-1))))</f>
        <v/>
      </c>
      <c r="BJ277" s="3" t="str">
        <f>IF(58&gt;$C277,"",IF($D277=1,EOMONTH(EDATE(Bonds!$H277,6*(58-1)),0),EDATE(Bonds!$H277,6*(58-1))))</f>
        <v/>
      </c>
      <c r="BK277" s="3" t="str">
        <f>IF(59&gt;$C277,"",IF($D277=1,EOMONTH(EDATE(Bonds!$H277,6*(59-1)),0),EDATE(Bonds!$H277,6*(59-1))))</f>
        <v/>
      </c>
      <c r="BL277" s="3" t="str">
        <f>IF(60&gt;$C277,"",IF($D277=1,EOMONTH(EDATE(Bonds!$H277,6*(60-1)),0),EDATE(Bonds!$H277,6*(60-1))))</f>
        <v/>
      </c>
      <c r="BN277" s="7">
        <f t="shared" si="245"/>
        <v>1.1171537804250209</v>
      </c>
      <c r="BO277" s="7">
        <f t="shared" si="246"/>
        <v>1.0945946084535521</v>
      </c>
      <c r="BP277" s="7">
        <f t="shared" si="247"/>
        <v>1.0704834321183188</v>
      </c>
      <c r="BQ277" s="7">
        <f t="shared" si="248"/>
        <v>1.0464729091278628</v>
      </c>
      <c r="BR277" s="7">
        <f t="shared" si="249"/>
        <v>1.0225439281580238</v>
      </c>
      <c r="BS277" s="7">
        <f t="shared" si="250"/>
        <v>0.99954225232726501</v>
      </c>
      <c r="BT277" s="7">
        <f t="shared" si="251"/>
        <v>0.976739005639081</v>
      </c>
      <c r="BU277" s="7">
        <f t="shared" si="252"/>
        <v>0.95482782647602038</v>
      </c>
      <c r="BV277" s="7">
        <f t="shared" si="253"/>
        <v>0.93299714943252132</v>
      </c>
      <c r="BW277" s="7">
        <f t="shared" si="254"/>
        <v>0.9118702286162832</v>
      </c>
      <c r="BX277" s="7">
        <f t="shared" si="255"/>
        <v>0.89066613962145758</v>
      </c>
      <c r="BY277" s="7">
        <f t="shared" si="256"/>
        <v>0.86990046549715805</v>
      </c>
      <c r="BZ277" s="7">
        <f t="shared" si="257"/>
        <v>0.84907205842991273</v>
      </c>
      <c r="CA277" s="7">
        <f t="shared" si="258"/>
        <v>0.82871978213898501</v>
      </c>
      <c r="CB277" s="7">
        <f t="shared" si="259"/>
        <v>0.80815868597071505</v>
      </c>
      <c r="CC277" s="7">
        <f t="shared" si="260"/>
        <v>0.78806204523391743</v>
      </c>
      <c r="CD277" s="7">
        <f t="shared" si="261"/>
        <v>0.76777674223805081</v>
      </c>
      <c r="CE277" s="7">
        <f t="shared" si="262"/>
        <v>0.74798430884349398</v>
      </c>
      <c r="CF277" s="7">
        <f t="shared" si="263"/>
        <v>0.72805410723215758</v>
      </c>
      <c r="CG277" s="7">
        <f t="shared" si="264"/>
        <v>0.70855728821626573</v>
      </c>
      <c r="CH277" s="7">
        <f t="shared" si="265"/>
        <v>0.68909502099422859</v>
      </c>
      <c r="CI277" s="7">
        <f t="shared" si="266"/>
        <v>0.67022294616159617</v>
      </c>
      <c r="CJ277" s="7">
        <f t="shared" si="267"/>
        <v>0.65134367493773349</v>
      </c>
      <c r="CK277" s="7">
        <f t="shared" si="268"/>
        <v>0.63309856079414939</v>
      </c>
      <c r="CL277" s="7">
        <f t="shared" si="269"/>
        <v>0.61490667361638529</v>
      </c>
      <c r="CM277" s="7">
        <f t="shared" si="270"/>
        <v>0.5973819196841651</v>
      </c>
      <c r="CN277" s="7">
        <f t="shared" si="271"/>
        <v>0.57996162548652497</v>
      </c>
      <c r="CO277" s="7">
        <f t="shared" si="272"/>
        <v>0.56313751800043232</v>
      </c>
      <c r="CP277" s="7">
        <f t="shared" si="273"/>
        <v>0.54655230395532062</v>
      </c>
      <c r="CQ277" s="7">
        <f t="shared" si="274"/>
        <v>47.700675999551827</v>
      </c>
      <c r="CR277" s="7">
        <f t="shared" si="275"/>
        <v>0</v>
      </c>
      <c r="CS277" s="7">
        <f t="shared" si="276"/>
        <v>0</v>
      </c>
      <c r="CT277" s="7">
        <f t="shared" si="277"/>
        <v>0</v>
      </c>
      <c r="CU277" s="7">
        <f t="shared" si="278"/>
        <v>0</v>
      </c>
      <c r="CV277" s="7">
        <f t="shared" si="279"/>
        <v>0</v>
      </c>
      <c r="CW277" s="7">
        <f t="shared" si="280"/>
        <v>0</v>
      </c>
      <c r="CX277" s="7">
        <f t="shared" si="281"/>
        <v>0</v>
      </c>
      <c r="CY277" s="7">
        <f t="shared" si="282"/>
        <v>0</v>
      </c>
      <c r="CZ277" s="7">
        <f t="shared" si="283"/>
        <v>0</v>
      </c>
      <c r="DA277" s="7">
        <f t="shared" si="284"/>
        <v>0</v>
      </c>
      <c r="DB277" s="7">
        <f t="shared" si="285"/>
        <v>0</v>
      </c>
      <c r="DC277" s="7">
        <f t="shared" si="286"/>
        <v>0</v>
      </c>
      <c r="DD277" s="7">
        <f t="shared" si="287"/>
        <v>0</v>
      </c>
      <c r="DE277" s="7">
        <f t="shared" si="288"/>
        <v>0</v>
      </c>
      <c r="DF277" s="7">
        <f t="shared" si="289"/>
        <v>0</v>
      </c>
      <c r="DG277" s="7">
        <f t="shared" si="290"/>
        <v>0</v>
      </c>
      <c r="DH277" s="7">
        <f t="shared" si="291"/>
        <v>0</v>
      </c>
      <c r="DI277" s="7">
        <f t="shared" si="292"/>
        <v>0</v>
      </c>
      <c r="DJ277" s="7">
        <f t="shared" si="293"/>
        <v>0</v>
      </c>
      <c r="DK277" s="7">
        <f t="shared" si="294"/>
        <v>0</v>
      </c>
      <c r="DL277" s="7">
        <f t="shared" si="295"/>
        <v>0</v>
      </c>
      <c r="DM277" s="7">
        <f t="shared" si="296"/>
        <v>0</v>
      </c>
      <c r="DN277" s="7">
        <f t="shared" si="297"/>
        <v>0</v>
      </c>
      <c r="DO277" s="7">
        <f t="shared" si="298"/>
        <v>0</v>
      </c>
      <c r="DP277" s="7">
        <f t="shared" si="299"/>
        <v>0</v>
      </c>
      <c r="DQ277" s="7">
        <f t="shared" si="300"/>
        <v>0</v>
      </c>
      <c r="DR277" s="7">
        <f t="shared" si="301"/>
        <v>0</v>
      </c>
      <c r="DS277" s="7">
        <f t="shared" si="302"/>
        <v>0</v>
      </c>
      <c r="DT277" s="7">
        <f t="shared" si="303"/>
        <v>0</v>
      </c>
      <c r="DU277" s="7">
        <f t="shared" si="304"/>
        <v>0</v>
      </c>
    </row>
    <row r="278" spans="1:125" x14ac:dyDescent="0.2">
      <c r="A278" s="3">
        <f>Bonds!A278</f>
        <v>51636</v>
      </c>
      <c r="B278" s="4">
        <f>Bonds!B278</f>
        <v>4.375</v>
      </c>
      <c r="C278">
        <f>Bonds!P278</f>
        <v>30</v>
      </c>
      <c r="D278">
        <f t="shared" si="244"/>
        <v>0</v>
      </c>
      <c r="E278" s="3">
        <f>IF(1&gt;$C278,"",IF($D278=1,EOMONTH(EDATE(Bonds!$H278,6*(1-1)),0),EDATE(Bonds!$H278,6*(1-1))))</f>
        <v>46341</v>
      </c>
      <c r="F278" s="3">
        <f>IF(2&gt;$C278,"",IF($D278=1,EOMONTH(EDATE(Bonds!$H278,6*(2-1)),0),EDATE(Bonds!$H278,6*(2-1))))</f>
        <v>46522</v>
      </c>
      <c r="G278" s="3">
        <f>IF(3&gt;$C278,"",IF($D278=1,EOMONTH(EDATE(Bonds!$H278,6*(3-1)),0),EDATE(Bonds!$H278,6*(3-1))))</f>
        <v>46706</v>
      </c>
      <c r="H278" s="3">
        <f>IF(4&gt;$C278,"",IF($D278=1,EOMONTH(EDATE(Bonds!$H278,6*(4-1)),0),EDATE(Bonds!$H278,6*(4-1))))</f>
        <v>46888</v>
      </c>
      <c r="I278" s="3">
        <f>IF(5&gt;$C278,"",IF($D278=1,EOMONTH(EDATE(Bonds!$H278,6*(5-1)),0),EDATE(Bonds!$H278,6*(5-1))))</f>
        <v>47072</v>
      </c>
      <c r="J278" s="3">
        <f>IF(6&gt;$C278,"",IF($D278=1,EOMONTH(EDATE(Bonds!$H278,6*(6-1)),0),EDATE(Bonds!$H278,6*(6-1))))</f>
        <v>47253</v>
      </c>
      <c r="K278" s="3">
        <f>IF(7&gt;$C278,"",IF($D278=1,EOMONTH(EDATE(Bonds!$H278,6*(7-1)),0),EDATE(Bonds!$H278,6*(7-1))))</f>
        <v>47437</v>
      </c>
      <c r="L278" s="3">
        <f>IF(8&gt;$C278,"",IF($D278=1,EOMONTH(EDATE(Bonds!$H278,6*(8-1)),0),EDATE(Bonds!$H278,6*(8-1))))</f>
        <v>47618</v>
      </c>
      <c r="M278" s="3">
        <f>IF(9&gt;$C278,"",IF($D278=1,EOMONTH(EDATE(Bonds!$H278,6*(9-1)),0),EDATE(Bonds!$H278,6*(9-1))))</f>
        <v>47802</v>
      </c>
      <c r="N278" s="3">
        <f>IF(10&gt;$C278,"",IF($D278=1,EOMONTH(EDATE(Bonds!$H278,6*(10-1)),0),EDATE(Bonds!$H278,6*(10-1))))</f>
        <v>47983</v>
      </c>
      <c r="O278" s="3">
        <f>IF(11&gt;$C278,"",IF($D278=1,EOMONTH(EDATE(Bonds!$H278,6*(11-1)),0),EDATE(Bonds!$H278,6*(11-1))))</f>
        <v>48167</v>
      </c>
      <c r="P278" s="3">
        <f>IF(12&gt;$C278,"",IF($D278=1,EOMONTH(EDATE(Bonds!$H278,6*(12-1)),0),EDATE(Bonds!$H278,6*(12-1))))</f>
        <v>48349</v>
      </c>
      <c r="Q278" s="3">
        <f>IF(13&gt;$C278,"",IF($D278=1,EOMONTH(EDATE(Bonds!$H278,6*(13-1)),0),EDATE(Bonds!$H278,6*(13-1))))</f>
        <v>48533</v>
      </c>
      <c r="R278" s="3">
        <f>IF(14&gt;$C278,"",IF($D278=1,EOMONTH(EDATE(Bonds!$H278,6*(14-1)),0),EDATE(Bonds!$H278,6*(14-1))))</f>
        <v>48714</v>
      </c>
      <c r="S278" s="3">
        <f>IF(15&gt;$C278,"",IF($D278=1,EOMONTH(EDATE(Bonds!$H278,6*(15-1)),0),EDATE(Bonds!$H278,6*(15-1))))</f>
        <v>48898</v>
      </c>
      <c r="T278" s="3">
        <f>IF(16&gt;$C278,"",IF($D278=1,EOMONTH(EDATE(Bonds!$H278,6*(16-1)),0),EDATE(Bonds!$H278,6*(16-1))))</f>
        <v>49079</v>
      </c>
      <c r="U278" s="3">
        <f>IF(17&gt;$C278,"",IF($D278=1,EOMONTH(EDATE(Bonds!$H278,6*(17-1)),0),EDATE(Bonds!$H278,6*(17-1))))</f>
        <v>49263</v>
      </c>
      <c r="V278" s="3">
        <f>IF(18&gt;$C278,"",IF($D278=1,EOMONTH(EDATE(Bonds!$H278,6*(18-1)),0),EDATE(Bonds!$H278,6*(18-1))))</f>
        <v>49444</v>
      </c>
      <c r="W278" s="3">
        <f>IF(19&gt;$C278,"",IF($D278=1,EOMONTH(EDATE(Bonds!$H278,6*(19-1)),0),EDATE(Bonds!$H278,6*(19-1))))</f>
        <v>49628</v>
      </c>
      <c r="X278" s="3">
        <f>IF(20&gt;$C278,"",IF($D278=1,EOMONTH(EDATE(Bonds!$H278,6*(20-1)),0),EDATE(Bonds!$H278,6*(20-1))))</f>
        <v>49810</v>
      </c>
      <c r="Y278" s="3">
        <f>IF(21&gt;$C278,"",IF($D278=1,EOMONTH(EDATE(Bonds!$H278,6*(21-1)),0),EDATE(Bonds!$H278,6*(21-1))))</f>
        <v>49994</v>
      </c>
      <c r="Z278" s="3">
        <f>IF(22&gt;$C278,"",IF($D278=1,EOMONTH(EDATE(Bonds!$H278,6*(22-1)),0),EDATE(Bonds!$H278,6*(22-1))))</f>
        <v>50175</v>
      </c>
      <c r="AA278" s="3">
        <f>IF(23&gt;$C278,"",IF($D278=1,EOMONTH(EDATE(Bonds!$H278,6*(23-1)),0),EDATE(Bonds!$H278,6*(23-1))))</f>
        <v>50359</v>
      </c>
      <c r="AB278" s="3">
        <f>IF(24&gt;$C278,"",IF($D278=1,EOMONTH(EDATE(Bonds!$H278,6*(24-1)),0),EDATE(Bonds!$H278,6*(24-1))))</f>
        <v>50540</v>
      </c>
      <c r="AC278" s="3">
        <f>IF(25&gt;$C278,"",IF($D278=1,EOMONTH(EDATE(Bonds!$H278,6*(25-1)),0),EDATE(Bonds!$H278,6*(25-1))))</f>
        <v>50724</v>
      </c>
      <c r="AD278" s="3">
        <f>IF(26&gt;$C278,"",IF($D278=1,EOMONTH(EDATE(Bonds!$H278,6*(26-1)),0),EDATE(Bonds!$H278,6*(26-1))))</f>
        <v>50905</v>
      </c>
      <c r="AE278" s="3">
        <f>IF(27&gt;$C278,"",IF($D278=1,EOMONTH(EDATE(Bonds!$H278,6*(27-1)),0),EDATE(Bonds!$H278,6*(27-1))))</f>
        <v>51089</v>
      </c>
      <c r="AF278" s="3">
        <f>IF(28&gt;$C278,"",IF($D278=1,EOMONTH(EDATE(Bonds!$H278,6*(28-1)),0),EDATE(Bonds!$H278,6*(28-1))))</f>
        <v>51271</v>
      </c>
      <c r="AG278" s="3">
        <f>IF(29&gt;$C278,"",IF($D278=1,EOMONTH(EDATE(Bonds!$H278,6*(29-1)),0),EDATE(Bonds!$H278,6*(29-1))))</f>
        <v>51455</v>
      </c>
      <c r="AH278" s="3">
        <f>IF(30&gt;$C278,"",IF($D278=1,EOMONTH(EDATE(Bonds!$H278,6*(30-1)),0),EDATE(Bonds!$H278,6*(30-1))))</f>
        <v>51636</v>
      </c>
      <c r="AI278" s="3" t="str">
        <f>IF(31&gt;$C278,"",IF($D278=1,EOMONTH(EDATE(Bonds!$H278,6*(31-1)),0),EDATE(Bonds!$H278,6*(31-1))))</f>
        <v/>
      </c>
      <c r="AJ278" s="3" t="str">
        <f>IF(32&gt;$C278,"",IF($D278=1,EOMONTH(EDATE(Bonds!$H278,6*(32-1)),0),EDATE(Bonds!$H278,6*(32-1))))</f>
        <v/>
      </c>
      <c r="AK278" s="3" t="str">
        <f>IF(33&gt;$C278,"",IF($D278=1,EOMONTH(EDATE(Bonds!$H278,6*(33-1)),0),EDATE(Bonds!$H278,6*(33-1))))</f>
        <v/>
      </c>
      <c r="AL278" s="3" t="str">
        <f>IF(34&gt;$C278,"",IF($D278=1,EOMONTH(EDATE(Bonds!$H278,6*(34-1)),0),EDATE(Bonds!$H278,6*(34-1))))</f>
        <v/>
      </c>
      <c r="AM278" s="3" t="str">
        <f>IF(35&gt;$C278,"",IF($D278=1,EOMONTH(EDATE(Bonds!$H278,6*(35-1)),0),EDATE(Bonds!$H278,6*(35-1))))</f>
        <v/>
      </c>
      <c r="AN278" s="3" t="str">
        <f>IF(36&gt;$C278,"",IF($D278=1,EOMONTH(EDATE(Bonds!$H278,6*(36-1)),0),EDATE(Bonds!$H278,6*(36-1))))</f>
        <v/>
      </c>
      <c r="AO278" s="3" t="str">
        <f>IF(37&gt;$C278,"",IF($D278=1,EOMONTH(EDATE(Bonds!$H278,6*(37-1)),0),EDATE(Bonds!$H278,6*(37-1))))</f>
        <v/>
      </c>
      <c r="AP278" s="3" t="str">
        <f>IF(38&gt;$C278,"",IF($D278=1,EOMONTH(EDATE(Bonds!$H278,6*(38-1)),0),EDATE(Bonds!$H278,6*(38-1))))</f>
        <v/>
      </c>
      <c r="AQ278" s="3" t="str">
        <f>IF(39&gt;$C278,"",IF($D278=1,EOMONTH(EDATE(Bonds!$H278,6*(39-1)),0),EDATE(Bonds!$H278,6*(39-1))))</f>
        <v/>
      </c>
      <c r="AR278" s="3" t="str">
        <f>IF(40&gt;$C278,"",IF($D278=1,EOMONTH(EDATE(Bonds!$H278,6*(40-1)),0),EDATE(Bonds!$H278,6*(40-1))))</f>
        <v/>
      </c>
      <c r="AS278" s="3" t="str">
        <f>IF(41&gt;$C278,"",IF($D278=1,EOMONTH(EDATE(Bonds!$H278,6*(41-1)),0),EDATE(Bonds!$H278,6*(41-1))))</f>
        <v/>
      </c>
      <c r="AT278" s="3" t="str">
        <f>IF(42&gt;$C278,"",IF($D278=1,EOMONTH(EDATE(Bonds!$H278,6*(42-1)),0),EDATE(Bonds!$H278,6*(42-1))))</f>
        <v/>
      </c>
      <c r="AU278" s="3" t="str">
        <f>IF(43&gt;$C278,"",IF($D278=1,EOMONTH(EDATE(Bonds!$H278,6*(43-1)),0),EDATE(Bonds!$H278,6*(43-1))))</f>
        <v/>
      </c>
      <c r="AV278" s="3" t="str">
        <f>IF(44&gt;$C278,"",IF($D278=1,EOMONTH(EDATE(Bonds!$H278,6*(44-1)),0),EDATE(Bonds!$H278,6*(44-1))))</f>
        <v/>
      </c>
      <c r="AW278" s="3" t="str">
        <f>IF(45&gt;$C278,"",IF($D278=1,EOMONTH(EDATE(Bonds!$H278,6*(45-1)),0),EDATE(Bonds!$H278,6*(45-1))))</f>
        <v/>
      </c>
      <c r="AX278" s="3" t="str">
        <f>IF(46&gt;$C278,"",IF($D278=1,EOMONTH(EDATE(Bonds!$H278,6*(46-1)),0),EDATE(Bonds!$H278,6*(46-1))))</f>
        <v/>
      </c>
      <c r="AY278" s="3" t="str">
        <f>IF(47&gt;$C278,"",IF($D278=1,EOMONTH(EDATE(Bonds!$H278,6*(47-1)),0),EDATE(Bonds!$H278,6*(47-1))))</f>
        <v/>
      </c>
      <c r="AZ278" s="3" t="str">
        <f>IF(48&gt;$C278,"",IF($D278=1,EOMONTH(EDATE(Bonds!$H278,6*(48-1)),0),EDATE(Bonds!$H278,6*(48-1))))</f>
        <v/>
      </c>
      <c r="BA278" s="3" t="str">
        <f>IF(49&gt;$C278,"",IF($D278=1,EOMONTH(EDATE(Bonds!$H278,6*(49-1)),0),EDATE(Bonds!$H278,6*(49-1))))</f>
        <v/>
      </c>
      <c r="BB278" s="3" t="str">
        <f>IF(50&gt;$C278,"",IF($D278=1,EOMONTH(EDATE(Bonds!$H278,6*(50-1)),0),EDATE(Bonds!$H278,6*(50-1))))</f>
        <v/>
      </c>
      <c r="BC278" s="3" t="str">
        <f>IF(51&gt;$C278,"",IF($D278=1,EOMONTH(EDATE(Bonds!$H278,6*(51-1)),0),EDATE(Bonds!$H278,6*(51-1))))</f>
        <v/>
      </c>
      <c r="BD278" s="3" t="str">
        <f>IF(52&gt;$C278,"",IF($D278=1,EOMONTH(EDATE(Bonds!$H278,6*(52-1)),0),EDATE(Bonds!$H278,6*(52-1))))</f>
        <v/>
      </c>
      <c r="BE278" s="3" t="str">
        <f>IF(53&gt;$C278,"",IF($D278=1,EOMONTH(EDATE(Bonds!$H278,6*(53-1)),0),EDATE(Bonds!$H278,6*(53-1))))</f>
        <v/>
      </c>
      <c r="BF278" s="3" t="str">
        <f>IF(54&gt;$C278,"",IF($D278=1,EOMONTH(EDATE(Bonds!$H278,6*(54-1)),0),EDATE(Bonds!$H278,6*(54-1))))</f>
        <v/>
      </c>
      <c r="BG278" s="3" t="str">
        <f>IF(55&gt;$C278,"",IF($D278=1,EOMONTH(EDATE(Bonds!$H278,6*(55-1)),0),EDATE(Bonds!$H278,6*(55-1))))</f>
        <v/>
      </c>
      <c r="BH278" s="3" t="str">
        <f>IF(56&gt;$C278,"",IF($D278=1,EOMONTH(EDATE(Bonds!$H278,6*(56-1)),0),EDATE(Bonds!$H278,6*(56-1))))</f>
        <v/>
      </c>
      <c r="BI278" s="3" t="str">
        <f>IF(57&gt;$C278,"",IF($D278=1,EOMONTH(EDATE(Bonds!$H278,6*(57-1)),0),EDATE(Bonds!$H278,6*(57-1))))</f>
        <v/>
      </c>
      <c r="BJ278" s="3" t="str">
        <f>IF(58&gt;$C278,"",IF($D278=1,EOMONTH(EDATE(Bonds!$H278,6*(58-1)),0),EDATE(Bonds!$H278,6*(58-1))))</f>
        <v/>
      </c>
      <c r="BK278" s="3" t="str">
        <f>IF(59&gt;$C278,"",IF($D278=1,EOMONTH(EDATE(Bonds!$H278,6*(59-1)),0),EDATE(Bonds!$H278,6*(59-1))))</f>
        <v/>
      </c>
      <c r="BL278" s="3" t="str">
        <f>IF(60&gt;$C278,"",IF($D278=1,EOMONTH(EDATE(Bonds!$H278,6*(60-1)),0),EDATE(Bonds!$H278,6*(60-1))))</f>
        <v/>
      </c>
      <c r="BN278" s="7">
        <f t="shared" si="245"/>
        <v>2.1722434619375406</v>
      </c>
      <c r="BO278" s="7">
        <f t="shared" si="246"/>
        <v>2.1283784053263513</v>
      </c>
      <c r="BP278" s="7">
        <f t="shared" si="247"/>
        <v>2.0814955624522868</v>
      </c>
      <c r="BQ278" s="7">
        <f t="shared" si="248"/>
        <v>2.0348084344152886</v>
      </c>
      <c r="BR278" s="7">
        <f t="shared" si="249"/>
        <v>1.9882798603072687</v>
      </c>
      <c r="BS278" s="7">
        <f t="shared" si="250"/>
        <v>1.9435543795252375</v>
      </c>
      <c r="BT278" s="7">
        <f t="shared" si="251"/>
        <v>1.8992147331871019</v>
      </c>
      <c r="BU278" s="7">
        <f t="shared" si="252"/>
        <v>1.8566096625922619</v>
      </c>
      <c r="BV278" s="7">
        <f t="shared" si="253"/>
        <v>1.8141611238965694</v>
      </c>
      <c r="BW278" s="7">
        <f t="shared" si="254"/>
        <v>1.7730810000872173</v>
      </c>
      <c r="BX278" s="7">
        <f t="shared" si="255"/>
        <v>1.731850827041723</v>
      </c>
      <c r="BY278" s="7">
        <f t="shared" si="256"/>
        <v>1.691473127355585</v>
      </c>
      <c r="BZ278" s="7">
        <f t="shared" si="257"/>
        <v>1.6509734469470527</v>
      </c>
      <c r="CA278" s="7">
        <f t="shared" si="258"/>
        <v>1.6113995763813598</v>
      </c>
      <c r="CB278" s="7">
        <f t="shared" si="259"/>
        <v>1.5714196671652791</v>
      </c>
      <c r="CC278" s="7">
        <f t="shared" si="260"/>
        <v>1.5323428657326172</v>
      </c>
      <c r="CD278" s="7">
        <f t="shared" si="261"/>
        <v>1.4928992210184322</v>
      </c>
      <c r="CE278" s="7">
        <f t="shared" si="262"/>
        <v>1.4544139338623494</v>
      </c>
      <c r="CF278" s="7">
        <f t="shared" si="263"/>
        <v>1.4156607640625285</v>
      </c>
      <c r="CG278" s="7">
        <f t="shared" si="264"/>
        <v>1.3777502826427388</v>
      </c>
      <c r="CH278" s="7">
        <f t="shared" si="265"/>
        <v>1.3399069852665557</v>
      </c>
      <c r="CI278" s="7">
        <f t="shared" si="266"/>
        <v>1.3032112842031036</v>
      </c>
      <c r="CJ278" s="7">
        <f t="shared" si="267"/>
        <v>1.266501590156704</v>
      </c>
      <c r="CK278" s="7">
        <f t="shared" si="268"/>
        <v>1.2310249793219572</v>
      </c>
      <c r="CL278" s="7">
        <f t="shared" si="269"/>
        <v>1.1956518653651937</v>
      </c>
      <c r="CM278" s="7">
        <f t="shared" si="270"/>
        <v>1.1615759549414322</v>
      </c>
      <c r="CN278" s="7">
        <f t="shared" si="271"/>
        <v>1.1277031606682431</v>
      </c>
      <c r="CO278" s="7">
        <f t="shared" si="272"/>
        <v>1.0949896183341741</v>
      </c>
      <c r="CP278" s="7">
        <f t="shared" si="273"/>
        <v>1.0627405910242347</v>
      </c>
      <c r="CQ278" s="7">
        <f t="shared" si="274"/>
        <v>48.201857391388899</v>
      </c>
      <c r="CR278" s="7">
        <f t="shared" si="275"/>
        <v>0</v>
      </c>
      <c r="CS278" s="7">
        <f t="shared" si="276"/>
        <v>0</v>
      </c>
      <c r="CT278" s="7">
        <f t="shared" si="277"/>
        <v>0</v>
      </c>
      <c r="CU278" s="7">
        <f t="shared" si="278"/>
        <v>0</v>
      </c>
      <c r="CV278" s="7">
        <f t="shared" si="279"/>
        <v>0</v>
      </c>
      <c r="CW278" s="7">
        <f t="shared" si="280"/>
        <v>0</v>
      </c>
      <c r="CX278" s="7">
        <f t="shared" si="281"/>
        <v>0</v>
      </c>
      <c r="CY278" s="7">
        <f t="shared" si="282"/>
        <v>0</v>
      </c>
      <c r="CZ278" s="7">
        <f t="shared" si="283"/>
        <v>0</v>
      </c>
      <c r="DA278" s="7">
        <f t="shared" si="284"/>
        <v>0</v>
      </c>
      <c r="DB278" s="7">
        <f t="shared" si="285"/>
        <v>0</v>
      </c>
      <c r="DC278" s="7">
        <f t="shared" si="286"/>
        <v>0</v>
      </c>
      <c r="DD278" s="7">
        <f t="shared" si="287"/>
        <v>0</v>
      </c>
      <c r="DE278" s="7">
        <f t="shared" si="288"/>
        <v>0</v>
      </c>
      <c r="DF278" s="7">
        <f t="shared" si="289"/>
        <v>0</v>
      </c>
      <c r="DG278" s="7">
        <f t="shared" si="290"/>
        <v>0</v>
      </c>
      <c r="DH278" s="7">
        <f t="shared" si="291"/>
        <v>0</v>
      </c>
      <c r="DI278" s="7">
        <f t="shared" si="292"/>
        <v>0</v>
      </c>
      <c r="DJ278" s="7">
        <f t="shared" si="293"/>
        <v>0</v>
      </c>
      <c r="DK278" s="7">
        <f t="shared" si="294"/>
        <v>0</v>
      </c>
      <c r="DL278" s="7">
        <f t="shared" si="295"/>
        <v>0</v>
      </c>
      <c r="DM278" s="7">
        <f t="shared" si="296"/>
        <v>0</v>
      </c>
      <c r="DN278" s="7">
        <f t="shared" si="297"/>
        <v>0</v>
      </c>
      <c r="DO278" s="7">
        <f t="shared" si="298"/>
        <v>0</v>
      </c>
      <c r="DP278" s="7">
        <f t="shared" si="299"/>
        <v>0</v>
      </c>
      <c r="DQ278" s="7">
        <f t="shared" si="300"/>
        <v>0</v>
      </c>
      <c r="DR278" s="7">
        <f t="shared" si="301"/>
        <v>0</v>
      </c>
      <c r="DS278" s="7">
        <f t="shared" si="302"/>
        <v>0</v>
      </c>
      <c r="DT278" s="7">
        <f t="shared" si="303"/>
        <v>0</v>
      </c>
      <c r="DU278" s="7">
        <f t="shared" si="304"/>
        <v>0</v>
      </c>
    </row>
    <row r="279" spans="1:125" x14ac:dyDescent="0.2">
      <c r="A279" s="3">
        <f>Bonds!A279</f>
        <v>51728</v>
      </c>
      <c r="B279" s="4">
        <f>Bonds!B279</f>
        <v>1.75</v>
      </c>
      <c r="C279">
        <f>Bonds!P279</f>
        <v>30</v>
      </c>
      <c r="D279">
        <f t="shared" si="244"/>
        <v>0</v>
      </c>
      <c r="E279" s="3">
        <f>IF(1&gt;$C279,"",IF($D279=1,EOMONTH(EDATE(Bonds!$H279,6*(1-1)),0),EDATE(Bonds!$H279,6*(1-1))))</f>
        <v>46433</v>
      </c>
      <c r="F279" s="3">
        <f>IF(2&gt;$C279,"",IF($D279=1,EOMONTH(EDATE(Bonds!$H279,6*(2-1)),0),EDATE(Bonds!$H279,6*(2-1))))</f>
        <v>46614</v>
      </c>
      <c r="G279" s="3">
        <f>IF(3&gt;$C279,"",IF($D279=1,EOMONTH(EDATE(Bonds!$H279,6*(3-1)),0),EDATE(Bonds!$H279,6*(3-1))))</f>
        <v>46798</v>
      </c>
      <c r="H279" s="3">
        <f>IF(4&gt;$C279,"",IF($D279=1,EOMONTH(EDATE(Bonds!$H279,6*(4-1)),0),EDATE(Bonds!$H279,6*(4-1))))</f>
        <v>46980</v>
      </c>
      <c r="I279" s="3">
        <f>IF(5&gt;$C279,"",IF($D279=1,EOMONTH(EDATE(Bonds!$H279,6*(5-1)),0),EDATE(Bonds!$H279,6*(5-1))))</f>
        <v>47164</v>
      </c>
      <c r="J279" s="3">
        <f>IF(6&gt;$C279,"",IF($D279=1,EOMONTH(EDATE(Bonds!$H279,6*(6-1)),0),EDATE(Bonds!$H279,6*(6-1))))</f>
        <v>47345</v>
      </c>
      <c r="K279" s="3">
        <f>IF(7&gt;$C279,"",IF($D279=1,EOMONTH(EDATE(Bonds!$H279,6*(7-1)),0),EDATE(Bonds!$H279,6*(7-1))))</f>
        <v>47529</v>
      </c>
      <c r="L279" s="3">
        <f>IF(8&gt;$C279,"",IF($D279=1,EOMONTH(EDATE(Bonds!$H279,6*(8-1)),0),EDATE(Bonds!$H279,6*(8-1))))</f>
        <v>47710</v>
      </c>
      <c r="M279" s="3">
        <f>IF(9&gt;$C279,"",IF($D279=1,EOMONTH(EDATE(Bonds!$H279,6*(9-1)),0),EDATE(Bonds!$H279,6*(9-1))))</f>
        <v>47894</v>
      </c>
      <c r="N279" s="3">
        <f>IF(10&gt;$C279,"",IF($D279=1,EOMONTH(EDATE(Bonds!$H279,6*(10-1)),0),EDATE(Bonds!$H279,6*(10-1))))</f>
        <v>48075</v>
      </c>
      <c r="O279" s="3">
        <f>IF(11&gt;$C279,"",IF($D279=1,EOMONTH(EDATE(Bonds!$H279,6*(11-1)),0),EDATE(Bonds!$H279,6*(11-1))))</f>
        <v>48259</v>
      </c>
      <c r="P279" s="3">
        <f>IF(12&gt;$C279,"",IF($D279=1,EOMONTH(EDATE(Bonds!$H279,6*(12-1)),0),EDATE(Bonds!$H279,6*(12-1))))</f>
        <v>48441</v>
      </c>
      <c r="Q279" s="3">
        <f>IF(13&gt;$C279,"",IF($D279=1,EOMONTH(EDATE(Bonds!$H279,6*(13-1)),0),EDATE(Bonds!$H279,6*(13-1))))</f>
        <v>48625</v>
      </c>
      <c r="R279" s="3">
        <f>IF(14&gt;$C279,"",IF($D279=1,EOMONTH(EDATE(Bonds!$H279,6*(14-1)),0),EDATE(Bonds!$H279,6*(14-1))))</f>
        <v>48806</v>
      </c>
      <c r="S279" s="3">
        <f>IF(15&gt;$C279,"",IF($D279=1,EOMONTH(EDATE(Bonds!$H279,6*(15-1)),0),EDATE(Bonds!$H279,6*(15-1))))</f>
        <v>48990</v>
      </c>
      <c r="T279" s="3">
        <f>IF(16&gt;$C279,"",IF($D279=1,EOMONTH(EDATE(Bonds!$H279,6*(16-1)),0),EDATE(Bonds!$H279,6*(16-1))))</f>
        <v>49171</v>
      </c>
      <c r="U279" s="3">
        <f>IF(17&gt;$C279,"",IF($D279=1,EOMONTH(EDATE(Bonds!$H279,6*(17-1)),0),EDATE(Bonds!$H279,6*(17-1))))</f>
        <v>49355</v>
      </c>
      <c r="V279" s="3">
        <f>IF(18&gt;$C279,"",IF($D279=1,EOMONTH(EDATE(Bonds!$H279,6*(18-1)),0),EDATE(Bonds!$H279,6*(18-1))))</f>
        <v>49536</v>
      </c>
      <c r="W279" s="3">
        <f>IF(19&gt;$C279,"",IF($D279=1,EOMONTH(EDATE(Bonds!$H279,6*(19-1)),0),EDATE(Bonds!$H279,6*(19-1))))</f>
        <v>49720</v>
      </c>
      <c r="X279" s="3">
        <f>IF(20&gt;$C279,"",IF($D279=1,EOMONTH(EDATE(Bonds!$H279,6*(20-1)),0),EDATE(Bonds!$H279,6*(20-1))))</f>
        <v>49902</v>
      </c>
      <c r="Y279" s="3">
        <f>IF(21&gt;$C279,"",IF($D279=1,EOMONTH(EDATE(Bonds!$H279,6*(21-1)),0),EDATE(Bonds!$H279,6*(21-1))))</f>
        <v>50086</v>
      </c>
      <c r="Z279" s="3">
        <f>IF(22&gt;$C279,"",IF($D279=1,EOMONTH(EDATE(Bonds!$H279,6*(22-1)),0),EDATE(Bonds!$H279,6*(22-1))))</f>
        <v>50267</v>
      </c>
      <c r="AA279" s="3">
        <f>IF(23&gt;$C279,"",IF($D279=1,EOMONTH(EDATE(Bonds!$H279,6*(23-1)),0),EDATE(Bonds!$H279,6*(23-1))))</f>
        <v>50451</v>
      </c>
      <c r="AB279" s="3">
        <f>IF(24&gt;$C279,"",IF($D279=1,EOMONTH(EDATE(Bonds!$H279,6*(24-1)),0),EDATE(Bonds!$H279,6*(24-1))))</f>
        <v>50632</v>
      </c>
      <c r="AC279" s="3">
        <f>IF(25&gt;$C279,"",IF($D279=1,EOMONTH(EDATE(Bonds!$H279,6*(25-1)),0),EDATE(Bonds!$H279,6*(25-1))))</f>
        <v>50816</v>
      </c>
      <c r="AD279" s="3">
        <f>IF(26&gt;$C279,"",IF($D279=1,EOMONTH(EDATE(Bonds!$H279,6*(26-1)),0),EDATE(Bonds!$H279,6*(26-1))))</f>
        <v>50997</v>
      </c>
      <c r="AE279" s="3">
        <f>IF(27&gt;$C279,"",IF($D279=1,EOMONTH(EDATE(Bonds!$H279,6*(27-1)),0),EDATE(Bonds!$H279,6*(27-1))))</f>
        <v>51181</v>
      </c>
      <c r="AF279" s="3">
        <f>IF(28&gt;$C279,"",IF($D279=1,EOMONTH(EDATE(Bonds!$H279,6*(28-1)),0),EDATE(Bonds!$H279,6*(28-1))))</f>
        <v>51363</v>
      </c>
      <c r="AG279" s="3">
        <f>IF(29&gt;$C279,"",IF($D279=1,EOMONTH(EDATE(Bonds!$H279,6*(29-1)),0),EDATE(Bonds!$H279,6*(29-1))))</f>
        <v>51547</v>
      </c>
      <c r="AH279" s="3">
        <f>IF(30&gt;$C279,"",IF($D279=1,EOMONTH(EDATE(Bonds!$H279,6*(30-1)),0),EDATE(Bonds!$H279,6*(30-1))))</f>
        <v>51728</v>
      </c>
      <c r="AI279" s="3" t="str">
        <f>IF(31&gt;$C279,"",IF($D279=1,EOMONTH(EDATE(Bonds!$H279,6*(31-1)),0),EDATE(Bonds!$H279,6*(31-1))))</f>
        <v/>
      </c>
      <c r="AJ279" s="3" t="str">
        <f>IF(32&gt;$C279,"",IF($D279=1,EOMONTH(EDATE(Bonds!$H279,6*(32-1)),0),EDATE(Bonds!$H279,6*(32-1))))</f>
        <v/>
      </c>
      <c r="AK279" s="3" t="str">
        <f>IF(33&gt;$C279,"",IF($D279=1,EOMONTH(EDATE(Bonds!$H279,6*(33-1)),0),EDATE(Bonds!$H279,6*(33-1))))</f>
        <v/>
      </c>
      <c r="AL279" s="3" t="str">
        <f>IF(34&gt;$C279,"",IF($D279=1,EOMONTH(EDATE(Bonds!$H279,6*(34-1)),0),EDATE(Bonds!$H279,6*(34-1))))</f>
        <v/>
      </c>
      <c r="AM279" s="3" t="str">
        <f>IF(35&gt;$C279,"",IF($D279=1,EOMONTH(EDATE(Bonds!$H279,6*(35-1)),0),EDATE(Bonds!$H279,6*(35-1))))</f>
        <v/>
      </c>
      <c r="AN279" s="3" t="str">
        <f>IF(36&gt;$C279,"",IF($D279=1,EOMONTH(EDATE(Bonds!$H279,6*(36-1)),0),EDATE(Bonds!$H279,6*(36-1))))</f>
        <v/>
      </c>
      <c r="AO279" s="3" t="str">
        <f>IF(37&gt;$C279,"",IF($D279=1,EOMONTH(EDATE(Bonds!$H279,6*(37-1)),0),EDATE(Bonds!$H279,6*(37-1))))</f>
        <v/>
      </c>
      <c r="AP279" s="3" t="str">
        <f>IF(38&gt;$C279,"",IF($D279=1,EOMONTH(EDATE(Bonds!$H279,6*(38-1)),0),EDATE(Bonds!$H279,6*(38-1))))</f>
        <v/>
      </c>
      <c r="AQ279" s="3" t="str">
        <f>IF(39&gt;$C279,"",IF($D279=1,EOMONTH(EDATE(Bonds!$H279,6*(39-1)),0),EDATE(Bonds!$H279,6*(39-1))))</f>
        <v/>
      </c>
      <c r="AR279" s="3" t="str">
        <f>IF(40&gt;$C279,"",IF($D279=1,EOMONTH(EDATE(Bonds!$H279,6*(40-1)),0),EDATE(Bonds!$H279,6*(40-1))))</f>
        <v/>
      </c>
      <c r="AS279" s="3" t="str">
        <f>IF(41&gt;$C279,"",IF($D279=1,EOMONTH(EDATE(Bonds!$H279,6*(41-1)),0),EDATE(Bonds!$H279,6*(41-1))))</f>
        <v/>
      </c>
      <c r="AT279" s="3" t="str">
        <f>IF(42&gt;$C279,"",IF($D279=1,EOMONTH(EDATE(Bonds!$H279,6*(42-1)),0),EDATE(Bonds!$H279,6*(42-1))))</f>
        <v/>
      </c>
      <c r="AU279" s="3" t="str">
        <f>IF(43&gt;$C279,"",IF($D279=1,EOMONTH(EDATE(Bonds!$H279,6*(43-1)),0),EDATE(Bonds!$H279,6*(43-1))))</f>
        <v/>
      </c>
      <c r="AV279" s="3" t="str">
        <f>IF(44&gt;$C279,"",IF($D279=1,EOMONTH(EDATE(Bonds!$H279,6*(44-1)),0),EDATE(Bonds!$H279,6*(44-1))))</f>
        <v/>
      </c>
      <c r="AW279" s="3" t="str">
        <f>IF(45&gt;$C279,"",IF($D279=1,EOMONTH(EDATE(Bonds!$H279,6*(45-1)),0),EDATE(Bonds!$H279,6*(45-1))))</f>
        <v/>
      </c>
      <c r="AX279" s="3" t="str">
        <f>IF(46&gt;$C279,"",IF($D279=1,EOMONTH(EDATE(Bonds!$H279,6*(46-1)),0),EDATE(Bonds!$H279,6*(46-1))))</f>
        <v/>
      </c>
      <c r="AY279" s="3" t="str">
        <f>IF(47&gt;$C279,"",IF($D279=1,EOMONTH(EDATE(Bonds!$H279,6*(47-1)),0),EDATE(Bonds!$H279,6*(47-1))))</f>
        <v/>
      </c>
      <c r="AZ279" s="3" t="str">
        <f>IF(48&gt;$C279,"",IF($D279=1,EOMONTH(EDATE(Bonds!$H279,6*(48-1)),0),EDATE(Bonds!$H279,6*(48-1))))</f>
        <v/>
      </c>
      <c r="BA279" s="3" t="str">
        <f>IF(49&gt;$C279,"",IF($D279=1,EOMONTH(EDATE(Bonds!$H279,6*(49-1)),0),EDATE(Bonds!$H279,6*(49-1))))</f>
        <v/>
      </c>
      <c r="BB279" s="3" t="str">
        <f>IF(50&gt;$C279,"",IF($D279=1,EOMONTH(EDATE(Bonds!$H279,6*(50-1)),0),EDATE(Bonds!$H279,6*(50-1))))</f>
        <v/>
      </c>
      <c r="BC279" s="3" t="str">
        <f>IF(51&gt;$C279,"",IF($D279=1,EOMONTH(EDATE(Bonds!$H279,6*(51-1)),0),EDATE(Bonds!$H279,6*(51-1))))</f>
        <v/>
      </c>
      <c r="BD279" s="3" t="str">
        <f>IF(52&gt;$C279,"",IF($D279=1,EOMONTH(EDATE(Bonds!$H279,6*(52-1)),0),EDATE(Bonds!$H279,6*(52-1))))</f>
        <v/>
      </c>
      <c r="BE279" s="3" t="str">
        <f>IF(53&gt;$C279,"",IF($D279=1,EOMONTH(EDATE(Bonds!$H279,6*(53-1)),0),EDATE(Bonds!$H279,6*(53-1))))</f>
        <v/>
      </c>
      <c r="BF279" s="3" t="str">
        <f>IF(54&gt;$C279,"",IF($D279=1,EOMONTH(EDATE(Bonds!$H279,6*(54-1)),0),EDATE(Bonds!$H279,6*(54-1))))</f>
        <v/>
      </c>
      <c r="BG279" s="3" t="str">
        <f>IF(55&gt;$C279,"",IF($D279=1,EOMONTH(EDATE(Bonds!$H279,6*(55-1)),0),EDATE(Bonds!$H279,6*(55-1))))</f>
        <v/>
      </c>
      <c r="BH279" s="3" t="str">
        <f>IF(56&gt;$C279,"",IF($D279=1,EOMONTH(EDATE(Bonds!$H279,6*(56-1)),0),EDATE(Bonds!$H279,6*(56-1))))</f>
        <v/>
      </c>
      <c r="BI279" s="3" t="str">
        <f>IF(57&gt;$C279,"",IF($D279=1,EOMONTH(EDATE(Bonds!$H279,6*(57-1)),0),EDATE(Bonds!$H279,6*(57-1))))</f>
        <v/>
      </c>
      <c r="BJ279" s="3" t="str">
        <f>IF(58&gt;$C279,"",IF($D279=1,EOMONTH(EDATE(Bonds!$H279,6*(58-1)),0),EDATE(Bonds!$H279,6*(58-1))))</f>
        <v/>
      </c>
      <c r="BK279" s="3" t="str">
        <f>IF(59&gt;$C279,"",IF($D279=1,EOMONTH(EDATE(Bonds!$H279,6*(59-1)),0),EDATE(Bonds!$H279,6*(59-1))))</f>
        <v/>
      </c>
      <c r="BL279" s="3" t="str">
        <f>IF(60&gt;$C279,"",IF($D279=1,EOMONTH(EDATE(Bonds!$H279,6*(60-1)),0),EDATE(Bonds!$H279,6*(60-1))))</f>
        <v/>
      </c>
      <c r="BN279" s="7">
        <f t="shared" si="245"/>
        <v>0.8601595469958907</v>
      </c>
      <c r="BO279" s="7">
        <f t="shared" si="246"/>
        <v>0.84202882561646475</v>
      </c>
      <c r="BP279" s="7">
        <f t="shared" si="247"/>
        <v>0.82314234435769096</v>
      </c>
      <c r="BQ279" s="7">
        <f t="shared" si="248"/>
        <v>0.80456991351881768</v>
      </c>
      <c r="BR279" s="7">
        <f t="shared" si="249"/>
        <v>0.78616310186032634</v>
      </c>
      <c r="BS279" s="7">
        <f t="shared" si="250"/>
        <v>0.76849850850749246</v>
      </c>
      <c r="BT279" s="7">
        <f t="shared" si="251"/>
        <v>0.75097726776030005</v>
      </c>
      <c r="BU279" s="7">
        <f t="shared" si="252"/>
        <v>0.73411516536051913</v>
      </c>
      <c r="BV279" s="7">
        <f t="shared" si="253"/>
        <v>0.71728282433908419</v>
      </c>
      <c r="BW279" s="7">
        <f t="shared" si="254"/>
        <v>0.70096304800869935</v>
      </c>
      <c r="BX279" s="7">
        <f t="shared" si="255"/>
        <v>0.68455843782410231</v>
      </c>
      <c r="BY279" s="7">
        <f t="shared" si="256"/>
        <v>0.66847474391196871</v>
      </c>
      <c r="BZ279" s="7">
        <f t="shared" si="257"/>
        <v>0.65233101020657236</v>
      </c>
      <c r="CA279" s="7">
        <f t="shared" si="258"/>
        <v>0.63655132482269794</v>
      </c>
      <c r="CB279" s="7">
        <f t="shared" si="259"/>
        <v>0.62061004689260368</v>
      </c>
      <c r="CC279" s="7">
        <f t="shared" si="260"/>
        <v>0.60503337243195887</v>
      </c>
      <c r="CD279" s="7">
        <f t="shared" si="261"/>
        <v>0.58931828109754369</v>
      </c>
      <c r="CE279" s="7">
        <f t="shared" si="262"/>
        <v>0.57399494152326147</v>
      </c>
      <c r="CF279" s="7">
        <f t="shared" si="263"/>
        <v>0.55857651848467726</v>
      </c>
      <c r="CG279" s="7">
        <f t="shared" si="264"/>
        <v>0.54350568164021396</v>
      </c>
      <c r="CH279" s="7">
        <f t="shared" si="265"/>
        <v>0.52847433363581064</v>
      </c>
      <c r="CI279" s="7">
        <f t="shared" si="266"/>
        <v>0.51391129760315712</v>
      </c>
      <c r="CJ279" s="7">
        <f t="shared" si="267"/>
        <v>0.49935506861264256</v>
      </c>
      <c r="CK279" s="7">
        <f t="shared" si="268"/>
        <v>0.48529942668771442</v>
      </c>
      <c r="CL279" s="7">
        <f t="shared" si="269"/>
        <v>0.47129596499274456</v>
      </c>
      <c r="CM279" s="7">
        <f t="shared" si="270"/>
        <v>0.45781631192170286</v>
      </c>
      <c r="CN279" s="7">
        <f t="shared" si="271"/>
        <v>0.44442667535817193</v>
      </c>
      <c r="CO279" s="7">
        <f t="shared" si="272"/>
        <v>0.4315040963093168</v>
      </c>
      <c r="CP279" s="7">
        <f t="shared" si="273"/>
        <v>0.41877314627404455</v>
      </c>
      <c r="CQ279" s="7">
        <f t="shared" si="274"/>
        <v>46.873253553215292</v>
      </c>
      <c r="CR279" s="7">
        <f t="shared" si="275"/>
        <v>0</v>
      </c>
      <c r="CS279" s="7">
        <f t="shared" si="276"/>
        <v>0</v>
      </c>
      <c r="CT279" s="7">
        <f t="shared" si="277"/>
        <v>0</v>
      </c>
      <c r="CU279" s="7">
        <f t="shared" si="278"/>
        <v>0</v>
      </c>
      <c r="CV279" s="7">
        <f t="shared" si="279"/>
        <v>0</v>
      </c>
      <c r="CW279" s="7">
        <f t="shared" si="280"/>
        <v>0</v>
      </c>
      <c r="CX279" s="7">
        <f t="shared" si="281"/>
        <v>0</v>
      </c>
      <c r="CY279" s="7">
        <f t="shared" si="282"/>
        <v>0</v>
      </c>
      <c r="CZ279" s="7">
        <f t="shared" si="283"/>
        <v>0</v>
      </c>
      <c r="DA279" s="7">
        <f t="shared" si="284"/>
        <v>0</v>
      </c>
      <c r="DB279" s="7">
        <f t="shared" si="285"/>
        <v>0</v>
      </c>
      <c r="DC279" s="7">
        <f t="shared" si="286"/>
        <v>0</v>
      </c>
      <c r="DD279" s="7">
        <f t="shared" si="287"/>
        <v>0</v>
      </c>
      <c r="DE279" s="7">
        <f t="shared" si="288"/>
        <v>0</v>
      </c>
      <c r="DF279" s="7">
        <f t="shared" si="289"/>
        <v>0</v>
      </c>
      <c r="DG279" s="7">
        <f t="shared" si="290"/>
        <v>0</v>
      </c>
      <c r="DH279" s="7">
        <f t="shared" si="291"/>
        <v>0</v>
      </c>
      <c r="DI279" s="7">
        <f t="shared" si="292"/>
        <v>0</v>
      </c>
      <c r="DJ279" s="7">
        <f t="shared" si="293"/>
        <v>0</v>
      </c>
      <c r="DK279" s="7">
        <f t="shared" si="294"/>
        <v>0</v>
      </c>
      <c r="DL279" s="7">
        <f t="shared" si="295"/>
        <v>0</v>
      </c>
      <c r="DM279" s="7">
        <f t="shared" si="296"/>
        <v>0</v>
      </c>
      <c r="DN279" s="7">
        <f t="shared" si="297"/>
        <v>0</v>
      </c>
      <c r="DO279" s="7">
        <f t="shared" si="298"/>
        <v>0</v>
      </c>
      <c r="DP279" s="7">
        <f t="shared" si="299"/>
        <v>0</v>
      </c>
      <c r="DQ279" s="7">
        <f t="shared" si="300"/>
        <v>0</v>
      </c>
      <c r="DR279" s="7">
        <f t="shared" si="301"/>
        <v>0</v>
      </c>
      <c r="DS279" s="7">
        <f t="shared" si="302"/>
        <v>0</v>
      </c>
      <c r="DT279" s="7">
        <f t="shared" si="303"/>
        <v>0</v>
      </c>
      <c r="DU279" s="7">
        <f t="shared" si="304"/>
        <v>0</v>
      </c>
    </row>
    <row r="280" spans="1:125" x14ac:dyDescent="0.2">
      <c r="A280" s="3">
        <f>Bonds!A280</f>
        <v>51728</v>
      </c>
      <c r="B280" s="4">
        <f>Bonds!B280</f>
        <v>3.75</v>
      </c>
      <c r="C280">
        <f>Bonds!P280</f>
        <v>30</v>
      </c>
      <c r="D280">
        <f t="shared" si="244"/>
        <v>0</v>
      </c>
      <c r="E280" s="3">
        <f>IF(1&gt;$C280,"",IF($D280=1,EOMONTH(EDATE(Bonds!$H280,6*(1-1)),0),EDATE(Bonds!$H280,6*(1-1))))</f>
        <v>46433</v>
      </c>
      <c r="F280" s="3">
        <f>IF(2&gt;$C280,"",IF($D280=1,EOMONTH(EDATE(Bonds!$H280,6*(2-1)),0),EDATE(Bonds!$H280,6*(2-1))))</f>
        <v>46614</v>
      </c>
      <c r="G280" s="3">
        <f>IF(3&gt;$C280,"",IF($D280=1,EOMONTH(EDATE(Bonds!$H280,6*(3-1)),0),EDATE(Bonds!$H280,6*(3-1))))</f>
        <v>46798</v>
      </c>
      <c r="H280" s="3">
        <f>IF(4&gt;$C280,"",IF($D280=1,EOMONTH(EDATE(Bonds!$H280,6*(4-1)),0),EDATE(Bonds!$H280,6*(4-1))))</f>
        <v>46980</v>
      </c>
      <c r="I280" s="3">
        <f>IF(5&gt;$C280,"",IF($D280=1,EOMONTH(EDATE(Bonds!$H280,6*(5-1)),0),EDATE(Bonds!$H280,6*(5-1))))</f>
        <v>47164</v>
      </c>
      <c r="J280" s="3">
        <f>IF(6&gt;$C280,"",IF($D280=1,EOMONTH(EDATE(Bonds!$H280,6*(6-1)),0),EDATE(Bonds!$H280,6*(6-1))))</f>
        <v>47345</v>
      </c>
      <c r="K280" s="3">
        <f>IF(7&gt;$C280,"",IF($D280=1,EOMONTH(EDATE(Bonds!$H280,6*(7-1)),0),EDATE(Bonds!$H280,6*(7-1))))</f>
        <v>47529</v>
      </c>
      <c r="L280" s="3">
        <f>IF(8&gt;$C280,"",IF($D280=1,EOMONTH(EDATE(Bonds!$H280,6*(8-1)),0),EDATE(Bonds!$H280,6*(8-1))))</f>
        <v>47710</v>
      </c>
      <c r="M280" s="3">
        <f>IF(9&gt;$C280,"",IF($D280=1,EOMONTH(EDATE(Bonds!$H280,6*(9-1)),0),EDATE(Bonds!$H280,6*(9-1))))</f>
        <v>47894</v>
      </c>
      <c r="N280" s="3">
        <f>IF(10&gt;$C280,"",IF($D280=1,EOMONTH(EDATE(Bonds!$H280,6*(10-1)),0),EDATE(Bonds!$H280,6*(10-1))))</f>
        <v>48075</v>
      </c>
      <c r="O280" s="3">
        <f>IF(11&gt;$C280,"",IF($D280=1,EOMONTH(EDATE(Bonds!$H280,6*(11-1)),0),EDATE(Bonds!$H280,6*(11-1))))</f>
        <v>48259</v>
      </c>
      <c r="P280" s="3">
        <f>IF(12&gt;$C280,"",IF($D280=1,EOMONTH(EDATE(Bonds!$H280,6*(12-1)),0),EDATE(Bonds!$H280,6*(12-1))))</f>
        <v>48441</v>
      </c>
      <c r="Q280" s="3">
        <f>IF(13&gt;$C280,"",IF($D280=1,EOMONTH(EDATE(Bonds!$H280,6*(13-1)),0),EDATE(Bonds!$H280,6*(13-1))))</f>
        <v>48625</v>
      </c>
      <c r="R280" s="3">
        <f>IF(14&gt;$C280,"",IF($D280=1,EOMONTH(EDATE(Bonds!$H280,6*(14-1)),0),EDATE(Bonds!$H280,6*(14-1))))</f>
        <v>48806</v>
      </c>
      <c r="S280" s="3">
        <f>IF(15&gt;$C280,"",IF($D280=1,EOMONTH(EDATE(Bonds!$H280,6*(15-1)),0),EDATE(Bonds!$H280,6*(15-1))))</f>
        <v>48990</v>
      </c>
      <c r="T280" s="3">
        <f>IF(16&gt;$C280,"",IF($D280=1,EOMONTH(EDATE(Bonds!$H280,6*(16-1)),0),EDATE(Bonds!$H280,6*(16-1))))</f>
        <v>49171</v>
      </c>
      <c r="U280" s="3">
        <f>IF(17&gt;$C280,"",IF($D280=1,EOMONTH(EDATE(Bonds!$H280,6*(17-1)),0),EDATE(Bonds!$H280,6*(17-1))))</f>
        <v>49355</v>
      </c>
      <c r="V280" s="3">
        <f>IF(18&gt;$C280,"",IF($D280=1,EOMONTH(EDATE(Bonds!$H280,6*(18-1)),0),EDATE(Bonds!$H280,6*(18-1))))</f>
        <v>49536</v>
      </c>
      <c r="W280" s="3">
        <f>IF(19&gt;$C280,"",IF($D280=1,EOMONTH(EDATE(Bonds!$H280,6*(19-1)),0),EDATE(Bonds!$H280,6*(19-1))))</f>
        <v>49720</v>
      </c>
      <c r="X280" s="3">
        <f>IF(20&gt;$C280,"",IF($D280=1,EOMONTH(EDATE(Bonds!$H280,6*(20-1)),0),EDATE(Bonds!$H280,6*(20-1))))</f>
        <v>49902</v>
      </c>
      <c r="Y280" s="3">
        <f>IF(21&gt;$C280,"",IF($D280=1,EOMONTH(EDATE(Bonds!$H280,6*(21-1)),0),EDATE(Bonds!$H280,6*(21-1))))</f>
        <v>50086</v>
      </c>
      <c r="Z280" s="3">
        <f>IF(22&gt;$C280,"",IF($D280=1,EOMONTH(EDATE(Bonds!$H280,6*(22-1)),0),EDATE(Bonds!$H280,6*(22-1))))</f>
        <v>50267</v>
      </c>
      <c r="AA280" s="3">
        <f>IF(23&gt;$C280,"",IF($D280=1,EOMONTH(EDATE(Bonds!$H280,6*(23-1)),0),EDATE(Bonds!$H280,6*(23-1))))</f>
        <v>50451</v>
      </c>
      <c r="AB280" s="3">
        <f>IF(24&gt;$C280,"",IF($D280=1,EOMONTH(EDATE(Bonds!$H280,6*(24-1)),0),EDATE(Bonds!$H280,6*(24-1))))</f>
        <v>50632</v>
      </c>
      <c r="AC280" s="3">
        <f>IF(25&gt;$C280,"",IF($D280=1,EOMONTH(EDATE(Bonds!$H280,6*(25-1)),0),EDATE(Bonds!$H280,6*(25-1))))</f>
        <v>50816</v>
      </c>
      <c r="AD280" s="3">
        <f>IF(26&gt;$C280,"",IF($D280=1,EOMONTH(EDATE(Bonds!$H280,6*(26-1)),0),EDATE(Bonds!$H280,6*(26-1))))</f>
        <v>50997</v>
      </c>
      <c r="AE280" s="3">
        <f>IF(27&gt;$C280,"",IF($D280=1,EOMONTH(EDATE(Bonds!$H280,6*(27-1)),0),EDATE(Bonds!$H280,6*(27-1))))</f>
        <v>51181</v>
      </c>
      <c r="AF280" s="3">
        <f>IF(28&gt;$C280,"",IF($D280=1,EOMONTH(EDATE(Bonds!$H280,6*(28-1)),0),EDATE(Bonds!$H280,6*(28-1))))</f>
        <v>51363</v>
      </c>
      <c r="AG280" s="3">
        <f>IF(29&gt;$C280,"",IF($D280=1,EOMONTH(EDATE(Bonds!$H280,6*(29-1)),0),EDATE(Bonds!$H280,6*(29-1))))</f>
        <v>51547</v>
      </c>
      <c r="AH280" s="3">
        <f>IF(30&gt;$C280,"",IF($D280=1,EOMONTH(EDATE(Bonds!$H280,6*(30-1)),0),EDATE(Bonds!$H280,6*(30-1))))</f>
        <v>51728</v>
      </c>
      <c r="AI280" s="3" t="str">
        <f>IF(31&gt;$C280,"",IF($D280=1,EOMONTH(EDATE(Bonds!$H280,6*(31-1)),0),EDATE(Bonds!$H280,6*(31-1))))</f>
        <v/>
      </c>
      <c r="AJ280" s="3" t="str">
        <f>IF(32&gt;$C280,"",IF($D280=1,EOMONTH(EDATE(Bonds!$H280,6*(32-1)),0),EDATE(Bonds!$H280,6*(32-1))))</f>
        <v/>
      </c>
      <c r="AK280" s="3" t="str">
        <f>IF(33&gt;$C280,"",IF($D280=1,EOMONTH(EDATE(Bonds!$H280,6*(33-1)),0),EDATE(Bonds!$H280,6*(33-1))))</f>
        <v/>
      </c>
      <c r="AL280" s="3" t="str">
        <f>IF(34&gt;$C280,"",IF($D280=1,EOMONTH(EDATE(Bonds!$H280,6*(34-1)),0),EDATE(Bonds!$H280,6*(34-1))))</f>
        <v/>
      </c>
      <c r="AM280" s="3" t="str">
        <f>IF(35&gt;$C280,"",IF($D280=1,EOMONTH(EDATE(Bonds!$H280,6*(35-1)),0),EDATE(Bonds!$H280,6*(35-1))))</f>
        <v/>
      </c>
      <c r="AN280" s="3" t="str">
        <f>IF(36&gt;$C280,"",IF($D280=1,EOMONTH(EDATE(Bonds!$H280,6*(36-1)),0),EDATE(Bonds!$H280,6*(36-1))))</f>
        <v/>
      </c>
      <c r="AO280" s="3" t="str">
        <f>IF(37&gt;$C280,"",IF($D280=1,EOMONTH(EDATE(Bonds!$H280,6*(37-1)),0),EDATE(Bonds!$H280,6*(37-1))))</f>
        <v/>
      </c>
      <c r="AP280" s="3" t="str">
        <f>IF(38&gt;$C280,"",IF($D280=1,EOMONTH(EDATE(Bonds!$H280,6*(38-1)),0),EDATE(Bonds!$H280,6*(38-1))))</f>
        <v/>
      </c>
      <c r="AQ280" s="3" t="str">
        <f>IF(39&gt;$C280,"",IF($D280=1,EOMONTH(EDATE(Bonds!$H280,6*(39-1)),0),EDATE(Bonds!$H280,6*(39-1))))</f>
        <v/>
      </c>
      <c r="AR280" s="3" t="str">
        <f>IF(40&gt;$C280,"",IF($D280=1,EOMONTH(EDATE(Bonds!$H280,6*(40-1)),0),EDATE(Bonds!$H280,6*(40-1))))</f>
        <v/>
      </c>
      <c r="AS280" s="3" t="str">
        <f>IF(41&gt;$C280,"",IF($D280=1,EOMONTH(EDATE(Bonds!$H280,6*(41-1)),0),EDATE(Bonds!$H280,6*(41-1))))</f>
        <v/>
      </c>
      <c r="AT280" s="3" t="str">
        <f>IF(42&gt;$C280,"",IF($D280=1,EOMONTH(EDATE(Bonds!$H280,6*(42-1)),0),EDATE(Bonds!$H280,6*(42-1))))</f>
        <v/>
      </c>
      <c r="AU280" s="3" t="str">
        <f>IF(43&gt;$C280,"",IF($D280=1,EOMONTH(EDATE(Bonds!$H280,6*(43-1)),0),EDATE(Bonds!$H280,6*(43-1))))</f>
        <v/>
      </c>
      <c r="AV280" s="3" t="str">
        <f>IF(44&gt;$C280,"",IF($D280=1,EOMONTH(EDATE(Bonds!$H280,6*(44-1)),0),EDATE(Bonds!$H280,6*(44-1))))</f>
        <v/>
      </c>
      <c r="AW280" s="3" t="str">
        <f>IF(45&gt;$C280,"",IF($D280=1,EOMONTH(EDATE(Bonds!$H280,6*(45-1)),0),EDATE(Bonds!$H280,6*(45-1))))</f>
        <v/>
      </c>
      <c r="AX280" s="3" t="str">
        <f>IF(46&gt;$C280,"",IF($D280=1,EOMONTH(EDATE(Bonds!$H280,6*(46-1)),0),EDATE(Bonds!$H280,6*(46-1))))</f>
        <v/>
      </c>
      <c r="AY280" s="3" t="str">
        <f>IF(47&gt;$C280,"",IF($D280=1,EOMONTH(EDATE(Bonds!$H280,6*(47-1)),0),EDATE(Bonds!$H280,6*(47-1))))</f>
        <v/>
      </c>
      <c r="AZ280" s="3" t="str">
        <f>IF(48&gt;$C280,"",IF($D280=1,EOMONTH(EDATE(Bonds!$H280,6*(48-1)),0),EDATE(Bonds!$H280,6*(48-1))))</f>
        <v/>
      </c>
      <c r="BA280" s="3" t="str">
        <f>IF(49&gt;$C280,"",IF($D280=1,EOMONTH(EDATE(Bonds!$H280,6*(49-1)),0),EDATE(Bonds!$H280,6*(49-1))))</f>
        <v/>
      </c>
      <c r="BB280" s="3" t="str">
        <f>IF(50&gt;$C280,"",IF($D280=1,EOMONTH(EDATE(Bonds!$H280,6*(50-1)),0),EDATE(Bonds!$H280,6*(50-1))))</f>
        <v/>
      </c>
      <c r="BC280" s="3" t="str">
        <f>IF(51&gt;$C280,"",IF($D280=1,EOMONTH(EDATE(Bonds!$H280,6*(51-1)),0),EDATE(Bonds!$H280,6*(51-1))))</f>
        <v/>
      </c>
      <c r="BD280" s="3" t="str">
        <f>IF(52&gt;$C280,"",IF($D280=1,EOMONTH(EDATE(Bonds!$H280,6*(52-1)),0),EDATE(Bonds!$H280,6*(52-1))))</f>
        <v/>
      </c>
      <c r="BE280" s="3" t="str">
        <f>IF(53&gt;$C280,"",IF($D280=1,EOMONTH(EDATE(Bonds!$H280,6*(53-1)),0),EDATE(Bonds!$H280,6*(53-1))))</f>
        <v/>
      </c>
      <c r="BF280" s="3" t="str">
        <f>IF(54&gt;$C280,"",IF($D280=1,EOMONTH(EDATE(Bonds!$H280,6*(54-1)),0),EDATE(Bonds!$H280,6*(54-1))))</f>
        <v/>
      </c>
      <c r="BG280" s="3" t="str">
        <f>IF(55&gt;$C280,"",IF($D280=1,EOMONTH(EDATE(Bonds!$H280,6*(55-1)),0),EDATE(Bonds!$H280,6*(55-1))))</f>
        <v/>
      </c>
      <c r="BH280" s="3" t="str">
        <f>IF(56&gt;$C280,"",IF($D280=1,EOMONTH(EDATE(Bonds!$H280,6*(56-1)),0),EDATE(Bonds!$H280,6*(56-1))))</f>
        <v/>
      </c>
      <c r="BI280" s="3" t="str">
        <f>IF(57&gt;$C280,"",IF($D280=1,EOMONTH(EDATE(Bonds!$H280,6*(57-1)),0),EDATE(Bonds!$H280,6*(57-1))))</f>
        <v/>
      </c>
      <c r="BJ280" s="3" t="str">
        <f>IF(58&gt;$C280,"",IF($D280=1,EOMONTH(EDATE(Bonds!$H280,6*(58-1)),0),EDATE(Bonds!$H280,6*(58-1))))</f>
        <v/>
      </c>
      <c r="BK280" s="3" t="str">
        <f>IF(59&gt;$C280,"",IF($D280=1,EOMONTH(EDATE(Bonds!$H280,6*(59-1)),0),EDATE(Bonds!$H280,6*(59-1))))</f>
        <v/>
      </c>
      <c r="BL280" s="3" t="str">
        <f>IF(60&gt;$C280,"",IF($D280=1,EOMONTH(EDATE(Bonds!$H280,6*(60-1)),0),EDATE(Bonds!$H280,6*(60-1))))</f>
        <v/>
      </c>
      <c r="BN280" s="7">
        <f t="shared" si="245"/>
        <v>1.8431990292769085</v>
      </c>
      <c r="BO280" s="7">
        <f t="shared" si="246"/>
        <v>1.8043474834638531</v>
      </c>
      <c r="BP280" s="7">
        <f t="shared" si="247"/>
        <v>1.7638764521950521</v>
      </c>
      <c r="BQ280" s="7">
        <f t="shared" si="248"/>
        <v>1.7240783861117521</v>
      </c>
      <c r="BR280" s="7">
        <f t="shared" si="249"/>
        <v>1.6846352182721278</v>
      </c>
      <c r="BS280" s="7">
        <f t="shared" si="250"/>
        <v>1.6467825182303408</v>
      </c>
      <c r="BT280" s="7">
        <f t="shared" si="251"/>
        <v>1.6092370023435001</v>
      </c>
      <c r="BU280" s="7">
        <f t="shared" si="252"/>
        <v>1.573103925772541</v>
      </c>
      <c r="BV280" s="7">
        <f t="shared" si="253"/>
        <v>1.537034623583752</v>
      </c>
      <c r="BW280" s="7">
        <f t="shared" si="254"/>
        <v>1.5020636743043556</v>
      </c>
      <c r="BX280" s="7">
        <f t="shared" si="255"/>
        <v>1.4669109381945049</v>
      </c>
      <c r="BY280" s="7">
        <f t="shared" si="256"/>
        <v>1.4324458798113615</v>
      </c>
      <c r="BZ280" s="7">
        <f t="shared" si="257"/>
        <v>1.3978521647283695</v>
      </c>
      <c r="CA280" s="7">
        <f t="shared" si="258"/>
        <v>1.3640385531914956</v>
      </c>
      <c r="CB280" s="7">
        <f t="shared" si="259"/>
        <v>1.329878671912722</v>
      </c>
      <c r="CC280" s="7">
        <f t="shared" si="260"/>
        <v>1.2965000837827692</v>
      </c>
      <c r="CD280" s="7">
        <f t="shared" si="261"/>
        <v>1.262824888066165</v>
      </c>
      <c r="CE280" s="7">
        <f t="shared" si="262"/>
        <v>1.229989160406989</v>
      </c>
      <c r="CF280" s="7">
        <f t="shared" si="263"/>
        <v>1.1969496824671657</v>
      </c>
      <c r="CG280" s="7">
        <f t="shared" si="264"/>
        <v>1.1646550320861728</v>
      </c>
      <c r="CH280" s="7">
        <f t="shared" si="265"/>
        <v>1.1324450006481657</v>
      </c>
      <c r="CI280" s="7">
        <f t="shared" si="266"/>
        <v>1.101238494863908</v>
      </c>
      <c r="CJ280" s="7">
        <f t="shared" si="267"/>
        <v>1.0700465755985198</v>
      </c>
      <c r="CK280" s="7">
        <f t="shared" si="268"/>
        <v>1.0399273429022453</v>
      </c>
      <c r="CL280" s="7">
        <f t="shared" si="269"/>
        <v>1.0099199249844526</v>
      </c>
      <c r="CM280" s="7">
        <f t="shared" si="270"/>
        <v>0.98103495411793462</v>
      </c>
      <c r="CN280" s="7">
        <f t="shared" si="271"/>
        <v>0.95234287576751131</v>
      </c>
      <c r="CO280" s="7">
        <f t="shared" si="272"/>
        <v>0.92465163494853597</v>
      </c>
      <c r="CP280" s="7">
        <f t="shared" si="273"/>
        <v>0.89737102773009547</v>
      </c>
      <c r="CQ280" s="7">
        <f t="shared" si="274"/>
        <v>47.337920255105907</v>
      </c>
      <c r="CR280" s="7">
        <f t="shared" si="275"/>
        <v>0</v>
      </c>
      <c r="CS280" s="7">
        <f t="shared" si="276"/>
        <v>0</v>
      </c>
      <c r="CT280" s="7">
        <f t="shared" si="277"/>
        <v>0</v>
      </c>
      <c r="CU280" s="7">
        <f t="shared" si="278"/>
        <v>0</v>
      </c>
      <c r="CV280" s="7">
        <f t="shared" si="279"/>
        <v>0</v>
      </c>
      <c r="CW280" s="7">
        <f t="shared" si="280"/>
        <v>0</v>
      </c>
      <c r="CX280" s="7">
        <f t="shared" si="281"/>
        <v>0</v>
      </c>
      <c r="CY280" s="7">
        <f t="shared" si="282"/>
        <v>0</v>
      </c>
      <c r="CZ280" s="7">
        <f t="shared" si="283"/>
        <v>0</v>
      </c>
      <c r="DA280" s="7">
        <f t="shared" si="284"/>
        <v>0</v>
      </c>
      <c r="DB280" s="7">
        <f t="shared" si="285"/>
        <v>0</v>
      </c>
      <c r="DC280" s="7">
        <f t="shared" si="286"/>
        <v>0</v>
      </c>
      <c r="DD280" s="7">
        <f t="shared" si="287"/>
        <v>0</v>
      </c>
      <c r="DE280" s="7">
        <f t="shared" si="288"/>
        <v>0</v>
      </c>
      <c r="DF280" s="7">
        <f t="shared" si="289"/>
        <v>0</v>
      </c>
      <c r="DG280" s="7">
        <f t="shared" si="290"/>
        <v>0</v>
      </c>
      <c r="DH280" s="7">
        <f t="shared" si="291"/>
        <v>0</v>
      </c>
      <c r="DI280" s="7">
        <f t="shared" si="292"/>
        <v>0</v>
      </c>
      <c r="DJ280" s="7">
        <f t="shared" si="293"/>
        <v>0</v>
      </c>
      <c r="DK280" s="7">
        <f t="shared" si="294"/>
        <v>0</v>
      </c>
      <c r="DL280" s="7">
        <f t="shared" si="295"/>
        <v>0</v>
      </c>
      <c r="DM280" s="7">
        <f t="shared" si="296"/>
        <v>0</v>
      </c>
      <c r="DN280" s="7">
        <f t="shared" si="297"/>
        <v>0</v>
      </c>
      <c r="DO280" s="7">
        <f t="shared" si="298"/>
        <v>0</v>
      </c>
      <c r="DP280" s="7">
        <f t="shared" si="299"/>
        <v>0</v>
      </c>
      <c r="DQ280" s="7">
        <f t="shared" si="300"/>
        <v>0</v>
      </c>
      <c r="DR280" s="7">
        <f t="shared" si="301"/>
        <v>0</v>
      </c>
      <c r="DS280" s="7">
        <f t="shared" si="302"/>
        <v>0</v>
      </c>
      <c r="DT280" s="7">
        <f t="shared" si="303"/>
        <v>0</v>
      </c>
      <c r="DU280" s="7">
        <f t="shared" si="304"/>
        <v>0</v>
      </c>
    </row>
    <row r="281" spans="1:125" x14ac:dyDescent="0.2">
      <c r="A281" s="3">
        <f>Bonds!A281</f>
        <v>51820</v>
      </c>
      <c r="B281" s="4">
        <f>Bonds!B281</f>
        <v>3.125</v>
      </c>
      <c r="C281">
        <f>Bonds!P281</f>
        <v>31</v>
      </c>
      <c r="D281">
        <f t="shared" si="244"/>
        <v>0</v>
      </c>
      <c r="E281" s="3">
        <f>IF(1&gt;$C281,"",IF($D281=1,EOMONTH(EDATE(Bonds!$H281,6*(1-1)),0),EDATE(Bonds!$H281,6*(1-1))))</f>
        <v>46341</v>
      </c>
      <c r="F281" s="3">
        <f>IF(2&gt;$C281,"",IF($D281=1,EOMONTH(EDATE(Bonds!$H281,6*(2-1)),0),EDATE(Bonds!$H281,6*(2-1))))</f>
        <v>46522</v>
      </c>
      <c r="G281" s="3">
        <f>IF(3&gt;$C281,"",IF($D281=1,EOMONTH(EDATE(Bonds!$H281,6*(3-1)),0),EDATE(Bonds!$H281,6*(3-1))))</f>
        <v>46706</v>
      </c>
      <c r="H281" s="3">
        <f>IF(4&gt;$C281,"",IF($D281=1,EOMONTH(EDATE(Bonds!$H281,6*(4-1)),0),EDATE(Bonds!$H281,6*(4-1))))</f>
        <v>46888</v>
      </c>
      <c r="I281" s="3">
        <f>IF(5&gt;$C281,"",IF($D281=1,EOMONTH(EDATE(Bonds!$H281,6*(5-1)),0),EDATE(Bonds!$H281,6*(5-1))))</f>
        <v>47072</v>
      </c>
      <c r="J281" s="3">
        <f>IF(6&gt;$C281,"",IF($D281=1,EOMONTH(EDATE(Bonds!$H281,6*(6-1)),0),EDATE(Bonds!$H281,6*(6-1))))</f>
        <v>47253</v>
      </c>
      <c r="K281" s="3">
        <f>IF(7&gt;$C281,"",IF($D281=1,EOMONTH(EDATE(Bonds!$H281,6*(7-1)),0),EDATE(Bonds!$H281,6*(7-1))))</f>
        <v>47437</v>
      </c>
      <c r="L281" s="3">
        <f>IF(8&gt;$C281,"",IF($D281=1,EOMONTH(EDATE(Bonds!$H281,6*(8-1)),0),EDATE(Bonds!$H281,6*(8-1))))</f>
        <v>47618</v>
      </c>
      <c r="M281" s="3">
        <f>IF(9&gt;$C281,"",IF($D281=1,EOMONTH(EDATE(Bonds!$H281,6*(9-1)),0),EDATE(Bonds!$H281,6*(9-1))))</f>
        <v>47802</v>
      </c>
      <c r="N281" s="3">
        <f>IF(10&gt;$C281,"",IF($D281=1,EOMONTH(EDATE(Bonds!$H281,6*(10-1)),0),EDATE(Bonds!$H281,6*(10-1))))</f>
        <v>47983</v>
      </c>
      <c r="O281" s="3">
        <f>IF(11&gt;$C281,"",IF($D281=1,EOMONTH(EDATE(Bonds!$H281,6*(11-1)),0),EDATE(Bonds!$H281,6*(11-1))))</f>
        <v>48167</v>
      </c>
      <c r="P281" s="3">
        <f>IF(12&gt;$C281,"",IF($D281=1,EOMONTH(EDATE(Bonds!$H281,6*(12-1)),0),EDATE(Bonds!$H281,6*(12-1))))</f>
        <v>48349</v>
      </c>
      <c r="Q281" s="3">
        <f>IF(13&gt;$C281,"",IF($D281=1,EOMONTH(EDATE(Bonds!$H281,6*(13-1)),0),EDATE(Bonds!$H281,6*(13-1))))</f>
        <v>48533</v>
      </c>
      <c r="R281" s="3">
        <f>IF(14&gt;$C281,"",IF($D281=1,EOMONTH(EDATE(Bonds!$H281,6*(14-1)),0),EDATE(Bonds!$H281,6*(14-1))))</f>
        <v>48714</v>
      </c>
      <c r="S281" s="3">
        <f>IF(15&gt;$C281,"",IF($D281=1,EOMONTH(EDATE(Bonds!$H281,6*(15-1)),0),EDATE(Bonds!$H281,6*(15-1))))</f>
        <v>48898</v>
      </c>
      <c r="T281" s="3">
        <f>IF(16&gt;$C281,"",IF($D281=1,EOMONTH(EDATE(Bonds!$H281,6*(16-1)),0),EDATE(Bonds!$H281,6*(16-1))))</f>
        <v>49079</v>
      </c>
      <c r="U281" s="3">
        <f>IF(17&gt;$C281,"",IF($D281=1,EOMONTH(EDATE(Bonds!$H281,6*(17-1)),0),EDATE(Bonds!$H281,6*(17-1))))</f>
        <v>49263</v>
      </c>
      <c r="V281" s="3">
        <f>IF(18&gt;$C281,"",IF($D281=1,EOMONTH(EDATE(Bonds!$H281,6*(18-1)),0),EDATE(Bonds!$H281,6*(18-1))))</f>
        <v>49444</v>
      </c>
      <c r="W281" s="3">
        <f>IF(19&gt;$C281,"",IF($D281=1,EOMONTH(EDATE(Bonds!$H281,6*(19-1)),0),EDATE(Bonds!$H281,6*(19-1))))</f>
        <v>49628</v>
      </c>
      <c r="X281" s="3">
        <f>IF(20&gt;$C281,"",IF($D281=1,EOMONTH(EDATE(Bonds!$H281,6*(20-1)),0),EDATE(Bonds!$H281,6*(20-1))))</f>
        <v>49810</v>
      </c>
      <c r="Y281" s="3">
        <f>IF(21&gt;$C281,"",IF($D281=1,EOMONTH(EDATE(Bonds!$H281,6*(21-1)),0),EDATE(Bonds!$H281,6*(21-1))))</f>
        <v>49994</v>
      </c>
      <c r="Z281" s="3">
        <f>IF(22&gt;$C281,"",IF($D281=1,EOMONTH(EDATE(Bonds!$H281,6*(22-1)),0),EDATE(Bonds!$H281,6*(22-1))))</f>
        <v>50175</v>
      </c>
      <c r="AA281" s="3">
        <f>IF(23&gt;$C281,"",IF($D281=1,EOMONTH(EDATE(Bonds!$H281,6*(23-1)),0),EDATE(Bonds!$H281,6*(23-1))))</f>
        <v>50359</v>
      </c>
      <c r="AB281" s="3">
        <f>IF(24&gt;$C281,"",IF($D281=1,EOMONTH(EDATE(Bonds!$H281,6*(24-1)),0),EDATE(Bonds!$H281,6*(24-1))))</f>
        <v>50540</v>
      </c>
      <c r="AC281" s="3">
        <f>IF(25&gt;$C281,"",IF($D281=1,EOMONTH(EDATE(Bonds!$H281,6*(25-1)),0),EDATE(Bonds!$H281,6*(25-1))))</f>
        <v>50724</v>
      </c>
      <c r="AD281" s="3">
        <f>IF(26&gt;$C281,"",IF($D281=1,EOMONTH(EDATE(Bonds!$H281,6*(26-1)),0),EDATE(Bonds!$H281,6*(26-1))))</f>
        <v>50905</v>
      </c>
      <c r="AE281" s="3">
        <f>IF(27&gt;$C281,"",IF($D281=1,EOMONTH(EDATE(Bonds!$H281,6*(27-1)),0),EDATE(Bonds!$H281,6*(27-1))))</f>
        <v>51089</v>
      </c>
      <c r="AF281" s="3">
        <f>IF(28&gt;$C281,"",IF($D281=1,EOMONTH(EDATE(Bonds!$H281,6*(28-1)),0),EDATE(Bonds!$H281,6*(28-1))))</f>
        <v>51271</v>
      </c>
      <c r="AG281" s="3">
        <f>IF(29&gt;$C281,"",IF($D281=1,EOMONTH(EDATE(Bonds!$H281,6*(29-1)),0),EDATE(Bonds!$H281,6*(29-1))))</f>
        <v>51455</v>
      </c>
      <c r="AH281" s="3">
        <f>IF(30&gt;$C281,"",IF($D281=1,EOMONTH(EDATE(Bonds!$H281,6*(30-1)),0),EDATE(Bonds!$H281,6*(30-1))))</f>
        <v>51636</v>
      </c>
      <c r="AI281" s="3">
        <f>IF(31&gt;$C281,"",IF($D281=1,EOMONTH(EDATE(Bonds!$H281,6*(31-1)),0),EDATE(Bonds!$H281,6*(31-1))))</f>
        <v>51820</v>
      </c>
      <c r="AJ281" s="3" t="str">
        <f>IF(32&gt;$C281,"",IF($D281=1,EOMONTH(EDATE(Bonds!$H281,6*(32-1)),0),EDATE(Bonds!$H281,6*(32-1))))</f>
        <v/>
      </c>
      <c r="AK281" s="3" t="str">
        <f>IF(33&gt;$C281,"",IF($D281=1,EOMONTH(EDATE(Bonds!$H281,6*(33-1)),0),EDATE(Bonds!$H281,6*(33-1))))</f>
        <v/>
      </c>
      <c r="AL281" s="3" t="str">
        <f>IF(34&gt;$C281,"",IF($D281=1,EOMONTH(EDATE(Bonds!$H281,6*(34-1)),0),EDATE(Bonds!$H281,6*(34-1))))</f>
        <v/>
      </c>
      <c r="AM281" s="3" t="str">
        <f>IF(35&gt;$C281,"",IF($D281=1,EOMONTH(EDATE(Bonds!$H281,6*(35-1)),0),EDATE(Bonds!$H281,6*(35-1))))</f>
        <v/>
      </c>
      <c r="AN281" s="3" t="str">
        <f>IF(36&gt;$C281,"",IF($D281=1,EOMONTH(EDATE(Bonds!$H281,6*(36-1)),0),EDATE(Bonds!$H281,6*(36-1))))</f>
        <v/>
      </c>
      <c r="AO281" s="3" t="str">
        <f>IF(37&gt;$C281,"",IF($D281=1,EOMONTH(EDATE(Bonds!$H281,6*(37-1)),0),EDATE(Bonds!$H281,6*(37-1))))</f>
        <v/>
      </c>
      <c r="AP281" s="3" t="str">
        <f>IF(38&gt;$C281,"",IF($D281=1,EOMONTH(EDATE(Bonds!$H281,6*(38-1)),0),EDATE(Bonds!$H281,6*(38-1))))</f>
        <v/>
      </c>
      <c r="AQ281" s="3" t="str">
        <f>IF(39&gt;$C281,"",IF($D281=1,EOMONTH(EDATE(Bonds!$H281,6*(39-1)),0),EDATE(Bonds!$H281,6*(39-1))))</f>
        <v/>
      </c>
      <c r="AR281" s="3" t="str">
        <f>IF(40&gt;$C281,"",IF($D281=1,EOMONTH(EDATE(Bonds!$H281,6*(40-1)),0),EDATE(Bonds!$H281,6*(40-1))))</f>
        <v/>
      </c>
      <c r="AS281" s="3" t="str">
        <f>IF(41&gt;$C281,"",IF($D281=1,EOMONTH(EDATE(Bonds!$H281,6*(41-1)),0),EDATE(Bonds!$H281,6*(41-1))))</f>
        <v/>
      </c>
      <c r="AT281" s="3" t="str">
        <f>IF(42&gt;$C281,"",IF($D281=1,EOMONTH(EDATE(Bonds!$H281,6*(42-1)),0),EDATE(Bonds!$H281,6*(42-1))))</f>
        <v/>
      </c>
      <c r="AU281" s="3" t="str">
        <f>IF(43&gt;$C281,"",IF($D281=1,EOMONTH(EDATE(Bonds!$H281,6*(43-1)),0),EDATE(Bonds!$H281,6*(43-1))))</f>
        <v/>
      </c>
      <c r="AV281" s="3" t="str">
        <f>IF(44&gt;$C281,"",IF($D281=1,EOMONTH(EDATE(Bonds!$H281,6*(44-1)),0),EDATE(Bonds!$H281,6*(44-1))))</f>
        <v/>
      </c>
      <c r="AW281" s="3" t="str">
        <f>IF(45&gt;$C281,"",IF($D281=1,EOMONTH(EDATE(Bonds!$H281,6*(45-1)),0),EDATE(Bonds!$H281,6*(45-1))))</f>
        <v/>
      </c>
      <c r="AX281" s="3" t="str">
        <f>IF(46&gt;$C281,"",IF($D281=1,EOMONTH(EDATE(Bonds!$H281,6*(46-1)),0),EDATE(Bonds!$H281,6*(46-1))))</f>
        <v/>
      </c>
      <c r="AY281" s="3" t="str">
        <f>IF(47&gt;$C281,"",IF($D281=1,EOMONTH(EDATE(Bonds!$H281,6*(47-1)),0),EDATE(Bonds!$H281,6*(47-1))))</f>
        <v/>
      </c>
      <c r="AZ281" s="3" t="str">
        <f>IF(48&gt;$C281,"",IF($D281=1,EOMONTH(EDATE(Bonds!$H281,6*(48-1)),0),EDATE(Bonds!$H281,6*(48-1))))</f>
        <v/>
      </c>
      <c r="BA281" s="3" t="str">
        <f>IF(49&gt;$C281,"",IF($D281=1,EOMONTH(EDATE(Bonds!$H281,6*(49-1)),0),EDATE(Bonds!$H281,6*(49-1))))</f>
        <v/>
      </c>
      <c r="BB281" s="3" t="str">
        <f>IF(50&gt;$C281,"",IF($D281=1,EOMONTH(EDATE(Bonds!$H281,6*(50-1)),0),EDATE(Bonds!$H281,6*(50-1))))</f>
        <v/>
      </c>
      <c r="BC281" s="3" t="str">
        <f>IF(51&gt;$C281,"",IF($D281=1,EOMONTH(EDATE(Bonds!$H281,6*(51-1)),0),EDATE(Bonds!$H281,6*(51-1))))</f>
        <v/>
      </c>
      <c r="BD281" s="3" t="str">
        <f>IF(52&gt;$C281,"",IF($D281=1,EOMONTH(EDATE(Bonds!$H281,6*(52-1)),0),EDATE(Bonds!$H281,6*(52-1))))</f>
        <v/>
      </c>
      <c r="BE281" s="3" t="str">
        <f>IF(53&gt;$C281,"",IF($D281=1,EOMONTH(EDATE(Bonds!$H281,6*(53-1)),0),EDATE(Bonds!$H281,6*(53-1))))</f>
        <v/>
      </c>
      <c r="BF281" s="3" t="str">
        <f>IF(54&gt;$C281,"",IF($D281=1,EOMONTH(EDATE(Bonds!$H281,6*(54-1)),0),EDATE(Bonds!$H281,6*(54-1))))</f>
        <v/>
      </c>
      <c r="BG281" s="3" t="str">
        <f>IF(55&gt;$C281,"",IF($D281=1,EOMONTH(EDATE(Bonds!$H281,6*(55-1)),0),EDATE(Bonds!$H281,6*(55-1))))</f>
        <v/>
      </c>
      <c r="BH281" s="3" t="str">
        <f>IF(56&gt;$C281,"",IF($D281=1,EOMONTH(EDATE(Bonds!$H281,6*(56-1)),0),EDATE(Bonds!$H281,6*(56-1))))</f>
        <v/>
      </c>
      <c r="BI281" s="3" t="str">
        <f>IF(57&gt;$C281,"",IF($D281=1,EOMONTH(EDATE(Bonds!$H281,6*(57-1)),0),EDATE(Bonds!$H281,6*(57-1))))</f>
        <v/>
      </c>
      <c r="BJ281" s="3" t="str">
        <f>IF(58&gt;$C281,"",IF($D281=1,EOMONTH(EDATE(Bonds!$H281,6*(58-1)),0),EDATE(Bonds!$H281,6*(58-1))))</f>
        <v/>
      </c>
      <c r="BK281" s="3" t="str">
        <f>IF(59&gt;$C281,"",IF($D281=1,EOMONTH(EDATE(Bonds!$H281,6*(59-1)),0),EDATE(Bonds!$H281,6*(59-1))))</f>
        <v/>
      </c>
      <c r="BL281" s="3" t="str">
        <f>IF(60&gt;$C281,"",IF($D281=1,EOMONTH(EDATE(Bonds!$H281,6*(60-1)),0),EDATE(Bonds!$H281,6*(60-1))))</f>
        <v/>
      </c>
      <c r="BN281" s="7">
        <f t="shared" si="245"/>
        <v>1.5516024728125291</v>
      </c>
      <c r="BO281" s="7">
        <f t="shared" si="246"/>
        <v>1.5202702895188225</v>
      </c>
      <c r="BP281" s="7">
        <f t="shared" si="247"/>
        <v>1.4867825446087761</v>
      </c>
      <c r="BQ281" s="7">
        <f t="shared" si="248"/>
        <v>1.4534345960109205</v>
      </c>
      <c r="BR281" s="7">
        <f t="shared" si="249"/>
        <v>1.4201999002194776</v>
      </c>
      <c r="BS281" s="7">
        <f t="shared" si="250"/>
        <v>1.3882531282323125</v>
      </c>
      <c r="BT281" s="7">
        <f t="shared" si="251"/>
        <v>1.3565819522765012</v>
      </c>
      <c r="BU281" s="7">
        <f t="shared" si="252"/>
        <v>1.3261497589944726</v>
      </c>
      <c r="BV281" s="7">
        <f t="shared" si="253"/>
        <v>1.2958293742118352</v>
      </c>
      <c r="BW281" s="7">
        <f t="shared" si="254"/>
        <v>1.2664864286337265</v>
      </c>
      <c r="BX281" s="7">
        <f t="shared" si="255"/>
        <v>1.2370363050298021</v>
      </c>
      <c r="BY281" s="7">
        <f t="shared" si="256"/>
        <v>1.208195090968275</v>
      </c>
      <c r="BZ281" s="7">
        <f t="shared" si="257"/>
        <v>1.1792667478193233</v>
      </c>
      <c r="CA281" s="7">
        <f t="shared" si="258"/>
        <v>1.150999697415257</v>
      </c>
      <c r="CB281" s="7">
        <f t="shared" si="259"/>
        <v>1.1224426194037709</v>
      </c>
      <c r="CC281" s="7">
        <f t="shared" si="260"/>
        <v>1.0945306183804409</v>
      </c>
      <c r="CD281" s="7">
        <f t="shared" si="261"/>
        <v>1.0663565864417373</v>
      </c>
      <c r="CE281" s="7">
        <f t="shared" si="262"/>
        <v>1.0388670956159638</v>
      </c>
      <c r="CF281" s="7">
        <f t="shared" si="263"/>
        <v>1.0111862600446633</v>
      </c>
      <c r="CG281" s="7">
        <f t="shared" si="264"/>
        <v>0.98410734474481343</v>
      </c>
      <c r="CH281" s="7">
        <f t="shared" si="265"/>
        <v>0.95707641804753973</v>
      </c>
      <c r="CI281" s="7">
        <f t="shared" si="266"/>
        <v>0.93086520300221698</v>
      </c>
      <c r="CJ281" s="7">
        <f t="shared" si="267"/>
        <v>0.90464399296907427</v>
      </c>
      <c r="CK281" s="7">
        <f t="shared" si="268"/>
        <v>0.87930355665854076</v>
      </c>
      <c r="CL281" s="7">
        <f t="shared" si="269"/>
        <v>0.85403704668942404</v>
      </c>
      <c r="CM281" s="7">
        <f t="shared" si="270"/>
        <v>0.82969711067245144</v>
      </c>
      <c r="CN281" s="7">
        <f t="shared" si="271"/>
        <v>0.80550225762017358</v>
      </c>
      <c r="CO281" s="7">
        <f t="shared" si="272"/>
        <v>0.78213544166726712</v>
      </c>
      <c r="CP281" s="7">
        <f t="shared" si="273"/>
        <v>0.7591004221601676</v>
      </c>
      <c r="CQ281" s="7">
        <f t="shared" si="274"/>
        <v>0.73703145858392805</v>
      </c>
      <c r="CR281" s="7">
        <f t="shared" si="275"/>
        <v>46.488433333545316</v>
      </c>
      <c r="CS281" s="7">
        <f t="shared" si="276"/>
        <v>0</v>
      </c>
      <c r="CT281" s="7">
        <f t="shared" si="277"/>
        <v>0</v>
      </c>
      <c r="CU281" s="7">
        <f t="shared" si="278"/>
        <v>0</v>
      </c>
      <c r="CV281" s="7">
        <f t="shared" si="279"/>
        <v>0</v>
      </c>
      <c r="CW281" s="7">
        <f t="shared" si="280"/>
        <v>0</v>
      </c>
      <c r="CX281" s="7">
        <f t="shared" si="281"/>
        <v>0</v>
      </c>
      <c r="CY281" s="7">
        <f t="shared" si="282"/>
        <v>0</v>
      </c>
      <c r="CZ281" s="7">
        <f t="shared" si="283"/>
        <v>0</v>
      </c>
      <c r="DA281" s="7">
        <f t="shared" si="284"/>
        <v>0</v>
      </c>
      <c r="DB281" s="7">
        <f t="shared" si="285"/>
        <v>0</v>
      </c>
      <c r="DC281" s="7">
        <f t="shared" si="286"/>
        <v>0</v>
      </c>
      <c r="DD281" s="7">
        <f t="shared" si="287"/>
        <v>0</v>
      </c>
      <c r="DE281" s="7">
        <f t="shared" si="288"/>
        <v>0</v>
      </c>
      <c r="DF281" s="7">
        <f t="shared" si="289"/>
        <v>0</v>
      </c>
      <c r="DG281" s="7">
        <f t="shared" si="290"/>
        <v>0</v>
      </c>
      <c r="DH281" s="7">
        <f t="shared" si="291"/>
        <v>0</v>
      </c>
      <c r="DI281" s="7">
        <f t="shared" si="292"/>
        <v>0</v>
      </c>
      <c r="DJ281" s="7">
        <f t="shared" si="293"/>
        <v>0</v>
      </c>
      <c r="DK281" s="7">
        <f t="shared" si="294"/>
        <v>0</v>
      </c>
      <c r="DL281" s="7">
        <f t="shared" si="295"/>
        <v>0</v>
      </c>
      <c r="DM281" s="7">
        <f t="shared" si="296"/>
        <v>0</v>
      </c>
      <c r="DN281" s="7">
        <f t="shared" si="297"/>
        <v>0</v>
      </c>
      <c r="DO281" s="7">
        <f t="shared" si="298"/>
        <v>0</v>
      </c>
      <c r="DP281" s="7">
        <f t="shared" si="299"/>
        <v>0</v>
      </c>
      <c r="DQ281" s="7">
        <f t="shared" si="300"/>
        <v>0</v>
      </c>
      <c r="DR281" s="7">
        <f t="shared" si="301"/>
        <v>0</v>
      </c>
      <c r="DS281" s="7">
        <f t="shared" si="302"/>
        <v>0</v>
      </c>
      <c r="DT281" s="7">
        <f t="shared" si="303"/>
        <v>0</v>
      </c>
      <c r="DU281" s="7">
        <f t="shared" si="304"/>
        <v>0</v>
      </c>
    </row>
    <row r="282" spans="1:125" x14ac:dyDescent="0.2">
      <c r="A282" s="3">
        <f>Bonds!A282</f>
        <v>51835</v>
      </c>
      <c r="B282" s="4">
        <f>Bonds!B282</f>
        <v>2</v>
      </c>
      <c r="C282">
        <f>Bonds!P282</f>
        <v>31</v>
      </c>
      <c r="D282">
        <f t="shared" si="244"/>
        <v>1</v>
      </c>
      <c r="E282" s="3">
        <f>IF(1&gt;$C282,"",IF($D282=1,EOMONTH(EDATE(Bonds!$H282,6*(1-1)),0),EDATE(Bonds!$H282,6*(1-1))))</f>
        <v>46356</v>
      </c>
      <c r="F282" s="3">
        <f>IF(2&gt;$C282,"",IF($D282=1,EOMONTH(EDATE(Bonds!$H282,6*(2-1)),0),EDATE(Bonds!$H282,6*(2-1))))</f>
        <v>46538</v>
      </c>
      <c r="G282" s="3">
        <f>IF(3&gt;$C282,"",IF($D282=1,EOMONTH(EDATE(Bonds!$H282,6*(3-1)),0),EDATE(Bonds!$H282,6*(3-1))))</f>
        <v>46721</v>
      </c>
      <c r="H282" s="3">
        <f>IF(4&gt;$C282,"",IF($D282=1,EOMONTH(EDATE(Bonds!$H282,6*(4-1)),0),EDATE(Bonds!$H282,6*(4-1))))</f>
        <v>46904</v>
      </c>
      <c r="I282" s="3">
        <f>IF(5&gt;$C282,"",IF($D282=1,EOMONTH(EDATE(Bonds!$H282,6*(5-1)),0),EDATE(Bonds!$H282,6*(5-1))))</f>
        <v>47087</v>
      </c>
      <c r="J282" s="3">
        <f>IF(6&gt;$C282,"",IF($D282=1,EOMONTH(EDATE(Bonds!$H282,6*(6-1)),0),EDATE(Bonds!$H282,6*(6-1))))</f>
        <v>47269</v>
      </c>
      <c r="K282" s="3">
        <f>IF(7&gt;$C282,"",IF($D282=1,EOMONTH(EDATE(Bonds!$H282,6*(7-1)),0),EDATE(Bonds!$H282,6*(7-1))))</f>
        <v>47452</v>
      </c>
      <c r="L282" s="3">
        <f>IF(8&gt;$C282,"",IF($D282=1,EOMONTH(EDATE(Bonds!$H282,6*(8-1)),0),EDATE(Bonds!$H282,6*(8-1))))</f>
        <v>47634</v>
      </c>
      <c r="M282" s="3">
        <f>IF(9&gt;$C282,"",IF($D282=1,EOMONTH(EDATE(Bonds!$H282,6*(9-1)),0),EDATE(Bonds!$H282,6*(9-1))))</f>
        <v>47817</v>
      </c>
      <c r="N282" s="3">
        <f>IF(10&gt;$C282,"",IF($D282=1,EOMONTH(EDATE(Bonds!$H282,6*(10-1)),0),EDATE(Bonds!$H282,6*(10-1))))</f>
        <v>47999</v>
      </c>
      <c r="O282" s="3">
        <f>IF(11&gt;$C282,"",IF($D282=1,EOMONTH(EDATE(Bonds!$H282,6*(11-1)),0),EDATE(Bonds!$H282,6*(11-1))))</f>
        <v>48182</v>
      </c>
      <c r="P282" s="3">
        <f>IF(12&gt;$C282,"",IF($D282=1,EOMONTH(EDATE(Bonds!$H282,6*(12-1)),0),EDATE(Bonds!$H282,6*(12-1))))</f>
        <v>48365</v>
      </c>
      <c r="Q282" s="3">
        <f>IF(13&gt;$C282,"",IF($D282=1,EOMONTH(EDATE(Bonds!$H282,6*(13-1)),0),EDATE(Bonds!$H282,6*(13-1))))</f>
        <v>48548</v>
      </c>
      <c r="R282" s="3">
        <f>IF(14&gt;$C282,"",IF($D282=1,EOMONTH(EDATE(Bonds!$H282,6*(14-1)),0),EDATE(Bonds!$H282,6*(14-1))))</f>
        <v>48730</v>
      </c>
      <c r="S282" s="3">
        <f>IF(15&gt;$C282,"",IF($D282=1,EOMONTH(EDATE(Bonds!$H282,6*(15-1)),0),EDATE(Bonds!$H282,6*(15-1))))</f>
        <v>48913</v>
      </c>
      <c r="T282" s="3">
        <f>IF(16&gt;$C282,"",IF($D282=1,EOMONTH(EDATE(Bonds!$H282,6*(16-1)),0),EDATE(Bonds!$H282,6*(16-1))))</f>
        <v>49095</v>
      </c>
      <c r="U282" s="3">
        <f>IF(17&gt;$C282,"",IF($D282=1,EOMONTH(EDATE(Bonds!$H282,6*(17-1)),0),EDATE(Bonds!$H282,6*(17-1))))</f>
        <v>49278</v>
      </c>
      <c r="V282" s="3">
        <f>IF(18&gt;$C282,"",IF($D282=1,EOMONTH(EDATE(Bonds!$H282,6*(18-1)),0),EDATE(Bonds!$H282,6*(18-1))))</f>
        <v>49460</v>
      </c>
      <c r="W282" s="3">
        <f>IF(19&gt;$C282,"",IF($D282=1,EOMONTH(EDATE(Bonds!$H282,6*(19-1)),0),EDATE(Bonds!$H282,6*(19-1))))</f>
        <v>49643</v>
      </c>
      <c r="X282" s="3">
        <f>IF(20&gt;$C282,"",IF($D282=1,EOMONTH(EDATE(Bonds!$H282,6*(20-1)),0),EDATE(Bonds!$H282,6*(20-1))))</f>
        <v>49826</v>
      </c>
      <c r="Y282" s="3">
        <f>IF(21&gt;$C282,"",IF($D282=1,EOMONTH(EDATE(Bonds!$H282,6*(21-1)),0),EDATE(Bonds!$H282,6*(21-1))))</f>
        <v>50009</v>
      </c>
      <c r="Z282" s="3">
        <f>IF(22&gt;$C282,"",IF($D282=1,EOMONTH(EDATE(Bonds!$H282,6*(22-1)),0),EDATE(Bonds!$H282,6*(22-1))))</f>
        <v>50191</v>
      </c>
      <c r="AA282" s="3">
        <f>IF(23&gt;$C282,"",IF($D282=1,EOMONTH(EDATE(Bonds!$H282,6*(23-1)),0),EDATE(Bonds!$H282,6*(23-1))))</f>
        <v>50374</v>
      </c>
      <c r="AB282" s="3">
        <f>IF(24&gt;$C282,"",IF($D282=1,EOMONTH(EDATE(Bonds!$H282,6*(24-1)),0),EDATE(Bonds!$H282,6*(24-1))))</f>
        <v>50556</v>
      </c>
      <c r="AC282" s="3">
        <f>IF(25&gt;$C282,"",IF($D282=1,EOMONTH(EDATE(Bonds!$H282,6*(25-1)),0),EDATE(Bonds!$H282,6*(25-1))))</f>
        <v>50739</v>
      </c>
      <c r="AD282" s="3">
        <f>IF(26&gt;$C282,"",IF($D282=1,EOMONTH(EDATE(Bonds!$H282,6*(26-1)),0),EDATE(Bonds!$H282,6*(26-1))))</f>
        <v>50921</v>
      </c>
      <c r="AE282" s="3">
        <f>IF(27&gt;$C282,"",IF($D282=1,EOMONTH(EDATE(Bonds!$H282,6*(27-1)),0),EDATE(Bonds!$H282,6*(27-1))))</f>
        <v>51104</v>
      </c>
      <c r="AF282" s="3">
        <f>IF(28&gt;$C282,"",IF($D282=1,EOMONTH(EDATE(Bonds!$H282,6*(28-1)),0),EDATE(Bonds!$H282,6*(28-1))))</f>
        <v>51287</v>
      </c>
      <c r="AG282" s="3">
        <f>IF(29&gt;$C282,"",IF($D282=1,EOMONTH(EDATE(Bonds!$H282,6*(29-1)),0),EDATE(Bonds!$H282,6*(29-1))))</f>
        <v>51470</v>
      </c>
      <c r="AH282" s="3">
        <f>IF(30&gt;$C282,"",IF($D282=1,EOMONTH(EDATE(Bonds!$H282,6*(30-1)),0),EDATE(Bonds!$H282,6*(30-1))))</f>
        <v>51652</v>
      </c>
      <c r="AI282" s="3">
        <f>IF(31&gt;$C282,"",IF($D282=1,EOMONTH(EDATE(Bonds!$H282,6*(31-1)),0),EDATE(Bonds!$H282,6*(31-1))))</f>
        <v>51835</v>
      </c>
      <c r="AJ282" s="3" t="str">
        <f>IF(32&gt;$C282,"",IF($D282=1,EOMONTH(EDATE(Bonds!$H282,6*(32-1)),0),EDATE(Bonds!$H282,6*(32-1))))</f>
        <v/>
      </c>
      <c r="AK282" s="3" t="str">
        <f>IF(33&gt;$C282,"",IF($D282=1,EOMONTH(EDATE(Bonds!$H282,6*(33-1)),0),EDATE(Bonds!$H282,6*(33-1))))</f>
        <v/>
      </c>
      <c r="AL282" s="3" t="str">
        <f>IF(34&gt;$C282,"",IF($D282=1,EOMONTH(EDATE(Bonds!$H282,6*(34-1)),0),EDATE(Bonds!$H282,6*(34-1))))</f>
        <v/>
      </c>
      <c r="AM282" s="3" t="str">
        <f>IF(35&gt;$C282,"",IF($D282=1,EOMONTH(EDATE(Bonds!$H282,6*(35-1)),0),EDATE(Bonds!$H282,6*(35-1))))</f>
        <v/>
      </c>
      <c r="AN282" s="3" t="str">
        <f>IF(36&gt;$C282,"",IF($D282=1,EOMONTH(EDATE(Bonds!$H282,6*(36-1)),0),EDATE(Bonds!$H282,6*(36-1))))</f>
        <v/>
      </c>
      <c r="AO282" s="3" t="str">
        <f>IF(37&gt;$C282,"",IF($D282=1,EOMONTH(EDATE(Bonds!$H282,6*(37-1)),0),EDATE(Bonds!$H282,6*(37-1))))</f>
        <v/>
      </c>
      <c r="AP282" s="3" t="str">
        <f>IF(38&gt;$C282,"",IF($D282=1,EOMONTH(EDATE(Bonds!$H282,6*(38-1)),0),EDATE(Bonds!$H282,6*(38-1))))</f>
        <v/>
      </c>
      <c r="AQ282" s="3" t="str">
        <f>IF(39&gt;$C282,"",IF($D282=1,EOMONTH(EDATE(Bonds!$H282,6*(39-1)),0),EDATE(Bonds!$H282,6*(39-1))))</f>
        <v/>
      </c>
      <c r="AR282" s="3" t="str">
        <f>IF(40&gt;$C282,"",IF($D282=1,EOMONTH(EDATE(Bonds!$H282,6*(40-1)),0),EDATE(Bonds!$H282,6*(40-1))))</f>
        <v/>
      </c>
      <c r="AS282" s="3" t="str">
        <f>IF(41&gt;$C282,"",IF($D282=1,EOMONTH(EDATE(Bonds!$H282,6*(41-1)),0),EDATE(Bonds!$H282,6*(41-1))))</f>
        <v/>
      </c>
      <c r="AT282" s="3" t="str">
        <f>IF(42&gt;$C282,"",IF($D282=1,EOMONTH(EDATE(Bonds!$H282,6*(42-1)),0),EDATE(Bonds!$H282,6*(42-1))))</f>
        <v/>
      </c>
      <c r="AU282" s="3" t="str">
        <f>IF(43&gt;$C282,"",IF($D282=1,EOMONTH(EDATE(Bonds!$H282,6*(43-1)),0),EDATE(Bonds!$H282,6*(43-1))))</f>
        <v/>
      </c>
      <c r="AV282" s="3" t="str">
        <f>IF(44&gt;$C282,"",IF($D282=1,EOMONTH(EDATE(Bonds!$H282,6*(44-1)),0),EDATE(Bonds!$H282,6*(44-1))))</f>
        <v/>
      </c>
      <c r="AW282" s="3" t="str">
        <f>IF(45&gt;$C282,"",IF($D282=1,EOMONTH(EDATE(Bonds!$H282,6*(45-1)),0),EDATE(Bonds!$H282,6*(45-1))))</f>
        <v/>
      </c>
      <c r="AX282" s="3" t="str">
        <f>IF(46&gt;$C282,"",IF($D282=1,EOMONTH(EDATE(Bonds!$H282,6*(46-1)),0),EDATE(Bonds!$H282,6*(46-1))))</f>
        <v/>
      </c>
      <c r="AY282" s="3" t="str">
        <f>IF(47&gt;$C282,"",IF($D282=1,EOMONTH(EDATE(Bonds!$H282,6*(47-1)),0),EDATE(Bonds!$H282,6*(47-1))))</f>
        <v/>
      </c>
      <c r="AZ282" s="3" t="str">
        <f>IF(48&gt;$C282,"",IF($D282=1,EOMONTH(EDATE(Bonds!$H282,6*(48-1)),0),EDATE(Bonds!$H282,6*(48-1))))</f>
        <v/>
      </c>
      <c r="BA282" s="3" t="str">
        <f>IF(49&gt;$C282,"",IF($D282=1,EOMONTH(EDATE(Bonds!$H282,6*(49-1)),0),EDATE(Bonds!$H282,6*(49-1))))</f>
        <v/>
      </c>
      <c r="BB282" s="3" t="str">
        <f>IF(50&gt;$C282,"",IF($D282=1,EOMONTH(EDATE(Bonds!$H282,6*(50-1)),0),EDATE(Bonds!$H282,6*(50-1))))</f>
        <v/>
      </c>
      <c r="BC282" s="3" t="str">
        <f>IF(51&gt;$C282,"",IF($D282=1,EOMONTH(EDATE(Bonds!$H282,6*(51-1)),0),EDATE(Bonds!$H282,6*(51-1))))</f>
        <v/>
      </c>
      <c r="BD282" s="3" t="str">
        <f>IF(52&gt;$C282,"",IF($D282=1,EOMONTH(EDATE(Bonds!$H282,6*(52-1)),0),EDATE(Bonds!$H282,6*(52-1))))</f>
        <v/>
      </c>
      <c r="BE282" s="3" t="str">
        <f>IF(53&gt;$C282,"",IF($D282=1,EOMONTH(EDATE(Bonds!$H282,6*(53-1)),0),EDATE(Bonds!$H282,6*(53-1))))</f>
        <v/>
      </c>
      <c r="BF282" s="3" t="str">
        <f>IF(54&gt;$C282,"",IF($D282=1,EOMONTH(EDATE(Bonds!$H282,6*(54-1)),0),EDATE(Bonds!$H282,6*(54-1))))</f>
        <v/>
      </c>
      <c r="BG282" s="3" t="str">
        <f>IF(55&gt;$C282,"",IF($D282=1,EOMONTH(EDATE(Bonds!$H282,6*(55-1)),0),EDATE(Bonds!$H282,6*(55-1))))</f>
        <v/>
      </c>
      <c r="BH282" s="3" t="str">
        <f>IF(56&gt;$C282,"",IF($D282=1,EOMONTH(EDATE(Bonds!$H282,6*(56-1)),0),EDATE(Bonds!$H282,6*(56-1))))</f>
        <v/>
      </c>
      <c r="BI282" s="3" t="str">
        <f>IF(57&gt;$C282,"",IF($D282=1,EOMONTH(EDATE(Bonds!$H282,6*(57-1)),0),EDATE(Bonds!$H282,6*(57-1))))</f>
        <v/>
      </c>
      <c r="BJ282" s="3" t="str">
        <f>IF(58&gt;$C282,"",IF($D282=1,EOMONTH(EDATE(Bonds!$H282,6*(58-1)),0),EDATE(Bonds!$H282,6*(58-1))))</f>
        <v/>
      </c>
      <c r="BK282" s="3" t="str">
        <f>IF(59&gt;$C282,"",IF($D282=1,EOMONTH(EDATE(Bonds!$H282,6*(59-1)),0),EDATE(Bonds!$H282,6*(59-1))))</f>
        <v/>
      </c>
      <c r="BL282" s="3" t="str">
        <f>IF(60&gt;$C282,"",IF($D282=1,EOMONTH(EDATE(Bonds!$H282,6*(60-1)),0),EDATE(Bonds!$H282,6*(60-1))))</f>
        <v/>
      </c>
      <c r="BN282" s="7">
        <f t="shared" si="245"/>
        <v>0.99143530663591672</v>
      </c>
      <c r="BO282" s="7">
        <f t="shared" si="246"/>
        <v>0.97113412317335379</v>
      </c>
      <c r="BP282" s="7">
        <f t="shared" si="247"/>
        <v>0.9497787747246812</v>
      </c>
      <c r="BQ282" s="7">
        <f t="shared" si="248"/>
        <v>0.92833226955804937</v>
      </c>
      <c r="BR282" s="7">
        <f t="shared" si="249"/>
        <v>0.90721440809070253</v>
      </c>
      <c r="BS282" s="7">
        <f t="shared" si="250"/>
        <v>0.88669910662278184</v>
      </c>
      <c r="BT282" s="7">
        <f t="shared" si="251"/>
        <v>0.8665818470641955</v>
      </c>
      <c r="BU282" s="7">
        <f t="shared" si="252"/>
        <v>0.84703384215572919</v>
      </c>
      <c r="BV282" s="7">
        <f t="shared" si="253"/>
        <v>0.82776387983840405</v>
      </c>
      <c r="BW282" s="7">
        <f t="shared" si="254"/>
        <v>0.80890356397548935</v>
      </c>
      <c r="BX282" s="7">
        <f t="shared" si="255"/>
        <v>0.79017563548483105</v>
      </c>
      <c r="BY282" s="7">
        <f t="shared" si="256"/>
        <v>0.77162950738361613</v>
      </c>
      <c r="BZ282" s="7">
        <f t="shared" si="257"/>
        <v>0.75322710553005878</v>
      </c>
      <c r="CA282" s="7">
        <f t="shared" si="258"/>
        <v>0.73504600700279521</v>
      </c>
      <c r="CB282" s="7">
        <f t="shared" si="259"/>
        <v>0.71687842709934269</v>
      </c>
      <c r="CC282" s="7">
        <f t="shared" si="260"/>
        <v>0.69892628818675162</v>
      </c>
      <c r="CD282" s="7">
        <f t="shared" si="261"/>
        <v>0.68100449623396875</v>
      </c>
      <c r="CE282" s="7">
        <f t="shared" si="262"/>
        <v>0.66332732374557613</v>
      </c>
      <c r="CF282" s="7">
        <f t="shared" si="263"/>
        <v>0.64572327089379078</v>
      </c>
      <c r="CG282" s="7">
        <f t="shared" si="264"/>
        <v>0.62831516249375063</v>
      </c>
      <c r="CH282" s="7">
        <f t="shared" si="265"/>
        <v>0.61112921186492841</v>
      </c>
      <c r="CI282" s="7">
        <f t="shared" si="266"/>
        <v>0.5942832414238497</v>
      </c>
      <c r="CJ282" s="7">
        <f t="shared" si="267"/>
        <v>0.57761689905238889</v>
      </c>
      <c r="CK282" s="7">
        <f t="shared" si="268"/>
        <v>0.56133520056318265</v>
      </c>
      <c r="CL282" s="7">
        <f t="shared" si="269"/>
        <v>0.54528010353444434</v>
      </c>
      <c r="CM282" s="7">
        <f t="shared" si="270"/>
        <v>0.52964539103336272</v>
      </c>
      <c r="CN282" s="7">
        <f t="shared" si="271"/>
        <v>0.51427514436060195</v>
      </c>
      <c r="CO282" s="7">
        <f t="shared" si="272"/>
        <v>0.49926955831125541</v>
      </c>
      <c r="CP282" s="7">
        <f t="shared" si="273"/>
        <v>0.48463942012086025</v>
      </c>
      <c r="CQ282" s="7">
        <f t="shared" si="274"/>
        <v>0.47046984007159159</v>
      </c>
      <c r="CR282" s="7">
        <f t="shared" si="275"/>
        <v>46.117718106723501</v>
      </c>
      <c r="CS282" s="7">
        <f t="shared" si="276"/>
        <v>0</v>
      </c>
      <c r="CT282" s="7">
        <f t="shared" si="277"/>
        <v>0</v>
      </c>
      <c r="CU282" s="7">
        <f t="shared" si="278"/>
        <v>0</v>
      </c>
      <c r="CV282" s="7">
        <f t="shared" si="279"/>
        <v>0</v>
      </c>
      <c r="CW282" s="7">
        <f t="shared" si="280"/>
        <v>0</v>
      </c>
      <c r="CX282" s="7">
        <f t="shared" si="281"/>
        <v>0</v>
      </c>
      <c r="CY282" s="7">
        <f t="shared" si="282"/>
        <v>0</v>
      </c>
      <c r="CZ282" s="7">
        <f t="shared" si="283"/>
        <v>0</v>
      </c>
      <c r="DA282" s="7">
        <f t="shared" si="284"/>
        <v>0</v>
      </c>
      <c r="DB282" s="7">
        <f t="shared" si="285"/>
        <v>0</v>
      </c>
      <c r="DC282" s="7">
        <f t="shared" si="286"/>
        <v>0</v>
      </c>
      <c r="DD282" s="7">
        <f t="shared" si="287"/>
        <v>0</v>
      </c>
      <c r="DE282" s="7">
        <f t="shared" si="288"/>
        <v>0</v>
      </c>
      <c r="DF282" s="7">
        <f t="shared" si="289"/>
        <v>0</v>
      </c>
      <c r="DG282" s="7">
        <f t="shared" si="290"/>
        <v>0</v>
      </c>
      <c r="DH282" s="7">
        <f t="shared" si="291"/>
        <v>0</v>
      </c>
      <c r="DI282" s="7">
        <f t="shared" si="292"/>
        <v>0</v>
      </c>
      <c r="DJ282" s="7">
        <f t="shared" si="293"/>
        <v>0</v>
      </c>
      <c r="DK282" s="7">
        <f t="shared" si="294"/>
        <v>0</v>
      </c>
      <c r="DL282" s="7">
        <f t="shared" si="295"/>
        <v>0</v>
      </c>
      <c r="DM282" s="7">
        <f t="shared" si="296"/>
        <v>0</v>
      </c>
      <c r="DN282" s="7">
        <f t="shared" si="297"/>
        <v>0</v>
      </c>
      <c r="DO282" s="7">
        <f t="shared" si="298"/>
        <v>0</v>
      </c>
      <c r="DP282" s="7">
        <f t="shared" si="299"/>
        <v>0</v>
      </c>
      <c r="DQ282" s="7">
        <f t="shared" si="300"/>
        <v>0</v>
      </c>
      <c r="DR282" s="7">
        <f t="shared" si="301"/>
        <v>0</v>
      </c>
      <c r="DS282" s="7">
        <f t="shared" si="302"/>
        <v>0</v>
      </c>
      <c r="DT282" s="7">
        <f t="shared" si="303"/>
        <v>0</v>
      </c>
      <c r="DU282" s="7">
        <f t="shared" si="304"/>
        <v>0</v>
      </c>
    </row>
    <row r="283" spans="1:125" x14ac:dyDescent="0.2">
      <c r="A283" s="3">
        <f>Bonds!A283</f>
        <v>51912</v>
      </c>
      <c r="B283" s="4">
        <f>Bonds!B283</f>
        <v>2.375</v>
      </c>
      <c r="C283">
        <f>Bonds!P283</f>
        <v>31</v>
      </c>
      <c r="D283">
        <f t="shared" si="244"/>
        <v>0</v>
      </c>
      <c r="E283" s="3">
        <f>IF(1&gt;$C283,"",IF($D283=1,EOMONTH(EDATE(Bonds!$H283,6*(1-1)),0),EDATE(Bonds!$H283,6*(1-1))))</f>
        <v>46433</v>
      </c>
      <c r="F283" s="3">
        <f>IF(2&gt;$C283,"",IF($D283=1,EOMONTH(EDATE(Bonds!$H283,6*(2-1)),0),EDATE(Bonds!$H283,6*(2-1))))</f>
        <v>46614</v>
      </c>
      <c r="G283" s="3">
        <f>IF(3&gt;$C283,"",IF($D283=1,EOMONTH(EDATE(Bonds!$H283,6*(3-1)),0),EDATE(Bonds!$H283,6*(3-1))))</f>
        <v>46798</v>
      </c>
      <c r="H283" s="3">
        <f>IF(4&gt;$C283,"",IF($D283=1,EOMONTH(EDATE(Bonds!$H283,6*(4-1)),0),EDATE(Bonds!$H283,6*(4-1))))</f>
        <v>46980</v>
      </c>
      <c r="I283" s="3">
        <f>IF(5&gt;$C283,"",IF($D283=1,EOMONTH(EDATE(Bonds!$H283,6*(5-1)),0),EDATE(Bonds!$H283,6*(5-1))))</f>
        <v>47164</v>
      </c>
      <c r="J283" s="3">
        <f>IF(6&gt;$C283,"",IF($D283=1,EOMONTH(EDATE(Bonds!$H283,6*(6-1)),0),EDATE(Bonds!$H283,6*(6-1))))</f>
        <v>47345</v>
      </c>
      <c r="K283" s="3">
        <f>IF(7&gt;$C283,"",IF($D283=1,EOMONTH(EDATE(Bonds!$H283,6*(7-1)),0),EDATE(Bonds!$H283,6*(7-1))))</f>
        <v>47529</v>
      </c>
      <c r="L283" s="3">
        <f>IF(8&gt;$C283,"",IF($D283=1,EOMONTH(EDATE(Bonds!$H283,6*(8-1)),0),EDATE(Bonds!$H283,6*(8-1))))</f>
        <v>47710</v>
      </c>
      <c r="M283" s="3">
        <f>IF(9&gt;$C283,"",IF($D283=1,EOMONTH(EDATE(Bonds!$H283,6*(9-1)),0),EDATE(Bonds!$H283,6*(9-1))))</f>
        <v>47894</v>
      </c>
      <c r="N283" s="3">
        <f>IF(10&gt;$C283,"",IF($D283=1,EOMONTH(EDATE(Bonds!$H283,6*(10-1)),0),EDATE(Bonds!$H283,6*(10-1))))</f>
        <v>48075</v>
      </c>
      <c r="O283" s="3">
        <f>IF(11&gt;$C283,"",IF($D283=1,EOMONTH(EDATE(Bonds!$H283,6*(11-1)),0),EDATE(Bonds!$H283,6*(11-1))))</f>
        <v>48259</v>
      </c>
      <c r="P283" s="3">
        <f>IF(12&gt;$C283,"",IF($D283=1,EOMONTH(EDATE(Bonds!$H283,6*(12-1)),0),EDATE(Bonds!$H283,6*(12-1))))</f>
        <v>48441</v>
      </c>
      <c r="Q283" s="3">
        <f>IF(13&gt;$C283,"",IF($D283=1,EOMONTH(EDATE(Bonds!$H283,6*(13-1)),0),EDATE(Bonds!$H283,6*(13-1))))</f>
        <v>48625</v>
      </c>
      <c r="R283" s="3">
        <f>IF(14&gt;$C283,"",IF($D283=1,EOMONTH(EDATE(Bonds!$H283,6*(14-1)),0),EDATE(Bonds!$H283,6*(14-1))))</f>
        <v>48806</v>
      </c>
      <c r="S283" s="3">
        <f>IF(15&gt;$C283,"",IF($D283=1,EOMONTH(EDATE(Bonds!$H283,6*(15-1)),0),EDATE(Bonds!$H283,6*(15-1))))</f>
        <v>48990</v>
      </c>
      <c r="T283" s="3">
        <f>IF(16&gt;$C283,"",IF($D283=1,EOMONTH(EDATE(Bonds!$H283,6*(16-1)),0),EDATE(Bonds!$H283,6*(16-1))))</f>
        <v>49171</v>
      </c>
      <c r="U283" s="3">
        <f>IF(17&gt;$C283,"",IF($D283=1,EOMONTH(EDATE(Bonds!$H283,6*(17-1)),0),EDATE(Bonds!$H283,6*(17-1))))</f>
        <v>49355</v>
      </c>
      <c r="V283" s="3">
        <f>IF(18&gt;$C283,"",IF($D283=1,EOMONTH(EDATE(Bonds!$H283,6*(18-1)),0),EDATE(Bonds!$H283,6*(18-1))))</f>
        <v>49536</v>
      </c>
      <c r="W283" s="3">
        <f>IF(19&gt;$C283,"",IF($D283=1,EOMONTH(EDATE(Bonds!$H283,6*(19-1)),0),EDATE(Bonds!$H283,6*(19-1))))</f>
        <v>49720</v>
      </c>
      <c r="X283" s="3">
        <f>IF(20&gt;$C283,"",IF($D283=1,EOMONTH(EDATE(Bonds!$H283,6*(20-1)),0),EDATE(Bonds!$H283,6*(20-1))))</f>
        <v>49902</v>
      </c>
      <c r="Y283" s="3">
        <f>IF(21&gt;$C283,"",IF($D283=1,EOMONTH(EDATE(Bonds!$H283,6*(21-1)),0),EDATE(Bonds!$H283,6*(21-1))))</f>
        <v>50086</v>
      </c>
      <c r="Z283" s="3">
        <f>IF(22&gt;$C283,"",IF($D283=1,EOMONTH(EDATE(Bonds!$H283,6*(22-1)),0),EDATE(Bonds!$H283,6*(22-1))))</f>
        <v>50267</v>
      </c>
      <c r="AA283" s="3">
        <f>IF(23&gt;$C283,"",IF($D283=1,EOMONTH(EDATE(Bonds!$H283,6*(23-1)),0),EDATE(Bonds!$H283,6*(23-1))))</f>
        <v>50451</v>
      </c>
      <c r="AB283" s="3">
        <f>IF(24&gt;$C283,"",IF($D283=1,EOMONTH(EDATE(Bonds!$H283,6*(24-1)),0),EDATE(Bonds!$H283,6*(24-1))))</f>
        <v>50632</v>
      </c>
      <c r="AC283" s="3">
        <f>IF(25&gt;$C283,"",IF($D283=1,EOMONTH(EDATE(Bonds!$H283,6*(25-1)),0),EDATE(Bonds!$H283,6*(25-1))))</f>
        <v>50816</v>
      </c>
      <c r="AD283" s="3">
        <f>IF(26&gt;$C283,"",IF($D283=1,EOMONTH(EDATE(Bonds!$H283,6*(26-1)),0),EDATE(Bonds!$H283,6*(26-1))))</f>
        <v>50997</v>
      </c>
      <c r="AE283" s="3">
        <f>IF(27&gt;$C283,"",IF($D283=1,EOMONTH(EDATE(Bonds!$H283,6*(27-1)),0),EDATE(Bonds!$H283,6*(27-1))))</f>
        <v>51181</v>
      </c>
      <c r="AF283" s="3">
        <f>IF(28&gt;$C283,"",IF($D283=1,EOMONTH(EDATE(Bonds!$H283,6*(28-1)),0),EDATE(Bonds!$H283,6*(28-1))))</f>
        <v>51363</v>
      </c>
      <c r="AG283" s="3">
        <f>IF(29&gt;$C283,"",IF($D283=1,EOMONTH(EDATE(Bonds!$H283,6*(29-1)),0),EDATE(Bonds!$H283,6*(29-1))))</f>
        <v>51547</v>
      </c>
      <c r="AH283" s="3">
        <f>IF(30&gt;$C283,"",IF($D283=1,EOMONTH(EDATE(Bonds!$H283,6*(30-1)),0),EDATE(Bonds!$H283,6*(30-1))))</f>
        <v>51728</v>
      </c>
      <c r="AI283" s="3">
        <f>IF(31&gt;$C283,"",IF($D283=1,EOMONTH(EDATE(Bonds!$H283,6*(31-1)),0),EDATE(Bonds!$H283,6*(31-1))))</f>
        <v>51912</v>
      </c>
      <c r="AJ283" s="3" t="str">
        <f>IF(32&gt;$C283,"",IF($D283=1,EOMONTH(EDATE(Bonds!$H283,6*(32-1)),0),EDATE(Bonds!$H283,6*(32-1))))</f>
        <v/>
      </c>
      <c r="AK283" s="3" t="str">
        <f>IF(33&gt;$C283,"",IF($D283=1,EOMONTH(EDATE(Bonds!$H283,6*(33-1)),0),EDATE(Bonds!$H283,6*(33-1))))</f>
        <v/>
      </c>
      <c r="AL283" s="3" t="str">
        <f>IF(34&gt;$C283,"",IF($D283=1,EOMONTH(EDATE(Bonds!$H283,6*(34-1)),0),EDATE(Bonds!$H283,6*(34-1))))</f>
        <v/>
      </c>
      <c r="AM283" s="3" t="str">
        <f>IF(35&gt;$C283,"",IF($D283=1,EOMONTH(EDATE(Bonds!$H283,6*(35-1)),0),EDATE(Bonds!$H283,6*(35-1))))</f>
        <v/>
      </c>
      <c r="AN283" s="3" t="str">
        <f>IF(36&gt;$C283,"",IF($D283=1,EOMONTH(EDATE(Bonds!$H283,6*(36-1)),0),EDATE(Bonds!$H283,6*(36-1))))</f>
        <v/>
      </c>
      <c r="AO283" s="3" t="str">
        <f>IF(37&gt;$C283,"",IF($D283=1,EOMONTH(EDATE(Bonds!$H283,6*(37-1)),0),EDATE(Bonds!$H283,6*(37-1))))</f>
        <v/>
      </c>
      <c r="AP283" s="3" t="str">
        <f>IF(38&gt;$C283,"",IF($D283=1,EOMONTH(EDATE(Bonds!$H283,6*(38-1)),0),EDATE(Bonds!$H283,6*(38-1))))</f>
        <v/>
      </c>
      <c r="AQ283" s="3" t="str">
        <f>IF(39&gt;$C283,"",IF($D283=1,EOMONTH(EDATE(Bonds!$H283,6*(39-1)),0),EDATE(Bonds!$H283,6*(39-1))))</f>
        <v/>
      </c>
      <c r="AR283" s="3" t="str">
        <f>IF(40&gt;$C283,"",IF($D283=1,EOMONTH(EDATE(Bonds!$H283,6*(40-1)),0),EDATE(Bonds!$H283,6*(40-1))))</f>
        <v/>
      </c>
      <c r="AS283" s="3" t="str">
        <f>IF(41&gt;$C283,"",IF($D283=1,EOMONTH(EDATE(Bonds!$H283,6*(41-1)),0),EDATE(Bonds!$H283,6*(41-1))))</f>
        <v/>
      </c>
      <c r="AT283" s="3" t="str">
        <f>IF(42&gt;$C283,"",IF($D283=1,EOMONTH(EDATE(Bonds!$H283,6*(42-1)),0),EDATE(Bonds!$H283,6*(42-1))))</f>
        <v/>
      </c>
      <c r="AU283" s="3" t="str">
        <f>IF(43&gt;$C283,"",IF($D283=1,EOMONTH(EDATE(Bonds!$H283,6*(43-1)),0),EDATE(Bonds!$H283,6*(43-1))))</f>
        <v/>
      </c>
      <c r="AV283" s="3" t="str">
        <f>IF(44&gt;$C283,"",IF($D283=1,EOMONTH(EDATE(Bonds!$H283,6*(44-1)),0),EDATE(Bonds!$H283,6*(44-1))))</f>
        <v/>
      </c>
      <c r="AW283" s="3" t="str">
        <f>IF(45&gt;$C283,"",IF($D283=1,EOMONTH(EDATE(Bonds!$H283,6*(45-1)),0),EDATE(Bonds!$H283,6*(45-1))))</f>
        <v/>
      </c>
      <c r="AX283" s="3" t="str">
        <f>IF(46&gt;$C283,"",IF($D283=1,EOMONTH(EDATE(Bonds!$H283,6*(46-1)),0),EDATE(Bonds!$H283,6*(46-1))))</f>
        <v/>
      </c>
      <c r="AY283" s="3" t="str">
        <f>IF(47&gt;$C283,"",IF($D283=1,EOMONTH(EDATE(Bonds!$H283,6*(47-1)),0),EDATE(Bonds!$H283,6*(47-1))))</f>
        <v/>
      </c>
      <c r="AZ283" s="3" t="str">
        <f>IF(48&gt;$C283,"",IF($D283=1,EOMONTH(EDATE(Bonds!$H283,6*(48-1)),0),EDATE(Bonds!$H283,6*(48-1))))</f>
        <v/>
      </c>
      <c r="BA283" s="3" t="str">
        <f>IF(49&gt;$C283,"",IF($D283=1,EOMONTH(EDATE(Bonds!$H283,6*(49-1)),0),EDATE(Bonds!$H283,6*(49-1))))</f>
        <v/>
      </c>
      <c r="BB283" s="3" t="str">
        <f>IF(50&gt;$C283,"",IF($D283=1,EOMONTH(EDATE(Bonds!$H283,6*(50-1)),0),EDATE(Bonds!$H283,6*(50-1))))</f>
        <v/>
      </c>
      <c r="BC283" s="3" t="str">
        <f>IF(51&gt;$C283,"",IF($D283=1,EOMONTH(EDATE(Bonds!$H283,6*(51-1)),0),EDATE(Bonds!$H283,6*(51-1))))</f>
        <v/>
      </c>
      <c r="BD283" s="3" t="str">
        <f>IF(52&gt;$C283,"",IF($D283=1,EOMONTH(EDATE(Bonds!$H283,6*(52-1)),0),EDATE(Bonds!$H283,6*(52-1))))</f>
        <v/>
      </c>
      <c r="BE283" s="3" t="str">
        <f>IF(53&gt;$C283,"",IF($D283=1,EOMONTH(EDATE(Bonds!$H283,6*(53-1)),0),EDATE(Bonds!$H283,6*(53-1))))</f>
        <v/>
      </c>
      <c r="BF283" s="3" t="str">
        <f>IF(54&gt;$C283,"",IF($D283=1,EOMONTH(EDATE(Bonds!$H283,6*(54-1)),0),EDATE(Bonds!$H283,6*(54-1))))</f>
        <v/>
      </c>
      <c r="BG283" s="3" t="str">
        <f>IF(55&gt;$C283,"",IF($D283=1,EOMONTH(EDATE(Bonds!$H283,6*(55-1)),0),EDATE(Bonds!$H283,6*(55-1))))</f>
        <v/>
      </c>
      <c r="BH283" s="3" t="str">
        <f>IF(56&gt;$C283,"",IF($D283=1,EOMONTH(EDATE(Bonds!$H283,6*(56-1)),0),EDATE(Bonds!$H283,6*(56-1))))</f>
        <v/>
      </c>
      <c r="BI283" s="3" t="str">
        <f>IF(57&gt;$C283,"",IF($D283=1,EOMONTH(EDATE(Bonds!$H283,6*(57-1)),0),EDATE(Bonds!$H283,6*(57-1))))</f>
        <v/>
      </c>
      <c r="BJ283" s="3" t="str">
        <f>IF(58&gt;$C283,"",IF($D283=1,EOMONTH(EDATE(Bonds!$H283,6*(58-1)),0),EDATE(Bonds!$H283,6*(58-1))))</f>
        <v/>
      </c>
      <c r="BK283" s="3" t="str">
        <f>IF(59&gt;$C283,"",IF($D283=1,EOMONTH(EDATE(Bonds!$H283,6*(59-1)),0),EDATE(Bonds!$H283,6*(59-1))))</f>
        <v/>
      </c>
      <c r="BL283" s="3" t="str">
        <f>IF(60&gt;$C283,"",IF($D283=1,EOMONTH(EDATE(Bonds!$H283,6*(60-1)),0),EDATE(Bonds!$H283,6*(60-1))))</f>
        <v/>
      </c>
      <c r="BN283" s="7">
        <f t="shared" si="245"/>
        <v>1.1673593852087087</v>
      </c>
      <c r="BO283" s="7">
        <f t="shared" si="246"/>
        <v>1.1427534061937736</v>
      </c>
      <c r="BP283" s="7">
        <f t="shared" si="247"/>
        <v>1.1171217530568662</v>
      </c>
      <c r="BQ283" s="7">
        <f t="shared" si="248"/>
        <v>1.0919163112041097</v>
      </c>
      <c r="BR283" s="7">
        <f t="shared" si="249"/>
        <v>1.0669356382390143</v>
      </c>
      <c r="BS283" s="7">
        <f t="shared" si="250"/>
        <v>1.0429622615458827</v>
      </c>
      <c r="BT283" s="7">
        <f t="shared" si="251"/>
        <v>1.0191834348175501</v>
      </c>
      <c r="BU283" s="7">
        <f t="shared" si="252"/>
        <v>0.99629915298927596</v>
      </c>
      <c r="BV283" s="7">
        <f t="shared" si="253"/>
        <v>0.97345526160304285</v>
      </c>
      <c r="BW283" s="7">
        <f t="shared" si="254"/>
        <v>0.95130699372609195</v>
      </c>
      <c r="BX283" s="7">
        <f t="shared" si="255"/>
        <v>0.92904359418985305</v>
      </c>
      <c r="BY283" s="7">
        <f t="shared" si="256"/>
        <v>0.90721572388052896</v>
      </c>
      <c r="BZ283" s="7">
        <f t="shared" si="257"/>
        <v>0.88530637099463394</v>
      </c>
      <c r="CA283" s="7">
        <f t="shared" si="258"/>
        <v>0.8638910836879472</v>
      </c>
      <c r="CB283" s="7">
        <f t="shared" si="259"/>
        <v>0.84225649221139065</v>
      </c>
      <c r="CC283" s="7">
        <f t="shared" si="260"/>
        <v>0.82111671972908706</v>
      </c>
      <c r="CD283" s="7">
        <f t="shared" si="261"/>
        <v>0.79978909577523782</v>
      </c>
      <c r="CE283" s="7">
        <f t="shared" si="262"/>
        <v>0.77899313492442634</v>
      </c>
      <c r="CF283" s="7">
        <f t="shared" si="263"/>
        <v>0.75806813222920488</v>
      </c>
      <c r="CG283" s="7">
        <f t="shared" si="264"/>
        <v>0.73761485365457613</v>
      </c>
      <c r="CH283" s="7">
        <f t="shared" si="265"/>
        <v>0.71721516707717159</v>
      </c>
      <c r="CI283" s="7">
        <f t="shared" si="266"/>
        <v>0.69745104674714176</v>
      </c>
      <c r="CJ283" s="7">
        <f t="shared" si="267"/>
        <v>0.67769616454572923</v>
      </c>
      <c r="CK283" s="7">
        <f t="shared" si="268"/>
        <v>0.65862065050475527</v>
      </c>
      <c r="CL283" s="7">
        <f t="shared" si="269"/>
        <v>0.63961595249015335</v>
      </c>
      <c r="CM283" s="7">
        <f t="shared" si="270"/>
        <v>0.62132213760802524</v>
      </c>
      <c r="CN283" s="7">
        <f t="shared" si="271"/>
        <v>0.6031504879860905</v>
      </c>
      <c r="CO283" s="7">
        <f t="shared" si="272"/>
        <v>0.58561270213407279</v>
      </c>
      <c r="CP283" s="7">
        <f t="shared" si="273"/>
        <v>0.56833498422906048</v>
      </c>
      <c r="CQ283" s="7">
        <f t="shared" si="274"/>
        <v>0.55179170849509951</v>
      </c>
      <c r="CR283" s="7">
        <f t="shared" si="275"/>
        <v>45.625167308646652</v>
      </c>
      <c r="CS283" s="7">
        <f t="shared" si="276"/>
        <v>0</v>
      </c>
      <c r="CT283" s="7">
        <f t="shared" si="277"/>
        <v>0</v>
      </c>
      <c r="CU283" s="7">
        <f t="shared" si="278"/>
        <v>0</v>
      </c>
      <c r="CV283" s="7">
        <f t="shared" si="279"/>
        <v>0</v>
      </c>
      <c r="CW283" s="7">
        <f t="shared" si="280"/>
        <v>0</v>
      </c>
      <c r="CX283" s="7">
        <f t="shared" si="281"/>
        <v>0</v>
      </c>
      <c r="CY283" s="7">
        <f t="shared" si="282"/>
        <v>0</v>
      </c>
      <c r="CZ283" s="7">
        <f t="shared" si="283"/>
        <v>0</v>
      </c>
      <c r="DA283" s="7">
        <f t="shared" si="284"/>
        <v>0</v>
      </c>
      <c r="DB283" s="7">
        <f t="shared" si="285"/>
        <v>0</v>
      </c>
      <c r="DC283" s="7">
        <f t="shared" si="286"/>
        <v>0</v>
      </c>
      <c r="DD283" s="7">
        <f t="shared" si="287"/>
        <v>0</v>
      </c>
      <c r="DE283" s="7">
        <f t="shared" si="288"/>
        <v>0</v>
      </c>
      <c r="DF283" s="7">
        <f t="shared" si="289"/>
        <v>0</v>
      </c>
      <c r="DG283" s="7">
        <f t="shared" si="290"/>
        <v>0</v>
      </c>
      <c r="DH283" s="7">
        <f t="shared" si="291"/>
        <v>0</v>
      </c>
      <c r="DI283" s="7">
        <f t="shared" si="292"/>
        <v>0</v>
      </c>
      <c r="DJ283" s="7">
        <f t="shared" si="293"/>
        <v>0</v>
      </c>
      <c r="DK283" s="7">
        <f t="shared" si="294"/>
        <v>0</v>
      </c>
      <c r="DL283" s="7">
        <f t="shared" si="295"/>
        <v>0</v>
      </c>
      <c r="DM283" s="7">
        <f t="shared" si="296"/>
        <v>0</v>
      </c>
      <c r="DN283" s="7">
        <f t="shared" si="297"/>
        <v>0</v>
      </c>
      <c r="DO283" s="7">
        <f t="shared" si="298"/>
        <v>0</v>
      </c>
      <c r="DP283" s="7">
        <f t="shared" si="299"/>
        <v>0</v>
      </c>
      <c r="DQ283" s="7">
        <f t="shared" si="300"/>
        <v>0</v>
      </c>
      <c r="DR283" s="7">
        <f t="shared" si="301"/>
        <v>0</v>
      </c>
      <c r="DS283" s="7">
        <f t="shared" si="302"/>
        <v>0</v>
      </c>
      <c r="DT283" s="7">
        <f t="shared" si="303"/>
        <v>0</v>
      </c>
      <c r="DU283" s="7">
        <f t="shared" si="304"/>
        <v>0</v>
      </c>
    </row>
    <row r="284" spans="1:125" x14ac:dyDescent="0.2">
      <c r="A284" s="3">
        <f>Bonds!A284</f>
        <v>51912</v>
      </c>
      <c r="B284" s="4">
        <f>Bonds!B284</f>
        <v>3.125</v>
      </c>
      <c r="C284">
        <f>Bonds!P284</f>
        <v>31</v>
      </c>
      <c r="D284">
        <f t="shared" si="244"/>
        <v>0</v>
      </c>
      <c r="E284" s="3">
        <f>IF(1&gt;$C284,"",IF($D284=1,EOMONTH(EDATE(Bonds!$H284,6*(1-1)),0),EDATE(Bonds!$H284,6*(1-1))))</f>
        <v>46433</v>
      </c>
      <c r="F284" s="3">
        <f>IF(2&gt;$C284,"",IF($D284=1,EOMONTH(EDATE(Bonds!$H284,6*(2-1)),0),EDATE(Bonds!$H284,6*(2-1))))</f>
        <v>46614</v>
      </c>
      <c r="G284" s="3">
        <f>IF(3&gt;$C284,"",IF($D284=1,EOMONTH(EDATE(Bonds!$H284,6*(3-1)),0),EDATE(Bonds!$H284,6*(3-1))))</f>
        <v>46798</v>
      </c>
      <c r="H284" s="3">
        <f>IF(4&gt;$C284,"",IF($D284=1,EOMONTH(EDATE(Bonds!$H284,6*(4-1)),0),EDATE(Bonds!$H284,6*(4-1))))</f>
        <v>46980</v>
      </c>
      <c r="I284" s="3">
        <f>IF(5&gt;$C284,"",IF($D284=1,EOMONTH(EDATE(Bonds!$H284,6*(5-1)),0),EDATE(Bonds!$H284,6*(5-1))))</f>
        <v>47164</v>
      </c>
      <c r="J284" s="3">
        <f>IF(6&gt;$C284,"",IF($D284=1,EOMONTH(EDATE(Bonds!$H284,6*(6-1)),0),EDATE(Bonds!$H284,6*(6-1))))</f>
        <v>47345</v>
      </c>
      <c r="K284" s="3">
        <f>IF(7&gt;$C284,"",IF($D284=1,EOMONTH(EDATE(Bonds!$H284,6*(7-1)),0),EDATE(Bonds!$H284,6*(7-1))))</f>
        <v>47529</v>
      </c>
      <c r="L284" s="3">
        <f>IF(8&gt;$C284,"",IF($D284=1,EOMONTH(EDATE(Bonds!$H284,6*(8-1)),0),EDATE(Bonds!$H284,6*(8-1))))</f>
        <v>47710</v>
      </c>
      <c r="M284" s="3">
        <f>IF(9&gt;$C284,"",IF($D284=1,EOMONTH(EDATE(Bonds!$H284,6*(9-1)),0),EDATE(Bonds!$H284,6*(9-1))))</f>
        <v>47894</v>
      </c>
      <c r="N284" s="3">
        <f>IF(10&gt;$C284,"",IF($D284=1,EOMONTH(EDATE(Bonds!$H284,6*(10-1)),0),EDATE(Bonds!$H284,6*(10-1))))</f>
        <v>48075</v>
      </c>
      <c r="O284" s="3">
        <f>IF(11&gt;$C284,"",IF($D284=1,EOMONTH(EDATE(Bonds!$H284,6*(11-1)),0),EDATE(Bonds!$H284,6*(11-1))))</f>
        <v>48259</v>
      </c>
      <c r="P284" s="3">
        <f>IF(12&gt;$C284,"",IF($D284=1,EOMONTH(EDATE(Bonds!$H284,6*(12-1)),0),EDATE(Bonds!$H284,6*(12-1))))</f>
        <v>48441</v>
      </c>
      <c r="Q284" s="3">
        <f>IF(13&gt;$C284,"",IF($D284=1,EOMONTH(EDATE(Bonds!$H284,6*(13-1)),0),EDATE(Bonds!$H284,6*(13-1))))</f>
        <v>48625</v>
      </c>
      <c r="R284" s="3">
        <f>IF(14&gt;$C284,"",IF($D284=1,EOMONTH(EDATE(Bonds!$H284,6*(14-1)),0),EDATE(Bonds!$H284,6*(14-1))))</f>
        <v>48806</v>
      </c>
      <c r="S284" s="3">
        <f>IF(15&gt;$C284,"",IF($D284=1,EOMONTH(EDATE(Bonds!$H284,6*(15-1)),0),EDATE(Bonds!$H284,6*(15-1))))</f>
        <v>48990</v>
      </c>
      <c r="T284" s="3">
        <f>IF(16&gt;$C284,"",IF($D284=1,EOMONTH(EDATE(Bonds!$H284,6*(16-1)),0),EDATE(Bonds!$H284,6*(16-1))))</f>
        <v>49171</v>
      </c>
      <c r="U284" s="3">
        <f>IF(17&gt;$C284,"",IF($D284=1,EOMONTH(EDATE(Bonds!$H284,6*(17-1)),0),EDATE(Bonds!$H284,6*(17-1))))</f>
        <v>49355</v>
      </c>
      <c r="V284" s="3">
        <f>IF(18&gt;$C284,"",IF($D284=1,EOMONTH(EDATE(Bonds!$H284,6*(18-1)),0),EDATE(Bonds!$H284,6*(18-1))))</f>
        <v>49536</v>
      </c>
      <c r="W284" s="3">
        <f>IF(19&gt;$C284,"",IF($D284=1,EOMONTH(EDATE(Bonds!$H284,6*(19-1)),0),EDATE(Bonds!$H284,6*(19-1))))</f>
        <v>49720</v>
      </c>
      <c r="X284" s="3">
        <f>IF(20&gt;$C284,"",IF($D284=1,EOMONTH(EDATE(Bonds!$H284,6*(20-1)),0),EDATE(Bonds!$H284,6*(20-1))))</f>
        <v>49902</v>
      </c>
      <c r="Y284" s="3">
        <f>IF(21&gt;$C284,"",IF($D284=1,EOMONTH(EDATE(Bonds!$H284,6*(21-1)),0),EDATE(Bonds!$H284,6*(21-1))))</f>
        <v>50086</v>
      </c>
      <c r="Z284" s="3">
        <f>IF(22&gt;$C284,"",IF($D284=1,EOMONTH(EDATE(Bonds!$H284,6*(22-1)),0),EDATE(Bonds!$H284,6*(22-1))))</f>
        <v>50267</v>
      </c>
      <c r="AA284" s="3">
        <f>IF(23&gt;$C284,"",IF($D284=1,EOMONTH(EDATE(Bonds!$H284,6*(23-1)),0),EDATE(Bonds!$H284,6*(23-1))))</f>
        <v>50451</v>
      </c>
      <c r="AB284" s="3">
        <f>IF(24&gt;$C284,"",IF($D284=1,EOMONTH(EDATE(Bonds!$H284,6*(24-1)),0),EDATE(Bonds!$H284,6*(24-1))))</f>
        <v>50632</v>
      </c>
      <c r="AC284" s="3">
        <f>IF(25&gt;$C284,"",IF($D284=1,EOMONTH(EDATE(Bonds!$H284,6*(25-1)),0),EDATE(Bonds!$H284,6*(25-1))))</f>
        <v>50816</v>
      </c>
      <c r="AD284" s="3">
        <f>IF(26&gt;$C284,"",IF($D284=1,EOMONTH(EDATE(Bonds!$H284,6*(26-1)),0),EDATE(Bonds!$H284,6*(26-1))))</f>
        <v>50997</v>
      </c>
      <c r="AE284" s="3">
        <f>IF(27&gt;$C284,"",IF($D284=1,EOMONTH(EDATE(Bonds!$H284,6*(27-1)),0),EDATE(Bonds!$H284,6*(27-1))))</f>
        <v>51181</v>
      </c>
      <c r="AF284" s="3">
        <f>IF(28&gt;$C284,"",IF($D284=1,EOMONTH(EDATE(Bonds!$H284,6*(28-1)),0),EDATE(Bonds!$H284,6*(28-1))))</f>
        <v>51363</v>
      </c>
      <c r="AG284" s="3">
        <f>IF(29&gt;$C284,"",IF($D284=1,EOMONTH(EDATE(Bonds!$H284,6*(29-1)),0),EDATE(Bonds!$H284,6*(29-1))))</f>
        <v>51547</v>
      </c>
      <c r="AH284" s="3">
        <f>IF(30&gt;$C284,"",IF($D284=1,EOMONTH(EDATE(Bonds!$H284,6*(30-1)),0),EDATE(Bonds!$H284,6*(30-1))))</f>
        <v>51728</v>
      </c>
      <c r="AI284" s="3">
        <f>IF(31&gt;$C284,"",IF($D284=1,EOMONTH(EDATE(Bonds!$H284,6*(31-1)),0),EDATE(Bonds!$H284,6*(31-1))))</f>
        <v>51912</v>
      </c>
      <c r="AJ284" s="3" t="str">
        <f>IF(32&gt;$C284,"",IF($D284=1,EOMONTH(EDATE(Bonds!$H284,6*(32-1)),0),EDATE(Bonds!$H284,6*(32-1))))</f>
        <v/>
      </c>
      <c r="AK284" s="3" t="str">
        <f>IF(33&gt;$C284,"",IF($D284=1,EOMONTH(EDATE(Bonds!$H284,6*(33-1)),0),EDATE(Bonds!$H284,6*(33-1))))</f>
        <v/>
      </c>
      <c r="AL284" s="3" t="str">
        <f>IF(34&gt;$C284,"",IF($D284=1,EOMONTH(EDATE(Bonds!$H284,6*(34-1)),0),EDATE(Bonds!$H284,6*(34-1))))</f>
        <v/>
      </c>
      <c r="AM284" s="3" t="str">
        <f>IF(35&gt;$C284,"",IF($D284=1,EOMONTH(EDATE(Bonds!$H284,6*(35-1)),0),EDATE(Bonds!$H284,6*(35-1))))</f>
        <v/>
      </c>
      <c r="AN284" s="3" t="str">
        <f>IF(36&gt;$C284,"",IF($D284=1,EOMONTH(EDATE(Bonds!$H284,6*(36-1)),0),EDATE(Bonds!$H284,6*(36-1))))</f>
        <v/>
      </c>
      <c r="AO284" s="3" t="str">
        <f>IF(37&gt;$C284,"",IF($D284=1,EOMONTH(EDATE(Bonds!$H284,6*(37-1)),0),EDATE(Bonds!$H284,6*(37-1))))</f>
        <v/>
      </c>
      <c r="AP284" s="3" t="str">
        <f>IF(38&gt;$C284,"",IF($D284=1,EOMONTH(EDATE(Bonds!$H284,6*(38-1)),0),EDATE(Bonds!$H284,6*(38-1))))</f>
        <v/>
      </c>
      <c r="AQ284" s="3" t="str">
        <f>IF(39&gt;$C284,"",IF($D284=1,EOMONTH(EDATE(Bonds!$H284,6*(39-1)),0),EDATE(Bonds!$H284,6*(39-1))))</f>
        <v/>
      </c>
      <c r="AR284" s="3" t="str">
        <f>IF(40&gt;$C284,"",IF($D284=1,EOMONTH(EDATE(Bonds!$H284,6*(40-1)),0),EDATE(Bonds!$H284,6*(40-1))))</f>
        <v/>
      </c>
      <c r="AS284" s="3" t="str">
        <f>IF(41&gt;$C284,"",IF($D284=1,EOMONTH(EDATE(Bonds!$H284,6*(41-1)),0),EDATE(Bonds!$H284,6*(41-1))))</f>
        <v/>
      </c>
      <c r="AT284" s="3" t="str">
        <f>IF(42&gt;$C284,"",IF($D284=1,EOMONTH(EDATE(Bonds!$H284,6*(42-1)),0),EDATE(Bonds!$H284,6*(42-1))))</f>
        <v/>
      </c>
      <c r="AU284" s="3" t="str">
        <f>IF(43&gt;$C284,"",IF($D284=1,EOMONTH(EDATE(Bonds!$H284,6*(43-1)),0),EDATE(Bonds!$H284,6*(43-1))))</f>
        <v/>
      </c>
      <c r="AV284" s="3" t="str">
        <f>IF(44&gt;$C284,"",IF($D284=1,EOMONTH(EDATE(Bonds!$H284,6*(44-1)),0),EDATE(Bonds!$H284,6*(44-1))))</f>
        <v/>
      </c>
      <c r="AW284" s="3" t="str">
        <f>IF(45&gt;$C284,"",IF($D284=1,EOMONTH(EDATE(Bonds!$H284,6*(45-1)),0),EDATE(Bonds!$H284,6*(45-1))))</f>
        <v/>
      </c>
      <c r="AX284" s="3" t="str">
        <f>IF(46&gt;$C284,"",IF($D284=1,EOMONTH(EDATE(Bonds!$H284,6*(46-1)),0),EDATE(Bonds!$H284,6*(46-1))))</f>
        <v/>
      </c>
      <c r="AY284" s="3" t="str">
        <f>IF(47&gt;$C284,"",IF($D284=1,EOMONTH(EDATE(Bonds!$H284,6*(47-1)),0),EDATE(Bonds!$H284,6*(47-1))))</f>
        <v/>
      </c>
      <c r="AZ284" s="3" t="str">
        <f>IF(48&gt;$C284,"",IF($D284=1,EOMONTH(EDATE(Bonds!$H284,6*(48-1)),0),EDATE(Bonds!$H284,6*(48-1))))</f>
        <v/>
      </c>
      <c r="BA284" s="3" t="str">
        <f>IF(49&gt;$C284,"",IF($D284=1,EOMONTH(EDATE(Bonds!$H284,6*(49-1)),0),EDATE(Bonds!$H284,6*(49-1))))</f>
        <v/>
      </c>
      <c r="BB284" s="3" t="str">
        <f>IF(50&gt;$C284,"",IF($D284=1,EOMONTH(EDATE(Bonds!$H284,6*(50-1)),0),EDATE(Bonds!$H284,6*(50-1))))</f>
        <v/>
      </c>
      <c r="BC284" s="3" t="str">
        <f>IF(51&gt;$C284,"",IF($D284=1,EOMONTH(EDATE(Bonds!$H284,6*(51-1)),0),EDATE(Bonds!$H284,6*(51-1))))</f>
        <v/>
      </c>
      <c r="BD284" s="3" t="str">
        <f>IF(52&gt;$C284,"",IF($D284=1,EOMONTH(EDATE(Bonds!$H284,6*(52-1)),0),EDATE(Bonds!$H284,6*(52-1))))</f>
        <v/>
      </c>
      <c r="BE284" s="3" t="str">
        <f>IF(53&gt;$C284,"",IF($D284=1,EOMONTH(EDATE(Bonds!$H284,6*(53-1)),0),EDATE(Bonds!$H284,6*(53-1))))</f>
        <v/>
      </c>
      <c r="BF284" s="3" t="str">
        <f>IF(54&gt;$C284,"",IF($D284=1,EOMONTH(EDATE(Bonds!$H284,6*(54-1)),0),EDATE(Bonds!$H284,6*(54-1))))</f>
        <v/>
      </c>
      <c r="BG284" s="3" t="str">
        <f>IF(55&gt;$C284,"",IF($D284=1,EOMONTH(EDATE(Bonds!$H284,6*(55-1)),0),EDATE(Bonds!$H284,6*(55-1))))</f>
        <v/>
      </c>
      <c r="BH284" s="3" t="str">
        <f>IF(56&gt;$C284,"",IF($D284=1,EOMONTH(EDATE(Bonds!$H284,6*(56-1)),0),EDATE(Bonds!$H284,6*(56-1))))</f>
        <v/>
      </c>
      <c r="BI284" s="3" t="str">
        <f>IF(57&gt;$C284,"",IF($D284=1,EOMONTH(EDATE(Bonds!$H284,6*(57-1)),0),EDATE(Bonds!$H284,6*(57-1))))</f>
        <v/>
      </c>
      <c r="BJ284" s="3" t="str">
        <f>IF(58&gt;$C284,"",IF($D284=1,EOMONTH(EDATE(Bonds!$H284,6*(58-1)),0),EDATE(Bonds!$H284,6*(58-1))))</f>
        <v/>
      </c>
      <c r="BK284" s="3" t="str">
        <f>IF(59&gt;$C284,"",IF($D284=1,EOMONTH(EDATE(Bonds!$H284,6*(59-1)),0),EDATE(Bonds!$H284,6*(59-1))))</f>
        <v/>
      </c>
      <c r="BL284" s="3" t="str">
        <f>IF(60&gt;$C284,"",IF($D284=1,EOMONTH(EDATE(Bonds!$H284,6*(60-1)),0),EDATE(Bonds!$H284,6*(60-1))))</f>
        <v/>
      </c>
      <c r="BN284" s="7">
        <f t="shared" si="245"/>
        <v>1.5359991910640904</v>
      </c>
      <c r="BO284" s="7">
        <f t="shared" si="246"/>
        <v>1.5036229028865442</v>
      </c>
      <c r="BP284" s="7">
        <f t="shared" si="247"/>
        <v>1.4698970434958767</v>
      </c>
      <c r="BQ284" s="7">
        <f t="shared" si="248"/>
        <v>1.43673198842646</v>
      </c>
      <c r="BR284" s="7">
        <f t="shared" si="249"/>
        <v>1.4038626818934399</v>
      </c>
      <c r="BS284" s="7">
        <f t="shared" si="250"/>
        <v>1.3723187651919508</v>
      </c>
      <c r="BT284" s="7">
        <f t="shared" si="251"/>
        <v>1.3410308352862501</v>
      </c>
      <c r="BU284" s="7">
        <f t="shared" si="252"/>
        <v>1.3109199381437842</v>
      </c>
      <c r="BV284" s="7">
        <f t="shared" si="253"/>
        <v>1.2808621863197933</v>
      </c>
      <c r="BW284" s="7">
        <f t="shared" si="254"/>
        <v>1.251719728586963</v>
      </c>
      <c r="BX284" s="7">
        <f t="shared" si="255"/>
        <v>1.2224257818287541</v>
      </c>
      <c r="BY284" s="7">
        <f t="shared" si="256"/>
        <v>1.1937048998428013</v>
      </c>
      <c r="BZ284" s="7">
        <f t="shared" si="257"/>
        <v>1.1648768039403079</v>
      </c>
      <c r="CA284" s="7">
        <f t="shared" si="258"/>
        <v>1.1366987943262463</v>
      </c>
      <c r="CB284" s="7">
        <f t="shared" si="259"/>
        <v>1.1082322265939351</v>
      </c>
      <c r="CC284" s="7">
        <f t="shared" si="260"/>
        <v>1.080416736485641</v>
      </c>
      <c r="CD284" s="7">
        <f t="shared" si="261"/>
        <v>1.0523540733884709</v>
      </c>
      <c r="CE284" s="7">
        <f t="shared" si="262"/>
        <v>1.0249909670058241</v>
      </c>
      <c r="CF284" s="7">
        <f t="shared" si="263"/>
        <v>0.99745806872263798</v>
      </c>
      <c r="CG284" s="7">
        <f t="shared" si="264"/>
        <v>0.97054586007181076</v>
      </c>
      <c r="CH284" s="7">
        <f t="shared" si="265"/>
        <v>0.94370416720680472</v>
      </c>
      <c r="CI284" s="7">
        <f t="shared" si="266"/>
        <v>0.91769874571992349</v>
      </c>
      <c r="CJ284" s="7">
        <f t="shared" si="267"/>
        <v>0.89170547966543312</v>
      </c>
      <c r="CK284" s="7">
        <f t="shared" si="268"/>
        <v>0.86660611908520435</v>
      </c>
      <c r="CL284" s="7">
        <f t="shared" si="269"/>
        <v>0.84159993748704387</v>
      </c>
      <c r="CM284" s="7">
        <f t="shared" si="270"/>
        <v>0.81752912843161218</v>
      </c>
      <c r="CN284" s="7">
        <f t="shared" si="271"/>
        <v>0.79361906313959274</v>
      </c>
      <c r="CO284" s="7">
        <f t="shared" si="272"/>
        <v>0.77054302912377992</v>
      </c>
      <c r="CP284" s="7">
        <f t="shared" si="273"/>
        <v>0.7478091897750796</v>
      </c>
      <c r="CQ284" s="7">
        <f t="shared" si="274"/>
        <v>0.72604172170407832</v>
      </c>
      <c r="CR284" s="7">
        <f t="shared" si="275"/>
        <v>45.794253784157391</v>
      </c>
      <c r="CS284" s="7">
        <f t="shared" si="276"/>
        <v>0</v>
      </c>
      <c r="CT284" s="7">
        <f t="shared" si="277"/>
        <v>0</v>
      </c>
      <c r="CU284" s="7">
        <f t="shared" si="278"/>
        <v>0</v>
      </c>
      <c r="CV284" s="7">
        <f t="shared" si="279"/>
        <v>0</v>
      </c>
      <c r="CW284" s="7">
        <f t="shared" si="280"/>
        <v>0</v>
      </c>
      <c r="CX284" s="7">
        <f t="shared" si="281"/>
        <v>0</v>
      </c>
      <c r="CY284" s="7">
        <f t="shared" si="282"/>
        <v>0</v>
      </c>
      <c r="CZ284" s="7">
        <f t="shared" si="283"/>
        <v>0</v>
      </c>
      <c r="DA284" s="7">
        <f t="shared" si="284"/>
        <v>0</v>
      </c>
      <c r="DB284" s="7">
        <f t="shared" si="285"/>
        <v>0</v>
      </c>
      <c r="DC284" s="7">
        <f t="shared" si="286"/>
        <v>0</v>
      </c>
      <c r="DD284" s="7">
        <f t="shared" si="287"/>
        <v>0</v>
      </c>
      <c r="DE284" s="7">
        <f t="shared" si="288"/>
        <v>0</v>
      </c>
      <c r="DF284" s="7">
        <f t="shared" si="289"/>
        <v>0</v>
      </c>
      <c r="DG284" s="7">
        <f t="shared" si="290"/>
        <v>0</v>
      </c>
      <c r="DH284" s="7">
        <f t="shared" si="291"/>
        <v>0</v>
      </c>
      <c r="DI284" s="7">
        <f t="shared" si="292"/>
        <v>0</v>
      </c>
      <c r="DJ284" s="7">
        <f t="shared" si="293"/>
        <v>0</v>
      </c>
      <c r="DK284" s="7">
        <f t="shared" si="294"/>
        <v>0</v>
      </c>
      <c r="DL284" s="7">
        <f t="shared" si="295"/>
        <v>0</v>
      </c>
      <c r="DM284" s="7">
        <f t="shared" si="296"/>
        <v>0</v>
      </c>
      <c r="DN284" s="7">
        <f t="shared" si="297"/>
        <v>0</v>
      </c>
      <c r="DO284" s="7">
        <f t="shared" si="298"/>
        <v>0</v>
      </c>
      <c r="DP284" s="7">
        <f t="shared" si="299"/>
        <v>0</v>
      </c>
      <c r="DQ284" s="7">
        <f t="shared" si="300"/>
        <v>0</v>
      </c>
      <c r="DR284" s="7">
        <f t="shared" si="301"/>
        <v>0</v>
      </c>
      <c r="DS284" s="7">
        <f t="shared" si="302"/>
        <v>0</v>
      </c>
      <c r="DT284" s="7">
        <f t="shared" si="303"/>
        <v>0</v>
      </c>
      <c r="DU284" s="7">
        <f t="shared" si="304"/>
        <v>0</v>
      </c>
    </row>
    <row r="285" spans="1:125" x14ac:dyDescent="0.2">
      <c r="A285" s="3">
        <f>Bonds!A285</f>
        <v>52001</v>
      </c>
      <c r="B285" s="4">
        <f>Bonds!B285</f>
        <v>3</v>
      </c>
      <c r="C285">
        <f>Bonds!P285</f>
        <v>32</v>
      </c>
      <c r="D285">
        <f t="shared" si="244"/>
        <v>0</v>
      </c>
      <c r="E285" s="3">
        <f>IF(1&gt;$C285,"",IF($D285=1,EOMONTH(EDATE(Bonds!$H285,6*(1-1)),0),EDATE(Bonds!$H285,6*(1-1))))</f>
        <v>46341</v>
      </c>
      <c r="F285" s="3">
        <f>IF(2&gt;$C285,"",IF($D285=1,EOMONTH(EDATE(Bonds!$H285,6*(2-1)),0),EDATE(Bonds!$H285,6*(2-1))))</f>
        <v>46522</v>
      </c>
      <c r="G285" s="3">
        <f>IF(3&gt;$C285,"",IF($D285=1,EOMONTH(EDATE(Bonds!$H285,6*(3-1)),0),EDATE(Bonds!$H285,6*(3-1))))</f>
        <v>46706</v>
      </c>
      <c r="H285" s="3">
        <f>IF(4&gt;$C285,"",IF($D285=1,EOMONTH(EDATE(Bonds!$H285,6*(4-1)),0),EDATE(Bonds!$H285,6*(4-1))))</f>
        <v>46888</v>
      </c>
      <c r="I285" s="3">
        <f>IF(5&gt;$C285,"",IF($D285=1,EOMONTH(EDATE(Bonds!$H285,6*(5-1)),0),EDATE(Bonds!$H285,6*(5-1))))</f>
        <v>47072</v>
      </c>
      <c r="J285" s="3">
        <f>IF(6&gt;$C285,"",IF($D285=1,EOMONTH(EDATE(Bonds!$H285,6*(6-1)),0),EDATE(Bonds!$H285,6*(6-1))))</f>
        <v>47253</v>
      </c>
      <c r="K285" s="3">
        <f>IF(7&gt;$C285,"",IF($D285=1,EOMONTH(EDATE(Bonds!$H285,6*(7-1)),0),EDATE(Bonds!$H285,6*(7-1))))</f>
        <v>47437</v>
      </c>
      <c r="L285" s="3">
        <f>IF(8&gt;$C285,"",IF($D285=1,EOMONTH(EDATE(Bonds!$H285,6*(8-1)),0),EDATE(Bonds!$H285,6*(8-1))))</f>
        <v>47618</v>
      </c>
      <c r="M285" s="3">
        <f>IF(9&gt;$C285,"",IF($D285=1,EOMONTH(EDATE(Bonds!$H285,6*(9-1)),0),EDATE(Bonds!$H285,6*(9-1))))</f>
        <v>47802</v>
      </c>
      <c r="N285" s="3">
        <f>IF(10&gt;$C285,"",IF($D285=1,EOMONTH(EDATE(Bonds!$H285,6*(10-1)),0),EDATE(Bonds!$H285,6*(10-1))))</f>
        <v>47983</v>
      </c>
      <c r="O285" s="3">
        <f>IF(11&gt;$C285,"",IF($D285=1,EOMONTH(EDATE(Bonds!$H285,6*(11-1)),0),EDATE(Bonds!$H285,6*(11-1))))</f>
        <v>48167</v>
      </c>
      <c r="P285" s="3">
        <f>IF(12&gt;$C285,"",IF($D285=1,EOMONTH(EDATE(Bonds!$H285,6*(12-1)),0),EDATE(Bonds!$H285,6*(12-1))))</f>
        <v>48349</v>
      </c>
      <c r="Q285" s="3">
        <f>IF(13&gt;$C285,"",IF($D285=1,EOMONTH(EDATE(Bonds!$H285,6*(13-1)),0),EDATE(Bonds!$H285,6*(13-1))))</f>
        <v>48533</v>
      </c>
      <c r="R285" s="3">
        <f>IF(14&gt;$C285,"",IF($D285=1,EOMONTH(EDATE(Bonds!$H285,6*(14-1)),0),EDATE(Bonds!$H285,6*(14-1))))</f>
        <v>48714</v>
      </c>
      <c r="S285" s="3">
        <f>IF(15&gt;$C285,"",IF($D285=1,EOMONTH(EDATE(Bonds!$H285,6*(15-1)),0),EDATE(Bonds!$H285,6*(15-1))))</f>
        <v>48898</v>
      </c>
      <c r="T285" s="3">
        <f>IF(16&gt;$C285,"",IF($D285=1,EOMONTH(EDATE(Bonds!$H285,6*(16-1)),0),EDATE(Bonds!$H285,6*(16-1))))</f>
        <v>49079</v>
      </c>
      <c r="U285" s="3">
        <f>IF(17&gt;$C285,"",IF($D285=1,EOMONTH(EDATE(Bonds!$H285,6*(17-1)),0),EDATE(Bonds!$H285,6*(17-1))))</f>
        <v>49263</v>
      </c>
      <c r="V285" s="3">
        <f>IF(18&gt;$C285,"",IF($D285=1,EOMONTH(EDATE(Bonds!$H285,6*(18-1)),0),EDATE(Bonds!$H285,6*(18-1))))</f>
        <v>49444</v>
      </c>
      <c r="W285" s="3">
        <f>IF(19&gt;$C285,"",IF($D285=1,EOMONTH(EDATE(Bonds!$H285,6*(19-1)),0),EDATE(Bonds!$H285,6*(19-1))))</f>
        <v>49628</v>
      </c>
      <c r="X285" s="3">
        <f>IF(20&gt;$C285,"",IF($D285=1,EOMONTH(EDATE(Bonds!$H285,6*(20-1)),0),EDATE(Bonds!$H285,6*(20-1))))</f>
        <v>49810</v>
      </c>
      <c r="Y285" s="3">
        <f>IF(21&gt;$C285,"",IF($D285=1,EOMONTH(EDATE(Bonds!$H285,6*(21-1)),0),EDATE(Bonds!$H285,6*(21-1))))</f>
        <v>49994</v>
      </c>
      <c r="Z285" s="3">
        <f>IF(22&gt;$C285,"",IF($D285=1,EOMONTH(EDATE(Bonds!$H285,6*(22-1)),0),EDATE(Bonds!$H285,6*(22-1))))</f>
        <v>50175</v>
      </c>
      <c r="AA285" s="3">
        <f>IF(23&gt;$C285,"",IF($D285=1,EOMONTH(EDATE(Bonds!$H285,6*(23-1)),0),EDATE(Bonds!$H285,6*(23-1))))</f>
        <v>50359</v>
      </c>
      <c r="AB285" s="3">
        <f>IF(24&gt;$C285,"",IF($D285=1,EOMONTH(EDATE(Bonds!$H285,6*(24-1)),0),EDATE(Bonds!$H285,6*(24-1))))</f>
        <v>50540</v>
      </c>
      <c r="AC285" s="3">
        <f>IF(25&gt;$C285,"",IF($D285=1,EOMONTH(EDATE(Bonds!$H285,6*(25-1)),0),EDATE(Bonds!$H285,6*(25-1))))</f>
        <v>50724</v>
      </c>
      <c r="AD285" s="3">
        <f>IF(26&gt;$C285,"",IF($D285=1,EOMONTH(EDATE(Bonds!$H285,6*(26-1)),0),EDATE(Bonds!$H285,6*(26-1))))</f>
        <v>50905</v>
      </c>
      <c r="AE285" s="3">
        <f>IF(27&gt;$C285,"",IF($D285=1,EOMONTH(EDATE(Bonds!$H285,6*(27-1)),0),EDATE(Bonds!$H285,6*(27-1))))</f>
        <v>51089</v>
      </c>
      <c r="AF285" s="3">
        <f>IF(28&gt;$C285,"",IF($D285=1,EOMONTH(EDATE(Bonds!$H285,6*(28-1)),0),EDATE(Bonds!$H285,6*(28-1))))</f>
        <v>51271</v>
      </c>
      <c r="AG285" s="3">
        <f>IF(29&gt;$C285,"",IF($D285=1,EOMONTH(EDATE(Bonds!$H285,6*(29-1)),0),EDATE(Bonds!$H285,6*(29-1))))</f>
        <v>51455</v>
      </c>
      <c r="AH285" s="3">
        <f>IF(30&gt;$C285,"",IF($D285=1,EOMONTH(EDATE(Bonds!$H285,6*(30-1)),0),EDATE(Bonds!$H285,6*(30-1))))</f>
        <v>51636</v>
      </c>
      <c r="AI285" s="3">
        <f>IF(31&gt;$C285,"",IF($D285=1,EOMONTH(EDATE(Bonds!$H285,6*(31-1)),0),EDATE(Bonds!$H285,6*(31-1))))</f>
        <v>51820</v>
      </c>
      <c r="AJ285" s="3">
        <f>IF(32&gt;$C285,"",IF($D285=1,EOMONTH(EDATE(Bonds!$H285,6*(32-1)),0),EDATE(Bonds!$H285,6*(32-1))))</f>
        <v>52001</v>
      </c>
      <c r="AK285" s="3" t="str">
        <f>IF(33&gt;$C285,"",IF($D285=1,EOMONTH(EDATE(Bonds!$H285,6*(33-1)),0),EDATE(Bonds!$H285,6*(33-1))))</f>
        <v/>
      </c>
      <c r="AL285" s="3" t="str">
        <f>IF(34&gt;$C285,"",IF($D285=1,EOMONTH(EDATE(Bonds!$H285,6*(34-1)),0),EDATE(Bonds!$H285,6*(34-1))))</f>
        <v/>
      </c>
      <c r="AM285" s="3" t="str">
        <f>IF(35&gt;$C285,"",IF($D285=1,EOMONTH(EDATE(Bonds!$H285,6*(35-1)),0),EDATE(Bonds!$H285,6*(35-1))))</f>
        <v/>
      </c>
      <c r="AN285" s="3" t="str">
        <f>IF(36&gt;$C285,"",IF($D285=1,EOMONTH(EDATE(Bonds!$H285,6*(36-1)),0),EDATE(Bonds!$H285,6*(36-1))))</f>
        <v/>
      </c>
      <c r="AO285" s="3" t="str">
        <f>IF(37&gt;$C285,"",IF($D285=1,EOMONTH(EDATE(Bonds!$H285,6*(37-1)),0),EDATE(Bonds!$H285,6*(37-1))))</f>
        <v/>
      </c>
      <c r="AP285" s="3" t="str">
        <f>IF(38&gt;$C285,"",IF($D285=1,EOMONTH(EDATE(Bonds!$H285,6*(38-1)),0),EDATE(Bonds!$H285,6*(38-1))))</f>
        <v/>
      </c>
      <c r="AQ285" s="3" t="str">
        <f>IF(39&gt;$C285,"",IF($D285=1,EOMONTH(EDATE(Bonds!$H285,6*(39-1)),0),EDATE(Bonds!$H285,6*(39-1))))</f>
        <v/>
      </c>
      <c r="AR285" s="3" t="str">
        <f>IF(40&gt;$C285,"",IF($D285=1,EOMONTH(EDATE(Bonds!$H285,6*(40-1)),0),EDATE(Bonds!$H285,6*(40-1))))</f>
        <v/>
      </c>
      <c r="AS285" s="3" t="str">
        <f>IF(41&gt;$C285,"",IF($D285=1,EOMONTH(EDATE(Bonds!$H285,6*(41-1)),0),EDATE(Bonds!$H285,6*(41-1))))</f>
        <v/>
      </c>
      <c r="AT285" s="3" t="str">
        <f>IF(42&gt;$C285,"",IF($D285=1,EOMONTH(EDATE(Bonds!$H285,6*(42-1)),0),EDATE(Bonds!$H285,6*(42-1))))</f>
        <v/>
      </c>
      <c r="AU285" s="3" t="str">
        <f>IF(43&gt;$C285,"",IF($D285=1,EOMONTH(EDATE(Bonds!$H285,6*(43-1)),0),EDATE(Bonds!$H285,6*(43-1))))</f>
        <v/>
      </c>
      <c r="AV285" s="3" t="str">
        <f>IF(44&gt;$C285,"",IF($D285=1,EOMONTH(EDATE(Bonds!$H285,6*(44-1)),0),EDATE(Bonds!$H285,6*(44-1))))</f>
        <v/>
      </c>
      <c r="AW285" s="3" t="str">
        <f>IF(45&gt;$C285,"",IF($D285=1,EOMONTH(EDATE(Bonds!$H285,6*(45-1)),0),EDATE(Bonds!$H285,6*(45-1))))</f>
        <v/>
      </c>
      <c r="AX285" s="3" t="str">
        <f>IF(46&gt;$C285,"",IF($D285=1,EOMONTH(EDATE(Bonds!$H285,6*(46-1)),0),EDATE(Bonds!$H285,6*(46-1))))</f>
        <v/>
      </c>
      <c r="AY285" s="3" t="str">
        <f>IF(47&gt;$C285,"",IF($D285=1,EOMONTH(EDATE(Bonds!$H285,6*(47-1)),0),EDATE(Bonds!$H285,6*(47-1))))</f>
        <v/>
      </c>
      <c r="AZ285" s="3" t="str">
        <f>IF(48&gt;$C285,"",IF($D285=1,EOMONTH(EDATE(Bonds!$H285,6*(48-1)),0),EDATE(Bonds!$H285,6*(48-1))))</f>
        <v/>
      </c>
      <c r="BA285" s="3" t="str">
        <f>IF(49&gt;$C285,"",IF($D285=1,EOMONTH(EDATE(Bonds!$H285,6*(49-1)),0),EDATE(Bonds!$H285,6*(49-1))))</f>
        <v/>
      </c>
      <c r="BB285" s="3" t="str">
        <f>IF(50&gt;$C285,"",IF($D285=1,EOMONTH(EDATE(Bonds!$H285,6*(50-1)),0),EDATE(Bonds!$H285,6*(50-1))))</f>
        <v/>
      </c>
      <c r="BC285" s="3" t="str">
        <f>IF(51&gt;$C285,"",IF($D285=1,EOMONTH(EDATE(Bonds!$H285,6*(51-1)),0),EDATE(Bonds!$H285,6*(51-1))))</f>
        <v/>
      </c>
      <c r="BD285" s="3" t="str">
        <f>IF(52&gt;$C285,"",IF($D285=1,EOMONTH(EDATE(Bonds!$H285,6*(52-1)),0),EDATE(Bonds!$H285,6*(52-1))))</f>
        <v/>
      </c>
      <c r="BE285" s="3" t="str">
        <f>IF(53&gt;$C285,"",IF($D285=1,EOMONTH(EDATE(Bonds!$H285,6*(53-1)),0),EDATE(Bonds!$H285,6*(53-1))))</f>
        <v/>
      </c>
      <c r="BF285" s="3" t="str">
        <f>IF(54&gt;$C285,"",IF($D285=1,EOMONTH(EDATE(Bonds!$H285,6*(54-1)),0),EDATE(Bonds!$H285,6*(54-1))))</f>
        <v/>
      </c>
      <c r="BG285" s="3" t="str">
        <f>IF(55&gt;$C285,"",IF($D285=1,EOMONTH(EDATE(Bonds!$H285,6*(55-1)),0),EDATE(Bonds!$H285,6*(55-1))))</f>
        <v/>
      </c>
      <c r="BH285" s="3" t="str">
        <f>IF(56&gt;$C285,"",IF($D285=1,EOMONTH(EDATE(Bonds!$H285,6*(56-1)),0),EDATE(Bonds!$H285,6*(56-1))))</f>
        <v/>
      </c>
      <c r="BI285" s="3" t="str">
        <f>IF(57&gt;$C285,"",IF($D285=1,EOMONTH(EDATE(Bonds!$H285,6*(57-1)),0),EDATE(Bonds!$H285,6*(57-1))))</f>
        <v/>
      </c>
      <c r="BJ285" s="3" t="str">
        <f>IF(58&gt;$C285,"",IF($D285=1,EOMONTH(EDATE(Bonds!$H285,6*(58-1)),0),EDATE(Bonds!$H285,6*(58-1))))</f>
        <v/>
      </c>
      <c r="BK285" s="3" t="str">
        <f>IF(59&gt;$C285,"",IF($D285=1,EOMONTH(EDATE(Bonds!$H285,6*(59-1)),0),EDATE(Bonds!$H285,6*(59-1))))</f>
        <v/>
      </c>
      <c r="BL285" s="3" t="str">
        <f>IF(60&gt;$C285,"",IF($D285=1,EOMONTH(EDATE(Bonds!$H285,6*(60-1)),0),EDATE(Bonds!$H285,6*(60-1))))</f>
        <v/>
      </c>
      <c r="BN285" s="7">
        <f t="shared" si="245"/>
        <v>1.4895383739000279</v>
      </c>
      <c r="BO285" s="7">
        <f t="shared" si="246"/>
        <v>1.4594594779380694</v>
      </c>
      <c r="BP285" s="7">
        <f t="shared" si="247"/>
        <v>1.427311242824425</v>
      </c>
      <c r="BQ285" s="7">
        <f t="shared" si="248"/>
        <v>1.3952972121704836</v>
      </c>
      <c r="BR285" s="7">
        <f t="shared" si="249"/>
        <v>1.3633919042106983</v>
      </c>
      <c r="BS285" s="7">
        <f t="shared" si="250"/>
        <v>1.3327230031030199</v>
      </c>
      <c r="BT285" s="7">
        <f t="shared" si="251"/>
        <v>1.3023186741854413</v>
      </c>
      <c r="BU285" s="7">
        <f t="shared" si="252"/>
        <v>1.2731037686346938</v>
      </c>
      <c r="BV285" s="7">
        <f t="shared" si="253"/>
        <v>1.2439961992433619</v>
      </c>
      <c r="BW285" s="7">
        <f t="shared" si="254"/>
        <v>1.2158269714883776</v>
      </c>
      <c r="BX285" s="7">
        <f t="shared" si="255"/>
        <v>1.18755485282861</v>
      </c>
      <c r="BY285" s="7">
        <f t="shared" si="256"/>
        <v>1.1598672873295439</v>
      </c>
      <c r="BZ285" s="7">
        <f t="shared" si="257"/>
        <v>1.1320960779065503</v>
      </c>
      <c r="CA285" s="7">
        <f t="shared" si="258"/>
        <v>1.1049597095186465</v>
      </c>
      <c r="CB285" s="7">
        <f t="shared" si="259"/>
        <v>1.0775449146276199</v>
      </c>
      <c r="CC285" s="7">
        <f t="shared" si="260"/>
        <v>1.0507493936452232</v>
      </c>
      <c r="CD285" s="7">
        <f t="shared" si="261"/>
        <v>1.0237023229840678</v>
      </c>
      <c r="CE285" s="7">
        <f t="shared" si="262"/>
        <v>0.99731241179132524</v>
      </c>
      <c r="CF285" s="7">
        <f t="shared" si="263"/>
        <v>0.97073880964287673</v>
      </c>
      <c r="CG285" s="7">
        <f t="shared" si="264"/>
        <v>0.94474305095502098</v>
      </c>
      <c r="CH285" s="7">
        <f t="shared" si="265"/>
        <v>0.91879336132563816</v>
      </c>
      <c r="CI285" s="7">
        <f t="shared" si="266"/>
        <v>0.89363059488212826</v>
      </c>
      <c r="CJ285" s="7">
        <f t="shared" si="267"/>
        <v>0.86845823325031124</v>
      </c>
      <c r="CK285" s="7">
        <f t="shared" si="268"/>
        <v>0.84413141439219919</v>
      </c>
      <c r="CL285" s="7">
        <f t="shared" si="269"/>
        <v>0.81987556482184709</v>
      </c>
      <c r="CM285" s="7">
        <f t="shared" si="270"/>
        <v>0.79650922624555343</v>
      </c>
      <c r="CN285" s="7">
        <f t="shared" si="271"/>
        <v>0.7732821673153667</v>
      </c>
      <c r="CO285" s="7">
        <f t="shared" si="272"/>
        <v>0.75085002400057643</v>
      </c>
      <c r="CP285" s="7">
        <f t="shared" si="273"/>
        <v>0.72873640527376082</v>
      </c>
      <c r="CQ285" s="7">
        <f t="shared" si="274"/>
        <v>0.70755020024057091</v>
      </c>
      <c r="CR285" s="7">
        <f t="shared" si="275"/>
        <v>0.68659840000313088</v>
      </c>
      <c r="CS285" s="7">
        <f t="shared" si="276"/>
        <v>45.104577121751703</v>
      </c>
      <c r="CT285" s="7">
        <f t="shared" si="277"/>
        <v>0</v>
      </c>
      <c r="CU285" s="7">
        <f t="shared" si="278"/>
        <v>0</v>
      </c>
      <c r="CV285" s="7">
        <f t="shared" si="279"/>
        <v>0</v>
      </c>
      <c r="CW285" s="7">
        <f t="shared" si="280"/>
        <v>0</v>
      </c>
      <c r="CX285" s="7">
        <f t="shared" si="281"/>
        <v>0</v>
      </c>
      <c r="CY285" s="7">
        <f t="shared" si="282"/>
        <v>0</v>
      </c>
      <c r="CZ285" s="7">
        <f t="shared" si="283"/>
        <v>0</v>
      </c>
      <c r="DA285" s="7">
        <f t="shared" si="284"/>
        <v>0</v>
      </c>
      <c r="DB285" s="7">
        <f t="shared" si="285"/>
        <v>0</v>
      </c>
      <c r="DC285" s="7">
        <f t="shared" si="286"/>
        <v>0</v>
      </c>
      <c r="DD285" s="7">
        <f t="shared" si="287"/>
        <v>0</v>
      </c>
      <c r="DE285" s="7">
        <f t="shared" si="288"/>
        <v>0</v>
      </c>
      <c r="DF285" s="7">
        <f t="shared" si="289"/>
        <v>0</v>
      </c>
      <c r="DG285" s="7">
        <f t="shared" si="290"/>
        <v>0</v>
      </c>
      <c r="DH285" s="7">
        <f t="shared" si="291"/>
        <v>0</v>
      </c>
      <c r="DI285" s="7">
        <f t="shared" si="292"/>
        <v>0</v>
      </c>
      <c r="DJ285" s="7">
        <f t="shared" si="293"/>
        <v>0</v>
      </c>
      <c r="DK285" s="7">
        <f t="shared" si="294"/>
        <v>0</v>
      </c>
      <c r="DL285" s="7">
        <f t="shared" si="295"/>
        <v>0</v>
      </c>
      <c r="DM285" s="7">
        <f t="shared" si="296"/>
        <v>0</v>
      </c>
      <c r="DN285" s="7">
        <f t="shared" si="297"/>
        <v>0</v>
      </c>
      <c r="DO285" s="7">
        <f t="shared" si="298"/>
        <v>0</v>
      </c>
      <c r="DP285" s="7">
        <f t="shared" si="299"/>
        <v>0</v>
      </c>
      <c r="DQ285" s="7">
        <f t="shared" si="300"/>
        <v>0</v>
      </c>
      <c r="DR285" s="7">
        <f t="shared" si="301"/>
        <v>0</v>
      </c>
      <c r="DS285" s="7">
        <f t="shared" si="302"/>
        <v>0</v>
      </c>
      <c r="DT285" s="7">
        <f t="shared" si="303"/>
        <v>0</v>
      </c>
      <c r="DU285" s="7">
        <f t="shared" si="304"/>
        <v>0</v>
      </c>
    </row>
    <row r="286" spans="1:125" x14ac:dyDescent="0.2">
      <c r="A286" s="3">
        <f>Bonds!A286</f>
        <v>52001</v>
      </c>
      <c r="B286" s="4">
        <f>Bonds!B286</f>
        <v>3.25</v>
      </c>
      <c r="C286">
        <f>Bonds!P286</f>
        <v>32</v>
      </c>
      <c r="D286">
        <f t="shared" si="244"/>
        <v>0</v>
      </c>
      <c r="E286" s="3">
        <f>IF(1&gt;$C286,"",IF($D286=1,EOMONTH(EDATE(Bonds!$H286,6*(1-1)),0),EDATE(Bonds!$H286,6*(1-1))))</f>
        <v>46341</v>
      </c>
      <c r="F286" s="3">
        <f>IF(2&gt;$C286,"",IF($D286=1,EOMONTH(EDATE(Bonds!$H286,6*(2-1)),0),EDATE(Bonds!$H286,6*(2-1))))</f>
        <v>46522</v>
      </c>
      <c r="G286" s="3">
        <f>IF(3&gt;$C286,"",IF($D286=1,EOMONTH(EDATE(Bonds!$H286,6*(3-1)),0),EDATE(Bonds!$H286,6*(3-1))))</f>
        <v>46706</v>
      </c>
      <c r="H286" s="3">
        <f>IF(4&gt;$C286,"",IF($D286=1,EOMONTH(EDATE(Bonds!$H286,6*(4-1)),0),EDATE(Bonds!$H286,6*(4-1))))</f>
        <v>46888</v>
      </c>
      <c r="I286" s="3">
        <f>IF(5&gt;$C286,"",IF($D286=1,EOMONTH(EDATE(Bonds!$H286,6*(5-1)),0),EDATE(Bonds!$H286,6*(5-1))))</f>
        <v>47072</v>
      </c>
      <c r="J286" s="3">
        <f>IF(6&gt;$C286,"",IF($D286=1,EOMONTH(EDATE(Bonds!$H286,6*(6-1)),0),EDATE(Bonds!$H286,6*(6-1))))</f>
        <v>47253</v>
      </c>
      <c r="K286" s="3">
        <f>IF(7&gt;$C286,"",IF($D286=1,EOMONTH(EDATE(Bonds!$H286,6*(7-1)),0),EDATE(Bonds!$H286,6*(7-1))))</f>
        <v>47437</v>
      </c>
      <c r="L286" s="3">
        <f>IF(8&gt;$C286,"",IF($D286=1,EOMONTH(EDATE(Bonds!$H286,6*(8-1)),0),EDATE(Bonds!$H286,6*(8-1))))</f>
        <v>47618</v>
      </c>
      <c r="M286" s="3">
        <f>IF(9&gt;$C286,"",IF($D286=1,EOMONTH(EDATE(Bonds!$H286,6*(9-1)),0),EDATE(Bonds!$H286,6*(9-1))))</f>
        <v>47802</v>
      </c>
      <c r="N286" s="3">
        <f>IF(10&gt;$C286,"",IF($D286=1,EOMONTH(EDATE(Bonds!$H286,6*(10-1)),0),EDATE(Bonds!$H286,6*(10-1))))</f>
        <v>47983</v>
      </c>
      <c r="O286" s="3">
        <f>IF(11&gt;$C286,"",IF($D286=1,EOMONTH(EDATE(Bonds!$H286,6*(11-1)),0),EDATE(Bonds!$H286,6*(11-1))))</f>
        <v>48167</v>
      </c>
      <c r="P286" s="3">
        <f>IF(12&gt;$C286,"",IF($D286=1,EOMONTH(EDATE(Bonds!$H286,6*(12-1)),0),EDATE(Bonds!$H286,6*(12-1))))</f>
        <v>48349</v>
      </c>
      <c r="Q286" s="3">
        <f>IF(13&gt;$C286,"",IF($D286=1,EOMONTH(EDATE(Bonds!$H286,6*(13-1)),0),EDATE(Bonds!$H286,6*(13-1))))</f>
        <v>48533</v>
      </c>
      <c r="R286" s="3">
        <f>IF(14&gt;$C286,"",IF($D286=1,EOMONTH(EDATE(Bonds!$H286,6*(14-1)),0),EDATE(Bonds!$H286,6*(14-1))))</f>
        <v>48714</v>
      </c>
      <c r="S286" s="3">
        <f>IF(15&gt;$C286,"",IF($D286=1,EOMONTH(EDATE(Bonds!$H286,6*(15-1)),0),EDATE(Bonds!$H286,6*(15-1))))</f>
        <v>48898</v>
      </c>
      <c r="T286" s="3">
        <f>IF(16&gt;$C286,"",IF($D286=1,EOMONTH(EDATE(Bonds!$H286,6*(16-1)),0),EDATE(Bonds!$H286,6*(16-1))))</f>
        <v>49079</v>
      </c>
      <c r="U286" s="3">
        <f>IF(17&gt;$C286,"",IF($D286=1,EOMONTH(EDATE(Bonds!$H286,6*(17-1)),0),EDATE(Bonds!$H286,6*(17-1))))</f>
        <v>49263</v>
      </c>
      <c r="V286" s="3">
        <f>IF(18&gt;$C286,"",IF($D286=1,EOMONTH(EDATE(Bonds!$H286,6*(18-1)),0),EDATE(Bonds!$H286,6*(18-1))))</f>
        <v>49444</v>
      </c>
      <c r="W286" s="3">
        <f>IF(19&gt;$C286,"",IF($D286=1,EOMONTH(EDATE(Bonds!$H286,6*(19-1)),0),EDATE(Bonds!$H286,6*(19-1))))</f>
        <v>49628</v>
      </c>
      <c r="X286" s="3">
        <f>IF(20&gt;$C286,"",IF($D286=1,EOMONTH(EDATE(Bonds!$H286,6*(20-1)),0),EDATE(Bonds!$H286,6*(20-1))))</f>
        <v>49810</v>
      </c>
      <c r="Y286" s="3">
        <f>IF(21&gt;$C286,"",IF($D286=1,EOMONTH(EDATE(Bonds!$H286,6*(21-1)),0),EDATE(Bonds!$H286,6*(21-1))))</f>
        <v>49994</v>
      </c>
      <c r="Z286" s="3">
        <f>IF(22&gt;$C286,"",IF($D286=1,EOMONTH(EDATE(Bonds!$H286,6*(22-1)),0),EDATE(Bonds!$H286,6*(22-1))))</f>
        <v>50175</v>
      </c>
      <c r="AA286" s="3">
        <f>IF(23&gt;$C286,"",IF($D286=1,EOMONTH(EDATE(Bonds!$H286,6*(23-1)),0),EDATE(Bonds!$H286,6*(23-1))))</f>
        <v>50359</v>
      </c>
      <c r="AB286" s="3">
        <f>IF(24&gt;$C286,"",IF($D286=1,EOMONTH(EDATE(Bonds!$H286,6*(24-1)),0),EDATE(Bonds!$H286,6*(24-1))))</f>
        <v>50540</v>
      </c>
      <c r="AC286" s="3">
        <f>IF(25&gt;$C286,"",IF($D286=1,EOMONTH(EDATE(Bonds!$H286,6*(25-1)),0),EDATE(Bonds!$H286,6*(25-1))))</f>
        <v>50724</v>
      </c>
      <c r="AD286" s="3">
        <f>IF(26&gt;$C286,"",IF($D286=1,EOMONTH(EDATE(Bonds!$H286,6*(26-1)),0),EDATE(Bonds!$H286,6*(26-1))))</f>
        <v>50905</v>
      </c>
      <c r="AE286" s="3">
        <f>IF(27&gt;$C286,"",IF($D286=1,EOMONTH(EDATE(Bonds!$H286,6*(27-1)),0),EDATE(Bonds!$H286,6*(27-1))))</f>
        <v>51089</v>
      </c>
      <c r="AF286" s="3">
        <f>IF(28&gt;$C286,"",IF($D286=1,EOMONTH(EDATE(Bonds!$H286,6*(28-1)),0),EDATE(Bonds!$H286,6*(28-1))))</f>
        <v>51271</v>
      </c>
      <c r="AG286" s="3">
        <f>IF(29&gt;$C286,"",IF($D286=1,EOMONTH(EDATE(Bonds!$H286,6*(29-1)),0),EDATE(Bonds!$H286,6*(29-1))))</f>
        <v>51455</v>
      </c>
      <c r="AH286" s="3">
        <f>IF(30&gt;$C286,"",IF($D286=1,EOMONTH(EDATE(Bonds!$H286,6*(30-1)),0),EDATE(Bonds!$H286,6*(30-1))))</f>
        <v>51636</v>
      </c>
      <c r="AI286" s="3">
        <f>IF(31&gt;$C286,"",IF($D286=1,EOMONTH(EDATE(Bonds!$H286,6*(31-1)),0),EDATE(Bonds!$H286,6*(31-1))))</f>
        <v>51820</v>
      </c>
      <c r="AJ286" s="3">
        <f>IF(32&gt;$C286,"",IF($D286=1,EOMONTH(EDATE(Bonds!$H286,6*(32-1)),0),EDATE(Bonds!$H286,6*(32-1))))</f>
        <v>52001</v>
      </c>
      <c r="AK286" s="3" t="str">
        <f>IF(33&gt;$C286,"",IF($D286=1,EOMONTH(EDATE(Bonds!$H286,6*(33-1)),0),EDATE(Bonds!$H286,6*(33-1))))</f>
        <v/>
      </c>
      <c r="AL286" s="3" t="str">
        <f>IF(34&gt;$C286,"",IF($D286=1,EOMONTH(EDATE(Bonds!$H286,6*(34-1)),0),EDATE(Bonds!$H286,6*(34-1))))</f>
        <v/>
      </c>
      <c r="AM286" s="3" t="str">
        <f>IF(35&gt;$C286,"",IF($D286=1,EOMONTH(EDATE(Bonds!$H286,6*(35-1)),0),EDATE(Bonds!$H286,6*(35-1))))</f>
        <v/>
      </c>
      <c r="AN286" s="3" t="str">
        <f>IF(36&gt;$C286,"",IF($D286=1,EOMONTH(EDATE(Bonds!$H286,6*(36-1)),0),EDATE(Bonds!$H286,6*(36-1))))</f>
        <v/>
      </c>
      <c r="AO286" s="3" t="str">
        <f>IF(37&gt;$C286,"",IF($D286=1,EOMONTH(EDATE(Bonds!$H286,6*(37-1)),0),EDATE(Bonds!$H286,6*(37-1))))</f>
        <v/>
      </c>
      <c r="AP286" s="3" t="str">
        <f>IF(38&gt;$C286,"",IF($D286=1,EOMONTH(EDATE(Bonds!$H286,6*(38-1)),0),EDATE(Bonds!$H286,6*(38-1))))</f>
        <v/>
      </c>
      <c r="AQ286" s="3" t="str">
        <f>IF(39&gt;$C286,"",IF($D286=1,EOMONTH(EDATE(Bonds!$H286,6*(39-1)),0),EDATE(Bonds!$H286,6*(39-1))))</f>
        <v/>
      </c>
      <c r="AR286" s="3" t="str">
        <f>IF(40&gt;$C286,"",IF($D286=1,EOMONTH(EDATE(Bonds!$H286,6*(40-1)),0),EDATE(Bonds!$H286,6*(40-1))))</f>
        <v/>
      </c>
      <c r="AS286" s="3" t="str">
        <f>IF(41&gt;$C286,"",IF($D286=1,EOMONTH(EDATE(Bonds!$H286,6*(41-1)),0),EDATE(Bonds!$H286,6*(41-1))))</f>
        <v/>
      </c>
      <c r="AT286" s="3" t="str">
        <f>IF(42&gt;$C286,"",IF($D286=1,EOMONTH(EDATE(Bonds!$H286,6*(42-1)),0),EDATE(Bonds!$H286,6*(42-1))))</f>
        <v/>
      </c>
      <c r="AU286" s="3" t="str">
        <f>IF(43&gt;$C286,"",IF($D286=1,EOMONTH(EDATE(Bonds!$H286,6*(43-1)),0),EDATE(Bonds!$H286,6*(43-1))))</f>
        <v/>
      </c>
      <c r="AV286" s="3" t="str">
        <f>IF(44&gt;$C286,"",IF($D286=1,EOMONTH(EDATE(Bonds!$H286,6*(44-1)),0),EDATE(Bonds!$H286,6*(44-1))))</f>
        <v/>
      </c>
      <c r="AW286" s="3" t="str">
        <f>IF(45&gt;$C286,"",IF($D286=1,EOMONTH(EDATE(Bonds!$H286,6*(45-1)),0),EDATE(Bonds!$H286,6*(45-1))))</f>
        <v/>
      </c>
      <c r="AX286" s="3" t="str">
        <f>IF(46&gt;$C286,"",IF($D286=1,EOMONTH(EDATE(Bonds!$H286,6*(46-1)),0),EDATE(Bonds!$H286,6*(46-1))))</f>
        <v/>
      </c>
      <c r="AY286" s="3" t="str">
        <f>IF(47&gt;$C286,"",IF($D286=1,EOMONTH(EDATE(Bonds!$H286,6*(47-1)),0),EDATE(Bonds!$H286,6*(47-1))))</f>
        <v/>
      </c>
      <c r="AZ286" s="3" t="str">
        <f>IF(48&gt;$C286,"",IF($D286=1,EOMONTH(EDATE(Bonds!$H286,6*(48-1)),0),EDATE(Bonds!$H286,6*(48-1))))</f>
        <v/>
      </c>
      <c r="BA286" s="3" t="str">
        <f>IF(49&gt;$C286,"",IF($D286=1,EOMONTH(EDATE(Bonds!$H286,6*(49-1)),0),EDATE(Bonds!$H286,6*(49-1))))</f>
        <v/>
      </c>
      <c r="BB286" s="3" t="str">
        <f>IF(50&gt;$C286,"",IF($D286=1,EOMONTH(EDATE(Bonds!$H286,6*(50-1)),0),EDATE(Bonds!$H286,6*(50-1))))</f>
        <v/>
      </c>
      <c r="BC286" s="3" t="str">
        <f>IF(51&gt;$C286,"",IF($D286=1,EOMONTH(EDATE(Bonds!$H286,6*(51-1)),0),EDATE(Bonds!$H286,6*(51-1))))</f>
        <v/>
      </c>
      <c r="BD286" s="3" t="str">
        <f>IF(52&gt;$C286,"",IF($D286=1,EOMONTH(EDATE(Bonds!$H286,6*(52-1)),0),EDATE(Bonds!$H286,6*(52-1))))</f>
        <v/>
      </c>
      <c r="BE286" s="3" t="str">
        <f>IF(53&gt;$C286,"",IF($D286=1,EOMONTH(EDATE(Bonds!$H286,6*(53-1)),0),EDATE(Bonds!$H286,6*(53-1))))</f>
        <v/>
      </c>
      <c r="BF286" s="3" t="str">
        <f>IF(54&gt;$C286,"",IF($D286=1,EOMONTH(EDATE(Bonds!$H286,6*(54-1)),0),EDATE(Bonds!$H286,6*(54-1))))</f>
        <v/>
      </c>
      <c r="BG286" s="3" t="str">
        <f>IF(55&gt;$C286,"",IF($D286=1,EOMONTH(EDATE(Bonds!$H286,6*(55-1)),0),EDATE(Bonds!$H286,6*(55-1))))</f>
        <v/>
      </c>
      <c r="BH286" s="3" t="str">
        <f>IF(56&gt;$C286,"",IF($D286=1,EOMONTH(EDATE(Bonds!$H286,6*(56-1)),0),EDATE(Bonds!$H286,6*(56-1))))</f>
        <v/>
      </c>
      <c r="BI286" s="3" t="str">
        <f>IF(57&gt;$C286,"",IF($D286=1,EOMONTH(EDATE(Bonds!$H286,6*(57-1)),0),EDATE(Bonds!$H286,6*(57-1))))</f>
        <v/>
      </c>
      <c r="BJ286" s="3" t="str">
        <f>IF(58&gt;$C286,"",IF($D286=1,EOMONTH(EDATE(Bonds!$H286,6*(58-1)),0),EDATE(Bonds!$H286,6*(58-1))))</f>
        <v/>
      </c>
      <c r="BK286" s="3" t="str">
        <f>IF(59&gt;$C286,"",IF($D286=1,EOMONTH(EDATE(Bonds!$H286,6*(59-1)),0),EDATE(Bonds!$H286,6*(59-1))))</f>
        <v/>
      </c>
      <c r="BL286" s="3" t="str">
        <f>IF(60&gt;$C286,"",IF($D286=1,EOMONTH(EDATE(Bonds!$H286,6*(60-1)),0),EDATE(Bonds!$H286,6*(60-1))))</f>
        <v/>
      </c>
      <c r="BN286" s="7">
        <f t="shared" si="245"/>
        <v>1.6136665717250303</v>
      </c>
      <c r="BO286" s="7">
        <f t="shared" si="246"/>
        <v>1.5810811010995753</v>
      </c>
      <c r="BP286" s="7">
        <f t="shared" si="247"/>
        <v>1.5462538463931272</v>
      </c>
      <c r="BQ286" s="7">
        <f t="shared" si="248"/>
        <v>1.5115719798513574</v>
      </c>
      <c r="BR286" s="7">
        <f t="shared" si="249"/>
        <v>1.4770078962282567</v>
      </c>
      <c r="BS286" s="7">
        <f t="shared" si="250"/>
        <v>1.4437832533616051</v>
      </c>
      <c r="BT286" s="7">
        <f t="shared" si="251"/>
        <v>1.4108452303675614</v>
      </c>
      <c r="BU286" s="7">
        <f t="shared" si="252"/>
        <v>1.3791957493542517</v>
      </c>
      <c r="BV286" s="7">
        <f t="shared" si="253"/>
        <v>1.3476625491803087</v>
      </c>
      <c r="BW286" s="7">
        <f t="shared" si="254"/>
        <v>1.3171458857790757</v>
      </c>
      <c r="BX286" s="7">
        <f t="shared" si="255"/>
        <v>1.2865177572309943</v>
      </c>
      <c r="BY286" s="7">
        <f t="shared" si="256"/>
        <v>1.2565228946070059</v>
      </c>
      <c r="BZ286" s="7">
        <f t="shared" si="257"/>
        <v>1.2264374177320962</v>
      </c>
      <c r="CA286" s="7">
        <f t="shared" si="258"/>
        <v>1.1970396853118672</v>
      </c>
      <c r="CB286" s="7">
        <f t="shared" si="259"/>
        <v>1.1673403241799216</v>
      </c>
      <c r="CC286" s="7">
        <f t="shared" si="260"/>
        <v>1.1383118431156585</v>
      </c>
      <c r="CD286" s="7">
        <f t="shared" si="261"/>
        <v>1.1090108498994067</v>
      </c>
      <c r="CE286" s="7">
        <f t="shared" si="262"/>
        <v>1.0804217794406024</v>
      </c>
      <c r="CF286" s="7">
        <f t="shared" si="263"/>
        <v>1.0516337104464497</v>
      </c>
      <c r="CG286" s="7">
        <f t="shared" si="264"/>
        <v>1.0234716385346061</v>
      </c>
      <c r="CH286" s="7">
        <f t="shared" si="265"/>
        <v>0.99535947476944131</v>
      </c>
      <c r="CI286" s="7">
        <f t="shared" si="266"/>
        <v>0.96809981112230559</v>
      </c>
      <c r="CJ286" s="7">
        <f t="shared" si="267"/>
        <v>0.9408297526878372</v>
      </c>
      <c r="CK286" s="7">
        <f t="shared" si="268"/>
        <v>0.91447569892488245</v>
      </c>
      <c r="CL286" s="7">
        <f t="shared" si="269"/>
        <v>0.88819852855700099</v>
      </c>
      <c r="CM286" s="7">
        <f t="shared" si="270"/>
        <v>0.86288499509934957</v>
      </c>
      <c r="CN286" s="7">
        <f t="shared" si="271"/>
        <v>0.83772234792498057</v>
      </c>
      <c r="CO286" s="7">
        <f t="shared" si="272"/>
        <v>0.8134208593339578</v>
      </c>
      <c r="CP286" s="7">
        <f t="shared" si="273"/>
        <v>0.78946443904657426</v>
      </c>
      <c r="CQ286" s="7">
        <f t="shared" si="274"/>
        <v>0.76651271692728518</v>
      </c>
      <c r="CR286" s="7">
        <f t="shared" si="275"/>
        <v>0.7438149333367251</v>
      </c>
      <c r="CS286" s="7">
        <f t="shared" si="276"/>
        <v>45.160124630522333</v>
      </c>
      <c r="CT286" s="7">
        <f t="shared" si="277"/>
        <v>0</v>
      </c>
      <c r="CU286" s="7">
        <f t="shared" si="278"/>
        <v>0</v>
      </c>
      <c r="CV286" s="7">
        <f t="shared" si="279"/>
        <v>0</v>
      </c>
      <c r="CW286" s="7">
        <f t="shared" si="280"/>
        <v>0</v>
      </c>
      <c r="CX286" s="7">
        <f t="shared" si="281"/>
        <v>0</v>
      </c>
      <c r="CY286" s="7">
        <f t="shared" si="282"/>
        <v>0</v>
      </c>
      <c r="CZ286" s="7">
        <f t="shared" si="283"/>
        <v>0</v>
      </c>
      <c r="DA286" s="7">
        <f t="shared" si="284"/>
        <v>0</v>
      </c>
      <c r="DB286" s="7">
        <f t="shared" si="285"/>
        <v>0</v>
      </c>
      <c r="DC286" s="7">
        <f t="shared" si="286"/>
        <v>0</v>
      </c>
      <c r="DD286" s="7">
        <f t="shared" si="287"/>
        <v>0</v>
      </c>
      <c r="DE286" s="7">
        <f t="shared" si="288"/>
        <v>0</v>
      </c>
      <c r="DF286" s="7">
        <f t="shared" si="289"/>
        <v>0</v>
      </c>
      <c r="DG286" s="7">
        <f t="shared" si="290"/>
        <v>0</v>
      </c>
      <c r="DH286" s="7">
        <f t="shared" si="291"/>
        <v>0</v>
      </c>
      <c r="DI286" s="7">
        <f t="shared" si="292"/>
        <v>0</v>
      </c>
      <c r="DJ286" s="7">
        <f t="shared" si="293"/>
        <v>0</v>
      </c>
      <c r="DK286" s="7">
        <f t="shared" si="294"/>
        <v>0</v>
      </c>
      <c r="DL286" s="7">
        <f t="shared" si="295"/>
        <v>0</v>
      </c>
      <c r="DM286" s="7">
        <f t="shared" si="296"/>
        <v>0</v>
      </c>
      <c r="DN286" s="7">
        <f t="shared" si="297"/>
        <v>0</v>
      </c>
      <c r="DO286" s="7">
        <f t="shared" si="298"/>
        <v>0</v>
      </c>
      <c r="DP286" s="7">
        <f t="shared" si="299"/>
        <v>0</v>
      </c>
      <c r="DQ286" s="7">
        <f t="shared" si="300"/>
        <v>0</v>
      </c>
      <c r="DR286" s="7">
        <f t="shared" si="301"/>
        <v>0</v>
      </c>
      <c r="DS286" s="7">
        <f t="shared" si="302"/>
        <v>0</v>
      </c>
      <c r="DT286" s="7">
        <f t="shared" si="303"/>
        <v>0</v>
      </c>
      <c r="DU286" s="7">
        <f t="shared" si="304"/>
        <v>0</v>
      </c>
    </row>
    <row r="287" spans="1:125" x14ac:dyDescent="0.2">
      <c r="A287" s="3">
        <f>Bonds!A287</f>
        <v>52093</v>
      </c>
      <c r="B287" s="4">
        <f>Bonds!B287</f>
        <v>2.75</v>
      </c>
      <c r="C287">
        <f>Bonds!P287</f>
        <v>32</v>
      </c>
      <c r="D287">
        <f t="shared" si="244"/>
        <v>0</v>
      </c>
      <c r="E287" s="3">
        <f>IF(1&gt;$C287,"",IF($D287=1,EOMONTH(EDATE(Bonds!$H287,6*(1-1)),0),EDATE(Bonds!$H287,6*(1-1))))</f>
        <v>46433</v>
      </c>
      <c r="F287" s="3">
        <f>IF(2&gt;$C287,"",IF($D287=1,EOMONTH(EDATE(Bonds!$H287,6*(2-1)),0),EDATE(Bonds!$H287,6*(2-1))))</f>
        <v>46614</v>
      </c>
      <c r="G287" s="3">
        <f>IF(3&gt;$C287,"",IF($D287=1,EOMONTH(EDATE(Bonds!$H287,6*(3-1)),0),EDATE(Bonds!$H287,6*(3-1))))</f>
        <v>46798</v>
      </c>
      <c r="H287" s="3">
        <f>IF(4&gt;$C287,"",IF($D287=1,EOMONTH(EDATE(Bonds!$H287,6*(4-1)),0),EDATE(Bonds!$H287,6*(4-1))))</f>
        <v>46980</v>
      </c>
      <c r="I287" s="3">
        <f>IF(5&gt;$C287,"",IF($D287=1,EOMONTH(EDATE(Bonds!$H287,6*(5-1)),0),EDATE(Bonds!$H287,6*(5-1))))</f>
        <v>47164</v>
      </c>
      <c r="J287" s="3">
        <f>IF(6&gt;$C287,"",IF($D287=1,EOMONTH(EDATE(Bonds!$H287,6*(6-1)),0),EDATE(Bonds!$H287,6*(6-1))))</f>
        <v>47345</v>
      </c>
      <c r="K287" s="3">
        <f>IF(7&gt;$C287,"",IF($D287=1,EOMONTH(EDATE(Bonds!$H287,6*(7-1)),0),EDATE(Bonds!$H287,6*(7-1))))</f>
        <v>47529</v>
      </c>
      <c r="L287" s="3">
        <f>IF(8&gt;$C287,"",IF($D287=1,EOMONTH(EDATE(Bonds!$H287,6*(8-1)),0),EDATE(Bonds!$H287,6*(8-1))))</f>
        <v>47710</v>
      </c>
      <c r="M287" s="3">
        <f>IF(9&gt;$C287,"",IF($D287=1,EOMONTH(EDATE(Bonds!$H287,6*(9-1)),0),EDATE(Bonds!$H287,6*(9-1))))</f>
        <v>47894</v>
      </c>
      <c r="N287" s="3">
        <f>IF(10&gt;$C287,"",IF($D287=1,EOMONTH(EDATE(Bonds!$H287,6*(10-1)),0),EDATE(Bonds!$H287,6*(10-1))))</f>
        <v>48075</v>
      </c>
      <c r="O287" s="3">
        <f>IF(11&gt;$C287,"",IF($D287=1,EOMONTH(EDATE(Bonds!$H287,6*(11-1)),0),EDATE(Bonds!$H287,6*(11-1))))</f>
        <v>48259</v>
      </c>
      <c r="P287" s="3">
        <f>IF(12&gt;$C287,"",IF($D287=1,EOMONTH(EDATE(Bonds!$H287,6*(12-1)),0),EDATE(Bonds!$H287,6*(12-1))))</f>
        <v>48441</v>
      </c>
      <c r="Q287" s="3">
        <f>IF(13&gt;$C287,"",IF($D287=1,EOMONTH(EDATE(Bonds!$H287,6*(13-1)),0),EDATE(Bonds!$H287,6*(13-1))))</f>
        <v>48625</v>
      </c>
      <c r="R287" s="3">
        <f>IF(14&gt;$C287,"",IF($D287=1,EOMONTH(EDATE(Bonds!$H287,6*(14-1)),0),EDATE(Bonds!$H287,6*(14-1))))</f>
        <v>48806</v>
      </c>
      <c r="S287" s="3">
        <f>IF(15&gt;$C287,"",IF($D287=1,EOMONTH(EDATE(Bonds!$H287,6*(15-1)),0),EDATE(Bonds!$H287,6*(15-1))))</f>
        <v>48990</v>
      </c>
      <c r="T287" s="3">
        <f>IF(16&gt;$C287,"",IF($D287=1,EOMONTH(EDATE(Bonds!$H287,6*(16-1)),0),EDATE(Bonds!$H287,6*(16-1))))</f>
        <v>49171</v>
      </c>
      <c r="U287" s="3">
        <f>IF(17&gt;$C287,"",IF($D287=1,EOMONTH(EDATE(Bonds!$H287,6*(17-1)),0),EDATE(Bonds!$H287,6*(17-1))))</f>
        <v>49355</v>
      </c>
      <c r="V287" s="3">
        <f>IF(18&gt;$C287,"",IF($D287=1,EOMONTH(EDATE(Bonds!$H287,6*(18-1)),0),EDATE(Bonds!$H287,6*(18-1))))</f>
        <v>49536</v>
      </c>
      <c r="W287" s="3">
        <f>IF(19&gt;$C287,"",IF($D287=1,EOMONTH(EDATE(Bonds!$H287,6*(19-1)),0),EDATE(Bonds!$H287,6*(19-1))))</f>
        <v>49720</v>
      </c>
      <c r="X287" s="3">
        <f>IF(20&gt;$C287,"",IF($D287=1,EOMONTH(EDATE(Bonds!$H287,6*(20-1)),0),EDATE(Bonds!$H287,6*(20-1))))</f>
        <v>49902</v>
      </c>
      <c r="Y287" s="3">
        <f>IF(21&gt;$C287,"",IF($D287=1,EOMONTH(EDATE(Bonds!$H287,6*(21-1)),0),EDATE(Bonds!$H287,6*(21-1))))</f>
        <v>50086</v>
      </c>
      <c r="Z287" s="3">
        <f>IF(22&gt;$C287,"",IF($D287=1,EOMONTH(EDATE(Bonds!$H287,6*(22-1)),0),EDATE(Bonds!$H287,6*(22-1))))</f>
        <v>50267</v>
      </c>
      <c r="AA287" s="3">
        <f>IF(23&gt;$C287,"",IF($D287=1,EOMONTH(EDATE(Bonds!$H287,6*(23-1)),0),EDATE(Bonds!$H287,6*(23-1))))</f>
        <v>50451</v>
      </c>
      <c r="AB287" s="3">
        <f>IF(24&gt;$C287,"",IF($D287=1,EOMONTH(EDATE(Bonds!$H287,6*(24-1)),0),EDATE(Bonds!$H287,6*(24-1))))</f>
        <v>50632</v>
      </c>
      <c r="AC287" s="3">
        <f>IF(25&gt;$C287,"",IF($D287=1,EOMONTH(EDATE(Bonds!$H287,6*(25-1)),0),EDATE(Bonds!$H287,6*(25-1))))</f>
        <v>50816</v>
      </c>
      <c r="AD287" s="3">
        <f>IF(26&gt;$C287,"",IF($D287=1,EOMONTH(EDATE(Bonds!$H287,6*(26-1)),0),EDATE(Bonds!$H287,6*(26-1))))</f>
        <v>50997</v>
      </c>
      <c r="AE287" s="3">
        <f>IF(27&gt;$C287,"",IF($D287=1,EOMONTH(EDATE(Bonds!$H287,6*(27-1)),0),EDATE(Bonds!$H287,6*(27-1))))</f>
        <v>51181</v>
      </c>
      <c r="AF287" s="3">
        <f>IF(28&gt;$C287,"",IF($D287=1,EOMONTH(EDATE(Bonds!$H287,6*(28-1)),0),EDATE(Bonds!$H287,6*(28-1))))</f>
        <v>51363</v>
      </c>
      <c r="AG287" s="3">
        <f>IF(29&gt;$C287,"",IF($D287=1,EOMONTH(EDATE(Bonds!$H287,6*(29-1)),0),EDATE(Bonds!$H287,6*(29-1))))</f>
        <v>51547</v>
      </c>
      <c r="AH287" s="3">
        <f>IF(30&gt;$C287,"",IF($D287=1,EOMONTH(EDATE(Bonds!$H287,6*(30-1)),0),EDATE(Bonds!$H287,6*(30-1))))</f>
        <v>51728</v>
      </c>
      <c r="AI287" s="3">
        <f>IF(31&gt;$C287,"",IF($D287=1,EOMONTH(EDATE(Bonds!$H287,6*(31-1)),0),EDATE(Bonds!$H287,6*(31-1))))</f>
        <v>51912</v>
      </c>
      <c r="AJ287" s="3">
        <f>IF(32&gt;$C287,"",IF($D287=1,EOMONTH(EDATE(Bonds!$H287,6*(32-1)),0),EDATE(Bonds!$H287,6*(32-1))))</f>
        <v>52093</v>
      </c>
      <c r="AK287" s="3" t="str">
        <f>IF(33&gt;$C287,"",IF($D287=1,EOMONTH(EDATE(Bonds!$H287,6*(33-1)),0),EDATE(Bonds!$H287,6*(33-1))))</f>
        <v/>
      </c>
      <c r="AL287" s="3" t="str">
        <f>IF(34&gt;$C287,"",IF($D287=1,EOMONTH(EDATE(Bonds!$H287,6*(34-1)),0),EDATE(Bonds!$H287,6*(34-1))))</f>
        <v/>
      </c>
      <c r="AM287" s="3" t="str">
        <f>IF(35&gt;$C287,"",IF($D287=1,EOMONTH(EDATE(Bonds!$H287,6*(35-1)),0),EDATE(Bonds!$H287,6*(35-1))))</f>
        <v/>
      </c>
      <c r="AN287" s="3" t="str">
        <f>IF(36&gt;$C287,"",IF($D287=1,EOMONTH(EDATE(Bonds!$H287,6*(36-1)),0),EDATE(Bonds!$H287,6*(36-1))))</f>
        <v/>
      </c>
      <c r="AO287" s="3" t="str">
        <f>IF(37&gt;$C287,"",IF($D287=1,EOMONTH(EDATE(Bonds!$H287,6*(37-1)),0),EDATE(Bonds!$H287,6*(37-1))))</f>
        <v/>
      </c>
      <c r="AP287" s="3" t="str">
        <f>IF(38&gt;$C287,"",IF($D287=1,EOMONTH(EDATE(Bonds!$H287,6*(38-1)),0),EDATE(Bonds!$H287,6*(38-1))))</f>
        <v/>
      </c>
      <c r="AQ287" s="3" t="str">
        <f>IF(39&gt;$C287,"",IF($D287=1,EOMONTH(EDATE(Bonds!$H287,6*(39-1)),0),EDATE(Bonds!$H287,6*(39-1))))</f>
        <v/>
      </c>
      <c r="AR287" s="3" t="str">
        <f>IF(40&gt;$C287,"",IF($D287=1,EOMONTH(EDATE(Bonds!$H287,6*(40-1)),0),EDATE(Bonds!$H287,6*(40-1))))</f>
        <v/>
      </c>
      <c r="AS287" s="3" t="str">
        <f>IF(41&gt;$C287,"",IF($D287=1,EOMONTH(EDATE(Bonds!$H287,6*(41-1)),0),EDATE(Bonds!$H287,6*(41-1))))</f>
        <v/>
      </c>
      <c r="AT287" s="3" t="str">
        <f>IF(42&gt;$C287,"",IF($D287=1,EOMONTH(EDATE(Bonds!$H287,6*(42-1)),0),EDATE(Bonds!$H287,6*(42-1))))</f>
        <v/>
      </c>
      <c r="AU287" s="3" t="str">
        <f>IF(43&gt;$C287,"",IF($D287=1,EOMONTH(EDATE(Bonds!$H287,6*(43-1)),0),EDATE(Bonds!$H287,6*(43-1))))</f>
        <v/>
      </c>
      <c r="AV287" s="3" t="str">
        <f>IF(44&gt;$C287,"",IF($D287=1,EOMONTH(EDATE(Bonds!$H287,6*(44-1)),0),EDATE(Bonds!$H287,6*(44-1))))</f>
        <v/>
      </c>
      <c r="AW287" s="3" t="str">
        <f>IF(45&gt;$C287,"",IF($D287=1,EOMONTH(EDATE(Bonds!$H287,6*(45-1)),0),EDATE(Bonds!$H287,6*(45-1))))</f>
        <v/>
      </c>
      <c r="AX287" s="3" t="str">
        <f>IF(46&gt;$C287,"",IF($D287=1,EOMONTH(EDATE(Bonds!$H287,6*(46-1)),0),EDATE(Bonds!$H287,6*(46-1))))</f>
        <v/>
      </c>
      <c r="AY287" s="3" t="str">
        <f>IF(47&gt;$C287,"",IF($D287=1,EOMONTH(EDATE(Bonds!$H287,6*(47-1)),0),EDATE(Bonds!$H287,6*(47-1))))</f>
        <v/>
      </c>
      <c r="AZ287" s="3" t="str">
        <f>IF(48&gt;$C287,"",IF($D287=1,EOMONTH(EDATE(Bonds!$H287,6*(48-1)),0),EDATE(Bonds!$H287,6*(48-1))))</f>
        <v/>
      </c>
      <c r="BA287" s="3" t="str">
        <f>IF(49&gt;$C287,"",IF($D287=1,EOMONTH(EDATE(Bonds!$H287,6*(49-1)),0),EDATE(Bonds!$H287,6*(49-1))))</f>
        <v/>
      </c>
      <c r="BB287" s="3" t="str">
        <f>IF(50&gt;$C287,"",IF($D287=1,EOMONTH(EDATE(Bonds!$H287,6*(50-1)),0),EDATE(Bonds!$H287,6*(50-1))))</f>
        <v/>
      </c>
      <c r="BC287" s="3" t="str">
        <f>IF(51&gt;$C287,"",IF($D287=1,EOMONTH(EDATE(Bonds!$H287,6*(51-1)),0),EDATE(Bonds!$H287,6*(51-1))))</f>
        <v/>
      </c>
      <c r="BD287" s="3" t="str">
        <f>IF(52&gt;$C287,"",IF($D287=1,EOMONTH(EDATE(Bonds!$H287,6*(52-1)),0),EDATE(Bonds!$H287,6*(52-1))))</f>
        <v/>
      </c>
      <c r="BE287" s="3" t="str">
        <f>IF(53&gt;$C287,"",IF($D287=1,EOMONTH(EDATE(Bonds!$H287,6*(53-1)),0),EDATE(Bonds!$H287,6*(53-1))))</f>
        <v/>
      </c>
      <c r="BF287" s="3" t="str">
        <f>IF(54&gt;$C287,"",IF($D287=1,EOMONTH(EDATE(Bonds!$H287,6*(54-1)),0),EDATE(Bonds!$H287,6*(54-1))))</f>
        <v/>
      </c>
      <c r="BG287" s="3" t="str">
        <f>IF(55&gt;$C287,"",IF($D287=1,EOMONTH(EDATE(Bonds!$H287,6*(55-1)),0),EDATE(Bonds!$H287,6*(55-1))))</f>
        <v/>
      </c>
      <c r="BH287" s="3" t="str">
        <f>IF(56&gt;$C287,"",IF($D287=1,EOMONTH(EDATE(Bonds!$H287,6*(56-1)),0),EDATE(Bonds!$H287,6*(56-1))))</f>
        <v/>
      </c>
      <c r="BI287" s="3" t="str">
        <f>IF(57&gt;$C287,"",IF($D287=1,EOMONTH(EDATE(Bonds!$H287,6*(57-1)),0),EDATE(Bonds!$H287,6*(57-1))))</f>
        <v/>
      </c>
      <c r="BJ287" s="3" t="str">
        <f>IF(58&gt;$C287,"",IF($D287=1,EOMONTH(EDATE(Bonds!$H287,6*(58-1)),0),EDATE(Bonds!$H287,6*(58-1))))</f>
        <v/>
      </c>
      <c r="BK287" s="3" t="str">
        <f>IF(59&gt;$C287,"",IF($D287=1,EOMONTH(EDATE(Bonds!$H287,6*(59-1)),0),EDATE(Bonds!$H287,6*(59-1))))</f>
        <v/>
      </c>
      <c r="BL287" s="3" t="str">
        <f>IF(60&gt;$C287,"",IF($D287=1,EOMONTH(EDATE(Bonds!$H287,6*(60-1)),0),EDATE(Bonds!$H287,6*(60-1))))</f>
        <v/>
      </c>
      <c r="BN287" s="7">
        <f t="shared" si="245"/>
        <v>1.3516792881363997</v>
      </c>
      <c r="BO287" s="7">
        <f t="shared" si="246"/>
        <v>1.3231881545401589</v>
      </c>
      <c r="BP287" s="7">
        <f t="shared" si="247"/>
        <v>1.2935093982763715</v>
      </c>
      <c r="BQ287" s="7">
        <f t="shared" si="248"/>
        <v>1.2643241498152848</v>
      </c>
      <c r="BR287" s="7">
        <f t="shared" si="249"/>
        <v>1.2353991600662271</v>
      </c>
      <c r="BS287" s="7">
        <f t="shared" si="250"/>
        <v>1.2076405133689168</v>
      </c>
      <c r="BT287" s="7">
        <f t="shared" si="251"/>
        <v>1.1801071350519001</v>
      </c>
      <c r="BU287" s="7">
        <f t="shared" si="252"/>
        <v>1.1536095455665301</v>
      </c>
      <c r="BV287" s="7">
        <f t="shared" si="253"/>
        <v>1.127158723961418</v>
      </c>
      <c r="BW287" s="7">
        <f t="shared" si="254"/>
        <v>1.1015133611565275</v>
      </c>
      <c r="BX287" s="7">
        <f t="shared" si="255"/>
        <v>1.0757346880093035</v>
      </c>
      <c r="BY287" s="7">
        <f t="shared" si="256"/>
        <v>1.0504603118616651</v>
      </c>
      <c r="BZ287" s="7">
        <f t="shared" si="257"/>
        <v>1.0250915874674709</v>
      </c>
      <c r="CA287" s="7">
        <f t="shared" si="258"/>
        <v>1.0002949390070968</v>
      </c>
      <c r="CB287" s="7">
        <f t="shared" si="259"/>
        <v>0.97524435940266285</v>
      </c>
      <c r="CC287" s="7">
        <f t="shared" si="260"/>
        <v>0.95076672810736396</v>
      </c>
      <c r="CD287" s="7">
        <f t="shared" si="261"/>
        <v>0.92607158458185435</v>
      </c>
      <c r="CE287" s="7">
        <f t="shared" si="262"/>
        <v>0.90199205096512525</v>
      </c>
      <c r="CF287" s="7">
        <f t="shared" si="263"/>
        <v>0.87776310047592143</v>
      </c>
      <c r="CG287" s="7">
        <f t="shared" si="264"/>
        <v>0.85408035686319339</v>
      </c>
      <c r="CH287" s="7">
        <f t="shared" si="265"/>
        <v>0.83045966714198816</v>
      </c>
      <c r="CI287" s="7">
        <f t="shared" si="266"/>
        <v>0.80757489623353262</v>
      </c>
      <c r="CJ287" s="7">
        <f t="shared" si="267"/>
        <v>0.78470082210558123</v>
      </c>
      <c r="CK287" s="7">
        <f t="shared" si="268"/>
        <v>0.76261338479497986</v>
      </c>
      <c r="CL287" s="7">
        <f t="shared" si="269"/>
        <v>0.74060794498859861</v>
      </c>
      <c r="CM287" s="7">
        <f t="shared" si="270"/>
        <v>0.71942563301981877</v>
      </c>
      <c r="CN287" s="7">
        <f t="shared" si="271"/>
        <v>0.69838477556284162</v>
      </c>
      <c r="CO287" s="7">
        <f t="shared" si="272"/>
        <v>0.67807786562892636</v>
      </c>
      <c r="CP287" s="7">
        <f t="shared" si="273"/>
        <v>0.65807208700206998</v>
      </c>
      <c r="CQ287" s="7">
        <f t="shared" si="274"/>
        <v>0.63891671509958892</v>
      </c>
      <c r="CR287" s="7">
        <f t="shared" si="275"/>
        <v>0.61998374353936159</v>
      </c>
      <c r="CS287" s="7">
        <f t="shared" si="276"/>
        <v>44.376044366163192</v>
      </c>
      <c r="CT287" s="7">
        <f t="shared" si="277"/>
        <v>0</v>
      </c>
      <c r="CU287" s="7">
        <f t="shared" si="278"/>
        <v>0</v>
      </c>
      <c r="CV287" s="7">
        <f t="shared" si="279"/>
        <v>0</v>
      </c>
      <c r="CW287" s="7">
        <f t="shared" si="280"/>
        <v>0</v>
      </c>
      <c r="CX287" s="7">
        <f t="shared" si="281"/>
        <v>0</v>
      </c>
      <c r="CY287" s="7">
        <f t="shared" si="282"/>
        <v>0</v>
      </c>
      <c r="CZ287" s="7">
        <f t="shared" si="283"/>
        <v>0</v>
      </c>
      <c r="DA287" s="7">
        <f t="shared" si="284"/>
        <v>0</v>
      </c>
      <c r="DB287" s="7">
        <f t="shared" si="285"/>
        <v>0</v>
      </c>
      <c r="DC287" s="7">
        <f t="shared" si="286"/>
        <v>0</v>
      </c>
      <c r="DD287" s="7">
        <f t="shared" si="287"/>
        <v>0</v>
      </c>
      <c r="DE287" s="7">
        <f t="shared" si="288"/>
        <v>0</v>
      </c>
      <c r="DF287" s="7">
        <f t="shared" si="289"/>
        <v>0</v>
      </c>
      <c r="DG287" s="7">
        <f t="shared" si="290"/>
        <v>0</v>
      </c>
      <c r="DH287" s="7">
        <f t="shared" si="291"/>
        <v>0</v>
      </c>
      <c r="DI287" s="7">
        <f t="shared" si="292"/>
        <v>0</v>
      </c>
      <c r="DJ287" s="7">
        <f t="shared" si="293"/>
        <v>0</v>
      </c>
      <c r="DK287" s="7">
        <f t="shared" si="294"/>
        <v>0</v>
      </c>
      <c r="DL287" s="7">
        <f t="shared" si="295"/>
        <v>0</v>
      </c>
      <c r="DM287" s="7">
        <f t="shared" si="296"/>
        <v>0</v>
      </c>
      <c r="DN287" s="7">
        <f t="shared" si="297"/>
        <v>0</v>
      </c>
      <c r="DO287" s="7">
        <f t="shared" si="298"/>
        <v>0</v>
      </c>
      <c r="DP287" s="7">
        <f t="shared" si="299"/>
        <v>0</v>
      </c>
      <c r="DQ287" s="7">
        <f t="shared" si="300"/>
        <v>0</v>
      </c>
      <c r="DR287" s="7">
        <f t="shared" si="301"/>
        <v>0</v>
      </c>
      <c r="DS287" s="7">
        <f t="shared" si="302"/>
        <v>0</v>
      </c>
      <c r="DT287" s="7">
        <f t="shared" si="303"/>
        <v>0</v>
      </c>
      <c r="DU287" s="7">
        <f t="shared" si="304"/>
        <v>0</v>
      </c>
    </row>
    <row r="288" spans="1:125" x14ac:dyDescent="0.2">
      <c r="A288" s="3">
        <f>Bonds!A288</f>
        <v>52093</v>
      </c>
      <c r="B288" s="4">
        <f>Bonds!B288</f>
        <v>3.375</v>
      </c>
      <c r="C288">
        <f>Bonds!P288</f>
        <v>32</v>
      </c>
      <c r="D288">
        <f t="shared" si="244"/>
        <v>0</v>
      </c>
      <c r="E288" s="3">
        <f>IF(1&gt;$C288,"",IF($D288=1,EOMONTH(EDATE(Bonds!$H288,6*(1-1)),0),EDATE(Bonds!$H288,6*(1-1))))</f>
        <v>46433</v>
      </c>
      <c r="F288" s="3">
        <f>IF(2&gt;$C288,"",IF($D288=1,EOMONTH(EDATE(Bonds!$H288,6*(2-1)),0),EDATE(Bonds!$H288,6*(2-1))))</f>
        <v>46614</v>
      </c>
      <c r="G288" s="3">
        <f>IF(3&gt;$C288,"",IF($D288=1,EOMONTH(EDATE(Bonds!$H288,6*(3-1)),0),EDATE(Bonds!$H288,6*(3-1))))</f>
        <v>46798</v>
      </c>
      <c r="H288" s="3">
        <f>IF(4&gt;$C288,"",IF($D288=1,EOMONTH(EDATE(Bonds!$H288,6*(4-1)),0),EDATE(Bonds!$H288,6*(4-1))))</f>
        <v>46980</v>
      </c>
      <c r="I288" s="3">
        <f>IF(5&gt;$C288,"",IF($D288=1,EOMONTH(EDATE(Bonds!$H288,6*(5-1)),0),EDATE(Bonds!$H288,6*(5-1))))</f>
        <v>47164</v>
      </c>
      <c r="J288" s="3">
        <f>IF(6&gt;$C288,"",IF($D288=1,EOMONTH(EDATE(Bonds!$H288,6*(6-1)),0),EDATE(Bonds!$H288,6*(6-1))))</f>
        <v>47345</v>
      </c>
      <c r="K288" s="3">
        <f>IF(7&gt;$C288,"",IF($D288=1,EOMONTH(EDATE(Bonds!$H288,6*(7-1)),0),EDATE(Bonds!$H288,6*(7-1))))</f>
        <v>47529</v>
      </c>
      <c r="L288" s="3">
        <f>IF(8&gt;$C288,"",IF($D288=1,EOMONTH(EDATE(Bonds!$H288,6*(8-1)),0),EDATE(Bonds!$H288,6*(8-1))))</f>
        <v>47710</v>
      </c>
      <c r="M288" s="3">
        <f>IF(9&gt;$C288,"",IF($D288=1,EOMONTH(EDATE(Bonds!$H288,6*(9-1)),0),EDATE(Bonds!$H288,6*(9-1))))</f>
        <v>47894</v>
      </c>
      <c r="N288" s="3">
        <f>IF(10&gt;$C288,"",IF($D288=1,EOMONTH(EDATE(Bonds!$H288,6*(10-1)),0),EDATE(Bonds!$H288,6*(10-1))))</f>
        <v>48075</v>
      </c>
      <c r="O288" s="3">
        <f>IF(11&gt;$C288,"",IF($D288=1,EOMONTH(EDATE(Bonds!$H288,6*(11-1)),0),EDATE(Bonds!$H288,6*(11-1))))</f>
        <v>48259</v>
      </c>
      <c r="P288" s="3">
        <f>IF(12&gt;$C288,"",IF($D288=1,EOMONTH(EDATE(Bonds!$H288,6*(12-1)),0),EDATE(Bonds!$H288,6*(12-1))))</f>
        <v>48441</v>
      </c>
      <c r="Q288" s="3">
        <f>IF(13&gt;$C288,"",IF($D288=1,EOMONTH(EDATE(Bonds!$H288,6*(13-1)),0),EDATE(Bonds!$H288,6*(13-1))))</f>
        <v>48625</v>
      </c>
      <c r="R288" s="3">
        <f>IF(14&gt;$C288,"",IF($D288=1,EOMONTH(EDATE(Bonds!$H288,6*(14-1)),0),EDATE(Bonds!$H288,6*(14-1))))</f>
        <v>48806</v>
      </c>
      <c r="S288" s="3">
        <f>IF(15&gt;$C288,"",IF($D288=1,EOMONTH(EDATE(Bonds!$H288,6*(15-1)),0),EDATE(Bonds!$H288,6*(15-1))))</f>
        <v>48990</v>
      </c>
      <c r="T288" s="3">
        <f>IF(16&gt;$C288,"",IF($D288=1,EOMONTH(EDATE(Bonds!$H288,6*(16-1)),0),EDATE(Bonds!$H288,6*(16-1))))</f>
        <v>49171</v>
      </c>
      <c r="U288" s="3">
        <f>IF(17&gt;$C288,"",IF($D288=1,EOMONTH(EDATE(Bonds!$H288,6*(17-1)),0),EDATE(Bonds!$H288,6*(17-1))))</f>
        <v>49355</v>
      </c>
      <c r="V288" s="3">
        <f>IF(18&gt;$C288,"",IF($D288=1,EOMONTH(EDATE(Bonds!$H288,6*(18-1)),0),EDATE(Bonds!$H288,6*(18-1))))</f>
        <v>49536</v>
      </c>
      <c r="W288" s="3">
        <f>IF(19&gt;$C288,"",IF($D288=1,EOMONTH(EDATE(Bonds!$H288,6*(19-1)),0),EDATE(Bonds!$H288,6*(19-1))))</f>
        <v>49720</v>
      </c>
      <c r="X288" s="3">
        <f>IF(20&gt;$C288,"",IF($D288=1,EOMONTH(EDATE(Bonds!$H288,6*(20-1)),0),EDATE(Bonds!$H288,6*(20-1))))</f>
        <v>49902</v>
      </c>
      <c r="Y288" s="3">
        <f>IF(21&gt;$C288,"",IF($D288=1,EOMONTH(EDATE(Bonds!$H288,6*(21-1)),0),EDATE(Bonds!$H288,6*(21-1))))</f>
        <v>50086</v>
      </c>
      <c r="Z288" s="3">
        <f>IF(22&gt;$C288,"",IF($D288=1,EOMONTH(EDATE(Bonds!$H288,6*(22-1)),0),EDATE(Bonds!$H288,6*(22-1))))</f>
        <v>50267</v>
      </c>
      <c r="AA288" s="3">
        <f>IF(23&gt;$C288,"",IF($D288=1,EOMONTH(EDATE(Bonds!$H288,6*(23-1)),0),EDATE(Bonds!$H288,6*(23-1))))</f>
        <v>50451</v>
      </c>
      <c r="AB288" s="3">
        <f>IF(24&gt;$C288,"",IF($D288=1,EOMONTH(EDATE(Bonds!$H288,6*(24-1)),0),EDATE(Bonds!$H288,6*(24-1))))</f>
        <v>50632</v>
      </c>
      <c r="AC288" s="3">
        <f>IF(25&gt;$C288,"",IF($D288=1,EOMONTH(EDATE(Bonds!$H288,6*(25-1)),0),EDATE(Bonds!$H288,6*(25-1))))</f>
        <v>50816</v>
      </c>
      <c r="AD288" s="3">
        <f>IF(26&gt;$C288,"",IF($D288=1,EOMONTH(EDATE(Bonds!$H288,6*(26-1)),0),EDATE(Bonds!$H288,6*(26-1))))</f>
        <v>50997</v>
      </c>
      <c r="AE288" s="3">
        <f>IF(27&gt;$C288,"",IF($D288=1,EOMONTH(EDATE(Bonds!$H288,6*(27-1)),0),EDATE(Bonds!$H288,6*(27-1))))</f>
        <v>51181</v>
      </c>
      <c r="AF288" s="3">
        <f>IF(28&gt;$C288,"",IF($D288=1,EOMONTH(EDATE(Bonds!$H288,6*(28-1)),0),EDATE(Bonds!$H288,6*(28-1))))</f>
        <v>51363</v>
      </c>
      <c r="AG288" s="3">
        <f>IF(29&gt;$C288,"",IF($D288=1,EOMONTH(EDATE(Bonds!$H288,6*(29-1)),0),EDATE(Bonds!$H288,6*(29-1))))</f>
        <v>51547</v>
      </c>
      <c r="AH288" s="3">
        <f>IF(30&gt;$C288,"",IF($D288=1,EOMONTH(EDATE(Bonds!$H288,6*(30-1)),0),EDATE(Bonds!$H288,6*(30-1))))</f>
        <v>51728</v>
      </c>
      <c r="AI288" s="3">
        <f>IF(31&gt;$C288,"",IF($D288=1,EOMONTH(EDATE(Bonds!$H288,6*(31-1)),0),EDATE(Bonds!$H288,6*(31-1))))</f>
        <v>51912</v>
      </c>
      <c r="AJ288" s="3">
        <f>IF(32&gt;$C288,"",IF($D288=1,EOMONTH(EDATE(Bonds!$H288,6*(32-1)),0),EDATE(Bonds!$H288,6*(32-1))))</f>
        <v>52093</v>
      </c>
      <c r="AK288" s="3" t="str">
        <f>IF(33&gt;$C288,"",IF($D288=1,EOMONTH(EDATE(Bonds!$H288,6*(33-1)),0),EDATE(Bonds!$H288,6*(33-1))))</f>
        <v/>
      </c>
      <c r="AL288" s="3" t="str">
        <f>IF(34&gt;$C288,"",IF($D288=1,EOMONTH(EDATE(Bonds!$H288,6*(34-1)),0),EDATE(Bonds!$H288,6*(34-1))))</f>
        <v/>
      </c>
      <c r="AM288" s="3" t="str">
        <f>IF(35&gt;$C288,"",IF($D288=1,EOMONTH(EDATE(Bonds!$H288,6*(35-1)),0),EDATE(Bonds!$H288,6*(35-1))))</f>
        <v/>
      </c>
      <c r="AN288" s="3" t="str">
        <f>IF(36&gt;$C288,"",IF($D288=1,EOMONTH(EDATE(Bonds!$H288,6*(36-1)),0),EDATE(Bonds!$H288,6*(36-1))))</f>
        <v/>
      </c>
      <c r="AO288" s="3" t="str">
        <f>IF(37&gt;$C288,"",IF($D288=1,EOMONTH(EDATE(Bonds!$H288,6*(37-1)),0),EDATE(Bonds!$H288,6*(37-1))))</f>
        <v/>
      </c>
      <c r="AP288" s="3" t="str">
        <f>IF(38&gt;$C288,"",IF($D288=1,EOMONTH(EDATE(Bonds!$H288,6*(38-1)),0),EDATE(Bonds!$H288,6*(38-1))))</f>
        <v/>
      </c>
      <c r="AQ288" s="3" t="str">
        <f>IF(39&gt;$C288,"",IF($D288=1,EOMONTH(EDATE(Bonds!$H288,6*(39-1)),0),EDATE(Bonds!$H288,6*(39-1))))</f>
        <v/>
      </c>
      <c r="AR288" s="3" t="str">
        <f>IF(40&gt;$C288,"",IF($D288=1,EOMONTH(EDATE(Bonds!$H288,6*(40-1)),0),EDATE(Bonds!$H288,6*(40-1))))</f>
        <v/>
      </c>
      <c r="AS288" s="3" t="str">
        <f>IF(41&gt;$C288,"",IF($D288=1,EOMONTH(EDATE(Bonds!$H288,6*(41-1)),0),EDATE(Bonds!$H288,6*(41-1))))</f>
        <v/>
      </c>
      <c r="AT288" s="3" t="str">
        <f>IF(42&gt;$C288,"",IF($D288=1,EOMONTH(EDATE(Bonds!$H288,6*(42-1)),0),EDATE(Bonds!$H288,6*(42-1))))</f>
        <v/>
      </c>
      <c r="AU288" s="3" t="str">
        <f>IF(43&gt;$C288,"",IF($D288=1,EOMONTH(EDATE(Bonds!$H288,6*(43-1)),0),EDATE(Bonds!$H288,6*(43-1))))</f>
        <v/>
      </c>
      <c r="AV288" s="3" t="str">
        <f>IF(44&gt;$C288,"",IF($D288=1,EOMONTH(EDATE(Bonds!$H288,6*(44-1)),0),EDATE(Bonds!$H288,6*(44-1))))</f>
        <v/>
      </c>
      <c r="AW288" s="3" t="str">
        <f>IF(45&gt;$C288,"",IF($D288=1,EOMONTH(EDATE(Bonds!$H288,6*(45-1)),0),EDATE(Bonds!$H288,6*(45-1))))</f>
        <v/>
      </c>
      <c r="AX288" s="3" t="str">
        <f>IF(46&gt;$C288,"",IF($D288=1,EOMONTH(EDATE(Bonds!$H288,6*(46-1)),0),EDATE(Bonds!$H288,6*(46-1))))</f>
        <v/>
      </c>
      <c r="AY288" s="3" t="str">
        <f>IF(47&gt;$C288,"",IF($D288=1,EOMONTH(EDATE(Bonds!$H288,6*(47-1)),0),EDATE(Bonds!$H288,6*(47-1))))</f>
        <v/>
      </c>
      <c r="AZ288" s="3" t="str">
        <f>IF(48&gt;$C288,"",IF($D288=1,EOMONTH(EDATE(Bonds!$H288,6*(48-1)),0),EDATE(Bonds!$H288,6*(48-1))))</f>
        <v/>
      </c>
      <c r="BA288" s="3" t="str">
        <f>IF(49&gt;$C288,"",IF($D288=1,EOMONTH(EDATE(Bonds!$H288,6*(49-1)),0),EDATE(Bonds!$H288,6*(49-1))))</f>
        <v/>
      </c>
      <c r="BB288" s="3" t="str">
        <f>IF(50&gt;$C288,"",IF($D288=1,EOMONTH(EDATE(Bonds!$H288,6*(50-1)),0),EDATE(Bonds!$H288,6*(50-1))))</f>
        <v/>
      </c>
      <c r="BC288" s="3" t="str">
        <f>IF(51&gt;$C288,"",IF($D288=1,EOMONTH(EDATE(Bonds!$H288,6*(51-1)),0),EDATE(Bonds!$H288,6*(51-1))))</f>
        <v/>
      </c>
      <c r="BD288" s="3" t="str">
        <f>IF(52&gt;$C288,"",IF($D288=1,EOMONTH(EDATE(Bonds!$H288,6*(52-1)),0),EDATE(Bonds!$H288,6*(52-1))))</f>
        <v/>
      </c>
      <c r="BE288" s="3" t="str">
        <f>IF(53&gt;$C288,"",IF($D288=1,EOMONTH(EDATE(Bonds!$H288,6*(53-1)),0),EDATE(Bonds!$H288,6*(53-1))))</f>
        <v/>
      </c>
      <c r="BF288" s="3" t="str">
        <f>IF(54&gt;$C288,"",IF($D288=1,EOMONTH(EDATE(Bonds!$H288,6*(54-1)),0),EDATE(Bonds!$H288,6*(54-1))))</f>
        <v/>
      </c>
      <c r="BG288" s="3" t="str">
        <f>IF(55&gt;$C288,"",IF($D288=1,EOMONTH(EDATE(Bonds!$H288,6*(55-1)),0),EDATE(Bonds!$H288,6*(55-1))))</f>
        <v/>
      </c>
      <c r="BH288" s="3" t="str">
        <f>IF(56&gt;$C288,"",IF($D288=1,EOMONTH(EDATE(Bonds!$H288,6*(56-1)),0),EDATE(Bonds!$H288,6*(56-1))))</f>
        <v/>
      </c>
      <c r="BI288" s="3" t="str">
        <f>IF(57&gt;$C288,"",IF($D288=1,EOMONTH(EDATE(Bonds!$H288,6*(57-1)),0),EDATE(Bonds!$H288,6*(57-1))))</f>
        <v/>
      </c>
      <c r="BJ288" s="3" t="str">
        <f>IF(58&gt;$C288,"",IF($D288=1,EOMONTH(EDATE(Bonds!$H288,6*(58-1)),0),EDATE(Bonds!$H288,6*(58-1))))</f>
        <v/>
      </c>
      <c r="BK288" s="3" t="str">
        <f>IF(59&gt;$C288,"",IF($D288=1,EOMONTH(EDATE(Bonds!$H288,6*(59-1)),0),EDATE(Bonds!$H288,6*(59-1))))</f>
        <v/>
      </c>
      <c r="BL288" s="3" t="str">
        <f>IF(60&gt;$C288,"",IF($D288=1,EOMONTH(EDATE(Bonds!$H288,6*(60-1)),0),EDATE(Bonds!$H288,6*(60-1))))</f>
        <v/>
      </c>
      <c r="BN288" s="7">
        <f t="shared" si="245"/>
        <v>1.6588791263492177</v>
      </c>
      <c r="BO288" s="7">
        <f t="shared" si="246"/>
        <v>1.6239127351174678</v>
      </c>
      <c r="BP288" s="7">
        <f t="shared" si="247"/>
        <v>1.5874888069755468</v>
      </c>
      <c r="BQ288" s="7">
        <f t="shared" si="248"/>
        <v>1.551670547500577</v>
      </c>
      <c r="BR288" s="7">
        <f t="shared" si="249"/>
        <v>1.516171696444915</v>
      </c>
      <c r="BS288" s="7">
        <f t="shared" si="250"/>
        <v>1.4821042664073067</v>
      </c>
      <c r="BT288" s="7">
        <f t="shared" si="251"/>
        <v>1.4483133021091501</v>
      </c>
      <c r="BU288" s="7">
        <f t="shared" si="252"/>
        <v>1.4157935331952869</v>
      </c>
      <c r="BV288" s="7">
        <f t="shared" si="253"/>
        <v>1.3833311612253767</v>
      </c>
      <c r="BW288" s="7">
        <f t="shared" si="254"/>
        <v>1.3518573068739201</v>
      </c>
      <c r="BX288" s="7">
        <f t="shared" si="255"/>
        <v>1.3202198443750544</v>
      </c>
      <c r="BY288" s="7">
        <f t="shared" si="256"/>
        <v>1.2892012918302254</v>
      </c>
      <c r="BZ288" s="7">
        <f t="shared" si="257"/>
        <v>1.2580669482555324</v>
      </c>
      <c r="CA288" s="7">
        <f t="shared" si="258"/>
        <v>1.227634697872346</v>
      </c>
      <c r="CB288" s="7">
        <f t="shared" si="259"/>
        <v>1.1968908047214499</v>
      </c>
      <c r="CC288" s="7">
        <f t="shared" si="260"/>
        <v>1.1668500754044921</v>
      </c>
      <c r="CD288" s="7">
        <f t="shared" si="261"/>
        <v>1.1365423992595485</v>
      </c>
      <c r="CE288" s="7">
        <f t="shared" si="262"/>
        <v>1.10699024436629</v>
      </c>
      <c r="CF288" s="7">
        <f t="shared" si="263"/>
        <v>1.0772547142204492</v>
      </c>
      <c r="CG288" s="7">
        <f t="shared" si="264"/>
        <v>1.0481895288775556</v>
      </c>
      <c r="CH288" s="7">
        <f t="shared" si="265"/>
        <v>1.0192005005833491</v>
      </c>
      <c r="CI288" s="7">
        <f t="shared" si="266"/>
        <v>0.99111464537751726</v>
      </c>
      <c r="CJ288" s="7">
        <f t="shared" si="267"/>
        <v>0.96304191803866779</v>
      </c>
      <c r="CK288" s="7">
        <f t="shared" si="268"/>
        <v>0.93593460861202071</v>
      </c>
      <c r="CL288" s="7">
        <f t="shared" si="269"/>
        <v>0.90892793248600745</v>
      </c>
      <c r="CM288" s="7">
        <f t="shared" si="270"/>
        <v>0.8829314587061412</v>
      </c>
      <c r="CN288" s="7">
        <f t="shared" si="271"/>
        <v>0.85710858819076019</v>
      </c>
      <c r="CO288" s="7">
        <f t="shared" si="272"/>
        <v>0.83218647145368241</v>
      </c>
      <c r="CP288" s="7">
        <f t="shared" si="273"/>
        <v>0.80763392495708597</v>
      </c>
      <c r="CQ288" s="7">
        <f t="shared" si="274"/>
        <v>0.78412505944040456</v>
      </c>
      <c r="CR288" s="7">
        <f t="shared" si="275"/>
        <v>0.76088913979830741</v>
      </c>
      <c r="CS288" s="7">
        <f t="shared" si="276"/>
        <v>44.512838584307964</v>
      </c>
      <c r="CT288" s="7">
        <f t="shared" si="277"/>
        <v>0</v>
      </c>
      <c r="CU288" s="7">
        <f t="shared" si="278"/>
        <v>0</v>
      </c>
      <c r="CV288" s="7">
        <f t="shared" si="279"/>
        <v>0</v>
      </c>
      <c r="CW288" s="7">
        <f t="shared" si="280"/>
        <v>0</v>
      </c>
      <c r="CX288" s="7">
        <f t="shared" si="281"/>
        <v>0</v>
      </c>
      <c r="CY288" s="7">
        <f t="shared" si="282"/>
        <v>0</v>
      </c>
      <c r="CZ288" s="7">
        <f t="shared" si="283"/>
        <v>0</v>
      </c>
      <c r="DA288" s="7">
        <f t="shared" si="284"/>
        <v>0</v>
      </c>
      <c r="DB288" s="7">
        <f t="shared" si="285"/>
        <v>0</v>
      </c>
      <c r="DC288" s="7">
        <f t="shared" si="286"/>
        <v>0</v>
      </c>
      <c r="DD288" s="7">
        <f t="shared" si="287"/>
        <v>0</v>
      </c>
      <c r="DE288" s="7">
        <f t="shared" si="288"/>
        <v>0</v>
      </c>
      <c r="DF288" s="7">
        <f t="shared" si="289"/>
        <v>0</v>
      </c>
      <c r="DG288" s="7">
        <f t="shared" si="290"/>
        <v>0</v>
      </c>
      <c r="DH288" s="7">
        <f t="shared" si="291"/>
        <v>0</v>
      </c>
      <c r="DI288" s="7">
        <f t="shared" si="292"/>
        <v>0</v>
      </c>
      <c r="DJ288" s="7">
        <f t="shared" si="293"/>
        <v>0</v>
      </c>
      <c r="DK288" s="7">
        <f t="shared" si="294"/>
        <v>0</v>
      </c>
      <c r="DL288" s="7">
        <f t="shared" si="295"/>
        <v>0</v>
      </c>
      <c r="DM288" s="7">
        <f t="shared" si="296"/>
        <v>0</v>
      </c>
      <c r="DN288" s="7">
        <f t="shared" si="297"/>
        <v>0</v>
      </c>
      <c r="DO288" s="7">
        <f t="shared" si="298"/>
        <v>0</v>
      </c>
      <c r="DP288" s="7">
        <f t="shared" si="299"/>
        <v>0</v>
      </c>
      <c r="DQ288" s="7">
        <f t="shared" si="300"/>
        <v>0</v>
      </c>
      <c r="DR288" s="7">
        <f t="shared" si="301"/>
        <v>0</v>
      </c>
      <c r="DS288" s="7">
        <f t="shared" si="302"/>
        <v>0</v>
      </c>
      <c r="DT288" s="7">
        <f t="shared" si="303"/>
        <v>0</v>
      </c>
      <c r="DU288" s="7">
        <f t="shared" si="304"/>
        <v>0</v>
      </c>
    </row>
    <row r="289" spans="1:125" x14ac:dyDescent="0.2">
      <c r="A289" s="3">
        <f>Bonds!A289</f>
        <v>52185</v>
      </c>
      <c r="B289" s="4">
        <f>Bonds!B289</f>
        <v>2.75</v>
      </c>
      <c r="C289">
        <f>Bonds!P289</f>
        <v>33</v>
      </c>
      <c r="D289">
        <f t="shared" si="244"/>
        <v>0</v>
      </c>
      <c r="E289" s="3">
        <f>IF(1&gt;$C289,"",IF($D289=1,EOMONTH(EDATE(Bonds!$H289,6*(1-1)),0),EDATE(Bonds!$H289,6*(1-1))))</f>
        <v>46341</v>
      </c>
      <c r="F289" s="3">
        <f>IF(2&gt;$C289,"",IF($D289=1,EOMONTH(EDATE(Bonds!$H289,6*(2-1)),0),EDATE(Bonds!$H289,6*(2-1))))</f>
        <v>46522</v>
      </c>
      <c r="G289" s="3">
        <f>IF(3&gt;$C289,"",IF($D289=1,EOMONTH(EDATE(Bonds!$H289,6*(3-1)),0),EDATE(Bonds!$H289,6*(3-1))))</f>
        <v>46706</v>
      </c>
      <c r="H289" s="3">
        <f>IF(4&gt;$C289,"",IF($D289=1,EOMONTH(EDATE(Bonds!$H289,6*(4-1)),0),EDATE(Bonds!$H289,6*(4-1))))</f>
        <v>46888</v>
      </c>
      <c r="I289" s="3">
        <f>IF(5&gt;$C289,"",IF($D289=1,EOMONTH(EDATE(Bonds!$H289,6*(5-1)),0),EDATE(Bonds!$H289,6*(5-1))))</f>
        <v>47072</v>
      </c>
      <c r="J289" s="3">
        <f>IF(6&gt;$C289,"",IF($D289=1,EOMONTH(EDATE(Bonds!$H289,6*(6-1)),0),EDATE(Bonds!$H289,6*(6-1))))</f>
        <v>47253</v>
      </c>
      <c r="K289" s="3">
        <f>IF(7&gt;$C289,"",IF($D289=1,EOMONTH(EDATE(Bonds!$H289,6*(7-1)),0),EDATE(Bonds!$H289,6*(7-1))))</f>
        <v>47437</v>
      </c>
      <c r="L289" s="3">
        <f>IF(8&gt;$C289,"",IF($D289=1,EOMONTH(EDATE(Bonds!$H289,6*(8-1)),0),EDATE(Bonds!$H289,6*(8-1))))</f>
        <v>47618</v>
      </c>
      <c r="M289" s="3">
        <f>IF(9&gt;$C289,"",IF($D289=1,EOMONTH(EDATE(Bonds!$H289,6*(9-1)),0),EDATE(Bonds!$H289,6*(9-1))))</f>
        <v>47802</v>
      </c>
      <c r="N289" s="3">
        <f>IF(10&gt;$C289,"",IF($D289=1,EOMONTH(EDATE(Bonds!$H289,6*(10-1)),0),EDATE(Bonds!$H289,6*(10-1))))</f>
        <v>47983</v>
      </c>
      <c r="O289" s="3">
        <f>IF(11&gt;$C289,"",IF($D289=1,EOMONTH(EDATE(Bonds!$H289,6*(11-1)),0),EDATE(Bonds!$H289,6*(11-1))))</f>
        <v>48167</v>
      </c>
      <c r="P289" s="3">
        <f>IF(12&gt;$C289,"",IF($D289=1,EOMONTH(EDATE(Bonds!$H289,6*(12-1)),0),EDATE(Bonds!$H289,6*(12-1))))</f>
        <v>48349</v>
      </c>
      <c r="Q289" s="3">
        <f>IF(13&gt;$C289,"",IF($D289=1,EOMONTH(EDATE(Bonds!$H289,6*(13-1)),0),EDATE(Bonds!$H289,6*(13-1))))</f>
        <v>48533</v>
      </c>
      <c r="R289" s="3">
        <f>IF(14&gt;$C289,"",IF($D289=1,EOMONTH(EDATE(Bonds!$H289,6*(14-1)),0),EDATE(Bonds!$H289,6*(14-1))))</f>
        <v>48714</v>
      </c>
      <c r="S289" s="3">
        <f>IF(15&gt;$C289,"",IF($D289=1,EOMONTH(EDATE(Bonds!$H289,6*(15-1)),0),EDATE(Bonds!$H289,6*(15-1))))</f>
        <v>48898</v>
      </c>
      <c r="T289" s="3">
        <f>IF(16&gt;$C289,"",IF($D289=1,EOMONTH(EDATE(Bonds!$H289,6*(16-1)),0),EDATE(Bonds!$H289,6*(16-1))))</f>
        <v>49079</v>
      </c>
      <c r="U289" s="3">
        <f>IF(17&gt;$C289,"",IF($D289=1,EOMONTH(EDATE(Bonds!$H289,6*(17-1)),0),EDATE(Bonds!$H289,6*(17-1))))</f>
        <v>49263</v>
      </c>
      <c r="V289" s="3">
        <f>IF(18&gt;$C289,"",IF($D289=1,EOMONTH(EDATE(Bonds!$H289,6*(18-1)),0),EDATE(Bonds!$H289,6*(18-1))))</f>
        <v>49444</v>
      </c>
      <c r="W289" s="3">
        <f>IF(19&gt;$C289,"",IF($D289=1,EOMONTH(EDATE(Bonds!$H289,6*(19-1)),0),EDATE(Bonds!$H289,6*(19-1))))</f>
        <v>49628</v>
      </c>
      <c r="X289" s="3">
        <f>IF(20&gt;$C289,"",IF($D289=1,EOMONTH(EDATE(Bonds!$H289,6*(20-1)),0),EDATE(Bonds!$H289,6*(20-1))))</f>
        <v>49810</v>
      </c>
      <c r="Y289" s="3">
        <f>IF(21&gt;$C289,"",IF($D289=1,EOMONTH(EDATE(Bonds!$H289,6*(21-1)),0),EDATE(Bonds!$H289,6*(21-1))))</f>
        <v>49994</v>
      </c>
      <c r="Z289" s="3">
        <f>IF(22&gt;$C289,"",IF($D289=1,EOMONTH(EDATE(Bonds!$H289,6*(22-1)),0),EDATE(Bonds!$H289,6*(22-1))))</f>
        <v>50175</v>
      </c>
      <c r="AA289" s="3">
        <f>IF(23&gt;$C289,"",IF($D289=1,EOMONTH(EDATE(Bonds!$H289,6*(23-1)),0),EDATE(Bonds!$H289,6*(23-1))))</f>
        <v>50359</v>
      </c>
      <c r="AB289" s="3">
        <f>IF(24&gt;$C289,"",IF($D289=1,EOMONTH(EDATE(Bonds!$H289,6*(24-1)),0),EDATE(Bonds!$H289,6*(24-1))))</f>
        <v>50540</v>
      </c>
      <c r="AC289" s="3">
        <f>IF(25&gt;$C289,"",IF($D289=1,EOMONTH(EDATE(Bonds!$H289,6*(25-1)),0),EDATE(Bonds!$H289,6*(25-1))))</f>
        <v>50724</v>
      </c>
      <c r="AD289" s="3">
        <f>IF(26&gt;$C289,"",IF($D289=1,EOMONTH(EDATE(Bonds!$H289,6*(26-1)),0),EDATE(Bonds!$H289,6*(26-1))))</f>
        <v>50905</v>
      </c>
      <c r="AE289" s="3">
        <f>IF(27&gt;$C289,"",IF($D289=1,EOMONTH(EDATE(Bonds!$H289,6*(27-1)),0),EDATE(Bonds!$H289,6*(27-1))))</f>
        <v>51089</v>
      </c>
      <c r="AF289" s="3">
        <f>IF(28&gt;$C289,"",IF($D289=1,EOMONTH(EDATE(Bonds!$H289,6*(28-1)),0),EDATE(Bonds!$H289,6*(28-1))))</f>
        <v>51271</v>
      </c>
      <c r="AG289" s="3">
        <f>IF(29&gt;$C289,"",IF($D289=1,EOMONTH(EDATE(Bonds!$H289,6*(29-1)),0),EDATE(Bonds!$H289,6*(29-1))))</f>
        <v>51455</v>
      </c>
      <c r="AH289" s="3">
        <f>IF(30&gt;$C289,"",IF($D289=1,EOMONTH(EDATE(Bonds!$H289,6*(30-1)),0),EDATE(Bonds!$H289,6*(30-1))))</f>
        <v>51636</v>
      </c>
      <c r="AI289" s="3">
        <f>IF(31&gt;$C289,"",IF($D289=1,EOMONTH(EDATE(Bonds!$H289,6*(31-1)),0),EDATE(Bonds!$H289,6*(31-1))))</f>
        <v>51820</v>
      </c>
      <c r="AJ289" s="3">
        <f>IF(32&gt;$C289,"",IF($D289=1,EOMONTH(EDATE(Bonds!$H289,6*(32-1)),0),EDATE(Bonds!$H289,6*(32-1))))</f>
        <v>52001</v>
      </c>
      <c r="AK289" s="3">
        <f>IF(33&gt;$C289,"",IF($D289=1,EOMONTH(EDATE(Bonds!$H289,6*(33-1)),0),EDATE(Bonds!$H289,6*(33-1))))</f>
        <v>52185</v>
      </c>
      <c r="AL289" s="3" t="str">
        <f>IF(34&gt;$C289,"",IF($D289=1,EOMONTH(EDATE(Bonds!$H289,6*(34-1)),0),EDATE(Bonds!$H289,6*(34-1))))</f>
        <v/>
      </c>
      <c r="AM289" s="3" t="str">
        <f>IF(35&gt;$C289,"",IF($D289=1,EOMONTH(EDATE(Bonds!$H289,6*(35-1)),0),EDATE(Bonds!$H289,6*(35-1))))</f>
        <v/>
      </c>
      <c r="AN289" s="3" t="str">
        <f>IF(36&gt;$C289,"",IF($D289=1,EOMONTH(EDATE(Bonds!$H289,6*(36-1)),0),EDATE(Bonds!$H289,6*(36-1))))</f>
        <v/>
      </c>
      <c r="AO289" s="3" t="str">
        <f>IF(37&gt;$C289,"",IF($D289=1,EOMONTH(EDATE(Bonds!$H289,6*(37-1)),0),EDATE(Bonds!$H289,6*(37-1))))</f>
        <v/>
      </c>
      <c r="AP289" s="3" t="str">
        <f>IF(38&gt;$C289,"",IF($D289=1,EOMONTH(EDATE(Bonds!$H289,6*(38-1)),0),EDATE(Bonds!$H289,6*(38-1))))</f>
        <v/>
      </c>
      <c r="AQ289" s="3" t="str">
        <f>IF(39&gt;$C289,"",IF($D289=1,EOMONTH(EDATE(Bonds!$H289,6*(39-1)),0),EDATE(Bonds!$H289,6*(39-1))))</f>
        <v/>
      </c>
      <c r="AR289" s="3" t="str">
        <f>IF(40&gt;$C289,"",IF($D289=1,EOMONTH(EDATE(Bonds!$H289,6*(40-1)),0),EDATE(Bonds!$H289,6*(40-1))))</f>
        <v/>
      </c>
      <c r="AS289" s="3" t="str">
        <f>IF(41&gt;$C289,"",IF($D289=1,EOMONTH(EDATE(Bonds!$H289,6*(41-1)),0),EDATE(Bonds!$H289,6*(41-1))))</f>
        <v/>
      </c>
      <c r="AT289" s="3" t="str">
        <f>IF(42&gt;$C289,"",IF($D289=1,EOMONTH(EDATE(Bonds!$H289,6*(42-1)),0),EDATE(Bonds!$H289,6*(42-1))))</f>
        <v/>
      </c>
      <c r="AU289" s="3" t="str">
        <f>IF(43&gt;$C289,"",IF($D289=1,EOMONTH(EDATE(Bonds!$H289,6*(43-1)),0),EDATE(Bonds!$H289,6*(43-1))))</f>
        <v/>
      </c>
      <c r="AV289" s="3" t="str">
        <f>IF(44&gt;$C289,"",IF($D289=1,EOMONTH(EDATE(Bonds!$H289,6*(44-1)),0),EDATE(Bonds!$H289,6*(44-1))))</f>
        <v/>
      </c>
      <c r="AW289" s="3" t="str">
        <f>IF(45&gt;$C289,"",IF($D289=1,EOMONTH(EDATE(Bonds!$H289,6*(45-1)),0),EDATE(Bonds!$H289,6*(45-1))))</f>
        <v/>
      </c>
      <c r="AX289" s="3" t="str">
        <f>IF(46&gt;$C289,"",IF($D289=1,EOMONTH(EDATE(Bonds!$H289,6*(46-1)),0),EDATE(Bonds!$H289,6*(46-1))))</f>
        <v/>
      </c>
      <c r="AY289" s="3" t="str">
        <f>IF(47&gt;$C289,"",IF($D289=1,EOMONTH(EDATE(Bonds!$H289,6*(47-1)),0),EDATE(Bonds!$H289,6*(47-1))))</f>
        <v/>
      </c>
      <c r="AZ289" s="3" t="str">
        <f>IF(48&gt;$C289,"",IF($D289=1,EOMONTH(EDATE(Bonds!$H289,6*(48-1)),0),EDATE(Bonds!$H289,6*(48-1))))</f>
        <v/>
      </c>
      <c r="BA289" s="3" t="str">
        <f>IF(49&gt;$C289,"",IF($D289=1,EOMONTH(EDATE(Bonds!$H289,6*(49-1)),0),EDATE(Bonds!$H289,6*(49-1))))</f>
        <v/>
      </c>
      <c r="BB289" s="3" t="str">
        <f>IF(50&gt;$C289,"",IF($D289=1,EOMONTH(EDATE(Bonds!$H289,6*(50-1)),0),EDATE(Bonds!$H289,6*(50-1))))</f>
        <v/>
      </c>
      <c r="BC289" s="3" t="str">
        <f>IF(51&gt;$C289,"",IF($D289=1,EOMONTH(EDATE(Bonds!$H289,6*(51-1)),0),EDATE(Bonds!$H289,6*(51-1))))</f>
        <v/>
      </c>
      <c r="BD289" s="3" t="str">
        <f>IF(52&gt;$C289,"",IF($D289=1,EOMONTH(EDATE(Bonds!$H289,6*(52-1)),0),EDATE(Bonds!$H289,6*(52-1))))</f>
        <v/>
      </c>
      <c r="BE289" s="3" t="str">
        <f>IF(53&gt;$C289,"",IF($D289=1,EOMONTH(EDATE(Bonds!$H289,6*(53-1)),0),EDATE(Bonds!$H289,6*(53-1))))</f>
        <v/>
      </c>
      <c r="BF289" s="3" t="str">
        <f>IF(54&gt;$C289,"",IF($D289=1,EOMONTH(EDATE(Bonds!$H289,6*(54-1)),0),EDATE(Bonds!$H289,6*(54-1))))</f>
        <v/>
      </c>
      <c r="BG289" s="3" t="str">
        <f>IF(55&gt;$C289,"",IF($D289=1,EOMONTH(EDATE(Bonds!$H289,6*(55-1)),0),EDATE(Bonds!$H289,6*(55-1))))</f>
        <v/>
      </c>
      <c r="BH289" s="3" t="str">
        <f>IF(56&gt;$C289,"",IF($D289=1,EOMONTH(EDATE(Bonds!$H289,6*(56-1)),0),EDATE(Bonds!$H289,6*(56-1))))</f>
        <v/>
      </c>
      <c r="BI289" s="3" t="str">
        <f>IF(57&gt;$C289,"",IF($D289=1,EOMONTH(EDATE(Bonds!$H289,6*(57-1)),0),EDATE(Bonds!$H289,6*(57-1))))</f>
        <v/>
      </c>
      <c r="BJ289" s="3" t="str">
        <f>IF(58&gt;$C289,"",IF($D289=1,EOMONTH(EDATE(Bonds!$H289,6*(58-1)),0),EDATE(Bonds!$H289,6*(58-1))))</f>
        <v/>
      </c>
      <c r="BK289" s="3" t="str">
        <f>IF(59&gt;$C289,"",IF($D289=1,EOMONTH(EDATE(Bonds!$H289,6*(59-1)),0),EDATE(Bonds!$H289,6*(59-1))))</f>
        <v/>
      </c>
      <c r="BL289" s="3" t="str">
        <f>IF(60&gt;$C289,"",IF($D289=1,EOMONTH(EDATE(Bonds!$H289,6*(60-1)),0),EDATE(Bonds!$H289,6*(60-1))))</f>
        <v/>
      </c>
      <c r="BN289" s="7">
        <f t="shared" si="245"/>
        <v>1.3654101760750257</v>
      </c>
      <c r="BO289" s="7">
        <f t="shared" si="246"/>
        <v>1.3378378547765637</v>
      </c>
      <c r="BP289" s="7">
        <f t="shared" si="247"/>
        <v>1.308368639255723</v>
      </c>
      <c r="BQ289" s="7">
        <f t="shared" si="248"/>
        <v>1.2790224444896099</v>
      </c>
      <c r="BR289" s="7">
        <f t="shared" si="249"/>
        <v>1.2497759121931402</v>
      </c>
      <c r="BS289" s="7">
        <f t="shared" si="250"/>
        <v>1.221662752844435</v>
      </c>
      <c r="BT289" s="7">
        <f t="shared" si="251"/>
        <v>1.1937921180033211</v>
      </c>
      <c r="BU289" s="7">
        <f t="shared" si="252"/>
        <v>1.167011787915136</v>
      </c>
      <c r="BV289" s="7">
        <f t="shared" si="253"/>
        <v>1.1403298493064149</v>
      </c>
      <c r="BW289" s="7">
        <f t="shared" si="254"/>
        <v>1.1145080571976793</v>
      </c>
      <c r="BX289" s="7">
        <f t="shared" si="255"/>
        <v>1.0885919484262259</v>
      </c>
      <c r="BY289" s="7">
        <f t="shared" si="256"/>
        <v>1.0632116800520821</v>
      </c>
      <c r="BZ289" s="7">
        <f t="shared" si="257"/>
        <v>1.0377547380810046</v>
      </c>
      <c r="CA289" s="7">
        <f t="shared" si="258"/>
        <v>1.0128797337254261</v>
      </c>
      <c r="CB289" s="7">
        <f t="shared" si="259"/>
        <v>0.98774950507531833</v>
      </c>
      <c r="CC289" s="7">
        <f t="shared" si="260"/>
        <v>0.96318694417478801</v>
      </c>
      <c r="CD289" s="7">
        <f t="shared" si="261"/>
        <v>0.93839379606872875</v>
      </c>
      <c r="CE289" s="7">
        <f t="shared" si="262"/>
        <v>0.91420304414204823</v>
      </c>
      <c r="CF289" s="7">
        <f t="shared" si="263"/>
        <v>0.88984390883930364</v>
      </c>
      <c r="CG289" s="7">
        <f t="shared" si="264"/>
        <v>0.86601446337543586</v>
      </c>
      <c r="CH289" s="7">
        <f t="shared" si="265"/>
        <v>0.84222724788183501</v>
      </c>
      <c r="CI289" s="7">
        <f t="shared" si="266"/>
        <v>0.81916137864195093</v>
      </c>
      <c r="CJ289" s="7">
        <f t="shared" si="267"/>
        <v>0.7960867138127854</v>
      </c>
      <c r="CK289" s="7">
        <f t="shared" si="268"/>
        <v>0.77378712985951592</v>
      </c>
      <c r="CL289" s="7">
        <f t="shared" si="269"/>
        <v>0.75155260108669319</v>
      </c>
      <c r="CM289" s="7">
        <f t="shared" si="270"/>
        <v>0.73013345739175728</v>
      </c>
      <c r="CN289" s="7">
        <f t="shared" si="271"/>
        <v>0.70884198670575271</v>
      </c>
      <c r="CO289" s="7">
        <f t="shared" si="272"/>
        <v>0.68827918866719506</v>
      </c>
      <c r="CP289" s="7">
        <f t="shared" si="273"/>
        <v>0.6680083715009475</v>
      </c>
      <c r="CQ289" s="7">
        <f t="shared" si="274"/>
        <v>0.64858768355385676</v>
      </c>
      <c r="CR289" s="7">
        <f t="shared" si="275"/>
        <v>0.62938186666953655</v>
      </c>
      <c r="CS289" s="7">
        <f t="shared" si="276"/>
        <v>0.61102259647693191</v>
      </c>
      <c r="CT289" s="7">
        <f t="shared" si="277"/>
        <v>43.713197800943988</v>
      </c>
      <c r="CU289" s="7">
        <f t="shared" si="278"/>
        <v>0</v>
      </c>
      <c r="CV289" s="7">
        <f t="shared" si="279"/>
        <v>0</v>
      </c>
      <c r="CW289" s="7">
        <f t="shared" si="280"/>
        <v>0</v>
      </c>
      <c r="CX289" s="7">
        <f t="shared" si="281"/>
        <v>0</v>
      </c>
      <c r="CY289" s="7">
        <f t="shared" si="282"/>
        <v>0</v>
      </c>
      <c r="CZ289" s="7">
        <f t="shared" si="283"/>
        <v>0</v>
      </c>
      <c r="DA289" s="7">
        <f t="shared" si="284"/>
        <v>0</v>
      </c>
      <c r="DB289" s="7">
        <f t="shared" si="285"/>
        <v>0</v>
      </c>
      <c r="DC289" s="7">
        <f t="shared" si="286"/>
        <v>0</v>
      </c>
      <c r="DD289" s="7">
        <f t="shared" si="287"/>
        <v>0</v>
      </c>
      <c r="DE289" s="7">
        <f t="shared" si="288"/>
        <v>0</v>
      </c>
      <c r="DF289" s="7">
        <f t="shared" si="289"/>
        <v>0</v>
      </c>
      <c r="DG289" s="7">
        <f t="shared" si="290"/>
        <v>0</v>
      </c>
      <c r="DH289" s="7">
        <f t="shared" si="291"/>
        <v>0</v>
      </c>
      <c r="DI289" s="7">
        <f t="shared" si="292"/>
        <v>0</v>
      </c>
      <c r="DJ289" s="7">
        <f t="shared" si="293"/>
        <v>0</v>
      </c>
      <c r="DK289" s="7">
        <f t="shared" si="294"/>
        <v>0</v>
      </c>
      <c r="DL289" s="7">
        <f t="shared" si="295"/>
        <v>0</v>
      </c>
      <c r="DM289" s="7">
        <f t="shared" si="296"/>
        <v>0</v>
      </c>
      <c r="DN289" s="7">
        <f t="shared" si="297"/>
        <v>0</v>
      </c>
      <c r="DO289" s="7">
        <f t="shared" si="298"/>
        <v>0</v>
      </c>
      <c r="DP289" s="7">
        <f t="shared" si="299"/>
        <v>0</v>
      </c>
      <c r="DQ289" s="7">
        <f t="shared" si="300"/>
        <v>0</v>
      </c>
      <c r="DR289" s="7">
        <f t="shared" si="301"/>
        <v>0</v>
      </c>
      <c r="DS289" s="7">
        <f t="shared" si="302"/>
        <v>0</v>
      </c>
      <c r="DT289" s="7">
        <f t="shared" si="303"/>
        <v>0</v>
      </c>
      <c r="DU289" s="7">
        <f t="shared" si="304"/>
        <v>0</v>
      </c>
    </row>
    <row r="290" spans="1:125" x14ac:dyDescent="0.2">
      <c r="A290" s="3">
        <f>Bonds!A290</f>
        <v>52185</v>
      </c>
      <c r="B290" s="4">
        <f>Bonds!B290</f>
        <v>4</v>
      </c>
      <c r="C290">
        <f>Bonds!P290</f>
        <v>33</v>
      </c>
      <c r="D290">
        <f t="shared" si="244"/>
        <v>0</v>
      </c>
      <c r="E290" s="3">
        <f>IF(1&gt;$C290,"",IF($D290=1,EOMONTH(EDATE(Bonds!$H290,6*(1-1)),0),EDATE(Bonds!$H290,6*(1-1))))</f>
        <v>46341</v>
      </c>
      <c r="F290" s="3">
        <f>IF(2&gt;$C290,"",IF($D290=1,EOMONTH(EDATE(Bonds!$H290,6*(2-1)),0),EDATE(Bonds!$H290,6*(2-1))))</f>
        <v>46522</v>
      </c>
      <c r="G290" s="3">
        <f>IF(3&gt;$C290,"",IF($D290=1,EOMONTH(EDATE(Bonds!$H290,6*(3-1)),0),EDATE(Bonds!$H290,6*(3-1))))</f>
        <v>46706</v>
      </c>
      <c r="H290" s="3">
        <f>IF(4&gt;$C290,"",IF($D290=1,EOMONTH(EDATE(Bonds!$H290,6*(4-1)),0),EDATE(Bonds!$H290,6*(4-1))))</f>
        <v>46888</v>
      </c>
      <c r="I290" s="3">
        <f>IF(5&gt;$C290,"",IF($D290=1,EOMONTH(EDATE(Bonds!$H290,6*(5-1)),0),EDATE(Bonds!$H290,6*(5-1))))</f>
        <v>47072</v>
      </c>
      <c r="J290" s="3">
        <f>IF(6&gt;$C290,"",IF($D290=1,EOMONTH(EDATE(Bonds!$H290,6*(6-1)),0),EDATE(Bonds!$H290,6*(6-1))))</f>
        <v>47253</v>
      </c>
      <c r="K290" s="3">
        <f>IF(7&gt;$C290,"",IF($D290=1,EOMONTH(EDATE(Bonds!$H290,6*(7-1)),0),EDATE(Bonds!$H290,6*(7-1))))</f>
        <v>47437</v>
      </c>
      <c r="L290" s="3">
        <f>IF(8&gt;$C290,"",IF($D290=1,EOMONTH(EDATE(Bonds!$H290,6*(8-1)),0),EDATE(Bonds!$H290,6*(8-1))))</f>
        <v>47618</v>
      </c>
      <c r="M290" s="3">
        <f>IF(9&gt;$C290,"",IF($D290=1,EOMONTH(EDATE(Bonds!$H290,6*(9-1)),0),EDATE(Bonds!$H290,6*(9-1))))</f>
        <v>47802</v>
      </c>
      <c r="N290" s="3">
        <f>IF(10&gt;$C290,"",IF($D290=1,EOMONTH(EDATE(Bonds!$H290,6*(10-1)),0),EDATE(Bonds!$H290,6*(10-1))))</f>
        <v>47983</v>
      </c>
      <c r="O290" s="3">
        <f>IF(11&gt;$C290,"",IF($D290=1,EOMONTH(EDATE(Bonds!$H290,6*(11-1)),0),EDATE(Bonds!$H290,6*(11-1))))</f>
        <v>48167</v>
      </c>
      <c r="P290" s="3">
        <f>IF(12&gt;$C290,"",IF($D290=1,EOMONTH(EDATE(Bonds!$H290,6*(12-1)),0),EDATE(Bonds!$H290,6*(12-1))))</f>
        <v>48349</v>
      </c>
      <c r="Q290" s="3">
        <f>IF(13&gt;$C290,"",IF($D290=1,EOMONTH(EDATE(Bonds!$H290,6*(13-1)),0),EDATE(Bonds!$H290,6*(13-1))))</f>
        <v>48533</v>
      </c>
      <c r="R290" s="3">
        <f>IF(14&gt;$C290,"",IF($D290=1,EOMONTH(EDATE(Bonds!$H290,6*(14-1)),0),EDATE(Bonds!$H290,6*(14-1))))</f>
        <v>48714</v>
      </c>
      <c r="S290" s="3">
        <f>IF(15&gt;$C290,"",IF($D290=1,EOMONTH(EDATE(Bonds!$H290,6*(15-1)),0),EDATE(Bonds!$H290,6*(15-1))))</f>
        <v>48898</v>
      </c>
      <c r="T290" s="3">
        <f>IF(16&gt;$C290,"",IF($D290=1,EOMONTH(EDATE(Bonds!$H290,6*(16-1)),0),EDATE(Bonds!$H290,6*(16-1))))</f>
        <v>49079</v>
      </c>
      <c r="U290" s="3">
        <f>IF(17&gt;$C290,"",IF($D290=1,EOMONTH(EDATE(Bonds!$H290,6*(17-1)),0),EDATE(Bonds!$H290,6*(17-1))))</f>
        <v>49263</v>
      </c>
      <c r="V290" s="3">
        <f>IF(18&gt;$C290,"",IF($D290=1,EOMONTH(EDATE(Bonds!$H290,6*(18-1)),0),EDATE(Bonds!$H290,6*(18-1))))</f>
        <v>49444</v>
      </c>
      <c r="W290" s="3">
        <f>IF(19&gt;$C290,"",IF($D290=1,EOMONTH(EDATE(Bonds!$H290,6*(19-1)),0),EDATE(Bonds!$H290,6*(19-1))))</f>
        <v>49628</v>
      </c>
      <c r="X290" s="3">
        <f>IF(20&gt;$C290,"",IF($D290=1,EOMONTH(EDATE(Bonds!$H290,6*(20-1)),0),EDATE(Bonds!$H290,6*(20-1))))</f>
        <v>49810</v>
      </c>
      <c r="Y290" s="3">
        <f>IF(21&gt;$C290,"",IF($D290=1,EOMONTH(EDATE(Bonds!$H290,6*(21-1)),0),EDATE(Bonds!$H290,6*(21-1))))</f>
        <v>49994</v>
      </c>
      <c r="Z290" s="3">
        <f>IF(22&gt;$C290,"",IF($D290=1,EOMONTH(EDATE(Bonds!$H290,6*(22-1)),0),EDATE(Bonds!$H290,6*(22-1))))</f>
        <v>50175</v>
      </c>
      <c r="AA290" s="3">
        <f>IF(23&gt;$C290,"",IF($D290=1,EOMONTH(EDATE(Bonds!$H290,6*(23-1)),0),EDATE(Bonds!$H290,6*(23-1))))</f>
        <v>50359</v>
      </c>
      <c r="AB290" s="3">
        <f>IF(24&gt;$C290,"",IF($D290=1,EOMONTH(EDATE(Bonds!$H290,6*(24-1)),0),EDATE(Bonds!$H290,6*(24-1))))</f>
        <v>50540</v>
      </c>
      <c r="AC290" s="3">
        <f>IF(25&gt;$C290,"",IF($D290=1,EOMONTH(EDATE(Bonds!$H290,6*(25-1)),0),EDATE(Bonds!$H290,6*(25-1))))</f>
        <v>50724</v>
      </c>
      <c r="AD290" s="3">
        <f>IF(26&gt;$C290,"",IF($D290=1,EOMONTH(EDATE(Bonds!$H290,6*(26-1)),0),EDATE(Bonds!$H290,6*(26-1))))</f>
        <v>50905</v>
      </c>
      <c r="AE290" s="3">
        <f>IF(27&gt;$C290,"",IF($D290=1,EOMONTH(EDATE(Bonds!$H290,6*(27-1)),0),EDATE(Bonds!$H290,6*(27-1))))</f>
        <v>51089</v>
      </c>
      <c r="AF290" s="3">
        <f>IF(28&gt;$C290,"",IF($D290=1,EOMONTH(EDATE(Bonds!$H290,6*(28-1)),0),EDATE(Bonds!$H290,6*(28-1))))</f>
        <v>51271</v>
      </c>
      <c r="AG290" s="3">
        <f>IF(29&gt;$C290,"",IF($D290=1,EOMONTH(EDATE(Bonds!$H290,6*(29-1)),0),EDATE(Bonds!$H290,6*(29-1))))</f>
        <v>51455</v>
      </c>
      <c r="AH290" s="3">
        <f>IF(30&gt;$C290,"",IF($D290=1,EOMONTH(EDATE(Bonds!$H290,6*(30-1)),0),EDATE(Bonds!$H290,6*(30-1))))</f>
        <v>51636</v>
      </c>
      <c r="AI290" s="3">
        <f>IF(31&gt;$C290,"",IF($D290=1,EOMONTH(EDATE(Bonds!$H290,6*(31-1)),0),EDATE(Bonds!$H290,6*(31-1))))</f>
        <v>51820</v>
      </c>
      <c r="AJ290" s="3">
        <f>IF(32&gt;$C290,"",IF($D290=1,EOMONTH(EDATE(Bonds!$H290,6*(32-1)),0),EDATE(Bonds!$H290,6*(32-1))))</f>
        <v>52001</v>
      </c>
      <c r="AK290" s="3">
        <f>IF(33&gt;$C290,"",IF($D290=1,EOMONTH(EDATE(Bonds!$H290,6*(33-1)),0),EDATE(Bonds!$H290,6*(33-1))))</f>
        <v>52185</v>
      </c>
      <c r="AL290" s="3" t="str">
        <f>IF(34&gt;$C290,"",IF($D290=1,EOMONTH(EDATE(Bonds!$H290,6*(34-1)),0),EDATE(Bonds!$H290,6*(34-1))))</f>
        <v/>
      </c>
      <c r="AM290" s="3" t="str">
        <f>IF(35&gt;$C290,"",IF($D290=1,EOMONTH(EDATE(Bonds!$H290,6*(35-1)),0),EDATE(Bonds!$H290,6*(35-1))))</f>
        <v/>
      </c>
      <c r="AN290" s="3" t="str">
        <f>IF(36&gt;$C290,"",IF($D290=1,EOMONTH(EDATE(Bonds!$H290,6*(36-1)),0),EDATE(Bonds!$H290,6*(36-1))))</f>
        <v/>
      </c>
      <c r="AO290" s="3" t="str">
        <f>IF(37&gt;$C290,"",IF($D290=1,EOMONTH(EDATE(Bonds!$H290,6*(37-1)),0),EDATE(Bonds!$H290,6*(37-1))))</f>
        <v/>
      </c>
      <c r="AP290" s="3" t="str">
        <f>IF(38&gt;$C290,"",IF($D290=1,EOMONTH(EDATE(Bonds!$H290,6*(38-1)),0),EDATE(Bonds!$H290,6*(38-1))))</f>
        <v/>
      </c>
      <c r="AQ290" s="3" t="str">
        <f>IF(39&gt;$C290,"",IF($D290=1,EOMONTH(EDATE(Bonds!$H290,6*(39-1)),0),EDATE(Bonds!$H290,6*(39-1))))</f>
        <v/>
      </c>
      <c r="AR290" s="3" t="str">
        <f>IF(40&gt;$C290,"",IF($D290=1,EOMONTH(EDATE(Bonds!$H290,6*(40-1)),0),EDATE(Bonds!$H290,6*(40-1))))</f>
        <v/>
      </c>
      <c r="AS290" s="3" t="str">
        <f>IF(41&gt;$C290,"",IF($D290=1,EOMONTH(EDATE(Bonds!$H290,6*(41-1)),0),EDATE(Bonds!$H290,6*(41-1))))</f>
        <v/>
      </c>
      <c r="AT290" s="3" t="str">
        <f>IF(42&gt;$C290,"",IF($D290=1,EOMONTH(EDATE(Bonds!$H290,6*(42-1)),0),EDATE(Bonds!$H290,6*(42-1))))</f>
        <v/>
      </c>
      <c r="AU290" s="3" t="str">
        <f>IF(43&gt;$C290,"",IF($D290=1,EOMONTH(EDATE(Bonds!$H290,6*(43-1)),0),EDATE(Bonds!$H290,6*(43-1))))</f>
        <v/>
      </c>
      <c r="AV290" s="3" t="str">
        <f>IF(44&gt;$C290,"",IF($D290=1,EOMONTH(EDATE(Bonds!$H290,6*(44-1)),0),EDATE(Bonds!$H290,6*(44-1))))</f>
        <v/>
      </c>
      <c r="AW290" s="3" t="str">
        <f>IF(45&gt;$C290,"",IF($D290=1,EOMONTH(EDATE(Bonds!$H290,6*(45-1)),0),EDATE(Bonds!$H290,6*(45-1))))</f>
        <v/>
      </c>
      <c r="AX290" s="3" t="str">
        <f>IF(46&gt;$C290,"",IF($D290=1,EOMONTH(EDATE(Bonds!$H290,6*(46-1)),0),EDATE(Bonds!$H290,6*(46-1))))</f>
        <v/>
      </c>
      <c r="AY290" s="3" t="str">
        <f>IF(47&gt;$C290,"",IF($D290=1,EOMONTH(EDATE(Bonds!$H290,6*(47-1)),0),EDATE(Bonds!$H290,6*(47-1))))</f>
        <v/>
      </c>
      <c r="AZ290" s="3" t="str">
        <f>IF(48&gt;$C290,"",IF($D290=1,EOMONTH(EDATE(Bonds!$H290,6*(48-1)),0),EDATE(Bonds!$H290,6*(48-1))))</f>
        <v/>
      </c>
      <c r="BA290" s="3" t="str">
        <f>IF(49&gt;$C290,"",IF($D290=1,EOMONTH(EDATE(Bonds!$H290,6*(49-1)),0),EDATE(Bonds!$H290,6*(49-1))))</f>
        <v/>
      </c>
      <c r="BB290" s="3" t="str">
        <f>IF(50&gt;$C290,"",IF($D290=1,EOMONTH(EDATE(Bonds!$H290,6*(50-1)),0),EDATE(Bonds!$H290,6*(50-1))))</f>
        <v/>
      </c>
      <c r="BC290" s="3" t="str">
        <f>IF(51&gt;$C290,"",IF($D290=1,EOMONTH(EDATE(Bonds!$H290,6*(51-1)),0),EDATE(Bonds!$H290,6*(51-1))))</f>
        <v/>
      </c>
      <c r="BD290" s="3" t="str">
        <f>IF(52&gt;$C290,"",IF($D290=1,EOMONTH(EDATE(Bonds!$H290,6*(52-1)),0),EDATE(Bonds!$H290,6*(52-1))))</f>
        <v/>
      </c>
      <c r="BE290" s="3" t="str">
        <f>IF(53&gt;$C290,"",IF($D290=1,EOMONTH(EDATE(Bonds!$H290,6*(53-1)),0),EDATE(Bonds!$H290,6*(53-1))))</f>
        <v/>
      </c>
      <c r="BF290" s="3" t="str">
        <f>IF(54&gt;$C290,"",IF($D290=1,EOMONTH(EDATE(Bonds!$H290,6*(54-1)),0),EDATE(Bonds!$H290,6*(54-1))))</f>
        <v/>
      </c>
      <c r="BG290" s="3" t="str">
        <f>IF(55&gt;$C290,"",IF($D290=1,EOMONTH(EDATE(Bonds!$H290,6*(55-1)),0),EDATE(Bonds!$H290,6*(55-1))))</f>
        <v/>
      </c>
      <c r="BH290" s="3" t="str">
        <f>IF(56&gt;$C290,"",IF($D290=1,EOMONTH(EDATE(Bonds!$H290,6*(56-1)),0),EDATE(Bonds!$H290,6*(56-1))))</f>
        <v/>
      </c>
      <c r="BI290" s="3" t="str">
        <f>IF(57&gt;$C290,"",IF($D290=1,EOMONTH(EDATE(Bonds!$H290,6*(57-1)),0),EDATE(Bonds!$H290,6*(57-1))))</f>
        <v/>
      </c>
      <c r="BJ290" s="3" t="str">
        <f>IF(58&gt;$C290,"",IF($D290=1,EOMONTH(EDATE(Bonds!$H290,6*(58-1)),0),EDATE(Bonds!$H290,6*(58-1))))</f>
        <v/>
      </c>
      <c r="BK290" s="3" t="str">
        <f>IF(59&gt;$C290,"",IF($D290=1,EOMONTH(EDATE(Bonds!$H290,6*(59-1)),0),EDATE(Bonds!$H290,6*(59-1))))</f>
        <v/>
      </c>
      <c r="BL290" s="3" t="str">
        <f>IF(60&gt;$C290,"",IF($D290=1,EOMONTH(EDATE(Bonds!$H290,6*(60-1)),0),EDATE(Bonds!$H290,6*(60-1))))</f>
        <v/>
      </c>
      <c r="BN290" s="7">
        <f t="shared" si="245"/>
        <v>1.9860511652000372</v>
      </c>
      <c r="BO290" s="7">
        <f t="shared" si="246"/>
        <v>1.9459459705840927</v>
      </c>
      <c r="BP290" s="7">
        <f t="shared" si="247"/>
        <v>1.9030816570992335</v>
      </c>
      <c r="BQ290" s="7">
        <f t="shared" si="248"/>
        <v>1.8603962828939782</v>
      </c>
      <c r="BR290" s="7">
        <f t="shared" si="249"/>
        <v>1.8178558722809313</v>
      </c>
      <c r="BS290" s="7">
        <f t="shared" si="250"/>
        <v>1.77696400413736</v>
      </c>
      <c r="BT290" s="7">
        <f t="shared" si="251"/>
        <v>1.7364248989139217</v>
      </c>
      <c r="BU290" s="7">
        <f t="shared" si="252"/>
        <v>1.6974716915129251</v>
      </c>
      <c r="BV290" s="7">
        <f t="shared" si="253"/>
        <v>1.6586615989911491</v>
      </c>
      <c r="BW290" s="7">
        <f t="shared" si="254"/>
        <v>1.6211026286511701</v>
      </c>
      <c r="BX290" s="7">
        <f t="shared" si="255"/>
        <v>1.5834064704381468</v>
      </c>
      <c r="BY290" s="7">
        <f t="shared" si="256"/>
        <v>1.546489716439392</v>
      </c>
      <c r="BZ290" s="7">
        <f t="shared" si="257"/>
        <v>1.5094614372087338</v>
      </c>
      <c r="CA290" s="7">
        <f t="shared" si="258"/>
        <v>1.4732796126915289</v>
      </c>
      <c r="CB290" s="7">
        <f t="shared" si="259"/>
        <v>1.4367265528368267</v>
      </c>
      <c r="CC290" s="7">
        <f t="shared" si="260"/>
        <v>1.4009991915269644</v>
      </c>
      <c r="CD290" s="7">
        <f t="shared" si="261"/>
        <v>1.3649364306454237</v>
      </c>
      <c r="CE290" s="7">
        <f t="shared" si="262"/>
        <v>1.3297498823884337</v>
      </c>
      <c r="CF290" s="7">
        <f t="shared" si="263"/>
        <v>1.294318412857169</v>
      </c>
      <c r="CG290" s="7">
        <f t="shared" si="264"/>
        <v>1.2596574012733612</v>
      </c>
      <c r="CH290" s="7">
        <f t="shared" si="265"/>
        <v>1.2250578151008509</v>
      </c>
      <c r="CI290" s="7">
        <f t="shared" si="266"/>
        <v>1.1915074598428377</v>
      </c>
      <c r="CJ290" s="7">
        <f t="shared" si="267"/>
        <v>1.1579443110004151</v>
      </c>
      <c r="CK290" s="7">
        <f t="shared" si="268"/>
        <v>1.1255085525229322</v>
      </c>
      <c r="CL290" s="7">
        <f t="shared" si="269"/>
        <v>1.0931674197624628</v>
      </c>
      <c r="CM290" s="7">
        <f t="shared" si="270"/>
        <v>1.0620123016607379</v>
      </c>
      <c r="CN290" s="7">
        <f t="shared" si="271"/>
        <v>1.0310428897538222</v>
      </c>
      <c r="CO290" s="7">
        <f t="shared" si="272"/>
        <v>1.0011333653341019</v>
      </c>
      <c r="CP290" s="7">
        <f t="shared" si="273"/>
        <v>0.97164854036501447</v>
      </c>
      <c r="CQ290" s="7">
        <f t="shared" si="274"/>
        <v>0.94340026698742796</v>
      </c>
      <c r="CR290" s="7">
        <f t="shared" si="275"/>
        <v>0.91546453333750777</v>
      </c>
      <c r="CS290" s="7">
        <f t="shared" si="276"/>
        <v>0.88876014033008277</v>
      </c>
      <c r="CT290" s="7">
        <f t="shared" si="277"/>
        <v>43.982699636954735</v>
      </c>
      <c r="CU290" s="7">
        <f t="shared" si="278"/>
        <v>0</v>
      </c>
      <c r="CV290" s="7">
        <f t="shared" si="279"/>
        <v>0</v>
      </c>
      <c r="CW290" s="7">
        <f t="shared" si="280"/>
        <v>0</v>
      </c>
      <c r="CX290" s="7">
        <f t="shared" si="281"/>
        <v>0</v>
      </c>
      <c r="CY290" s="7">
        <f t="shared" si="282"/>
        <v>0</v>
      </c>
      <c r="CZ290" s="7">
        <f t="shared" si="283"/>
        <v>0</v>
      </c>
      <c r="DA290" s="7">
        <f t="shared" si="284"/>
        <v>0</v>
      </c>
      <c r="DB290" s="7">
        <f t="shared" si="285"/>
        <v>0</v>
      </c>
      <c r="DC290" s="7">
        <f t="shared" si="286"/>
        <v>0</v>
      </c>
      <c r="DD290" s="7">
        <f t="shared" si="287"/>
        <v>0</v>
      </c>
      <c r="DE290" s="7">
        <f t="shared" si="288"/>
        <v>0</v>
      </c>
      <c r="DF290" s="7">
        <f t="shared" si="289"/>
        <v>0</v>
      </c>
      <c r="DG290" s="7">
        <f t="shared" si="290"/>
        <v>0</v>
      </c>
      <c r="DH290" s="7">
        <f t="shared" si="291"/>
        <v>0</v>
      </c>
      <c r="DI290" s="7">
        <f t="shared" si="292"/>
        <v>0</v>
      </c>
      <c r="DJ290" s="7">
        <f t="shared" si="293"/>
        <v>0</v>
      </c>
      <c r="DK290" s="7">
        <f t="shared" si="294"/>
        <v>0</v>
      </c>
      <c r="DL290" s="7">
        <f t="shared" si="295"/>
        <v>0</v>
      </c>
      <c r="DM290" s="7">
        <f t="shared" si="296"/>
        <v>0</v>
      </c>
      <c r="DN290" s="7">
        <f t="shared" si="297"/>
        <v>0</v>
      </c>
      <c r="DO290" s="7">
        <f t="shared" si="298"/>
        <v>0</v>
      </c>
      <c r="DP290" s="7">
        <f t="shared" si="299"/>
        <v>0</v>
      </c>
      <c r="DQ290" s="7">
        <f t="shared" si="300"/>
        <v>0</v>
      </c>
      <c r="DR290" s="7">
        <f t="shared" si="301"/>
        <v>0</v>
      </c>
      <c r="DS290" s="7">
        <f t="shared" si="302"/>
        <v>0</v>
      </c>
      <c r="DT290" s="7">
        <f t="shared" si="303"/>
        <v>0</v>
      </c>
      <c r="DU290" s="7">
        <f t="shared" si="304"/>
        <v>0</v>
      </c>
    </row>
    <row r="291" spans="1:125" x14ac:dyDescent="0.2">
      <c r="A291" s="3">
        <f>Bonds!A291</f>
        <v>52277</v>
      </c>
      <c r="B291" s="4">
        <f>Bonds!B291</f>
        <v>3.125</v>
      </c>
      <c r="C291">
        <f>Bonds!P291</f>
        <v>33</v>
      </c>
      <c r="D291">
        <f t="shared" si="244"/>
        <v>0</v>
      </c>
      <c r="E291" s="3">
        <f>IF(1&gt;$C291,"",IF($D291=1,EOMONTH(EDATE(Bonds!$H291,6*(1-1)),0),EDATE(Bonds!$H291,6*(1-1))))</f>
        <v>46433</v>
      </c>
      <c r="F291" s="3">
        <f>IF(2&gt;$C291,"",IF($D291=1,EOMONTH(EDATE(Bonds!$H291,6*(2-1)),0),EDATE(Bonds!$H291,6*(2-1))))</f>
        <v>46614</v>
      </c>
      <c r="G291" s="3">
        <f>IF(3&gt;$C291,"",IF($D291=1,EOMONTH(EDATE(Bonds!$H291,6*(3-1)),0),EDATE(Bonds!$H291,6*(3-1))))</f>
        <v>46798</v>
      </c>
      <c r="H291" s="3">
        <f>IF(4&gt;$C291,"",IF($D291=1,EOMONTH(EDATE(Bonds!$H291,6*(4-1)),0),EDATE(Bonds!$H291,6*(4-1))))</f>
        <v>46980</v>
      </c>
      <c r="I291" s="3">
        <f>IF(5&gt;$C291,"",IF($D291=1,EOMONTH(EDATE(Bonds!$H291,6*(5-1)),0),EDATE(Bonds!$H291,6*(5-1))))</f>
        <v>47164</v>
      </c>
      <c r="J291" s="3">
        <f>IF(6&gt;$C291,"",IF($D291=1,EOMONTH(EDATE(Bonds!$H291,6*(6-1)),0),EDATE(Bonds!$H291,6*(6-1))))</f>
        <v>47345</v>
      </c>
      <c r="K291" s="3">
        <f>IF(7&gt;$C291,"",IF($D291=1,EOMONTH(EDATE(Bonds!$H291,6*(7-1)),0),EDATE(Bonds!$H291,6*(7-1))))</f>
        <v>47529</v>
      </c>
      <c r="L291" s="3">
        <f>IF(8&gt;$C291,"",IF($D291=1,EOMONTH(EDATE(Bonds!$H291,6*(8-1)),0),EDATE(Bonds!$H291,6*(8-1))))</f>
        <v>47710</v>
      </c>
      <c r="M291" s="3">
        <f>IF(9&gt;$C291,"",IF($D291=1,EOMONTH(EDATE(Bonds!$H291,6*(9-1)),0),EDATE(Bonds!$H291,6*(9-1))))</f>
        <v>47894</v>
      </c>
      <c r="N291" s="3">
        <f>IF(10&gt;$C291,"",IF($D291=1,EOMONTH(EDATE(Bonds!$H291,6*(10-1)),0),EDATE(Bonds!$H291,6*(10-1))))</f>
        <v>48075</v>
      </c>
      <c r="O291" s="3">
        <f>IF(11&gt;$C291,"",IF($D291=1,EOMONTH(EDATE(Bonds!$H291,6*(11-1)),0),EDATE(Bonds!$H291,6*(11-1))))</f>
        <v>48259</v>
      </c>
      <c r="P291" s="3">
        <f>IF(12&gt;$C291,"",IF($D291=1,EOMONTH(EDATE(Bonds!$H291,6*(12-1)),0),EDATE(Bonds!$H291,6*(12-1))))</f>
        <v>48441</v>
      </c>
      <c r="Q291" s="3">
        <f>IF(13&gt;$C291,"",IF($D291=1,EOMONTH(EDATE(Bonds!$H291,6*(13-1)),0),EDATE(Bonds!$H291,6*(13-1))))</f>
        <v>48625</v>
      </c>
      <c r="R291" s="3">
        <f>IF(14&gt;$C291,"",IF($D291=1,EOMONTH(EDATE(Bonds!$H291,6*(14-1)),0),EDATE(Bonds!$H291,6*(14-1))))</f>
        <v>48806</v>
      </c>
      <c r="S291" s="3">
        <f>IF(15&gt;$C291,"",IF($D291=1,EOMONTH(EDATE(Bonds!$H291,6*(15-1)),0),EDATE(Bonds!$H291,6*(15-1))))</f>
        <v>48990</v>
      </c>
      <c r="T291" s="3">
        <f>IF(16&gt;$C291,"",IF($D291=1,EOMONTH(EDATE(Bonds!$H291,6*(16-1)),0),EDATE(Bonds!$H291,6*(16-1))))</f>
        <v>49171</v>
      </c>
      <c r="U291" s="3">
        <f>IF(17&gt;$C291,"",IF($D291=1,EOMONTH(EDATE(Bonds!$H291,6*(17-1)),0),EDATE(Bonds!$H291,6*(17-1))))</f>
        <v>49355</v>
      </c>
      <c r="V291" s="3">
        <f>IF(18&gt;$C291,"",IF($D291=1,EOMONTH(EDATE(Bonds!$H291,6*(18-1)),0),EDATE(Bonds!$H291,6*(18-1))))</f>
        <v>49536</v>
      </c>
      <c r="W291" s="3">
        <f>IF(19&gt;$C291,"",IF($D291=1,EOMONTH(EDATE(Bonds!$H291,6*(19-1)),0),EDATE(Bonds!$H291,6*(19-1))))</f>
        <v>49720</v>
      </c>
      <c r="X291" s="3">
        <f>IF(20&gt;$C291,"",IF($D291=1,EOMONTH(EDATE(Bonds!$H291,6*(20-1)),0),EDATE(Bonds!$H291,6*(20-1))))</f>
        <v>49902</v>
      </c>
      <c r="Y291" s="3">
        <f>IF(21&gt;$C291,"",IF($D291=1,EOMONTH(EDATE(Bonds!$H291,6*(21-1)),0),EDATE(Bonds!$H291,6*(21-1))))</f>
        <v>50086</v>
      </c>
      <c r="Z291" s="3">
        <f>IF(22&gt;$C291,"",IF($D291=1,EOMONTH(EDATE(Bonds!$H291,6*(22-1)),0),EDATE(Bonds!$H291,6*(22-1))))</f>
        <v>50267</v>
      </c>
      <c r="AA291" s="3">
        <f>IF(23&gt;$C291,"",IF($D291=1,EOMONTH(EDATE(Bonds!$H291,6*(23-1)),0),EDATE(Bonds!$H291,6*(23-1))))</f>
        <v>50451</v>
      </c>
      <c r="AB291" s="3">
        <f>IF(24&gt;$C291,"",IF($D291=1,EOMONTH(EDATE(Bonds!$H291,6*(24-1)),0),EDATE(Bonds!$H291,6*(24-1))))</f>
        <v>50632</v>
      </c>
      <c r="AC291" s="3">
        <f>IF(25&gt;$C291,"",IF($D291=1,EOMONTH(EDATE(Bonds!$H291,6*(25-1)),0),EDATE(Bonds!$H291,6*(25-1))))</f>
        <v>50816</v>
      </c>
      <c r="AD291" s="3">
        <f>IF(26&gt;$C291,"",IF($D291=1,EOMONTH(EDATE(Bonds!$H291,6*(26-1)),0),EDATE(Bonds!$H291,6*(26-1))))</f>
        <v>50997</v>
      </c>
      <c r="AE291" s="3">
        <f>IF(27&gt;$C291,"",IF($D291=1,EOMONTH(EDATE(Bonds!$H291,6*(27-1)),0),EDATE(Bonds!$H291,6*(27-1))))</f>
        <v>51181</v>
      </c>
      <c r="AF291" s="3">
        <f>IF(28&gt;$C291,"",IF($D291=1,EOMONTH(EDATE(Bonds!$H291,6*(28-1)),0),EDATE(Bonds!$H291,6*(28-1))))</f>
        <v>51363</v>
      </c>
      <c r="AG291" s="3">
        <f>IF(29&gt;$C291,"",IF($D291=1,EOMONTH(EDATE(Bonds!$H291,6*(29-1)),0),EDATE(Bonds!$H291,6*(29-1))))</f>
        <v>51547</v>
      </c>
      <c r="AH291" s="3">
        <f>IF(30&gt;$C291,"",IF($D291=1,EOMONTH(EDATE(Bonds!$H291,6*(30-1)),0),EDATE(Bonds!$H291,6*(30-1))))</f>
        <v>51728</v>
      </c>
      <c r="AI291" s="3">
        <f>IF(31&gt;$C291,"",IF($D291=1,EOMONTH(EDATE(Bonds!$H291,6*(31-1)),0),EDATE(Bonds!$H291,6*(31-1))))</f>
        <v>51912</v>
      </c>
      <c r="AJ291" s="3">
        <f>IF(32&gt;$C291,"",IF($D291=1,EOMONTH(EDATE(Bonds!$H291,6*(32-1)),0),EDATE(Bonds!$H291,6*(32-1))))</f>
        <v>52093</v>
      </c>
      <c r="AK291" s="3">
        <f>IF(33&gt;$C291,"",IF($D291=1,EOMONTH(EDATE(Bonds!$H291,6*(33-1)),0),EDATE(Bonds!$H291,6*(33-1))))</f>
        <v>52277</v>
      </c>
      <c r="AL291" s="3" t="str">
        <f>IF(34&gt;$C291,"",IF($D291=1,EOMONTH(EDATE(Bonds!$H291,6*(34-1)),0),EDATE(Bonds!$H291,6*(34-1))))</f>
        <v/>
      </c>
      <c r="AM291" s="3" t="str">
        <f>IF(35&gt;$C291,"",IF($D291=1,EOMONTH(EDATE(Bonds!$H291,6*(35-1)),0),EDATE(Bonds!$H291,6*(35-1))))</f>
        <v/>
      </c>
      <c r="AN291" s="3" t="str">
        <f>IF(36&gt;$C291,"",IF($D291=1,EOMONTH(EDATE(Bonds!$H291,6*(36-1)),0),EDATE(Bonds!$H291,6*(36-1))))</f>
        <v/>
      </c>
      <c r="AO291" s="3" t="str">
        <f>IF(37&gt;$C291,"",IF($D291=1,EOMONTH(EDATE(Bonds!$H291,6*(37-1)),0),EDATE(Bonds!$H291,6*(37-1))))</f>
        <v/>
      </c>
      <c r="AP291" s="3" t="str">
        <f>IF(38&gt;$C291,"",IF($D291=1,EOMONTH(EDATE(Bonds!$H291,6*(38-1)),0),EDATE(Bonds!$H291,6*(38-1))))</f>
        <v/>
      </c>
      <c r="AQ291" s="3" t="str">
        <f>IF(39&gt;$C291,"",IF($D291=1,EOMONTH(EDATE(Bonds!$H291,6*(39-1)),0),EDATE(Bonds!$H291,6*(39-1))))</f>
        <v/>
      </c>
      <c r="AR291" s="3" t="str">
        <f>IF(40&gt;$C291,"",IF($D291=1,EOMONTH(EDATE(Bonds!$H291,6*(40-1)),0),EDATE(Bonds!$H291,6*(40-1))))</f>
        <v/>
      </c>
      <c r="AS291" s="3" t="str">
        <f>IF(41&gt;$C291,"",IF($D291=1,EOMONTH(EDATE(Bonds!$H291,6*(41-1)),0),EDATE(Bonds!$H291,6*(41-1))))</f>
        <v/>
      </c>
      <c r="AT291" s="3" t="str">
        <f>IF(42&gt;$C291,"",IF($D291=1,EOMONTH(EDATE(Bonds!$H291,6*(42-1)),0),EDATE(Bonds!$H291,6*(42-1))))</f>
        <v/>
      </c>
      <c r="AU291" s="3" t="str">
        <f>IF(43&gt;$C291,"",IF($D291=1,EOMONTH(EDATE(Bonds!$H291,6*(43-1)),0),EDATE(Bonds!$H291,6*(43-1))))</f>
        <v/>
      </c>
      <c r="AV291" s="3" t="str">
        <f>IF(44&gt;$C291,"",IF($D291=1,EOMONTH(EDATE(Bonds!$H291,6*(44-1)),0),EDATE(Bonds!$H291,6*(44-1))))</f>
        <v/>
      </c>
      <c r="AW291" s="3" t="str">
        <f>IF(45&gt;$C291,"",IF($D291=1,EOMONTH(EDATE(Bonds!$H291,6*(45-1)),0),EDATE(Bonds!$H291,6*(45-1))))</f>
        <v/>
      </c>
      <c r="AX291" s="3" t="str">
        <f>IF(46&gt;$C291,"",IF($D291=1,EOMONTH(EDATE(Bonds!$H291,6*(46-1)),0),EDATE(Bonds!$H291,6*(46-1))))</f>
        <v/>
      </c>
      <c r="AY291" s="3" t="str">
        <f>IF(47&gt;$C291,"",IF($D291=1,EOMONTH(EDATE(Bonds!$H291,6*(47-1)),0),EDATE(Bonds!$H291,6*(47-1))))</f>
        <v/>
      </c>
      <c r="AZ291" s="3" t="str">
        <f>IF(48&gt;$C291,"",IF($D291=1,EOMONTH(EDATE(Bonds!$H291,6*(48-1)),0),EDATE(Bonds!$H291,6*(48-1))))</f>
        <v/>
      </c>
      <c r="BA291" s="3" t="str">
        <f>IF(49&gt;$C291,"",IF($D291=1,EOMONTH(EDATE(Bonds!$H291,6*(49-1)),0),EDATE(Bonds!$H291,6*(49-1))))</f>
        <v/>
      </c>
      <c r="BB291" s="3" t="str">
        <f>IF(50&gt;$C291,"",IF($D291=1,EOMONTH(EDATE(Bonds!$H291,6*(50-1)),0),EDATE(Bonds!$H291,6*(50-1))))</f>
        <v/>
      </c>
      <c r="BC291" s="3" t="str">
        <f>IF(51&gt;$C291,"",IF($D291=1,EOMONTH(EDATE(Bonds!$H291,6*(51-1)),0),EDATE(Bonds!$H291,6*(51-1))))</f>
        <v/>
      </c>
      <c r="BD291" s="3" t="str">
        <f>IF(52&gt;$C291,"",IF($D291=1,EOMONTH(EDATE(Bonds!$H291,6*(52-1)),0),EDATE(Bonds!$H291,6*(52-1))))</f>
        <v/>
      </c>
      <c r="BE291" s="3" t="str">
        <f>IF(53&gt;$C291,"",IF($D291=1,EOMONTH(EDATE(Bonds!$H291,6*(53-1)),0),EDATE(Bonds!$H291,6*(53-1))))</f>
        <v/>
      </c>
      <c r="BF291" s="3" t="str">
        <f>IF(54&gt;$C291,"",IF($D291=1,EOMONTH(EDATE(Bonds!$H291,6*(54-1)),0),EDATE(Bonds!$H291,6*(54-1))))</f>
        <v/>
      </c>
      <c r="BG291" s="3" t="str">
        <f>IF(55&gt;$C291,"",IF($D291=1,EOMONTH(EDATE(Bonds!$H291,6*(55-1)),0),EDATE(Bonds!$H291,6*(55-1))))</f>
        <v/>
      </c>
      <c r="BH291" s="3" t="str">
        <f>IF(56&gt;$C291,"",IF($D291=1,EOMONTH(EDATE(Bonds!$H291,6*(56-1)),0),EDATE(Bonds!$H291,6*(56-1))))</f>
        <v/>
      </c>
      <c r="BI291" s="3" t="str">
        <f>IF(57&gt;$C291,"",IF($D291=1,EOMONTH(EDATE(Bonds!$H291,6*(57-1)),0),EDATE(Bonds!$H291,6*(57-1))))</f>
        <v/>
      </c>
      <c r="BJ291" s="3" t="str">
        <f>IF(58&gt;$C291,"",IF($D291=1,EOMONTH(EDATE(Bonds!$H291,6*(58-1)),0),EDATE(Bonds!$H291,6*(58-1))))</f>
        <v/>
      </c>
      <c r="BK291" s="3" t="str">
        <f>IF(59&gt;$C291,"",IF($D291=1,EOMONTH(EDATE(Bonds!$H291,6*(59-1)),0),EDATE(Bonds!$H291,6*(59-1))))</f>
        <v/>
      </c>
      <c r="BL291" s="3" t="str">
        <f>IF(60&gt;$C291,"",IF($D291=1,EOMONTH(EDATE(Bonds!$H291,6*(60-1)),0),EDATE(Bonds!$H291,6*(60-1))))</f>
        <v/>
      </c>
      <c r="BN291" s="7">
        <f t="shared" si="245"/>
        <v>1.5359991910640904</v>
      </c>
      <c r="BO291" s="7">
        <f t="shared" si="246"/>
        <v>1.5036229028865442</v>
      </c>
      <c r="BP291" s="7">
        <f t="shared" si="247"/>
        <v>1.4698970434958767</v>
      </c>
      <c r="BQ291" s="7">
        <f t="shared" si="248"/>
        <v>1.43673198842646</v>
      </c>
      <c r="BR291" s="7">
        <f t="shared" si="249"/>
        <v>1.4038626818934399</v>
      </c>
      <c r="BS291" s="7">
        <f t="shared" si="250"/>
        <v>1.3723187651919508</v>
      </c>
      <c r="BT291" s="7">
        <f t="shared" si="251"/>
        <v>1.3410308352862501</v>
      </c>
      <c r="BU291" s="7">
        <f t="shared" si="252"/>
        <v>1.3109199381437842</v>
      </c>
      <c r="BV291" s="7">
        <f t="shared" si="253"/>
        <v>1.2808621863197933</v>
      </c>
      <c r="BW291" s="7">
        <f t="shared" si="254"/>
        <v>1.251719728586963</v>
      </c>
      <c r="BX291" s="7">
        <f t="shared" si="255"/>
        <v>1.2224257818287541</v>
      </c>
      <c r="BY291" s="7">
        <f t="shared" si="256"/>
        <v>1.1937048998428013</v>
      </c>
      <c r="BZ291" s="7">
        <f t="shared" si="257"/>
        <v>1.1648768039403079</v>
      </c>
      <c r="CA291" s="7">
        <f t="shared" si="258"/>
        <v>1.1366987943262463</v>
      </c>
      <c r="CB291" s="7">
        <f t="shared" si="259"/>
        <v>1.1082322265939351</v>
      </c>
      <c r="CC291" s="7">
        <f t="shared" si="260"/>
        <v>1.080416736485641</v>
      </c>
      <c r="CD291" s="7">
        <f t="shared" si="261"/>
        <v>1.0523540733884709</v>
      </c>
      <c r="CE291" s="7">
        <f t="shared" si="262"/>
        <v>1.0249909670058241</v>
      </c>
      <c r="CF291" s="7">
        <f t="shared" si="263"/>
        <v>0.99745806872263798</v>
      </c>
      <c r="CG291" s="7">
        <f t="shared" si="264"/>
        <v>0.97054586007181076</v>
      </c>
      <c r="CH291" s="7">
        <f t="shared" si="265"/>
        <v>0.94370416720680472</v>
      </c>
      <c r="CI291" s="7">
        <f t="shared" si="266"/>
        <v>0.91769874571992349</v>
      </c>
      <c r="CJ291" s="7">
        <f t="shared" si="267"/>
        <v>0.89170547966543312</v>
      </c>
      <c r="CK291" s="7">
        <f t="shared" si="268"/>
        <v>0.86660611908520435</v>
      </c>
      <c r="CL291" s="7">
        <f t="shared" si="269"/>
        <v>0.84159993748704387</v>
      </c>
      <c r="CM291" s="7">
        <f t="shared" si="270"/>
        <v>0.81752912843161218</v>
      </c>
      <c r="CN291" s="7">
        <f t="shared" si="271"/>
        <v>0.79361906313959274</v>
      </c>
      <c r="CO291" s="7">
        <f t="shared" si="272"/>
        <v>0.77054302912377992</v>
      </c>
      <c r="CP291" s="7">
        <f t="shared" si="273"/>
        <v>0.7478091897750796</v>
      </c>
      <c r="CQ291" s="7">
        <f t="shared" si="274"/>
        <v>0.72604172170407832</v>
      </c>
      <c r="CR291" s="7">
        <f t="shared" si="275"/>
        <v>0.70452698129472913</v>
      </c>
      <c r="CS291" s="7">
        <f t="shared" si="276"/>
        <v>0.68397109072384699</v>
      </c>
      <c r="CT291" s="7">
        <f t="shared" si="277"/>
        <v>43.140129904194907</v>
      </c>
      <c r="CU291" s="7">
        <f t="shared" si="278"/>
        <v>0</v>
      </c>
      <c r="CV291" s="7">
        <f t="shared" si="279"/>
        <v>0</v>
      </c>
      <c r="CW291" s="7">
        <f t="shared" si="280"/>
        <v>0</v>
      </c>
      <c r="CX291" s="7">
        <f t="shared" si="281"/>
        <v>0</v>
      </c>
      <c r="CY291" s="7">
        <f t="shared" si="282"/>
        <v>0</v>
      </c>
      <c r="CZ291" s="7">
        <f t="shared" si="283"/>
        <v>0</v>
      </c>
      <c r="DA291" s="7">
        <f t="shared" si="284"/>
        <v>0</v>
      </c>
      <c r="DB291" s="7">
        <f t="shared" si="285"/>
        <v>0</v>
      </c>
      <c r="DC291" s="7">
        <f t="shared" si="286"/>
        <v>0</v>
      </c>
      <c r="DD291" s="7">
        <f t="shared" si="287"/>
        <v>0</v>
      </c>
      <c r="DE291" s="7">
        <f t="shared" si="288"/>
        <v>0</v>
      </c>
      <c r="DF291" s="7">
        <f t="shared" si="289"/>
        <v>0</v>
      </c>
      <c r="DG291" s="7">
        <f t="shared" si="290"/>
        <v>0</v>
      </c>
      <c r="DH291" s="7">
        <f t="shared" si="291"/>
        <v>0</v>
      </c>
      <c r="DI291" s="7">
        <f t="shared" si="292"/>
        <v>0</v>
      </c>
      <c r="DJ291" s="7">
        <f t="shared" si="293"/>
        <v>0</v>
      </c>
      <c r="DK291" s="7">
        <f t="shared" si="294"/>
        <v>0</v>
      </c>
      <c r="DL291" s="7">
        <f t="shared" si="295"/>
        <v>0</v>
      </c>
      <c r="DM291" s="7">
        <f t="shared" si="296"/>
        <v>0</v>
      </c>
      <c r="DN291" s="7">
        <f t="shared" si="297"/>
        <v>0</v>
      </c>
      <c r="DO291" s="7">
        <f t="shared" si="298"/>
        <v>0</v>
      </c>
      <c r="DP291" s="7">
        <f t="shared" si="299"/>
        <v>0</v>
      </c>
      <c r="DQ291" s="7">
        <f t="shared" si="300"/>
        <v>0</v>
      </c>
      <c r="DR291" s="7">
        <f t="shared" si="301"/>
        <v>0</v>
      </c>
      <c r="DS291" s="7">
        <f t="shared" si="302"/>
        <v>0</v>
      </c>
      <c r="DT291" s="7">
        <f t="shared" si="303"/>
        <v>0</v>
      </c>
      <c r="DU291" s="7">
        <f t="shared" si="304"/>
        <v>0</v>
      </c>
    </row>
    <row r="292" spans="1:125" x14ac:dyDescent="0.2">
      <c r="A292" s="3">
        <f>Bonds!A292</f>
        <v>52277</v>
      </c>
      <c r="B292" s="4">
        <f>Bonds!B292</f>
        <v>3.875</v>
      </c>
      <c r="C292">
        <f>Bonds!P292</f>
        <v>33</v>
      </c>
      <c r="D292">
        <f t="shared" si="244"/>
        <v>0</v>
      </c>
      <c r="E292" s="3">
        <f>IF(1&gt;$C292,"",IF($D292=1,EOMONTH(EDATE(Bonds!$H292,6*(1-1)),0),EDATE(Bonds!$H292,6*(1-1))))</f>
        <v>46433</v>
      </c>
      <c r="F292" s="3">
        <f>IF(2&gt;$C292,"",IF($D292=1,EOMONTH(EDATE(Bonds!$H292,6*(2-1)),0),EDATE(Bonds!$H292,6*(2-1))))</f>
        <v>46614</v>
      </c>
      <c r="G292" s="3">
        <f>IF(3&gt;$C292,"",IF($D292=1,EOMONTH(EDATE(Bonds!$H292,6*(3-1)),0),EDATE(Bonds!$H292,6*(3-1))))</f>
        <v>46798</v>
      </c>
      <c r="H292" s="3">
        <f>IF(4&gt;$C292,"",IF($D292=1,EOMONTH(EDATE(Bonds!$H292,6*(4-1)),0),EDATE(Bonds!$H292,6*(4-1))))</f>
        <v>46980</v>
      </c>
      <c r="I292" s="3">
        <f>IF(5&gt;$C292,"",IF($D292=1,EOMONTH(EDATE(Bonds!$H292,6*(5-1)),0),EDATE(Bonds!$H292,6*(5-1))))</f>
        <v>47164</v>
      </c>
      <c r="J292" s="3">
        <f>IF(6&gt;$C292,"",IF($D292=1,EOMONTH(EDATE(Bonds!$H292,6*(6-1)),0),EDATE(Bonds!$H292,6*(6-1))))</f>
        <v>47345</v>
      </c>
      <c r="K292" s="3">
        <f>IF(7&gt;$C292,"",IF($D292=1,EOMONTH(EDATE(Bonds!$H292,6*(7-1)),0),EDATE(Bonds!$H292,6*(7-1))))</f>
        <v>47529</v>
      </c>
      <c r="L292" s="3">
        <f>IF(8&gt;$C292,"",IF($D292=1,EOMONTH(EDATE(Bonds!$H292,6*(8-1)),0),EDATE(Bonds!$H292,6*(8-1))))</f>
        <v>47710</v>
      </c>
      <c r="M292" s="3">
        <f>IF(9&gt;$C292,"",IF($D292=1,EOMONTH(EDATE(Bonds!$H292,6*(9-1)),0),EDATE(Bonds!$H292,6*(9-1))))</f>
        <v>47894</v>
      </c>
      <c r="N292" s="3">
        <f>IF(10&gt;$C292,"",IF($D292=1,EOMONTH(EDATE(Bonds!$H292,6*(10-1)),0),EDATE(Bonds!$H292,6*(10-1))))</f>
        <v>48075</v>
      </c>
      <c r="O292" s="3">
        <f>IF(11&gt;$C292,"",IF($D292=1,EOMONTH(EDATE(Bonds!$H292,6*(11-1)),0),EDATE(Bonds!$H292,6*(11-1))))</f>
        <v>48259</v>
      </c>
      <c r="P292" s="3">
        <f>IF(12&gt;$C292,"",IF($D292=1,EOMONTH(EDATE(Bonds!$H292,6*(12-1)),0),EDATE(Bonds!$H292,6*(12-1))))</f>
        <v>48441</v>
      </c>
      <c r="Q292" s="3">
        <f>IF(13&gt;$C292,"",IF($D292=1,EOMONTH(EDATE(Bonds!$H292,6*(13-1)),0),EDATE(Bonds!$H292,6*(13-1))))</f>
        <v>48625</v>
      </c>
      <c r="R292" s="3">
        <f>IF(14&gt;$C292,"",IF($D292=1,EOMONTH(EDATE(Bonds!$H292,6*(14-1)),0),EDATE(Bonds!$H292,6*(14-1))))</f>
        <v>48806</v>
      </c>
      <c r="S292" s="3">
        <f>IF(15&gt;$C292,"",IF($D292=1,EOMONTH(EDATE(Bonds!$H292,6*(15-1)),0),EDATE(Bonds!$H292,6*(15-1))))</f>
        <v>48990</v>
      </c>
      <c r="T292" s="3">
        <f>IF(16&gt;$C292,"",IF($D292=1,EOMONTH(EDATE(Bonds!$H292,6*(16-1)),0),EDATE(Bonds!$H292,6*(16-1))))</f>
        <v>49171</v>
      </c>
      <c r="U292" s="3">
        <f>IF(17&gt;$C292,"",IF($D292=1,EOMONTH(EDATE(Bonds!$H292,6*(17-1)),0),EDATE(Bonds!$H292,6*(17-1))))</f>
        <v>49355</v>
      </c>
      <c r="V292" s="3">
        <f>IF(18&gt;$C292,"",IF($D292=1,EOMONTH(EDATE(Bonds!$H292,6*(18-1)),0),EDATE(Bonds!$H292,6*(18-1))))</f>
        <v>49536</v>
      </c>
      <c r="W292" s="3">
        <f>IF(19&gt;$C292,"",IF($D292=1,EOMONTH(EDATE(Bonds!$H292,6*(19-1)),0),EDATE(Bonds!$H292,6*(19-1))))</f>
        <v>49720</v>
      </c>
      <c r="X292" s="3">
        <f>IF(20&gt;$C292,"",IF($D292=1,EOMONTH(EDATE(Bonds!$H292,6*(20-1)),0),EDATE(Bonds!$H292,6*(20-1))))</f>
        <v>49902</v>
      </c>
      <c r="Y292" s="3">
        <f>IF(21&gt;$C292,"",IF($D292=1,EOMONTH(EDATE(Bonds!$H292,6*(21-1)),0),EDATE(Bonds!$H292,6*(21-1))))</f>
        <v>50086</v>
      </c>
      <c r="Z292" s="3">
        <f>IF(22&gt;$C292,"",IF($D292=1,EOMONTH(EDATE(Bonds!$H292,6*(22-1)),0),EDATE(Bonds!$H292,6*(22-1))))</f>
        <v>50267</v>
      </c>
      <c r="AA292" s="3">
        <f>IF(23&gt;$C292,"",IF($D292=1,EOMONTH(EDATE(Bonds!$H292,6*(23-1)),0),EDATE(Bonds!$H292,6*(23-1))))</f>
        <v>50451</v>
      </c>
      <c r="AB292" s="3">
        <f>IF(24&gt;$C292,"",IF($D292=1,EOMONTH(EDATE(Bonds!$H292,6*(24-1)),0),EDATE(Bonds!$H292,6*(24-1))))</f>
        <v>50632</v>
      </c>
      <c r="AC292" s="3">
        <f>IF(25&gt;$C292,"",IF($D292=1,EOMONTH(EDATE(Bonds!$H292,6*(25-1)),0),EDATE(Bonds!$H292,6*(25-1))))</f>
        <v>50816</v>
      </c>
      <c r="AD292" s="3">
        <f>IF(26&gt;$C292,"",IF($D292=1,EOMONTH(EDATE(Bonds!$H292,6*(26-1)),0),EDATE(Bonds!$H292,6*(26-1))))</f>
        <v>50997</v>
      </c>
      <c r="AE292" s="3">
        <f>IF(27&gt;$C292,"",IF($D292=1,EOMONTH(EDATE(Bonds!$H292,6*(27-1)),0),EDATE(Bonds!$H292,6*(27-1))))</f>
        <v>51181</v>
      </c>
      <c r="AF292" s="3">
        <f>IF(28&gt;$C292,"",IF($D292=1,EOMONTH(EDATE(Bonds!$H292,6*(28-1)),0),EDATE(Bonds!$H292,6*(28-1))))</f>
        <v>51363</v>
      </c>
      <c r="AG292" s="3">
        <f>IF(29&gt;$C292,"",IF($D292=1,EOMONTH(EDATE(Bonds!$H292,6*(29-1)),0),EDATE(Bonds!$H292,6*(29-1))))</f>
        <v>51547</v>
      </c>
      <c r="AH292" s="3">
        <f>IF(30&gt;$C292,"",IF($D292=1,EOMONTH(EDATE(Bonds!$H292,6*(30-1)),0),EDATE(Bonds!$H292,6*(30-1))))</f>
        <v>51728</v>
      </c>
      <c r="AI292" s="3">
        <f>IF(31&gt;$C292,"",IF($D292=1,EOMONTH(EDATE(Bonds!$H292,6*(31-1)),0),EDATE(Bonds!$H292,6*(31-1))))</f>
        <v>51912</v>
      </c>
      <c r="AJ292" s="3">
        <f>IF(32&gt;$C292,"",IF($D292=1,EOMONTH(EDATE(Bonds!$H292,6*(32-1)),0),EDATE(Bonds!$H292,6*(32-1))))</f>
        <v>52093</v>
      </c>
      <c r="AK292" s="3">
        <f>IF(33&gt;$C292,"",IF($D292=1,EOMONTH(EDATE(Bonds!$H292,6*(33-1)),0),EDATE(Bonds!$H292,6*(33-1))))</f>
        <v>52277</v>
      </c>
      <c r="AL292" s="3" t="str">
        <f>IF(34&gt;$C292,"",IF($D292=1,EOMONTH(EDATE(Bonds!$H292,6*(34-1)),0),EDATE(Bonds!$H292,6*(34-1))))</f>
        <v/>
      </c>
      <c r="AM292" s="3" t="str">
        <f>IF(35&gt;$C292,"",IF($D292=1,EOMONTH(EDATE(Bonds!$H292,6*(35-1)),0),EDATE(Bonds!$H292,6*(35-1))))</f>
        <v/>
      </c>
      <c r="AN292" s="3" t="str">
        <f>IF(36&gt;$C292,"",IF($D292=1,EOMONTH(EDATE(Bonds!$H292,6*(36-1)),0),EDATE(Bonds!$H292,6*(36-1))))</f>
        <v/>
      </c>
      <c r="AO292" s="3" t="str">
        <f>IF(37&gt;$C292,"",IF($D292=1,EOMONTH(EDATE(Bonds!$H292,6*(37-1)),0),EDATE(Bonds!$H292,6*(37-1))))</f>
        <v/>
      </c>
      <c r="AP292" s="3" t="str">
        <f>IF(38&gt;$C292,"",IF($D292=1,EOMONTH(EDATE(Bonds!$H292,6*(38-1)),0),EDATE(Bonds!$H292,6*(38-1))))</f>
        <v/>
      </c>
      <c r="AQ292" s="3" t="str">
        <f>IF(39&gt;$C292,"",IF($D292=1,EOMONTH(EDATE(Bonds!$H292,6*(39-1)),0),EDATE(Bonds!$H292,6*(39-1))))</f>
        <v/>
      </c>
      <c r="AR292" s="3" t="str">
        <f>IF(40&gt;$C292,"",IF($D292=1,EOMONTH(EDATE(Bonds!$H292,6*(40-1)),0),EDATE(Bonds!$H292,6*(40-1))))</f>
        <v/>
      </c>
      <c r="AS292" s="3" t="str">
        <f>IF(41&gt;$C292,"",IF($D292=1,EOMONTH(EDATE(Bonds!$H292,6*(41-1)),0),EDATE(Bonds!$H292,6*(41-1))))</f>
        <v/>
      </c>
      <c r="AT292" s="3" t="str">
        <f>IF(42&gt;$C292,"",IF($D292=1,EOMONTH(EDATE(Bonds!$H292,6*(42-1)),0),EDATE(Bonds!$H292,6*(42-1))))</f>
        <v/>
      </c>
      <c r="AU292" s="3" t="str">
        <f>IF(43&gt;$C292,"",IF($D292=1,EOMONTH(EDATE(Bonds!$H292,6*(43-1)),0),EDATE(Bonds!$H292,6*(43-1))))</f>
        <v/>
      </c>
      <c r="AV292" s="3" t="str">
        <f>IF(44&gt;$C292,"",IF($D292=1,EOMONTH(EDATE(Bonds!$H292,6*(44-1)),0),EDATE(Bonds!$H292,6*(44-1))))</f>
        <v/>
      </c>
      <c r="AW292" s="3" t="str">
        <f>IF(45&gt;$C292,"",IF($D292=1,EOMONTH(EDATE(Bonds!$H292,6*(45-1)),0),EDATE(Bonds!$H292,6*(45-1))))</f>
        <v/>
      </c>
      <c r="AX292" s="3" t="str">
        <f>IF(46&gt;$C292,"",IF($D292=1,EOMONTH(EDATE(Bonds!$H292,6*(46-1)),0),EDATE(Bonds!$H292,6*(46-1))))</f>
        <v/>
      </c>
      <c r="AY292" s="3" t="str">
        <f>IF(47&gt;$C292,"",IF($D292=1,EOMONTH(EDATE(Bonds!$H292,6*(47-1)),0),EDATE(Bonds!$H292,6*(47-1))))</f>
        <v/>
      </c>
      <c r="AZ292" s="3" t="str">
        <f>IF(48&gt;$C292,"",IF($D292=1,EOMONTH(EDATE(Bonds!$H292,6*(48-1)),0),EDATE(Bonds!$H292,6*(48-1))))</f>
        <v/>
      </c>
      <c r="BA292" s="3" t="str">
        <f>IF(49&gt;$C292,"",IF($D292=1,EOMONTH(EDATE(Bonds!$H292,6*(49-1)),0),EDATE(Bonds!$H292,6*(49-1))))</f>
        <v/>
      </c>
      <c r="BB292" s="3" t="str">
        <f>IF(50&gt;$C292,"",IF($D292=1,EOMONTH(EDATE(Bonds!$H292,6*(50-1)),0),EDATE(Bonds!$H292,6*(50-1))))</f>
        <v/>
      </c>
      <c r="BC292" s="3" t="str">
        <f>IF(51&gt;$C292,"",IF($D292=1,EOMONTH(EDATE(Bonds!$H292,6*(51-1)),0),EDATE(Bonds!$H292,6*(51-1))))</f>
        <v/>
      </c>
      <c r="BD292" s="3" t="str">
        <f>IF(52&gt;$C292,"",IF($D292=1,EOMONTH(EDATE(Bonds!$H292,6*(52-1)),0),EDATE(Bonds!$H292,6*(52-1))))</f>
        <v/>
      </c>
      <c r="BE292" s="3" t="str">
        <f>IF(53&gt;$C292,"",IF($D292=1,EOMONTH(EDATE(Bonds!$H292,6*(53-1)),0),EDATE(Bonds!$H292,6*(53-1))))</f>
        <v/>
      </c>
      <c r="BF292" s="3" t="str">
        <f>IF(54&gt;$C292,"",IF($D292=1,EOMONTH(EDATE(Bonds!$H292,6*(54-1)),0),EDATE(Bonds!$H292,6*(54-1))))</f>
        <v/>
      </c>
      <c r="BG292" s="3" t="str">
        <f>IF(55&gt;$C292,"",IF($D292=1,EOMONTH(EDATE(Bonds!$H292,6*(55-1)),0),EDATE(Bonds!$H292,6*(55-1))))</f>
        <v/>
      </c>
      <c r="BH292" s="3" t="str">
        <f>IF(56&gt;$C292,"",IF($D292=1,EOMONTH(EDATE(Bonds!$H292,6*(56-1)),0),EDATE(Bonds!$H292,6*(56-1))))</f>
        <v/>
      </c>
      <c r="BI292" s="3" t="str">
        <f>IF(57&gt;$C292,"",IF($D292=1,EOMONTH(EDATE(Bonds!$H292,6*(57-1)),0),EDATE(Bonds!$H292,6*(57-1))))</f>
        <v/>
      </c>
      <c r="BJ292" s="3" t="str">
        <f>IF(58&gt;$C292,"",IF($D292=1,EOMONTH(EDATE(Bonds!$H292,6*(58-1)),0),EDATE(Bonds!$H292,6*(58-1))))</f>
        <v/>
      </c>
      <c r="BK292" s="3" t="str">
        <f>IF(59&gt;$C292,"",IF($D292=1,EOMONTH(EDATE(Bonds!$H292,6*(59-1)),0),EDATE(Bonds!$H292,6*(59-1))))</f>
        <v/>
      </c>
      <c r="BL292" s="3" t="str">
        <f>IF(60&gt;$C292,"",IF($D292=1,EOMONTH(EDATE(Bonds!$H292,6*(60-1)),0),EDATE(Bonds!$H292,6*(60-1))))</f>
        <v/>
      </c>
      <c r="BN292" s="7">
        <f t="shared" si="245"/>
        <v>1.9046389969194721</v>
      </c>
      <c r="BO292" s="7">
        <f t="shared" si="246"/>
        <v>1.864492399579315</v>
      </c>
      <c r="BP292" s="7">
        <f t="shared" si="247"/>
        <v>1.8226723339348871</v>
      </c>
      <c r="BQ292" s="7">
        <f t="shared" si="248"/>
        <v>1.7815476656488105</v>
      </c>
      <c r="BR292" s="7">
        <f t="shared" si="249"/>
        <v>1.7407897255478653</v>
      </c>
      <c r="BS292" s="7">
        <f t="shared" si="250"/>
        <v>1.701675268838019</v>
      </c>
      <c r="BT292" s="7">
        <f t="shared" si="251"/>
        <v>1.6628782357549501</v>
      </c>
      <c r="BU292" s="7">
        <f t="shared" si="252"/>
        <v>1.6255407232982924</v>
      </c>
      <c r="BV292" s="7">
        <f t="shared" si="253"/>
        <v>1.5882691110365437</v>
      </c>
      <c r="BW292" s="7">
        <f t="shared" si="254"/>
        <v>1.5521324634478342</v>
      </c>
      <c r="BX292" s="7">
        <f t="shared" si="255"/>
        <v>1.5158079694676549</v>
      </c>
      <c r="BY292" s="7">
        <f t="shared" si="256"/>
        <v>1.4801940758050736</v>
      </c>
      <c r="BZ292" s="7">
        <f t="shared" si="257"/>
        <v>1.4444472368859818</v>
      </c>
      <c r="CA292" s="7">
        <f t="shared" si="258"/>
        <v>1.4095065049645454</v>
      </c>
      <c r="CB292" s="7">
        <f t="shared" si="259"/>
        <v>1.3742079609764795</v>
      </c>
      <c r="CC292" s="7">
        <f t="shared" si="260"/>
        <v>1.3397167532421947</v>
      </c>
      <c r="CD292" s="7">
        <f t="shared" si="261"/>
        <v>1.3049190510017037</v>
      </c>
      <c r="CE292" s="7">
        <f t="shared" si="262"/>
        <v>1.270988799087222</v>
      </c>
      <c r="CF292" s="7">
        <f t="shared" si="263"/>
        <v>1.2368480052160711</v>
      </c>
      <c r="CG292" s="7">
        <f t="shared" si="264"/>
        <v>1.2034768664890454</v>
      </c>
      <c r="CH292" s="7">
        <f t="shared" si="265"/>
        <v>1.1701931673364379</v>
      </c>
      <c r="CI292" s="7">
        <f t="shared" si="266"/>
        <v>1.137946444692705</v>
      </c>
      <c r="CJ292" s="7">
        <f t="shared" si="267"/>
        <v>1.1057147947851371</v>
      </c>
      <c r="CK292" s="7">
        <f t="shared" si="268"/>
        <v>1.0745915876656533</v>
      </c>
      <c r="CL292" s="7">
        <f t="shared" si="269"/>
        <v>1.0435839224839345</v>
      </c>
      <c r="CM292" s="7">
        <f t="shared" si="270"/>
        <v>1.0137361192551992</v>
      </c>
      <c r="CN292" s="7">
        <f t="shared" si="271"/>
        <v>0.98408763829309509</v>
      </c>
      <c r="CO292" s="7">
        <f t="shared" si="272"/>
        <v>0.95547335611348716</v>
      </c>
      <c r="CP292" s="7">
        <f t="shared" si="273"/>
        <v>0.92728339532109871</v>
      </c>
      <c r="CQ292" s="7">
        <f t="shared" si="274"/>
        <v>0.90029173491305703</v>
      </c>
      <c r="CR292" s="7">
        <f t="shared" si="275"/>
        <v>0.87361345680546409</v>
      </c>
      <c r="CS292" s="7">
        <f t="shared" si="276"/>
        <v>0.84812415249757023</v>
      </c>
      <c r="CT292" s="7">
        <f t="shared" si="277"/>
        <v>43.299416537687321</v>
      </c>
      <c r="CU292" s="7">
        <f t="shared" si="278"/>
        <v>0</v>
      </c>
      <c r="CV292" s="7">
        <f t="shared" si="279"/>
        <v>0</v>
      </c>
      <c r="CW292" s="7">
        <f t="shared" si="280"/>
        <v>0</v>
      </c>
      <c r="CX292" s="7">
        <f t="shared" si="281"/>
        <v>0</v>
      </c>
      <c r="CY292" s="7">
        <f t="shared" si="282"/>
        <v>0</v>
      </c>
      <c r="CZ292" s="7">
        <f t="shared" si="283"/>
        <v>0</v>
      </c>
      <c r="DA292" s="7">
        <f t="shared" si="284"/>
        <v>0</v>
      </c>
      <c r="DB292" s="7">
        <f t="shared" si="285"/>
        <v>0</v>
      </c>
      <c r="DC292" s="7">
        <f t="shared" si="286"/>
        <v>0</v>
      </c>
      <c r="DD292" s="7">
        <f t="shared" si="287"/>
        <v>0</v>
      </c>
      <c r="DE292" s="7">
        <f t="shared" si="288"/>
        <v>0</v>
      </c>
      <c r="DF292" s="7">
        <f t="shared" si="289"/>
        <v>0</v>
      </c>
      <c r="DG292" s="7">
        <f t="shared" si="290"/>
        <v>0</v>
      </c>
      <c r="DH292" s="7">
        <f t="shared" si="291"/>
        <v>0</v>
      </c>
      <c r="DI292" s="7">
        <f t="shared" si="292"/>
        <v>0</v>
      </c>
      <c r="DJ292" s="7">
        <f t="shared" si="293"/>
        <v>0</v>
      </c>
      <c r="DK292" s="7">
        <f t="shared" si="294"/>
        <v>0</v>
      </c>
      <c r="DL292" s="7">
        <f t="shared" si="295"/>
        <v>0</v>
      </c>
      <c r="DM292" s="7">
        <f t="shared" si="296"/>
        <v>0</v>
      </c>
      <c r="DN292" s="7">
        <f t="shared" si="297"/>
        <v>0</v>
      </c>
      <c r="DO292" s="7">
        <f t="shared" si="298"/>
        <v>0</v>
      </c>
      <c r="DP292" s="7">
        <f t="shared" si="299"/>
        <v>0</v>
      </c>
      <c r="DQ292" s="7">
        <f t="shared" si="300"/>
        <v>0</v>
      </c>
      <c r="DR292" s="7">
        <f t="shared" si="301"/>
        <v>0</v>
      </c>
      <c r="DS292" s="7">
        <f t="shared" si="302"/>
        <v>0</v>
      </c>
      <c r="DT292" s="7">
        <f t="shared" si="303"/>
        <v>0</v>
      </c>
      <c r="DU292" s="7">
        <f t="shared" si="304"/>
        <v>0</v>
      </c>
    </row>
    <row r="293" spans="1:125" x14ac:dyDescent="0.2">
      <c r="A293" s="3">
        <f>Bonds!A293</f>
        <v>52366</v>
      </c>
      <c r="B293" s="4">
        <f>Bonds!B293</f>
        <v>2.875</v>
      </c>
      <c r="C293">
        <f>Bonds!P293</f>
        <v>34</v>
      </c>
      <c r="D293">
        <f t="shared" si="244"/>
        <v>0</v>
      </c>
      <c r="E293" s="3">
        <f>IF(1&gt;$C293,"",IF($D293=1,EOMONTH(EDATE(Bonds!$H293,6*(1-1)),0),EDATE(Bonds!$H293,6*(1-1))))</f>
        <v>46341</v>
      </c>
      <c r="F293" s="3">
        <f>IF(2&gt;$C293,"",IF($D293=1,EOMONTH(EDATE(Bonds!$H293,6*(2-1)),0),EDATE(Bonds!$H293,6*(2-1))))</f>
        <v>46522</v>
      </c>
      <c r="G293" s="3">
        <f>IF(3&gt;$C293,"",IF($D293=1,EOMONTH(EDATE(Bonds!$H293,6*(3-1)),0),EDATE(Bonds!$H293,6*(3-1))))</f>
        <v>46706</v>
      </c>
      <c r="H293" s="3">
        <f>IF(4&gt;$C293,"",IF($D293=1,EOMONTH(EDATE(Bonds!$H293,6*(4-1)),0),EDATE(Bonds!$H293,6*(4-1))))</f>
        <v>46888</v>
      </c>
      <c r="I293" s="3">
        <f>IF(5&gt;$C293,"",IF($D293=1,EOMONTH(EDATE(Bonds!$H293,6*(5-1)),0),EDATE(Bonds!$H293,6*(5-1))))</f>
        <v>47072</v>
      </c>
      <c r="J293" s="3">
        <f>IF(6&gt;$C293,"",IF($D293=1,EOMONTH(EDATE(Bonds!$H293,6*(6-1)),0),EDATE(Bonds!$H293,6*(6-1))))</f>
        <v>47253</v>
      </c>
      <c r="K293" s="3">
        <f>IF(7&gt;$C293,"",IF($D293=1,EOMONTH(EDATE(Bonds!$H293,6*(7-1)),0),EDATE(Bonds!$H293,6*(7-1))))</f>
        <v>47437</v>
      </c>
      <c r="L293" s="3">
        <f>IF(8&gt;$C293,"",IF($D293=1,EOMONTH(EDATE(Bonds!$H293,6*(8-1)),0),EDATE(Bonds!$H293,6*(8-1))))</f>
        <v>47618</v>
      </c>
      <c r="M293" s="3">
        <f>IF(9&gt;$C293,"",IF($D293=1,EOMONTH(EDATE(Bonds!$H293,6*(9-1)),0),EDATE(Bonds!$H293,6*(9-1))))</f>
        <v>47802</v>
      </c>
      <c r="N293" s="3">
        <f>IF(10&gt;$C293,"",IF($D293=1,EOMONTH(EDATE(Bonds!$H293,6*(10-1)),0),EDATE(Bonds!$H293,6*(10-1))))</f>
        <v>47983</v>
      </c>
      <c r="O293" s="3">
        <f>IF(11&gt;$C293,"",IF($D293=1,EOMONTH(EDATE(Bonds!$H293,6*(11-1)),0),EDATE(Bonds!$H293,6*(11-1))))</f>
        <v>48167</v>
      </c>
      <c r="P293" s="3">
        <f>IF(12&gt;$C293,"",IF($D293=1,EOMONTH(EDATE(Bonds!$H293,6*(12-1)),0),EDATE(Bonds!$H293,6*(12-1))))</f>
        <v>48349</v>
      </c>
      <c r="Q293" s="3">
        <f>IF(13&gt;$C293,"",IF($D293=1,EOMONTH(EDATE(Bonds!$H293,6*(13-1)),0),EDATE(Bonds!$H293,6*(13-1))))</f>
        <v>48533</v>
      </c>
      <c r="R293" s="3">
        <f>IF(14&gt;$C293,"",IF($D293=1,EOMONTH(EDATE(Bonds!$H293,6*(14-1)),0),EDATE(Bonds!$H293,6*(14-1))))</f>
        <v>48714</v>
      </c>
      <c r="S293" s="3">
        <f>IF(15&gt;$C293,"",IF($D293=1,EOMONTH(EDATE(Bonds!$H293,6*(15-1)),0),EDATE(Bonds!$H293,6*(15-1))))</f>
        <v>48898</v>
      </c>
      <c r="T293" s="3">
        <f>IF(16&gt;$C293,"",IF($D293=1,EOMONTH(EDATE(Bonds!$H293,6*(16-1)),0),EDATE(Bonds!$H293,6*(16-1))))</f>
        <v>49079</v>
      </c>
      <c r="U293" s="3">
        <f>IF(17&gt;$C293,"",IF($D293=1,EOMONTH(EDATE(Bonds!$H293,6*(17-1)),0),EDATE(Bonds!$H293,6*(17-1))))</f>
        <v>49263</v>
      </c>
      <c r="V293" s="3">
        <f>IF(18&gt;$C293,"",IF($D293=1,EOMONTH(EDATE(Bonds!$H293,6*(18-1)),0),EDATE(Bonds!$H293,6*(18-1))))</f>
        <v>49444</v>
      </c>
      <c r="W293" s="3">
        <f>IF(19&gt;$C293,"",IF($D293=1,EOMONTH(EDATE(Bonds!$H293,6*(19-1)),0),EDATE(Bonds!$H293,6*(19-1))))</f>
        <v>49628</v>
      </c>
      <c r="X293" s="3">
        <f>IF(20&gt;$C293,"",IF($D293=1,EOMONTH(EDATE(Bonds!$H293,6*(20-1)),0),EDATE(Bonds!$H293,6*(20-1))))</f>
        <v>49810</v>
      </c>
      <c r="Y293" s="3">
        <f>IF(21&gt;$C293,"",IF($D293=1,EOMONTH(EDATE(Bonds!$H293,6*(21-1)),0),EDATE(Bonds!$H293,6*(21-1))))</f>
        <v>49994</v>
      </c>
      <c r="Z293" s="3">
        <f>IF(22&gt;$C293,"",IF($D293=1,EOMONTH(EDATE(Bonds!$H293,6*(22-1)),0),EDATE(Bonds!$H293,6*(22-1))))</f>
        <v>50175</v>
      </c>
      <c r="AA293" s="3">
        <f>IF(23&gt;$C293,"",IF($D293=1,EOMONTH(EDATE(Bonds!$H293,6*(23-1)),0),EDATE(Bonds!$H293,6*(23-1))))</f>
        <v>50359</v>
      </c>
      <c r="AB293" s="3">
        <f>IF(24&gt;$C293,"",IF($D293=1,EOMONTH(EDATE(Bonds!$H293,6*(24-1)),0),EDATE(Bonds!$H293,6*(24-1))))</f>
        <v>50540</v>
      </c>
      <c r="AC293" s="3">
        <f>IF(25&gt;$C293,"",IF($D293=1,EOMONTH(EDATE(Bonds!$H293,6*(25-1)),0),EDATE(Bonds!$H293,6*(25-1))))</f>
        <v>50724</v>
      </c>
      <c r="AD293" s="3">
        <f>IF(26&gt;$C293,"",IF($D293=1,EOMONTH(EDATE(Bonds!$H293,6*(26-1)),0),EDATE(Bonds!$H293,6*(26-1))))</f>
        <v>50905</v>
      </c>
      <c r="AE293" s="3">
        <f>IF(27&gt;$C293,"",IF($D293=1,EOMONTH(EDATE(Bonds!$H293,6*(27-1)),0),EDATE(Bonds!$H293,6*(27-1))))</f>
        <v>51089</v>
      </c>
      <c r="AF293" s="3">
        <f>IF(28&gt;$C293,"",IF($D293=1,EOMONTH(EDATE(Bonds!$H293,6*(28-1)),0),EDATE(Bonds!$H293,6*(28-1))))</f>
        <v>51271</v>
      </c>
      <c r="AG293" s="3">
        <f>IF(29&gt;$C293,"",IF($D293=1,EOMONTH(EDATE(Bonds!$H293,6*(29-1)),0),EDATE(Bonds!$H293,6*(29-1))))</f>
        <v>51455</v>
      </c>
      <c r="AH293" s="3">
        <f>IF(30&gt;$C293,"",IF($D293=1,EOMONTH(EDATE(Bonds!$H293,6*(30-1)),0),EDATE(Bonds!$H293,6*(30-1))))</f>
        <v>51636</v>
      </c>
      <c r="AI293" s="3">
        <f>IF(31&gt;$C293,"",IF($D293=1,EOMONTH(EDATE(Bonds!$H293,6*(31-1)),0),EDATE(Bonds!$H293,6*(31-1))))</f>
        <v>51820</v>
      </c>
      <c r="AJ293" s="3">
        <f>IF(32&gt;$C293,"",IF($D293=1,EOMONTH(EDATE(Bonds!$H293,6*(32-1)),0),EDATE(Bonds!$H293,6*(32-1))))</f>
        <v>52001</v>
      </c>
      <c r="AK293" s="3">
        <f>IF(33&gt;$C293,"",IF($D293=1,EOMONTH(EDATE(Bonds!$H293,6*(33-1)),0),EDATE(Bonds!$H293,6*(33-1))))</f>
        <v>52185</v>
      </c>
      <c r="AL293" s="3">
        <f>IF(34&gt;$C293,"",IF($D293=1,EOMONTH(EDATE(Bonds!$H293,6*(34-1)),0),EDATE(Bonds!$H293,6*(34-1))))</f>
        <v>52366</v>
      </c>
      <c r="AM293" s="3" t="str">
        <f>IF(35&gt;$C293,"",IF($D293=1,EOMONTH(EDATE(Bonds!$H293,6*(35-1)),0),EDATE(Bonds!$H293,6*(35-1))))</f>
        <v/>
      </c>
      <c r="AN293" s="3" t="str">
        <f>IF(36&gt;$C293,"",IF($D293=1,EOMONTH(EDATE(Bonds!$H293,6*(36-1)),0),EDATE(Bonds!$H293,6*(36-1))))</f>
        <v/>
      </c>
      <c r="AO293" s="3" t="str">
        <f>IF(37&gt;$C293,"",IF($D293=1,EOMONTH(EDATE(Bonds!$H293,6*(37-1)),0),EDATE(Bonds!$H293,6*(37-1))))</f>
        <v/>
      </c>
      <c r="AP293" s="3" t="str">
        <f>IF(38&gt;$C293,"",IF($D293=1,EOMONTH(EDATE(Bonds!$H293,6*(38-1)),0),EDATE(Bonds!$H293,6*(38-1))))</f>
        <v/>
      </c>
      <c r="AQ293" s="3" t="str">
        <f>IF(39&gt;$C293,"",IF($D293=1,EOMONTH(EDATE(Bonds!$H293,6*(39-1)),0),EDATE(Bonds!$H293,6*(39-1))))</f>
        <v/>
      </c>
      <c r="AR293" s="3" t="str">
        <f>IF(40&gt;$C293,"",IF($D293=1,EOMONTH(EDATE(Bonds!$H293,6*(40-1)),0),EDATE(Bonds!$H293,6*(40-1))))</f>
        <v/>
      </c>
      <c r="AS293" s="3" t="str">
        <f>IF(41&gt;$C293,"",IF($D293=1,EOMONTH(EDATE(Bonds!$H293,6*(41-1)),0),EDATE(Bonds!$H293,6*(41-1))))</f>
        <v/>
      </c>
      <c r="AT293" s="3" t="str">
        <f>IF(42&gt;$C293,"",IF($D293=1,EOMONTH(EDATE(Bonds!$H293,6*(42-1)),0),EDATE(Bonds!$H293,6*(42-1))))</f>
        <v/>
      </c>
      <c r="AU293" s="3" t="str">
        <f>IF(43&gt;$C293,"",IF($D293=1,EOMONTH(EDATE(Bonds!$H293,6*(43-1)),0),EDATE(Bonds!$H293,6*(43-1))))</f>
        <v/>
      </c>
      <c r="AV293" s="3" t="str">
        <f>IF(44&gt;$C293,"",IF($D293=1,EOMONTH(EDATE(Bonds!$H293,6*(44-1)),0),EDATE(Bonds!$H293,6*(44-1))))</f>
        <v/>
      </c>
      <c r="AW293" s="3" t="str">
        <f>IF(45&gt;$C293,"",IF($D293=1,EOMONTH(EDATE(Bonds!$H293,6*(45-1)),0),EDATE(Bonds!$H293,6*(45-1))))</f>
        <v/>
      </c>
      <c r="AX293" s="3" t="str">
        <f>IF(46&gt;$C293,"",IF($D293=1,EOMONTH(EDATE(Bonds!$H293,6*(46-1)),0),EDATE(Bonds!$H293,6*(46-1))))</f>
        <v/>
      </c>
      <c r="AY293" s="3" t="str">
        <f>IF(47&gt;$C293,"",IF($D293=1,EOMONTH(EDATE(Bonds!$H293,6*(47-1)),0),EDATE(Bonds!$H293,6*(47-1))))</f>
        <v/>
      </c>
      <c r="AZ293" s="3" t="str">
        <f>IF(48&gt;$C293,"",IF($D293=1,EOMONTH(EDATE(Bonds!$H293,6*(48-1)),0),EDATE(Bonds!$H293,6*(48-1))))</f>
        <v/>
      </c>
      <c r="BA293" s="3" t="str">
        <f>IF(49&gt;$C293,"",IF($D293=1,EOMONTH(EDATE(Bonds!$H293,6*(49-1)),0),EDATE(Bonds!$H293,6*(49-1))))</f>
        <v/>
      </c>
      <c r="BB293" s="3" t="str">
        <f>IF(50&gt;$C293,"",IF($D293=1,EOMONTH(EDATE(Bonds!$H293,6*(50-1)),0),EDATE(Bonds!$H293,6*(50-1))))</f>
        <v/>
      </c>
      <c r="BC293" s="3" t="str">
        <f>IF(51&gt;$C293,"",IF($D293=1,EOMONTH(EDATE(Bonds!$H293,6*(51-1)),0),EDATE(Bonds!$H293,6*(51-1))))</f>
        <v/>
      </c>
      <c r="BD293" s="3" t="str">
        <f>IF(52&gt;$C293,"",IF($D293=1,EOMONTH(EDATE(Bonds!$H293,6*(52-1)),0),EDATE(Bonds!$H293,6*(52-1))))</f>
        <v/>
      </c>
      <c r="BE293" s="3" t="str">
        <f>IF(53&gt;$C293,"",IF($D293=1,EOMONTH(EDATE(Bonds!$H293,6*(53-1)),0),EDATE(Bonds!$H293,6*(53-1))))</f>
        <v/>
      </c>
      <c r="BF293" s="3" t="str">
        <f>IF(54&gt;$C293,"",IF($D293=1,EOMONTH(EDATE(Bonds!$H293,6*(54-1)),0),EDATE(Bonds!$H293,6*(54-1))))</f>
        <v/>
      </c>
      <c r="BG293" s="3" t="str">
        <f>IF(55&gt;$C293,"",IF($D293=1,EOMONTH(EDATE(Bonds!$H293,6*(55-1)),0),EDATE(Bonds!$H293,6*(55-1))))</f>
        <v/>
      </c>
      <c r="BH293" s="3" t="str">
        <f>IF(56&gt;$C293,"",IF($D293=1,EOMONTH(EDATE(Bonds!$H293,6*(56-1)),0),EDATE(Bonds!$H293,6*(56-1))))</f>
        <v/>
      </c>
      <c r="BI293" s="3" t="str">
        <f>IF(57&gt;$C293,"",IF($D293=1,EOMONTH(EDATE(Bonds!$H293,6*(57-1)),0),EDATE(Bonds!$H293,6*(57-1))))</f>
        <v/>
      </c>
      <c r="BJ293" s="3" t="str">
        <f>IF(58&gt;$C293,"",IF($D293=1,EOMONTH(EDATE(Bonds!$H293,6*(58-1)),0),EDATE(Bonds!$H293,6*(58-1))))</f>
        <v/>
      </c>
      <c r="BK293" s="3" t="str">
        <f>IF(59&gt;$C293,"",IF($D293=1,EOMONTH(EDATE(Bonds!$H293,6*(59-1)),0),EDATE(Bonds!$H293,6*(59-1))))</f>
        <v/>
      </c>
      <c r="BL293" s="3" t="str">
        <f>IF(60&gt;$C293,"",IF($D293=1,EOMONTH(EDATE(Bonds!$H293,6*(60-1)),0),EDATE(Bonds!$H293,6*(60-1))))</f>
        <v/>
      </c>
      <c r="BN293" s="7">
        <f t="shared" si="245"/>
        <v>1.4274742749875267</v>
      </c>
      <c r="BO293" s="7">
        <f t="shared" si="246"/>
        <v>1.3986486663573166</v>
      </c>
      <c r="BP293" s="7">
        <f t="shared" si="247"/>
        <v>1.3678399410400741</v>
      </c>
      <c r="BQ293" s="7">
        <f t="shared" si="248"/>
        <v>1.3371598283300468</v>
      </c>
      <c r="BR293" s="7">
        <f t="shared" si="249"/>
        <v>1.3065839082019193</v>
      </c>
      <c r="BS293" s="7">
        <f t="shared" si="250"/>
        <v>1.2771928779737276</v>
      </c>
      <c r="BT293" s="7">
        <f t="shared" si="251"/>
        <v>1.2480553960943812</v>
      </c>
      <c r="BU293" s="7">
        <f t="shared" si="252"/>
        <v>1.2200577782749149</v>
      </c>
      <c r="BV293" s="7">
        <f t="shared" si="253"/>
        <v>1.1921630242748884</v>
      </c>
      <c r="BW293" s="7">
        <f t="shared" si="254"/>
        <v>1.1651675143430285</v>
      </c>
      <c r="BX293" s="7">
        <f t="shared" si="255"/>
        <v>1.138073400627418</v>
      </c>
      <c r="BY293" s="7">
        <f t="shared" si="256"/>
        <v>1.111539483690813</v>
      </c>
      <c r="BZ293" s="7">
        <f t="shared" si="257"/>
        <v>1.0849254079937773</v>
      </c>
      <c r="CA293" s="7">
        <f t="shared" si="258"/>
        <v>1.0589197216220363</v>
      </c>
      <c r="CB293" s="7">
        <f t="shared" si="259"/>
        <v>1.0326472098514692</v>
      </c>
      <c r="CC293" s="7">
        <f t="shared" si="260"/>
        <v>1.0069681689100056</v>
      </c>
      <c r="CD293" s="7">
        <f t="shared" si="261"/>
        <v>0.98104805952639829</v>
      </c>
      <c r="CE293" s="7">
        <f t="shared" si="262"/>
        <v>0.95575772796668679</v>
      </c>
      <c r="CF293" s="7">
        <f t="shared" si="263"/>
        <v>0.93029135924109019</v>
      </c>
      <c r="CG293" s="7">
        <f t="shared" si="264"/>
        <v>0.90537875716522842</v>
      </c>
      <c r="CH293" s="7">
        <f t="shared" si="265"/>
        <v>0.88051030460373658</v>
      </c>
      <c r="CI293" s="7">
        <f t="shared" si="266"/>
        <v>0.85639598676203954</v>
      </c>
      <c r="CJ293" s="7">
        <f t="shared" si="267"/>
        <v>0.83227247353154832</v>
      </c>
      <c r="CK293" s="7">
        <f t="shared" si="268"/>
        <v>0.80895927212585761</v>
      </c>
      <c r="CL293" s="7">
        <f t="shared" si="269"/>
        <v>0.78571408295427014</v>
      </c>
      <c r="CM293" s="7">
        <f t="shared" si="270"/>
        <v>0.76332134181865541</v>
      </c>
      <c r="CN293" s="7">
        <f t="shared" si="271"/>
        <v>0.74106207701055971</v>
      </c>
      <c r="CO293" s="7">
        <f t="shared" si="272"/>
        <v>0.71956460633388575</v>
      </c>
      <c r="CP293" s="7">
        <f t="shared" si="273"/>
        <v>0.69837238838735416</v>
      </c>
      <c r="CQ293" s="7">
        <f t="shared" si="274"/>
        <v>0.67806894189721389</v>
      </c>
      <c r="CR293" s="7">
        <f t="shared" si="275"/>
        <v>0.65799013333633372</v>
      </c>
      <c r="CS293" s="7">
        <f t="shared" si="276"/>
        <v>0.63879635086224695</v>
      </c>
      <c r="CT293" s="7">
        <f t="shared" si="277"/>
        <v>0.61985422282472968</v>
      </c>
      <c r="CU293" s="7">
        <f t="shared" si="278"/>
        <v>42.464855838938654</v>
      </c>
      <c r="CV293" s="7">
        <f t="shared" si="279"/>
        <v>0</v>
      </c>
      <c r="CW293" s="7">
        <f t="shared" si="280"/>
        <v>0</v>
      </c>
      <c r="CX293" s="7">
        <f t="shared" si="281"/>
        <v>0</v>
      </c>
      <c r="CY293" s="7">
        <f t="shared" si="282"/>
        <v>0</v>
      </c>
      <c r="CZ293" s="7">
        <f t="shared" si="283"/>
        <v>0</v>
      </c>
      <c r="DA293" s="7">
        <f t="shared" si="284"/>
        <v>0</v>
      </c>
      <c r="DB293" s="7">
        <f t="shared" si="285"/>
        <v>0</v>
      </c>
      <c r="DC293" s="7">
        <f t="shared" si="286"/>
        <v>0</v>
      </c>
      <c r="DD293" s="7">
        <f t="shared" si="287"/>
        <v>0</v>
      </c>
      <c r="DE293" s="7">
        <f t="shared" si="288"/>
        <v>0</v>
      </c>
      <c r="DF293" s="7">
        <f t="shared" si="289"/>
        <v>0</v>
      </c>
      <c r="DG293" s="7">
        <f t="shared" si="290"/>
        <v>0</v>
      </c>
      <c r="DH293" s="7">
        <f t="shared" si="291"/>
        <v>0</v>
      </c>
      <c r="DI293" s="7">
        <f t="shared" si="292"/>
        <v>0</v>
      </c>
      <c r="DJ293" s="7">
        <f t="shared" si="293"/>
        <v>0</v>
      </c>
      <c r="DK293" s="7">
        <f t="shared" si="294"/>
        <v>0</v>
      </c>
      <c r="DL293" s="7">
        <f t="shared" si="295"/>
        <v>0</v>
      </c>
      <c r="DM293" s="7">
        <f t="shared" si="296"/>
        <v>0</v>
      </c>
      <c r="DN293" s="7">
        <f t="shared" si="297"/>
        <v>0</v>
      </c>
      <c r="DO293" s="7">
        <f t="shared" si="298"/>
        <v>0</v>
      </c>
      <c r="DP293" s="7">
        <f t="shared" si="299"/>
        <v>0</v>
      </c>
      <c r="DQ293" s="7">
        <f t="shared" si="300"/>
        <v>0</v>
      </c>
      <c r="DR293" s="7">
        <f t="shared" si="301"/>
        <v>0</v>
      </c>
      <c r="DS293" s="7">
        <f t="shared" si="302"/>
        <v>0</v>
      </c>
      <c r="DT293" s="7">
        <f t="shared" si="303"/>
        <v>0</v>
      </c>
      <c r="DU293" s="7">
        <f t="shared" si="304"/>
        <v>0</v>
      </c>
    </row>
    <row r="294" spans="1:125" x14ac:dyDescent="0.2">
      <c r="A294" s="3">
        <f>Bonds!A294</f>
        <v>52366</v>
      </c>
      <c r="B294" s="4">
        <f>Bonds!B294</f>
        <v>3.875</v>
      </c>
      <c r="C294">
        <f>Bonds!P294</f>
        <v>34</v>
      </c>
      <c r="D294">
        <f t="shared" si="244"/>
        <v>0</v>
      </c>
      <c r="E294" s="3">
        <f>IF(1&gt;$C294,"",IF($D294=1,EOMONTH(EDATE(Bonds!$H294,6*(1-1)),0),EDATE(Bonds!$H294,6*(1-1))))</f>
        <v>46341</v>
      </c>
      <c r="F294" s="3">
        <f>IF(2&gt;$C294,"",IF($D294=1,EOMONTH(EDATE(Bonds!$H294,6*(2-1)),0),EDATE(Bonds!$H294,6*(2-1))))</f>
        <v>46522</v>
      </c>
      <c r="G294" s="3">
        <f>IF(3&gt;$C294,"",IF($D294=1,EOMONTH(EDATE(Bonds!$H294,6*(3-1)),0),EDATE(Bonds!$H294,6*(3-1))))</f>
        <v>46706</v>
      </c>
      <c r="H294" s="3">
        <f>IF(4&gt;$C294,"",IF($D294=1,EOMONTH(EDATE(Bonds!$H294,6*(4-1)),0),EDATE(Bonds!$H294,6*(4-1))))</f>
        <v>46888</v>
      </c>
      <c r="I294" s="3">
        <f>IF(5&gt;$C294,"",IF($D294=1,EOMONTH(EDATE(Bonds!$H294,6*(5-1)),0),EDATE(Bonds!$H294,6*(5-1))))</f>
        <v>47072</v>
      </c>
      <c r="J294" s="3">
        <f>IF(6&gt;$C294,"",IF($D294=1,EOMONTH(EDATE(Bonds!$H294,6*(6-1)),0),EDATE(Bonds!$H294,6*(6-1))))</f>
        <v>47253</v>
      </c>
      <c r="K294" s="3">
        <f>IF(7&gt;$C294,"",IF($D294=1,EOMONTH(EDATE(Bonds!$H294,6*(7-1)),0),EDATE(Bonds!$H294,6*(7-1))))</f>
        <v>47437</v>
      </c>
      <c r="L294" s="3">
        <f>IF(8&gt;$C294,"",IF($D294=1,EOMONTH(EDATE(Bonds!$H294,6*(8-1)),0),EDATE(Bonds!$H294,6*(8-1))))</f>
        <v>47618</v>
      </c>
      <c r="M294" s="3">
        <f>IF(9&gt;$C294,"",IF($D294=1,EOMONTH(EDATE(Bonds!$H294,6*(9-1)),0),EDATE(Bonds!$H294,6*(9-1))))</f>
        <v>47802</v>
      </c>
      <c r="N294" s="3">
        <f>IF(10&gt;$C294,"",IF($D294=1,EOMONTH(EDATE(Bonds!$H294,6*(10-1)),0),EDATE(Bonds!$H294,6*(10-1))))</f>
        <v>47983</v>
      </c>
      <c r="O294" s="3">
        <f>IF(11&gt;$C294,"",IF($D294=1,EOMONTH(EDATE(Bonds!$H294,6*(11-1)),0),EDATE(Bonds!$H294,6*(11-1))))</f>
        <v>48167</v>
      </c>
      <c r="P294" s="3">
        <f>IF(12&gt;$C294,"",IF($D294=1,EOMONTH(EDATE(Bonds!$H294,6*(12-1)),0),EDATE(Bonds!$H294,6*(12-1))))</f>
        <v>48349</v>
      </c>
      <c r="Q294" s="3">
        <f>IF(13&gt;$C294,"",IF($D294=1,EOMONTH(EDATE(Bonds!$H294,6*(13-1)),0),EDATE(Bonds!$H294,6*(13-1))))</f>
        <v>48533</v>
      </c>
      <c r="R294" s="3">
        <f>IF(14&gt;$C294,"",IF($D294=1,EOMONTH(EDATE(Bonds!$H294,6*(14-1)),0),EDATE(Bonds!$H294,6*(14-1))))</f>
        <v>48714</v>
      </c>
      <c r="S294" s="3">
        <f>IF(15&gt;$C294,"",IF($D294=1,EOMONTH(EDATE(Bonds!$H294,6*(15-1)),0),EDATE(Bonds!$H294,6*(15-1))))</f>
        <v>48898</v>
      </c>
      <c r="T294" s="3">
        <f>IF(16&gt;$C294,"",IF($D294=1,EOMONTH(EDATE(Bonds!$H294,6*(16-1)),0),EDATE(Bonds!$H294,6*(16-1))))</f>
        <v>49079</v>
      </c>
      <c r="U294" s="3">
        <f>IF(17&gt;$C294,"",IF($D294=1,EOMONTH(EDATE(Bonds!$H294,6*(17-1)),0),EDATE(Bonds!$H294,6*(17-1))))</f>
        <v>49263</v>
      </c>
      <c r="V294" s="3">
        <f>IF(18&gt;$C294,"",IF($D294=1,EOMONTH(EDATE(Bonds!$H294,6*(18-1)),0),EDATE(Bonds!$H294,6*(18-1))))</f>
        <v>49444</v>
      </c>
      <c r="W294" s="3">
        <f>IF(19&gt;$C294,"",IF($D294=1,EOMONTH(EDATE(Bonds!$H294,6*(19-1)),0),EDATE(Bonds!$H294,6*(19-1))))</f>
        <v>49628</v>
      </c>
      <c r="X294" s="3">
        <f>IF(20&gt;$C294,"",IF($D294=1,EOMONTH(EDATE(Bonds!$H294,6*(20-1)),0),EDATE(Bonds!$H294,6*(20-1))))</f>
        <v>49810</v>
      </c>
      <c r="Y294" s="3">
        <f>IF(21&gt;$C294,"",IF($D294=1,EOMONTH(EDATE(Bonds!$H294,6*(21-1)),0),EDATE(Bonds!$H294,6*(21-1))))</f>
        <v>49994</v>
      </c>
      <c r="Z294" s="3">
        <f>IF(22&gt;$C294,"",IF($D294=1,EOMONTH(EDATE(Bonds!$H294,6*(22-1)),0),EDATE(Bonds!$H294,6*(22-1))))</f>
        <v>50175</v>
      </c>
      <c r="AA294" s="3">
        <f>IF(23&gt;$C294,"",IF($D294=1,EOMONTH(EDATE(Bonds!$H294,6*(23-1)),0),EDATE(Bonds!$H294,6*(23-1))))</f>
        <v>50359</v>
      </c>
      <c r="AB294" s="3">
        <f>IF(24&gt;$C294,"",IF($D294=1,EOMONTH(EDATE(Bonds!$H294,6*(24-1)),0),EDATE(Bonds!$H294,6*(24-1))))</f>
        <v>50540</v>
      </c>
      <c r="AC294" s="3">
        <f>IF(25&gt;$C294,"",IF($D294=1,EOMONTH(EDATE(Bonds!$H294,6*(25-1)),0),EDATE(Bonds!$H294,6*(25-1))))</f>
        <v>50724</v>
      </c>
      <c r="AD294" s="3">
        <f>IF(26&gt;$C294,"",IF($D294=1,EOMONTH(EDATE(Bonds!$H294,6*(26-1)),0),EDATE(Bonds!$H294,6*(26-1))))</f>
        <v>50905</v>
      </c>
      <c r="AE294" s="3">
        <f>IF(27&gt;$C294,"",IF($D294=1,EOMONTH(EDATE(Bonds!$H294,6*(27-1)),0),EDATE(Bonds!$H294,6*(27-1))))</f>
        <v>51089</v>
      </c>
      <c r="AF294" s="3">
        <f>IF(28&gt;$C294,"",IF($D294=1,EOMONTH(EDATE(Bonds!$H294,6*(28-1)),0),EDATE(Bonds!$H294,6*(28-1))))</f>
        <v>51271</v>
      </c>
      <c r="AG294" s="3">
        <f>IF(29&gt;$C294,"",IF($D294=1,EOMONTH(EDATE(Bonds!$H294,6*(29-1)),0),EDATE(Bonds!$H294,6*(29-1))))</f>
        <v>51455</v>
      </c>
      <c r="AH294" s="3">
        <f>IF(30&gt;$C294,"",IF($D294=1,EOMONTH(EDATE(Bonds!$H294,6*(30-1)),0),EDATE(Bonds!$H294,6*(30-1))))</f>
        <v>51636</v>
      </c>
      <c r="AI294" s="3">
        <f>IF(31&gt;$C294,"",IF($D294=1,EOMONTH(EDATE(Bonds!$H294,6*(31-1)),0),EDATE(Bonds!$H294,6*(31-1))))</f>
        <v>51820</v>
      </c>
      <c r="AJ294" s="3">
        <f>IF(32&gt;$C294,"",IF($D294=1,EOMONTH(EDATE(Bonds!$H294,6*(32-1)),0),EDATE(Bonds!$H294,6*(32-1))))</f>
        <v>52001</v>
      </c>
      <c r="AK294" s="3">
        <f>IF(33&gt;$C294,"",IF($D294=1,EOMONTH(EDATE(Bonds!$H294,6*(33-1)),0),EDATE(Bonds!$H294,6*(33-1))))</f>
        <v>52185</v>
      </c>
      <c r="AL294" s="3">
        <f>IF(34&gt;$C294,"",IF($D294=1,EOMONTH(EDATE(Bonds!$H294,6*(34-1)),0),EDATE(Bonds!$H294,6*(34-1))))</f>
        <v>52366</v>
      </c>
      <c r="AM294" s="3" t="str">
        <f>IF(35&gt;$C294,"",IF($D294=1,EOMONTH(EDATE(Bonds!$H294,6*(35-1)),0),EDATE(Bonds!$H294,6*(35-1))))</f>
        <v/>
      </c>
      <c r="AN294" s="3" t="str">
        <f>IF(36&gt;$C294,"",IF($D294=1,EOMONTH(EDATE(Bonds!$H294,6*(36-1)),0),EDATE(Bonds!$H294,6*(36-1))))</f>
        <v/>
      </c>
      <c r="AO294" s="3" t="str">
        <f>IF(37&gt;$C294,"",IF($D294=1,EOMONTH(EDATE(Bonds!$H294,6*(37-1)),0),EDATE(Bonds!$H294,6*(37-1))))</f>
        <v/>
      </c>
      <c r="AP294" s="3" t="str">
        <f>IF(38&gt;$C294,"",IF($D294=1,EOMONTH(EDATE(Bonds!$H294,6*(38-1)),0),EDATE(Bonds!$H294,6*(38-1))))</f>
        <v/>
      </c>
      <c r="AQ294" s="3" t="str">
        <f>IF(39&gt;$C294,"",IF($D294=1,EOMONTH(EDATE(Bonds!$H294,6*(39-1)),0),EDATE(Bonds!$H294,6*(39-1))))</f>
        <v/>
      </c>
      <c r="AR294" s="3" t="str">
        <f>IF(40&gt;$C294,"",IF($D294=1,EOMONTH(EDATE(Bonds!$H294,6*(40-1)),0),EDATE(Bonds!$H294,6*(40-1))))</f>
        <v/>
      </c>
      <c r="AS294" s="3" t="str">
        <f>IF(41&gt;$C294,"",IF($D294=1,EOMONTH(EDATE(Bonds!$H294,6*(41-1)),0),EDATE(Bonds!$H294,6*(41-1))))</f>
        <v/>
      </c>
      <c r="AT294" s="3" t="str">
        <f>IF(42&gt;$C294,"",IF($D294=1,EOMONTH(EDATE(Bonds!$H294,6*(42-1)),0),EDATE(Bonds!$H294,6*(42-1))))</f>
        <v/>
      </c>
      <c r="AU294" s="3" t="str">
        <f>IF(43&gt;$C294,"",IF($D294=1,EOMONTH(EDATE(Bonds!$H294,6*(43-1)),0),EDATE(Bonds!$H294,6*(43-1))))</f>
        <v/>
      </c>
      <c r="AV294" s="3" t="str">
        <f>IF(44&gt;$C294,"",IF($D294=1,EOMONTH(EDATE(Bonds!$H294,6*(44-1)),0),EDATE(Bonds!$H294,6*(44-1))))</f>
        <v/>
      </c>
      <c r="AW294" s="3" t="str">
        <f>IF(45&gt;$C294,"",IF($D294=1,EOMONTH(EDATE(Bonds!$H294,6*(45-1)),0),EDATE(Bonds!$H294,6*(45-1))))</f>
        <v/>
      </c>
      <c r="AX294" s="3" t="str">
        <f>IF(46&gt;$C294,"",IF($D294=1,EOMONTH(EDATE(Bonds!$H294,6*(46-1)),0),EDATE(Bonds!$H294,6*(46-1))))</f>
        <v/>
      </c>
      <c r="AY294" s="3" t="str">
        <f>IF(47&gt;$C294,"",IF($D294=1,EOMONTH(EDATE(Bonds!$H294,6*(47-1)),0),EDATE(Bonds!$H294,6*(47-1))))</f>
        <v/>
      </c>
      <c r="AZ294" s="3" t="str">
        <f>IF(48&gt;$C294,"",IF($D294=1,EOMONTH(EDATE(Bonds!$H294,6*(48-1)),0),EDATE(Bonds!$H294,6*(48-1))))</f>
        <v/>
      </c>
      <c r="BA294" s="3" t="str">
        <f>IF(49&gt;$C294,"",IF($D294=1,EOMONTH(EDATE(Bonds!$H294,6*(49-1)),0),EDATE(Bonds!$H294,6*(49-1))))</f>
        <v/>
      </c>
      <c r="BB294" s="3" t="str">
        <f>IF(50&gt;$C294,"",IF($D294=1,EOMONTH(EDATE(Bonds!$H294,6*(50-1)),0),EDATE(Bonds!$H294,6*(50-1))))</f>
        <v/>
      </c>
      <c r="BC294" s="3" t="str">
        <f>IF(51&gt;$C294,"",IF($D294=1,EOMONTH(EDATE(Bonds!$H294,6*(51-1)),0),EDATE(Bonds!$H294,6*(51-1))))</f>
        <v/>
      </c>
      <c r="BD294" s="3" t="str">
        <f>IF(52&gt;$C294,"",IF($D294=1,EOMONTH(EDATE(Bonds!$H294,6*(52-1)),0),EDATE(Bonds!$H294,6*(52-1))))</f>
        <v/>
      </c>
      <c r="BE294" s="3" t="str">
        <f>IF(53&gt;$C294,"",IF($D294=1,EOMONTH(EDATE(Bonds!$H294,6*(53-1)),0),EDATE(Bonds!$H294,6*(53-1))))</f>
        <v/>
      </c>
      <c r="BF294" s="3" t="str">
        <f>IF(54&gt;$C294,"",IF($D294=1,EOMONTH(EDATE(Bonds!$H294,6*(54-1)),0),EDATE(Bonds!$H294,6*(54-1))))</f>
        <v/>
      </c>
      <c r="BG294" s="3" t="str">
        <f>IF(55&gt;$C294,"",IF($D294=1,EOMONTH(EDATE(Bonds!$H294,6*(55-1)),0),EDATE(Bonds!$H294,6*(55-1))))</f>
        <v/>
      </c>
      <c r="BH294" s="3" t="str">
        <f>IF(56&gt;$C294,"",IF($D294=1,EOMONTH(EDATE(Bonds!$H294,6*(56-1)),0),EDATE(Bonds!$H294,6*(56-1))))</f>
        <v/>
      </c>
      <c r="BI294" s="3" t="str">
        <f>IF(57&gt;$C294,"",IF($D294=1,EOMONTH(EDATE(Bonds!$H294,6*(57-1)),0),EDATE(Bonds!$H294,6*(57-1))))</f>
        <v/>
      </c>
      <c r="BJ294" s="3" t="str">
        <f>IF(58&gt;$C294,"",IF($D294=1,EOMONTH(EDATE(Bonds!$H294,6*(58-1)),0),EDATE(Bonds!$H294,6*(58-1))))</f>
        <v/>
      </c>
      <c r="BK294" s="3" t="str">
        <f>IF(59&gt;$C294,"",IF($D294=1,EOMONTH(EDATE(Bonds!$H294,6*(59-1)),0),EDATE(Bonds!$H294,6*(59-1))))</f>
        <v/>
      </c>
      <c r="BL294" s="3" t="str">
        <f>IF(60&gt;$C294,"",IF($D294=1,EOMONTH(EDATE(Bonds!$H294,6*(60-1)),0),EDATE(Bonds!$H294,6*(60-1))))</f>
        <v/>
      </c>
      <c r="BN294" s="7">
        <f t="shared" si="245"/>
        <v>1.923987066287536</v>
      </c>
      <c r="BO294" s="7">
        <f t="shared" si="246"/>
        <v>1.8851351590033398</v>
      </c>
      <c r="BP294" s="7">
        <f t="shared" si="247"/>
        <v>1.8436103553148824</v>
      </c>
      <c r="BQ294" s="7">
        <f t="shared" si="248"/>
        <v>1.8022588990535413</v>
      </c>
      <c r="BR294" s="7">
        <f t="shared" si="249"/>
        <v>1.7610478762721522</v>
      </c>
      <c r="BS294" s="7">
        <f t="shared" si="250"/>
        <v>1.7214338790080674</v>
      </c>
      <c r="BT294" s="7">
        <f t="shared" si="251"/>
        <v>1.6821616208228616</v>
      </c>
      <c r="BU294" s="7">
        <f t="shared" si="252"/>
        <v>1.6444257011531462</v>
      </c>
      <c r="BV294" s="7">
        <f t="shared" si="253"/>
        <v>1.6068284240226756</v>
      </c>
      <c r="BW294" s="7">
        <f t="shared" si="254"/>
        <v>1.5704431715058209</v>
      </c>
      <c r="BX294" s="7">
        <f t="shared" si="255"/>
        <v>1.5339250182369546</v>
      </c>
      <c r="BY294" s="7">
        <f t="shared" si="256"/>
        <v>1.4981619128006611</v>
      </c>
      <c r="BZ294" s="7">
        <f t="shared" si="257"/>
        <v>1.4622907672959609</v>
      </c>
      <c r="CA294" s="7">
        <f t="shared" si="258"/>
        <v>1.4272396247949186</v>
      </c>
      <c r="CB294" s="7">
        <f t="shared" si="259"/>
        <v>1.391828848060676</v>
      </c>
      <c r="CC294" s="7">
        <f t="shared" si="260"/>
        <v>1.3572179667917468</v>
      </c>
      <c r="CD294" s="7">
        <f t="shared" si="261"/>
        <v>1.3222821671877543</v>
      </c>
      <c r="CE294" s="7">
        <f t="shared" si="262"/>
        <v>1.2881951985637952</v>
      </c>
      <c r="CF294" s="7">
        <f t="shared" si="263"/>
        <v>1.2538709624553825</v>
      </c>
      <c r="CG294" s="7">
        <f t="shared" si="264"/>
        <v>1.2202931074835688</v>
      </c>
      <c r="CH294" s="7">
        <f t="shared" si="265"/>
        <v>1.1867747583789492</v>
      </c>
      <c r="CI294" s="7">
        <f t="shared" si="266"/>
        <v>1.154272851722749</v>
      </c>
      <c r="CJ294" s="7">
        <f t="shared" si="267"/>
        <v>1.1217585512816521</v>
      </c>
      <c r="CK294" s="7">
        <f t="shared" si="268"/>
        <v>1.0903364102565907</v>
      </c>
      <c r="CL294" s="7">
        <f t="shared" si="269"/>
        <v>1.0590059378948857</v>
      </c>
      <c r="CM294" s="7">
        <f t="shared" si="270"/>
        <v>1.0288244172338399</v>
      </c>
      <c r="CN294" s="7">
        <f t="shared" si="271"/>
        <v>0.9988227994490152</v>
      </c>
      <c r="CO294" s="7">
        <f t="shared" si="272"/>
        <v>0.96984794766741123</v>
      </c>
      <c r="CP294" s="7">
        <f t="shared" si="273"/>
        <v>0.9412845234786078</v>
      </c>
      <c r="CQ294" s="7">
        <f t="shared" si="274"/>
        <v>0.91391900864407083</v>
      </c>
      <c r="CR294" s="7">
        <f t="shared" si="275"/>
        <v>0.8868562666707106</v>
      </c>
      <c r="CS294" s="7">
        <f t="shared" si="276"/>
        <v>0.86098638594476773</v>
      </c>
      <c r="CT294" s="7">
        <f t="shared" si="277"/>
        <v>0.83545569163333133</v>
      </c>
      <c r="CU294" s="7">
        <f t="shared" si="278"/>
        <v>42.674171209678953</v>
      </c>
      <c r="CV294" s="7">
        <f t="shared" si="279"/>
        <v>0</v>
      </c>
      <c r="CW294" s="7">
        <f t="shared" si="280"/>
        <v>0</v>
      </c>
      <c r="CX294" s="7">
        <f t="shared" si="281"/>
        <v>0</v>
      </c>
      <c r="CY294" s="7">
        <f t="shared" si="282"/>
        <v>0</v>
      </c>
      <c r="CZ294" s="7">
        <f t="shared" si="283"/>
        <v>0</v>
      </c>
      <c r="DA294" s="7">
        <f t="shared" si="284"/>
        <v>0</v>
      </c>
      <c r="DB294" s="7">
        <f t="shared" si="285"/>
        <v>0</v>
      </c>
      <c r="DC294" s="7">
        <f t="shared" si="286"/>
        <v>0</v>
      </c>
      <c r="DD294" s="7">
        <f t="shared" si="287"/>
        <v>0</v>
      </c>
      <c r="DE294" s="7">
        <f t="shared" si="288"/>
        <v>0</v>
      </c>
      <c r="DF294" s="7">
        <f t="shared" si="289"/>
        <v>0</v>
      </c>
      <c r="DG294" s="7">
        <f t="shared" si="290"/>
        <v>0</v>
      </c>
      <c r="DH294" s="7">
        <f t="shared" si="291"/>
        <v>0</v>
      </c>
      <c r="DI294" s="7">
        <f t="shared" si="292"/>
        <v>0</v>
      </c>
      <c r="DJ294" s="7">
        <f t="shared" si="293"/>
        <v>0</v>
      </c>
      <c r="DK294" s="7">
        <f t="shared" si="294"/>
        <v>0</v>
      </c>
      <c r="DL294" s="7">
        <f t="shared" si="295"/>
        <v>0</v>
      </c>
      <c r="DM294" s="7">
        <f t="shared" si="296"/>
        <v>0</v>
      </c>
      <c r="DN294" s="7">
        <f t="shared" si="297"/>
        <v>0</v>
      </c>
      <c r="DO294" s="7">
        <f t="shared" si="298"/>
        <v>0</v>
      </c>
      <c r="DP294" s="7">
        <f t="shared" si="299"/>
        <v>0</v>
      </c>
      <c r="DQ294" s="7">
        <f t="shared" si="300"/>
        <v>0</v>
      </c>
      <c r="DR294" s="7">
        <f t="shared" si="301"/>
        <v>0</v>
      </c>
      <c r="DS294" s="7">
        <f t="shared" si="302"/>
        <v>0</v>
      </c>
      <c r="DT294" s="7">
        <f t="shared" si="303"/>
        <v>0</v>
      </c>
      <c r="DU294" s="7">
        <f t="shared" si="304"/>
        <v>0</v>
      </c>
    </row>
    <row r="295" spans="1:125" x14ac:dyDescent="0.2">
      <c r="A295" s="3">
        <f>Bonds!A295</f>
        <v>52458</v>
      </c>
      <c r="B295" s="4">
        <f>Bonds!B295</f>
        <v>3.625</v>
      </c>
      <c r="C295">
        <f>Bonds!P295</f>
        <v>34</v>
      </c>
      <c r="D295">
        <f t="shared" si="244"/>
        <v>0</v>
      </c>
      <c r="E295" s="3">
        <f>IF(1&gt;$C295,"",IF($D295=1,EOMONTH(EDATE(Bonds!$H295,6*(1-1)),0),EDATE(Bonds!$H295,6*(1-1))))</f>
        <v>46433</v>
      </c>
      <c r="F295" s="3">
        <f>IF(2&gt;$C295,"",IF($D295=1,EOMONTH(EDATE(Bonds!$H295,6*(2-1)),0),EDATE(Bonds!$H295,6*(2-1))))</f>
        <v>46614</v>
      </c>
      <c r="G295" s="3">
        <f>IF(3&gt;$C295,"",IF($D295=1,EOMONTH(EDATE(Bonds!$H295,6*(3-1)),0),EDATE(Bonds!$H295,6*(3-1))))</f>
        <v>46798</v>
      </c>
      <c r="H295" s="3">
        <f>IF(4&gt;$C295,"",IF($D295=1,EOMONTH(EDATE(Bonds!$H295,6*(4-1)),0),EDATE(Bonds!$H295,6*(4-1))))</f>
        <v>46980</v>
      </c>
      <c r="I295" s="3">
        <f>IF(5&gt;$C295,"",IF($D295=1,EOMONTH(EDATE(Bonds!$H295,6*(5-1)),0),EDATE(Bonds!$H295,6*(5-1))))</f>
        <v>47164</v>
      </c>
      <c r="J295" s="3">
        <f>IF(6&gt;$C295,"",IF($D295=1,EOMONTH(EDATE(Bonds!$H295,6*(6-1)),0),EDATE(Bonds!$H295,6*(6-1))))</f>
        <v>47345</v>
      </c>
      <c r="K295" s="3">
        <f>IF(7&gt;$C295,"",IF($D295=1,EOMONTH(EDATE(Bonds!$H295,6*(7-1)),0),EDATE(Bonds!$H295,6*(7-1))))</f>
        <v>47529</v>
      </c>
      <c r="L295" s="3">
        <f>IF(8&gt;$C295,"",IF($D295=1,EOMONTH(EDATE(Bonds!$H295,6*(8-1)),0),EDATE(Bonds!$H295,6*(8-1))))</f>
        <v>47710</v>
      </c>
      <c r="M295" s="3">
        <f>IF(9&gt;$C295,"",IF($D295=1,EOMONTH(EDATE(Bonds!$H295,6*(9-1)),0),EDATE(Bonds!$H295,6*(9-1))))</f>
        <v>47894</v>
      </c>
      <c r="N295" s="3">
        <f>IF(10&gt;$C295,"",IF($D295=1,EOMONTH(EDATE(Bonds!$H295,6*(10-1)),0),EDATE(Bonds!$H295,6*(10-1))))</f>
        <v>48075</v>
      </c>
      <c r="O295" s="3">
        <f>IF(11&gt;$C295,"",IF($D295=1,EOMONTH(EDATE(Bonds!$H295,6*(11-1)),0),EDATE(Bonds!$H295,6*(11-1))))</f>
        <v>48259</v>
      </c>
      <c r="P295" s="3">
        <f>IF(12&gt;$C295,"",IF($D295=1,EOMONTH(EDATE(Bonds!$H295,6*(12-1)),0),EDATE(Bonds!$H295,6*(12-1))))</f>
        <v>48441</v>
      </c>
      <c r="Q295" s="3">
        <f>IF(13&gt;$C295,"",IF($D295=1,EOMONTH(EDATE(Bonds!$H295,6*(13-1)),0),EDATE(Bonds!$H295,6*(13-1))))</f>
        <v>48625</v>
      </c>
      <c r="R295" s="3">
        <f>IF(14&gt;$C295,"",IF($D295=1,EOMONTH(EDATE(Bonds!$H295,6*(14-1)),0),EDATE(Bonds!$H295,6*(14-1))))</f>
        <v>48806</v>
      </c>
      <c r="S295" s="3">
        <f>IF(15&gt;$C295,"",IF($D295=1,EOMONTH(EDATE(Bonds!$H295,6*(15-1)),0),EDATE(Bonds!$H295,6*(15-1))))</f>
        <v>48990</v>
      </c>
      <c r="T295" s="3">
        <f>IF(16&gt;$C295,"",IF($D295=1,EOMONTH(EDATE(Bonds!$H295,6*(16-1)),0),EDATE(Bonds!$H295,6*(16-1))))</f>
        <v>49171</v>
      </c>
      <c r="U295" s="3">
        <f>IF(17&gt;$C295,"",IF($D295=1,EOMONTH(EDATE(Bonds!$H295,6*(17-1)),0),EDATE(Bonds!$H295,6*(17-1))))</f>
        <v>49355</v>
      </c>
      <c r="V295" s="3">
        <f>IF(18&gt;$C295,"",IF($D295=1,EOMONTH(EDATE(Bonds!$H295,6*(18-1)),0),EDATE(Bonds!$H295,6*(18-1))))</f>
        <v>49536</v>
      </c>
      <c r="W295" s="3">
        <f>IF(19&gt;$C295,"",IF($D295=1,EOMONTH(EDATE(Bonds!$H295,6*(19-1)),0),EDATE(Bonds!$H295,6*(19-1))))</f>
        <v>49720</v>
      </c>
      <c r="X295" s="3">
        <f>IF(20&gt;$C295,"",IF($D295=1,EOMONTH(EDATE(Bonds!$H295,6*(20-1)),0),EDATE(Bonds!$H295,6*(20-1))))</f>
        <v>49902</v>
      </c>
      <c r="Y295" s="3">
        <f>IF(21&gt;$C295,"",IF($D295=1,EOMONTH(EDATE(Bonds!$H295,6*(21-1)),0),EDATE(Bonds!$H295,6*(21-1))))</f>
        <v>50086</v>
      </c>
      <c r="Z295" s="3">
        <f>IF(22&gt;$C295,"",IF($D295=1,EOMONTH(EDATE(Bonds!$H295,6*(22-1)),0),EDATE(Bonds!$H295,6*(22-1))))</f>
        <v>50267</v>
      </c>
      <c r="AA295" s="3">
        <f>IF(23&gt;$C295,"",IF($D295=1,EOMONTH(EDATE(Bonds!$H295,6*(23-1)),0),EDATE(Bonds!$H295,6*(23-1))))</f>
        <v>50451</v>
      </c>
      <c r="AB295" s="3">
        <f>IF(24&gt;$C295,"",IF($D295=1,EOMONTH(EDATE(Bonds!$H295,6*(24-1)),0),EDATE(Bonds!$H295,6*(24-1))))</f>
        <v>50632</v>
      </c>
      <c r="AC295" s="3">
        <f>IF(25&gt;$C295,"",IF($D295=1,EOMONTH(EDATE(Bonds!$H295,6*(25-1)),0),EDATE(Bonds!$H295,6*(25-1))))</f>
        <v>50816</v>
      </c>
      <c r="AD295" s="3">
        <f>IF(26&gt;$C295,"",IF($D295=1,EOMONTH(EDATE(Bonds!$H295,6*(26-1)),0),EDATE(Bonds!$H295,6*(26-1))))</f>
        <v>50997</v>
      </c>
      <c r="AE295" s="3">
        <f>IF(27&gt;$C295,"",IF($D295=1,EOMONTH(EDATE(Bonds!$H295,6*(27-1)),0),EDATE(Bonds!$H295,6*(27-1))))</f>
        <v>51181</v>
      </c>
      <c r="AF295" s="3">
        <f>IF(28&gt;$C295,"",IF($D295=1,EOMONTH(EDATE(Bonds!$H295,6*(28-1)),0),EDATE(Bonds!$H295,6*(28-1))))</f>
        <v>51363</v>
      </c>
      <c r="AG295" s="3">
        <f>IF(29&gt;$C295,"",IF($D295=1,EOMONTH(EDATE(Bonds!$H295,6*(29-1)),0),EDATE(Bonds!$H295,6*(29-1))))</f>
        <v>51547</v>
      </c>
      <c r="AH295" s="3">
        <f>IF(30&gt;$C295,"",IF($D295=1,EOMONTH(EDATE(Bonds!$H295,6*(30-1)),0),EDATE(Bonds!$H295,6*(30-1))))</f>
        <v>51728</v>
      </c>
      <c r="AI295" s="3">
        <f>IF(31&gt;$C295,"",IF($D295=1,EOMONTH(EDATE(Bonds!$H295,6*(31-1)),0),EDATE(Bonds!$H295,6*(31-1))))</f>
        <v>51912</v>
      </c>
      <c r="AJ295" s="3">
        <f>IF(32&gt;$C295,"",IF($D295=1,EOMONTH(EDATE(Bonds!$H295,6*(32-1)),0),EDATE(Bonds!$H295,6*(32-1))))</f>
        <v>52093</v>
      </c>
      <c r="AK295" s="3">
        <f>IF(33&gt;$C295,"",IF($D295=1,EOMONTH(EDATE(Bonds!$H295,6*(33-1)),0),EDATE(Bonds!$H295,6*(33-1))))</f>
        <v>52277</v>
      </c>
      <c r="AL295" s="3">
        <f>IF(34&gt;$C295,"",IF($D295=1,EOMONTH(EDATE(Bonds!$H295,6*(34-1)),0),EDATE(Bonds!$H295,6*(34-1))))</f>
        <v>52458</v>
      </c>
      <c r="AM295" s="3" t="str">
        <f>IF(35&gt;$C295,"",IF($D295=1,EOMONTH(EDATE(Bonds!$H295,6*(35-1)),0),EDATE(Bonds!$H295,6*(35-1))))</f>
        <v/>
      </c>
      <c r="AN295" s="3" t="str">
        <f>IF(36&gt;$C295,"",IF($D295=1,EOMONTH(EDATE(Bonds!$H295,6*(36-1)),0),EDATE(Bonds!$H295,6*(36-1))))</f>
        <v/>
      </c>
      <c r="AO295" s="3" t="str">
        <f>IF(37&gt;$C295,"",IF($D295=1,EOMONTH(EDATE(Bonds!$H295,6*(37-1)),0),EDATE(Bonds!$H295,6*(37-1))))</f>
        <v/>
      </c>
      <c r="AP295" s="3" t="str">
        <f>IF(38&gt;$C295,"",IF($D295=1,EOMONTH(EDATE(Bonds!$H295,6*(38-1)),0),EDATE(Bonds!$H295,6*(38-1))))</f>
        <v/>
      </c>
      <c r="AQ295" s="3" t="str">
        <f>IF(39&gt;$C295,"",IF($D295=1,EOMONTH(EDATE(Bonds!$H295,6*(39-1)),0),EDATE(Bonds!$H295,6*(39-1))))</f>
        <v/>
      </c>
      <c r="AR295" s="3" t="str">
        <f>IF(40&gt;$C295,"",IF($D295=1,EOMONTH(EDATE(Bonds!$H295,6*(40-1)),0),EDATE(Bonds!$H295,6*(40-1))))</f>
        <v/>
      </c>
      <c r="AS295" s="3" t="str">
        <f>IF(41&gt;$C295,"",IF($D295=1,EOMONTH(EDATE(Bonds!$H295,6*(41-1)),0),EDATE(Bonds!$H295,6*(41-1))))</f>
        <v/>
      </c>
      <c r="AT295" s="3" t="str">
        <f>IF(42&gt;$C295,"",IF($D295=1,EOMONTH(EDATE(Bonds!$H295,6*(42-1)),0),EDATE(Bonds!$H295,6*(42-1))))</f>
        <v/>
      </c>
      <c r="AU295" s="3" t="str">
        <f>IF(43&gt;$C295,"",IF($D295=1,EOMONTH(EDATE(Bonds!$H295,6*(43-1)),0),EDATE(Bonds!$H295,6*(43-1))))</f>
        <v/>
      </c>
      <c r="AV295" s="3" t="str">
        <f>IF(44&gt;$C295,"",IF($D295=1,EOMONTH(EDATE(Bonds!$H295,6*(44-1)),0),EDATE(Bonds!$H295,6*(44-1))))</f>
        <v/>
      </c>
      <c r="AW295" s="3" t="str">
        <f>IF(45&gt;$C295,"",IF($D295=1,EOMONTH(EDATE(Bonds!$H295,6*(45-1)),0),EDATE(Bonds!$H295,6*(45-1))))</f>
        <v/>
      </c>
      <c r="AX295" s="3" t="str">
        <f>IF(46&gt;$C295,"",IF($D295=1,EOMONTH(EDATE(Bonds!$H295,6*(46-1)),0),EDATE(Bonds!$H295,6*(46-1))))</f>
        <v/>
      </c>
      <c r="AY295" s="3" t="str">
        <f>IF(47&gt;$C295,"",IF($D295=1,EOMONTH(EDATE(Bonds!$H295,6*(47-1)),0),EDATE(Bonds!$H295,6*(47-1))))</f>
        <v/>
      </c>
      <c r="AZ295" s="3" t="str">
        <f>IF(48&gt;$C295,"",IF($D295=1,EOMONTH(EDATE(Bonds!$H295,6*(48-1)),0),EDATE(Bonds!$H295,6*(48-1))))</f>
        <v/>
      </c>
      <c r="BA295" s="3" t="str">
        <f>IF(49&gt;$C295,"",IF($D295=1,EOMONTH(EDATE(Bonds!$H295,6*(49-1)),0),EDATE(Bonds!$H295,6*(49-1))))</f>
        <v/>
      </c>
      <c r="BB295" s="3" t="str">
        <f>IF(50&gt;$C295,"",IF($D295=1,EOMONTH(EDATE(Bonds!$H295,6*(50-1)),0),EDATE(Bonds!$H295,6*(50-1))))</f>
        <v/>
      </c>
      <c r="BC295" s="3" t="str">
        <f>IF(51&gt;$C295,"",IF($D295=1,EOMONTH(EDATE(Bonds!$H295,6*(51-1)),0),EDATE(Bonds!$H295,6*(51-1))))</f>
        <v/>
      </c>
      <c r="BD295" s="3" t="str">
        <f>IF(52&gt;$C295,"",IF($D295=1,EOMONTH(EDATE(Bonds!$H295,6*(52-1)),0),EDATE(Bonds!$H295,6*(52-1))))</f>
        <v/>
      </c>
      <c r="BE295" s="3" t="str">
        <f>IF(53&gt;$C295,"",IF($D295=1,EOMONTH(EDATE(Bonds!$H295,6*(53-1)),0),EDATE(Bonds!$H295,6*(53-1))))</f>
        <v/>
      </c>
      <c r="BF295" s="3" t="str">
        <f>IF(54&gt;$C295,"",IF($D295=1,EOMONTH(EDATE(Bonds!$H295,6*(54-1)),0),EDATE(Bonds!$H295,6*(54-1))))</f>
        <v/>
      </c>
      <c r="BG295" s="3" t="str">
        <f>IF(55&gt;$C295,"",IF($D295=1,EOMONTH(EDATE(Bonds!$H295,6*(55-1)),0),EDATE(Bonds!$H295,6*(55-1))))</f>
        <v/>
      </c>
      <c r="BH295" s="3" t="str">
        <f>IF(56&gt;$C295,"",IF($D295=1,EOMONTH(EDATE(Bonds!$H295,6*(56-1)),0),EDATE(Bonds!$H295,6*(56-1))))</f>
        <v/>
      </c>
      <c r="BI295" s="3" t="str">
        <f>IF(57&gt;$C295,"",IF($D295=1,EOMONTH(EDATE(Bonds!$H295,6*(57-1)),0),EDATE(Bonds!$H295,6*(57-1))))</f>
        <v/>
      </c>
      <c r="BJ295" s="3" t="str">
        <f>IF(58&gt;$C295,"",IF($D295=1,EOMONTH(EDATE(Bonds!$H295,6*(58-1)),0),EDATE(Bonds!$H295,6*(58-1))))</f>
        <v/>
      </c>
      <c r="BK295" s="3" t="str">
        <f>IF(59&gt;$C295,"",IF($D295=1,EOMONTH(EDATE(Bonds!$H295,6*(59-1)),0),EDATE(Bonds!$H295,6*(59-1))))</f>
        <v/>
      </c>
      <c r="BL295" s="3" t="str">
        <f>IF(60&gt;$C295,"",IF($D295=1,EOMONTH(EDATE(Bonds!$H295,6*(60-1)),0),EDATE(Bonds!$H295,6*(60-1))))</f>
        <v/>
      </c>
      <c r="BN295" s="7">
        <f t="shared" si="245"/>
        <v>1.7817590616343448</v>
      </c>
      <c r="BO295" s="7">
        <f t="shared" si="246"/>
        <v>1.7442025673483914</v>
      </c>
      <c r="BP295" s="7">
        <f t="shared" si="247"/>
        <v>1.705080570455217</v>
      </c>
      <c r="BQ295" s="7">
        <f t="shared" si="248"/>
        <v>1.6666091065746937</v>
      </c>
      <c r="BR295" s="7">
        <f t="shared" si="249"/>
        <v>1.6284807109963901</v>
      </c>
      <c r="BS295" s="7">
        <f t="shared" si="250"/>
        <v>1.5918897676226629</v>
      </c>
      <c r="BT295" s="7">
        <f t="shared" si="251"/>
        <v>1.5555957689320501</v>
      </c>
      <c r="BU295" s="7">
        <f t="shared" si="252"/>
        <v>1.5206671282467896</v>
      </c>
      <c r="BV295" s="7">
        <f t="shared" si="253"/>
        <v>1.4858001361309601</v>
      </c>
      <c r="BW295" s="7">
        <f t="shared" si="254"/>
        <v>1.4519948851608773</v>
      </c>
      <c r="BX295" s="7">
        <f t="shared" si="255"/>
        <v>1.4180139069213546</v>
      </c>
      <c r="BY295" s="7">
        <f t="shared" si="256"/>
        <v>1.3846976838176495</v>
      </c>
      <c r="BZ295" s="7">
        <f t="shared" si="257"/>
        <v>1.351257092570757</v>
      </c>
      <c r="CA295" s="7">
        <f t="shared" si="258"/>
        <v>1.3185706014184457</v>
      </c>
      <c r="CB295" s="7">
        <f t="shared" si="259"/>
        <v>1.2855493828489646</v>
      </c>
      <c r="CC295" s="7">
        <f t="shared" si="260"/>
        <v>1.2532834143233433</v>
      </c>
      <c r="CD295" s="7">
        <f t="shared" si="261"/>
        <v>1.2207307251306261</v>
      </c>
      <c r="CE295" s="7">
        <f t="shared" si="262"/>
        <v>1.1889895217267561</v>
      </c>
      <c r="CF295" s="7">
        <f t="shared" si="263"/>
        <v>1.1570513597182601</v>
      </c>
      <c r="CG295" s="7">
        <f t="shared" si="264"/>
        <v>1.1258331976833005</v>
      </c>
      <c r="CH295" s="7">
        <f t="shared" si="265"/>
        <v>1.0946968339598935</v>
      </c>
      <c r="CI295" s="7">
        <f t="shared" si="266"/>
        <v>1.0645305450351112</v>
      </c>
      <c r="CJ295" s="7">
        <f t="shared" si="267"/>
        <v>1.0343783564119025</v>
      </c>
      <c r="CK295" s="7">
        <f t="shared" si="268"/>
        <v>1.0052630981388371</v>
      </c>
      <c r="CL295" s="7">
        <f t="shared" si="269"/>
        <v>0.97625592748497092</v>
      </c>
      <c r="CM295" s="7">
        <f t="shared" si="270"/>
        <v>0.94833378898067022</v>
      </c>
      <c r="CN295" s="7">
        <f t="shared" si="271"/>
        <v>0.92059811324192764</v>
      </c>
      <c r="CO295" s="7">
        <f t="shared" si="272"/>
        <v>0.89382991378358478</v>
      </c>
      <c r="CP295" s="7">
        <f t="shared" si="273"/>
        <v>0.86745866013909234</v>
      </c>
      <c r="CQ295" s="7">
        <f t="shared" si="274"/>
        <v>0.84220839717673079</v>
      </c>
      <c r="CR295" s="7">
        <f t="shared" si="275"/>
        <v>0.8172512983018857</v>
      </c>
      <c r="CS295" s="7">
        <f t="shared" si="276"/>
        <v>0.79340646523966252</v>
      </c>
      <c r="CT295" s="7">
        <f t="shared" si="277"/>
        <v>0.76988539521332455</v>
      </c>
      <c r="CU295" s="7">
        <f t="shared" si="278"/>
        <v>41.986290353248215</v>
      </c>
      <c r="CV295" s="7">
        <f t="shared" si="279"/>
        <v>0</v>
      </c>
      <c r="CW295" s="7">
        <f t="shared" si="280"/>
        <v>0</v>
      </c>
      <c r="CX295" s="7">
        <f t="shared" si="281"/>
        <v>0</v>
      </c>
      <c r="CY295" s="7">
        <f t="shared" si="282"/>
        <v>0</v>
      </c>
      <c r="CZ295" s="7">
        <f t="shared" si="283"/>
        <v>0</v>
      </c>
      <c r="DA295" s="7">
        <f t="shared" si="284"/>
        <v>0</v>
      </c>
      <c r="DB295" s="7">
        <f t="shared" si="285"/>
        <v>0</v>
      </c>
      <c r="DC295" s="7">
        <f t="shared" si="286"/>
        <v>0</v>
      </c>
      <c r="DD295" s="7">
        <f t="shared" si="287"/>
        <v>0</v>
      </c>
      <c r="DE295" s="7">
        <f t="shared" si="288"/>
        <v>0</v>
      </c>
      <c r="DF295" s="7">
        <f t="shared" si="289"/>
        <v>0</v>
      </c>
      <c r="DG295" s="7">
        <f t="shared" si="290"/>
        <v>0</v>
      </c>
      <c r="DH295" s="7">
        <f t="shared" si="291"/>
        <v>0</v>
      </c>
      <c r="DI295" s="7">
        <f t="shared" si="292"/>
        <v>0</v>
      </c>
      <c r="DJ295" s="7">
        <f t="shared" si="293"/>
        <v>0</v>
      </c>
      <c r="DK295" s="7">
        <f t="shared" si="294"/>
        <v>0</v>
      </c>
      <c r="DL295" s="7">
        <f t="shared" si="295"/>
        <v>0</v>
      </c>
      <c r="DM295" s="7">
        <f t="shared" si="296"/>
        <v>0</v>
      </c>
      <c r="DN295" s="7">
        <f t="shared" si="297"/>
        <v>0</v>
      </c>
      <c r="DO295" s="7">
        <f t="shared" si="298"/>
        <v>0</v>
      </c>
      <c r="DP295" s="7">
        <f t="shared" si="299"/>
        <v>0</v>
      </c>
      <c r="DQ295" s="7">
        <f t="shared" si="300"/>
        <v>0</v>
      </c>
      <c r="DR295" s="7">
        <f t="shared" si="301"/>
        <v>0</v>
      </c>
      <c r="DS295" s="7">
        <f t="shared" si="302"/>
        <v>0</v>
      </c>
      <c r="DT295" s="7">
        <f t="shared" si="303"/>
        <v>0</v>
      </c>
      <c r="DU295" s="7">
        <f t="shared" si="304"/>
        <v>0</v>
      </c>
    </row>
    <row r="296" spans="1:125" x14ac:dyDescent="0.2">
      <c r="A296" s="3">
        <f>Bonds!A296</f>
        <v>52458</v>
      </c>
      <c r="B296" s="4">
        <f>Bonds!B296</f>
        <v>4.375</v>
      </c>
      <c r="C296">
        <f>Bonds!P296</f>
        <v>34</v>
      </c>
      <c r="D296">
        <f t="shared" si="244"/>
        <v>0</v>
      </c>
      <c r="E296" s="3">
        <f>IF(1&gt;$C296,"",IF($D296=1,EOMONTH(EDATE(Bonds!$H296,6*(1-1)),0),EDATE(Bonds!$H296,6*(1-1))))</f>
        <v>46433</v>
      </c>
      <c r="F296" s="3">
        <f>IF(2&gt;$C296,"",IF($D296=1,EOMONTH(EDATE(Bonds!$H296,6*(2-1)),0),EDATE(Bonds!$H296,6*(2-1))))</f>
        <v>46614</v>
      </c>
      <c r="G296" s="3">
        <f>IF(3&gt;$C296,"",IF($D296=1,EOMONTH(EDATE(Bonds!$H296,6*(3-1)),0),EDATE(Bonds!$H296,6*(3-1))))</f>
        <v>46798</v>
      </c>
      <c r="H296" s="3">
        <f>IF(4&gt;$C296,"",IF($D296=1,EOMONTH(EDATE(Bonds!$H296,6*(4-1)),0),EDATE(Bonds!$H296,6*(4-1))))</f>
        <v>46980</v>
      </c>
      <c r="I296" s="3">
        <f>IF(5&gt;$C296,"",IF($D296=1,EOMONTH(EDATE(Bonds!$H296,6*(5-1)),0),EDATE(Bonds!$H296,6*(5-1))))</f>
        <v>47164</v>
      </c>
      <c r="J296" s="3">
        <f>IF(6&gt;$C296,"",IF($D296=1,EOMONTH(EDATE(Bonds!$H296,6*(6-1)),0),EDATE(Bonds!$H296,6*(6-1))))</f>
        <v>47345</v>
      </c>
      <c r="K296" s="3">
        <f>IF(7&gt;$C296,"",IF($D296=1,EOMONTH(EDATE(Bonds!$H296,6*(7-1)),0),EDATE(Bonds!$H296,6*(7-1))))</f>
        <v>47529</v>
      </c>
      <c r="L296" s="3">
        <f>IF(8&gt;$C296,"",IF($D296=1,EOMONTH(EDATE(Bonds!$H296,6*(8-1)),0),EDATE(Bonds!$H296,6*(8-1))))</f>
        <v>47710</v>
      </c>
      <c r="M296" s="3">
        <f>IF(9&gt;$C296,"",IF($D296=1,EOMONTH(EDATE(Bonds!$H296,6*(9-1)),0),EDATE(Bonds!$H296,6*(9-1))))</f>
        <v>47894</v>
      </c>
      <c r="N296" s="3">
        <f>IF(10&gt;$C296,"",IF($D296=1,EOMONTH(EDATE(Bonds!$H296,6*(10-1)),0),EDATE(Bonds!$H296,6*(10-1))))</f>
        <v>48075</v>
      </c>
      <c r="O296" s="3">
        <f>IF(11&gt;$C296,"",IF($D296=1,EOMONTH(EDATE(Bonds!$H296,6*(11-1)),0),EDATE(Bonds!$H296,6*(11-1))))</f>
        <v>48259</v>
      </c>
      <c r="P296" s="3">
        <f>IF(12&gt;$C296,"",IF($D296=1,EOMONTH(EDATE(Bonds!$H296,6*(12-1)),0),EDATE(Bonds!$H296,6*(12-1))))</f>
        <v>48441</v>
      </c>
      <c r="Q296" s="3">
        <f>IF(13&gt;$C296,"",IF($D296=1,EOMONTH(EDATE(Bonds!$H296,6*(13-1)),0),EDATE(Bonds!$H296,6*(13-1))))</f>
        <v>48625</v>
      </c>
      <c r="R296" s="3">
        <f>IF(14&gt;$C296,"",IF($D296=1,EOMONTH(EDATE(Bonds!$H296,6*(14-1)),0),EDATE(Bonds!$H296,6*(14-1))))</f>
        <v>48806</v>
      </c>
      <c r="S296" s="3">
        <f>IF(15&gt;$C296,"",IF($D296=1,EOMONTH(EDATE(Bonds!$H296,6*(15-1)),0),EDATE(Bonds!$H296,6*(15-1))))</f>
        <v>48990</v>
      </c>
      <c r="T296" s="3">
        <f>IF(16&gt;$C296,"",IF($D296=1,EOMONTH(EDATE(Bonds!$H296,6*(16-1)),0),EDATE(Bonds!$H296,6*(16-1))))</f>
        <v>49171</v>
      </c>
      <c r="U296" s="3">
        <f>IF(17&gt;$C296,"",IF($D296=1,EOMONTH(EDATE(Bonds!$H296,6*(17-1)),0),EDATE(Bonds!$H296,6*(17-1))))</f>
        <v>49355</v>
      </c>
      <c r="V296" s="3">
        <f>IF(18&gt;$C296,"",IF($D296=1,EOMONTH(EDATE(Bonds!$H296,6*(18-1)),0),EDATE(Bonds!$H296,6*(18-1))))</f>
        <v>49536</v>
      </c>
      <c r="W296" s="3">
        <f>IF(19&gt;$C296,"",IF($D296=1,EOMONTH(EDATE(Bonds!$H296,6*(19-1)),0),EDATE(Bonds!$H296,6*(19-1))))</f>
        <v>49720</v>
      </c>
      <c r="X296" s="3">
        <f>IF(20&gt;$C296,"",IF($D296=1,EOMONTH(EDATE(Bonds!$H296,6*(20-1)),0),EDATE(Bonds!$H296,6*(20-1))))</f>
        <v>49902</v>
      </c>
      <c r="Y296" s="3">
        <f>IF(21&gt;$C296,"",IF($D296=1,EOMONTH(EDATE(Bonds!$H296,6*(21-1)),0),EDATE(Bonds!$H296,6*(21-1))))</f>
        <v>50086</v>
      </c>
      <c r="Z296" s="3">
        <f>IF(22&gt;$C296,"",IF($D296=1,EOMONTH(EDATE(Bonds!$H296,6*(22-1)),0),EDATE(Bonds!$H296,6*(22-1))))</f>
        <v>50267</v>
      </c>
      <c r="AA296" s="3">
        <f>IF(23&gt;$C296,"",IF($D296=1,EOMONTH(EDATE(Bonds!$H296,6*(23-1)),0),EDATE(Bonds!$H296,6*(23-1))))</f>
        <v>50451</v>
      </c>
      <c r="AB296" s="3">
        <f>IF(24&gt;$C296,"",IF($D296=1,EOMONTH(EDATE(Bonds!$H296,6*(24-1)),0),EDATE(Bonds!$H296,6*(24-1))))</f>
        <v>50632</v>
      </c>
      <c r="AC296" s="3">
        <f>IF(25&gt;$C296,"",IF($D296=1,EOMONTH(EDATE(Bonds!$H296,6*(25-1)),0),EDATE(Bonds!$H296,6*(25-1))))</f>
        <v>50816</v>
      </c>
      <c r="AD296" s="3">
        <f>IF(26&gt;$C296,"",IF($D296=1,EOMONTH(EDATE(Bonds!$H296,6*(26-1)),0),EDATE(Bonds!$H296,6*(26-1))))</f>
        <v>50997</v>
      </c>
      <c r="AE296" s="3">
        <f>IF(27&gt;$C296,"",IF($D296=1,EOMONTH(EDATE(Bonds!$H296,6*(27-1)),0),EDATE(Bonds!$H296,6*(27-1))))</f>
        <v>51181</v>
      </c>
      <c r="AF296" s="3">
        <f>IF(28&gt;$C296,"",IF($D296=1,EOMONTH(EDATE(Bonds!$H296,6*(28-1)),0),EDATE(Bonds!$H296,6*(28-1))))</f>
        <v>51363</v>
      </c>
      <c r="AG296" s="3">
        <f>IF(29&gt;$C296,"",IF($D296=1,EOMONTH(EDATE(Bonds!$H296,6*(29-1)),0),EDATE(Bonds!$H296,6*(29-1))))</f>
        <v>51547</v>
      </c>
      <c r="AH296" s="3">
        <f>IF(30&gt;$C296,"",IF($D296=1,EOMONTH(EDATE(Bonds!$H296,6*(30-1)),0),EDATE(Bonds!$H296,6*(30-1))))</f>
        <v>51728</v>
      </c>
      <c r="AI296" s="3">
        <f>IF(31&gt;$C296,"",IF($D296=1,EOMONTH(EDATE(Bonds!$H296,6*(31-1)),0),EDATE(Bonds!$H296,6*(31-1))))</f>
        <v>51912</v>
      </c>
      <c r="AJ296" s="3">
        <f>IF(32&gt;$C296,"",IF($D296=1,EOMONTH(EDATE(Bonds!$H296,6*(32-1)),0),EDATE(Bonds!$H296,6*(32-1))))</f>
        <v>52093</v>
      </c>
      <c r="AK296" s="3">
        <f>IF(33&gt;$C296,"",IF($D296=1,EOMONTH(EDATE(Bonds!$H296,6*(33-1)),0),EDATE(Bonds!$H296,6*(33-1))))</f>
        <v>52277</v>
      </c>
      <c r="AL296" s="3">
        <f>IF(34&gt;$C296,"",IF($D296=1,EOMONTH(EDATE(Bonds!$H296,6*(34-1)),0),EDATE(Bonds!$H296,6*(34-1))))</f>
        <v>52458</v>
      </c>
      <c r="AM296" s="3" t="str">
        <f>IF(35&gt;$C296,"",IF($D296=1,EOMONTH(EDATE(Bonds!$H296,6*(35-1)),0),EDATE(Bonds!$H296,6*(35-1))))</f>
        <v/>
      </c>
      <c r="AN296" s="3" t="str">
        <f>IF(36&gt;$C296,"",IF($D296=1,EOMONTH(EDATE(Bonds!$H296,6*(36-1)),0),EDATE(Bonds!$H296,6*(36-1))))</f>
        <v/>
      </c>
      <c r="AO296" s="3" t="str">
        <f>IF(37&gt;$C296,"",IF($D296=1,EOMONTH(EDATE(Bonds!$H296,6*(37-1)),0),EDATE(Bonds!$H296,6*(37-1))))</f>
        <v/>
      </c>
      <c r="AP296" s="3" t="str">
        <f>IF(38&gt;$C296,"",IF($D296=1,EOMONTH(EDATE(Bonds!$H296,6*(38-1)),0),EDATE(Bonds!$H296,6*(38-1))))</f>
        <v/>
      </c>
      <c r="AQ296" s="3" t="str">
        <f>IF(39&gt;$C296,"",IF($D296=1,EOMONTH(EDATE(Bonds!$H296,6*(39-1)),0),EDATE(Bonds!$H296,6*(39-1))))</f>
        <v/>
      </c>
      <c r="AR296" s="3" t="str">
        <f>IF(40&gt;$C296,"",IF($D296=1,EOMONTH(EDATE(Bonds!$H296,6*(40-1)),0),EDATE(Bonds!$H296,6*(40-1))))</f>
        <v/>
      </c>
      <c r="AS296" s="3" t="str">
        <f>IF(41&gt;$C296,"",IF($D296=1,EOMONTH(EDATE(Bonds!$H296,6*(41-1)),0),EDATE(Bonds!$H296,6*(41-1))))</f>
        <v/>
      </c>
      <c r="AT296" s="3" t="str">
        <f>IF(42&gt;$C296,"",IF($D296=1,EOMONTH(EDATE(Bonds!$H296,6*(42-1)),0),EDATE(Bonds!$H296,6*(42-1))))</f>
        <v/>
      </c>
      <c r="AU296" s="3" t="str">
        <f>IF(43&gt;$C296,"",IF($D296=1,EOMONTH(EDATE(Bonds!$H296,6*(43-1)),0),EDATE(Bonds!$H296,6*(43-1))))</f>
        <v/>
      </c>
      <c r="AV296" s="3" t="str">
        <f>IF(44&gt;$C296,"",IF($D296=1,EOMONTH(EDATE(Bonds!$H296,6*(44-1)),0),EDATE(Bonds!$H296,6*(44-1))))</f>
        <v/>
      </c>
      <c r="AW296" s="3" t="str">
        <f>IF(45&gt;$C296,"",IF($D296=1,EOMONTH(EDATE(Bonds!$H296,6*(45-1)),0),EDATE(Bonds!$H296,6*(45-1))))</f>
        <v/>
      </c>
      <c r="AX296" s="3" t="str">
        <f>IF(46&gt;$C296,"",IF($D296=1,EOMONTH(EDATE(Bonds!$H296,6*(46-1)),0),EDATE(Bonds!$H296,6*(46-1))))</f>
        <v/>
      </c>
      <c r="AY296" s="3" t="str">
        <f>IF(47&gt;$C296,"",IF($D296=1,EOMONTH(EDATE(Bonds!$H296,6*(47-1)),0),EDATE(Bonds!$H296,6*(47-1))))</f>
        <v/>
      </c>
      <c r="AZ296" s="3" t="str">
        <f>IF(48&gt;$C296,"",IF($D296=1,EOMONTH(EDATE(Bonds!$H296,6*(48-1)),0),EDATE(Bonds!$H296,6*(48-1))))</f>
        <v/>
      </c>
      <c r="BA296" s="3" t="str">
        <f>IF(49&gt;$C296,"",IF($D296=1,EOMONTH(EDATE(Bonds!$H296,6*(49-1)),0),EDATE(Bonds!$H296,6*(49-1))))</f>
        <v/>
      </c>
      <c r="BB296" s="3" t="str">
        <f>IF(50&gt;$C296,"",IF($D296=1,EOMONTH(EDATE(Bonds!$H296,6*(50-1)),0),EDATE(Bonds!$H296,6*(50-1))))</f>
        <v/>
      </c>
      <c r="BC296" s="3" t="str">
        <f>IF(51&gt;$C296,"",IF($D296=1,EOMONTH(EDATE(Bonds!$H296,6*(51-1)),0),EDATE(Bonds!$H296,6*(51-1))))</f>
        <v/>
      </c>
      <c r="BD296" s="3" t="str">
        <f>IF(52&gt;$C296,"",IF($D296=1,EOMONTH(EDATE(Bonds!$H296,6*(52-1)),0),EDATE(Bonds!$H296,6*(52-1))))</f>
        <v/>
      </c>
      <c r="BE296" s="3" t="str">
        <f>IF(53&gt;$C296,"",IF($D296=1,EOMONTH(EDATE(Bonds!$H296,6*(53-1)),0),EDATE(Bonds!$H296,6*(53-1))))</f>
        <v/>
      </c>
      <c r="BF296" s="3" t="str">
        <f>IF(54&gt;$C296,"",IF($D296=1,EOMONTH(EDATE(Bonds!$H296,6*(54-1)),0),EDATE(Bonds!$H296,6*(54-1))))</f>
        <v/>
      </c>
      <c r="BG296" s="3" t="str">
        <f>IF(55&gt;$C296,"",IF($D296=1,EOMONTH(EDATE(Bonds!$H296,6*(55-1)),0),EDATE(Bonds!$H296,6*(55-1))))</f>
        <v/>
      </c>
      <c r="BH296" s="3" t="str">
        <f>IF(56&gt;$C296,"",IF($D296=1,EOMONTH(EDATE(Bonds!$H296,6*(56-1)),0),EDATE(Bonds!$H296,6*(56-1))))</f>
        <v/>
      </c>
      <c r="BI296" s="3" t="str">
        <f>IF(57&gt;$C296,"",IF($D296=1,EOMONTH(EDATE(Bonds!$H296,6*(57-1)),0),EDATE(Bonds!$H296,6*(57-1))))</f>
        <v/>
      </c>
      <c r="BJ296" s="3" t="str">
        <f>IF(58&gt;$C296,"",IF($D296=1,EOMONTH(EDATE(Bonds!$H296,6*(58-1)),0),EDATE(Bonds!$H296,6*(58-1))))</f>
        <v/>
      </c>
      <c r="BK296" s="3" t="str">
        <f>IF(59&gt;$C296,"",IF($D296=1,EOMONTH(EDATE(Bonds!$H296,6*(59-1)),0),EDATE(Bonds!$H296,6*(59-1))))</f>
        <v/>
      </c>
      <c r="BL296" s="3" t="str">
        <f>IF(60&gt;$C296,"",IF($D296=1,EOMONTH(EDATE(Bonds!$H296,6*(60-1)),0),EDATE(Bonds!$H296,6*(60-1))))</f>
        <v/>
      </c>
      <c r="BN296" s="7">
        <f t="shared" si="245"/>
        <v>2.1503988674897268</v>
      </c>
      <c r="BO296" s="7">
        <f t="shared" si="246"/>
        <v>2.105072064041162</v>
      </c>
      <c r="BP296" s="7">
        <f t="shared" si="247"/>
        <v>2.0578558608942275</v>
      </c>
      <c r="BQ296" s="7">
        <f t="shared" si="248"/>
        <v>2.011424783797044</v>
      </c>
      <c r="BR296" s="7">
        <f t="shared" si="249"/>
        <v>1.9654077546508157</v>
      </c>
      <c r="BS296" s="7">
        <f t="shared" si="250"/>
        <v>1.921246271268731</v>
      </c>
      <c r="BT296" s="7">
        <f t="shared" si="251"/>
        <v>1.8774431694007501</v>
      </c>
      <c r="BU296" s="7">
        <f t="shared" si="252"/>
        <v>1.8352879134012978</v>
      </c>
      <c r="BV296" s="7">
        <f t="shared" si="253"/>
        <v>1.7932070608477106</v>
      </c>
      <c r="BW296" s="7">
        <f t="shared" si="254"/>
        <v>1.7524076200217482</v>
      </c>
      <c r="BX296" s="7">
        <f t="shared" si="255"/>
        <v>1.7113960945602558</v>
      </c>
      <c r="BY296" s="7">
        <f t="shared" si="256"/>
        <v>1.6711868597799218</v>
      </c>
      <c r="BZ296" s="7">
        <f t="shared" si="257"/>
        <v>1.6308275255164311</v>
      </c>
      <c r="CA296" s="7">
        <f t="shared" si="258"/>
        <v>1.5913783120567448</v>
      </c>
      <c r="CB296" s="7">
        <f t="shared" si="259"/>
        <v>1.5515251172315092</v>
      </c>
      <c r="CC296" s="7">
        <f t="shared" si="260"/>
        <v>1.5125834310798973</v>
      </c>
      <c r="CD296" s="7">
        <f t="shared" si="261"/>
        <v>1.4732957027438591</v>
      </c>
      <c r="CE296" s="7">
        <f t="shared" si="262"/>
        <v>1.4349873538081537</v>
      </c>
      <c r="CF296" s="7">
        <f t="shared" si="263"/>
        <v>1.3964412962116932</v>
      </c>
      <c r="CG296" s="7">
        <f t="shared" si="264"/>
        <v>1.358764204100535</v>
      </c>
      <c r="CH296" s="7">
        <f t="shared" si="265"/>
        <v>1.3211858340895266</v>
      </c>
      <c r="CI296" s="7">
        <f t="shared" si="266"/>
        <v>1.2847782440078928</v>
      </c>
      <c r="CJ296" s="7">
        <f t="shared" si="267"/>
        <v>1.2483876715316065</v>
      </c>
      <c r="CK296" s="7">
        <f t="shared" si="268"/>
        <v>1.213248566719286</v>
      </c>
      <c r="CL296" s="7">
        <f t="shared" si="269"/>
        <v>1.1782399124818614</v>
      </c>
      <c r="CM296" s="7">
        <f t="shared" si="270"/>
        <v>1.1445407798042571</v>
      </c>
      <c r="CN296" s="7">
        <f t="shared" si="271"/>
        <v>1.1110666883954299</v>
      </c>
      <c r="CO296" s="7">
        <f t="shared" si="272"/>
        <v>1.0787602407732919</v>
      </c>
      <c r="CP296" s="7">
        <f t="shared" si="273"/>
        <v>1.0469328656851113</v>
      </c>
      <c r="CQ296" s="7">
        <f t="shared" si="274"/>
        <v>1.0164584103857095</v>
      </c>
      <c r="CR296" s="7">
        <f t="shared" si="275"/>
        <v>0.98633777381262078</v>
      </c>
      <c r="CS296" s="7">
        <f t="shared" si="276"/>
        <v>0.95755952701338576</v>
      </c>
      <c r="CT296" s="7">
        <f t="shared" si="277"/>
        <v>0.92917202870573645</v>
      </c>
      <c r="CU296" s="7">
        <f t="shared" si="278"/>
        <v>42.140935989908428</v>
      </c>
      <c r="CV296" s="7">
        <f t="shared" si="279"/>
        <v>0</v>
      </c>
      <c r="CW296" s="7">
        <f t="shared" si="280"/>
        <v>0</v>
      </c>
      <c r="CX296" s="7">
        <f t="shared" si="281"/>
        <v>0</v>
      </c>
      <c r="CY296" s="7">
        <f t="shared" si="282"/>
        <v>0</v>
      </c>
      <c r="CZ296" s="7">
        <f t="shared" si="283"/>
        <v>0</v>
      </c>
      <c r="DA296" s="7">
        <f t="shared" si="284"/>
        <v>0</v>
      </c>
      <c r="DB296" s="7">
        <f t="shared" si="285"/>
        <v>0</v>
      </c>
      <c r="DC296" s="7">
        <f t="shared" si="286"/>
        <v>0</v>
      </c>
      <c r="DD296" s="7">
        <f t="shared" si="287"/>
        <v>0</v>
      </c>
      <c r="DE296" s="7">
        <f t="shared" si="288"/>
        <v>0</v>
      </c>
      <c r="DF296" s="7">
        <f t="shared" si="289"/>
        <v>0</v>
      </c>
      <c r="DG296" s="7">
        <f t="shared" si="290"/>
        <v>0</v>
      </c>
      <c r="DH296" s="7">
        <f t="shared" si="291"/>
        <v>0</v>
      </c>
      <c r="DI296" s="7">
        <f t="shared" si="292"/>
        <v>0</v>
      </c>
      <c r="DJ296" s="7">
        <f t="shared" si="293"/>
        <v>0</v>
      </c>
      <c r="DK296" s="7">
        <f t="shared" si="294"/>
        <v>0</v>
      </c>
      <c r="DL296" s="7">
        <f t="shared" si="295"/>
        <v>0</v>
      </c>
      <c r="DM296" s="7">
        <f t="shared" si="296"/>
        <v>0</v>
      </c>
      <c r="DN296" s="7">
        <f t="shared" si="297"/>
        <v>0</v>
      </c>
      <c r="DO296" s="7">
        <f t="shared" si="298"/>
        <v>0</v>
      </c>
      <c r="DP296" s="7">
        <f t="shared" si="299"/>
        <v>0</v>
      </c>
      <c r="DQ296" s="7">
        <f t="shared" si="300"/>
        <v>0</v>
      </c>
      <c r="DR296" s="7">
        <f t="shared" si="301"/>
        <v>0</v>
      </c>
      <c r="DS296" s="7">
        <f t="shared" si="302"/>
        <v>0</v>
      </c>
      <c r="DT296" s="7">
        <f t="shared" si="303"/>
        <v>0</v>
      </c>
      <c r="DU296" s="7">
        <f t="shared" si="304"/>
        <v>0</v>
      </c>
    </row>
    <row r="297" spans="1:125" x14ac:dyDescent="0.2">
      <c r="A297" s="3">
        <f>Bonds!A297</f>
        <v>52550</v>
      </c>
      <c r="B297" s="4">
        <f>Bonds!B297</f>
        <v>3.75</v>
      </c>
      <c r="C297">
        <f>Bonds!P297</f>
        <v>35</v>
      </c>
      <c r="D297">
        <f t="shared" si="244"/>
        <v>0</v>
      </c>
      <c r="E297" s="3">
        <f>IF(1&gt;$C297,"",IF($D297=1,EOMONTH(EDATE(Bonds!$H297,6*(1-1)),0),EDATE(Bonds!$H297,6*(1-1))))</f>
        <v>46341</v>
      </c>
      <c r="F297" s="3">
        <f>IF(2&gt;$C297,"",IF($D297=1,EOMONTH(EDATE(Bonds!$H297,6*(2-1)),0),EDATE(Bonds!$H297,6*(2-1))))</f>
        <v>46522</v>
      </c>
      <c r="G297" s="3">
        <f>IF(3&gt;$C297,"",IF($D297=1,EOMONTH(EDATE(Bonds!$H297,6*(3-1)),0),EDATE(Bonds!$H297,6*(3-1))))</f>
        <v>46706</v>
      </c>
      <c r="H297" s="3">
        <f>IF(4&gt;$C297,"",IF($D297=1,EOMONTH(EDATE(Bonds!$H297,6*(4-1)),0),EDATE(Bonds!$H297,6*(4-1))))</f>
        <v>46888</v>
      </c>
      <c r="I297" s="3">
        <f>IF(5&gt;$C297,"",IF($D297=1,EOMONTH(EDATE(Bonds!$H297,6*(5-1)),0),EDATE(Bonds!$H297,6*(5-1))))</f>
        <v>47072</v>
      </c>
      <c r="J297" s="3">
        <f>IF(6&gt;$C297,"",IF($D297=1,EOMONTH(EDATE(Bonds!$H297,6*(6-1)),0),EDATE(Bonds!$H297,6*(6-1))))</f>
        <v>47253</v>
      </c>
      <c r="K297" s="3">
        <f>IF(7&gt;$C297,"",IF($D297=1,EOMONTH(EDATE(Bonds!$H297,6*(7-1)),0),EDATE(Bonds!$H297,6*(7-1))))</f>
        <v>47437</v>
      </c>
      <c r="L297" s="3">
        <f>IF(8&gt;$C297,"",IF($D297=1,EOMONTH(EDATE(Bonds!$H297,6*(8-1)),0),EDATE(Bonds!$H297,6*(8-1))))</f>
        <v>47618</v>
      </c>
      <c r="M297" s="3">
        <f>IF(9&gt;$C297,"",IF($D297=1,EOMONTH(EDATE(Bonds!$H297,6*(9-1)),0),EDATE(Bonds!$H297,6*(9-1))))</f>
        <v>47802</v>
      </c>
      <c r="N297" s="3">
        <f>IF(10&gt;$C297,"",IF($D297=1,EOMONTH(EDATE(Bonds!$H297,6*(10-1)),0),EDATE(Bonds!$H297,6*(10-1))))</f>
        <v>47983</v>
      </c>
      <c r="O297" s="3">
        <f>IF(11&gt;$C297,"",IF($D297=1,EOMONTH(EDATE(Bonds!$H297,6*(11-1)),0),EDATE(Bonds!$H297,6*(11-1))))</f>
        <v>48167</v>
      </c>
      <c r="P297" s="3">
        <f>IF(12&gt;$C297,"",IF($D297=1,EOMONTH(EDATE(Bonds!$H297,6*(12-1)),0),EDATE(Bonds!$H297,6*(12-1))))</f>
        <v>48349</v>
      </c>
      <c r="Q297" s="3">
        <f>IF(13&gt;$C297,"",IF($D297=1,EOMONTH(EDATE(Bonds!$H297,6*(13-1)),0),EDATE(Bonds!$H297,6*(13-1))))</f>
        <v>48533</v>
      </c>
      <c r="R297" s="3">
        <f>IF(14&gt;$C297,"",IF($D297=1,EOMONTH(EDATE(Bonds!$H297,6*(14-1)),0),EDATE(Bonds!$H297,6*(14-1))))</f>
        <v>48714</v>
      </c>
      <c r="S297" s="3">
        <f>IF(15&gt;$C297,"",IF($D297=1,EOMONTH(EDATE(Bonds!$H297,6*(15-1)),0),EDATE(Bonds!$H297,6*(15-1))))</f>
        <v>48898</v>
      </c>
      <c r="T297" s="3">
        <f>IF(16&gt;$C297,"",IF($D297=1,EOMONTH(EDATE(Bonds!$H297,6*(16-1)),0),EDATE(Bonds!$H297,6*(16-1))))</f>
        <v>49079</v>
      </c>
      <c r="U297" s="3">
        <f>IF(17&gt;$C297,"",IF($D297=1,EOMONTH(EDATE(Bonds!$H297,6*(17-1)),0),EDATE(Bonds!$H297,6*(17-1))))</f>
        <v>49263</v>
      </c>
      <c r="V297" s="3">
        <f>IF(18&gt;$C297,"",IF($D297=1,EOMONTH(EDATE(Bonds!$H297,6*(18-1)),0),EDATE(Bonds!$H297,6*(18-1))))</f>
        <v>49444</v>
      </c>
      <c r="W297" s="3">
        <f>IF(19&gt;$C297,"",IF($D297=1,EOMONTH(EDATE(Bonds!$H297,6*(19-1)),0),EDATE(Bonds!$H297,6*(19-1))))</f>
        <v>49628</v>
      </c>
      <c r="X297" s="3">
        <f>IF(20&gt;$C297,"",IF($D297=1,EOMONTH(EDATE(Bonds!$H297,6*(20-1)),0),EDATE(Bonds!$H297,6*(20-1))))</f>
        <v>49810</v>
      </c>
      <c r="Y297" s="3">
        <f>IF(21&gt;$C297,"",IF($D297=1,EOMONTH(EDATE(Bonds!$H297,6*(21-1)),0),EDATE(Bonds!$H297,6*(21-1))))</f>
        <v>49994</v>
      </c>
      <c r="Z297" s="3">
        <f>IF(22&gt;$C297,"",IF($D297=1,EOMONTH(EDATE(Bonds!$H297,6*(22-1)),0),EDATE(Bonds!$H297,6*(22-1))))</f>
        <v>50175</v>
      </c>
      <c r="AA297" s="3">
        <f>IF(23&gt;$C297,"",IF($D297=1,EOMONTH(EDATE(Bonds!$H297,6*(23-1)),0),EDATE(Bonds!$H297,6*(23-1))))</f>
        <v>50359</v>
      </c>
      <c r="AB297" s="3">
        <f>IF(24&gt;$C297,"",IF($D297=1,EOMONTH(EDATE(Bonds!$H297,6*(24-1)),0),EDATE(Bonds!$H297,6*(24-1))))</f>
        <v>50540</v>
      </c>
      <c r="AC297" s="3">
        <f>IF(25&gt;$C297,"",IF($D297=1,EOMONTH(EDATE(Bonds!$H297,6*(25-1)),0),EDATE(Bonds!$H297,6*(25-1))))</f>
        <v>50724</v>
      </c>
      <c r="AD297" s="3">
        <f>IF(26&gt;$C297,"",IF($D297=1,EOMONTH(EDATE(Bonds!$H297,6*(26-1)),0),EDATE(Bonds!$H297,6*(26-1))))</f>
        <v>50905</v>
      </c>
      <c r="AE297" s="3">
        <f>IF(27&gt;$C297,"",IF($D297=1,EOMONTH(EDATE(Bonds!$H297,6*(27-1)),0),EDATE(Bonds!$H297,6*(27-1))))</f>
        <v>51089</v>
      </c>
      <c r="AF297" s="3">
        <f>IF(28&gt;$C297,"",IF($D297=1,EOMONTH(EDATE(Bonds!$H297,6*(28-1)),0),EDATE(Bonds!$H297,6*(28-1))))</f>
        <v>51271</v>
      </c>
      <c r="AG297" s="3">
        <f>IF(29&gt;$C297,"",IF($D297=1,EOMONTH(EDATE(Bonds!$H297,6*(29-1)),0),EDATE(Bonds!$H297,6*(29-1))))</f>
        <v>51455</v>
      </c>
      <c r="AH297" s="3">
        <f>IF(30&gt;$C297,"",IF($D297=1,EOMONTH(EDATE(Bonds!$H297,6*(30-1)),0),EDATE(Bonds!$H297,6*(30-1))))</f>
        <v>51636</v>
      </c>
      <c r="AI297" s="3">
        <f>IF(31&gt;$C297,"",IF($D297=1,EOMONTH(EDATE(Bonds!$H297,6*(31-1)),0),EDATE(Bonds!$H297,6*(31-1))))</f>
        <v>51820</v>
      </c>
      <c r="AJ297" s="3">
        <f>IF(32&gt;$C297,"",IF($D297=1,EOMONTH(EDATE(Bonds!$H297,6*(32-1)),0),EDATE(Bonds!$H297,6*(32-1))))</f>
        <v>52001</v>
      </c>
      <c r="AK297" s="3">
        <f>IF(33&gt;$C297,"",IF($D297=1,EOMONTH(EDATE(Bonds!$H297,6*(33-1)),0),EDATE(Bonds!$H297,6*(33-1))))</f>
        <v>52185</v>
      </c>
      <c r="AL297" s="3">
        <f>IF(34&gt;$C297,"",IF($D297=1,EOMONTH(EDATE(Bonds!$H297,6*(34-1)),0),EDATE(Bonds!$H297,6*(34-1))))</f>
        <v>52366</v>
      </c>
      <c r="AM297" s="3">
        <f>IF(35&gt;$C297,"",IF($D297=1,EOMONTH(EDATE(Bonds!$H297,6*(35-1)),0),EDATE(Bonds!$H297,6*(35-1))))</f>
        <v>52550</v>
      </c>
      <c r="AN297" s="3" t="str">
        <f>IF(36&gt;$C297,"",IF($D297=1,EOMONTH(EDATE(Bonds!$H297,6*(36-1)),0),EDATE(Bonds!$H297,6*(36-1))))</f>
        <v/>
      </c>
      <c r="AO297" s="3" t="str">
        <f>IF(37&gt;$C297,"",IF($D297=1,EOMONTH(EDATE(Bonds!$H297,6*(37-1)),0),EDATE(Bonds!$H297,6*(37-1))))</f>
        <v/>
      </c>
      <c r="AP297" s="3" t="str">
        <f>IF(38&gt;$C297,"",IF($D297=1,EOMONTH(EDATE(Bonds!$H297,6*(38-1)),0),EDATE(Bonds!$H297,6*(38-1))))</f>
        <v/>
      </c>
      <c r="AQ297" s="3" t="str">
        <f>IF(39&gt;$C297,"",IF($D297=1,EOMONTH(EDATE(Bonds!$H297,6*(39-1)),0),EDATE(Bonds!$H297,6*(39-1))))</f>
        <v/>
      </c>
      <c r="AR297" s="3" t="str">
        <f>IF(40&gt;$C297,"",IF($D297=1,EOMONTH(EDATE(Bonds!$H297,6*(40-1)),0),EDATE(Bonds!$H297,6*(40-1))))</f>
        <v/>
      </c>
      <c r="AS297" s="3" t="str">
        <f>IF(41&gt;$C297,"",IF($D297=1,EOMONTH(EDATE(Bonds!$H297,6*(41-1)),0),EDATE(Bonds!$H297,6*(41-1))))</f>
        <v/>
      </c>
      <c r="AT297" s="3" t="str">
        <f>IF(42&gt;$C297,"",IF($D297=1,EOMONTH(EDATE(Bonds!$H297,6*(42-1)),0),EDATE(Bonds!$H297,6*(42-1))))</f>
        <v/>
      </c>
      <c r="AU297" s="3" t="str">
        <f>IF(43&gt;$C297,"",IF($D297=1,EOMONTH(EDATE(Bonds!$H297,6*(43-1)),0),EDATE(Bonds!$H297,6*(43-1))))</f>
        <v/>
      </c>
      <c r="AV297" s="3" t="str">
        <f>IF(44&gt;$C297,"",IF($D297=1,EOMONTH(EDATE(Bonds!$H297,6*(44-1)),0),EDATE(Bonds!$H297,6*(44-1))))</f>
        <v/>
      </c>
      <c r="AW297" s="3" t="str">
        <f>IF(45&gt;$C297,"",IF($D297=1,EOMONTH(EDATE(Bonds!$H297,6*(45-1)),0),EDATE(Bonds!$H297,6*(45-1))))</f>
        <v/>
      </c>
      <c r="AX297" s="3" t="str">
        <f>IF(46&gt;$C297,"",IF($D297=1,EOMONTH(EDATE(Bonds!$H297,6*(46-1)),0),EDATE(Bonds!$H297,6*(46-1))))</f>
        <v/>
      </c>
      <c r="AY297" s="3" t="str">
        <f>IF(47&gt;$C297,"",IF($D297=1,EOMONTH(EDATE(Bonds!$H297,6*(47-1)),0),EDATE(Bonds!$H297,6*(47-1))))</f>
        <v/>
      </c>
      <c r="AZ297" s="3" t="str">
        <f>IF(48&gt;$C297,"",IF($D297=1,EOMONTH(EDATE(Bonds!$H297,6*(48-1)),0),EDATE(Bonds!$H297,6*(48-1))))</f>
        <v/>
      </c>
      <c r="BA297" s="3" t="str">
        <f>IF(49&gt;$C297,"",IF($D297=1,EOMONTH(EDATE(Bonds!$H297,6*(49-1)),0),EDATE(Bonds!$H297,6*(49-1))))</f>
        <v/>
      </c>
      <c r="BB297" s="3" t="str">
        <f>IF(50&gt;$C297,"",IF($D297=1,EOMONTH(EDATE(Bonds!$H297,6*(50-1)),0),EDATE(Bonds!$H297,6*(50-1))))</f>
        <v/>
      </c>
      <c r="BC297" s="3" t="str">
        <f>IF(51&gt;$C297,"",IF($D297=1,EOMONTH(EDATE(Bonds!$H297,6*(51-1)),0),EDATE(Bonds!$H297,6*(51-1))))</f>
        <v/>
      </c>
      <c r="BD297" s="3" t="str">
        <f>IF(52&gt;$C297,"",IF($D297=1,EOMONTH(EDATE(Bonds!$H297,6*(52-1)),0),EDATE(Bonds!$H297,6*(52-1))))</f>
        <v/>
      </c>
      <c r="BE297" s="3" t="str">
        <f>IF(53&gt;$C297,"",IF($D297=1,EOMONTH(EDATE(Bonds!$H297,6*(53-1)),0),EDATE(Bonds!$H297,6*(53-1))))</f>
        <v/>
      </c>
      <c r="BF297" s="3" t="str">
        <f>IF(54&gt;$C297,"",IF($D297=1,EOMONTH(EDATE(Bonds!$H297,6*(54-1)),0),EDATE(Bonds!$H297,6*(54-1))))</f>
        <v/>
      </c>
      <c r="BG297" s="3" t="str">
        <f>IF(55&gt;$C297,"",IF($D297=1,EOMONTH(EDATE(Bonds!$H297,6*(55-1)),0),EDATE(Bonds!$H297,6*(55-1))))</f>
        <v/>
      </c>
      <c r="BH297" s="3" t="str">
        <f>IF(56&gt;$C297,"",IF($D297=1,EOMONTH(EDATE(Bonds!$H297,6*(56-1)),0),EDATE(Bonds!$H297,6*(56-1))))</f>
        <v/>
      </c>
      <c r="BI297" s="3" t="str">
        <f>IF(57&gt;$C297,"",IF($D297=1,EOMONTH(EDATE(Bonds!$H297,6*(57-1)),0),EDATE(Bonds!$H297,6*(57-1))))</f>
        <v/>
      </c>
      <c r="BJ297" s="3" t="str">
        <f>IF(58&gt;$C297,"",IF($D297=1,EOMONTH(EDATE(Bonds!$H297,6*(58-1)),0),EDATE(Bonds!$H297,6*(58-1))))</f>
        <v/>
      </c>
      <c r="BK297" s="3" t="str">
        <f>IF(59&gt;$C297,"",IF($D297=1,EOMONTH(EDATE(Bonds!$H297,6*(59-1)),0),EDATE(Bonds!$H297,6*(59-1))))</f>
        <v/>
      </c>
      <c r="BL297" s="3" t="str">
        <f>IF(60&gt;$C297,"",IF($D297=1,EOMONTH(EDATE(Bonds!$H297,6*(60-1)),0),EDATE(Bonds!$H297,6*(60-1))))</f>
        <v/>
      </c>
      <c r="BN297" s="7">
        <f t="shared" si="245"/>
        <v>1.8619229673750348</v>
      </c>
      <c r="BO297" s="7">
        <f t="shared" si="246"/>
        <v>1.824324347422587</v>
      </c>
      <c r="BP297" s="7">
        <f t="shared" si="247"/>
        <v>1.7841390535305315</v>
      </c>
      <c r="BQ297" s="7">
        <f t="shared" si="248"/>
        <v>1.7441215152131044</v>
      </c>
      <c r="BR297" s="7">
        <f t="shared" si="249"/>
        <v>1.7042398802633731</v>
      </c>
      <c r="BS297" s="7">
        <f t="shared" si="250"/>
        <v>1.6659037538787751</v>
      </c>
      <c r="BT297" s="7">
        <f t="shared" si="251"/>
        <v>1.6278983427318017</v>
      </c>
      <c r="BU297" s="7">
        <f t="shared" si="252"/>
        <v>1.5913797107933674</v>
      </c>
      <c r="BV297" s="7">
        <f t="shared" si="253"/>
        <v>1.5549952490542023</v>
      </c>
      <c r="BW297" s="7">
        <f t="shared" si="254"/>
        <v>1.519783714360472</v>
      </c>
      <c r="BX297" s="7">
        <f t="shared" si="255"/>
        <v>1.4844435660357627</v>
      </c>
      <c r="BY297" s="7">
        <f t="shared" si="256"/>
        <v>1.44983410916193</v>
      </c>
      <c r="BZ297" s="7">
        <f t="shared" si="257"/>
        <v>1.4151200973831879</v>
      </c>
      <c r="CA297" s="7">
        <f t="shared" si="258"/>
        <v>1.3811996368983084</v>
      </c>
      <c r="CB297" s="7">
        <f t="shared" si="259"/>
        <v>1.346931143284525</v>
      </c>
      <c r="CC297" s="7">
        <f t="shared" si="260"/>
        <v>1.3134367420565292</v>
      </c>
      <c r="CD297" s="7">
        <f t="shared" si="261"/>
        <v>1.2796279037300846</v>
      </c>
      <c r="CE297" s="7">
        <f t="shared" si="262"/>
        <v>1.2466405147391566</v>
      </c>
      <c r="CF297" s="7">
        <f t="shared" si="263"/>
        <v>1.2134235120535959</v>
      </c>
      <c r="CG297" s="7">
        <f t="shared" si="264"/>
        <v>1.1809288136937761</v>
      </c>
      <c r="CH297" s="7">
        <f t="shared" si="265"/>
        <v>1.1484917016570477</v>
      </c>
      <c r="CI297" s="7">
        <f t="shared" si="266"/>
        <v>1.1170382436026602</v>
      </c>
      <c r="CJ297" s="7">
        <f t="shared" si="267"/>
        <v>1.0855727915628892</v>
      </c>
      <c r="CK297" s="7">
        <f t="shared" si="268"/>
        <v>1.0551642679902491</v>
      </c>
      <c r="CL297" s="7">
        <f t="shared" si="269"/>
        <v>1.0248444560273089</v>
      </c>
      <c r="CM297" s="7">
        <f t="shared" si="270"/>
        <v>0.99563653280694175</v>
      </c>
      <c r="CN297" s="7">
        <f t="shared" si="271"/>
        <v>0.96660270914420832</v>
      </c>
      <c r="CO297" s="7">
        <f t="shared" si="272"/>
        <v>0.93856253000072054</v>
      </c>
      <c r="CP297" s="7">
        <f t="shared" si="273"/>
        <v>0.91092050659220103</v>
      </c>
      <c r="CQ297" s="7">
        <f t="shared" si="274"/>
        <v>0.8844377503007137</v>
      </c>
      <c r="CR297" s="7">
        <f t="shared" si="275"/>
        <v>0.85824800000391355</v>
      </c>
      <c r="CS297" s="7">
        <f t="shared" si="276"/>
        <v>0.83321263155945258</v>
      </c>
      <c r="CT297" s="7">
        <f t="shared" si="277"/>
        <v>0.80850550803225618</v>
      </c>
      <c r="CU297" s="7">
        <f t="shared" si="278"/>
        <v>0.78493264027613041</v>
      </c>
      <c r="CV297" s="7">
        <f t="shared" si="279"/>
        <v>41.386237676941576</v>
      </c>
      <c r="CW297" s="7">
        <f t="shared" si="280"/>
        <v>0</v>
      </c>
      <c r="CX297" s="7">
        <f t="shared" si="281"/>
        <v>0</v>
      </c>
      <c r="CY297" s="7">
        <f t="shared" si="282"/>
        <v>0</v>
      </c>
      <c r="CZ297" s="7">
        <f t="shared" si="283"/>
        <v>0</v>
      </c>
      <c r="DA297" s="7">
        <f t="shared" si="284"/>
        <v>0</v>
      </c>
      <c r="DB297" s="7">
        <f t="shared" si="285"/>
        <v>0</v>
      </c>
      <c r="DC297" s="7">
        <f t="shared" si="286"/>
        <v>0</v>
      </c>
      <c r="DD297" s="7">
        <f t="shared" si="287"/>
        <v>0</v>
      </c>
      <c r="DE297" s="7">
        <f t="shared" si="288"/>
        <v>0</v>
      </c>
      <c r="DF297" s="7">
        <f t="shared" si="289"/>
        <v>0</v>
      </c>
      <c r="DG297" s="7">
        <f t="shared" si="290"/>
        <v>0</v>
      </c>
      <c r="DH297" s="7">
        <f t="shared" si="291"/>
        <v>0</v>
      </c>
      <c r="DI297" s="7">
        <f t="shared" si="292"/>
        <v>0</v>
      </c>
      <c r="DJ297" s="7">
        <f t="shared" si="293"/>
        <v>0</v>
      </c>
      <c r="DK297" s="7">
        <f t="shared" si="294"/>
        <v>0</v>
      </c>
      <c r="DL297" s="7">
        <f t="shared" si="295"/>
        <v>0</v>
      </c>
      <c r="DM297" s="7">
        <f t="shared" si="296"/>
        <v>0</v>
      </c>
      <c r="DN297" s="7">
        <f t="shared" si="297"/>
        <v>0</v>
      </c>
      <c r="DO297" s="7">
        <f t="shared" si="298"/>
        <v>0</v>
      </c>
      <c r="DP297" s="7">
        <f t="shared" si="299"/>
        <v>0</v>
      </c>
      <c r="DQ297" s="7">
        <f t="shared" si="300"/>
        <v>0</v>
      </c>
      <c r="DR297" s="7">
        <f t="shared" si="301"/>
        <v>0</v>
      </c>
      <c r="DS297" s="7">
        <f t="shared" si="302"/>
        <v>0</v>
      </c>
      <c r="DT297" s="7">
        <f t="shared" si="303"/>
        <v>0</v>
      </c>
      <c r="DU297" s="7">
        <f t="shared" si="304"/>
        <v>0</v>
      </c>
    </row>
    <row r="298" spans="1:125" x14ac:dyDescent="0.2">
      <c r="A298" s="3">
        <f>Bonds!A298</f>
        <v>52550</v>
      </c>
      <c r="B298" s="4">
        <f>Bonds!B298</f>
        <v>4.75</v>
      </c>
      <c r="C298">
        <f>Bonds!P298</f>
        <v>35</v>
      </c>
      <c r="D298">
        <f t="shared" si="244"/>
        <v>0</v>
      </c>
      <c r="E298" s="3">
        <f>IF(1&gt;$C298,"",IF($D298=1,EOMONTH(EDATE(Bonds!$H298,6*(1-1)),0),EDATE(Bonds!$H298,6*(1-1))))</f>
        <v>46341</v>
      </c>
      <c r="F298" s="3">
        <f>IF(2&gt;$C298,"",IF($D298=1,EOMONTH(EDATE(Bonds!$H298,6*(2-1)),0),EDATE(Bonds!$H298,6*(2-1))))</f>
        <v>46522</v>
      </c>
      <c r="G298" s="3">
        <f>IF(3&gt;$C298,"",IF($D298=1,EOMONTH(EDATE(Bonds!$H298,6*(3-1)),0),EDATE(Bonds!$H298,6*(3-1))))</f>
        <v>46706</v>
      </c>
      <c r="H298" s="3">
        <f>IF(4&gt;$C298,"",IF($D298=1,EOMONTH(EDATE(Bonds!$H298,6*(4-1)),0),EDATE(Bonds!$H298,6*(4-1))))</f>
        <v>46888</v>
      </c>
      <c r="I298" s="3">
        <f>IF(5&gt;$C298,"",IF($D298=1,EOMONTH(EDATE(Bonds!$H298,6*(5-1)),0),EDATE(Bonds!$H298,6*(5-1))))</f>
        <v>47072</v>
      </c>
      <c r="J298" s="3">
        <f>IF(6&gt;$C298,"",IF($D298=1,EOMONTH(EDATE(Bonds!$H298,6*(6-1)),0),EDATE(Bonds!$H298,6*(6-1))))</f>
        <v>47253</v>
      </c>
      <c r="K298" s="3">
        <f>IF(7&gt;$C298,"",IF($D298=1,EOMONTH(EDATE(Bonds!$H298,6*(7-1)),0),EDATE(Bonds!$H298,6*(7-1))))</f>
        <v>47437</v>
      </c>
      <c r="L298" s="3">
        <f>IF(8&gt;$C298,"",IF($D298=1,EOMONTH(EDATE(Bonds!$H298,6*(8-1)),0),EDATE(Bonds!$H298,6*(8-1))))</f>
        <v>47618</v>
      </c>
      <c r="M298" s="3">
        <f>IF(9&gt;$C298,"",IF($D298=1,EOMONTH(EDATE(Bonds!$H298,6*(9-1)),0),EDATE(Bonds!$H298,6*(9-1))))</f>
        <v>47802</v>
      </c>
      <c r="N298" s="3">
        <f>IF(10&gt;$C298,"",IF($D298=1,EOMONTH(EDATE(Bonds!$H298,6*(10-1)),0),EDATE(Bonds!$H298,6*(10-1))))</f>
        <v>47983</v>
      </c>
      <c r="O298" s="3">
        <f>IF(11&gt;$C298,"",IF($D298=1,EOMONTH(EDATE(Bonds!$H298,6*(11-1)),0),EDATE(Bonds!$H298,6*(11-1))))</f>
        <v>48167</v>
      </c>
      <c r="P298" s="3">
        <f>IF(12&gt;$C298,"",IF($D298=1,EOMONTH(EDATE(Bonds!$H298,6*(12-1)),0),EDATE(Bonds!$H298,6*(12-1))))</f>
        <v>48349</v>
      </c>
      <c r="Q298" s="3">
        <f>IF(13&gt;$C298,"",IF($D298=1,EOMONTH(EDATE(Bonds!$H298,6*(13-1)),0),EDATE(Bonds!$H298,6*(13-1))))</f>
        <v>48533</v>
      </c>
      <c r="R298" s="3">
        <f>IF(14&gt;$C298,"",IF($D298=1,EOMONTH(EDATE(Bonds!$H298,6*(14-1)),0),EDATE(Bonds!$H298,6*(14-1))))</f>
        <v>48714</v>
      </c>
      <c r="S298" s="3">
        <f>IF(15&gt;$C298,"",IF($D298=1,EOMONTH(EDATE(Bonds!$H298,6*(15-1)),0),EDATE(Bonds!$H298,6*(15-1))))</f>
        <v>48898</v>
      </c>
      <c r="T298" s="3">
        <f>IF(16&gt;$C298,"",IF($D298=1,EOMONTH(EDATE(Bonds!$H298,6*(16-1)),0),EDATE(Bonds!$H298,6*(16-1))))</f>
        <v>49079</v>
      </c>
      <c r="U298" s="3">
        <f>IF(17&gt;$C298,"",IF($D298=1,EOMONTH(EDATE(Bonds!$H298,6*(17-1)),0),EDATE(Bonds!$H298,6*(17-1))))</f>
        <v>49263</v>
      </c>
      <c r="V298" s="3">
        <f>IF(18&gt;$C298,"",IF($D298=1,EOMONTH(EDATE(Bonds!$H298,6*(18-1)),0),EDATE(Bonds!$H298,6*(18-1))))</f>
        <v>49444</v>
      </c>
      <c r="W298" s="3">
        <f>IF(19&gt;$C298,"",IF($D298=1,EOMONTH(EDATE(Bonds!$H298,6*(19-1)),0),EDATE(Bonds!$H298,6*(19-1))))</f>
        <v>49628</v>
      </c>
      <c r="X298" s="3">
        <f>IF(20&gt;$C298,"",IF($D298=1,EOMONTH(EDATE(Bonds!$H298,6*(20-1)),0),EDATE(Bonds!$H298,6*(20-1))))</f>
        <v>49810</v>
      </c>
      <c r="Y298" s="3">
        <f>IF(21&gt;$C298,"",IF($D298=1,EOMONTH(EDATE(Bonds!$H298,6*(21-1)),0),EDATE(Bonds!$H298,6*(21-1))))</f>
        <v>49994</v>
      </c>
      <c r="Z298" s="3">
        <f>IF(22&gt;$C298,"",IF($D298=1,EOMONTH(EDATE(Bonds!$H298,6*(22-1)),0),EDATE(Bonds!$H298,6*(22-1))))</f>
        <v>50175</v>
      </c>
      <c r="AA298" s="3">
        <f>IF(23&gt;$C298,"",IF($D298=1,EOMONTH(EDATE(Bonds!$H298,6*(23-1)),0),EDATE(Bonds!$H298,6*(23-1))))</f>
        <v>50359</v>
      </c>
      <c r="AB298" s="3">
        <f>IF(24&gt;$C298,"",IF($D298=1,EOMONTH(EDATE(Bonds!$H298,6*(24-1)),0),EDATE(Bonds!$H298,6*(24-1))))</f>
        <v>50540</v>
      </c>
      <c r="AC298" s="3">
        <f>IF(25&gt;$C298,"",IF($D298=1,EOMONTH(EDATE(Bonds!$H298,6*(25-1)),0),EDATE(Bonds!$H298,6*(25-1))))</f>
        <v>50724</v>
      </c>
      <c r="AD298" s="3">
        <f>IF(26&gt;$C298,"",IF($D298=1,EOMONTH(EDATE(Bonds!$H298,6*(26-1)),0),EDATE(Bonds!$H298,6*(26-1))))</f>
        <v>50905</v>
      </c>
      <c r="AE298" s="3">
        <f>IF(27&gt;$C298,"",IF($D298=1,EOMONTH(EDATE(Bonds!$H298,6*(27-1)),0),EDATE(Bonds!$H298,6*(27-1))))</f>
        <v>51089</v>
      </c>
      <c r="AF298" s="3">
        <f>IF(28&gt;$C298,"",IF($D298=1,EOMONTH(EDATE(Bonds!$H298,6*(28-1)),0),EDATE(Bonds!$H298,6*(28-1))))</f>
        <v>51271</v>
      </c>
      <c r="AG298" s="3">
        <f>IF(29&gt;$C298,"",IF($D298=1,EOMONTH(EDATE(Bonds!$H298,6*(29-1)),0),EDATE(Bonds!$H298,6*(29-1))))</f>
        <v>51455</v>
      </c>
      <c r="AH298" s="3">
        <f>IF(30&gt;$C298,"",IF($D298=1,EOMONTH(EDATE(Bonds!$H298,6*(30-1)),0),EDATE(Bonds!$H298,6*(30-1))))</f>
        <v>51636</v>
      </c>
      <c r="AI298" s="3">
        <f>IF(31&gt;$C298,"",IF($D298=1,EOMONTH(EDATE(Bonds!$H298,6*(31-1)),0),EDATE(Bonds!$H298,6*(31-1))))</f>
        <v>51820</v>
      </c>
      <c r="AJ298" s="3">
        <f>IF(32&gt;$C298,"",IF($D298=1,EOMONTH(EDATE(Bonds!$H298,6*(32-1)),0),EDATE(Bonds!$H298,6*(32-1))))</f>
        <v>52001</v>
      </c>
      <c r="AK298" s="3">
        <f>IF(33&gt;$C298,"",IF($D298=1,EOMONTH(EDATE(Bonds!$H298,6*(33-1)),0),EDATE(Bonds!$H298,6*(33-1))))</f>
        <v>52185</v>
      </c>
      <c r="AL298" s="3">
        <f>IF(34&gt;$C298,"",IF($D298=1,EOMONTH(EDATE(Bonds!$H298,6*(34-1)),0),EDATE(Bonds!$H298,6*(34-1))))</f>
        <v>52366</v>
      </c>
      <c r="AM298" s="3">
        <f>IF(35&gt;$C298,"",IF($D298=1,EOMONTH(EDATE(Bonds!$H298,6*(35-1)),0),EDATE(Bonds!$H298,6*(35-1))))</f>
        <v>52550</v>
      </c>
      <c r="AN298" s="3" t="str">
        <f>IF(36&gt;$C298,"",IF($D298=1,EOMONTH(EDATE(Bonds!$H298,6*(36-1)),0),EDATE(Bonds!$H298,6*(36-1))))</f>
        <v/>
      </c>
      <c r="AO298" s="3" t="str">
        <f>IF(37&gt;$C298,"",IF($D298=1,EOMONTH(EDATE(Bonds!$H298,6*(37-1)),0),EDATE(Bonds!$H298,6*(37-1))))</f>
        <v/>
      </c>
      <c r="AP298" s="3" t="str">
        <f>IF(38&gt;$C298,"",IF($D298=1,EOMONTH(EDATE(Bonds!$H298,6*(38-1)),0),EDATE(Bonds!$H298,6*(38-1))))</f>
        <v/>
      </c>
      <c r="AQ298" s="3" t="str">
        <f>IF(39&gt;$C298,"",IF($D298=1,EOMONTH(EDATE(Bonds!$H298,6*(39-1)),0),EDATE(Bonds!$H298,6*(39-1))))</f>
        <v/>
      </c>
      <c r="AR298" s="3" t="str">
        <f>IF(40&gt;$C298,"",IF($D298=1,EOMONTH(EDATE(Bonds!$H298,6*(40-1)),0),EDATE(Bonds!$H298,6*(40-1))))</f>
        <v/>
      </c>
      <c r="AS298" s="3" t="str">
        <f>IF(41&gt;$C298,"",IF($D298=1,EOMONTH(EDATE(Bonds!$H298,6*(41-1)),0),EDATE(Bonds!$H298,6*(41-1))))</f>
        <v/>
      </c>
      <c r="AT298" s="3" t="str">
        <f>IF(42&gt;$C298,"",IF($D298=1,EOMONTH(EDATE(Bonds!$H298,6*(42-1)),0),EDATE(Bonds!$H298,6*(42-1))))</f>
        <v/>
      </c>
      <c r="AU298" s="3" t="str">
        <f>IF(43&gt;$C298,"",IF($D298=1,EOMONTH(EDATE(Bonds!$H298,6*(43-1)),0),EDATE(Bonds!$H298,6*(43-1))))</f>
        <v/>
      </c>
      <c r="AV298" s="3" t="str">
        <f>IF(44&gt;$C298,"",IF($D298=1,EOMONTH(EDATE(Bonds!$H298,6*(44-1)),0),EDATE(Bonds!$H298,6*(44-1))))</f>
        <v/>
      </c>
      <c r="AW298" s="3" t="str">
        <f>IF(45&gt;$C298,"",IF($D298=1,EOMONTH(EDATE(Bonds!$H298,6*(45-1)),0),EDATE(Bonds!$H298,6*(45-1))))</f>
        <v/>
      </c>
      <c r="AX298" s="3" t="str">
        <f>IF(46&gt;$C298,"",IF($D298=1,EOMONTH(EDATE(Bonds!$H298,6*(46-1)),0),EDATE(Bonds!$H298,6*(46-1))))</f>
        <v/>
      </c>
      <c r="AY298" s="3" t="str">
        <f>IF(47&gt;$C298,"",IF($D298=1,EOMONTH(EDATE(Bonds!$H298,6*(47-1)),0),EDATE(Bonds!$H298,6*(47-1))))</f>
        <v/>
      </c>
      <c r="AZ298" s="3" t="str">
        <f>IF(48&gt;$C298,"",IF($D298=1,EOMONTH(EDATE(Bonds!$H298,6*(48-1)),0),EDATE(Bonds!$H298,6*(48-1))))</f>
        <v/>
      </c>
      <c r="BA298" s="3" t="str">
        <f>IF(49&gt;$C298,"",IF($D298=1,EOMONTH(EDATE(Bonds!$H298,6*(49-1)),0),EDATE(Bonds!$H298,6*(49-1))))</f>
        <v/>
      </c>
      <c r="BB298" s="3" t="str">
        <f>IF(50&gt;$C298,"",IF($D298=1,EOMONTH(EDATE(Bonds!$H298,6*(50-1)),0),EDATE(Bonds!$H298,6*(50-1))))</f>
        <v/>
      </c>
      <c r="BC298" s="3" t="str">
        <f>IF(51&gt;$C298,"",IF($D298=1,EOMONTH(EDATE(Bonds!$H298,6*(51-1)),0),EDATE(Bonds!$H298,6*(51-1))))</f>
        <v/>
      </c>
      <c r="BD298" s="3" t="str">
        <f>IF(52&gt;$C298,"",IF($D298=1,EOMONTH(EDATE(Bonds!$H298,6*(52-1)),0),EDATE(Bonds!$H298,6*(52-1))))</f>
        <v/>
      </c>
      <c r="BE298" s="3" t="str">
        <f>IF(53&gt;$C298,"",IF($D298=1,EOMONTH(EDATE(Bonds!$H298,6*(53-1)),0),EDATE(Bonds!$H298,6*(53-1))))</f>
        <v/>
      </c>
      <c r="BF298" s="3" t="str">
        <f>IF(54&gt;$C298,"",IF($D298=1,EOMONTH(EDATE(Bonds!$H298,6*(54-1)),0),EDATE(Bonds!$H298,6*(54-1))))</f>
        <v/>
      </c>
      <c r="BG298" s="3" t="str">
        <f>IF(55&gt;$C298,"",IF($D298=1,EOMONTH(EDATE(Bonds!$H298,6*(55-1)),0),EDATE(Bonds!$H298,6*(55-1))))</f>
        <v/>
      </c>
      <c r="BH298" s="3" t="str">
        <f>IF(56&gt;$C298,"",IF($D298=1,EOMONTH(EDATE(Bonds!$H298,6*(56-1)),0),EDATE(Bonds!$H298,6*(56-1))))</f>
        <v/>
      </c>
      <c r="BI298" s="3" t="str">
        <f>IF(57&gt;$C298,"",IF($D298=1,EOMONTH(EDATE(Bonds!$H298,6*(57-1)),0),EDATE(Bonds!$H298,6*(57-1))))</f>
        <v/>
      </c>
      <c r="BJ298" s="3" t="str">
        <f>IF(58&gt;$C298,"",IF($D298=1,EOMONTH(EDATE(Bonds!$H298,6*(58-1)),0),EDATE(Bonds!$H298,6*(58-1))))</f>
        <v/>
      </c>
      <c r="BK298" s="3" t="str">
        <f>IF(59&gt;$C298,"",IF($D298=1,EOMONTH(EDATE(Bonds!$H298,6*(59-1)),0),EDATE(Bonds!$H298,6*(59-1))))</f>
        <v/>
      </c>
      <c r="BL298" s="3" t="str">
        <f>IF(60&gt;$C298,"",IF($D298=1,EOMONTH(EDATE(Bonds!$H298,6*(60-1)),0),EDATE(Bonds!$H298,6*(60-1))))</f>
        <v/>
      </c>
      <c r="BN298" s="7">
        <f t="shared" si="245"/>
        <v>2.3584357586750442</v>
      </c>
      <c r="BO298" s="7">
        <f t="shared" si="246"/>
        <v>2.3108108400686103</v>
      </c>
      <c r="BP298" s="7">
        <f t="shared" si="247"/>
        <v>2.2599094678053397</v>
      </c>
      <c r="BQ298" s="7">
        <f t="shared" si="248"/>
        <v>2.209220585936599</v>
      </c>
      <c r="BR298" s="7">
        <f t="shared" si="249"/>
        <v>2.1587038483336061</v>
      </c>
      <c r="BS298" s="7">
        <f t="shared" si="250"/>
        <v>2.1101447549131152</v>
      </c>
      <c r="BT298" s="7">
        <f t="shared" si="251"/>
        <v>2.0620045674602818</v>
      </c>
      <c r="BU298" s="7">
        <f t="shared" si="252"/>
        <v>2.0157476336715985</v>
      </c>
      <c r="BV298" s="7">
        <f t="shared" si="253"/>
        <v>1.9696606488019894</v>
      </c>
      <c r="BW298" s="7">
        <f t="shared" si="254"/>
        <v>1.9250593715232645</v>
      </c>
      <c r="BX298" s="7">
        <f t="shared" si="255"/>
        <v>1.8802951836452992</v>
      </c>
      <c r="BY298" s="7">
        <f t="shared" si="256"/>
        <v>1.8364565382717781</v>
      </c>
      <c r="BZ298" s="7">
        <f t="shared" si="257"/>
        <v>1.7924854566853714</v>
      </c>
      <c r="CA298" s="7">
        <f t="shared" si="258"/>
        <v>1.7495195400711905</v>
      </c>
      <c r="CB298" s="7">
        <f t="shared" si="259"/>
        <v>1.7061127814937318</v>
      </c>
      <c r="CC298" s="7">
        <f t="shared" si="260"/>
        <v>1.6636865399382703</v>
      </c>
      <c r="CD298" s="7">
        <f t="shared" si="261"/>
        <v>1.6208620113914407</v>
      </c>
      <c r="CE298" s="7">
        <f t="shared" si="262"/>
        <v>1.5790779853362651</v>
      </c>
      <c r="CF298" s="7">
        <f t="shared" si="263"/>
        <v>1.5370031152678882</v>
      </c>
      <c r="CG298" s="7">
        <f t="shared" si="264"/>
        <v>1.4958431640121164</v>
      </c>
      <c r="CH298" s="7">
        <f t="shared" si="265"/>
        <v>1.4547561554322603</v>
      </c>
      <c r="CI298" s="7">
        <f t="shared" si="266"/>
        <v>1.4149151085633698</v>
      </c>
      <c r="CJ298" s="7">
        <f t="shared" si="267"/>
        <v>1.3750588693129928</v>
      </c>
      <c r="CK298" s="7">
        <f t="shared" si="268"/>
        <v>1.3365414061209822</v>
      </c>
      <c r="CL298" s="7">
        <f t="shared" si="269"/>
        <v>1.2981363109679245</v>
      </c>
      <c r="CM298" s="7">
        <f t="shared" si="270"/>
        <v>1.2611396082221262</v>
      </c>
      <c r="CN298" s="7">
        <f t="shared" si="271"/>
        <v>1.2243634315826639</v>
      </c>
      <c r="CO298" s="7">
        <f t="shared" si="272"/>
        <v>1.188845871334246</v>
      </c>
      <c r="CP298" s="7">
        <f t="shared" si="273"/>
        <v>1.1538326416834548</v>
      </c>
      <c r="CQ298" s="7">
        <f t="shared" si="274"/>
        <v>1.1202878170475707</v>
      </c>
      <c r="CR298" s="7">
        <f t="shared" si="275"/>
        <v>1.0871141333382905</v>
      </c>
      <c r="CS298" s="7">
        <f t="shared" si="276"/>
        <v>1.0554026666419734</v>
      </c>
      <c r="CT298" s="7">
        <f t="shared" si="277"/>
        <v>1.0241069768408577</v>
      </c>
      <c r="CU298" s="7">
        <f t="shared" si="278"/>
        <v>0.99424801101643179</v>
      </c>
      <c r="CV298" s="7">
        <f t="shared" si="279"/>
        <v>41.589360315846811</v>
      </c>
      <c r="CW298" s="7">
        <f t="shared" si="280"/>
        <v>0</v>
      </c>
      <c r="CX298" s="7">
        <f t="shared" si="281"/>
        <v>0</v>
      </c>
      <c r="CY298" s="7">
        <f t="shared" si="282"/>
        <v>0</v>
      </c>
      <c r="CZ298" s="7">
        <f t="shared" si="283"/>
        <v>0</v>
      </c>
      <c r="DA298" s="7">
        <f t="shared" si="284"/>
        <v>0</v>
      </c>
      <c r="DB298" s="7">
        <f t="shared" si="285"/>
        <v>0</v>
      </c>
      <c r="DC298" s="7">
        <f t="shared" si="286"/>
        <v>0</v>
      </c>
      <c r="DD298" s="7">
        <f t="shared" si="287"/>
        <v>0</v>
      </c>
      <c r="DE298" s="7">
        <f t="shared" si="288"/>
        <v>0</v>
      </c>
      <c r="DF298" s="7">
        <f t="shared" si="289"/>
        <v>0</v>
      </c>
      <c r="DG298" s="7">
        <f t="shared" si="290"/>
        <v>0</v>
      </c>
      <c r="DH298" s="7">
        <f t="shared" si="291"/>
        <v>0</v>
      </c>
      <c r="DI298" s="7">
        <f t="shared" si="292"/>
        <v>0</v>
      </c>
      <c r="DJ298" s="7">
        <f t="shared" si="293"/>
        <v>0</v>
      </c>
      <c r="DK298" s="7">
        <f t="shared" si="294"/>
        <v>0</v>
      </c>
      <c r="DL298" s="7">
        <f t="shared" si="295"/>
        <v>0</v>
      </c>
      <c r="DM298" s="7">
        <f t="shared" si="296"/>
        <v>0</v>
      </c>
      <c r="DN298" s="7">
        <f t="shared" si="297"/>
        <v>0</v>
      </c>
      <c r="DO298" s="7">
        <f t="shared" si="298"/>
        <v>0</v>
      </c>
      <c r="DP298" s="7">
        <f t="shared" si="299"/>
        <v>0</v>
      </c>
      <c r="DQ298" s="7">
        <f t="shared" si="300"/>
        <v>0</v>
      </c>
      <c r="DR298" s="7">
        <f t="shared" si="301"/>
        <v>0</v>
      </c>
      <c r="DS298" s="7">
        <f t="shared" si="302"/>
        <v>0</v>
      </c>
      <c r="DT298" s="7">
        <f t="shared" si="303"/>
        <v>0</v>
      </c>
      <c r="DU298" s="7">
        <f t="shared" si="304"/>
        <v>0</v>
      </c>
    </row>
    <row r="299" spans="1:125" x14ac:dyDescent="0.2">
      <c r="A299" s="3">
        <f>Bonds!A299</f>
        <v>52642</v>
      </c>
      <c r="B299" s="4">
        <f>Bonds!B299</f>
        <v>3.625</v>
      </c>
      <c r="C299">
        <f>Bonds!P299</f>
        <v>35</v>
      </c>
      <c r="D299">
        <f t="shared" si="244"/>
        <v>0</v>
      </c>
      <c r="E299" s="3">
        <f>IF(1&gt;$C299,"",IF($D299=1,EOMONTH(EDATE(Bonds!$H299,6*(1-1)),0),EDATE(Bonds!$H299,6*(1-1))))</f>
        <v>46433</v>
      </c>
      <c r="F299" s="3">
        <f>IF(2&gt;$C299,"",IF($D299=1,EOMONTH(EDATE(Bonds!$H299,6*(2-1)),0),EDATE(Bonds!$H299,6*(2-1))))</f>
        <v>46614</v>
      </c>
      <c r="G299" s="3">
        <f>IF(3&gt;$C299,"",IF($D299=1,EOMONTH(EDATE(Bonds!$H299,6*(3-1)),0),EDATE(Bonds!$H299,6*(3-1))))</f>
        <v>46798</v>
      </c>
      <c r="H299" s="3">
        <f>IF(4&gt;$C299,"",IF($D299=1,EOMONTH(EDATE(Bonds!$H299,6*(4-1)),0),EDATE(Bonds!$H299,6*(4-1))))</f>
        <v>46980</v>
      </c>
      <c r="I299" s="3">
        <f>IF(5&gt;$C299,"",IF($D299=1,EOMONTH(EDATE(Bonds!$H299,6*(5-1)),0),EDATE(Bonds!$H299,6*(5-1))))</f>
        <v>47164</v>
      </c>
      <c r="J299" s="3">
        <f>IF(6&gt;$C299,"",IF($D299=1,EOMONTH(EDATE(Bonds!$H299,6*(6-1)),0),EDATE(Bonds!$H299,6*(6-1))))</f>
        <v>47345</v>
      </c>
      <c r="K299" s="3">
        <f>IF(7&gt;$C299,"",IF($D299=1,EOMONTH(EDATE(Bonds!$H299,6*(7-1)),0),EDATE(Bonds!$H299,6*(7-1))))</f>
        <v>47529</v>
      </c>
      <c r="L299" s="3">
        <f>IF(8&gt;$C299,"",IF($D299=1,EOMONTH(EDATE(Bonds!$H299,6*(8-1)),0),EDATE(Bonds!$H299,6*(8-1))))</f>
        <v>47710</v>
      </c>
      <c r="M299" s="3">
        <f>IF(9&gt;$C299,"",IF($D299=1,EOMONTH(EDATE(Bonds!$H299,6*(9-1)),0),EDATE(Bonds!$H299,6*(9-1))))</f>
        <v>47894</v>
      </c>
      <c r="N299" s="3">
        <f>IF(10&gt;$C299,"",IF($D299=1,EOMONTH(EDATE(Bonds!$H299,6*(10-1)),0),EDATE(Bonds!$H299,6*(10-1))))</f>
        <v>48075</v>
      </c>
      <c r="O299" s="3">
        <f>IF(11&gt;$C299,"",IF($D299=1,EOMONTH(EDATE(Bonds!$H299,6*(11-1)),0),EDATE(Bonds!$H299,6*(11-1))))</f>
        <v>48259</v>
      </c>
      <c r="P299" s="3">
        <f>IF(12&gt;$C299,"",IF($D299=1,EOMONTH(EDATE(Bonds!$H299,6*(12-1)),0),EDATE(Bonds!$H299,6*(12-1))))</f>
        <v>48441</v>
      </c>
      <c r="Q299" s="3">
        <f>IF(13&gt;$C299,"",IF($D299=1,EOMONTH(EDATE(Bonds!$H299,6*(13-1)),0),EDATE(Bonds!$H299,6*(13-1))))</f>
        <v>48625</v>
      </c>
      <c r="R299" s="3">
        <f>IF(14&gt;$C299,"",IF($D299=1,EOMONTH(EDATE(Bonds!$H299,6*(14-1)),0),EDATE(Bonds!$H299,6*(14-1))))</f>
        <v>48806</v>
      </c>
      <c r="S299" s="3">
        <f>IF(15&gt;$C299,"",IF($D299=1,EOMONTH(EDATE(Bonds!$H299,6*(15-1)),0),EDATE(Bonds!$H299,6*(15-1))))</f>
        <v>48990</v>
      </c>
      <c r="T299" s="3">
        <f>IF(16&gt;$C299,"",IF($D299=1,EOMONTH(EDATE(Bonds!$H299,6*(16-1)),0),EDATE(Bonds!$H299,6*(16-1))))</f>
        <v>49171</v>
      </c>
      <c r="U299" s="3">
        <f>IF(17&gt;$C299,"",IF($D299=1,EOMONTH(EDATE(Bonds!$H299,6*(17-1)),0),EDATE(Bonds!$H299,6*(17-1))))</f>
        <v>49355</v>
      </c>
      <c r="V299" s="3">
        <f>IF(18&gt;$C299,"",IF($D299=1,EOMONTH(EDATE(Bonds!$H299,6*(18-1)),0),EDATE(Bonds!$H299,6*(18-1))))</f>
        <v>49536</v>
      </c>
      <c r="W299" s="3">
        <f>IF(19&gt;$C299,"",IF($D299=1,EOMONTH(EDATE(Bonds!$H299,6*(19-1)),0),EDATE(Bonds!$H299,6*(19-1))))</f>
        <v>49720</v>
      </c>
      <c r="X299" s="3">
        <f>IF(20&gt;$C299,"",IF($D299=1,EOMONTH(EDATE(Bonds!$H299,6*(20-1)),0),EDATE(Bonds!$H299,6*(20-1))))</f>
        <v>49902</v>
      </c>
      <c r="Y299" s="3">
        <f>IF(21&gt;$C299,"",IF($D299=1,EOMONTH(EDATE(Bonds!$H299,6*(21-1)),0),EDATE(Bonds!$H299,6*(21-1))))</f>
        <v>50086</v>
      </c>
      <c r="Z299" s="3">
        <f>IF(22&gt;$C299,"",IF($D299=1,EOMONTH(EDATE(Bonds!$H299,6*(22-1)),0),EDATE(Bonds!$H299,6*(22-1))))</f>
        <v>50267</v>
      </c>
      <c r="AA299" s="3">
        <f>IF(23&gt;$C299,"",IF($D299=1,EOMONTH(EDATE(Bonds!$H299,6*(23-1)),0),EDATE(Bonds!$H299,6*(23-1))))</f>
        <v>50451</v>
      </c>
      <c r="AB299" s="3">
        <f>IF(24&gt;$C299,"",IF($D299=1,EOMONTH(EDATE(Bonds!$H299,6*(24-1)),0),EDATE(Bonds!$H299,6*(24-1))))</f>
        <v>50632</v>
      </c>
      <c r="AC299" s="3">
        <f>IF(25&gt;$C299,"",IF($D299=1,EOMONTH(EDATE(Bonds!$H299,6*(25-1)),0),EDATE(Bonds!$H299,6*(25-1))))</f>
        <v>50816</v>
      </c>
      <c r="AD299" s="3">
        <f>IF(26&gt;$C299,"",IF($D299=1,EOMONTH(EDATE(Bonds!$H299,6*(26-1)),0),EDATE(Bonds!$H299,6*(26-1))))</f>
        <v>50997</v>
      </c>
      <c r="AE299" s="3">
        <f>IF(27&gt;$C299,"",IF($D299=1,EOMONTH(EDATE(Bonds!$H299,6*(27-1)),0),EDATE(Bonds!$H299,6*(27-1))))</f>
        <v>51181</v>
      </c>
      <c r="AF299" s="3">
        <f>IF(28&gt;$C299,"",IF($D299=1,EOMONTH(EDATE(Bonds!$H299,6*(28-1)),0),EDATE(Bonds!$H299,6*(28-1))))</f>
        <v>51363</v>
      </c>
      <c r="AG299" s="3">
        <f>IF(29&gt;$C299,"",IF($D299=1,EOMONTH(EDATE(Bonds!$H299,6*(29-1)),0),EDATE(Bonds!$H299,6*(29-1))))</f>
        <v>51547</v>
      </c>
      <c r="AH299" s="3">
        <f>IF(30&gt;$C299,"",IF($D299=1,EOMONTH(EDATE(Bonds!$H299,6*(30-1)),0),EDATE(Bonds!$H299,6*(30-1))))</f>
        <v>51728</v>
      </c>
      <c r="AI299" s="3">
        <f>IF(31&gt;$C299,"",IF($D299=1,EOMONTH(EDATE(Bonds!$H299,6*(31-1)),0),EDATE(Bonds!$H299,6*(31-1))))</f>
        <v>51912</v>
      </c>
      <c r="AJ299" s="3">
        <f>IF(32&gt;$C299,"",IF($D299=1,EOMONTH(EDATE(Bonds!$H299,6*(32-1)),0),EDATE(Bonds!$H299,6*(32-1))))</f>
        <v>52093</v>
      </c>
      <c r="AK299" s="3">
        <f>IF(33&gt;$C299,"",IF($D299=1,EOMONTH(EDATE(Bonds!$H299,6*(33-1)),0),EDATE(Bonds!$H299,6*(33-1))))</f>
        <v>52277</v>
      </c>
      <c r="AL299" s="3">
        <f>IF(34&gt;$C299,"",IF($D299=1,EOMONTH(EDATE(Bonds!$H299,6*(34-1)),0),EDATE(Bonds!$H299,6*(34-1))))</f>
        <v>52458</v>
      </c>
      <c r="AM299" s="3">
        <f>IF(35&gt;$C299,"",IF($D299=1,EOMONTH(EDATE(Bonds!$H299,6*(35-1)),0),EDATE(Bonds!$H299,6*(35-1))))</f>
        <v>52642</v>
      </c>
      <c r="AN299" s="3" t="str">
        <f>IF(36&gt;$C299,"",IF($D299=1,EOMONTH(EDATE(Bonds!$H299,6*(36-1)),0),EDATE(Bonds!$H299,6*(36-1))))</f>
        <v/>
      </c>
      <c r="AO299" s="3" t="str">
        <f>IF(37&gt;$C299,"",IF($D299=1,EOMONTH(EDATE(Bonds!$H299,6*(37-1)),0),EDATE(Bonds!$H299,6*(37-1))))</f>
        <v/>
      </c>
      <c r="AP299" s="3" t="str">
        <f>IF(38&gt;$C299,"",IF($D299=1,EOMONTH(EDATE(Bonds!$H299,6*(38-1)),0),EDATE(Bonds!$H299,6*(38-1))))</f>
        <v/>
      </c>
      <c r="AQ299" s="3" t="str">
        <f>IF(39&gt;$C299,"",IF($D299=1,EOMONTH(EDATE(Bonds!$H299,6*(39-1)),0),EDATE(Bonds!$H299,6*(39-1))))</f>
        <v/>
      </c>
      <c r="AR299" s="3" t="str">
        <f>IF(40&gt;$C299,"",IF($D299=1,EOMONTH(EDATE(Bonds!$H299,6*(40-1)),0),EDATE(Bonds!$H299,6*(40-1))))</f>
        <v/>
      </c>
      <c r="AS299" s="3" t="str">
        <f>IF(41&gt;$C299,"",IF($D299=1,EOMONTH(EDATE(Bonds!$H299,6*(41-1)),0),EDATE(Bonds!$H299,6*(41-1))))</f>
        <v/>
      </c>
      <c r="AT299" s="3" t="str">
        <f>IF(42&gt;$C299,"",IF($D299=1,EOMONTH(EDATE(Bonds!$H299,6*(42-1)),0),EDATE(Bonds!$H299,6*(42-1))))</f>
        <v/>
      </c>
      <c r="AU299" s="3" t="str">
        <f>IF(43&gt;$C299,"",IF($D299=1,EOMONTH(EDATE(Bonds!$H299,6*(43-1)),0),EDATE(Bonds!$H299,6*(43-1))))</f>
        <v/>
      </c>
      <c r="AV299" s="3" t="str">
        <f>IF(44&gt;$C299,"",IF($D299=1,EOMONTH(EDATE(Bonds!$H299,6*(44-1)),0),EDATE(Bonds!$H299,6*(44-1))))</f>
        <v/>
      </c>
      <c r="AW299" s="3" t="str">
        <f>IF(45&gt;$C299,"",IF($D299=1,EOMONTH(EDATE(Bonds!$H299,6*(45-1)),0),EDATE(Bonds!$H299,6*(45-1))))</f>
        <v/>
      </c>
      <c r="AX299" s="3" t="str">
        <f>IF(46&gt;$C299,"",IF($D299=1,EOMONTH(EDATE(Bonds!$H299,6*(46-1)),0),EDATE(Bonds!$H299,6*(46-1))))</f>
        <v/>
      </c>
      <c r="AY299" s="3" t="str">
        <f>IF(47&gt;$C299,"",IF($D299=1,EOMONTH(EDATE(Bonds!$H299,6*(47-1)),0),EDATE(Bonds!$H299,6*(47-1))))</f>
        <v/>
      </c>
      <c r="AZ299" s="3" t="str">
        <f>IF(48&gt;$C299,"",IF($D299=1,EOMONTH(EDATE(Bonds!$H299,6*(48-1)),0),EDATE(Bonds!$H299,6*(48-1))))</f>
        <v/>
      </c>
      <c r="BA299" s="3" t="str">
        <f>IF(49&gt;$C299,"",IF($D299=1,EOMONTH(EDATE(Bonds!$H299,6*(49-1)),0),EDATE(Bonds!$H299,6*(49-1))))</f>
        <v/>
      </c>
      <c r="BB299" s="3" t="str">
        <f>IF(50&gt;$C299,"",IF($D299=1,EOMONTH(EDATE(Bonds!$H299,6*(50-1)),0),EDATE(Bonds!$H299,6*(50-1))))</f>
        <v/>
      </c>
      <c r="BC299" s="3" t="str">
        <f>IF(51&gt;$C299,"",IF($D299=1,EOMONTH(EDATE(Bonds!$H299,6*(51-1)),0),EDATE(Bonds!$H299,6*(51-1))))</f>
        <v/>
      </c>
      <c r="BD299" s="3" t="str">
        <f>IF(52&gt;$C299,"",IF($D299=1,EOMONTH(EDATE(Bonds!$H299,6*(52-1)),0),EDATE(Bonds!$H299,6*(52-1))))</f>
        <v/>
      </c>
      <c r="BE299" s="3" t="str">
        <f>IF(53&gt;$C299,"",IF($D299=1,EOMONTH(EDATE(Bonds!$H299,6*(53-1)),0),EDATE(Bonds!$H299,6*(53-1))))</f>
        <v/>
      </c>
      <c r="BF299" s="3" t="str">
        <f>IF(54&gt;$C299,"",IF($D299=1,EOMONTH(EDATE(Bonds!$H299,6*(54-1)),0),EDATE(Bonds!$H299,6*(54-1))))</f>
        <v/>
      </c>
      <c r="BG299" s="3" t="str">
        <f>IF(55&gt;$C299,"",IF($D299=1,EOMONTH(EDATE(Bonds!$H299,6*(55-1)),0),EDATE(Bonds!$H299,6*(55-1))))</f>
        <v/>
      </c>
      <c r="BH299" s="3" t="str">
        <f>IF(56&gt;$C299,"",IF($D299=1,EOMONTH(EDATE(Bonds!$H299,6*(56-1)),0),EDATE(Bonds!$H299,6*(56-1))))</f>
        <v/>
      </c>
      <c r="BI299" s="3" t="str">
        <f>IF(57&gt;$C299,"",IF($D299=1,EOMONTH(EDATE(Bonds!$H299,6*(57-1)),0),EDATE(Bonds!$H299,6*(57-1))))</f>
        <v/>
      </c>
      <c r="BJ299" s="3" t="str">
        <f>IF(58&gt;$C299,"",IF($D299=1,EOMONTH(EDATE(Bonds!$H299,6*(58-1)),0),EDATE(Bonds!$H299,6*(58-1))))</f>
        <v/>
      </c>
      <c r="BK299" s="3" t="str">
        <f>IF(59&gt;$C299,"",IF($D299=1,EOMONTH(EDATE(Bonds!$H299,6*(59-1)),0),EDATE(Bonds!$H299,6*(59-1))))</f>
        <v/>
      </c>
      <c r="BL299" s="3" t="str">
        <f>IF(60&gt;$C299,"",IF($D299=1,EOMONTH(EDATE(Bonds!$H299,6*(60-1)),0),EDATE(Bonds!$H299,6*(60-1))))</f>
        <v/>
      </c>
      <c r="BN299" s="7">
        <f t="shared" si="245"/>
        <v>1.7817590616343448</v>
      </c>
      <c r="BO299" s="7">
        <f t="shared" si="246"/>
        <v>1.7442025673483914</v>
      </c>
      <c r="BP299" s="7">
        <f t="shared" si="247"/>
        <v>1.705080570455217</v>
      </c>
      <c r="BQ299" s="7">
        <f t="shared" si="248"/>
        <v>1.6666091065746937</v>
      </c>
      <c r="BR299" s="7">
        <f t="shared" si="249"/>
        <v>1.6284807109963901</v>
      </c>
      <c r="BS299" s="7">
        <f t="shared" si="250"/>
        <v>1.5918897676226629</v>
      </c>
      <c r="BT299" s="7">
        <f t="shared" si="251"/>
        <v>1.5555957689320501</v>
      </c>
      <c r="BU299" s="7">
        <f t="shared" si="252"/>
        <v>1.5206671282467896</v>
      </c>
      <c r="BV299" s="7">
        <f t="shared" si="253"/>
        <v>1.4858001361309601</v>
      </c>
      <c r="BW299" s="7">
        <f t="shared" si="254"/>
        <v>1.4519948851608773</v>
      </c>
      <c r="BX299" s="7">
        <f t="shared" si="255"/>
        <v>1.4180139069213546</v>
      </c>
      <c r="BY299" s="7">
        <f t="shared" si="256"/>
        <v>1.3846976838176495</v>
      </c>
      <c r="BZ299" s="7">
        <f t="shared" si="257"/>
        <v>1.351257092570757</v>
      </c>
      <c r="CA299" s="7">
        <f t="shared" si="258"/>
        <v>1.3185706014184457</v>
      </c>
      <c r="CB299" s="7">
        <f t="shared" si="259"/>
        <v>1.2855493828489646</v>
      </c>
      <c r="CC299" s="7">
        <f t="shared" si="260"/>
        <v>1.2532834143233433</v>
      </c>
      <c r="CD299" s="7">
        <f t="shared" si="261"/>
        <v>1.2207307251306261</v>
      </c>
      <c r="CE299" s="7">
        <f t="shared" si="262"/>
        <v>1.1889895217267561</v>
      </c>
      <c r="CF299" s="7">
        <f t="shared" si="263"/>
        <v>1.1570513597182601</v>
      </c>
      <c r="CG299" s="7">
        <f t="shared" si="264"/>
        <v>1.1258331976833005</v>
      </c>
      <c r="CH299" s="7">
        <f t="shared" si="265"/>
        <v>1.0946968339598935</v>
      </c>
      <c r="CI299" s="7">
        <f t="shared" si="266"/>
        <v>1.0645305450351112</v>
      </c>
      <c r="CJ299" s="7">
        <f t="shared" si="267"/>
        <v>1.0343783564119025</v>
      </c>
      <c r="CK299" s="7">
        <f t="shared" si="268"/>
        <v>1.0052630981388371</v>
      </c>
      <c r="CL299" s="7">
        <f t="shared" si="269"/>
        <v>0.97625592748497092</v>
      </c>
      <c r="CM299" s="7">
        <f t="shared" si="270"/>
        <v>0.94833378898067022</v>
      </c>
      <c r="CN299" s="7">
        <f t="shared" si="271"/>
        <v>0.92059811324192764</v>
      </c>
      <c r="CO299" s="7">
        <f t="shared" si="272"/>
        <v>0.89382991378358478</v>
      </c>
      <c r="CP299" s="7">
        <f t="shared" si="273"/>
        <v>0.86745866013909234</v>
      </c>
      <c r="CQ299" s="7">
        <f t="shared" si="274"/>
        <v>0.84220839717673079</v>
      </c>
      <c r="CR299" s="7">
        <f t="shared" si="275"/>
        <v>0.8172512983018857</v>
      </c>
      <c r="CS299" s="7">
        <f t="shared" si="276"/>
        <v>0.79340646523966252</v>
      </c>
      <c r="CT299" s="7">
        <f t="shared" si="277"/>
        <v>0.76988539521332455</v>
      </c>
      <c r="CU299" s="7">
        <f t="shared" si="278"/>
        <v>0.7474539105243696</v>
      </c>
      <c r="CV299" s="7">
        <f t="shared" si="279"/>
        <v>40.74547141577257</v>
      </c>
      <c r="CW299" s="7">
        <f t="shared" si="280"/>
        <v>0</v>
      </c>
      <c r="CX299" s="7">
        <f t="shared" si="281"/>
        <v>0</v>
      </c>
      <c r="CY299" s="7">
        <f t="shared" si="282"/>
        <v>0</v>
      </c>
      <c r="CZ299" s="7">
        <f t="shared" si="283"/>
        <v>0</v>
      </c>
      <c r="DA299" s="7">
        <f t="shared" si="284"/>
        <v>0</v>
      </c>
      <c r="DB299" s="7">
        <f t="shared" si="285"/>
        <v>0</v>
      </c>
      <c r="DC299" s="7">
        <f t="shared" si="286"/>
        <v>0</v>
      </c>
      <c r="DD299" s="7">
        <f t="shared" si="287"/>
        <v>0</v>
      </c>
      <c r="DE299" s="7">
        <f t="shared" si="288"/>
        <v>0</v>
      </c>
      <c r="DF299" s="7">
        <f t="shared" si="289"/>
        <v>0</v>
      </c>
      <c r="DG299" s="7">
        <f t="shared" si="290"/>
        <v>0</v>
      </c>
      <c r="DH299" s="7">
        <f t="shared" si="291"/>
        <v>0</v>
      </c>
      <c r="DI299" s="7">
        <f t="shared" si="292"/>
        <v>0</v>
      </c>
      <c r="DJ299" s="7">
        <f t="shared" si="293"/>
        <v>0</v>
      </c>
      <c r="DK299" s="7">
        <f t="shared" si="294"/>
        <v>0</v>
      </c>
      <c r="DL299" s="7">
        <f t="shared" si="295"/>
        <v>0</v>
      </c>
      <c r="DM299" s="7">
        <f t="shared" si="296"/>
        <v>0</v>
      </c>
      <c r="DN299" s="7">
        <f t="shared" si="297"/>
        <v>0</v>
      </c>
      <c r="DO299" s="7">
        <f t="shared" si="298"/>
        <v>0</v>
      </c>
      <c r="DP299" s="7">
        <f t="shared" si="299"/>
        <v>0</v>
      </c>
      <c r="DQ299" s="7">
        <f t="shared" si="300"/>
        <v>0</v>
      </c>
      <c r="DR299" s="7">
        <f t="shared" si="301"/>
        <v>0</v>
      </c>
      <c r="DS299" s="7">
        <f t="shared" si="302"/>
        <v>0</v>
      </c>
      <c r="DT299" s="7">
        <f t="shared" si="303"/>
        <v>0</v>
      </c>
      <c r="DU299" s="7">
        <f t="shared" si="304"/>
        <v>0</v>
      </c>
    </row>
    <row r="300" spans="1:125" x14ac:dyDescent="0.2">
      <c r="A300" s="3">
        <f>Bonds!A300</f>
        <v>52642</v>
      </c>
      <c r="B300" s="4">
        <f>Bonds!B300</f>
        <v>4.5</v>
      </c>
      <c r="C300">
        <f>Bonds!P300</f>
        <v>35</v>
      </c>
      <c r="D300">
        <f t="shared" si="244"/>
        <v>0</v>
      </c>
      <c r="E300" s="3">
        <f>IF(1&gt;$C300,"",IF($D300=1,EOMONTH(EDATE(Bonds!$H300,6*(1-1)),0),EDATE(Bonds!$H300,6*(1-1))))</f>
        <v>46433</v>
      </c>
      <c r="F300" s="3">
        <f>IF(2&gt;$C300,"",IF($D300=1,EOMONTH(EDATE(Bonds!$H300,6*(2-1)),0),EDATE(Bonds!$H300,6*(2-1))))</f>
        <v>46614</v>
      </c>
      <c r="G300" s="3">
        <f>IF(3&gt;$C300,"",IF($D300=1,EOMONTH(EDATE(Bonds!$H300,6*(3-1)),0),EDATE(Bonds!$H300,6*(3-1))))</f>
        <v>46798</v>
      </c>
      <c r="H300" s="3">
        <f>IF(4&gt;$C300,"",IF($D300=1,EOMONTH(EDATE(Bonds!$H300,6*(4-1)),0),EDATE(Bonds!$H300,6*(4-1))))</f>
        <v>46980</v>
      </c>
      <c r="I300" s="3">
        <f>IF(5&gt;$C300,"",IF($D300=1,EOMONTH(EDATE(Bonds!$H300,6*(5-1)),0),EDATE(Bonds!$H300,6*(5-1))))</f>
        <v>47164</v>
      </c>
      <c r="J300" s="3">
        <f>IF(6&gt;$C300,"",IF($D300=1,EOMONTH(EDATE(Bonds!$H300,6*(6-1)),0),EDATE(Bonds!$H300,6*(6-1))))</f>
        <v>47345</v>
      </c>
      <c r="K300" s="3">
        <f>IF(7&gt;$C300,"",IF($D300=1,EOMONTH(EDATE(Bonds!$H300,6*(7-1)),0),EDATE(Bonds!$H300,6*(7-1))))</f>
        <v>47529</v>
      </c>
      <c r="L300" s="3">
        <f>IF(8&gt;$C300,"",IF($D300=1,EOMONTH(EDATE(Bonds!$H300,6*(8-1)),0),EDATE(Bonds!$H300,6*(8-1))))</f>
        <v>47710</v>
      </c>
      <c r="M300" s="3">
        <f>IF(9&gt;$C300,"",IF($D300=1,EOMONTH(EDATE(Bonds!$H300,6*(9-1)),0),EDATE(Bonds!$H300,6*(9-1))))</f>
        <v>47894</v>
      </c>
      <c r="N300" s="3">
        <f>IF(10&gt;$C300,"",IF($D300=1,EOMONTH(EDATE(Bonds!$H300,6*(10-1)),0),EDATE(Bonds!$H300,6*(10-1))))</f>
        <v>48075</v>
      </c>
      <c r="O300" s="3">
        <f>IF(11&gt;$C300,"",IF($D300=1,EOMONTH(EDATE(Bonds!$H300,6*(11-1)),0),EDATE(Bonds!$H300,6*(11-1))))</f>
        <v>48259</v>
      </c>
      <c r="P300" s="3">
        <f>IF(12&gt;$C300,"",IF($D300=1,EOMONTH(EDATE(Bonds!$H300,6*(12-1)),0),EDATE(Bonds!$H300,6*(12-1))))</f>
        <v>48441</v>
      </c>
      <c r="Q300" s="3">
        <f>IF(13&gt;$C300,"",IF($D300=1,EOMONTH(EDATE(Bonds!$H300,6*(13-1)),0),EDATE(Bonds!$H300,6*(13-1))))</f>
        <v>48625</v>
      </c>
      <c r="R300" s="3">
        <f>IF(14&gt;$C300,"",IF($D300=1,EOMONTH(EDATE(Bonds!$H300,6*(14-1)),0),EDATE(Bonds!$H300,6*(14-1))))</f>
        <v>48806</v>
      </c>
      <c r="S300" s="3">
        <f>IF(15&gt;$C300,"",IF($D300=1,EOMONTH(EDATE(Bonds!$H300,6*(15-1)),0),EDATE(Bonds!$H300,6*(15-1))))</f>
        <v>48990</v>
      </c>
      <c r="T300" s="3">
        <f>IF(16&gt;$C300,"",IF($D300=1,EOMONTH(EDATE(Bonds!$H300,6*(16-1)),0),EDATE(Bonds!$H300,6*(16-1))))</f>
        <v>49171</v>
      </c>
      <c r="U300" s="3">
        <f>IF(17&gt;$C300,"",IF($D300=1,EOMONTH(EDATE(Bonds!$H300,6*(17-1)),0),EDATE(Bonds!$H300,6*(17-1))))</f>
        <v>49355</v>
      </c>
      <c r="V300" s="3">
        <f>IF(18&gt;$C300,"",IF($D300=1,EOMONTH(EDATE(Bonds!$H300,6*(18-1)),0),EDATE(Bonds!$H300,6*(18-1))))</f>
        <v>49536</v>
      </c>
      <c r="W300" s="3">
        <f>IF(19&gt;$C300,"",IF($D300=1,EOMONTH(EDATE(Bonds!$H300,6*(19-1)),0),EDATE(Bonds!$H300,6*(19-1))))</f>
        <v>49720</v>
      </c>
      <c r="X300" s="3">
        <f>IF(20&gt;$C300,"",IF($D300=1,EOMONTH(EDATE(Bonds!$H300,6*(20-1)),0),EDATE(Bonds!$H300,6*(20-1))))</f>
        <v>49902</v>
      </c>
      <c r="Y300" s="3">
        <f>IF(21&gt;$C300,"",IF($D300=1,EOMONTH(EDATE(Bonds!$H300,6*(21-1)),0),EDATE(Bonds!$H300,6*(21-1))))</f>
        <v>50086</v>
      </c>
      <c r="Z300" s="3">
        <f>IF(22&gt;$C300,"",IF($D300=1,EOMONTH(EDATE(Bonds!$H300,6*(22-1)),0),EDATE(Bonds!$H300,6*(22-1))))</f>
        <v>50267</v>
      </c>
      <c r="AA300" s="3">
        <f>IF(23&gt;$C300,"",IF($D300=1,EOMONTH(EDATE(Bonds!$H300,6*(23-1)),0),EDATE(Bonds!$H300,6*(23-1))))</f>
        <v>50451</v>
      </c>
      <c r="AB300" s="3">
        <f>IF(24&gt;$C300,"",IF($D300=1,EOMONTH(EDATE(Bonds!$H300,6*(24-1)),0),EDATE(Bonds!$H300,6*(24-1))))</f>
        <v>50632</v>
      </c>
      <c r="AC300" s="3">
        <f>IF(25&gt;$C300,"",IF($D300=1,EOMONTH(EDATE(Bonds!$H300,6*(25-1)),0),EDATE(Bonds!$H300,6*(25-1))))</f>
        <v>50816</v>
      </c>
      <c r="AD300" s="3">
        <f>IF(26&gt;$C300,"",IF($D300=1,EOMONTH(EDATE(Bonds!$H300,6*(26-1)),0),EDATE(Bonds!$H300,6*(26-1))))</f>
        <v>50997</v>
      </c>
      <c r="AE300" s="3">
        <f>IF(27&gt;$C300,"",IF($D300=1,EOMONTH(EDATE(Bonds!$H300,6*(27-1)),0),EDATE(Bonds!$H300,6*(27-1))))</f>
        <v>51181</v>
      </c>
      <c r="AF300" s="3">
        <f>IF(28&gt;$C300,"",IF($D300=1,EOMONTH(EDATE(Bonds!$H300,6*(28-1)),0),EDATE(Bonds!$H300,6*(28-1))))</f>
        <v>51363</v>
      </c>
      <c r="AG300" s="3">
        <f>IF(29&gt;$C300,"",IF($D300=1,EOMONTH(EDATE(Bonds!$H300,6*(29-1)),0),EDATE(Bonds!$H300,6*(29-1))))</f>
        <v>51547</v>
      </c>
      <c r="AH300" s="3">
        <f>IF(30&gt;$C300,"",IF($D300=1,EOMONTH(EDATE(Bonds!$H300,6*(30-1)),0),EDATE(Bonds!$H300,6*(30-1))))</f>
        <v>51728</v>
      </c>
      <c r="AI300" s="3">
        <f>IF(31&gt;$C300,"",IF($D300=1,EOMONTH(EDATE(Bonds!$H300,6*(31-1)),0),EDATE(Bonds!$H300,6*(31-1))))</f>
        <v>51912</v>
      </c>
      <c r="AJ300" s="3">
        <f>IF(32&gt;$C300,"",IF($D300=1,EOMONTH(EDATE(Bonds!$H300,6*(32-1)),0),EDATE(Bonds!$H300,6*(32-1))))</f>
        <v>52093</v>
      </c>
      <c r="AK300" s="3">
        <f>IF(33&gt;$C300,"",IF($D300=1,EOMONTH(EDATE(Bonds!$H300,6*(33-1)),0),EDATE(Bonds!$H300,6*(33-1))))</f>
        <v>52277</v>
      </c>
      <c r="AL300" s="3">
        <f>IF(34&gt;$C300,"",IF($D300=1,EOMONTH(EDATE(Bonds!$H300,6*(34-1)),0),EDATE(Bonds!$H300,6*(34-1))))</f>
        <v>52458</v>
      </c>
      <c r="AM300" s="3">
        <f>IF(35&gt;$C300,"",IF($D300=1,EOMONTH(EDATE(Bonds!$H300,6*(35-1)),0),EDATE(Bonds!$H300,6*(35-1))))</f>
        <v>52642</v>
      </c>
      <c r="AN300" s="3" t="str">
        <f>IF(36&gt;$C300,"",IF($D300=1,EOMONTH(EDATE(Bonds!$H300,6*(36-1)),0),EDATE(Bonds!$H300,6*(36-1))))</f>
        <v/>
      </c>
      <c r="AO300" s="3" t="str">
        <f>IF(37&gt;$C300,"",IF($D300=1,EOMONTH(EDATE(Bonds!$H300,6*(37-1)),0),EDATE(Bonds!$H300,6*(37-1))))</f>
        <v/>
      </c>
      <c r="AP300" s="3" t="str">
        <f>IF(38&gt;$C300,"",IF($D300=1,EOMONTH(EDATE(Bonds!$H300,6*(38-1)),0),EDATE(Bonds!$H300,6*(38-1))))</f>
        <v/>
      </c>
      <c r="AQ300" s="3" t="str">
        <f>IF(39&gt;$C300,"",IF($D300=1,EOMONTH(EDATE(Bonds!$H300,6*(39-1)),0),EDATE(Bonds!$H300,6*(39-1))))</f>
        <v/>
      </c>
      <c r="AR300" s="3" t="str">
        <f>IF(40&gt;$C300,"",IF($D300=1,EOMONTH(EDATE(Bonds!$H300,6*(40-1)),0),EDATE(Bonds!$H300,6*(40-1))))</f>
        <v/>
      </c>
      <c r="AS300" s="3" t="str">
        <f>IF(41&gt;$C300,"",IF($D300=1,EOMONTH(EDATE(Bonds!$H300,6*(41-1)),0),EDATE(Bonds!$H300,6*(41-1))))</f>
        <v/>
      </c>
      <c r="AT300" s="3" t="str">
        <f>IF(42&gt;$C300,"",IF($D300=1,EOMONTH(EDATE(Bonds!$H300,6*(42-1)),0),EDATE(Bonds!$H300,6*(42-1))))</f>
        <v/>
      </c>
      <c r="AU300" s="3" t="str">
        <f>IF(43&gt;$C300,"",IF($D300=1,EOMONTH(EDATE(Bonds!$H300,6*(43-1)),0),EDATE(Bonds!$H300,6*(43-1))))</f>
        <v/>
      </c>
      <c r="AV300" s="3" t="str">
        <f>IF(44&gt;$C300,"",IF($D300=1,EOMONTH(EDATE(Bonds!$H300,6*(44-1)),0),EDATE(Bonds!$H300,6*(44-1))))</f>
        <v/>
      </c>
      <c r="AW300" s="3" t="str">
        <f>IF(45&gt;$C300,"",IF($D300=1,EOMONTH(EDATE(Bonds!$H300,6*(45-1)),0),EDATE(Bonds!$H300,6*(45-1))))</f>
        <v/>
      </c>
      <c r="AX300" s="3" t="str">
        <f>IF(46&gt;$C300,"",IF($D300=1,EOMONTH(EDATE(Bonds!$H300,6*(46-1)),0),EDATE(Bonds!$H300,6*(46-1))))</f>
        <v/>
      </c>
      <c r="AY300" s="3" t="str">
        <f>IF(47&gt;$C300,"",IF($D300=1,EOMONTH(EDATE(Bonds!$H300,6*(47-1)),0),EDATE(Bonds!$H300,6*(47-1))))</f>
        <v/>
      </c>
      <c r="AZ300" s="3" t="str">
        <f>IF(48&gt;$C300,"",IF($D300=1,EOMONTH(EDATE(Bonds!$H300,6*(48-1)),0),EDATE(Bonds!$H300,6*(48-1))))</f>
        <v/>
      </c>
      <c r="BA300" s="3" t="str">
        <f>IF(49&gt;$C300,"",IF($D300=1,EOMONTH(EDATE(Bonds!$H300,6*(49-1)),0),EDATE(Bonds!$H300,6*(49-1))))</f>
        <v/>
      </c>
      <c r="BB300" s="3" t="str">
        <f>IF(50&gt;$C300,"",IF($D300=1,EOMONTH(EDATE(Bonds!$H300,6*(50-1)),0),EDATE(Bonds!$H300,6*(50-1))))</f>
        <v/>
      </c>
      <c r="BC300" s="3" t="str">
        <f>IF(51&gt;$C300,"",IF($D300=1,EOMONTH(EDATE(Bonds!$H300,6*(51-1)),0),EDATE(Bonds!$H300,6*(51-1))))</f>
        <v/>
      </c>
      <c r="BD300" s="3" t="str">
        <f>IF(52&gt;$C300,"",IF($D300=1,EOMONTH(EDATE(Bonds!$H300,6*(52-1)),0),EDATE(Bonds!$H300,6*(52-1))))</f>
        <v/>
      </c>
      <c r="BE300" s="3" t="str">
        <f>IF(53&gt;$C300,"",IF($D300=1,EOMONTH(EDATE(Bonds!$H300,6*(53-1)),0),EDATE(Bonds!$H300,6*(53-1))))</f>
        <v/>
      </c>
      <c r="BF300" s="3" t="str">
        <f>IF(54&gt;$C300,"",IF($D300=1,EOMONTH(EDATE(Bonds!$H300,6*(54-1)),0),EDATE(Bonds!$H300,6*(54-1))))</f>
        <v/>
      </c>
      <c r="BG300" s="3" t="str">
        <f>IF(55&gt;$C300,"",IF($D300=1,EOMONTH(EDATE(Bonds!$H300,6*(55-1)),0),EDATE(Bonds!$H300,6*(55-1))))</f>
        <v/>
      </c>
      <c r="BH300" s="3" t="str">
        <f>IF(56&gt;$C300,"",IF($D300=1,EOMONTH(EDATE(Bonds!$H300,6*(56-1)),0),EDATE(Bonds!$H300,6*(56-1))))</f>
        <v/>
      </c>
      <c r="BI300" s="3" t="str">
        <f>IF(57&gt;$C300,"",IF($D300=1,EOMONTH(EDATE(Bonds!$H300,6*(57-1)),0),EDATE(Bonds!$H300,6*(57-1))))</f>
        <v/>
      </c>
      <c r="BJ300" s="3" t="str">
        <f>IF(58&gt;$C300,"",IF($D300=1,EOMONTH(EDATE(Bonds!$H300,6*(58-1)),0),EDATE(Bonds!$H300,6*(58-1))))</f>
        <v/>
      </c>
      <c r="BK300" s="3" t="str">
        <f>IF(59&gt;$C300,"",IF($D300=1,EOMONTH(EDATE(Bonds!$H300,6*(59-1)),0),EDATE(Bonds!$H300,6*(59-1))))</f>
        <v/>
      </c>
      <c r="BL300" s="3" t="str">
        <f>IF(60&gt;$C300,"",IF($D300=1,EOMONTH(EDATE(Bonds!$H300,6*(60-1)),0),EDATE(Bonds!$H300,6*(60-1))))</f>
        <v/>
      </c>
      <c r="BN300" s="7">
        <f t="shared" si="245"/>
        <v>2.2118388351322902</v>
      </c>
      <c r="BO300" s="7">
        <f t="shared" si="246"/>
        <v>2.1652169801566239</v>
      </c>
      <c r="BP300" s="7">
        <f t="shared" si="247"/>
        <v>2.1166517426340623</v>
      </c>
      <c r="BQ300" s="7">
        <f t="shared" si="248"/>
        <v>2.0688940633341026</v>
      </c>
      <c r="BR300" s="7">
        <f t="shared" si="249"/>
        <v>2.0215622619265532</v>
      </c>
      <c r="BS300" s="7">
        <f t="shared" si="250"/>
        <v>1.976139021876409</v>
      </c>
      <c r="BT300" s="7">
        <f t="shared" si="251"/>
        <v>1.9310844028122001</v>
      </c>
      <c r="BU300" s="7">
        <f t="shared" si="252"/>
        <v>1.8877247109270492</v>
      </c>
      <c r="BV300" s="7">
        <f t="shared" si="253"/>
        <v>1.8444415483005023</v>
      </c>
      <c r="BW300" s="7">
        <f t="shared" si="254"/>
        <v>1.8024764091652268</v>
      </c>
      <c r="BX300" s="7">
        <f t="shared" si="255"/>
        <v>1.7602931258334058</v>
      </c>
      <c r="BY300" s="7">
        <f t="shared" si="256"/>
        <v>1.7189350557736338</v>
      </c>
      <c r="BZ300" s="7">
        <f t="shared" si="257"/>
        <v>1.6774225976740433</v>
      </c>
      <c r="CA300" s="7">
        <f t="shared" si="258"/>
        <v>1.6368462638297947</v>
      </c>
      <c r="CB300" s="7">
        <f t="shared" si="259"/>
        <v>1.5958544062952664</v>
      </c>
      <c r="CC300" s="7">
        <f t="shared" si="260"/>
        <v>1.5558001005393229</v>
      </c>
      <c r="CD300" s="7">
        <f t="shared" si="261"/>
        <v>1.5153898656793978</v>
      </c>
      <c r="CE300" s="7">
        <f t="shared" si="262"/>
        <v>1.4759869924883868</v>
      </c>
      <c r="CF300" s="7">
        <f t="shared" si="263"/>
        <v>1.4363396189605988</v>
      </c>
      <c r="CG300" s="7">
        <f t="shared" si="264"/>
        <v>1.3975860385034076</v>
      </c>
      <c r="CH300" s="7">
        <f t="shared" si="265"/>
        <v>1.3589340007777988</v>
      </c>
      <c r="CI300" s="7">
        <f t="shared" si="266"/>
        <v>1.3214861938366897</v>
      </c>
      <c r="CJ300" s="7">
        <f t="shared" si="267"/>
        <v>1.2840558907182238</v>
      </c>
      <c r="CK300" s="7">
        <f t="shared" si="268"/>
        <v>1.2479128114826943</v>
      </c>
      <c r="CL300" s="7">
        <f t="shared" si="269"/>
        <v>1.2119039099813431</v>
      </c>
      <c r="CM300" s="7">
        <f t="shared" si="270"/>
        <v>1.1772419449415217</v>
      </c>
      <c r="CN300" s="7">
        <f t="shared" si="271"/>
        <v>1.1428114509210137</v>
      </c>
      <c r="CO300" s="7">
        <f t="shared" si="272"/>
        <v>1.1095819619382432</v>
      </c>
      <c r="CP300" s="7">
        <f t="shared" si="273"/>
        <v>1.0768452332761145</v>
      </c>
      <c r="CQ300" s="7">
        <f t="shared" si="274"/>
        <v>1.0455000792538727</v>
      </c>
      <c r="CR300" s="7">
        <f t="shared" si="275"/>
        <v>1.0145188530644098</v>
      </c>
      <c r="CS300" s="7">
        <f t="shared" si="276"/>
        <v>0.98491837064233967</v>
      </c>
      <c r="CT300" s="7">
        <f t="shared" si="277"/>
        <v>0.95571980095447184</v>
      </c>
      <c r="CU300" s="7">
        <f t="shared" si="278"/>
        <v>0.92787381996128648</v>
      </c>
      <c r="CV300" s="7">
        <f t="shared" si="279"/>
        <v>40.920559383796146</v>
      </c>
      <c r="CW300" s="7">
        <f t="shared" si="280"/>
        <v>0</v>
      </c>
      <c r="CX300" s="7">
        <f t="shared" si="281"/>
        <v>0</v>
      </c>
      <c r="CY300" s="7">
        <f t="shared" si="282"/>
        <v>0</v>
      </c>
      <c r="CZ300" s="7">
        <f t="shared" si="283"/>
        <v>0</v>
      </c>
      <c r="DA300" s="7">
        <f t="shared" si="284"/>
        <v>0</v>
      </c>
      <c r="DB300" s="7">
        <f t="shared" si="285"/>
        <v>0</v>
      </c>
      <c r="DC300" s="7">
        <f t="shared" si="286"/>
        <v>0</v>
      </c>
      <c r="DD300" s="7">
        <f t="shared" si="287"/>
        <v>0</v>
      </c>
      <c r="DE300" s="7">
        <f t="shared" si="288"/>
        <v>0</v>
      </c>
      <c r="DF300" s="7">
        <f t="shared" si="289"/>
        <v>0</v>
      </c>
      <c r="DG300" s="7">
        <f t="shared" si="290"/>
        <v>0</v>
      </c>
      <c r="DH300" s="7">
        <f t="shared" si="291"/>
        <v>0</v>
      </c>
      <c r="DI300" s="7">
        <f t="shared" si="292"/>
        <v>0</v>
      </c>
      <c r="DJ300" s="7">
        <f t="shared" si="293"/>
        <v>0</v>
      </c>
      <c r="DK300" s="7">
        <f t="shared" si="294"/>
        <v>0</v>
      </c>
      <c r="DL300" s="7">
        <f t="shared" si="295"/>
        <v>0</v>
      </c>
      <c r="DM300" s="7">
        <f t="shared" si="296"/>
        <v>0</v>
      </c>
      <c r="DN300" s="7">
        <f t="shared" si="297"/>
        <v>0</v>
      </c>
      <c r="DO300" s="7">
        <f t="shared" si="298"/>
        <v>0</v>
      </c>
      <c r="DP300" s="7">
        <f t="shared" si="299"/>
        <v>0</v>
      </c>
      <c r="DQ300" s="7">
        <f t="shared" si="300"/>
        <v>0</v>
      </c>
      <c r="DR300" s="7">
        <f t="shared" si="301"/>
        <v>0</v>
      </c>
      <c r="DS300" s="7">
        <f t="shared" si="302"/>
        <v>0</v>
      </c>
      <c r="DT300" s="7">
        <f t="shared" si="303"/>
        <v>0</v>
      </c>
      <c r="DU300" s="7">
        <f t="shared" si="304"/>
        <v>0</v>
      </c>
    </row>
    <row r="301" spans="1:125" x14ac:dyDescent="0.2">
      <c r="A301" s="3">
        <f>Bonds!A301</f>
        <v>52732</v>
      </c>
      <c r="B301" s="4">
        <f>Bonds!B301</f>
        <v>3.375</v>
      </c>
      <c r="C301">
        <f>Bonds!P301</f>
        <v>36</v>
      </c>
      <c r="D301">
        <f t="shared" si="244"/>
        <v>0</v>
      </c>
      <c r="E301" s="3">
        <f>IF(1&gt;$C301,"",IF($D301=1,EOMONTH(EDATE(Bonds!$H301,6*(1-1)),0),EDATE(Bonds!$H301,6*(1-1))))</f>
        <v>46341</v>
      </c>
      <c r="F301" s="3">
        <f>IF(2&gt;$C301,"",IF($D301=1,EOMONTH(EDATE(Bonds!$H301,6*(2-1)),0),EDATE(Bonds!$H301,6*(2-1))))</f>
        <v>46522</v>
      </c>
      <c r="G301" s="3">
        <f>IF(3&gt;$C301,"",IF($D301=1,EOMONTH(EDATE(Bonds!$H301,6*(3-1)),0),EDATE(Bonds!$H301,6*(3-1))))</f>
        <v>46706</v>
      </c>
      <c r="H301" s="3">
        <f>IF(4&gt;$C301,"",IF($D301=1,EOMONTH(EDATE(Bonds!$H301,6*(4-1)),0),EDATE(Bonds!$H301,6*(4-1))))</f>
        <v>46888</v>
      </c>
      <c r="I301" s="3">
        <f>IF(5&gt;$C301,"",IF($D301=1,EOMONTH(EDATE(Bonds!$H301,6*(5-1)),0),EDATE(Bonds!$H301,6*(5-1))))</f>
        <v>47072</v>
      </c>
      <c r="J301" s="3">
        <f>IF(6&gt;$C301,"",IF($D301=1,EOMONTH(EDATE(Bonds!$H301,6*(6-1)),0),EDATE(Bonds!$H301,6*(6-1))))</f>
        <v>47253</v>
      </c>
      <c r="K301" s="3">
        <f>IF(7&gt;$C301,"",IF($D301=1,EOMONTH(EDATE(Bonds!$H301,6*(7-1)),0),EDATE(Bonds!$H301,6*(7-1))))</f>
        <v>47437</v>
      </c>
      <c r="L301" s="3">
        <f>IF(8&gt;$C301,"",IF($D301=1,EOMONTH(EDATE(Bonds!$H301,6*(8-1)),0),EDATE(Bonds!$H301,6*(8-1))))</f>
        <v>47618</v>
      </c>
      <c r="M301" s="3">
        <f>IF(9&gt;$C301,"",IF($D301=1,EOMONTH(EDATE(Bonds!$H301,6*(9-1)),0),EDATE(Bonds!$H301,6*(9-1))))</f>
        <v>47802</v>
      </c>
      <c r="N301" s="3">
        <f>IF(10&gt;$C301,"",IF($D301=1,EOMONTH(EDATE(Bonds!$H301,6*(10-1)),0),EDATE(Bonds!$H301,6*(10-1))))</f>
        <v>47983</v>
      </c>
      <c r="O301" s="3">
        <f>IF(11&gt;$C301,"",IF($D301=1,EOMONTH(EDATE(Bonds!$H301,6*(11-1)),0),EDATE(Bonds!$H301,6*(11-1))))</f>
        <v>48167</v>
      </c>
      <c r="P301" s="3">
        <f>IF(12&gt;$C301,"",IF($D301=1,EOMONTH(EDATE(Bonds!$H301,6*(12-1)),0),EDATE(Bonds!$H301,6*(12-1))))</f>
        <v>48349</v>
      </c>
      <c r="Q301" s="3">
        <f>IF(13&gt;$C301,"",IF($D301=1,EOMONTH(EDATE(Bonds!$H301,6*(13-1)),0),EDATE(Bonds!$H301,6*(13-1))))</f>
        <v>48533</v>
      </c>
      <c r="R301" s="3">
        <f>IF(14&gt;$C301,"",IF($D301=1,EOMONTH(EDATE(Bonds!$H301,6*(14-1)),0),EDATE(Bonds!$H301,6*(14-1))))</f>
        <v>48714</v>
      </c>
      <c r="S301" s="3">
        <f>IF(15&gt;$C301,"",IF($D301=1,EOMONTH(EDATE(Bonds!$H301,6*(15-1)),0),EDATE(Bonds!$H301,6*(15-1))))</f>
        <v>48898</v>
      </c>
      <c r="T301" s="3">
        <f>IF(16&gt;$C301,"",IF($D301=1,EOMONTH(EDATE(Bonds!$H301,6*(16-1)),0),EDATE(Bonds!$H301,6*(16-1))))</f>
        <v>49079</v>
      </c>
      <c r="U301" s="3">
        <f>IF(17&gt;$C301,"",IF($D301=1,EOMONTH(EDATE(Bonds!$H301,6*(17-1)),0),EDATE(Bonds!$H301,6*(17-1))))</f>
        <v>49263</v>
      </c>
      <c r="V301" s="3">
        <f>IF(18&gt;$C301,"",IF($D301=1,EOMONTH(EDATE(Bonds!$H301,6*(18-1)),0),EDATE(Bonds!$H301,6*(18-1))))</f>
        <v>49444</v>
      </c>
      <c r="W301" s="3">
        <f>IF(19&gt;$C301,"",IF($D301=1,EOMONTH(EDATE(Bonds!$H301,6*(19-1)),0),EDATE(Bonds!$H301,6*(19-1))))</f>
        <v>49628</v>
      </c>
      <c r="X301" s="3">
        <f>IF(20&gt;$C301,"",IF($D301=1,EOMONTH(EDATE(Bonds!$H301,6*(20-1)),0),EDATE(Bonds!$H301,6*(20-1))))</f>
        <v>49810</v>
      </c>
      <c r="Y301" s="3">
        <f>IF(21&gt;$C301,"",IF($D301=1,EOMONTH(EDATE(Bonds!$H301,6*(21-1)),0),EDATE(Bonds!$H301,6*(21-1))))</f>
        <v>49994</v>
      </c>
      <c r="Z301" s="3">
        <f>IF(22&gt;$C301,"",IF($D301=1,EOMONTH(EDATE(Bonds!$H301,6*(22-1)),0),EDATE(Bonds!$H301,6*(22-1))))</f>
        <v>50175</v>
      </c>
      <c r="AA301" s="3">
        <f>IF(23&gt;$C301,"",IF($D301=1,EOMONTH(EDATE(Bonds!$H301,6*(23-1)),0),EDATE(Bonds!$H301,6*(23-1))))</f>
        <v>50359</v>
      </c>
      <c r="AB301" s="3">
        <f>IF(24&gt;$C301,"",IF($D301=1,EOMONTH(EDATE(Bonds!$H301,6*(24-1)),0),EDATE(Bonds!$H301,6*(24-1))))</f>
        <v>50540</v>
      </c>
      <c r="AC301" s="3">
        <f>IF(25&gt;$C301,"",IF($D301=1,EOMONTH(EDATE(Bonds!$H301,6*(25-1)),0),EDATE(Bonds!$H301,6*(25-1))))</f>
        <v>50724</v>
      </c>
      <c r="AD301" s="3">
        <f>IF(26&gt;$C301,"",IF($D301=1,EOMONTH(EDATE(Bonds!$H301,6*(26-1)),0),EDATE(Bonds!$H301,6*(26-1))))</f>
        <v>50905</v>
      </c>
      <c r="AE301" s="3">
        <f>IF(27&gt;$C301,"",IF($D301=1,EOMONTH(EDATE(Bonds!$H301,6*(27-1)),0),EDATE(Bonds!$H301,6*(27-1))))</f>
        <v>51089</v>
      </c>
      <c r="AF301" s="3">
        <f>IF(28&gt;$C301,"",IF($D301=1,EOMONTH(EDATE(Bonds!$H301,6*(28-1)),0),EDATE(Bonds!$H301,6*(28-1))))</f>
        <v>51271</v>
      </c>
      <c r="AG301" s="3">
        <f>IF(29&gt;$C301,"",IF($D301=1,EOMONTH(EDATE(Bonds!$H301,6*(29-1)),0),EDATE(Bonds!$H301,6*(29-1))))</f>
        <v>51455</v>
      </c>
      <c r="AH301" s="3">
        <f>IF(30&gt;$C301,"",IF($D301=1,EOMONTH(EDATE(Bonds!$H301,6*(30-1)),0),EDATE(Bonds!$H301,6*(30-1))))</f>
        <v>51636</v>
      </c>
      <c r="AI301" s="3">
        <f>IF(31&gt;$C301,"",IF($D301=1,EOMONTH(EDATE(Bonds!$H301,6*(31-1)),0),EDATE(Bonds!$H301,6*(31-1))))</f>
        <v>51820</v>
      </c>
      <c r="AJ301" s="3">
        <f>IF(32&gt;$C301,"",IF($D301=1,EOMONTH(EDATE(Bonds!$H301,6*(32-1)),0),EDATE(Bonds!$H301,6*(32-1))))</f>
        <v>52001</v>
      </c>
      <c r="AK301" s="3">
        <f>IF(33&gt;$C301,"",IF($D301=1,EOMONTH(EDATE(Bonds!$H301,6*(33-1)),0),EDATE(Bonds!$H301,6*(33-1))))</f>
        <v>52185</v>
      </c>
      <c r="AL301" s="3">
        <f>IF(34&gt;$C301,"",IF($D301=1,EOMONTH(EDATE(Bonds!$H301,6*(34-1)),0),EDATE(Bonds!$H301,6*(34-1))))</f>
        <v>52366</v>
      </c>
      <c r="AM301" s="3">
        <f>IF(35&gt;$C301,"",IF($D301=1,EOMONTH(EDATE(Bonds!$H301,6*(35-1)),0),EDATE(Bonds!$H301,6*(35-1))))</f>
        <v>52550</v>
      </c>
      <c r="AN301" s="3">
        <f>IF(36&gt;$C301,"",IF($D301=1,EOMONTH(EDATE(Bonds!$H301,6*(36-1)),0),EDATE(Bonds!$H301,6*(36-1))))</f>
        <v>52732</v>
      </c>
      <c r="AO301" s="3" t="str">
        <f>IF(37&gt;$C301,"",IF($D301=1,EOMONTH(EDATE(Bonds!$H301,6*(37-1)),0),EDATE(Bonds!$H301,6*(37-1))))</f>
        <v/>
      </c>
      <c r="AP301" s="3" t="str">
        <f>IF(38&gt;$C301,"",IF($D301=1,EOMONTH(EDATE(Bonds!$H301,6*(38-1)),0),EDATE(Bonds!$H301,6*(38-1))))</f>
        <v/>
      </c>
      <c r="AQ301" s="3" t="str">
        <f>IF(39&gt;$C301,"",IF($D301=1,EOMONTH(EDATE(Bonds!$H301,6*(39-1)),0),EDATE(Bonds!$H301,6*(39-1))))</f>
        <v/>
      </c>
      <c r="AR301" s="3" t="str">
        <f>IF(40&gt;$C301,"",IF($D301=1,EOMONTH(EDATE(Bonds!$H301,6*(40-1)),0),EDATE(Bonds!$H301,6*(40-1))))</f>
        <v/>
      </c>
      <c r="AS301" s="3" t="str">
        <f>IF(41&gt;$C301,"",IF($D301=1,EOMONTH(EDATE(Bonds!$H301,6*(41-1)),0),EDATE(Bonds!$H301,6*(41-1))))</f>
        <v/>
      </c>
      <c r="AT301" s="3" t="str">
        <f>IF(42&gt;$C301,"",IF($D301=1,EOMONTH(EDATE(Bonds!$H301,6*(42-1)),0),EDATE(Bonds!$H301,6*(42-1))))</f>
        <v/>
      </c>
      <c r="AU301" s="3" t="str">
        <f>IF(43&gt;$C301,"",IF($D301=1,EOMONTH(EDATE(Bonds!$H301,6*(43-1)),0),EDATE(Bonds!$H301,6*(43-1))))</f>
        <v/>
      </c>
      <c r="AV301" s="3" t="str">
        <f>IF(44&gt;$C301,"",IF($D301=1,EOMONTH(EDATE(Bonds!$H301,6*(44-1)),0),EDATE(Bonds!$H301,6*(44-1))))</f>
        <v/>
      </c>
      <c r="AW301" s="3" t="str">
        <f>IF(45&gt;$C301,"",IF($D301=1,EOMONTH(EDATE(Bonds!$H301,6*(45-1)),0),EDATE(Bonds!$H301,6*(45-1))))</f>
        <v/>
      </c>
      <c r="AX301" s="3" t="str">
        <f>IF(46&gt;$C301,"",IF($D301=1,EOMONTH(EDATE(Bonds!$H301,6*(46-1)),0),EDATE(Bonds!$H301,6*(46-1))))</f>
        <v/>
      </c>
      <c r="AY301" s="3" t="str">
        <f>IF(47&gt;$C301,"",IF($D301=1,EOMONTH(EDATE(Bonds!$H301,6*(47-1)),0),EDATE(Bonds!$H301,6*(47-1))))</f>
        <v/>
      </c>
      <c r="AZ301" s="3" t="str">
        <f>IF(48&gt;$C301,"",IF($D301=1,EOMONTH(EDATE(Bonds!$H301,6*(48-1)),0),EDATE(Bonds!$H301,6*(48-1))))</f>
        <v/>
      </c>
      <c r="BA301" s="3" t="str">
        <f>IF(49&gt;$C301,"",IF($D301=1,EOMONTH(EDATE(Bonds!$H301,6*(49-1)),0),EDATE(Bonds!$H301,6*(49-1))))</f>
        <v/>
      </c>
      <c r="BB301" s="3" t="str">
        <f>IF(50&gt;$C301,"",IF($D301=1,EOMONTH(EDATE(Bonds!$H301,6*(50-1)),0),EDATE(Bonds!$H301,6*(50-1))))</f>
        <v/>
      </c>
      <c r="BC301" s="3" t="str">
        <f>IF(51&gt;$C301,"",IF($D301=1,EOMONTH(EDATE(Bonds!$H301,6*(51-1)),0),EDATE(Bonds!$H301,6*(51-1))))</f>
        <v/>
      </c>
      <c r="BD301" s="3" t="str">
        <f>IF(52&gt;$C301,"",IF($D301=1,EOMONTH(EDATE(Bonds!$H301,6*(52-1)),0),EDATE(Bonds!$H301,6*(52-1))))</f>
        <v/>
      </c>
      <c r="BE301" s="3" t="str">
        <f>IF(53&gt;$C301,"",IF($D301=1,EOMONTH(EDATE(Bonds!$H301,6*(53-1)),0),EDATE(Bonds!$H301,6*(53-1))))</f>
        <v/>
      </c>
      <c r="BF301" s="3" t="str">
        <f>IF(54&gt;$C301,"",IF($D301=1,EOMONTH(EDATE(Bonds!$H301,6*(54-1)),0),EDATE(Bonds!$H301,6*(54-1))))</f>
        <v/>
      </c>
      <c r="BG301" s="3" t="str">
        <f>IF(55&gt;$C301,"",IF($D301=1,EOMONTH(EDATE(Bonds!$H301,6*(55-1)),0),EDATE(Bonds!$H301,6*(55-1))))</f>
        <v/>
      </c>
      <c r="BH301" s="3" t="str">
        <f>IF(56&gt;$C301,"",IF($D301=1,EOMONTH(EDATE(Bonds!$H301,6*(56-1)),0),EDATE(Bonds!$H301,6*(56-1))))</f>
        <v/>
      </c>
      <c r="BI301" s="3" t="str">
        <f>IF(57&gt;$C301,"",IF($D301=1,EOMONTH(EDATE(Bonds!$H301,6*(57-1)),0),EDATE(Bonds!$H301,6*(57-1))))</f>
        <v/>
      </c>
      <c r="BJ301" s="3" t="str">
        <f>IF(58&gt;$C301,"",IF($D301=1,EOMONTH(EDATE(Bonds!$H301,6*(58-1)),0),EDATE(Bonds!$H301,6*(58-1))))</f>
        <v/>
      </c>
      <c r="BK301" s="3" t="str">
        <f>IF(59&gt;$C301,"",IF($D301=1,EOMONTH(EDATE(Bonds!$H301,6*(59-1)),0),EDATE(Bonds!$H301,6*(59-1))))</f>
        <v/>
      </c>
      <c r="BL301" s="3" t="str">
        <f>IF(60&gt;$C301,"",IF($D301=1,EOMONTH(EDATE(Bonds!$H301,6*(60-1)),0),EDATE(Bonds!$H301,6*(60-1))))</f>
        <v/>
      </c>
      <c r="BN301" s="7">
        <f t="shared" si="245"/>
        <v>1.6757306706375314</v>
      </c>
      <c r="BO301" s="7">
        <f t="shared" si="246"/>
        <v>1.6418919126803282</v>
      </c>
      <c r="BP301" s="7">
        <f t="shared" si="247"/>
        <v>1.6057251481774784</v>
      </c>
      <c r="BQ301" s="7">
        <f t="shared" si="248"/>
        <v>1.569709363691794</v>
      </c>
      <c r="BR301" s="7">
        <f t="shared" si="249"/>
        <v>1.5338158922370357</v>
      </c>
      <c r="BS301" s="7">
        <f t="shared" si="250"/>
        <v>1.4993133784908974</v>
      </c>
      <c r="BT301" s="7">
        <f t="shared" si="251"/>
        <v>1.4651085084586215</v>
      </c>
      <c r="BU301" s="7">
        <f t="shared" si="252"/>
        <v>1.4322417397140306</v>
      </c>
      <c r="BV301" s="7">
        <f t="shared" si="253"/>
        <v>1.399495724148782</v>
      </c>
      <c r="BW301" s="7">
        <f t="shared" si="254"/>
        <v>1.3678053429244248</v>
      </c>
      <c r="BX301" s="7">
        <f t="shared" si="255"/>
        <v>1.3359992094321864</v>
      </c>
      <c r="BY301" s="7">
        <f t="shared" si="256"/>
        <v>1.3048506982457371</v>
      </c>
      <c r="BZ301" s="7">
        <f t="shared" si="257"/>
        <v>1.2736080876448692</v>
      </c>
      <c r="CA301" s="7">
        <f t="shared" si="258"/>
        <v>1.2430796732084775</v>
      </c>
      <c r="CB301" s="7">
        <f t="shared" si="259"/>
        <v>1.2122380289560726</v>
      </c>
      <c r="CC301" s="7">
        <f t="shared" si="260"/>
        <v>1.1820930678508763</v>
      </c>
      <c r="CD301" s="7">
        <f t="shared" si="261"/>
        <v>1.1516651133570763</v>
      </c>
      <c r="CE301" s="7">
        <f t="shared" si="262"/>
        <v>1.1219764632652409</v>
      </c>
      <c r="CF301" s="7">
        <f t="shared" si="263"/>
        <v>1.0920811608482364</v>
      </c>
      <c r="CG301" s="7">
        <f t="shared" si="264"/>
        <v>1.0628359323243985</v>
      </c>
      <c r="CH301" s="7">
        <f t="shared" si="265"/>
        <v>1.0336425314913429</v>
      </c>
      <c r="CI301" s="7">
        <f t="shared" si="266"/>
        <v>1.0053344192423943</v>
      </c>
      <c r="CJ301" s="7">
        <f t="shared" si="267"/>
        <v>0.97701551240660023</v>
      </c>
      <c r="CK301" s="7">
        <f t="shared" si="268"/>
        <v>0.94964784119122414</v>
      </c>
      <c r="CL301" s="7">
        <f t="shared" si="269"/>
        <v>0.92236001042457794</v>
      </c>
      <c r="CM301" s="7">
        <f t="shared" si="270"/>
        <v>0.89607287952624759</v>
      </c>
      <c r="CN301" s="7">
        <f t="shared" si="271"/>
        <v>0.86994243822978745</v>
      </c>
      <c r="CO301" s="7">
        <f t="shared" si="272"/>
        <v>0.84470627700064849</v>
      </c>
      <c r="CP301" s="7">
        <f t="shared" si="273"/>
        <v>0.81982845593298093</v>
      </c>
      <c r="CQ301" s="7">
        <f t="shared" si="274"/>
        <v>0.79599397527064231</v>
      </c>
      <c r="CR301" s="7">
        <f t="shared" si="275"/>
        <v>0.77242320000352216</v>
      </c>
      <c r="CS301" s="7">
        <f t="shared" si="276"/>
        <v>0.74989136840350734</v>
      </c>
      <c r="CT301" s="7">
        <f t="shared" si="277"/>
        <v>0.72765495722903051</v>
      </c>
      <c r="CU301" s="7">
        <f t="shared" si="278"/>
        <v>0.70643937624851738</v>
      </c>
      <c r="CV301" s="7">
        <f t="shared" si="279"/>
        <v>0.68553890630516723</v>
      </c>
      <c r="CW301" s="7">
        <f t="shared" si="280"/>
        <v>40.103868280240263</v>
      </c>
      <c r="CX301" s="7">
        <f t="shared" si="281"/>
        <v>0</v>
      </c>
      <c r="CY301" s="7">
        <f t="shared" si="282"/>
        <v>0</v>
      </c>
      <c r="CZ301" s="7">
        <f t="shared" si="283"/>
        <v>0</v>
      </c>
      <c r="DA301" s="7">
        <f t="shared" si="284"/>
        <v>0</v>
      </c>
      <c r="DB301" s="7">
        <f t="shared" si="285"/>
        <v>0</v>
      </c>
      <c r="DC301" s="7">
        <f t="shared" si="286"/>
        <v>0</v>
      </c>
      <c r="DD301" s="7">
        <f t="shared" si="287"/>
        <v>0</v>
      </c>
      <c r="DE301" s="7">
        <f t="shared" si="288"/>
        <v>0</v>
      </c>
      <c r="DF301" s="7">
        <f t="shared" si="289"/>
        <v>0</v>
      </c>
      <c r="DG301" s="7">
        <f t="shared" si="290"/>
        <v>0</v>
      </c>
      <c r="DH301" s="7">
        <f t="shared" si="291"/>
        <v>0</v>
      </c>
      <c r="DI301" s="7">
        <f t="shared" si="292"/>
        <v>0</v>
      </c>
      <c r="DJ301" s="7">
        <f t="shared" si="293"/>
        <v>0</v>
      </c>
      <c r="DK301" s="7">
        <f t="shared" si="294"/>
        <v>0</v>
      </c>
      <c r="DL301" s="7">
        <f t="shared" si="295"/>
        <v>0</v>
      </c>
      <c r="DM301" s="7">
        <f t="shared" si="296"/>
        <v>0</v>
      </c>
      <c r="DN301" s="7">
        <f t="shared" si="297"/>
        <v>0</v>
      </c>
      <c r="DO301" s="7">
        <f t="shared" si="298"/>
        <v>0</v>
      </c>
      <c r="DP301" s="7">
        <f t="shared" si="299"/>
        <v>0</v>
      </c>
      <c r="DQ301" s="7">
        <f t="shared" si="300"/>
        <v>0</v>
      </c>
      <c r="DR301" s="7">
        <f t="shared" si="301"/>
        <v>0</v>
      </c>
      <c r="DS301" s="7">
        <f t="shared" si="302"/>
        <v>0</v>
      </c>
      <c r="DT301" s="7">
        <f t="shared" si="303"/>
        <v>0</v>
      </c>
      <c r="DU301" s="7">
        <f t="shared" si="304"/>
        <v>0</v>
      </c>
    </row>
    <row r="302" spans="1:125" x14ac:dyDescent="0.2">
      <c r="A302" s="3">
        <f>Bonds!A302</f>
        <v>52732</v>
      </c>
      <c r="B302" s="4">
        <f>Bonds!B302</f>
        <v>4.625</v>
      </c>
      <c r="C302">
        <f>Bonds!P302</f>
        <v>36</v>
      </c>
      <c r="D302">
        <f t="shared" si="244"/>
        <v>0</v>
      </c>
      <c r="E302" s="3">
        <f>IF(1&gt;$C302,"",IF($D302=1,EOMONTH(EDATE(Bonds!$H302,6*(1-1)),0),EDATE(Bonds!$H302,6*(1-1))))</f>
        <v>46341</v>
      </c>
      <c r="F302" s="3">
        <f>IF(2&gt;$C302,"",IF($D302=1,EOMONTH(EDATE(Bonds!$H302,6*(2-1)),0),EDATE(Bonds!$H302,6*(2-1))))</f>
        <v>46522</v>
      </c>
      <c r="G302" s="3">
        <f>IF(3&gt;$C302,"",IF($D302=1,EOMONTH(EDATE(Bonds!$H302,6*(3-1)),0),EDATE(Bonds!$H302,6*(3-1))))</f>
        <v>46706</v>
      </c>
      <c r="H302" s="3">
        <f>IF(4&gt;$C302,"",IF($D302=1,EOMONTH(EDATE(Bonds!$H302,6*(4-1)),0),EDATE(Bonds!$H302,6*(4-1))))</f>
        <v>46888</v>
      </c>
      <c r="I302" s="3">
        <f>IF(5&gt;$C302,"",IF($D302=1,EOMONTH(EDATE(Bonds!$H302,6*(5-1)),0),EDATE(Bonds!$H302,6*(5-1))))</f>
        <v>47072</v>
      </c>
      <c r="J302" s="3">
        <f>IF(6&gt;$C302,"",IF($D302=1,EOMONTH(EDATE(Bonds!$H302,6*(6-1)),0),EDATE(Bonds!$H302,6*(6-1))))</f>
        <v>47253</v>
      </c>
      <c r="K302" s="3">
        <f>IF(7&gt;$C302,"",IF($D302=1,EOMONTH(EDATE(Bonds!$H302,6*(7-1)),0),EDATE(Bonds!$H302,6*(7-1))))</f>
        <v>47437</v>
      </c>
      <c r="L302" s="3">
        <f>IF(8&gt;$C302,"",IF($D302=1,EOMONTH(EDATE(Bonds!$H302,6*(8-1)),0),EDATE(Bonds!$H302,6*(8-1))))</f>
        <v>47618</v>
      </c>
      <c r="M302" s="3">
        <f>IF(9&gt;$C302,"",IF($D302=1,EOMONTH(EDATE(Bonds!$H302,6*(9-1)),0),EDATE(Bonds!$H302,6*(9-1))))</f>
        <v>47802</v>
      </c>
      <c r="N302" s="3">
        <f>IF(10&gt;$C302,"",IF($D302=1,EOMONTH(EDATE(Bonds!$H302,6*(10-1)),0),EDATE(Bonds!$H302,6*(10-1))))</f>
        <v>47983</v>
      </c>
      <c r="O302" s="3">
        <f>IF(11&gt;$C302,"",IF($D302=1,EOMONTH(EDATE(Bonds!$H302,6*(11-1)),0),EDATE(Bonds!$H302,6*(11-1))))</f>
        <v>48167</v>
      </c>
      <c r="P302" s="3">
        <f>IF(12&gt;$C302,"",IF($D302=1,EOMONTH(EDATE(Bonds!$H302,6*(12-1)),0),EDATE(Bonds!$H302,6*(12-1))))</f>
        <v>48349</v>
      </c>
      <c r="Q302" s="3">
        <f>IF(13&gt;$C302,"",IF($D302=1,EOMONTH(EDATE(Bonds!$H302,6*(13-1)),0),EDATE(Bonds!$H302,6*(13-1))))</f>
        <v>48533</v>
      </c>
      <c r="R302" s="3">
        <f>IF(14&gt;$C302,"",IF($D302=1,EOMONTH(EDATE(Bonds!$H302,6*(14-1)),0),EDATE(Bonds!$H302,6*(14-1))))</f>
        <v>48714</v>
      </c>
      <c r="S302" s="3">
        <f>IF(15&gt;$C302,"",IF($D302=1,EOMONTH(EDATE(Bonds!$H302,6*(15-1)),0),EDATE(Bonds!$H302,6*(15-1))))</f>
        <v>48898</v>
      </c>
      <c r="T302" s="3">
        <f>IF(16&gt;$C302,"",IF($D302=1,EOMONTH(EDATE(Bonds!$H302,6*(16-1)),0),EDATE(Bonds!$H302,6*(16-1))))</f>
        <v>49079</v>
      </c>
      <c r="U302" s="3">
        <f>IF(17&gt;$C302,"",IF($D302=1,EOMONTH(EDATE(Bonds!$H302,6*(17-1)),0),EDATE(Bonds!$H302,6*(17-1))))</f>
        <v>49263</v>
      </c>
      <c r="V302" s="3">
        <f>IF(18&gt;$C302,"",IF($D302=1,EOMONTH(EDATE(Bonds!$H302,6*(18-1)),0),EDATE(Bonds!$H302,6*(18-1))))</f>
        <v>49444</v>
      </c>
      <c r="W302" s="3">
        <f>IF(19&gt;$C302,"",IF($D302=1,EOMONTH(EDATE(Bonds!$H302,6*(19-1)),0),EDATE(Bonds!$H302,6*(19-1))))</f>
        <v>49628</v>
      </c>
      <c r="X302" s="3">
        <f>IF(20&gt;$C302,"",IF($D302=1,EOMONTH(EDATE(Bonds!$H302,6*(20-1)),0),EDATE(Bonds!$H302,6*(20-1))))</f>
        <v>49810</v>
      </c>
      <c r="Y302" s="3">
        <f>IF(21&gt;$C302,"",IF($D302=1,EOMONTH(EDATE(Bonds!$H302,6*(21-1)),0),EDATE(Bonds!$H302,6*(21-1))))</f>
        <v>49994</v>
      </c>
      <c r="Z302" s="3">
        <f>IF(22&gt;$C302,"",IF($D302=1,EOMONTH(EDATE(Bonds!$H302,6*(22-1)),0),EDATE(Bonds!$H302,6*(22-1))))</f>
        <v>50175</v>
      </c>
      <c r="AA302" s="3">
        <f>IF(23&gt;$C302,"",IF($D302=1,EOMONTH(EDATE(Bonds!$H302,6*(23-1)),0),EDATE(Bonds!$H302,6*(23-1))))</f>
        <v>50359</v>
      </c>
      <c r="AB302" s="3">
        <f>IF(24&gt;$C302,"",IF($D302=1,EOMONTH(EDATE(Bonds!$H302,6*(24-1)),0),EDATE(Bonds!$H302,6*(24-1))))</f>
        <v>50540</v>
      </c>
      <c r="AC302" s="3">
        <f>IF(25&gt;$C302,"",IF($D302=1,EOMONTH(EDATE(Bonds!$H302,6*(25-1)),0),EDATE(Bonds!$H302,6*(25-1))))</f>
        <v>50724</v>
      </c>
      <c r="AD302" s="3">
        <f>IF(26&gt;$C302,"",IF($D302=1,EOMONTH(EDATE(Bonds!$H302,6*(26-1)),0),EDATE(Bonds!$H302,6*(26-1))))</f>
        <v>50905</v>
      </c>
      <c r="AE302" s="3">
        <f>IF(27&gt;$C302,"",IF($D302=1,EOMONTH(EDATE(Bonds!$H302,6*(27-1)),0),EDATE(Bonds!$H302,6*(27-1))))</f>
        <v>51089</v>
      </c>
      <c r="AF302" s="3">
        <f>IF(28&gt;$C302,"",IF($D302=1,EOMONTH(EDATE(Bonds!$H302,6*(28-1)),0),EDATE(Bonds!$H302,6*(28-1))))</f>
        <v>51271</v>
      </c>
      <c r="AG302" s="3">
        <f>IF(29&gt;$C302,"",IF($D302=1,EOMONTH(EDATE(Bonds!$H302,6*(29-1)),0),EDATE(Bonds!$H302,6*(29-1))))</f>
        <v>51455</v>
      </c>
      <c r="AH302" s="3">
        <f>IF(30&gt;$C302,"",IF($D302=1,EOMONTH(EDATE(Bonds!$H302,6*(30-1)),0),EDATE(Bonds!$H302,6*(30-1))))</f>
        <v>51636</v>
      </c>
      <c r="AI302" s="3">
        <f>IF(31&gt;$C302,"",IF($D302=1,EOMONTH(EDATE(Bonds!$H302,6*(31-1)),0),EDATE(Bonds!$H302,6*(31-1))))</f>
        <v>51820</v>
      </c>
      <c r="AJ302" s="3">
        <f>IF(32&gt;$C302,"",IF($D302=1,EOMONTH(EDATE(Bonds!$H302,6*(32-1)),0),EDATE(Bonds!$H302,6*(32-1))))</f>
        <v>52001</v>
      </c>
      <c r="AK302" s="3">
        <f>IF(33&gt;$C302,"",IF($D302=1,EOMONTH(EDATE(Bonds!$H302,6*(33-1)),0),EDATE(Bonds!$H302,6*(33-1))))</f>
        <v>52185</v>
      </c>
      <c r="AL302" s="3">
        <f>IF(34&gt;$C302,"",IF($D302=1,EOMONTH(EDATE(Bonds!$H302,6*(34-1)),0),EDATE(Bonds!$H302,6*(34-1))))</f>
        <v>52366</v>
      </c>
      <c r="AM302" s="3">
        <f>IF(35&gt;$C302,"",IF($D302=1,EOMONTH(EDATE(Bonds!$H302,6*(35-1)),0),EDATE(Bonds!$H302,6*(35-1))))</f>
        <v>52550</v>
      </c>
      <c r="AN302" s="3">
        <f>IF(36&gt;$C302,"",IF($D302=1,EOMONTH(EDATE(Bonds!$H302,6*(36-1)),0),EDATE(Bonds!$H302,6*(36-1))))</f>
        <v>52732</v>
      </c>
      <c r="AO302" s="3" t="str">
        <f>IF(37&gt;$C302,"",IF($D302=1,EOMONTH(EDATE(Bonds!$H302,6*(37-1)),0),EDATE(Bonds!$H302,6*(37-1))))</f>
        <v/>
      </c>
      <c r="AP302" s="3" t="str">
        <f>IF(38&gt;$C302,"",IF($D302=1,EOMONTH(EDATE(Bonds!$H302,6*(38-1)),0),EDATE(Bonds!$H302,6*(38-1))))</f>
        <v/>
      </c>
      <c r="AQ302" s="3" t="str">
        <f>IF(39&gt;$C302,"",IF($D302=1,EOMONTH(EDATE(Bonds!$H302,6*(39-1)),0),EDATE(Bonds!$H302,6*(39-1))))</f>
        <v/>
      </c>
      <c r="AR302" s="3" t="str">
        <f>IF(40&gt;$C302,"",IF($D302=1,EOMONTH(EDATE(Bonds!$H302,6*(40-1)),0),EDATE(Bonds!$H302,6*(40-1))))</f>
        <v/>
      </c>
      <c r="AS302" s="3" t="str">
        <f>IF(41&gt;$C302,"",IF($D302=1,EOMONTH(EDATE(Bonds!$H302,6*(41-1)),0),EDATE(Bonds!$H302,6*(41-1))))</f>
        <v/>
      </c>
      <c r="AT302" s="3" t="str">
        <f>IF(42&gt;$C302,"",IF($D302=1,EOMONTH(EDATE(Bonds!$H302,6*(42-1)),0),EDATE(Bonds!$H302,6*(42-1))))</f>
        <v/>
      </c>
      <c r="AU302" s="3" t="str">
        <f>IF(43&gt;$C302,"",IF($D302=1,EOMONTH(EDATE(Bonds!$H302,6*(43-1)),0),EDATE(Bonds!$H302,6*(43-1))))</f>
        <v/>
      </c>
      <c r="AV302" s="3" t="str">
        <f>IF(44&gt;$C302,"",IF($D302=1,EOMONTH(EDATE(Bonds!$H302,6*(44-1)),0),EDATE(Bonds!$H302,6*(44-1))))</f>
        <v/>
      </c>
      <c r="AW302" s="3" t="str">
        <f>IF(45&gt;$C302,"",IF($D302=1,EOMONTH(EDATE(Bonds!$H302,6*(45-1)),0),EDATE(Bonds!$H302,6*(45-1))))</f>
        <v/>
      </c>
      <c r="AX302" s="3" t="str">
        <f>IF(46&gt;$C302,"",IF($D302=1,EOMONTH(EDATE(Bonds!$H302,6*(46-1)),0),EDATE(Bonds!$H302,6*(46-1))))</f>
        <v/>
      </c>
      <c r="AY302" s="3" t="str">
        <f>IF(47&gt;$C302,"",IF($D302=1,EOMONTH(EDATE(Bonds!$H302,6*(47-1)),0),EDATE(Bonds!$H302,6*(47-1))))</f>
        <v/>
      </c>
      <c r="AZ302" s="3" t="str">
        <f>IF(48&gt;$C302,"",IF($D302=1,EOMONTH(EDATE(Bonds!$H302,6*(48-1)),0),EDATE(Bonds!$H302,6*(48-1))))</f>
        <v/>
      </c>
      <c r="BA302" s="3" t="str">
        <f>IF(49&gt;$C302,"",IF($D302=1,EOMONTH(EDATE(Bonds!$H302,6*(49-1)),0),EDATE(Bonds!$H302,6*(49-1))))</f>
        <v/>
      </c>
      <c r="BB302" s="3" t="str">
        <f>IF(50&gt;$C302,"",IF($D302=1,EOMONTH(EDATE(Bonds!$H302,6*(50-1)),0),EDATE(Bonds!$H302,6*(50-1))))</f>
        <v/>
      </c>
      <c r="BC302" s="3" t="str">
        <f>IF(51&gt;$C302,"",IF($D302=1,EOMONTH(EDATE(Bonds!$H302,6*(51-1)),0),EDATE(Bonds!$H302,6*(51-1))))</f>
        <v/>
      </c>
      <c r="BD302" s="3" t="str">
        <f>IF(52&gt;$C302,"",IF($D302=1,EOMONTH(EDATE(Bonds!$H302,6*(52-1)),0),EDATE(Bonds!$H302,6*(52-1))))</f>
        <v/>
      </c>
      <c r="BE302" s="3" t="str">
        <f>IF(53&gt;$C302,"",IF($D302=1,EOMONTH(EDATE(Bonds!$H302,6*(53-1)),0),EDATE(Bonds!$H302,6*(53-1))))</f>
        <v/>
      </c>
      <c r="BF302" s="3" t="str">
        <f>IF(54&gt;$C302,"",IF($D302=1,EOMONTH(EDATE(Bonds!$H302,6*(54-1)),0),EDATE(Bonds!$H302,6*(54-1))))</f>
        <v/>
      </c>
      <c r="BG302" s="3" t="str">
        <f>IF(55&gt;$C302,"",IF($D302=1,EOMONTH(EDATE(Bonds!$H302,6*(55-1)),0),EDATE(Bonds!$H302,6*(55-1))))</f>
        <v/>
      </c>
      <c r="BH302" s="3" t="str">
        <f>IF(56&gt;$C302,"",IF($D302=1,EOMONTH(EDATE(Bonds!$H302,6*(56-1)),0),EDATE(Bonds!$H302,6*(56-1))))</f>
        <v/>
      </c>
      <c r="BI302" s="3" t="str">
        <f>IF(57&gt;$C302,"",IF($D302=1,EOMONTH(EDATE(Bonds!$H302,6*(57-1)),0),EDATE(Bonds!$H302,6*(57-1))))</f>
        <v/>
      </c>
      <c r="BJ302" s="3" t="str">
        <f>IF(58&gt;$C302,"",IF($D302=1,EOMONTH(EDATE(Bonds!$H302,6*(58-1)),0),EDATE(Bonds!$H302,6*(58-1))))</f>
        <v/>
      </c>
      <c r="BK302" s="3" t="str">
        <f>IF(59&gt;$C302,"",IF($D302=1,EOMONTH(EDATE(Bonds!$H302,6*(59-1)),0),EDATE(Bonds!$H302,6*(59-1))))</f>
        <v/>
      </c>
      <c r="BL302" s="3" t="str">
        <f>IF(60&gt;$C302,"",IF($D302=1,EOMONTH(EDATE(Bonds!$H302,6*(60-1)),0),EDATE(Bonds!$H302,6*(60-1))))</f>
        <v/>
      </c>
      <c r="BN302" s="7">
        <f t="shared" si="245"/>
        <v>2.296371659762543</v>
      </c>
      <c r="BO302" s="7">
        <f t="shared" si="246"/>
        <v>2.250000028487857</v>
      </c>
      <c r="BP302" s="7">
        <f t="shared" si="247"/>
        <v>2.2004381660209886</v>
      </c>
      <c r="BQ302" s="7">
        <f t="shared" si="248"/>
        <v>2.1510832020961623</v>
      </c>
      <c r="BR302" s="7">
        <f t="shared" si="249"/>
        <v>2.1018958523248266</v>
      </c>
      <c r="BS302" s="7">
        <f t="shared" si="250"/>
        <v>2.0546146297838224</v>
      </c>
      <c r="BT302" s="7">
        <f t="shared" si="251"/>
        <v>2.0077412893692221</v>
      </c>
      <c r="BU302" s="7">
        <f t="shared" si="252"/>
        <v>1.9627016433118196</v>
      </c>
      <c r="BV302" s="7">
        <f t="shared" si="253"/>
        <v>1.9178274738335161</v>
      </c>
      <c r="BW302" s="7">
        <f t="shared" si="254"/>
        <v>1.8743999143779153</v>
      </c>
      <c r="BX302" s="7">
        <f t="shared" si="255"/>
        <v>1.8308137314441071</v>
      </c>
      <c r="BY302" s="7">
        <f t="shared" si="256"/>
        <v>1.788128734633047</v>
      </c>
      <c r="BZ302" s="7">
        <f t="shared" si="257"/>
        <v>1.7453147867725984</v>
      </c>
      <c r="CA302" s="7">
        <f t="shared" si="258"/>
        <v>1.7034795521745802</v>
      </c>
      <c r="CB302" s="7">
        <f t="shared" si="259"/>
        <v>1.6612150767175808</v>
      </c>
      <c r="CC302" s="7">
        <f t="shared" si="260"/>
        <v>1.6199053152030525</v>
      </c>
      <c r="CD302" s="7">
        <f t="shared" si="261"/>
        <v>1.5782077479337711</v>
      </c>
      <c r="CE302" s="7">
        <f t="shared" si="262"/>
        <v>1.5375233015116265</v>
      </c>
      <c r="CF302" s="7">
        <f t="shared" si="263"/>
        <v>1.4965556648661016</v>
      </c>
      <c r="CG302" s="7">
        <f t="shared" si="264"/>
        <v>1.4564788702223239</v>
      </c>
      <c r="CH302" s="7">
        <f t="shared" si="265"/>
        <v>1.4164730987103589</v>
      </c>
      <c r="CI302" s="7">
        <f t="shared" si="266"/>
        <v>1.3776805004432811</v>
      </c>
      <c r="CJ302" s="7">
        <f t="shared" si="267"/>
        <v>1.3388731095942299</v>
      </c>
      <c r="CK302" s="7">
        <f t="shared" si="268"/>
        <v>1.3013692638546404</v>
      </c>
      <c r="CL302" s="7">
        <f t="shared" si="269"/>
        <v>1.2639748291003476</v>
      </c>
      <c r="CM302" s="7">
        <f t="shared" si="270"/>
        <v>1.2279517237952282</v>
      </c>
      <c r="CN302" s="7">
        <f t="shared" si="271"/>
        <v>1.1921433412778568</v>
      </c>
      <c r="CO302" s="7">
        <f t="shared" si="272"/>
        <v>1.1575604536675552</v>
      </c>
      <c r="CP302" s="7">
        <f t="shared" si="273"/>
        <v>1.123468624797048</v>
      </c>
      <c r="CQ302" s="7">
        <f t="shared" si="274"/>
        <v>1.0908065587042135</v>
      </c>
      <c r="CR302" s="7">
        <f t="shared" si="275"/>
        <v>1.0585058666714933</v>
      </c>
      <c r="CS302" s="7">
        <f t="shared" si="276"/>
        <v>1.0276289122566582</v>
      </c>
      <c r="CT302" s="7">
        <f t="shared" si="277"/>
        <v>0.99715679323978268</v>
      </c>
      <c r="CU302" s="7">
        <f t="shared" si="278"/>
        <v>0.96808358967389407</v>
      </c>
      <c r="CV302" s="7">
        <f t="shared" si="279"/>
        <v>0.93944220493671071</v>
      </c>
      <c r="CW302" s="7">
        <f t="shared" si="280"/>
        <v>40.350357943917217</v>
      </c>
      <c r="CX302" s="7">
        <f t="shared" si="281"/>
        <v>0</v>
      </c>
      <c r="CY302" s="7">
        <f t="shared" si="282"/>
        <v>0</v>
      </c>
      <c r="CZ302" s="7">
        <f t="shared" si="283"/>
        <v>0</v>
      </c>
      <c r="DA302" s="7">
        <f t="shared" si="284"/>
        <v>0</v>
      </c>
      <c r="DB302" s="7">
        <f t="shared" si="285"/>
        <v>0</v>
      </c>
      <c r="DC302" s="7">
        <f t="shared" si="286"/>
        <v>0</v>
      </c>
      <c r="DD302" s="7">
        <f t="shared" si="287"/>
        <v>0</v>
      </c>
      <c r="DE302" s="7">
        <f t="shared" si="288"/>
        <v>0</v>
      </c>
      <c r="DF302" s="7">
        <f t="shared" si="289"/>
        <v>0</v>
      </c>
      <c r="DG302" s="7">
        <f t="shared" si="290"/>
        <v>0</v>
      </c>
      <c r="DH302" s="7">
        <f t="shared" si="291"/>
        <v>0</v>
      </c>
      <c r="DI302" s="7">
        <f t="shared" si="292"/>
        <v>0</v>
      </c>
      <c r="DJ302" s="7">
        <f t="shared" si="293"/>
        <v>0</v>
      </c>
      <c r="DK302" s="7">
        <f t="shared" si="294"/>
        <v>0</v>
      </c>
      <c r="DL302" s="7">
        <f t="shared" si="295"/>
        <v>0</v>
      </c>
      <c r="DM302" s="7">
        <f t="shared" si="296"/>
        <v>0</v>
      </c>
      <c r="DN302" s="7">
        <f t="shared" si="297"/>
        <v>0</v>
      </c>
      <c r="DO302" s="7">
        <f t="shared" si="298"/>
        <v>0</v>
      </c>
      <c r="DP302" s="7">
        <f t="shared" si="299"/>
        <v>0</v>
      </c>
      <c r="DQ302" s="7">
        <f t="shared" si="300"/>
        <v>0</v>
      </c>
      <c r="DR302" s="7">
        <f t="shared" si="301"/>
        <v>0</v>
      </c>
      <c r="DS302" s="7">
        <f t="shared" si="302"/>
        <v>0</v>
      </c>
      <c r="DT302" s="7">
        <f t="shared" si="303"/>
        <v>0</v>
      </c>
      <c r="DU302" s="7">
        <f t="shared" si="304"/>
        <v>0</v>
      </c>
    </row>
    <row r="303" spans="1:125" x14ac:dyDescent="0.2">
      <c r="A303" s="3">
        <f>Bonds!A303</f>
        <v>52824</v>
      </c>
      <c r="B303" s="4">
        <f>Bonds!B303</f>
        <v>3.125</v>
      </c>
      <c r="C303">
        <f>Bonds!P303</f>
        <v>36</v>
      </c>
      <c r="D303">
        <f t="shared" si="244"/>
        <v>0</v>
      </c>
      <c r="E303" s="3">
        <f>IF(1&gt;$C303,"",IF($D303=1,EOMONTH(EDATE(Bonds!$H303,6*(1-1)),0),EDATE(Bonds!$H303,6*(1-1))))</f>
        <v>46433</v>
      </c>
      <c r="F303" s="3">
        <f>IF(2&gt;$C303,"",IF($D303=1,EOMONTH(EDATE(Bonds!$H303,6*(2-1)),0),EDATE(Bonds!$H303,6*(2-1))))</f>
        <v>46614</v>
      </c>
      <c r="G303" s="3">
        <f>IF(3&gt;$C303,"",IF($D303=1,EOMONTH(EDATE(Bonds!$H303,6*(3-1)),0),EDATE(Bonds!$H303,6*(3-1))))</f>
        <v>46798</v>
      </c>
      <c r="H303" s="3">
        <f>IF(4&gt;$C303,"",IF($D303=1,EOMONTH(EDATE(Bonds!$H303,6*(4-1)),0),EDATE(Bonds!$H303,6*(4-1))))</f>
        <v>46980</v>
      </c>
      <c r="I303" s="3">
        <f>IF(5&gt;$C303,"",IF($D303=1,EOMONTH(EDATE(Bonds!$H303,6*(5-1)),0),EDATE(Bonds!$H303,6*(5-1))))</f>
        <v>47164</v>
      </c>
      <c r="J303" s="3">
        <f>IF(6&gt;$C303,"",IF($D303=1,EOMONTH(EDATE(Bonds!$H303,6*(6-1)),0),EDATE(Bonds!$H303,6*(6-1))))</f>
        <v>47345</v>
      </c>
      <c r="K303" s="3">
        <f>IF(7&gt;$C303,"",IF($D303=1,EOMONTH(EDATE(Bonds!$H303,6*(7-1)),0),EDATE(Bonds!$H303,6*(7-1))))</f>
        <v>47529</v>
      </c>
      <c r="L303" s="3">
        <f>IF(8&gt;$C303,"",IF($D303=1,EOMONTH(EDATE(Bonds!$H303,6*(8-1)),0),EDATE(Bonds!$H303,6*(8-1))))</f>
        <v>47710</v>
      </c>
      <c r="M303" s="3">
        <f>IF(9&gt;$C303,"",IF($D303=1,EOMONTH(EDATE(Bonds!$H303,6*(9-1)),0),EDATE(Bonds!$H303,6*(9-1))))</f>
        <v>47894</v>
      </c>
      <c r="N303" s="3">
        <f>IF(10&gt;$C303,"",IF($D303=1,EOMONTH(EDATE(Bonds!$H303,6*(10-1)),0),EDATE(Bonds!$H303,6*(10-1))))</f>
        <v>48075</v>
      </c>
      <c r="O303" s="3">
        <f>IF(11&gt;$C303,"",IF($D303=1,EOMONTH(EDATE(Bonds!$H303,6*(11-1)),0),EDATE(Bonds!$H303,6*(11-1))))</f>
        <v>48259</v>
      </c>
      <c r="P303" s="3">
        <f>IF(12&gt;$C303,"",IF($D303=1,EOMONTH(EDATE(Bonds!$H303,6*(12-1)),0),EDATE(Bonds!$H303,6*(12-1))))</f>
        <v>48441</v>
      </c>
      <c r="Q303" s="3">
        <f>IF(13&gt;$C303,"",IF($D303=1,EOMONTH(EDATE(Bonds!$H303,6*(13-1)),0),EDATE(Bonds!$H303,6*(13-1))))</f>
        <v>48625</v>
      </c>
      <c r="R303" s="3">
        <f>IF(14&gt;$C303,"",IF($D303=1,EOMONTH(EDATE(Bonds!$H303,6*(14-1)),0),EDATE(Bonds!$H303,6*(14-1))))</f>
        <v>48806</v>
      </c>
      <c r="S303" s="3">
        <f>IF(15&gt;$C303,"",IF($D303=1,EOMONTH(EDATE(Bonds!$H303,6*(15-1)),0),EDATE(Bonds!$H303,6*(15-1))))</f>
        <v>48990</v>
      </c>
      <c r="T303" s="3">
        <f>IF(16&gt;$C303,"",IF($D303=1,EOMONTH(EDATE(Bonds!$H303,6*(16-1)),0),EDATE(Bonds!$H303,6*(16-1))))</f>
        <v>49171</v>
      </c>
      <c r="U303" s="3">
        <f>IF(17&gt;$C303,"",IF($D303=1,EOMONTH(EDATE(Bonds!$H303,6*(17-1)),0),EDATE(Bonds!$H303,6*(17-1))))</f>
        <v>49355</v>
      </c>
      <c r="V303" s="3">
        <f>IF(18&gt;$C303,"",IF($D303=1,EOMONTH(EDATE(Bonds!$H303,6*(18-1)),0),EDATE(Bonds!$H303,6*(18-1))))</f>
        <v>49536</v>
      </c>
      <c r="W303" s="3">
        <f>IF(19&gt;$C303,"",IF($D303=1,EOMONTH(EDATE(Bonds!$H303,6*(19-1)),0),EDATE(Bonds!$H303,6*(19-1))))</f>
        <v>49720</v>
      </c>
      <c r="X303" s="3">
        <f>IF(20&gt;$C303,"",IF($D303=1,EOMONTH(EDATE(Bonds!$H303,6*(20-1)),0),EDATE(Bonds!$H303,6*(20-1))))</f>
        <v>49902</v>
      </c>
      <c r="Y303" s="3">
        <f>IF(21&gt;$C303,"",IF($D303=1,EOMONTH(EDATE(Bonds!$H303,6*(21-1)),0),EDATE(Bonds!$H303,6*(21-1))))</f>
        <v>50086</v>
      </c>
      <c r="Z303" s="3">
        <f>IF(22&gt;$C303,"",IF($D303=1,EOMONTH(EDATE(Bonds!$H303,6*(22-1)),0),EDATE(Bonds!$H303,6*(22-1))))</f>
        <v>50267</v>
      </c>
      <c r="AA303" s="3">
        <f>IF(23&gt;$C303,"",IF($D303=1,EOMONTH(EDATE(Bonds!$H303,6*(23-1)),0),EDATE(Bonds!$H303,6*(23-1))))</f>
        <v>50451</v>
      </c>
      <c r="AB303" s="3">
        <f>IF(24&gt;$C303,"",IF($D303=1,EOMONTH(EDATE(Bonds!$H303,6*(24-1)),0),EDATE(Bonds!$H303,6*(24-1))))</f>
        <v>50632</v>
      </c>
      <c r="AC303" s="3">
        <f>IF(25&gt;$C303,"",IF($D303=1,EOMONTH(EDATE(Bonds!$H303,6*(25-1)),0),EDATE(Bonds!$H303,6*(25-1))))</f>
        <v>50816</v>
      </c>
      <c r="AD303" s="3">
        <f>IF(26&gt;$C303,"",IF($D303=1,EOMONTH(EDATE(Bonds!$H303,6*(26-1)),0),EDATE(Bonds!$H303,6*(26-1))))</f>
        <v>50997</v>
      </c>
      <c r="AE303" s="3">
        <f>IF(27&gt;$C303,"",IF($D303=1,EOMONTH(EDATE(Bonds!$H303,6*(27-1)),0),EDATE(Bonds!$H303,6*(27-1))))</f>
        <v>51181</v>
      </c>
      <c r="AF303" s="3">
        <f>IF(28&gt;$C303,"",IF($D303=1,EOMONTH(EDATE(Bonds!$H303,6*(28-1)),0),EDATE(Bonds!$H303,6*(28-1))))</f>
        <v>51363</v>
      </c>
      <c r="AG303" s="3">
        <f>IF(29&gt;$C303,"",IF($D303=1,EOMONTH(EDATE(Bonds!$H303,6*(29-1)),0),EDATE(Bonds!$H303,6*(29-1))))</f>
        <v>51547</v>
      </c>
      <c r="AH303" s="3">
        <f>IF(30&gt;$C303,"",IF($D303=1,EOMONTH(EDATE(Bonds!$H303,6*(30-1)),0),EDATE(Bonds!$H303,6*(30-1))))</f>
        <v>51728</v>
      </c>
      <c r="AI303" s="3">
        <f>IF(31&gt;$C303,"",IF($D303=1,EOMONTH(EDATE(Bonds!$H303,6*(31-1)),0),EDATE(Bonds!$H303,6*(31-1))))</f>
        <v>51912</v>
      </c>
      <c r="AJ303" s="3">
        <f>IF(32&gt;$C303,"",IF($D303=1,EOMONTH(EDATE(Bonds!$H303,6*(32-1)),0),EDATE(Bonds!$H303,6*(32-1))))</f>
        <v>52093</v>
      </c>
      <c r="AK303" s="3">
        <f>IF(33&gt;$C303,"",IF($D303=1,EOMONTH(EDATE(Bonds!$H303,6*(33-1)),0),EDATE(Bonds!$H303,6*(33-1))))</f>
        <v>52277</v>
      </c>
      <c r="AL303" s="3">
        <f>IF(34&gt;$C303,"",IF($D303=1,EOMONTH(EDATE(Bonds!$H303,6*(34-1)),0),EDATE(Bonds!$H303,6*(34-1))))</f>
        <v>52458</v>
      </c>
      <c r="AM303" s="3">
        <f>IF(35&gt;$C303,"",IF($D303=1,EOMONTH(EDATE(Bonds!$H303,6*(35-1)),0),EDATE(Bonds!$H303,6*(35-1))))</f>
        <v>52642</v>
      </c>
      <c r="AN303" s="3">
        <f>IF(36&gt;$C303,"",IF($D303=1,EOMONTH(EDATE(Bonds!$H303,6*(36-1)),0),EDATE(Bonds!$H303,6*(36-1))))</f>
        <v>52824</v>
      </c>
      <c r="AO303" s="3" t="str">
        <f>IF(37&gt;$C303,"",IF($D303=1,EOMONTH(EDATE(Bonds!$H303,6*(37-1)),0),EDATE(Bonds!$H303,6*(37-1))))</f>
        <v/>
      </c>
      <c r="AP303" s="3" t="str">
        <f>IF(38&gt;$C303,"",IF($D303=1,EOMONTH(EDATE(Bonds!$H303,6*(38-1)),0),EDATE(Bonds!$H303,6*(38-1))))</f>
        <v/>
      </c>
      <c r="AQ303" s="3" t="str">
        <f>IF(39&gt;$C303,"",IF($D303=1,EOMONTH(EDATE(Bonds!$H303,6*(39-1)),0),EDATE(Bonds!$H303,6*(39-1))))</f>
        <v/>
      </c>
      <c r="AR303" s="3" t="str">
        <f>IF(40&gt;$C303,"",IF($D303=1,EOMONTH(EDATE(Bonds!$H303,6*(40-1)),0),EDATE(Bonds!$H303,6*(40-1))))</f>
        <v/>
      </c>
      <c r="AS303" s="3" t="str">
        <f>IF(41&gt;$C303,"",IF($D303=1,EOMONTH(EDATE(Bonds!$H303,6*(41-1)),0),EDATE(Bonds!$H303,6*(41-1))))</f>
        <v/>
      </c>
      <c r="AT303" s="3" t="str">
        <f>IF(42&gt;$C303,"",IF($D303=1,EOMONTH(EDATE(Bonds!$H303,6*(42-1)),0),EDATE(Bonds!$H303,6*(42-1))))</f>
        <v/>
      </c>
      <c r="AU303" s="3" t="str">
        <f>IF(43&gt;$C303,"",IF($D303=1,EOMONTH(EDATE(Bonds!$H303,6*(43-1)),0),EDATE(Bonds!$H303,6*(43-1))))</f>
        <v/>
      </c>
      <c r="AV303" s="3" t="str">
        <f>IF(44&gt;$C303,"",IF($D303=1,EOMONTH(EDATE(Bonds!$H303,6*(44-1)),0),EDATE(Bonds!$H303,6*(44-1))))</f>
        <v/>
      </c>
      <c r="AW303" s="3" t="str">
        <f>IF(45&gt;$C303,"",IF($D303=1,EOMONTH(EDATE(Bonds!$H303,6*(45-1)),0),EDATE(Bonds!$H303,6*(45-1))))</f>
        <v/>
      </c>
      <c r="AX303" s="3" t="str">
        <f>IF(46&gt;$C303,"",IF($D303=1,EOMONTH(EDATE(Bonds!$H303,6*(46-1)),0),EDATE(Bonds!$H303,6*(46-1))))</f>
        <v/>
      </c>
      <c r="AY303" s="3" t="str">
        <f>IF(47&gt;$C303,"",IF($D303=1,EOMONTH(EDATE(Bonds!$H303,6*(47-1)),0),EDATE(Bonds!$H303,6*(47-1))))</f>
        <v/>
      </c>
      <c r="AZ303" s="3" t="str">
        <f>IF(48&gt;$C303,"",IF($D303=1,EOMONTH(EDATE(Bonds!$H303,6*(48-1)),0),EDATE(Bonds!$H303,6*(48-1))))</f>
        <v/>
      </c>
      <c r="BA303" s="3" t="str">
        <f>IF(49&gt;$C303,"",IF($D303=1,EOMONTH(EDATE(Bonds!$H303,6*(49-1)),0),EDATE(Bonds!$H303,6*(49-1))))</f>
        <v/>
      </c>
      <c r="BB303" s="3" t="str">
        <f>IF(50&gt;$C303,"",IF($D303=1,EOMONTH(EDATE(Bonds!$H303,6*(50-1)),0),EDATE(Bonds!$H303,6*(50-1))))</f>
        <v/>
      </c>
      <c r="BC303" s="3" t="str">
        <f>IF(51&gt;$C303,"",IF($D303=1,EOMONTH(EDATE(Bonds!$H303,6*(51-1)),0),EDATE(Bonds!$H303,6*(51-1))))</f>
        <v/>
      </c>
      <c r="BD303" s="3" t="str">
        <f>IF(52&gt;$C303,"",IF($D303=1,EOMONTH(EDATE(Bonds!$H303,6*(52-1)),0),EDATE(Bonds!$H303,6*(52-1))))</f>
        <v/>
      </c>
      <c r="BE303" s="3" t="str">
        <f>IF(53&gt;$C303,"",IF($D303=1,EOMONTH(EDATE(Bonds!$H303,6*(53-1)),0),EDATE(Bonds!$H303,6*(53-1))))</f>
        <v/>
      </c>
      <c r="BF303" s="3" t="str">
        <f>IF(54&gt;$C303,"",IF($D303=1,EOMONTH(EDATE(Bonds!$H303,6*(54-1)),0),EDATE(Bonds!$H303,6*(54-1))))</f>
        <v/>
      </c>
      <c r="BG303" s="3" t="str">
        <f>IF(55&gt;$C303,"",IF($D303=1,EOMONTH(EDATE(Bonds!$H303,6*(55-1)),0),EDATE(Bonds!$H303,6*(55-1))))</f>
        <v/>
      </c>
      <c r="BH303" s="3" t="str">
        <f>IF(56&gt;$C303,"",IF($D303=1,EOMONTH(EDATE(Bonds!$H303,6*(56-1)),0),EDATE(Bonds!$H303,6*(56-1))))</f>
        <v/>
      </c>
      <c r="BI303" s="3" t="str">
        <f>IF(57&gt;$C303,"",IF($D303=1,EOMONTH(EDATE(Bonds!$H303,6*(57-1)),0),EDATE(Bonds!$H303,6*(57-1))))</f>
        <v/>
      </c>
      <c r="BJ303" s="3" t="str">
        <f>IF(58&gt;$C303,"",IF($D303=1,EOMONTH(EDATE(Bonds!$H303,6*(58-1)),0),EDATE(Bonds!$H303,6*(58-1))))</f>
        <v/>
      </c>
      <c r="BK303" s="3" t="str">
        <f>IF(59&gt;$C303,"",IF($D303=1,EOMONTH(EDATE(Bonds!$H303,6*(59-1)),0),EDATE(Bonds!$H303,6*(59-1))))</f>
        <v/>
      </c>
      <c r="BL303" s="3" t="str">
        <f>IF(60&gt;$C303,"",IF($D303=1,EOMONTH(EDATE(Bonds!$H303,6*(60-1)),0),EDATE(Bonds!$H303,6*(60-1))))</f>
        <v/>
      </c>
      <c r="BN303" s="7">
        <f t="shared" si="245"/>
        <v>1.5359991910640904</v>
      </c>
      <c r="BO303" s="7">
        <f t="shared" si="246"/>
        <v>1.5036229028865442</v>
      </c>
      <c r="BP303" s="7">
        <f t="shared" si="247"/>
        <v>1.4698970434958767</v>
      </c>
      <c r="BQ303" s="7">
        <f t="shared" si="248"/>
        <v>1.43673198842646</v>
      </c>
      <c r="BR303" s="7">
        <f t="shared" si="249"/>
        <v>1.4038626818934399</v>
      </c>
      <c r="BS303" s="7">
        <f t="shared" si="250"/>
        <v>1.3723187651919508</v>
      </c>
      <c r="BT303" s="7">
        <f t="shared" si="251"/>
        <v>1.3410308352862501</v>
      </c>
      <c r="BU303" s="7">
        <f t="shared" si="252"/>
        <v>1.3109199381437842</v>
      </c>
      <c r="BV303" s="7">
        <f t="shared" si="253"/>
        <v>1.2808621863197933</v>
      </c>
      <c r="BW303" s="7">
        <f t="shared" si="254"/>
        <v>1.251719728586963</v>
      </c>
      <c r="BX303" s="7">
        <f t="shared" si="255"/>
        <v>1.2224257818287541</v>
      </c>
      <c r="BY303" s="7">
        <f t="shared" si="256"/>
        <v>1.1937048998428013</v>
      </c>
      <c r="BZ303" s="7">
        <f t="shared" si="257"/>
        <v>1.1648768039403079</v>
      </c>
      <c r="CA303" s="7">
        <f t="shared" si="258"/>
        <v>1.1366987943262463</v>
      </c>
      <c r="CB303" s="7">
        <f t="shared" si="259"/>
        <v>1.1082322265939351</v>
      </c>
      <c r="CC303" s="7">
        <f t="shared" si="260"/>
        <v>1.080416736485641</v>
      </c>
      <c r="CD303" s="7">
        <f t="shared" si="261"/>
        <v>1.0523540733884709</v>
      </c>
      <c r="CE303" s="7">
        <f t="shared" si="262"/>
        <v>1.0249909670058241</v>
      </c>
      <c r="CF303" s="7">
        <f t="shared" si="263"/>
        <v>0.99745806872263798</v>
      </c>
      <c r="CG303" s="7">
        <f t="shared" si="264"/>
        <v>0.97054586007181076</v>
      </c>
      <c r="CH303" s="7">
        <f t="shared" si="265"/>
        <v>0.94370416720680472</v>
      </c>
      <c r="CI303" s="7">
        <f t="shared" si="266"/>
        <v>0.91769874571992349</v>
      </c>
      <c r="CJ303" s="7">
        <f t="shared" si="267"/>
        <v>0.89170547966543312</v>
      </c>
      <c r="CK303" s="7">
        <f t="shared" si="268"/>
        <v>0.86660611908520435</v>
      </c>
      <c r="CL303" s="7">
        <f t="shared" si="269"/>
        <v>0.84159993748704387</v>
      </c>
      <c r="CM303" s="7">
        <f t="shared" si="270"/>
        <v>0.81752912843161218</v>
      </c>
      <c r="CN303" s="7">
        <f t="shared" si="271"/>
        <v>0.79361906313959274</v>
      </c>
      <c r="CO303" s="7">
        <f t="shared" si="272"/>
        <v>0.77054302912377992</v>
      </c>
      <c r="CP303" s="7">
        <f t="shared" si="273"/>
        <v>0.7478091897750796</v>
      </c>
      <c r="CQ303" s="7">
        <f t="shared" si="274"/>
        <v>0.72604172170407832</v>
      </c>
      <c r="CR303" s="7">
        <f t="shared" si="275"/>
        <v>0.70452698129472913</v>
      </c>
      <c r="CS303" s="7">
        <f t="shared" si="276"/>
        <v>0.68397109072384699</v>
      </c>
      <c r="CT303" s="7">
        <f t="shared" si="277"/>
        <v>0.66369430621838321</v>
      </c>
      <c r="CU303" s="7">
        <f t="shared" si="278"/>
        <v>0.64435681941756007</v>
      </c>
      <c r="CV303" s="7">
        <f t="shared" si="279"/>
        <v>0.62531417151277735</v>
      </c>
      <c r="CW303" s="7">
        <f t="shared" si="280"/>
        <v>39.460416928027421</v>
      </c>
      <c r="CX303" s="7">
        <f t="shared" si="281"/>
        <v>0</v>
      </c>
      <c r="CY303" s="7">
        <f t="shared" si="282"/>
        <v>0</v>
      </c>
      <c r="CZ303" s="7">
        <f t="shared" si="283"/>
        <v>0</v>
      </c>
      <c r="DA303" s="7">
        <f t="shared" si="284"/>
        <v>0</v>
      </c>
      <c r="DB303" s="7">
        <f t="shared" si="285"/>
        <v>0</v>
      </c>
      <c r="DC303" s="7">
        <f t="shared" si="286"/>
        <v>0</v>
      </c>
      <c r="DD303" s="7">
        <f t="shared" si="287"/>
        <v>0</v>
      </c>
      <c r="DE303" s="7">
        <f t="shared" si="288"/>
        <v>0</v>
      </c>
      <c r="DF303" s="7">
        <f t="shared" si="289"/>
        <v>0</v>
      </c>
      <c r="DG303" s="7">
        <f t="shared" si="290"/>
        <v>0</v>
      </c>
      <c r="DH303" s="7">
        <f t="shared" si="291"/>
        <v>0</v>
      </c>
      <c r="DI303" s="7">
        <f t="shared" si="292"/>
        <v>0</v>
      </c>
      <c r="DJ303" s="7">
        <f t="shared" si="293"/>
        <v>0</v>
      </c>
      <c r="DK303" s="7">
        <f t="shared" si="294"/>
        <v>0</v>
      </c>
      <c r="DL303" s="7">
        <f t="shared" si="295"/>
        <v>0</v>
      </c>
      <c r="DM303" s="7">
        <f t="shared" si="296"/>
        <v>0</v>
      </c>
      <c r="DN303" s="7">
        <f t="shared" si="297"/>
        <v>0</v>
      </c>
      <c r="DO303" s="7">
        <f t="shared" si="298"/>
        <v>0</v>
      </c>
      <c r="DP303" s="7">
        <f t="shared" si="299"/>
        <v>0</v>
      </c>
      <c r="DQ303" s="7">
        <f t="shared" si="300"/>
        <v>0</v>
      </c>
      <c r="DR303" s="7">
        <f t="shared" si="301"/>
        <v>0</v>
      </c>
      <c r="DS303" s="7">
        <f t="shared" si="302"/>
        <v>0</v>
      </c>
      <c r="DT303" s="7">
        <f t="shared" si="303"/>
        <v>0</v>
      </c>
      <c r="DU303" s="7">
        <f t="shared" si="304"/>
        <v>0</v>
      </c>
    </row>
    <row r="304" spans="1:125" x14ac:dyDescent="0.2">
      <c r="A304" s="3">
        <f>Bonds!A304</f>
        <v>52824</v>
      </c>
      <c r="B304" s="4">
        <f>Bonds!B304</f>
        <v>4.125</v>
      </c>
      <c r="C304">
        <f>Bonds!P304</f>
        <v>36</v>
      </c>
      <c r="D304">
        <f t="shared" si="244"/>
        <v>0</v>
      </c>
      <c r="E304" s="3">
        <f>IF(1&gt;$C304,"",IF($D304=1,EOMONTH(EDATE(Bonds!$H304,6*(1-1)),0),EDATE(Bonds!$H304,6*(1-1))))</f>
        <v>46433</v>
      </c>
      <c r="F304" s="3">
        <f>IF(2&gt;$C304,"",IF($D304=1,EOMONTH(EDATE(Bonds!$H304,6*(2-1)),0),EDATE(Bonds!$H304,6*(2-1))))</f>
        <v>46614</v>
      </c>
      <c r="G304" s="3">
        <f>IF(3&gt;$C304,"",IF($D304=1,EOMONTH(EDATE(Bonds!$H304,6*(3-1)),0),EDATE(Bonds!$H304,6*(3-1))))</f>
        <v>46798</v>
      </c>
      <c r="H304" s="3">
        <f>IF(4&gt;$C304,"",IF($D304=1,EOMONTH(EDATE(Bonds!$H304,6*(4-1)),0),EDATE(Bonds!$H304,6*(4-1))))</f>
        <v>46980</v>
      </c>
      <c r="I304" s="3">
        <f>IF(5&gt;$C304,"",IF($D304=1,EOMONTH(EDATE(Bonds!$H304,6*(5-1)),0),EDATE(Bonds!$H304,6*(5-1))))</f>
        <v>47164</v>
      </c>
      <c r="J304" s="3">
        <f>IF(6&gt;$C304,"",IF($D304=1,EOMONTH(EDATE(Bonds!$H304,6*(6-1)),0),EDATE(Bonds!$H304,6*(6-1))))</f>
        <v>47345</v>
      </c>
      <c r="K304" s="3">
        <f>IF(7&gt;$C304,"",IF($D304=1,EOMONTH(EDATE(Bonds!$H304,6*(7-1)),0),EDATE(Bonds!$H304,6*(7-1))))</f>
        <v>47529</v>
      </c>
      <c r="L304" s="3">
        <f>IF(8&gt;$C304,"",IF($D304=1,EOMONTH(EDATE(Bonds!$H304,6*(8-1)),0),EDATE(Bonds!$H304,6*(8-1))))</f>
        <v>47710</v>
      </c>
      <c r="M304" s="3">
        <f>IF(9&gt;$C304,"",IF($D304=1,EOMONTH(EDATE(Bonds!$H304,6*(9-1)),0),EDATE(Bonds!$H304,6*(9-1))))</f>
        <v>47894</v>
      </c>
      <c r="N304" s="3">
        <f>IF(10&gt;$C304,"",IF($D304=1,EOMONTH(EDATE(Bonds!$H304,6*(10-1)),0),EDATE(Bonds!$H304,6*(10-1))))</f>
        <v>48075</v>
      </c>
      <c r="O304" s="3">
        <f>IF(11&gt;$C304,"",IF($D304=1,EOMONTH(EDATE(Bonds!$H304,6*(11-1)),0),EDATE(Bonds!$H304,6*(11-1))))</f>
        <v>48259</v>
      </c>
      <c r="P304" s="3">
        <f>IF(12&gt;$C304,"",IF($D304=1,EOMONTH(EDATE(Bonds!$H304,6*(12-1)),0),EDATE(Bonds!$H304,6*(12-1))))</f>
        <v>48441</v>
      </c>
      <c r="Q304" s="3">
        <f>IF(13&gt;$C304,"",IF($D304=1,EOMONTH(EDATE(Bonds!$H304,6*(13-1)),0),EDATE(Bonds!$H304,6*(13-1))))</f>
        <v>48625</v>
      </c>
      <c r="R304" s="3">
        <f>IF(14&gt;$C304,"",IF($D304=1,EOMONTH(EDATE(Bonds!$H304,6*(14-1)),0),EDATE(Bonds!$H304,6*(14-1))))</f>
        <v>48806</v>
      </c>
      <c r="S304" s="3">
        <f>IF(15&gt;$C304,"",IF($D304=1,EOMONTH(EDATE(Bonds!$H304,6*(15-1)),0),EDATE(Bonds!$H304,6*(15-1))))</f>
        <v>48990</v>
      </c>
      <c r="T304" s="3">
        <f>IF(16&gt;$C304,"",IF($D304=1,EOMONTH(EDATE(Bonds!$H304,6*(16-1)),0),EDATE(Bonds!$H304,6*(16-1))))</f>
        <v>49171</v>
      </c>
      <c r="U304" s="3">
        <f>IF(17&gt;$C304,"",IF($D304=1,EOMONTH(EDATE(Bonds!$H304,6*(17-1)),0),EDATE(Bonds!$H304,6*(17-1))))</f>
        <v>49355</v>
      </c>
      <c r="V304" s="3">
        <f>IF(18&gt;$C304,"",IF($D304=1,EOMONTH(EDATE(Bonds!$H304,6*(18-1)),0),EDATE(Bonds!$H304,6*(18-1))))</f>
        <v>49536</v>
      </c>
      <c r="W304" s="3">
        <f>IF(19&gt;$C304,"",IF($D304=1,EOMONTH(EDATE(Bonds!$H304,6*(19-1)),0),EDATE(Bonds!$H304,6*(19-1))))</f>
        <v>49720</v>
      </c>
      <c r="X304" s="3">
        <f>IF(20&gt;$C304,"",IF($D304=1,EOMONTH(EDATE(Bonds!$H304,6*(20-1)),0),EDATE(Bonds!$H304,6*(20-1))))</f>
        <v>49902</v>
      </c>
      <c r="Y304" s="3">
        <f>IF(21&gt;$C304,"",IF($D304=1,EOMONTH(EDATE(Bonds!$H304,6*(21-1)),0),EDATE(Bonds!$H304,6*(21-1))))</f>
        <v>50086</v>
      </c>
      <c r="Z304" s="3">
        <f>IF(22&gt;$C304,"",IF($D304=1,EOMONTH(EDATE(Bonds!$H304,6*(22-1)),0),EDATE(Bonds!$H304,6*(22-1))))</f>
        <v>50267</v>
      </c>
      <c r="AA304" s="3">
        <f>IF(23&gt;$C304,"",IF($D304=1,EOMONTH(EDATE(Bonds!$H304,6*(23-1)),0),EDATE(Bonds!$H304,6*(23-1))))</f>
        <v>50451</v>
      </c>
      <c r="AB304" s="3">
        <f>IF(24&gt;$C304,"",IF($D304=1,EOMONTH(EDATE(Bonds!$H304,6*(24-1)),0),EDATE(Bonds!$H304,6*(24-1))))</f>
        <v>50632</v>
      </c>
      <c r="AC304" s="3">
        <f>IF(25&gt;$C304,"",IF($D304=1,EOMONTH(EDATE(Bonds!$H304,6*(25-1)),0),EDATE(Bonds!$H304,6*(25-1))))</f>
        <v>50816</v>
      </c>
      <c r="AD304" s="3">
        <f>IF(26&gt;$C304,"",IF($D304=1,EOMONTH(EDATE(Bonds!$H304,6*(26-1)),0),EDATE(Bonds!$H304,6*(26-1))))</f>
        <v>50997</v>
      </c>
      <c r="AE304" s="3">
        <f>IF(27&gt;$C304,"",IF($D304=1,EOMONTH(EDATE(Bonds!$H304,6*(27-1)),0),EDATE(Bonds!$H304,6*(27-1))))</f>
        <v>51181</v>
      </c>
      <c r="AF304" s="3">
        <f>IF(28&gt;$C304,"",IF($D304=1,EOMONTH(EDATE(Bonds!$H304,6*(28-1)),0),EDATE(Bonds!$H304,6*(28-1))))</f>
        <v>51363</v>
      </c>
      <c r="AG304" s="3">
        <f>IF(29&gt;$C304,"",IF($D304=1,EOMONTH(EDATE(Bonds!$H304,6*(29-1)),0),EDATE(Bonds!$H304,6*(29-1))))</f>
        <v>51547</v>
      </c>
      <c r="AH304" s="3">
        <f>IF(30&gt;$C304,"",IF($D304=1,EOMONTH(EDATE(Bonds!$H304,6*(30-1)),0),EDATE(Bonds!$H304,6*(30-1))))</f>
        <v>51728</v>
      </c>
      <c r="AI304" s="3">
        <f>IF(31&gt;$C304,"",IF($D304=1,EOMONTH(EDATE(Bonds!$H304,6*(31-1)),0),EDATE(Bonds!$H304,6*(31-1))))</f>
        <v>51912</v>
      </c>
      <c r="AJ304" s="3">
        <f>IF(32&gt;$C304,"",IF($D304=1,EOMONTH(EDATE(Bonds!$H304,6*(32-1)),0),EDATE(Bonds!$H304,6*(32-1))))</f>
        <v>52093</v>
      </c>
      <c r="AK304" s="3">
        <f>IF(33&gt;$C304,"",IF($D304=1,EOMONTH(EDATE(Bonds!$H304,6*(33-1)),0),EDATE(Bonds!$H304,6*(33-1))))</f>
        <v>52277</v>
      </c>
      <c r="AL304" s="3">
        <f>IF(34&gt;$C304,"",IF($D304=1,EOMONTH(EDATE(Bonds!$H304,6*(34-1)),0),EDATE(Bonds!$H304,6*(34-1))))</f>
        <v>52458</v>
      </c>
      <c r="AM304" s="3">
        <f>IF(35&gt;$C304,"",IF($D304=1,EOMONTH(EDATE(Bonds!$H304,6*(35-1)),0),EDATE(Bonds!$H304,6*(35-1))))</f>
        <v>52642</v>
      </c>
      <c r="AN304" s="3">
        <f>IF(36&gt;$C304,"",IF($D304=1,EOMONTH(EDATE(Bonds!$H304,6*(36-1)),0),EDATE(Bonds!$H304,6*(36-1))))</f>
        <v>52824</v>
      </c>
      <c r="AO304" s="3" t="str">
        <f>IF(37&gt;$C304,"",IF($D304=1,EOMONTH(EDATE(Bonds!$H304,6*(37-1)),0),EDATE(Bonds!$H304,6*(37-1))))</f>
        <v/>
      </c>
      <c r="AP304" s="3" t="str">
        <f>IF(38&gt;$C304,"",IF($D304=1,EOMONTH(EDATE(Bonds!$H304,6*(38-1)),0),EDATE(Bonds!$H304,6*(38-1))))</f>
        <v/>
      </c>
      <c r="AQ304" s="3" t="str">
        <f>IF(39&gt;$C304,"",IF($D304=1,EOMONTH(EDATE(Bonds!$H304,6*(39-1)),0),EDATE(Bonds!$H304,6*(39-1))))</f>
        <v/>
      </c>
      <c r="AR304" s="3" t="str">
        <f>IF(40&gt;$C304,"",IF($D304=1,EOMONTH(EDATE(Bonds!$H304,6*(40-1)),0),EDATE(Bonds!$H304,6*(40-1))))</f>
        <v/>
      </c>
      <c r="AS304" s="3" t="str">
        <f>IF(41&gt;$C304,"",IF($D304=1,EOMONTH(EDATE(Bonds!$H304,6*(41-1)),0),EDATE(Bonds!$H304,6*(41-1))))</f>
        <v/>
      </c>
      <c r="AT304" s="3" t="str">
        <f>IF(42&gt;$C304,"",IF($D304=1,EOMONTH(EDATE(Bonds!$H304,6*(42-1)),0),EDATE(Bonds!$H304,6*(42-1))))</f>
        <v/>
      </c>
      <c r="AU304" s="3" t="str">
        <f>IF(43&gt;$C304,"",IF($D304=1,EOMONTH(EDATE(Bonds!$H304,6*(43-1)),0),EDATE(Bonds!$H304,6*(43-1))))</f>
        <v/>
      </c>
      <c r="AV304" s="3" t="str">
        <f>IF(44&gt;$C304,"",IF($D304=1,EOMONTH(EDATE(Bonds!$H304,6*(44-1)),0),EDATE(Bonds!$H304,6*(44-1))))</f>
        <v/>
      </c>
      <c r="AW304" s="3" t="str">
        <f>IF(45&gt;$C304,"",IF($D304=1,EOMONTH(EDATE(Bonds!$H304,6*(45-1)),0),EDATE(Bonds!$H304,6*(45-1))))</f>
        <v/>
      </c>
      <c r="AX304" s="3" t="str">
        <f>IF(46&gt;$C304,"",IF($D304=1,EOMONTH(EDATE(Bonds!$H304,6*(46-1)),0),EDATE(Bonds!$H304,6*(46-1))))</f>
        <v/>
      </c>
      <c r="AY304" s="3" t="str">
        <f>IF(47&gt;$C304,"",IF($D304=1,EOMONTH(EDATE(Bonds!$H304,6*(47-1)),0),EDATE(Bonds!$H304,6*(47-1))))</f>
        <v/>
      </c>
      <c r="AZ304" s="3" t="str">
        <f>IF(48&gt;$C304,"",IF($D304=1,EOMONTH(EDATE(Bonds!$H304,6*(48-1)),0),EDATE(Bonds!$H304,6*(48-1))))</f>
        <v/>
      </c>
      <c r="BA304" s="3" t="str">
        <f>IF(49&gt;$C304,"",IF($D304=1,EOMONTH(EDATE(Bonds!$H304,6*(49-1)),0),EDATE(Bonds!$H304,6*(49-1))))</f>
        <v/>
      </c>
      <c r="BB304" s="3" t="str">
        <f>IF(50&gt;$C304,"",IF($D304=1,EOMONTH(EDATE(Bonds!$H304,6*(50-1)),0),EDATE(Bonds!$H304,6*(50-1))))</f>
        <v/>
      </c>
      <c r="BC304" s="3" t="str">
        <f>IF(51&gt;$C304,"",IF($D304=1,EOMONTH(EDATE(Bonds!$H304,6*(51-1)),0),EDATE(Bonds!$H304,6*(51-1))))</f>
        <v/>
      </c>
      <c r="BD304" s="3" t="str">
        <f>IF(52&gt;$C304,"",IF($D304=1,EOMONTH(EDATE(Bonds!$H304,6*(52-1)),0),EDATE(Bonds!$H304,6*(52-1))))</f>
        <v/>
      </c>
      <c r="BE304" s="3" t="str">
        <f>IF(53&gt;$C304,"",IF($D304=1,EOMONTH(EDATE(Bonds!$H304,6*(53-1)),0),EDATE(Bonds!$H304,6*(53-1))))</f>
        <v/>
      </c>
      <c r="BF304" s="3" t="str">
        <f>IF(54&gt;$C304,"",IF($D304=1,EOMONTH(EDATE(Bonds!$H304,6*(54-1)),0),EDATE(Bonds!$H304,6*(54-1))))</f>
        <v/>
      </c>
      <c r="BG304" s="3" t="str">
        <f>IF(55&gt;$C304,"",IF($D304=1,EOMONTH(EDATE(Bonds!$H304,6*(55-1)),0),EDATE(Bonds!$H304,6*(55-1))))</f>
        <v/>
      </c>
      <c r="BH304" s="3" t="str">
        <f>IF(56&gt;$C304,"",IF($D304=1,EOMONTH(EDATE(Bonds!$H304,6*(56-1)),0),EDATE(Bonds!$H304,6*(56-1))))</f>
        <v/>
      </c>
      <c r="BI304" s="3" t="str">
        <f>IF(57&gt;$C304,"",IF($D304=1,EOMONTH(EDATE(Bonds!$H304,6*(57-1)),0),EDATE(Bonds!$H304,6*(57-1))))</f>
        <v/>
      </c>
      <c r="BJ304" s="3" t="str">
        <f>IF(58&gt;$C304,"",IF($D304=1,EOMONTH(EDATE(Bonds!$H304,6*(58-1)),0),EDATE(Bonds!$H304,6*(58-1))))</f>
        <v/>
      </c>
      <c r="BK304" s="3" t="str">
        <f>IF(59&gt;$C304,"",IF($D304=1,EOMONTH(EDATE(Bonds!$H304,6*(59-1)),0),EDATE(Bonds!$H304,6*(59-1))))</f>
        <v/>
      </c>
      <c r="BL304" s="3" t="str">
        <f>IF(60&gt;$C304,"",IF($D304=1,EOMONTH(EDATE(Bonds!$H304,6*(60-1)),0),EDATE(Bonds!$H304,6*(60-1))))</f>
        <v/>
      </c>
      <c r="BN304" s="7">
        <f t="shared" si="245"/>
        <v>2.0275189322045994</v>
      </c>
      <c r="BO304" s="7">
        <f t="shared" si="246"/>
        <v>1.9847822318102384</v>
      </c>
      <c r="BP304" s="7">
        <f t="shared" si="247"/>
        <v>1.9402640974145573</v>
      </c>
      <c r="BQ304" s="7">
        <f t="shared" si="248"/>
        <v>1.8964862247229273</v>
      </c>
      <c r="BR304" s="7">
        <f t="shared" si="249"/>
        <v>1.8530987400993406</v>
      </c>
      <c r="BS304" s="7">
        <f t="shared" si="250"/>
        <v>1.8114607700533749</v>
      </c>
      <c r="BT304" s="7">
        <f t="shared" si="251"/>
        <v>1.7701607025778501</v>
      </c>
      <c r="BU304" s="7">
        <f t="shared" si="252"/>
        <v>1.7304143183497951</v>
      </c>
      <c r="BV304" s="7">
        <f t="shared" si="253"/>
        <v>1.690738085942127</v>
      </c>
      <c r="BW304" s="7">
        <f t="shared" si="254"/>
        <v>1.6522700417347913</v>
      </c>
      <c r="BX304" s="7">
        <f t="shared" si="255"/>
        <v>1.6136020320139555</v>
      </c>
      <c r="BY304" s="7">
        <f t="shared" si="256"/>
        <v>1.5756904677924977</v>
      </c>
      <c r="BZ304" s="7">
        <f t="shared" si="257"/>
        <v>1.5376373812012063</v>
      </c>
      <c r="CA304" s="7">
        <f t="shared" si="258"/>
        <v>1.5004424085106451</v>
      </c>
      <c r="CB304" s="7">
        <f t="shared" si="259"/>
        <v>1.4628665391039943</v>
      </c>
      <c r="CC304" s="7">
        <f t="shared" si="260"/>
        <v>1.4261500921610459</v>
      </c>
      <c r="CD304" s="7">
        <f t="shared" si="261"/>
        <v>1.3891073768727815</v>
      </c>
      <c r="CE304" s="7">
        <f t="shared" si="262"/>
        <v>1.3529880764476878</v>
      </c>
      <c r="CF304" s="7">
        <f t="shared" si="263"/>
        <v>1.3166446507138823</v>
      </c>
      <c r="CG304" s="7">
        <f t="shared" si="264"/>
        <v>1.2811205352947901</v>
      </c>
      <c r="CH304" s="7">
        <f t="shared" si="265"/>
        <v>1.2456895007129822</v>
      </c>
      <c r="CI304" s="7">
        <f t="shared" si="266"/>
        <v>1.211362344350299</v>
      </c>
      <c r="CJ304" s="7">
        <f t="shared" si="267"/>
        <v>1.1770512331583718</v>
      </c>
      <c r="CK304" s="7">
        <f t="shared" si="268"/>
        <v>1.1439200771924698</v>
      </c>
      <c r="CL304" s="7">
        <f t="shared" si="269"/>
        <v>1.1109119174828979</v>
      </c>
      <c r="CM304" s="7">
        <f t="shared" si="270"/>
        <v>1.079138449529728</v>
      </c>
      <c r="CN304" s="7">
        <f t="shared" si="271"/>
        <v>1.0475771633442625</v>
      </c>
      <c r="CO304" s="7">
        <f t="shared" si="272"/>
        <v>1.0171167984433895</v>
      </c>
      <c r="CP304" s="7">
        <f t="shared" si="273"/>
        <v>0.98710813050310497</v>
      </c>
      <c r="CQ304" s="7">
        <f t="shared" si="274"/>
        <v>0.95837507264938337</v>
      </c>
      <c r="CR304" s="7">
        <f t="shared" si="275"/>
        <v>0.92997561530904238</v>
      </c>
      <c r="CS304" s="7">
        <f t="shared" si="276"/>
        <v>0.90284183975547805</v>
      </c>
      <c r="CT304" s="7">
        <f t="shared" si="277"/>
        <v>0.87607648420826578</v>
      </c>
      <c r="CU304" s="7">
        <f t="shared" si="278"/>
        <v>0.85055100163117925</v>
      </c>
      <c r="CV304" s="7">
        <f t="shared" si="279"/>
        <v>0.82541470639686609</v>
      </c>
      <c r="CW304" s="7">
        <f t="shared" si="280"/>
        <v>39.654683595980785</v>
      </c>
      <c r="CX304" s="7">
        <f t="shared" si="281"/>
        <v>0</v>
      </c>
      <c r="CY304" s="7">
        <f t="shared" si="282"/>
        <v>0</v>
      </c>
      <c r="CZ304" s="7">
        <f t="shared" si="283"/>
        <v>0</v>
      </c>
      <c r="DA304" s="7">
        <f t="shared" si="284"/>
        <v>0</v>
      </c>
      <c r="DB304" s="7">
        <f t="shared" si="285"/>
        <v>0</v>
      </c>
      <c r="DC304" s="7">
        <f t="shared" si="286"/>
        <v>0</v>
      </c>
      <c r="DD304" s="7">
        <f t="shared" si="287"/>
        <v>0</v>
      </c>
      <c r="DE304" s="7">
        <f t="shared" si="288"/>
        <v>0</v>
      </c>
      <c r="DF304" s="7">
        <f t="shared" si="289"/>
        <v>0</v>
      </c>
      <c r="DG304" s="7">
        <f t="shared" si="290"/>
        <v>0</v>
      </c>
      <c r="DH304" s="7">
        <f t="shared" si="291"/>
        <v>0</v>
      </c>
      <c r="DI304" s="7">
        <f t="shared" si="292"/>
        <v>0</v>
      </c>
      <c r="DJ304" s="7">
        <f t="shared" si="293"/>
        <v>0</v>
      </c>
      <c r="DK304" s="7">
        <f t="shared" si="294"/>
        <v>0</v>
      </c>
      <c r="DL304" s="7">
        <f t="shared" si="295"/>
        <v>0</v>
      </c>
      <c r="DM304" s="7">
        <f t="shared" si="296"/>
        <v>0</v>
      </c>
      <c r="DN304" s="7">
        <f t="shared" si="297"/>
        <v>0</v>
      </c>
      <c r="DO304" s="7">
        <f t="shared" si="298"/>
        <v>0</v>
      </c>
      <c r="DP304" s="7">
        <f t="shared" si="299"/>
        <v>0</v>
      </c>
      <c r="DQ304" s="7">
        <f t="shared" si="300"/>
        <v>0</v>
      </c>
      <c r="DR304" s="7">
        <f t="shared" si="301"/>
        <v>0</v>
      </c>
      <c r="DS304" s="7">
        <f t="shared" si="302"/>
        <v>0</v>
      </c>
      <c r="DT304" s="7">
        <f t="shared" si="303"/>
        <v>0</v>
      </c>
      <c r="DU304" s="7">
        <f t="shared" si="304"/>
        <v>0</v>
      </c>
    </row>
    <row r="305" spans="1:125" x14ac:dyDescent="0.2">
      <c r="A305" s="3">
        <f>Bonds!A305</f>
        <v>52916</v>
      </c>
      <c r="B305" s="4">
        <f>Bonds!B305</f>
        <v>3</v>
      </c>
      <c r="C305">
        <f>Bonds!P305</f>
        <v>37</v>
      </c>
      <c r="D305">
        <f t="shared" si="244"/>
        <v>0</v>
      </c>
      <c r="E305" s="3">
        <f>IF(1&gt;$C305,"",IF($D305=1,EOMONTH(EDATE(Bonds!$H305,6*(1-1)),0),EDATE(Bonds!$H305,6*(1-1))))</f>
        <v>46341</v>
      </c>
      <c r="F305" s="3">
        <f>IF(2&gt;$C305,"",IF($D305=1,EOMONTH(EDATE(Bonds!$H305,6*(2-1)),0),EDATE(Bonds!$H305,6*(2-1))))</f>
        <v>46522</v>
      </c>
      <c r="G305" s="3">
        <f>IF(3&gt;$C305,"",IF($D305=1,EOMONTH(EDATE(Bonds!$H305,6*(3-1)),0),EDATE(Bonds!$H305,6*(3-1))))</f>
        <v>46706</v>
      </c>
      <c r="H305" s="3">
        <f>IF(4&gt;$C305,"",IF($D305=1,EOMONTH(EDATE(Bonds!$H305,6*(4-1)),0),EDATE(Bonds!$H305,6*(4-1))))</f>
        <v>46888</v>
      </c>
      <c r="I305" s="3">
        <f>IF(5&gt;$C305,"",IF($D305=1,EOMONTH(EDATE(Bonds!$H305,6*(5-1)),0),EDATE(Bonds!$H305,6*(5-1))))</f>
        <v>47072</v>
      </c>
      <c r="J305" s="3">
        <f>IF(6&gt;$C305,"",IF($D305=1,EOMONTH(EDATE(Bonds!$H305,6*(6-1)),0),EDATE(Bonds!$H305,6*(6-1))))</f>
        <v>47253</v>
      </c>
      <c r="K305" s="3">
        <f>IF(7&gt;$C305,"",IF($D305=1,EOMONTH(EDATE(Bonds!$H305,6*(7-1)),0),EDATE(Bonds!$H305,6*(7-1))))</f>
        <v>47437</v>
      </c>
      <c r="L305" s="3">
        <f>IF(8&gt;$C305,"",IF($D305=1,EOMONTH(EDATE(Bonds!$H305,6*(8-1)),0),EDATE(Bonds!$H305,6*(8-1))))</f>
        <v>47618</v>
      </c>
      <c r="M305" s="3">
        <f>IF(9&gt;$C305,"",IF($D305=1,EOMONTH(EDATE(Bonds!$H305,6*(9-1)),0),EDATE(Bonds!$H305,6*(9-1))))</f>
        <v>47802</v>
      </c>
      <c r="N305" s="3">
        <f>IF(10&gt;$C305,"",IF($D305=1,EOMONTH(EDATE(Bonds!$H305,6*(10-1)),0),EDATE(Bonds!$H305,6*(10-1))))</f>
        <v>47983</v>
      </c>
      <c r="O305" s="3">
        <f>IF(11&gt;$C305,"",IF($D305=1,EOMONTH(EDATE(Bonds!$H305,6*(11-1)),0),EDATE(Bonds!$H305,6*(11-1))))</f>
        <v>48167</v>
      </c>
      <c r="P305" s="3">
        <f>IF(12&gt;$C305,"",IF($D305=1,EOMONTH(EDATE(Bonds!$H305,6*(12-1)),0),EDATE(Bonds!$H305,6*(12-1))))</f>
        <v>48349</v>
      </c>
      <c r="Q305" s="3">
        <f>IF(13&gt;$C305,"",IF($D305=1,EOMONTH(EDATE(Bonds!$H305,6*(13-1)),0),EDATE(Bonds!$H305,6*(13-1))))</f>
        <v>48533</v>
      </c>
      <c r="R305" s="3">
        <f>IF(14&gt;$C305,"",IF($D305=1,EOMONTH(EDATE(Bonds!$H305,6*(14-1)),0),EDATE(Bonds!$H305,6*(14-1))))</f>
        <v>48714</v>
      </c>
      <c r="S305" s="3">
        <f>IF(15&gt;$C305,"",IF($D305=1,EOMONTH(EDATE(Bonds!$H305,6*(15-1)),0),EDATE(Bonds!$H305,6*(15-1))))</f>
        <v>48898</v>
      </c>
      <c r="T305" s="3">
        <f>IF(16&gt;$C305,"",IF($D305=1,EOMONTH(EDATE(Bonds!$H305,6*(16-1)),0),EDATE(Bonds!$H305,6*(16-1))))</f>
        <v>49079</v>
      </c>
      <c r="U305" s="3">
        <f>IF(17&gt;$C305,"",IF($D305=1,EOMONTH(EDATE(Bonds!$H305,6*(17-1)),0),EDATE(Bonds!$H305,6*(17-1))))</f>
        <v>49263</v>
      </c>
      <c r="V305" s="3">
        <f>IF(18&gt;$C305,"",IF($D305=1,EOMONTH(EDATE(Bonds!$H305,6*(18-1)),0),EDATE(Bonds!$H305,6*(18-1))))</f>
        <v>49444</v>
      </c>
      <c r="W305" s="3">
        <f>IF(19&gt;$C305,"",IF($D305=1,EOMONTH(EDATE(Bonds!$H305,6*(19-1)),0),EDATE(Bonds!$H305,6*(19-1))))</f>
        <v>49628</v>
      </c>
      <c r="X305" s="3">
        <f>IF(20&gt;$C305,"",IF($D305=1,EOMONTH(EDATE(Bonds!$H305,6*(20-1)),0),EDATE(Bonds!$H305,6*(20-1))))</f>
        <v>49810</v>
      </c>
      <c r="Y305" s="3">
        <f>IF(21&gt;$C305,"",IF($D305=1,EOMONTH(EDATE(Bonds!$H305,6*(21-1)),0),EDATE(Bonds!$H305,6*(21-1))))</f>
        <v>49994</v>
      </c>
      <c r="Z305" s="3">
        <f>IF(22&gt;$C305,"",IF($D305=1,EOMONTH(EDATE(Bonds!$H305,6*(22-1)),0),EDATE(Bonds!$H305,6*(22-1))))</f>
        <v>50175</v>
      </c>
      <c r="AA305" s="3">
        <f>IF(23&gt;$C305,"",IF($D305=1,EOMONTH(EDATE(Bonds!$H305,6*(23-1)),0),EDATE(Bonds!$H305,6*(23-1))))</f>
        <v>50359</v>
      </c>
      <c r="AB305" s="3">
        <f>IF(24&gt;$C305,"",IF($D305=1,EOMONTH(EDATE(Bonds!$H305,6*(24-1)),0),EDATE(Bonds!$H305,6*(24-1))))</f>
        <v>50540</v>
      </c>
      <c r="AC305" s="3">
        <f>IF(25&gt;$C305,"",IF($D305=1,EOMONTH(EDATE(Bonds!$H305,6*(25-1)),0),EDATE(Bonds!$H305,6*(25-1))))</f>
        <v>50724</v>
      </c>
      <c r="AD305" s="3">
        <f>IF(26&gt;$C305,"",IF($D305=1,EOMONTH(EDATE(Bonds!$H305,6*(26-1)),0),EDATE(Bonds!$H305,6*(26-1))))</f>
        <v>50905</v>
      </c>
      <c r="AE305" s="3">
        <f>IF(27&gt;$C305,"",IF($D305=1,EOMONTH(EDATE(Bonds!$H305,6*(27-1)),0),EDATE(Bonds!$H305,6*(27-1))))</f>
        <v>51089</v>
      </c>
      <c r="AF305" s="3">
        <f>IF(28&gt;$C305,"",IF($D305=1,EOMONTH(EDATE(Bonds!$H305,6*(28-1)),0),EDATE(Bonds!$H305,6*(28-1))))</f>
        <v>51271</v>
      </c>
      <c r="AG305" s="3">
        <f>IF(29&gt;$C305,"",IF($D305=1,EOMONTH(EDATE(Bonds!$H305,6*(29-1)),0),EDATE(Bonds!$H305,6*(29-1))))</f>
        <v>51455</v>
      </c>
      <c r="AH305" s="3">
        <f>IF(30&gt;$C305,"",IF($D305=1,EOMONTH(EDATE(Bonds!$H305,6*(30-1)),0),EDATE(Bonds!$H305,6*(30-1))))</f>
        <v>51636</v>
      </c>
      <c r="AI305" s="3">
        <f>IF(31&gt;$C305,"",IF($D305=1,EOMONTH(EDATE(Bonds!$H305,6*(31-1)),0),EDATE(Bonds!$H305,6*(31-1))))</f>
        <v>51820</v>
      </c>
      <c r="AJ305" s="3">
        <f>IF(32&gt;$C305,"",IF($D305=1,EOMONTH(EDATE(Bonds!$H305,6*(32-1)),0),EDATE(Bonds!$H305,6*(32-1))))</f>
        <v>52001</v>
      </c>
      <c r="AK305" s="3">
        <f>IF(33&gt;$C305,"",IF($D305=1,EOMONTH(EDATE(Bonds!$H305,6*(33-1)),0),EDATE(Bonds!$H305,6*(33-1))))</f>
        <v>52185</v>
      </c>
      <c r="AL305" s="3">
        <f>IF(34&gt;$C305,"",IF($D305=1,EOMONTH(EDATE(Bonds!$H305,6*(34-1)),0),EDATE(Bonds!$H305,6*(34-1))))</f>
        <v>52366</v>
      </c>
      <c r="AM305" s="3">
        <f>IF(35&gt;$C305,"",IF($D305=1,EOMONTH(EDATE(Bonds!$H305,6*(35-1)),0),EDATE(Bonds!$H305,6*(35-1))))</f>
        <v>52550</v>
      </c>
      <c r="AN305" s="3">
        <f>IF(36&gt;$C305,"",IF($D305=1,EOMONTH(EDATE(Bonds!$H305,6*(36-1)),0),EDATE(Bonds!$H305,6*(36-1))))</f>
        <v>52732</v>
      </c>
      <c r="AO305" s="3">
        <f>IF(37&gt;$C305,"",IF($D305=1,EOMONTH(EDATE(Bonds!$H305,6*(37-1)),0),EDATE(Bonds!$H305,6*(37-1))))</f>
        <v>52916</v>
      </c>
      <c r="AP305" s="3" t="str">
        <f>IF(38&gt;$C305,"",IF($D305=1,EOMONTH(EDATE(Bonds!$H305,6*(38-1)),0),EDATE(Bonds!$H305,6*(38-1))))</f>
        <v/>
      </c>
      <c r="AQ305" s="3" t="str">
        <f>IF(39&gt;$C305,"",IF($D305=1,EOMONTH(EDATE(Bonds!$H305,6*(39-1)),0),EDATE(Bonds!$H305,6*(39-1))))</f>
        <v/>
      </c>
      <c r="AR305" s="3" t="str">
        <f>IF(40&gt;$C305,"",IF($D305=1,EOMONTH(EDATE(Bonds!$H305,6*(40-1)),0),EDATE(Bonds!$H305,6*(40-1))))</f>
        <v/>
      </c>
      <c r="AS305" s="3" t="str">
        <f>IF(41&gt;$C305,"",IF($D305=1,EOMONTH(EDATE(Bonds!$H305,6*(41-1)),0),EDATE(Bonds!$H305,6*(41-1))))</f>
        <v/>
      </c>
      <c r="AT305" s="3" t="str">
        <f>IF(42&gt;$C305,"",IF($D305=1,EOMONTH(EDATE(Bonds!$H305,6*(42-1)),0),EDATE(Bonds!$H305,6*(42-1))))</f>
        <v/>
      </c>
      <c r="AU305" s="3" t="str">
        <f>IF(43&gt;$C305,"",IF($D305=1,EOMONTH(EDATE(Bonds!$H305,6*(43-1)),0),EDATE(Bonds!$H305,6*(43-1))))</f>
        <v/>
      </c>
      <c r="AV305" s="3" t="str">
        <f>IF(44&gt;$C305,"",IF($D305=1,EOMONTH(EDATE(Bonds!$H305,6*(44-1)),0),EDATE(Bonds!$H305,6*(44-1))))</f>
        <v/>
      </c>
      <c r="AW305" s="3" t="str">
        <f>IF(45&gt;$C305,"",IF($D305=1,EOMONTH(EDATE(Bonds!$H305,6*(45-1)),0),EDATE(Bonds!$H305,6*(45-1))))</f>
        <v/>
      </c>
      <c r="AX305" s="3" t="str">
        <f>IF(46&gt;$C305,"",IF($D305=1,EOMONTH(EDATE(Bonds!$H305,6*(46-1)),0),EDATE(Bonds!$H305,6*(46-1))))</f>
        <v/>
      </c>
      <c r="AY305" s="3" t="str">
        <f>IF(47&gt;$C305,"",IF($D305=1,EOMONTH(EDATE(Bonds!$H305,6*(47-1)),0),EDATE(Bonds!$H305,6*(47-1))))</f>
        <v/>
      </c>
      <c r="AZ305" s="3" t="str">
        <f>IF(48&gt;$C305,"",IF($D305=1,EOMONTH(EDATE(Bonds!$H305,6*(48-1)),0),EDATE(Bonds!$H305,6*(48-1))))</f>
        <v/>
      </c>
      <c r="BA305" s="3" t="str">
        <f>IF(49&gt;$C305,"",IF($D305=1,EOMONTH(EDATE(Bonds!$H305,6*(49-1)),0),EDATE(Bonds!$H305,6*(49-1))))</f>
        <v/>
      </c>
      <c r="BB305" s="3" t="str">
        <f>IF(50&gt;$C305,"",IF($D305=1,EOMONTH(EDATE(Bonds!$H305,6*(50-1)),0),EDATE(Bonds!$H305,6*(50-1))))</f>
        <v/>
      </c>
      <c r="BC305" s="3" t="str">
        <f>IF(51&gt;$C305,"",IF($D305=1,EOMONTH(EDATE(Bonds!$H305,6*(51-1)),0),EDATE(Bonds!$H305,6*(51-1))))</f>
        <v/>
      </c>
      <c r="BD305" s="3" t="str">
        <f>IF(52&gt;$C305,"",IF($D305=1,EOMONTH(EDATE(Bonds!$H305,6*(52-1)),0),EDATE(Bonds!$H305,6*(52-1))))</f>
        <v/>
      </c>
      <c r="BE305" s="3" t="str">
        <f>IF(53&gt;$C305,"",IF($D305=1,EOMONTH(EDATE(Bonds!$H305,6*(53-1)),0),EDATE(Bonds!$H305,6*(53-1))))</f>
        <v/>
      </c>
      <c r="BF305" s="3" t="str">
        <f>IF(54&gt;$C305,"",IF($D305=1,EOMONTH(EDATE(Bonds!$H305,6*(54-1)),0),EDATE(Bonds!$H305,6*(54-1))))</f>
        <v/>
      </c>
      <c r="BG305" s="3" t="str">
        <f>IF(55&gt;$C305,"",IF($D305=1,EOMONTH(EDATE(Bonds!$H305,6*(55-1)),0),EDATE(Bonds!$H305,6*(55-1))))</f>
        <v/>
      </c>
      <c r="BH305" s="3" t="str">
        <f>IF(56&gt;$C305,"",IF($D305=1,EOMONTH(EDATE(Bonds!$H305,6*(56-1)),0),EDATE(Bonds!$H305,6*(56-1))))</f>
        <v/>
      </c>
      <c r="BI305" s="3" t="str">
        <f>IF(57&gt;$C305,"",IF($D305=1,EOMONTH(EDATE(Bonds!$H305,6*(57-1)),0),EDATE(Bonds!$H305,6*(57-1))))</f>
        <v/>
      </c>
      <c r="BJ305" s="3" t="str">
        <f>IF(58&gt;$C305,"",IF($D305=1,EOMONTH(EDATE(Bonds!$H305,6*(58-1)),0),EDATE(Bonds!$H305,6*(58-1))))</f>
        <v/>
      </c>
      <c r="BK305" s="3" t="str">
        <f>IF(59&gt;$C305,"",IF($D305=1,EOMONTH(EDATE(Bonds!$H305,6*(59-1)),0),EDATE(Bonds!$H305,6*(59-1))))</f>
        <v/>
      </c>
      <c r="BL305" s="3" t="str">
        <f>IF(60&gt;$C305,"",IF($D305=1,EOMONTH(EDATE(Bonds!$H305,6*(60-1)),0),EDATE(Bonds!$H305,6*(60-1))))</f>
        <v/>
      </c>
      <c r="BN305" s="7">
        <f t="shared" si="245"/>
        <v>1.4895383739000279</v>
      </c>
      <c r="BO305" s="7">
        <f t="shared" si="246"/>
        <v>1.4594594779380694</v>
      </c>
      <c r="BP305" s="7">
        <f t="shared" si="247"/>
        <v>1.427311242824425</v>
      </c>
      <c r="BQ305" s="7">
        <f t="shared" si="248"/>
        <v>1.3952972121704836</v>
      </c>
      <c r="BR305" s="7">
        <f t="shared" si="249"/>
        <v>1.3633919042106983</v>
      </c>
      <c r="BS305" s="7">
        <f t="shared" si="250"/>
        <v>1.3327230031030199</v>
      </c>
      <c r="BT305" s="7">
        <f t="shared" si="251"/>
        <v>1.3023186741854413</v>
      </c>
      <c r="BU305" s="7">
        <f t="shared" si="252"/>
        <v>1.2731037686346938</v>
      </c>
      <c r="BV305" s="7">
        <f t="shared" si="253"/>
        <v>1.2439961992433619</v>
      </c>
      <c r="BW305" s="7">
        <f t="shared" si="254"/>
        <v>1.2158269714883776</v>
      </c>
      <c r="BX305" s="7">
        <f t="shared" si="255"/>
        <v>1.18755485282861</v>
      </c>
      <c r="BY305" s="7">
        <f t="shared" si="256"/>
        <v>1.1598672873295439</v>
      </c>
      <c r="BZ305" s="7">
        <f t="shared" si="257"/>
        <v>1.1320960779065503</v>
      </c>
      <c r="CA305" s="7">
        <f t="shared" si="258"/>
        <v>1.1049597095186465</v>
      </c>
      <c r="CB305" s="7">
        <f t="shared" si="259"/>
        <v>1.0775449146276199</v>
      </c>
      <c r="CC305" s="7">
        <f t="shared" si="260"/>
        <v>1.0507493936452232</v>
      </c>
      <c r="CD305" s="7">
        <f t="shared" si="261"/>
        <v>1.0237023229840678</v>
      </c>
      <c r="CE305" s="7">
        <f t="shared" si="262"/>
        <v>0.99731241179132524</v>
      </c>
      <c r="CF305" s="7">
        <f t="shared" si="263"/>
        <v>0.97073880964287673</v>
      </c>
      <c r="CG305" s="7">
        <f t="shared" si="264"/>
        <v>0.94474305095502098</v>
      </c>
      <c r="CH305" s="7">
        <f t="shared" si="265"/>
        <v>0.91879336132563816</v>
      </c>
      <c r="CI305" s="7">
        <f t="shared" si="266"/>
        <v>0.89363059488212826</v>
      </c>
      <c r="CJ305" s="7">
        <f t="shared" si="267"/>
        <v>0.86845823325031124</v>
      </c>
      <c r="CK305" s="7">
        <f t="shared" si="268"/>
        <v>0.84413141439219919</v>
      </c>
      <c r="CL305" s="7">
        <f t="shared" si="269"/>
        <v>0.81987556482184709</v>
      </c>
      <c r="CM305" s="7">
        <f t="shared" si="270"/>
        <v>0.79650922624555343</v>
      </c>
      <c r="CN305" s="7">
        <f t="shared" si="271"/>
        <v>0.7732821673153667</v>
      </c>
      <c r="CO305" s="7">
        <f t="shared" si="272"/>
        <v>0.75085002400057643</v>
      </c>
      <c r="CP305" s="7">
        <f t="shared" si="273"/>
        <v>0.72873640527376082</v>
      </c>
      <c r="CQ305" s="7">
        <f t="shared" si="274"/>
        <v>0.70755020024057091</v>
      </c>
      <c r="CR305" s="7">
        <f t="shared" si="275"/>
        <v>0.68659840000313088</v>
      </c>
      <c r="CS305" s="7">
        <f t="shared" si="276"/>
        <v>0.66657010524756211</v>
      </c>
      <c r="CT305" s="7">
        <f t="shared" si="277"/>
        <v>0.64680440642580495</v>
      </c>
      <c r="CU305" s="7">
        <f t="shared" si="278"/>
        <v>0.62794611222090424</v>
      </c>
      <c r="CV305" s="7">
        <f t="shared" si="279"/>
        <v>0.60936791671570423</v>
      </c>
      <c r="CW305" s="7">
        <f t="shared" si="280"/>
        <v>0.59157519282468729</v>
      </c>
      <c r="CX305" s="7">
        <f t="shared" si="281"/>
        <v>38.852210765942452</v>
      </c>
      <c r="CY305" s="7">
        <f t="shared" si="282"/>
        <v>0</v>
      </c>
      <c r="CZ305" s="7">
        <f t="shared" si="283"/>
        <v>0</v>
      </c>
      <c r="DA305" s="7">
        <f t="shared" si="284"/>
        <v>0</v>
      </c>
      <c r="DB305" s="7">
        <f t="shared" si="285"/>
        <v>0</v>
      </c>
      <c r="DC305" s="7">
        <f t="shared" si="286"/>
        <v>0</v>
      </c>
      <c r="DD305" s="7">
        <f t="shared" si="287"/>
        <v>0</v>
      </c>
      <c r="DE305" s="7">
        <f t="shared" si="288"/>
        <v>0</v>
      </c>
      <c r="DF305" s="7">
        <f t="shared" si="289"/>
        <v>0</v>
      </c>
      <c r="DG305" s="7">
        <f t="shared" si="290"/>
        <v>0</v>
      </c>
      <c r="DH305" s="7">
        <f t="shared" si="291"/>
        <v>0</v>
      </c>
      <c r="DI305" s="7">
        <f t="shared" si="292"/>
        <v>0</v>
      </c>
      <c r="DJ305" s="7">
        <f t="shared" si="293"/>
        <v>0</v>
      </c>
      <c r="DK305" s="7">
        <f t="shared" si="294"/>
        <v>0</v>
      </c>
      <c r="DL305" s="7">
        <f t="shared" si="295"/>
        <v>0</v>
      </c>
      <c r="DM305" s="7">
        <f t="shared" si="296"/>
        <v>0</v>
      </c>
      <c r="DN305" s="7">
        <f t="shared" si="297"/>
        <v>0</v>
      </c>
      <c r="DO305" s="7">
        <f t="shared" si="298"/>
        <v>0</v>
      </c>
      <c r="DP305" s="7">
        <f t="shared" si="299"/>
        <v>0</v>
      </c>
      <c r="DQ305" s="7">
        <f t="shared" si="300"/>
        <v>0</v>
      </c>
      <c r="DR305" s="7">
        <f t="shared" si="301"/>
        <v>0</v>
      </c>
      <c r="DS305" s="7">
        <f t="shared" si="302"/>
        <v>0</v>
      </c>
      <c r="DT305" s="7">
        <f t="shared" si="303"/>
        <v>0</v>
      </c>
      <c r="DU305" s="7">
        <f t="shared" si="304"/>
        <v>0</v>
      </c>
    </row>
    <row r="306" spans="1:125" x14ac:dyDescent="0.2">
      <c r="A306" s="3">
        <f>Bonds!A306</f>
        <v>52916</v>
      </c>
      <c r="B306" s="4">
        <f>Bonds!B306</f>
        <v>4.625</v>
      </c>
      <c r="C306">
        <f>Bonds!P306</f>
        <v>37</v>
      </c>
      <c r="D306">
        <f t="shared" si="244"/>
        <v>0</v>
      </c>
      <c r="E306" s="3">
        <f>IF(1&gt;$C306,"",IF($D306=1,EOMONTH(EDATE(Bonds!$H306,6*(1-1)),0),EDATE(Bonds!$H306,6*(1-1))))</f>
        <v>46341</v>
      </c>
      <c r="F306" s="3">
        <f>IF(2&gt;$C306,"",IF($D306=1,EOMONTH(EDATE(Bonds!$H306,6*(2-1)),0),EDATE(Bonds!$H306,6*(2-1))))</f>
        <v>46522</v>
      </c>
      <c r="G306" s="3">
        <f>IF(3&gt;$C306,"",IF($D306=1,EOMONTH(EDATE(Bonds!$H306,6*(3-1)),0),EDATE(Bonds!$H306,6*(3-1))))</f>
        <v>46706</v>
      </c>
      <c r="H306" s="3">
        <f>IF(4&gt;$C306,"",IF($D306=1,EOMONTH(EDATE(Bonds!$H306,6*(4-1)),0),EDATE(Bonds!$H306,6*(4-1))))</f>
        <v>46888</v>
      </c>
      <c r="I306" s="3">
        <f>IF(5&gt;$C306,"",IF($D306=1,EOMONTH(EDATE(Bonds!$H306,6*(5-1)),0),EDATE(Bonds!$H306,6*(5-1))))</f>
        <v>47072</v>
      </c>
      <c r="J306" s="3">
        <f>IF(6&gt;$C306,"",IF($D306=1,EOMONTH(EDATE(Bonds!$H306,6*(6-1)),0),EDATE(Bonds!$H306,6*(6-1))))</f>
        <v>47253</v>
      </c>
      <c r="K306" s="3">
        <f>IF(7&gt;$C306,"",IF($D306=1,EOMONTH(EDATE(Bonds!$H306,6*(7-1)),0),EDATE(Bonds!$H306,6*(7-1))))</f>
        <v>47437</v>
      </c>
      <c r="L306" s="3">
        <f>IF(8&gt;$C306,"",IF($D306=1,EOMONTH(EDATE(Bonds!$H306,6*(8-1)),0),EDATE(Bonds!$H306,6*(8-1))))</f>
        <v>47618</v>
      </c>
      <c r="M306" s="3">
        <f>IF(9&gt;$C306,"",IF($D306=1,EOMONTH(EDATE(Bonds!$H306,6*(9-1)),0),EDATE(Bonds!$H306,6*(9-1))))</f>
        <v>47802</v>
      </c>
      <c r="N306" s="3">
        <f>IF(10&gt;$C306,"",IF($D306=1,EOMONTH(EDATE(Bonds!$H306,6*(10-1)),0),EDATE(Bonds!$H306,6*(10-1))))</f>
        <v>47983</v>
      </c>
      <c r="O306" s="3">
        <f>IF(11&gt;$C306,"",IF($D306=1,EOMONTH(EDATE(Bonds!$H306,6*(11-1)),0),EDATE(Bonds!$H306,6*(11-1))))</f>
        <v>48167</v>
      </c>
      <c r="P306" s="3">
        <f>IF(12&gt;$C306,"",IF($D306=1,EOMONTH(EDATE(Bonds!$H306,6*(12-1)),0),EDATE(Bonds!$H306,6*(12-1))))</f>
        <v>48349</v>
      </c>
      <c r="Q306" s="3">
        <f>IF(13&gt;$C306,"",IF($D306=1,EOMONTH(EDATE(Bonds!$H306,6*(13-1)),0),EDATE(Bonds!$H306,6*(13-1))))</f>
        <v>48533</v>
      </c>
      <c r="R306" s="3">
        <f>IF(14&gt;$C306,"",IF($D306=1,EOMONTH(EDATE(Bonds!$H306,6*(14-1)),0),EDATE(Bonds!$H306,6*(14-1))))</f>
        <v>48714</v>
      </c>
      <c r="S306" s="3">
        <f>IF(15&gt;$C306,"",IF($D306=1,EOMONTH(EDATE(Bonds!$H306,6*(15-1)),0),EDATE(Bonds!$H306,6*(15-1))))</f>
        <v>48898</v>
      </c>
      <c r="T306" s="3">
        <f>IF(16&gt;$C306,"",IF($D306=1,EOMONTH(EDATE(Bonds!$H306,6*(16-1)),0),EDATE(Bonds!$H306,6*(16-1))))</f>
        <v>49079</v>
      </c>
      <c r="U306" s="3">
        <f>IF(17&gt;$C306,"",IF($D306=1,EOMONTH(EDATE(Bonds!$H306,6*(17-1)),0),EDATE(Bonds!$H306,6*(17-1))))</f>
        <v>49263</v>
      </c>
      <c r="V306" s="3">
        <f>IF(18&gt;$C306,"",IF($D306=1,EOMONTH(EDATE(Bonds!$H306,6*(18-1)),0),EDATE(Bonds!$H306,6*(18-1))))</f>
        <v>49444</v>
      </c>
      <c r="W306" s="3">
        <f>IF(19&gt;$C306,"",IF($D306=1,EOMONTH(EDATE(Bonds!$H306,6*(19-1)),0),EDATE(Bonds!$H306,6*(19-1))))</f>
        <v>49628</v>
      </c>
      <c r="X306" s="3">
        <f>IF(20&gt;$C306,"",IF($D306=1,EOMONTH(EDATE(Bonds!$H306,6*(20-1)),0),EDATE(Bonds!$H306,6*(20-1))))</f>
        <v>49810</v>
      </c>
      <c r="Y306" s="3">
        <f>IF(21&gt;$C306,"",IF($D306=1,EOMONTH(EDATE(Bonds!$H306,6*(21-1)),0),EDATE(Bonds!$H306,6*(21-1))))</f>
        <v>49994</v>
      </c>
      <c r="Z306" s="3">
        <f>IF(22&gt;$C306,"",IF($D306=1,EOMONTH(EDATE(Bonds!$H306,6*(22-1)),0),EDATE(Bonds!$H306,6*(22-1))))</f>
        <v>50175</v>
      </c>
      <c r="AA306" s="3">
        <f>IF(23&gt;$C306,"",IF($D306=1,EOMONTH(EDATE(Bonds!$H306,6*(23-1)),0),EDATE(Bonds!$H306,6*(23-1))))</f>
        <v>50359</v>
      </c>
      <c r="AB306" s="3">
        <f>IF(24&gt;$C306,"",IF($D306=1,EOMONTH(EDATE(Bonds!$H306,6*(24-1)),0),EDATE(Bonds!$H306,6*(24-1))))</f>
        <v>50540</v>
      </c>
      <c r="AC306" s="3">
        <f>IF(25&gt;$C306,"",IF($D306=1,EOMONTH(EDATE(Bonds!$H306,6*(25-1)),0),EDATE(Bonds!$H306,6*(25-1))))</f>
        <v>50724</v>
      </c>
      <c r="AD306" s="3">
        <f>IF(26&gt;$C306,"",IF($D306=1,EOMONTH(EDATE(Bonds!$H306,6*(26-1)),0),EDATE(Bonds!$H306,6*(26-1))))</f>
        <v>50905</v>
      </c>
      <c r="AE306" s="3">
        <f>IF(27&gt;$C306,"",IF($D306=1,EOMONTH(EDATE(Bonds!$H306,6*(27-1)),0),EDATE(Bonds!$H306,6*(27-1))))</f>
        <v>51089</v>
      </c>
      <c r="AF306" s="3">
        <f>IF(28&gt;$C306,"",IF($D306=1,EOMONTH(EDATE(Bonds!$H306,6*(28-1)),0),EDATE(Bonds!$H306,6*(28-1))))</f>
        <v>51271</v>
      </c>
      <c r="AG306" s="3">
        <f>IF(29&gt;$C306,"",IF($D306=1,EOMONTH(EDATE(Bonds!$H306,6*(29-1)),0),EDATE(Bonds!$H306,6*(29-1))))</f>
        <v>51455</v>
      </c>
      <c r="AH306" s="3">
        <f>IF(30&gt;$C306,"",IF($D306=1,EOMONTH(EDATE(Bonds!$H306,6*(30-1)),0),EDATE(Bonds!$H306,6*(30-1))))</f>
        <v>51636</v>
      </c>
      <c r="AI306" s="3">
        <f>IF(31&gt;$C306,"",IF($D306=1,EOMONTH(EDATE(Bonds!$H306,6*(31-1)),0),EDATE(Bonds!$H306,6*(31-1))))</f>
        <v>51820</v>
      </c>
      <c r="AJ306" s="3">
        <f>IF(32&gt;$C306,"",IF($D306=1,EOMONTH(EDATE(Bonds!$H306,6*(32-1)),0),EDATE(Bonds!$H306,6*(32-1))))</f>
        <v>52001</v>
      </c>
      <c r="AK306" s="3">
        <f>IF(33&gt;$C306,"",IF($D306=1,EOMONTH(EDATE(Bonds!$H306,6*(33-1)),0),EDATE(Bonds!$H306,6*(33-1))))</f>
        <v>52185</v>
      </c>
      <c r="AL306" s="3">
        <f>IF(34&gt;$C306,"",IF($D306=1,EOMONTH(EDATE(Bonds!$H306,6*(34-1)),0),EDATE(Bonds!$H306,6*(34-1))))</f>
        <v>52366</v>
      </c>
      <c r="AM306" s="3">
        <f>IF(35&gt;$C306,"",IF($D306=1,EOMONTH(EDATE(Bonds!$H306,6*(35-1)),0),EDATE(Bonds!$H306,6*(35-1))))</f>
        <v>52550</v>
      </c>
      <c r="AN306" s="3">
        <f>IF(36&gt;$C306,"",IF($D306=1,EOMONTH(EDATE(Bonds!$H306,6*(36-1)),0),EDATE(Bonds!$H306,6*(36-1))))</f>
        <v>52732</v>
      </c>
      <c r="AO306" s="3">
        <f>IF(37&gt;$C306,"",IF($D306=1,EOMONTH(EDATE(Bonds!$H306,6*(37-1)),0),EDATE(Bonds!$H306,6*(37-1))))</f>
        <v>52916</v>
      </c>
      <c r="AP306" s="3" t="str">
        <f>IF(38&gt;$C306,"",IF($D306=1,EOMONTH(EDATE(Bonds!$H306,6*(38-1)),0),EDATE(Bonds!$H306,6*(38-1))))</f>
        <v/>
      </c>
      <c r="AQ306" s="3" t="str">
        <f>IF(39&gt;$C306,"",IF($D306=1,EOMONTH(EDATE(Bonds!$H306,6*(39-1)),0),EDATE(Bonds!$H306,6*(39-1))))</f>
        <v/>
      </c>
      <c r="AR306" s="3" t="str">
        <f>IF(40&gt;$C306,"",IF($D306=1,EOMONTH(EDATE(Bonds!$H306,6*(40-1)),0),EDATE(Bonds!$H306,6*(40-1))))</f>
        <v/>
      </c>
      <c r="AS306" s="3" t="str">
        <f>IF(41&gt;$C306,"",IF($D306=1,EOMONTH(EDATE(Bonds!$H306,6*(41-1)),0),EDATE(Bonds!$H306,6*(41-1))))</f>
        <v/>
      </c>
      <c r="AT306" s="3" t="str">
        <f>IF(42&gt;$C306,"",IF($D306=1,EOMONTH(EDATE(Bonds!$H306,6*(42-1)),0),EDATE(Bonds!$H306,6*(42-1))))</f>
        <v/>
      </c>
      <c r="AU306" s="3" t="str">
        <f>IF(43&gt;$C306,"",IF($D306=1,EOMONTH(EDATE(Bonds!$H306,6*(43-1)),0),EDATE(Bonds!$H306,6*(43-1))))</f>
        <v/>
      </c>
      <c r="AV306" s="3" t="str">
        <f>IF(44&gt;$C306,"",IF($D306=1,EOMONTH(EDATE(Bonds!$H306,6*(44-1)),0),EDATE(Bonds!$H306,6*(44-1))))</f>
        <v/>
      </c>
      <c r="AW306" s="3" t="str">
        <f>IF(45&gt;$C306,"",IF($D306=1,EOMONTH(EDATE(Bonds!$H306,6*(45-1)),0),EDATE(Bonds!$H306,6*(45-1))))</f>
        <v/>
      </c>
      <c r="AX306" s="3" t="str">
        <f>IF(46&gt;$C306,"",IF($D306=1,EOMONTH(EDATE(Bonds!$H306,6*(46-1)),0),EDATE(Bonds!$H306,6*(46-1))))</f>
        <v/>
      </c>
      <c r="AY306" s="3" t="str">
        <f>IF(47&gt;$C306,"",IF($D306=1,EOMONTH(EDATE(Bonds!$H306,6*(47-1)),0),EDATE(Bonds!$H306,6*(47-1))))</f>
        <v/>
      </c>
      <c r="AZ306" s="3" t="str">
        <f>IF(48&gt;$C306,"",IF($D306=1,EOMONTH(EDATE(Bonds!$H306,6*(48-1)),0),EDATE(Bonds!$H306,6*(48-1))))</f>
        <v/>
      </c>
      <c r="BA306" s="3" t="str">
        <f>IF(49&gt;$C306,"",IF($D306=1,EOMONTH(EDATE(Bonds!$H306,6*(49-1)),0),EDATE(Bonds!$H306,6*(49-1))))</f>
        <v/>
      </c>
      <c r="BB306" s="3" t="str">
        <f>IF(50&gt;$C306,"",IF($D306=1,EOMONTH(EDATE(Bonds!$H306,6*(50-1)),0),EDATE(Bonds!$H306,6*(50-1))))</f>
        <v/>
      </c>
      <c r="BC306" s="3" t="str">
        <f>IF(51&gt;$C306,"",IF($D306=1,EOMONTH(EDATE(Bonds!$H306,6*(51-1)),0),EDATE(Bonds!$H306,6*(51-1))))</f>
        <v/>
      </c>
      <c r="BD306" s="3" t="str">
        <f>IF(52&gt;$C306,"",IF($D306=1,EOMONTH(EDATE(Bonds!$H306,6*(52-1)),0),EDATE(Bonds!$H306,6*(52-1))))</f>
        <v/>
      </c>
      <c r="BE306" s="3" t="str">
        <f>IF(53&gt;$C306,"",IF($D306=1,EOMONTH(EDATE(Bonds!$H306,6*(53-1)),0),EDATE(Bonds!$H306,6*(53-1))))</f>
        <v/>
      </c>
      <c r="BF306" s="3" t="str">
        <f>IF(54&gt;$C306,"",IF($D306=1,EOMONTH(EDATE(Bonds!$H306,6*(54-1)),0),EDATE(Bonds!$H306,6*(54-1))))</f>
        <v/>
      </c>
      <c r="BG306" s="3" t="str">
        <f>IF(55&gt;$C306,"",IF($D306=1,EOMONTH(EDATE(Bonds!$H306,6*(55-1)),0),EDATE(Bonds!$H306,6*(55-1))))</f>
        <v/>
      </c>
      <c r="BH306" s="3" t="str">
        <f>IF(56&gt;$C306,"",IF($D306=1,EOMONTH(EDATE(Bonds!$H306,6*(56-1)),0),EDATE(Bonds!$H306,6*(56-1))))</f>
        <v/>
      </c>
      <c r="BI306" s="3" t="str">
        <f>IF(57&gt;$C306,"",IF($D306=1,EOMONTH(EDATE(Bonds!$H306,6*(57-1)),0),EDATE(Bonds!$H306,6*(57-1))))</f>
        <v/>
      </c>
      <c r="BJ306" s="3" t="str">
        <f>IF(58&gt;$C306,"",IF($D306=1,EOMONTH(EDATE(Bonds!$H306,6*(58-1)),0),EDATE(Bonds!$H306,6*(58-1))))</f>
        <v/>
      </c>
      <c r="BK306" s="3" t="str">
        <f>IF(59&gt;$C306,"",IF($D306=1,EOMONTH(EDATE(Bonds!$H306,6*(59-1)),0),EDATE(Bonds!$H306,6*(59-1))))</f>
        <v/>
      </c>
      <c r="BL306" s="3" t="str">
        <f>IF(60&gt;$C306,"",IF($D306=1,EOMONTH(EDATE(Bonds!$H306,6*(60-1)),0),EDATE(Bonds!$H306,6*(60-1))))</f>
        <v/>
      </c>
      <c r="BN306" s="7">
        <f t="shared" si="245"/>
        <v>2.296371659762543</v>
      </c>
      <c r="BO306" s="7">
        <f t="shared" si="246"/>
        <v>2.250000028487857</v>
      </c>
      <c r="BP306" s="7">
        <f t="shared" si="247"/>
        <v>2.2004381660209886</v>
      </c>
      <c r="BQ306" s="7">
        <f t="shared" si="248"/>
        <v>2.1510832020961623</v>
      </c>
      <c r="BR306" s="7">
        <f t="shared" si="249"/>
        <v>2.1018958523248266</v>
      </c>
      <c r="BS306" s="7">
        <f t="shared" si="250"/>
        <v>2.0546146297838224</v>
      </c>
      <c r="BT306" s="7">
        <f t="shared" si="251"/>
        <v>2.0077412893692221</v>
      </c>
      <c r="BU306" s="7">
        <f t="shared" si="252"/>
        <v>1.9627016433118196</v>
      </c>
      <c r="BV306" s="7">
        <f t="shared" si="253"/>
        <v>1.9178274738335161</v>
      </c>
      <c r="BW306" s="7">
        <f t="shared" si="254"/>
        <v>1.8743999143779153</v>
      </c>
      <c r="BX306" s="7">
        <f t="shared" si="255"/>
        <v>1.8308137314441071</v>
      </c>
      <c r="BY306" s="7">
        <f t="shared" si="256"/>
        <v>1.788128734633047</v>
      </c>
      <c r="BZ306" s="7">
        <f t="shared" si="257"/>
        <v>1.7453147867725984</v>
      </c>
      <c r="CA306" s="7">
        <f t="shared" si="258"/>
        <v>1.7034795521745802</v>
      </c>
      <c r="CB306" s="7">
        <f t="shared" si="259"/>
        <v>1.6612150767175808</v>
      </c>
      <c r="CC306" s="7">
        <f t="shared" si="260"/>
        <v>1.6199053152030525</v>
      </c>
      <c r="CD306" s="7">
        <f t="shared" si="261"/>
        <v>1.5782077479337711</v>
      </c>
      <c r="CE306" s="7">
        <f t="shared" si="262"/>
        <v>1.5375233015116265</v>
      </c>
      <c r="CF306" s="7">
        <f t="shared" si="263"/>
        <v>1.4965556648661016</v>
      </c>
      <c r="CG306" s="7">
        <f t="shared" si="264"/>
        <v>1.4564788702223239</v>
      </c>
      <c r="CH306" s="7">
        <f t="shared" si="265"/>
        <v>1.4164730987103589</v>
      </c>
      <c r="CI306" s="7">
        <f t="shared" si="266"/>
        <v>1.3776805004432811</v>
      </c>
      <c r="CJ306" s="7">
        <f t="shared" si="267"/>
        <v>1.3388731095942299</v>
      </c>
      <c r="CK306" s="7">
        <f t="shared" si="268"/>
        <v>1.3013692638546404</v>
      </c>
      <c r="CL306" s="7">
        <f t="shared" si="269"/>
        <v>1.2639748291003476</v>
      </c>
      <c r="CM306" s="7">
        <f t="shared" si="270"/>
        <v>1.2279517237952282</v>
      </c>
      <c r="CN306" s="7">
        <f t="shared" si="271"/>
        <v>1.1921433412778568</v>
      </c>
      <c r="CO306" s="7">
        <f t="shared" si="272"/>
        <v>1.1575604536675552</v>
      </c>
      <c r="CP306" s="7">
        <f t="shared" si="273"/>
        <v>1.123468624797048</v>
      </c>
      <c r="CQ306" s="7">
        <f t="shared" si="274"/>
        <v>1.0908065587042135</v>
      </c>
      <c r="CR306" s="7">
        <f t="shared" si="275"/>
        <v>1.0585058666714933</v>
      </c>
      <c r="CS306" s="7">
        <f t="shared" si="276"/>
        <v>1.0276289122566582</v>
      </c>
      <c r="CT306" s="7">
        <f t="shared" si="277"/>
        <v>0.99715679323978268</v>
      </c>
      <c r="CU306" s="7">
        <f t="shared" si="278"/>
        <v>0.96808358967389407</v>
      </c>
      <c r="CV306" s="7">
        <f t="shared" si="279"/>
        <v>0.93944220493671071</v>
      </c>
      <c r="CW306" s="7">
        <f t="shared" si="280"/>
        <v>0.91201175560472636</v>
      </c>
      <c r="CX306" s="7">
        <f t="shared" si="281"/>
        <v>39.163219842270813</v>
      </c>
      <c r="CY306" s="7">
        <f t="shared" si="282"/>
        <v>0</v>
      </c>
      <c r="CZ306" s="7">
        <f t="shared" si="283"/>
        <v>0</v>
      </c>
      <c r="DA306" s="7">
        <f t="shared" si="284"/>
        <v>0</v>
      </c>
      <c r="DB306" s="7">
        <f t="shared" si="285"/>
        <v>0</v>
      </c>
      <c r="DC306" s="7">
        <f t="shared" si="286"/>
        <v>0</v>
      </c>
      <c r="DD306" s="7">
        <f t="shared" si="287"/>
        <v>0</v>
      </c>
      <c r="DE306" s="7">
        <f t="shared" si="288"/>
        <v>0</v>
      </c>
      <c r="DF306" s="7">
        <f t="shared" si="289"/>
        <v>0</v>
      </c>
      <c r="DG306" s="7">
        <f t="shared" si="290"/>
        <v>0</v>
      </c>
      <c r="DH306" s="7">
        <f t="shared" si="291"/>
        <v>0</v>
      </c>
      <c r="DI306" s="7">
        <f t="shared" si="292"/>
        <v>0</v>
      </c>
      <c r="DJ306" s="7">
        <f t="shared" si="293"/>
        <v>0</v>
      </c>
      <c r="DK306" s="7">
        <f t="shared" si="294"/>
        <v>0</v>
      </c>
      <c r="DL306" s="7">
        <f t="shared" si="295"/>
        <v>0</v>
      </c>
      <c r="DM306" s="7">
        <f t="shared" si="296"/>
        <v>0</v>
      </c>
      <c r="DN306" s="7">
        <f t="shared" si="297"/>
        <v>0</v>
      </c>
      <c r="DO306" s="7">
        <f t="shared" si="298"/>
        <v>0</v>
      </c>
      <c r="DP306" s="7">
        <f t="shared" si="299"/>
        <v>0</v>
      </c>
      <c r="DQ306" s="7">
        <f t="shared" si="300"/>
        <v>0</v>
      </c>
      <c r="DR306" s="7">
        <f t="shared" si="301"/>
        <v>0</v>
      </c>
      <c r="DS306" s="7">
        <f t="shared" si="302"/>
        <v>0</v>
      </c>
      <c r="DT306" s="7">
        <f t="shared" si="303"/>
        <v>0</v>
      </c>
      <c r="DU306" s="7">
        <f t="shared" si="304"/>
        <v>0</v>
      </c>
    </row>
    <row r="307" spans="1:125" x14ac:dyDescent="0.2">
      <c r="A307" s="3">
        <f>Bonds!A307</f>
        <v>53008</v>
      </c>
      <c r="B307" s="4">
        <f>Bonds!B307</f>
        <v>2.5</v>
      </c>
      <c r="C307">
        <f>Bonds!P307</f>
        <v>37</v>
      </c>
      <c r="D307">
        <f t="shared" si="244"/>
        <v>0</v>
      </c>
      <c r="E307" s="3">
        <f>IF(1&gt;$C307,"",IF($D307=1,EOMONTH(EDATE(Bonds!$H307,6*(1-1)),0),EDATE(Bonds!$H307,6*(1-1))))</f>
        <v>46433</v>
      </c>
      <c r="F307" s="3">
        <f>IF(2&gt;$C307,"",IF($D307=1,EOMONTH(EDATE(Bonds!$H307,6*(2-1)),0),EDATE(Bonds!$H307,6*(2-1))))</f>
        <v>46614</v>
      </c>
      <c r="G307" s="3">
        <f>IF(3&gt;$C307,"",IF($D307=1,EOMONTH(EDATE(Bonds!$H307,6*(3-1)),0),EDATE(Bonds!$H307,6*(3-1))))</f>
        <v>46798</v>
      </c>
      <c r="H307" s="3">
        <f>IF(4&gt;$C307,"",IF($D307=1,EOMONTH(EDATE(Bonds!$H307,6*(4-1)),0),EDATE(Bonds!$H307,6*(4-1))))</f>
        <v>46980</v>
      </c>
      <c r="I307" s="3">
        <f>IF(5&gt;$C307,"",IF($D307=1,EOMONTH(EDATE(Bonds!$H307,6*(5-1)),0),EDATE(Bonds!$H307,6*(5-1))))</f>
        <v>47164</v>
      </c>
      <c r="J307" s="3">
        <f>IF(6&gt;$C307,"",IF($D307=1,EOMONTH(EDATE(Bonds!$H307,6*(6-1)),0),EDATE(Bonds!$H307,6*(6-1))))</f>
        <v>47345</v>
      </c>
      <c r="K307" s="3">
        <f>IF(7&gt;$C307,"",IF($D307=1,EOMONTH(EDATE(Bonds!$H307,6*(7-1)),0),EDATE(Bonds!$H307,6*(7-1))))</f>
        <v>47529</v>
      </c>
      <c r="L307" s="3">
        <f>IF(8&gt;$C307,"",IF($D307=1,EOMONTH(EDATE(Bonds!$H307,6*(8-1)),0),EDATE(Bonds!$H307,6*(8-1))))</f>
        <v>47710</v>
      </c>
      <c r="M307" s="3">
        <f>IF(9&gt;$C307,"",IF($D307=1,EOMONTH(EDATE(Bonds!$H307,6*(9-1)),0),EDATE(Bonds!$H307,6*(9-1))))</f>
        <v>47894</v>
      </c>
      <c r="N307" s="3">
        <f>IF(10&gt;$C307,"",IF($D307=1,EOMONTH(EDATE(Bonds!$H307,6*(10-1)),0),EDATE(Bonds!$H307,6*(10-1))))</f>
        <v>48075</v>
      </c>
      <c r="O307" s="3">
        <f>IF(11&gt;$C307,"",IF($D307=1,EOMONTH(EDATE(Bonds!$H307,6*(11-1)),0),EDATE(Bonds!$H307,6*(11-1))))</f>
        <v>48259</v>
      </c>
      <c r="P307" s="3">
        <f>IF(12&gt;$C307,"",IF($D307=1,EOMONTH(EDATE(Bonds!$H307,6*(12-1)),0),EDATE(Bonds!$H307,6*(12-1))))</f>
        <v>48441</v>
      </c>
      <c r="Q307" s="3">
        <f>IF(13&gt;$C307,"",IF($D307=1,EOMONTH(EDATE(Bonds!$H307,6*(13-1)),0),EDATE(Bonds!$H307,6*(13-1))))</f>
        <v>48625</v>
      </c>
      <c r="R307" s="3">
        <f>IF(14&gt;$C307,"",IF($D307=1,EOMONTH(EDATE(Bonds!$H307,6*(14-1)),0),EDATE(Bonds!$H307,6*(14-1))))</f>
        <v>48806</v>
      </c>
      <c r="S307" s="3">
        <f>IF(15&gt;$C307,"",IF($D307=1,EOMONTH(EDATE(Bonds!$H307,6*(15-1)),0),EDATE(Bonds!$H307,6*(15-1))))</f>
        <v>48990</v>
      </c>
      <c r="T307" s="3">
        <f>IF(16&gt;$C307,"",IF($D307=1,EOMONTH(EDATE(Bonds!$H307,6*(16-1)),0),EDATE(Bonds!$H307,6*(16-1))))</f>
        <v>49171</v>
      </c>
      <c r="U307" s="3">
        <f>IF(17&gt;$C307,"",IF($D307=1,EOMONTH(EDATE(Bonds!$H307,6*(17-1)),0),EDATE(Bonds!$H307,6*(17-1))))</f>
        <v>49355</v>
      </c>
      <c r="V307" s="3">
        <f>IF(18&gt;$C307,"",IF($D307=1,EOMONTH(EDATE(Bonds!$H307,6*(18-1)),0),EDATE(Bonds!$H307,6*(18-1))))</f>
        <v>49536</v>
      </c>
      <c r="W307" s="3">
        <f>IF(19&gt;$C307,"",IF($D307=1,EOMONTH(EDATE(Bonds!$H307,6*(19-1)),0),EDATE(Bonds!$H307,6*(19-1))))</f>
        <v>49720</v>
      </c>
      <c r="X307" s="3">
        <f>IF(20&gt;$C307,"",IF($D307=1,EOMONTH(EDATE(Bonds!$H307,6*(20-1)),0),EDATE(Bonds!$H307,6*(20-1))))</f>
        <v>49902</v>
      </c>
      <c r="Y307" s="3">
        <f>IF(21&gt;$C307,"",IF($D307=1,EOMONTH(EDATE(Bonds!$H307,6*(21-1)),0),EDATE(Bonds!$H307,6*(21-1))))</f>
        <v>50086</v>
      </c>
      <c r="Z307" s="3">
        <f>IF(22&gt;$C307,"",IF($D307=1,EOMONTH(EDATE(Bonds!$H307,6*(22-1)),0),EDATE(Bonds!$H307,6*(22-1))))</f>
        <v>50267</v>
      </c>
      <c r="AA307" s="3">
        <f>IF(23&gt;$C307,"",IF($D307=1,EOMONTH(EDATE(Bonds!$H307,6*(23-1)),0),EDATE(Bonds!$H307,6*(23-1))))</f>
        <v>50451</v>
      </c>
      <c r="AB307" s="3">
        <f>IF(24&gt;$C307,"",IF($D307=1,EOMONTH(EDATE(Bonds!$H307,6*(24-1)),0),EDATE(Bonds!$H307,6*(24-1))))</f>
        <v>50632</v>
      </c>
      <c r="AC307" s="3">
        <f>IF(25&gt;$C307,"",IF($D307=1,EOMONTH(EDATE(Bonds!$H307,6*(25-1)),0),EDATE(Bonds!$H307,6*(25-1))))</f>
        <v>50816</v>
      </c>
      <c r="AD307" s="3">
        <f>IF(26&gt;$C307,"",IF($D307=1,EOMONTH(EDATE(Bonds!$H307,6*(26-1)),0),EDATE(Bonds!$H307,6*(26-1))))</f>
        <v>50997</v>
      </c>
      <c r="AE307" s="3">
        <f>IF(27&gt;$C307,"",IF($D307=1,EOMONTH(EDATE(Bonds!$H307,6*(27-1)),0),EDATE(Bonds!$H307,6*(27-1))))</f>
        <v>51181</v>
      </c>
      <c r="AF307" s="3">
        <f>IF(28&gt;$C307,"",IF($D307=1,EOMONTH(EDATE(Bonds!$H307,6*(28-1)),0),EDATE(Bonds!$H307,6*(28-1))))</f>
        <v>51363</v>
      </c>
      <c r="AG307" s="3">
        <f>IF(29&gt;$C307,"",IF($D307=1,EOMONTH(EDATE(Bonds!$H307,6*(29-1)),0),EDATE(Bonds!$H307,6*(29-1))))</f>
        <v>51547</v>
      </c>
      <c r="AH307" s="3">
        <f>IF(30&gt;$C307,"",IF($D307=1,EOMONTH(EDATE(Bonds!$H307,6*(30-1)),0),EDATE(Bonds!$H307,6*(30-1))))</f>
        <v>51728</v>
      </c>
      <c r="AI307" s="3">
        <f>IF(31&gt;$C307,"",IF($D307=1,EOMONTH(EDATE(Bonds!$H307,6*(31-1)),0),EDATE(Bonds!$H307,6*(31-1))))</f>
        <v>51912</v>
      </c>
      <c r="AJ307" s="3">
        <f>IF(32&gt;$C307,"",IF($D307=1,EOMONTH(EDATE(Bonds!$H307,6*(32-1)),0),EDATE(Bonds!$H307,6*(32-1))))</f>
        <v>52093</v>
      </c>
      <c r="AK307" s="3">
        <f>IF(33&gt;$C307,"",IF($D307=1,EOMONTH(EDATE(Bonds!$H307,6*(33-1)),0),EDATE(Bonds!$H307,6*(33-1))))</f>
        <v>52277</v>
      </c>
      <c r="AL307" s="3">
        <f>IF(34&gt;$C307,"",IF($D307=1,EOMONTH(EDATE(Bonds!$H307,6*(34-1)),0),EDATE(Bonds!$H307,6*(34-1))))</f>
        <v>52458</v>
      </c>
      <c r="AM307" s="3">
        <f>IF(35&gt;$C307,"",IF($D307=1,EOMONTH(EDATE(Bonds!$H307,6*(35-1)),0),EDATE(Bonds!$H307,6*(35-1))))</f>
        <v>52642</v>
      </c>
      <c r="AN307" s="3">
        <f>IF(36&gt;$C307,"",IF($D307=1,EOMONTH(EDATE(Bonds!$H307,6*(36-1)),0),EDATE(Bonds!$H307,6*(36-1))))</f>
        <v>52824</v>
      </c>
      <c r="AO307" s="3">
        <f>IF(37&gt;$C307,"",IF($D307=1,EOMONTH(EDATE(Bonds!$H307,6*(37-1)),0),EDATE(Bonds!$H307,6*(37-1))))</f>
        <v>53008</v>
      </c>
      <c r="AP307" s="3" t="str">
        <f>IF(38&gt;$C307,"",IF($D307=1,EOMONTH(EDATE(Bonds!$H307,6*(38-1)),0),EDATE(Bonds!$H307,6*(38-1))))</f>
        <v/>
      </c>
      <c r="AQ307" s="3" t="str">
        <f>IF(39&gt;$C307,"",IF($D307=1,EOMONTH(EDATE(Bonds!$H307,6*(39-1)),0),EDATE(Bonds!$H307,6*(39-1))))</f>
        <v/>
      </c>
      <c r="AR307" s="3" t="str">
        <f>IF(40&gt;$C307,"",IF($D307=1,EOMONTH(EDATE(Bonds!$H307,6*(40-1)),0),EDATE(Bonds!$H307,6*(40-1))))</f>
        <v/>
      </c>
      <c r="AS307" s="3" t="str">
        <f>IF(41&gt;$C307,"",IF($D307=1,EOMONTH(EDATE(Bonds!$H307,6*(41-1)),0),EDATE(Bonds!$H307,6*(41-1))))</f>
        <v/>
      </c>
      <c r="AT307" s="3" t="str">
        <f>IF(42&gt;$C307,"",IF($D307=1,EOMONTH(EDATE(Bonds!$H307,6*(42-1)),0),EDATE(Bonds!$H307,6*(42-1))))</f>
        <v/>
      </c>
      <c r="AU307" s="3" t="str">
        <f>IF(43&gt;$C307,"",IF($D307=1,EOMONTH(EDATE(Bonds!$H307,6*(43-1)),0),EDATE(Bonds!$H307,6*(43-1))))</f>
        <v/>
      </c>
      <c r="AV307" s="3" t="str">
        <f>IF(44&gt;$C307,"",IF($D307=1,EOMONTH(EDATE(Bonds!$H307,6*(44-1)),0),EDATE(Bonds!$H307,6*(44-1))))</f>
        <v/>
      </c>
      <c r="AW307" s="3" t="str">
        <f>IF(45&gt;$C307,"",IF($D307=1,EOMONTH(EDATE(Bonds!$H307,6*(45-1)),0),EDATE(Bonds!$H307,6*(45-1))))</f>
        <v/>
      </c>
      <c r="AX307" s="3" t="str">
        <f>IF(46&gt;$C307,"",IF($D307=1,EOMONTH(EDATE(Bonds!$H307,6*(46-1)),0),EDATE(Bonds!$H307,6*(46-1))))</f>
        <v/>
      </c>
      <c r="AY307" s="3" t="str">
        <f>IF(47&gt;$C307,"",IF($D307=1,EOMONTH(EDATE(Bonds!$H307,6*(47-1)),0),EDATE(Bonds!$H307,6*(47-1))))</f>
        <v/>
      </c>
      <c r="AZ307" s="3" t="str">
        <f>IF(48&gt;$C307,"",IF($D307=1,EOMONTH(EDATE(Bonds!$H307,6*(48-1)),0),EDATE(Bonds!$H307,6*(48-1))))</f>
        <v/>
      </c>
      <c r="BA307" s="3" t="str">
        <f>IF(49&gt;$C307,"",IF($D307=1,EOMONTH(EDATE(Bonds!$H307,6*(49-1)),0),EDATE(Bonds!$H307,6*(49-1))))</f>
        <v/>
      </c>
      <c r="BB307" s="3" t="str">
        <f>IF(50&gt;$C307,"",IF($D307=1,EOMONTH(EDATE(Bonds!$H307,6*(50-1)),0),EDATE(Bonds!$H307,6*(50-1))))</f>
        <v/>
      </c>
      <c r="BC307" s="3" t="str">
        <f>IF(51&gt;$C307,"",IF($D307=1,EOMONTH(EDATE(Bonds!$H307,6*(51-1)),0),EDATE(Bonds!$H307,6*(51-1))))</f>
        <v/>
      </c>
      <c r="BD307" s="3" t="str">
        <f>IF(52&gt;$C307,"",IF($D307=1,EOMONTH(EDATE(Bonds!$H307,6*(52-1)),0),EDATE(Bonds!$H307,6*(52-1))))</f>
        <v/>
      </c>
      <c r="BE307" s="3" t="str">
        <f>IF(53&gt;$C307,"",IF($D307=1,EOMONTH(EDATE(Bonds!$H307,6*(53-1)),0),EDATE(Bonds!$H307,6*(53-1))))</f>
        <v/>
      </c>
      <c r="BF307" s="3" t="str">
        <f>IF(54&gt;$C307,"",IF($D307=1,EOMONTH(EDATE(Bonds!$H307,6*(54-1)),0),EDATE(Bonds!$H307,6*(54-1))))</f>
        <v/>
      </c>
      <c r="BG307" s="3" t="str">
        <f>IF(55&gt;$C307,"",IF($D307=1,EOMONTH(EDATE(Bonds!$H307,6*(55-1)),0),EDATE(Bonds!$H307,6*(55-1))))</f>
        <v/>
      </c>
      <c r="BH307" s="3" t="str">
        <f>IF(56&gt;$C307,"",IF($D307=1,EOMONTH(EDATE(Bonds!$H307,6*(56-1)),0),EDATE(Bonds!$H307,6*(56-1))))</f>
        <v/>
      </c>
      <c r="BI307" s="3" t="str">
        <f>IF(57&gt;$C307,"",IF($D307=1,EOMONTH(EDATE(Bonds!$H307,6*(57-1)),0),EDATE(Bonds!$H307,6*(57-1))))</f>
        <v/>
      </c>
      <c r="BJ307" s="3" t="str">
        <f>IF(58&gt;$C307,"",IF($D307=1,EOMONTH(EDATE(Bonds!$H307,6*(58-1)),0),EDATE(Bonds!$H307,6*(58-1))))</f>
        <v/>
      </c>
      <c r="BK307" s="3" t="str">
        <f>IF(59&gt;$C307,"",IF($D307=1,EOMONTH(EDATE(Bonds!$H307,6*(59-1)),0),EDATE(Bonds!$H307,6*(59-1))))</f>
        <v/>
      </c>
      <c r="BL307" s="3" t="str">
        <f>IF(60&gt;$C307,"",IF($D307=1,EOMONTH(EDATE(Bonds!$H307,6*(60-1)),0),EDATE(Bonds!$H307,6*(60-1))))</f>
        <v/>
      </c>
      <c r="BN307" s="7">
        <f t="shared" si="245"/>
        <v>1.2287993528512724</v>
      </c>
      <c r="BO307" s="7">
        <f t="shared" si="246"/>
        <v>1.2028983223092355</v>
      </c>
      <c r="BP307" s="7">
        <f t="shared" si="247"/>
        <v>1.1759176347967013</v>
      </c>
      <c r="BQ307" s="7">
        <f t="shared" si="248"/>
        <v>1.1493855907411681</v>
      </c>
      <c r="BR307" s="7">
        <f t="shared" si="249"/>
        <v>1.1230901455147517</v>
      </c>
      <c r="BS307" s="7">
        <f t="shared" si="250"/>
        <v>1.0978550121535606</v>
      </c>
      <c r="BT307" s="7">
        <f t="shared" si="251"/>
        <v>1.0728246682290001</v>
      </c>
      <c r="BU307" s="7">
        <f t="shared" si="252"/>
        <v>1.0487359505150273</v>
      </c>
      <c r="BV307" s="7">
        <f t="shared" si="253"/>
        <v>1.0246897490558347</v>
      </c>
      <c r="BW307" s="7">
        <f t="shared" si="254"/>
        <v>1.0013757828695704</v>
      </c>
      <c r="BX307" s="7">
        <f t="shared" si="255"/>
        <v>0.9779406254630032</v>
      </c>
      <c r="BY307" s="7">
        <f t="shared" si="256"/>
        <v>0.95496391987424101</v>
      </c>
      <c r="BZ307" s="7">
        <f t="shared" si="257"/>
        <v>0.93190144315224632</v>
      </c>
      <c r="CA307" s="7">
        <f t="shared" si="258"/>
        <v>0.90935903546099706</v>
      </c>
      <c r="CB307" s="7">
        <f t="shared" si="259"/>
        <v>0.88658578127514809</v>
      </c>
      <c r="CC307" s="7">
        <f t="shared" si="260"/>
        <v>0.86433338918851277</v>
      </c>
      <c r="CD307" s="7">
        <f t="shared" si="261"/>
        <v>0.84188325871077663</v>
      </c>
      <c r="CE307" s="7">
        <f t="shared" si="262"/>
        <v>0.81999277360465928</v>
      </c>
      <c r="CF307" s="7">
        <f t="shared" si="263"/>
        <v>0.79796645497811047</v>
      </c>
      <c r="CG307" s="7">
        <f t="shared" si="264"/>
        <v>0.77643668805744859</v>
      </c>
      <c r="CH307" s="7">
        <f t="shared" si="265"/>
        <v>0.75496333376544378</v>
      </c>
      <c r="CI307" s="7">
        <f t="shared" si="266"/>
        <v>0.73415899657593875</v>
      </c>
      <c r="CJ307" s="7">
        <f t="shared" si="267"/>
        <v>0.71336438373234656</v>
      </c>
      <c r="CK307" s="7">
        <f t="shared" si="268"/>
        <v>0.6932848952681635</v>
      </c>
      <c r="CL307" s="7">
        <f t="shared" si="269"/>
        <v>0.67327994998963514</v>
      </c>
      <c r="CM307" s="7">
        <f t="shared" si="270"/>
        <v>0.65402330274528975</v>
      </c>
      <c r="CN307" s="7">
        <f t="shared" si="271"/>
        <v>0.63489525051167428</v>
      </c>
      <c r="CO307" s="7">
        <f t="shared" si="272"/>
        <v>0.61643442329902398</v>
      </c>
      <c r="CP307" s="7">
        <f t="shared" si="273"/>
        <v>0.59824735182006361</v>
      </c>
      <c r="CQ307" s="7">
        <f t="shared" si="274"/>
        <v>0.58083337736326257</v>
      </c>
      <c r="CR307" s="7">
        <f t="shared" si="275"/>
        <v>0.5636215850357833</v>
      </c>
      <c r="CS307" s="7">
        <f t="shared" si="276"/>
        <v>0.54717687257907754</v>
      </c>
      <c r="CT307" s="7">
        <f t="shared" si="277"/>
        <v>0.53095544497470659</v>
      </c>
      <c r="CU307" s="7">
        <f t="shared" si="278"/>
        <v>0.51548545553404801</v>
      </c>
      <c r="CV307" s="7">
        <f t="shared" si="279"/>
        <v>0.50025133721022186</v>
      </c>
      <c r="CW307" s="7">
        <f t="shared" si="280"/>
        <v>0.48566666988341439</v>
      </c>
      <c r="CX307" s="7">
        <f t="shared" si="281"/>
        <v>38.183800509264039</v>
      </c>
      <c r="CY307" s="7">
        <f t="shared" si="282"/>
        <v>0</v>
      </c>
      <c r="CZ307" s="7">
        <f t="shared" si="283"/>
        <v>0</v>
      </c>
      <c r="DA307" s="7">
        <f t="shared" si="284"/>
        <v>0</v>
      </c>
      <c r="DB307" s="7">
        <f t="shared" si="285"/>
        <v>0</v>
      </c>
      <c r="DC307" s="7">
        <f t="shared" si="286"/>
        <v>0</v>
      </c>
      <c r="DD307" s="7">
        <f t="shared" si="287"/>
        <v>0</v>
      </c>
      <c r="DE307" s="7">
        <f t="shared" si="288"/>
        <v>0</v>
      </c>
      <c r="DF307" s="7">
        <f t="shared" si="289"/>
        <v>0</v>
      </c>
      <c r="DG307" s="7">
        <f t="shared" si="290"/>
        <v>0</v>
      </c>
      <c r="DH307" s="7">
        <f t="shared" si="291"/>
        <v>0</v>
      </c>
      <c r="DI307" s="7">
        <f t="shared" si="292"/>
        <v>0</v>
      </c>
      <c r="DJ307" s="7">
        <f t="shared" si="293"/>
        <v>0</v>
      </c>
      <c r="DK307" s="7">
        <f t="shared" si="294"/>
        <v>0</v>
      </c>
      <c r="DL307" s="7">
        <f t="shared" si="295"/>
        <v>0</v>
      </c>
      <c r="DM307" s="7">
        <f t="shared" si="296"/>
        <v>0</v>
      </c>
      <c r="DN307" s="7">
        <f t="shared" si="297"/>
        <v>0</v>
      </c>
      <c r="DO307" s="7">
        <f t="shared" si="298"/>
        <v>0</v>
      </c>
      <c r="DP307" s="7">
        <f t="shared" si="299"/>
        <v>0</v>
      </c>
      <c r="DQ307" s="7">
        <f t="shared" si="300"/>
        <v>0</v>
      </c>
      <c r="DR307" s="7">
        <f t="shared" si="301"/>
        <v>0</v>
      </c>
      <c r="DS307" s="7">
        <f t="shared" si="302"/>
        <v>0</v>
      </c>
      <c r="DT307" s="7">
        <f t="shared" si="303"/>
        <v>0</v>
      </c>
      <c r="DU307" s="7">
        <f t="shared" si="304"/>
        <v>0</v>
      </c>
    </row>
    <row r="308" spans="1:125" x14ac:dyDescent="0.2">
      <c r="A308" s="3">
        <f>Bonds!A308</f>
        <v>53008</v>
      </c>
      <c r="B308" s="4">
        <f>Bonds!B308</f>
        <v>4.75</v>
      </c>
      <c r="C308">
        <f>Bonds!P308</f>
        <v>37</v>
      </c>
      <c r="D308">
        <f t="shared" si="244"/>
        <v>0</v>
      </c>
      <c r="E308" s="3">
        <f>IF(1&gt;$C308,"",IF($D308=1,EOMONTH(EDATE(Bonds!$H308,6*(1-1)),0),EDATE(Bonds!$H308,6*(1-1))))</f>
        <v>46433</v>
      </c>
      <c r="F308" s="3">
        <f>IF(2&gt;$C308,"",IF($D308=1,EOMONTH(EDATE(Bonds!$H308,6*(2-1)),0),EDATE(Bonds!$H308,6*(2-1))))</f>
        <v>46614</v>
      </c>
      <c r="G308" s="3">
        <f>IF(3&gt;$C308,"",IF($D308=1,EOMONTH(EDATE(Bonds!$H308,6*(3-1)),0),EDATE(Bonds!$H308,6*(3-1))))</f>
        <v>46798</v>
      </c>
      <c r="H308" s="3">
        <f>IF(4&gt;$C308,"",IF($D308=1,EOMONTH(EDATE(Bonds!$H308,6*(4-1)),0),EDATE(Bonds!$H308,6*(4-1))))</f>
        <v>46980</v>
      </c>
      <c r="I308" s="3">
        <f>IF(5&gt;$C308,"",IF($D308=1,EOMONTH(EDATE(Bonds!$H308,6*(5-1)),0),EDATE(Bonds!$H308,6*(5-1))))</f>
        <v>47164</v>
      </c>
      <c r="J308" s="3">
        <f>IF(6&gt;$C308,"",IF($D308=1,EOMONTH(EDATE(Bonds!$H308,6*(6-1)),0),EDATE(Bonds!$H308,6*(6-1))))</f>
        <v>47345</v>
      </c>
      <c r="K308" s="3">
        <f>IF(7&gt;$C308,"",IF($D308=1,EOMONTH(EDATE(Bonds!$H308,6*(7-1)),0),EDATE(Bonds!$H308,6*(7-1))))</f>
        <v>47529</v>
      </c>
      <c r="L308" s="3">
        <f>IF(8&gt;$C308,"",IF($D308=1,EOMONTH(EDATE(Bonds!$H308,6*(8-1)),0),EDATE(Bonds!$H308,6*(8-1))))</f>
        <v>47710</v>
      </c>
      <c r="M308" s="3">
        <f>IF(9&gt;$C308,"",IF($D308=1,EOMONTH(EDATE(Bonds!$H308,6*(9-1)),0),EDATE(Bonds!$H308,6*(9-1))))</f>
        <v>47894</v>
      </c>
      <c r="N308" s="3">
        <f>IF(10&gt;$C308,"",IF($D308=1,EOMONTH(EDATE(Bonds!$H308,6*(10-1)),0),EDATE(Bonds!$H308,6*(10-1))))</f>
        <v>48075</v>
      </c>
      <c r="O308" s="3">
        <f>IF(11&gt;$C308,"",IF($D308=1,EOMONTH(EDATE(Bonds!$H308,6*(11-1)),0),EDATE(Bonds!$H308,6*(11-1))))</f>
        <v>48259</v>
      </c>
      <c r="P308" s="3">
        <f>IF(12&gt;$C308,"",IF($D308=1,EOMONTH(EDATE(Bonds!$H308,6*(12-1)),0),EDATE(Bonds!$H308,6*(12-1))))</f>
        <v>48441</v>
      </c>
      <c r="Q308" s="3">
        <f>IF(13&gt;$C308,"",IF($D308=1,EOMONTH(EDATE(Bonds!$H308,6*(13-1)),0),EDATE(Bonds!$H308,6*(13-1))))</f>
        <v>48625</v>
      </c>
      <c r="R308" s="3">
        <f>IF(14&gt;$C308,"",IF($D308=1,EOMONTH(EDATE(Bonds!$H308,6*(14-1)),0),EDATE(Bonds!$H308,6*(14-1))))</f>
        <v>48806</v>
      </c>
      <c r="S308" s="3">
        <f>IF(15&gt;$C308,"",IF($D308=1,EOMONTH(EDATE(Bonds!$H308,6*(15-1)),0),EDATE(Bonds!$H308,6*(15-1))))</f>
        <v>48990</v>
      </c>
      <c r="T308" s="3">
        <f>IF(16&gt;$C308,"",IF($D308=1,EOMONTH(EDATE(Bonds!$H308,6*(16-1)),0),EDATE(Bonds!$H308,6*(16-1))))</f>
        <v>49171</v>
      </c>
      <c r="U308" s="3">
        <f>IF(17&gt;$C308,"",IF($D308=1,EOMONTH(EDATE(Bonds!$H308,6*(17-1)),0),EDATE(Bonds!$H308,6*(17-1))))</f>
        <v>49355</v>
      </c>
      <c r="V308" s="3">
        <f>IF(18&gt;$C308,"",IF($D308=1,EOMONTH(EDATE(Bonds!$H308,6*(18-1)),0),EDATE(Bonds!$H308,6*(18-1))))</f>
        <v>49536</v>
      </c>
      <c r="W308" s="3">
        <f>IF(19&gt;$C308,"",IF($D308=1,EOMONTH(EDATE(Bonds!$H308,6*(19-1)),0),EDATE(Bonds!$H308,6*(19-1))))</f>
        <v>49720</v>
      </c>
      <c r="X308" s="3">
        <f>IF(20&gt;$C308,"",IF($D308=1,EOMONTH(EDATE(Bonds!$H308,6*(20-1)),0),EDATE(Bonds!$H308,6*(20-1))))</f>
        <v>49902</v>
      </c>
      <c r="Y308" s="3">
        <f>IF(21&gt;$C308,"",IF($D308=1,EOMONTH(EDATE(Bonds!$H308,6*(21-1)),0),EDATE(Bonds!$H308,6*(21-1))))</f>
        <v>50086</v>
      </c>
      <c r="Z308" s="3">
        <f>IF(22&gt;$C308,"",IF($D308=1,EOMONTH(EDATE(Bonds!$H308,6*(22-1)),0),EDATE(Bonds!$H308,6*(22-1))))</f>
        <v>50267</v>
      </c>
      <c r="AA308" s="3">
        <f>IF(23&gt;$C308,"",IF($D308=1,EOMONTH(EDATE(Bonds!$H308,6*(23-1)),0),EDATE(Bonds!$H308,6*(23-1))))</f>
        <v>50451</v>
      </c>
      <c r="AB308" s="3">
        <f>IF(24&gt;$C308,"",IF($D308=1,EOMONTH(EDATE(Bonds!$H308,6*(24-1)),0),EDATE(Bonds!$H308,6*(24-1))))</f>
        <v>50632</v>
      </c>
      <c r="AC308" s="3">
        <f>IF(25&gt;$C308,"",IF($D308=1,EOMONTH(EDATE(Bonds!$H308,6*(25-1)),0),EDATE(Bonds!$H308,6*(25-1))))</f>
        <v>50816</v>
      </c>
      <c r="AD308" s="3">
        <f>IF(26&gt;$C308,"",IF($D308=1,EOMONTH(EDATE(Bonds!$H308,6*(26-1)),0),EDATE(Bonds!$H308,6*(26-1))))</f>
        <v>50997</v>
      </c>
      <c r="AE308" s="3">
        <f>IF(27&gt;$C308,"",IF($D308=1,EOMONTH(EDATE(Bonds!$H308,6*(27-1)),0),EDATE(Bonds!$H308,6*(27-1))))</f>
        <v>51181</v>
      </c>
      <c r="AF308" s="3">
        <f>IF(28&gt;$C308,"",IF($D308=1,EOMONTH(EDATE(Bonds!$H308,6*(28-1)),0),EDATE(Bonds!$H308,6*(28-1))))</f>
        <v>51363</v>
      </c>
      <c r="AG308" s="3">
        <f>IF(29&gt;$C308,"",IF($D308=1,EOMONTH(EDATE(Bonds!$H308,6*(29-1)),0),EDATE(Bonds!$H308,6*(29-1))))</f>
        <v>51547</v>
      </c>
      <c r="AH308" s="3">
        <f>IF(30&gt;$C308,"",IF($D308=1,EOMONTH(EDATE(Bonds!$H308,6*(30-1)),0),EDATE(Bonds!$H308,6*(30-1))))</f>
        <v>51728</v>
      </c>
      <c r="AI308" s="3">
        <f>IF(31&gt;$C308,"",IF($D308=1,EOMONTH(EDATE(Bonds!$H308,6*(31-1)),0),EDATE(Bonds!$H308,6*(31-1))))</f>
        <v>51912</v>
      </c>
      <c r="AJ308" s="3">
        <f>IF(32&gt;$C308,"",IF($D308=1,EOMONTH(EDATE(Bonds!$H308,6*(32-1)),0),EDATE(Bonds!$H308,6*(32-1))))</f>
        <v>52093</v>
      </c>
      <c r="AK308" s="3">
        <f>IF(33&gt;$C308,"",IF($D308=1,EOMONTH(EDATE(Bonds!$H308,6*(33-1)),0),EDATE(Bonds!$H308,6*(33-1))))</f>
        <v>52277</v>
      </c>
      <c r="AL308" s="3">
        <f>IF(34&gt;$C308,"",IF($D308=1,EOMONTH(EDATE(Bonds!$H308,6*(34-1)),0),EDATE(Bonds!$H308,6*(34-1))))</f>
        <v>52458</v>
      </c>
      <c r="AM308" s="3">
        <f>IF(35&gt;$C308,"",IF($D308=1,EOMONTH(EDATE(Bonds!$H308,6*(35-1)),0),EDATE(Bonds!$H308,6*(35-1))))</f>
        <v>52642</v>
      </c>
      <c r="AN308" s="3">
        <f>IF(36&gt;$C308,"",IF($D308=1,EOMONTH(EDATE(Bonds!$H308,6*(36-1)),0),EDATE(Bonds!$H308,6*(36-1))))</f>
        <v>52824</v>
      </c>
      <c r="AO308" s="3">
        <f>IF(37&gt;$C308,"",IF($D308=1,EOMONTH(EDATE(Bonds!$H308,6*(37-1)),0),EDATE(Bonds!$H308,6*(37-1))))</f>
        <v>53008</v>
      </c>
      <c r="AP308" s="3" t="str">
        <f>IF(38&gt;$C308,"",IF($D308=1,EOMONTH(EDATE(Bonds!$H308,6*(38-1)),0),EDATE(Bonds!$H308,6*(38-1))))</f>
        <v/>
      </c>
      <c r="AQ308" s="3" t="str">
        <f>IF(39&gt;$C308,"",IF($D308=1,EOMONTH(EDATE(Bonds!$H308,6*(39-1)),0),EDATE(Bonds!$H308,6*(39-1))))</f>
        <v/>
      </c>
      <c r="AR308" s="3" t="str">
        <f>IF(40&gt;$C308,"",IF($D308=1,EOMONTH(EDATE(Bonds!$H308,6*(40-1)),0),EDATE(Bonds!$H308,6*(40-1))))</f>
        <v/>
      </c>
      <c r="AS308" s="3" t="str">
        <f>IF(41&gt;$C308,"",IF($D308=1,EOMONTH(EDATE(Bonds!$H308,6*(41-1)),0),EDATE(Bonds!$H308,6*(41-1))))</f>
        <v/>
      </c>
      <c r="AT308" s="3" t="str">
        <f>IF(42&gt;$C308,"",IF($D308=1,EOMONTH(EDATE(Bonds!$H308,6*(42-1)),0),EDATE(Bonds!$H308,6*(42-1))))</f>
        <v/>
      </c>
      <c r="AU308" s="3" t="str">
        <f>IF(43&gt;$C308,"",IF($D308=1,EOMONTH(EDATE(Bonds!$H308,6*(43-1)),0),EDATE(Bonds!$H308,6*(43-1))))</f>
        <v/>
      </c>
      <c r="AV308" s="3" t="str">
        <f>IF(44&gt;$C308,"",IF($D308=1,EOMONTH(EDATE(Bonds!$H308,6*(44-1)),0),EDATE(Bonds!$H308,6*(44-1))))</f>
        <v/>
      </c>
      <c r="AW308" s="3" t="str">
        <f>IF(45&gt;$C308,"",IF($D308=1,EOMONTH(EDATE(Bonds!$H308,6*(45-1)),0),EDATE(Bonds!$H308,6*(45-1))))</f>
        <v/>
      </c>
      <c r="AX308" s="3" t="str">
        <f>IF(46&gt;$C308,"",IF($D308=1,EOMONTH(EDATE(Bonds!$H308,6*(46-1)),0),EDATE(Bonds!$H308,6*(46-1))))</f>
        <v/>
      </c>
      <c r="AY308" s="3" t="str">
        <f>IF(47&gt;$C308,"",IF($D308=1,EOMONTH(EDATE(Bonds!$H308,6*(47-1)),0),EDATE(Bonds!$H308,6*(47-1))))</f>
        <v/>
      </c>
      <c r="AZ308" s="3" t="str">
        <f>IF(48&gt;$C308,"",IF($D308=1,EOMONTH(EDATE(Bonds!$H308,6*(48-1)),0),EDATE(Bonds!$H308,6*(48-1))))</f>
        <v/>
      </c>
      <c r="BA308" s="3" t="str">
        <f>IF(49&gt;$C308,"",IF($D308=1,EOMONTH(EDATE(Bonds!$H308,6*(49-1)),0),EDATE(Bonds!$H308,6*(49-1))))</f>
        <v/>
      </c>
      <c r="BB308" s="3" t="str">
        <f>IF(50&gt;$C308,"",IF($D308=1,EOMONTH(EDATE(Bonds!$H308,6*(50-1)),0),EDATE(Bonds!$H308,6*(50-1))))</f>
        <v/>
      </c>
      <c r="BC308" s="3" t="str">
        <f>IF(51&gt;$C308,"",IF($D308=1,EOMONTH(EDATE(Bonds!$H308,6*(51-1)),0),EDATE(Bonds!$H308,6*(51-1))))</f>
        <v/>
      </c>
      <c r="BD308" s="3" t="str">
        <f>IF(52&gt;$C308,"",IF($D308=1,EOMONTH(EDATE(Bonds!$H308,6*(52-1)),0),EDATE(Bonds!$H308,6*(52-1))))</f>
        <v/>
      </c>
      <c r="BE308" s="3" t="str">
        <f>IF(53&gt;$C308,"",IF($D308=1,EOMONTH(EDATE(Bonds!$H308,6*(53-1)),0),EDATE(Bonds!$H308,6*(53-1))))</f>
        <v/>
      </c>
      <c r="BF308" s="3" t="str">
        <f>IF(54&gt;$C308,"",IF($D308=1,EOMONTH(EDATE(Bonds!$H308,6*(54-1)),0),EDATE(Bonds!$H308,6*(54-1))))</f>
        <v/>
      </c>
      <c r="BG308" s="3" t="str">
        <f>IF(55&gt;$C308,"",IF($D308=1,EOMONTH(EDATE(Bonds!$H308,6*(55-1)),0),EDATE(Bonds!$H308,6*(55-1))))</f>
        <v/>
      </c>
      <c r="BH308" s="3" t="str">
        <f>IF(56&gt;$C308,"",IF($D308=1,EOMONTH(EDATE(Bonds!$H308,6*(56-1)),0),EDATE(Bonds!$H308,6*(56-1))))</f>
        <v/>
      </c>
      <c r="BI308" s="3" t="str">
        <f>IF(57&gt;$C308,"",IF($D308=1,EOMONTH(EDATE(Bonds!$H308,6*(57-1)),0),EDATE(Bonds!$H308,6*(57-1))))</f>
        <v/>
      </c>
      <c r="BJ308" s="3" t="str">
        <f>IF(58&gt;$C308,"",IF($D308=1,EOMONTH(EDATE(Bonds!$H308,6*(58-1)),0),EDATE(Bonds!$H308,6*(58-1))))</f>
        <v/>
      </c>
      <c r="BK308" s="3" t="str">
        <f>IF(59&gt;$C308,"",IF($D308=1,EOMONTH(EDATE(Bonds!$H308,6*(59-1)),0),EDATE(Bonds!$H308,6*(59-1))))</f>
        <v/>
      </c>
      <c r="BL308" s="3" t="str">
        <f>IF(60&gt;$C308,"",IF($D308=1,EOMONTH(EDATE(Bonds!$H308,6*(60-1)),0),EDATE(Bonds!$H308,6*(60-1))))</f>
        <v/>
      </c>
      <c r="BN308" s="7">
        <f t="shared" si="245"/>
        <v>2.3347187704174175</v>
      </c>
      <c r="BO308" s="7">
        <f t="shared" si="246"/>
        <v>2.2855068123875473</v>
      </c>
      <c r="BP308" s="7">
        <f t="shared" si="247"/>
        <v>2.2342435061137325</v>
      </c>
      <c r="BQ308" s="7">
        <f t="shared" si="248"/>
        <v>2.1838326224082194</v>
      </c>
      <c r="BR308" s="7">
        <f t="shared" si="249"/>
        <v>2.1338712764780285</v>
      </c>
      <c r="BS308" s="7">
        <f t="shared" si="250"/>
        <v>2.0859245230917653</v>
      </c>
      <c r="BT308" s="7">
        <f t="shared" si="251"/>
        <v>2.0383668696351003</v>
      </c>
      <c r="BU308" s="7">
        <f t="shared" si="252"/>
        <v>1.9925983059785519</v>
      </c>
      <c r="BV308" s="7">
        <f t="shared" si="253"/>
        <v>1.9469105232060857</v>
      </c>
      <c r="BW308" s="7">
        <f t="shared" si="254"/>
        <v>1.9026139874521839</v>
      </c>
      <c r="BX308" s="7">
        <f t="shared" si="255"/>
        <v>1.8580871883797061</v>
      </c>
      <c r="BY308" s="7">
        <f t="shared" si="256"/>
        <v>1.8144314477610579</v>
      </c>
      <c r="BZ308" s="7">
        <f t="shared" si="257"/>
        <v>1.7706127419892679</v>
      </c>
      <c r="CA308" s="7">
        <f t="shared" si="258"/>
        <v>1.7277821673758944</v>
      </c>
      <c r="CB308" s="7">
        <f t="shared" si="259"/>
        <v>1.6845129844227813</v>
      </c>
      <c r="CC308" s="7">
        <f t="shared" si="260"/>
        <v>1.6422334394581741</v>
      </c>
      <c r="CD308" s="7">
        <f t="shared" si="261"/>
        <v>1.5995781915504756</v>
      </c>
      <c r="CE308" s="7">
        <f t="shared" si="262"/>
        <v>1.5579862698488527</v>
      </c>
      <c r="CF308" s="7">
        <f t="shared" si="263"/>
        <v>1.5161362644584098</v>
      </c>
      <c r="CG308" s="7">
        <f t="shared" si="264"/>
        <v>1.4752297073091523</v>
      </c>
      <c r="CH308" s="7">
        <f t="shared" si="265"/>
        <v>1.4344303341543432</v>
      </c>
      <c r="CI308" s="7">
        <f t="shared" si="266"/>
        <v>1.3949020934942835</v>
      </c>
      <c r="CJ308" s="7">
        <f t="shared" si="267"/>
        <v>1.3553923290914585</v>
      </c>
      <c r="CK308" s="7">
        <f t="shared" si="268"/>
        <v>1.3172413010095105</v>
      </c>
      <c r="CL308" s="7">
        <f t="shared" si="269"/>
        <v>1.2792319049803067</v>
      </c>
      <c r="CM308" s="7">
        <f t="shared" si="270"/>
        <v>1.2426442752160505</v>
      </c>
      <c r="CN308" s="7">
        <f t="shared" si="271"/>
        <v>1.206300975972181</v>
      </c>
      <c r="CO308" s="7">
        <f t="shared" si="272"/>
        <v>1.1712254042681456</v>
      </c>
      <c r="CP308" s="7">
        <f t="shared" si="273"/>
        <v>1.136669968458121</v>
      </c>
      <c r="CQ308" s="7">
        <f t="shared" si="274"/>
        <v>1.103583416990199</v>
      </c>
      <c r="CR308" s="7">
        <f t="shared" si="275"/>
        <v>1.0708810115679883</v>
      </c>
      <c r="CS308" s="7">
        <f t="shared" si="276"/>
        <v>1.0396360579002475</v>
      </c>
      <c r="CT308" s="7">
        <f t="shared" si="277"/>
        <v>1.0088153454519424</v>
      </c>
      <c r="CU308" s="7">
        <f t="shared" si="278"/>
        <v>0.9794223655146912</v>
      </c>
      <c r="CV308" s="7">
        <f t="shared" si="279"/>
        <v>0.95047754069942147</v>
      </c>
      <c r="CW308" s="7">
        <f t="shared" si="280"/>
        <v>0.92276667277848734</v>
      </c>
      <c r="CX308" s="7">
        <f t="shared" si="281"/>
        <v>38.608064959366978</v>
      </c>
      <c r="CY308" s="7">
        <f t="shared" si="282"/>
        <v>0</v>
      </c>
      <c r="CZ308" s="7">
        <f t="shared" si="283"/>
        <v>0</v>
      </c>
      <c r="DA308" s="7">
        <f t="shared" si="284"/>
        <v>0</v>
      </c>
      <c r="DB308" s="7">
        <f t="shared" si="285"/>
        <v>0</v>
      </c>
      <c r="DC308" s="7">
        <f t="shared" si="286"/>
        <v>0</v>
      </c>
      <c r="DD308" s="7">
        <f t="shared" si="287"/>
        <v>0</v>
      </c>
      <c r="DE308" s="7">
        <f t="shared" si="288"/>
        <v>0</v>
      </c>
      <c r="DF308" s="7">
        <f t="shared" si="289"/>
        <v>0</v>
      </c>
      <c r="DG308" s="7">
        <f t="shared" si="290"/>
        <v>0</v>
      </c>
      <c r="DH308" s="7">
        <f t="shared" si="291"/>
        <v>0</v>
      </c>
      <c r="DI308" s="7">
        <f t="shared" si="292"/>
        <v>0</v>
      </c>
      <c r="DJ308" s="7">
        <f t="shared" si="293"/>
        <v>0</v>
      </c>
      <c r="DK308" s="7">
        <f t="shared" si="294"/>
        <v>0</v>
      </c>
      <c r="DL308" s="7">
        <f t="shared" si="295"/>
        <v>0</v>
      </c>
      <c r="DM308" s="7">
        <f t="shared" si="296"/>
        <v>0</v>
      </c>
      <c r="DN308" s="7">
        <f t="shared" si="297"/>
        <v>0</v>
      </c>
      <c r="DO308" s="7">
        <f t="shared" si="298"/>
        <v>0</v>
      </c>
      <c r="DP308" s="7">
        <f t="shared" si="299"/>
        <v>0</v>
      </c>
      <c r="DQ308" s="7">
        <f t="shared" si="300"/>
        <v>0</v>
      </c>
      <c r="DR308" s="7">
        <f t="shared" si="301"/>
        <v>0</v>
      </c>
      <c r="DS308" s="7">
        <f t="shared" si="302"/>
        <v>0</v>
      </c>
      <c r="DT308" s="7">
        <f t="shared" si="303"/>
        <v>0</v>
      </c>
      <c r="DU308" s="7">
        <f t="shared" si="304"/>
        <v>0</v>
      </c>
    </row>
    <row r="309" spans="1:125" x14ac:dyDescent="0.2">
      <c r="A309" s="3">
        <f>Bonds!A309</f>
        <v>53097</v>
      </c>
      <c r="B309" s="4">
        <f>Bonds!B309</f>
        <v>3</v>
      </c>
      <c r="C309">
        <f>Bonds!P309</f>
        <v>38</v>
      </c>
      <c r="D309">
        <f t="shared" si="244"/>
        <v>0</v>
      </c>
      <c r="E309" s="3">
        <f>IF(1&gt;$C309,"",IF($D309=1,EOMONTH(EDATE(Bonds!$H309,6*(1-1)),0),EDATE(Bonds!$H309,6*(1-1))))</f>
        <v>46341</v>
      </c>
      <c r="F309" s="3">
        <f>IF(2&gt;$C309,"",IF($D309=1,EOMONTH(EDATE(Bonds!$H309,6*(2-1)),0),EDATE(Bonds!$H309,6*(2-1))))</f>
        <v>46522</v>
      </c>
      <c r="G309" s="3">
        <f>IF(3&gt;$C309,"",IF($D309=1,EOMONTH(EDATE(Bonds!$H309,6*(3-1)),0),EDATE(Bonds!$H309,6*(3-1))))</f>
        <v>46706</v>
      </c>
      <c r="H309" s="3">
        <f>IF(4&gt;$C309,"",IF($D309=1,EOMONTH(EDATE(Bonds!$H309,6*(4-1)),0),EDATE(Bonds!$H309,6*(4-1))))</f>
        <v>46888</v>
      </c>
      <c r="I309" s="3">
        <f>IF(5&gt;$C309,"",IF($D309=1,EOMONTH(EDATE(Bonds!$H309,6*(5-1)),0),EDATE(Bonds!$H309,6*(5-1))))</f>
        <v>47072</v>
      </c>
      <c r="J309" s="3">
        <f>IF(6&gt;$C309,"",IF($D309=1,EOMONTH(EDATE(Bonds!$H309,6*(6-1)),0),EDATE(Bonds!$H309,6*(6-1))))</f>
        <v>47253</v>
      </c>
      <c r="K309" s="3">
        <f>IF(7&gt;$C309,"",IF($D309=1,EOMONTH(EDATE(Bonds!$H309,6*(7-1)),0),EDATE(Bonds!$H309,6*(7-1))))</f>
        <v>47437</v>
      </c>
      <c r="L309" s="3">
        <f>IF(8&gt;$C309,"",IF($D309=1,EOMONTH(EDATE(Bonds!$H309,6*(8-1)),0),EDATE(Bonds!$H309,6*(8-1))))</f>
        <v>47618</v>
      </c>
      <c r="M309" s="3">
        <f>IF(9&gt;$C309,"",IF($D309=1,EOMONTH(EDATE(Bonds!$H309,6*(9-1)),0),EDATE(Bonds!$H309,6*(9-1))))</f>
        <v>47802</v>
      </c>
      <c r="N309" s="3">
        <f>IF(10&gt;$C309,"",IF($D309=1,EOMONTH(EDATE(Bonds!$H309,6*(10-1)),0),EDATE(Bonds!$H309,6*(10-1))))</f>
        <v>47983</v>
      </c>
      <c r="O309" s="3">
        <f>IF(11&gt;$C309,"",IF($D309=1,EOMONTH(EDATE(Bonds!$H309,6*(11-1)),0),EDATE(Bonds!$H309,6*(11-1))))</f>
        <v>48167</v>
      </c>
      <c r="P309" s="3">
        <f>IF(12&gt;$C309,"",IF($D309=1,EOMONTH(EDATE(Bonds!$H309,6*(12-1)),0),EDATE(Bonds!$H309,6*(12-1))))</f>
        <v>48349</v>
      </c>
      <c r="Q309" s="3">
        <f>IF(13&gt;$C309,"",IF($D309=1,EOMONTH(EDATE(Bonds!$H309,6*(13-1)),0),EDATE(Bonds!$H309,6*(13-1))))</f>
        <v>48533</v>
      </c>
      <c r="R309" s="3">
        <f>IF(14&gt;$C309,"",IF($D309=1,EOMONTH(EDATE(Bonds!$H309,6*(14-1)),0),EDATE(Bonds!$H309,6*(14-1))))</f>
        <v>48714</v>
      </c>
      <c r="S309" s="3">
        <f>IF(15&gt;$C309,"",IF($D309=1,EOMONTH(EDATE(Bonds!$H309,6*(15-1)),0),EDATE(Bonds!$H309,6*(15-1))))</f>
        <v>48898</v>
      </c>
      <c r="T309" s="3">
        <f>IF(16&gt;$C309,"",IF($D309=1,EOMONTH(EDATE(Bonds!$H309,6*(16-1)),0),EDATE(Bonds!$H309,6*(16-1))))</f>
        <v>49079</v>
      </c>
      <c r="U309" s="3">
        <f>IF(17&gt;$C309,"",IF($D309=1,EOMONTH(EDATE(Bonds!$H309,6*(17-1)),0),EDATE(Bonds!$H309,6*(17-1))))</f>
        <v>49263</v>
      </c>
      <c r="V309" s="3">
        <f>IF(18&gt;$C309,"",IF($D309=1,EOMONTH(EDATE(Bonds!$H309,6*(18-1)),0),EDATE(Bonds!$H309,6*(18-1))))</f>
        <v>49444</v>
      </c>
      <c r="W309" s="3">
        <f>IF(19&gt;$C309,"",IF($D309=1,EOMONTH(EDATE(Bonds!$H309,6*(19-1)),0),EDATE(Bonds!$H309,6*(19-1))))</f>
        <v>49628</v>
      </c>
      <c r="X309" s="3">
        <f>IF(20&gt;$C309,"",IF($D309=1,EOMONTH(EDATE(Bonds!$H309,6*(20-1)),0),EDATE(Bonds!$H309,6*(20-1))))</f>
        <v>49810</v>
      </c>
      <c r="Y309" s="3">
        <f>IF(21&gt;$C309,"",IF($D309=1,EOMONTH(EDATE(Bonds!$H309,6*(21-1)),0),EDATE(Bonds!$H309,6*(21-1))))</f>
        <v>49994</v>
      </c>
      <c r="Z309" s="3">
        <f>IF(22&gt;$C309,"",IF($D309=1,EOMONTH(EDATE(Bonds!$H309,6*(22-1)),0),EDATE(Bonds!$H309,6*(22-1))))</f>
        <v>50175</v>
      </c>
      <c r="AA309" s="3">
        <f>IF(23&gt;$C309,"",IF($D309=1,EOMONTH(EDATE(Bonds!$H309,6*(23-1)),0),EDATE(Bonds!$H309,6*(23-1))))</f>
        <v>50359</v>
      </c>
      <c r="AB309" s="3">
        <f>IF(24&gt;$C309,"",IF($D309=1,EOMONTH(EDATE(Bonds!$H309,6*(24-1)),0),EDATE(Bonds!$H309,6*(24-1))))</f>
        <v>50540</v>
      </c>
      <c r="AC309" s="3">
        <f>IF(25&gt;$C309,"",IF($D309=1,EOMONTH(EDATE(Bonds!$H309,6*(25-1)),0),EDATE(Bonds!$H309,6*(25-1))))</f>
        <v>50724</v>
      </c>
      <c r="AD309" s="3">
        <f>IF(26&gt;$C309,"",IF($D309=1,EOMONTH(EDATE(Bonds!$H309,6*(26-1)),0),EDATE(Bonds!$H309,6*(26-1))))</f>
        <v>50905</v>
      </c>
      <c r="AE309" s="3">
        <f>IF(27&gt;$C309,"",IF($D309=1,EOMONTH(EDATE(Bonds!$H309,6*(27-1)),0),EDATE(Bonds!$H309,6*(27-1))))</f>
        <v>51089</v>
      </c>
      <c r="AF309" s="3">
        <f>IF(28&gt;$C309,"",IF($D309=1,EOMONTH(EDATE(Bonds!$H309,6*(28-1)),0),EDATE(Bonds!$H309,6*(28-1))))</f>
        <v>51271</v>
      </c>
      <c r="AG309" s="3">
        <f>IF(29&gt;$C309,"",IF($D309=1,EOMONTH(EDATE(Bonds!$H309,6*(29-1)),0),EDATE(Bonds!$H309,6*(29-1))))</f>
        <v>51455</v>
      </c>
      <c r="AH309" s="3">
        <f>IF(30&gt;$C309,"",IF($D309=1,EOMONTH(EDATE(Bonds!$H309,6*(30-1)),0),EDATE(Bonds!$H309,6*(30-1))))</f>
        <v>51636</v>
      </c>
      <c r="AI309" s="3">
        <f>IF(31&gt;$C309,"",IF($D309=1,EOMONTH(EDATE(Bonds!$H309,6*(31-1)),0),EDATE(Bonds!$H309,6*(31-1))))</f>
        <v>51820</v>
      </c>
      <c r="AJ309" s="3">
        <f>IF(32&gt;$C309,"",IF($D309=1,EOMONTH(EDATE(Bonds!$H309,6*(32-1)),0),EDATE(Bonds!$H309,6*(32-1))))</f>
        <v>52001</v>
      </c>
      <c r="AK309" s="3">
        <f>IF(33&gt;$C309,"",IF($D309=1,EOMONTH(EDATE(Bonds!$H309,6*(33-1)),0),EDATE(Bonds!$H309,6*(33-1))))</f>
        <v>52185</v>
      </c>
      <c r="AL309" s="3">
        <f>IF(34&gt;$C309,"",IF($D309=1,EOMONTH(EDATE(Bonds!$H309,6*(34-1)),0),EDATE(Bonds!$H309,6*(34-1))))</f>
        <v>52366</v>
      </c>
      <c r="AM309" s="3">
        <f>IF(35&gt;$C309,"",IF($D309=1,EOMONTH(EDATE(Bonds!$H309,6*(35-1)),0),EDATE(Bonds!$H309,6*(35-1))))</f>
        <v>52550</v>
      </c>
      <c r="AN309" s="3">
        <f>IF(36&gt;$C309,"",IF($D309=1,EOMONTH(EDATE(Bonds!$H309,6*(36-1)),0),EDATE(Bonds!$H309,6*(36-1))))</f>
        <v>52732</v>
      </c>
      <c r="AO309" s="3">
        <f>IF(37&gt;$C309,"",IF($D309=1,EOMONTH(EDATE(Bonds!$H309,6*(37-1)),0),EDATE(Bonds!$H309,6*(37-1))))</f>
        <v>52916</v>
      </c>
      <c r="AP309" s="3">
        <f>IF(38&gt;$C309,"",IF($D309=1,EOMONTH(EDATE(Bonds!$H309,6*(38-1)),0),EDATE(Bonds!$H309,6*(38-1))))</f>
        <v>53097</v>
      </c>
      <c r="AQ309" s="3" t="str">
        <f>IF(39&gt;$C309,"",IF($D309=1,EOMONTH(EDATE(Bonds!$H309,6*(39-1)),0),EDATE(Bonds!$H309,6*(39-1))))</f>
        <v/>
      </c>
      <c r="AR309" s="3" t="str">
        <f>IF(40&gt;$C309,"",IF($D309=1,EOMONTH(EDATE(Bonds!$H309,6*(40-1)),0),EDATE(Bonds!$H309,6*(40-1))))</f>
        <v/>
      </c>
      <c r="AS309" s="3" t="str">
        <f>IF(41&gt;$C309,"",IF($D309=1,EOMONTH(EDATE(Bonds!$H309,6*(41-1)),0),EDATE(Bonds!$H309,6*(41-1))))</f>
        <v/>
      </c>
      <c r="AT309" s="3" t="str">
        <f>IF(42&gt;$C309,"",IF($D309=1,EOMONTH(EDATE(Bonds!$H309,6*(42-1)),0),EDATE(Bonds!$H309,6*(42-1))))</f>
        <v/>
      </c>
      <c r="AU309" s="3" t="str">
        <f>IF(43&gt;$C309,"",IF($D309=1,EOMONTH(EDATE(Bonds!$H309,6*(43-1)),0),EDATE(Bonds!$H309,6*(43-1))))</f>
        <v/>
      </c>
      <c r="AV309" s="3" t="str">
        <f>IF(44&gt;$C309,"",IF($D309=1,EOMONTH(EDATE(Bonds!$H309,6*(44-1)),0),EDATE(Bonds!$H309,6*(44-1))))</f>
        <v/>
      </c>
      <c r="AW309" s="3" t="str">
        <f>IF(45&gt;$C309,"",IF($D309=1,EOMONTH(EDATE(Bonds!$H309,6*(45-1)),0),EDATE(Bonds!$H309,6*(45-1))))</f>
        <v/>
      </c>
      <c r="AX309" s="3" t="str">
        <f>IF(46&gt;$C309,"",IF($D309=1,EOMONTH(EDATE(Bonds!$H309,6*(46-1)),0),EDATE(Bonds!$H309,6*(46-1))))</f>
        <v/>
      </c>
      <c r="AY309" s="3" t="str">
        <f>IF(47&gt;$C309,"",IF($D309=1,EOMONTH(EDATE(Bonds!$H309,6*(47-1)),0),EDATE(Bonds!$H309,6*(47-1))))</f>
        <v/>
      </c>
      <c r="AZ309" s="3" t="str">
        <f>IF(48&gt;$C309,"",IF($D309=1,EOMONTH(EDATE(Bonds!$H309,6*(48-1)),0),EDATE(Bonds!$H309,6*(48-1))))</f>
        <v/>
      </c>
      <c r="BA309" s="3" t="str">
        <f>IF(49&gt;$C309,"",IF($D309=1,EOMONTH(EDATE(Bonds!$H309,6*(49-1)),0),EDATE(Bonds!$H309,6*(49-1))))</f>
        <v/>
      </c>
      <c r="BB309" s="3" t="str">
        <f>IF(50&gt;$C309,"",IF($D309=1,EOMONTH(EDATE(Bonds!$H309,6*(50-1)),0),EDATE(Bonds!$H309,6*(50-1))))</f>
        <v/>
      </c>
      <c r="BC309" s="3" t="str">
        <f>IF(51&gt;$C309,"",IF($D309=1,EOMONTH(EDATE(Bonds!$H309,6*(51-1)),0),EDATE(Bonds!$H309,6*(51-1))))</f>
        <v/>
      </c>
      <c r="BD309" s="3" t="str">
        <f>IF(52&gt;$C309,"",IF($D309=1,EOMONTH(EDATE(Bonds!$H309,6*(52-1)),0),EDATE(Bonds!$H309,6*(52-1))))</f>
        <v/>
      </c>
      <c r="BE309" s="3" t="str">
        <f>IF(53&gt;$C309,"",IF($D309=1,EOMONTH(EDATE(Bonds!$H309,6*(53-1)),0),EDATE(Bonds!$H309,6*(53-1))))</f>
        <v/>
      </c>
      <c r="BF309" s="3" t="str">
        <f>IF(54&gt;$C309,"",IF($D309=1,EOMONTH(EDATE(Bonds!$H309,6*(54-1)),0),EDATE(Bonds!$H309,6*(54-1))))</f>
        <v/>
      </c>
      <c r="BG309" s="3" t="str">
        <f>IF(55&gt;$C309,"",IF($D309=1,EOMONTH(EDATE(Bonds!$H309,6*(55-1)),0),EDATE(Bonds!$H309,6*(55-1))))</f>
        <v/>
      </c>
      <c r="BH309" s="3" t="str">
        <f>IF(56&gt;$C309,"",IF($D309=1,EOMONTH(EDATE(Bonds!$H309,6*(56-1)),0),EDATE(Bonds!$H309,6*(56-1))))</f>
        <v/>
      </c>
      <c r="BI309" s="3" t="str">
        <f>IF(57&gt;$C309,"",IF($D309=1,EOMONTH(EDATE(Bonds!$H309,6*(57-1)),0),EDATE(Bonds!$H309,6*(57-1))))</f>
        <v/>
      </c>
      <c r="BJ309" s="3" t="str">
        <f>IF(58&gt;$C309,"",IF($D309=1,EOMONTH(EDATE(Bonds!$H309,6*(58-1)),0),EDATE(Bonds!$H309,6*(58-1))))</f>
        <v/>
      </c>
      <c r="BK309" s="3" t="str">
        <f>IF(59&gt;$C309,"",IF($D309=1,EOMONTH(EDATE(Bonds!$H309,6*(59-1)),0),EDATE(Bonds!$H309,6*(59-1))))</f>
        <v/>
      </c>
      <c r="BL309" s="3" t="str">
        <f>IF(60&gt;$C309,"",IF($D309=1,EOMONTH(EDATE(Bonds!$H309,6*(60-1)),0),EDATE(Bonds!$H309,6*(60-1))))</f>
        <v/>
      </c>
      <c r="BN309" s="7">
        <f t="shared" si="245"/>
        <v>1.4895383739000279</v>
      </c>
      <c r="BO309" s="7">
        <f t="shared" si="246"/>
        <v>1.4594594779380694</v>
      </c>
      <c r="BP309" s="7">
        <f t="shared" si="247"/>
        <v>1.427311242824425</v>
      </c>
      <c r="BQ309" s="7">
        <f t="shared" si="248"/>
        <v>1.3952972121704836</v>
      </c>
      <c r="BR309" s="7">
        <f t="shared" si="249"/>
        <v>1.3633919042106983</v>
      </c>
      <c r="BS309" s="7">
        <f t="shared" si="250"/>
        <v>1.3327230031030199</v>
      </c>
      <c r="BT309" s="7">
        <f t="shared" si="251"/>
        <v>1.3023186741854413</v>
      </c>
      <c r="BU309" s="7">
        <f t="shared" si="252"/>
        <v>1.2731037686346938</v>
      </c>
      <c r="BV309" s="7">
        <f t="shared" si="253"/>
        <v>1.2439961992433619</v>
      </c>
      <c r="BW309" s="7">
        <f t="shared" si="254"/>
        <v>1.2158269714883776</v>
      </c>
      <c r="BX309" s="7">
        <f t="shared" si="255"/>
        <v>1.18755485282861</v>
      </c>
      <c r="BY309" s="7">
        <f t="shared" si="256"/>
        <v>1.1598672873295439</v>
      </c>
      <c r="BZ309" s="7">
        <f t="shared" si="257"/>
        <v>1.1320960779065503</v>
      </c>
      <c r="CA309" s="7">
        <f t="shared" si="258"/>
        <v>1.1049597095186465</v>
      </c>
      <c r="CB309" s="7">
        <f t="shared" si="259"/>
        <v>1.0775449146276199</v>
      </c>
      <c r="CC309" s="7">
        <f t="shared" si="260"/>
        <v>1.0507493936452232</v>
      </c>
      <c r="CD309" s="7">
        <f t="shared" si="261"/>
        <v>1.0237023229840678</v>
      </c>
      <c r="CE309" s="7">
        <f t="shared" si="262"/>
        <v>0.99731241179132524</v>
      </c>
      <c r="CF309" s="7">
        <f t="shared" si="263"/>
        <v>0.97073880964287673</v>
      </c>
      <c r="CG309" s="7">
        <f t="shared" si="264"/>
        <v>0.94474305095502098</v>
      </c>
      <c r="CH309" s="7">
        <f t="shared" si="265"/>
        <v>0.91879336132563816</v>
      </c>
      <c r="CI309" s="7">
        <f t="shared" si="266"/>
        <v>0.89363059488212826</v>
      </c>
      <c r="CJ309" s="7">
        <f t="shared" si="267"/>
        <v>0.86845823325031124</v>
      </c>
      <c r="CK309" s="7">
        <f t="shared" si="268"/>
        <v>0.84413141439219919</v>
      </c>
      <c r="CL309" s="7">
        <f t="shared" si="269"/>
        <v>0.81987556482184709</v>
      </c>
      <c r="CM309" s="7">
        <f t="shared" si="270"/>
        <v>0.79650922624555343</v>
      </c>
      <c r="CN309" s="7">
        <f t="shared" si="271"/>
        <v>0.7732821673153667</v>
      </c>
      <c r="CO309" s="7">
        <f t="shared" si="272"/>
        <v>0.75085002400057643</v>
      </c>
      <c r="CP309" s="7">
        <f t="shared" si="273"/>
        <v>0.72873640527376082</v>
      </c>
      <c r="CQ309" s="7">
        <f t="shared" si="274"/>
        <v>0.70755020024057091</v>
      </c>
      <c r="CR309" s="7">
        <f t="shared" si="275"/>
        <v>0.68659840000313088</v>
      </c>
      <c r="CS309" s="7">
        <f t="shared" si="276"/>
        <v>0.66657010524756211</v>
      </c>
      <c r="CT309" s="7">
        <f t="shared" si="277"/>
        <v>0.64680440642580495</v>
      </c>
      <c r="CU309" s="7">
        <f t="shared" si="278"/>
        <v>0.62794611222090424</v>
      </c>
      <c r="CV309" s="7">
        <f t="shared" si="279"/>
        <v>0.60936791671570423</v>
      </c>
      <c r="CW309" s="7">
        <f t="shared" si="280"/>
        <v>0.59157519282468729</v>
      </c>
      <c r="CX309" s="7">
        <f t="shared" si="281"/>
        <v>0.57417060245235152</v>
      </c>
      <c r="CY309" s="7">
        <f t="shared" si="282"/>
        <v>37.731920629301079</v>
      </c>
      <c r="CZ309" s="7">
        <f t="shared" si="283"/>
        <v>0</v>
      </c>
      <c r="DA309" s="7">
        <f t="shared" si="284"/>
        <v>0</v>
      </c>
      <c r="DB309" s="7">
        <f t="shared" si="285"/>
        <v>0</v>
      </c>
      <c r="DC309" s="7">
        <f t="shared" si="286"/>
        <v>0</v>
      </c>
      <c r="DD309" s="7">
        <f t="shared" si="287"/>
        <v>0</v>
      </c>
      <c r="DE309" s="7">
        <f t="shared" si="288"/>
        <v>0</v>
      </c>
      <c r="DF309" s="7">
        <f t="shared" si="289"/>
        <v>0</v>
      </c>
      <c r="DG309" s="7">
        <f t="shared" si="290"/>
        <v>0</v>
      </c>
      <c r="DH309" s="7">
        <f t="shared" si="291"/>
        <v>0</v>
      </c>
      <c r="DI309" s="7">
        <f t="shared" si="292"/>
        <v>0</v>
      </c>
      <c r="DJ309" s="7">
        <f t="shared" si="293"/>
        <v>0</v>
      </c>
      <c r="DK309" s="7">
        <f t="shared" si="294"/>
        <v>0</v>
      </c>
      <c r="DL309" s="7">
        <f t="shared" si="295"/>
        <v>0</v>
      </c>
      <c r="DM309" s="7">
        <f t="shared" si="296"/>
        <v>0</v>
      </c>
      <c r="DN309" s="7">
        <f t="shared" si="297"/>
        <v>0</v>
      </c>
      <c r="DO309" s="7">
        <f t="shared" si="298"/>
        <v>0</v>
      </c>
      <c r="DP309" s="7">
        <f t="shared" si="299"/>
        <v>0</v>
      </c>
      <c r="DQ309" s="7">
        <f t="shared" si="300"/>
        <v>0</v>
      </c>
      <c r="DR309" s="7">
        <f t="shared" si="301"/>
        <v>0</v>
      </c>
      <c r="DS309" s="7">
        <f t="shared" si="302"/>
        <v>0</v>
      </c>
      <c r="DT309" s="7">
        <f t="shared" si="303"/>
        <v>0</v>
      </c>
      <c r="DU309" s="7">
        <f t="shared" si="304"/>
        <v>0</v>
      </c>
    </row>
    <row r="310" spans="1:125" x14ac:dyDescent="0.2">
      <c r="A310" s="3">
        <f>Bonds!A310</f>
        <v>53097</v>
      </c>
      <c r="B310" s="4">
        <f>Bonds!B310</f>
        <v>5</v>
      </c>
      <c r="C310">
        <f>Bonds!P310</f>
        <v>38</v>
      </c>
      <c r="D310">
        <f t="shared" si="244"/>
        <v>0</v>
      </c>
      <c r="E310" s="3">
        <f>IF(1&gt;$C310,"",IF($D310=1,EOMONTH(EDATE(Bonds!$H310,6*(1-1)),0),EDATE(Bonds!$H310,6*(1-1))))</f>
        <v>46341</v>
      </c>
      <c r="F310" s="3">
        <f>IF(2&gt;$C310,"",IF($D310=1,EOMONTH(EDATE(Bonds!$H310,6*(2-1)),0),EDATE(Bonds!$H310,6*(2-1))))</f>
        <v>46522</v>
      </c>
      <c r="G310" s="3">
        <f>IF(3&gt;$C310,"",IF($D310=1,EOMONTH(EDATE(Bonds!$H310,6*(3-1)),0),EDATE(Bonds!$H310,6*(3-1))))</f>
        <v>46706</v>
      </c>
      <c r="H310" s="3">
        <f>IF(4&gt;$C310,"",IF($D310=1,EOMONTH(EDATE(Bonds!$H310,6*(4-1)),0),EDATE(Bonds!$H310,6*(4-1))))</f>
        <v>46888</v>
      </c>
      <c r="I310" s="3">
        <f>IF(5&gt;$C310,"",IF($D310=1,EOMONTH(EDATE(Bonds!$H310,6*(5-1)),0),EDATE(Bonds!$H310,6*(5-1))))</f>
        <v>47072</v>
      </c>
      <c r="J310" s="3">
        <f>IF(6&gt;$C310,"",IF($D310=1,EOMONTH(EDATE(Bonds!$H310,6*(6-1)),0),EDATE(Bonds!$H310,6*(6-1))))</f>
        <v>47253</v>
      </c>
      <c r="K310" s="3">
        <f>IF(7&gt;$C310,"",IF($D310=1,EOMONTH(EDATE(Bonds!$H310,6*(7-1)),0),EDATE(Bonds!$H310,6*(7-1))))</f>
        <v>47437</v>
      </c>
      <c r="L310" s="3">
        <f>IF(8&gt;$C310,"",IF($D310=1,EOMONTH(EDATE(Bonds!$H310,6*(8-1)),0),EDATE(Bonds!$H310,6*(8-1))))</f>
        <v>47618</v>
      </c>
      <c r="M310" s="3">
        <f>IF(9&gt;$C310,"",IF($D310=1,EOMONTH(EDATE(Bonds!$H310,6*(9-1)),0),EDATE(Bonds!$H310,6*(9-1))))</f>
        <v>47802</v>
      </c>
      <c r="N310" s="3">
        <f>IF(10&gt;$C310,"",IF($D310=1,EOMONTH(EDATE(Bonds!$H310,6*(10-1)),0),EDATE(Bonds!$H310,6*(10-1))))</f>
        <v>47983</v>
      </c>
      <c r="O310" s="3">
        <f>IF(11&gt;$C310,"",IF($D310=1,EOMONTH(EDATE(Bonds!$H310,6*(11-1)),0),EDATE(Bonds!$H310,6*(11-1))))</f>
        <v>48167</v>
      </c>
      <c r="P310" s="3">
        <f>IF(12&gt;$C310,"",IF($D310=1,EOMONTH(EDATE(Bonds!$H310,6*(12-1)),0),EDATE(Bonds!$H310,6*(12-1))))</f>
        <v>48349</v>
      </c>
      <c r="Q310" s="3">
        <f>IF(13&gt;$C310,"",IF($D310=1,EOMONTH(EDATE(Bonds!$H310,6*(13-1)),0),EDATE(Bonds!$H310,6*(13-1))))</f>
        <v>48533</v>
      </c>
      <c r="R310" s="3">
        <f>IF(14&gt;$C310,"",IF($D310=1,EOMONTH(EDATE(Bonds!$H310,6*(14-1)),0),EDATE(Bonds!$H310,6*(14-1))))</f>
        <v>48714</v>
      </c>
      <c r="S310" s="3">
        <f>IF(15&gt;$C310,"",IF($D310=1,EOMONTH(EDATE(Bonds!$H310,6*(15-1)),0),EDATE(Bonds!$H310,6*(15-1))))</f>
        <v>48898</v>
      </c>
      <c r="T310" s="3">
        <f>IF(16&gt;$C310,"",IF($D310=1,EOMONTH(EDATE(Bonds!$H310,6*(16-1)),0),EDATE(Bonds!$H310,6*(16-1))))</f>
        <v>49079</v>
      </c>
      <c r="U310" s="3">
        <f>IF(17&gt;$C310,"",IF($D310=1,EOMONTH(EDATE(Bonds!$H310,6*(17-1)),0),EDATE(Bonds!$H310,6*(17-1))))</f>
        <v>49263</v>
      </c>
      <c r="V310" s="3">
        <f>IF(18&gt;$C310,"",IF($D310=1,EOMONTH(EDATE(Bonds!$H310,6*(18-1)),0),EDATE(Bonds!$H310,6*(18-1))))</f>
        <v>49444</v>
      </c>
      <c r="W310" s="3">
        <f>IF(19&gt;$C310,"",IF($D310=1,EOMONTH(EDATE(Bonds!$H310,6*(19-1)),0),EDATE(Bonds!$H310,6*(19-1))))</f>
        <v>49628</v>
      </c>
      <c r="X310" s="3">
        <f>IF(20&gt;$C310,"",IF($D310=1,EOMONTH(EDATE(Bonds!$H310,6*(20-1)),0),EDATE(Bonds!$H310,6*(20-1))))</f>
        <v>49810</v>
      </c>
      <c r="Y310" s="3">
        <f>IF(21&gt;$C310,"",IF($D310=1,EOMONTH(EDATE(Bonds!$H310,6*(21-1)),0),EDATE(Bonds!$H310,6*(21-1))))</f>
        <v>49994</v>
      </c>
      <c r="Z310" s="3">
        <f>IF(22&gt;$C310,"",IF($D310=1,EOMONTH(EDATE(Bonds!$H310,6*(22-1)),0),EDATE(Bonds!$H310,6*(22-1))))</f>
        <v>50175</v>
      </c>
      <c r="AA310" s="3">
        <f>IF(23&gt;$C310,"",IF($D310=1,EOMONTH(EDATE(Bonds!$H310,6*(23-1)),0),EDATE(Bonds!$H310,6*(23-1))))</f>
        <v>50359</v>
      </c>
      <c r="AB310" s="3">
        <f>IF(24&gt;$C310,"",IF($D310=1,EOMONTH(EDATE(Bonds!$H310,6*(24-1)),0),EDATE(Bonds!$H310,6*(24-1))))</f>
        <v>50540</v>
      </c>
      <c r="AC310" s="3">
        <f>IF(25&gt;$C310,"",IF($D310=1,EOMONTH(EDATE(Bonds!$H310,6*(25-1)),0),EDATE(Bonds!$H310,6*(25-1))))</f>
        <v>50724</v>
      </c>
      <c r="AD310" s="3">
        <f>IF(26&gt;$C310,"",IF($D310=1,EOMONTH(EDATE(Bonds!$H310,6*(26-1)),0),EDATE(Bonds!$H310,6*(26-1))))</f>
        <v>50905</v>
      </c>
      <c r="AE310" s="3">
        <f>IF(27&gt;$C310,"",IF($D310=1,EOMONTH(EDATE(Bonds!$H310,6*(27-1)),0),EDATE(Bonds!$H310,6*(27-1))))</f>
        <v>51089</v>
      </c>
      <c r="AF310" s="3">
        <f>IF(28&gt;$C310,"",IF($D310=1,EOMONTH(EDATE(Bonds!$H310,6*(28-1)),0),EDATE(Bonds!$H310,6*(28-1))))</f>
        <v>51271</v>
      </c>
      <c r="AG310" s="3">
        <f>IF(29&gt;$C310,"",IF($D310=1,EOMONTH(EDATE(Bonds!$H310,6*(29-1)),0),EDATE(Bonds!$H310,6*(29-1))))</f>
        <v>51455</v>
      </c>
      <c r="AH310" s="3">
        <f>IF(30&gt;$C310,"",IF($D310=1,EOMONTH(EDATE(Bonds!$H310,6*(30-1)),0),EDATE(Bonds!$H310,6*(30-1))))</f>
        <v>51636</v>
      </c>
      <c r="AI310" s="3">
        <f>IF(31&gt;$C310,"",IF($D310=1,EOMONTH(EDATE(Bonds!$H310,6*(31-1)),0),EDATE(Bonds!$H310,6*(31-1))))</f>
        <v>51820</v>
      </c>
      <c r="AJ310" s="3">
        <f>IF(32&gt;$C310,"",IF($D310=1,EOMONTH(EDATE(Bonds!$H310,6*(32-1)),0),EDATE(Bonds!$H310,6*(32-1))))</f>
        <v>52001</v>
      </c>
      <c r="AK310" s="3">
        <f>IF(33&gt;$C310,"",IF($D310=1,EOMONTH(EDATE(Bonds!$H310,6*(33-1)),0),EDATE(Bonds!$H310,6*(33-1))))</f>
        <v>52185</v>
      </c>
      <c r="AL310" s="3">
        <f>IF(34&gt;$C310,"",IF($D310=1,EOMONTH(EDATE(Bonds!$H310,6*(34-1)),0),EDATE(Bonds!$H310,6*(34-1))))</f>
        <v>52366</v>
      </c>
      <c r="AM310" s="3">
        <f>IF(35&gt;$C310,"",IF($D310=1,EOMONTH(EDATE(Bonds!$H310,6*(35-1)),0),EDATE(Bonds!$H310,6*(35-1))))</f>
        <v>52550</v>
      </c>
      <c r="AN310" s="3">
        <f>IF(36&gt;$C310,"",IF($D310=1,EOMONTH(EDATE(Bonds!$H310,6*(36-1)),0),EDATE(Bonds!$H310,6*(36-1))))</f>
        <v>52732</v>
      </c>
      <c r="AO310" s="3">
        <f>IF(37&gt;$C310,"",IF($D310=1,EOMONTH(EDATE(Bonds!$H310,6*(37-1)),0),EDATE(Bonds!$H310,6*(37-1))))</f>
        <v>52916</v>
      </c>
      <c r="AP310" s="3">
        <f>IF(38&gt;$C310,"",IF($D310=1,EOMONTH(EDATE(Bonds!$H310,6*(38-1)),0),EDATE(Bonds!$H310,6*(38-1))))</f>
        <v>53097</v>
      </c>
      <c r="AQ310" s="3" t="str">
        <f>IF(39&gt;$C310,"",IF($D310=1,EOMONTH(EDATE(Bonds!$H310,6*(39-1)),0),EDATE(Bonds!$H310,6*(39-1))))</f>
        <v/>
      </c>
      <c r="AR310" s="3" t="str">
        <f>IF(40&gt;$C310,"",IF($D310=1,EOMONTH(EDATE(Bonds!$H310,6*(40-1)),0),EDATE(Bonds!$H310,6*(40-1))))</f>
        <v/>
      </c>
      <c r="AS310" s="3" t="str">
        <f>IF(41&gt;$C310,"",IF($D310=1,EOMONTH(EDATE(Bonds!$H310,6*(41-1)),0),EDATE(Bonds!$H310,6*(41-1))))</f>
        <v/>
      </c>
      <c r="AT310" s="3" t="str">
        <f>IF(42&gt;$C310,"",IF($D310=1,EOMONTH(EDATE(Bonds!$H310,6*(42-1)),0),EDATE(Bonds!$H310,6*(42-1))))</f>
        <v/>
      </c>
      <c r="AU310" s="3" t="str">
        <f>IF(43&gt;$C310,"",IF($D310=1,EOMONTH(EDATE(Bonds!$H310,6*(43-1)),0),EDATE(Bonds!$H310,6*(43-1))))</f>
        <v/>
      </c>
      <c r="AV310" s="3" t="str">
        <f>IF(44&gt;$C310,"",IF($D310=1,EOMONTH(EDATE(Bonds!$H310,6*(44-1)),0),EDATE(Bonds!$H310,6*(44-1))))</f>
        <v/>
      </c>
      <c r="AW310" s="3" t="str">
        <f>IF(45&gt;$C310,"",IF($D310=1,EOMONTH(EDATE(Bonds!$H310,6*(45-1)),0),EDATE(Bonds!$H310,6*(45-1))))</f>
        <v/>
      </c>
      <c r="AX310" s="3" t="str">
        <f>IF(46&gt;$C310,"",IF($D310=1,EOMONTH(EDATE(Bonds!$H310,6*(46-1)),0),EDATE(Bonds!$H310,6*(46-1))))</f>
        <v/>
      </c>
      <c r="AY310" s="3" t="str">
        <f>IF(47&gt;$C310,"",IF($D310=1,EOMONTH(EDATE(Bonds!$H310,6*(47-1)),0),EDATE(Bonds!$H310,6*(47-1))))</f>
        <v/>
      </c>
      <c r="AZ310" s="3" t="str">
        <f>IF(48&gt;$C310,"",IF($D310=1,EOMONTH(EDATE(Bonds!$H310,6*(48-1)),0),EDATE(Bonds!$H310,6*(48-1))))</f>
        <v/>
      </c>
      <c r="BA310" s="3" t="str">
        <f>IF(49&gt;$C310,"",IF($D310=1,EOMONTH(EDATE(Bonds!$H310,6*(49-1)),0),EDATE(Bonds!$H310,6*(49-1))))</f>
        <v/>
      </c>
      <c r="BB310" s="3" t="str">
        <f>IF(50&gt;$C310,"",IF($D310=1,EOMONTH(EDATE(Bonds!$H310,6*(50-1)),0),EDATE(Bonds!$H310,6*(50-1))))</f>
        <v/>
      </c>
      <c r="BC310" s="3" t="str">
        <f>IF(51&gt;$C310,"",IF($D310=1,EOMONTH(EDATE(Bonds!$H310,6*(51-1)),0),EDATE(Bonds!$H310,6*(51-1))))</f>
        <v/>
      </c>
      <c r="BD310" s="3" t="str">
        <f>IF(52&gt;$C310,"",IF($D310=1,EOMONTH(EDATE(Bonds!$H310,6*(52-1)),0),EDATE(Bonds!$H310,6*(52-1))))</f>
        <v/>
      </c>
      <c r="BE310" s="3" t="str">
        <f>IF(53&gt;$C310,"",IF($D310=1,EOMONTH(EDATE(Bonds!$H310,6*(53-1)),0),EDATE(Bonds!$H310,6*(53-1))))</f>
        <v/>
      </c>
      <c r="BF310" s="3" t="str">
        <f>IF(54&gt;$C310,"",IF($D310=1,EOMONTH(EDATE(Bonds!$H310,6*(54-1)),0),EDATE(Bonds!$H310,6*(54-1))))</f>
        <v/>
      </c>
      <c r="BG310" s="3" t="str">
        <f>IF(55&gt;$C310,"",IF($D310=1,EOMONTH(EDATE(Bonds!$H310,6*(55-1)),0),EDATE(Bonds!$H310,6*(55-1))))</f>
        <v/>
      </c>
      <c r="BH310" s="3" t="str">
        <f>IF(56&gt;$C310,"",IF($D310=1,EOMONTH(EDATE(Bonds!$H310,6*(56-1)),0),EDATE(Bonds!$H310,6*(56-1))))</f>
        <v/>
      </c>
      <c r="BI310" s="3" t="str">
        <f>IF(57&gt;$C310,"",IF($D310=1,EOMONTH(EDATE(Bonds!$H310,6*(57-1)),0),EDATE(Bonds!$H310,6*(57-1))))</f>
        <v/>
      </c>
      <c r="BJ310" s="3" t="str">
        <f>IF(58&gt;$C310,"",IF($D310=1,EOMONTH(EDATE(Bonds!$H310,6*(58-1)),0),EDATE(Bonds!$H310,6*(58-1))))</f>
        <v/>
      </c>
      <c r="BK310" s="3" t="str">
        <f>IF(59&gt;$C310,"",IF($D310=1,EOMONTH(EDATE(Bonds!$H310,6*(59-1)),0),EDATE(Bonds!$H310,6*(59-1))))</f>
        <v/>
      </c>
      <c r="BL310" s="3" t="str">
        <f>IF(60&gt;$C310,"",IF($D310=1,EOMONTH(EDATE(Bonds!$H310,6*(60-1)),0),EDATE(Bonds!$H310,6*(60-1))))</f>
        <v/>
      </c>
      <c r="BN310" s="7">
        <f t="shared" si="245"/>
        <v>2.4825639565000466</v>
      </c>
      <c r="BO310" s="7">
        <f t="shared" si="246"/>
        <v>2.432432463230116</v>
      </c>
      <c r="BP310" s="7">
        <f t="shared" si="247"/>
        <v>2.378852071374042</v>
      </c>
      <c r="BQ310" s="7">
        <f t="shared" si="248"/>
        <v>2.3254953536174727</v>
      </c>
      <c r="BR310" s="7">
        <f t="shared" si="249"/>
        <v>2.2723198403511642</v>
      </c>
      <c r="BS310" s="7">
        <f t="shared" si="250"/>
        <v>2.2212050051716998</v>
      </c>
      <c r="BT310" s="7">
        <f t="shared" si="251"/>
        <v>2.1705311236424021</v>
      </c>
      <c r="BU310" s="7">
        <f t="shared" si="252"/>
        <v>2.1218396143911562</v>
      </c>
      <c r="BV310" s="7">
        <f t="shared" si="253"/>
        <v>2.0733269987389362</v>
      </c>
      <c r="BW310" s="7">
        <f t="shared" si="254"/>
        <v>2.0263782858139625</v>
      </c>
      <c r="BX310" s="7">
        <f t="shared" si="255"/>
        <v>1.9792580880476836</v>
      </c>
      <c r="BY310" s="7">
        <f t="shared" si="256"/>
        <v>1.9331121455492402</v>
      </c>
      <c r="BZ310" s="7">
        <f t="shared" si="257"/>
        <v>1.8868267965109173</v>
      </c>
      <c r="CA310" s="7">
        <f t="shared" si="258"/>
        <v>1.8415995158644112</v>
      </c>
      <c r="CB310" s="7">
        <f t="shared" si="259"/>
        <v>1.7959081910460335</v>
      </c>
      <c r="CC310" s="7">
        <f t="shared" si="260"/>
        <v>1.7512489894087055</v>
      </c>
      <c r="CD310" s="7">
        <f t="shared" si="261"/>
        <v>1.7061705383067796</v>
      </c>
      <c r="CE310" s="7">
        <f t="shared" si="262"/>
        <v>1.6621873529855422</v>
      </c>
      <c r="CF310" s="7">
        <f t="shared" si="263"/>
        <v>1.6178980160714613</v>
      </c>
      <c r="CG310" s="7">
        <f t="shared" si="264"/>
        <v>1.5745717515917015</v>
      </c>
      <c r="CH310" s="7">
        <f t="shared" si="265"/>
        <v>1.5313222688760635</v>
      </c>
      <c r="CI310" s="7">
        <f t="shared" si="266"/>
        <v>1.489384324803547</v>
      </c>
      <c r="CJ310" s="7">
        <f t="shared" si="267"/>
        <v>1.4474303887505189</v>
      </c>
      <c r="CK310" s="7">
        <f t="shared" si="268"/>
        <v>1.4068856906536653</v>
      </c>
      <c r="CL310" s="7">
        <f t="shared" si="269"/>
        <v>1.3664592747030784</v>
      </c>
      <c r="CM310" s="7">
        <f t="shared" si="270"/>
        <v>1.3275153770759225</v>
      </c>
      <c r="CN310" s="7">
        <f t="shared" si="271"/>
        <v>1.2888036121922777</v>
      </c>
      <c r="CO310" s="7">
        <f t="shared" si="272"/>
        <v>1.2514167066676274</v>
      </c>
      <c r="CP310" s="7">
        <f t="shared" si="273"/>
        <v>1.2145606754562681</v>
      </c>
      <c r="CQ310" s="7">
        <f t="shared" si="274"/>
        <v>1.179250333734285</v>
      </c>
      <c r="CR310" s="7">
        <f t="shared" si="275"/>
        <v>1.1443306666718847</v>
      </c>
      <c r="CS310" s="7">
        <f t="shared" si="276"/>
        <v>1.1109501754126034</v>
      </c>
      <c r="CT310" s="7">
        <f t="shared" si="277"/>
        <v>1.0780073440430082</v>
      </c>
      <c r="CU310" s="7">
        <f t="shared" si="278"/>
        <v>1.0465768537015072</v>
      </c>
      <c r="CV310" s="7">
        <f t="shared" si="279"/>
        <v>1.0156131945261737</v>
      </c>
      <c r="CW310" s="7">
        <f t="shared" si="280"/>
        <v>0.9859586547078123</v>
      </c>
      <c r="CX310" s="7">
        <f t="shared" si="281"/>
        <v>0.95695100408725253</v>
      </c>
      <c r="CY310" s="7">
        <f t="shared" si="282"/>
        <v>38.103663689688283</v>
      </c>
      <c r="CZ310" s="7">
        <f t="shared" si="283"/>
        <v>0</v>
      </c>
      <c r="DA310" s="7">
        <f t="shared" si="284"/>
        <v>0</v>
      </c>
      <c r="DB310" s="7">
        <f t="shared" si="285"/>
        <v>0</v>
      </c>
      <c r="DC310" s="7">
        <f t="shared" si="286"/>
        <v>0</v>
      </c>
      <c r="DD310" s="7">
        <f t="shared" si="287"/>
        <v>0</v>
      </c>
      <c r="DE310" s="7">
        <f t="shared" si="288"/>
        <v>0</v>
      </c>
      <c r="DF310" s="7">
        <f t="shared" si="289"/>
        <v>0</v>
      </c>
      <c r="DG310" s="7">
        <f t="shared" si="290"/>
        <v>0</v>
      </c>
      <c r="DH310" s="7">
        <f t="shared" si="291"/>
        <v>0</v>
      </c>
      <c r="DI310" s="7">
        <f t="shared" si="292"/>
        <v>0</v>
      </c>
      <c r="DJ310" s="7">
        <f t="shared" si="293"/>
        <v>0</v>
      </c>
      <c r="DK310" s="7">
        <f t="shared" si="294"/>
        <v>0</v>
      </c>
      <c r="DL310" s="7">
        <f t="shared" si="295"/>
        <v>0</v>
      </c>
      <c r="DM310" s="7">
        <f t="shared" si="296"/>
        <v>0</v>
      </c>
      <c r="DN310" s="7">
        <f t="shared" si="297"/>
        <v>0</v>
      </c>
      <c r="DO310" s="7">
        <f t="shared" si="298"/>
        <v>0</v>
      </c>
      <c r="DP310" s="7">
        <f t="shared" si="299"/>
        <v>0</v>
      </c>
      <c r="DQ310" s="7">
        <f t="shared" si="300"/>
        <v>0</v>
      </c>
      <c r="DR310" s="7">
        <f t="shared" si="301"/>
        <v>0</v>
      </c>
      <c r="DS310" s="7">
        <f t="shared" si="302"/>
        <v>0</v>
      </c>
      <c r="DT310" s="7">
        <f t="shared" si="303"/>
        <v>0</v>
      </c>
      <c r="DU310" s="7">
        <f t="shared" si="304"/>
        <v>0</v>
      </c>
    </row>
    <row r="311" spans="1:125" x14ac:dyDescent="0.2">
      <c r="A311" s="3">
        <f>Bonds!A311</f>
        <v>53189</v>
      </c>
      <c r="B311" s="4">
        <f>Bonds!B311</f>
        <v>2.875</v>
      </c>
      <c r="C311">
        <f>Bonds!P311</f>
        <v>38</v>
      </c>
      <c r="D311">
        <f t="shared" si="244"/>
        <v>0</v>
      </c>
      <c r="E311" s="3">
        <f>IF(1&gt;$C311,"",IF($D311=1,EOMONTH(EDATE(Bonds!$H311,6*(1-1)),0),EDATE(Bonds!$H311,6*(1-1))))</f>
        <v>46433</v>
      </c>
      <c r="F311" s="3">
        <f>IF(2&gt;$C311,"",IF($D311=1,EOMONTH(EDATE(Bonds!$H311,6*(2-1)),0),EDATE(Bonds!$H311,6*(2-1))))</f>
        <v>46614</v>
      </c>
      <c r="G311" s="3">
        <f>IF(3&gt;$C311,"",IF($D311=1,EOMONTH(EDATE(Bonds!$H311,6*(3-1)),0),EDATE(Bonds!$H311,6*(3-1))))</f>
        <v>46798</v>
      </c>
      <c r="H311" s="3">
        <f>IF(4&gt;$C311,"",IF($D311=1,EOMONTH(EDATE(Bonds!$H311,6*(4-1)),0),EDATE(Bonds!$H311,6*(4-1))))</f>
        <v>46980</v>
      </c>
      <c r="I311" s="3">
        <f>IF(5&gt;$C311,"",IF($D311=1,EOMONTH(EDATE(Bonds!$H311,6*(5-1)),0),EDATE(Bonds!$H311,6*(5-1))))</f>
        <v>47164</v>
      </c>
      <c r="J311" s="3">
        <f>IF(6&gt;$C311,"",IF($D311=1,EOMONTH(EDATE(Bonds!$H311,6*(6-1)),0),EDATE(Bonds!$H311,6*(6-1))))</f>
        <v>47345</v>
      </c>
      <c r="K311" s="3">
        <f>IF(7&gt;$C311,"",IF($D311=1,EOMONTH(EDATE(Bonds!$H311,6*(7-1)),0),EDATE(Bonds!$H311,6*(7-1))))</f>
        <v>47529</v>
      </c>
      <c r="L311" s="3">
        <f>IF(8&gt;$C311,"",IF($D311=1,EOMONTH(EDATE(Bonds!$H311,6*(8-1)),0),EDATE(Bonds!$H311,6*(8-1))))</f>
        <v>47710</v>
      </c>
      <c r="M311" s="3">
        <f>IF(9&gt;$C311,"",IF($D311=1,EOMONTH(EDATE(Bonds!$H311,6*(9-1)),0),EDATE(Bonds!$H311,6*(9-1))))</f>
        <v>47894</v>
      </c>
      <c r="N311" s="3">
        <f>IF(10&gt;$C311,"",IF($D311=1,EOMONTH(EDATE(Bonds!$H311,6*(10-1)),0),EDATE(Bonds!$H311,6*(10-1))))</f>
        <v>48075</v>
      </c>
      <c r="O311" s="3">
        <f>IF(11&gt;$C311,"",IF($D311=1,EOMONTH(EDATE(Bonds!$H311,6*(11-1)),0),EDATE(Bonds!$H311,6*(11-1))))</f>
        <v>48259</v>
      </c>
      <c r="P311" s="3">
        <f>IF(12&gt;$C311,"",IF($D311=1,EOMONTH(EDATE(Bonds!$H311,6*(12-1)),0),EDATE(Bonds!$H311,6*(12-1))))</f>
        <v>48441</v>
      </c>
      <c r="Q311" s="3">
        <f>IF(13&gt;$C311,"",IF($D311=1,EOMONTH(EDATE(Bonds!$H311,6*(13-1)),0),EDATE(Bonds!$H311,6*(13-1))))</f>
        <v>48625</v>
      </c>
      <c r="R311" s="3">
        <f>IF(14&gt;$C311,"",IF($D311=1,EOMONTH(EDATE(Bonds!$H311,6*(14-1)),0),EDATE(Bonds!$H311,6*(14-1))))</f>
        <v>48806</v>
      </c>
      <c r="S311" s="3">
        <f>IF(15&gt;$C311,"",IF($D311=1,EOMONTH(EDATE(Bonds!$H311,6*(15-1)),0),EDATE(Bonds!$H311,6*(15-1))))</f>
        <v>48990</v>
      </c>
      <c r="T311" s="3">
        <f>IF(16&gt;$C311,"",IF($D311=1,EOMONTH(EDATE(Bonds!$H311,6*(16-1)),0),EDATE(Bonds!$H311,6*(16-1))))</f>
        <v>49171</v>
      </c>
      <c r="U311" s="3">
        <f>IF(17&gt;$C311,"",IF($D311=1,EOMONTH(EDATE(Bonds!$H311,6*(17-1)),0),EDATE(Bonds!$H311,6*(17-1))))</f>
        <v>49355</v>
      </c>
      <c r="V311" s="3">
        <f>IF(18&gt;$C311,"",IF($D311=1,EOMONTH(EDATE(Bonds!$H311,6*(18-1)),0),EDATE(Bonds!$H311,6*(18-1))))</f>
        <v>49536</v>
      </c>
      <c r="W311" s="3">
        <f>IF(19&gt;$C311,"",IF($D311=1,EOMONTH(EDATE(Bonds!$H311,6*(19-1)),0),EDATE(Bonds!$H311,6*(19-1))))</f>
        <v>49720</v>
      </c>
      <c r="X311" s="3">
        <f>IF(20&gt;$C311,"",IF($D311=1,EOMONTH(EDATE(Bonds!$H311,6*(20-1)),0),EDATE(Bonds!$H311,6*(20-1))))</f>
        <v>49902</v>
      </c>
      <c r="Y311" s="3">
        <f>IF(21&gt;$C311,"",IF($D311=1,EOMONTH(EDATE(Bonds!$H311,6*(21-1)),0),EDATE(Bonds!$H311,6*(21-1))))</f>
        <v>50086</v>
      </c>
      <c r="Z311" s="3">
        <f>IF(22&gt;$C311,"",IF($D311=1,EOMONTH(EDATE(Bonds!$H311,6*(22-1)),0),EDATE(Bonds!$H311,6*(22-1))))</f>
        <v>50267</v>
      </c>
      <c r="AA311" s="3">
        <f>IF(23&gt;$C311,"",IF($D311=1,EOMONTH(EDATE(Bonds!$H311,6*(23-1)),0),EDATE(Bonds!$H311,6*(23-1))))</f>
        <v>50451</v>
      </c>
      <c r="AB311" s="3">
        <f>IF(24&gt;$C311,"",IF($D311=1,EOMONTH(EDATE(Bonds!$H311,6*(24-1)),0),EDATE(Bonds!$H311,6*(24-1))))</f>
        <v>50632</v>
      </c>
      <c r="AC311" s="3">
        <f>IF(25&gt;$C311,"",IF($D311=1,EOMONTH(EDATE(Bonds!$H311,6*(25-1)),0),EDATE(Bonds!$H311,6*(25-1))))</f>
        <v>50816</v>
      </c>
      <c r="AD311" s="3">
        <f>IF(26&gt;$C311,"",IF($D311=1,EOMONTH(EDATE(Bonds!$H311,6*(26-1)),0),EDATE(Bonds!$H311,6*(26-1))))</f>
        <v>50997</v>
      </c>
      <c r="AE311" s="3">
        <f>IF(27&gt;$C311,"",IF($D311=1,EOMONTH(EDATE(Bonds!$H311,6*(27-1)),0),EDATE(Bonds!$H311,6*(27-1))))</f>
        <v>51181</v>
      </c>
      <c r="AF311" s="3">
        <f>IF(28&gt;$C311,"",IF($D311=1,EOMONTH(EDATE(Bonds!$H311,6*(28-1)),0),EDATE(Bonds!$H311,6*(28-1))))</f>
        <v>51363</v>
      </c>
      <c r="AG311" s="3">
        <f>IF(29&gt;$C311,"",IF($D311=1,EOMONTH(EDATE(Bonds!$H311,6*(29-1)),0),EDATE(Bonds!$H311,6*(29-1))))</f>
        <v>51547</v>
      </c>
      <c r="AH311" s="3">
        <f>IF(30&gt;$C311,"",IF($D311=1,EOMONTH(EDATE(Bonds!$H311,6*(30-1)),0),EDATE(Bonds!$H311,6*(30-1))))</f>
        <v>51728</v>
      </c>
      <c r="AI311" s="3">
        <f>IF(31&gt;$C311,"",IF($D311=1,EOMONTH(EDATE(Bonds!$H311,6*(31-1)),0),EDATE(Bonds!$H311,6*(31-1))))</f>
        <v>51912</v>
      </c>
      <c r="AJ311" s="3">
        <f>IF(32&gt;$C311,"",IF($D311=1,EOMONTH(EDATE(Bonds!$H311,6*(32-1)),0),EDATE(Bonds!$H311,6*(32-1))))</f>
        <v>52093</v>
      </c>
      <c r="AK311" s="3">
        <f>IF(33&gt;$C311,"",IF($D311=1,EOMONTH(EDATE(Bonds!$H311,6*(33-1)),0),EDATE(Bonds!$H311,6*(33-1))))</f>
        <v>52277</v>
      </c>
      <c r="AL311" s="3">
        <f>IF(34&gt;$C311,"",IF($D311=1,EOMONTH(EDATE(Bonds!$H311,6*(34-1)),0),EDATE(Bonds!$H311,6*(34-1))))</f>
        <v>52458</v>
      </c>
      <c r="AM311" s="3">
        <f>IF(35&gt;$C311,"",IF($D311=1,EOMONTH(EDATE(Bonds!$H311,6*(35-1)),0),EDATE(Bonds!$H311,6*(35-1))))</f>
        <v>52642</v>
      </c>
      <c r="AN311" s="3">
        <f>IF(36&gt;$C311,"",IF($D311=1,EOMONTH(EDATE(Bonds!$H311,6*(36-1)),0),EDATE(Bonds!$H311,6*(36-1))))</f>
        <v>52824</v>
      </c>
      <c r="AO311" s="3">
        <f>IF(37&gt;$C311,"",IF($D311=1,EOMONTH(EDATE(Bonds!$H311,6*(37-1)),0),EDATE(Bonds!$H311,6*(37-1))))</f>
        <v>53008</v>
      </c>
      <c r="AP311" s="3">
        <f>IF(38&gt;$C311,"",IF($D311=1,EOMONTH(EDATE(Bonds!$H311,6*(38-1)),0),EDATE(Bonds!$H311,6*(38-1))))</f>
        <v>53189</v>
      </c>
      <c r="AQ311" s="3" t="str">
        <f>IF(39&gt;$C311,"",IF($D311=1,EOMONTH(EDATE(Bonds!$H311,6*(39-1)),0),EDATE(Bonds!$H311,6*(39-1))))</f>
        <v/>
      </c>
      <c r="AR311" s="3" t="str">
        <f>IF(40&gt;$C311,"",IF($D311=1,EOMONTH(EDATE(Bonds!$H311,6*(40-1)),0),EDATE(Bonds!$H311,6*(40-1))))</f>
        <v/>
      </c>
      <c r="AS311" s="3" t="str">
        <f>IF(41&gt;$C311,"",IF($D311=1,EOMONTH(EDATE(Bonds!$H311,6*(41-1)),0),EDATE(Bonds!$H311,6*(41-1))))</f>
        <v/>
      </c>
      <c r="AT311" s="3" t="str">
        <f>IF(42&gt;$C311,"",IF($D311=1,EOMONTH(EDATE(Bonds!$H311,6*(42-1)),0),EDATE(Bonds!$H311,6*(42-1))))</f>
        <v/>
      </c>
      <c r="AU311" s="3" t="str">
        <f>IF(43&gt;$C311,"",IF($D311=1,EOMONTH(EDATE(Bonds!$H311,6*(43-1)),0),EDATE(Bonds!$H311,6*(43-1))))</f>
        <v/>
      </c>
      <c r="AV311" s="3" t="str">
        <f>IF(44&gt;$C311,"",IF($D311=1,EOMONTH(EDATE(Bonds!$H311,6*(44-1)),0),EDATE(Bonds!$H311,6*(44-1))))</f>
        <v/>
      </c>
      <c r="AW311" s="3" t="str">
        <f>IF(45&gt;$C311,"",IF($D311=1,EOMONTH(EDATE(Bonds!$H311,6*(45-1)),0),EDATE(Bonds!$H311,6*(45-1))))</f>
        <v/>
      </c>
      <c r="AX311" s="3" t="str">
        <f>IF(46&gt;$C311,"",IF($D311=1,EOMONTH(EDATE(Bonds!$H311,6*(46-1)),0),EDATE(Bonds!$H311,6*(46-1))))</f>
        <v/>
      </c>
      <c r="AY311" s="3" t="str">
        <f>IF(47&gt;$C311,"",IF($D311=1,EOMONTH(EDATE(Bonds!$H311,6*(47-1)),0),EDATE(Bonds!$H311,6*(47-1))))</f>
        <v/>
      </c>
      <c r="AZ311" s="3" t="str">
        <f>IF(48&gt;$C311,"",IF($D311=1,EOMONTH(EDATE(Bonds!$H311,6*(48-1)),0),EDATE(Bonds!$H311,6*(48-1))))</f>
        <v/>
      </c>
      <c r="BA311" s="3" t="str">
        <f>IF(49&gt;$C311,"",IF($D311=1,EOMONTH(EDATE(Bonds!$H311,6*(49-1)),0),EDATE(Bonds!$H311,6*(49-1))))</f>
        <v/>
      </c>
      <c r="BB311" s="3" t="str">
        <f>IF(50&gt;$C311,"",IF($D311=1,EOMONTH(EDATE(Bonds!$H311,6*(50-1)),0),EDATE(Bonds!$H311,6*(50-1))))</f>
        <v/>
      </c>
      <c r="BC311" s="3" t="str">
        <f>IF(51&gt;$C311,"",IF($D311=1,EOMONTH(EDATE(Bonds!$H311,6*(51-1)),0),EDATE(Bonds!$H311,6*(51-1))))</f>
        <v/>
      </c>
      <c r="BD311" s="3" t="str">
        <f>IF(52&gt;$C311,"",IF($D311=1,EOMONTH(EDATE(Bonds!$H311,6*(52-1)),0),EDATE(Bonds!$H311,6*(52-1))))</f>
        <v/>
      </c>
      <c r="BE311" s="3" t="str">
        <f>IF(53&gt;$C311,"",IF($D311=1,EOMONTH(EDATE(Bonds!$H311,6*(53-1)),0),EDATE(Bonds!$H311,6*(53-1))))</f>
        <v/>
      </c>
      <c r="BF311" s="3" t="str">
        <f>IF(54&gt;$C311,"",IF($D311=1,EOMONTH(EDATE(Bonds!$H311,6*(54-1)),0),EDATE(Bonds!$H311,6*(54-1))))</f>
        <v/>
      </c>
      <c r="BG311" s="3" t="str">
        <f>IF(55&gt;$C311,"",IF($D311=1,EOMONTH(EDATE(Bonds!$H311,6*(55-1)),0),EDATE(Bonds!$H311,6*(55-1))))</f>
        <v/>
      </c>
      <c r="BH311" s="3" t="str">
        <f>IF(56&gt;$C311,"",IF($D311=1,EOMONTH(EDATE(Bonds!$H311,6*(56-1)),0),EDATE(Bonds!$H311,6*(56-1))))</f>
        <v/>
      </c>
      <c r="BI311" s="3" t="str">
        <f>IF(57&gt;$C311,"",IF($D311=1,EOMONTH(EDATE(Bonds!$H311,6*(57-1)),0),EDATE(Bonds!$H311,6*(57-1))))</f>
        <v/>
      </c>
      <c r="BJ311" s="3" t="str">
        <f>IF(58&gt;$C311,"",IF($D311=1,EOMONTH(EDATE(Bonds!$H311,6*(58-1)),0),EDATE(Bonds!$H311,6*(58-1))))</f>
        <v/>
      </c>
      <c r="BK311" s="3" t="str">
        <f>IF(59&gt;$C311,"",IF($D311=1,EOMONTH(EDATE(Bonds!$H311,6*(59-1)),0),EDATE(Bonds!$H311,6*(59-1))))</f>
        <v/>
      </c>
      <c r="BL311" s="3" t="str">
        <f>IF(60&gt;$C311,"",IF($D311=1,EOMONTH(EDATE(Bonds!$H311,6*(60-1)),0),EDATE(Bonds!$H311,6*(60-1))))</f>
        <v/>
      </c>
      <c r="BN311" s="7">
        <f t="shared" si="245"/>
        <v>1.4131192557789631</v>
      </c>
      <c r="BO311" s="7">
        <f t="shared" si="246"/>
        <v>1.3833330706556208</v>
      </c>
      <c r="BP311" s="7">
        <f t="shared" si="247"/>
        <v>1.3523052800162065</v>
      </c>
      <c r="BQ311" s="7">
        <f t="shared" si="248"/>
        <v>1.3217934293523432</v>
      </c>
      <c r="BR311" s="7">
        <f t="shared" si="249"/>
        <v>1.2915536673419645</v>
      </c>
      <c r="BS311" s="7">
        <f t="shared" si="250"/>
        <v>1.2625332639765947</v>
      </c>
      <c r="BT311" s="7">
        <f t="shared" si="251"/>
        <v>1.2337483684633501</v>
      </c>
      <c r="BU311" s="7">
        <f t="shared" si="252"/>
        <v>1.2060463430922814</v>
      </c>
      <c r="BV311" s="7">
        <f t="shared" si="253"/>
        <v>1.1783932114142097</v>
      </c>
      <c r="BW311" s="7">
        <f t="shared" si="254"/>
        <v>1.1515821503000061</v>
      </c>
      <c r="BX311" s="7">
        <f t="shared" si="255"/>
        <v>1.1246317192824538</v>
      </c>
      <c r="BY311" s="7">
        <f t="shared" si="256"/>
        <v>1.0982085078553772</v>
      </c>
      <c r="BZ311" s="7">
        <f t="shared" si="257"/>
        <v>1.0716866596250831</v>
      </c>
      <c r="CA311" s="7">
        <f t="shared" si="258"/>
        <v>1.0457628907801466</v>
      </c>
      <c r="CB311" s="7">
        <f t="shared" si="259"/>
        <v>1.0195736484664202</v>
      </c>
      <c r="CC311" s="7">
        <f t="shared" si="260"/>
        <v>0.99398339756678966</v>
      </c>
      <c r="CD311" s="7">
        <f t="shared" si="261"/>
        <v>0.96816574751739315</v>
      </c>
      <c r="CE311" s="7">
        <f t="shared" si="262"/>
        <v>0.94299168964535818</v>
      </c>
      <c r="CF311" s="7">
        <f t="shared" si="263"/>
        <v>0.91766142322482702</v>
      </c>
      <c r="CG311" s="7">
        <f t="shared" si="264"/>
        <v>0.89290219126606585</v>
      </c>
      <c r="CH311" s="7">
        <f t="shared" si="265"/>
        <v>0.86820783383026034</v>
      </c>
      <c r="CI311" s="7">
        <f t="shared" si="266"/>
        <v>0.84428284606232951</v>
      </c>
      <c r="CJ311" s="7">
        <f t="shared" si="267"/>
        <v>0.82036904129219856</v>
      </c>
      <c r="CK311" s="7">
        <f t="shared" si="268"/>
        <v>0.79727762955838799</v>
      </c>
      <c r="CL311" s="7">
        <f t="shared" si="269"/>
        <v>0.7742719424880804</v>
      </c>
      <c r="CM311" s="7">
        <f t="shared" si="270"/>
        <v>0.75212679815708328</v>
      </c>
      <c r="CN311" s="7">
        <f t="shared" si="271"/>
        <v>0.7301295380884254</v>
      </c>
      <c r="CO311" s="7">
        <f t="shared" si="272"/>
        <v>0.70889958679387755</v>
      </c>
      <c r="CP311" s="7">
        <f t="shared" si="273"/>
        <v>0.68798445459307322</v>
      </c>
      <c r="CQ311" s="7">
        <f t="shared" si="274"/>
        <v>0.66795838396775198</v>
      </c>
      <c r="CR311" s="7">
        <f t="shared" si="275"/>
        <v>0.64816482279115073</v>
      </c>
      <c r="CS311" s="7">
        <f t="shared" si="276"/>
        <v>0.62925340346593928</v>
      </c>
      <c r="CT311" s="7">
        <f t="shared" si="277"/>
        <v>0.61059876172091254</v>
      </c>
      <c r="CU311" s="7">
        <f t="shared" si="278"/>
        <v>0.59280827386415524</v>
      </c>
      <c r="CV311" s="7">
        <f t="shared" si="279"/>
        <v>0.57528903779175511</v>
      </c>
      <c r="CW311" s="7">
        <f t="shared" si="280"/>
        <v>0.55851667036592656</v>
      </c>
      <c r="CX311" s="7">
        <f t="shared" si="281"/>
        <v>0.54211568624263762</v>
      </c>
      <c r="CY311" s="7">
        <f t="shared" si="282"/>
        <v>37.153935321318286</v>
      </c>
      <c r="CZ311" s="7">
        <f t="shared" si="283"/>
        <v>0</v>
      </c>
      <c r="DA311" s="7">
        <f t="shared" si="284"/>
        <v>0</v>
      </c>
      <c r="DB311" s="7">
        <f t="shared" si="285"/>
        <v>0</v>
      </c>
      <c r="DC311" s="7">
        <f t="shared" si="286"/>
        <v>0</v>
      </c>
      <c r="DD311" s="7">
        <f t="shared" si="287"/>
        <v>0</v>
      </c>
      <c r="DE311" s="7">
        <f t="shared" si="288"/>
        <v>0</v>
      </c>
      <c r="DF311" s="7">
        <f t="shared" si="289"/>
        <v>0</v>
      </c>
      <c r="DG311" s="7">
        <f t="shared" si="290"/>
        <v>0</v>
      </c>
      <c r="DH311" s="7">
        <f t="shared" si="291"/>
        <v>0</v>
      </c>
      <c r="DI311" s="7">
        <f t="shared" si="292"/>
        <v>0</v>
      </c>
      <c r="DJ311" s="7">
        <f t="shared" si="293"/>
        <v>0</v>
      </c>
      <c r="DK311" s="7">
        <f t="shared" si="294"/>
        <v>0</v>
      </c>
      <c r="DL311" s="7">
        <f t="shared" si="295"/>
        <v>0</v>
      </c>
      <c r="DM311" s="7">
        <f t="shared" si="296"/>
        <v>0</v>
      </c>
      <c r="DN311" s="7">
        <f t="shared" si="297"/>
        <v>0</v>
      </c>
      <c r="DO311" s="7">
        <f t="shared" si="298"/>
        <v>0</v>
      </c>
      <c r="DP311" s="7">
        <f t="shared" si="299"/>
        <v>0</v>
      </c>
      <c r="DQ311" s="7">
        <f t="shared" si="300"/>
        <v>0</v>
      </c>
      <c r="DR311" s="7">
        <f t="shared" si="301"/>
        <v>0</v>
      </c>
      <c r="DS311" s="7">
        <f t="shared" si="302"/>
        <v>0</v>
      </c>
      <c r="DT311" s="7">
        <f t="shared" si="303"/>
        <v>0</v>
      </c>
      <c r="DU311" s="7">
        <f t="shared" si="304"/>
        <v>0</v>
      </c>
    </row>
    <row r="312" spans="1:125" x14ac:dyDescent="0.2">
      <c r="A312" s="3">
        <f>Bonds!A312</f>
        <v>53189</v>
      </c>
      <c r="B312" s="4">
        <f>Bonds!B312</f>
        <v>4.875</v>
      </c>
      <c r="C312">
        <f>Bonds!P312</f>
        <v>38</v>
      </c>
      <c r="D312">
        <f t="shared" si="244"/>
        <v>0</v>
      </c>
      <c r="E312" s="3">
        <f>IF(1&gt;$C312,"",IF($D312=1,EOMONTH(EDATE(Bonds!$H312,6*(1-1)),0),EDATE(Bonds!$H312,6*(1-1))))</f>
        <v>46433</v>
      </c>
      <c r="F312" s="3">
        <f>IF(2&gt;$C312,"",IF($D312=1,EOMONTH(EDATE(Bonds!$H312,6*(2-1)),0),EDATE(Bonds!$H312,6*(2-1))))</f>
        <v>46614</v>
      </c>
      <c r="G312" s="3">
        <f>IF(3&gt;$C312,"",IF($D312=1,EOMONTH(EDATE(Bonds!$H312,6*(3-1)),0),EDATE(Bonds!$H312,6*(3-1))))</f>
        <v>46798</v>
      </c>
      <c r="H312" s="3">
        <f>IF(4&gt;$C312,"",IF($D312=1,EOMONTH(EDATE(Bonds!$H312,6*(4-1)),0),EDATE(Bonds!$H312,6*(4-1))))</f>
        <v>46980</v>
      </c>
      <c r="I312" s="3">
        <f>IF(5&gt;$C312,"",IF($D312=1,EOMONTH(EDATE(Bonds!$H312,6*(5-1)),0),EDATE(Bonds!$H312,6*(5-1))))</f>
        <v>47164</v>
      </c>
      <c r="J312" s="3">
        <f>IF(6&gt;$C312,"",IF($D312=1,EOMONTH(EDATE(Bonds!$H312,6*(6-1)),0),EDATE(Bonds!$H312,6*(6-1))))</f>
        <v>47345</v>
      </c>
      <c r="K312" s="3">
        <f>IF(7&gt;$C312,"",IF($D312=1,EOMONTH(EDATE(Bonds!$H312,6*(7-1)),0),EDATE(Bonds!$H312,6*(7-1))))</f>
        <v>47529</v>
      </c>
      <c r="L312" s="3">
        <f>IF(8&gt;$C312,"",IF($D312=1,EOMONTH(EDATE(Bonds!$H312,6*(8-1)),0),EDATE(Bonds!$H312,6*(8-1))))</f>
        <v>47710</v>
      </c>
      <c r="M312" s="3">
        <f>IF(9&gt;$C312,"",IF($D312=1,EOMONTH(EDATE(Bonds!$H312,6*(9-1)),0),EDATE(Bonds!$H312,6*(9-1))))</f>
        <v>47894</v>
      </c>
      <c r="N312" s="3">
        <f>IF(10&gt;$C312,"",IF($D312=1,EOMONTH(EDATE(Bonds!$H312,6*(10-1)),0),EDATE(Bonds!$H312,6*(10-1))))</f>
        <v>48075</v>
      </c>
      <c r="O312" s="3">
        <f>IF(11&gt;$C312,"",IF($D312=1,EOMONTH(EDATE(Bonds!$H312,6*(11-1)),0),EDATE(Bonds!$H312,6*(11-1))))</f>
        <v>48259</v>
      </c>
      <c r="P312" s="3">
        <f>IF(12&gt;$C312,"",IF($D312=1,EOMONTH(EDATE(Bonds!$H312,6*(12-1)),0),EDATE(Bonds!$H312,6*(12-1))))</f>
        <v>48441</v>
      </c>
      <c r="Q312" s="3">
        <f>IF(13&gt;$C312,"",IF($D312=1,EOMONTH(EDATE(Bonds!$H312,6*(13-1)),0),EDATE(Bonds!$H312,6*(13-1))))</f>
        <v>48625</v>
      </c>
      <c r="R312" s="3">
        <f>IF(14&gt;$C312,"",IF($D312=1,EOMONTH(EDATE(Bonds!$H312,6*(14-1)),0),EDATE(Bonds!$H312,6*(14-1))))</f>
        <v>48806</v>
      </c>
      <c r="S312" s="3">
        <f>IF(15&gt;$C312,"",IF($D312=1,EOMONTH(EDATE(Bonds!$H312,6*(15-1)),0),EDATE(Bonds!$H312,6*(15-1))))</f>
        <v>48990</v>
      </c>
      <c r="T312" s="3">
        <f>IF(16&gt;$C312,"",IF($D312=1,EOMONTH(EDATE(Bonds!$H312,6*(16-1)),0),EDATE(Bonds!$H312,6*(16-1))))</f>
        <v>49171</v>
      </c>
      <c r="U312" s="3">
        <f>IF(17&gt;$C312,"",IF($D312=1,EOMONTH(EDATE(Bonds!$H312,6*(17-1)),0),EDATE(Bonds!$H312,6*(17-1))))</f>
        <v>49355</v>
      </c>
      <c r="V312" s="3">
        <f>IF(18&gt;$C312,"",IF($D312=1,EOMONTH(EDATE(Bonds!$H312,6*(18-1)),0),EDATE(Bonds!$H312,6*(18-1))))</f>
        <v>49536</v>
      </c>
      <c r="W312" s="3">
        <f>IF(19&gt;$C312,"",IF($D312=1,EOMONTH(EDATE(Bonds!$H312,6*(19-1)),0),EDATE(Bonds!$H312,6*(19-1))))</f>
        <v>49720</v>
      </c>
      <c r="X312" s="3">
        <f>IF(20&gt;$C312,"",IF($D312=1,EOMONTH(EDATE(Bonds!$H312,6*(20-1)),0),EDATE(Bonds!$H312,6*(20-1))))</f>
        <v>49902</v>
      </c>
      <c r="Y312" s="3">
        <f>IF(21&gt;$C312,"",IF($D312=1,EOMONTH(EDATE(Bonds!$H312,6*(21-1)),0),EDATE(Bonds!$H312,6*(21-1))))</f>
        <v>50086</v>
      </c>
      <c r="Z312" s="3">
        <f>IF(22&gt;$C312,"",IF($D312=1,EOMONTH(EDATE(Bonds!$H312,6*(22-1)),0),EDATE(Bonds!$H312,6*(22-1))))</f>
        <v>50267</v>
      </c>
      <c r="AA312" s="3">
        <f>IF(23&gt;$C312,"",IF($D312=1,EOMONTH(EDATE(Bonds!$H312,6*(23-1)),0),EDATE(Bonds!$H312,6*(23-1))))</f>
        <v>50451</v>
      </c>
      <c r="AB312" s="3">
        <f>IF(24&gt;$C312,"",IF($D312=1,EOMONTH(EDATE(Bonds!$H312,6*(24-1)),0),EDATE(Bonds!$H312,6*(24-1))))</f>
        <v>50632</v>
      </c>
      <c r="AC312" s="3">
        <f>IF(25&gt;$C312,"",IF($D312=1,EOMONTH(EDATE(Bonds!$H312,6*(25-1)),0),EDATE(Bonds!$H312,6*(25-1))))</f>
        <v>50816</v>
      </c>
      <c r="AD312" s="3">
        <f>IF(26&gt;$C312,"",IF($D312=1,EOMONTH(EDATE(Bonds!$H312,6*(26-1)),0),EDATE(Bonds!$H312,6*(26-1))))</f>
        <v>50997</v>
      </c>
      <c r="AE312" s="3">
        <f>IF(27&gt;$C312,"",IF($D312=1,EOMONTH(EDATE(Bonds!$H312,6*(27-1)),0),EDATE(Bonds!$H312,6*(27-1))))</f>
        <v>51181</v>
      </c>
      <c r="AF312" s="3">
        <f>IF(28&gt;$C312,"",IF($D312=1,EOMONTH(EDATE(Bonds!$H312,6*(28-1)),0),EDATE(Bonds!$H312,6*(28-1))))</f>
        <v>51363</v>
      </c>
      <c r="AG312" s="3">
        <f>IF(29&gt;$C312,"",IF($D312=1,EOMONTH(EDATE(Bonds!$H312,6*(29-1)),0),EDATE(Bonds!$H312,6*(29-1))))</f>
        <v>51547</v>
      </c>
      <c r="AH312" s="3">
        <f>IF(30&gt;$C312,"",IF($D312=1,EOMONTH(EDATE(Bonds!$H312,6*(30-1)),0),EDATE(Bonds!$H312,6*(30-1))))</f>
        <v>51728</v>
      </c>
      <c r="AI312" s="3">
        <f>IF(31&gt;$C312,"",IF($D312=1,EOMONTH(EDATE(Bonds!$H312,6*(31-1)),0),EDATE(Bonds!$H312,6*(31-1))))</f>
        <v>51912</v>
      </c>
      <c r="AJ312" s="3">
        <f>IF(32&gt;$C312,"",IF($D312=1,EOMONTH(EDATE(Bonds!$H312,6*(32-1)),0),EDATE(Bonds!$H312,6*(32-1))))</f>
        <v>52093</v>
      </c>
      <c r="AK312" s="3">
        <f>IF(33&gt;$C312,"",IF($D312=1,EOMONTH(EDATE(Bonds!$H312,6*(33-1)),0),EDATE(Bonds!$H312,6*(33-1))))</f>
        <v>52277</v>
      </c>
      <c r="AL312" s="3">
        <f>IF(34&gt;$C312,"",IF($D312=1,EOMONTH(EDATE(Bonds!$H312,6*(34-1)),0),EDATE(Bonds!$H312,6*(34-1))))</f>
        <v>52458</v>
      </c>
      <c r="AM312" s="3">
        <f>IF(35&gt;$C312,"",IF($D312=1,EOMONTH(EDATE(Bonds!$H312,6*(35-1)),0),EDATE(Bonds!$H312,6*(35-1))))</f>
        <v>52642</v>
      </c>
      <c r="AN312" s="3">
        <f>IF(36&gt;$C312,"",IF($D312=1,EOMONTH(EDATE(Bonds!$H312,6*(36-1)),0),EDATE(Bonds!$H312,6*(36-1))))</f>
        <v>52824</v>
      </c>
      <c r="AO312" s="3">
        <f>IF(37&gt;$C312,"",IF($D312=1,EOMONTH(EDATE(Bonds!$H312,6*(37-1)),0),EDATE(Bonds!$H312,6*(37-1))))</f>
        <v>53008</v>
      </c>
      <c r="AP312" s="3">
        <f>IF(38&gt;$C312,"",IF($D312=1,EOMONTH(EDATE(Bonds!$H312,6*(38-1)),0),EDATE(Bonds!$H312,6*(38-1))))</f>
        <v>53189</v>
      </c>
      <c r="AQ312" s="3" t="str">
        <f>IF(39&gt;$C312,"",IF($D312=1,EOMONTH(EDATE(Bonds!$H312,6*(39-1)),0),EDATE(Bonds!$H312,6*(39-1))))</f>
        <v/>
      </c>
      <c r="AR312" s="3" t="str">
        <f>IF(40&gt;$C312,"",IF($D312=1,EOMONTH(EDATE(Bonds!$H312,6*(40-1)),0),EDATE(Bonds!$H312,6*(40-1))))</f>
        <v/>
      </c>
      <c r="AS312" s="3" t="str">
        <f>IF(41&gt;$C312,"",IF($D312=1,EOMONTH(EDATE(Bonds!$H312,6*(41-1)),0),EDATE(Bonds!$H312,6*(41-1))))</f>
        <v/>
      </c>
      <c r="AT312" s="3" t="str">
        <f>IF(42&gt;$C312,"",IF($D312=1,EOMONTH(EDATE(Bonds!$H312,6*(42-1)),0),EDATE(Bonds!$H312,6*(42-1))))</f>
        <v/>
      </c>
      <c r="AU312" s="3" t="str">
        <f>IF(43&gt;$C312,"",IF($D312=1,EOMONTH(EDATE(Bonds!$H312,6*(43-1)),0),EDATE(Bonds!$H312,6*(43-1))))</f>
        <v/>
      </c>
      <c r="AV312" s="3" t="str">
        <f>IF(44&gt;$C312,"",IF($D312=1,EOMONTH(EDATE(Bonds!$H312,6*(44-1)),0),EDATE(Bonds!$H312,6*(44-1))))</f>
        <v/>
      </c>
      <c r="AW312" s="3" t="str">
        <f>IF(45&gt;$C312,"",IF($D312=1,EOMONTH(EDATE(Bonds!$H312,6*(45-1)),0),EDATE(Bonds!$H312,6*(45-1))))</f>
        <v/>
      </c>
      <c r="AX312" s="3" t="str">
        <f>IF(46&gt;$C312,"",IF($D312=1,EOMONTH(EDATE(Bonds!$H312,6*(46-1)),0),EDATE(Bonds!$H312,6*(46-1))))</f>
        <v/>
      </c>
      <c r="AY312" s="3" t="str">
        <f>IF(47&gt;$C312,"",IF($D312=1,EOMONTH(EDATE(Bonds!$H312,6*(47-1)),0),EDATE(Bonds!$H312,6*(47-1))))</f>
        <v/>
      </c>
      <c r="AZ312" s="3" t="str">
        <f>IF(48&gt;$C312,"",IF($D312=1,EOMONTH(EDATE(Bonds!$H312,6*(48-1)),0),EDATE(Bonds!$H312,6*(48-1))))</f>
        <v/>
      </c>
      <c r="BA312" s="3" t="str">
        <f>IF(49&gt;$C312,"",IF($D312=1,EOMONTH(EDATE(Bonds!$H312,6*(49-1)),0),EDATE(Bonds!$H312,6*(49-1))))</f>
        <v/>
      </c>
      <c r="BB312" s="3" t="str">
        <f>IF(50&gt;$C312,"",IF($D312=1,EOMONTH(EDATE(Bonds!$H312,6*(50-1)),0),EDATE(Bonds!$H312,6*(50-1))))</f>
        <v/>
      </c>
      <c r="BC312" s="3" t="str">
        <f>IF(51&gt;$C312,"",IF($D312=1,EOMONTH(EDATE(Bonds!$H312,6*(51-1)),0),EDATE(Bonds!$H312,6*(51-1))))</f>
        <v/>
      </c>
      <c r="BD312" s="3" t="str">
        <f>IF(52&gt;$C312,"",IF($D312=1,EOMONTH(EDATE(Bonds!$H312,6*(52-1)),0),EDATE(Bonds!$H312,6*(52-1))))</f>
        <v/>
      </c>
      <c r="BE312" s="3" t="str">
        <f>IF(53&gt;$C312,"",IF($D312=1,EOMONTH(EDATE(Bonds!$H312,6*(53-1)),0),EDATE(Bonds!$H312,6*(53-1))))</f>
        <v/>
      </c>
      <c r="BF312" s="3" t="str">
        <f>IF(54&gt;$C312,"",IF($D312=1,EOMONTH(EDATE(Bonds!$H312,6*(54-1)),0),EDATE(Bonds!$H312,6*(54-1))))</f>
        <v/>
      </c>
      <c r="BG312" s="3" t="str">
        <f>IF(55&gt;$C312,"",IF($D312=1,EOMONTH(EDATE(Bonds!$H312,6*(55-1)),0),EDATE(Bonds!$H312,6*(55-1))))</f>
        <v/>
      </c>
      <c r="BH312" s="3" t="str">
        <f>IF(56&gt;$C312,"",IF($D312=1,EOMONTH(EDATE(Bonds!$H312,6*(56-1)),0),EDATE(Bonds!$H312,6*(56-1))))</f>
        <v/>
      </c>
      <c r="BI312" s="3" t="str">
        <f>IF(57&gt;$C312,"",IF($D312=1,EOMONTH(EDATE(Bonds!$H312,6*(57-1)),0),EDATE(Bonds!$H312,6*(57-1))))</f>
        <v/>
      </c>
      <c r="BJ312" s="3" t="str">
        <f>IF(58&gt;$C312,"",IF($D312=1,EOMONTH(EDATE(Bonds!$H312,6*(58-1)),0),EDATE(Bonds!$H312,6*(58-1))))</f>
        <v/>
      </c>
      <c r="BK312" s="3" t="str">
        <f>IF(59&gt;$C312,"",IF($D312=1,EOMONTH(EDATE(Bonds!$H312,6*(59-1)),0),EDATE(Bonds!$H312,6*(59-1))))</f>
        <v/>
      </c>
      <c r="BL312" s="3" t="str">
        <f>IF(60&gt;$C312,"",IF($D312=1,EOMONTH(EDATE(Bonds!$H312,6*(60-1)),0),EDATE(Bonds!$H312,6*(60-1))))</f>
        <v/>
      </c>
      <c r="BN312" s="7">
        <f t="shared" si="245"/>
        <v>2.3961587380599809</v>
      </c>
      <c r="BO312" s="7">
        <f t="shared" si="246"/>
        <v>2.3456517285030092</v>
      </c>
      <c r="BP312" s="7">
        <f t="shared" si="247"/>
        <v>2.2930393878535678</v>
      </c>
      <c r="BQ312" s="7">
        <f t="shared" si="248"/>
        <v>2.2413019019452776</v>
      </c>
      <c r="BR312" s="7">
        <f t="shared" si="249"/>
        <v>2.1900257837537662</v>
      </c>
      <c r="BS312" s="7">
        <f t="shared" si="250"/>
        <v>2.1408172736994433</v>
      </c>
      <c r="BT312" s="7">
        <f t="shared" si="251"/>
        <v>2.0920081030465503</v>
      </c>
      <c r="BU312" s="7">
        <f t="shared" si="252"/>
        <v>2.0450351035043033</v>
      </c>
      <c r="BV312" s="7">
        <f t="shared" si="253"/>
        <v>1.9981450106588774</v>
      </c>
      <c r="BW312" s="7">
        <f t="shared" si="254"/>
        <v>1.9526827765956625</v>
      </c>
      <c r="BX312" s="7">
        <f t="shared" si="255"/>
        <v>1.9069842196528564</v>
      </c>
      <c r="BY312" s="7">
        <f t="shared" si="256"/>
        <v>1.86217964375477</v>
      </c>
      <c r="BZ312" s="7">
        <f t="shared" si="257"/>
        <v>1.8172078141468802</v>
      </c>
      <c r="CA312" s="7">
        <f t="shared" si="258"/>
        <v>1.7732501191489443</v>
      </c>
      <c r="CB312" s="7">
        <f t="shared" si="259"/>
        <v>1.7288422734865387</v>
      </c>
      <c r="CC312" s="7">
        <f t="shared" si="260"/>
        <v>1.6854501089175997</v>
      </c>
      <c r="CD312" s="7">
        <f t="shared" si="261"/>
        <v>1.6416723544860143</v>
      </c>
      <c r="CE312" s="7">
        <f t="shared" si="262"/>
        <v>1.5989859085290856</v>
      </c>
      <c r="CF312" s="7">
        <f t="shared" si="263"/>
        <v>1.5560345872073154</v>
      </c>
      <c r="CG312" s="7">
        <f t="shared" si="264"/>
        <v>1.5140515417120248</v>
      </c>
      <c r="CH312" s="7">
        <f t="shared" si="265"/>
        <v>1.4721785008426154</v>
      </c>
      <c r="CI312" s="7">
        <f t="shared" si="266"/>
        <v>1.4316100433230805</v>
      </c>
      <c r="CJ312" s="7">
        <f t="shared" si="267"/>
        <v>1.3910605482780758</v>
      </c>
      <c r="CK312" s="7">
        <f t="shared" si="268"/>
        <v>1.3519055457729188</v>
      </c>
      <c r="CL312" s="7">
        <f t="shared" si="269"/>
        <v>1.3128959024797884</v>
      </c>
      <c r="CM312" s="7">
        <f t="shared" si="270"/>
        <v>1.2753454403533151</v>
      </c>
      <c r="CN312" s="7">
        <f t="shared" si="271"/>
        <v>1.2380457384977648</v>
      </c>
      <c r="CO312" s="7">
        <f t="shared" si="272"/>
        <v>1.2020471254330967</v>
      </c>
      <c r="CP312" s="7">
        <f t="shared" si="273"/>
        <v>1.1665823360491241</v>
      </c>
      <c r="CQ312" s="7">
        <f t="shared" si="274"/>
        <v>1.1326250858583622</v>
      </c>
      <c r="CR312" s="7">
        <f t="shared" si="275"/>
        <v>1.0990620908197775</v>
      </c>
      <c r="CS312" s="7">
        <f t="shared" si="276"/>
        <v>1.0669949015292013</v>
      </c>
      <c r="CT312" s="7">
        <f t="shared" si="277"/>
        <v>1.0353631177006779</v>
      </c>
      <c r="CU312" s="7">
        <f t="shared" si="278"/>
        <v>1.0051966382913937</v>
      </c>
      <c r="CV312" s="7">
        <f t="shared" si="279"/>
        <v>0.9754901075599326</v>
      </c>
      <c r="CW312" s="7">
        <f t="shared" si="280"/>
        <v>0.94705000627265801</v>
      </c>
      <c r="CX312" s="7">
        <f t="shared" si="281"/>
        <v>0.91923964188968987</v>
      </c>
      <c r="CY312" s="7">
        <f t="shared" si="282"/>
        <v>37.520209483450813</v>
      </c>
      <c r="CZ312" s="7">
        <f t="shared" si="283"/>
        <v>0</v>
      </c>
      <c r="DA312" s="7">
        <f t="shared" si="284"/>
        <v>0</v>
      </c>
      <c r="DB312" s="7">
        <f t="shared" si="285"/>
        <v>0</v>
      </c>
      <c r="DC312" s="7">
        <f t="shared" si="286"/>
        <v>0</v>
      </c>
      <c r="DD312" s="7">
        <f t="shared" si="287"/>
        <v>0</v>
      </c>
      <c r="DE312" s="7">
        <f t="shared" si="288"/>
        <v>0</v>
      </c>
      <c r="DF312" s="7">
        <f t="shared" si="289"/>
        <v>0</v>
      </c>
      <c r="DG312" s="7">
        <f t="shared" si="290"/>
        <v>0</v>
      </c>
      <c r="DH312" s="7">
        <f t="shared" si="291"/>
        <v>0</v>
      </c>
      <c r="DI312" s="7">
        <f t="shared" si="292"/>
        <v>0</v>
      </c>
      <c r="DJ312" s="7">
        <f t="shared" si="293"/>
        <v>0</v>
      </c>
      <c r="DK312" s="7">
        <f t="shared" si="294"/>
        <v>0</v>
      </c>
      <c r="DL312" s="7">
        <f t="shared" si="295"/>
        <v>0</v>
      </c>
      <c r="DM312" s="7">
        <f t="shared" si="296"/>
        <v>0</v>
      </c>
      <c r="DN312" s="7">
        <f t="shared" si="297"/>
        <v>0</v>
      </c>
      <c r="DO312" s="7">
        <f t="shared" si="298"/>
        <v>0</v>
      </c>
      <c r="DP312" s="7">
        <f t="shared" si="299"/>
        <v>0</v>
      </c>
      <c r="DQ312" s="7">
        <f t="shared" si="300"/>
        <v>0</v>
      </c>
      <c r="DR312" s="7">
        <f t="shared" si="301"/>
        <v>0</v>
      </c>
      <c r="DS312" s="7">
        <f t="shared" si="302"/>
        <v>0</v>
      </c>
      <c r="DT312" s="7">
        <f t="shared" si="303"/>
        <v>0</v>
      </c>
      <c r="DU312" s="7">
        <f t="shared" si="304"/>
        <v>0</v>
      </c>
    </row>
    <row r="313" spans="1:125" x14ac:dyDescent="0.2">
      <c r="A313" s="3">
        <f>Bonds!A313</f>
        <v>53281</v>
      </c>
      <c r="B313" s="4">
        <f>Bonds!B313</f>
        <v>3</v>
      </c>
      <c r="C313">
        <f>Bonds!P313</f>
        <v>39</v>
      </c>
      <c r="D313">
        <f t="shared" si="244"/>
        <v>0</v>
      </c>
      <c r="E313" s="3">
        <f>IF(1&gt;$C313,"",IF($D313=1,EOMONTH(EDATE(Bonds!$H313,6*(1-1)),0),EDATE(Bonds!$H313,6*(1-1))))</f>
        <v>46341</v>
      </c>
      <c r="F313" s="3">
        <f>IF(2&gt;$C313,"",IF($D313=1,EOMONTH(EDATE(Bonds!$H313,6*(2-1)),0),EDATE(Bonds!$H313,6*(2-1))))</f>
        <v>46522</v>
      </c>
      <c r="G313" s="3">
        <f>IF(3&gt;$C313,"",IF($D313=1,EOMONTH(EDATE(Bonds!$H313,6*(3-1)),0),EDATE(Bonds!$H313,6*(3-1))))</f>
        <v>46706</v>
      </c>
      <c r="H313" s="3">
        <f>IF(4&gt;$C313,"",IF($D313=1,EOMONTH(EDATE(Bonds!$H313,6*(4-1)),0),EDATE(Bonds!$H313,6*(4-1))))</f>
        <v>46888</v>
      </c>
      <c r="I313" s="3">
        <f>IF(5&gt;$C313,"",IF($D313=1,EOMONTH(EDATE(Bonds!$H313,6*(5-1)),0),EDATE(Bonds!$H313,6*(5-1))))</f>
        <v>47072</v>
      </c>
      <c r="J313" s="3">
        <f>IF(6&gt;$C313,"",IF($D313=1,EOMONTH(EDATE(Bonds!$H313,6*(6-1)),0),EDATE(Bonds!$H313,6*(6-1))))</f>
        <v>47253</v>
      </c>
      <c r="K313" s="3">
        <f>IF(7&gt;$C313,"",IF($D313=1,EOMONTH(EDATE(Bonds!$H313,6*(7-1)),0),EDATE(Bonds!$H313,6*(7-1))))</f>
        <v>47437</v>
      </c>
      <c r="L313" s="3">
        <f>IF(8&gt;$C313,"",IF($D313=1,EOMONTH(EDATE(Bonds!$H313,6*(8-1)),0),EDATE(Bonds!$H313,6*(8-1))))</f>
        <v>47618</v>
      </c>
      <c r="M313" s="3">
        <f>IF(9&gt;$C313,"",IF($D313=1,EOMONTH(EDATE(Bonds!$H313,6*(9-1)),0),EDATE(Bonds!$H313,6*(9-1))))</f>
        <v>47802</v>
      </c>
      <c r="N313" s="3">
        <f>IF(10&gt;$C313,"",IF($D313=1,EOMONTH(EDATE(Bonds!$H313,6*(10-1)),0),EDATE(Bonds!$H313,6*(10-1))))</f>
        <v>47983</v>
      </c>
      <c r="O313" s="3">
        <f>IF(11&gt;$C313,"",IF($D313=1,EOMONTH(EDATE(Bonds!$H313,6*(11-1)),0),EDATE(Bonds!$H313,6*(11-1))))</f>
        <v>48167</v>
      </c>
      <c r="P313" s="3">
        <f>IF(12&gt;$C313,"",IF($D313=1,EOMONTH(EDATE(Bonds!$H313,6*(12-1)),0),EDATE(Bonds!$H313,6*(12-1))))</f>
        <v>48349</v>
      </c>
      <c r="Q313" s="3">
        <f>IF(13&gt;$C313,"",IF($D313=1,EOMONTH(EDATE(Bonds!$H313,6*(13-1)),0),EDATE(Bonds!$H313,6*(13-1))))</f>
        <v>48533</v>
      </c>
      <c r="R313" s="3">
        <f>IF(14&gt;$C313,"",IF($D313=1,EOMONTH(EDATE(Bonds!$H313,6*(14-1)),0),EDATE(Bonds!$H313,6*(14-1))))</f>
        <v>48714</v>
      </c>
      <c r="S313" s="3">
        <f>IF(15&gt;$C313,"",IF($D313=1,EOMONTH(EDATE(Bonds!$H313,6*(15-1)),0),EDATE(Bonds!$H313,6*(15-1))))</f>
        <v>48898</v>
      </c>
      <c r="T313" s="3">
        <f>IF(16&gt;$C313,"",IF($D313=1,EOMONTH(EDATE(Bonds!$H313,6*(16-1)),0),EDATE(Bonds!$H313,6*(16-1))))</f>
        <v>49079</v>
      </c>
      <c r="U313" s="3">
        <f>IF(17&gt;$C313,"",IF($D313=1,EOMONTH(EDATE(Bonds!$H313,6*(17-1)),0),EDATE(Bonds!$H313,6*(17-1))))</f>
        <v>49263</v>
      </c>
      <c r="V313" s="3">
        <f>IF(18&gt;$C313,"",IF($D313=1,EOMONTH(EDATE(Bonds!$H313,6*(18-1)),0),EDATE(Bonds!$H313,6*(18-1))))</f>
        <v>49444</v>
      </c>
      <c r="W313" s="3">
        <f>IF(19&gt;$C313,"",IF($D313=1,EOMONTH(EDATE(Bonds!$H313,6*(19-1)),0),EDATE(Bonds!$H313,6*(19-1))))</f>
        <v>49628</v>
      </c>
      <c r="X313" s="3">
        <f>IF(20&gt;$C313,"",IF($D313=1,EOMONTH(EDATE(Bonds!$H313,6*(20-1)),0),EDATE(Bonds!$H313,6*(20-1))))</f>
        <v>49810</v>
      </c>
      <c r="Y313" s="3">
        <f>IF(21&gt;$C313,"",IF($D313=1,EOMONTH(EDATE(Bonds!$H313,6*(21-1)),0),EDATE(Bonds!$H313,6*(21-1))))</f>
        <v>49994</v>
      </c>
      <c r="Z313" s="3">
        <f>IF(22&gt;$C313,"",IF($D313=1,EOMONTH(EDATE(Bonds!$H313,6*(22-1)),0),EDATE(Bonds!$H313,6*(22-1))))</f>
        <v>50175</v>
      </c>
      <c r="AA313" s="3">
        <f>IF(23&gt;$C313,"",IF($D313=1,EOMONTH(EDATE(Bonds!$H313,6*(23-1)),0),EDATE(Bonds!$H313,6*(23-1))))</f>
        <v>50359</v>
      </c>
      <c r="AB313" s="3">
        <f>IF(24&gt;$C313,"",IF($D313=1,EOMONTH(EDATE(Bonds!$H313,6*(24-1)),0),EDATE(Bonds!$H313,6*(24-1))))</f>
        <v>50540</v>
      </c>
      <c r="AC313" s="3">
        <f>IF(25&gt;$C313,"",IF($D313=1,EOMONTH(EDATE(Bonds!$H313,6*(25-1)),0),EDATE(Bonds!$H313,6*(25-1))))</f>
        <v>50724</v>
      </c>
      <c r="AD313" s="3">
        <f>IF(26&gt;$C313,"",IF($D313=1,EOMONTH(EDATE(Bonds!$H313,6*(26-1)),0),EDATE(Bonds!$H313,6*(26-1))))</f>
        <v>50905</v>
      </c>
      <c r="AE313" s="3">
        <f>IF(27&gt;$C313,"",IF($D313=1,EOMONTH(EDATE(Bonds!$H313,6*(27-1)),0),EDATE(Bonds!$H313,6*(27-1))))</f>
        <v>51089</v>
      </c>
      <c r="AF313" s="3">
        <f>IF(28&gt;$C313,"",IF($D313=1,EOMONTH(EDATE(Bonds!$H313,6*(28-1)),0),EDATE(Bonds!$H313,6*(28-1))))</f>
        <v>51271</v>
      </c>
      <c r="AG313" s="3">
        <f>IF(29&gt;$C313,"",IF($D313=1,EOMONTH(EDATE(Bonds!$H313,6*(29-1)),0),EDATE(Bonds!$H313,6*(29-1))))</f>
        <v>51455</v>
      </c>
      <c r="AH313" s="3">
        <f>IF(30&gt;$C313,"",IF($D313=1,EOMONTH(EDATE(Bonds!$H313,6*(30-1)),0),EDATE(Bonds!$H313,6*(30-1))))</f>
        <v>51636</v>
      </c>
      <c r="AI313" s="3">
        <f>IF(31&gt;$C313,"",IF($D313=1,EOMONTH(EDATE(Bonds!$H313,6*(31-1)),0),EDATE(Bonds!$H313,6*(31-1))))</f>
        <v>51820</v>
      </c>
      <c r="AJ313" s="3">
        <f>IF(32&gt;$C313,"",IF($D313=1,EOMONTH(EDATE(Bonds!$H313,6*(32-1)),0),EDATE(Bonds!$H313,6*(32-1))))</f>
        <v>52001</v>
      </c>
      <c r="AK313" s="3">
        <f>IF(33&gt;$C313,"",IF($D313=1,EOMONTH(EDATE(Bonds!$H313,6*(33-1)),0),EDATE(Bonds!$H313,6*(33-1))))</f>
        <v>52185</v>
      </c>
      <c r="AL313" s="3">
        <f>IF(34&gt;$C313,"",IF($D313=1,EOMONTH(EDATE(Bonds!$H313,6*(34-1)),0),EDATE(Bonds!$H313,6*(34-1))))</f>
        <v>52366</v>
      </c>
      <c r="AM313" s="3">
        <f>IF(35&gt;$C313,"",IF($D313=1,EOMONTH(EDATE(Bonds!$H313,6*(35-1)),0),EDATE(Bonds!$H313,6*(35-1))))</f>
        <v>52550</v>
      </c>
      <c r="AN313" s="3">
        <f>IF(36&gt;$C313,"",IF($D313=1,EOMONTH(EDATE(Bonds!$H313,6*(36-1)),0),EDATE(Bonds!$H313,6*(36-1))))</f>
        <v>52732</v>
      </c>
      <c r="AO313" s="3">
        <f>IF(37&gt;$C313,"",IF($D313=1,EOMONTH(EDATE(Bonds!$H313,6*(37-1)),0),EDATE(Bonds!$H313,6*(37-1))))</f>
        <v>52916</v>
      </c>
      <c r="AP313" s="3">
        <f>IF(38&gt;$C313,"",IF($D313=1,EOMONTH(EDATE(Bonds!$H313,6*(38-1)),0),EDATE(Bonds!$H313,6*(38-1))))</f>
        <v>53097</v>
      </c>
      <c r="AQ313" s="3">
        <f>IF(39&gt;$C313,"",IF($D313=1,EOMONTH(EDATE(Bonds!$H313,6*(39-1)),0),EDATE(Bonds!$H313,6*(39-1))))</f>
        <v>53281</v>
      </c>
      <c r="AR313" s="3" t="str">
        <f>IF(40&gt;$C313,"",IF($D313=1,EOMONTH(EDATE(Bonds!$H313,6*(40-1)),0),EDATE(Bonds!$H313,6*(40-1))))</f>
        <v/>
      </c>
      <c r="AS313" s="3" t="str">
        <f>IF(41&gt;$C313,"",IF($D313=1,EOMONTH(EDATE(Bonds!$H313,6*(41-1)),0),EDATE(Bonds!$H313,6*(41-1))))</f>
        <v/>
      </c>
      <c r="AT313" s="3" t="str">
        <f>IF(42&gt;$C313,"",IF($D313=1,EOMONTH(EDATE(Bonds!$H313,6*(42-1)),0),EDATE(Bonds!$H313,6*(42-1))))</f>
        <v/>
      </c>
      <c r="AU313" s="3" t="str">
        <f>IF(43&gt;$C313,"",IF($D313=1,EOMONTH(EDATE(Bonds!$H313,6*(43-1)),0),EDATE(Bonds!$H313,6*(43-1))))</f>
        <v/>
      </c>
      <c r="AV313" s="3" t="str">
        <f>IF(44&gt;$C313,"",IF($D313=1,EOMONTH(EDATE(Bonds!$H313,6*(44-1)),0),EDATE(Bonds!$H313,6*(44-1))))</f>
        <v/>
      </c>
      <c r="AW313" s="3" t="str">
        <f>IF(45&gt;$C313,"",IF($D313=1,EOMONTH(EDATE(Bonds!$H313,6*(45-1)),0),EDATE(Bonds!$H313,6*(45-1))))</f>
        <v/>
      </c>
      <c r="AX313" s="3" t="str">
        <f>IF(46&gt;$C313,"",IF($D313=1,EOMONTH(EDATE(Bonds!$H313,6*(46-1)),0),EDATE(Bonds!$H313,6*(46-1))))</f>
        <v/>
      </c>
      <c r="AY313" s="3" t="str">
        <f>IF(47&gt;$C313,"",IF($D313=1,EOMONTH(EDATE(Bonds!$H313,6*(47-1)),0),EDATE(Bonds!$H313,6*(47-1))))</f>
        <v/>
      </c>
      <c r="AZ313" s="3" t="str">
        <f>IF(48&gt;$C313,"",IF($D313=1,EOMONTH(EDATE(Bonds!$H313,6*(48-1)),0),EDATE(Bonds!$H313,6*(48-1))))</f>
        <v/>
      </c>
      <c r="BA313" s="3" t="str">
        <f>IF(49&gt;$C313,"",IF($D313=1,EOMONTH(EDATE(Bonds!$H313,6*(49-1)),0),EDATE(Bonds!$H313,6*(49-1))))</f>
        <v/>
      </c>
      <c r="BB313" s="3" t="str">
        <f>IF(50&gt;$C313,"",IF($D313=1,EOMONTH(EDATE(Bonds!$H313,6*(50-1)),0),EDATE(Bonds!$H313,6*(50-1))))</f>
        <v/>
      </c>
      <c r="BC313" s="3" t="str">
        <f>IF(51&gt;$C313,"",IF($D313=1,EOMONTH(EDATE(Bonds!$H313,6*(51-1)),0),EDATE(Bonds!$H313,6*(51-1))))</f>
        <v/>
      </c>
      <c r="BD313" s="3" t="str">
        <f>IF(52&gt;$C313,"",IF($D313=1,EOMONTH(EDATE(Bonds!$H313,6*(52-1)),0),EDATE(Bonds!$H313,6*(52-1))))</f>
        <v/>
      </c>
      <c r="BE313" s="3" t="str">
        <f>IF(53&gt;$C313,"",IF($D313=1,EOMONTH(EDATE(Bonds!$H313,6*(53-1)),0),EDATE(Bonds!$H313,6*(53-1))))</f>
        <v/>
      </c>
      <c r="BF313" s="3" t="str">
        <f>IF(54&gt;$C313,"",IF($D313=1,EOMONTH(EDATE(Bonds!$H313,6*(54-1)),0),EDATE(Bonds!$H313,6*(54-1))))</f>
        <v/>
      </c>
      <c r="BG313" s="3" t="str">
        <f>IF(55&gt;$C313,"",IF($D313=1,EOMONTH(EDATE(Bonds!$H313,6*(55-1)),0),EDATE(Bonds!$H313,6*(55-1))))</f>
        <v/>
      </c>
      <c r="BH313" s="3" t="str">
        <f>IF(56&gt;$C313,"",IF($D313=1,EOMONTH(EDATE(Bonds!$H313,6*(56-1)),0),EDATE(Bonds!$H313,6*(56-1))))</f>
        <v/>
      </c>
      <c r="BI313" s="3" t="str">
        <f>IF(57&gt;$C313,"",IF($D313=1,EOMONTH(EDATE(Bonds!$H313,6*(57-1)),0),EDATE(Bonds!$H313,6*(57-1))))</f>
        <v/>
      </c>
      <c r="BJ313" s="3" t="str">
        <f>IF(58&gt;$C313,"",IF($D313=1,EOMONTH(EDATE(Bonds!$H313,6*(58-1)),0),EDATE(Bonds!$H313,6*(58-1))))</f>
        <v/>
      </c>
      <c r="BK313" s="3" t="str">
        <f>IF(59&gt;$C313,"",IF($D313=1,EOMONTH(EDATE(Bonds!$H313,6*(59-1)),0),EDATE(Bonds!$H313,6*(59-1))))</f>
        <v/>
      </c>
      <c r="BL313" s="3" t="str">
        <f>IF(60&gt;$C313,"",IF($D313=1,EOMONTH(EDATE(Bonds!$H313,6*(60-1)),0),EDATE(Bonds!$H313,6*(60-1))))</f>
        <v/>
      </c>
      <c r="BN313" s="7">
        <f t="shared" si="245"/>
        <v>1.4895383739000279</v>
      </c>
      <c r="BO313" s="7">
        <f t="shared" si="246"/>
        <v>1.4594594779380694</v>
      </c>
      <c r="BP313" s="7">
        <f t="shared" si="247"/>
        <v>1.427311242824425</v>
      </c>
      <c r="BQ313" s="7">
        <f t="shared" si="248"/>
        <v>1.3952972121704836</v>
      </c>
      <c r="BR313" s="7">
        <f t="shared" si="249"/>
        <v>1.3633919042106983</v>
      </c>
      <c r="BS313" s="7">
        <f t="shared" si="250"/>
        <v>1.3327230031030199</v>
      </c>
      <c r="BT313" s="7">
        <f t="shared" si="251"/>
        <v>1.3023186741854413</v>
      </c>
      <c r="BU313" s="7">
        <f t="shared" si="252"/>
        <v>1.2731037686346938</v>
      </c>
      <c r="BV313" s="7">
        <f t="shared" si="253"/>
        <v>1.2439961992433619</v>
      </c>
      <c r="BW313" s="7">
        <f t="shared" si="254"/>
        <v>1.2158269714883776</v>
      </c>
      <c r="BX313" s="7">
        <f t="shared" si="255"/>
        <v>1.18755485282861</v>
      </c>
      <c r="BY313" s="7">
        <f t="shared" si="256"/>
        <v>1.1598672873295439</v>
      </c>
      <c r="BZ313" s="7">
        <f t="shared" si="257"/>
        <v>1.1320960779065503</v>
      </c>
      <c r="CA313" s="7">
        <f t="shared" si="258"/>
        <v>1.1049597095186465</v>
      </c>
      <c r="CB313" s="7">
        <f t="shared" si="259"/>
        <v>1.0775449146276199</v>
      </c>
      <c r="CC313" s="7">
        <f t="shared" si="260"/>
        <v>1.0507493936452232</v>
      </c>
      <c r="CD313" s="7">
        <f t="shared" si="261"/>
        <v>1.0237023229840678</v>
      </c>
      <c r="CE313" s="7">
        <f t="shared" si="262"/>
        <v>0.99731241179132524</v>
      </c>
      <c r="CF313" s="7">
        <f t="shared" si="263"/>
        <v>0.97073880964287673</v>
      </c>
      <c r="CG313" s="7">
        <f t="shared" si="264"/>
        <v>0.94474305095502098</v>
      </c>
      <c r="CH313" s="7">
        <f t="shared" si="265"/>
        <v>0.91879336132563816</v>
      </c>
      <c r="CI313" s="7">
        <f t="shared" si="266"/>
        <v>0.89363059488212826</v>
      </c>
      <c r="CJ313" s="7">
        <f t="shared" si="267"/>
        <v>0.86845823325031124</v>
      </c>
      <c r="CK313" s="7">
        <f t="shared" si="268"/>
        <v>0.84413141439219919</v>
      </c>
      <c r="CL313" s="7">
        <f t="shared" si="269"/>
        <v>0.81987556482184709</v>
      </c>
      <c r="CM313" s="7">
        <f t="shared" si="270"/>
        <v>0.79650922624555343</v>
      </c>
      <c r="CN313" s="7">
        <f t="shared" si="271"/>
        <v>0.7732821673153667</v>
      </c>
      <c r="CO313" s="7">
        <f t="shared" si="272"/>
        <v>0.75085002400057643</v>
      </c>
      <c r="CP313" s="7">
        <f t="shared" si="273"/>
        <v>0.72873640527376082</v>
      </c>
      <c r="CQ313" s="7">
        <f t="shared" si="274"/>
        <v>0.70755020024057091</v>
      </c>
      <c r="CR313" s="7">
        <f t="shared" si="275"/>
        <v>0.68659840000313088</v>
      </c>
      <c r="CS313" s="7">
        <f t="shared" si="276"/>
        <v>0.66657010524756211</v>
      </c>
      <c r="CT313" s="7">
        <f t="shared" si="277"/>
        <v>0.64680440642580495</v>
      </c>
      <c r="CU313" s="7">
        <f t="shared" si="278"/>
        <v>0.62794611222090424</v>
      </c>
      <c r="CV313" s="7">
        <f t="shared" si="279"/>
        <v>0.60936791671570423</v>
      </c>
      <c r="CW313" s="7">
        <f t="shared" si="280"/>
        <v>0.59157519282468729</v>
      </c>
      <c r="CX313" s="7">
        <f t="shared" si="281"/>
        <v>0.57417060245235152</v>
      </c>
      <c r="CY313" s="7">
        <f t="shared" si="282"/>
        <v>0.5576145905808042</v>
      </c>
      <c r="CZ313" s="7">
        <f t="shared" si="283"/>
        <v>36.631281668895738</v>
      </c>
      <c r="DA313" s="7">
        <f t="shared" si="284"/>
        <v>0</v>
      </c>
      <c r="DB313" s="7">
        <f t="shared" si="285"/>
        <v>0</v>
      </c>
      <c r="DC313" s="7">
        <f t="shared" si="286"/>
        <v>0</v>
      </c>
      <c r="DD313" s="7">
        <f t="shared" si="287"/>
        <v>0</v>
      </c>
      <c r="DE313" s="7">
        <f t="shared" si="288"/>
        <v>0</v>
      </c>
      <c r="DF313" s="7">
        <f t="shared" si="289"/>
        <v>0</v>
      </c>
      <c r="DG313" s="7">
        <f t="shared" si="290"/>
        <v>0</v>
      </c>
      <c r="DH313" s="7">
        <f t="shared" si="291"/>
        <v>0</v>
      </c>
      <c r="DI313" s="7">
        <f t="shared" si="292"/>
        <v>0</v>
      </c>
      <c r="DJ313" s="7">
        <f t="shared" si="293"/>
        <v>0</v>
      </c>
      <c r="DK313" s="7">
        <f t="shared" si="294"/>
        <v>0</v>
      </c>
      <c r="DL313" s="7">
        <f t="shared" si="295"/>
        <v>0</v>
      </c>
      <c r="DM313" s="7">
        <f t="shared" si="296"/>
        <v>0</v>
      </c>
      <c r="DN313" s="7">
        <f t="shared" si="297"/>
        <v>0</v>
      </c>
      <c r="DO313" s="7">
        <f t="shared" si="298"/>
        <v>0</v>
      </c>
      <c r="DP313" s="7">
        <f t="shared" si="299"/>
        <v>0</v>
      </c>
      <c r="DQ313" s="7">
        <f t="shared" si="300"/>
        <v>0</v>
      </c>
      <c r="DR313" s="7">
        <f t="shared" si="301"/>
        <v>0</v>
      </c>
      <c r="DS313" s="7">
        <f t="shared" si="302"/>
        <v>0</v>
      </c>
      <c r="DT313" s="7">
        <f t="shared" si="303"/>
        <v>0</v>
      </c>
      <c r="DU313" s="7">
        <f t="shared" si="304"/>
        <v>0</v>
      </c>
    </row>
    <row r="314" spans="1:125" x14ac:dyDescent="0.2">
      <c r="A314" s="3">
        <f>Bonds!A314</f>
        <v>53281</v>
      </c>
      <c r="B314" s="4">
        <f>Bonds!B314</f>
        <v>4.625</v>
      </c>
      <c r="C314">
        <f>Bonds!P314</f>
        <v>39</v>
      </c>
      <c r="D314">
        <f t="shared" si="244"/>
        <v>0</v>
      </c>
      <c r="E314" s="3">
        <f>IF(1&gt;$C314,"",IF($D314=1,EOMONTH(EDATE(Bonds!$H314,6*(1-1)),0),EDATE(Bonds!$H314,6*(1-1))))</f>
        <v>46341</v>
      </c>
      <c r="F314" s="3">
        <f>IF(2&gt;$C314,"",IF($D314=1,EOMONTH(EDATE(Bonds!$H314,6*(2-1)),0),EDATE(Bonds!$H314,6*(2-1))))</f>
        <v>46522</v>
      </c>
      <c r="G314" s="3">
        <f>IF(3&gt;$C314,"",IF($D314=1,EOMONTH(EDATE(Bonds!$H314,6*(3-1)),0),EDATE(Bonds!$H314,6*(3-1))))</f>
        <v>46706</v>
      </c>
      <c r="H314" s="3">
        <f>IF(4&gt;$C314,"",IF($D314=1,EOMONTH(EDATE(Bonds!$H314,6*(4-1)),0),EDATE(Bonds!$H314,6*(4-1))))</f>
        <v>46888</v>
      </c>
      <c r="I314" s="3">
        <f>IF(5&gt;$C314,"",IF($D314=1,EOMONTH(EDATE(Bonds!$H314,6*(5-1)),0),EDATE(Bonds!$H314,6*(5-1))))</f>
        <v>47072</v>
      </c>
      <c r="J314" s="3">
        <f>IF(6&gt;$C314,"",IF($D314=1,EOMONTH(EDATE(Bonds!$H314,6*(6-1)),0),EDATE(Bonds!$H314,6*(6-1))))</f>
        <v>47253</v>
      </c>
      <c r="K314" s="3">
        <f>IF(7&gt;$C314,"",IF($D314=1,EOMONTH(EDATE(Bonds!$H314,6*(7-1)),0),EDATE(Bonds!$H314,6*(7-1))))</f>
        <v>47437</v>
      </c>
      <c r="L314" s="3">
        <f>IF(8&gt;$C314,"",IF($D314=1,EOMONTH(EDATE(Bonds!$H314,6*(8-1)),0),EDATE(Bonds!$H314,6*(8-1))))</f>
        <v>47618</v>
      </c>
      <c r="M314" s="3">
        <f>IF(9&gt;$C314,"",IF($D314=1,EOMONTH(EDATE(Bonds!$H314,6*(9-1)),0),EDATE(Bonds!$H314,6*(9-1))))</f>
        <v>47802</v>
      </c>
      <c r="N314" s="3">
        <f>IF(10&gt;$C314,"",IF($D314=1,EOMONTH(EDATE(Bonds!$H314,6*(10-1)),0),EDATE(Bonds!$H314,6*(10-1))))</f>
        <v>47983</v>
      </c>
      <c r="O314" s="3">
        <f>IF(11&gt;$C314,"",IF($D314=1,EOMONTH(EDATE(Bonds!$H314,6*(11-1)),0),EDATE(Bonds!$H314,6*(11-1))))</f>
        <v>48167</v>
      </c>
      <c r="P314" s="3">
        <f>IF(12&gt;$C314,"",IF($D314=1,EOMONTH(EDATE(Bonds!$H314,6*(12-1)),0),EDATE(Bonds!$H314,6*(12-1))))</f>
        <v>48349</v>
      </c>
      <c r="Q314" s="3">
        <f>IF(13&gt;$C314,"",IF($D314=1,EOMONTH(EDATE(Bonds!$H314,6*(13-1)),0),EDATE(Bonds!$H314,6*(13-1))))</f>
        <v>48533</v>
      </c>
      <c r="R314" s="3">
        <f>IF(14&gt;$C314,"",IF($D314=1,EOMONTH(EDATE(Bonds!$H314,6*(14-1)),0),EDATE(Bonds!$H314,6*(14-1))))</f>
        <v>48714</v>
      </c>
      <c r="S314" s="3">
        <f>IF(15&gt;$C314,"",IF($D314=1,EOMONTH(EDATE(Bonds!$H314,6*(15-1)),0),EDATE(Bonds!$H314,6*(15-1))))</f>
        <v>48898</v>
      </c>
      <c r="T314" s="3">
        <f>IF(16&gt;$C314,"",IF($D314=1,EOMONTH(EDATE(Bonds!$H314,6*(16-1)),0),EDATE(Bonds!$H314,6*(16-1))))</f>
        <v>49079</v>
      </c>
      <c r="U314" s="3">
        <f>IF(17&gt;$C314,"",IF($D314=1,EOMONTH(EDATE(Bonds!$H314,6*(17-1)),0),EDATE(Bonds!$H314,6*(17-1))))</f>
        <v>49263</v>
      </c>
      <c r="V314" s="3">
        <f>IF(18&gt;$C314,"",IF($D314=1,EOMONTH(EDATE(Bonds!$H314,6*(18-1)),0),EDATE(Bonds!$H314,6*(18-1))))</f>
        <v>49444</v>
      </c>
      <c r="W314" s="3">
        <f>IF(19&gt;$C314,"",IF($D314=1,EOMONTH(EDATE(Bonds!$H314,6*(19-1)),0),EDATE(Bonds!$H314,6*(19-1))))</f>
        <v>49628</v>
      </c>
      <c r="X314" s="3">
        <f>IF(20&gt;$C314,"",IF($D314=1,EOMONTH(EDATE(Bonds!$H314,6*(20-1)),0),EDATE(Bonds!$H314,6*(20-1))))</f>
        <v>49810</v>
      </c>
      <c r="Y314" s="3">
        <f>IF(21&gt;$C314,"",IF($D314=1,EOMONTH(EDATE(Bonds!$H314,6*(21-1)),0),EDATE(Bonds!$H314,6*(21-1))))</f>
        <v>49994</v>
      </c>
      <c r="Z314" s="3">
        <f>IF(22&gt;$C314,"",IF($D314=1,EOMONTH(EDATE(Bonds!$H314,6*(22-1)),0),EDATE(Bonds!$H314,6*(22-1))))</f>
        <v>50175</v>
      </c>
      <c r="AA314" s="3">
        <f>IF(23&gt;$C314,"",IF($D314=1,EOMONTH(EDATE(Bonds!$H314,6*(23-1)),0),EDATE(Bonds!$H314,6*(23-1))))</f>
        <v>50359</v>
      </c>
      <c r="AB314" s="3">
        <f>IF(24&gt;$C314,"",IF($D314=1,EOMONTH(EDATE(Bonds!$H314,6*(24-1)),0),EDATE(Bonds!$H314,6*(24-1))))</f>
        <v>50540</v>
      </c>
      <c r="AC314" s="3">
        <f>IF(25&gt;$C314,"",IF($D314=1,EOMONTH(EDATE(Bonds!$H314,6*(25-1)),0),EDATE(Bonds!$H314,6*(25-1))))</f>
        <v>50724</v>
      </c>
      <c r="AD314" s="3">
        <f>IF(26&gt;$C314,"",IF($D314=1,EOMONTH(EDATE(Bonds!$H314,6*(26-1)),0),EDATE(Bonds!$H314,6*(26-1))))</f>
        <v>50905</v>
      </c>
      <c r="AE314" s="3">
        <f>IF(27&gt;$C314,"",IF($D314=1,EOMONTH(EDATE(Bonds!$H314,6*(27-1)),0),EDATE(Bonds!$H314,6*(27-1))))</f>
        <v>51089</v>
      </c>
      <c r="AF314" s="3">
        <f>IF(28&gt;$C314,"",IF($D314=1,EOMONTH(EDATE(Bonds!$H314,6*(28-1)),0),EDATE(Bonds!$H314,6*(28-1))))</f>
        <v>51271</v>
      </c>
      <c r="AG314" s="3">
        <f>IF(29&gt;$C314,"",IF($D314=1,EOMONTH(EDATE(Bonds!$H314,6*(29-1)),0),EDATE(Bonds!$H314,6*(29-1))))</f>
        <v>51455</v>
      </c>
      <c r="AH314" s="3">
        <f>IF(30&gt;$C314,"",IF($D314=1,EOMONTH(EDATE(Bonds!$H314,6*(30-1)),0),EDATE(Bonds!$H314,6*(30-1))))</f>
        <v>51636</v>
      </c>
      <c r="AI314" s="3">
        <f>IF(31&gt;$C314,"",IF($D314=1,EOMONTH(EDATE(Bonds!$H314,6*(31-1)),0),EDATE(Bonds!$H314,6*(31-1))))</f>
        <v>51820</v>
      </c>
      <c r="AJ314" s="3">
        <f>IF(32&gt;$C314,"",IF($D314=1,EOMONTH(EDATE(Bonds!$H314,6*(32-1)),0),EDATE(Bonds!$H314,6*(32-1))))</f>
        <v>52001</v>
      </c>
      <c r="AK314" s="3">
        <f>IF(33&gt;$C314,"",IF($D314=1,EOMONTH(EDATE(Bonds!$H314,6*(33-1)),0),EDATE(Bonds!$H314,6*(33-1))))</f>
        <v>52185</v>
      </c>
      <c r="AL314" s="3">
        <f>IF(34&gt;$C314,"",IF($D314=1,EOMONTH(EDATE(Bonds!$H314,6*(34-1)),0),EDATE(Bonds!$H314,6*(34-1))))</f>
        <v>52366</v>
      </c>
      <c r="AM314" s="3">
        <f>IF(35&gt;$C314,"",IF($D314=1,EOMONTH(EDATE(Bonds!$H314,6*(35-1)),0),EDATE(Bonds!$H314,6*(35-1))))</f>
        <v>52550</v>
      </c>
      <c r="AN314" s="3">
        <f>IF(36&gt;$C314,"",IF($D314=1,EOMONTH(EDATE(Bonds!$H314,6*(36-1)),0),EDATE(Bonds!$H314,6*(36-1))))</f>
        <v>52732</v>
      </c>
      <c r="AO314" s="3">
        <f>IF(37&gt;$C314,"",IF($D314=1,EOMONTH(EDATE(Bonds!$H314,6*(37-1)),0),EDATE(Bonds!$H314,6*(37-1))))</f>
        <v>52916</v>
      </c>
      <c r="AP314" s="3">
        <f>IF(38&gt;$C314,"",IF($D314=1,EOMONTH(EDATE(Bonds!$H314,6*(38-1)),0),EDATE(Bonds!$H314,6*(38-1))))</f>
        <v>53097</v>
      </c>
      <c r="AQ314" s="3">
        <f>IF(39&gt;$C314,"",IF($D314=1,EOMONTH(EDATE(Bonds!$H314,6*(39-1)),0),EDATE(Bonds!$H314,6*(39-1))))</f>
        <v>53281</v>
      </c>
      <c r="AR314" s="3" t="str">
        <f>IF(40&gt;$C314,"",IF($D314=1,EOMONTH(EDATE(Bonds!$H314,6*(40-1)),0),EDATE(Bonds!$H314,6*(40-1))))</f>
        <v/>
      </c>
      <c r="AS314" s="3" t="str">
        <f>IF(41&gt;$C314,"",IF($D314=1,EOMONTH(EDATE(Bonds!$H314,6*(41-1)),0),EDATE(Bonds!$H314,6*(41-1))))</f>
        <v/>
      </c>
      <c r="AT314" s="3" t="str">
        <f>IF(42&gt;$C314,"",IF($D314=1,EOMONTH(EDATE(Bonds!$H314,6*(42-1)),0),EDATE(Bonds!$H314,6*(42-1))))</f>
        <v/>
      </c>
      <c r="AU314" s="3" t="str">
        <f>IF(43&gt;$C314,"",IF($D314=1,EOMONTH(EDATE(Bonds!$H314,6*(43-1)),0),EDATE(Bonds!$H314,6*(43-1))))</f>
        <v/>
      </c>
      <c r="AV314" s="3" t="str">
        <f>IF(44&gt;$C314,"",IF($D314=1,EOMONTH(EDATE(Bonds!$H314,6*(44-1)),0),EDATE(Bonds!$H314,6*(44-1))))</f>
        <v/>
      </c>
      <c r="AW314" s="3" t="str">
        <f>IF(45&gt;$C314,"",IF($D314=1,EOMONTH(EDATE(Bonds!$H314,6*(45-1)),0),EDATE(Bonds!$H314,6*(45-1))))</f>
        <v/>
      </c>
      <c r="AX314" s="3" t="str">
        <f>IF(46&gt;$C314,"",IF($D314=1,EOMONTH(EDATE(Bonds!$H314,6*(46-1)),0),EDATE(Bonds!$H314,6*(46-1))))</f>
        <v/>
      </c>
      <c r="AY314" s="3" t="str">
        <f>IF(47&gt;$C314,"",IF($D314=1,EOMONTH(EDATE(Bonds!$H314,6*(47-1)),0),EDATE(Bonds!$H314,6*(47-1))))</f>
        <v/>
      </c>
      <c r="AZ314" s="3" t="str">
        <f>IF(48&gt;$C314,"",IF($D314=1,EOMONTH(EDATE(Bonds!$H314,6*(48-1)),0),EDATE(Bonds!$H314,6*(48-1))))</f>
        <v/>
      </c>
      <c r="BA314" s="3" t="str">
        <f>IF(49&gt;$C314,"",IF($D314=1,EOMONTH(EDATE(Bonds!$H314,6*(49-1)),0),EDATE(Bonds!$H314,6*(49-1))))</f>
        <v/>
      </c>
      <c r="BB314" s="3" t="str">
        <f>IF(50&gt;$C314,"",IF($D314=1,EOMONTH(EDATE(Bonds!$H314,6*(50-1)),0),EDATE(Bonds!$H314,6*(50-1))))</f>
        <v/>
      </c>
      <c r="BC314" s="3" t="str">
        <f>IF(51&gt;$C314,"",IF($D314=1,EOMONTH(EDATE(Bonds!$H314,6*(51-1)),0),EDATE(Bonds!$H314,6*(51-1))))</f>
        <v/>
      </c>
      <c r="BD314" s="3" t="str">
        <f>IF(52&gt;$C314,"",IF($D314=1,EOMONTH(EDATE(Bonds!$H314,6*(52-1)),0),EDATE(Bonds!$H314,6*(52-1))))</f>
        <v/>
      </c>
      <c r="BE314" s="3" t="str">
        <f>IF(53&gt;$C314,"",IF($D314=1,EOMONTH(EDATE(Bonds!$H314,6*(53-1)),0),EDATE(Bonds!$H314,6*(53-1))))</f>
        <v/>
      </c>
      <c r="BF314" s="3" t="str">
        <f>IF(54&gt;$C314,"",IF($D314=1,EOMONTH(EDATE(Bonds!$H314,6*(54-1)),0),EDATE(Bonds!$H314,6*(54-1))))</f>
        <v/>
      </c>
      <c r="BG314" s="3" t="str">
        <f>IF(55&gt;$C314,"",IF($D314=1,EOMONTH(EDATE(Bonds!$H314,6*(55-1)),0),EDATE(Bonds!$H314,6*(55-1))))</f>
        <v/>
      </c>
      <c r="BH314" s="3" t="str">
        <f>IF(56&gt;$C314,"",IF($D314=1,EOMONTH(EDATE(Bonds!$H314,6*(56-1)),0),EDATE(Bonds!$H314,6*(56-1))))</f>
        <v/>
      </c>
      <c r="BI314" s="3" t="str">
        <f>IF(57&gt;$C314,"",IF($D314=1,EOMONTH(EDATE(Bonds!$H314,6*(57-1)),0),EDATE(Bonds!$H314,6*(57-1))))</f>
        <v/>
      </c>
      <c r="BJ314" s="3" t="str">
        <f>IF(58&gt;$C314,"",IF($D314=1,EOMONTH(EDATE(Bonds!$H314,6*(58-1)),0),EDATE(Bonds!$H314,6*(58-1))))</f>
        <v/>
      </c>
      <c r="BK314" s="3" t="str">
        <f>IF(59&gt;$C314,"",IF($D314=1,EOMONTH(EDATE(Bonds!$H314,6*(59-1)),0),EDATE(Bonds!$H314,6*(59-1))))</f>
        <v/>
      </c>
      <c r="BL314" s="3" t="str">
        <f>IF(60&gt;$C314,"",IF($D314=1,EOMONTH(EDATE(Bonds!$H314,6*(60-1)),0),EDATE(Bonds!$H314,6*(60-1))))</f>
        <v/>
      </c>
      <c r="BN314" s="7">
        <f t="shared" si="245"/>
        <v>2.296371659762543</v>
      </c>
      <c r="BO314" s="7">
        <f t="shared" si="246"/>
        <v>2.250000028487857</v>
      </c>
      <c r="BP314" s="7">
        <f t="shared" si="247"/>
        <v>2.2004381660209886</v>
      </c>
      <c r="BQ314" s="7">
        <f t="shared" si="248"/>
        <v>2.1510832020961623</v>
      </c>
      <c r="BR314" s="7">
        <f t="shared" si="249"/>
        <v>2.1018958523248266</v>
      </c>
      <c r="BS314" s="7">
        <f t="shared" si="250"/>
        <v>2.0546146297838224</v>
      </c>
      <c r="BT314" s="7">
        <f t="shared" si="251"/>
        <v>2.0077412893692221</v>
      </c>
      <c r="BU314" s="7">
        <f t="shared" si="252"/>
        <v>1.9627016433118196</v>
      </c>
      <c r="BV314" s="7">
        <f t="shared" si="253"/>
        <v>1.9178274738335161</v>
      </c>
      <c r="BW314" s="7">
        <f t="shared" si="254"/>
        <v>1.8743999143779153</v>
      </c>
      <c r="BX314" s="7">
        <f t="shared" si="255"/>
        <v>1.8308137314441071</v>
      </c>
      <c r="BY314" s="7">
        <f t="shared" si="256"/>
        <v>1.788128734633047</v>
      </c>
      <c r="BZ314" s="7">
        <f t="shared" si="257"/>
        <v>1.7453147867725984</v>
      </c>
      <c r="CA314" s="7">
        <f t="shared" si="258"/>
        <v>1.7034795521745802</v>
      </c>
      <c r="CB314" s="7">
        <f t="shared" si="259"/>
        <v>1.6612150767175808</v>
      </c>
      <c r="CC314" s="7">
        <f t="shared" si="260"/>
        <v>1.6199053152030525</v>
      </c>
      <c r="CD314" s="7">
        <f t="shared" si="261"/>
        <v>1.5782077479337711</v>
      </c>
      <c r="CE314" s="7">
        <f t="shared" si="262"/>
        <v>1.5375233015116265</v>
      </c>
      <c r="CF314" s="7">
        <f t="shared" si="263"/>
        <v>1.4965556648661016</v>
      </c>
      <c r="CG314" s="7">
        <f t="shared" si="264"/>
        <v>1.4564788702223239</v>
      </c>
      <c r="CH314" s="7">
        <f t="shared" si="265"/>
        <v>1.4164730987103589</v>
      </c>
      <c r="CI314" s="7">
        <f t="shared" si="266"/>
        <v>1.3776805004432811</v>
      </c>
      <c r="CJ314" s="7">
        <f t="shared" si="267"/>
        <v>1.3388731095942299</v>
      </c>
      <c r="CK314" s="7">
        <f t="shared" si="268"/>
        <v>1.3013692638546404</v>
      </c>
      <c r="CL314" s="7">
        <f t="shared" si="269"/>
        <v>1.2639748291003476</v>
      </c>
      <c r="CM314" s="7">
        <f t="shared" si="270"/>
        <v>1.2279517237952282</v>
      </c>
      <c r="CN314" s="7">
        <f t="shared" si="271"/>
        <v>1.1921433412778568</v>
      </c>
      <c r="CO314" s="7">
        <f t="shared" si="272"/>
        <v>1.1575604536675552</v>
      </c>
      <c r="CP314" s="7">
        <f t="shared" si="273"/>
        <v>1.123468624797048</v>
      </c>
      <c r="CQ314" s="7">
        <f t="shared" si="274"/>
        <v>1.0908065587042135</v>
      </c>
      <c r="CR314" s="7">
        <f t="shared" si="275"/>
        <v>1.0585058666714933</v>
      </c>
      <c r="CS314" s="7">
        <f t="shared" si="276"/>
        <v>1.0276289122566582</v>
      </c>
      <c r="CT314" s="7">
        <f t="shared" si="277"/>
        <v>0.99715679323978268</v>
      </c>
      <c r="CU314" s="7">
        <f t="shared" si="278"/>
        <v>0.96808358967389407</v>
      </c>
      <c r="CV314" s="7">
        <f t="shared" si="279"/>
        <v>0.93944220493671071</v>
      </c>
      <c r="CW314" s="7">
        <f t="shared" si="280"/>
        <v>0.91201175560472636</v>
      </c>
      <c r="CX314" s="7">
        <f t="shared" si="281"/>
        <v>0.88517967878070858</v>
      </c>
      <c r="CY314" s="7">
        <f t="shared" si="282"/>
        <v>0.85965582714540645</v>
      </c>
      <c r="CZ314" s="7">
        <f t="shared" si="283"/>
        <v>36.924512371910296</v>
      </c>
      <c r="DA314" s="7">
        <f t="shared" si="284"/>
        <v>0</v>
      </c>
      <c r="DB314" s="7">
        <f t="shared" si="285"/>
        <v>0</v>
      </c>
      <c r="DC314" s="7">
        <f t="shared" si="286"/>
        <v>0</v>
      </c>
      <c r="DD314" s="7">
        <f t="shared" si="287"/>
        <v>0</v>
      </c>
      <c r="DE314" s="7">
        <f t="shared" si="288"/>
        <v>0</v>
      </c>
      <c r="DF314" s="7">
        <f t="shared" si="289"/>
        <v>0</v>
      </c>
      <c r="DG314" s="7">
        <f t="shared" si="290"/>
        <v>0</v>
      </c>
      <c r="DH314" s="7">
        <f t="shared" si="291"/>
        <v>0</v>
      </c>
      <c r="DI314" s="7">
        <f t="shared" si="292"/>
        <v>0</v>
      </c>
      <c r="DJ314" s="7">
        <f t="shared" si="293"/>
        <v>0</v>
      </c>
      <c r="DK314" s="7">
        <f t="shared" si="294"/>
        <v>0</v>
      </c>
      <c r="DL314" s="7">
        <f t="shared" si="295"/>
        <v>0</v>
      </c>
      <c r="DM314" s="7">
        <f t="shared" si="296"/>
        <v>0</v>
      </c>
      <c r="DN314" s="7">
        <f t="shared" si="297"/>
        <v>0</v>
      </c>
      <c r="DO314" s="7">
        <f t="shared" si="298"/>
        <v>0</v>
      </c>
      <c r="DP314" s="7">
        <f t="shared" si="299"/>
        <v>0</v>
      </c>
      <c r="DQ314" s="7">
        <f t="shared" si="300"/>
        <v>0</v>
      </c>
      <c r="DR314" s="7">
        <f t="shared" si="301"/>
        <v>0</v>
      </c>
      <c r="DS314" s="7">
        <f t="shared" si="302"/>
        <v>0</v>
      </c>
      <c r="DT314" s="7">
        <f t="shared" si="303"/>
        <v>0</v>
      </c>
      <c r="DU314" s="7">
        <f t="shared" si="304"/>
        <v>0</v>
      </c>
    </row>
    <row r="315" spans="1:125" x14ac:dyDescent="0.2">
      <c r="A315" s="3">
        <f>Bonds!A315</f>
        <v>53373</v>
      </c>
      <c r="B315" s="4">
        <f>Bonds!B315</f>
        <v>2.5</v>
      </c>
      <c r="C315">
        <f>Bonds!P315</f>
        <v>39</v>
      </c>
      <c r="D315">
        <f t="shared" si="244"/>
        <v>0</v>
      </c>
      <c r="E315" s="3">
        <f>IF(1&gt;$C315,"",IF($D315=1,EOMONTH(EDATE(Bonds!$H315,6*(1-1)),0),EDATE(Bonds!$H315,6*(1-1))))</f>
        <v>46433</v>
      </c>
      <c r="F315" s="3">
        <f>IF(2&gt;$C315,"",IF($D315=1,EOMONTH(EDATE(Bonds!$H315,6*(2-1)),0),EDATE(Bonds!$H315,6*(2-1))))</f>
        <v>46614</v>
      </c>
      <c r="G315" s="3">
        <f>IF(3&gt;$C315,"",IF($D315=1,EOMONTH(EDATE(Bonds!$H315,6*(3-1)),0),EDATE(Bonds!$H315,6*(3-1))))</f>
        <v>46798</v>
      </c>
      <c r="H315" s="3">
        <f>IF(4&gt;$C315,"",IF($D315=1,EOMONTH(EDATE(Bonds!$H315,6*(4-1)),0),EDATE(Bonds!$H315,6*(4-1))))</f>
        <v>46980</v>
      </c>
      <c r="I315" s="3">
        <f>IF(5&gt;$C315,"",IF($D315=1,EOMONTH(EDATE(Bonds!$H315,6*(5-1)),0),EDATE(Bonds!$H315,6*(5-1))))</f>
        <v>47164</v>
      </c>
      <c r="J315" s="3">
        <f>IF(6&gt;$C315,"",IF($D315=1,EOMONTH(EDATE(Bonds!$H315,6*(6-1)),0),EDATE(Bonds!$H315,6*(6-1))))</f>
        <v>47345</v>
      </c>
      <c r="K315" s="3">
        <f>IF(7&gt;$C315,"",IF($D315=1,EOMONTH(EDATE(Bonds!$H315,6*(7-1)),0),EDATE(Bonds!$H315,6*(7-1))))</f>
        <v>47529</v>
      </c>
      <c r="L315" s="3">
        <f>IF(8&gt;$C315,"",IF($D315=1,EOMONTH(EDATE(Bonds!$H315,6*(8-1)),0),EDATE(Bonds!$H315,6*(8-1))))</f>
        <v>47710</v>
      </c>
      <c r="M315" s="3">
        <f>IF(9&gt;$C315,"",IF($D315=1,EOMONTH(EDATE(Bonds!$H315,6*(9-1)),0),EDATE(Bonds!$H315,6*(9-1))))</f>
        <v>47894</v>
      </c>
      <c r="N315" s="3">
        <f>IF(10&gt;$C315,"",IF($D315=1,EOMONTH(EDATE(Bonds!$H315,6*(10-1)),0),EDATE(Bonds!$H315,6*(10-1))))</f>
        <v>48075</v>
      </c>
      <c r="O315" s="3">
        <f>IF(11&gt;$C315,"",IF($D315=1,EOMONTH(EDATE(Bonds!$H315,6*(11-1)),0),EDATE(Bonds!$H315,6*(11-1))))</f>
        <v>48259</v>
      </c>
      <c r="P315" s="3">
        <f>IF(12&gt;$C315,"",IF($D315=1,EOMONTH(EDATE(Bonds!$H315,6*(12-1)),0),EDATE(Bonds!$H315,6*(12-1))))</f>
        <v>48441</v>
      </c>
      <c r="Q315" s="3">
        <f>IF(13&gt;$C315,"",IF($D315=1,EOMONTH(EDATE(Bonds!$H315,6*(13-1)),0),EDATE(Bonds!$H315,6*(13-1))))</f>
        <v>48625</v>
      </c>
      <c r="R315" s="3">
        <f>IF(14&gt;$C315,"",IF($D315=1,EOMONTH(EDATE(Bonds!$H315,6*(14-1)),0),EDATE(Bonds!$H315,6*(14-1))))</f>
        <v>48806</v>
      </c>
      <c r="S315" s="3">
        <f>IF(15&gt;$C315,"",IF($D315=1,EOMONTH(EDATE(Bonds!$H315,6*(15-1)),0),EDATE(Bonds!$H315,6*(15-1))))</f>
        <v>48990</v>
      </c>
      <c r="T315" s="3">
        <f>IF(16&gt;$C315,"",IF($D315=1,EOMONTH(EDATE(Bonds!$H315,6*(16-1)),0),EDATE(Bonds!$H315,6*(16-1))))</f>
        <v>49171</v>
      </c>
      <c r="U315" s="3">
        <f>IF(17&gt;$C315,"",IF($D315=1,EOMONTH(EDATE(Bonds!$H315,6*(17-1)),0),EDATE(Bonds!$H315,6*(17-1))))</f>
        <v>49355</v>
      </c>
      <c r="V315" s="3">
        <f>IF(18&gt;$C315,"",IF($D315=1,EOMONTH(EDATE(Bonds!$H315,6*(18-1)),0),EDATE(Bonds!$H315,6*(18-1))))</f>
        <v>49536</v>
      </c>
      <c r="W315" s="3">
        <f>IF(19&gt;$C315,"",IF($D315=1,EOMONTH(EDATE(Bonds!$H315,6*(19-1)),0),EDATE(Bonds!$H315,6*(19-1))))</f>
        <v>49720</v>
      </c>
      <c r="X315" s="3">
        <f>IF(20&gt;$C315,"",IF($D315=1,EOMONTH(EDATE(Bonds!$H315,6*(20-1)),0),EDATE(Bonds!$H315,6*(20-1))))</f>
        <v>49902</v>
      </c>
      <c r="Y315" s="3">
        <f>IF(21&gt;$C315,"",IF($D315=1,EOMONTH(EDATE(Bonds!$H315,6*(21-1)),0),EDATE(Bonds!$H315,6*(21-1))))</f>
        <v>50086</v>
      </c>
      <c r="Z315" s="3">
        <f>IF(22&gt;$C315,"",IF($D315=1,EOMONTH(EDATE(Bonds!$H315,6*(22-1)),0),EDATE(Bonds!$H315,6*(22-1))))</f>
        <v>50267</v>
      </c>
      <c r="AA315" s="3">
        <f>IF(23&gt;$C315,"",IF($D315=1,EOMONTH(EDATE(Bonds!$H315,6*(23-1)),0),EDATE(Bonds!$H315,6*(23-1))))</f>
        <v>50451</v>
      </c>
      <c r="AB315" s="3">
        <f>IF(24&gt;$C315,"",IF($D315=1,EOMONTH(EDATE(Bonds!$H315,6*(24-1)),0),EDATE(Bonds!$H315,6*(24-1))))</f>
        <v>50632</v>
      </c>
      <c r="AC315" s="3">
        <f>IF(25&gt;$C315,"",IF($D315=1,EOMONTH(EDATE(Bonds!$H315,6*(25-1)),0),EDATE(Bonds!$H315,6*(25-1))))</f>
        <v>50816</v>
      </c>
      <c r="AD315" s="3">
        <f>IF(26&gt;$C315,"",IF($D315=1,EOMONTH(EDATE(Bonds!$H315,6*(26-1)),0),EDATE(Bonds!$H315,6*(26-1))))</f>
        <v>50997</v>
      </c>
      <c r="AE315" s="3">
        <f>IF(27&gt;$C315,"",IF($D315=1,EOMONTH(EDATE(Bonds!$H315,6*(27-1)),0),EDATE(Bonds!$H315,6*(27-1))))</f>
        <v>51181</v>
      </c>
      <c r="AF315" s="3">
        <f>IF(28&gt;$C315,"",IF($D315=1,EOMONTH(EDATE(Bonds!$H315,6*(28-1)),0),EDATE(Bonds!$H315,6*(28-1))))</f>
        <v>51363</v>
      </c>
      <c r="AG315" s="3">
        <f>IF(29&gt;$C315,"",IF($D315=1,EOMONTH(EDATE(Bonds!$H315,6*(29-1)),0),EDATE(Bonds!$H315,6*(29-1))))</f>
        <v>51547</v>
      </c>
      <c r="AH315" s="3">
        <f>IF(30&gt;$C315,"",IF($D315=1,EOMONTH(EDATE(Bonds!$H315,6*(30-1)),0),EDATE(Bonds!$H315,6*(30-1))))</f>
        <v>51728</v>
      </c>
      <c r="AI315" s="3">
        <f>IF(31&gt;$C315,"",IF($D315=1,EOMONTH(EDATE(Bonds!$H315,6*(31-1)),0),EDATE(Bonds!$H315,6*(31-1))))</f>
        <v>51912</v>
      </c>
      <c r="AJ315" s="3">
        <f>IF(32&gt;$C315,"",IF($D315=1,EOMONTH(EDATE(Bonds!$H315,6*(32-1)),0),EDATE(Bonds!$H315,6*(32-1))))</f>
        <v>52093</v>
      </c>
      <c r="AK315" s="3">
        <f>IF(33&gt;$C315,"",IF($D315=1,EOMONTH(EDATE(Bonds!$H315,6*(33-1)),0),EDATE(Bonds!$H315,6*(33-1))))</f>
        <v>52277</v>
      </c>
      <c r="AL315" s="3">
        <f>IF(34&gt;$C315,"",IF($D315=1,EOMONTH(EDATE(Bonds!$H315,6*(34-1)),0),EDATE(Bonds!$H315,6*(34-1))))</f>
        <v>52458</v>
      </c>
      <c r="AM315" s="3">
        <f>IF(35&gt;$C315,"",IF($D315=1,EOMONTH(EDATE(Bonds!$H315,6*(35-1)),0),EDATE(Bonds!$H315,6*(35-1))))</f>
        <v>52642</v>
      </c>
      <c r="AN315" s="3">
        <f>IF(36&gt;$C315,"",IF($D315=1,EOMONTH(EDATE(Bonds!$H315,6*(36-1)),0),EDATE(Bonds!$H315,6*(36-1))))</f>
        <v>52824</v>
      </c>
      <c r="AO315" s="3">
        <f>IF(37&gt;$C315,"",IF($D315=1,EOMONTH(EDATE(Bonds!$H315,6*(37-1)),0),EDATE(Bonds!$H315,6*(37-1))))</f>
        <v>53008</v>
      </c>
      <c r="AP315" s="3">
        <f>IF(38&gt;$C315,"",IF($D315=1,EOMONTH(EDATE(Bonds!$H315,6*(38-1)),0),EDATE(Bonds!$H315,6*(38-1))))</f>
        <v>53189</v>
      </c>
      <c r="AQ315" s="3">
        <f>IF(39&gt;$C315,"",IF($D315=1,EOMONTH(EDATE(Bonds!$H315,6*(39-1)),0),EDATE(Bonds!$H315,6*(39-1))))</f>
        <v>53373</v>
      </c>
      <c r="AR315" s="3" t="str">
        <f>IF(40&gt;$C315,"",IF($D315=1,EOMONTH(EDATE(Bonds!$H315,6*(40-1)),0),EDATE(Bonds!$H315,6*(40-1))))</f>
        <v/>
      </c>
      <c r="AS315" s="3" t="str">
        <f>IF(41&gt;$C315,"",IF($D315=1,EOMONTH(EDATE(Bonds!$H315,6*(41-1)),0),EDATE(Bonds!$H315,6*(41-1))))</f>
        <v/>
      </c>
      <c r="AT315" s="3" t="str">
        <f>IF(42&gt;$C315,"",IF($D315=1,EOMONTH(EDATE(Bonds!$H315,6*(42-1)),0),EDATE(Bonds!$H315,6*(42-1))))</f>
        <v/>
      </c>
      <c r="AU315" s="3" t="str">
        <f>IF(43&gt;$C315,"",IF($D315=1,EOMONTH(EDATE(Bonds!$H315,6*(43-1)),0),EDATE(Bonds!$H315,6*(43-1))))</f>
        <v/>
      </c>
      <c r="AV315" s="3" t="str">
        <f>IF(44&gt;$C315,"",IF($D315=1,EOMONTH(EDATE(Bonds!$H315,6*(44-1)),0),EDATE(Bonds!$H315,6*(44-1))))</f>
        <v/>
      </c>
      <c r="AW315" s="3" t="str">
        <f>IF(45&gt;$C315,"",IF($D315=1,EOMONTH(EDATE(Bonds!$H315,6*(45-1)),0),EDATE(Bonds!$H315,6*(45-1))))</f>
        <v/>
      </c>
      <c r="AX315" s="3" t="str">
        <f>IF(46&gt;$C315,"",IF($D315=1,EOMONTH(EDATE(Bonds!$H315,6*(46-1)),0),EDATE(Bonds!$H315,6*(46-1))))</f>
        <v/>
      </c>
      <c r="AY315" s="3" t="str">
        <f>IF(47&gt;$C315,"",IF($D315=1,EOMONTH(EDATE(Bonds!$H315,6*(47-1)),0),EDATE(Bonds!$H315,6*(47-1))))</f>
        <v/>
      </c>
      <c r="AZ315" s="3" t="str">
        <f>IF(48&gt;$C315,"",IF($D315=1,EOMONTH(EDATE(Bonds!$H315,6*(48-1)),0),EDATE(Bonds!$H315,6*(48-1))))</f>
        <v/>
      </c>
      <c r="BA315" s="3" t="str">
        <f>IF(49&gt;$C315,"",IF($D315=1,EOMONTH(EDATE(Bonds!$H315,6*(49-1)),0),EDATE(Bonds!$H315,6*(49-1))))</f>
        <v/>
      </c>
      <c r="BB315" s="3" t="str">
        <f>IF(50&gt;$C315,"",IF($D315=1,EOMONTH(EDATE(Bonds!$H315,6*(50-1)),0),EDATE(Bonds!$H315,6*(50-1))))</f>
        <v/>
      </c>
      <c r="BC315" s="3" t="str">
        <f>IF(51&gt;$C315,"",IF($D315=1,EOMONTH(EDATE(Bonds!$H315,6*(51-1)),0),EDATE(Bonds!$H315,6*(51-1))))</f>
        <v/>
      </c>
      <c r="BD315" s="3" t="str">
        <f>IF(52&gt;$C315,"",IF($D315=1,EOMONTH(EDATE(Bonds!$H315,6*(52-1)),0),EDATE(Bonds!$H315,6*(52-1))))</f>
        <v/>
      </c>
      <c r="BE315" s="3" t="str">
        <f>IF(53&gt;$C315,"",IF($D315=1,EOMONTH(EDATE(Bonds!$H315,6*(53-1)),0),EDATE(Bonds!$H315,6*(53-1))))</f>
        <v/>
      </c>
      <c r="BF315" s="3" t="str">
        <f>IF(54&gt;$C315,"",IF($D315=1,EOMONTH(EDATE(Bonds!$H315,6*(54-1)),0),EDATE(Bonds!$H315,6*(54-1))))</f>
        <v/>
      </c>
      <c r="BG315" s="3" t="str">
        <f>IF(55&gt;$C315,"",IF($D315=1,EOMONTH(EDATE(Bonds!$H315,6*(55-1)),0),EDATE(Bonds!$H315,6*(55-1))))</f>
        <v/>
      </c>
      <c r="BH315" s="3" t="str">
        <f>IF(56&gt;$C315,"",IF($D315=1,EOMONTH(EDATE(Bonds!$H315,6*(56-1)),0),EDATE(Bonds!$H315,6*(56-1))))</f>
        <v/>
      </c>
      <c r="BI315" s="3" t="str">
        <f>IF(57&gt;$C315,"",IF($D315=1,EOMONTH(EDATE(Bonds!$H315,6*(57-1)),0),EDATE(Bonds!$H315,6*(57-1))))</f>
        <v/>
      </c>
      <c r="BJ315" s="3" t="str">
        <f>IF(58&gt;$C315,"",IF($D315=1,EOMONTH(EDATE(Bonds!$H315,6*(58-1)),0),EDATE(Bonds!$H315,6*(58-1))))</f>
        <v/>
      </c>
      <c r="BK315" s="3" t="str">
        <f>IF(59&gt;$C315,"",IF($D315=1,EOMONTH(EDATE(Bonds!$H315,6*(59-1)),0),EDATE(Bonds!$H315,6*(59-1))))</f>
        <v/>
      </c>
      <c r="BL315" s="3" t="str">
        <f>IF(60&gt;$C315,"",IF($D315=1,EOMONTH(EDATE(Bonds!$H315,6*(60-1)),0),EDATE(Bonds!$H315,6*(60-1))))</f>
        <v/>
      </c>
      <c r="BN315" s="7">
        <f t="shared" si="245"/>
        <v>1.2287993528512724</v>
      </c>
      <c r="BO315" s="7">
        <f t="shared" si="246"/>
        <v>1.2028983223092355</v>
      </c>
      <c r="BP315" s="7">
        <f t="shared" si="247"/>
        <v>1.1759176347967013</v>
      </c>
      <c r="BQ315" s="7">
        <f t="shared" si="248"/>
        <v>1.1493855907411681</v>
      </c>
      <c r="BR315" s="7">
        <f t="shared" si="249"/>
        <v>1.1230901455147517</v>
      </c>
      <c r="BS315" s="7">
        <f t="shared" si="250"/>
        <v>1.0978550121535606</v>
      </c>
      <c r="BT315" s="7">
        <f t="shared" si="251"/>
        <v>1.0728246682290001</v>
      </c>
      <c r="BU315" s="7">
        <f t="shared" si="252"/>
        <v>1.0487359505150273</v>
      </c>
      <c r="BV315" s="7">
        <f t="shared" si="253"/>
        <v>1.0246897490558347</v>
      </c>
      <c r="BW315" s="7">
        <f t="shared" si="254"/>
        <v>1.0013757828695704</v>
      </c>
      <c r="BX315" s="7">
        <f t="shared" si="255"/>
        <v>0.9779406254630032</v>
      </c>
      <c r="BY315" s="7">
        <f t="shared" si="256"/>
        <v>0.95496391987424101</v>
      </c>
      <c r="BZ315" s="7">
        <f t="shared" si="257"/>
        <v>0.93190144315224632</v>
      </c>
      <c r="CA315" s="7">
        <f t="shared" si="258"/>
        <v>0.90935903546099706</v>
      </c>
      <c r="CB315" s="7">
        <f t="shared" si="259"/>
        <v>0.88658578127514809</v>
      </c>
      <c r="CC315" s="7">
        <f t="shared" si="260"/>
        <v>0.86433338918851277</v>
      </c>
      <c r="CD315" s="7">
        <f t="shared" si="261"/>
        <v>0.84188325871077663</v>
      </c>
      <c r="CE315" s="7">
        <f t="shared" si="262"/>
        <v>0.81999277360465928</v>
      </c>
      <c r="CF315" s="7">
        <f t="shared" si="263"/>
        <v>0.79796645497811047</v>
      </c>
      <c r="CG315" s="7">
        <f t="shared" si="264"/>
        <v>0.77643668805744859</v>
      </c>
      <c r="CH315" s="7">
        <f t="shared" si="265"/>
        <v>0.75496333376544378</v>
      </c>
      <c r="CI315" s="7">
        <f t="shared" si="266"/>
        <v>0.73415899657593875</v>
      </c>
      <c r="CJ315" s="7">
        <f t="shared" si="267"/>
        <v>0.71336438373234656</v>
      </c>
      <c r="CK315" s="7">
        <f t="shared" si="268"/>
        <v>0.6932848952681635</v>
      </c>
      <c r="CL315" s="7">
        <f t="shared" si="269"/>
        <v>0.67327994998963514</v>
      </c>
      <c r="CM315" s="7">
        <f t="shared" si="270"/>
        <v>0.65402330274528975</v>
      </c>
      <c r="CN315" s="7">
        <f t="shared" si="271"/>
        <v>0.63489525051167428</v>
      </c>
      <c r="CO315" s="7">
        <f t="shared" si="272"/>
        <v>0.61643442329902398</v>
      </c>
      <c r="CP315" s="7">
        <f t="shared" si="273"/>
        <v>0.59824735182006361</v>
      </c>
      <c r="CQ315" s="7">
        <f t="shared" si="274"/>
        <v>0.58083337736326257</v>
      </c>
      <c r="CR315" s="7">
        <f t="shared" si="275"/>
        <v>0.5636215850357833</v>
      </c>
      <c r="CS315" s="7">
        <f t="shared" si="276"/>
        <v>0.54717687257907754</v>
      </c>
      <c r="CT315" s="7">
        <f t="shared" si="277"/>
        <v>0.53095544497470659</v>
      </c>
      <c r="CU315" s="7">
        <f t="shared" si="278"/>
        <v>0.51548545553404801</v>
      </c>
      <c r="CV315" s="7">
        <f t="shared" si="279"/>
        <v>0.50025133721022186</v>
      </c>
      <c r="CW315" s="7">
        <f t="shared" si="280"/>
        <v>0.48566666988341439</v>
      </c>
      <c r="CX315" s="7">
        <f t="shared" si="281"/>
        <v>0.47140494455881532</v>
      </c>
      <c r="CY315" s="7">
        <f t="shared" si="282"/>
        <v>0.45784270266565974</v>
      </c>
      <c r="CZ315" s="7">
        <f t="shared" si="283"/>
        <v>36.006285858879977</v>
      </c>
      <c r="DA315" s="7">
        <f t="shared" si="284"/>
        <v>0</v>
      </c>
      <c r="DB315" s="7">
        <f t="shared" si="285"/>
        <v>0</v>
      </c>
      <c r="DC315" s="7">
        <f t="shared" si="286"/>
        <v>0</v>
      </c>
      <c r="DD315" s="7">
        <f t="shared" si="287"/>
        <v>0</v>
      </c>
      <c r="DE315" s="7">
        <f t="shared" si="288"/>
        <v>0</v>
      </c>
      <c r="DF315" s="7">
        <f t="shared" si="289"/>
        <v>0</v>
      </c>
      <c r="DG315" s="7">
        <f t="shared" si="290"/>
        <v>0</v>
      </c>
      <c r="DH315" s="7">
        <f t="shared" si="291"/>
        <v>0</v>
      </c>
      <c r="DI315" s="7">
        <f t="shared" si="292"/>
        <v>0</v>
      </c>
      <c r="DJ315" s="7">
        <f t="shared" si="293"/>
        <v>0</v>
      </c>
      <c r="DK315" s="7">
        <f t="shared" si="294"/>
        <v>0</v>
      </c>
      <c r="DL315" s="7">
        <f t="shared" si="295"/>
        <v>0</v>
      </c>
      <c r="DM315" s="7">
        <f t="shared" si="296"/>
        <v>0</v>
      </c>
      <c r="DN315" s="7">
        <f t="shared" si="297"/>
        <v>0</v>
      </c>
      <c r="DO315" s="7">
        <f t="shared" si="298"/>
        <v>0</v>
      </c>
      <c r="DP315" s="7">
        <f t="shared" si="299"/>
        <v>0</v>
      </c>
      <c r="DQ315" s="7">
        <f t="shared" si="300"/>
        <v>0</v>
      </c>
      <c r="DR315" s="7">
        <f t="shared" si="301"/>
        <v>0</v>
      </c>
      <c r="DS315" s="7">
        <f t="shared" si="302"/>
        <v>0</v>
      </c>
      <c r="DT315" s="7">
        <f t="shared" si="303"/>
        <v>0</v>
      </c>
      <c r="DU315" s="7">
        <f t="shared" si="304"/>
        <v>0</v>
      </c>
    </row>
    <row r="316" spans="1:125" x14ac:dyDescent="0.2">
      <c r="A316" s="3">
        <f>Bonds!A316</f>
        <v>53373</v>
      </c>
      <c r="B316" s="4">
        <f>Bonds!B316</f>
        <v>4.625</v>
      </c>
      <c r="C316">
        <f>Bonds!P316</f>
        <v>39</v>
      </c>
      <c r="D316">
        <f t="shared" si="244"/>
        <v>0</v>
      </c>
      <c r="E316" s="3">
        <f>IF(1&gt;$C316,"",IF($D316=1,EOMONTH(EDATE(Bonds!$H316,6*(1-1)),0),EDATE(Bonds!$H316,6*(1-1))))</f>
        <v>46433</v>
      </c>
      <c r="F316" s="3">
        <f>IF(2&gt;$C316,"",IF($D316=1,EOMONTH(EDATE(Bonds!$H316,6*(2-1)),0),EDATE(Bonds!$H316,6*(2-1))))</f>
        <v>46614</v>
      </c>
      <c r="G316" s="3">
        <f>IF(3&gt;$C316,"",IF($D316=1,EOMONTH(EDATE(Bonds!$H316,6*(3-1)),0),EDATE(Bonds!$H316,6*(3-1))))</f>
        <v>46798</v>
      </c>
      <c r="H316" s="3">
        <f>IF(4&gt;$C316,"",IF($D316=1,EOMONTH(EDATE(Bonds!$H316,6*(4-1)),0),EDATE(Bonds!$H316,6*(4-1))))</f>
        <v>46980</v>
      </c>
      <c r="I316" s="3">
        <f>IF(5&gt;$C316,"",IF($D316=1,EOMONTH(EDATE(Bonds!$H316,6*(5-1)),0),EDATE(Bonds!$H316,6*(5-1))))</f>
        <v>47164</v>
      </c>
      <c r="J316" s="3">
        <f>IF(6&gt;$C316,"",IF($D316=1,EOMONTH(EDATE(Bonds!$H316,6*(6-1)),0),EDATE(Bonds!$H316,6*(6-1))))</f>
        <v>47345</v>
      </c>
      <c r="K316" s="3">
        <f>IF(7&gt;$C316,"",IF($D316=1,EOMONTH(EDATE(Bonds!$H316,6*(7-1)),0),EDATE(Bonds!$H316,6*(7-1))))</f>
        <v>47529</v>
      </c>
      <c r="L316" s="3">
        <f>IF(8&gt;$C316,"",IF($D316=1,EOMONTH(EDATE(Bonds!$H316,6*(8-1)),0),EDATE(Bonds!$H316,6*(8-1))))</f>
        <v>47710</v>
      </c>
      <c r="M316" s="3">
        <f>IF(9&gt;$C316,"",IF($D316=1,EOMONTH(EDATE(Bonds!$H316,6*(9-1)),0),EDATE(Bonds!$H316,6*(9-1))))</f>
        <v>47894</v>
      </c>
      <c r="N316" s="3">
        <f>IF(10&gt;$C316,"",IF($D316=1,EOMONTH(EDATE(Bonds!$H316,6*(10-1)),0),EDATE(Bonds!$H316,6*(10-1))))</f>
        <v>48075</v>
      </c>
      <c r="O316" s="3">
        <f>IF(11&gt;$C316,"",IF($D316=1,EOMONTH(EDATE(Bonds!$H316,6*(11-1)),0),EDATE(Bonds!$H316,6*(11-1))))</f>
        <v>48259</v>
      </c>
      <c r="P316" s="3">
        <f>IF(12&gt;$C316,"",IF($D316=1,EOMONTH(EDATE(Bonds!$H316,6*(12-1)),0),EDATE(Bonds!$H316,6*(12-1))))</f>
        <v>48441</v>
      </c>
      <c r="Q316" s="3">
        <f>IF(13&gt;$C316,"",IF($D316=1,EOMONTH(EDATE(Bonds!$H316,6*(13-1)),0),EDATE(Bonds!$H316,6*(13-1))))</f>
        <v>48625</v>
      </c>
      <c r="R316" s="3">
        <f>IF(14&gt;$C316,"",IF($D316=1,EOMONTH(EDATE(Bonds!$H316,6*(14-1)),0),EDATE(Bonds!$H316,6*(14-1))))</f>
        <v>48806</v>
      </c>
      <c r="S316" s="3">
        <f>IF(15&gt;$C316,"",IF($D316=1,EOMONTH(EDATE(Bonds!$H316,6*(15-1)),0),EDATE(Bonds!$H316,6*(15-1))))</f>
        <v>48990</v>
      </c>
      <c r="T316" s="3">
        <f>IF(16&gt;$C316,"",IF($D316=1,EOMONTH(EDATE(Bonds!$H316,6*(16-1)),0),EDATE(Bonds!$H316,6*(16-1))))</f>
        <v>49171</v>
      </c>
      <c r="U316" s="3">
        <f>IF(17&gt;$C316,"",IF($D316=1,EOMONTH(EDATE(Bonds!$H316,6*(17-1)),0),EDATE(Bonds!$H316,6*(17-1))))</f>
        <v>49355</v>
      </c>
      <c r="V316" s="3">
        <f>IF(18&gt;$C316,"",IF($D316=1,EOMONTH(EDATE(Bonds!$H316,6*(18-1)),0),EDATE(Bonds!$H316,6*(18-1))))</f>
        <v>49536</v>
      </c>
      <c r="W316" s="3">
        <f>IF(19&gt;$C316,"",IF($D316=1,EOMONTH(EDATE(Bonds!$H316,6*(19-1)),0),EDATE(Bonds!$H316,6*(19-1))))</f>
        <v>49720</v>
      </c>
      <c r="X316" s="3">
        <f>IF(20&gt;$C316,"",IF($D316=1,EOMONTH(EDATE(Bonds!$H316,6*(20-1)),0),EDATE(Bonds!$H316,6*(20-1))))</f>
        <v>49902</v>
      </c>
      <c r="Y316" s="3">
        <f>IF(21&gt;$C316,"",IF($D316=1,EOMONTH(EDATE(Bonds!$H316,6*(21-1)),0),EDATE(Bonds!$H316,6*(21-1))))</f>
        <v>50086</v>
      </c>
      <c r="Z316" s="3">
        <f>IF(22&gt;$C316,"",IF($D316=1,EOMONTH(EDATE(Bonds!$H316,6*(22-1)),0),EDATE(Bonds!$H316,6*(22-1))))</f>
        <v>50267</v>
      </c>
      <c r="AA316" s="3">
        <f>IF(23&gt;$C316,"",IF($D316=1,EOMONTH(EDATE(Bonds!$H316,6*(23-1)),0),EDATE(Bonds!$H316,6*(23-1))))</f>
        <v>50451</v>
      </c>
      <c r="AB316" s="3">
        <f>IF(24&gt;$C316,"",IF($D316=1,EOMONTH(EDATE(Bonds!$H316,6*(24-1)),0),EDATE(Bonds!$H316,6*(24-1))))</f>
        <v>50632</v>
      </c>
      <c r="AC316" s="3">
        <f>IF(25&gt;$C316,"",IF($D316=1,EOMONTH(EDATE(Bonds!$H316,6*(25-1)),0),EDATE(Bonds!$H316,6*(25-1))))</f>
        <v>50816</v>
      </c>
      <c r="AD316" s="3">
        <f>IF(26&gt;$C316,"",IF($D316=1,EOMONTH(EDATE(Bonds!$H316,6*(26-1)),0),EDATE(Bonds!$H316,6*(26-1))))</f>
        <v>50997</v>
      </c>
      <c r="AE316" s="3">
        <f>IF(27&gt;$C316,"",IF($D316=1,EOMONTH(EDATE(Bonds!$H316,6*(27-1)),0),EDATE(Bonds!$H316,6*(27-1))))</f>
        <v>51181</v>
      </c>
      <c r="AF316" s="3">
        <f>IF(28&gt;$C316,"",IF($D316=1,EOMONTH(EDATE(Bonds!$H316,6*(28-1)),0),EDATE(Bonds!$H316,6*(28-1))))</f>
        <v>51363</v>
      </c>
      <c r="AG316" s="3">
        <f>IF(29&gt;$C316,"",IF($D316=1,EOMONTH(EDATE(Bonds!$H316,6*(29-1)),0),EDATE(Bonds!$H316,6*(29-1))))</f>
        <v>51547</v>
      </c>
      <c r="AH316" s="3">
        <f>IF(30&gt;$C316,"",IF($D316=1,EOMONTH(EDATE(Bonds!$H316,6*(30-1)),0),EDATE(Bonds!$H316,6*(30-1))))</f>
        <v>51728</v>
      </c>
      <c r="AI316" s="3">
        <f>IF(31&gt;$C316,"",IF($D316=1,EOMONTH(EDATE(Bonds!$H316,6*(31-1)),0),EDATE(Bonds!$H316,6*(31-1))))</f>
        <v>51912</v>
      </c>
      <c r="AJ316" s="3">
        <f>IF(32&gt;$C316,"",IF($D316=1,EOMONTH(EDATE(Bonds!$H316,6*(32-1)),0),EDATE(Bonds!$H316,6*(32-1))))</f>
        <v>52093</v>
      </c>
      <c r="AK316" s="3">
        <f>IF(33&gt;$C316,"",IF($D316=1,EOMONTH(EDATE(Bonds!$H316,6*(33-1)),0),EDATE(Bonds!$H316,6*(33-1))))</f>
        <v>52277</v>
      </c>
      <c r="AL316" s="3">
        <f>IF(34&gt;$C316,"",IF($D316=1,EOMONTH(EDATE(Bonds!$H316,6*(34-1)),0),EDATE(Bonds!$H316,6*(34-1))))</f>
        <v>52458</v>
      </c>
      <c r="AM316" s="3">
        <f>IF(35&gt;$C316,"",IF($D316=1,EOMONTH(EDATE(Bonds!$H316,6*(35-1)),0),EDATE(Bonds!$H316,6*(35-1))))</f>
        <v>52642</v>
      </c>
      <c r="AN316" s="3">
        <f>IF(36&gt;$C316,"",IF($D316=1,EOMONTH(EDATE(Bonds!$H316,6*(36-1)),0),EDATE(Bonds!$H316,6*(36-1))))</f>
        <v>52824</v>
      </c>
      <c r="AO316" s="3">
        <f>IF(37&gt;$C316,"",IF($D316=1,EOMONTH(EDATE(Bonds!$H316,6*(37-1)),0),EDATE(Bonds!$H316,6*(37-1))))</f>
        <v>53008</v>
      </c>
      <c r="AP316" s="3">
        <f>IF(38&gt;$C316,"",IF($D316=1,EOMONTH(EDATE(Bonds!$H316,6*(38-1)),0),EDATE(Bonds!$H316,6*(38-1))))</f>
        <v>53189</v>
      </c>
      <c r="AQ316" s="3">
        <f>IF(39&gt;$C316,"",IF($D316=1,EOMONTH(EDATE(Bonds!$H316,6*(39-1)),0),EDATE(Bonds!$H316,6*(39-1))))</f>
        <v>53373</v>
      </c>
      <c r="AR316" s="3" t="str">
        <f>IF(40&gt;$C316,"",IF($D316=1,EOMONTH(EDATE(Bonds!$H316,6*(40-1)),0),EDATE(Bonds!$H316,6*(40-1))))</f>
        <v/>
      </c>
      <c r="AS316" s="3" t="str">
        <f>IF(41&gt;$C316,"",IF($D316=1,EOMONTH(EDATE(Bonds!$H316,6*(41-1)),0),EDATE(Bonds!$H316,6*(41-1))))</f>
        <v/>
      </c>
      <c r="AT316" s="3" t="str">
        <f>IF(42&gt;$C316,"",IF($D316=1,EOMONTH(EDATE(Bonds!$H316,6*(42-1)),0),EDATE(Bonds!$H316,6*(42-1))))</f>
        <v/>
      </c>
      <c r="AU316" s="3" t="str">
        <f>IF(43&gt;$C316,"",IF($D316=1,EOMONTH(EDATE(Bonds!$H316,6*(43-1)),0),EDATE(Bonds!$H316,6*(43-1))))</f>
        <v/>
      </c>
      <c r="AV316" s="3" t="str">
        <f>IF(44&gt;$C316,"",IF($D316=1,EOMONTH(EDATE(Bonds!$H316,6*(44-1)),0),EDATE(Bonds!$H316,6*(44-1))))</f>
        <v/>
      </c>
      <c r="AW316" s="3" t="str">
        <f>IF(45&gt;$C316,"",IF($D316=1,EOMONTH(EDATE(Bonds!$H316,6*(45-1)),0),EDATE(Bonds!$H316,6*(45-1))))</f>
        <v/>
      </c>
      <c r="AX316" s="3" t="str">
        <f>IF(46&gt;$C316,"",IF($D316=1,EOMONTH(EDATE(Bonds!$H316,6*(46-1)),0),EDATE(Bonds!$H316,6*(46-1))))</f>
        <v/>
      </c>
      <c r="AY316" s="3" t="str">
        <f>IF(47&gt;$C316,"",IF($D316=1,EOMONTH(EDATE(Bonds!$H316,6*(47-1)),0),EDATE(Bonds!$H316,6*(47-1))))</f>
        <v/>
      </c>
      <c r="AZ316" s="3" t="str">
        <f>IF(48&gt;$C316,"",IF($D316=1,EOMONTH(EDATE(Bonds!$H316,6*(48-1)),0),EDATE(Bonds!$H316,6*(48-1))))</f>
        <v/>
      </c>
      <c r="BA316" s="3" t="str">
        <f>IF(49&gt;$C316,"",IF($D316=1,EOMONTH(EDATE(Bonds!$H316,6*(49-1)),0),EDATE(Bonds!$H316,6*(49-1))))</f>
        <v/>
      </c>
      <c r="BB316" s="3" t="str">
        <f>IF(50&gt;$C316,"",IF($D316=1,EOMONTH(EDATE(Bonds!$H316,6*(50-1)),0),EDATE(Bonds!$H316,6*(50-1))))</f>
        <v/>
      </c>
      <c r="BC316" s="3" t="str">
        <f>IF(51&gt;$C316,"",IF($D316=1,EOMONTH(EDATE(Bonds!$H316,6*(51-1)),0),EDATE(Bonds!$H316,6*(51-1))))</f>
        <v/>
      </c>
      <c r="BD316" s="3" t="str">
        <f>IF(52&gt;$C316,"",IF($D316=1,EOMONTH(EDATE(Bonds!$H316,6*(52-1)),0),EDATE(Bonds!$H316,6*(52-1))))</f>
        <v/>
      </c>
      <c r="BE316" s="3" t="str">
        <f>IF(53&gt;$C316,"",IF($D316=1,EOMONTH(EDATE(Bonds!$H316,6*(53-1)),0),EDATE(Bonds!$H316,6*(53-1))))</f>
        <v/>
      </c>
      <c r="BF316" s="3" t="str">
        <f>IF(54&gt;$C316,"",IF($D316=1,EOMONTH(EDATE(Bonds!$H316,6*(54-1)),0),EDATE(Bonds!$H316,6*(54-1))))</f>
        <v/>
      </c>
      <c r="BG316" s="3" t="str">
        <f>IF(55&gt;$C316,"",IF($D316=1,EOMONTH(EDATE(Bonds!$H316,6*(55-1)),0),EDATE(Bonds!$H316,6*(55-1))))</f>
        <v/>
      </c>
      <c r="BH316" s="3" t="str">
        <f>IF(56&gt;$C316,"",IF($D316=1,EOMONTH(EDATE(Bonds!$H316,6*(56-1)),0),EDATE(Bonds!$H316,6*(56-1))))</f>
        <v/>
      </c>
      <c r="BI316" s="3" t="str">
        <f>IF(57&gt;$C316,"",IF($D316=1,EOMONTH(EDATE(Bonds!$H316,6*(57-1)),0),EDATE(Bonds!$H316,6*(57-1))))</f>
        <v/>
      </c>
      <c r="BJ316" s="3" t="str">
        <f>IF(58&gt;$C316,"",IF($D316=1,EOMONTH(EDATE(Bonds!$H316,6*(58-1)),0),EDATE(Bonds!$H316,6*(58-1))))</f>
        <v/>
      </c>
      <c r="BK316" s="3" t="str">
        <f>IF(59&gt;$C316,"",IF($D316=1,EOMONTH(EDATE(Bonds!$H316,6*(59-1)),0),EDATE(Bonds!$H316,6*(59-1))))</f>
        <v/>
      </c>
      <c r="BL316" s="3" t="str">
        <f>IF(60&gt;$C316,"",IF($D316=1,EOMONTH(EDATE(Bonds!$H316,6*(60-1)),0),EDATE(Bonds!$H316,6*(60-1))))</f>
        <v/>
      </c>
      <c r="BN316" s="7">
        <f t="shared" si="245"/>
        <v>2.2732788027748541</v>
      </c>
      <c r="BO316" s="7">
        <f t="shared" si="246"/>
        <v>2.2253618962720854</v>
      </c>
      <c r="BP316" s="7">
        <f t="shared" si="247"/>
        <v>2.1754476243738976</v>
      </c>
      <c r="BQ316" s="7">
        <f t="shared" si="248"/>
        <v>2.1263633428711608</v>
      </c>
      <c r="BR316" s="7">
        <f t="shared" si="249"/>
        <v>2.0777167692022909</v>
      </c>
      <c r="BS316" s="7">
        <f t="shared" si="250"/>
        <v>2.031031772484087</v>
      </c>
      <c r="BT316" s="7">
        <f t="shared" si="251"/>
        <v>1.9847256362236501</v>
      </c>
      <c r="BU316" s="7">
        <f t="shared" si="252"/>
        <v>1.9401615084528006</v>
      </c>
      <c r="BV316" s="7">
        <f t="shared" si="253"/>
        <v>1.895676035753294</v>
      </c>
      <c r="BW316" s="7">
        <f t="shared" si="254"/>
        <v>1.8525451983087053</v>
      </c>
      <c r="BX316" s="7">
        <f t="shared" si="255"/>
        <v>1.8091901571065561</v>
      </c>
      <c r="BY316" s="7">
        <f t="shared" si="256"/>
        <v>1.7666832517673459</v>
      </c>
      <c r="BZ316" s="7">
        <f t="shared" si="257"/>
        <v>1.7240176698316556</v>
      </c>
      <c r="CA316" s="7">
        <f t="shared" si="258"/>
        <v>1.6823142156028446</v>
      </c>
      <c r="CB316" s="7">
        <f t="shared" si="259"/>
        <v>1.6401836953590239</v>
      </c>
      <c r="CC316" s="7">
        <f t="shared" si="260"/>
        <v>1.5990167699987485</v>
      </c>
      <c r="CD316" s="7">
        <f t="shared" si="261"/>
        <v>1.5574840286149367</v>
      </c>
      <c r="CE316" s="7">
        <f t="shared" si="262"/>
        <v>1.5169866311686198</v>
      </c>
      <c r="CF316" s="7">
        <f t="shared" si="263"/>
        <v>1.4762379417095042</v>
      </c>
      <c r="CG316" s="7">
        <f t="shared" si="264"/>
        <v>1.4364078729062799</v>
      </c>
      <c r="CH316" s="7">
        <f t="shared" si="265"/>
        <v>1.396682167466071</v>
      </c>
      <c r="CI316" s="7">
        <f t="shared" si="266"/>
        <v>1.3581941436654867</v>
      </c>
      <c r="CJ316" s="7">
        <f t="shared" si="267"/>
        <v>1.3197241099048411</v>
      </c>
      <c r="CK316" s="7">
        <f t="shared" si="268"/>
        <v>1.2825770562461025</v>
      </c>
      <c r="CL316" s="7">
        <f t="shared" si="269"/>
        <v>1.245567907480825</v>
      </c>
      <c r="CM316" s="7">
        <f t="shared" si="270"/>
        <v>1.2099431100787861</v>
      </c>
      <c r="CN316" s="7">
        <f t="shared" si="271"/>
        <v>1.1745562134465972</v>
      </c>
      <c r="CO316" s="7">
        <f t="shared" si="272"/>
        <v>1.1404036831031943</v>
      </c>
      <c r="CP316" s="7">
        <f t="shared" si="273"/>
        <v>1.1067576008671178</v>
      </c>
      <c r="CQ316" s="7">
        <f t="shared" si="274"/>
        <v>1.0745417481220358</v>
      </c>
      <c r="CR316" s="7">
        <f t="shared" si="275"/>
        <v>1.042699932316199</v>
      </c>
      <c r="CS316" s="7">
        <f t="shared" si="276"/>
        <v>1.0122772142712935</v>
      </c>
      <c r="CT316" s="7">
        <f t="shared" si="277"/>
        <v>0.98226757320320712</v>
      </c>
      <c r="CU316" s="7">
        <f t="shared" si="278"/>
        <v>0.95364809273798889</v>
      </c>
      <c r="CV316" s="7">
        <f t="shared" si="279"/>
        <v>0.92546497383891047</v>
      </c>
      <c r="CW316" s="7">
        <f t="shared" si="280"/>
        <v>0.89848333928431656</v>
      </c>
      <c r="CX316" s="7">
        <f t="shared" si="281"/>
        <v>0.87209914743380834</v>
      </c>
      <c r="CY316" s="7">
        <f t="shared" si="282"/>
        <v>0.8470089999314705</v>
      </c>
      <c r="CZ316" s="7">
        <f t="shared" si="283"/>
        <v>36.384129599374397</v>
      </c>
      <c r="DA316" s="7">
        <f t="shared" si="284"/>
        <v>0</v>
      </c>
      <c r="DB316" s="7">
        <f t="shared" si="285"/>
        <v>0</v>
      </c>
      <c r="DC316" s="7">
        <f t="shared" si="286"/>
        <v>0</v>
      </c>
      <c r="DD316" s="7">
        <f t="shared" si="287"/>
        <v>0</v>
      </c>
      <c r="DE316" s="7">
        <f t="shared" si="288"/>
        <v>0</v>
      </c>
      <c r="DF316" s="7">
        <f t="shared" si="289"/>
        <v>0</v>
      </c>
      <c r="DG316" s="7">
        <f t="shared" si="290"/>
        <v>0</v>
      </c>
      <c r="DH316" s="7">
        <f t="shared" si="291"/>
        <v>0</v>
      </c>
      <c r="DI316" s="7">
        <f t="shared" si="292"/>
        <v>0</v>
      </c>
      <c r="DJ316" s="7">
        <f t="shared" si="293"/>
        <v>0</v>
      </c>
      <c r="DK316" s="7">
        <f t="shared" si="294"/>
        <v>0</v>
      </c>
      <c r="DL316" s="7">
        <f t="shared" si="295"/>
        <v>0</v>
      </c>
      <c r="DM316" s="7">
        <f t="shared" si="296"/>
        <v>0</v>
      </c>
      <c r="DN316" s="7">
        <f t="shared" si="297"/>
        <v>0</v>
      </c>
      <c r="DO316" s="7">
        <f t="shared" si="298"/>
        <v>0</v>
      </c>
      <c r="DP316" s="7">
        <f t="shared" si="299"/>
        <v>0</v>
      </c>
      <c r="DQ316" s="7">
        <f t="shared" si="300"/>
        <v>0</v>
      </c>
      <c r="DR316" s="7">
        <f t="shared" si="301"/>
        <v>0</v>
      </c>
      <c r="DS316" s="7">
        <f t="shared" si="302"/>
        <v>0</v>
      </c>
      <c r="DT316" s="7">
        <f t="shared" si="303"/>
        <v>0</v>
      </c>
      <c r="DU316" s="7">
        <f t="shared" si="304"/>
        <v>0</v>
      </c>
    </row>
    <row r="317" spans="1:125" x14ac:dyDescent="0.2">
      <c r="A317" s="3">
        <f>Bonds!A317</f>
        <v>53462</v>
      </c>
      <c r="B317" s="4">
        <f>Bonds!B317</f>
        <v>2.5</v>
      </c>
      <c r="C317">
        <f>Bonds!P317</f>
        <v>40</v>
      </c>
      <c r="D317">
        <f t="shared" si="244"/>
        <v>0</v>
      </c>
      <c r="E317" s="3">
        <f>IF(1&gt;$C317,"",IF($D317=1,EOMONTH(EDATE(Bonds!$H317,6*(1-1)),0),EDATE(Bonds!$H317,6*(1-1))))</f>
        <v>46341</v>
      </c>
      <c r="F317" s="3">
        <f>IF(2&gt;$C317,"",IF($D317=1,EOMONTH(EDATE(Bonds!$H317,6*(2-1)),0),EDATE(Bonds!$H317,6*(2-1))))</f>
        <v>46522</v>
      </c>
      <c r="G317" s="3">
        <f>IF(3&gt;$C317,"",IF($D317=1,EOMONTH(EDATE(Bonds!$H317,6*(3-1)),0),EDATE(Bonds!$H317,6*(3-1))))</f>
        <v>46706</v>
      </c>
      <c r="H317" s="3">
        <f>IF(4&gt;$C317,"",IF($D317=1,EOMONTH(EDATE(Bonds!$H317,6*(4-1)),0),EDATE(Bonds!$H317,6*(4-1))))</f>
        <v>46888</v>
      </c>
      <c r="I317" s="3">
        <f>IF(5&gt;$C317,"",IF($D317=1,EOMONTH(EDATE(Bonds!$H317,6*(5-1)),0),EDATE(Bonds!$H317,6*(5-1))))</f>
        <v>47072</v>
      </c>
      <c r="J317" s="3">
        <f>IF(6&gt;$C317,"",IF($D317=1,EOMONTH(EDATE(Bonds!$H317,6*(6-1)),0),EDATE(Bonds!$H317,6*(6-1))))</f>
        <v>47253</v>
      </c>
      <c r="K317" s="3">
        <f>IF(7&gt;$C317,"",IF($D317=1,EOMONTH(EDATE(Bonds!$H317,6*(7-1)),0),EDATE(Bonds!$H317,6*(7-1))))</f>
        <v>47437</v>
      </c>
      <c r="L317" s="3">
        <f>IF(8&gt;$C317,"",IF($D317=1,EOMONTH(EDATE(Bonds!$H317,6*(8-1)),0),EDATE(Bonds!$H317,6*(8-1))))</f>
        <v>47618</v>
      </c>
      <c r="M317" s="3">
        <f>IF(9&gt;$C317,"",IF($D317=1,EOMONTH(EDATE(Bonds!$H317,6*(9-1)),0),EDATE(Bonds!$H317,6*(9-1))))</f>
        <v>47802</v>
      </c>
      <c r="N317" s="3">
        <f>IF(10&gt;$C317,"",IF($D317=1,EOMONTH(EDATE(Bonds!$H317,6*(10-1)),0),EDATE(Bonds!$H317,6*(10-1))))</f>
        <v>47983</v>
      </c>
      <c r="O317" s="3">
        <f>IF(11&gt;$C317,"",IF($D317=1,EOMONTH(EDATE(Bonds!$H317,6*(11-1)),0),EDATE(Bonds!$H317,6*(11-1))))</f>
        <v>48167</v>
      </c>
      <c r="P317" s="3">
        <f>IF(12&gt;$C317,"",IF($D317=1,EOMONTH(EDATE(Bonds!$H317,6*(12-1)),0),EDATE(Bonds!$H317,6*(12-1))))</f>
        <v>48349</v>
      </c>
      <c r="Q317" s="3">
        <f>IF(13&gt;$C317,"",IF($D317=1,EOMONTH(EDATE(Bonds!$H317,6*(13-1)),0),EDATE(Bonds!$H317,6*(13-1))))</f>
        <v>48533</v>
      </c>
      <c r="R317" s="3">
        <f>IF(14&gt;$C317,"",IF($D317=1,EOMONTH(EDATE(Bonds!$H317,6*(14-1)),0),EDATE(Bonds!$H317,6*(14-1))))</f>
        <v>48714</v>
      </c>
      <c r="S317" s="3">
        <f>IF(15&gt;$C317,"",IF($D317=1,EOMONTH(EDATE(Bonds!$H317,6*(15-1)),0),EDATE(Bonds!$H317,6*(15-1))))</f>
        <v>48898</v>
      </c>
      <c r="T317" s="3">
        <f>IF(16&gt;$C317,"",IF($D317=1,EOMONTH(EDATE(Bonds!$H317,6*(16-1)),0),EDATE(Bonds!$H317,6*(16-1))))</f>
        <v>49079</v>
      </c>
      <c r="U317" s="3">
        <f>IF(17&gt;$C317,"",IF($D317=1,EOMONTH(EDATE(Bonds!$H317,6*(17-1)),0),EDATE(Bonds!$H317,6*(17-1))))</f>
        <v>49263</v>
      </c>
      <c r="V317" s="3">
        <f>IF(18&gt;$C317,"",IF($D317=1,EOMONTH(EDATE(Bonds!$H317,6*(18-1)),0),EDATE(Bonds!$H317,6*(18-1))))</f>
        <v>49444</v>
      </c>
      <c r="W317" s="3">
        <f>IF(19&gt;$C317,"",IF($D317=1,EOMONTH(EDATE(Bonds!$H317,6*(19-1)),0),EDATE(Bonds!$H317,6*(19-1))))</f>
        <v>49628</v>
      </c>
      <c r="X317" s="3">
        <f>IF(20&gt;$C317,"",IF($D317=1,EOMONTH(EDATE(Bonds!$H317,6*(20-1)),0),EDATE(Bonds!$H317,6*(20-1))))</f>
        <v>49810</v>
      </c>
      <c r="Y317" s="3">
        <f>IF(21&gt;$C317,"",IF($D317=1,EOMONTH(EDATE(Bonds!$H317,6*(21-1)),0),EDATE(Bonds!$H317,6*(21-1))))</f>
        <v>49994</v>
      </c>
      <c r="Z317" s="3">
        <f>IF(22&gt;$C317,"",IF($D317=1,EOMONTH(EDATE(Bonds!$H317,6*(22-1)),0),EDATE(Bonds!$H317,6*(22-1))))</f>
        <v>50175</v>
      </c>
      <c r="AA317" s="3">
        <f>IF(23&gt;$C317,"",IF($D317=1,EOMONTH(EDATE(Bonds!$H317,6*(23-1)),0),EDATE(Bonds!$H317,6*(23-1))))</f>
        <v>50359</v>
      </c>
      <c r="AB317" s="3">
        <f>IF(24&gt;$C317,"",IF($D317=1,EOMONTH(EDATE(Bonds!$H317,6*(24-1)),0),EDATE(Bonds!$H317,6*(24-1))))</f>
        <v>50540</v>
      </c>
      <c r="AC317" s="3">
        <f>IF(25&gt;$C317,"",IF($D317=1,EOMONTH(EDATE(Bonds!$H317,6*(25-1)),0),EDATE(Bonds!$H317,6*(25-1))))</f>
        <v>50724</v>
      </c>
      <c r="AD317" s="3">
        <f>IF(26&gt;$C317,"",IF($D317=1,EOMONTH(EDATE(Bonds!$H317,6*(26-1)),0),EDATE(Bonds!$H317,6*(26-1))))</f>
        <v>50905</v>
      </c>
      <c r="AE317" s="3">
        <f>IF(27&gt;$C317,"",IF($D317=1,EOMONTH(EDATE(Bonds!$H317,6*(27-1)),0),EDATE(Bonds!$H317,6*(27-1))))</f>
        <v>51089</v>
      </c>
      <c r="AF317" s="3">
        <f>IF(28&gt;$C317,"",IF($D317=1,EOMONTH(EDATE(Bonds!$H317,6*(28-1)),0),EDATE(Bonds!$H317,6*(28-1))))</f>
        <v>51271</v>
      </c>
      <c r="AG317" s="3">
        <f>IF(29&gt;$C317,"",IF($D317=1,EOMONTH(EDATE(Bonds!$H317,6*(29-1)),0),EDATE(Bonds!$H317,6*(29-1))))</f>
        <v>51455</v>
      </c>
      <c r="AH317" s="3">
        <f>IF(30&gt;$C317,"",IF($D317=1,EOMONTH(EDATE(Bonds!$H317,6*(30-1)),0),EDATE(Bonds!$H317,6*(30-1))))</f>
        <v>51636</v>
      </c>
      <c r="AI317" s="3">
        <f>IF(31&gt;$C317,"",IF($D317=1,EOMONTH(EDATE(Bonds!$H317,6*(31-1)),0),EDATE(Bonds!$H317,6*(31-1))))</f>
        <v>51820</v>
      </c>
      <c r="AJ317" s="3">
        <f>IF(32&gt;$C317,"",IF($D317=1,EOMONTH(EDATE(Bonds!$H317,6*(32-1)),0),EDATE(Bonds!$H317,6*(32-1))))</f>
        <v>52001</v>
      </c>
      <c r="AK317" s="3">
        <f>IF(33&gt;$C317,"",IF($D317=1,EOMONTH(EDATE(Bonds!$H317,6*(33-1)),0),EDATE(Bonds!$H317,6*(33-1))))</f>
        <v>52185</v>
      </c>
      <c r="AL317" s="3">
        <f>IF(34&gt;$C317,"",IF($D317=1,EOMONTH(EDATE(Bonds!$H317,6*(34-1)),0),EDATE(Bonds!$H317,6*(34-1))))</f>
        <v>52366</v>
      </c>
      <c r="AM317" s="3">
        <f>IF(35&gt;$C317,"",IF($D317=1,EOMONTH(EDATE(Bonds!$H317,6*(35-1)),0),EDATE(Bonds!$H317,6*(35-1))))</f>
        <v>52550</v>
      </c>
      <c r="AN317" s="3">
        <f>IF(36&gt;$C317,"",IF($D317=1,EOMONTH(EDATE(Bonds!$H317,6*(36-1)),0),EDATE(Bonds!$H317,6*(36-1))))</f>
        <v>52732</v>
      </c>
      <c r="AO317" s="3">
        <f>IF(37&gt;$C317,"",IF($D317=1,EOMONTH(EDATE(Bonds!$H317,6*(37-1)),0),EDATE(Bonds!$H317,6*(37-1))))</f>
        <v>52916</v>
      </c>
      <c r="AP317" s="3">
        <f>IF(38&gt;$C317,"",IF($D317=1,EOMONTH(EDATE(Bonds!$H317,6*(38-1)),0),EDATE(Bonds!$H317,6*(38-1))))</f>
        <v>53097</v>
      </c>
      <c r="AQ317" s="3">
        <f>IF(39&gt;$C317,"",IF($D317=1,EOMONTH(EDATE(Bonds!$H317,6*(39-1)),0),EDATE(Bonds!$H317,6*(39-1))))</f>
        <v>53281</v>
      </c>
      <c r="AR317" s="3">
        <f>IF(40&gt;$C317,"",IF($D317=1,EOMONTH(EDATE(Bonds!$H317,6*(40-1)),0),EDATE(Bonds!$H317,6*(40-1))))</f>
        <v>53462</v>
      </c>
      <c r="AS317" s="3" t="str">
        <f>IF(41&gt;$C317,"",IF($D317=1,EOMONTH(EDATE(Bonds!$H317,6*(41-1)),0),EDATE(Bonds!$H317,6*(41-1))))</f>
        <v/>
      </c>
      <c r="AT317" s="3" t="str">
        <f>IF(42&gt;$C317,"",IF($D317=1,EOMONTH(EDATE(Bonds!$H317,6*(42-1)),0),EDATE(Bonds!$H317,6*(42-1))))</f>
        <v/>
      </c>
      <c r="AU317" s="3" t="str">
        <f>IF(43&gt;$C317,"",IF($D317=1,EOMONTH(EDATE(Bonds!$H317,6*(43-1)),0),EDATE(Bonds!$H317,6*(43-1))))</f>
        <v/>
      </c>
      <c r="AV317" s="3" t="str">
        <f>IF(44&gt;$C317,"",IF($D317=1,EOMONTH(EDATE(Bonds!$H317,6*(44-1)),0),EDATE(Bonds!$H317,6*(44-1))))</f>
        <v/>
      </c>
      <c r="AW317" s="3" t="str">
        <f>IF(45&gt;$C317,"",IF($D317=1,EOMONTH(EDATE(Bonds!$H317,6*(45-1)),0),EDATE(Bonds!$H317,6*(45-1))))</f>
        <v/>
      </c>
      <c r="AX317" s="3" t="str">
        <f>IF(46&gt;$C317,"",IF($D317=1,EOMONTH(EDATE(Bonds!$H317,6*(46-1)),0),EDATE(Bonds!$H317,6*(46-1))))</f>
        <v/>
      </c>
      <c r="AY317" s="3" t="str">
        <f>IF(47&gt;$C317,"",IF($D317=1,EOMONTH(EDATE(Bonds!$H317,6*(47-1)),0),EDATE(Bonds!$H317,6*(47-1))))</f>
        <v/>
      </c>
      <c r="AZ317" s="3" t="str">
        <f>IF(48&gt;$C317,"",IF($D317=1,EOMONTH(EDATE(Bonds!$H317,6*(48-1)),0),EDATE(Bonds!$H317,6*(48-1))))</f>
        <v/>
      </c>
      <c r="BA317" s="3" t="str">
        <f>IF(49&gt;$C317,"",IF($D317=1,EOMONTH(EDATE(Bonds!$H317,6*(49-1)),0),EDATE(Bonds!$H317,6*(49-1))))</f>
        <v/>
      </c>
      <c r="BB317" s="3" t="str">
        <f>IF(50&gt;$C317,"",IF($D317=1,EOMONTH(EDATE(Bonds!$H317,6*(50-1)),0),EDATE(Bonds!$H317,6*(50-1))))</f>
        <v/>
      </c>
      <c r="BC317" s="3" t="str">
        <f>IF(51&gt;$C317,"",IF($D317=1,EOMONTH(EDATE(Bonds!$H317,6*(51-1)),0),EDATE(Bonds!$H317,6*(51-1))))</f>
        <v/>
      </c>
      <c r="BD317" s="3" t="str">
        <f>IF(52&gt;$C317,"",IF($D317=1,EOMONTH(EDATE(Bonds!$H317,6*(52-1)),0),EDATE(Bonds!$H317,6*(52-1))))</f>
        <v/>
      </c>
      <c r="BE317" s="3" t="str">
        <f>IF(53&gt;$C317,"",IF($D317=1,EOMONTH(EDATE(Bonds!$H317,6*(53-1)),0),EDATE(Bonds!$H317,6*(53-1))))</f>
        <v/>
      </c>
      <c r="BF317" s="3" t="str">
        <f>IF(54&gt;$C317,"",IF($D317=1,EOMONTH(EDATE(Bonds!$H317,6*(54-1)),0),EDATE(Bonds!$H317,6*(54-1))))</f>
        <v/>
      </c>
      <c r="BG317" s="3" t="str">
        <f>IF(55&gt;$C317,"",IF($D317=1,EOMONTH(EDATE(Bonds!$H317,6*(55-1)),0),EDATE(Bonds!$H317,6*(55-1))))</f>
        <v/>
      </c>
      <c r="BH317" s="3" t="str">
        <f>IF(56&gt;$C317,"",IF($D317=1,EOMONTH(EDATE(Bonds!$H317,6*(56-1)),0),EDATE(Bonds!$H317,6*(56-1))))</f>
        <v/>
      </c>
      <c r="BI317" s="3" t="str">
        <f>IF(57&gt;$C317,"",IF($D317=1,EOMONTH(EDATE(Bonds!$H317,6*(57-1)),0),EDATE(Bonds!$H317,6*(57-1))))</f>
        <v/>
      </c>
      <c r="BJ317" s="3" t="str">
        <f>IF(58&gt;$C317,"",IF($D317=1,EOMONTH(EDATE(Bonds!$H317,6*(58-1)),0),EDATE(Bonds!$H317,6*(58-1))))</f>
        <v/>
      </c>
      <c r="BK317" s="3" t="str">
        <f>IF(59&gt;$C317,"",IF($D317=1,EOMONTH(EDATE(Bonds!$H317,6*(59-1)),0),EDATE(Bonds!$H317,6*(59-1))))</f>
        <v/>
      </c>
      <c r="BL317" s="3" t="str">
        <f>IF(60&gt;$C317,"",IF($D317=1,EOMONTH(EDATE(Bonds!$H317,6*(60-1)),0),EDATE(Bonds!$H317,6*(60-1))))</f>
        <v/>
      </c>
      <c r="BN317" s="7">
        <f t="shared" si="245"/>
        <v>1.2412819782500233</v>
      </c>
      <c r="BO317" s="7">
        <f t="shared" si="246"/>
        <v>1.216216231615058</v>
      </c>
      <c r="BP317" s="7">
        <f t="shared" si="247"/>
        <v>1.189426035687021</v>
      </c>
      <c r="BQ317" s="7">
        <f t="shared" si="248"/>
        <v>1.1627476768087364</v>
      </c>
      <c r="BR317" s="7">
        <f t="shared" si="249"/>
        <v>1.1361599201755821</v>
      </c>
      <c r="BS317" s="7">
        <f t="shared" si="250"/>
        <v>1.1106025025858499</v>
      </c>
      <c r="BT317" s="7">
        <f t="shared" si="251"/>
        <v>1.085265561821201</v>
      </c>
      <c r="BU317" s="7">
        <f t="shared" si="252"/>
        <v>1.0609198071955781</v>
      </c>
      <c r="BV317" s="7">
        <f t="shared" si="253"/>
        <v>1.0366634993694681</v>
      </c>
      <c r="BW317" s="7">
        <f t="shared" si="254"/>
        <v>1.0131891429069813</v>
      </c>
      <c r="BX317" s="7">
        <f t="shared" si="255"/>
        <v>0.98962904402384178</v>
      </c>
      <c r="BY317" s="7">
        <f t="shared" si="256"/>
        <v>0.96655607277462008</v>
      </c>
      <c r="BZ317" s="7">
        <f t="shared" si="257"/>
        <v>0.94341339825545867</v>
      </c>
      <c r="CA317" s="7">
        <f t="shared" si="258"/>
        <v>0.92079975793220559</v>
      </c>
      <c r="CB317" s="7">
        <f t="shared" si="259"/>
        <v>0.89795409552301675</v>
      </c>
      <c r="CC317" s="7">
        <f t="shared" si="260"/>
        <v>0.87562449470435277</v>
      </c>
      <c r="CD317" s="7">
        <f t="shared" si="261"/>
        <v>0.85308526915338978</v>
      </c>
      <c r="CE317" s="7">
        <f t="shared" si="262"/>
        <v>0.83109367649277111</v>
      </c>
      <c r="CF317" s="7">
        <f t="shared" si="263"/>
        <v>0.80894900803573067</v>
      </c>
      <c r="CG317" s="7">
        <f t="shared" si="264"/>
        <v>0.78728587579585074</v>
      </c>
      <c r="CH317" s="7">
        <f t="shared" si="265"/>
        <v>0.76566113443803174</v>
      </c>
      <c r="CI317" s="7">
        <f t="shared" si="266"/>
        <v>0.74469216240177349</v>
      </c>
      <c r="CJ317" s="7">
        <f t="shared" si="267"/>
        <v>0.72371519437525944</v>
      </c>
      <c r="CK317" s="7">
        <f t="shared" si="268"/>
        <v>0.70344284532683266</v>
      </c>
      <c r="CL317" s="7">
        <f t="shared" si="269"/>
        <v>0.68322963735153919</v>
      </c>
      <c r="CM317" s="7">
        <f t="shared" si="270"/>
        <v>0.66375768853796124</v>
      </c>
      <c r="CN317" s="7">
        <f t="shared" si="271"/>
        <v>0.64440180609613884</v>
      </c>
      <c r="CO317" s="7">
        <f t="shared" si="272"/>
        <v>0.62570835333381369</v>
      </c>
      <c r="CP317" s="7">
        <f t="shared" si="273"/>
        <v>0.60728033772813406</v>
      </c>
      <c r="CQ317" s="7">
        <f t="shared" si="274"/>
        <v>0.5896251668671425</v>
      </c>
      <c r="CR317" s="7">
        <f t="shared" si="275"/>
        <v>0.57216533333594233</v>
      </c>
      <c r="CS317" s="7">
        <f t="shared" si="276"/>
        <v>0.55547508770630172</v>
      </c>
      <c r="CT317" s="7">
        <f t="shared" si="277"/>
        <v>0.53900367202150412</v>
      </c>
      <c r="CU317" s="7">
        <f t="shared" si="278"/>
        <v>0.52328842685075361</v>
      </c>
      <c r="CV317" s="7">
        <f t="shared" si="279"/>
        <v>0.50780659726308686</v>
      </c>
      <c r="CW317" s="7">
        <f t="shared" si="280"/>
        <v>0.49297932735390615</v>
      </c>
      <c r="CX317" s="7">
        <f t="shared" si="281"/>
        <v>0.47847550204362627</v>
      </c>
      <c r="CY317" s="7">
        <f t="shared" si="282"/>
        <v>0.46467882548400347</v>
      </c>
      <c r="CZ317" s="7">
        <f t="shared" si="283"/>
        <v>0.45112415848393767</v>
      </c>
      <c r="DA317" s="7">
        <f t="shared" si="284"/>
        <v>35.497836509875881</v>
      </c>
      <c r="DB317" s="7">
        <f t="shared" si="285"/>
        <v>0</v>
      </c>
      <c r="DC317" s="7">
        <f t="shared" si="286"/>
        <v>0</v>
      </c>
      <c r="DD317" s="7">
        <f t="shared" si="287"/>
        <v>0</v>
      </c>
      <c r="DE317" s="7">
        <f t="shared" si="288"/>
        <v>0</v>
      </c>
      <c r="DF317" s="7">
        <f t="shared" si="289"/>
        <v>0</v>
      </c>
      <c r="DG317" s="7">
        <f t="shared" si="290"/>
        <v>0</v>
      </c>
      <c r="DH317" s="7">
        <f t="shared" si="291"/>
        <v>0</v>
      </c>
      <c r="DI317" s="7">
        <f t="shared" si="292"/>
        <v>0</v>
      </c>
      <c r="DJ317" s="7">
        <f t="shared" si="293"/>
        <v>0</v>
      </c>
      <c r="DK317" s="7">
        <f t="shared" si="294"/>
        <v>0</v>
      </c>
      <c r="DL317" s="7">
        <f t="shared" si="295"/>
        <v>0</v>
      </c>
      <c r="DM317" s="7">
        <f t="shared" si="296"/>
        <v>0</v>
      </c>
      <c r="DN317" s="7">
        <f t="shared" si="297"/>
        <v>0</v>
      </c>
      <c r="DO317" s="7">
        <f t="shared" si="298"/>
        <v>0</v>
      </c>
      <c r="DP317" s="7">
        <f t="shared" si="299"/>
        <v>0</v>
      </c>
      <c r="DQ317" s="7">
        <f t="shared" si="300"/>
        <v>0</v>
      </c>
      <c r="DR317" s="7">
        <f t="shared" si="301"/>
        <v>0</v>
      </c>
      <c r="DS317" s="7">
        <f t="shared" si="302"/>
        <v>0</v>
      </c>
      <c r="DT317" s="7">
        <f t="shared" si="303"/>
        <v>0</v>
      </c>
      <c r="DU317" s="7">
        <f t="shared" si="304"/>
        <v>0</v>
      </c>
    </row>
    <row r="318" spans="1:125" x14ac:dyDescent="0.2">
      <c r="A318" s="3">
        <f>Bonds!A318</f>
        <v>53462</v>
      </c>
      <c r="B318" s="4">
        <f>Bonds!B318</f>
        <v>5</v>
      </c>
      <c r="C318">
        <f>Bonds!P318</f>
        <v>40</v>
      </c>
      <c r="D318">
        <f t="shared" si="244"/>
        <v>0</v>
      </c>
      <c r="E318" s="3">
        <f>IF(1&gt;$C318,"",IF($D318=1,EOMONTH(EDATE(Bonds!$H318,6*(1-1)),0),EDATE(Bonds!$H318,6*(1-1))))</f>
        <v>46341</v>
      </c>
      <c r="F318" s="3">
        <f>IF(2&gt;$C318,"",IF($D318=1,EOMONTH(EDATE(Bonds!$H318,6*(2-1)),0),EDATE(Bonds!$H318,6*(2-1))))</f>
        <v>46522</v>
      </c>
      <c r="G318" s="3">
        <f>IF(3&gt;$C318,"",IF($D318=1,EOMONTH(EDATE(Bonds!$H318,6*(3-1)),0),EDATE(Bonds!$H318,6*(3-1))))</f>
        <v>46706</v>
      </c>
      <c r="H318" s="3">
        <f>IF(4&gt;$C318,"",IF($D318=1,EOMONTH(EDATE(Bonds!$H318,6*(4-1)),0),EDATE(Bonds!$H318,6*(4-1))))</f>
        <v>46888</v>
      </c>
      <c r="I318" s="3">
        <f>IF(5&gt;$C318,"",IF($D318=1,EOMONTH(EDATE(Bonds!$H318,6*(5-1)),0),EDATE(Bonds!$H318,6*(5-1))))</f>
        <v>47072</v>
      </c>
      <c r="J318" s="3">
        <f>IF(6&gt;$C318,"",IF($D318=1,EOMONTH(EDATE(Bonds!$H318,6*(6-1)),0),EDATE(Bonds!$H318,6*(6-1))))</f>
        <v>47253</v>
      </c>
      <c r="K318" s="3">
        <f>IF(7&gt;$C318,"",IF($D318=1,EOMONTH(EDATE(Bonds!$H318,6*(7-1)),0),EDATE(Bonds!$H318,6*(7-1))))</f>
        <v>47437</v>
      </c>
      <c r="L318" s="3">
        <f>IF(8&gt;$C318,"",IF($D318=1,EOMONTH(EDATE(Bonds!$H318,6*(8-1)),0),EDATE(Bonds!$H318,6*(8-1))))</f>
        <v>47618</v>
      </c>
      <c r="M318" s="3">
        <f>IF(9&gt;$C318,"",IF($D318=1,EOMONTH(EDATE(Bonds!$H318,6*(9-1)),0),EDATE(Bonds!$H318,6*(9-1))))</f>
        <v>47802</v>
      </c>
      <c r="N318" s="3">
        <f>IF(10&gt;$C318,"",IF($D318=1,EOMONTH(EDATE(Bonds!$H318,6*(10-1)),0),EDATE(Bonds!$H318,6*(10-1))))</f>
        <v>47983</v>
      </c>
      <c r="O318" s="3">
        <f>IF(11&gt;$C318,"",IF($D318=1,EOMONTH(EDATE(Bonds!$H318,6*(11-1)),0),EDATE(Bonds!$H318,6*(11-1))))</f>
        <v>48167</v>
      </c>
      <c r="P318" s="3">
        <f>IF(12&gt;$C318,"",IF($D318=1,EOMONTH(EDATE(Bonds!$H318,6*(12-1)),0),EDATE(Bonds!$H318,6*(12-1))))</f>
        <v>48349</v>
      </c>
      <c r="Q318" s="3">
        <f>IF(13&gt;$C318,"",IF($D318=1,EOMONTH(EDATE(Bonds!$H318,6*(13-1)),0),EDATE(Bonds!$H318,6*(13-1))))</f>
        <v>48533</v>
      </c>
      <c r="R318" s="3">
        <f>IF(14&gt;$C318,"",IF($D318=1,EOMONTH(EDATE(Bonds!$H318,6*(14-1)),0),EDATE(Bonds!$H318,6*(14-1))))</f>
        <v>48714</v>
      </c>
      <c r="S318" s="3">
        <f>IF(15&gt;$C318,"",IF($D318=1,EOMONTH(EDATE(Bonds!$H318,6*(15-1)),0),EDATE(Bonds!$H318,6*(15-1))))</f>
        <v>48898</v>
      </c>
      <c r="T318" s="3">
        <f>IF(16&gt;$C318,"",IF($D318=1,EOMONTH(EDATE(Bonds!$H318,6*(16-1)),0),EDATE(Bonds!$H318,6*(16-1))))</f>
        <v>49079</v>
      </c>
      <c r="U318" s="3">
        <f>IF(17&gt;$C318,"",IF($D318=1,EOMONTH(EDATE(Bonds!$H318,6*(17-1)),0),EDATE(Bonds!$H318,6*(17-1))))</f>
        <v>49263</v>
      </c>
      <c r="V318" s="3">
        <f>IF(18&gt;$C318,"",IF($D318=1,EOMONTH(EDATE(Bonds!$H318,6*(18-1)),0),EDATE(Bonds!$H318,6*(18-1))))</f>
        <v>49444</v>
      </c>
      <c r="W318" s="3">
        <f>IF(19&gt;$C318,"",IF($D318=1,EOMONTH(EDATE(Bonds!$H318,6*(19-1)),0),EDATE(Bonds!$H318,6*(19-1))))</f>
        <v>49628</v>
      </c>
      <c r="X318" s="3">
        <f>IF(20&gt;$C318,"",IF($D318=1,EOMONTH(EDATE(Bonds!$H318,6*(20-1)),0),EDATE(Bonds!$H318,6*(20-1))))</f>
        <v>49810</v>
      </c>
      <c r="Y318" s="3">
        <f>IF(21&gt;$C318,"",IF($D318=1,EOMONTH(EDATE(Bonds!$H318,6*(21-1)),0),EDATE(Bonds!$H318,6*(21-1))))</f>
        <v>49994</v>
      </c>
      <c r="Z318" s="3">
        <f>IF(22&gt;$C318,"",IF($D318=1,EOMONTH(EDATE(Bonds!$H318,6*(22-1)),0),EDATE(Bonds!$H318,6*(22-1))))</f>
        <v>50175</v>
      </c>
      <c r="AA318" s="3">
        <f>IF(23&gt;$C318,"",IF($D318=1,EOMONTH(EDATE(Bonds!$H318,6*(23-1)),0),EDATE(Bonds!$H318,6*(23-1))))</f>
        <v>50359</v>
      </c>
      <c r="AB318" s="3">
        <f>IF(24&gt;$C318,"",IF($D318=1,EOMONTH(EDATE(Bonds!$H318,6*(24-1)),0),EDATE(Bonds!$H318,6*(24-1))))</f>
        <v>50540</v>
      </c>
      <c r="AC318" s="3">
        <f>IF(25&gt;$C318,"",IF($D318=1,EOMONTH(EDATE(Bonds!$H318,6*(25-1)),0),EDATE(Bonds!$H318,6*(25-1))))</f>
        <v>50724</v>
      </c>
      <c r="AD318" s="3">
        <f>IF(26&gt;$C318,"",IF($D318=1,EOMONTH(EDATE(Bonds!$H318,6*(26-1)),0),EDATE(Bonds!$H318,6*(26-1))))</f>
        <v>50905</v>
      </c>
      <c r="AE318" s="3">
        <f>IF(27&gt;$C318,"",IF($D318=1,EOMONTH(EDATE(Bonds!$H318,6*(27-1)),0),EDATE(Bonds!$H318,6*(27-1))))</f>
        <v>51089</v>
      </c>
      <c r="AF318" s="3">
        <f>IF(28&gt;$C318,"",IF($D318=1,EOMONTH(EDATE(Bonds!$H318,6*(28-1)),0),EDATE(Bonds!$H318,6*(28-1))))</f>
        <v>51271</v>
      </c>
      <c r="AG318" s="3">
        <f>IF(29&gt;$C318,"",IF($D318=1,EOMONTH(EDATE(Bonds!$H318,6*(29-1)),0),EDATE(Bonds!$H318,6*(29-1))))</f>
        <v>51455</v>
      </c>
      <c r="AH318" s="3">
        <f>IF(30&gt;$C318,"",IF($D318=1,EOMONTH(EDATE(Bonds!$H318,6*(30-1)),0),EDATE(Bonds!$H318,6*(30-1))))</f>
        <v>51636</v>
      </c>
      <c r="AI318" s="3">
        <f>IF(31&gt;$C318,"",IF($D318=1,EOMONTH(EDATE(Bonds!$H318,6*(31-1)),0),EDATE(Bonds!$H318,6*(31-1))))</f>
        <v>51820</v>
      </c>
      <c r="AJ318" s="3">
        <f>IF(32&gt;$C318,"",IF($D318=1,EOMONTH(EDATE(Bonds!$H318,6*(32-1)),0),EDATE(Bonds!$H318,6*(32-1))))</f>
        <v>52001</v>
      </c>
      <c r="AK318" s="3">
        <f>IF(33&gt;$C318,"",IF($D318=1,EOMONTH(EDATE(Bonds!$H318,6*(33-1)),0),EDATE(Bonds!$H318,6*(33-1))))</f>
        <v>52185</v>
      </c>
      <c r="AL318" s="3">
        <f>IF(34&gt;$C318,"",IF($D318=1,EOMONTH(EDATE(Bonds!$H318,6*(34-1)),0),EDATE(Bonds!$H318,6*(34-1))))</f>
        <v>52366</v>
      </c>
      <c r="AM318" s="3">
        <f>IF(35&gt;$C318,"",IF($D318=1,EOMONTH(EDATE(Bonds!$H318,6*(35-1)),0),EDATE(Bonds!$H318,6*(35-1))))</f>
        <v>52550</v>
      </c>
      <c r="AN318" s="3">
        <f>IF(36&gt;$C318,"",IF($D318=1,EOMONTH(EDATE(Bonds!$H318,6*(36-1)),0),EDATE(Bonds!$H318,6*(36-1))))</f>
        <v>52732</v>
      </c>
      <c r="AO318" s="3">
        <f>IF(37&gt;$C318,"",IF($D318=1,EOMONTH(EDATE(Bonds!$H318,6*(37-1)),0),EDATE(Bonds!$H318,6*(37-1))))</f>
        <v>52916</v>
      </c>
      <c r="AP318" s="3">
        <f>IF(38&gt;$C318,"",IF($D318=1,EOMONTH(EDATE(Bonds!$H318,6*(38-1)),0),EDATE(Bonds!$H318,6*(38-1))))</f>
        <v>53097</v>
      </c>
      <c r="AQ318" s="3">
        <f>IF(39&gt;$C318,"",IF($D318=1,EOMONTH(EDATE(Bonds!$H318,6*(39-1)),0),EDATE(Bonds!$H318,6*(39-1))))</f>
        <v>53281</v>
      </c>
      <c r="AR318" s="3">
        <f>IF(40&gt;$C318,"",IF($D318=1,EOMONTH(EDATE(Bonds!$H318,6*(40-1)),0),EDATE(Bonds!$H318,6*(40-1))))</f>
        <v>53462</v>
      </c>
      <c r="AS318" s="3" t="str">
        <f>IF(41&gt;$C318,"",IF($D318=1,EOMONTH(EDATE(Bonds!$H318,6*(41-1)),0),EDATE(Bonds!$H318,6*(41-1))))</f>
        <v/>
      </c>
      <c r="AT318" s="3" t="str">
        <f>IF(42&gt;$C318,"",IF($D318=1,EOMONTH(EDATE(Bonds!$H318,6*(42-1)),0),EDATE(Bonds!$H318,6*(42-1))))</f>
        <v/>
      </c>
      <c r="AU318" s="3" t="str">
        <f>IF(43&gt;$C318,"",IF($D318=1,EOMONTH(EDATE(Bonds!$H318,6*(43-1)),0),EDATE(Bonds!$H318,6*(43-1))))</f>
        <v/>
      </c>
      <c r="AV318" s="3" t="str">
        <f>IF(44&gt;$C318,"",IF($D318=1,EOMONTH(EDATE(Bonds!$H318,6*(44-1)),0),EDATE(Bonds!$H318,6*(44-1))))</f>
        <v/>
      </c>
      <c r="AW318" s="3" t="str">
        <f>IF(45&gt;$C318,"",IF($D318=1,EOMONTH(EDATE(Bonds!$H318,6*(45-1)),0),EDATE(Bonds!$H318,6*(45-1))))</f>
        <v/>
      </c>
      <c r="AX318" s="3" t="str">
        <f>IF(46&gt;$C318,"",IF($D318=1,EOMONTH(EDATE(Bonds!$H318,6*(46-1)),0),EDATE(Bonds!$H318,6*(46-1))))</f>
        <v/>
      </c>
      <c r="AY318" s="3" t="str">
        <f>IF(47&gt;$C318,"",IF($D318=1,EOMONTH(EDATE(Bonds!$H318,6*(47-1)),0),EDATE(Bonds!$H318,6*(47-1))))</f>
        <v/>
      </c>
      <c r="AZ318" s="3" t="str">
        <f>IF(48&gt;$C318,"",IF($D318=1,EOMONTH(EDATE(Bonds!$H318,6*(48-1)),0),EDATE(Bonds!$H318,6*(48-1))))</f>
        <v/>
      </c>
      <c r="BA318" s="3" t="str">
        <f>IF(49&gt;$C318,"",IF($D318=1,EOMONTH(EDATE(Bonds!$H318,6*(49-1)),0),EDATE(Bonds!$H318,6*(49-1))))</f>
        <v/>
      </c>
      <c r="BB318" s="3" t="str">
        <f>IF(50&gt;$C318,"",IF($D318=1,EOMONTH(EDATE(Bonds!$H318,6*(50-1)),0),EDATE(Bonds!$H318,6*(50-1))))</f>
        <v/>
      </c>
      <c r="BC318" s="3" t="str">
        <f>IF(51&gt;$C318,"",IF($D318=1,EOMONTH(EDATE(Bonds!$H318,6*(51-1)),0),EDATE(Bonds!$H318,6*(51-1))))</f>
        <v/>
      </c>
      <c r="BD318" s="3" t="str">
        <f>IF(52&gt;$C318,"",IF($D318=1,EOMONTH(EDATE(Bonds!$H318,6*(52-1)),0),EDATE(Bonds!$H318,6*(52-1))))</f>
        <v/>
      </c>
      <c r="BE318" s="3" t="str">
        <f>IF(53&gt;$C318,"",IF($D318=1,EOMONTH(EDATE(Bonds!$H318,6*(53-1)),0),EDATE(Bonds!$H318,6*(53-1))))</f>
        <v/>
      </c>
      <c r="BF318" s="3" t="str">
        <f>IF(54&gt;$C318,"",IF($D318=1,EOMONTH(EDATE(Bonds!$H318,6*(54-1)),0),EDATE(Bonds!$H318,6*(54-1))))</f>
        <v/>
      </c>
      <c r="BG318" s="3" t="str">
        <f>IF(55&gt;$C318,"",IF($D318=1,EOMONTH(EDATE(Bonds!$H318,6*(55-1)),0),EDATE(Bonds!$H318,6*(55-1))))</f>
        <v/>
      </c>
      <c r="BH318" s="3" t="str">
        <f>IF(56&gt;$C318,"",IF($D318=1,EOMONTH(EDATE(Bonds!$H318,6*(56-1)),0),EDATE(Bonds!$H318,6*(56-1))))</f>
        <v/>
      </c>
      <c r="BI318" s="3" t="str">
        <f>IF(57&gt;$C318,"",IF($D318=1,EOMONTH(EDATE(Bonds!$H318,6*(57-1)),0),EDATE(Bonds!$H318,6*(57-1))))</f>
        <v/>
      </c>
      <c r="BJ318" s="3" t="str">
        <f>IF(58&gt;$C318,"",IF($D318=1,EOMONTH(EDATE(Bonds!$H318,6*(58-1)),0),EDATE(Bonds!$H318,6*(58-1))))</f>
        <v/>
      </c>
      <c r="BK318" s="3" t="str">
        <f>IF(59&gt;$C318,"",IF($D318=1,EOMONTH(EDATE(Bonds!$H318,6*(59-1)),0),EDATE(Bonds!$H318,6*(59-1))))</f>
        <v/>
      </c>
      <c r="BL318" s="3" t="str">
        <f>IF(60&gt;$C318,"",IF($D318=1,EOMONTH(EDATE(Bonds!$H318,6*(60-1)),0),EDATE(Bonds!$H318,6*(60-1))))</f>
        <v/>
      </c>
      <c r="BN318" s="7">
        <f t="shared" si="245"/>
        <v>2.4825639565000466</v>
      </c>
      <c r="BO318" s="7">
        <f t="shared" si="246"/>
        <v>2.432432463230116</v>
      </c>
      <c r="BP318" s="7">
        <f t="shared" si="247"/>
        <v>2.378852071374042</v>
      </c>
      <c r="BQ318" s="7">
        <f t="shared" si="248"/>
        <v>2.3254953536174727</v>
      </c>
      <c r="BR318" s="7">
        <f t="shared" si="249"/>
        <v>2.2723198403511642</v>
      </c>
      <c r="BS318" s="7">
        <f t="shared" si="250"/>
        <v>2.2212050051716998</v>
      </c>
      <c r="BT318" s="7">
        <f t="shared" si="251"/>
        <v>2.1705311236424021</v>
      </c>
      <c r="BU318" s="7">
        <f t="shared" si="252"/>
        <v>2.1218396143911562</v>
      </c>
      <c r="BV318" s="7">
        <f t="shared" si="253"/>
        <v>2.0733269987389362</v>
      </c>
      <c r="BW318" s="7">
        <f t="shared" si="254"/>
        <v>2.0263782858139625</v>
      </c>
      <c r="BX318" s="7">
        <f t="shared" si="255"/>
        <v>1.9792580880476836</v>
      </c>
      <c r="BY318" s="7">
        <f t="shared" si="256"/>
        <v>1.9331121455492402</v>
      </c>
      <c r="BZ318" s="7">
        <f t="shared" si="257"/>
        <v>1.8868267965109173</v>
      </c>
      <c r="CA318" s="7">
        <f t="shared" si="258"/>
        <v>1.8415995158644112</v>
      </c>
      <c r="CB318" s="7">
        <f t="shared" si="259"/>
        <v>1.7959081910460335</v>
      </c>
      <c r="CC318" s="7">
        <f t="shared" si="260"/>
        <v>1.7512489894087055</v>
      </c>
      <c r="CD318" s="7">
        <f t="shared" si="261"/>
        <v>1.7061705383067796</v>
      </c>
      <c r="CE318" s="7">
        <f t="shared" si="262"/>
        <v>1.6621873529855422</v>
      </c>
      <c r="CF318" s="7">
        <f t="shared" si="263"/>
        <v>1.6178980160714613</v>
      </c>
      <c r="CG318" s="7">
        <f t="shared" si="264"/>
        <v>1.5745717515917015</v>
      </c>
      <c r="CH318" s="7">
        <f t="shared" si="265"/>
        <v>1.5313222688760635</v>
      </c>
      <c r="CI318" s="7">
        <f t="shared" si="266"/>
        <v>1.489384324803547</v>
      </c>
      <c r="CJ318" s="7">
        <f t="shared" si="267"/>
        <v>1.4474303887505189</v>
      </c>
      <c r="CK318" s="7">
        <f t="shared" si="268"/>
        <v>1.4068856906536653</v>
      </c>
      <c r="CL318" s="7">
        <f t="shared" si="269"/>
        <v>1.3664592747030784</v>
      </c>
      <c r="CM318" s="7">
        <f t="shared" si="270"/>
        <v>1.3275153770759225</v>
      </c>
      <c r="CN318" s="7">
        <f t="shared" si="271"/>
        <v>1.2888036121922777</v>
      </c>
      <c r="CO318" s="7">
        <f t="shared" si="272"/>
        <v>1.2514167066676274</v>
      </c>
      <c r="CP318" s="7">
        <f t="shared" si="273"/>
        <v>1.2145606754562681</v>
      </c>
      <c r="CQ318" s="7">
        <f t="shared" si="274"/>
        <v>1.179250333734285</v>
      </c>
      <c r="CR318" s="7">
        <f t="shared" si="275"/>
        <v>1.1443306666718847</v>
      </c>
      <c r="CS318" s="7">
        <f t="shared" si="276"/>
        <v>1.1109501754126034</v>
      </c>
      <c r="CT318" s="7">
        <f t="shared" si="277"/>
        <v>1.0780073440430082</v>
      </c>
      <c r="CU318" s="7">
        <f t="shared" si="278"/>
        <v>1.0465768537015072</v>
      </c>
      <c r="CV318" s="7">
        <f t="shared" si="279"/>
        <v>1.0156131945261737</v>
      </c>
      <c r="CW318" s="7">
        <f t="shared" si="280"/>
        <v>0.9859586547078123</v>
      </c>
      <c r="CX318" s="7">
        <f t="shared" si="281"/>
        <v>0.95695100408725253</v>
      </c>
      <c r="CY318" s="7">
        <f t="shared" si="282"/>
        <v>0.92935765096800693</v>
      </c>
      <c r="CZ318" s="7">
        <f t="shared" si="283"/>
        <v>0.90224831696787533</v>
      </c>
      <c r="DA318" s="7">
        <f t="shared" si="284"/>
        <v>35.936081405059539</v>
      </c>
      <c r="DB318" s="7">
        <f t="shared" si="285"/>
        <v>0</v>
      </c>
      <c r="DC318" s="7">
        <f t="shared" si="286"/>
        <v>0</v>
      </c>
      <c r="DD318" s="7">
        <f t="shared" si="287"/>
        <v>0</v>
      </c>
      <c r="DE318" s="7">
        <f t="shared" si="288"/>
        <v>0</v>
      </c>
      <c r="DF318" s="7">
        <f t="shared" si="289"/>
        <v>0</v>
      </c>
      <c r="DG318" s="7">
        <f t="shared" si="290"/>
        <v>0</v>
      </c>
      <c r="DH318" s="7">
        <f t="shared" si="291"/>
        <v>0</v>
      </c>
      <c r="DI318" s="7">
        <f t="shared" si="292"/>
        <v>0</v>
      </c>
      <c r="DJ318" s="7">
        <f t="shared" si="293"/>
        <v>0</v>
      </c>
      <c r="DK318" s="7">
        <f t="shared" si="294"/>
        <v>0</v>
      </c>
      <c r="DL318" s="7">
        <f t="shared" si="295"/>
        <v>0</v>
      </c>
      <c r="DM318" s="7">
        <f t="shared" si="296"/>
        <v>0</v>
      </c>
      <c r="DN318" s="7">
        <f t="shared" si="297"/>
        <v>0</v>
      </c>
      <c r="DO318" s="7">
        <f t="shared" si="298"/>
        <v>0</v>
      </c>
      <c r="DP318" s="7">
        <f t="shared" si="299"/>
        <v>0</v>
      </c>
      <c r="DQ318" s="7">
        <f t="shared" si="300"/>
        <v>0</v>
      </c>
      <c r="DR318" s="7">
        <f t="shared" si="301"/>
        <v>0</v>
      </c>
      <c r="DS318" s="7">
        <f t="shared" si="302"/>
        <v>0</v>
      </c>
      <c r="DT318" s="7">
        <f t="shared" si="303"/>
        <v>0</v>
      </c>
      <c r="DU318" s="7">
        <f t="shared" si="304"/>
        <v>0</v>
      </c>
    </row>
    <row r="319" spans="1:125" x14ac:dyDescent="0.2">
      <c r="A319" s="3">
        <f>Bonds!A319</f>
        <v>53554</v>
      </c>
      <c r="B319" s="4">
        <f>Bonds!B319</f>
        <v>2.25</v>
      </c>
      <c r="C319">
        <f>Bonds!P319</f>
        <v>40</v>
      </c>
      <c r="D319">
        <f t="shared" si="244"/>
        <v>0</v>
      </c>
      <c r="E319" s="3">
        <f>IF(1&gt;$C319,"",IF($D319=1,EOMONTH(EDATE(Bonds!$H319,6*(1-1)),0),EDATE(Bonds!$H319,6*(1-1))))</f>
        <v>46433</v>
      </c>
      <c r="F319" s="3">
        <f>IF(2&gt;$C319,"",IF($D319=1,EOMONTH(EDATE(Bonds!$H319,6*(2-1)),0),EDATE(Bonds!$H319,6*(2-1))))</f>
        <v>46614</v>
      </c>
      <c r="G319" s="3">
        <f>IF(3&gt;$C319,"",IF($D319=1,EOMONTH(EDATE(Bonds!$H319,6*(3-1)),0),EDATE(Bonds!$H319,6*(3-1))))</f>
        <v>46798</v>
      </c>
      <c r="H319" s="3">
        <f>IF(4&gt;$C319,"",IF($D319=1,EOMONTH(EDATE(Bonds!$H319,6*(4-1)),0),EDATE(Bonds!$H319,6*(4-1))))</f>
        <v>46980</v>
      </c>
      <c r="I319" s="3">
        <f>IF(5&gt;$C319,"",IF($D319=1,EOMONTH(EDATE(Bonds!$H319,6*(5-1)),0),EDATE(Bonds!$H319,6*(5-1))))</f>
        <v>47164</v>
      </c>
      <c r="J319" s="3">
        <f>IF(6&gt;$C319,"",IF($D319=1,EOMONTH(EDATE(Bonds!$H319,6*(6-1)),0),EDATE(Bonds!$H319,6*(6-1))))</f>
        <v>47345</v>
      </c>
      <c r="K319" s="3">
        <f>IF(7&gt;$C319,"",IF($D319=1,EOMONTH(EDATE(Bonds!$H319,6*(7-1)),0),EDATE(Bonds!$H319,6*(7-1))))</f>
        <v>47529</v>
      </c>
      <c r="L319" s="3">
        <f>IF(8&gt;$C319,"",IF($D319=1,EOMONTH(EDATE(Bonds!$H319,6*(8-1)),0),EDATE(Bonds!$H319,6*(8-1))))</f>
        <v>47710</v>
      </c>
      <c r="M319" s="3">
        <f>IF(9&gt;$C319,"",IF($D319=1,EOMONTH(EDATE(Bonds!$H319,6*(9-1)),0),EDATE(Bonds!$H319,6*(9-1))))</f>
        <v>47894</v>
      </c>
      <c r="N319" s="3">
        <f>IF(10&gt;$C319,"",IF($D319=1,EOMONTH(EDATE(Bonds!$H319,6*(10-1)),0),EDATE(Bonds!$H319,6*(10-1))))</f>
        <v>48075</v>
      </c>
      <c r="O319" s="3">
        <f>IF(11&gt;$C319,"",IF($D319=1,EOMONTH(EDATE(Bonds!$H319,6*(11-1)),0),EDATE(Bonds!$H319,6*(11-1))))</f>
        <v>48259</v>
      </c>
      <c r="P319" s="3">
        <f>IF(12&gt;$C319,"",IF($D319=1,EOMONTH(EDATE(Bonds!$H319,6*(12-1)),0),EDATE(Bonds!$H319,6*(12-1))))</f>
        <v>48441</v>
      </c>
      <c r="Q319" s="3">
        <f>IF(13&gt;$C319,"",IF($D319=1,EOMONTH(EDATE(Bonds!$H319,6*(13-1)),0),EDATE(Bonds!$H319,6*(13-1))))</f>
        <v>48625</v>
      </c>
      <c r="R319" s="3">
        <f>IF(14&gt;$C319,"",IF($D319=1,EOMONTH(EDATE(Bonds!$H319,6*(14-1)),0),EDATE(Bonds!$H319,6*(14-1))))</f>
        <v>48806</v>
      </c>
      <c r="S319" s="3">
        <f>IF(15&gt;$C319,"",IF($D319=1,EOMONTH(EDATE(Bonds!$H319,6*(15-1)),0),EDATE(Bonds!$H319,6*(15-1))))</f>
        <v>48990</v>
      </c>
      <c r="T319" s="3">
        <f>IF(16&gt;$C319,"",IF($D319=1,EOMONTH(EDATE(Bonds!$H319,6*(16-1)),0),EDATE(Bonds!$H319,6*(16-1))))</f>
        <v>49171</v>
      </c>
      <c r="U319" s="3">
        <f>IF(17&gt;$C319,"",IF($D319=1,EOMONTH(EDATE(Bonds!$H319,6*(17-1)),0),EDATE(Bonds!$H319,6*(17-1))))</f>
        <v>49355</v>
      </c>
      <c r="V319" s="3">
        <f>IF(18&gt;$C319,"",IF($D319=1,EOMONTH(EDATE(Bonds!$H319,6*(18-1)),0),EDATE(Bonds!$H319,6*(18-1))))</f>
        <v>49536</v>
      </c>
      <c r="W319" s="3">
        <f>IF(19&gt;$C319,"",IF($D319=1,EOMONTH(EDATE(Bonds!$H319,6*(19-1)),0),EDATE(Bonds!$H319,6*(19-1))))</f>
        <v>49720</v>
      </c>
      <c r="X319" s="3">
        <f>IF(20&gt;$C319,"",IF($D319=1,EOMONTH(EDATE(Bonds!$H319,6*(20-1)),0),EDATE(Bonds!$H319,6*(20-1))))</f>
        <v>49902</v>
      </c>
      <c r="Y319" s="3">
        <f>IF(21&gt;$C319,"",IF($D319=1,EOMONTH(EDATE(Bonds!$H319,6*(21-1)),0),EDATE(Bonds!$H319,6*(21-1))))</f>
        <v>50086</v>
      </c>
      <c r="Z319" s="3">
        <f>IF(22&gt;$C319,"",IF($D319=1,EOMONTH(EDATE(Bonds!$H319,6*(22-1)),0),EDATE(Bonds!$H319,6*(22-1))))</f>
        <v>50267</v>
      </c>
      <c r="AA319" s="3">
        <f>IF(23&gt;$C319,"",IF($D319=1,EOMONTH(EDATE(Bonds!$H319,6*(23-1)),0),EDATE(Bonds!$H319,6*(23-1))))</f>
        <v>50451</v>
      </c>
      <c r="AB319" s="3">
        <f>IF(24&gt;$C319,"",IF($D319=1,EOMONTH(EDATE(Bonds!$H319,6*(24-1)),0),EDATE(Bonds!$H319,6*(24-1))))</f>
        <v>50632</v>
      </c>
      <c r="AC319" s="3">
        <f>IF(25&gt;$C319,"",IF($D319=1,EOMONTH(EDATE(Bonds!$H319,6*(25-1)),0),EDATE(Bonds!$H319,6*(25-1))))</f>
        <v>50816</v>
      </c>
      <c r="AD319" s="3">
        <f>IF(26&gt;$C319,"",IF($D319=1,EOMONTH(EDATE(Bonds!$H319,6*(26-1)),0),EDATE(Bonds!$H319,6*(26-1))))</f>
        <v>50997</v>
      </c>
      <c r="AE319" s="3">
        <f>IF(27&gt;$C319,"",IF($D319=1,EOMONTH(EDATE(Bonds!$H319,6*(27-1)),0),EDATE(Bonds!$H319,6*(27-1))))</f>
        <v>51181</v>
      </c>
      <c r="AF319" s="3">
        <f>IF(28&gt;$C319,"",IF($D319=1,EOMONTH(EDATE(Bonds!$H319,6*(28-1)),0),EDATE(Bonds!$H319,6*(28-1))))</f>
        <v>51363</v>
      </c>
      <c r="AG319" s="3">
        <f>IF(29&gt;$C319,"",IF($D319=1,EOMONTH(EDATE(Bonds!$H319,6*(29-1)),0),EDATE(Bonds!$H319,6*(29-1))))</f>
        <v>51547</v>
      </c>
      <c r="AH319" s="3">
        <f>IF(30&gt;$C319,"",IF($D319=1,EOMONTH(EDATE(Bonds!$H319,6*(30-1)),0),EDATE(Bonds!$H319,6*(30-1))))</f>
        <v>51728</v>
      </c>
      <c r="AI319" s="3">
        <f>IF(31&gt;$C319,"",IF($D319=1,EOMONTH(EDATE(Bonds!$H319,6*(31-1)),0),EDATE(Bonds!$H319,6*(31-1))))</f>
        <v>51912</v>
      </c>
      <c r="AJ319" s="3">
        <f>IF(32&gt;$C319,"",IF($D319=1,EOMONTH(EDATE(Bonds!$H319,6*(32-1)),0),EDATE(Bonds!$H319,6*(32-1))))</f>
        <v>52093</v>
      </c>
      <c r="AK319" s="3">
        <f>IF(33&gt;$C319,"",IF($D319=1,EOMONTH(EDATE(Bonds!$H319,6*(33-1)),0),EDATE(Bonds!$H319,6*(33-1))))</f>
        <v>52277</v>
      </c>
      <c r="AL319" s="3">
        <f>IF(34&gt;$C319,"",IF($D319=1,EOMONTH(EDATE(Bonds!$H319,6*(34-1)),0),EDATE(Bonds!$H319,6*(34-1))))</f>
        <v>52458</v>
      </c>
      <c r="AM319" s="3">
        <f>IF(35&gt;$C319,"",IF($D319=1,EOMONTH(EDATE(Bonds!$H319,6*(35-1)),0),EDATE(Bonds!$H319,6*(35-1))))</f>
        <v>52642</v>
      </c>
      <c r="AN319" s="3">
        <f>IF(36&gt;$C319,"",IF($D319=1,EOMONTH(EDATE(Bonds!$H319,6*(36-1)),0),EDATE(Bonds!$H319,6*(36-1))))</f>
        <v>52824</v>
      </c>
      <c r="AO319" s="3">
        <f>IF(37&gt;$C319,"",IF($D319=1,EOMONTH(EDATE(Bonds!$H319,6*(37-1)),0),EDATE(Bonds!$H319,6*(37-1))))</f>
        <v>53008</v>
      </c>
      <c r="AP319" s="3">
        <f>IF(38&gt;$C319,"",IF($D319=1,EOMONTH(EDATE(Bonds!$H319,6*(38-1)),0),EDATE(Bonds!$H319,6*(38-1))))</f>
        <v>53189</v>
      </c>
      <c r="AQ319" s="3">
        <f>IF(39&gt;$C319,"",IF($D319=1,EOMONTH(EDATE(Bonds!$H319,6*(39-1)),0),EDATE(Bonds!$H319,6*(39-1))))</f>
        <v>53373</v>
      </c>
      <c r="AR319" s="3">
        <f>IF(40&gt;$C319,"",IF($D319=1,EOMONTH(EDATE(Bonds!$H319,6*(40-1)),0),EDATE(Bonds!$H319,6*(40-1))))</f>
        <v>53554</v>
      </c>
      <c r="AS319" s="3" t="str">
        <f>IF(41&gt;$C319,"",IF($D319=1,EOMONTH(EDATE(Bonds!$H319,6*(41-1)),0),EDATE(Bonds!$H319,6*(41-1))))</f>
        <v/>
      </c>
      <c r="AT319" s="3" t="str">
        <f>IF(42&gt;$C319,"",IF($D319=1,EOMONTH(EDATE(Bonds!$H319,6*(42-1)),0),EDATE(Bonds!$H319,6*(42-1))))</f>
        <v/>
      </c>
      <c r="AU319" s="3" t="str">
        <f>IF(43&gt;$C319,"",IF($D319=1,EOMONTH(EDATE(Bonds!$H319,6*(43-1)),0),EDATE(Bonds!$H319,6*(43-1))))</f>
        <v/>
      </c>
      <c r="AV319" s="3" t="str">
        <f>IF(44&gt;$C319,"",IF($D319=1,EOMONTH(EDATE(Bonds!$H319,6*(44-1)),0),EDATE(Bonds!$H319,6*(44-1))))</f>
        <v/>
      </c>
      <c r="AW319" s="3" t="str">
        <f>IF(45&gt;$C319,"",IF($D319=1,EOMONTH(EDATE(Bonds!$H319,6*(45-1)),0),EDATE(Bonds!$H319,6*(45-1))))</f>
        <v/>
      </c>
      <c r="AX319" s="3" t="str">
        <f>IF(46&gt;$C319,"",IF($D319=1,EOMONTH(EDATE(Bonds!$H319,6*(46-1)),0),EDATE(Bonds!$H319,6*(46-1))))</f>
        <v/>
      </c>
      <c r="AY319" s="3" t="str">
        <f>IF(47&gt;$C319,"",IF($D319=1,EOMONTH(EDATE(Bonds!$H319,6*(47-1)),0),EDATE(Bonds!$H319,6*(47-1))))</f>
        <v/>
      </c>
      <c r="AZ319" s="3" t="str">
        <f>IF(48&gt;$C319,"",IF($D319=1,EOMONTH(EDATE(Bonds!$H319,6*(48-1)),0),EDATE(Bonds!$H319,6*(48-1))))</f>
        <v/>
      </c>
      <c r="BA319" s="3" t="str">
        <f>IF(49&gt;$C319,"",IF($D319=1,EOMONTH(EDATE(Bonds!$H319,6*(49-1)),0),EDATE(Bonds!$H319,6*(49-1))))</f>
        <v/>
      </c>
      <c r="BB319" s="3" t="str">
        <f>IF(50&gt;$C319,"",IF($D319=1,EOMONTH(EDATE(Bonds!$H319,6*(50-1)),0),EDATE(Bonds!$H319,6*(50-1))))</f>
        <v/>
      </c>
      <c r="BC319" s="3" t="str">
        <f>IF(51&gt;$C319,"",IF($D319=1,EOMONTH(EDATE(Bonds!$H319,6*(51-1)),0),EDATE(Bonds!$H319,6*(51-1))))</f>
        <v/>
      </c>
      <c r="BD319" s="3" t="str">
        <f>IF(52&gt;$C319,"",IF($D319=1,EOMONTH(EDATE(Bonds!$H319,6*(52-1)),0),EDATE(Bonds!$H319,6*(52-1))))</f>
        <v/>
      </c>
      <c r="BE319" s="3" t="str">
        <f>IF(53&gt;$C319,"",IF($D319=1,EOMONTH(EDATE(Bonds!$H319,6*(53-1)),0),EDATE(Bonds!$H319,6*(53-1))))</f>
        <v/>
      </c>
      <c r="BF319" s="3" t="str">
        <f>IF(54&gt;$C319,"",IF($D319=1,EOMONTH(EDATE(Bonds!$H319,6*(54-1)),0),EDATE(Bonds!$H319,6*(54-1))))</f>
        <v/>
      </c>
      <c r="BG319" s="3" t="str">
        <f>IF(55&gt;$C319,"",IF($D319=1,EOMONTH(EDATE(Bonds!$H319,6*(55-1)),0),EDATE(Bonds!$H319,6*(55-1))))</f>
        <v/>
      </c>
      <c r="BH319" s="3" t="str">
        <f>IF(56&gt;$C319,"",IF($D319=1,EOMONTH(EDATE(Bonds!$H319,6*(56-1)),0),EDATE(Bonds!$H319,6*(56-1))))</f>
        <v/>
      </c>
      <c r="BI319" s="3" t="str">
        <f>IF(57&gt;$C319,"",IF($D319=1,EOMONTH(EDATE(Bonds!$H319,6*(57-1)),0),EDATE(Bonds!$H319,6*(57-1))))</f>
        <v/>
      </c>
      <c r="BJ319" s="3" t="str">
        <f>IF(58&gt;$C319,"",IF($D319=1,EOMONTH(EDATE(Bonds!$H319,6*(58-1)),0),EDATE(Bonds!$H319,6*(58-1))))</f>
        <v/>
      </c>
      <c r="BK319" s="3" t="str">
        <f>IF(59&gt;$C319,"",IF($D319=1,EOMONTH(EDATE(Bonds!$H319,6*(59-1)),0),EDATE(Bonds!$H319,6*(59-1))))</f>
        <v/>
      </c>
      <c r="BL319" s="3" t="str">
        <f>IF(60&gt;$C319,"",IF($D319=1,EOMONTH(EDATE(Bonds!$H319,6*(60-1)),0),EDATE(Bonds!$H319,6*(60-1))))</f>
        <v/>
      </c>
      <c r="BN319" s="7">
        <f t="shared" si="245"/>
        <v>1.1059194175661451</v>
      </c>
      <c r="BO319" s="7">
        <f t="shared" si="246"/>
        <v>1.0826084900783119</v>
      </c>
      <c r="BP319" s="7">
        <f t="shared" si="247"/>
        <v>1.0583258713170312</v>
      </c>
      <c r="BQ319" s="7">
        <f t="shared" si="248"/>
        <v>1.0344470316670513</v>
      </c>
      <c r="BR319" s="7">
        <f t="shared" si="249"/>
        <v>1.0107811309632766</v>
      </c>
      <c r="BS319" s="7">
        <f t="shared" si="250"/>
        <v>0.9880695109382045</v>
      </c>
      <c r="BT319" s="7">
        <f t="shared" si="251"/>
        <v>0.96554220140610003</v>
      </c>
      <c r="BU319" s="7">
        <f t="shared" si="252"/>
        <v>0.94386235546352459</v>
      </c>
      <c r="BV319" s="7">
        <f t="shared" si="253"/>
        <v>0.92222077415025117</v>
      </c>
      <c r="BW319" s="7">
        <f t="shared" si="254"/>
        <v>0.90123820458261339</v>
      </c>
      <c r="BX319" s="7">
        <f t="shared" si="255"/>
        <v>0.8801465629167029</v>
      </c>
      <c r="BY319" s="7">
        <f t="shared" si="256"/>
        <v>0.85946752788681691</v>
      </c>
      <c r="BZ319" s="7">
        <f t="shared" si="257"/>
        <v>0.83871129883702167</v>
      </c>
      <c r="CA319" s="7">
        <f t="shared" si="258"/>
        <v>0.81842313191489735</v>
      </c>
      <c r="CB319" s="7">
        <f t="shared" si="259"/>
        <v>0.79792720314763321</v>
      </c>
      <c r="CC319" s="7">
        <f t="shared" si="260"/>
        <v>0.77790005026966147</v>
      </c>
      <c r="CD319" s="7">
        <f t="shared" si="261"/>
        <v>0.75769493283969891</v>
      </c>
      <c r="CE319" s="7">
        <f t="shared" si="262"/>
        <v>0.73799349624419341</v>
      </c>
      <c r="CF319" s="7">
        <f t="shared" si="263"/>
        <v>0.7181698094802994</v>
      </c>
      <c r="CG319" s="7">
        <f t="shared" si="264"/>
        <v>0.69879301925170378</v>
      </c>
      <c r="CH319" s="7">
        <f t="shared" si="265"/>
        <v>0.6794670003888994</v>
      </c>
      <c r="CI319" s="7">
        <f t="shared" si="266"/>
        <v>0.66074309691834487</v>
      </c>
      <c r="CJ319" s="7">
        <f t="shared" si="267"/>
        <v>0.6420279453591119</v>
      </c>
      <c r="CK319" s="7">
        <f t="shared" si="268"/>
        <v>0.62395640574134714</v>
      </c>
      <c r="CL319" s="7">
        <f t="shared" si="269"/>
        <v>0.60595195499067156</v>
      </c>
      <c r="CM319" s="7">
        <f t="shared" si="270"/>
        <v>0.58862097247076084</v>
      </c>
      <c r="CN319" s="7">
        <f t="shared" si="271"/>
        <v>0.57140572546050683</v>
      </c>
      <c r="CO319" s="7">
        <f t="shared" si="272"/>
        <v>0.55479098096912161</v>
      </c>
      <c r="CP319" s="7">
        <f t="shared" si="273"/>
        <v>0.53842261663805724</v>
      </c>
      <c r="CQ319" s="7">
        <f t="shared" si="274"/>
        <v>0.52275003962693634</v>
      </c>
      <c r="CR319" s="7">
        <f t="shared" si="275"/>
        <v>0.5072594265322049</v>
      </c>
      <c r="CS319" s="7">
        <f t="shared" si="276"/>
        <v>0.49245918532116983</v>
      </c>
      <c r="CT319" s="7">
        <f t="shared" si="277"/>
        <v>0.47785990047723592</v>
      </c>
      <c r="CU319" s="7">
        <f t="shared" si="278"/>
        <v>0.46393690998064324</v>
      </c>
      <c r="CV319" s="7">
        <f t="shared" si="279"/>
        <v>0.45022620348919967</v>
      </c>
      <c r="CW319" s="7">
        <f t="shared" si="280"/>
        <v>0.43710000289507295</v>
      </c>
      <c r="CX319" s="7">
        <f t="shared" si="281"/>
        <v>0.42426445010293379</v>
      </c>
      <c r="CY319" s="7">
        <f t="shared" si="282"/>
        <v>0.41205843239909373</v>
      </c>
      <c r="CZ319" s="7">
        <f t="shared" si="283"/>
        <v>0.4000698428764442</v>
      </c>
      <c r="DA319" s="7">
        <f t="shared" si="284"/>
        <v>34.93814623754313</v>
      </c>
      <c r="DB319" s="7">
        <f t="shared" si="285"/>
        <v>0</v>
      </c>
      <c r="DC319" s="7">
        <f t="shared" si="286"/>
        <v>0</v>
      </c>
      <c r="DD319" s="7">
        <f t="shared" si="287"/>
        <v>0</v>
      </c>
      <c r="DE319" s="7">
        <f t="shared" si="288"/>
        <v>0</v>
      </c>
      <c r="DF319" s="7">
        <f t="shared" si="289"/>
        <v>0</v>
      </c>
      <c r="DG319" s="7">
        <f t="shared" si="290"/>
        <v>0</v>
      </c>
      <c r="DH319" s="7">
        <f t="shared" si="291"/>
        <v>0</v>
      </c>
      <c r="DI319" s="7">
        <f t="shared" si="292"/>
        <v>0</v>
      </c>
      <c r="DJ319" s="7">
        <f t="shared" si="293"/>
        <v>0</v>
      </c>
      <c r="DK319" s="7">
        <f t="shared" si="294"/>
        <v>0</v>
      </c>
      <c r="DL319" s="7">
        <f t="shared" si="295"/>
        <v>0</v>
      </c>
      <c r="DM319" s="7">
        <f t="shared" si="296"/>
        <v>0</v>
      </c>
      <c r="DN319" s="7">
        <f t="shared" si="297"/>
        <v>0</v>
      </c>
      <c r="DO319" s="7">
        <f t="shared" si="298"/>
        <v>0</v>
      </c>
      <c r="DP319" s="7">
        <f t="shared" si="299"/>
        <v>0</v>
      </c>
      <c r="DQ319" s="7">
        <f t="shared" si="300"/>
        <v>0</v>
      </c>
      <c r="DR319" s="7">
        <f t="shared" si="301"/>
        <v>0</v>
      </c>
      <c r="DS319" s="7">
        <f t="shared" si="302"/>
        <v>0</v>
      </c>
      <c r="DT319" s="7">
        <f t="shared" si="303"/>
        <v>0</v>
      </c>
      <c r="DU319" s="7">
        <f t="shared" si="304"/>
        <v>0</v>
      </c>
    </row>
    <row r="320" spans="1:125" x14ac:dyDescent="0.2">
      <c r="A320" s="3">
        <f>Bonds!A320</f>
        <v>53554</v>
      </c>
      <c r="B320" s="4">
        <f>Bonds!B320</f>
        <v>5.125</v>
      </c>
      <c r="C320">
        <f>Bonds!P320</f>
        <v>40</v>
      </c>
      <c r="D320">
        <f t="shared" si="244"/>
        <v>0</v>
      </c>
      <c r="E320" s="3">
        <f>IF(1&gt;$C320,"",IF($D320=1,EOMONTH(EDATE(Bonds!$H320,6*(1-1)),0),EDATE(Bonds!$H320,6*(1-1))))</f>
        <v>46433</v>
      </c>
      <c r="F320" s="3">
        <f>IF(2&gt;$C320,"",IF($D320=1,EOMONTH(EDATE(Bonds!$H320,6*(2-1)),0),EDATE(Bonds!$H320,6*(2-1))))</f>
        <v>46614</v>
      </c>
      <c r="G320" s="3">
        <f>IF(3&gt;$C320,"",IF($D320=1,EOMONTH(EDATE(Bonds!$H320,6*(3-1)),0),EDATE(Bonds!$H320,6*(3-1))))</f>
        <v>46798</v>
      </c>
      <c r="H320" s="3">
        <f>IF(4&gt;$C320,"",IF($D320=1,EOMONTH(EDATE(Bonds!$H320,6*(4-1)),0),EDATE(Bonds!$H320,6*(4-1))))</f>
        <v>46980</v>
      </c>
      <c r="I320" s="3">
        <f>IF(5&gt;$C320,"",IF($D320=1,EOMONTH(EDATE(Bonds!$H320,6*(5-1)),0),EDATE(Bonds!$H320,6*(5-1))))</f>
        <v>47164</v>
      </c>
      <c r="J320" s="3">
        <f>IF(6&gt;$C320,"",IF($D320=1,EOMONTH(EDATE(Bonds!$H320,6*(6-1)),0),EDATE(Bonds!$H320,6*(6-1))))</f>
        <v>47345</v>
      </c>
      <c r="K320" s="3">
        <f>IF(7&gt;$C320,"",IF($D320=1,EOMONTH(EDATE(Bonds!$H320,6*(7-1)),0),EDATE(Bonds!$H320,6*(7-1))))</f>
        <v>47529</v>
      </c>
      <c r="L320" s="3">
        <f>IF(8&gt;$C320,"",IF($D320=1,EOMONTH(EDATE(Bonds!$H320,6*(8-1)),0),EDATE(Bonds!$H320,6*(8-1))))</f>
        <v>47710</v>
      </c>
      <c r="M320" s="3">
        <f>IF(9&gt;$C320,"",IF($D320=1,EOMONTH(EDATE(Bonds!$H320,6*(9-1)),0),EDATE(Bonds!$H320,6*(9-1))))</f>
        <v>47894</v>
      </c>
      <c r="N320" s="3">
        <f>IF(10&gt;$C320,"",IF($D320=1,EOMONTH(EDATE(Bonds!$H320,6*(10-1)),0),EDATE(Bonds!$H320,6*(10-1))))</f>
        <v>48075</v>
      </c>
      <c r="O320" s="3">
        <f>IF(11&gt;$C320,"",IF($D320=1,EOMONTH(EDATE(Bonds!$H320,6*(11-1)),0),EDATE(Bonds!$H320,6*(11-1))))</f>
        <v>48259</v>
      </c>
      <c r="P320" s="3">
        <f>IF(12&gt;$C320,"",IF($D320=1,EOMONTH(EDATE(Bonds!$H320,6*(12-1)),0),EDATE(Bonds!$H320,6*(12-1))))</f>
        <v>48441</v>
      </c>
      <c r="Q320" s="3">
        <f>IF(13&gt;$C320,"",IF($D320=1,EOMONTH(EDATE(Bonds!$H320,6*(13-1)),0),EDATE(Bonds!$H320,6*(13-1))))</f>
        <v>48625</v>
      </c>
      <c r="R320" s="3">
        <f>IF(14&gt;$C320,"",IF($D320=1,EOMONTH(EDATE(Bonds!$H320,6*(14-1)),0),EDATE(Bonds!$H320,6*(14-1))))</f>
        <v>48806</v>
      </c>
      <c r="S320" s="3">
        <f>IF(15&gt;$C320,"",IF($D320=1,EOMONTH(EDATE(Bonds!$H320,6*(15-1)),0),EDATE(Bonds!$H320,6*(15-1))))</f>
        <v>48990</v>
      </c>
      <c r="T320" s="3">
        <f>IF(16&gt;$C320,"",IF($D320=1,EOMONTH(EDATE(Bonds!$H320,6*(16-1)),0),EDATE(Bonds!$H320,6*(16-1))))</f>
        <v>49171</v>
      </c>
      <c r="U320" s="3">
        <f>IF(17&gt;$C320,"",IF($D320=1,EOMONTH(EDATE(Bonds!$H320,6*(17-1)),0),EDATE(Bonds!$H320,6*(17-1))))</f>
        <v>49355</v>
      </c>
      <c r="V320" s="3">
        <f>IF(18&gt;$C320,"",IF($D320=1,EOMONTH(EDATE(Bonds!$H320,6*(18-1)),0),EDATE(Bonds!$H320,6*(18-1))))</f>
        <v>49536</v>
      </c>
      <c r="W320" s="3">
        <f>IF(19&gt;$C320,"",IF($D320=1,EOMONTH(EDATE(Bonds!$H320,6*(19-1)),0),EDATE(Bonds!$H320,6*(19-1))))</f>
        <v>49720</v>
      </c>
      <c r="X320" s="3">
        <f>IF(20&gt;$C320,"",IF($D320=1,EOMONTH(EDATE(Bonds!$H320,6*(20-1)),0),EDATE(Bonds!$H320,6*(20-1))))</f>
        <v>49902</v>
      </c>
      <c r="Y320" s="3">
        <f>IF(21&gt;$C320,"",IF($D320=1,EOMONTH(EDATE(Bonds!$H320,6*(21-1)),0),EDATE(Bonds!$H320,6*(21-1))))</f>
        <v>50086</v>
      </c>
      <c r="Z320" s="3">
        <f>IF(22&gt;$C320,"",IF($D320=1,EOMONTH(EDATE(Bonds!$H320,6*(22-1)),0),EDATE(Bonds!$H320,6*(22-1))))</f>
        <v>50267</v>
      </c>
      <c r="AA320" s="3">
        <f>IF(23&gt;$C320,"",IF($D320=1,EOMONTH(EDATE(Bonds!$H320,6*(23-1)),0),EDATE(Bonds!$H320,6*(23-1))))</f>
        <v>50451</v>
      </c>
      <c r="AB320" s="3">
        <f>IF(24&gt;$C320,"",IF($D320=1,EOMONTH(EDATE(Bonds!$H320,6*(24-1)),0),EDATE(Bonds!$H320,6*(24-1))))</f>
        <v>50632</v>
      </c>
      <c r="AC320" s="3">
        <f>IF(25&gt;$C320,"",IF($D320=1,EOMONTH(EDATE(Bonds!$H320,6*(25-1)),0),EDATE(Bonds!$H320,6*(25-1))))</f>
        <v>50816</v>
      </c>
      <c r="AD320" s="3">
        <f>IF(26&gt;$C320,"",IF($D320=1,EOMONTH(EDATE(Bonds!$H320,6*(26-1)),0),EDATE(Bonds!$H320,6*(26-1))))</f>
        <v>50997</v>
      </c>
      <c r="AE320" s="3">
        <f>IF(27&gt;$C320,"",IF($D320=1,EOMONTH(EDATE(Bonds!$H320,6*(27-1)),0),EDATE(Bonds!$H320,6*(27-1))))</f>
        <v>51181</v>
      </c>
      <c r="AF320" s="3">
        <f>IF(28&gt;$C320,"",IF($D320=1,EOMONTH(EDATE(Bonds!$H320,6*(28-1)),0),EDATE(Bonds!$H320,6*(28-1))))</f>
        <v>51363</v>
      </c>
      <c r="AG320" s="3">
        <f>IF(29&gt;$C320,"",IF($D320=1,EOMONTH(EDATE(Bonds!$H320,6*(29-1)),0),EDATE(Bonds!$H320,6*(29-1))))</f>
        <v>51547</v>
      </c>
      <c r="AH320" s="3">
        <f>IF(30&gt;$C320,"",IF($D320=1,EOMONTH(EDATE(Bonds!$H320,6*(30-1)),0),EDATE(Bonds!$H320,6*(30-1))))</f>
        <v>51728</v>
      </c>
      <c r="AI320" s="3">
        <f>IF(31&gt;$C320,"",IF($D320=1,EOMONTH(EDATE(Bonds!$H320,6*(31-1)),0),EDATE(Bonds!$H320,6*(31-1))))</f>
        <v>51912</v>
      </c>
      <c r="AJ320" s="3">
        <f>IF(32&gt;$C320,"",IF($D320=1,EOMONTH(EDATE(Bonds!$H320,6*(32-1)),0),EDATE(Bonds!$H320,6*(32-1))))</f>
        <v>52093</v>
      </c>
      <c r="AK320" s="3">
        <f>IF(33&gt;$C320,"",IF($D320=1,EOMONTH(EDATE(Bonds!$H320,6*(33-1)),0),EDATE(Bonds!$H320,6*(33-1))))</f>
        <v>52277</v>
      </c>
      <c r="AL320" s="3">
        <f>IF(34&gt;$C320,"",IF($D320=1,EOMONTH(EDATE(Bonds!$H320,6*(34-1)),0),EDATE(Bonds!$H320,6*(34-1))))</f>
        <v>52458</v>
      </c>
      <c r="AM320" s="3">
        <f>IF(35&gt;$C320,"",IF($D320=1,EOMONTH(EDATE(Bonds!$H320,6*(35-1)),0),EDATE(Bonds!$H320,6*(35-1))))</f>
        <v>52642</v>
      </c>
      <c r="AN320" s="3">
        <f>IF(36&gt;$C320,"",IF($D320=1,EOMONTH(EDATE(Bonds!$H320,6*(36-1)),0),EDATE(Bonds!$H320,6*(36-1))))</f>
        <v>52824</v>
      </c>
      <c r="AO320" s="3">
        <f>IF(37&gt;$C320,"",IF($D320=1,EOMONTH(EDATE(Bonds!$H320,6*(37-1)),0),EDATE(Bonds!$H320,6*(37-1))))</f>
        <v>53008</v>
      </c>
      <c r="AP320" s="3">
        <f>IF(38&gt;$C320,"",IF($D320=1,EOMONTH(EDATE(Bonds!$H320,6*(38-1)),0),EDATE(Bonds!$H320,6*(38-1))))</f>
        <v>53189</v>
      </c>
      <c r="AQ320" s="3">
        <f>IF(39&gt;$C320,"",IF($D320=1,EOMONTH(EDATE(Bonds!$H320,6*(39-1)),0),EDATE(Bonds!$H320,6*(39-1))))</f>
        <v>53373</v>
      </c>
      <c r="AR320" s="3">
        <f>IF(40&gt;$C320,"",IF($D320=1,EOMONTH(EDATE(Bonds!$H320,6*(40-1)),0),EDATE(Bonds!$H320,6*(40-1))))</f>
        <v>53554</v>
      </c>
      <c r="AS320" s="3" t="str">
        <f>IF(41&gt;$C320,"",IF($D320=1,EOMONTH(EDATE(Bonds!$H320,6*(41-1)),0),EDATE(Bonds!$H320,6*(41-1))))</f>
        <v/>
      </c>
      <c r="AT320" s="3" t="str">
        <f>IF(42&gt;$C320,"",IF($D320=1,EOMONTH(EDATE(Bonds!$H320,6*(42-1)),0),EDATE(Bonds!$H320,6*(42-1))))</f>
        <v/>
      </c>
      <c r="AU320" s="3" t="str">
        <f>IF(43&gt;$C320,"",IF($D320=1,EOMONTH(EDATE(Bonds!$H320,6*(43-1)),0),EDATE(Bonds!$H320,6*(43-1))))</f>
        <v/>
      </c>
      <c r="AV320" s="3" t="str">
        <f>IF(44&gt;$C320,"",IF($D320=1,EOMONTH(EDATE(Bonds!$H320,6*(44-1)),0),EDATE(Bonds!$H320,6*(44-1))))</f>
        <v/>
      </c>
      <c r="AW320" s="3" t="str">
        <f>IF(45&gt;$C320,"",IF($D320=1,EOMONTH(EDATE(Bonds!$H320,6*(45-1)),0),EDATE(Bonds!$H320,6*(45-1))))</f>
        <v/>
      </c>
      <c r="AX320" s="3" t="str">
        <f>IF(46&gt;$C320,"",IF($D320=1,EOMONTH(EDATE(Bonds!$H320,6*(46-1)),0),EDATE(Bonds!$H320,6*(46-1))))</f>
        <v/>
      </c>
      <c r="AY320" s="3" t="str">
        <f>IF(47&gt;$C320,"",IF($D320=1,EOMONTH(EDATE(Bonds!$H320,6*(47-1)),0),EDATE(Bonds!$H320,6*(47-1))))</f>
        <v/>
      </c>
      <c r="AZ320" s="3" t="str">
        <f>IF(48&gt;$C320,"",IF($D320=1,EOMONTH(EDATE(Bonds!$H320,6*(48-1)),0),EDATE(Bonds!$H320,6*(48-1))))</f>
        <v/>
      </c>
      <c r="BA320" s="3" t="str">
        <f>IF(49&gt;$C320,"",IF($D320=1,EOMONTH(EDATE(Bonds!$H320,6*(49-1)),0),EDATE(Bonds!$H320,6*(49-1))))</f>
        <v/>
      </c>
      <c r="BB320" s="3" t="str">
        <f>IF(50&gt;$C320,"",IF($D320=1,EOMONTH(EDATE(Bonds!$H320,6*(50-1)),0),EDATE(Bonds!$H320,6*(50-1))))</f>
        <v/>
      </c>
      <c r="BC320" s="3" t="str">
        <f>IF(51&gt;$C320,"",IF($D320=1,EOMONTH(EDATE(Bonds!$H320,6*(51-1)),0),EDATE(Bonds!$H320,6*(51-1))))</f>
        <v/>
      </c>
      <c r="BD320" s="3" t="str">
        <f>IF(52&gt;$C320,"",IF($D320=1,EOMONTH(EDATE(Bonds!$H320,6*(52-1)),0),EDATE(Bonds!$H320,6*(52-1))))</f>
        <v/>
      </c>
      <c r="BE320" s="3" t="str">
        <f>IF(53&gt;$C320,"",IF($D320=1,EOMONTH(EDATE(Bonds!$H320,6*(53-1)),0),EDATE(Bonds!$H320,6*(53-1))))</f>
        <v/>
      </c>
      <c r="BF320" s="3" t="str">
        <f>IF(54&gt;$C320,"",IF($D320=1,EOMONTH(EDATE(Bonds!$H320,6*(54-1)),0),EDATE(Bonds!$H320,6*(54-1))))</f>
        <v/>
      </c>
      <c r="BG320" s="3" t="str">
        <f>IF(55&gt;$C320,"",IF($D320=1,EOMONTH(EDATE(Bonds!$H320,6*(55-1)),0),EDATE(Bonds!$H320,6*(55-1))))</f>
        <v/>
      </c>
      <c r="BH320" s="3" t="str">
        <f>IF(56&gt;$C320,"",IF($D320=1,EOMONTH(EDATE(Bonds!$H320,6*(56-1)),0),EDATE(Bonds!$H320,6*(56-1))))</f>
        <v/>
      </c>
      <c r="BI320" s="3" t="str">
        <f>IF(57&gt;$C320,"",IF($D320=1,EOMONTH(EDATE(Bonds!$H320,6*(57-1)),0),EDATE(Bonds!$H320,6*(57-1))))</f>
        <v/>
      </c>
      <c r="BJ320" s="3" t="str">
        <f>IF(58&gt;$C320,"",IF($D320=1,EOMONTH(EDATE(Bonds!$H320,6*(58-1)),0),EDATE(Bonds!$H320,6*(58-1))))</f>
        <v/>
      </c>
      <c r="BK320" s="3" t="str">
        <f>IF(59&gt;$C320,"",IF($D320=1,EOMONTH(EDATE(Bonds!$H320,6*(59-1)),0),EDATE(Bonds!$H320,6*(59-1))))</f>
        <v/>
      </c>
      <c r="BL320" s="3" t="str">
        <f>IF(60&gt;$C320,"",IF($D320=1,EOMONTH(EDATE(Bonds!$H320,6*(60-1)),0),EDATE(Bonds!$H320,6*(60-1))))</f>
        <v/>
      </c>
      <c r="BN320" s="7">
        <f t="shared" si="245"/>
        <v>2.5190386733451082</v>
      </c>
      <c r="BO320" s="7">
        <f t="shared" si="246"/>
        <v>2.4659415607339326</v>
      </c>
      <c r="BP320" s="7">
        <f t="shared" si="247"/>
        <v>2.4106311513332379</v>
      </c>
      <c r="BQ320" s="7">
        <f t="shared" si="248"/>
        <v>2.3562404610193943</v>
      </c>
      <c r="BR320" s="7">
        <f t="shared" si="249"/>
        <v>2.3023347983052411</v>
      </c>
      <c r="BS320" s="7">
        <f t="shared" si="250"/>
        <v>2.2506027749147992</v>
      </c>
      <c r="BT320" s="7">
        <f t="shared" si="251"/>
        <v>2.1992905698694503</v>
      </c>
      <c r="BU320" s="7">
        <f t="shared" si="252"/>
        <v>2.149908698555806</v>
      </c>
      <c r="BV320" s="7">
        <f t="shared" si="253"/>
        <v>2.1006139855644608</v>
      </c>
      <c r="BW320" s="7">
        <f t="shared" si="254"/>
        <v>2.0528203548826194</v>
      </c>
      <c r="BX320" s="7">
        <f t="shared" si="255"/>
        <v>2.0047782821991569</v>
      </c>
      <c r="BY320" s="7">
        <f t="shared" si="256"/>
        <v>1.9576760357421941</v>
      </c>
      <c r="BZ320" s="7">
        <f t="shared" si="257"/>
        <v>1.9103979584621049</v>
      </c>
      <c r="CA320" s="7">
        <f t="shared" si="258"/>
        <v>1.864186022695044</v>
      </c>
      <c r="CB320" s="7">
        <f t="shared" si="259"/>
        <v>1.8175008516140536</v>
      </c>
      <c r="CC320" s="7">
        <f t="shared" si="260"/>
        <v>1.7718834478364511</v>
      </c>
      <c r="CD320" s="7">
        <f t="shared" si="261"/>
        <v>1.7258606803570922</v>
      </c>
      <c r="CE320" s="7">
        <f t="shared" si="262"/>
        <v>1.6809851858895515</v>
      </c>
      <c r="CF320" s="7">
        <f t="shared" si="263"/>
        <v>1.6358312327051263</v>
      </c>
      <c r="CG320" s="7">
        <f t="shared" si="264"/>
        <v>1.5916952105177695</v>
      </c>
      <c r="CH320" s="7">
        <f t="shared" si="265"/>
        <v>1.5476748342191597</v>
      </c>
      <c r="CI320" s="7">
        <f t="shared" si="266"/>
        <v>1.5050259429806745</v>
      </c>
      <c r="CJ320" s="7">
        <f t="shared" si="267"/>
        <v>1.4623969866513105</v>
      </c>
      <c r="CK320" s="7">
        <f t="shared" si="268"/>
        <v>1.421234035299735</v>
      </c>
      <c r="CL320" s="7">
        <f t="shared" si="269"/>
        <v>1.380223897478752</v>
      </c>
      <c r="CM320" s="7">
        <f t="shared" si="270"/>
        <v>1.3407477706278441</v>
      </c>
      <c r="CN320" s="7">
        <f t="shared" si="271"/>
        <v>1.3015352635489321</v>
      </c>
      <c r="CO320" s="7">
        <f t="shared" si="272"/>
        <v>1.263690567762999</v>
      </c>
      <c r="CP320" s="7">
        <f t="shared" si="273"/>
        <v>1.2264070712311306</v>
      </c>
      <c r="CQ320" s="7">
        <f t="shared" si="274"/>
        <v>1.1907084235946883</v>
      </c>
      <c r="CR320" s="7">
        <f t="shared" si="275"/>
        <v>1.1554242493233557</v>
      </c>
      <c r="CS320" s="7">
        <f t="shared" si="276"/>
        <v>1.1217125887871091</v>
      </c>
      <c r="CT320" s="7">
        <f t="shared" si="277"/>
        <v>1.0884586621981485</v>
      </c>
      <c r="CU320" s="7">
        <f t="shared" si="278"/>
        <v>1.0567451838447985</v>
      </c>
      <c r="CV320" s="7">
        <f t="shared" si="279"/>
        <v>1.0255152412809547</v>
      </c>
      <c r="CW320" s="7">
        <f t="shared" si="280"/>
        <v>0.99561667326099945</v>
      </c>
      <c r="CX320" s="7">
        <f t="shared" si="281"/>
        <v>0.96638013634557141</v>
      </c>
      <c r="CY320" s="7">
        <f t="shared" si="282"/>
        <v>0.9385775404646024</v>
      </c>
      <c r="CZ320" s="7">
        <f t="shared" si="283"/>
        <v>0.91127019766301176</v>
      </c>
      <c r="DA320" s="7">
        <f t="shared" si="284"/>
        <v>35.434794793453818</v>
      </c>
      <c r="DB320" s="7">
        <f t="shared" si="285"/>
        <v>0</v>
      </c>
      <c r="DC320" s="7">
        <f t="shared" si="286"/>
        <v>0</v>
      </c>
      <c r="DD320" s="7">
        <f t="shared" si="287"/>
        <v>0</v>
      </c>
      <c r="DE320" s="7">
        <f t="shared" si="288"/>
        <v>0</v>
      </c>
      <c r="DF320" s="7">
        <f t="shared" si="289"/>
        <v>0</v>
      </c>
      <c r="DG320" s="7">
        <f t="shared" si="290"/>
        <v>0</v>
      </c>
      <c r="DH320" s="7">
        <f t="shared" si="291"/>
        <v>0</v>
      </c>
      <c r="DI320" s="7">
        <f t="shared" si="292"/>
        <v>0</v>
      </c>
      <c r="DJ320" s="7">
        <f t="shared" si="293"/>
        <v>0</v>
      </c>
      <c r="DK320" s="7">
        <f t="shared" si="294"/>
        <v>0</v>
      </c>
      <c r="DL320" s="7">
        <f t="shared" si="295"/>
        <v>0</v>
      </c>
      <c r="DM320" s="7">
        <f t="shared" si="296"/>
        <v>0</v>
      </c>
      <c r="DN320" s="7">
        <f t="shared" si="297"/>
        <v>0</v>
      </c>
      <c r="DO320" s="7">
        <f t="shared" si="298"/>
        <v>0</v>
      </c>
      <c r="DP320" s="7">
        <f t="shared" si="299"/>
        <v>0</v>
      </c>
      <c r="DQ320" s="7">
        <f t="shared" si="300"/>
        <v>0</v>
      </c>
      <c r="DR320" s="7">
        <f t="shared" si="301"/>
        <v>0</v>
      </c>
      <c r="DS320" s="7">
        <f t="shared" si="302"/>
        <v>0</v>
      </c>
      <c r="DT320" s="7">
        <f t="shared" si="303"/>
        <v>0</v>
      </c>
      <c r="DU320" s="7">
        <f t="shared" si="304"/>
        <v>0</v>
      </c>
    </row>
    <row r="321" spans="1:125" x14ac:dyDescent="0.2">
      <c r="A321" s="3">
        <f>Bonds!A321</f>
        <v>53646</v>
      </c>
      <c r="B321" s="4">
        <f>Bonds!B321</f>
        <v>2.875</v>
      </c>
      <c r="C321">
        <f>Bonds!P321</f>
        <v>41</v>
      </c>
      <c r="D321">
        <f t="shared" si="244"/>
        <v>0</v>
      </c>
      <c r="E321" s="3">
        <f>IF(1&gt;$C321,"",IF($D321=1,EOMONTH(EDATE(Bonds!$H321,6*(1-1)),0),EDATE(Bonds!$H321,6*(1-1))))</f>
        <v>46341</v>
      </c>
      <c r="F321" s="3">
        <f>IF(2&gt;$C321,"",IF($D321=1,EOMONTH(EDATE(Bonds!$H321,6*(2-1)),0),EDATE(Bonds!$H321,6*(2-1))))</f>
        <v>46522</v>
      </c>
      <c r="G321" s="3">
        <f>IF(3&gt;$C321,"",IF($D321=1,EOMONTH(EDATE(Bonds!$H321,6*(3-1)),0),EDATE(Bonds!$H321,6*(3-1))))</f>
        <v>46706</v>
      </c>
      <c r="H321" s="3">
        <f>IF(4&gt;$C321,"",IF($D321=1,EOMONTH(EDATE(Bonds!$H321,6*(4-1)),0),EDATE(Bonds!$H321,6*(4-1))))</f>
        <v>46888</v>
      </c>
      <c r="I321" s="3">
        <f>IF(5&gt;$C321,"",IF($D321=1,EOMONTH(EDATE(Bonds!$H321,6*(5-1)),0),EDATE(Bonds!$H321,6*(5-1))))</f>
        <v>47072</v>
      </c>
      <c r="J321" s="3">
        <f>IF(6&gt;$C321,"",IF($D321=1,EOMONTH(EDATE(Bonds!$H321,6*(6-1)),0),EDATE(Bonds!$H321,6*(6-1))))</f>
        <v>47253</v>
      </c>
      <c r="K321" s="3">
        <f>IF(7&gt;$C321,"",IF($D321=1,EOMONTH(EDATE(Bonds!$H321,6*(7-1)),0),EDATE(Bonds!$H321,6*(7-1))))</f>
        <v>47437</v>
      </c>
      <c r="L321" s="3">
        <f>IF(8&gt;$C321,"",IF($D321=1,EOMONTH(EDATE(Bonds!$H321,6*(8-1)),0),EDATE(Bonds!$H321,6*(8-1))))</f>
        <v>47618</v>
      </c>
      <c r="M321" s="3">
        <f>IF(9&gt;$C321,"",IF($D321=1,EOMONTH(EDATE(Bonds!$H321,6*(9-1)),0),EDATE(Bonds!$H321,6*(9-1))))</f>
        <v>47802</v>
      </c>
      <c r="N321" s="3">
        <f>IF(10&gt;$C321,"",IF($D321=1,EOMONTH(EDATE(Bonds!$H321,6*(10-1)),0),EDATE(Bonds!$H321,6*(10-1))))</f>
        <v>47983</v>
      </c>
      <c r="O321" s="3">
        <f>IF(11&gt;$C321,"",IF($D321=1,EOMONTH(EDATE(Bonds!$H321,6*(11-1)),0),EDATE(Bonds!$H321,6*(11-1))))</f>
        <v>48167</v>
      </c>
      <c r="P321" s="3">
        <f>IF(12&gt;$C321,"",IF($D321=1,EOMONTH(EDATE(Bonds!$H321,6*(12-1)),0),EDATE(Bonds!$H321,6*(12-1))))</f>
        <v>48349</v>
      </c>
      <c r="Q321" s="3">
        <f>IF(13&gt;$C321,"",IF($D321=1,EOMONTH(EDATE(Bonds!$H321,6*(13-1)),0),EDATE(Bonds!$H321,6*(13-1))))</f>
        <v>48533</v>
      </c>
      <c r="R321" s="3">
        <f>IF(14&gt;$C321,"",IF($D321=1,EOMONTH(EDATE(Bonds!$H321,6*(14-1)),0),EDATE(Bonds!$H321,6*(14-1))))</f>
        <v>48714</v>
      </c>
      <c r="S321" s="3">
        <f>IF(15&gt;$C321,"",IF($D321=1,EOMONTH(EDATE(Bonds!$H321,6*(15-1)),0),EDATE(Bonds!$H321,6*(15-1))))</f>
        <v>48898</v>
      </c>
      <c r="T321" s="3">
        <f>IF(16&gt;$C321,"",IF($D321=1,EOMONTH(EDATE(Bonds!$H321,6*(16-1)),0),EDATE(Bonds!$H321,6*(16-1))))</f>
        <v>49079</v>
      </c>
      <c r="U321" s="3">
        <f>IF(17&gt;$C321,"",IF($D321=1,EOMONTH(EDATE(Bonds!$H321,6*(17-1)),0),EDATE(Bonds!$H321,6*(17-1))))</f>
        <v>49263</v>
      </c>
      <c r="V321" s="3">
        <f>IF(18&gt;$C321,"",IF($D321=1,EOMONTH(EDATE(Bonds!$H321,6*(18-1)),0),EDATE(Bonds!$H321,6*(18-1))))</f>
        <v>49444</v>
      </c>
      <c r="W321" s="3">
        <f>IF(19&gt;$C321,"",IF($D321=1,EOMONTH(EDATE(Bonds!$H321,6*(19-1)),0),EDATE(Bonds!$H321,6*(19-1))))</f>
        <v>49628</v>
      </c>
      <c r="X321" s="3">
        <f>IF(20&gt;$C321,"",IF($D321=1,EOMONTH(EDATE(Bonds!$H321,6*(20-1)),0),EDATE(Bonds!$H321,6*(20-1))))</f>
        <v>49810</v>
      </c>
      <c r="Y321" s="3">
        <f>IF(21&gt;$C321,"",IF($D321=1,EOMONTH(EDATE(Bonds!$H321,6*(21-1)),0),EDATE(Bonds!$H321,6*(21-1))))</f>
        <v>49994</v>
      </c>
      <c r="Z321" s="3">
        <f>IF(22&gt;$C321,"",IF($D321=1,EOMONTH(EDATE(Bonds!$H321,6*(22-1)),0),EDATE(Bonds!$H321,6*(22-1))))</f>
        <v>50175</v>
      </c>
      <c r="AA321" s="3">
        <f>IF(23&gt;$C321,"",IF($D321=1,EOMONTH(EDATE(Bonds!$H321,6*(23-1)),0),EDATE(Bonds!$H321,6*(23-1))))</f>
        <v>50359</v>
      </c>
      <c r="AB321" s="3">
        <f>IF(24&gt;$C321,"",IF($D321=1,EOMONTH(EDATE(Bonds!$H321,6*(24-1)),0),EDATE(Bonds!$H321,6*(24-1))))</f>
        <v>50540</v>
      </c>
      <c r="AC321" s="3">
        <f>IF(25&gt;$C321,"",IF($D321=1,EOMONTH(EDATE(Bonds!$H321,6*(25-1)),0),EDATE(Bonds!$H321,6*(25-1))))</f>
        <v>50724</v>
      </c>
      <c r="AD321" s="3">
        <f>IF(26&gt;$C321,"",IF($D321=1,EOMONTH(EDATE(Bonds!$H321,6*(26-1)),0),EDATE(Bonds!$H321,6*(26-1))))</f>
        <v>50905</v>
      </c>
      <c r="AE321" s="3">
        <f>IF(27&gt;$C321,"",IF($D321=1,EOMONTH(EDATE(Bonds!$H321,6*(27-1)),0),EDATE(Bonds!$H321,6*(27-1))))</f>
        <v>51089</v>
      </c>
      <c r="AF321" s="3">
        <f>IF(28&gt;$C321,"",IF($D321=1,EOMONTH(EDATE(Bonds!$H321,6*(28-1)),0),EDATE(Bonds!$H321,6*(28-1))))</f>
        <v>51271</v>
      </c>
      <c r="AG321" s="3">
        <f>IF(29&gt;$C321,"",IF($D321=1,EOMONTH(EDATE(Bonds!$H321,6*(29-1)),0),EDATE(Bonds!$H321,6*(29-1))))</f>
        <v>51455</v>
      </c>
      <c r="AH321" s="3">
        <f>IF(30&gt;$C321,"",IF($D321=1,EOMONTH(EDATE(Bonds!$H321,6*(30-1)),0),EDATE(Bonds!$H321,6*(30-1))))</f>
        <v>51636</v>
      </c>
      <c r="AI321" s="3">
        <f>IF(31&gt;$C321,"",IF($D321=1,EOMONTH(EDATE(Bonds!$H321,6*(31-1)),0),EDATE(Bonds!$H321,6*(31-1))))</f>
        <v>51820</v>
      </c>
      <c r="AJ321" s="3">
        <f>IF(32&gt;$C321,"",IF($D321=1,EOMONTH(EDATE(Bonds!$H321,6*(32-1)),0),EDATE(Bonds!$H321,6*(32-1))))</f>
        <v>52001</v>
      </c>
      <c r="AK321" s="3">
        <f>IF(33&gt;$C321,"",IF($D321=1,EOMONTH(EDATE(Bonds!$H321,6*(33-1)),0),EDATE(Bonds!$H321,6*(33-1))))</f>
        <v>52185</v>
      </c>
      <c r="AL321" s="3">
        <f>IF(34&gt;$C321,"",IF($D321=1,EOMONTH(EDATE(Bonds!$H321,6*(34-1)),0),EDATE(Bonds!$H321,6*(34-1))))</f>
        <v>52366</v>
      </c>
      <c r="AM321" s="3">
        <f>IF(35&gt;$C321,"",IF($D321=1,EOMONTH(EDATE(Bonds!$H321,6*(35-1)),0),EDATE(Bonds!$H321,6*(35-1))))</f>
        <v>52550</v>
      </c>
      <c r="AN321" s="3">
        <f>IF(36&gt;$C321,"",IF($D321=1,EOMONTH(EDATE(Bonds!$H321,6*(36-1)),0),EDATE(Bonds!$H321,6*(36-1))))</f>
        <v>52732</v>
      </c>
      <c r="AO321" s="3">
        <f>IF(37&gt;$C321,"",IF($D321=1,EOMONTH(EDATE(Bonds!$H321,6*(37-1)),0),EDATE(Bonds!$H321,6*(37-1))))</f>
        <v>52916</v>
      </c>
      <c r="AP321" s="3">
        <f>IF(38&gt;$C321,"",IF($D321=1,EOMONTH(EDATE(Bonds!$H321,6*(38-1)),0),EDATE(Bonds!$H321,6*(38-1))))</f>
        <v>53097</v>
      </c>
      <c r="AQ321" s="3">
        <f>IF(39&gt;$C321,"",IF($D321=1,EOMONTH(EDATE(Bonds!$H321,6*(39-1)),0),EDATE(Bonds!$H321,6*(39-1))))</f>
        <v>53281</v>
      </c>
      <c r="AR321" s="3">
        <f>IF(40&gt;$C321,"",IF($D321=1,EOMONTH(EDATE(Bonds!$H321,6*(40-1)),0),EDATE(Bonds!$H321,6*(40-1))))</f>
        <v>53462</v>
      </c>
      <c r="AS321" s="3">
        <f>IF(41&gt;$C321,"",IF($D321=1,EOMONTH(EDATE(Bonds!$H321,6*(41-1)),0),EDATE(Bonds!$H321,6*(41-1))))</f>
        <v>53646</v>
      </c>
      <c r="AT321" s="3" t="str">
        <f>IF(42&gt;$C321,"",IF($D321=1,EOMONTH(EDATE(Bonds!$H321,6*(42-1)),0),EDATE(Bonds!$H321,6*(42-1))))</f>
        <v/>
      </c>
      <c r="AU321" s="3" t="str">
        <f>IF(43&gt;$C321,"",IF($D321=1,EOMONTH(EDATE(Bonds!$H321,6*(43-1)),0),EDATE(Bonds!$H321,6*(43-1))))</f>
        <v/>
      </c>
      <c r="AV321" s="3" t="str">
        <f>IF(44&gt;$C321,"",IF($D321=1,EOMONTH(EDATE(Bonds!$H321,6*(44-1)),0),EDATE(Bonds!$H321,6*(44-1))))</f>
        <v/>
      </c>
      <c r="AW321" s="3" t="str">
        <f>IF(45&gt;$C321,"",IF($D321=1,EOMONTH(EDATE(Bonds!$H321,6*(45-1)),0),EDATE(Bonds!$H321,6*(45-1))))</f>
        <v/>
      </c>
      <c r="AX321" s="3" t="str">
        <f>IF(46&gt;$C321,"",IF($D321=1,EOMONTH(EDATE(Bonds!$H321,6*(46-1)),0),EDATE(Bonds!$H321,6*(46-1))))</f>
        <v/>
      </c>
      <c r="AY321" s="3" t="str">
        <f>IF(47&gt;$C321,"",IF($D321=1,EOMONTH(EDATE(Bonds!$H321,6*(47-1)),0),EDATE(Bonds!$H321,6*(47-1))))</f>
        <v/>
      </c>
      <c r="AZ321" s="3" t="str">
        <f>IF(48&gt;$C321,"",IF($D321=1,EOMONTH(EDATE(Bonds!$H321,6*(48-1)),0),EDATE(Bonds!$H321,6*(48-1))))</f>
        <v/>
      </c>
      <c r="BA321" s="3" t="str">
        <f>IF(49&gt;$C321,"",IF($D321=1,EOMONTH(EDATE(Bonds!$H321,6*(49-1)),0),EDATE(Bonds!$H321,6*(49-1))))</f>
        <v/>
      </c>
      <c r="BB321" s="3" t="str">
        <f>IF(50&gt;$C321,"",IF($D321=1,EOMONTH(EDATE(Bonds!$H321,6*(50-1)),0),EDATE(Bonds!$H321,6*(50-1))))</f>
        <v/>
      </c>
      <c r="BC321" s="3" t="str">
        <f>IF(51&gt;$C321,"",IF($D321=1,EOMONTH(EDATE(Bonds!$H321,6*(51-1)),0),EDATE(Bonds!$H321,6*(51-1))))</f>
        <v/>
      </c>
      <c r="BD321" s="3" t="str">
        <f>IF(52&gt;$C321,"",IF($D321=1,EOMONTH(EDATE(Bonds!$H321,6*(52-1)),0),EDATE(Bonds!$H321,6*(52-1))))</f>
        <v/>
      </c>
      <c r="BE321" s="3" t="str">
        <f>IF(53&gt;$C321,"",IF($D321=1,EOMONTH(EDATE(Bonds!$H321,6*(53-1)),0),EDATE(Bonds!$H321,6*(53-1))))</f>
        <v/>
      </c>
      <c r="BF321" s="3" t="str">
        <f>IF(54&gt;$C321,"",IF($D321=1,EOMONTH(EDATE(Bonds!$H321,6*(54-1)),0),EDATE(Bonds!$H321,6*(54-1))))</f>
        <v/>
      </c>
      <c r="BG321" s="3" t="str">
        <f>IF(55&gt;$C321,"",IF($D321=1,EOMONTH(EDATE(Bonds!$H321,6*(55-1)),0),EDATE(Bonds!$H321,6*(55-1))))</f>
        <v/>
      </c>
      <c r="BH321" s="3" t="str">
        <f>IF(56&gt;$C321,"",IF($D321=1,EOMONTH(EDATE(Bonds!$H321,6*(56-1)),0),EDATE(Bonds!$H321,6*(56-1))))</f>
        <v/>
      </c>
      <c r="BI321" s="3" t="str">
        <f>IF(57&gt;$C321,"",IF($D321=1,EOMONTH(EDATE(Bonds!$H321,6*(57-1)),0),EDATE(Bonds!$H321,6*(57-1))))</f>
        <v/>
      </c>
      <c r="BJ321" s="3" t="str">
        <f>IF(58&gt;$C321,"",IF($D321=1,EOMONTH(EDATE(Bonds!$H321,6*(58-1)),0),EDATE(Bonds!$H321,6*(58-1))))</f>
        <v/>
      </c>
      <c r="BK321" s="3" t="str">
        <f>IF(59&gt;$C321,"",IF($D321=1,EOMONTH(EDATE(Bonds!$H321,6*(59-1)),0),EDATE(Bonds!$H321,6*(59-1))))</f>
        <v/>
      </c>
      <c r="BL321" s="3" t="str">
        <f>IF(60&gt;$C321,"",IF($D321=1,EOMONTH(EDATE(Bonds!$H321,6*(60-1)),0),EDATE(Bonds!$H321,6*(60-1))))</f>
        <v/>
      </c>
      <c r="BN321" s="7">
        <f t="shared" si="245"/>
        <v>1.4274742749875267</v>
      </c>
      <c r="BO321" s="7">
        <f t="shared" si="246"/>
        <v>1.3986486663573166</v>
      </c>
      <c r="BP321" s="7">
        <f t="shared" si="247"/>
        <v>1.3678399410400741</v>
      </c>
      <c r="BQ321" s="7">
        <f t="shared" si="248"/>
        <v>1.3371598283300468</v>
      </c>
      <c r="BR321" s="7">
        <f t="shared" si="249"/>
        <v>1.3065839082019193</v>
      </c>
      <c r="BS321" s="7">
        <f t="shared" si="250"/>
        <v>1.2771928779737276</v>
      </c>
      <c r="BT321" s="7">
        <f t="shared" si="251"/>
        <v>1.2480553960943812</v>
      </c>
      <c r="BU321" s="7">
        <f t="shared" si="252"/>
        <v>1.2200577782749149</v>
      </c>
      <c r="BV321" s="7">
        <f t="shared" si="253"/>
        <v>1.1921630242748884</v>
      </c>
      <c r="BW321" s="7">
        <f t="shared" si="254"/>
        <v>1.1651675143430285</v>
      </c>
      <c r="BX321" s="7">
        <f t="shared" si="255"/>
        <v>1.138073400627418</v>
      </c>
      <c r="BY321" s="7">
        <f t="shared" si="256"/>
        <v>1.111539483690813</v>
      </c>
      <c r="BZ321" s="7">
        <f t="shared" si="257"/>
        <v>1.0849254079937773</v>
      </c>
      <c r="CA321" s="7">
        <f t="shared" si="258"/>
        <v>1.0589197216220363</v>
      </c>
      <c r="CB321" s="7">
        <f t="shared" si="259"/>
        <v>1.0326472098514692</v>
      </c>
      <c r="CC321" s="7">
        <f t="shared" si="260"/>
        <v>1.0069681689100056</v>
      </c>
      <c r="CD321" s="7">
        <f t="shared" si="261"/>
        <v>0.98104805952639829</v>
      </c>
      <c r="CE321" s="7">
        <f t="shared" si="262"/>
        <v>0.95575772796668679</v>
      </c>
      <c r="CF321" s="7">
        <f t="shared" si="263"/>
        <v>0.93029135924109019</v>
      </c>
      <c r="CG321" s="7">
        <f t="shared" si="264"/>
        <v>0.90537875716522842</v>
      </c>
      <c r="CH321" s="7">
        <f t="shared" si="265"/>
        <v>0.88051030460373658</v>
      </c>
      <c r="CI321" s="7">
        <f t="shared" si="266"/>
        <v>0.85639598676203954</v>
      </c>
      <c r="CJ321" s="7">
        <f t="shared" si="267"/>
        <v>0.83227247353154832</v>
      </c>
      <c r="CK321" s="7">
        <f t="shared" si="268"/>
        <v>0.80895927212585761</v>
      </c>
      <c r="CL321" s="7">
        <f t="shared" si="269"/>
        <v>0.78571408295427014</v>
      </c>
      <c r="CM321" s="7">
        <f t="shared" si="270"/>
        <v>0.76332134181865541</v>
      </c>
      <c r="CN321" s="7">
        <f t="shared" si="271"/>
        <v>0.74106207701055971</v>
      </c>
      <c r="CO321" s="7">
        <f t="shared" si="272"/>
        <v>0.71956460633388575</v>
      </c>
      <c r="CP321" s="7">
        <f t="shared" si="273"/>
        <v>0.69837238838735416</v>
      </c>
      <c r="CQ321" s="7">
        <f t="shared" si="274"/>
        <v>0.67806894189721389</v>
      </c>
      <c r="CR321" s="7">
        <f t="shared" si="275"/>
        <v>0.65799013333633372</v>
      </c>
      <c r="CS321" s="7">
        <f t="shared" si="276"/>
        <v>0.63879635086224695</v>
      </c>
      <c r="CT321" s="7">
        <f t="shared" si="277"/>
        <v>0.61985422282472968</v>
      </c>
      <c r="CU321" s="7">
        <f t="shared" si="278"/>
        <v>0.60178169087836664</v>
      </c>
      <c r="CV321" s="7">
        <f t="shared" si="279"/>
        <v>0.58397758685254986</v>
      </c>
      <c r="CW321" s="7">
        <f t="shared" si="280"/>
        <v>0.56692622645699209</v>
      </c>
      <c r="CX321" s="7">
        <f t="shared" si="281"/>
        <v>0.55024682735017016</v>
      </c>
      <c r="CY321" s="7">
        <f t="shared" si="282"/>
        <v>0.53438064930660401</v>
      </c>
      <c r="CZ321" s="7">
        <f t="shared" si="283"/>
        <v>0.51879278225652836</v>
      </c>
      <c r="DA321" s="7">
        <f t="shared" si="284"/>
        <v>0.50398162946120084</v>
      </c>
      <c r="DB321" s="7">
        <f t="shared" si="285"/>
        <v>34.537802175697443</v>
      </c>
      <c r="DC321" s="7">
        <f t="shared" si="286"/>
        <v>0</v>
      </c>
      <c r="DD321" s="7">
        <f t="shared" si="287"/>
        <v>0</v>
      </c>
      <c r="DE321" s="7">
        <f t="shared" si="288"/>
        <v>0</v>
      </c>
      <c r="DF321" s="7">
        <f t="shared" si="289"/>
        <v>0</v>
      </c>
      <c r="DG321" s="7">
        <f t="shared" si="290"/>
        <v>0</v>
      </c>
      <c r="DH321" s="7">
        <f t="shared" si="291"/>
        <v>0</v>
      </c>
      <c r="DI321" s="7">
        <f t="shared" si="292"/>
        <v>0</v>
      </c>
      <c r="DJ321" s="7">
        <f t="shared" si="293"/>
        <v>0</v>
      </c>
      <c r="DK321" s="7">
        <f t="shared" si="294"/>
        <v>0</v>
      </c>
      <c r="DL321" s="7">
        <f t="shared" si="295"/>
        <v>0</v>
      </c>
      <c r="DM321" s="7">
        <f t="shared" si="296"/>
        <v>0</v>
      </c>
      <c r="DN321" s="7">
        <f t="shared" si="297"/>
        <v>0</v>
      </c>
      <c r="DO321" s="7">
        <f t="shared" si="298"/>
        <v>0</v>
      </c>
      <c r="DP321" s="7">
        <f t="shared" si="299"/>
        <v>0</v>
      </c>
      <c r="DQ321" s="7">
        <f t="shared" si="300"/>
        <v>0</v>
      </c>
      <c r="DR321" s="7">
        <f t="shared" si="301"/>
        <v>0</v>
      </c>
      <c r="DS321" s="7">
        <f t="shared" si="302"/>
        <v>0</v>
      </c>
      <c r="DT321" s="7">
        <f t="shared" si="303"/>
        <v>0</v>
      </c>
      <c r="DU321" s="7">
        <f t="shared" si="304"/>
        <v>0</v>
      </c>
    </row>
    <row r="322" spans="1:125" x14ac:dyDescent="0.2">
      <c r="A322" s="3">
        <f>Bonds!A322</f>
        <v>53738</v>
      </c>
      <c r="B322" s="4">
        <f>Bonds!B322</f>
        <v>3</v>
      </c>
      <c r="C322">
        <f>Bonds!P322</f>
        <v>41</v>
      </c>
      <c r="D322">
        <f t="shared" si="244"/>
        <v>0</v>
      </c>
      <c r="E322" s="3">
        <f>IF(1&gt;$C322,"",IF($D322=1,EOMONTH(EDATE(Bonds!$H322,6*(1-1)),0),EDATE(Bonds!$H322,6*(1-1))))</f>
        <v>46433</v>
      </c>
      <c r="F322" s="3">
        <f>IF(2&gt;$C322,"",IF($D322=1,EOMONTH(EDATE(Bonds!$H322,6*(2-1)),0),EDATE(Bonds!$H322,6*(2-1))))</f>
        <v>46614</v>
      </c>
      <c r="G322" s="3">
        <f>IF(3&gt;$C322,"",IF($D322=1,EOMONTH(EDATE(Bonds!$H322,6*(3-1)),0),EDATE(Bonds!$H322,6*(3-1))))</f>
        <v>46798</v>
      </c>
      <c r="H322" s="3">
        <f>IF(4&gt;$C322,"",IF($D322=1,EOMONTH(EDATE(Bonds!$H322,6*(4-1)),0),EDATE(Bonds!$H322,6*(4-1))))</f>
        <v>46980</v>
      </c>
      <c r="I322" s="3">
        <f>IF(5&gt;$C322,"",IF($D322=1,EOMONTH(EDATE(Bonds!$H322,6*(5-1)),0),EDATE(Bonds!$H322,6*(5-1))))</f>
        <v>47164</v>
      </c>
      <c r="J322" s="3">
        <f>IF(6&gt;$C322,"",IF($D322=1,EOMONTH(EDATE(Bonds!$H322,6*(6-1)),0),EDATE(Bonds!$H322,6*(6-1))))</f>
        <v>47345</v>
      </c>
      <c r="K322" s="3">
        <f>IF(7&gt;$C322,"",IF($D322=1,EOMONTH(EDATE(Bonds!$H322,6*(7-1)),0),EDATE(Bonds!$H322,6*(7-1))))</f>
        <v>47529</v>
      </c>
      <c r="L322" s="3">
        <f>IF(8&gt;$C322,"",IF($D322=1,EOMONTH(EDATE(Bonds!$H322,6*(8-1)),0),EDATE(Bonds!$H322,6*(8-1))))</f>
        <v>47710</v>
      </c>
      <c r="M322" s="3">
        <f>IF(9&gt;$C322,"",IF($D322=1,EOMONTH(EDATE(Bonds!$H322,6*(9-1)),0),EDATE(Bonds!$H322,6*(9-1))))</f>
        <v>47894</v>
      </c>
      <c r="N322" s="3">
        <f>IF(10&gt;$C322,"",IF($D322=1,EOMONTH(EDATE(Bonds!$H322,6*(10-1)),0),EDATE(Bonds!$H322,6*(10-1))))</f>
        <v>48075</v>
      </c>
      <c r="O322" s="3">
        <f>IF(11&gt;$C322,"",IF($D322=1,EOMONTH(EDATE(Bonds!$H322,6*(11-1)),0),EDATE(Bonds!$H322,6*(11-1))))</f>
        <v>48259</v>
      </c>
      <c r="P322" s="3">
        <f>IF(12&gt;$C322,"",IF($D322=1,EOMONTH(EDATE(Bonds!$H322,6*(12-1)),0),EDATE(Bonds!$H322,6*(12-1))))</f>
        <v>48441</v>
      </c>
      <c r="Q322" s="3">
        <f>IF(13&gt;$C322,"",IF($D322=1,EOMONTH(EDATE(Bonds!$H322,6*(13-1)),0),EDATE(Bonds!$H322,6*(13-1))))</f>
        <v>48625</v>
      </c>
      <c r="R322" s="3">
        <f>IF(14&gt;$C322,"",IF($D322=1,EOMONTH(EDATE(Bonds!$H322,6*(14-1)),0),EDATE(Bonds!$H322,6*(14-1))))</f>
        <v>48806</v>
      </c>
      <c r="S322" s="3">
        <f>IF(15&gt;$C322,"",IF($D322=1,EOMONTH(EDATE(Bonds!$H322,6*(15-1)),0),EDATE(Bonds!$H322,6*(15-1))))</f>
        <v>48990</v>
      </c>
      <c r="T322" s="3">
        <f>IF(16&gt;$C322,"",IF($D322=1,EOMONTH(EDATE(Bonds!$H322,6*(16-1)),0),EDATE(Bonds!$H322,6*(16-1))))</f>
        <v>49171</v>
      </c>
      <c r="U322" s="3">
        <f>IF(17&gt;$C322,"",IF($D322=1,EOMONTH(EDATE(Bonds!$H322,6*(17-1)),0),EDATE(Bonds!$H322,6*(17-1))))</f>
        <v>49355</v>
      </c>
      <c r="V322" s="3">
        <f>IF(18&gt;$C322,"",IF($D322=1,EOMONTH(EDATE(Bonds!$H322,6*(18-1)),0),EDATE(Bonds!$H322,6*(18-1))))</f>
        <v>49536</v>
      </c>
      <c r="W322" s="3">
        <f>IF(19&gt;$C322,"",IF($D322=1,EOMONTH(EDATE(Bonds!$H322,6*(19-1)),0),EDATE(Bonds!$H322,6*(19-1))))</f>
        <v>49720</v>
      </c>
      <c r="X322" s="3">
        <f>IF(20&gt;$C322,"",IF($D322=1,EOMONTH(EDATE(Bonds!$H322,6*(20-1)),0),EDATE(Bonds!$H322,6*(20-1))))</f>
        <v>49902</v>
      </c>
      <c r="Y322" s="3">
        <f>IF(21&gt;$C322,"",IF($D322=1,EOMONTH(EDATE(Bonds!$H322,6*(21-1)),0),EDATE(Bonds!$H322,6*(21-1))))</f>
        <v>50086</v>
      </c>
      <c r="Z322" s="3">
        <f>IF(22&gt;$C322,"",IF($D322=1,EOMONTH(EDATE(Bonds!$H322,6*(22-1)),0),EDATE(Bonds!$H322,6*(22-1))))</f>
        <v>50267</v>
      </c>
      <c r="AA322" s="3">
        <f>IF(23&gt;$C322,"",IF($D322=1,EOMONTH(EDATE(Bonds!$H322,6*(23-1)),0),EDATE(Bonds!$H322,6*(23-1))))</f>
        <v>50451</v>
      </c>
      <c r="AB322" s="3">
        <f>IF(24&gt;$C322,"",IF($D322=1,EOMONTH(EDATE(Bonds!$H322,6*(24-1)),0),EDATE(Bonds!$H322,6*(24-1))))</f>
        <v>50632</v>
      </c>
      <c r="AC322" s="3">
        <f>IF(25&gt;$C322,"",IF($D322=1,EOMONTH(EDATE(Bonds!$H322,6*(25-1)),0),EDATE(Bonds!$H322,6*(25-1))))</f>
        <v>50816</v>
      </c>
      <c r="AD322" s="3">
        <f>IF(26&gt;$C322,"",IF($D322=1,EOMONTH(EDATE(Bonds!$H322,6*(26-1)),0),EDATE(Bonds!$H322,6*(26-1))))</f>
        <v>50997</v>
      </c>
      <c r="AE322" s="3">
        <f>IF(27&gt;$C322,"",IF($D322=1,EOMONTH(EDATE(Bonds!$H322,6*(27-1)),0),EDATE(Bonds!$H322,6*(27-1))))</f>
        <v>51181</v>
      </c>
      <c r="AF322" s="3">
        <f>IF(28&gt;$C322,"",IF($D322=1,EOMONTH(EDATE(Bonds!$H322,6*(28-1)),0),EDATE(Bonds!$H322,6*(28-1))))</f>
        <v>51363</v>
      </c>
      <c r="AG322" s="3">
        <f>IF(29&gt;$C322,"",IF($D322=1,EOMONTH(EDATE(Bonds!$H322,6*(29-1)),0),EDATE(Bonds!$H322,6*(29-1))))</f>
        <v>51547</v>
      </c>
      <c r="AH322" s="3">
        <f>IF(30&gt;$C322,"",IF($D322=1,EOMONTH(EDATE(Bonds!$H322,6*(30-1)),0),EDATE(Bonds!$H322,6*(30-1))))</f>
        <v>51728</v>
      </c>
      <c r="AI322" s="3">
        <f>IF(31&gt;$C322,"",IF($D322=1,EOMONTH(EDATE(Bonds!$H322,6*(31-1)),0),EDATE(Bonds!$H322,6*(31-1))))</f>
        <v>51912</v>
      </c>
      <c r="AJ322" s="3">
        <f>IF(32&gt;$C322,"",IF($D322=1,EOMONTH(EDATE(Bonds!$H322,6*(32-1)),0),EDATE(Bonds!$H322,6*(32-1))))</f>
        <v>52093</v>
      </c>
      <c r="AK322" s="3">
        <f>IF(33&gt;$C322,"",IF($D322=1,EOMONTH(EDATE(Bonds!$H322,6*(33-1)),0),EDATE(Bonds!$H322,6*(33-1))))</f>
        <v>52277</v>
      </c>
      <c r="AL322" s="3">
        <f>IF(34&gt;$C322,"",IF($D322=1,EOMONTH(EDATE(Bonds!$H322,6*(34-1)),0),EDATE(Bonds!$H322,6*(34-1))))</f>
        <v>52458</v>
      </c>
      <c r="AM322" s="3">
        <f>IF(35&gt;$C322,"",IF($D322=1,EOMONTH(EDATE(Bonds!$H322,6*(35-1)),0),EDATE(Bonds!$H322,6*(35-1))))</f>
        <v>52642</v>
      </c>
      <c r="AN322" s="3">
        <f>IF(36&gt;$C322,"",IF($D322=1,EOMONTH(EDATE(Bonds!$H322,6*(36-1)),0),EDATE(Bonds!$H322,6*(36-1))))</f>
        <v>52824</v>
      </c>
      <c r="AO322" s="3">
        <f>IF(37&gt;$C322,"",IF($D322=1,EOMONTH(EDATE(Bonds!$H322,6*(37-1)),0),EDATE(Bonds!$H322,6*(37-1))))</f>
        <v>53008</v>
      </c>
      <c r="AP322" s="3">
        <f>IF(38&gt;$C322,"",IF($D322=1,EOMONTH(EDATE(Bonds!$H322,6*(38-1)),0),EDATE(Bonds!$H322,6*(38-1))))</f>
        <v>53189</v>
      </c>
      <c r="AQ322" s="3">
        <f>IF(39&gt;$C322,"",IF($D322=1,EOMONTH(EDATE(Bonds!$H322,6*(39-1)),0),EDATE(Bonds!$H322,6*(39-1))))</f>
        <v>53373</v>
      </c>
      <c r="AR322" s="3">
        <f>IF(40&gt;$C322,"",IF($D322=1,EOMONTH(EDATE(Bonds!$H322,6*(40-1)),0),EDATE(Bonds!$H322,6*(40-1))))</f>
        <v>53554</v>
      </c>
      <c r="AS322" s="3">
        <f>IF(41&gt;$C322,"",IF($D322=1,EOMONTH(EDATE(Bonds!$H322,6*(41-1)),0),EDATE(Bonds!$H322,6*(41-1))))</f>
        <v>53738</v>
      </c>
      <c r="AT322" s="3" t="str">
        <f>IF(42&gt;$C322,"",IF($D322=1,EOMONTH(EDATE(Bonds!$H322,6*(42-1)),0),EDATE(Bonds!$H322,6*(42-1))))</f>
        <v/>
      </c>
      <c r="AU322" s="3" t="str">
        <f>IF(43&gt;$C322,"",IF($D322=1,EOMONTH(EDATE(Bonds!$H322,6*(43-1)),0),EDATE(Bonds!$H322,6*(43-1))))</f>
        <v/>
      </c>
      <c r="AV322" s="3" t="str">
        <f>IF(44&gt;$C322,"",IF($D322=1,EOMONTH(EDATE(Bonds!$H322,6*(44-1)),0),EDATE(Bonds!$H322,6*(44-1))))</f>
        <v/>
      </c>
      <c r="AW322" s="3" t="str">
        <f>IF(45&gt;$C322,"",IF($D322=1,EOMONTH(EDATE(Bonds!$H322,6*(45-1)),0),EDATE(Bonds!$H322,6*(45-1))))</f>
        <v/>
      </c>
      <c r="AX322" s="3" t="str">
        <f>IF(46&gt;$C322,"",IF($D322=1,EOMONTH(EDATE(Bonds!$H322,6*(46-1)),0),EDATE(Bonds!$H322,6*(46-1))))</f>
        <v/>
      </c>
      <c r="AY322" s="3" t="str">
        <f>IF(47&gt;$C322,"",IF($D322=1,EOMONTH(EDATE(Bonds!$H322,6*(47-1)),0),EDATE(Bonds!$H322,6*(47-1))))</f>
        <v/>
      </c>
      <c r="AZ322" s="3" t="str">
        <f>IF(48&gt;$C322,"",IF($D322=1,EOMONTH(EDATE(Bonds!$H322,6*(48-1)),0),EDATE(Bonds!$H322,6*(48-1))))</f>
        <v/>
      </c>
      <c r="BA322" s="3" t="str">
        <f>IF(49&gt;$C322,"",IF($D322=1,EOMONTH(EDATE(Bonds!$H322,6*(49-1)),0),EDATE(Bonds!$H322,6*(49-1))))</f>
        <v/>
      </c>
      <c r="BB322" s="3" t="str">
        <f>IF(50&gt;$C322,"",IF($D322=1,EOMONTH(EDATE(Bonds!$H322,6*(50-1)),0),EDATE(Bonds!$H322,6*(50-1))))</f>
        <v/>
      </c>
      <c r="BC322" s="3" t="str">
        <f>IF(51&gt;$C322,"",IF($D322=1,EOMONTH(EDATE(Bonds!$H322,6*(51-1)),0),EDATE(Bonds!$H322,6*(51-1))))</f>
        <v/>
      </c>
      <c r="BD322" s="3" t="str">
        <f>IF(52&gt;$C322,"",IF($D322=1,EOMONTH(EDATE(Bonds!$H322,6*(52-1)),0),EDATE(Bonds!$H322,6*(52-1))))</f>
        <v/>
      </c>
      <c r="BE322" s="3" t="str">
        <f>IF(53&gt;$C322,"",IF($D322=1,EOMONTH(EDATE(Bonds!$H322,6*(53-1)),0),EDATE(Bonds!$H322,6*(53-1))))</f>
        <v/>
      </c>
      <c r="BF322" s="3" t="str">
        <f>IF(54&gt;$C322,"",IF($D322=1,EOMONTH(EDATE(Bonds!$H322,6*(54-1)),0),EDATE(Bonds!$H322,6*(54-1))))</f>
        <v/>
      </c>
      <c r="BG322" s="3" t="str">
        <f>IF(55&gt;$C322,"",IF($D322=1,EOMONTH(EDATE(Bonds!$H322,6*(55-1)),0),EDATE(Bonds!$H322,6*(55-1))))</f>
        <v/>
      </c>
      <c r="BH322" s="3" t="str">
        <f>IF(56&gt;$C322,"",IF($D322=1,EOMONTH(EDATE(Bonds!$H322,6*(56-1)),0),EDATE(Bonds!$H322,6*(56-1))))</f>
        <v/>
      </c>
      <c r="BI322" s="3" t="str">
        <f>IF(57&gt;$C322,"",IF($D322=1,EOMONTH(EDATE(Bonds!$H322,6*(57-1)),0),EDATE(Bonds!$H322,6*(57-1))))</f>
        <v/>
      </c>
      <c r="BJ322" s="3" t="str">
        <f>IF(58&gt;$C322,"",IF($D322=1,EOMONTH(EDATE(Bonds!$H322,6*(58-1)),0),EDATE(Bonds!$H322,6*(58-1))))</f>
        <v/>
      </c>
      <c r="BK322" s="3" t="str">
        <f>IF(59&gt;$C322,"",IF($D322=1,EOMONTH(EDATE(Bonds!$H322,6*(59-1)),0),EDATE(Bonds!$H322,6*(59-1))))</f>
        <v/>
      </c>
      <c r="BL322" s="3" t="str">
        <f>IF(60&gt;$C322,"",IF($D322=1,EOMONTH(EDATE(Bonds!$H322,6*(60-1)),0),EDATE(Bonds!$H322,6*(60-1))))</f>
        <v/>
      </c>
      <c r="BN322" s="7">
        <f t="shared" si="245"/>
        <v>1.4745592234215268</v>
      </c>
      <c r="BO322" s="7">
        <f t="shared" si="246"/>
        <v>1.4434779867710825</v>
      </c>
      <c r="BP322" s="7">
        <f t="shared" si="247"/>
        <v>1.4111011617560416</v>
      </c>
      <c r="BQ322" s="7">
        <f t="shared" si="248"/>
        <v>1.3792627088894016</v>
      </c>
      <c r="BR322" s="7">
        <f t="shared" si="249"/>
        <v>1.3477081746177022</v>
      </c>
      <c r="BS322" s="7">
        <f t="shared" si="250"/>
        <v>1.3174260145842727</v>
      </c>
      <c r="BT322" s="7">
        <f t="shared" si="251"/>
        <v>1.2873896018748001</v>
      </c>
      <c r="BU322" s="7">
        <f t="shared" si="252"/>
        <v>1.2584831406180328</v>
      </c>
      <c r="BV322" s="7">
        <f t="shared" si="253"/>
        <v>1.2296276988670014</v>
      </c>
      <c r="BW322" s="7">
        <f t="shared" si="254"/>
        <v>1.2016509394434847</v>
      </c>
      <c r="BX322" s="7">
        <f t="shared" si="255"/>
        <v>1.173528750555604</v>
      </c>
      <c r="BY322" s="7">
        <f t="shared" si="256"/>
        <v>1.1459567038490892</v>
      </c>
      <c r="BZ322" s="7">
        <f t="shared" si="257"/>
        <v>1.1182817317826954</v>
      </c>
      <c r="CA322" s="7">
        <f t="shared" si="258"/>
        <v>1.0912308425531965</v>
      </c>
      <c r="CB322" s="7">
        <f t="shared" si="259"/>
        <v>1.0639029375301776</v>
      </c>
      <c r="CC322" s="7">
        <f t="shared" si="260"/>
        <v>1.0372000670262151</v>
      </c>
      <c r="CD322" s="7">
        <f t="shared" si="261"/>
        <v>1.010259910452932</v>
      </c>
      <c r="CE322" s="7">
        <f t="shared" si="262"/>
        <v>0.98399132832559122</v>
      </c>
      <c r="CF322" s="7">
        <f t="shared" si="263"/>
        <v>0.9575597459737325</v>
      </c>
      <c r="CG322" s="7">
        <f t="shared" si="264"/>
        <v>0.9317240256689383</v>
      </c>
      <c r="CH322" s="7">
        <f t="shared" si="265"/>
        <v>0.90595600051853253</v>
      </c>
      <c r="CI322" s="7">
        <f t="shared" si="266"/>
        <v>0.8809907958911265</v>
      </c>
      <c r="CJ322" s="7">
        <f t="shared" si="267"/>
        <v>0.85603726047881579</v>
      </c>
      <c r="CK322" s="7">
        <f t="shared" si="268"/>
        <v>0.83194187432179612</v>
      </c>
      <c r="CL322" s="7">
        <f t="shared" si="269"/>
        <v>0.80793593998756208</v>
      </c>
      <c r="CM322" s="7">
        <f t="shared" si="270"/>
        <v>0.78482796329434779</v>
      </c>
      <c r="CN322" s="7">
        <f t="shared" si="271"/>
        <v>0.76187430061400907</v>
      </c>
      <c r="CO322" s="7">
        <f t="shared" si="272"/>
        <v>0.73972130795882873</v>
      </c>
      <c r="CP322" s="7">
        <f t="shared" si="273"/>
        <v>0.71789682218407636</v>
      </c>
      <c r="CQ322" s="7">
        <f t="shared" si="274"/>
        <v>0.69700005283591515</v>
      </c>
      <c r="CR322" s="7">
        <f t="shared" si="275"/>
        <v>0.67634590204293987</v>
      </c>
      <c r="CS322" s="7">
        <f t="shared" si="276"/>
        <v>0.65661224709489308</v>
      </c>
      <c r="CT322" s="7">
        <f t="shared" si="277"/>
        <v>0.63714653396964782</v>
      </c>
      <c r="CU322" s="7">
        <f t="shared" si="278"/>
        <v>0.61858254664085766</v>
      </c>
      <c r="CV322" s="7">
        <f t="shared" si="279"/>
        <v>0.60030160465226623</v>
      </c>
      <c r="CW322" s="7">
        <f t="shared" si="280"/>
        <v>0.58280000386009723</v>
      </c>
      <c r="CX322" s="7">
        <f t="shared" si="281"/>
        <v>0.56568593347057838</v>
      </c>
      <c r="CY322" s="7">
        <f t="shared" si="282"/>
        <v>0.54941124319879164</v>
      </c>
      <c r="CZ322" s="7">
        <f t="shared" si="283"/>
        <v>0.53342645716859227</v>
      </c>
      <c r="DA322" s="7">
        <f t="shared" si="284"/>
        <v>0.518241971385065</v>
      </c>
      <c r="DB322" s="7">
        <f t="shared" si="285"/>
        <v>34.059504591940566</v>
      </c>
      <c r="DC322" s="7">
        <f t="shared" si="286"/>
        <v>0</v>
      </c>
      <c r="DD322" s="7">
        <f t="shared" si="287"/>
        <v>0</v>
      </c>
      <c r="DE322" s="7">
        <f t="shared" si="288"/>
        <v>0</v>
      </c>
      <c r="DF322" s="7">
        <f t="shared" si="289"/>
        <v>0</v>
      </c>
      <c r="DG322" s="7">
        <f t="shared" si="290"/>
        <v>0</v>
      </c>
      <c r="DH322" s="7">
        <f t="shared" si="291"/>
        <v>0</v>
      </c>
      <c r="DI322" s="7">
        <f t="shared" si="292"/>
        <v>0</v>
      </c>
      <c r="DJ322" s="7">
        <f t="shared" si="293"/>
        <v>0</v>
      </c>
      <c r="DK322" s="7">
        <f t="shared" si="294"/>
        <v>0</v>
      </c>
      <c r="DL322" s="7">
        <f t="shared" si="295"/>
        <v>0</v>
      </c>
      <c r="DM322" s="7">
        <f t="shared" si="296"/>
        <v>0</v>
      </c>
      <c r="DN322" s="7">
        <f t="shared" si="297"/>
        <v>0</v>
      </c>
      <c r="DO322" s="7">
        <f t="shared" si="298"/>
        <v>0</v>
      </c>
      <c r="DP322" s="7">
        <f t="shared" si="299"/>
        <v>0</v>
      </c>
      <c r="DQ322" s="7">
        <f t="shared" si="300"/>
        <v>0</v>
      </c>
      <c r="DR322" s="7">
        <f t="shared" si="301"/>
        <v>0</v>
      </c>
      <c r="DS322" s="7">
        <f t="shared" si="302"/>
        <v>0</v>
      </c>
      <c r="DT322" s="7">
        <f t="shared" si="303"/>
        <v>0</v>
      </c>
      <c r="DU322" s="7">
        <f t="shared" si="304"/>
        <v>0</v>
      </c>
    </row>
    <row r="323" spans="1:125" x14ac:dyDescent="0.2">
      <c r="A323" s="3">
        <f>Bonds!A323</f>
        <v>53827</v>
      </c>
      <c r="B323" s="4">
        <f>Bonds!B323</f>
        <v>3</v>
      </c>
      <c r="C323">
        <f>Bonds!P323</f>
        <v>42</v>
      </c>
      <c r="D323">
        <f t="shared" si="244"/>
        <v>0</v>
      </c>
      <c r="E323" s="3">
        <f>IF(1&gt;$C323,"",IF($D323=1,EOMONTH(EDATE(Bonds!$H323,6*(1-1)),0),EDATE(Bonds!$H323,6*(1-1))))</f>
        <v>46341</v>
      </c>
      <c r="F323" s="3">
        <f>IF(2&gt;$C323,"",IF($D323=1,EOMONTH(EDATE(Bonds!$H323,6*(2-1)),0),EDATE(Bonds!$H323,6*(2-1))))</f>
        <v>46522</v>
      </c>
      <c r="G323" s="3">
        <f>IF(3&gt;$C323,"",IF($D323=1,EOMONTH(EDATE(Bonds!$H323,6*(3-1)),0),EDATE(Bonds!$H323,6*(3-1))))</f>
        <v>46706</v>
      </c>
      <c r="H323" s="3">
        <f>IF(4&gt;$C323,"",IF($D323=1,EOMONTH(EDATE(Bonds!$H323,6*(4-1)),0),EDATE(Bonds!$H323,6*(4-1))))</f>
        <v>46888</v>
      </c>
      <c r="I323" s="3">
        <f>IF(5&gt;$C323,"",IF($D323=1,EOMONTH(EDATE(Bonds!$H323,6*(5-1)),0),EDATE(Bonds!$H323,6*(5-1))))</f>
        <v>47072</v>
      </c>
      <c r="J323" s="3">
        <f>IF(6&gt;$C323,"",IF($D323=1,EOMONTH(EDATE(Bonds!$H323,6*(6-1)),0),EDATE(Bonds!$H323,6*(6-1))))</f>
        <v>47253</v>
      </c>
      <c r="K323" s="3">
        <f>IF(7&gt;$C323,"",IF($D323=1,EOMONTH(EDATE(Bonds!$H323,6*(7-1)),0),EDATE(Bonds!$H323,6*(7-1))))</f>
        <v>47437</v>
      </c>
      <c r="L323" s="3">
        <f>IF(8&gt;$C323,"",IF($D323=1,EOMONTH(EDATE(Bonds!$H323,6*(8-1)),0),EDATE(Bonds!$H323,6*(8-1))))</f>
        <v>47618</v>
      </c>
      <c r="M323" s="3">
        <f>IF(9&gt;$C323,"",IF($D323=1,EOMONTH(EDATE(Bonds!$H323,6*(9-1)),0),EDATE(Bonds!$H323,6*(9-1))))</f>
        <v>47802</v>
      </c>
      <c r="N323" s="3">
        <f>IF(10&gt;$C323,"",IF($D323=1,EOMONTH(EDATE(Bonds!$H323,6*(10-1)),0),EDATE(Bonds!$H323,6*(10-1))))</f>
        <v>47983</v>
      </c>
      <c r="O323" s="3">
        <f>IF(11&gt;$C323,"",IF($D323=1,EOMONTH(EDATE(Bonds!$H323,6*(11-1)),0),EDATE(Bonds!$H323,6*(11-1))))</f>
        <v>48167</v>
      </c>
      <c r="P323" s="3">
        <f>IF(12&gt;$C323,"",IF($D323=1,EOMONTH(EDATE(Bonds!$H323,6*(12-1)),0),EDATE(Bonds!$H323,6*(12-1))))</f>
        <v>48349</v>
      </c>
      <c r="Q323" s="3">
        <f>IF(13&gt;$C323,"",IF($D323=1,EOMONTH(EDATE(Bonds!$H323,6*(13-1)),0),EDATE(Bonds!$H323,6*(13-1))))</f>
        <v>48533</v>
      </c>
      <c r="R323" s="3">
        <f>IF(14&gt;$C323,"",IF($D323=1,EOMONTH(EDATE(Bonds!$H323,6*(14-1)),0),EDATE(Bonds!$H323,6*(14-1))))</f>
        <v>48714</v>
      </c>
      <c r="S323" s="3">
        <f>IF(15&gt;$C323,"",IF($D323=1,EOMONTH(EDATE(Bonds!$H323,6*(15-1)),0),EDATE(Bonds!$H323,6*(15-1))))</f>
        <v>48898</v>
      </c>
      <c r="T323" s="3">
        <f>IF(16&gt;$C323,"",IF($D323=1,EOMONTH(EDATE(Bonds!$H323,6*(16-1)),0),EDATE(Bonds!$H323,6*(16-1))))</f>
        <v>49079</v>
      </c>
      <c r="U323" s="3">
        <f>IF(17&gt;$C323,"",IF($D323=1,EOMONTH(EDATE(Bonds!$H323,6*(17-1)),0),EDATE(Bonds!$H323,6*(17-1))))</f>
        <v>49263</v>
      </c>
      <c r="V323" s="3">
        <f>IF(18&gt;$C323,"",IF($D323=1,EOMONTH(EDATE(Bonds!$H323,6*(18-1)),0),EDATE(Bonds!$H323,6*(18-1))))</f>
        <v>49444</v>
      </c>
      <c r="W323" s="3">
        <f>IF(19&gt;$C323,"",IF($D323=1,EOMONTH(EDATE(Bonds!$H323,6*(19-1)),0),EDATE(Bonds!$H323,6*(19-1))))</f>
        <v>49628</v>
      </c>
      <c r="X323" s="3">
        <f>IF(20&gt;$C323,"",IF($D323=1,EOMONTH(EDATE(Bonds!$H323,6*(20-1)),0),EDATE(Bonds!$H323,6*(20-1))))</f>
        <v>49810</v>
      </c>
      <c r="Y323" s="3">
        <f>IF(21&gt;$C323,"",IF($D323=1,EOMONTH(EDATE(Bonds!$H323,6*(21-1)),0),EDATE(Bonds!$H323,6*(21-1))))</f>
        <v>49994</v>
      </c>
      <c r="Z323" s="3">
        <f>IF(22&gt;$C323,"",IF($D323=1,EOMONTH(EDATE(Bonds!$H323,6*(22-1)),0),EDATE(Bonds!$H323,6*(22-1))))</f>
        <v>50175</v>
      </c>
      <c r="AA323" s="3">
        <f>IF(23&gt;$C323,"",IF($D323=1,EOMONTH(EDATE(Bonds!$H323,6*(23-1)),0),EDATE(Bonds!$H323,6*(23-1))))</f>
        <v>50359</v>
      </c>
      <c r="AB323" s="3">
        <f>IF(24&gt;$C323,"",IF($D323=1,EOMONTH(EDATE(Bonds!$H323,6*(24-1)),0),EDATE(Bonds!$H323,6*(24-1))))</f>
        <v>50540</v>
      </c>
      <c r="AC323" s="3">
        <f>IF(25&gt;$C323,"",IF($D323=1,EOMONTH(EDATE(Bonds!$H323,6*(25-1)),0),EDATE(Bonds!$H323,6*(25-1))))</f>
        <v>50724</v>
      </c>
      <c r="AD323" s="3">
        <f>IF(26&gt;$C323,"",IF($D323=1,EOMONTH(EDATE(Bonds!$H323,6*(26-1)),0),EDATE(Bonds!$H323,6*(26-1))))</f>
        <v>50905</v>
      </c>
      <c r="AE323" s="3">
        <f>IF(27&gt;$C323,"",IF($D323=1,EOMONTH(EDATE(Bonds!$H323,6*(27-1)),0),EDATE(Bonds!$H323,6*(27-1))))</f>
        <v>51089</v>
      </c>
      <c r="AF323" s="3">
        <f>IF(28&gt;$C323,"",IF($D323=1,EOMONTH(EDATE(Bonds!$H323,6*(28-1)),0),EDATE(Bonds!$H323,6*(28-1))))</f>
        <v>51271</v>
      </c>
      <c r="AG323" s="3">
        <f>IF(29&gt;$C323,"",IF($D323=1,EOMONTH(EDATE(Bonds!$H323,6*(29-1)),0),EDATE(Bonds!$H323,6*(29-1))))</f>
        <v>51455</v>
      </c>
      <c r="AH323" s="3">
        <f>IF(30&gt;$C323,"",IF($D323=1,EOMONTH(EDATE(Bonds!$H323,6*(30-1)),0),EDATE(Bonds!$H323,6*(30-1))))</f>
        <v>51636</v>
      </c>
      <c r="AI323" s="3">
        <f>IF(31&gt;$C323,"",IF($D323=1,EOMONTH(EDATE(Bonds!$H323,6*(31-1)),0),EDATE(Bonds!$H323,6*(31-1))))</f>
        <v>51820</v>
      </c>
      <c r="AJ323" s="3">
        <f>IF(32&gt;$C323,"",IF($D323=1,EOMONTH(EDATE(Bonds!$H323,6*(32-1)),0),EDATE(Bonds!$H323,6*(32-1))))</f>
        <v>52001</v>
      </c>
      <c r="AK323" s="3">
        <f>IF(33&gt;$C323,"",IF($D323=1,EOMONTH(EDATE(Bonds!$H323,6*(33-1)),0),EDATE(Bonds!$H323,6*(33-1))))</f>
        <v>52185</v>
      </c>
      <c r="AL323" s="3">
        <f>IF(34&gt;$C323,"",IF($D323=1,EOMONTH(EDATE(Bonds!$H323,6*(34-1)),0),EDATE(Bonds!$H323,6*(34-1))))</f>
        <v>52366</v>
      </c>
      <c r="AM323" s="3">
        <f>IF(35&gt;$C323,"",IF($D323=1,EOMONTH(EDATE(Bonds!$H323,6*(35-1)),0),EDATE(Bonds!$H323,6*(35-1))))</f>
        <v>52550</v>
      </c>
      <c r="AN323" s="3">
        <f>IF(36&gt;$C323,"",IF($D323=1,EOMONTH(EDATE(Bonds!$H323,6*(36-1)),0),EDATE(Bonds!$H323,6*(36-1))))</f>
        <v>52732</v>
      </c>
      <c r="AO323" s="3">
        <f>IF(37&gt;$C323,"",IF($D323=1,EOMONTH(EDATE(Bonds!$H323,6*(37-1)),0),EDATE(Bonds!$H323,6*(37-1))))</f>
        <v>52916</v>
      </c>
      <c r="AP323" s="3">
        <f>IF(38&gt;$C323,"",IF($D323=1,EOMONTH(EDATE(Bonds!$H323,6*(38-1)),0),EDATE(Bonds!$H323,6*(38-1))))</f>
        <v>53097</v>
      </c>
      <c r="AQ323" s="3">
        <f>IF(39&gt;$C323,"",IF($D323=1,EOMONTH(EDATE(Bonds!$H323,6*(39-1)),0),EDATE(Bonds!$H323,6*(39-1))))</f>
        <v>53281</v>
      </c>
      <c r="AR323" s="3">
        <f>IF(40&gt;$C323,"",IF($D323=1,EOMONTH(EDATE(Bonds!$H323,6*(40-1)),0),EDATE(Bonds!$H323,6*(40-1))))</f>
        <v>53462</v>
      </c>
      <c r="AS323" s="3">
        <f>IF(41&gt;$C323,"",IF($D323=1,EOMONTH(EDATE(Bonds!$H323,6*(41-1)),0),EDATE(Bonds!$H323,6*(41-1))))</f>
        <v>53646</v>
      </c>
      <c r="AT323" s="3">
        <f>IF(42&gt;$C323,"",IF($D323=1,EOMONTH(EDATE(Bonds!$H323,6*(42-1)),0),EDATE(Bonds!$H323,6*(42-1))))</f>
        <v>53827</v>
      </c>
      <c r="AU323" s="3" t="str">
        <f>IF(43&gt;$C323,"",IF($D323=1,EOMONTH(EDATE(Bonds!$H323,6*(43-1)),0),EDATE(Bonds!$H323,6*(43-1))))</f>
        <v/>
      </c>
      <c r="AV323" s="3" t="str">
        <f>IF(44&gt;$C323,"",IF($D323=1,EOMONTH(EDATE(Bonds!$H323,6*(44-1)),0),EDATE(Bonds!$H323,6*(44-1))))</f>
        <v/>
      </c>
      <c r="AW323" s="3" t="str">
        <f>IF(45&gt;$C323,"",IF($D323=1,EOMONTH(EDATE(Bonds!$H323,6*(45-1)),0),EDATE(Bonds!$H323,6*(45-1))))</f>
        <v/>
      </c>
      <c r="AX323" s="3" t="str">
        <f>IF(46&gt;$C323,"",IF($D323=1,EOMONTH(EDATE(Bonds!$H323,6*(46-1)),0),EDATE(Bonds!$H323,6*(46-1))))</f>
        <v/>
      </c>
      <c r="AY323" s="3" t="str">
        <f>IF(47&gt;$C323,"",IF($D323=1,EOMONTH(EDATE(Bonds!$H323,6*(47-1)),0),EDATE(Bonds!$H323,6*(47-1))))</f>
        <v/>
      </c>
      <c r="AZ323" s="3" t="str">
        <f>IF(48&gt;$C323,"",IF($D323=1,EOMONTH(EDATE(Bonds!$H323,6*(48-1)),0),EDATE(Bonds!$H323,6*(48-1))))</f>
        <v/>
      </c>
      <c r="BA323" s="3" t="str">
        <f>IF(49&gt;$C323,"",IF($D323=1,EOMONTH(EDATE(Bonds!$H323,6*(49-1)),0),EDATE(Bonds!$H323,6*(49-1))))</f>
        <v/>
      </c>
      <c r="BB323" s="3" t="str">
        <f>IF(50&gt;$C323,"",IF($D323=1,EOMONTH(EDATE(Bonds!$H323,6*(50-1)),0),EDATE(Bonds!$H323,6*(50-1))))</f>
        <v/>
      </c>
      <c r="BC323" s="3" t="str">
        <f>IF(51&gt;$C323,"",IF($D323=1,EOMONTH(EDATE(Bonds!$H323,6*(51-1)),0),EDATE(Bonds!$H323,6*(51-1))))</f>
        <v/>
      </c>
      <c r="BD323" s="3" t="str">
        <f>IF(52&gt;$C323,"",IF($D323=1,EOMONTH(EDATE(Bonds!$H323,6*(52-1)),0),EDATE(Bonds!$H323,6*(52-1))))</f>
        <v/>
      </c>
      <c r="BE323" s="3" t="str">
        <f>IF(53&gt;$C323,"",IF($D323=1,EOMONTH(EDATE(Bonds!$H323,6*(53-1)),0),EDATE(Bonds!$H323,6*(53-1))))</f>
        <v/>
      </c>
      <c r="BF323" s="3" t="str">
        <f>IF(54&gt;$C323,"",IF($D323=1,EOMONTH(EDATE(Bonds!$H323,6*(54-1)),0),EDATE(Bonds!$H323,6*(54-1))))</f>
        <v/>
      </c>
      <c r="BG323" s="3" t="str">
        <f>IF(55&gt;$C323,"",IF($D323=1,EOMONTH(EDATE(Bonds!$H323,6*(55-1)),0),EDATE(Bonds!$H323,6*(55-1))))</f>
        <v/>
      </c>
      <c r="BH323" s="3" t="str">
        <f>IF(56&gt;$C323,"",IF($D323=1,EOMONTH(EDATE(Bonds!$H323,6*(56-1)),0),EDATE(Bonds!$H323,6*(56-1))))</f>
        <v/>
      </c>
      <c r="BI323" s="3" t="str">
        <f>IF(57&gt;$C323,"",IF($D323=1,EOMONTH(EDATE(Bonds!$H323,6*(57-1)),0),EDATE(Bonds!$H323,6*(57-1))))</f>
        <v/>
      </c>
      <c r="BJ323" s="3" t="str">
        <f>IF(58&gt;$C323,"",IF($D323=1,EOMONTH(EDATE(Bonds!$H323,6*(58-1)),0),EDATE(Bonds!$H323,6*(58-1))))</f>
        <v/>
      </c>
      <c r="BK323" s="3" t="str">
        <f>IF(59&gt;$C323,"",IF($D323=1,EOMONTH(EDATE(Bonds!$H323,6*(59-1)),0),EDATE(Bonds!$H323,6*(59-1))))</f>
        <v/>
      </c>
      <c r="BL323" s="3" t="str">
        <f>IF(60&gt;$C323,"",IF($D323=1,EOMONTH(EDATE(Bonds!$H323,6*(60-1)),0),EDATE(Bonds!$H323,6*(60-1))))</f>
        <v/>
      </c>
      <c r="BN323" s="7">
        <f t="shared" si="245"/>
        <v>1.4895383739000279</v>
      </c>
      <c r="BO323" s="7">
        <f t="shared" si="246"/>
        <v>1.4594594779380694</v>
      </c>
      <c r="BP323" s="7">
        <f t="shared" si="247"/>
        <v>1.427311242824425</v>
      </c>
      <c r="BQ323" s="7">
        <f t="shared" si="248"/>
        <v>1.3952972121704836</v>
      </c>
      <c r="BR323" s="7">
        <f t="shared" si="249"/>
        <v>1.3633919042106983</v>
      </c>
      <c r="BS323" s="7">
        <f t="shared" si="250"/>
        <v>1.3327230031030199</v>
      </c>
      <c r="BT323" s="7">
        <f t="shared" si="251"/>
        <v>1.3023186741854413</v>
      </c>
      <c r="BU323" s="7">
        <f t="shared" si="252"/>
        <v>1.2731037686346938</v>
      </c>
      <c r="BV323" s="7">
        <f t="shared" si="253"/>
        <v>1.2439961992433619</v>
      </c>
      <c r="BW323" s="7">
        <f t="shared" si="254"/>
        <v>1.2158269714883776</v>
      </c>
      <c r="BX323" s="7">
        <f t="shared" si="255"/>
        <v>1.18755485282861</v>
      </c>
      <c r="BY323" s="7">
        <f t="shared" si="256"/>
        <v>1.1598672873295439</v>
      </c>
      <c r="BZ323" s="7">
        <f t="shared" si="257"/>
        <v>1.1320960779065503</v>
      </c>
      <c r="CA323" s="7">
        <f t="shared" si="258"/>
        <v>1.1049597095186465</v>
      </c>
      <c r="CB323" s="7">
        <f t="shared" si="259"/>
        <v>1.0775449146276199</v>
      </c>
      <c r="CC323" s="7">
        <f t="shared" si="260"/>
        <v>1.0507493936452232</v>
      </c>
      <c r="CD323" s="7">
        <f t="shared" si="261"/>
        <v>1.0237023229840678</v>
      </c>
      <c r="CE323" s="7">
        <f t="shared" si="262"/>
        <v>0.99731241179132524</v>
      </c>
      <c r="CF323" s="7">
        <f t="shared" si="263"/>
        <v>0.97073880964287673</v>
      </c>
      <c r="CG323" s="7">
        <f t="shared" si="264"/>
        <v>0.94474305095502098</v>
      </c>
      <c r="CH323" s="7">
        <f t="shared" si="265"/>
        <v>0.91879336132563816</v>
      </c>
      <c r="CI323" s="7">
        <f t="shared" si="266"/>
        <v>0.89363059488212826</v>
      </c>
      <c r="CJ323" s="7">
        <f t="shared" si="267"/>
        <v>0.86845823325031124</v>
      </c>
      <c r="CK323" s="7">
        <f t="shared" si="268"/>
        <v>0.84413141439219919</v>
      </c>
      <c r="CL323" s="7">
        <f t="shared" si="269"/>
        <v>0.81987556482184709</v>
      </c>
      <c r="CM323" s="7">
        <f t="shared" si="270"/>
        <v>0.79650922624555343</v>
      </c>
      <c r="CN323" s="7">
        <f t="shared" si="271"/>
        <v>0.7732821673153667</v>
      </c>
      <c r="CO323" s="7">
        <f t="shared" si="272"/>
        <v>0.75085002400057643</v>
      </c>
      <c r="CP323" s="7">
        <f t="shared" si="273"/>
        <v>0.72873640527376082</v>
      </c>
      <c r="CQ323" s="7">
        <f t="shared" si="274"/>
        <v>0.70755020024057091</v>
      </c>
      <c r="CR323" s="7">
        <f t="shared" si="275"/>
        <v>0.68659840000313088</v>
      </c>
      <c r="CS323" s="7">
        <f t="shared" si="276"/>
        <v>0.66657010524756211</v>
      </c>
      <c r="CT323" s="7">
        <f t="shared" si="277"/>
        <v>0.64680440642580495</v>
      </c>
      <c r="CU323" s="7">
        <f t="shared" si="278"/>
        <v>0.62794611222090424</v>
      </c>
      <c r="CV323" s="7">
        <f t="shared" si="279"/>
        <v>0.60936791671570423</v>
      </c>
      <c r="CW323" s="7">
        <f t="shared" si="280"/>
        <v>0.59157519282468729</v>
      </c>
      <c r="CX323" s="7">
        <f t="shared" si="281"/>
        <v>0.57417060245235152</v>
      </c>
      <c r="CY323" s="7">
        <f t="shared" si="282"/>
        <v>0.5576145905808042</v>
      </c>
      <c r="CZ323" s="7">
        <f t="shared" si="283"/>
        <v>0.54134899018072524</v>
      </c>
      <c r="DA323" s="7">
        <f t="shared" si="284"/>
        <v>0.52589387422038347</v>
      </c>
      <c r="DB323" s="7">
        <f t="shared" si="285"/>
        <v>0.51072535564802135</v>
      </c>
      <c r="DC323" s="7">
        <f t="shared" si="286"/>
        <v>33.584721984763874</v>
      </c>
      <c r="DD323" s="7">
        <f t="shared" si="287"/>
        <v>0</v>
      </c>
      <c r="DE323" s="7">
        <f t="shared" si="288"/>
        <v>0</v>
      </c>
      <c r="DF323" s="7">
        <f t="shared" si="289"/>
        <v>0</v>
      </c>
      <c r="DG323" s="7">
        <f t="shared" si="290"/>
        <v>0</v>
      </c>
      <c r="DH323" s="7">
        <f t="shared" si="291"/>
        <v>0</v>
      </c>
      <c r="DI323" s="7">
        <f t="shared" si="292"/>
        <v>0</v>
      </c>
      <c r="DJ323" s="7">
        <f t="shared" si="293"/>
        <v>0</v>
      </c>
      <c r="DK323" s="7">
        <f t="shared" si="294"/>
        <v>0</v>
      </c>
      <c r="DL323" s="7">
        <f t="shared" si="295"/>
        <v>0</v>
      </c>
      <c r="DM323" s="7">
        <f t="shared" si="296"/>
        <v>0</v>
      </c>
      <c r="DN323" s="7">
        <f t="shared" si="297"/>
        <v>0</v>
      </c>
      <c r="DO323" s="7">
        <f t="shared" si="298"/>
        <v>0</v>
      </c>
      <c r="DP323" s="7">
        <f t="shared" si="299"/>
        <v>0</v>
      </c>
      <c r="DQ323" s="7">
        <f t="shared" si="300"/>
        <v>0</v>
      </c>
      <c r="DR323" s="7">
        <f t="shared" si="301"/>
        <v>0</v>
      </c>
      <c r="DS323" s="7">
        <f t="shared" si="302"/>
        <v>0</v>
      </c>
      <c r="DT323" s="7">
        <f t="shared" si="303"/>
        <v>0</v>
      </c>
      <c r="DU323" s="7">
        <f t="shared" si="304"/>
        <v>0</v>
      </c>
    </row>
    <row r="324" spans="1:125" x14ac:dyDescent="0.2">
      <c r="A324" s="3">
        <f>Bonds!A324</f>
        <v>53919</v>
      </c>
      <c r="B324" s="4">
        <f>Bonds!B324</f>
        <v>2.75</v>
      </c>
      <c r="C324">
        <f>Bonds!P324</f>
        <v>42</v>
      </c>
      <c r="D324">
        <f t="shared" si="244"/>
        <v>0</v>
      </c>
      <c r="E324" s="3">
        <f>IF(1&gt;$C324,"",IF($D324=1,EOMONTH(EDATE(Bonds!$H324,6*(1-1)),0),EDATE(Bonds!$H324,6*(1-1))))</f>
        <v>46433</v>
      </c>
      <c r="F324" s="3">
        <f>IF(2&gt;$C324,"",IF($D324=1,EOMONTH(EDATE(Bonds!$H324,6*(2-1)),0),EDATE(Bonds!$H324,6*(2-1))))</f>
        <v>46614</v>
      </c>
      <c r="G324" s="3">
        <f>IF(3&gt;$C324,"",IF($D324=1,EOMONTH(EDATE(Bonds!$H324,6*(3-1)),0),EDATE(Bonds!$H324,6*(3-1))))</f>
        <v>46798</v>
      </c>
      <c r="H324" s="3">
        <f>IF(4&gt;$C324,"",IF($D324=1,EOMONTH(EDATE(Bonds!$H324,6*(4-1)),0),EDATE(Bonds!$H324,6*(4-1))))</f>
        <v>46980</v>
      </c>
      <c r="I324" s="3">
        <f>IF(5&gt;$C324,"",IF($D324=1,EOMONTH(EDATE(Bonds!$H324,6*(5-1)),0),EDATE(Bonds!$H324,6*(5-1))))</f>
        <v>47164</v>
      </c>
      <c r="J324" s="3">
        <f>IF(6&gt;$C324,"",IF($D324=1,EOMONTH(EDATE(Bonds!$H324,6*(6-1)),0),EDATE(Bonds!$H324,6*(6-1))))</f>
        <v>47345</v>
      </c>
      <c r="K324" s="3">
        <f>IF(7&gt;$C324,"",IF($D324=1,EOMONTH(EDATE(Bonds!$H324,6*(7-1)),0),EDATE(Bonds!$H324,6*(7-1))))</f>
        <v>47529</v>
      </c>
      <c r="L324" s="3">
        <f>IF(8&gt;$C324,"",IF($D324=1,EOMONTH(EDATE(Bonds!$H324,6*(8-1)),0),EDATE(Bonds!$H324,6*(8-1))))</f>
        <v>47710</v>
      </c>
      <c r="M324" s="3">
        <f>IF(9&gt;$C324,"",IF($D324=1,EOMONTH(EDATE(Bonds!$H324,6*(9-1)),0),EDATE(Bonds!$H324,6*(9-1))))</f>
        <v>47894</v>
      </c>
      <c r="N324" s="3">
        <f>IF(10&gt;$C324,"",IF($D324=1,EOMONTH(EDATE(Bonds!$H324,6*(10-1)),0),EDATE(Bonds!$H324,6*(10-1))))</f>
        <v>48075</v>
      </c>
      <c r="O324" s="3">
        <f>IF(11&gt;$C324,"",IF($D324=1,EOMONTH(EDATE(Bonds!$H324,6*(11-1)),0),EDATE(Bonds!$H324,6*(11-1))))</f>
        <v>48259</v>
      </c>
      <c r="P324" s="3">
        <f>IF(12&gt;$C324,"",IF($D324=1,EOMONTH(EDATE(Bonds!$H324,6*(12-1)),0),EDATE(Bonds!$H324,6*(12-1))))</f>
        <v>48441</v>
      </c>
      <c r="Q324" s="3">
        <f>IF(13&gt;$C324,"",IF($D324=1,EOMONTH(EDATE(Bonds!$H324,6*(13-1)),0),EDATE(Bonds!$H324,6*(13-1))))</f>
        <v>48625</v>
      </c>
      <c r="R324" s="3">
        <f>IF(14&gt;$C324,"",IF($D324=1,EOMONTH(EDATE(Bonds!$H324,6*(14-1)),0),EDATE(Bonds!$H324,6*(14-1))))</f>
        <v>48806</v>
      </c>
      <c r="S324" s="3">
        <f>IF(15&gt;$C324,"",IF($D324=1,EOMONTH(EDATE(Bonds!$H324,6*(15-1)),0),EDATE(Bonds!$H324,6*(15-1))))</f>
        <v>48990</v>
      </c>
      <c r="T324" s="3">
        <f>IF(16&gt;$C324,"",IF($D324=1,EOMONTH(EDATE(Bonds!$H324,6*(16-1)),0),EDATE(Bonds!$H324,6*(16-1))))</f>
        <v>49171</v>
      </c>
      <c r="U324" s="3">
        <f>IF(17&gt;$C324,"",IF($D324=1,EOMONTH(EDATE(Bonds!$H324,6*(17-1)),0),EDATE(Bonds!$H324,6*(17-1))))</f>
        <v>49355</v>
      </c>
      <c r="V324" s="3">
        <f>IF(18&gt;$C324,"",IF($D324=1,EOMONTH(EDATE(Bonds!$H324,6*(18-1)),0),EDATE(Bonds!$H324,6*(18-1))))</f>
        <v>49536</v>
      </c>
      <c r="W324" s="3">
        <f>IF(19&gt;$C324,"",IF($D324=1,EOMONTH(EDATE(Bonds!$H324,6*(19-1)),0),EDATE(Bonds!$H324,6*(19-1))))</f>
        <v>49720</v>
      </c>
      <c r="X324" s="3">
        <f>IF(20&gt;$C324,"",IF($D324=1,EOMONTH(EDATE(Bonds!$H324,6*(20-1)),0),EDATE(Bonds!$H324,6*(20-1))))</f>
        <v>49902</v>
      </c>
      <c r="Y324" s="3">
        <f>IF(21&gt;$C324,"",IF($D324=1,EOMONTH(EDATE(Bonds!$H324,6*(21-1)),0),EDATE(Bonds!$H324,6*(21-1))))</f>
        <v>50086</v>
      </c>
      <c r="Z324" s="3">
        <f>IF(22&gt;$C324,"",IF($D324=1,EOMONTH(EDATE(Bonds!$H324,6*(22-1)),0),EDATE(Bonds!$H324,6*(22-1))))</f>
        <v>50267</v>
      </c>
      <c r="AA324" s="3">
        <f>IF(23&gt;$C324,"",IF($D324=1,EOMONTH(EDATE(Bonds!$H324,6*(23-1)),0),EDATE(Bonds!$H324,6*(23-1))))</f>
        <v>50451</v>
      </c>
      <c r="AB324" s="3">
        <f>IF(24&gt;$C324,"",IF($D324=1,EOMONTH(EDATE(Bonds!$H324,6*(24-1)),0),EDATE(Bonds!$H324,6*(24-1))))</f>
        <v>50632</v>
      </c>
      <c r="AC324" s="3">
        <f>IF(25&gt;$C324,"",IF($D324=1,EOMONTH(EDATE(Bonds!$H324,6*(25-1)),0),EDATE(Bonds!$H324,6*(25-1))))</f>
        <v>50816</v>
      </c>
      <c r="AD324" s="3">
        <f>IF(26&gt;$C324,"",IF($D324=1,EOMONTH(EDATE(Bonds!$H324,6*(26-1)),0),EDATE(Bonds!$H324,6*(26-1))))</f>
        <v>50997</v>
      </c>
      <c r="AE324" s="3">
        <f>IF(27&gt;$C324,"",IF($D324=1,EOMONTH(EDATE(Bonds!$H324,6*(27-1)),0),EDATE(Bonds!$H324,6*(27-1))))</f>
        <v>51181</v>
      </c>
      <c r="AF324" s="3">
        <f>IF(28&gt;$C324,"",IF($D324=1,EOMONTH(EDATE(Bonds!$H324,6*(28-1)),0),EDATE(Bonds!$H324,6*(28-1))))</f>
        <v>51363</v>
      </c>
      <c r="AG324" s="3">
        <f>IF(29&gt;$C324,"",IF($D324=1,EOMONTH(EDATE(Bonds!$H324,6*(29-1)),0),EDATE(Bonds!$H324,6*(29-1))))</f>
        <v>51547</v>
      </c>
      <c r="AH324" s="3">
        <f>IF(30&gt;$C324,"",IF($D324=1,EOMONTH(EDATE(Bonds!$H324,6*(30-1)),0),EDATE(Bonds!$H324,6*(30-1))))</f>
        <v>51728</v>
      </c>
      <c r="AI324" s="3">
        <f>IF(31&gt;$C324,"",IF($D324=1,EOMONTH(EDATE(Bonds!$H324,6*(31-1)),0),EDATE(Bonds!$H324,6*(31-1))))</f>
        <v>51912</v>
      </c>
      <c r="AJ324" s="3">
        <f>IF(32&gt;$C324,"",IF($D324=1,EOMONTH(EDATE(Bonds!$H324,6*(32-1)),0),EDATE(Bonds!$H324,6*(32-1))))</f>
        <v>52093</v>
      </c>
      <c r="AK324" s="3">
        <f>IF(33&gt;$C324,"",IF($D324=1,EOMONTH(EDATE(Bonds!$H324,6*(33-1)),0),EDATE(Bonds!$H324,6*(33-1))))</f>
        <v>52277</v>
      </c>
      <c r="AL324" s="3">
        <f>IF(34&gt;$C324,"",IF($D324=1,EOMONTH(EDATE(Bonds!$H324,6*(34-1)),0),EDATE(Bonds!$H324,6*(34-1))))</f>
        <v>52458</v>
      </c>
      <c r="AM324" s="3">
        <f>IF(35&gt;$C324,"",IF($D324=1,EOMONTH(EDATE(Bonds!$H324,6*(35-1)),0),EDATE(Bonds!$H324,6*(35-1))))</f>
        <v>52642</v>
      </c>
      <c r="AN324" s="3">
        <f>IF(36&gt;$C324,"",IF($D324=1,EOMONTH(EDATE(Bonds!$H324,6*(36-1)),0),EDATE(Bonds!$H324,6*(36-1))))</f>
        <v>52824</v>
      </c>
      <c r="AO324" s="3">
        <f>IF(37&gt;$C324,"",IF($D324=1,EOMONTH(EDATE(Bonds!$H324,6*(37-1)),0),EDATE(Bonds!$H324,6*(37-1))))</f>
        <v>53008</v>
      </c>
      <c r="AP324" s="3">
        <f>IF(38&gt;$C324,"",IF($D324=1,EOMONTH(EDATE(Bonds!$H324,6*(38-1)),0),EDATE(Bonds!$H324,6*(38-1))))</f>
        <v>53189</v>
      </c>
      <c r="AQ324" s="3">
        <f>IF(39&gt;$C324,"",IF($D324=1,EOMONTH(EDATE(Bonds!$H324,6*(39-1)),0),EDATE(Bonds!$H324,6*(39-1))))</f>
        <v>53373</v>
      </c>
      <c r="AR324" s="3">
        <f>IF(40&gt;$C324,"",IF($D324=1,EOMONTH(EDATE(Bonds!$H324,6*(40-1)),0),EDATE(Bonds!$H324,6*(40-1))))</f>
        <v>53554</v>
      </c>
      <c r="AS324" s="3">
        <f>IF(41&gt;$C324,"",IF($D324=1,EOMONTH(EDATE(Bonds!$H324,6*(41-1)),0),EDATE(Bonds!$H324,6*(41-1))))</f>
        <v>53738</v>
      </c>
      <c r="AT324" s="3">
        <f>IF(42&gt;$C324,"",IF($D324=1,EOMONTH(EDATE(Bonds!$H324,6*(42-1)),0),EDATE(Bonds!$H324,6*(42-1))))</f>
        <v>53919</v>
      </c>
      <c r="AU324" s="3" t="str">
        <f>IF(43&gt;$C324,"",IF($D324=1,EOMONTH(EDATE(Bonds!$H324,6*(43-1)),0),EDATE(Bonds!$H324,6*(43-1))))</f>
        <v/>
      </c>
      <c r="AV324" s="3" t="str">
        <f>IF(44&gt;$C324,"",IF($D324=1,EOMONTH(EDATE(Bonds!$H324,6*(44-1)),0),EDATE(Bonds!$H324,6*(44-1))))</f>
        <v/>
      </c>
      <c r="AW324" s="3" t="str">
        <f>IF(45&gt;$C324,"",IF($D324=1,EOMONTH(EDATE(Bonds!$H324,6*(45-1)),0),EDATE(Bonds!$H324,6*(45-1))))</f>
        <v/>
      </c>
      <c r="AX324" s="3" t="str">
        <f>IF(46&gt;$C324,"",IF($D324=1,EOMONTH(EDATE(Bonds!$H324,6*(46-1)),0),EDATE(Bonds!$H324,6*(46-1))))</f>
        <v/>
      </c>
      <c r="AY324" s="3" t="str">
        <f>IF(47&gt;$C324,"",IF($D324=1,EOMONTH(EDATE(Bonds!$H324,6*(47-1)),0),EDATE(Bonds!$H324,6*(47-1))))</f>
        <v/>
      </c>
      <c r="AZ324" s="3" t="str">
        <f>IF(48&gt;$C324,"",IF($D324=1,EOMONTH(EDATE(Bonds!$H324,6*(48-1)),0),EDATE(Bonds!$H324,6*(48-1))))</f>
        <v/>
      </c>
      <c r="BA324" s="3" t="str">
        <f>IF(49&gt;$C324,"",IF($D324=1,EOMONTH(EDATE(Bonds!$H324,6*(49-1)),0),EDATE(Bonds!$H324,6*(49-1))))</f>
        <v/>
      </c>
      <c r="BB324" s="3" t="str">
        <f>IF(50&gt;$C324,"",IF($D324=1,EOMONTH(EDATE(Bonds!$H324,6*(50-1)),0),EDATE(Bonds!$H324,6*(50-1))))</f>
        <v/>
      </c>
      <c r="BC324" s="3" t="str">
        <f>IF(51&gt;$C324,"",IF($D324=1,EOMONTH(EDATE(Bonds!$H324,6*(51-1)),0),EDATE(Bonds!$H324,6*(51-1))))</f>
        <v/>
      </c>
      <c r="BD324" s="3" t="str">
        <f>IF(52&gt;$C324,"",IF($D324=1,EOMONTH(EDATE(Bonds!$H324,6*(52-1)),0),EDATE(Bonds!$H324,6*(52-1))))</f>
        <v/>
      </c>
      <c r="BE324" s="3" t="str">
        <f>IF(53&gt;$C324,"",IF($D324=1,EOMONTH(EDATE(Bonds!$H324,6*(53-1)),0),EDATE(Bonds!$H324,6*(53-1))))</f>
        <v/>
      </c>
      <c r="BF324" s="3" t="str">
        <f>IF(54&gt;$C324,"",IF($D324=1,EOMONTH(EDATE(Bonds!$H324,6*(54-1)),0),EDATE(Bonds!$H324,6*(54-1))))</f>
        <v/>
      </c>
      <c r="BG324" s="3" t="str">
        <f>IF(55&gt;$C324,"",IF($D324=1,EOMONTH(EDATE(Bonds!$H324,6*(55-1)),0),EDATE(Bonds!$H324,6*(55-1))))</f>
        <v/>
      </c>
      <c r="BH324" s="3" t="str">
        <f>IF(56&gt;$C324,"",IF($D324=1,EOMONTH(EDATE(Bonds!$H324,6*(56-1)),0),EDATE(Bonds!$H324,6*(56-1))))</f>
        <v/>
      </c>
      <c r="BI324" s="3" t="str">
        <f>IF(57&gt;$C324,"",IF($D324=1,EOMONTH(EDATE(Bonds!$H324,6*(57-1)),0),EDATE(Bonds!$H324,6*(57-1))))</f>
        <v/>
      </c>
      <c r="BJ324" s="3" t="str">
        <f>IF(58&gt;$C324,"",IF($D324=1,EOMONTH(EDATE(Bonds!$H324,6*(58-1)),0),EDATE(Bonds!$H324,6*(58-1))))</f>
        <v/>
      </c>
      <c r="BK324" s="3" t="str">
        <f>IF(59&gt;$C324,"",IF($D324=1,EOMONTH(EDATE(Bonds!$H324,6*(59-1)),0),EDATE(Bonds!$H324,6*(59-1))))</f>
        <v/>
      </c>
      <c r="BL324" s="3" t="str">
        <f>IF(60&gt;$C324,"",IF($D324=1,EOMONTH(EDATE(Bonds!$H324,6*(60-1)),0),EDATE(Bonds!$H324,6*(60-1))))</f>
        <v/>
      </c>
      <c r="BN324" s="7">
        <f t="shared" si="245"/>
        <v>1.3516792881363997</v>
      </c>
      <c r="BO324" s="7">
        <f t="shared" si="246"/>
        <v>1.3231881545401589</v>
      </c>
      <c r="BP324" s="7">
        <f t="shared" si="247"/>
        <v>1.2935093982763715</v>
      </c>
      <c r="BQ324" s="7">
        <f t="shared" si="248"/>
        <v>1.2643241498152848</v>
      </c>
      <c r="BR324" s="7">
        <f t="shared" si="249"/>
        <v>1.2353991600662271</v>
      </c>
      <c r="BS324" s="7">
        <f t="shared" si="250"/>
        <v>1.2076405133689168</v>
      </c>
      <c r="BT324" s="7">
        <f t="shared" si="251"/>
        <v>1.1801071350519001</v>
      </c>
      <c r="BU324" s="7">
        <f t="shared" si="252"/>
        <v>1.1536095455665301</v>
      </c>
      <c r="BV324" s="7">
        <f t="shared" si="253"/>
        <v>1.127158723961418</v>
      </c>
      <c r="BW324" s="7">
        <f t="shared" si="254"/>
        <v>1.1015133611565275</v>
      </c>
      <c r="BX324" s="7">
        <f t="shared" si="255"/>
        <v>1.0757346880093035</v>
      </c>
      <c r="BY324" s="7">
        <f t="shared" si="256"/>
        <v>1.0504603118616651</v>
      </c>
      <c r="BZ324" s="7">
        <f t="shared" si="257"/>
        <v>1.0250915874674709</v>
      </c>
      <c r="CA324" s="7">
        <f t="shared" si="258"/>
        <v>1.0002949390070968</v>
      </c>
      <c r="CB324" s="7">
        <f t="shared" si="259"/>
        <v>0.97524435940266285</v>
      </c>
      <c r="CC324" s="7">
        <f t="shared" si="260"/>
        <v>0.95076672810736396</v>
      </c>
      <c r="CD324" s="7">
        <f t="shared" si="261"/>
        <v>0.92607158458185435</v>
      </c>
      <c r="CE324" s="7">
        <f t="shared" si="262"/>
        <v>0.90199205096512525</v>
      </c>
      <c r="CF324" s="7">
        <f t="shared" si="263"/>
        <v>0.87776310047592143</v>
      </c>
      <c r="CG324" s="7">
        <f t="shared" si="264"/>
        <v>0.85408035686319339</v>
      </c>
      <c r="CH324" s="7">
        <f t="shared" si="265"/>
        <v>0.83045966714198816</v>
      </c>
      <c r="CI324" s="7">
        <f t="shared" si="266"/>
        <v>0.80757489623353262</v>
      </c>
      <c r="CJ324" s="7">
        <f t="shared" si="267"/>
        <v>0.78470082210558123</v>
      </c>
      <c r="CK324" s="7">
        <f t="shared" si="268"/>
        <v>0.76261338479497986</v>
      </c>
      <c r="CL324" s="7">
        <f t="shared" si="269"/>
        <v>0.74060794498859861</v>
      </c>
      <c r="CM324" s="7">
        <f t="shared" si="270"/>
        <v>0.71942563301981877</v>
      </c>
      <c r="CN324" s="7">
        <f t="shared" si="271"/>
        <v>0.69838477556284162</v>
      </c>
      <c r="CO324" s="7">
        <f t="shared" si="272"/>
        <v>0.67807786562892636</v>
      </c>
      <c r="CP324" s="7">
        <f t="shared" si="273"/>
        <v>0.65807208700206998</v>
      </c>
      <c r="CQ324" s="7">
        <f t="shared" si="274"/>
        <v>0.63891671509958892</v>
      </c>
      <c r="CR324" s="7">
        <f t="shared" si="275"/>
        <v>0.61998374353936159</v>
      </c>
      <c r="CS324" s="7">
        <f t="shared" si="276"/>
        <v>0.60189455983698537</v>
      </c>
      <c r="CT324" s="7">
        <f t="shared" si="277"/>
        <v>0.58405098947217726</v>
      </c>
      <c r="CU324" s="7">
        <f t="shared" si="278"/>
        <v>0.56703400108745283</v>
      </c>
      <c r="CV324" s="7">
        <f t="shared" si="279"/>
        <v>0.55027647093124399</v>
      </c>
      <c r="CW324" s="7">
        <f t="shared" si="280"/>
        <v>0.53423333687175578</v>
      </c>
      <c r="CX324" s="7">
        <f t="shared" si="281"/>
        <v>0.51854543901469685</v>
      </c>
      <c r="CY324" s="7">
        <f t="shared" si="282"/>
        <v>0.50362697293222569</v>
      </c>
      <c r="CZ324" s="7">
        <f t="shared" si="283"/>
        <v>0.4889742524045429</v>
      </c>
      <c r="DA324" s="7">
        <f t="shared" si="284"/>
        <v>0.47505514043630959</v>
      </c>
      <c r="DB324" s="7">
        <f t="shared" si="285"/>
        <v>0.46139722969377617</v>
      </c>
      <c r="DC324" s="7">
        <f t="shared" si="286"/>
        <v>33.061849827781636</v>
      </c>
      <c r="DD324" s="7">
        <f t="shared" si="287"/>
        <v>0</v>
      </c>
      <c r="DE324" s="7">
        <f t="shared" si="288"/>
        <v>0</v>
      </c>
      <c r="DF324" s="7">
        <f t="shared" si="289"/>
        <v>0</v>
      </c>
      <c r="DG324" s="7">
        <f t="shared" si="290"/>
        <v>0</v>
      </c>
      <c r="DH324" s="7">
        <f t="shared" si="291"/>
        <v>0</v>
      </c>
      <c r="DI324" s="7">
        <f t="shared" si="292"/>
        <v>0</v>
      </c>
      <c r="DJ324" s="7">
        <f t="shared" si="293"/>
        <v>0</v>
      </c>
      <c r="DK324" s="7">
        <f t="shared" si="294"/>
        <v>0</v>
      </c>
      <c r="DL324" s="7">
        <f t="shared" si="295"/>
        <v>0</v>
      </c>
      <c r="DM324" s="7">
        <f t="shared" si="296"/>
        <v>0</v>
      </c>
      <c r="DN324" s="7">
        <f t="shared" si="297"/>
        <v>0</v>
      </c>
      <c r="DO324" s="7">
        <f t="shared" si="298"/>
        <v>0</v>
      </c>
      <c r="DP324" s="7">
        <f t="shared" si="299"/>
        <v>0</v>
      </c>
      <c r="DQ324" s="7">
        <f t="shared" si="300"/>
        <v>0</v>
      </c>
      <c r="DR324" s="7">
        <f t="shared" si="301"/>
        <v>0</v>
      </c>
      <c r="DS324" s="7">
        <f t="shared" si="302"/>
        <v>0</v>
      </c>
      <c r="DT324" s="7">
        <f t="shared" si="303"/>
        <v>0</v>
      </c>
      <c r="DU324" s="7">
        <f t="shared" si="304"/>
        <v>0</v>
      </c>
    </row>
    <row r="325" spans="1:125" x14ac:dyDescent="0.2">
      <c r="A325" s="3">
        <f>Bonds!A325</f>
        <v>54011</v>
      </c>
      <c r="B325" s="4">
        <f>Bonds!B325</f>
        <v>2.75</v>
      </c>
      <c r="C325">
        <f>Bonds!P325</f>
        <v>43</v>
      </c>
      <c r="D325">
        <f t="shared" si="244"/>
        <v>0</v>
      </c>
      <c r="E325" s="3">
        <f>IF(1&gt;$C325,"",IF($D325=1,EOMONTH(EDATE(Bonds!$H325,6*(1-1)),0),EDATE(Bonds!$H325,6*(1-1))))</f>
        <v>46341</v>
      </c>
      <c r="F325" s="3">
        <f>IF(2&gt;$C325,"",IF($D325=1,EOMONTH(EDATE(Bonds!$H325,6*(2-1)),0),EDATE(Bonds!$H325,6*(2-1))))</f>
        <v>46522</v>
      </c>
      <c r="G325" s="3">
        <f>IF(3&gt;$C325,"",IF($D325=1,EOMONTH(EDATE(Bonds!$H325,6*(3-1)),0),EDATE(Bonds!$H325,6*(3-1))))</f>
        <v>46706</v>
      </c>
      <c r="H325" s="3">
        <f>IF(4&gt;$C325,"",IF($D325=1,EOMONTH(EDATE(Bonds!$H325,6*(4-1)),0),EDATE(Bonds!$H325,6*(4-1))))</f>
        <v>46888</v>
      </c>
      <c r="I325" s="3">
        <f>IF(5&gt;$C325,"",IF($D325=1,EOMONTH(EDATE(Bonds!$H325,6*(5-1)),0),EDATE(Bonds!$H325,6*(5-1))))</f>
        <v>47072</v>
      </c>
      <c r="J325" s="3">
        <f>IF(6&gt;$C325,"",IF($D325=1,EOMONTH(EDATE(Bonds!$H325,6*(6-1)),0),EDATE(Bonds!$H325,6*(6-1))))</f>
        <v>47253</v>
      </c>
      <c r="K325" s="3">
        <f>IF(7&gt;$C325,"",IF($D325=1,EOMONTH(EDATE(Bonds!$H325,6*(7-1)),0),EDATE(Bonds!$H325,6*(7-1))))</f>
        <v>47437</v>
      </c>
      <c r="L325" s="3">
        <f>IF(8&gt;$C325,"",IF($D325=1,EOMONTH(EDATE(Bonds!$H325,6*(8-1)),0),EDATE(Bonds!$H325,6*(8-1))))</f>
        <v>47618</v>
      </c>
      <c r="M325" s="3">
        <f>IF(9&gt;$C325,"",IF($D325=1,EOMONTH(EDATE(Bonds!$H325,6*(9-1)),0),EDATE(Bonds!$H325,6*(9-1))))</f>
        <v>47802</v>
      </c>
      <c r="N325" s="3">
        <f>IF(10&gt;$C325,"",IF($D325=1,EOMONTH(EDATE(Bonds!$H325,6*(10-1)),0),EDATE(Bonds!$H325,6*(10-1))))</f>
        <v>47983</v>
      </c>
      <c r="O325" s="3">
        <f>IF(11&gt;$C325,"",IF($D325=1,EOMONTH(EDATE(Bonds!$H325,6*(11-1)),0),EDATE(Bonds!$H325,6*(11-1))))</f>
        <v>48167</v>
      </c>
      <c r="P325" s="3">
        <f>IF(12&gt;$C325,"",IF($D325=1,EOMONTH(EDATE(Bonds!$H325,6*(12-1)),0),EDATE(Bonds!$H325,6*(12-1))))</f>
        <v>48349</v>
      </c>
      <c r="Q325" s="3">
        <f>IF(13&gt;$C325,"",IF($D325=1,EOMONTH(EDATE(Bonds!$H325,6*(13-1)),0),EDATE(Bonds!$H325,6*(13-1))))</f>
        <v>48533</v>
      </c>
      <c r="R325" s="3">
        <f>IF(14&gt;$C325,"",IF($D325=1,EOMONTH(EDATE(Bonds!$H325,6*(14-1)),0),EDATE(Bonds!$H325,6*(14-1))))</f>
        <v>48714</v>
      </c>
      <c r="S325" s="3">
        <f>IF(15&gt;$C325,"",IF($D325=1,EOMONTH(EDATE(Bonds!$H325,6*(15-1)),0),EDATE(Bonds!$H325,6*(15-1))))</f>
        <v>48898</v>
      </c>
      <c r="T325" s="3">
        <f>IF(16&gt;$C325,"",IF($D325=1,EOMONTH(EDATE(Bonds!$H325,6*(16-1)),0),EDATE(Bonds!$H325,6*(16-1))))</f>
        <v>49079</v>
      </c>
      <c r="U325" s="3">
        <f>IF(17&gt;$C325,"",IF($D325=1,EOMONTH(EDATE(Bonds!$H325,6*(17-1)),0),EDATE(Bonds!$H325,6*(17-1))))</f>
        <v>49263</v>
      </c>
      <c r="V325" s="3">
        <f>IF(18&gt;$C325,"",IF($D325=1,EOMONTH(EDATE(Bonds!$H325,6*(18-1)),0),EDATE(Bonds!$H325,6*(18-1))))</f>
        <v>49444</v>
      </c>
      <c r="W325" s="3">
        <f>IF(19&gt;$C325,"",IF($D325=1,EOMONTH(EDATE(Bonds!$H325,6*(19-1)),0),EDATE(Bonds!$H325,6*(19-1))))</f>
        <v>49628</v>
      </c>
      <c r="X325" s="3">
        <f>IF(20&gt;$C325,"",IF($D325=1,EOMONTH(EDATE(Bonds!$H325,6*(20-1)),0),EDATE(Bonds!$H325,6*(20-1))))</f>
        <v>49810</v>
      </c>
      <c r="Y325" s="3">
        <f>IF(21&gt;$C325,"",IF($D325=1,EOMONTH(EDATE(Bonds!$H325,6*(21-1)),0),EDATE(Bonds!$H325,6*(21-1))))</f>
        <v>49994</v>
      </c>
      <c r="Z325" s="3">
        <f>IF(22&gt;$C325,"",IF($D325=1,EOMONTH(EDATE(Bonds!$H325,6*(22-1)),0),EDATE(Bonds!$H325,6*(22-1))))</f>
        <v>50175</v>
      </c>
      <c r="AA325" s="3">
        <f>IF(23&gt;$C325,"",IF($D325=1,EOMONTH(EDATE(Bonds!$H325,6*(23-1)),0),EDATE(Bonds!$H325,6*(23-1))))</f>
        <v>50359</v>
      </c>
      <c r="AB325" s="3">
        <f>IF(24&gt;$C325,"",IF($D325=1,EOMONTH(EDATE(Bonds!$H325,6*(24-1)),0),EDATE(Bonds!$H325,6*(24-1))))</f>
        <v>50540</v>
      </c>
      <c r="AC325" s="3">
        <f>IF(25&gt;$C325,"",IF($D325=1,EOMONTH(EDATE(Bonds!$H325,6*(25-1)),0),EDATE(Bonds!$H325,6*(25-1))))</f>
        <v>50724</v>
      </c>
      <c r="AD325" s="3">
        <f>IF(26&gt;$C325,"",IF($D325=1,EOMONTH(EDATE(Bonds!$H325,6*(26-1)),0),EDATE(Bonds!$H325,6*(26-1))))</f>
        <v>50905</v>
      </c>
      <c r="AE325" s="3">
        <f>IF(27&gt;$C325,"",IF($D325=1,EOMONTH(EDATE(Bonds!$H325,6*(27-1)),0),EDATE(Bonds!$H325,6*(27-1))))</f>
        <v>51089</v>
      </c>
      <c r="AF325" s="3">
        <f>IF(28&gt;$C325,"",IF($D325=1,EOMONTH(EDATE(Bonds!$H325,6*(28-1)),0),EDATE(Bonds!$H325,6*(28-1))))</f>
        <v>51271</v>
      </c>
      <c r="AG325" s="3">
        <f>IF(29&gt;$C325,"",IF($D325=1,EOMONTH(EDATE(Bonds!$H325,6*(29-1)),0),EDATE(Bonds!$H325,6*(29-1))))</f>
        <v>51455</v>
      </c>
      <c r="AH325" s="3">
        <f>IF(30&gt;$C325,"",IF($D325=1,EOMONTH(EDATE(Bonds!$H325,6*(30-1)),0),EDATE(Bonds!$H325,6*(30-1))))</f>
        <v>51636</v>
      </c>
      <c r="AI325" s="3">
        <f>IF(31&gt;$C325,"",IF($D325=1,EOMONTH(EDATE(Bonds!$H325,6*(31-1)),0),EDATE(Bonds!$H325,6*(31-1))))</f>
        <v>51820</v>
      </c>
      <c r="AJ325" s="3">
        <f>IF(32&gt;$C325,"",IF($D325=1,EOMONTH(EDATE(Bonds!$H325,6*(32-1)),0),EDATE(Bonds!$H325,6*(32-1))))</f>
        <v>52001</v>
      </c>
      <c r="AK325" s="3">
        <f>IF(33&gt;$C325,"",IF($D325=1,EOMONTH(EDATE(Bonds!$H325,6*(33-1)),0),EDATE(Bonds!$H325,6*(33-1))))</f>
        <v>52185</v>
      </c>
      <c r="AL325" s="3">
        <f>IF(34&gt;$C325,"",IF($D325=1,EOMONTH(EDATE(Bonds!$H325,6*(34-1)),0),EDATE(Bonds!$H325,6*(34-1))))</f>
        <v>52366</v>
      </c>
      <c r="AM325" s="3">
        <f>IF(35&gt;$C325,"",IF($D325=1,EOMONTH(EDATE(Bonds!$H325,6*(35-1)),0),EDATE(Bonds!$H325,6*(35-1))))</f>
        <v>52550</v>
      </c>
      <c r="AN325" s="3">
        <f>IF(36&gt;$C325,"",IF($D325=1,EOMONTH(EDATE(Bonds!$H325,6*(36-1)),0),EDATE(Bonds!$H325,6*(36-1))))</f>
        <v>52732</v>
      </c>
      <c r="AO325" s="3">
        <f>IF(37&gt;$C325,"",IF($D325=1,EOMONTH(EDATE(Bonds!$H325,6*(37-1)),0),EDATE(Bonds!$H325,6*(37-1))))</f>
        <v>52916</v>
      </c>
      <c r="AP325" s="3">
        <f>IF(38&gt;$C325,"",IF($D325=1,EOMONTH(EDATE(Bonds!$H325,6*(38-1)),0),EDATE(Bonds!$H325,6*(38-1))))</f>
        <v>53097</v>
      </c>
      <c r="AQ325" s="3">
        <f>IF(39&gt;$C325,"",IF($D325=1,EOMONTH(EDATE(Bonds!$H325,6*(39-1)),0),EDATE(Bonds!$H325,6*(39-1))))</f>
        <v>53281</v>
      </c>
      <c r="AR325" s="3">
        <f>IF(40&gt;$C325,"",IF($D325=1,EOMONTH(EDATE(Bonds!$H325,6*(40-1)),0),EDATE(Bonds!$H325,6*(40-1))))</f>
        <v>53462</v>
      </c>
      <c r="AS325" s="3">
        <f>IF(41&gt;$C325,"",IF($D325=1,EOMONTH(EDATE(Bonds!$H325,6*(41-1)),0),EDATE(Bonds!$H325,6*(41-1))))</f>
        <v>53646</v>
      </c>
      <c r="AT325" s="3">
        <f>IF(42&gt;$C325,"",IF($D325=1,EOMONTH(EDATE(Bonds!$H325,6*(42-1)),0),EDATE(Bonds!$H325,6*(42-1))))</f>
        <v>53827</v>
      </c>
      <c r="AU325" s="3">
        <f>IF(43&gt;$C325,"",IF($D325=1,EOMONTH(EDATE(Bonds!$H325,6*(43-1)),0),EDATE(Bonds!$H325,6*(43-1))))</f>
        <v>54011</v>
      </c>
      <c r="AV325" s="3" t="str">
        <f>IF(44&gt;$C325,"",IF($D325=1,EOMONTH(EDATE(Bonds!$H325,6*(44-1)),0),EDATE(Bonds!$H325,6*(44-1))))</f>
        <v/>
      </c>
      <c r="AW325" s="3" t="str">
        <f>IF(45&gt;$C325,"",IF($D325=1,EOMONTH(EDATE(Bonds!$H325,6*(45-1)),0),EDATE(Bonds!$H325,6*(45-1))))</f>
        <v/>
      </c>
      <c r="AX325" s="3" t="str">
        <f>IF(46&gt;$C325,"",IF($D325=1,EOMONTH(EDATE(Bonds!$H325,6*(46-1)),0),EDATE(Bonds!$H325,6*(46-1))))</f>
        <v/>
      </c>
      <c r="AY325" s="3" t="str">
        <f>IF(47&gt;$C325,"",IF($D325=1,EOMONTH(EDATE(Bonds!$H325,6*(47-1)),0),EDATE(Bonds!$H325,6*(47-1))))</f>
        <v/>
      </c>
      <c r="AZ325" s="3" t="str">
        <f>IF(48&gt;$C325,"",IF($D325=1,EOMONTH(EDATE(Bonds!$H325,6*(48-1)),0),EDATE(Bonds!$H325,6*(48-1))))</f>
        <v/>
      </c>
      <c r="BA325" s="3" t="str">
        <f>IF(49&gt;$C325,"",IF($D325=1,EOMONTH(EDATE(Bonds!$H325,6*(49-1)),0),EDATE(Bonds!$H325,6*(49-1))))</f>
        <v/>
      </c>
      <c r="BB325" s="3" t="str">
        <f>IF(50&gt;$C325,"",IF($D325=1,EOMONTH(EDATE(Bonds!$H325,6*(50-1)),0),EDATE(Bonds!$H325,6*(50-1))))</f>
        <v/>
      </c>
      <c r="BC325" s="3" t="str">
        <f>IF(51&gt;$C325,"",IF($D325=1,EOMONTH(EDATE(Bonds!$H325,6*(51-1)),0),EDATE(Bonds!$H325,6*(51-1))))</f>
        <v/>
      </c>
      <c r="BD325" s="3" t="str">
        <f>IF(52&gt;$C325,"",IF($D325=1,EOMONTH(EDATE(Bonds!$H325,6*(52-1)),0),EDATE(Bonds!$H325,6*(52-1))))</f>
        <v/>
      </c>
      <c r="BE325" s="3" t="str">
        <f>IF(53&gt;$C325,"",IF($D325=1,EOMONTH(EDATE(Bonds!$H325,6*(53-1)),0),EDATE(Bonds!$H325,6*(53-1))))</f>
        <v/>
      </c>
      <c r="BF325" s="3" t="str">
        <f>IF(54&gt;$C325,"",IF($D325=1,EOMONTH(EDATE(Bonds!$H325,6*(54-1)),0),EDATE(Bonds!$H325,6*(54-1))))</f>
        <v/>
      </c>
      <c r="BG325" s="3" t="str">
        <f>IF(55&gt;$C325,"",IF($D325=1,EOMONTH(EDATE(Bonds!$H325,6*(55-1)),0),EDATE(Bonds!$H325,6*(55-1))))</f>
        <v/>
      </c>
      <c r="BH325" s="3" t="str">
        <f>IF(56&gt;$C325,"",IF($D325=1,EOMONTH(EDATE(Bonds!$H325,6*(56-1)),0),EDATE(Bonds!$H325,6*(56-1))))</f>
        <v/>
      </c>
      <c r="BI325" s="3" t="str">
        <f>IF(57&gt;$C325,"",IF($D325=1,EOMONTH(EDATE(Bonds!$H325,6*(57-1)),0),EDATE(Bonds!$H325,6*(57-1))))</f>
        <v/>
      </c>
      <c r="BJ325" s="3" t="str">
        <f>IF(58&gt;$C325,"",IF($D325=1,EOMONTH(EDATE(Bonds!$H325,6*(58-1)),0),EDATE(Bonds!$H325,6*(58-1))))</f>
        <v/>
      </c>
      <c r="BK325" s="3" t="str">
        <f>IF(59&gt;$C325,"",IF($D325=1,EOMONTH(EDATE(Bonds!$H325,6*(59-1)),0),EDATE(Bonds!$H325,6*(59-1))))</f>
        <v/>
      </c>
      <c r="BL325" s="3" t="str">
        <f>IF(60&gt;$C325,"",IF($D325=1,EOMONTH(EDATE(Bonds!$H325,6*(60-1)),0),EDATE(Bonds!$H325,6*(60-1))))</f>
        <v/>
      </c>
      <c r="BN325" s="7">
        <f t="shared" si="245"/>
        <v>1.3654101760750257</v>
      </c>
      <c r="BO325" s="7">
        <f t="shared" si="246"/>
        <v>1.3378378547765637</v>
      </c>
      <c r="BP325" s="7">
        <f t="shared" si="247"/>
        <v>1.308368639255723</v>
      </c>
      <c r="BQ325" s="7">
        <f t="shared" si="248"/>
        <v>1.2790224444896099</v>
      </c>
      <c r="BR325" s="7">
        <f t="shared" si="249"/>
        <v>1.2497759121931402</v>
      </c>
      <c r="BS325" s="7">
        <f t="shared" si="250"/>
        <v>1.221662752844435</v>
      </c>
      <c r="BT325" s="7">
        <f t="shared" si="251"/>
        <v>1.1937921180033211</v>
      </c>
      <c r="BU325" s="7">
        <f t="shared" si="252"/>
        <v>1.167011787915136</v>
      </c>
      <c r="BV325" s="7">
        <f t="shared" si="253"/>
        <v>1.1403298493064149</v>
      </c>
      <c r="BW325" s="7">
        <f t="shared" si="254"/>
        <v>1.1145080571976793</v>
      </c>
      <c r="BX325" s="7">
        <f t="shared" si="255"/>
        <v>1.0885919484262259</v>
      </c>
      <c r="BY325" s="7">
        <f t="shared" si="256"/>
        <v>1.0632116800520821</v>
      </c>
      <c r="BZ325" s="7">
        <f t="shared" si="257"/>
        <v>1.0377547380810046</v>
      </c>
      <c r="CA325" s="7">
        <f t="shared" si="258"/>
        <v>1.0128797337254261</v>
      </c>
      <c r="CB325" s="7">
        <f t="shared" si="259"/>
        <v>0.98774950507531833</v>
      </c>
      <c r="CC325" s="7">
        <f t="shared" si="260"/>
        <v>0.96318694417478801</v>
      </c>
      <c r="CD325" s="7">
        <f t="shared" si="261"/>
        <v>0.93839379606872875</v>
      </c>
      <c r="CE325" s="7">
        <f t="shared" si="262"/>
        <v>0.91420304414204823</v>
      </c>
      <c r="CF325" s="7">
        <f t="shared" si="263"/>
        <v>0.88984390883930364</v>
      </c>
      <c r="CG325" s="7">
        <f t="shared" si="264"/>
        <v>0.86601446337543586</v>
      </c>
      <c r="CH325" s="7">
        <f t="shared" si="265"/>
        <v>0.84222724788183501</v>
      </c>
      <c r="CI325" s="7">
        <f t="shared" si="266"/>
        <v>0.81916137864195093</v>
      </c>
      <c r="CJ325" s="7">
        <f t="shared" si="267"/>
        <v>0.7960867138127854</v>
      </c>
      <c r="CK325" s="7">
        <f t="shared" si="268"/>
        <v>0.77378712985951592</v>
      </c>
      <c r="CL325" s="7">
        <f t="shared" si="269"/>
        <v>0.75155260108669319</v>
      </c>
      <c r="CM325" s="7">
        <f t="shared" si="270"/>
        <v>0.73013345739175728</v>
      </c>
      <c r="CN325" s="7">
        <f t="shared" si="271"/>
        <v>0.70884198670575271</v>
      </c>
      <c r="CO325" s="7">
        <f t="shared" si="272"/>
        <v>0.68827918866719506</v>
      </c>
      <c r="CP325" s="7">
        <f t="shared" si="273"/>
        <v>0.6680083715009475</v>
      </c>
      <c r="CQ325" s="7">
        <f t="shared" si="274"/>
        <v>0.64858768355385676</v>
      </c>
      <c r="CR325" s="7">
        <f t="shared" si="275"/>
        <v>0.62938186666953655</v>
      </c>
      <c r="CS325" s="7">
        <f t="shared" si="276"/>
        <v>0.61102259647693191</v>
      </c>
      <c r="CT325" s="7">
        <f t="shared" si="277"/>
        <v>0.59290403922365453</v>
      </c>
      <c r="CU325" s="7">
        <f t="shared" si="278"/>
        <v>0.57561726953582892</v>
      </c>
      <c r="CV325" s="7">
        <f t="shared" si="279"/>
        <v>0.55858725698939549</v>
      </c>
      <c r="CW325" s="7">
        <f t="shared" si="280"/>
        <v>0.54227726008929678</v>
      </c>
      <c r="CX325" s="7">
        <f t="shared" si="281"/>
        <v>0.52632305224798892</v>
      </c>
      <c r="CY325" s="7">
        <f t="shared" si="282"/>
        <v>0.51114670803240381</v>
      </c>
      <c r="CZ325" s="7">
        <f t="shared" si="283"/>
        <v>0.49623657433233143</v>
      </c>
      <c r="DA325" s="7">
        <f t="shared" si="284"/>
        <v>0.48206938470201821</v>
      </c>
      <c r="DB325" s="7">
        <f t="shared" si="285"/>
        <v>0.46816490934401955</v>
      </c>
      <c r="DC325" s="7">
        <f t="shared" si="286"/>
        <v>0.45496544560640717</v>
      </c>
      <c r="DD325" s="7">
        <f t="shared" si="287"/>
        <v>32.589038297752737</v>
      </c>
      <c r="DE325" s="7">
        <f t="shared" si="288"/>
        <v>0</v>
      </c>
      <c r="DF325" s="7">
        <f t="shared" si="289"/>
        <v>0</v>
      </c>
      <c r="DG325" s="7">
        <f t="shared" si="290"/>
        <v>0</v>
      </c>
      <c r="DH325" s="7">
        <f t="shared" si="291"/>
        <v>0</v>
      </c>
      <c r="DI325" s="7">
        <f t="shared" si="292"/>
        <v>0</v>
      </c>
      <c r="DJ325" s="7">
        <f t="shared" si="293"/>
        <v>0</v>
      </c>
      <c r="DK325" s="7">
        <f t="shared" si="294"/>
        <v>0</v>
      </c>
      <c r="DL325" s="7">
        <f t="shared" si="295"/>
        <v>0</v>
      </c>
      <c r="DM325" s="7">
        <f t="shared" si="296"/>
        <v>0</v>
      </c>
      <c r="DN325" s="7">
        <f t="shared" si="297"/>
        <v>0</v>
      </c>
      <c r="DO325" s="7">
        <f t="shared" si="298"/>
        <v>0</v>
      </c>
      <c r="DP325" s="7">
        <f t="shared" si="299"/>
        <v>0</v>
      </c>
      <c r="DQ325" s="7">
        <f t="shared" si="300"/>
        <v>0</v>
      </c>
      <c r="DR325" s="7">
        <f t="shared" si="301"/>
        <v>0</v>
      </c>
      <c r="DS325" s="7">
        <f t="shared" si="302"/>
        <v>0</v>
      </c>
      <c r="DT325" s="7">
        <f t="shared" si="303"/>
        <v>0</v>
      </c>
      <c r="DU325" s="7">
        <f t="shared" si="304"/>
        <v>0</v>
      </c>
    </row>
    <row r="326" spans="1:125" x14ac:dyDescent="0.2">
      <c r="A326" s="3">
        <f>Bonds!A326</f>
        <v>54103</v>
      </c>
      <c r="B326" s="4">
        <f>Bonds!B326</f>
        <v>3</v>
      </c>
      <c r="C326">
        <f>Bonds!P326</f>
        <v>43</v>
      </c>
      <c r="D326">
        <f t="shared" si="244"/>
        <v>0</v>
      </c>
      <c r="E326" s="3">
        <f>IF(1&gt;$C326,"",IF($D326=1,EOMONTH(EDATE(Bonds!$H326,6*(1-1)),0),EDATE(Bonds!$H326,6*(1-1))))</f>
        <v>46433</v>
      </c>
      <c r="F326" s="3">
        <f>IF(2&gt;$C326,"",IF($D326=1,EOMONTH(EDATE(Bonds!$H326,6*(2-1)),0),EDATE(Bonds!$H326,6*(2-1))))</f>
        <v>46614</v>
      </c>
      <c r="G326" s="3">
        <f>IF(3&gt;$C326,"",IF($D326=1,EOMONTH(EDATE(Bonds!$H326,6*(3-1)),0),EDATE(Bonds!$H326,6*(3-1))))</f>
        <v>46798</v>
      </c>
      <c r="H326" s="3">
        <f>IF(4&gt;$C326,"",IF($D326=1,EOMONTH(EDATE(Bonds!$H326,6*(4-1)),0),EDATE(Bonds!$H326,6*(4-1))))</f>
        <v>46980</v>
      </c>
      <c r="I326" s="3">
        <f>IF(5&gt;$C326,"",IF($D326=1,EOMONTH(EDATE(Bonds!$H326,6*(5-1)),0),EDATE(Bonds!$H326,6*(5-1))))</f>
        <v>47164</v>
      </c>
      <c r="J326" s="3">
        <f>IF(6&gt;$C326,"",IF($D326=1,EOMONTH(EDATE(Bonds!$H326,6*(6-1)),0),EDATE(Bonds!$H326,6*(6-1))))</f>
        <v>47345</v>
      </c>
      <c r="K326" s="3">
        <f>IF(7&gt;$C326,"",IF($D326=1,EOMONTH(EDATE(Bonds!$H326,6*(7-1)),0),EDATE(Bonds!$H326,6*(7-1))))</f>
        <v>47529</v>
      </c>
      <c r="L326" s="3">
        <f>IF(8&gt;$C326,"",IF($D326=1,EOMONTH(EDATE(Bonds!$H326,6*(8-1)),0),EDATE(Bonds!$H326,6*(8-1))))</f>
        <v>47710</v>
      </c>
      <c r="M326" s="3">
        <f>IF(9&gt;$C326,"",IF($D326=1,EOMONTH(EDATE(Bonds!$H326,6*(9-1)),0),EDATE(Bonds!$H326,6*(9-1))))</f>
        <v>47894</v>
      </c>
      <c r="N326" s="3">
        <f>IF(10&gt;$C326,"",IF($D326=1,EOMONTH(EDATE(Bonds!$H326,6*(10-1)),0),EDATE(Bonds!$H326,6*(10-1))))</f>
        <v>48075</v>
      </c>
      <c r="O326" s="3">
        <f>IF(11&gt;$C326,"",IF($D326=1,EOMONTH(EDATE(Bonds!$H326,6*(11-1)),0),EDATE(Bonds!$H326,6*(11-1))))</f>
        <v>48259</v>
      </c>
      <c r="P326" s="3">
        <f>IF(12&gt;$C326,"",IF($D326=1,EOMONTH(EDATE(Bonds!$H326,6*(12-1)),0),EDATE(Bonds!$H326,6*(12-1))))</f>
        <v>48441</v>
      </c>
      <c r="Q326" s="3">
        <f>IF(13&gt;$C326,"",IF($D326=1,EOMONTH(EDATE(Bonds!$H326,6*(13-1)),0),EDATE(Bonds!$H326,6*(13-1))))</f>
        <v>48625</v>
      </c>
      <c r="R326" s="3">
        <f>IF(14&gt;$C326,"",IF($D326=1,EOMONTH(EDATE(Bonds!$H326,6*(14-1)),0),EDATE(Bonds!$H326,6*(14-1))))</f>
        <v>48806</v>
      </c>
      <c r="S326" s="3">
        <f>IF(15&gt;$C326,"",IF($D326=1,EOMONTH(EDATE(Bonds!$H326,6*(15-1)),0),EDATE(Bonds!$H326,6*(15-1))))</f>
        <v>48990</v>
      </c>
      <c r="T326" s="3">
        <f>IF(16&gt;$C326,"",IF($D326=1,EOMONTH(EDATE(Bonds!$H326,6*(16-1)),0),EDATE(Bonds!$H326,6*(16-1))))</f>
        <v>49171</v>
      </c>
      <c r="U326" s="3">
        <f>IF(17&gt;$C326,"",IF($D326=1,EOMONTH(EDATE(Bonds!$H326,6*(17-1)),0),EDATE(Bonds!$H326,6*(17-1))))</f>
        <v>49355</v>
      </c>
      <c r="V326" s="3">
        <f>IF(18&gt;$C326,"",IF($D326=1,EOMONTH(EDATE(Bonds!$H326,6*(18-1)),0),EDATE(Bonds!$H326,6*(18-1))))</f>
        <v>49536</v>
      </c>
      <c r="W326" s="3">
        <f>IF(19&gt;$C326,"",IF($D326=1,EOMONTH(EDATE(Bonds!$H326,6*(19-1)),0),EDATE(Bonds!$H326,6*(19-1))))</f>
        <v>49720</v>
      </c>
      <c r="X326" s="3">
        <f>IF(20&gt;$C326,"",IF($D326=1,EOMONTH(EDATE(Bonds!$H326,6*(20-1)),0),EDATE(Bonds!$H326,6*(20-1))))</f>
        <v>49902</v>
      </c>
      <c r="Y326" s="3">
        <f>IF(21&gt;$C326,"",IF($D326=1,EOMONTH(EDATE(Bonds!$H326,6*(21-1)),0),EDATE(Bonds!$H326,6*(21-1))))</f>
        <v>50086</v>
      </c>
      <c r="Z326" s="3">
        <f>IF(22&gt;$C326,"",IF($D326=1,EOMONTH(EDATE(Bonds!$H326,6*(22-1)),0),EDATE(Bonds!$H326,6*(22-1))))</f>
        <v>50267</v>
      </c>
      <c r="AA326" s="3">
        <f>IF(23&gt;$C326,"",IF($D326=1,EOMONTH(EDATE(Bonds!$H326,6*(23-1)),0),EDATE(Bonds!$H326,6*(23-1))))</f>
        <v>50451</v>
      </c>
      <c r="AB326" s="3">
        <f>IF(24&gt;$C326,"",IF($D326=1,EOMONTH(EDATE(Bonds!$H326,6*(24-1)),0),EDATE(Bonds!$H326,6*(24-1))))</f>
        <v>50632</v>
      </c>
      <c r="AC326" s="3">
        <f>IF(25&gt;$C326,"",IF($D326=1,EOMONTH(EDATE(Bonds!$H326,6*(25-1)),0),EDATE(Bonds!$H326,6*(25-1))))</f>
        <v>50816</v>
      </c>
      <c r="AD326" s="3">
        <f>IF(26&gt;$C326,"",IF($D326=1,EOMONTH(EDATE(Bonds!$H326,6*(26-1)),0),EDATE(Bonds!$H326,6*(26-1))))</f>
        <v>50997</v>
      </c>
      <c r="AE326" s="3">
        <f>IF(27&gt;$C326,"",IF($D326=1,EOMONTH(EDATE(Bonds!$H326,6*(27-1)),0),EDATE(Bonds!$H326,6*(27-1))))</f>
        <v>51181</v>
      </c>
      <c r="AF326" s="3">
        <f>IF(28&gt;$C326,"",IF($D326=1,EOMONTH(EDATE(Bonds!$H326,6*(28-1)),0),EDATE(Bonds!$H326,6*(28-1))))</f>
        <v>51363</v>
      </c>
      <c r="AG326" s="3">
        <f>IF(29&gt;$C326,"",IF($D326=1,EOMONTH(EDATE(Bonds!$H326,6*(29-1)),0),EDATE(Bonds!$H326,6*(29-1))))</f>
        <v>51547</v>
      </c>
      <c r="AH326" s="3">
        <f>IF(30&gt;$C326,"",IF($D326=1,EOMONTH(EDATE(Bonds!$H326,6*(30-1)),0),EDATE(Bonds!$H326,6*(30-1))))</f>
        <v>51728</v>
      </c>
      <c r="AI326" s="3">
        <f>IF(31&gt;$C326,"",IF($D326=1,EOMONTH(EDATE(Bonds!$H326,6*(31-1)),0),EDATE(Bonds!$H326,6*(31-1))))</f>
        <v>51912</v>
      </c>
      <c r="AJ326" s="3">
        <f>IF(32&gt;$C326,"",IF($D326=1,EOMONTH(EDATE(Bonds!$H326,6*(32-1)),0),EDATE(Bonds!$H326,6*(32-1))))</f>
        <v>52093</v>
      </c>
      <c r="AK326" s="3">
        <f>IF(33&gt;$C326,"",IF($D326=1,EOMONTH(EDATE(Bonds!$H326,6*(33-1)),0),EDATE(Bonds!$H326,6*(33-1))))</f>
        <v>52277</v>
      </c>
      <c r="AL326" s="3">
        <f>IF(34&gt;$C326,"",IF($D326=1,EOMONTH(EDATE(Bonds!$H326,6*(34-1)),0),EDATE(Bonds!$H326,6*(34-1))))</f>
        <v>52458</v>
      </c>
      <c r="AM326" s="3">
        <f>IF(35&gt;$C326,"",IF($D326=1,EOMONTH(EDATE(Bonds!$H326,6*(35-1)),0),EDATE(Bonds!$H326,6*(35-1))))</f>
        <v>52642</v>
      </c>
      <c r="AN326" s="3">
        <f>IF(36&gt;$C326,"",IF($D326=1,EOMONTH(EDATE(Bonds!$H326,6*(36-1)),0),EDATE(Bonds!$H326,6*(36-1))))</f>
        <v>52824</v>
      </c>
      <c r="AO326" s="3">
        <f>IF(37&gt;$C326,"",IF($D326=1,EOMONTH(EDATE(Bonds!$H326,6*(37-1)),0),EDATE(Bonds!$H326,6*(37-1))))</f>
        <v>53008</v>
      </c>
      <c r="AP326" s="3">
        <f>IF(38&gt;$C326,"",IF($D326=1,EOMONTH(EDATE(Bonds!$H326,6*(38-1)),0),EDATE(Bonds!$H326,6*(38-1))))</f>
        <v>53189</v>
      </c>
      <c r="AQ326" s="3">
        <f>IF(39&gt;$C326,"",IF($D326=1,EOMONTH(EDATE(Bonds!$H326,6*(39-1)),0),EDATE(Bonds!$H326,6*(39-1))))</f>
        <v>53373</v>
      </c>
      <c r="AR326" s="3">
        <f>IF(40&gt;$C326,"",IF($D326=1,EOMONTH(EDATE(Bonds!$H326,6*(40-1)),0),EDATE(Bonds!$H326,6*(40-1))))</f>
        <v>53554</v>
      </c>
      <c r="AS326" s="3">
        <f>IF(41&gt;$C326,"",IF($D326=1,EOMONTH(EDATE(Bonds!$H326,6*(41-1)),0),EDATE(Bonds!$H326,6*(41-1))))</f>
        <v>53738</v>
      </c>
      <c r="AT326" s="3">
        <f>IF(42&gt;$C326,"",IF($D326=1,EOMONTH(EDATE(Bonds!$H326,6*(42-1)),0),EDATE(Bonds!$H326,6*(42-1))))</f>
        <v>53919</v>
      </c>
      <c r="AU326" s="3">
        <f>IF(43&gt;$C326,"",IF($D326=1,EOMONTH(EDATE(Bonds!$H326,6*(43-1)),0),EDATE(Bonds!$H326,6*(43-1))))</f>
        <v>54103</v>
      </c>
      <c r="AV326" s="3" t="str">
        <f>IF(44&gt;$C326,"",IF($D326=1,EOMONTH(EDATE(Bonds!$H326,6*(44-1)),0),EDATE(Bonds!$H326,6*(44-1))))</f>
        <v/>
      </c>
      <c r="AW326" s="3" t="str">
        <f>IF(45&gt;$C326,"",IF($D326=1,EOMONTH(EDATE(Bonds!$H326,6*(45-1)),0),EDATE(Bonds!$H326,6*(45-1))))</f>
        <v/>
      </c>
      <c r="AX326" s="3" t="str">
        <f>IF(46&gt;$C326,"",IF($D326=1,EOMONTH(EDATE(Bonds!$H326,6*(46-1)),0),EDATE(Bonds!$H326,6*(46-1))))</f>
        <v/>
      </c>
      <c r="AY326" s="3" t="str">
        <f>IF(47&gt;$C326,"",IF($D326=1,EOMONTH(EDATE(Bonds!$H326,6*(47-1)),0),EDATE(Bonds!$H326,6*(47-1))))</f>
        <v/>
      </c>
      <c r="AZ326" s="3" t="str">
        <f>IF(48&gt;$C326,"",IF($D326=1,EOMONTH(EDATE(Bonds!$H326,6*(48-1)),0),EDATE(Bonds!$H326,6*(48-1))))</f>
        <v/>
      </c>
      <c r="BA326" s="3" t="str">
        <f>IF(49&gt;$C326,"",IF($D326=1,EOMONTH(EDATE(Bonds!$H326,6*(49-1)),0),EDATE(Bonds!$H326,6*(49-1))))</f>
        <v/>
      </c>
      <c r="BB326" s="3" t="str">
        <f>IF(50&gt;$C326,"",IF($D326=1,EOMONTH(EDATE(Bonds!$H326,6*(50-1)),0),EDATE(Bonds!$H326,6*(50-1))))</f>
        <v/>
      </c>
      <c r="BC326" s="3" t="str">
        <f>IF(51&gt;$C326,"",IF($D326=1,EOMONTH(EDATE(Bonds!$H326,6*(51-1)),0),EDATE(Bonds!$H326,6*(51-1))))</f>
        <v/>
      </c>
      <c r="BD326" s="3" t="str">
        <f>IF(52&gt;$C326,"",IF($D326=1,EOMONTH(EDATE(Bonds!$H326,6*(52-1)),0),EDATE(Bonds!$H326,6*(52-1))))</f>
        <v/>
      </c>
      <c r="BE326" s="3" t="str">
        <f>IF(53&gt;$C326,"",IF($D326=1,EOMONTH(EDATE(Bonds!$H326,6*(53-1)),0),EDATE(Bonds!$H326,6*(53-1))))</f>
        <v/>
      </c>
      <c r="BF326" s="3" t="str">
        <f>IF(54&gt;$C326,"",IF($D326=1,EOMONTH(EDATE(Bonds!$H326,6*(54-1)),0),EDATE(Bonds!$H326,6*(54-1))))</f>
        <v/>
      </c>
      <c r="BG326" s="3" t="str">
        <f>IF(55&gt;$C326,"",IF($D326=1,EOMONTH(EDATE(Bonds!$H326,6*(55-1)),0),EDATE(Bonds!$H326,6*(55-1))))</f>
        <v/>
      </c>
      <c r="BH326" s="3" t="str">
        <f>IF(56&gt;$C326,"",IF($D326=1,EOMONTH(EDATE(Bonds!$H326,6*(56-1)),0),EDATE(Bonds!$H326,6*(56-1))))</f>
        <v/>
      </c>
      <c r="BI326" s="3" t="str">
        <f>IF(57&gt;$C326,"",IF($D326=1,EOMONTH(EDATE(Bonds!$H326,6*(57-1)),0),EDATE(Bonds!$H326,6*(57-1))))</f>
        <v/>
      </c>
      <c r="BJ326" s="3" t="str">
        <f>IF(58&gt;$C326,"",IF($D326=1,EOMONTH(EDATE(Bonds!$H326,6*(58-1)),0),EDATE(Bonds!$H326,6*(58-1))))</f>
        <v/>
      </c>
      <c r="BK326" s="3" t="str">
        <f>IF(59&gt;$C326,"",IF($D326=1,EOMONTH(EDATE(Bonds!$H326,6*(59-1)),0),EDATE(Bonds!$H326,6*(59-1))))</f>
        <v/>
      </c>
      <c r="BL326" s="3" t="str">
        <f>IF(60&gt;$C326,"",IF($D326=1,EOMONTH(EDATE(Bonds!$H326,6*(60-1)),0),EDATE(Bonds!$H326,6*(60-1))))</f>
        <v/>
      </c>
      <c r="BN326" s="7">
        <f t="shared" si="245"/>
        <v>1.4745592234215268</v>
      </c>
      <c r="BO326" s="7">
        <f t="shared" si="246"/>
        <v>1.4434779867710825</v>
      </c>
      <c r="BP326" s="7">
        <f t="shared" si="247"/>
        <v>1.4111011617560416</v>
      </c>
      <c r="BQ326" s="7">
        <f t="shared" si="248"/>
        <v>1.3792627088894016</v>
      </c>
      <c r="BR326" s="7">
        <f t="shared" si="249"/>
        <v>1.3477081746177022</v>
      </c>
      <c r="BS326" s="7">
        <f t="shared" si="250"/>
        <v>1.3174260145842727</v>
      </c>
      <c r="BT326" s="7">
        <f t="shared" si="251"/>
        <v>1.2873896018748001</v>
      </c>
      <c r="BU326" s="7">
        <f t="shared" si="252"/>
        <v>1.2584831406180328</v>
      </c>
      <c r="BV326" s="7">
        <f t="shared" si="253"/>
        <v>1.2296276988670014</v>
      </c>
      <c r="BW326" s="7">
        <f t="shared" si="254"/>
        <v>1.2016509394434847</v>
      </c>
      <c r="BX326" s="7">
        <f t="shared" si="255"/>
        <v>1.173528750555604</v>
      </c>
      <c r="BY326" s="7">
        <f t="shared" si="256"/>
        <v>1.1459567038490892</v>
      </c>
      <c r="BZ326" s="7">
        <f t="shared" si="257"/>
        <v>1.1182817317826954</v>
      </c>
      <c r="CA326" s="7">
        <f t="shared" si="258"/>
        <v>1.0912308425531965</v>
      </c>
      <c r="CB326" s="7">
        <f t="shared" si="259"/>
        <v>1.0639029375301776</v>
      </c>
      <c r="CC326" s="7">
        <f t="shared" si="260"/>
        <v>1.0372000670262151</v>
      </c>
      <c r="CD326" s="7">
        <f t="shared" si="261"/>
        <v>1.010259910452932</v>
      </c>
      <c r="CE326" s="7">
        <f t="shared" si="262"/>
        <v>0.98399132832559122</v>
      </c>
      <c r="CF326" s="7">
        <f t="shared" si="263"/>
        <v>0.9575597459737325</v>
      </c>
      <c r="CG326" s="7">
        <f t="shared" si="264"/>
        <v>0.9317240256689383</v>
      </c>
      <c r="CH326" s="7">
        <f t="shared" si="265"/>
        <v>0.90595600051853253</v>
      </c>
      <c r="CI326" s="7">
        <f t="shared" si="266"/>
        <v>0.8809907958911265</v>
      </c>
      <c r="CJ326" s="7">
        <f t="shared" si="267"/>
        <v>0.85603726047881579</v>
      </c>
      <c r="CK326" s="7">
        <f t="shared" si="268"/>
        <v>0.83194187432179612</v>
      </c>
      <c r="CL326" s="7">
        <f t="shared" si="269"/>
        <v>0.80793593998756208</v>
      </c>
      <c r="CM326" s="7">
        <f t="shared" si="270"/>
        <v>0.78482796329434779</v>
      </c>
      <c r="CN326" s="7">
        <f t="shared" si="271"/>
        <v>0.76187430061400907</v>
      </c>
      <c r="CO326" s="7">
        <f t="shared" si="272"/>
        <v>0.73972130795882873</v>
      </c>
      <c r="CP326" s="7">
        <f t="shared" si="273"/>
        <v>0.71789682218407636</v>
      </c>
      <c r="CQ326" s="7">
        <f t="shared" si="274"/>
        <v>0.69700005283591515</v>
      </c>
      <c r="CR326" s="7">
        <f t="shared" si="275"/>
        <v>0.67634590204293987</v>
      </c>
      <c r="CS326" s="7">
        <f t="shared" si="276"/>
        <v>0.65661224709489308</v>
      </c>
      <c r="CT326" s="7">
        <f t="shared" si="277"/>
        <v>0.63714653396964782</v>
      </c>
      <c r="CU326" s="7">
        <f t="shared" si="278"/>
        <v>0.61858254664085766</v>
      </c>
      <c r="CV326" s="7">
        <f t="shared" si="279"/>
        <v>0.60030160465226623</v>
      </c>
      <c r="CW326" s="7">
        <f t="shared" si="280"/>
        <v>0.58280000386009723</v>
      </c>
      <c r="CX326" s="7">
        <f t="shared" si="281"/>
        <v>0.56568593347057838</v>
      </c>
      <c r="CY326" s="7">
        <f t="shared" si="282"/>
        <v>0.54941124319879164</v>
      </c>
      <c r="CZ326" s="7">
        <f t="shared" si="283"/>
        <v>0.53342645716859227</v>
      </c>
      <c r="DA326" s="7">
        <f t="shared" si="284"/>
        <v>0.518241971385065</v>
      </c>
      <c r="DB326" s="7">
        <f t="shared" si="285"/>
        <v>0.50334243239321041</v>
      </c>
      <c r="DC326" s="7">
        <f t="shared" si="286"/>
        <v>0.48920123049738551</v>
      </c>
      <c r="DD326" s="7">
        <f t="shared" si="287"/>
        <v>32.164421095151724</v>
      </c>
      <c r="DE326" s="7">
        <f t="shared" si="288"/>
        <v>0</v>
      </c>
      <c r="DF326" s="7">
        <f t="shared" si="289"/>
        <v>0</v>
      </c>
      <c r="DG326" s="7">
        <f t="shared" si="290"/>
        <v>0</v>
      </c>
      <c r="DH326" s="7">
        <f t="shared" si="291"/>
        <v>0</v>
      </c>
      <c r="DI326" s="7">
        <f t="shared" si="292"/>
        <v>0</v>
      </c>
      <c r="DJ326" s="7">
        <f t="shared" si="293"/>
        <v>0</v>
      </c>
      <c r="DK326" s="7">
        <f t="shared" si="294"/>
        <v>0</v>
      </c>
      <c r="DL326" s="7">
        <f t="shared" si="295"/>
        <v>0</v>
      </c>
      <c r="DM326" s="7">
        <f t="shared" si="296"/>
        <v>0</v>
      </c>
      <c r="DN326" s="7">
        <f t="shared" si="297"/>
        <v>0</v>
      </c>
      <c r="DO326" s="7">
        <f t="shared" si="298"/>
        <v>0</v>
      </c>
      <c r="DP326" s="7">
        <f t="shared" si="299"/>
        <v>0</v>
      </c>
      <c r="DQ326" s="7">
        <f t="shared" si="300"/>
        <v>0</v>
      </c>
      <c r="DR326" s="7">
        <f t="shared" si="301"/>
        <v>0</v>
      </c>
      <c r="DS326" s="7">
        <f t="shared" si="302"/>
        <v>0</v>
      </c>
      <c r="DT326" s="7">
        <f t="shared" si="303"/>
        <v>0</v>
      </c>
      <c r="DU326" s="7">
        <f t="shared" si="304"/>
        <v>0</v>
      </c>
    </row>
    <row r="327" spans="1:125" x14ac:dyDescent="0.2">
      <c r="A327" s="3">
        <f>Bonds!A327</f>
        <v>54193</v>
      </c>
      <c r="B327" s="4">
        <f>Bonds!B327</f>
        <v>3.125</v>
      </c>
      <c r="C327">
        <f>Bonds!P327</f>
        <v>44</v>
      </c>
      <c r="D327">
        <f t="shared" si="244"/>
        <v>0</v>
      </c>
      <c r="E327" s="3">
        <f>IF(1&gt;$C327,"",IF($D327=1,EOMONTH(EDATE(Bonds!$H327,6*(1-1)),0),EDATE(Bonds!$H327,6*(1-1))))</f>
        <v>46341</v>
      </c>
      <c r="F327" s="3">
        <f>IF(2&gt;$C327,"",IF($D327=1,EOMONTH(EDATE(Bonds!$H327,6*(2-1)),0),EDATE(Bonds!$H327,6*(2-1))))</f>
        <v>46522</v>
      </c>
      <c r="G327" s="3">
        <f>IF(3&gt;$C327,"",IF($D327=1,EOMONTH(EDATE(Bonds!$H327,6*(3-1)),0),EDATE(Bonds!$H327,6*(3-1))))</f>
        <v>46706</v>
      </c>
      <c r="H327" s="3">
        <f>IF(4&gt;$C327,"",IF($D327=1,EOMONTH(EDATE(Bonds!$H327,6*(4-1)),0),EDATE(Bonds!$H327,6*(4-1))))</f>
        <v>46888</v>
      </c>
      <c r="I327" s="3">
        <f>IF(5&gt;$C327,"",IF($D327=1,EOMONTH(EDATE(Bonds!$H327,6*(5-1)),0),EDATE(Bonds!$H327,6*(5-1))))</f>
        <v>47072</v>
      </c>
      <c r="J327" s="3">
        <f>IF(6&gt;$C327,"",IF($D327=1,EOMONTH(EDATE(Bonds!$H327,6*(6-1)),0),EDATE(Bonds!$H327,6*(6-1))))</f>
        <v>47253</v>
      </c>
      <c r="K327" s="3">
        <f>IF(7&gt;$C327,"",IF($D327=1,EOMONTH(EDATE(Bonds!$H327,6*(7-1)),0),EDATE(Bonds!$H327,6*(7-1))))</f>
        <v>47437</v>
      </c>
      <c r="L327" s="3">
        <f>IF(8&gt;$C327,"",IF($D327=1,EOMONTH(EDATE(Bonds!$H327,6*(8-1)),0),EDATE(Bonds!$H327,6*(8-1))))</f>
        <v>47618</v>
      </c>
      <c r="M327" s="3">
        <f>IF(9&gt;$C327,"",IF($D327=1,EOMONTH(EDATE(Bonds!$H327,6*(9-1)),0),EDATE(Bonds!$H327,6*(9-1))))</f>
        <v>47802</v>
      </c>
      <c r="N327" s="3">
        <f>IF(10&gt;$C327,"",IF($D327=1,EOMONTH(EDATE(Bonds!$H327,6*(10-1)),0),EDATE(Bonds!$H327,6*(10-1))))</f>
        <v>47983</v>
      </c>
      <c r="O327" s="3">
        <f>IF(11&gt;$C327,"",IF($D327=1,EOMONTH(EDATE(Bonds!$H327,6*(11-1)),0),EDATE(Bonds!$H327,6*(11-1))))</f>
        <v>48167</v>
      </c>
      <c r="P327" s="3">
        <f>IF(12&gt;$C327,"",IF($D327=1,EOMONTH(EDATE(Bonds!$H327,6*(12-1)),0),EDATE(Bonds!$H327,6*(12-1))))</f>
        <v>48349</v>
      </c>
      <c r="Q327" s="3">
        <f>IF(13&gt;$C327,"",IF($D327=1,EOMONTH(EDATE(Bonds!$H327,6*(13-1)),0),EDATE(Bonds!$H327,6*(13-1))))</f>
        <v>48533</v>
      </c>
      <c r="R327" s="3">
        <f>IF(14&gt;$C327,"",IF($D327=1,EOMONTH(EDATE(Bonds!$H327,6*(14-1)),0),EDATE(Bonds!$H327,6*(14-1))))</f>
        <v>48714</v>
      </c>
      <c r="S327" s="3">
        <f>IF(15&gt;$C327,"",IF($D327=1,EOMONTH(EDATE(Bonds!$H327,6*(15-1)),0),EDATE(Bonds!$H327,6*(15-1))))</f>
        <v>48898</v>
      </c>
      <c r="T327" s="3">
        <f>IF(16&gt;$C327,"",IF($D327=1,EOMONTH(EDATE(Bonds!$H327,6*(16-1)),0),EDATE(Bonds!$H327,6*(16-1))))</f>
        <v>49079</v>
      </c>
      <c r="U327" s="3">
        <f>IF(17&gt;$C327,"",IF($D327=1,EOMONTH(EDATE(Bonds!$H327,6*(17-1)),0),EDATE(Bonds!$H327,6*(17-1))))</f>
        <v>49263</v>
      </c>
      <c r="V327" s="3">
        <f>IF(18&gt;$C327,"",IF($D327=1,EOMONTH(EDATE(Bonds!$H327,6*(18-1)),0),EDATE(Bonds!$H327,6*(18-1))))</f>
        <v>49444</v>
      </c>
      <c r="W327" s="3">
        <f>IF(19&gt;$C327,"",IF($D327=1,EOMONTH(EDATE(Bonds!$H327,6*(19-1)),0),EDATE(Bonds!$H327,6*(19-1))))</f>
        <v>49628</v>
      </c>
      <c r="X327" s="3">
        <f>IF(20&gt;$C327,"",IF($D327=1,EOMONTH(EDATE(Bonds!$H327,6*(20-1)),0),EDATE(Bonds!$H327,6*(20-1))))</f>
        <v>49810</v>
      </c>
      <c r="Y327" s="3">
        <f>IF(21&gt;$C327,"",IF($D327=1,EOMONTH(EDATE(Bonds!$H327,6*(21-1)),0),EDATE(Bonds!$H327,6*(21-1))))</f>
        <v>49994</v>
      </c>
      <c r="Z327" s="3">
        <f>IF(22&gt;$C327,"",IF($D327=1,EOMONTH(EDATE(Bonds!$H327,6*(22-1)),0),EDATE(Bonds!$H327,6*(22-1))))</f>
        <v>50175</v>
      </c>
      <c r="AA327" s="3">
        <f>IF(23&gt;$C327,"",IF($D327=1,EOMONTH(EDATE(Bonds!$H327,6*(23-1)),0),EDATE(Bonds!$H327,6*(23-1))))</f>
        <v>50359</v>
      </c>
      <c r="AB327" s="3">
        <f>IF(24&gt;$C327,"",IF($D327=1,EOMONTH(EDATE(Bonds!$H327,6*(24-1)),0),EDATE(Bonds!$H327,6*(24-1))))</f>
        <v>50540</v>
      </c>
      <c r="AC327" s="3">
        <f>IF(25&gt;$C327,"",IF($D327=1,EOMONTH(EDATE(Bonds!$H327,6*(25-1)),0),EDATE(Bonds!$H327,6*(25-1))))</f>
        <v>50724</v>
      </c>
      <c r="AD327" s="3">
        <f>IF(26&gt;$C327,"",IF($D327=1,EOMONTH(EDATE(Bonds!$H327,6*(26-1)),0),EDATE(Bonds!$H327,6*(26-1))))</f>
        <v>50905</v>
      </c>
      <c r="AE327" s="3">
        <f>IF(27&gt;$C327,"",IF($D327=1,EOMONTH(EDATE(Bonds!$H327,6*(27-1)),0),EDATE(Bonds!$H327,6*(27-1))))</f>
        <v>51089</v>
      </c>
      <c r="AF327" s="3">
        <f>IF(28&gt;$C327,"",IF($D327=1,EOMONTH(EDATE(Bonds!$H327,6*(28-1)),0),EDATE(Bonds!$H327,6*(28-1))))</f>
        <v>51271</v>
      </c>
      <c r="AG327" s="3">
        <f>IF(29&gt;$C327,"",IF($D327=1,EOMONTH(EDATE(Bonds!$H327,6*(29-1)),0),EDATE(Bonds!$H327,6*(29-1))))</f>
        <v>51455</v>
      </c>
      <c r="AH327" s="3">
        <f>IF(30&gt;$C327,"",IF($D327=1,EOMONTH(EDATE(Bonds!$H327,6*(30-1)),0),EDATE(Bonds!$H327,6*(30-1))))</f>
        <v>51636</v>
      </c>
      <c r="AI327" s="3">
        <f>IF(31&gt;$C327,"",IF($D327=1,EOMONTH(EDATE(Bonds!$H327,6*(31-1)),0),EDATE(Bonds!$H327,6*(31-1))))</f>
        <v>51820</v>
      </c>
      <c r="AJ327" s="3">
        <f>IF(32&gt;$C327,"",IF($D327=1,EOMONTH(EDATE(Bonds!$H327,6*(32-1)),0),EDATE(Bonds!$H327,6*(32-1))))</f>
        <v>52001</v>
      </c>
      <c r="AK327" s="3">
        <f>IF(33&gt;$C327,"",IF($D327=1,EOMONTH(EDATE(Bonds!$H327,6*(33-1)),0),EDATE(Bonds!$H327,6*(33-1))))</f>
        <v>52185</v>
      </c>
      <c r="AL327" s="3">
        <f>IF(34&gt;$C327,"",IF($D327=1,EOMONTH(EDATE(Bonds!$H327,6*(34-1)),0),EDATE(Bonds!$H327,6*(34-1))))</f>
        <v>52366</v>
      </c>
      <c r="AM327" s="3">
        <f>IF(35&gt;$C327,"",IF($D327=1,EOMONTH(EDATE(Bonds!$H327,6*(35-1)),0),EDATE(Bonds!$H327,6*(35-1))))</f>
        <v>52550</v>
      </c>
      <c r="AN327" s="3">
        <f>IF(36&gt;$C327,"",IF($D327=1,EOMONTH(EDATE(Bonds!$H327,6*(36-1)),0),EDATE(Bonds!$H327,6*(36-1))))</f>
        <v>52732</v>
      </c>
      <c r="AO327" s="3">
        <f>IF(37&gt;$C327,"",IF($D327=1,EOMONTH(EDATE(Bonds!$H327,6*(37-1)),0),EDATE(Bonds!$H327,6*(37-1))))</f>
        <v>52916</v>
      </c>
      <c r="AP327" s="3">
        <f>IF(38&gt;$C327,"",IF($D327=1,EOMONTH(EDATE(Bonds!$H327,6*(38-1)),0),EDATE(Bonds!$H327,6*(38-1))))</f>
        <v>53097</v>
      </c>
      <c r="AQ327" s="3">
        <f>IF(39&gt;$C327,"",IF($D327=1,EOMONTH(EDATE(Bonds!$H327,6*(39-1)),0),EDATE(Bonds!$H327,6*(39-1))))</f>
        <v>53281</v>
      </c>
      <c r="AR327" s="3">
        <f>IF(40&gt;$C327,"",IF($D327=1,EOMONTH(EDATE(Bonds!$H327,6*(40-1)),0),EDATE(Bonds!$H327,6*(40-1))))</f>
        <v>53462</v>
      </c>
      <c r="AS327" s="3">
        <f>IF(41&gt;$C327,"",IF($D327=1,EOMONTH(EDATE(Bonds!$H327,6*(41-1)),0),EDATE(Bonds!$H327,6*(41-1))))</f>
        <v>53646</v>
      </c>
      <c r="AT327" s="3">
        <f>IF(42&gt;$C327,"",IF($D327=1,EOMONTH(EDATE(Bonds!$H327,6*(42-1)),0),EDATE(Bonds!$H327,6*(42-1))))</f>
        <v>53827</v>
      </c>
      <c r="AU327" s="3">
        <f>IF(43&gt;$C327,"",IF($D327=1,EOMONTH(EDATE(Bonds!$H327,6*(43-1)),0),EDATE(Bonds!$H327,6*(43-1))))</f>
        <v>54011</v>
      </c>
      <c r="AV327" s="3">
        <f>IF(44&gt;$C327,"",IF($D327=1,EOMONTH(EDATE(Bonds!$H327,6*(44-1)),0),EDATE(Bonds!$H327,6*(44-1))))</f>
        <v>54193</v>
      </c>
      <c r="AW327" s="3" t="str">
        <f>IF(45&gt;$C327,"",IF($D327=1,EOMONTH(EDATE(Bonds!$H327,6*(45-1)),0),EDATE(Bonds!$H327,6*(45-1))))</f>
        <v/>
      </c>
      <c r="AX327" s="3" t="str">
        <f>IF(46&gt;$C327,"",IF($D327=1,EOMONTH(EDATE(Bonds!$H327,6*(46-1)),0),EDATE(Bonds!$H327,6*(46-1))))</f>
        <v/>
      </c>
      <c r="AY327" s="3" t="str">
        <f>IF(47&gt;$C327,"",IF($D327=1,EOMONTH(EDATE(Bonds!$H327,6*(47-1)),0),EDATE(Bonds!$H327,6*(47-1))))</f>
        <v/>
      </c>
      <c r="AZ327" s="3" t="str">
        <f>IF(48&gt;$C327,"",IF($D327=1,EOMONTH(EDATE(Bonds!$H327,6*(48-1)),0),EDATE(Bonds!$H327,6*(48-1))))</f>
        <v/>
      </c>
      <c r="BA327" s="3" t="str">
        <f>IF(49&gt;$C327,"",IF($D327=1,EOMONTH(EDATE(Bonds!$H327,6*(49-1)),0),EDATE(Bonds!$H327,6*(49-1))))</f>
        <v/>
      </c>
      <c r="BB327" s="3" t="str">
        <f>IF(50&gt;$C327,"",IF($D327=1,EOMONTH(EDATE(Bonds!$H327,6*(50-1)),0),EDATE(Bonds!$H327,6*(50-1))))</f>
        <v/>
      </c>
      <c r="BC327" s="3" t="str">
        <f>IF(51&gt;$C327,"",IF($D327=1,EOMONTH(EDATE(Bonds!$H327,6*(51-1)),0),EDATE(Bonds!$H327,6*(51-1))))</f>
        <v/>
      </c>
      <c r="BD327" s="3" t="str">
        <f>IF(52&gt;$C327,"",IF($D327=1,EOMONTH(EDATE(Bonds!$H327,6*(52-1)),0),EDATE(Bonds!$H327,6*(52-1))))</f>
        <v/>
      </c>
      <c r="BE327" s="3" t="str">
        <f>IF(53&gt;$C327,"",IF($D327=1,EOMONTH(EDATE(Bonds!$H327,6*(53-1)),0),EDATE(Bonds!$H327,6*(53-1))))</f>
        <v/>
      </c>
      <c r="BF327" s="3" t="str">
        <f>IF(54&gt;$C327,"",IF($D327=1,EOMONTH(EDATE(Bonds!$H327,6*(54-1)),0),EDATE(Bonds!$H327,6*(54-1))))</f>
        <v/>
      </c>
      <c r="BG327" s="3" t="str">
        <f>IF(55&gt;$C327,"",IF($D327=1,EOMONTH(EDATE(Bonds!$H327,6*(55-1)),0),EDATE(Bonds!$H327,6*(55-1))))</f>
        <v/>
      </c>
      <c r="BH327" s="3" t="str">
        <f>IF(56&gt;$C327,"",IF($D327=1,EOMONTH(EDATE(Bonds!$H327,6*(56-1)),0),EDATE(Bonds!$H327,6*(56-1))))</f>
        <v/>
      </c>
      <c r="BI327" s="3" t="str">
        <f>IF(57&gt;$C327,"",IF($D327=1,EOMONTH(EDATE(Bonds!$H327,6*(57-1)),0),EDATE(Bonds!$H327,6*(57-1))))</f>
        <v/>
      </c>
      <c r="BJ327" s="3" t="str">
        <f>IF(58&gt;$C327,"",IF($D327=1,EOMONTH(EDATE(Bonds!$H327,6*(58-1)),0),EDATE(Bonds!$H327,6*(58-1))))</f>
        <v/>
      </c>
      <c r="BK327" s="3" t="str">
        <f>IF(59&gt;$C327,"",IF($D327=1,EOMONTH(EDATE(Bonds!$H327,6*(59-1)),0),EDATE(Bonds!$H327,6*(59-1))))</f>
        <v/>
      </c>
      <c r="BL327" s="3" t="str">
        <f>IF(60&gt;$C327,"",IF($D327=1,EOMONTH(EDATE(Bonds!$H327,6*(60-1)),0),EDATE(Bonds!$H327,6*(60-1))))</f>
        <v/>
      </c>
      <c r="BN327" s="7">
        <f t="shared" si="245"/>
        <v>1.5516024728125291</v>
      </c>
      <c r="BO327" s="7">
        <f t="shared" si="246"/>
        <v>1.5202702895188225</v>
      </c>
      <c r="BP327" s="7">
        <f t="shared" si="247"/>
        <v>1.4867825446087761</v>
      </c>
      <c r="BQ327" s="7">
        <f t="shared" si="248"/>
        <v>1.4534345960109205</v>
      </c>
      <c r="BR327" s="7">
        <f t="shared" si="249"/>
        <v>1.4201999002194776</v>
      </c>
      <c r="BS327" s="7">
        <f t="shared" si="250"/>
        <v>1.3882531282323125</v>
      </c>
      <c r="BT327" s="7">
        <f t="shared" si="251"/>
        <v>1.3565819522765012</v>
      </c>
      <c r="BU327" s="7">
        <f t="shared" si="252"/>
        <v>1.3261497589944726</v>
      </c>
      <c r="BV327" s="7">
        <f t="shared" si="253"/>
        <v>1.2958293742118352</v>
      </c>
      <c r="BW327" s="7">
        <f t="shared" si="254"/>
        <v>1.2664864286337265</v>
      </c>
      <c r="BX327" s="7">
        <f t="shared" si="255"/>
        <v>1.2370363050298021</v>
      </c>
      <c r="BY327" s="7">
        <f t="shared" si="256"/>
        <v>1.208195090968275</v>
      </c>
      <c r="BZ327" s="7">
        <f t="shared" si="257"/>
        <v>1.1792667478193233</v>
      </c>
      <c r="CA327" s="7">
        <f t="shared" si="258"/>
        <v>1.150999697415257</v>
      </c>
      <c r="CB327" s="7">
        <f t="shared" si="259"/>
        <v>1.1224426194037709</v>
      </c>
      <c r="CC327" s="7">
        <f t="shared" si="260"/>
        <v>1.0945306183804409</v>
      </c>
      <c r="CD327" s="7">
        <f t="shared" si="261"/>
        <v>1.0663565864417373</v>
      </c>
      <c r="CE327" s="7">
        <f t="shared" si="262"/>
        <v>1.0388670956159638</v>
      </c>
      <c r="CF327" s="7">
        <f t="shared" si="263"/>
        <v>1.0111862600446633</v>
      </c>
      <c r="CG327" s="7">
        <f t="shared" si="264"/>
        <v>0.98410734474481343</v>
      </c>
      <c r="CH327" s="7">
        <f t="shared" si="265"/>
        <v>0.95707641804753973</v>
      </c>
      <c r="CI327" s="7">
        <f t="shared" si="266"/>
        <v>0.93086520300221698</v>
      </c>
      <c r="CJ327" s="7">
        <f t="shared" si="267"/>
        <v>0.90464399296907427</v>
      </c>
      <c r="CK327" s="7">
        <f t="shared" si="268"/>
        <v>0.87930355665854076</v>
      </c>
      <c r="CL327" s="7">
        <f t="shared" si="269"/>
        <v>0.85403704668942404</v>
      </c>
      <c r="CM327" s="7">
        <f t="shared" si="270"/>
        <v>0.82969711067245144</v>
      </c>
      <c r="CN327" s="7">
        <f t="shared" si="271"/>
        <v>0.80550225762017358</v>
      </c>
      <c r="CO327" s="7">
        <f t="shared" si="272"/>
        <v>0.78213544166726712</v>
      </c>
      <c r="CP327" s="7">
        <f t="shared" si="273"/>
        <v>0.7591004221601676</v>
      </c>
      <c r="CQ327" s="7">
        <f t="shared" si="274"/>
        <v>0.73703145858392805</v>
      </c>
      <c r="CR327" s="7">
        <f t="shared" si="275"/>
        <v>0.71520666666992794</v>
      </c>
      <c r="CS327" s="7">
        <f t="shared" si="276"/>
        <v>0.69434385963287715</v>
      </c>
      <c r="CT327" s="7">
        <f t="shared" si="277"/>
        <v>0.67375459002688021</v>
      </c>
      <c r="CU327" s="7">
        <f t="shared" si="278"/>
        <v>0.65411053356344195</v>
      </c>
      <c r="CV327" s="7">
        <f t="shared" si="279"/>
        <v>0.6347582465788586</v>
      </c>
      <c r="CW327" s="7">
        <f t="shared" si="280"/>
        <v>0.6162241591923826</v>
      </c>
      <c r="CX327" s="7">
        <f t="shared" si="281"/>
        <v>0.59809437755453287</v>
      </c>
      <c r="CY327" s="7">
        <f t="shared" si="282"/>
        <v>0.5808485318550044</v>
      </c>
      <c r="CZ327" s="7">
        <f t="shared" si="283"/>
        <v>0.56390519810492212</v>
      </c>
      <c r="DA327" s="7">
        <f t="shared" si="284"/>
        <v>0.5478061189795661</v>
      </c>
      <c r="DB327" s="7">
        <f t="shared" si="285"/>
        <v>0.53200557880002219</v>
      </c>
      <c r="DC327" s="7">
        <f t="shared" si="286"/>
        <v>0.51700618818909905</v>
      </c>
      <c r="DD327" s="7">
        <f t="shared" si="287"/>
        <v>0.50229713775821117</v>
      </c>
      <c r="DE327" s="7">
        <f t="shared" si="288"/>
        <v>31.737456345238911</v>
      </c>
      <c r="DF327" s="7">
        <f t="shared" si="289"/>
        <v>0</v>
      </c>
      <c r="DG327" s="7">
        <f t="shared" si="290"/>
        <v>0</v>
      </c>
      <c r="DH327" s="7">
        <f t="shared" si="291"/>
        <v>0</v>
      </c>
      <c r="DI327" s="7">
        <f t="shared" si="292"/>
        <v>0</v>
      </c>
      <c r="DJ327" s="7">
        <f t="shared" si="293"/>
        <v>0</v>
      </c>
      <c r="DK327" s="7">
        <f t="shared" si="294"/>
        <v>0</v>
      </c>
      <c r="DL327" s="7">
        <f t="shared" si="295"/>
        <v>0</v>
      </c>
      <c r="DM327" s="7">
        <f t="shared" si="296"/>
        <v>0</v>
      </c>
      <c r="DN327" s="7">
        <f t="shared" si="297"/>
        <v>0</v>
      </c>
      <c r="DO327" s="7">
        <f t="shared" si="298"/>
        <v>0</v>
      </c>
      <c r="DP327" s="7">
        <f t="shared" si="299"/>
        <v>0</v>
      </c>
      <c r="DQ327" s="7">
        <f t="shared" si="300"/>
        <v>0</v>
      </c>
      <c r="DR327" s="7">
        <f t="shared" si="301"/>
        <v>0</v>
      </c>
      <c r="DS327" s="7">
        <f t="shared" si="302"/>
        <v>0</v>
      </c>
      <c r="DT327" s="7">
        <f t="shared" si="303"/>
        <v>0</v>
      </c>
      <c r="DU327" s="7">
        <f t="shared" si="304"/>
        <v>0</v>
      </c>
    </row>
    <row r="328" spans="1:125" x14ac:dyDescent="0.2">
      <c r="A328" s="3">
        <f>Bonds!A328</f>
        <v>54285</v>
      </c>
      <c r="B328" s="4">
        <f>Bonds!B328</f>
        <v>3</v>
      </c>
      <c r="C328">
        <f>Bonds!P328</f>
        <v>44</v>
      </c>
      <c r="D328">
        <f t="shared" ref="D328:D360" si="305">IF(DAY(A328)=DAY(EOMONTH(A328,0)),1,0)</f>
        <v>0</v>
      </c>
      <c r="E328" s="3">
        <f>IF(1&gt;$C328,"",IF($D328=1,EOMONTH(EDATE(Bonds!$H328,6*(1-1)),0),EDATE(Bonds!$H328,6*(1-1))))</f>
        <v>46433</v>
      </c>
      <c r="F328" s="3">
        <f>IF(2&gt;$C328,"",IF($D328=1,EOMONTH(EDATE(Bonds!$H328,6*(2-1)),0),EDATE(Bonds!$H328,6*(2-1))))</f>
        <v>46614</v>
      </c>
      <c r="G328" s="3">
        <f>IF(3&gt;$C328,"",IF($D328=1,EOMONTH(EDATE(Bonds!$H328,6*(3-1)),0),EDATE(Bonds!$H328,6*(3-1))))</f>
        <v>46798</v>
      </c>
      <c r="H328" s="3">
        <f>IF(4&gt;$C328,"",IF($D328=1,EOMONTH(EDATE(Bonds!$H328,6*(4-1)),0),EDATE(Bonds!$H328,6*(4-1))))</f>
        <v>46980</v>
      </c>
      <c r="I328" s="3">
        <f>IF(5&gt;$C328,"",IF($D328=1,EOMONTH(EDATE(Bonds!$H328,6*(5-1)),0),EDATE(Bonds!$H328,6*(5-1))))</f>
        <v>47164</v>
      </c>
      <c r="J328" s="3">
        <f>IF(6&gt;$C328,"",IF($D328=1,EOMONTH(EDATE(Bonds!$H328,6*(6-1)),0),EDATE(Bonds!$H328,6*(6-1))))</f>
        <v>47345</v>
      </c>
      <c r="K328" s="3">
        <f>IF(7&gt;$C328,"",IF($D328=1,EOMONTH(EDATE(Bonds!$H328,6*(7-1)),0),EDATE(Bonds!$H328,6*(7-1))))</f>
        <v>47529</v>
      </c>
      <c r="L328" s="3">
        <f>IF(8&gt;$C328,"",IF($D328=1,EOMONTH(EDATE(Bonds!$H328,6*(8-1)),0),EDATE(Bonds!$H328,6*(8-1))))</f>
        <v>47710</v>
      </c>
      <c r="M328" s="3">
        <f>IF(9&gt;$C328,"",IF($D328=1,EOMONTH(EDATE(Bonds!$H328,6*(9-1)),0),EDATE(Bonds!$H328,6*(9-1))))</f>
        <v>47894</v>
      </c>
      <c r="N328" s="3">
        <f>IF(10&gt;$C328,"",IF($D328=1,EOMONTH(EDATE(Bonds!$H328,6*(10-1)),0),EDATE(Bonds!$H328,6*(10-1))))</f>
        <v>48075</v>
      </c>
      <c r="O328" s="3">
        <f>IF(11&gt;$C328,"",IF($D328=1,EOMONTH(EDATE(Bonds!$H328,6*(11-1)),0),EDATE(Bonds!$H328,6*(11-1))))</f>
        <v>48259</v>
      </c>
      <c r="P328" s="3">
        <f>IF(12&gt;$C328,"",IF($D328=1,EOMONTH(EDATE(Bonds!$H328,6*(12-1)),0),EDATE(Bonds!$H328,6*(12-1))))</f>
        <v>48441</v>
      </c>
      <c r="Q328" s="3">
        <f>IF(13&gt;$C328,"",IF($D328=1,EOMONTH(EDATE(Bonds!$H328,6*(13-1)),0),EDATE(Bonds!$H328,6*(13-1))))</f>
        <v>48625</v>
      </c>
      <c r="R328" s="3">
        <f>IF(14&gt;$C328,"",IF($D328=1,EOMONTH(EDATE(Bonds!$H328,6*(14-1)),0),EDATE(Bonds!$H328,6*(14-1))))</f>
        <v>48806</v>
      </c>
      <c r="S328" s="3">
        <f>IF(15&gt;$C328,"",IF($D328=1,EOMONTH(EDATE(Bonds!$H328,6*(15-1)),0),EDATE(Bonds!$H328,6*(15-1))))</f>
        <v>48990</v>
      </c>
      <c r="T328" s="3">
        <f>IF(16&gt;$C328,"",IF($D328=1,EOMONTH(EDATE(Bonds!$H328,6*(16-1)),0),EDATE(Bonds!$H328,6*(16-1))))</f>
        <v>49171</v>
      </c>
      <c r="U328" s="3">
        <f>IF(17&gt;$C328,"",IF($D328=1,EOMONTH(EDATE(Bonds!$H328,6*(17-1)),0),EDATE(Bonds!$H328,6*(17-1))))</f>
        <v>49355</v>
      </c>
      <c r="V328" s="3">
        <f>IF(18&gt;$C328,"",IF($D328=1,EOMONTH(EDATE(Bonds!$H328,6*(18-1)),0),EDATE(Bonds!$H328,6*(18-1))))</f>
        <v>49536</v>
      </c>
      <c r="W328" s="3">
        <f>IF(19&gt;$C328,"",IF($D328=1,EOMONTH(EDATE(Bonds!$H328,6*(19-1)),0),EDATE(Bonds!$H328,6*(19-1))))</f>
        <v>49720</v>
      </c>
      <c r="X328" s="3">
        <f>IF(20&gt;$C328,"",IF($D328=1,EOMONTH(EDATE(Bonds!$H328,6*(20-1)),0),EDATE(Bonds!$H328,6*(20-1))))</f>
        <v>49902</v>
      </c>
      <c r="Y328" s="3">
        <f>IF(21&gt;$C328,"",IF($D328=1,EOMONTH(EDATE(Bonds!$H328,6*(21-1)),0),EDATE(Bonds!$H328,6*(21-1))))</f>
        <v>50086</v>
      </c>
      <c r="Z328" s="3">
        <f>IF(22&gt;$C328,"",IF($D328=1,EOMONTH(EDATE(Bonds!$H328,6*(22-1)),0),EDATE(Bonds!$H328,6*(22-1))))</f>
        <v>50267</v>
      </c>
      <c r="AA328" s="3">
        <f>IF(23&gt;$C328,"",IF($D328=1,EOMONTH(EDATE(Bonds!$H328,6*(23-1)),0),EDATE(Bonds!$H328,6*(23-1))))</f>
        <v>50451</v>
      </c>
      <c r="AB328" s="3">
        <f>IF(24&gt;$C328,"",IF($D328=1,EOMONTH(EDATE(Bonds!$H328,6*(24-1)),0),EDATE(Bonds!$H328,6*(24-1))))</f>
        <v>50632</v>
      </c>
      <c r="AC328" s="3">
        <f>IF(25&gt;$C328,"",IF($D328=1,EOMONTH(EDATE(Bonds!$H328,6*(25-1)),0),EDATE(Bonds!$H328,6*(25-1))))</f>
        <v>50816</v>
      </c>
      <c r="AD328" s="3">
        <f>IF(26&gt;$C328,"",IF($D328=1,EOMONTH(EDATE(Bonds!$H328,6*(26-1)),0),EDATE(Bonds!$H328,6*(26-1))))</f>
        <v>50997</v>
      </c>
      <c r="AE328" s="3">
        <f>IF(27&gt;$C328,"",IF($D328=1,EOMONTH(EDATE(Bonds!$H328,6*(27-1)),0),EDATE(Bonds!$H328,6*(27-1))))</f>
        <v>51181</v>
      </c>
      <c r="AF328" s="3">
        <f>IF(28&gt;$C328,"",IF($D328=1,EOMONTH(EDATE(Bonds!$H328,6*(28-1)),0),EDATE(Bonds!$H328,6*(28-1))))</f>
        <v>51363</v>
      </c>
      <c r="AG328" s="3">
        <f>IF(29&gt;$C328,"",IF($D328=1,EOMONTH(EDATE(Bonds!$H328,6*(29-1)),0),EDATE(Bonds!$H328,6*(29-1))))</f>
        <v>51547</v>
      </c>
      <c r="AH328" s="3">
        <f>IF(30&gt;$C328,"",IF($D328=1,EOMONTH(EDATE(Bonds!$H328,6*(30-1)),0),EDATE(Bonds!$H328,6*(30-1))))</f>
        <v>51728</v>
      </c>
      <c r="AI328" s="3">
        <f>IF(31&gt;$C328,"",IF($D328=1,EOMONTH(EDATE(Bonds!$H328,6*(31-1)),0),EDATE(Bonds!$H328,6*(31-1))))</f>
        <v>51912</v>
      </c>
      <c r="AJ328" s="3">
        <f>IF(32&gt;$C328,"",IF($D328=1,EOMONTH(EDATE(Bonds!$H328,6*(32-1)),0),EDATE(Bonds!$H328,6*(32-1))))</f>
        <v>52093</v>
      </c>
      <c r="AK328" s="3">
        <f>IF(33&gt;$C328,"",IF($D328=1,EOMONTH(EDATE(Bonds!$H328,6*(33-1)),0),EDATE(Bonds!$H328,6*(33-1))))</f>
        <v>52277</v>
      </c>
      <c r="AL328" s="3">
        <f>IF(34&gt;$C328,"",IF($D328=1,EOMONTH(EDATE(Bonds!$H328,6*(34-1)),0),EDATE(Bonds!$H328,6*(34-1))))</f>
        <v>52458</v>
      </c>
      <c r="AM328" s="3">
        <f>IF(35&gt;$C328,"",IF($D328=1,EOMONTH(EDATE(Bonds!$H328,6*(35-1)),0),EDATE(Bonds!$H328,6*(35-1))))</f>
        <v>52642</v>
      </c>
      <c r="AN328" s="3">
        <f>IF(36&gt;$C328,"",IF($D328=1,EOMONTH(EDATE(Bonds!$H328,6*(36-1)),0),EDATE(Bonds!$H328,6*(36-1))))</f>
        <v>52824</v>
      </c>
      <c r="AO328" s="3">
        <f>IF(37&gt;$C328,"",IF($D328=1,EOMONTH(EDATE(Bonds!$H328,6*(37-1)),0),EDATE(Bonds!$H328,6*(37-1))))</f>
        <v>53008</v>
      </c>
      <c r="AP328" s="3">
        <f>IF(38&gt;$C328,"",IF($D328=1,EOMONTH(EDATE(Bonds!$H328,6*(38-1)),0),EDATE(Bonds!$H328,6*(38-1))))</f>
        <v>53189</v>
      </c>
      <c r="AQ328" s="3">
        <f>IF(39&gt;$C328,"",IF($D328=1,EOMONTH(EDATE(Bonds!$H328,6*(39-1)),0),EDATE(Bonds!$H328,6*(39-1))))</f>
        <v>53373</v>
      </c>
      <c r="AR328" s="3">
        <f>IF(40&gt;$C328,"",IF($D328=1,EOMONTH(EDATE(Bonds!$H328,6*(40-1)),0),EDATE(Bonds!$H328,6*(40-1))))</f>
        <v>53554</v>
      </c>
      <c r="AS328" s="3">
        <f>IF(41&gt;$C328,"",IF($D328=1,EOMONTH(EDATE(Bonds!$H328,6*(41-1)),0),EDATE(Bonds!$H328,6*(41-1))))</f>
        <v>53738</v>
      </c>
      <c r="AT328" s="3">
        <f>IF(42&gt;$C328,"",IF($D328=1,EOMONTH(EDATE(Bonds!$H328,6*(42-1)),0),EDATE(Bonds!$H328,6*(42-1))))</f>
        <v>53919</v>
      </c>
      <c r="AU328" s="3">
        <f>IF(43&gt;$C328,"",IF($D328=1,EOMONTH(EDATE(Bonds!$H328,6*(43-1)),0),EDATE(Bonds!$H328,6*(43-1))))</f>
        <v>54103</v>
      </c>
      <c r="AV328" s="3">
        <f>IF(44&gt;$C328,"",IF($D328=1,EOMONTH(EDATE(Bonds!$H328,6*(44-1)),0),EDATE(Bonds!$H328,6*(44-1))))</f>
        <v>54285</v>
      </c>
      <c r="AW328" s="3" t="str">
        <f>IF(45&gt;$C328,"",IF($D328=1,EOMONTH(EDATE(Bonds!$H328,6*(45-1)),0),EDATE(Bonds!$H328,6*(45-1))))</f>
        <v/>
      </c>
      <c r="AX328" s="3" t="str">
        <f>IF(46&gt;$C328,"",IF($D328=1,EOMONTH(EDATE(Bonds!$H328,6*(46-1)),0),EDATE(Bonds!$H328,6*(46-1))))</f>
        <v/>
      </c>
      <c r="AY328" s="3" t="str">
        <f>IF(47&gt;$C328,"",IF($D328=1,EOMONTH(EDATE(Bonds!$H328,6*(47-1)),0),EDATE(Bonds!$H328,6*(47-1))))</f>
        <v/>
      </c>
      <c r="AZ328" s="3" t="str">
        <f>IF(48&gt;$C328,"",IF($D328=1,EOMONTH(EDATE(Bonds!$H328,6*(48-1)),0),EDATE(Bonds!$H328,6*(48-1))))</f>
        <v/>
      </c>
      <c r="BA328" s="3" t="str">
        <f>IF(49&gt;$C328,"",IF($D328=1,EOMONTH(EDATE(Bonds!$H328,6*(49-1)),0),EDATE(Bonds!$H328,6*(49-1))))</f>
        <v/>
      </c>
      <c r="BB328" s="3" t="str">
        <f>IF(50&gt;$C328,"",IF($D328=1,EOMONTH(EDATE(Bonds!$H328,6*(50-1)),0),EDATE(Bonds!$H328,6*(50-1))))</f>
        <v/>
      </c>
      <c r="BC328" s="3" t="str">
        <f>IF(51&gt;$C328,"",IF($D328=1,EOMONTH(EDATE(Bonds!$H328,6*(51-1)),0),EDATE(Bonds!$H328,6*(51-1))))</f>
        <v/>
      </c>
      <c r="BD328" s="3" t="str">
        <f>IF(52&gt;$C328,"",IF($D328=1,EOMONTH(EDATE(Bonds!$H328,6*(52-1)),0),EDATE(Bonds!$H328,6*(52-1))))</f>
        <v/>
      </c>
      <c r="BE328" s="3" t="str">
        <f>IF(53&gt;$C328,"",IF($D328=1,EOMONTH(EDATE(Bonds!$H328,6*(53-1)),0),EDATE(Bonds!$H328,6*(53-1))))</f>
        <v/>
      </c>
      <c r="BF328" s="3" t="str">
        <f>IF(54&gt;$C328,"",IF($D328=1,EOMONTH(EDATE(Bonds!$H328,6*(54-1)),0),EDATE(Bonds!$H328,6*(54-1))))</f>
        <v/>
      </c>
      <c r="BG328" s="3" t="str">
        <f>IF(55&gt;$C328,"",IF($D328=1,EOMONTH(EDATE(Bonds!$H328,6*(55-1)),0),EDATE(Bonds!$H328,6*(55-1))))</f>
        <v/>
      </c>
      <c r="BH328" s="3" t="str">
        <f>IF(56&gt;$C328,"",IF($D328=1,EOMONTH(EDATE(Bonds!$H328,6*(56-1)),0),EDATE(Bonds!$H328,6*(56-1))))</f>
        <v/>
      </c>
      <c r="BI328" s="3" t="str">
        <f>IF(57&gt;$C328,"",IF($D328=1,EOMONTH(EDATE(Bonds!$H328,6*(57-1)),0),EDATE(Bonds!$H328,6*(57-1))))</f>
        <v/>
      </c>
      <c r="BJ328" s="3" t="str">
        <f>IF(58&gt;$C328,"",IF($D328=1,EOMONTH(EDATE(Bonds!$H328,6*(58-1)),0),EDATE(Bonds!$H328,6*(58-1))))</f>
        <v/>
      </c>
      <c r="BK328" s="3" t="str">
        <f>IF(59&gt;$C328,"",IF($D328=1,EOMONTH(EDATE(Bonds!$H328,6*(59-1)),0),EDATE(Bonds!$H328,6*(59-1))))</f>
        <v/>
      </c>
      <c r="BL328" s="3" t="str">
        <f>IF(60&gt;$C328,"",IF($D328=1,EOMONTH(EDATE(Bonds!$H328,6*(60-1)),0),EDATE(Bonds!$H328,6*(60-1))))</f>
        <v/>
      </c>
      <c r="BN328" s="7">
        <f t="shared" ref="BN328:BN360" si="306">IF(E328="",0,($B328/2+IF(1=$C328,100,0))*EXP(-(beta_0+beta_1*(1-EXP(-((E328-Settle)/365)/tau_1))/(((E328-Settle)/365)/tau_1)+beta_2*((1-EXP(-((E328-Settle)/365)/tau_1))/(((E328-Settle)/365)/tau_1)-EXP(-((E328-Settle)/365)/tau_1))+beta_3*((1-EXP(-((E328-Settle)/365)/tau_2))/(((E328-Settle)/365)/tau_2)-EXP(-((E328-Settle)/365)/tau_2)))*((E328-Settle)/365)))</f>
        <v>1.4745592234215268</v>
      </c>
      <c r="BO328" s="7">
        <f t="shared" ref="BO328:BO360" si="307">IF(F328="",0,($B328/2+IF(2=$C328,100,0))*EXP(-(beta_0+beta_1*(1-EXP(-((F328-Settle)/365)/tau_1))/(((F328-Settle)/365)/tau_1)+beta_2*((1-EXP(-((F328-Settle)/365)/tau_1))/(((F328-Settle)/365)/tau_1)-EXP(-((F328-Settle)/365)/tau_1))+beta_3*((1-EXP(-((F328-Settle)/365)/tau_2))/(((F328-Settle)/365)/tau_2)-EXP(-((F328-Settle)/365)/tau_2)))*((F328-Settle)/365)))</f>
        <v>1.4434779867710825</v>
      </c>
      <c r="BP328" s="7">
        <f t="shared" ref="BP328:BP360" si="308">IF(G328="",0,($B328/2+IF(3=$C328,100,0))*EXP(-(beta_0+beta_1*(1-EXP(-((G328-Settle)/365)/tau_1))/(((G328-Settle)/365)/tau_1)+beta_2*((1-EXP(-((G328-Settle)/365)/tau_1))/(((G328-Settle)/365)/tau_1)-EXP(-((G328-Settle)/365)/tau_1))+beta_3*((1-EXP(-((G328-Settle)/365)/tau_2))/(((G328-Settle)/365)/tau_2)-EXP(-((G328-Settle)/365)/tau_2)))*((G328-Settle)/365)))</f>
        <v>1.4111011617560416</v>
      </c>
      <c r="BQ328" s="7">
        <f t="shared" ref="BQ328:BQ360" si="309">IF(H328="",0,($B328/2+IF(4=$C328,100,0))*EXP(-(beta_0+beta_1*(1-EXP(-((H328-Settle)/365)/tau_1))/(((H328-Settle)/365)/tau_1)+beta_2*((1-EXP(-((H328-Settle)/365)/tau_1))/(((H328-Settle)/365)/tau_1)-EXP(-((H328-Settle)/365)/tau_1))+beta_3*((1-EXP(-((H328-Settle)/365)/tau_2))/(((H328-Settle)/365)/tau_2)-EXP(-((H328-Settle)/365)/tau_2)))*((H328-Settle)/365)))</f>
        <v>1.3792627088894016</v>
      </c>
      <c r="BR328" s="7">
        <f t="shared" ref="BR328:BR360" si="310">IF(I328="",0,($B328/2+IF(5=$C328,100,0))*EXP(-(beta_0+beta_1*(1-EXP(-((I328-Settle)/365)/tau_1))/(((I328-Settle)/365)/tau_1)+beta_2*((1-EXP(-((I328-Settle)/365)/tau_1))/(((I328-Settle)/365)/tau_1)-EXP(-((I328-Settle)/365)/tau_1))+beta_3*((1-EXP(-((I328-Settle)/365)/tau_2))/(((I328-Settle)/365)/tau_2)-EXP(-((I328-Settle)/365)/tau_2)))*((I328-Settle)/365)))</f>
        <v>1.3477081746177022</v>
      </c>
      <c r="BS328" s="7">
        <f t="shared" ref="BS328:BS360" si="311">IF(J328="",0,($B328/2+IF(6=$C328,100,0))*EXP(-(beta_0+beta_1*(1-EXP(-((J328-Settle)/365)/tau_1))/(((J328-Settle)/365)/tau_1)+beta_2*((1-EXP(-((J328-Settle)/365)/tau_1))/(((J328-Settle)/365)/tau_1)-EXP(-((J328-Settle)/365)/tau_1))+beta_3*((1-EXP(-((J328-Settle)/365)/tau_2))/(((J328-Settle)/365)/tau_2)-EXP(-((J328-Settle)/365)/tau_2)))*((J328-Settle)/365)))</f>
        <v>1.3174260145842727</v>
      </c>
      <c r="BT328" s="7">
        <f t="shared" ref="BT328:BT360" si="312">IF(K328="",0,($B328/2+IF(7=$C328,100,0))*EXP(-(beta_0+beta_1*(1-EXP(-((K328-Settle)/365)/tau_1))/(((K328-Settle)/365)/tau_1)+beta_2*((1-EXP(-((K328-Settle)/365)/tau_1))/(((K328-Settle)/365)/tau_1)-EXP(-((K328-Settle)/365)/tau_1))+beta_3*((1-EXP(-((K328-Settle)/365)/tau_2))/(((K328-Settle)/365)/tau_2)-EXP(-((K328-Settle)/365)/tau_2)))*((K328-Settle)/365)))</f>
        <v>1.2873896018748001</v>
      </c>
      <c r="BU328" s="7">
        <f t="shared" ref="BU328:BU360" si="313">IF(L328="",0,($B328/2+IF(8=$C328,100,0))*EXP(-(beta_0+beta_1*(1-EXP(-((L328-Settle)/365)/tau_1))/(((L328-Settle)/365)/tau_1)+beta_2*((1-EXP(-((L328-Settle)/365)/tau_1))/(((L328-Settle)/365)/tau_1)-EXP(-((L328-Settle)/365)/tau_1))+beta_3*((1-EXP(-((L328-Settle)/365)/tau_2))/(((L328-Settle)/365)/tau_2)-EXP(-((L328-Settle)/365)/tau_2)))*((L328-Settle)/365)))</f>
        <v>1.2584831406180328</v>
      </c>
      <c r="BV328" s="7">
        <f t="shared" ref="BV328:BV360" si="314">IF(M328="",0,($B328/2+IF(9=$C328,100,0))*EXP(-(beta_0+beta_1*(1-EXP(-((M328-Settle)/365)/tau_1))/(((M328-Settle)/365)/tau_1)+beta_2*((1-EXP(-((M328-Settle)/365)/tau_1))/(((M328-Settle)/365)/tau_1)-EXP(-((M328-Settle)/365)/tau_1))+beta_3*((1-EXP(-((M328-Settle)/365)/tau_2))/(((M328-Settle)/365)/tau_2)-EXP(-((M328-Settle)/365)/tau_2)))*((M328-Settle)/365)))</f>
        <v>1.2296276988670014</v>
      </c>
      <c r="BW328" s="7">
        <f t="shared" ref="BW328:BW360" si="315">IF(N328="",0,($B328/2+IF(10=$C328,100,0))*EXP(-(beta_0+beta_1*(1-EXP(-((N328-Settle)/365)/tau_1))/(((N328-Settle)/365)/tau_1)+beta_2*((1-EXP(-((N328-Settle)/365)/tau_1))/(((N328-Settle)/365)/tau_1)-EXP(-((N328-Settle)/365)/tau_1))+beta_3*((1-EXP(-((N328-Settle)/365)/tau_2))/(((N328-Settle)/365)/tau_2)-EXP(-((N328-Settle)/365)/tau_2)))*((N328-Settle)/365)))</f>
        <v>1.2016509394434847</v>
      </c>
      <c r="BX328" s="7">
        <f t="shared" ref="BX328:BX360" si="316">IF(O328="",0,($B328/2+IF(11=$C328,100,0))*EXP(-(beta_0+beta_1*(1-EXP(-((O328-Settle)/365)/tau_1))/(((O328-Settle)/365)/tau_1)+beta_2*((1-EXP(-((O328-Settle)/365)/tau_1))/(((O328-Settle)/365)/tau_1)-EXP(-((O328-Settle)/365)/tau_1))+beta_3*((1-EXP(-((O328-Settle)/365)/tau_2))/(((O328-Settle)/365)/tau_2)-EXP(-((O328-Settle)/365)/tau_2)))*((O328-Settle)/365)))</f>
        <v>1.173528750555604</v>
      </c>
      <c r="BY328" s="7">
        <f t="shared" ref="BY328:BY360" si="317">IF(P328="",0,($B328/2+IF(12=$C328,100,0))*EXP(-(beta_0+beta_1*(1-EXP(-((P328-Settle)/365)/tau_1))/(((P328-Settle)/365)/tau_1)+beta_2*((1-EXP(-((P328-Settle)/365)/tau_1))/(((P328-Settle)/365)/tau_1)-EXP(-((P328-Settle)/365)/tau_1))+beta_3*((1-EXP(-((P328-Settle)/365)/tau_2))/(((P328-Settle)/365)/tau_2)-EXP(-((P328-Settle)/365)/tau_2)))*((P328-Settle)/365)))</f>
        <v>1.1459567038490892</v>
      </c>
      <c r="BZ328" s="7">
        <f t="shared" ref="BZ328:BZ360" si="318">IF(Q328="",0,($B328/2+IF(13=$C328,100,0))*EXP(-(beta_0+beta_1*(1-EXP(-((Q328-Settle)/365)/tau_1))/(((Q328-Settle)/365)/tau_1)+beta_2*((1-EXP(-((Q328-Settle)/365)/tau_1))/(((Q328-Settle)/365)/tau_1)-EXP(-((Q328-Settle)/365)/tau_1))+beta_3*((1-EXP(-((Q328-Settle)/365)/tau_2))/(((Q328-Settle)/365)/tau_2)-EXP(-((Q328-Settle)/365)/tau_2)))*((Q328-Settle)/365)))</f>
        <v>1.1182817317826954</v>
      </c>
      <c r="CA328" s="7">
        <f t="shared" ref="CA328:CA360" si="319">IF(R328="",0,($B328/2+IF(14=$C328,100,0))*EXP(-(beta_0+beta_1*(1-EXP(-((R328-Settle)/365)/tau_1))/(((R328-Settle)/365)/tau_1)+beta_2*((1-EXP(-((R328-Settle)/365)/tau_1))/(((R328-Settle)/365)/tau_1)-EXP(-((R328-Settle)/365)/tau_1))+beta_3*((1-EXP(-((R328-Settle)/365)/tau_2))/(((R328-Settle)/365)/tau_2)-EXP(-((R328-Settle)/365)/tau_2)))*((R328-Settle)/365)))</f>
        <v>1.0912308425531965</v>
      </c>
      <c r="CB328" s="7">
        <f t="shared" ref="CB328:CB360" si="320">IF(S328="",0,($B328/2+IF(15=$C328,100,0))*EXP(-(beta_0+beta_1*(1-EXP(-((S328-Settle)/365)/tau_1))/(((S328-Settle)/365)/tau_1)+beta_2*((1-EXP(-((S328-Settle)/365)/tau_1))/(((S328-Settle)/365)/tau_1)-EXP(-((S328-Settle)/365)/tau_1))+beta_3*((1-EXP(-((S328-Settle)/365)/tau_2))/(((S328-Settle)/365)/tau_2)-EXP(-((S328-Settle)/365)/tau_2)))*((S328-Settle)/365)))</f>
        <v>1.0639029375301776</v>
      </c>
      <c r="CC328" s="7">
        <f t="shared" ref="CC328:CC360" si="321">IF(T328="",0,($B328/2+IF(16=$C328,100,0))*EXP(-(beta_0+beta_1*(1-EXP(-((T328-Settle)/365)/tau_1))/(((T328-Settle)/365)/tau_1)+beta_2*((1-EXP(-((T328-Settle)/365)/tau_1))/(((T328-Settle)/365)/tau_1)-EXP(-((T328-Settle)/365)/tau_1))+beta_3*((1-EXP(-((T328-Settle)/365)/tau_2))/(((T328-Settle)/365)/tau_2)-EXP(-((T328-Settle)/365)/tau_2)))*((T328-Settle)/365)))</f>
        <v>1.0372000670262151</v>
      </c>
      <c r="CD328" s="7">
        <f t="shared" ref="CD328:CD360" si="322">IF(U328="",0,($B328/2+IF(17=$C328,100,0))*EXP(-(beta_0+beta_1*(1-EXP(-((U328-Settle)/365)/tau_1))/(((U328-Settle)/365)/tau_1)+beta_2*((1-EXP(-((U328-Settle)/365)/tau_1))/(((U328-Settle)/365)/tau_1)-EXP(-((U328-Settle)/365)/tau_1))+beta_3*((1-EXP(-((U328-Settle)/365)/tau_2))/(((U328-Settle)/365)/tau_2)-EXP(-((U328-Settle)/365)/tau_2)))*((U328-Settle)/365)))</f>
        <v>1.010259910452932</v>
      </c>
      <c r="CE328" s="7">
        <f t="shared" ref="CE328:CE360" si="323">IF(V328="",0,($B328/2+IF(18=$C328,100,0))*EXP(-(beta_0+beta_1*(1-EXP(-((V328-Settle)/365)/tau_1))/(((V328-Settle)/365)/tau_1)+beta_2*((1-EXP(-((V328-Settle)/365)/tau_1))/(((V328-Settle)/365)/tau_1)-EXP(-((V328-Settle)/365)/tau_1))+beta_3*((1-EXP(-((V328-Settle)/365)/tau_2))/(((V328-Settle)/365)/tau_2)-EXP(-((V328-Settle)/365)/tau_2)))*((V328-Settle)/365)))</f>
        <v>0.98399132832559122</v>
      </c>
      <c r="CF328" s="7">
        <f t="shared" ref="CF328:CF360" si="324">IF(W328="",0,($B328/2+IF(19=$C328,100,0))*EXP(-(beta_0+beta_1*(1-EXP(-((W328-Settle)/365)/tau_1))/(((W328-Settle)/365)/tau_1)+beta_2*((1-EXP(-((W328-Settle)/365)/tau_1))/(((W328-Settle)/365)/tau_1)-EXP(-((W328-Settle)/365)/tau_1))+beta_3*((1-EXP(-((W328-Settle)/365)/tau_2))/(((W328-Settle)/365)/tau_2)-EXP(-((W328-Settle)/365)/tau_2)))*((W328-Settle)/365)))</f>
        <v>0.9575597459737325</v>
      </c>
      <c r="CG328" s="7">
        <f t="shared" ref="CG328:CG360" si="325">IF(X328="",0,($B328/2+IF(20=$C328,100,0))*EXP(-(beta_0+beta_1*(1-EXP(-((X328-Settle)/365)/tau_1))/(((X328-Settle)/365)/tau_1)+beta_2*((1-EXP(-((X328-Settle)/365)/tau_1))/(((X328-Settle)/365)/tau_1)-EXP(-((X328-Settle)/365)/tau_1))+beta_3*((1-EXP(-((X328-Settle)/365)/tau_2))/(((X328-Settle)/365)/tau_2)-EXP(-((X328-Settle)/365)/tau_2)))*((X328-Settle)/365)))</f>
        <v>0.9317240256689383</v>
      </c>
      <c r="CH328" s="7">
        <f t="shared" ref="CH328:CH360" si="326">IF(Y328="",0,($B328/2+IF(21=$C328,100,0))*EXP(-(beta_0+beta_1*(1-EXP(-((Y328-Settle)/365)/tau_1))/(((Y328-Settle)/365)/tau_1)+beta_2*((1-EXP(-((Y328-Settle)/365)/tau_1))/(((Y328-Settle)/365)/tau_1)-EXP(-((Y328-Settle)/365)/tau_1))+beta_3*((1-EXP(-((Y328-Settle)/365)/tau_2))/(((Y328-Settle)/365)/tau_2)-EXP(-((Y328-Settle)/365)/tau_2)))*((Y328-Settle)/365)))</f>
        <v>0.90595600051853253</v>
      </c>
      <c r="CI328" s="7">
        <f t="shared" ref="CI328:CI360" si="327">IF(Z328="",0,($B328/2+IF(22=$C328,100,0))*EXP(-(beta_0+beta_1*(1-EXP(-((Z328-Settle)/365)/tau_1))/(((Z328-Settle)/365)/tau_1)+beta_2*((1-EXP(-((Z328-Settle)/365)/tau_1))/(((Z328-Settle)/365)/tau_1)-EXP(-((Z328-Settle)/365)/tau_1))+beta_3*((1-EXP(-((Z328-Settle)/365)/tau_2))/(((Z328-Settle)/365)/tau_2)-EXP(-((Z328-Settle)/365)/tau_2)))*((Z328-Settle)/365)))</f>
        <v>0.8809907958911265</v>
      </c>
      <c r="CJ328" s="7">
        <f t="shared" ref="CJ328:CJ360" si="328">IF(AA328="",0,($B328/2+IF(23=$C328,100,0))*EXP(-(beta_0+beta_1*(1-EXP(-((AA328-Settle)/365)/tau_1))/(((AA328-Settle)/365)/tau_1)+beta_2*((1-EXP(-((AA328-Settle)/365)/tau_1))/(((AA328-Settle)/365)/tau_1)-EXP(-((AA328-Settle)/365)/tau_1))+beta_3*((1-EXP(-((AA328-Settle)/365)/tau_2))/(((AA328-Settle)/365)/tau_2)-EXP(-((AA328-Settle)/365)/tau_2)))*((AA328-Settle)/365)))</f>
        <v>0.85603726047881579</v>
      </c>
      <c r="CK328" s="7">
        <f t="shared" ref="CK328:CK360" si="329">IF(AB328="",0,($B328/2+IF(24=$C328,100,0))*EXP(-(beta_0+beta_1*(1-EXP(-((AB328-Settle)/365)/tau_1))/(((AB328-Settle)/365)/tau_1)+beta_2*((1-EXP(-((AB328-Settle)/365)/tau_1))/(((AB328-Settle)/365)/tau_1)-EXP(-((AB328-Settle)/365)/tau_1))+beta_3*((1-EXP(-((AB328-Settle)/365)/tau_2))/(((AB328-Settle)/365)/tau_2)-EXP(-((AB328-Settle)/365)/tau_2)))*((AB328-Settle)/365)))</f>
        <v>0.83194187432179612</v>
      </c>
      <c r="CL328" s="7">
        <f t="shared" ref="CL328:CL360" si="330">IF(AC328="",0,($B328/2+IF(25=$C328,100,0))*EXP(-(beta_0+beta_1*(1-EXP(-((AC328-Settle)/365)/tau_1))/(((AC328-Settle)/365)/tau_1)+beta_2*((1-EXP(-((AC328-Settle)/365)/tau_1))/(((AC328-Settle)/365)/tau_1)-EXP(-((AC328-Settle)/365)/tau_1))+beta_3*((1-EXP(-((AC328-Settle)/365)/tau_2))/(((AC328-Settle)/365)/tau_2)-EXP(-((AC328-Settle)/365)/tau_2)))*((AC328-Settle)/365)))</f>
        <v>0.80793593998756208</v>
      </c>
      <c r="CM328" s="7">
        <f t="shared" ref="CM328:CM360" si="331">IF(AD328="",0,($B328/2+IF(26=$C328,100,0))*EXP(-(beta_0+beta_1*(1-EXP(-((AD328-Settle)/365)/tau_1))/(((AD328-Settle)/365)/tau_1)+beta_2*((1-EXP(-((AD328-Settle)/365)/tau_1))/(((AD328-Settle)/365)/tau_1)-EXP(-((AD328-Settle)/365)/tau_1))+beta_3*((1-EXP(-((AD328-Settle)/365)/tau_2))/(((AD328-Settle)/365)/tau_2)-EXP(-((AD328-Settle)/365)/tau_2)))*((AD328-Settle)/365)))</f>
        <v>0.78482796329434779</v>
      </c>
      <c r="CN328" s="7">
        <f t="shared" ref="CN328:CN360" si="332">IF(AE328="",0,($B328/2+IF(27=$C328,100,0))*EXP(-(beta_0+beta_1*(1-EXP(-((AE328-Settle)/365)/tau_1))/(((AE328-Settle)/365)/tau_1)+beta_2*((1-EXP(-((AE328-Settle)/365)/tau_1))/(((AE328-Settle)/365)/tau_1)-EXP(-((AE328-Settle)/365)/tau_1))+beta_3*((1-EXP(-((AE328-Settle)/365)/tau_2))/(((AE328-Settle)/365)/tau_2)-EXP(-((AE328-Settle)/365)/tau_2)))*((AE328-Settle)/365)))</f>
        <v>0.76187430061400907</v>
      </c>
      <c r="CO328" s="7">
        <f t="shared" ref="CO328:CO360" si="333">IF(AF328="",0,($B328/2+IF(28=$C328,100,0))*EXP(-(beta_0+beta_1*(1-EXP(-((AF328-Settle)/365)/tau_1))/(((AF328-Settle)/365)/tau_1)+beta_2*((1-EXP(-((AF328-Settle)/365)/tau_1))/(((AF328-Settle)/365)/tau_1)-EXP(-((AF328-Settle)/365)/tau_1))+beta_3*((1-EXP(-((AF328-Settle)/365)/tau_2))/(((AF328-Settle)/365)/tau_2)-EXP(-((AF328-Settle)/365)/tau_2)))*((AF328-Settle)/365)))</f>
        <v>0.73972130795882873</v>
      </c>
      <c r="CP328" s="7">
        <f t="shared" ref="CP328:CP360" si="334">IF(AG328="",0,($B328/2+IF(29=$C328,100,0))*EXP(-(beta_0+beta_1*(1-EXP(-((AG328-Settle)/365)/tau_1))/(((AG328-Settle)/365)/tau_1)+beta_2*((1-EXP(-((AG328-Settle)/365)/tau_1))/(((AG328-Settle)/365)/tau_1)-EXP(-((AG328-Settle)/365)/tau_1))+beta_3*((1-EXP(-((AG328-Settle)/365)/tau_2))/(((AG328-Settle)/365)/tau_2)-EXP(-((AG328-Settle)/365)/tau_2)))*((AG328-Settle)/365)))</f>
        <v>0.71789682218407636</v>
      </c>
      <c r="CQ328" s="7">
        <f t="shared" ref="CQ328:CQ360" si="335">IF(AH328="",0,($B328/2+IF(30=$C328,100,0))*EXP(-(beta_0+beta_1*(1-EXP(-((AH328-Settle)/365)/tau_1))/(((AH328-Settle)/365)/tau_1)+beta_2*((1-EXP(-((AH328-Settle)/365)/tau_1))/(((AH328-Settle)/365)/tau_1)-EXP(-((AH328-Settle)/365)/tau_1))+beta_3*((1-EXP(-((AH328-Settle)/365)/tau_2))/(((AH328-Settle)/365)/tau_2)-EXP(-((AH328-Settle)/365)/tau_2)))*((AH328-Settle)/365)))</f>
        <v>0.69700005283591515</v>
      </c>
      <c r="CR328" s="7">
        <f t="shared" ref="CR328:CR360" si="336">IF(AI328="",0,($B328/2+IF(31=$C328,100,0))*EXP(-(beta_0+beta_1*(1-EXP(-((AI328-Settle)/365)/tau_1))/(((AI328-Settle)/365)/tau_1)+beta_2*((1-EXP(-((AI328-Settle)/365)/tau_1))/(((AI328-Settle)/365)/tau_1)-EXP(-((AI328-Settle)/365)/tau_1))+beta_3*((1-EXP(-((AI328-Settle)/365)/tau_2))/(((AI328-Settle)/365)/tau_2)-EXP(-((AI328-Settle)/365)/tau_2)))*((AI328-Settle)/365)))</f>
        <v>0.67634590204293987</v>
      </c>
      <c r="CS328" s="7">
        <f t="shared" ref="CS328:CS360" si="337">IF(AJ328="",0,($B328/2+IF(32=$C328,100,0))*EXP(-(beta_0+beta_1*(1-EXP(-((AJ328-Settle)/365)/tau_1))/(((AJ328-Settle)/365)/tau_1)+beta_2*((1-EXP(-((AJ328-Settle)/365)/tau_1))/(((AJ328-Settle)/365)/tau_1)-EXP(-((AJ328-Settle)/365)/tau_1))+beta_3*((1-EXP(-((AJ328-Settle)/365)/tau_2))/(((AJ328-Settle)/365)/tau_2)-EXP(-((AJ328-Settle)/365)/tau_2)))*((AJ328-Settle)/365)))</f>
        <v>0.65661224709489308</v>
      </c>
      <c r="CT328" s="7">
        <f t="shared" ref="CT328:CT360" si="338">IF(AK328="",0,($B328/2+IF(33=$C328,100,0))*EXP(-(beta_0+beta_1*(1-EXP(-((AK328-Settle)/365)/tau_1))/(((AK328-Settle)/365)/tau_1)+beta_2*((1-EXP(-((AK328-Settle)/365)/tau_1))/(((AK328-Settle)/365)/tau_1)-EXP(-((AK328-Settle)/365)/tau_1))+beta_3*((1-EXP(-((AK328-Settle)/365)/tau_2))/(((AK328-Settle)/365)/tau_2)-EXP(-((AK328-Settle)/365)/tau_2)))*((AK328-Settle)/365)))</f>
        <v>0.63714653396964782</v>
      </c>
      <c r="CU328" s="7">
        <f t="shared" ref="CU328:CU360" si="339">IF(AL328="",0,($B328/2+IF(34=$C328,100,0))*EXP(-(beta_0+beta_1*(1-EXP(-((AL328-Settle)/365)/tau_1))/(((AL328-Settle)/365)/tau_1)+beta_2*((1-EXP(-((AL328-Settle)/365)/tau_1))/(((AL328-Settle)/365)/tau_1)-EXP(-((AL328-Settle)/365)/tau_1))+beta_3*((1-EXP(-((AL328-Settle)/365)/tau_2))/(((AL328-Settle)/365)/tau_2)-EXP(-((AL328-Settle)/365)/tau_2)))*((AL328-Settle)/365)))</f>
        <v>0.61858254664085766</v>
      </c>
      <c r="CV328" s="7">
        <f t="shared" ref="CV328:CV360" si="340">IF(AM328="",0,($B328/2+IF(35=$C328,100,0))*EXP(-(beta_0+beta_1*(1-EXP(-((AM328-Settle)/365)/tau_1))/(((AM328-Settle)/365)/tau_1)+beta_2*((1-EXP(-((AM328-Settle)/365)/tau_1))/(((AM328-Settle)/365)/tau_1)-EXP(-((AM328-Settle)/365)/tau_1))+beta_3*((1-EXP(-((AM328-Settle)/365)/tau_2))/(((AM328-Settle)/365)/tau_2)-EXP(-((AM328-Settle)/365)/tau_2)))*((AM328-Settle)/365)))</f>
        <v>0.60030160465226623</v>
      </c>
      <c r="CW328" s="7">
        <f t="shared" ref="CW328:CW360" si="341">IF(AN328="",0,($B328/2+IF(36=$C328,100,0))*EXP(-(beta_0+beta_1*(1-EXP(-((AN328-Settle)/365)/tau_1))/(((AN328-Settle)/365)/tau_1)+beta_2*((1-EXP(-((AN328-Settle)/365)/tau_1))/(((AN328-Settle)/365)/tau_1)-EXP(-((AN328-Settle)/365)/tau_1))+beta_3*((1-EXP(-((AN328-Settle)/365)/tau_2))/(((AN328-Settle)/365)/tau_2)-EXP(-((AN328-Settle)/365)/tau_2)))*((AN328-Settle)/365)))</f>
        <v>0.58280000386009723</v>
      </c>
      <c r="CX328" s="7">
        <f t="shared" ref="CX328:CX360" si="342">IF(AO328="",0,($B328/2+IF(37=$C328,100,0))*EXP(-(beta_0+beta_1*(1-EXP(-((AO328-Settle)/365)/tau_1))/(((AO328-Settle)/365)/tau_1)+beta_2*((1-EXP(-((AO328-Settle)/365)/tau_1))/(((AO328-Settle)/365)/tau_1)-EXP(-((AO328-Settle)/365)/tau_1))+beta_3*((1-EXP(-((AO328-Settle)/365)/tau_2))/(((AO328-Settle)/365)/tau_2)-EXP(-((AO328-Settle)/365)/tau_2)))*((AO328-Settle)/365)))</f>
        <v>0.56568593347057838</v>
      </c>
      <c r="CY328" s="7">
        <f t="shared" ref="CY328:CY360" si="343">IF(AP328="",0,($B328/2+IF(38=$C328,100,0))*EXP(-(beta_0+beta_1*(1-EXP(-((AP328-Settle)/365)/tau_1))/(((AP328-Settle)/365)/tau_1)+beta_2*((1-EXP(-((AP328-Settle)/365)/tau_1))/(((AP328-Settle)/365)/tau_1)-EXP(-((AP328-Settle)/365)/tau_1))+beta_3*((1-EXP(-((AP328-Settle)/365)/tau_2))/(((AP328-Settle)/365)/tau_2)-EXP(-((AP328-Settle)/365)/tau_2)))*((AP328-Settle)/365)))</f>
        <v>0.54941124319879164</v>
      </c>
      <c r="CZ328" s="7">
        <f t="shared" ref="CZ328:CZ360" si="344">IF(AQ328="",0,($B328/2+IF(39=$C328,100,0))*EXP(-(beta_0+beta_1*(1-EXP(-((AQ328-Settle)/365)/tau_1))/(((AQ328-Settle)/365)/tau_1)+beta_2*((1-EXP(-((AQ328-Settle)/365)/tau_1))/(((AQ328-Settle)/365)/tau_1)-EXP(-((AQ328-Settle)/365)/tau_1))+beta_3*((1-EXP(-((AQ328-Settle)/365)/tau_2))/(((AQ328-Settle)/365)/tau_2)-EXP(-((AQ328-Settle)/365)/tau_2)))*((AQ328-Settle)/365)))</f>
        <v>0.53342645716859227</v>
      </c>
      <c r="DA328" s="7">
        <f t="shared" ref="DA328:DA360" si="345">IF(AR328="",0,($B328/2+IF(40=$C328,100,0))*EXP(-(beta_0+beta_1*(1-EXP(-((AR328-Settle)/365)/tau_1))/(((AR328-Settle)/365)/tau_1)+beta_2*((1-EXP(-((AR328-Settle)/365)/tau_1))/(((AR328-Settle)/365)/tau_1)-EXP(-((AR328-Settle)/365)/tau_1))+beta_3*((1-EXP(-((AR328-Settle)/365)/tau_2))/(((AR328-Settle)/365)/tau_2)-EXP(-((AR328-Settle)/365)/tau_2)))*((AR328-Settle)/365)))</f>
        <v>0.518241971385065</v>
      </c>
      <c r="DB328" s="7">
        <f t="shared" ref="DB328:DB360" si="346">IF(AS328="",0,($B328/2+IF(41=$C328,100,0))*EXP(-(beta_0+beta_1*(1-EXP(-((AS328-Settle)/365)/tau_1))/(((AS328-Settle)/365)/tau_1)+beta_2*((1-EXP(-((AS328-Settle)/365)/tau_1))/(((AS328-Settle)/365)/tau_1)-EXP(-((AS328-Settle)/365)/tau_1))+beta_3*((1-EXP(-((AS328-Settle)/365)/tau_2))/(((AS328-Settle)/365)/tau_2)-EXP(-((AS328-Settle)/365)/tau_2)))*((AS328-Settle)/365)))</f>
        <v>0.50334243239321041</v>
      </c>
      <c r="DC328" s="7">
        <f t="shared" ref="DC328:DC360" si="347">IF(AT328="",0,($B328/2+IF(42=$C328,100,0))*EXP(-(beta_0+beta_1*(1-EXP(-((AT328-Settle)/365)/tau_1))/(((AT328-Settle)/365)/tau_1)+beta_2*((1-EXP(-((AT328-Settle)/365)/tau_1))/(((AT328-Settle)/365)/tau_1)-EXP(-((AT328-Settle)/365)/tau_1))+beta_3*((1-EXP(-((AT328-Settle)/365)/tau_2))/(((AT328-Settle)/365)/tau_2)-EXP(-((AT328-Settle)/365)/tau_2)))*((AT328-Settle)/365)))</f>
        <v>0.48920123049738551</v>
      </c>
      <c r="DD328" s="7">
        <f t="shared" ref="DD328:DD360" si="348">IF(AU328="",0,($B328/2+IF(43=$C328,100,0))*EXP(-(beta_0+beta_1*(1-EXP(-((AU328-Settle)/365)/tau_1))/(((AU328-Settle)/365)/tau_1)+beta_2*((1-EXP(-((AU328-Settle)/365)/tau_1))/(((AU328-Settle)/365)/tau_1)-EXP(-((AU328-Settle)/365)/tau_1))+beta_3*((1-EXP(-((AU328-Settle)/365)/tau_2))/(((AU328-Settle)/365)/tau_2)-EXP(-((AU328-Settle)/365)/tau_2)))*((AU328-Settle)/365)))</f>
        <v>0.47533627234214365</v>
      </c>
      <c r="DE328" s="7">
        <f t="shared" ref="DE328:DE360" si="349">IF(AV328="",0,($B328/2+IF(44=$C328,100,0))*EXP(-(beta_0+beta_1*(1-EXP(-((AV328-Settle)/365)/tau_1))/(((AV328-Settle)/365)/tau_1)+beta_2*((1-EXP(-((AV328-Settle)/365)/tau_1))/(((AV328-Settle)/365)/tau_1)-EXP(-((AV328-Settle)/365)/tau_1))+beta_3*((1-EXP(-((AV328-Settle)/365)/tau_2))/(((AV328-Settle)/365)/tau_2)-EXP(-((AV328-Settle)/365)/tau_2)))*((AV328-Settle)/365)))</f>
        <v>31.269773218144284</v>
      </c>
      <c r="DF328" s="7">
        <f t="shared" ref="DF328:DF360" si="350">IF(AW328="",0,($B328/2+IF(45=$C328,100,0))*EXP(-(beta_0+beta_1*(1-EXP(-((AW328-Settle)/365)/tau_1))/(((AW328-Settle)/365)/tau_1)+beta_2*((1-EXP(-((AW328-Settle)/365)/tau_1))/(((AW328-Settle)/365)/tau_1)-EXP(-((AW328-Settle)/365)/tau_1))+beta_3*((1-EXP(-((AW328-Settle)/365)/tau_2))/(((AW328-Settle)/365)/tau_2)-EXP(-((AW328-Settle)/365)/tau_2)))*((AW328-Settle)/365)))</f>
        <v>0</v>
      </c>
      <c r="DG328" s="7">
        <f t="shared" ref="DG328:DG360" si="351">IF(AX328="",0,($B328/2+IF(46=$C328,100,0))*EXP(-(beta_0+beta_1*(1-EXP(-((AX328-Settle)/365)/tau_1))/(((AX328-Settle)/365)/tau_1)+beta_2*((1-EXP(-((AX328-Settle)/365)/tau_1))/(((AX328-Settle)/365)/tau_1)-EXP(-((AX328-Settle)/365)/tau_1))+beta_3*((1-EXP(-((AX328-Settle)/365)/tau_2))/(((AX328-Settle)/365)/tau_2)-EXP(-((AX328-Settle)/365)/tau_2)))*((AX328-Settle)/365)))</f>
        <v>0</v>
      </c>
      <c r="DH328" s="7">
        <f t="shared" ref="DH328:DH360" si="352">IF(AY328="",0,($B328/2+IF(47=$C328,100,0))*EXP(-(beta_0+beta_1*(1-EXP(-((AY328-Settle)/365)/tau_1))/(((AY328-Settle)/365)/tau_1)+beta_2*((1-EXP(-((AY328-Settle)/365)/tau_1))/(((AY328-Settle)/365)/tau_1)-EXP(-((AY328-Settle)/365)/tau_1))+beta_3*((1-EXP(-((AY328-Settle)/365)/tau_2))/(((AY328-Settle)/365)/tau_2)-EXP(-((AY328-Settle)/365)/tau_2)))*((AY328-Settle)/365)))</f>
        <v>0</v>
      </c>
      <c r="DI328" s="7">
        <f t="shared" ref="DI328:DI360" si="353">IF(AZ328="",0,($B328/2+IF(48=$C328,100,0))*EXP(-(beta_0+beta_1*(1-EXP(-((AZ328-Settle)/365)/tau_1))/(((AZ328-Settle)/365)/tau_1)+beta_2*((1-EXP(-((AZ328-Settle)/365)/tau_1))/(((AZ328-Settle)/365)/tau_1)-EXP(-((AZ328-Settle)/365)/tau_1))+beta_3*((1-EXP(-((AZ328-Settle)/365)/tau_2))/(((AZ328-Settle)/365)/tau_2)-EXP(-((AZ328-Settle)/365)/tau_2)))*((AZ328-Settle)/365)))</f>
        <v>0</v>
      </c>
      <c r="DJ328" s="7">
        <f t="shared" ref="DJ328:DJ360" si="354">IF(BA328="",0,($B328/2+IF(49=$C328,100,0))*EXP(-(beta_0+beta_1*(1-EXP(-((BA328-Settle)/365)/tau_1))/(((BA328-Settle)/365)/tau_1)+beta_2*((1-EXP(-((BA328-Settle)/365)/tau_1))/(((BA328-Settle)/365)/tau_1)-EXP(-((BA328-Settle)/365)/tau_1))+beta_3*((1-EXP(-((BA328-Settle)/365)/tau_2))/(((BA328-Settle)/365)/tau_2)-EXP(-((BA328-Settle)/365)/tau_2)))*((BA328-Settle)/365)))</f>
        <v>0</v>
      </c>
      <c r="DK328" s="7">
        <f t="shared" ref="DK328:DK360" si="355">IF(BB328="",0,($B328/2+IF(50=$C328,100,0))*EXP(-(beta_0+beta_1*(1-EXP(-((BB328-Settle)/365)/tau_1))/(((BB328-Settle)/365)/tau_1)+beta_2*((1-EXP(-((BB328-Settle)/365)/tau_1))/(((BB328-Settle)/365)/tau_1)-EXP(-((BB328-Settle)/365)/tau_1))+beta_3*((1-EXP(-((BB328-Settle)/365)/tau_2))/(((BB328-Settle)/365)/tau_2)-EXP(-((BB328-Settle)/365)/tau_2)))*((BB328-Settle)/365)))</f>
        <v>0</v>
      </c>
      <c r="DL328" s="7">
        <f t="shared" ref="DL328:DL360" si="356">IF(BC328="",0,($B328/2+IF(51=$C328,100,0))*EXP(-(beta_0+beta_1*(1-EXP(-((BC328-Settle)/365)/tau_1))/(((BC328-Settle)/365)/tau_1)+beta_2*((1-EXP(-((BC328-Settle)/365)/tau_1))/(((BC328-Settle)/365)/tau_1)-EXP(-((BC328-Settle)/365)/tau_1))+beta_3*((1-EXP(-((BC328-Settle)/365)/tau_2))/(((BC328-Settle)/365)/tau_2)-EXP(-((BC328-Settle)/365)/tau_2)))*((BC328-Settle)/365)))</f>
        <v>0</v>
      </c>
      <c r="DM328" s="7">
        <f t="shared" ref="DM328:DM360" si="357">IF(BD328="",0,($B328/2+IF(52=$C328,100,0))*EXP(-(beta_0+beta_1*(1-EXP(-((BD328-Settle)/365)/tau_1))/(((BD328-Settle)/365)/tau_1)+beta_2*((1-EXP(-((BD328-Settle)/365)/tau_1))/(((BD328-Settle)/365)/tau_1)-EXP(-((BD328-Settle)/365)/tau_1))+beta_3*((1-EXP(-((BD328-Settle)/365)/tau_2))/(((BD328-Settle)/365)/tau_2)-EXP(-((BD328-Settle)/365)/tau_2)))*((BD328-Settle)/365)))</f>
        <v>0</v>
      </c>
      <c r="DN328" s="7">
        <f t="shared" ref="DN328:DN360" si="358">IF(BE328="",0,($B328/2+IF(53=$C328,100,0))*EXP(-(beta_0+beta_1*(1-EXP(-((BE328-Settle)/365)/tau_1))/(((BE328-Settle)/365)/tau_1)+beta_2*((1-EXP(-((BE328-Settle)/365)/tau_1))/(((BE328-Settle)/365)/tau_1)-EXP(-((BE328-Settle)/365)/tau_1))+beta_3*((1-EXP(-((BE328-Settle)/365)/tau_2))/(((BE328-Settle)/365)/tau_2)-EXP(-((BE328-Settle)/365)/tau_2)))*((BE328-Settle)/365)))</f>
        <v>0</v>
      </c>
      <c r="DO328" s="7">
        <f t="shared" ref="DO328:DO360" si="359">IF(BF328="",0,($B328/2+IF(54=$C328,100,0))*EXP(-(beta_0+beta_1*(1-EXP(-((BF328-Settle)/365)/tau_1))/(((BF328-Settle)/365)/tau_1)+beta_2*((1-EXP(-((BF328-Settle)/365)/tau_1))/(((BF328-Settle)/365)/tau_1)-EXP(-((BF328-Settle)/365)/tau_1))+beta_3*((1-EXP(-((BF328-Settle)/365)/tau_2))/(((BF328-Settle)/365)/tau_2)-EXP(-((BF328-Settle)/365)/tau_2)))*((BF328-Settle)/365)))</f>
        <v>0</v>
      </c>
      <c r="DP328" s="7">
        <f t="shared" ref="DP328:DP360" si="360">IF(BG328="",0,($B328/2+IF(55=$C328,100,0))*EXP(-(beta_0+beta_1*(1-EXP(-((BG328-Settle)/365)/tau_1))/(((BG328-Settle)/365)/tau_1)+beta_2*((1-EXP(-((BG328-Settle)/365)/tau_1))/(((BG328-Settle)/365)/tau_1)-EXP(-((BG328-Settle)/365)/tau_1))+beta_3*((1-EXP(-((BG328-Settle)/365)/tau_2))/(((BG328-Settle)/365)/tau_2)-EXP(-((BG328-Settle)/365)/tau_2)))*((BG328-Settle)/365)))</f>
        <v>0</v>
      </c>
      <c r="DQ328" s="7">
        <f t="shared" ref="DQ328:DQ360" si="361">IF(BH328="",0,($B328/2+IF(56=$C328,100,0))*EXP(-(beta_0+beta_1*(1-EXP(-((BH328-Settle)/365)/tau_1))/(((BH328-Settle)/365)/tau_1)+beta_2*((1-EXP(-((BH328-Settle)/365)/tau_1))/(((BH328-Settle)/365)/tau_1)-EXP(-((BH328-Settle)/365)/tau_1))+beta_3*((1-EXP(-((BH328-Settle)/365)/tau_2))/(((BH328-Settle)/365)/tau_2)-EXP(-((BH328-Settle)/365)/tau_2)))*((BH328-Settle)/365)))</f>
        <v>0</v>
      </c>
      <c r="DR328" s="7">
        <f t="shared" ref="DR328:DR360" si="362">IF(BI328="",0,($B328/2+IF(57=$C328,100,0))*EXP(-(beta_0+beta_1*(1-EXP(-((BI328-Settle)/365)/tau_1))/(((BI328-Settle)/365)/tau_1)+beta_2*((1-EXP(-((BI328-Settle)/365)/tau_1))/(((BI328-Settle)/365)/tau_1)-EXP(-((BI328-Settle)/365)/tau_1))+beta_3*((1-EXP(-((BI328-Settle)/365)/tau_2))/(((BI328-Settle)/365)/tau_2)-EXP(-((BI328-Settle)/365)/tau_2)))*((BI328-Settle)/365)))</f>
        <v>0</v>
      </c>
      <c r="DS328" s="7">
        <f t="shared" ref="DS328:DS360" si="363">IF(BJ328="",0,($B328/2+IF(58=$C328,100,0))*EXP(-(beta_0+beta_1*(1-EXP(-((BJ328-Settle)/365)/tau_1))/(((BJ328-Settle)/365)/tau_1)+beta_2*((1-EXP(-((BJ328-Settle)/365)/tau_1))/(((BJ328-Settle)/365)/tau_1)-EXP(-((BJ328-Settle)/365)/tau_1))+beta_3*((1-EXP(-((BJ328-Settle)/365)/tau_2))/(((BJ328-Settle)/365)/tau_2)-EXP(-((BJ328-Settle)/365)/tau_2)))*((BJ328-Settle)/365)))</f>
        <v>0</v>
      </c>
      <c r="DT328" s="7">
        <f t="shared" ref="DT328:DT360" si="364">IF(BK328="",0,($B328/2+IF(59=$C328,100,0))*EXP(-(beta_0+beta_1*(1-EXP(-((BK328-Settle)/365)/tau_1))/(((BK328-Settle)/365)/tau_1)+beta_2*((1-EXP(-((BK328-Settle)/365)/tau_1))/(((BK328-Settle)/365)/tau_1)-EXP(-((BK328-Settle)/365)/tau_1))+beta_3*((1-EXP(-((BK328-Settle)/365)/tau_2))/(((BK328-Settle)/365)/tau_2)-EXP(-((BK328-Settle)/365)/tau_2)))*((BK328-Settle)/365)))</f>
        <v>0</v>
      </c>
      <c r="DU328" s="7">
        <f t="shared" ref="DU328:DU360" si="365">IF(BL328="",0,($B328/2+IF(60=$C328,100,0))*EXP(-(beta_0+beta_1*(1-EXP(-((BL328-Settle)/365)/tau_1))/(((BL328-Settle)/365)/tau_1)+beta_2*((1-EXP(-((BL328-Settle)/365)/tau_1))/(((BL328-Settle)/365)/tau_1)-EXP(-((BL328-Settle)/365)/tau_1))+beta_3*((1-EXP(-((BL328-Settle)/365)/tau_2))/(((BL328-Settle)/365)/tau_2)-EXP(-((BL328-Settle)/365)/tau_2)))*((BL328-Settle)/365)))</f>
        <v>0</v>
      </c>
    </row>
    <row r="329" spans="1:125" x14ac:dyDescent="0.2">
      <c r="A329" s="3">
        <f>Bonds!A329</f>
        <v>54377</v>
      </c>
      <c r="B329" s="4">
        <f>Bonds!B329</f>
        <v>3.375</v>
      </c>
      <c r="C329">
        <f>Bonds!P329</f>
        <v>45</v>
      </c>
      <c r="D329">
        <f t="shared" si="305"/>
        <v>0</v>
      </c>
      <c r="E329" s="3">
        <f>IF(1&gt;$C329,"",IF($D329=1,EOMONTH(EDATE(Bonds!$H329,6*(1-1)),0),EDATE(Bonds!$H329,6*(1-1))))</f>
        <v>46341</v>
      </c>
      <c r="F329" s="3">
        <f>IF(2&gt;$C329,"",IF($D329=1,EOMONTH(EDATE(Bonds!$H329,6*(2-1)),0),EDATE(Bonds!$H329,6*(2-1))))</f>
        <v>46522</v>
      </c>
      <c r="G329" s="3">
        <f>IF(3&gt;$C329,"",IF($D329=1,EOMONTH(EDATE(Bonds!$H329,6*(3-1)),0),EDATE(Bonds!$H329,6*(3-1))))</f>
        <v>46706</v>
      </c>
      <c r="H329" s="3">
        <f>IF(4&gt;$C329,"",IF($D329=1,EOMONTH(EDATE(Bonds!$H329,6*(4-1)),0),EDATE(Bonds!$H329,6*(4-1))))</f>
        <v>46888</v>
      </c>
      <c r="I329" s="3">
        <f>IF(5&gt;$C329,"",IF($D329=1,EOMONTH(EDATE(Bonds!$H329,6*(5-1)),0),EDATE(Bonds!$H329,6*(5-1))))</f>
        <v>47072</v>
      </c>
      <c r="J329" s="3">
        <f>IF(6&gt;$C329,"",IF($D329=1,EOMONTH(EDATE(Bonds!$H329,6*(6-1)),0),EDATE(Bonds!$H329,6*(6-1))))</f>
        <v>47253</v>
      </c>
      <c r="K329" s="3">
        <f>IF(7&gt;$C329,"",IF($D329=1,EOMONTH(EDATE(Bonds!$H329,6*(7-1)),0),EDATE(Bonds!$H329,6*(7-1))))</f>
        <v>47437</v>
      </c>
      <c r="L329" s="3">
        <f>IF(8&gt;$C329,"",IF($D329=1,EOMONTH(EDATE(Bonds!$H329,6*(8-1)),0),EDATE(Bonds!$H329,6*(8-1))))</f>
        <v>47618</v>
      </c>
      <c r="M329" s="3">
        <f>IF(9&gt;$C329,"",IF($D329=1,EOMONTH(EDATE(Bonds!$H329,6*(9-1)),0),EDATE(Bonds!$H329,6*(9-1))))</f>
        <v>47802</v>
      </c>
      <c r="N329" s="3">
        <f>IF(10&gt;$C329,"",IF($D329=1,EOMONTH(EDATE(Bonds!$H329,6*(10-1)),0),EDATE(Bonds!$H329,6*(10-1))))</f>
        <v>47983</v>
      </c>
      <c r="O329" s="3">
        <f>IF(11&gt;$C329,"",IF($D329=1,EOMONTH(EDATE(Bonds!$H329,6*(11-1)),0),EDATE(Bonds!$H329,6*(11-1))))</f>
        <v>48167</v>
      </c>
      <c r="P329" s="3">
        <f>IF(12&gt;$C329,"",IF($D329=1,EOMONTH(EDATE(Bonds!$H329,6*(12-1)),0),EDATE(Bonds!$H329,6*(12-1))))</f>
        <v>48349</v>
      </c>
      <c r="Q329" s="3">
        <f>IF(13&gt;$C329,"",IF($D329=1,EOMONTH(EDATE(Bonds!$H329,6*(13-1)),0),EDATE(Bonds!$H329,6*(13-1))))</f>
        <v>48533</v>
      </c>
      <c r="R329" s="3">
        <f>IF(14&gt;$C329,"",IF($D329=1,EOMONTH(EDATE(Bonds!$H329,6*(14-1)),0),EDATE(Bonds!$H329,6*(14-1))))</f>
        <v>48714</v>
      </c>
      <c r="S329" s="3">
        <f>IF(15&gt;$C329,"",IF($D329=1,EOMONTH(EDATE(Bonds!$H329,6*(15-1)),0),EDATE(Bonds!$H329,6*(15-1))))</f>
        <v>48898</v>
      </c>
      <c r="T329" s="3">
        <f>IF(16&gt;$C329,"",IF($D329=1,EOMONTH(EDATE(Bonds!$H329,6*(16-1)),0),EDATE(Bonds!$H329,6*(16-1))))</f>
        <v>49079</v>
      </c>
      <c r="U329" s="3">
        <f>IF(17&gt;$C329,"",IF($D329=1,EOMONTH(EDATE(Bonds!$H329,6*(17-1)),0),EDATE(Bonds!$H329,6*(17-1))))</f>
        <v>49263</v>
      </c>
      <c r="V329" s="3">
        <f>IF(18&gt;$C329,"",IF($D329=1,EOMONTH(EDATE(Bonds!$H329,6*(18-1)),0),EDATE(Bonds!$H329,6*(18-1))))</f>
        <v>49444</v>
      </c>
      <c r="W329" s="3">
        <f>IF(19&gt;$C329,"",IF($D329=1,EOMONTH(EDATE(Bonds!$H329,6*(19-1)),0),EDATE(Bonds!$H329,6*(19-1))))</f>
        <v>49628</v>
      </c>
      <c r="X329" s="3">
        <f>IF(20&gt;$C329,"",IF($D329=1,EOMONTH(EDATE(Bonds!$H329,6*(20-1)),0),EDATE(Bonds!$H329,6*(20-1))))</f>
        <v>49810</v>
      </c>
      <c r="Y329" s="3">
        <f>IF(21&gt;$C329,"",IF($D329=1,EOMONTH(EDATE(Bonds!$H329,6*(21-1)),0),EDATE(Bonds!$H329,6*(21-1))))</f>
        <v>49994</v>
      </c>
      <c r="Z329" s="3">
        <f>IF(22&gt;$C329,"",IF($D329=1,EOMONTH(EDATE(Bonds!$H329,6*(22-1)),0),EDATE(Bonds!$H329,6*(22-1))))</f>
        <v>50175</v>
      </c>
      <c r="AA329" s="3">
        <f>IF(23&gt;$C329,"",IF($D329=1,EOMONTH(EDATE(Bonds!$H329,6*(23-1)),0),EDATE(Bonds!$H329,6*(23-1))))</f>
        <v>50359</v>
      </c>
      <c r="AB329" s="3">
        <f>IF(24&gt;$C329,"",IF($D329=1,EOMONTH(EDATE(Bonds!$H329,6*(24-1)),0),EDATE(Bonds!$H329,6*(24-1))))</f>
        <v>50540</v>
      </c>
      <c r="AC329" s="3">
        <f>IF(25&gt;$C329,"",IF($D329=1,EOMONTH(EDATE(Bonds!$H329,6*(25-1)),0),EDATE(Bonds!$H329,6*(25-1))))</f>
        <v>50724</v>
      </c>
      <c r="AD329" s="3">
        <f>IF(26&gt;$C329,"",IF($D329=1,EOMONTH(EDATE(Bonds!$H329,6*(26-1)),0),EDATE(Bonds!$H329,6*(26-1))))</f>
        <v>50905</v>
      </c>
      <c r="AE329" s="3">
        <f>IF(27&gt;$C329,"",IF($D329=1,EOMONTH(EDATE(Bonds!$H329,6*(27-1)),0),EDATE(Bonds!$H329,6*(27-1))))</f>
        <v>51089</v>
      </c>
      <c r="AF329" s="3">
        <f>IF(28&gt;$C329,"",IF($D329=1,EOMONTH(EDATE(Bonds!$H329,6*(28-1)),0),EDATE(Bonds!$H329,6*(28-1))))</f>
        <v>51271</v>
      </c>
      <c r="AG329" s="3">
        <f>IF(29&gt;$C329,"",IF($D329=1,EOMONTH(EDATE(Bonds!$H329,6*(29-1)),0),EDATE(Bonds!$H329,6*(29-1))))</f>
        <v>51455</v>
      </c>
      <c r="AH329" s="3">
        <f>IF(30&gt;$C329,"",IF($D329=1,EOMONTH(EDATE(Bonds!$H329,6*(30-1)),0),EDATE(Bonds!$H329,6*(30-1))))</f>
        <v>51636</v>
      </c>
      <c r="AI329" s="3">
        <f>IF(31&gt;$C329,"",IF($D329=1,EOMONTH(EDATE(Bonds!$H329,6*(31-1)),0),EDATE(Bonds!$H329,6*(31-1))))</f>
        <v>51820</v>
      </c>
      <c r="AJ329" s="3">
        <f>IF(32&gt;$C329,"",IF($D329=1,EOMONTH(EDATE(Bonds!$H329,6*(32-1)),0),EDATE(Bonds!$H329,6*(32-1))))</f>
        <v>52001</v>
      </c>
      <c r="AK329" s="3">
        <f>IF(33&gt;$C329,"",IF($D329=1,EOMONTH(EDATE(Bonds!$H329,6*(33-1)),0),EDATE(Bonds!$H329,6*(33-1))))</f>
        <v>52185</v>
      </c>
      <c r="AL329" s="3">
        <f>IF(34&gt;$C329,"",IF($D329=1,EOMONTH(EDATE(Bonds!$H329,6*(34-1)),0),EDATE(Bonds!$H329,6*(34-1))))</f>
        <v>52366</v>
      </c>
      <c r="AM329" s="3">
        <f>IF(35&gt;$C329,"",IF($D329=1,EOMONTH(EDATE(Bonds!$H329,6*(35-1)),0),EDATE(Bonds!$H329,6*(35-1))))</f>
        <v>52550</v>
      </c>
      <c r="AN329" s="3">
        <f>IF(36&gt;$C329,"",IF($D329=1,EOMONTH(EDATE(Bonds!$H329,6*(36-1)),0),EDATE(Bonds!$H329,6*(36-1))))</f>
        <v>52732</v>
      </c>
      <c r="AO329" s="3">
        <f>IF(37&gt;$C329,"",IF($D329=1,EOMONTH(EDATE(Bonds!$H329,6*(37-1)),0),EDATE(Bonds!$H329,6*(37-1))))</f>
        <v>52916</v>
      </c>
      <c r="AP329" s="3">
        <f>IF(38&gt;$C329,"",IF($D329=1,EOMONTH(EDATE(Bonds!$H329,6*(38-1)),0),EDATE(Bonds!$H329,6*(38-1))))</f>
        <v>53097</v>
      </c>
      <c r="AQ329" s="3">
        <f>IF(39&gt;$C329,"",IF($D329=1,EOMONTH(EDATE(Bonds!$H329,6*(39-1)),0),EDATE(Bonds!$H329,6*(39-1))))</f>
        <v>53281</v>
      </c>
      <c r="AR329" s="3">
        <f>IF(40&gt;$C329,"",IF($D329=1,EOMONTH(EDATE(Bonds!$H329,6*(40-1)),0),EDATE(Bonds!$H329,6*(40-1))))</f>
        <v>53462</v>
      </c>
      <c r="AS329" s="3">
        <f>IF(41&gt;$C329,"",IF($D329=1,EOMONTH(EDATE(Bonds!$H329,6*(41-1)),0),EDATE(Bonds!$H329,6*(41-1))))</f>
        <v>53646</v>
      </c>
      <c r="AT329" s="3">
        <f>IF(42&gt;$C329,"",IF($D329=1,EOMONTH(EDATE(Bonds!$H329,6*(42-1)),0),EDATE(Bonds!$H329,6*(42-1))))</f>
        <v>53827</v>
      </c>
      <c r="AU329" s="3">
        <f>IF(43&gt;$C329,"",IF($D329=1,EOMONTH(EDATE(Bonds!$H329,6*(43-1)),0),EDATE(Bonds!$H329,6*(43-1))))</f>
        <v>54011</v>
      </c>
      <c r="AV329" s="3">
        <f>IF(44&gt;$C329,"",IF($D329=1,EOMONTH(EDATE(Bonds!$H329,6*(44-1)),0),EDATE(Bonds!$H329,6*(44-1))))</f>
        <v>54193</v>
      </c>
      <c r="AW329" s="3">
        <f>IF(45&gt;$C329,"",IF($D329=1,EOMONTH(EDATE(Bonds!$H329,6*(45-1)),0),EDATE(Bonds!$H329,6*(45-1))))</f>
        <v>54377</v>
      </c>
      <c r="AX329" s="3" t="str">
        <f>IF(46&gt;$C329,"",IF($D329=1,EOMONTH(EDATE(Bonds!$H329,6*(46-1)),0),EDATE(Bonds!$H329,6*(46-1))))</f>
        <v/>
      </c>
      <c r="AY329" s="3" t="str">
        <f>IF(47&gt;$C329,"",IF($D329=1,EOMONTH(EDATE(Bonds!$H329,6*(47-1)),0),EDATE(Bonds!$H329,6*(47-1))))</f>
        <v/>
      </c>
      <c r="AZ329" s="3" t="str">
        <f>IF(48&gt;$C329,"",IF($D329=1,EOMONTH(EDATE(Bonds!$H329,6*(48-1)),0),EDATE(Bonds!$H329,6*(48-1))))</f>
        <v/>
      </c>
      <c r="BA329" s="3" t="str">
        <f>IF(49&gt;$C329,"",IF($D329=1,EOMONTH(EDATE(Bonds!$H329,6*(49-1)),0),EDATE(Bonds!$H329,6*(49-1))))</f>
        <v/>
      </c>
      <c r="BB329" s="3" t="str">
        <f>IF(50&gt;$C329,"",IF($D329=1,EOMONTH(EDATE(Bonds!$H329,6*(50-1)),0),EDATE(Bonds!$H329,6*(50-1))))</f>
        <v/>
      </c>
      <c r="BC329" s="3" t="str">
        <f>IF(51&gt;$C329,"",IF($D329=1,EOMONTH(EDATE(Bonds!$H329,6*(51-1)),0),EDATE(Bonds!$H329,6*(51-1))))</f>
        <v/>
      </c>
      <c r="BD329" s="3" t="str">
        <f>IF(52&gt;$C329,"",IF($D329=1,EOMONTH(EDATE(Bonds!$H329,6*(52-1)),0),EDATE(Bonds!$H329,6*(52-1))))</f>
        <v/>
      </c>
      <c r="BE329" s="3" t="str">
        <f>IF(53&gt;$C329,"",IF($D329=1,EOMONTH(EDATE(Bonds!$H329,6*(53-1)),0),EDATE(Bonds!$H329,6*(53-1))))</f>
        <v/>
      </c>
      <c r="BF329" s="3" t="str">
        <f>IF(54&gt;$C329,"",IF($D329=1,EOMONTH(EDATE(Bonds!$H329,6*(54-1)),0),EDATE(Bonds!$H329,6*(54-1))))</f>
        <v/>
      </c>
      <c r="BG329" s="3" t="str">
        <f>IF(55&gt;$C329,"",IF($D329=1,EOMONTH(EDATE(Bonds!$H329,6*(55-1)),0),EDATE(Bonds!$H329,6*(55-1))))</f>
        <v/>
      </c>
      <c r="BH329" s="3" t="str">
        <f>IF(56&gt;$C329,"",IF($D329=1,EOMONTH(EDATE(Bonds!$H329,6*(56-1)),0),EDATE(Bonds!$H329,6*(56-1))))</f>
        <v/>
      </c>
      <c r="BI329" s="3" t="str">
        <f>IF(57&gt;$C329,"",IF($D329=1,EOMONTH(EDATE(Bonds!$H329,6*(57-1)),0),EDATE(Bonds!$H329,6*(57-1))))</f>
        <v/>
      </c>
      <c r="BJ329" s="3" t="str">
        <f>IF(58&gt;$C329,"",IF($D329=1,EOMONTH(EDATE(Bonds!$H329,6*(58-1)),0),EDATE(Bonds!$H329,6*(58-1))))</f>
        <v/>
      </c>
      <c r="BK329" s="3" t="str">
        <f>IF(59&gt;$C329,"",IF($D329=1,EOMONTH(EDATE(Bonds!$H329,6*(59-1)),0),EDATE(Bonds!$H329,6*(59-1))))</f>
        <v/>
      </c>
      <c r="BL329" s="3" t="str">
        <f>IF(60&gt;$C329,"",IF($D329=1,EOMONTH(EDATE(Bonds!$H329,6*(60-1)),0),EDATE(Bonds!$H329,6*(60-1))))</f>
        <v/>
      </c>
      <c r="BN329" s="7">
        <f t="shared" si="306"/>
        <v>1.6757306706375314</v>
      </c>
      <c r="BO329" s="7">
        <f t="shared" si="307"/>
        <v>1.6418919126803282</v>
      </c>
      <c r="BP329" s="7">
        <f t="shared" si="308"/>
        <v>1.6057251481774784</v>
      </c>
      <c r="BQ329" s="7">
        <f t="shared" si="309"/>
        <v>1.569709363691794</v>
      </c>
      <c r="BR329" s="7">
        <f t="shared" si="310"/>
        <v>1.5338158922370357</v>
      </c>
      <c r="BS329" s="7">
        <f t="shared" si="311"/>
        <v>1.4993133784908974</v>
      </c>
      <c r="BT329" s="7">
        <f t="shared" si="312"/>
        <v>1.4651085084586215</v>
      </c>
      <c r="BU329" s="7">
        <f t="shared" si="313"/>
        <v>1.4322417397140306</v>
      </c>
      <c r="BV329" s="7">
        <f t="shared" si="314"/>
        <v>1.399495724148782</v>
      </c>
      <c r="BW329" s="7">
        <f t="shared" si="315"/>
        <v>1.3678053429244248</v>
      </c>
      <c r="BX329" s="7">
        <f t="shared" si="316"/>
        <v>1.3359992094321864</v>
      </c>
      <c r="BY329" s="7">
        <f t="shared" si="317"/>
        <v>1.3048506982457371</v>
      </c>
      <c r="BZ329" s="7">
        <f t="shared" si="318"/>
        <v>1.2736080876448692</v>
      </c>
      <c r="CA329" s="7">
        <f t="shared" si="319"/>
        <v>1.2430796732084775</v>
      </c>
      <c r="CB329" s="7">
        <f t="shared" si="320"/>
        <v>1.2122380289560726</v>
      </c>
      <c r="CC329" s="7">
        <f t="shared" si="321"/>
        <v>1.1820930678508763</v>
      </c>
      <c r="CD329" s="7">
        <f t="shared" si="322"/>
        <v>1.1516651133570763</v>
      </c>
      <c r="CE329" s="7">
        <f t="shared" si="323"/>
        <v>1.1219764632652409</v>
      </c>
      <c r="CF329" s="7">
        <f t="shared" si="324"/>
        <v>1.0920811608482364</v>
      </c>
      <c r="CG329" s="7">
        <f t="shared" si="325"/>
        <v>1.0628359323243985</v>
      </c>
      <c r="CH329" s="7">
        <f t="shared" si="326"/>
        <v>1.0336425314913429</v>
      </c>
      <c r="CI329" s="7">
        <f t="shared" si="327"/>
        <v>1.0053344192423943</v>
      </c>
      <c r="CJ329" s="7">
        <f t="shared" si="328"/>
        <v>0.97701551240660023</v>
      </c>
      <c r="CK329" s="7">
        <f t="shared" si="329"/>
        <v>0.94964784119122414</v>
      </c>
      <c r="CL329" s="7">
        <f t="shared" si="330"/>
        <v>0.92236001042457794</v>
      </c>
      <c r="CM329" s="7">
        <f t="shared" si="331"/>
        <v>0.89607287952624759</v>
      </c>
      <c r="CN329" s="7">
        <f t="shared" si="332"/>
        <v>0.86994243822978745</v>
      </c>
      <c r="CO329" s="7">
        <f t="shared" si="333"/>
        <v>0.84470627700064849</v>
      </c>
      <c r="CP329" s="7">
        <f t="shared" si="334"/>
        <v>0.81982845593298093</v>
      </c>
      <c r="CQ329" s="7">
        <f t="shared" si="335"/>
        <v>0.79599397527064231</v>
      </c>
      <c r="CR329" s="7">
        <f t="shared" si="336"/>
        <v>0.77242320000352216</v>
      </c>
      <c r="CS329" s="7">
        <f t="shared" si="337"/>
        <v>0.74989136840350734</v>
      </c>
      <c r="CT329" s="7">
        <f t="shared" si="338"/>
        <v>0.72765495722903051</v>
      </c>
      <c r="CU329" s="7">
        <f t="shared" si="339"/>
        <v>0.70643937624851738</v>
      </c>
      <c r="CV329" s="7">
        <f t="shared" si="340"/>
        <v>0.68553890630516723</v>
      </c>
      <c r="CW329" s="7">
        <f t="shared" si="341"/>
        <v>0.66552209192777323</v>
      </c>
      <c r="CX329" s="7">
        <f t="shared" si="342"/>
        <v>0.64594192775889547</v>
      </c>
      <c r="CY329" s="7">
        <f t="shared" si="343"/>
        <v>0.62731641440340469</v>
      </c>
      <c r="CZ329" s="7">
        <f t="shared" si="344"/>
        <v>0.60901761395331588</v>
      </c>
      <c r="DA329" s="7">
        <f t="shared" si="345"/>
        <v>0.59163060849793137</v>
      </c>
      <c r="DB329" s="7">
        <f t="shared" si="346"/>
        <v>0.57456602510402399</v>
      </c>
      <c r="DC329" s="7">
        <f t="shared" si="347"/>
        <v>0.558366683244227</v>
      </c>
      <c r="DD329" s="7">
        <f t="shared" si="348"/>
        <v>0.54248090877886801</v>
      </c>
      <c r="DE329" s="7">
        <f t="shared" si="349"/>
        <v>0.52733004389012339</v>
      </c>
      <c r="DF329" s="7">
        <f t="shared" si="350"/>
        <v>30.886808052366966</v>
      </c>
      <c r="DG329" s="7">
        <f t="shared" si="351"/>
        <v>0</v>
      </c>
      <c r="DH329" s="7">
        <f t="shared" si="352"/>
        <v>0</v>
      </c>
      <c r="DI329" s="7">
        <f t="shared" si="353"/>
        <v>0</v>
      </c>
      <c r="DJ329" s="7">
        <f t="shared" si="354"/>
        <v>0</v>
      </c>
      <c r="DK329" s="7">
        <f t="shared" si="355"/>
        <v>0</v>
      </c>
      <c r="DL329" s="7">
        <f t="shared" si="356"/>
        <v>0</v>
      </c>
      <c r="DM329" s="7">
        <f t="shared" si="357"/>
        <v>0</v>
      </c>
      <c r="DN329" s="7">
        <f t="shared" si="358"/>
        <v>0</v>
      </c>
      <c r="DO329" s="7">
        <f t="shared" si="359"/>
        <v>0</v>
      </c>
      <c r="DP329" s="7">
        <f t="shared" si="360"/>
        <v>0</v>
      </c>
      <c r="DQ329" s="7">
        <f t="shared" si="361"/>
        <v>0</v>
      </c>
      <c r="DR329" s="7">
        <f t="shared" si="362"/>
        <v>0</v>
      </c>
      <c r="DS329" s="7">
        <f t="shared" si="363"/>
        <v>0</v>
      </c>
      <c r="DT329" s="7">
        <f t="shared" si="364"/>
        <v>0</v>
      </c>
      <c r="DU329" s="7">
        <f t="shared" si="365"/>
        <v>0</v>
      </c>
    </row>
    <row r="330" spans="1:125" x14ac:dyDescent="0.2">
      <c r="A330" s="3">
        <f>Bonds!A330</f>
        <v>54469</v>
      </c>
      <c r="B330" s="4">
        <f>Bonds!B330</f>
        <v>3</v>
      </c>
      <c r="C330">
        <f>Bonds!P330</f>
        <v>45</v>
      </c>
      <c r="D330">
        <f t="shared" si="305"/>
        <v>0</v>
      </c>
      <c r="E330" s="3">
        <f>IF(1&gt;$C330,"",IF($D330=1,EOMONTH(EDATE(Bonds!$H330,6*(1-1)),0),EDATE(Bonds!$H330,6*(1-1))))</f>
        <v>46433</v>
      </c>
      <c r="F330" s="3">
        <f>IF(2&gt;$C330,"",IF($D330=1,EOMONTH(EDATE(Bonds!$H330,6*(2-1)),0),EDATE(Bonds!$H330,6*(2-1))))</f>
        <v>46614</v>
      </c>
      <c r="G330" s="3">
        <f>IF(3&gt;$C330,"",IF($D330=1,EOMONTH(EDATE(Bonds!$H330,6*(3-1)),0),EDATE(Bonds!$H330,6*(3-1))))</f>
        <v>46798</v>
      </c>
      <c r="H330" s="3">
        <f>IF(4&gt;$C330,"",IF($D330=1,EOMONTH(EDATE(Bonds!$H330,6*(4-1)),0),EDATE(Bonds!$H330,6*(4-1))))</f>
        <v>46980</v>
      </c>
      <c r="I330" s="3">
        <f>IF(5&gt;$C330,"",IF($D330=1,EOMONTH(EDATE(Bonds!$H330,6*(5-1)),0),EDATE(Bonds!$H330,6*(5-1))))</f>
        <v>47164</v>
      </c>
      <c r="J330" s="3">
        <f>IF(6&gt;$C330,"",IF($D330=1,EOMONTH(EDATE(Bonds!$H330,6*(6-1)),0),EDATE(Bonds!$H330,6*(6-1))))</f>
        <v>47345</v>
      </c>
      <c r="K330" s="3">
        <f>IF(7&gt;$C330,"",IF($D330=1,EOMONTH(EDATE(Bonds!$H330,6*(7-1)),0),EDATE(Bonds!$H330,6*(7-1))))</f>
        <v>47529</v>
      </c>
      <c r="L330" s="3">
        <f>IF(8&gt;$C330,"",IF($D330=1,EOMONTH(EDATE(Bonds!$H330,6*(8-1)),0),EDATE(Bonds!$H330,6*(8-1))))</f>
        <v>47710</v>
      </c>
      <c r="M330" s="3">
        <f>IF(9&gt;$C330,"",IF($D330=1,EOMONTH(EDATE(Bonds!$H330,6*(9-1)),0),EDATE(Bonds!$H330,6*(9-1))))</f>
        <v>47894</v>
      </c>
      <c r="N330" s="3">
        <f>IF(10&gt;$C330,"",IF($D330=1,EOMONTH(EDATE(Bonds!$H330,6*(10-1)),0),EDATE(Bonds!$H330,6*(10-1))))</f>
        <v>48075</v>
      </c>
      <c r="O330" s="3">
        <f>IF(11&gt;$C330,"",IF($D330=1,EOMONTH(EDATE(Bonds!$H330,6*(11-1)),0),EDATE(Bonds!$H330,6*(11-1))))</f>
        <v>48259</v>
      </c>
      <c r="P330" s="3">
        <f>IF(12&gt;$C330,"",IF($D330=1,EOMONTH(EDATE(Bonds!$H330,6*(12-1)),0),EDATE(Bonds!$H330,6*(12-1))))</f>
        <v>48441</v>
      </c>
      <c r="Q330" s="3">
        <f>IF(13&gt;$C330,"",IF($D330=1,EOMONTH(EDATE(Bonds!$H330,6*(13-1)),0),EDATE(Bonds!$H330,6*(13-1))))</f>
        <v>48625</v>
      </c>
      <c r="R330" s="3">
        <f>IF(14&gt;$C330,"",IF($D330=1,EOMONTH(EDATE(Bonds!$H330,6*(14-1)),0),EDATE(Bonds!$H330,6*(14-1))))</f>
        <v>48806</v>
      </c>
      <c r="S330" s="3">
        <f>IF(15&gt;$C330,"",IF($D330=1,EOMONTH(EDATE(Bonds!$H330,6*(15-1)),0),EDATE(Bonds!$H330,6*(15-1))))</f>
        <v>48990</v>
      </c>
      <c r="T330" s="3">
        <f>IF(16&gt;$C330,"",IF($D330=1,EOMONTH(EDATE(Bonds!$H330,6*(16-1)),0),EDATE(Bonds!$H330,6*(16-1))))</f>
        <v>49171</v>
      </c>
      <c r="U330" s="3">
        <f>IF(17&gt;$C330,"",IF($D330=1,EOMONTH(EDATE(Bonds!$H330,6*(17-1)),0),EDATE(Bonds!$H330,6*(17-1))))</f>
        <v>49355</v>
      </c>
      <c r="V330" s="3">
        <f>IF(18&gt;$C330,"",IF($D330=1,EOMONTH(EDATE(Bonds!$H330,6*(18-1)),0),EDATE(Bonds!$H330,6*(18-1))))</f>
        <v>49536</v>
      </c>
      <c r="W330" s="3">
        <f>IF(19&gt;$C330,"",IF($D330=1,EOMONTH(EDATE(Bonds!$H330,6*(19-1)),0),EDATE(Bonds!$H330,6*(19-1))))</f>
        <v>49720</v>
      </c>
      <c r="X330" s="3">
        <f>IF(20&gt;$C330,"",IF($D330=1,EOMONTH(EDATE(Bonds!$H330,6*(20-1)),0),EDATE(Bonds!$H330,6*(20-1))))</f>
        <v>49902</v>
      </c>
      <c r="Y330" s="3">
        <f>IF(21&gt;$C330,"",IF($D330=1,EOMONTH(EDATE(Bonds!$H330,6*(21-1)),0),EDATE(Bonds!$H330,6*(21-1))))</f>
        <v>50086</v>
      </c>
      <c r="Z330" s="3">
        <f>IF(22&gt;$C330,"",IF($D330=1,EOMONTH(EDATE(Bonds!$H330,6*(22-1)),0),EDATE(Bonds!$H330,6*(22-1))))</f>
        <v>50267</v>
      </c>
      <c r="AA330" s="3">
        <f>IF(23&gt;$C330,"",IF($D330=1,EOMONTH(EDATE(Bonds!$H330,6*(23-1)),0),EDATE(Bonds!$H330,6*(23-1))))</f>
        <v>50451</v>
      </c>
      <c r="AB330" s="3">
        <f>IF(24&gt;$C330,"",IF($D330=1,EOMONTH(EDATE(Bonds!$H330,6*(24-1)),0),EDATE(Bonds!$H330,6*(24-1))))</f>
        <v>50632</v>
      </c>
      <c r="AC330" s="3">
        <f>IF(25&gt;$C330,"",IF($D330=1,EOMONTH(EDATE(Bonds!$H330,6*(25-1)),0),EDATE(Bonds!$H330,6*(25-1))))</f>
        <v>50816</v>
      </c>
      <c r="AD330" s="3">
        <f>IF(26&gt;$C330,"",IF($D330=1,EOMONTH(EDATE(Bonds!$H330,6*(26-1)),0),EDATE(Bonds!$H330,6*(26-1))))</f>
        <v>50997</v>
      </c>
      <c r="AE330" s="3">
        <f>IF(27&gt;$C330,"",IF($D330=1,EOMONTH(EDATE(Bonds!$H330,6*(27-1)),0),EDATE(Bonds!$H330,6*(27-1))))</f>
        <v>51181</v>
      </c>
      <c r="AF330" s="3">
        <f>IF(28&gt;$C330,"",IF($D330=1,EOMONTH(EDATE(Bonds!$H330,6*(28-1)),0),EDATE(Bonds!$H330,6*(28-1))))</f>
        <v>51363</v>
      </c>
      <c r="AG330" s="3">
        <f>IF(29&gt;$C330,"",IF($D330=1,EOMONTH(EDATE(Bonds!$H330,6*(29-1)),0),EDATE(Bonds!$H330,6*(29-1))))</f>
        <v>51547</v>
      </c>
      <c r="AH330" s="3">
        <f>IF(30&gt;$C330,"",IF($D330=1,EOMONTH(EDATE(Bonds!$H330,6*(30-1)),0),EDATE(Bonds!$H330,6*(30-1))))</f>
        <v>51728</v>
      </c>
      <c r="AI330" s="3">
        <f>IF(31&gt;$C330,"",IF($D330=1,EOMONTH(EDATE(Bonds!$H330,6*(31-1)),0),EDATE(Bonds!$H330,6*(31-1))))</f>
        <v>51912</v>
      </c>
      <c r="AJ330" s="3">
        <f>IF(32&gt;$C330,"",IF($D330=1,EOMONTH(EDATE(Bonds!$H330,6*(32-1)),0),EDATE(Bonds!$H330,6*(32-1))))</f>
        <v>52093</v>
      </c>
      <c r="AK330" s="3">
        <f>IF(33&gt;$C330,"",IF($D330=1,EOMONTH(EDATE(Bonds!$H330,6*(33-1)),0),EDATE(Bonds!$H330,6*(33-1))))</f>
        <v>52277</v>
      </c>
      <c r="AL330" s="3">
        <f>IF(34&gt;$C330,"",IF($D330=1,EOMONTH(EDATE(Bonds!$H330,6*(34-1)),0),EDATE(Bonds!$H330,6*(34-1))))</f>
        <v>52458</v>
      </c>
      <c r="AM330" s="3">
        <f>IF(35&gt;$C330,"",IF($D330=1,EOMONTH(EDATE(Bonds!$H330,6*(35-1)),0),EDATE(Bonds!$H330,6*(35-1))))</f>
        <v>52642</v>
      </c>
      <c r="AN330" s="3">
        <f>IF(36&gt;$C330,"",IF($D330=1,EOMONTH(EDATE(Bonds!$H330,6*(36-1)),0),EDATE(Bonds!$H330,6*(36-1))))</f>
        <v>52824</v>
      </c>
      <c r="AO330" s="3">
        <f>IF(37&gt;$C330,"",IF($D330=1,EOMONTH(EDATE(Bonds!$H330,6*(37-1)),0),EDATE(Bonds!$H330,6*(37-1))))</f>
        <v>53008</v>
      </c>
      <c r="AP330" s="3">
        <f>IF(38&gt;$C330,"",IF($D330=1,EOMONTH(EDATE(Bonds!$H330,6*(38-1)),0),EDATE(Bonds!$H330,6*(38-1))))</f>
        <v>53189</v>
      </c>
      <c r="AQ330" s="3">
        <f>IF(39&gt;$C330,"",IF($D330=1,EOMONTH(EDATE(Bonds!$H330,6*(39-1)),0),EDATE(Bonds!$H330,6*(39-1))))</f>
        <v>53373</v>
      </c>
      <c r="AR330" s="3">
        <f>IF(40&gt;$C330,"",IF($D330=1,EOMONTH(EDATE(Bonds!$H330,6*(40-1)),0),EDATE(Bonds!$H330,6*(40-1))))</f>
        <v>53554</v>
      </c>
      <c r="AS330" s="3">
        <f>IF(41&gt;$C330,"",IF($D330=1,EOMONTH(EDATE(Bonds!$H330,6*(41-1)),0),EDATE(Bonds!$H330,6*(41-1))))</f>
        <v>53738</v>
      </c>
      <c r="AT330" s="3">
        <f>IF(42&gt;$C330,"",IF($D330=1,EOMONTH(EDATE(Bonds!$H330,6*(42-1)),0),EDATE(Bonds!$H330,6*(42-1))))</f>
        <v>53919</v>
      </c>
      <c r="AU330" s="3">
        <f>IF(43&gt;$C330,"",IF($D330=1,EOMONTH(EDATE(Bonds!$H330,6*(43-1)),0),EDATE(Bonds!$H330,6*(43-1))))</f>
        <v>54103</v>
      </c>
      <c r="AV330" s="3">
        <f>IF(44&gt;$C330,"",IF($D330=1,EOMONTH(EDATE(Bonds!$H330,6*(44-1)),0),EDATE(Bonds!$H330,6*(44-1))))</f>
        <v>54285</v>
      </c>
      <c r="AW330" s="3">
        <f>IF(45&gt;$C330,"",IF($D330=1,EOMONTH(EDATE(Bonds!$H330,6*(45-1)),0),EDATE(Bonds!$H330,6*(45-1))))</f>
        <v>54469</v>
      </c>
      <c r="AX330" s="3" t="str">
        <f>IF(46&gt;$C330,"",IF($D330=1,EOMONTH(EDATE(Bonds!$H330,6*(46-1)),0),EDATE(Bonds!$H330,6*(46-1))))</f>
        <v/>
      </c>
      <c r="AY330" s="3" t="str">
        <f>IF(47&gt;$C330,"",IF($D330=1,EOMONTH(EDATE(Bonds!$H330,6*(47-1)),0),EDATE(Bonds!$H330,6*(47-1))))</f>
        <v/>
      </c>
      <c r="AZ330" s="3" t="str">
        <f>IF(48&gt;$C330,"",IF($D330=1,EOMONTH(EDATE(Bonds!$H330,6*(48-1)),0),EDATE(Bonds!$H330,6*(48-1))))</f>
        <v/>
      </c>
      <c r="BA330" s="3" t="str">
        <f>IF(49&gt;$C330,"",IF($D330=1,EOMONTH(EDATE(Bonds!$H330,6*(49-1)),0),EDATE(Bonds!$H330,6*(49-1))))</f>
        <v/>
      </c>
      <c r="BB330" s="3" t="str">
        <f>IF(50&gt;$C330,"",IF($D330=1,EOMONTH(EDATE(Bonds!$H330,6*(50-1)),0),EDATE(Bonds!$H330,6*(50-1))))</f>
        <v/>
      </c>
      <c r="BC330" s="3" t="str">
        <f>IF(51&gt;$C330,"",IF($D330=1,EOMONTH(EDATE(Bonds!$H330,6*(51-1)),0),EDATE(Bonds!$H330,6*(51-1))))</f>
        <v/>
      </c>
      <c r="BD330" s="3" t="str">
        <f>IF(52&gt;$C330,"",IF($D330=1,EOMONTH(EDATE(Bonds!$H330,6*(52-1)),0),EDATE(Bonds!$H330,6*(52-1))))</f>
        <v/>
      </c>
      <c r="BE330" s="3" t="str">
        <f>IF(53&gt;$C330,"",IF($D330=1,EOMONTH(EDATE(Bonds!$H330,6*(53-1)),0),EDATE(Bonds!$H330,6*(53-1))))</f>
        <v/>
      </c>
      <c r="BF330" s="3" t="str">
        <f>IF(54&gt;$C330,"",IF($D330=1,EOMONTH(EDATE(Bonds!$H330,6*(54-1)),0),EDATE(Bonds!$H330,6*(54-1))))</f>
        <v/>
      </c>
      <c r="BG330" s="3" t="str">
        <f>IF(55&gt;$C330,"",IF($D330=1,EOMONTH(EDATE(Bonds!$H330,6*(55-1)),0),EDATE(Bonds!$H330,6*(55-1))))</f>
        <v/>
      </c>
      <c r="BH330" s="3" t="str">
        <f>IF(56&gt;$C330,"",IF($D330=1,EOMONTH(EDATE(Bonds!$H330,6*(56-1)),0),EDATE(Bonds!$H330,6*(56-1))))</f>
        <v/>
      </c>
      <c r="BI330" s="3" t="str">
        <f>IF(57&gt;$C330,"",IF($D330=1,EOMONTH(EDATE(Bonds!$H330,6*(57-1)),0),EDATE(Bonds!$H330,6*(57-1))))</f>
        <v/>
      </c>
      <c r="BJ330" s="3" t="str">
        <f>IF(58&gt;$C330,"",IF($D330=1,EOMONTH(EDATE(Bonds!$H330,6*(58-1)),0),EDATE(Bonds!$H330,6*(58-1))))</f>
        <v/>
      </c>
      <c r="BK330" s="3" t="str">
        <f>IF(59&gt;$C330,"",IF($D330=1,EOMONTH(EDATE(Bonds!$H330,6*(59-1)),0),EDATE(Bonds!$H330,6*(59-1))))</f>
        <v/>
      </c>
      <c r="BL330" s="3" t="str">
        <f>IF(60&gt;$C330,"",IF($D330=1,EOMONTH(EDATE(Bonds!$H330,6*(60-1)),0),EDATE(Bonds!$H330,6*(60-1))))</f>
        <v/>
      </c>
      <c r="BN330" s="7">
        <f t="shared" si="306"/>
        <v>1.4745592234215268</v>
      </c>
      <c r="BO330" s="7">
        <f t="shared" si="307"/>
        <v>1.4434779867710825</v>
      </c>
      <c r="BP330" s="7">
        <f t="shared" si="308"/>
        <v>1.4111011617560416</v>
      </c>
      <c r="BQ330" s="7">
        <f t="shared" si="309"/>
        <v>1.3792627088894016</v>
      </c>
      <c r="BR330" s="7">
        <f t="shared" si="310"/>
        <v>1.3477081746177022</v>
      </c>
      <c r="BS330" s="7">
        <f t="shared" si="311"/>
        <v>1.3174260145842727</v>
      </c>
      <c r="BT330" s="7">
        <f t="shared" si="312"/>
        <v>1.2873896018748001</v>
      </c>
      <c r="BU330" s="7">
        <f t="shared" si="313"/>
        <v>1.2584831406180328</v>
      </c>
      <c r="BV330" s="7">
        <f t="shared" si="314"/>
        <v>1.2296276988670014</v>
      </c>
      <c r="BW330" s="7">
        <f t="shared" si="315"/>
        <v>1.2016509394434847</v>
      </c>
      <c r="BX330" s="7">
        <f t="shared" si="316"/>
        <v>1.173528750555604</v>
      </c>
      <c r="BY330" s="7">
        <f t="shared" si="317"/>
        <v>1.1459567038490892</v>
      </c>
      <c r="BZ330" s="7">
        <f t="shared" si="318"/>
        <v>1.1182817317826954</v>
      </c>
      <c r="CA330" s="7">
        <f t="shared" si="319"/>
        <v>1.0912308425531965</v>
      </c>
      <c r="CB330" s="7">
        <f t="shared" si="320"/>
        <v>1.0639029375301776</v>
      </c>
      <c r="CC330" s="7">
        <f t="shared" si="321"/>
        <v>1.0372000670262151</v>
      </c>
      <c r="CD330" s="7">
        <f t="shared" si="322"/>
        <v>1.010259910452932</v>
      </c>
      <c r="CE330" s="7">
        <f t="shared" si="323"/>
        <v>0.98399132832559122</v>
      </c>
      <c r="CF330" s="7">
        <f t="shared" si="324"/>
        <v>0.9575597459737325</v>
      </c>
      <c r="CG330" s="7">
        <f t="shared" si="325"/>
        <v>0.9317240256689383</v>
      </c>
      <c r="CH330" s="7">
        <f t="shared" si="326"/>
        <v>0.90595600051853253</v>
      </c>
      <c r="CI330" s="7">
        <f t="shared" si="327"/>
        <v>0.8809907958911265</v>
      </c>
      <c r="CJ330" s="7">
        <f t="shared" si="328"/>
        <v>0.85603726047881579</v>
      </c>
      <c r="CK330" s="7">
        <f t="shared" si="329"/>
        <v>0.83194187432179612</v>
      </c>
      <c r="CL330" s="7">
        <f t="shared" si="330"/>
        <v>0.80793593998756208</v>
      </c>
      <c r="CM330" s="7">
        <f t="shared" si="331"/>
        <v>0.78482796329434779</v>
      </c>
      <c r="CN330" s="7">
        <f t="shared" si="332"/>
        <v>0.76187430061400907</v>
      </c>
      <c r="CO330" s="7">
        <f t="shared" si="333"/>
        <v>0.73972130795882873</v>
      </c>
      <c r="CP330" s="7">
        <f t="shared" si="334"/>
        <v>0.71789682218407636</v>
      </c>
      <c r="CQ330" s="7">
        <f t="shared" si="335"/>
        <v>0.69700005283591515</v>
      </c>
      <c r="CR330" s="7">
        <f t="shared" si="336"/>
        <v>0.67634590204293987</v>
      </c>
      <c r="CS330" s="7">
        <f t="shared" si="337"/>
        <v>0.65661224709489308</v>
      </c>
      <c r="CT330" s="7">
        <f t="shared" si="338"/>
        <v>0.63714653396964782</v>
      </c>
      <c r="CU330" s="7">
        <f t="shared" si="339"/>
        <v>0.61858254664085766</v>
      </c>
      <c r="CV330" s="7">
        <f t="shared" si="340"/>
        <v>0.60030160465226623</v>
      </c>
      <c r="CW330" s="7">
        <f t="shared" si="341"/>
        <v>0.58280000386009723</v>
      </c>
      <c r="CX330" s="7">
        <f t="shared" si="342"/>
        <v>0.56568593347057838</v>
      </c>
      <c r="CY330" s="7">
        <f t="shared" si="343"/>
        <v>0.54941124319879164</v>
      </c>
      <c r="CZ330" s="7">
        <f t="shared" si="344"/>
        <v>0.53342645716859227</v>
      </c>
      <c r="DA330" s="7">
        <f t="shared" si="345"/>
        <v>0.518241971385065</v>
      </c>
      <c r="DB330" s="7">
        <f t="shared" si="346"/>
        <v>0.50334243239321041</v>
      </c>
      <c r="DC330" s="7">
        <f t="shared" si="347"/>
        <v>0.48920123049738551</v>
      </c>
      <c r="DD330" s="7">
        <f t="shared" si="348"/>
        <v>0.47533627234214365</v>
      </c>
      <c r="DE330" s="7">
        <f t="shared" si="349"/>
        <v>0.46211487514498939</v>
      </c>
      <c r="DF330" s="7">
        <f t="shared" si="350"/>
        <v>30.398052674785031</v>
      </c>
      <c r="DG330" s="7">
        <f t="shared" si="351"/>
        <v>0</v>
      </c>
      <c r="DH330" s="7">
        <f t="shared" si="352"/>
        <v>0</v>
      </c>
      <c r="DI330" s="7">
        <f t="shared" si="353"/>
        <v>0</v>
      </c>
      <c r="DJ330" s="7">
        <f t="shared" si="354"/>
        <v>0</v>
      </c>
      <c r="DK330" s="7">
        <f t="shared" si="355"/>
        <v>0</v>
      </c>
      <c r="DL330" s="7">
        <f t="shared" si="356"/>
        <v>0</v>
      </c>
      <c r="DM330" s="7">
        <f t="shared" si="357"/>
        <v>0</v>
      </c>
      <c r="DN330" s="7">
        <f t="shared" si="358"/>
        <v>0</v>
      </c>
      <c r="DO330" s="7">
        <f t="shared" si="359"/>
        <v>0</v>
      </c>
      <c r="DP330" s="7">
        <f t="shared" si="360"/>
        <v>0</v>
      </c>
      <c r="DQ330" s="7">
        <f t="shared" si="361"/>
        <v>0</v>
      </c>
      <c r="DR330" s="7">
        <f t="shared" si="362"/>
        <v>0</v>
      </c>
      <c r="DS330" s="7">
        <f t="shared" si="363"/>
        <v>0</v>
      </c>
      <c r="DT330" s="7">
        <f t="shared" si="364"/>
        <v>0</v>
      </c>
      <c r="DU330" s="7">
        <f t="shared" si="365"/>
        <v>0</v>
      </c>
    </row>
    <row r="331" spans="1:125" x14ac:dyDescent="0.2">
      <c r="A331" s="3">
        <f>Bonds!A331</f>
        <v>54558</v>
      </c>
      <c r="B331" s="4">
        <f>Bonds!B331</f>
        <v>2.875</v>
      </c>
      <c r="C331">
        <f>Bonds!P331</f>
        <v>46</v>
      </c>
      <c r="D331">
        <f t="shared" si="305"/>
        <v>0</v>
      </c>
      <c r="E331" s="3">
        <f>IF(1&gt;$C331,"",IF($D331=1,EOMONTH(EDATE(Bonds!$H331,6*(1-1)),0),EDATE(Bonds!$H331,6*(1-1))))</f>
        <v>46341</v>
      </c>
      <c r="F331" s="3">
        <f>IF(2&gt;$C331,"",IF($D331=1,EOMONTH(EDATE(Bonds!$H331,6*(2-1)),0),EDATE(Bonds!$H331,6*(2-1))))</f>
        <v>46522</v>
      </c>
      <c r="G331" s="3">
        <f>IF(3&gt;$C331,"",IF($D331=1,EOMONTH(EDATE(Bonds!$H331,6*(3-1)),0),EDATE(Bonds!$H331,6*(3-1))))</f>
        <v>46706</v>
      </c>
      <c r="H331" s="3">
        <f>IF(4&gt;$C331,"",IF($D331=1,EOMONTH(EDATE(Bonds!$H331,6*(4-1)),0),EDATE(Bonds!$H331,6*(4-1))))</f>
        <v>46888</v>
      </c>
      <c r="I331" s="3">
        <f>IF(5&gt;$C331,"",IF($D331=1,EOMONTH(EDATE(Bonds!$H331,6*(5-1)),0),EDATE(Bonds!$H331,6*(5-1))))</f>
        <v>47072</v>
      </c>
      <c r="J331" s="3">
        <f>IF(6&gt;$C331,"",IF($D331=1,EOMONTH(EDATE(Bonds!$H331,6*(6-1)),0),EDATE(Bonds!$H331,6*(6-1))))</f>
        <v>47253</v>
      </c>
      <c r="K331" s="3">
        <f>IF(7&gt;$C331,"",IF($D331=1,EOMONTH(EDATE(Bonds!$H331,6*(7-1)),0),EDATE(Bonds!$H331,6*(7-1))))</f>
        <v>47437</v>
      </c>
      <c r="L331" s="3">
        <f>IF(8&gt;$C331,"",IF($D331=1,EOMONTH(EDATE(Bonds!$H331,6*(8-1)),0),EDATE(Bonds!$H331,6*(8-1))))</f>
        <v>47618</v>
      </c>
      <c r="M331" s="3">
        <f>IF(9&gt;$C331,"",IF($D331=1,EOMONTH(EDATE(Bonds!$H331,6*(9-1)),0),EDATE(Bonds!$H331,6*(9-1))))</f>
        <v>47802</v>
      </c>
      <c r="N331" s="3">
        <f>IF(10&gt;$C331,"",IF($D331=1,EOMONTH(EDATE(Bonds!$H331,6*(10-1)),0),EDATE(Bonds!$H331,6*(10-1))))</f>
        <v>47983</v>
      </c>
      <c r="O331" s="3">
        <f>IF(11&gt;$C331,"",IF($D331=1,EOMONTH(EDATE(Bonds!$H331,6*(11-1)),0),EDATE(Bonds!$H331,6*(11-1))))</f>
        <v>48167</v>
      </c>
      <c r="P331" s="3">
        <f>IF(12&gt;$C331,"",IF($D331=1,EOMONTH(EDATE(Bonds!$H331,6*(12-1)),0),EDATE(Bonds!$H331,6*(12-1))))</f>
        <v>48349</v>
      </c>
      <c r="Q331" s="3">
        <f>IF(13&gt;$C331,"",IF($D331=1,EOMONTH(EDATE(Bonds!$H331,6*(13-1)),0),EDATE(Bonds!$H331,6*(13-1))))</f>
        <v>48533</v>
      </c>
      <c r="R331" s="3">
        <f>IF(14&gt;$C331,"",IF($D331=1,EOMONTH(EDATE(Bonds!$H331,6*(14-1)),0),EDATE(Bonds!$H331,6*(14-1))))</f>
        <v>48714</v>
      </c>
      <c r="S331" s="3">
        <f>IF(15&gt;$C331,"",IF($D331=1,EOMONTH(EDATE(Bonds!$H331,6*(15-1)),0),EDATE(Bonds!$H331,6*(15-1))))</f>
        <v>48898</v>
      </c>
      <c r="T331" s="3">
        <f>IF(16&gt;$C331,"",IF($D331=1,EOMONTH(EDATE(Bonds!$H331,6*(16-1)),0),EDATE(Bonds!$H331,6*(16-1))))</f>
        <v>49079</v>
      </c>
      <c r="U331" s="3">
        <f>IF(17&gt;$C331,"",IF($D331=1,EOMONTH(EDATE(Bonds!$H331,6*(17-1)),0),EDATE(Bonds!$H331,6*(17-1))))</f>
        <v>49263</v>
      </c>
      <c r="V331" s="3">
        <f>IF(18&gt;$C331,"",IF($D331=1,EOMONTH(EDATE(Bonds!$H331,6*(18-1)),0),EDATE(Bonds!$H331,6*(18-1))))</f>
        <v>49444</v>
      </c>
      <c r="W331" s="3">
        <f>IF(19&gt;$C331,"",IF($D331=1,EOMONTH(EDATE(Bonds!$H331,6*(19-1)),0),EDATE(Bonds!$H331,6*(19-1))))</f>
        <v>49628</v>
      </c>
      <c r="X331" s="3">
        <f>IF(20&gt;$C331,"",IF($D331=1,EOMONTH(EDATE(Bonds!$H331,6*(20-1)),0),EDATE(Bonds!$H331,6*(20-1))))</f>
        <v>49810</v>
      </c>
      <c r="Y331" s="3">
        <f>IF(21&gt;$C331,"",IF($D331=1,EOMONTH(EDATE(Bonds!$H331,6*(21-1)),0),EDATE(Bonds!$H331,6*(21-1))))</f>
        <v>49994</v>
      </c>
      <c r="Z331" s="3">
        <f>IF(22&gt;$C331,"",IF($D331=1,EOMONTH(EDATE(Bonds!$H331,6*(22-1)),0),EDATE(Bonds!$H331,6*(22-1))))</f>
        <v>50175</v>
      </c>
      <c r="AA331" s="3">
        <f>IF(23&gt;$C331,"",IF($D331=1,EOMONTH(EDATE(Bonds!$H331,6*(23-1)),0),EDATE(Bonds!$H331,6*(23-1))))</f>
        <v>50359</v>
      </c>
      <c r="AB331" s="3">
        <f>IF(24&gt;$C331,"",IF($D331=1,EOMONTH(EDATE(Bonds!$H331,6*(24-1)),0),EDATE(Bonds!$H331,6*(24-1))))</f>
        <v>50540</v>
      </c>
      <c r="AC331" s="3">
        <f>IF(25&gt;$C331,"",IF($D331=1,EOMONTH(EDATE(Bonds!$H331,6*(25-1)),0),EDATE(Bonds!$H331,6*(25-1))))</f>
        <v>50724</v>
      </c>
      <c r="AD331" s="3">
        <f>IF(26&gt;$C331,"",IF($D331=1,EOMONTH(EDATE(Bonds!$H331,6*(26-1)),0),EDATE(Bonds!$H331,6*(26-1))))</f>
        <v>50905</v>
      </c>
      <c r="AE331" s="3">
        <f>IF(27&gt;$C331,"",IF($D331=1,EOMONTH(EDATE(Bonds!$H331,6*(27-1)),0),EDATE(Bonds!$H331,6*(27-1))))</f>
        <v>51089</v>
      </c>
      <c r="AF331" s="3">
        <f>IF(28&gt;$C331,"",IF($D331=1,EOMONTH(EDATE(Bonds!$H331,6*(28-1)),0),EDATE(Bonds!$H331,6*(28-1))))</f>
        <v>51271</v>
      </c>
      <c r="AG331" s="3">
        <f>IF(29&gt;$C331,"",IF($D331=1,EOMONTH(EDATE(Bonds!$H331,6*(29-1)),0),EDATE(Bonds!$H331,6*(29-1))))</f>
        <v>51455</v>
      </c>
      <c r="AH331" s="3">
        <f>IF(30&gt;$C331,"",IF($D331=1,EOMONTH(EDATE(Bonds!$H331,6*(30-1)),0),EDATE(Bonds!$H331,6*(30-1))))</f>
        <v>51636</v>
      </c>
      <c r="AI331" s="3">
        <f>IF(31&gt;$C331,"",IF($D331=1,EOMONTH(EDATE(Bonds!$H331,6*(31-1)),0),EDATE(Bonds!$H331,6*(31-1))))</f>
        <v>51820</v>
      </c>
      <c r="AJ331" s="3">
        <f>IF(32&gt;$C331,"",IF($D331=1,EOMONTH(EDATE(Bonds!$H331,6*(32-1)),0),EDATE(Bonds!$H331,6*(32-1))))</f>
        <v>52001</v>
      </c>
      <c r="AK331" s="3">
        <f>IF(33&gt;$C331,"",IF($D331=1,EOMONTH(EDATE(Bonds!$H331,6*(33-1)),0),EDATE(Bonds!$H331,6*(33-1))))</f>
        <v>52185</v>
      </c>
      <c r="AL331" s="3">
        <f>IF(34&gt;$C331,"",IF($D331=1,EOMONTH(EDATE(Bonds!$H331,6*(34-1)),0),EDATE(Bonds!$H331,6*(34-1))))</f>
        <v>52366</v>
      </c>
      <c r="AM331" s="3">
        <f>IF(35&gt;$C331,"",IF($D331=1,EOMONTH(EDATE(Bonds!$H331,6*(35-1)),0),EDATE(Bonds!$H331,6*(35-1))))</f>
        <v>52550</v>
      </c>
      <c r="AN331" s="3">
        <f>IF(36&gt;$C331,"",IF($D331=1,EOMONTH(EDATE(Bonds!$H331,6*(36-1)),0),EDATE(Bonds!$H331,6*(36-1))))</f>
        <v>52732</v>
      </c>
      <c r="AO331" s="3">
        <f>IF(37&gt;$C331,"",IF($D331=1,EOMONTH(EDATE(Bonds!$H331,6*(37-1)),0),EDATE(Bonds!$H331,6*(37-1))))</f>
        <v>52916</v>
      </c>
      <c r="AP331" s="3">
        <f>IF(38&gt;$C331,"",IF($D331=1,EOMONTH(EDATE(Bonds!$H331,6*(38-1)),0),EDATE(Bonds!$H331,6*(38-1))))</f>
        <v>53097</v>
      </c>
      <c r="AQ331" s="3">
        <f>IF(39&gt;$C331,"",IF($D331=1,EOMONTH(EDATE(Bonds!$H331,6*(39-1)),0),EDATE(Bonds!$H331,6*(39-1))))</f>
        <v>53281</v>
      </c>
      <c r="AR331" s="3">
        <f>IF(40&gt;$C331,"",IF($D331=1,EOMONTH(EDATE(Bonds!$H331,6*(40-1)),0),EDATE(Bonds!$H331,6*(40-1))))</f>
        <v>53462</v>
      </c>
      <c r="AS331" s="3">
        <f>IF(41&gt;$C331,"",IF($D331=1,EOMONTH(EDATE(Bonds!$H331,6*(41-1)),0),EDATE(Bonds!$H331,6*(41-1))))</f>
        <v>53646</v>
      </c>
      <c r="AT331" s="3">
        <f>IF(42&gt;$C331,"",IF($D331=1,EOMONTH(EDATE(Bonds!$H331,6*(42-1)),0),EDATE(Bonds!$H331,6*(42-1))))</f>
        <v>53827</v>
      </c>
      <c r="AU331" s="3">
        <f>IF(43&gt;$C331,"",IF($D331=1,EOMONTH(EDATE(Bonds!$H331,6*(43-1)),0),EDATE(Bonds!$H331,6*(43-1))))</f>
        <v>54011</v>
      </c>
      <c r="AV331" s="3">
        <f>IF(44&gt;$C331,"",IF($D331=1,EOMONTH(EDATE(Bonds!$H331,6*(44-1)),0),EDATE(Bonds!$H331,6*(44-1))))</f>
        <v>54193</v>
      </c>
      <c r="AW331" s="3">
        <f>IF(45&gt;$C331,"",IF($D331=1,EOMONTH(EDATE(Bonds!$H331,6*(45-1)),0),EDATE(Bonds!$H331,6*(45-1))))</f>
        <v>54377</v>
      </c>
      <c r="AX331" s="3">
        <f>IF(46&gt;$C331,"",IF($D331=1,EOMONTH(EDATE(Bonds!$H331,6*(46-1)),0),EDATE(Bonds!$H331,6*(46-1))))</f>
        <v>54558</v>
      </c>
      <c r="AY331" s="3" t="str">
        <f>IF(47&gt;$C331,"",IF($D331=1,EOMONTH(EDATE(Bonds!$H331,6*(47-1)),0),EDATE(Bonds!$H331,6*(47-1))))</f>
        <v/>
      </c>
      <c r="AZ331" s="3" t="str">
        <f>IF(48&gt;$C331,"",IF($D331=1,EOMONTH(EDATE(Bonds!$H331,6*(48-1)),0),EDATE(Bonds!$H331,6*(48-1))))</f>
        <v/>
      </c>
      <c r="BA331" s="3" t="str">
        <f>IF(49&gt;$C331,"",IF($D331=1,EOMONTH(EDATE(Bonds!$H331,6*(49-1)),0),EDATE(Bonds!$H331,6*(49-1))))</f>
        <v/>
      </c>
      <c r="BB331" s="3" t="str">
        <f>IF(50&gt;$C331,"",IF($D331=1,EOMONTH(EDATE(Bonds!$H331,6*(50-1)),0),EDATE(Bonds!$H331,6*(50-1))))</f>
        <v/>
      </c>
      <c r="BC331" s="3" t="str">
        <f>IF(51&gt;$C331,"",IF($D331=1,EOMONTH(EDATE(Bonds!$H331,6*(51-1)),0),EDATE(Bonds!$H331,6*(51-1))))</f>
        <v/>
      </c>
      <c r="BD331" s="3" t="str">
        <f>IF(52&gt;$C331,"",IF($D331=1,EOMONTH(EDATE(Bonds!$H331,6*(52-1)),0),EDATE(Bonds!$H331,6*(52-1))))</f>
        <v/>
      </c>
      <c r="BE331" s="3" t="str">
        <f>IF(53&gt;$C331,"",IF($D331=1,EOMONTH(EDATE(Bonds!$H331,6*(53-1)),0),EDATE(Bonds!$H331,6*(53-1))))</f>
        <v/>
      </c>
      <c r="BF331" s="3" t="str">
        <f>IF(54&gt;$C331,"",IF($D331=1,EOMONTH(EDATE(Bonds!$H331,6*(54-1)),0),EDATE(Bonds!$H331,6*(54-1))))</f>
        <v/>
      </c>
      <c r="BG331" s="3" t="str">
        <f>IF(55&gt;$C331,"",IF($D331=1,EOMONTH(EDATE(Bonds!$H331,6*(55-1)),0),EDATE(Bonds!$H331,6*(55-1))))</f>
        <v/>
      </c>
      <c r="BH331" s="3" t="str">
        <f>IF(56&gt;$C331,"",IF($D331=1,EOMONTH(EDATE(Bonds!$H331,6*(56-1)),0),EDATE(Bonds!$H331,6*(56-1))))</f>
        <v/>
      </c>
      <c r="BI331" s="3" t="str">
        <f>IF(57&gt;$C331,"",IF($D331=1,EOMONTH(EDATE(Bonds!$H331,6*(57-1)),0),EDATE(Bonds!$H331,6*(57-1))))</f>
        <v/>
      </c>
      <c r="BJ331" s="3" t="str">
        <f>IF(58&gt;$C331,"",IF($D331=1,EOMONTH(EDATE(Bonds!$H331,6*(58-1)),0),EDATE(Bonds!$H331,6*(58-1))))</f>
        <v/>
      </c>
      <c r="BK331" s="3" t="str">
        <f>IF(59&gt;$C331,"",IF($D331=1,EOMONTH(EDATE(Bonds!$H331,6*(59-1)),0),EDATE(Bonds!$H331,6*(59-1))))</f>
        <v/>
      </c>
      <c r="BL331" s="3" t="str">
        <f>IF(60&gt;$C331,"",IF($D331=1,EOMONTH(EDATE(Bonds!$H331,6*(60-1)),0),EDATE(Bonds!$H331,6*(60-1))))</f>
        <v/>
      </c>
      <c r="BN331" s="7">
        <f t="shared" si="306"/>
        <v>1.4274742749875267</v>
      </c>
      <c r="BO331" s="7">
        <f t="shared" si="307"/>
        <v>1.3986486663573166</v>
      </c>
      <c r="BP331" s="7">
        <f t="shared" si="308"/>
        <v>1.3678399410400741</v>
      </c>
      <c r="BQ331" s="7">
        <f t="shared" si="309"/>
        <v>1.3371598283300468</v>
      </c>
      <c r="BR331" s="7">
        <f t="shared" si="310"/>
        <v>1.3065839082019193</v>
      </c>
      <c r="BS331" s="7">
        <f t="shared" si="311"/>
        <v>1.2771928779737276</v>
      </c>
      <c r="BT331" s="7">
        <f t="shared" si="312"/>
        <v>1.2480553960943812</v>
      </c>
      <c r="BU331" s="7">
        <f t="shared" si="313"/>
        <v>1.2200577782749149</v>
      </c>
      <c r="BV331" s="7">
        <f t="shared" si="314"/>
        <v>1.1921630242748884</v>
      </c>
      <c r="BW331" s="7">
        <f t="shared" si="315"/>
        <v>1.1651675143430285</v>
      </c>
      <c r="BX331" s="7">
        <f t="shared" si="316"/>
        <v>1.138073400627418</v>
      </c>
      <c r="BY331" s="7">
        <f t="shared" si="317"/>
        <v>1.111539483690813</v>
      </c>
      <c r="BZ331" s="7">
        <f t="shared" si="318"/>
        <v>1.0849254079937773</v>
      </c>
      <c r="CA331" s="7">
        <f t="shared" si="319"/>
        <v>1.0589197216220363</v>
      </c>
      <c r="CB331" s="7">
        <f t="shared" si="320"/>
        <v>1.0326472098514692</v>
      </c>
      <c r="CC331" s="7">
        <f t="shared" si="321"/>
        <v>1.0069681689100056</v>
      </c>
      <c r="CD331" s="7">
        <f t="shared" si="322"/>
        <v>0.98104805952639829</v>
      </c>
      <c r="CE331" s="7">
        <f t="shared" si="323"/>
        <v>0.95575772796668679</v>
      </c>
      <c r="CF331" s="7">
        <f t="shared" si="324"/>
        <v>0.93029135924109019</v>
      </c>
      <c r="CG331" s="7">
        <f t="shared" si="325"/>
        <v>0.90537875716522842</v>
      </c>
      <c r="CH331" s="7">
        <f t="shared" si="326"/>
        <v>0.88051030460373658</v>
      </c>
      <c r="CI331" s="7">
        <f t="shared" si="327"/>
        <v>0.85639598676203954</v>
      </c>
      <c r="CJ331" s="7">
        <f t="shared" si="328"/>
        <v>0.83227247353154832</v>
      </c>
      <c r="CK331" s="7">
        <f t="shared" si="329"/>
        <v>0.80895927212585761</v>
      </c>
      <c r="CL331" s="7">
        <f t="shared" si="330"/>
        <v>0.78571408295427014</v>
      </c>
      <c r="CM331" s="7">
        <f t="shared" si="331"/>
        <v>0.76332134181865541</v>
      </c>
      <c r="CN331" s="7">
        <f t="shared" si="332"/>
        <v>0.74106207701055971</v>
      </c>
      <c r="CO331" s="7">
        <f t="shared" si="333"/>
        <v>0.71956460633388575</v>
      </c>
      <c r="CP331" s="7">
        <f t="shared" si="334"/>
        <v>0.69837238838735416</v>
      </c>
      <c r="CQ331" s="7">
        <f t="shared" si="335"/>
        <v>0.67806894189721389</v>
      </c>
      <c r="CR331" s="7">
        <f t="shared" si="336"/>
        <v>0.65799013333633372</v>
      </c>
      <c r="CS331" s="7">
        <f t="shared" si="337"/>
        <v>0.63879635086224695</v>
      </c>
      <c r="CT331" s="7">
        <f t="shared" si="338"/>
        <v>0.61985422282472968</v>
      </c>
      <c r="CU331" s="7">
        <f t="shared" si="339"/>
        <v>0.60178169087836664</v>
      </c>
      <c r="CV331" s="7">
        <f t="shared" si="340"/>
        <v>0.58397758685254986</v>
      </c>
      <c r="CW331" s="7">
        <f t="shared" si="341"/>
        <v>0.56692622645699209</v>
      </c>
      <c r="CX331" s="7">
        <f t="shared" si="342"/>
        <v>0.55024682735017016</v>
      </c>
      <c r="CY331" s="7">
        <f t="shared" si="343"/>
        <v>0.53438064930660401</v>
      </c>
      <c r="CZ331" s="7">
        <f t="shared" si="344"/>
        <v>0.51879278225652836</v>
      </c>
      <c r="DA331" s="7">
        <f t="shared" si="345"/>
        <v>0.50398162946120084</v>
      </c>
      <c r="DB331" s="7">
        <f t="shared" si="346"/>
        <v>0.48944513249602045</v>
      </c>
      <c r="DC331" s="7">
        <f t="shared" si="347"/>
        <v>0.47564569313397115</v>
      </c>
      <c r="DD331" s="7">
        <f t="shared" si="348"/>
        <v>0.46211336673755427</v>
      </c>
      <c r="DE331" s="7">
        <f t="shared" si="349"/>
        <v>0.44920707442491997</v>
      </c>
      <c r="DF331" s="7">
        <f t="shared" si="350"/>
        <v>0.43662973890869095</v>
      </c>
      <c r="DG331" s="7">
        <f t="shared" si="351"/>
        <v>29.969468980172923</v>
      </c>
      <c r="DH331" s="7">
        <f t="shared" si="352"/>
        <v>0</v>
      </c>
      <c r="DI331" s="7">
        <f t="shared" si="353"/>
        <v>0</v>
      </c>
      <c r="DJ331" s="7">
        <f t="shared" si="354"/>
        <v>0</v>
      </c>
      <c r="DK331" s="7">
        <f t="shared" si="355"/>
        <v>0</v>
      </c>
      <c r="DL331" s="7">
        <f t="shared" si="356"/>
        <v>0</v>
      </c>
      <c r="DM331" s="7">
        <f t="shared" si="357"/>
        <v>0</v>
      </c>
      <c r="DN331" s="7">
        <f t="shared" si="358"/>
        <v>0</v>
      </c>
      <c r="DO331" s="7">
        <f t="shared" si="359"/>
        <v>0</v>
      </c>
      <c r="DP331" s="7">
        <f t="shared" si="360"/>
        <v>0</v>
      </c>
      <c r="DQ331" s="7">
        <f t="shared" si="361"/>
        <v>0</v>
      </c>
      <c r="DR331" s="7">
        <f t="shared" si="362"/>
        <v>0</v>
      </c>
      <c r="DS331" s="7">
        <f t="shared" si="363"/>
        <v>0</v>
      </c>
      <c r="DT331" s="7">
        <f t="shared" si="364"/>
        <v>0</v>
      </c>
      <c r="DU331" s="7">
        <f t="shared" si="365"/>
        <v>0</v>
      </c>
    </row>
    <row r="332" spans="1:125" x14ac:dyDescent="0.2">
      <c r="A332" s="3">
        <f>Bonds!A332</f>
        <v>54650</v>
      </c>
      <c r="B332" s="4">
        <f>Bonds!B332</f>
        <v>2.25</v>
      </c>
      <c r="C332">
        <f>Bonds!P332</f>
        <v>46</v>
      </c>
      <c r="D332">
        <f t="shared" si="305"/>
        <v>0</v>
      </c>
      <c r="E332" s="3">
        <f>IF(1&gt;$C332,"",IF($D332=1,EOMONTH(EDATE(Bonds!$H332,6*(1-1)),0),EDATE(Bonds!$H332,6*(1-1))))</f>
        <v>46433</v>
      </c>
      <c r="F332" s="3">
        <f>IF(2&gt;$C332,"",IF($D332=1,EOMONTH(EDATE(Bonds!$H332,6*(2-1)),0),EDATE(Bonds!$H332,6*(2-1))))</f>
        <v>46614</v>
      </c>
      <c r="G332" s="3">
        <f>IF(3&gt;$C332,"",IF($D332=1,EOMONTH(EDATE(Bonds!$H332,6*(3-1)),0),EDATE(Bonds!$H332,6*(3-1))))</f>
        <v>46798</v>
      </c>
      <c r="H332" s="3">
        <f>IF(4&gt;$C332,"",IF($D332=1,EOMONTH(EDATE(Bonds!$H332,6*(4-1)),0),EDATE(Bonds!$H332,6*(4-1))))</f>
        <v>46980</v>
      </c>
      <c r="I332" s="3">
        <f>IF(5&gt;$C332,"",IF($D332=1,EOMONTH(EDATE(Bonds!$H332,6*(5-1)),0),EDATE(Bonds!$H332,6*(5-1))))</f>
        <v>47164</v>
      </c>
      <c r="J332" s="3">
        <f>IF(6&gt;$C332,"",IF($D332=1,EOMONTH(EDATE(Bonds!$H332,6*(6-1)),0),EDATE(Bonds!$H332,6*(6-1))))</f>
        <v>47345</v>
      </c>
      <c r="K332" s="3">
        <f>IF(7&gt;$C332,"",IF($D332=1,EOMONTH(EDATE(Bonds!$H332,6*(7-1)),0),EDATE(Bonds!$H332,6*(7-1))))</f>
        <v>47529</v>
      </c>
      <c r="L332" s="3">
        <f>IF(8&gt;$C332,"",IF($D332=1,EOMONTH(EDATE(Bonds!$H332,6*(8-1)),0),EDATE(Bonds!$H332,6*(8-1))))</f>
        <v>47710</v>
      </c>
      <c r="M332" s="3">
        <f>IF(9&gt;$C332,"",IF($D332=1,EOMONTH(EDATE(Bonds!$H332,6*(9-1)),0),EDATE(Bonds!$H332,6*(9-1))))</f>
        <v>47894</v>
      </c>
      <c r="N332" s="3">
        <f>IF(10&gt;$C332,"",IF($D332=1,EOMONTH(EDATE(Bonds!$H332,6*(10-1)),0),EDATE(Bonds!$H332,6*(10-1))))</f>
        <v>48075</v>
      </c>
      <c r="O332" s="3">
        <f>IF(11&gt;$C332,"",IF($D332=1,EOMONTH(EDATE(Bonds!$H332,6*(11-1)),0),EDATE(Bonds!$H332,6*(11-1))))</f>
        <v>48259</v>
      </c>
      <c r="P332" s="3">
        <f>IF(12&gt;$C332,"",IF($D332=1,EOMONTH(EDATE(Bonds!$H332,6*(12-1)),0),EDATE(Bonds!$H332,6*(12-1))))</f>
        <v>48441</v>
      </c>
      <c r="Q332" s="3">
        <f>IF(13&gt;$C332,"",IF($D332=1,EOMONTH(EDATE(Bonds!$H332,6*(13-1)),0),EDATE(Bonds!$H332,6*(13-1))))</f>
        <v>48625</v>
      </c>
      <c r="R332" s="3">
        <f>IF(14&gt;$C332,"",IF($D332=1,EOMONTH(EDATE(Bonds!$H332,6*(14-1)),0),EDATE(Bonds!$H332,6*(14-1))))</f>
        <v>48806</v>
      </c>
      <c r="S332" s="3">
        <f>IF(15&gt;$C332,"",IF($D332=1,EOMONTH(EDATE(Bonds!$H332,6*(15-1)),0),EDATE(Bonds!$H332,6*(15-1))))</f>
        <v>48990</v>
      </c>
      <c r="T332" s="3">
        <f>IF(16&gt;$C332,"",IF($D332=1,EOMONTH(EDATE(Bonds!$H332,6*(16-1)),0),EDATE(Bonds!$H332,6*(16-1))))</f>
        <v>49171</v>
      </c>
      <c r="U332" s="3">
        <f>IF(17&gt;$C332,"",IF($D332=1,EOMONTH(EDATE(Bonds!$H332,6*(17-1)),0),EDATE(Bonds!$H332,6*(17-1))))</f>
        <v>49355</v>
      </c>
      <c r="V332" s="3">
        <f>IF(18&gt;$C332,"",IF($D332=1,EOMONTH(EDATE(Bonds!$H332,6*(18-1)),0),EDATE(Bonds!$H332,6*(18-1))))</f>
        <v>49536</v>
      </c>
      <c r="W332" s="3">
        <f>IF(19&gt;$C332,"",IF($D332=1,EOMONTH(EDATE(Bonds!$H332,6*(19-1)),0),EDATE(Bonds!$H332,6*(19-1))))</f>
        <v>49720</v>
      </c>
      <c r="X332" s="3">
        <f>IF(20&gt;$C332,"",IF($D332=1,EOMONTH(EDATE(Bonds!$H332,6*(20-1)),0),EDATE(Bonds!$H332,6*(20-1))))</f>
        <v>49902</v>
      </c>
      <c r="Y332" s="3">
        <f>IF(21&gt;$C332,"",IF($D332=1,EOMONTH(EDATE(Bonds!$H332,6*(21-1)),0),EDATE(Bonds!$H332,6*(21-1))))</f>
        <v>50086</v>
      </c>
      <c r="Z332" s="3">
        <f>IF(22&gt;$C332,"",IF($D332=1,EOMONTH(EDATE(Bonds!$H332,6*(22-1)),0),EDATE(Bonds!$H332,6*(22-1))))</f>
        <v>50267</v>
      </c>
      <c r="AA332" s="3">
        <f>IF(23&gt;$C332,"",IF($D332=1,EOMONTH(EDATE(Bonds!$H332,6*(23-1)),0),EDATE(Bonds!$H332,6*(23-1))))</f>
        <v>50451</v>
      </c>
      <c r="AB332" s="3">
        <f>IF(24&gt;$C332,"",IF($D332=1,EOMONTH(EDATE(Bonds!$H332,6*(24-1)),0),EDATE(Bonds!$H332,6*(24-1))))</f>
        <v>50632</v>
      </c>
      <c r="AC332" s="3">
        <f>IF(25&gt;$C332,"",IF($D332=1,EOMONTH(EDATE(Bonds!$H332,6*(25-1)),0),EDATE(Bonds!$H332,6*(25-1))))</f>
        <v>50816</v>
      </c>
      <c r="AD332" s="3">
        <f>IF(26&gt;$C332,"",IF($D332=1,EOMONTH(EDATE(Bonds!$H332,6*(26-1)),0),EDATE(Bonds!$H332,6*(26-1))))</f>
        <v>50997</v>
      </c>
      <c r="AE332" s="3">
        <f>IF(27&gt;$C332,"",IF($D332=1,EOMONTH(EDATE(Bonds!$H332,6*(27-1)),0),EDATE(Bonds!$H332,6*(27-1))))</f>
        <v>51181</v>
      </c>
      <c r="AF332" s="3">
        <f>IF(28&gt;$C332,"",IF($D332=1,EOMONTH(EDATE(Bonds!$H332,6*(28-1)),0),EDATE(Bonds!$H332,6*(28-1))))</f>
        <v>51363</v>
      </c>
      <c r="AG332" s="3">
        <f>IF(29&gt;$C332,"",IF($D332=1,EOMONTH(EDATE(Bonds!$H332,6*(29-1)),0),EDATE(Bonds!$H332,6*(29-1))))</f>
        <v>51547</v>
      </c>
      <c r="AH332" s="3">
        <f>IF(30&gt;$C332,"",IF($D332=1,EOMONTH(EDATE(Bonds!$H332,6*(30-1)),0),EDATE(Bonds!$H332,6*(30-1))))</f>
        <v>51728</v>
      </c>
      <c r="AI332" s="3">
        <f>IF(31&gt;$C332,"",IF($D332=1,EOMONTH(EDATE(Bonds!$H332,6*(31-1)),0),EDATE(Bonds!$H332,6*(31-1))))</f>
        <v>51912</v>
      </c>
      <c r="AJ332" s="3">
        <f>IF(32&gt;$C332,"",IF($D332=1,EOMONTH(EDATE(Bonds!$H332,6*(32-1)),0),EDATE(Bonds!$H332,6*(32-1))))</f>
        <v>52093</v>
      </c>
      <c r="AK332" s="3">
        <f>IF(33&gt;$C332,"",IF($D332=1,EOMONTH(EDATE(Bonds!$H332,6*(33-1)),0),EDATE(Bonds!$H332,6*(33-1))))</f>
        <v>52277</v>
      </c>
      <c r="AL332" s="3">
        <f>IF(34&gt;$C332,"",IF($D332=1,EOMONTH(EDATE(Bonds!$H332,6*(34-1)),0),EDATE(Bonds!$H332,6*(34-1))))</f>
        <v>52458</v>
      </c>
      <c r="AM332" s="3">
        <f>IF(35&gt;$C332,"",IF($D332=1,EOMONTH(EDATE(Bonds!$H332,6*(35-1)),0),EDATE(Bonds!$H332,6*(35-1))))</f>
        <v>52642</v>
      </c>
      <c r="AN332" s="3">
        <f>IF(36&gt;$C332,"",IF($D332=1,EOMONTH(EDATE(Bonds!$H332,6*(36-1)),0),EDATE(Bonds!$H332,6*(36-1))))</f>
        <v>52824</v>
      </c>
      <c r="AO332" s="3">
        <f>IF(37&gt;$C332,"",IF($D332=1,EOMONTH(EDATE(Bonds!$H332,6*(37-1)),0),EDATE(Bonds!$H332,6*(37-1))))</f>
        <v>53008</v>
      </c>
      <c r="AP332" s="3">
        <f>IF(38&gt;$C332,"",IF($D332=1,EOMONTH(EDATE(Bonds!$H332,6*(38-1)),0),EDATE(Bonds!$H332,6*(38-1))))</f>
        <v>53189</v>
      </c>
      <c r="AQ332" s="3">
        <f>IF(39&gt;$C332,"",IF($D332=1,EOMONTH(EDATE(Bonds!$H332,6*(39-1)),0),EDATE(Bonds!$H332,6*(39-1))))</f>
        <v>53373</v>
      </c>
      <c r="AR332" s="3">
        <f>IF(40&gt;$C332,"",IF($D332=1,EOMONTH(EDATE(Bonds!$H332,6*(40-1)),0),EDATE(Bonds!$H332,6*(40-1))))</f>
        <v>53554</v>
      </c>
      <c r="AS332" s="3">
        <f>IF(41&gt;$C332,"",IF($D332=1,EOMONTH(EDATE(Bonds!$H332,6*(41-1)),0),EDATE(Bonds!$H332,6*(41-1))))</f>
        <v>53738</v>
      </c>
      <c r="AT332" s="3">
        <f>IF(42&gt;$C332,"",IF($D332=1,EOMONTH(EDATE(Bonds!$H332,6*(42-1)),0),EDATE(Bonds!$H332,6*(42-1))))</f>
        <v>53919</v>
      </c>
      <c r="AU332" s="3">
        <f>IF(43&gt;$C332,"",IF($D332=1,EOMONTH(EDATE(Bonds!$H332,6*(43-1)),0),EDATE(Bonds!$H332,6*(43-1))))</f>
        <v>54103</v>
      </c>
      <c r="AV332" s="3">
        <f>IF(44&gt;$C332,"",IF($D332=1,EOMONTH(EDATE(Bonds!$H332,6*(44-1)),0),EDATE(Bonds!$H332,6*(44-1))))</f>
        <v>54285</v>
      </c>
      <c r="AW332" s="3">
        <f>IF(45&gt;$C332,"",IF($D332=1,EOMONTH(EDATE(Bonds!$H332,6*(45-1)),0),EDATE(Bonds!$H332,6*(45-1))))</f>
        <v>54469</v>
      </c>
      <c r="AX332" s="3">
        <f>IF(46&gt;$C332,"",IF($D332=1,EOMONTH(EDATE(Bonds!$H332,6*(46-1)),0),EDATE(Bonds!$H332,6*(46-1))))</f>
        <v>54650</v>
      </c>
      <c r="AY332" s="3" t="str">
        <f>IF(47&gt;$C332,"",IF($D332=1,EOMONTH(EDATE(Bonds!$H332,6*(47-1)),0),EDATE(Bonds!$H332,6*(47-1))))</f>
        <v/>
      </c>
      <c r="AZ332" s="3" t="str">
        <f>IF(48&gt;$C332,"",IF($D332=1,EOMONTH(EDATE(Bonds!$H332,6*(48-1)),0),EDATE(Bonds!$H332,6*(48-1))))</f>
        <v/>
      </c>
      <c r="BA332" s="3" t="str">
        <f>IF(49&gt;$C332,"",IF($D332=1,EOMONTH(EDATE(Bonds!$H332,6*(49-1)),0),EDATE(Bonds!$H332,6*(49-1))))</f>
        <v/>
      </c>
      <c r="BB332" s="3" t="str">
        <f>IF(50&gt;$C332,"",IF($D332=1,EOMONTH(EDATE(Bonds!$H332,6*(50-1)),0),EDATE(Bonds!$H332,6*(50-1))))</f>
        <v/>
      </c>
      <c r="BC332" s="3" t="str">
        <f>IF(51&gt;$C332,"",IF($D332=1,EOMONTH(EDATE(Bonds!$H332,6*(51-1)),0),EDATE(Bonds!$H332,6*(51-1))))</f>
        <v/>
      </c>
      <c r="BD332" s="3" t="str">
        <f>IF(52&gt;$C332,"",IF($D332=1,EOMONTH(EDATE(Bonds!$H332,6*(52-1)),0),EDATE(Bonds!$H332,6*(52-1))))</f>
        <v/>
      </c>
      <c r="BE332" s="3" t="str">
        <f>IF(53&gt;$C332,"",IF($D332=1,EOMONTH(EDATE(Bonds!$H332,6*(53-1)),0),EDATE(Bonds!$H332,6*(53-1))))</f>
        <v/>
      </c>
      <c r="BF332" s="3" t="str">
        <f>IF(54&gt;$C332,"",IF($D332=1,EOMONTH(EDATE(Bonds!$H332,6*(54-1)),0),EDATE(Bonds!$H332,6*(54-1))))</f>
        <v/>
      </c>
      <c r="BG332" s="3" t="str">
        <f>IF(55&gt;$C332,"",IF($D332=1,EOMONTH(EDATE(Bonds!$H332,6*(55-1)),0),EDATE(Bonds!$H332,6*(55-1))))</f>
        <v/>
      </c>
      <c r="BH332" s="3" t="str">
        <f>IF(56&gt;$C332,"",IF($D332=1,EOMONTH(EDATE(Bonds!$H332,6*(56-1)),0),EDATE(Bonds!$H332,6*(56-1))))</f>
        <v/>
      </c>
      <c r="BI332" s="3" t="str">
        <f>IF(57&gt;$C332,"",IF($D332=1,EOMONTH(EDATE(Bonds!$H332,6*(57-1)),0),EDATE(Bonds!$H332,6*(57-1))))</f>
        <v/>
      </c>
      <c r="BJ332" s="3" t="str">
        <f>IF(58&gt;$C332,"",IF($D332=1,EOMONTH(EDATE(Bonds!$H332,6*(58-1)),0),EDATE(Bonds!$H332,6*(58-1))))</f>
        <v/>
      </c>
      <c r="BK332" s="3" t="str">
        <f>IF(59&gt;$C332,"",IF($D332=1,EOMONTH(EDATE(Bonds!$H332,6*(59-1)),0),EDATE(Bonds!$H332,6*(59-1))))</f>
        <v/>
      </c>
      <c r="BL332" s="3" t="str">
        <f>IF(60&gt;$C332,"",IF($D332=1,EOMONTH(EDATE(Bonds!$H332,6*(60-1)),0),EDATE(Bonds!$H332,6*(60-1))))</f>
        <v/>
      </c>
      <c r="BN332" s="7">
        <f t="shared" si="306"/>
        <v>1.1059194175661451</v>
      </c>
      <c r="BO332" s="7">
        <f t="shared" si="307"/>
        <v>1.0826084900783119</v>
      </c>
      <c r="BP332" s="7">
        <f t="shared" si="308"/>
        <v>1.0583258713170312</v>
      </c>
      <c r="BQ332" s="7">
        <f t="shared" si="309"/>
        <v>1.0344470316670513</v>
      </c>
      <c r="BR332" s="7">
        <f t="shared" si="310"/>
        <v>1.0107811309632766</v>
      </c>
      <c r="BS332" s="7">
        <f t="shared" si="311"/>
        <v>0.9880695109382045</v>
      </c>
      <c r="BT332" s="7">
        <f t="shared" si="312"/>
        <v>0.96554220140610003</v>
      </c>
      <c r="BU332" s="7">
        <f t="shared" si="313"/>
        <v>0.94386235546352459</v>
      </c>
      <c r="BV332" s="7">
        <f t="shared" si="314"/>
        <v>0.92222077415025117</v>
      </c>
      <c r="BW332" s="7">
        <f t="shared" si="315"/>
        <v>0.90123820458261339</v>
      </c>
      <c r="BX332" s="7">
        <f t="shared" si="316"/>
        <v>0.8801465629167029</v>
      </c>
      <c r="BY332" s="7">
        <f t="shared" si="317"/>
        <v>0.85946752788681691</v>
      </c>
      <c r="BZ332" s="7">
        <f t="shared" si="318"/>
        <v>0.83871129883702167</v>
      </c>
      <c r="CA332" s="7">
        <f t="shared" si="319"/>
        <v>0.81842313191489735</v>
      </c>
      <c r="CB332" s="7">
        <f t="shared" si="320"/>
        <v>0.79792720314763321</v>
      </c>
      <c r="CC332" s="7">
        <f t="shared" si="321"/>
        <v>0.77790005026966147</v>
      </c>
      <c r="CD332" s="7">
        <f t="shared" si="322"/>
        <v>0.75769493283969891</v>
      </c>
      <c r="CE332" s="7">
        <f t="shared" si="323"/>
        <v>0.73799349624419341</v>
      </c>
      <c r="CF332" s="7">
        <f t="shared" si="324"/>
        <v>0.7181698094802994</v>
      </c>
      <c r="CG332" s="7">
        <f t="shared" si="325"/>
        <v>0.69879301925170378</v>
      </c>
      <c r="CH332" s="7">
        <f t="shared" si="326"/>
        <v>0.6794670003888994</v>
      </c>
      <c r="CI332" s="7">
        <f t="shared" si="327"/>
        <v>0.66074309691834487</v>
      </c>
      <c r="CJ332" s="7">
        <f t="shared" si="328"/>
        <v>0.6420279453591119</v>
      </c>
      <c r="CK332" s="7">
        <f t="shared" si="329"/>
        <v>0.62395640574134714</v>
      </c>
      <c r="CL332" s="7">
        <f t="shared" si="330"/>
        <v>0.60595195499067156</v>
      </c>
      <c r="CM332" s="7">
        <f t="shared" si="331"/>
        <v>0.58862097247076084</v>
      </c>
      <c r="CN332" s="7">
        <f t="shared" si="332"/>
        <v>0.57140572546050683</v>
      </c>
      <c r="CO332" s="7">
        <f t="shared" si="333"/>
        <v>0.55479098096912161</v>
      </c>
      <c r="CP332" s="7">
        <f t="shared" si="334"/>
        <v>0.53842261663805724</v>
      </c>
      <c r="CQ332" s="7">
        <f t="shared" si="335"/>
        <v>0.52275003962693634</v>
      </c>
      <c r="CR332" s="7">
        <f t="shared" si="336"/>
        <v>0.5072594265322049</v>
      </c>
      <c r="CS332" s="7">
        <f t="shared" si="337"/>
        <v>0.49245918532116983</v>
      </c>
      <c r="CT332" s="7">
        <f t="shared" si="338"/>
        <v>0.47785990047723592</v>
      </c>
      <c r="CU332" s="7">
        <f t="shared" si="339"/>
        <v>0.46393690998064324</v>
      </c>
      <c r="CV332" s="7">
        <f t="shared" si="340"/>
        <v>0.45022620348919967</v>
      </c>
      <c r="CW332" s="7">
        <f t="shared" si="341"/>
        <v>0.43710000289507295</v>
      </c>
      <c r="CX332" s="7">
        <f t="shared" si="342"/>
        <v>0.42426445010293379</v>
      </c>
      <c r="CY332" s="7">
        <f t="shared" si="343"/>
        <v>0.41205843239909373</v>
      </c>
      <c r="CZ332" s="7">
        <f t="shared" si="344"/>
        <v>0.4000698428764442</v>
      </c>
      <c r="DA332" s="7">
        <f t="shared" si="345"/>
        <v>0.38868147853879875</v>
      </c>
      <c r="DB332" s="7">
        <f t="shared" si="346"/>
        <v>0.37750682429490778</v>
      </c>
      <c r="DC332" s="7">
        <f t="shared" si="347"/>
        <v>0.3669009228730391</v>
      </c>
      <c r="DD332" s="7">
        <f t="shared" si="348"/>
        <v>0.35650220425660772</v>
      </c>
      <c r="DE332" s="7">
        <f t="shared" si="349"/>
        <v>0.34658615635874207</v>
      </c>
      <c r="DF332" s="7">
        <f t="shared" si="350"/>
        <v>0.33692422915402132</v>
      </c>
      <c r="DG332" s="7">
        <f t="shared" si="351"/>
        <v>29.462477966158655</v>
      </c>
      <c r="DH332" s="7">
        <f t="shared" si="352"/>
        <v>0</v>
      </c>
      <c r="DI332" s="7">
        <f t="shared" si="353"/>
        <v>0</v>
      </c>
      <c r="DJ332" s="7">
        <f t="shared" si="354"/>
        <v>0</v>
      </c>
      <c r="DK332" s="7">
        <f t="shared" si="355"/>
        <v>0</v>
      </c>
      <c r="DL332" s="7">
        <f t="shared" si="356"/>
        <v>0</v>
      </c>
      <c r="DM332" s="7">
        <f t="shared" si="357"/>
        <v>0</v>
      </c>
      <c r="DN332" s="7">
        <f t="shared" si="358"/>
        <v>0</v>
      </c>
      <c r="DO332" s="7">
        <f t="shared" si="359"/>
        <v>0</v>
      </c>
      <c r="DP332" s="7">
        <f t="shared" si="360"/>
        <v>0</v>
      </c>
      <c r="DQ332" s="7">
        <f t="shared" si="361"/>
        <v>0</v>
      </c>
      <c r="DR332" s="7">
        <f t="shared" si="362"/>
        <v>0</v>
      </c>
      <c r="DS332" s="7">
        <f t="shared" si="363"/>
        <v>0</v>
      </c>
      <c r="DT332" s="7">
        <f t="shared" si="364"/>
        <v>0</v>
      </c>
      <c r="DU332" s="7">
        <f t="shared" si="365"/>
        <v>0</v>
      </c>
    </row>
    <row r="333" spans="1:125" x14ac:dyDescent="0.2">
      <c r="A333" s="3">
        <f>Bonds!A333</f>
        <v>54742</v>
      </c>
      <c r="B333" s="4">
        <f>Bonds!B333</f>
        <v>2.375</v>
      </c>
      <c r="C333">
        <f>Bonds!P333</f>
        <v>47</v>
      </c>
      <c r="D333">
        <f t="shared" si="305"/>
        <v>0</v>
      </c>
      <c r="E333" s="3">
        <f>IF(1&gt;$C333,"",IF($D333=1,EOMONTH(EDATE(Bonds!$H333,6*(1-1)),0),EDATE(Bonds!$H333,6*(1-1))))</f>
        <v>46341</v>
      </c>
      <c r="F333" s="3">
        <f>IF(2&gt;$C333,"",IF($D333=1,EOMONTH(EDATE(Bonds!$H333,6*(2-1)),0),EDATE(Bonds!$H333,6*(2-1))))</f>
        <v>46522</v>
      </c>
      <c r="G333" s="3">
        <f>IF(3&gt;$C333,"",IF($D333=1,EOMONTH(EDATE(Bonds!$H333,6*(3-1)),0),EDATE(Bonds!$H333,6*(3-1))))</f>
        <v>46706</v>
      </c>
      <c r="H333" s="3">
        <f>IF(4&gt;$C333,"",IF($D333=1,EOMONTH(EDATE(Bonds!$H333,6*(4-1)),0),EDATE(Bonds!$H333,6*(4-1))))</f>
        <v>46888</v>
      </c>
      <c r="I333" s="3">
        <f>IF(5&gt;$C333,"",IF($D333=1,EOMONTH(EDATE(Bonds!$H333,6*(5-1)),0),EDATE(Bonds!$H333,6*(5-1))))</f>
        <v>47072</v>
      </c>
      <c r="J333" s="3">
        <f>IF(6&gt;$C333,"",IF($D333=1,EOMONTH(EDATE(Bonds!$H333,6*(6-1)),0),EDATE(Bonds!$H333,6*(6-1))))</f>
        <v>47253</v>
      </c>
      <c r="K333" s="3">
        <f>IF(7&gt;$C333,"",IF($D333=1,EOMONTH(EDATE(Bonds!$H333,6*(7-1)),0),EDATE(Bonds!$H333,6*(7-1))))</f>
        <v>47437</v>
      </c>
      <c r="L333" s="3">
        <f>IF(8&gt;$C333,"",IF($D333=1,EOMONTH(EDATE(Bonds!$H333,6*(8-1)),0),EDATE(Bonds!$H333,6*(8-1))))</f>
        <v>47618</v>
      </c>
      <c r="M333" s="3">
        <f>IF(9&gt;$C333,"",IF($D333=1,EOMONTH(EDATE(Bonds!$H333,6*(9-1)),0),EDATE(Bonds!$H333,6*(9-1))))</f>
        <v>47802</v>
      </c>
      <c r="N333" s="3">
        <f>IF(10&gt;$C333,"",IF($D333=1,EOMONTH(EDATE(Bonds!$H333,6*(10-1)),0),EDATE(Bonds!$H333,6*(10-1))))</f>
        <v>47983</v>
      </c>
      <c r="O333" s="3">
        <f>IF(11&gt;$C333,"",IF($D333=1,EOMONTH(EDATE(Bonds!$H333,6*(11-1)),0),EDATE(Bonds!$H333,6*(11-1))))</f>
        <v>48167</v>
      </c>
      <c r="P333" s="3">
        <f>IF(12&gt;$C333,"",IF($D333=1,EOMONTH(EDATE(Bonds!$H333,6*(12-1)),0),EDATE(Bonds!$H333,6*(12-1))))</f>
        <v>48349</v>
      </c>
      <c r="Q333" s="3">
        <f>IF(13&gt;$C333,"",IF($D333=1,EOMONTH(EDATE(Bonds!$H333,6*(13-1)),0),EDATE(Bonds!$H333,6*(13-1))))</f>
        <v>48533</v>
      </c>
      <c r="R333" s="3">
        <f>IF(14&gt;$C333,"",IF($D333=1,EOMONTH(EDATE(Bonds!$H333,6*(14-1)),0),EDATE(Bonds!$H333,6*(14-1))))</f>
        <v>48714</v>
      </c>
      <c r="S333" s="3">
        <f>IF(15&gt;$C333,"",IF($D333=1,EOMONTH(EDATE(Bonds!$H333,6*(15-1)),0),EDATE(Bonds!$H333,6*(15-1))))</f>
        <v>48898</v>
      </c>
      <c r="T333" s="3">
        <f>IF(16&gt;$C333,"",IF($D333=1,EOMONTH(EDATE(Bonds!$H333,6*(16-1)),0),EDATE(Bonds!$H333,6*(16-1))))</f>
        <v>49079</v>
      </c>
      <c r="U333" s="3">
        <f>IF(17&gt;$C333,"",IF($D333=1,EOMONTH(EDATE(Bonds!$H333,6*(17-1)),0),EDATE(Bonds!$H333,6*(17-1))))</f>
        <v>49263</v>
      </c>
      <c r="V333" s="3">
        <f>IF(18&gt;$C333,"",IF($D333=1,EOMONTH(EDATE(Bonds!$H333,6*(18-1)),0),EDATE(Bonds!$H333,6*(18-1))))</f>
        <v>49444</v>
      </c>
      <c r="W333" s="3">
        <f>IF(19&gt;$C333,"",IF($D333=1,EOMONTH(EDATE(Bonds!$H333,6*(19-1)),0),EDATE(Bonds!$H333,6*(19-1))))</f>
        <v>49628</v>
      </c>
      <c r="X333" s="3">
        <f>IF(20&gt;$C333,"",IF($D333=1,EOMONTH(EDATE(Bonds!$H333,6*(20-1)),0),EDATE(Bonds!$H333,6*(20-1))))</f>
        <v>49810</v>
      </c>
      <c r="Y333" s="3">
        <f>IF(21&gt;$C333,"",IF($D333=1,EOMONTH(EDATE(Bonds!$H333,6*(21-1)),0),EDATE(Bonds!$H333,6*(21-1))))</f>
        <v>49994</v>
      </c>
      <c r="Z333" s="3">
        <f>IF(22&gt;$C333,"",IF($D333=1,EOMONTH(EDATE(Bonds!$H333,6*(22-1)),0),EDATE(Bonds!$H333,6*(22-1))))</f>
        <v>50175</v>
      </c>
      <c r="AA333" s="3">
        <f>IF(23&gt;$C333,"",IF($D333=1,EOMONTH(EDATE(Bonds!$H333,6*(23-1)),0),EDATE(Bonds!$H333,6*(23-1))))</f>
        <v>50359</v>
      </c>
      <c r="AB333" s="3">
        <f>IF(24&gt;$C333,"",IF($D333=1,EOMONTH(EDATE(Bonds!$H333,6*(24-1)),0),EDATE(Bonds!$H333,6*(24-1))))</f>
        <v>50540</v>
      </c>
      <c r="AC333" s="3">
        <f>IF(25&gt;$C333,"",IF($D333=1,EOMONTH(EDATE(Bonds!$H333,6*(25-1)),0),EDATE(Bonds!$H333,6*(25-1))))</f>
        <v>50724</v>
      </c>
      <c r="AD333" s="3">
        <f>IF(26&gt;$C333,"",IF($D333=1,EOMONTH(EDATE(Bonds!$H333,6*(26-1)),0),EDATE(Bonds!$H333,6*(26-1))))</f>
        <v>50905</v>
      </c>
      <c r="AE333" s="3">
        <f>IF(27&gt;$C333,"",IF($D333=1,EOMONTH(EDATE(Bonds!$H333,6*(27-1)),0),EDATE(Bonds!$H333,6*(27-1))))</f>
        <v>51089</v>
      </c>
      <c r="AF333" s="3">
        <f>IF(28&gt;$C333,"",IF($D333=1,EOMONTH(EDATE(Bonds!$H333,6*(28-1)),0),EDATE(Bonds!$H333,6*(28-1))))</f>
        <v>51271</v>
      </c>
      <c r="AG333" s="3">
        <f>IF(29&gt;$C333,"",IF($D333=1,EOMONTH(EDATE(Bonds!$H333,6*(29-1)),0),EDATE(Bonds!$H333,6*(29-1))))</f>
        <v>51455</v>
      </c>
      <c r="AH333" s="3">
        <f>IF(30&gt;$C333,"",IF($D333=1,EOMONTH(EDATE(Bonds!$H333,6*(30-1)),0),EDATE(Bonds!$H333,6*(30-1))))</f>
        <v>51636</v>
      </c>
      <c r="AI333" s="3">
        <f>IF(31&gt;$C333,"",IF($D333=1,EOMONTH(EDATE(Bonds!$H333,6*(31-1)),0),EDATE(Bonds!$H333,6*(31-1))))</f>
        <v>51820</v>
      </c>
      <c r="AJ333" s="3">
        <f>IF(32&gt;$C333,"",IF($D333=1,EOMONTH(EDATE(Bonds!$H333,6*(32-1)),0),EDATE(Bonds!$H333,6*(32-1))))</f>
        <v>52001</v>
      </c>
      <c r="AK333" s="3">
        <f>IF(33&gt;$C333,"",IF($D333=1,EOMONTH(EDATE(Bonds!$H333,6*(33-1)),0),EDATE(Bonds!$H333,6*(33-1))))</f>
        <v>52185</v>
      </c>
      <c r="AL333" s="3">
        <f>IF(34&gt;$C333,"",IF($D333=1,EOMONTH(EDATE(Bonds!$H333,6*(34-1)),0),EDATE(Bonds!$H333,6*(34-1))))</f>
        <v>52366</v>
      </c>
      <c r="AM333" s="3">
        <f>IF(35&gt;$C333,"",IF($D333=1,EOMONTH(EDATE(Bonds!$H333,6*(35-1)),0),EDATE(Bonds!$H333,6*(35-1))))</f>
        <v>52550</v>
      </c>
      <c r="AN333" s="3">
        <f>IF(36&gt;$C333,"",IF($D333=1,EOMONTH(EDATE(Bonds!$H333,6*(36-1)),0),EDATE(Bonds!$H333,6*(36-1))))</f>
        <v>52732</v>
      </c>
      <c r="AO333" s="3">
        <f>IF(37&gt;$C333,"",IF($D333=1,EOMONTH(EDATE(Bonds!$H333,6*(37-1)),0),EDATE(Bonds!$H333,6*(37-1))))</f>
        <v>52916</v>
      </c>
      <c r="AP333" s="3">
        <f>IF(38&gt;$C333,"",IF($D333=1,EOMONTH(EDATE(Bonds!$H333,6*(38-1)),0),EDATE(Bonds!$H333,6*(38-1))))</f>
        <v>53097</v>
      </c>
      <c r="AQ333" s="3">
        <f>IF(39&gt;$C333,"",IF($D333=1,EOMONTH(EDATE(Bonds!$H333,6*(39-1)),0),EDATE(Bonds!$H333,6*(39-1))))</f>
        <v>53281</v>
      </c>
      <c r="AR333" s="3">
        <f>IF(40&gt;$C333,"",IF($D333=1,EOMONTH(EDATE(Bonds!$H333,6*(40-1)),0),EDATE(Bonds!$H333,6*(40-1))))</f>
        <v>53462</v>
      </c>
      <c r="AS333" s="3">
        <f>IF(41&gt;$C333,"",IF($D333=1,EOMONTH(EDATE(Bonds!$H333,6*(41-1)),0),EDATE(Bonds!$H333,6*(41-1))))</f>
        <v>53646</v>
      </c>
      <c r="AT333" s="3">
        <f>IF(42&gt;$C333,"",IF($D333=1,EOMONTH(EDATE(Bonds!$H333,6*(42-1)),0),EDATE(Bonds!$H333,6*(42-1))))</f>
        <v>53827</v>
      </c>
      <c r="AU333" s="3">
        <f>IF(43&gt;$C333,"",IF($D333=1,EOMONTH(EDATE(Bonds!$H333,6*(43-1)),0),EDATE(Bonds!$H333,6*(43-1))))</f>
        <v>54011</v>
      </c>
      <c r="AV333" s="3">
        <f>IF(44&gt;$C333,"",IF($D333=1,EOMONTH(EDATE(Bonds!$H333,6*(44-1)),0),EDATE(Bonds!$H333,6*(44-1))))</f>
        <v>54193</v>
      </c>
      <c r="AW333" s="3">
        <f>IF(45&gt;$C333,"",IF($D333=1,EOMONTH(EDATE(Bonds!$H333,6*(45-1)),0),EDATE(Bonds!$H333,6*(45-1))))</f>
        <v>54377</v>
      </c>
      <c r="AX333" s="3">
        <f>IF(46&gt;$C333,"",IF($D333=1,EOMONTH(EDATE(Bonds!$H333,6*(46-1)),0),EDATE(Bonds!$H333,6*(46-1))))</f>
        <v>54558</v>
      </c>
      <c r="AY333" s="3">
        <f>IF(47&gt;$C333,"",IF($D333=1,EOMONTH(EDATE(Bonds!$H333,6*(47-1)),0),EDATE(Bonds!$H333,6*(47-1))))</f>
        <v>54742</v>
      </c>
      <c r="AZ333" s="3" t="str">
        <f>IF(48&gt;$C333,"",IF($D333=1,EOMONTH(EDATE(Bonds!$H333,6*(48-1)),0),EDATE(Bonds!$H333,6*(48-1))))</f>
        <v/>
      </c>
      <c r="BA333" s="3" t="str">
        <f>IF(49&gt;$C333,"",IF($D333=1,EOMONTH(EDATE(Bonds!$H333,6*(49-1)),0),EDATE(Bonds!$H333,6*(49-1))))</f>
        <v/>
      </c>
      <c r="BB333" s="3" t="str">
        <f>IF(50&gt;$C333,"",IF($D333=1,EOMONTH(EDATE(Bonds!$H333,6*(50-1)),0),EDATE(Bonds!$H333,6*(50-1))))</f>
        <v/>
      </c>
      <c r="BC333" s="3" t="str">
        <f>IF(51&gt;$C333,"",IF($D333=1,EOMONTH(EDATE(Bonds!$H333,6*(51-1)),0),EDATE(Bonds!$H333,6*(51-1))))</f>
        <v/>
      </c>
      <c r="BD333" s="3" t="str">
        <f>IF(52&gt;$C333,"",IF($D333=1,EOMONTH(EDATE(Bonds!$H333,6*(52-1)),0),EDATE(Bonds!$H333,6*(52-1))))</f>
        <v/>
      </c>
      <c r="BE333" s="3" t="str">
        <f>IF(53&gt;$C333,"",IF($D333=1,EOMONTH(EDATE(Bonds!$H333,6*(53-1)),0),EDATE(Bonds!$H333,6*(53-1))))</f>
        <v/>
      </c>
      <c r="BF333" s="3" t="str">
        <f>IF(54&gt;$C333,"",IF($D333=1,EOMONTH(EDATE(Bonds!$H333,6*(54-1)),0),EDATE(Bonds!$H333,6*(54-1))))</f>
        <v/>
      </c>
      <c r="BG333" s="3" t="str">
        <f>IF(55&gt;$C333,"",IF($D333=1,EOMONTH(EDATE(Bonds!$H333,6*(55-1)),0),EDATE(Bonds!$H333,6*(55-1))))</f>
        <v/>
      </c>
      <c r="BH333" s="3" t="str">
        <f>IF(56&gt;$C333,"",IF($D333=1,EOMONTH(EDATE(Bonds!$H333,6*(56-1)),0),EDATE(Bonds!$H333,6*(56-1))))</f>
        <v/>
      </c>
      <c r="BI333" s="3" t="str">
        <f>IF(57&gt;$C333,"",IF($D333=1,EOMONTH(EDATE(Bonds!$H333,6*(57-1)),0),EDATE(Bonds!$H333,6*(57-1))))</f>
        <v/>
      </c>
      <c r="BJ333" s="3" t="str">
        <f>IF(58&gt;$C333,"",IF($D333=1,EOMONTH(EDATE(Bonds!$H333,6*(58-1)),0),EDATE(Bonds!$H333,6*(58-1))))</f>
        <v/>
      </c>
      <c r="BK333" s="3" t="str">
        <f>IF(59&gt;$C333,"",IF($D333=1,EOMONTH(EDATE(Bonds!$H333,6*(59-1)),0),EDATE(Bonds!$H333,6*(59-1))))</f>
        <v/>
      </c>
      <c r="BL333" s="3" t="str">
        <f>IF(60&gt;$C333,"",IF($D333=1,EOMONTH(EDATE(Bonds!$H333,6*(60-1)),0),EDATE(Bonds!$H333,6*(60-1))))</f>
        <v/>
      </c>
      <c r="BN333" s="7">
        <f t="shared" si="306"/>
        <v>1.1792178793375221</v>
      </c>
      <c r="BO333" s="7">
        <f t="shared" si="307"/>
        <v>1.1554054200343051</v>
      </c>
      <c r="BP333" s="7">
        <f t="shared" si="308"/>
        <v>1.1299547339026699</v>
      </c>
      <c r="BQ333" s="7">
        <f t="shared" si="309"/>
        <v>1.1046102929682995</v>
      </c>
      <c r="BR333" s="7">
        <f t="shared" si="310"/>
        <v>1.079351924166803</v>
      </c>
      <c r="BS333" s="7">
        <f t="shared" si="311"/>
        <v>1.0550723774565576</v>
      </c>
      <c r="BT333" s="7">
        <f t="shared" si="312"/>
        <v>1.0310022837301409</v>
      </c>
      <c r="BU333" s="7">
        <f t="shared" si="313"/>
        <v>1.0078738168357992</v>
      </c>
      <c r="BV333" s="7">
        <f t="shared" si="314"/>
        <v>0.98483032440099472</v>
      </c>
      <c r="BW333" s="7">
        <f t="shared" si="315"/>
        <v>0.96252968576163223</v>
      </c>
      <c r="BX333" s="7">
        <f t="shared" si="316"/>
        <v>0.94014759182264962</v>
      </c>
      <c r="BY333" s="7">
        <f t="shared" si="317"/>
        <v>0.91822826913588906</v>
      </c>
      <c r="BZ333" s="7">
        <f t="shared" si="318"/>
        <v>0.8962427283426857</v>
      </c>
      <c r="CA333" s="7">
        <f t="shared" si="319"/>
        <v>0.87475977003559524</v>
      </c>
      <c r="CB333" s="7">
        <f t="shared" si="320"/>
        <v>0.8530563907468659</v>
      </c>
      <c r="CC333" s="7">
        <f t="shared" si="321"/>
        <v>0.83184326996913516</v>
      </c>
      <c r="CD333" s="7">
        <f t="shared" si="322"/>
        <v>0.81043100569572035</v>
      </c>
      <c r="CE333" s="7">
        <f t="shared" si="323"/>
        <v>0.78953899266813254</v>
      </c>
      <c r="CF333" s="7">
        <f t="shared" si="324"/>
        <v>0.76850155763394412</v>
      </c>
      <c r="CG333" s="7">
        <f t="shared" si="325"/>
        <v>0.74792158200605818</v>
      </c>
      <c r="CH333" s="7">
        <f t="shared" si="326"/>
        <v>0.72737807771613017</v>
      </c>
      <c r="CI333" s="7">
        <f t="shared" si="327"/>
        <v>0.70745755428168489</v>
      </c>
      <c r="CJ333" s="7">
        <f t="shared" si="328"/>
        <v>0.68752943465649641</v>
      </c>
      <c r="CK333" s="7">
        <f t="shared" si="329"/>
        <v>0.66827070306049108</v>
      </c>
      <c r="CL333" s="7">
        <f t="shared" si="330"/>
        <v>0.64906815548396224</v>
      </c>
      <c r="CM333" s="7">
        <f t="shared" si="331"/>
        <v>0.63056980411106311</v>
      </c>
      <c r="CN333" s="7">
        <f t="shared" si="332"/>
        <v>0.61218171579133196</v>
      </c>
      <c r="CO333" s="7">
        <f t="shared" si="333"/>
        <v>0.59442293566712301</v>
      </c>
      <c r="CP333" s="7">
        <f t="shared" si="334"/>
        <v>0.57691632084172739</v>
      </c>
      <c r="CQ333" s="7">
        <f t="shared" si="335"/>
        <v>0.56014390852378537</v>
      </c>
      <c r="CR333" s="7">
        <f t="shared" si="336"/>
        <v>0.54355706666914527</v>
      </c>
      <c r="CS333" s="7">
        <f t="shared" si="337"/>
        <v>0.52770133332098668</v>
      </c>
      <c r="CT333" s="7">
        <f t="shared" si="338"/>
        <v>0.51205348842042886</v>
      </c>
      <c r="CU333" s="7">
        <f t="shared" si="339"/>
        <v>0.49712400550821589</v>
      </c>
      <c r="CV333" s="7">
        <f t="shared" si="340"/>
        <v>0.48241626739993249</v>
      </c>
      <c r="CW333" s="7">
        <f t="shared" si="341"/>
        <v>0.46833036098621084</v>
      </c>
      <c r="CX333" s="7">
        <f t="shared" si="342"/>
        <v>0.45455172694144497</v>
      </c>
      <c r="CY333" s="7">
        <f t="shared" si="343"/>
        <v>0.44144488420980332</v>
      </c>
      <c r="CZ333" s="7">
        <f t="shared" si="344"/>
        <v>0.42856795055974078</v>
      </c>
      <c r="DA333" s="7">
        <f t="shared" si="345"/>
        <v>0.41633265042447026</v>
      </c>
      <c r="DB333" s="7">
        <f t="shared" si="346"/>
        <v>0.40432423988801686</v>
      </c>
      <c r="DC333" s="7">
        <f t="shared" si="347"/>
        <v>0.39292470302371529</v>
      </c>
      <c r="DD333" s="7">
        <f t="shared" si="348"/>
        <v>0.38174582469624047</v>
      </c>
      <c r="DE333" s="7">
        <f t="shared" si="349"/>
        <v>0.3710841049597165</v>
      </c>
      <c r="DF333" s="7">
        <f t="shared" si="350"/>
        <v>0.36069413214196211</v>
      </c>
      <c r="DG333" s="7">
        <f t="shared" si="351"/>
        <v>0.35084406076604163</v>
      </c>
      <c r="DH333" s="7">
        <f t="shared" si="352"/>
        <v>29.073490397281798</v>
      </c>
      <c r="DI333" s="7">
        <f t="shared" si="353"/>
        <v>0</v>
      </c>
      <c r="DJ333" s="7">
        <f t="shared" si="354"/>
        <v>0</v>
      </c>
      <c r="DK333" s="7">
        <f t="shared" si="355"/>
        <v>0</v>
      </c>
      <c r="DL333" s="7">
        <f t="shared" si="356"/>
        <v>0</v>
      </c>
      <c r="DM333" s="7">
        <f t="shared" si="357"/>
        <v>0</v>
      </c>
      <c r="DN333" s="7">
        <f t="shared" si="358"/>
        <v>0</v>
      </c>
      <c r="DO333" s="7">
        <f t="shared" si="359"/>
        <v>0</v>
      </c>
      <c r="DP333" s="7">
        <f t="shared" si="360"/>
        <v>0</v>
      </c>
      <c r="DQ333" s="7">
        <f t="shared" si="361"/>
        <v>0</v>
      </c>
      <c r="DR333" s="7">
        <f t="shared" si="362"/>
        <v>0</v>
      </c>
      <c r="DS333" s="7">
        <f t="shared" si="363"/>
        <v>0</v>
      </c>
      <c r="DT333" s="7">
        <f t="shared" si="364"/>
        <v>0</v>
      </c>
      <c r="DU333" s="7">
        <f t="shared" si="365"/>
        <v>0</v>
      </c>
    </row>
    <row r="334" spans="1:125" x14ac:dyDescent="0.2">
      <c r="A334" s="3">
        <f>Bonds!A334</f>
        <v>54834</v>
      </c>
      <c r="B334" s="4">
        <f>Bonds!B334</f>
        <v>2</v>
      </c>
      <c r="C334">
        <f>Bonds!P334</f>
        <v>47</v>
      </c>
      <c r="D334">
        <f t="shared" si="305"/>
        <v>0</v>
      </c>
      <c r="E334" s="3">
        <f>IF(1&gt;$C334,"",IF($D334=1,EOMONTH(EDATE(Bonds!$H334,6*(1-1)),0),EDATE(Bonds!$H334,6*(1-1))))</f>
        <v>46433</v>
      </c>
      <c r="F334" s="3">
        <f>IF(2&gt;$C334,"",IF($D334=1,EOMONTH(EDATE(Bonds!$H334,6*(2-1)),0),EDATE(Bonds!$H334,6*(2-1))))</f>
        <v>46614</v>
      </c>
      <c r="G334" s="3">
        <f>IF(3&gt;$C334,"",IF($D334=1,EOMONTH(EDATE(Bonds!$H334,6*(3-1)),0),EDATE(Bonds!$H334,6*(3-1))))</f>
        <v>46798</v>
      </c>
      <c r="H334" s="3">
        <f>IF(4&gt;$C334,"",IF($D334=1,EOMONTH(EDATE(Bonds!$H334,6*(4-1)),0),EDATE(Bonds!$H334,6*(4-1))))</f>
        <v>46980</v>
      </c>
      <c r="I334" s="3">
        <f>IF(5&gt;$C334,"",IF($D334=1,EOMONTH(EDATE(Bonds!$H334,6*(5-1)),0),EDATE(Bonds!$H334,6*(5-1))))</f>
        <v>47164</v>
      </c>
      <c r="J334" s="3">
        <f>IF(6&gt;$C334,"",IF($D334=1,EOMONTH(EDATE(Bonds!$H334,6*(6-1)),0),EDATE(Bonds!$H334,6*(6-1))))</f>
        <v>47345</v>
      </c>
      <c r="K334" s="3">
        <f>IF(7&gt;$C334,"",IF($D334=1,EOMONTH(EDATE(Bonds!$H334,6*(7-1)),0),EDATE(Bonds!$H334,6*(7-1))))</f>
        <v>47529</v>
      </c>
      <c r="L334" s="3">
        <f>IF(8&gt;$C334,"",IF($D334=1,EOMONTH(EDATE(Bonds!$H334,6*(8-1)),0),EDATE(Bonds!$H334,6*(8-1))))</f>
        <v>47710</v>
      </c>
      <c r="M334" s="3">
        <f>IF(9&gt;$C334,"",IF($D334=1,EOMONTH(EDATE(Bonds!$H334,6*(9-1)),0),EDATE(Bonds!$H334,6*(9-1))))</f>
        <v>47894</v>
      </c>
      <c r="N334" s="3">
        <f>IF(10&gt;$C334,"",IF($D334=1,EOMONTH(EDATE(Bonds!$H334,6*(10-1)),0),EDATE(Bonds!$H334,6*(10-1))))</f>
        <v>48075</v>
      </c>
      <c r="O334" s="3">
        <f>IF(11&gt;$C334,"",IF($D334=1,EOMONTH(EDATE(Bonds!$H334,6*(11-1)),0),EDATE(Bonds!$H334,6*(11-1))))</f>
        <v>48259</v>
      </c>
      <c r="P334" s="3">
        <f>IF(12&gt;$C334,"",IF($D334=1,EOMONTH(EDATE(Bonds!$H334,6*(12-1)),0),EDATE(Bonds!$H334,6*(12-1))))</f>
        <v>48441</v>
      </c>
      <c r="Q334" s="3">
        <f>IF(13&gt;$C334,"",IF($D334=1,EOMONTH(EDATE(Bonds!$H334,6*(13-1)),0),EDATE(Bonds!$H334,6*(13-1))))</f>
        <v>48625</v>
      </c>
      <c r="R334" s="3">
        <f>IF(14&gt;$C334,"",IF($D334=1,EOMONTH(EDATE(Bonds!$H334,6*(14-1)),0),EDATE(Bonds!$H334,6*(14-1))))</f>
        <v>48806</v>
      </c>
      <c r="S334" s="3">
        <f>IF(15&gt;$C334,"",IF($D334=1,EOMONTH(EDATE(Bonds!$H334,6*(15-1)),0),EDATE(Bonds!$H334,6*(15-1))))</f>
        <v>48990</v>
      </c>
      <c r="T334" s="3">
        <f>IF(16&gt;$C334,"",IF($D334=1,EOMONTH(EDATE(Bonds!$H334,6*(16-1)),0),EDATE(Bonds!$H334,6*(16-1))))</f>
        <v>49171</v>
      </c>
      <c r="U334" s="3">
        <f>IF(17&gt;$C334,"",IF($D334=1,EOMONTH(EDATE(Bonds!$H334,6*(17-1)),0),EDATE(Bonds!$H334,6*(17-1))))</f>
        <v>49355</v>
      </c>
      <c r="V334" s="3">
        <f>IF(18&gt;$C334,"",IF($D334=1,EOMONTH(EDATE(Bonds!$H334,6*(18-1)),0),EDATE(Bonds!$H334,6*(18-1))))</f>
        <v>49536</v>
      </c>
      <c r="W334" s="3">
        <f>IF(19&gt;$C334,"",IF($D334=1,EOMONTH(EDATE(Bonds!$H334,6*(19-1)),0),EDATE(Bonds!$H334,6*(19-1))))</f>
        <v>49720</v>
      </c>
      <c r="X334" s="3">
        <f>IF(20&gt;$C334,"",IF($D334=1,EOMONTH(EDATE(Bonds!$H334,6*(20-1)),0),EDATE(Bonds!$H334,6*(20-1))))</f>
        <v>49902</v>
      </c>
      <c r="Y334" s="3">
        <f>IF(21&gt;$C334,"",IF($D334=1,EOMONTH(EDATE(Bonds!$H334,6*(21-1)),0),EDATE(Bonds!$H334,6*(21-1))))</f>
        <v>50086</v>
      </c>
      <c r="Z334" s="3">
        <f>IF(22&gt;$C334,"",IF($D334=1,EOMONTH(EDATE(Bonds!$H334,6*(22-1)),0),EDATE(Bonds!$H334,6*(22-1))))</f>
        <v>50267</v>
      </c>
      <c r="AA334" s="3">
        <f>IF(23&gt;$C334,"",IF($D334=1,EOMONTH(EDATE(Bonds!$H334,6*(23-1)),0),EDATE(Bonds!$H334,6*(23-1))))</f>
        <v>50451</v>
      </c>
      <c r="AB334" s="3">
        <f>IF(24&gt;$C334,"",IF($D334=1,EOMONTH(EDATE(Bonds!$H334,6*(24-1)),0),EDATE(Bonds!$H334,6*(24-1))))</f>
        <v>50632</v>
      </c>
      <c r="AC334" s="3">
        <f>IF(25&gt;$C334,"",IF($D334=1,EOMONTH(EDATE(Bonds!$H334,6*(25-1)),0),EDATE(Bonds!$H334,6*(25-1))))</f>
        <v>50816</v>
      </c>
      <c r="AD334" s="3">
        <f>IF(26&gt;$C334,"",IF($D334=1,EOMONTH(EDATE(Bonds!$H334,6*(26-1)),0),EDATE(Bonds!$H334,6*(26-1))))</f>
        <v>50997</v>
      </c>
      <c r="AE334" s="3">
        <f>IF(27&gt;$C334,"",IF($D334=1,EOMONTH(EDATE(Bonds!$H334,6*(27-1)),0),EDATE(Bonds!$H334,6*(27-1))))</f>
        <v>51181</v>
      </c>
      <c r="AF334" s="3">
        <f>IF(28&gt;$C334,"",IF($D334=1,EOMONTH(EDATE(Bonds!$H334,6*(28-1)),0),EDATE(Bonds!$H334,6*(28-1))))</f>
        <v>51363</v>
      </c>
      <c r="AG334" s="3">
        <f>IF(29&gt;$C334,"",IF($D334=1,EOMONTH(EDATE(Bonds!$H334,6*(29-1)),0),EDATE(Bonds!$H334,6*(29-1))))</f>
        <v>51547</v>
      </c>
      <c r="AH334" s="3">
        <f>IF(30&gt;$C334,"",IF($D334=1,EOMONTH(EDATE(Bonds!$H334,6*(30-1)),0),EDATE(Bonds!$H334,6*(30-1))))</f>
        <v>51728</v>
      </c>
      <c r="AI334" s="3">
        <f>IF(31&gt;$C334,"",IF($D334=1,EOMONTH(EDATE(Bonds!$H334,6*(31-1)),0),EDATE(Bonds!$H334,6*(31-1))))</f>
        <v>51912</v>
      </c>
      <c r="AJ334" s="3">
        <f>IF(32&gt;$C334,"",IF($D334=1,EOMONTH(EDATE(Bonds!$H334,6*(32-1)),0),EDATE(Bonds!$H334,6*(32-1))))</f>
        <v>52093</v>
      </c>
      <c r="AK334" s="3">
        <f>IF(33&gt;$C334,"",IF($D334=1,EOMONTH(EDATE(Bonds!$H334,6*(33-1)),0),EDATE(Bonds!$H334,6*(33-1))))</f>
        <v>52277</v>
      </c>
      <c r="AL334" s="3">
        <f>IF(34&gt;$C334,"",IF($D334=1,EOMONTH(EDATE(Bonds!$H334,6*(34-1)),0),EDATE(Bonds!$H334,6*(34-1))))</f>
        <v>52458</v>
      </c>
      <c r="AM334" s="3">
        <f>IF(35&gt;$C334,"",IF($D334=1,EOMONTH(EDATE(Bonds!$H334,6*(35-1)),0),EDATE(Bonds!$H334,6*(35-1))))</f>
        <v>52642</v>
      </c>
      <c r="AN334" s="3">
        <f>IF(36&gt;$C334,"",IF($D334=1,EOMONTH(EDATE(Bonds!$H334,6*(36-1)),0),EDATE(Bonds!$H334,6*(36-1))))</f>
        <v>52824</v>
      </c>
      <c r="AO334" s="3">
        <f>IF(37&gt;$C334,"",IF($D334=1,EOMONTH(EDATE(Bonds!$H334,6*(37-1)),0),EDATE(Bonds!$H334,6*(37-1))))</f>
        <v>53008</v>
      </c>
      <c r="AP334" s="3">
        <f>IF(38&gt;$C334,"",IF($D334=1,EOMONTH(EDATE(Bonds!$H334,6*(38-1)),0),EDATE(Bonds!$H334,6*(38-1))))</f>
        <v>53189</v>
      </c>
      <c r="AQ334" s="3">
        <f>IF(39&gt;$C334,"",IF($D334=1,EOMONTH(EDATE(Bonds!$H334,6*(39-1)),0),EDATE(Bonds!$H334,6*(39-1))))</f>
        <v>53373</v>
      </c>
      <c r="AR334" s="3">
        <f>IF(40&gt;$C334,"",IF($D334=1,EOMONTH(EDATE(Bonds!$H334,6*(40-1)),0),EDATE(Bonds!$H334,6*(40-1))))</f>
        <v>53554</v>
      </c>
      <c r="AS334" s="3">
        <f>IF(41&gt;$C334,"",IF($D334=1,EOMONTH(EDATE(Bonds!$H334,6*(41-1)),0),EDATE(Bonds!$H334,6*(41-1))))</f>
        <v>53738</v>
      </c>
      <c r="AT334" s="3">
        <f>IF(42&gt;$C334,"",IF($D334=1,EOMONTH(EDATE(Bonds!$H334,6*(42-1)),0),EDATE(Bonds!$H334,6*(42-1))))</f>
        <v>53919</v>
      </c>
      <c r="AU334" s="3">
        <f>IF(43&gt;$C334,"",IF($D334=1,EOMONTH(EDATE(Bonds!$H334,6*(43-1)),0),EDATE(Bonds!$H334,6*(43-1))))</f>
        <v>54103</v>
      </c>
      <c r="AV334" s="3">
        <f>IF(44&gt;$C334,"",IF($D334=1,EOMONTH(EDATE(Bonds!$H334,6*(44-1)),0),EDATE(Bonds!$H334,6*(44-1))))</f>
        <v>54285</v>
      </c>
      <c r="AW334" s="3">
        <f>IF(45&gt;$C334,"",IF($D334=1,EOMONTH(EDATE(Bonds!$H334,6*(45-1)),0),EDATE(Bonds!$H334,6*(45-1))))</f>
        <v>54469</v>
      </c>
      <c r="AX334" s="3">
        <f>IF(46&gt;$C334,"",IF($D334=1,EOMONTH(EDATE(Bonds!$H334,6*(46-1)),0),EDATE(Bonds!$H334,6*(46-1))))</f>
        <v>54650</v>
      </c>
      <c r="AY334" s="3">
        <f>IF(47&gt;$C334,"",IF($D334=1,EOMONTH(EDATE(Bonds!$H334,6*(47-1)),0),EDATE(Bonds!$H334,6*(47-1))))</f>
        <v>54834</v>
      </c>
      <c r="AZ334" s="3" t="str">
        <f>IF(48&gt;$C334,"",IF($D334=1,EOMONTH(EDATE(Bonds!$H334,6*(48-1)),0),EDATE(Bonds!$H334,6*(48-1))))</f>
        <v/>
      </c>
      <c r="BA334" s="3" t="str">
        <f>IF(49&gt;$C334,"",IF($D334=1,EOMONTH(EDATE(Bonds!$H334,6*(49-1)),0),EDATE(Bonds!$H334,6*(49-1))))</f>
        <v/>
      </c>
      <c r="BB334" s="3" t="str">
        <f>IF(50&gt;$C334,"",IF($D334=1,EOMONTH(EDATE(Bonds!$H334,6*(50-1)),0),EDATE(Bonds!$H334,6*(50-1))))</f>
        <v/>
      </c>
      <c r="BC334" s="3" t="str">
        <f>IF(51&gt;$C334,"",IF($D334=1,EOMONTH(EDATE(Bonds!$H334,6*(51-1)),0),EDATE(Bonds!$H334,6*(51-1))))</f>
        <v/>
      </c>
      <c r="BD334" s="3" t="str">
        <f>IF(52&gt;$C334,"",IF($D334=1,EOMONTH(EDATE(Bonds!$H334,6*(52-1)),0),EDATE(Bonds!$H334,6*(52-1))))</f>
        <v/>
      </c>
      <c r="BE334" s="3" t="str">
        <f>IF(53&gt;$C334,"",IF($D334=1,EOMONTH(EDATE(Bonds!$H334,6*(53-1)),0),EDATE(Bonds!$H334,6*(53-1))))</f>
        <v/>
      </c>
      <c r="BF334" s="3" t="str">
        <f>IF(54&gt;$C334,"",IF($D334=1,EOMONTH(EDATE(Bonds!$H334,6*(54-1)),0),EDATE(Bonds!$H334,6*(54-1))))</f>
        <v/>
      </c>
      <c r="BG334" s="3" t="str">
        <f>IF(55&gt;$C334,"",IF($D334=1,EOMONTH(EDATE(Bonds!$H334,6*(55-1)),0),EDATE(Bonds!$H334,6*(55-1))))</f>
        <v/>
      </c>
      <c r="BH334" s="3" t="str">
        <f>IF(56&gt;$C334,"",IF($D334=1,EOMONTH(EDATE(Bonds!$H334,6*(56-1)),0),EDATE(Bonds!$H334,6*(56-1))))</f>
        <v/>
      </c>
      <c r="BI334" s="3" t="str">
        <f>IF(57&gt;$C334,"",IF($D334=1,EOMONTH(EDATE(Bonds!$H334,6*(57-1)),0),EDATE(Bonds!$H334,6*(57-1))))</f>
        <v/>
      </c>
      <c r="BJ334" s="3" t="str">
        <f>IF(58&gt;$C334,"",IF($D334=1,EOMONTH(EDATE(Bonds!$H334,6*(58-1)),0),EDATE(Bonds!$H334,6*(58-1))))</f>
        <v/>
      </c>
      <c r="BK334" s="3" t="str">
        <f>IF(59&gt;$C334,"",IF($D334=1,EOMONTH(EDATE(Bonds!$H334,6*(59-1)),0),EDATE(Bonds!$H334,6*(59-1))))</f>
        <v/>
      </c>
      <c r="BL334" s="3" t="str">
        <f>IF(60&gt;$C334,"",IF($D334=1,EOMONTH(EDATE(Bonds!$H334,6*(60-1)),0),EDATE(Bonds!$H334,6*(60-1))))</f>
        <v/>
      </c>
      <c r="BN334" s="7">
        <f t="shared" si="306"/>
        <v>0.9830394822810179</v>
      </c>
      <c r="BO334" s="7">
        <f t="shared" si="307"/>
        <v>0.96231865784738835</v>
      </c>
      <c r="BP334" s="7">
        <f t="shared" si="308"/>
        <v>0.94073410783736111</v>
      </c>
      <c r="BQ334" s="7">
        <f t="shared" si="309"/>
        <v>0.91950847259293444</v>
      </c>
      <c r="BR334" s="7">
        <f t="shared" si="310"/>
        <v>0.89847211641180147</v>
      </c>
      <c r="BS334" s="7">
        <f t="shared" si="311"/>
        <v>0.87828400972284848</v>
      </c>
      <c r="BT334" s="7">
        <f t="shared" si="312"/>
        <v>0.85825973458320004</v>
      </c>
      <c r="BU334" s="7">
        <f t="shared" si="313"/>
        <v>0.83898876041202186</v>
      </c>
      <c r="BV334" s="7">
        <f t="shared" si="314"/>
        <v>0.81975179924466768</v>
      </c>
      <c r="BW334" s="7">
        <f t="shared" si="315"/>
        <v>0.80110062629565637</v>
      </c>
      <c r="BX334" s="7">
        <f t="shared" si="316"/>
        <v>0.7823525003704026</v>
      </c>
      <c r="BY334" s="7">
        <f t="shared" si="317"/>
        <v>0.76397113589939281</v>
      </c>
      <c r="BZ334" s="7">
        <f t="shared" si="318"/>
        <v>0.74552115452179701</v>
      </c>
      <c r="CA334" s="7">
        <f t="shared" si="319"/>
        <v>0.72748722836879764</v>
      </c>
      <c r="CB334" s="7">
        <f t="shared" si="320"/>
        <v>0.70926862502011845</v>
      </c>
      <c r="CC334" s="7">
        <f t="shared" si="321"/>
        <v>0.69146671135081017</v>
      </c>
      <c r="CD334" s="7">
        <f t="shared" si="322"/>
        <v>0.6735066069686213</v>
      </c>
      <c r="CE334" s="7">
        <f t="shared" si="323"/>
        <v>0.65599421888372744</v>
      </c>
      <c r="CF334" s="7">
        <f t="shared" si="324"/>
        <v>0.63837316398248833</v>
      </c>
      <c r="CG334" s="7">
        <f t="shared" si="325"/>
        <v>0.62114935044595887</v>
      </c>
      <c r="CH334" s="7">
        <f t="shared" si="326"/>
        <v>0.60397066701235502</v>
      </c>
      <c r="CI334" s="7">
        <f t="shared" si="327"/>
        <v>0.587327197260751</v>
      </c>
      <c r="CJ334" s="7">
        <f t="shared" si="328"/>
        <v>0.57069150698587723</v>
      </c>
      <c r="CK334" s="7">
        <f t="shared" si="329"/>
        <v>0.55462791621453078</v>
      </c>
      <c r="CL334" s="7">
        <f t="shared" si="330"/>
        <v>0.53862395999170809</v>
      </c>
      <c r="CM334" s="7">
        <f t="shared" si="331"/>
        <v>0.52321864219623182</v>
      </c>
      <c r="CN334" s="7">
        <f t="shared" si="332"/>
        <v>0.50791620040933938</v>
      </c>
      <c r="CO334" s="7">
        <f t="shared" si="333"/>
        <v>0.49314753863921917</v>
      </c>
      <c r="CP334" s="7">
        <f t="shared" si="334"/>
        <v>0.47859788145605092</v>
      </c>
      <c r="CQ334" s="7">
        <f t="shared" si="335"/>
        <v>0.4646667018906101</v>
      </c>
      <c r="CR334" s="7">
        <f t="shared" si="336"/>
        <v>0.45089726802862662</v>
      </c>
      <c r="CS334" s="7">
        <f t="shared" si="337"/>
        <v>0.43774149806326207</v>
      </c>
      <c r="CT334" s="7">
        <f t="shared" si="338"/>
        <v>0.42476435597976525</v>
      </c>
      <c r="CU334" s="7">
        <f t="shared" si="339"/>
        <v>0.41238836442723842</v>
      </c>
      <c r="CV334" s="7">
        <f t="shared" si="340"/>
        <v>0.40020106976817749</v>
      </c>
      <c r="CW334" s="7">
        <f t="shared" si="341"/>
        <v>0.3885333359067315</v>
      </c>
      <c r="CX334" s="7">
        <f t="shared" si="342"/>
        <v>0.37712395564705226</v>
      </c>
      <c r="CY334" s="7">
        <f t="shared" si="343"/>
        <v>0.36627416213252778</v>
      </c>
      <c r="CZ334" s="7">
        <f t="shared" si="344"/>
        <v>0.35561763811239483</v>
      </c>
      <c r="DA334" s="7">
        <f t="shared" si="345"/>
        <v>0.34549464759004334</v>
      </c>
      <c r="DB334" s="7">
        <f t="shared" si="346"/>
        <v>0.33556162159547359</v>
      </c>
      <c r="DC334" s="7">
        <f t="shared" si="347"/>
        <v>0.32613415366492365</v>
      </c>
      <c r="DD334" s="7">
        <f t="shared" si="348"/>
        <v>0.31689084822809577</v>
      </c>
      <c r="DE334" s="7">
        <f t="shared" si="349"/>
        <v>0.30807658342999295</v>
      </c>
      <c r="DF334" s="7">
        <f t="shared" si="350"/>
        <v>0.29948820369246337</v>
      </c>
      <c r="DG334" s="7">
        <f t="shared" si="351"/>
        <v>0.29134712451083961</v>
      </c>
      <c r="DH334" s="7">
        <f t="shared" si="352"/>
        <v>28.620760685584024</v>
      </c>
      <c r="DI334" s="7">
        <f t="shared" si="353"/>
        <v>0</v>
      </c>
      <c r="DJ334" s="7">
        <f t="shared" si="354"/>
        <v>0</v>
      </c>
      <c r="DK334" s="7">
        <f t="shared" si="355"/>
        <v>0</v>
      </c>
      <c r="DL334" s="7">
        <f t="shared" si="356"/>
        <v>0</v>
      </c>
      <c r="DM334" s="7">
        <f t="shared" si="357"/>
        <v>0</v>
      </c>
      <c r="DN334" s="7">
        <f t="shared" si="358"/>
        <v>0</v>
      </c>
      <c r="DO334" s="7">
        <f t="shared" si="359"/>
        <v>0</v>
      </c>
      <c r="DP334" s="7">
        <f t="shared" si="360"/>
        <v>0</v>
      </c>
      <c r="DQ334" s="7">
        <f t="shared" si="361"/>
        <v>0</v>
      </c>
      <c r="DR334" s="7">
        <f t="shared" si="362"/>
        <v>0</v>
      </c>
      <c r="DS334" s="7">
        <f t="shared" si="363"/>
        <v>0</v>
      </c>
      <c r="DT334" s="7">
        <f t="shared" si="364"/>
        <v>0</v>
      </c>
      <c r="DU334" s="7">
        <f t="shared" si="365"/>
        <v>0</v>
      </c>
    </row>
    <row r="335" spans="1:125" x14ac:dyDescent="0.2">
      <c r="A335" s="3">
        <f>Bonds!A335</f>
        <v>54923</v>
      </c>
      <c r="B335" s="4">
        <f>Bonds!B335</f>
        <v>1.25</v>
      </c>
      <c r="C335">
        <f>Bonds!P335</f>
        <v>48</v>
      </c>
      <c r="D335">
        <f t="shared" si="305"/>
        <v>0</v>
      </c>
      <c r="E335" s="3">
        <f>IF(1&gt;$C335,"",IF($D335=1,EOMONTH(EDATE(Bonds!$H335,6*(1-1)),0),EDATE(Bonds!$H335,6*(1-1))))</f>
        <v>46341</v>
      </c>
      <c r="F335" s="3">
        <f>IF(2&gt;$C335,"",IF($D335=1,EOMONTH(EDATE(Bonds!$H335,6*(2-1)),0),EDATE(Bonds!$H335,6*(2-1))))</f>
        <v>46522</v>
      </c>
      <c r="G335" s="3">
        <f>IF(3&gt;$C335,"",IF($D335=1,EOMONTH(EDATE(Bonds!$H335,6*(3-1)),0),EDATE(Bonds!$H335,6*(3-1))))</f>
        <v>46706</v>
      </c>
      <c r="H335" s="3">
        <f>IF(4&gt;$C335,"",IF($D335=1,EOMONTH(EDATE(Bonds!$H335,6*(4-1)),0),EDATE(Bonds!$H335,6*(4-1))))</f>
        <v>46888</v>
      </c>
      <c r="I335" s="3">
        <f>IF(5&gt;$C335,"",IF($D335=1,EOMONTH(EDATE(Bonds!$H335,6*(5-1)),0),EDATE(Bonds!$H335,6*(5-1))))</f>
        <v>47072</v>
      </c>
      <c r="J335" s="3">
        <f>IF(6&gt;$C335,"",IF($D335=1,EOMONTH(EDATE(Bonds!$H335,6*(6-1)),0),EDATE(Bonds!$H335,6*(6-1))))</f>
        <v>47253</v>
      </c>
      <c r="K335" s="3">
        <f>IF(7&gt;$C335,"",IF($D335=1,EOMONTH(EDATE(Bonds!$H335,6*(7-1)),0),EDATE(Bonds!$H335,6*(7-1))))</f>
        <v>47437</v>
      </c>
      <c r="L335" s="3">
        <f>IF(8&gt;$C335,"",IF($D335=1,EOMONTH(EDATE(Bonds!$H335,6*(8-1)),0),EDATE(Bonds!$H335,6*(8-1))))</f>
        <v>47618</v>
      </c>
      <c r="M335" s="3">
        <f>IF(9&gt;$C335,"",IF($D335=1,EOMONTH(EDATE(Bonds!$H335,6*(9-1)),0),EDATE(Bonds!$H335,6*(9-1))))</f>
        <v>47802</v>
      </c>
      <c r="N335" s="3">
        <f>IF(10&gt;$C335,"",IF($D335=1,EOMONTH(EDATE(Bonds!$H335,6*(10-1)),0),EDATE(Bonds!$H335,6*(10-1))))</f>
        <v>47983</v>
      </c>
      <c r="O335" s="3">
        <f>IF(11&gt;$C335,"",IF($D335=1,EOMONTH(EDATE(Bonds!$H335,6*(11-1)),0),EDATE(Bonds!$H335,6*(11-1))))</f>
        <v>48167</v>
      </c>
      <c r="P335" s="3">
        <f>IF(12&gt;$C335,"",IF($D335=1,EOMONTH(EDATE(Bonds!$H335,6*(12-1)),0),EDATE(Bonds!$H335,6*(12-1))))</f>
        <v>48349</v>
      </c>
      <c r="Q335" s="3">
        <f>IF(13&gt;$C335,"",IF($D335=1,EOMONTH(EDATE(Bonds!$H335,6*(13-1)),0),EDATE(Bonds!$H335,6*(13-1))))</f>
        <v>48533</v>
      </c>
      <c r="R335" s="3">
        <f>IF(14&gt;$C335,"",IF($D335=1,EOMONTH(EDATE(Bonds!$H335,6*(14-1)),0),EDATE(Bonds!$H335,6*(14-1))))</f>
        <v>48714</v>
      </c>
      <c r="S335" s="3">
        <f>IF(15&gt;$C335,"",IF($D335=1,EOMONTH(EDATE(Bonds!$H335,6*(15-1)),0),EDATE(Bonds!$H335,6*(15-1))))</f>
        <v>48898</v>
      </c>
      <c r="T335" s="3">
        <f>IF(16&gt;$C335,"",IF($D335=1,EOMONTH(EDATE(Bonds!$H335,6*(16-1)),0),EDATE(Bonds!$H335,6*(16-1))))</f>
        <v>49079</v>
      </c>
      <c r="U335" s="3">
        <f>IF(17&gt;$C335,"",IF($D335=1,EOMONTH(EDATE(Bonds!$H335,6*(17-1)),0),EDATE(Bonds!$H335,6*(17-1))))</f>
        <v>49263</v>
      </c>
      <c r="V335" s="3">
        <f>IF(18&gt;$C335,"",IF($D335=1,EOMONTH(EDATE(Bonds!$H335,6*(18-1)),0),EDATE(Bonds!$H335,6*(18-1))))</f>
        <v>49444</v>
      </c>
      <c r="W335" s="3">
        <f>IF(19&gt;$C335,"",IF($D335=1,EOMONTH(EDATE(Bonds!$H335,6*(19-1)),0),EDATE(Bonds!$H335,6*(19-1))))</f>
        <v>49628</v>
      </c>
      <c r="X335" s="3">
        <f>IF(20&gt;$C335,"",IF($D335=1,EOMONTH(EDATE(Bonds!$H335,6*(20-1)),0),EDATE(Bonds!$H335,6*(20-1))))</f>
        <v>49810</v>
      </c>
      <c r="Y335" s="3">
        <f>IF(21&gt;$C335,"",IF($D335=1,EOMONTH(EDATE(Bonds!$H335,6*(21-1)),0),EDATE(Bonds!$H335,6*(21-1))))</f>
        <v>49994</v>
      </c>
      <c r="Z335" s="3">
        <f>IF(22&gt;$C335,"",IF($D335=1,EOMONTH(EDATE(Bonds!$H335,6*(22-1)),0),EDATE(Bonds!$H335,6*(22-1))))</f>
        <v>50175</v>
      </c>
      <c r="AA335" s="3">
        <f>IF(23&gt;$C335,"",IF($D335=1,EOMONTH(EDATE(Bonds!$H335,6*(23-1)),0),EDATE(Bonds!$H335,6*(23-1))))</f>
        <v>50359</v>
      </c>
      <c r="AB335" s="3">
        <f>IF(24&gt;$C335,"",IF($D335=1,EOMONTH(EDATE(Bonds!$H335,6*(24-1)),0),EDATE(Bonds!$H335,6*(24-1))))</f>
        <v>50540</v>
      </c>
      <c r="AC335" s="3">
        <f>IF(25&gt;$C335,"",IF($D335=1,EOMONTH(EDATE(Bonds!$H335,6*(25-1)),0),EDATE(Bonds!$H335,6*(25-1))))</f>
        <v>50724</v>
      </c>
      <c r="AD335" s="3">
        <f>IF(26&gt;$C335,"",IF($D335=1,EOMONTH(EDATE(Bonds!$H335,6*(26-1)),0),EDATE(Bonds!$H335,6*(26-1))))</f>
        <v>50905</v>
      </c>
      <c r="AE335" s="3">
        <f>IF(27&gt;$C335,"",IF($D335=1,EOMONTH(EDATE(Bonds!$H335,6*(27-1)),0),EDATE(Bonds!$H335,6*(27-1))))</f>
        <v>51089</v>
      </c>
      <c r="AF335" s="3">
        <f>IF(28&gt;$C335,"",IF($D335=1,EOMONTH(EDATE(Bonds!$H335,6*(28-1)),0),EDATE(Bonds!$H335,6*(28-1))))</f>
        <v>51271</v>
      </c>
      <c r="AG335" s="3">
        <f>IF(29&gt;$C335,"",IF($D335=1,EOMONTH(EDATE(Bonds!$H335,6*(29-1)),0),EDATE(Bonds!$H335,6*(29-1))))</f>
        <v>51455</v>
      </c>
      <c r="AH335" s="3">
        <f>IF(30&gt;$C335,"",IF($D335=1,EOMONTH(EDATE(Bonds!$H335,6*(30-1)),0),EDATE(Bonds!$H335,6*(30-1))))</f>
        <v>51636</v>
      </c>
      <c r="AI335" s="3">
        <f>IF(31&gt;$C335,"",IF($D335=1,EOMONTH(EDATE(Bonds!$H335,6*(31-1)),0),EDATE(Bonds!$H335,6*(31-1))))</f>
        <v>51820</v>
      </c>
      <c r="AJ335" s="3">
        <f>IF(32&gt;$C335,"",IF($D335=1,EOMONTH(EDATE(Bonds!$H335,6*(32-1)),0),EDATE(Bonds!$H335,6*(32-1))))</f>
        <v>52001</v>
      </c>
      <c r="AK335" s="3">
        <f>IF(33&gt;$C335,"",IF($D335=1,EOMONTH(EDATE(Bonds!$H335,6*(33-1)),0),EDATE(Bonds!$H335,6*(33-1))))</f>
        <v>52185</v>
      </c>
      <c r="AL335" s="3">
        <f>IF(34&gt;$C335,"",IF($D335=1,EOMONTH(EDATE(Bonds!$H335,6*(34-1)),0),EDATE(Bonds!$H335,6*(34-1))))</f>
        <v>52366</v>
      </c>
      <c r="AM335" s="3">
        <f>IF(35&gt;$C335,"",IF($D335=1,EOMONTH(EDATE(Bonds!$H335,6*(35-1)),0),EDATE(Bonds!$H335,6*(35-1))))</f>
        <v>52550</v>
      </c>
      <c r="AN335" s="3">
        <f>IF(36&gt;$C335,"",IF($D335=1,EOMONTH(EDATE(Bonds!$H335,6*(36-1)),0),EDATE(Bonds!$H335,6*(36-1))))</f>
        <v>52732</v>
      </c>
      <c r="AO335" s="3">
        <f>IF(37&gt;$C335,"",IF($D335=1,EOMONTH(EDATE(Bonds!$H335,6*(37-1)),0),EDATE(Bonds!$H335,6*(37-1))))</f>
        <v>52916</v>
      </c>
      <c r="AP335" s="3">
        <f>IF(38&gt;$C335,"",IF($D335=1,EOMONTH(EDATE(Bonds!$H335,6*(38-1)),0),EDATE(Bonds!$H335,6*(38-1))))</f>
        <v>53097</v>
      </c>
      <c r="AQ335" s="3">
        <f>IF(39&gt;$C335,"",IF($D335=1,EOMONTH(EDATE(Bonds!$H335,6*(39-1)),0),EDATE(Bonds!$H335,6*(39-1))))</f>
        <v>53281</v>
      </c>
      <c r="AR335" s="3">
        <f>IF(40&gt;$C335,"",IF($D335=1,EOMONTH(EDATE(Bonds!$H335,6*(40-1)),0),EDATE(Bonds!$H335,6*(40-1))))</f>
        <v>53462</v>
      </c>
      <c r="AS335" s="3">
        <f>IF(41&gt;$C335,"",IF($D335=1,EOMONTH(EDATE(Bonds!$H335,6*(41-1)),0),EDATE(Bonds!$H335,6*(41-1))))</f>
        <v>53646</v>
      </c>
      <c r="AT335" s="3">
        <f>IF(42&gt;$C335,"",IF($D335=1,EOMONTH(EDATE(Bonds!$H335,6*(42-1)),0),EDATE(Bonds!$H335,6*(42-1))))</f>
        <v>53827</v>
      </c>
      <c r="AU335" s="3">
        <f>IF(43&gt;$C335,"",IF($D335=1,EOMONTH(EDATE(Bonds!$H335,6*(43-1)),0),EDATE(Bonds!$H335,6*(43-1))))</f>
        <v>54011</v>
      </c>
      <c r="AV335" s="3">
        <f>IF(44&gt;$C335,"",IF($D335=1,EOMONTH(EDATE(Bonds!$H335,6*(44-1)),0),EDATE(Bonds!$H335,6*(44-1))))</f>
        <v>54193</v>
      </c>
      <c r="AW335" s="3">
        <f>IF(45&gt;$C335,"",IF($D335=1,EOMONTH(EDATE(Bonds!$H335,6*(45-1)),0),EDATE(Bonds!$H335,6*(45-1))))</f>
        <v>54377</v>
      </c>
      <c r="AX335" s="3">
        <f>IF(46&gt;$C335,"",IF($D335=1,EOMONTH(EDATE(Bonds!$H335,6*(46-1)),0),EDATE(Bonds!$H335,6*(46-1))))</f>
        <v>54558</v>
      </c>
      <c r="AY335" s="3">
        <f>IF(47&gt;$C335,"",IF($D335=1,EOMONTH(EDATE(Bonds!$H335,6*(47-1)),0),EDATE(Bonds!$H335,6*(47-1))))</f>
        <v>54742</v>
      </c>
      <c r="AZ335" s="3">
        <f>IF(48&gt;$C335,"",IF($D335=1,EOMONTH(EDATE(Bonds!$H335,6*(48-1)),0),EDATE(Bonds!$H335,6*(48-1))))</f>
        <v>54923</v>
      </c>
      <c r="BA335" s="3" t="str">
        <f>IF(49&gt;$C335,"",IF($D335=1,EOMONTH(EDATE(Bonds!$H335,6*(49-1)),0),EDATE(Bonds!$H335,6*(49-1))))</f>
        <v/>
      </c>
      <c r="BB335" s="3" t="str">
        <f>IF(50&gt;$C335,"",IF($D335=1,EOMONTH(EDATE(Bonds!$H335,6*(50-1)),0),EDATE(Bonds!$H335,6*(50-1))))</f>
        <v/>
      </c>
      <c r="BC335" s="3" t="str">
        <f>IF(51&gt;$C335,"",IF($D335=1,EOMONTH(EDATE(Bonds!$H335,6*(51-1)),0),EDATE(Bonds!$H335,6*(51-1))))</f>
        <v/>
      </c>
      <c r="BD335" s="3" t="str">
        <f>IF(52&gt;$C335,"",IF($D335=1,EOMONTH(EDATE(Bonds!$H335,6*(52-1)),0),EDATE(Bonds!$H335,6*(52-1))))</f>
        <v/>
      </c>
      <c r="BE335" s="3" t="str">
        <f>IF(53&gt;$C335,"",IF($D335=1,EOMONTH(EDATE(Bonds!$H335,6*(53-1)),0),EDATE(Bonds!$H335,6*(53-1))))</f>
        <v/>
      </c>
      <c r="BF335" s="3" t="str">
        <f>IF(54&gt;$C335,"",IF($D335=1,EOMONTH(EDATE(Bonds!$H335,6*(54-1)),0),EDATE(Bonds!$H335,6*(54-1))))</f>
        <v/>
      </c>
      <c r="BG335" s="3" t="str">
        <f>IF(55&gt;$C335,"",IF($D335=1,EOMONTH(EDATE(Bonds!$H335,6*(55-1)),0),EDATE(Bonds!$H335,6*(55-1))))</f>
        <v/>
      </c>
      <c r="BH335" s="3" t="str">
        <f>IF(56&gt;$C335,"",IF($D335=1,EOMONTH(EDATE(Bonds!$H335,6*(56-1)),0),EDATE(Bonds!$H335,6*(56-1))))</f>
        <v/>
      </c>
      <c r="BI335" s="3" t="str">
        <f>IF(57&gt;$C335,"",IF($D335=1,EOMONTH(EDATE(Bonds!$H335,6*(57-1)),0),EDATE(Bonds!$H335,6*(57-1))))</f>
        <v/>
      </c>
      <c r="BJ335" s="3" t="str">
        <f>IF(58&gt;$C335,"",IF($D335=1,EOMONTH(EDATE(Bonds!$H335,6*(58-1)),0),EDATE(Bonds!$H335,6*(58-1))))</f>
        <v/>
      </c>
      <c r="BK335" s="3" t="str">
        <f>IF(59&gt;$C335,"",IF($D335=1,EOMONTH(EDATE(Bonds!$H335,6*(59-1)),0),EDATE(Bonds!$H335,6*(59-1))))</f>
        <v/>
      </c>
      <c r="BL335" s="3" t="str">
        <f>IF(60&gt;$C335,"",IF($D335=1,EOMONTH(EDATE(Bonds!$H335,6*(60-1)),0),EDATE(Bonds!$H335,6*(60-1))))</f>
        <v/>
      </c>
      <c r="BN335" s="7">
        <f t="shared" si="306"/>
        <v>0.62064098912501164</v>
      </c>
      <c r="BO335" s="7">
        <f t="shared" si="307"/>
        <v>0.60810811580752899</v>
      </c>
      <c r="BP335" s="7">
        <f t="shared" si="308"/>
        <v>0.59471301784351049</v>
      </c>
      <c r="BQ335" s="7">
        <f t="shared" si="309"/>
        <v>0.58137383840436818</v>
      </c>
      <c r="BR335" s="7">
        <f t="shared" si="310"/>
        <v>0.56807996008779105</v>
      </c>
      <c r="BS335" s="7">
        <f t="shared" si="311"/>
        <v>0.55530125129292496</v>
      </c>
      <c r="BT335" s="7">
        <f t="shared" si="312"/>
        <v>0.54263278091060052</v>
      </c>
      <c r="BU335" s="7">
        <f t="shared" si="313"/>
        <v>0.53045990359778905</v>
      </c>
      <c r="BV335" s="7">
        <f t="shared" si="314"/>
        <v>0.51833174968473406</v>
      </c>
      <c r="BW335" s="7">
        <f t="shared" si="315"/>
        <v>0.50659457145349063</v>
      </c>
      <c r="BX335" s="7">
        <f t="shared" si="316"/>
        <v>0.49481452201192089</v>
      </c>
      <c r="BY335" s="7">
        <f t="shared" si="317"/>
        <v>0.48327803638731004</v>
      </c>
      <c r="BZ335" s="7">
        <f t="shared" si="318"/>
        <v>0.47170669912772933</v>
      </c>
      <c r="CA335" s="7">
        <f t="shared" si="319"/>
        <v>0.46039987896610279</v>
      </c>
      <c r="CB335" s="7">
        <f t="shared" si="320"/>
        <v>0.44897704776150837</v>
      </c>
      <c r="CC335" s="7">
        <f t="shared" si="321"/>
        <v>0.43781224735217639</v>
      </c>
      <c r="CD335" s="7">
        <f t="shared" si="322"/>
        <v>0.42654263457669489</v>
      </c>
      <c r="CE335" s="7">
        <f t="shared" si="323"/>
        <v>0.41554683824638555</v>
      </c>
      <c r="CF335" s="7">
        <f t="shared" si="324"/>
        <v>0.40447450401786533</v>
      </c>
      <c r="CG335" s="7">
        <f t="shared" si="325"/>
        <v>0.39364293789792537</v>
      </c>
      <c r="CH335" s="7">
        <f t="shared" si="326"/>
        <v>0.38283056721901587</v>
      </c>
      <c r="CI335" s="7">
        <f t="shared" si="327"/>
        <v>0.37234608120088675</v>
      </c>
      <c r="CJ335" s="7">
        <f t="shared" si="328"/>
        <v>0.36185759718762972</v>
      </c>
      <c r="CK335" s="7">
        <f t="shared" si="329"/>
        <v>0.35172142266341633</v>
      </c>
      <c r="CL335" s="7">
        <f t="shared" si="330"/>
        <v>0.34161481867576959</v>
      </c>
      <c r="CM335" s="7">
        <f t="shared" si="331"/>
        <v>0.33187884426898062</v>
      </c>
      <c r="CN335" s="7">
        <f t="shared" si="332"/>
        <v>0.32220090304806942</v>
      </c>
      <c r="CO335" s="7">
        <f t="shared" si="333"/>
        <v>0.31285417666690685</v>
      </c>
      <c r="CP335" s="7">
        <f t="shared" si="334"/>
        <v>0.30364016886406703</v>
      </c>
      <c r="CQ335" s="7">
        <f t="shared" si="335"/>
        <v>0.29481258343357125</v>
      </c>
      <c r="CR335" s="7">
        <f t="shared" si="336"/>
        <v>0.28608266666797116</v>
      </c>
      <c r="CS335" s="7">
        <f t="shared" si="337"/>
        <v>0.27773754385315086</v>
      </c>
      <c r="CT335" s="7">
        <f t="shared" si="338"/>
        <v>0.26950183601075206</v>
      </c>
      <c r="CU335" s="7">
        <f t="shared" si="339"/>
        <v>0.2616442134253768</v>
      </c>
      <c r="CV335" s="7">
        <f t="shared" si="340"/>
        <v>0.25390329863154343</v>
      </c>
      <c r="CW335" s="7">
        <f t="shared" si="341"/>
        <v>0.24648966367695307</v>
      </c>
      <c r="CX335" s="7">
        <f t="shared" si="342"/>
        <v>0.23923775102181313</v>
      </c>
      <c r="CY335" s="7">
        <f t="shared" si="343"/>
        <v>0.23233941274200173</v>
      </c>
      <c r="CZ335" s="7">
        <f t="shared" si="344"/>
        <v>0.22556207924196883</v>
      </c>
      <c r="DA335" s="7">
        <f t="shared" si="345"/>
        <v>0.21912244759182645</v>
      </c>
      <c r="DB335" s="7">
        <f t="shared" si="346"/>
        <v>0.21280223152000888</v>
      </c>
      <c r="DC335" s="7">
        <f t="shared" si="347"/>
        <v>0.20680247527563964</v>
      </c>
      <c r="DD335" s="7">
        <f t="shared" si="348"/>
        <v>0.20091885510328447</v>
      </c>
      <c r="DE335" s="7">
        <f t="shared" si="349"/>
        <v>0.19530742366300868</v>
      </c>
      <c r="DF335" s="7">
        <f t="shared" si="350"/>
        <v>0.18983901691682215</v>
      </c>
      <c r="DG335" s="7">
        <f t="shared" si="351"/>
        <v>0.18465476882423243</v>
      </c>
      <c r="DH335" s="7">
        <f t="shared" si="352"/>
        <v>0.17957684000791724</v>
      </c>
      <c r="DI335" s="7">
        <f t="shared" si="353"/>
        <v>28.13715384975005</v>
      </c>
      <c r="DJ335" s="7">
        <f t="shared" si="354"/>
        <v>0</v>
      </c>
      <c r="DK335" s="7">
        <f t="shared" si="355"/>
        <v>0</v>
      </c>
      <c r="DL335" s="7">
        <f t="shared" si="356"/>
        <v>0</v>
      </c>
      <c r="DM335" s="7">
        <f t="shared" si="357"/>
        <v>0</v>
      </c>
      <c r="DN335" s="7">
        <f t="shared" si="358"/>
        <v>0</v>
      </c>
      <c r="DO335" s="7">
        <f t="shared" si="359"/>
        <v>0</v>
      </c>
      <c r="DP335" s="7">
        <f t="shared" si="360"/>
        <v>0</v>
      </c>
      <c r="DQ335" s="7">
        <f t="shared" si="361"/>
        <v>0</v>
      </c>
      <c r="DR335" s="7">
        <f t="shared" si="362"/>
        <v>0</v>
      </c>
      <c r="DS335" s="7">
        <f t="shared" si="363"/>
        <v>0</v>
      </c>
      <c r="DT335" s="7">
        <f t="shared" si="364"/>
        <v>0</v>
      </c>
      <c r="DU335" s="7">
        <f t="shared" si="365"/>
        <v>0</v>
      </c>
    </row>
    <row r="336" spans="1:125" x14ac:dyDescent="0.2">
      <c r="A336" s="3">
        <f>Bonds!A336</f>
        <v>55015</v>
      </c>
      <c r="B336" s="4">
        <f>Bonds!B336</f>
        <v>1.375</v>
      </c>
      <c r="C336">
        <f>Bonds!P336</f>
        <v>48</v>
      </c>
      <c r="D336">
        <f t="shared" si="305"/>
        <v>0</v>
      </c>
      <c r="E336" s="3">
        <f>IF(1&gt;$C336,"",IF($D336=1,EOMONTH(EDATE(Bonds!$H336,6*(1-1)),0),EDATE(Bonds!$H336,6*(1-1))))</f>
        <v>46433</v>
      </c>
      <c r="F336" s="3">
        <f>IF(2&gt;$C336,"",IF($D336=1,EOMONTH(EDATE(Bonds!$H336,6*(2-1)),0),EDATE(Bonds!$H336,6*(2-1))))</f>
        <v>46614</v>
      </c>
      <c r="G336" s="3">
        <f>IF(3&gt;$C336,"",IF($D336=1,EOMONTH(EDATE(Bonds!$H336,6*(3-1)),0),EDATE(Bonds!$H336,6*(3-1))))</f>
        <v>46798</v>
      </c>
      <c r="H336" s="3">
        <f>IF(4&gt;$C336,"",IF($D336=1,EOMONTH(EDATE(Bonds!$H336,6*(4-1)),0),EDATE(Bonds!$H336,6*(4-1))))</f>
        <v>46980</v>
      </c>
      <c r="I336" s="3">
        <f>IF(5&gt;$C336,"",IF($D336=1,EOMONTH(EDATE(Bonds!$H336,6*(5-1)),0),EDATE(Bonds!$H336,6*(5-1))))</f>
        <v>47164</v>
      </c>
      <c r="J336" s="3">
        <f>IF(6&gt;$C336,"",IF($D336=1,EOMONTH(EDATE(Bonds!$H336,6*(6-1)),0),EDATE(Bonds!$H336,6*(6-1))))</f>
        <v>47345</v>
      </c>
      <c r="K336" s="3">
        <f>IF(7&gt;$C336,"",IF($D336=1,EOMONTH(EDATE(Bonds!$H336,6*(7-1)),0),EDATE(Bonds!$H336,6*(7-1))))</f>
        <v>47529</v>
      </c>
      <c r="L336" s="3">
        <f>IF(8&gt;$C336,"",IF($D336=1,EOMONTH(EDATE(Bonds!$H336,6*(8-1)),0),EDATE(Bonds!$H336,6*(8-1))))</f>
        <v>47710</v>
      </c>
      <c r="M336" s="3">
        <f>IF(9&gt;$C336,"",IF($D336=1,EOMONTH(EDATE(Bonds!$H336,6*(9-1)),0),EDATE(Bonds!$H336,6*(9-1))))</f>
        <v>47894</v>
      </c>
      <c r="N336" s="3">
        <f>IF(10&gt;$C336,"",IF($D336=1,EOMONTH(EDATE(Bonds!$H336,6*(10-1)),0),EDATE(Bonds!$H336,6*(10-1))))</f>
        <v>48075</v>
      </c>
      <c r="O336" s="3">
        <f>IF(11&gt;$C336,"",IF($D336=1,EOMONTH(EDATE(Bonds!$H336,6*(11-1)),0),EDATE(Bonds!$H336,6*(11-1))))</f>
        <v>48259</v>
      </c>
      <c r="P336" s="3">
        <f>IF(12&gt;$C336,"",IF($D336=1,EOMONTH(EDATE(Bonds!$H336,6*(12-1)),0),EDATE(Bonds!$H336,6*(12-1))))</f>
        <v>48441</v>
      </c>
      <c r="Q336" s="3">
        <f>IF(13&gt;$C336,"",IF($D336=1,EOMONTH(EDATE(Bonds!$H336,6*(13-1)),0),EDATE(Bonds!$H336,6*(13-1))))</f>
        <v>48625</v>
      </c>
      <c r="R336" s="3">
        <f>IF(14&gt;$C336,"",IF($D336=1,EOMONTH(EDATE(Bonds!$H336,6*(14-1)),0),EDATE(Bonds!$H336,6*(14-1))))</f>
        <v>48806</v>
      </c>
      <c r="S336" s="3">
        <f>IF(15&gt;$C336,"",IF($D336=1,EOMONTH(EDATE(Bonds!$H336,6*(15-1)),0),EDATE(Bonds!$H336,6*(15-1))))</f>
        <v>48990</v>
      </c>
      <c r="T336" s="3">
        <f>IF(16&gt;$C336,"",IF($D336=1,EOMONTH(EDATE(Bonds!$H336,6*(16-1)),0),EDATE(Bonds!$H336,6*(16-1))))</f>
        <v>49171</v>
      </c>
      <c r="U336" s="3">
        <f>IF(17&gt;$C336,"",IF($D336=1,EOMONTH(EDATE(Bonds!$H336,6*(17-1)),0),EDATE(Bonds!$H336,6*(17-1))))</f>
        <v>49355</v>
      </c>
      <c r="V336" s="3">
        <f>IF(18&gt;$C336,"",IF($D336=1,EOMONTH(EDATE(Bonds!$H336,6*(18-1)),0),EDATE(Bonds!$H336,6*(18-1))))</f>
        <v>49536</v>
      </c>
      <c r="W336" s="3">
        <f>IF(19&gt;$C336,"",IF($D336=1,EOMONTH(EDATE(Bonds!$H336,6*(19-1)),0),EDATE(Bonds!$H336,6*(19-1))))</f>
        <v>49720</v>
      </c>
      <c r="X336" s="3">
        <f>IF(20&gt;$C336,"",IF($D336=1,EOMONTH(EDATE(Bonds!$H336,6*(20-1)),0),EDATE(Bonds!$H336,6*(20-1))))</f>
        <v>49902</v>
      </c>
      <c r="Y336" s="3">
        <f>IF(21&gt;$C336,"",IF($D336=1,EOMONTH(EDATE(Bonds!$H336,6*(21-1)),0),EDATE(Bonds!$H336,6*(21-1))))</f>
        <v>50086</v>
      </c>
      <c r="Z336" s="3">
        <f>IF(22&gt;$C336,"",IF($D336=1,EOMONTH(EDATE(Bonds!$H336,6*(22-1)),0),EDATE(Bonds!$H336,6*(22-1))))</f>
        <v>50267</v>
      </c>
      <c r="AA336" s="3">
        <f>IF(23&gt;$C336,"",IF($D336=1,EOMONTH(EDATE(Bonds!$H336,6*(23-1)),0),EDATE(Bonds!$H336,6*(23-1))))</f>
        <v>50451</v>
      </c>
      <c r="AB336" s="3">
        <f>IF(24&gt;$C336,"",IF($D336=1,EOMONTH(EDATE(Bonds!$H336,6*(24-1)),0),EDATE(Bonds!$H336,6*(24-1))))</f>
        <v>50632</v>
      </c>
      <c r="AC336" s="3">
        <f>IF(25&gt;$C336,"",IF($D336=1,EOMONTH(EDATE(Bonds!$H336,6*(25-1)),0),EDATE(Bonds!$H336,6*(25-1))))</f>
        <v>50816</v>
      </c>
      <c r="AD336" s="3">
        <f>IF(26&gt;$C336,"",IF($D336=1,EOMONTH(EDATE(Bonds!$H336,6*(26-1)),0),EDATE(Bonds!$H336,6*(26-1))))</f>
        <v>50997</v>
      </c>
      <c r="AE336" s="3">
        <f>IF(27&gt;$C336,"",IF($D336=1,EOMONTH(EDATE(Bonds!$H336,6*(27-1)),0),EDATE(Bonds!$H336,6*(27-1))))</f>
        <v>51181</v>
      </c>
      <c r="AF336" s="3">
        <f>IF(28&gt;$C336,"",IF($D336=1,EOMONTH(EDATE(Bonds!$H336,6*(28-1)),0),EDATE(Bonds!$H336,6*(28-1))))</f>
        <v>51363</v>
      </c>
      <c r="AG336" s="3">
        <f>IF(29&gt;$C336,"",IF($D336=1,EOMONTH(EDATE(Bonds!$H336,6*(29-1)),0),EDATE(Bonds!$H336,6*(29-1))))</f>
        <v>51547</v>
      </c>
      <c r="AH336" s="3">
        <f>IF(30&gt;$C336,"",IF($D336=1,EOMONTH(EDATE(Bonds!$H336,6*(30-1)),0),EDATE(Bonds!$H336,6*(30-1))))</f>
        <v>51728</v>
      </c>
      <c r="AI336" s="3">
        <f>IF(31&gt;$C336,"",IF($D336=1,EOMONTH(EDATE(Bonds!$H336,6*(31-1)),0),EDATE(Bonds!$H336,6*(31-1))))</f>
        <v>51912</v>
      </c>
      <c r="AJ336" s="3">
        <f>IF(32&gt;$C336,"",IF($D336=1,EOMONTH(EDATE(Bonds!$H336,6*(32-1)),0),EDATE(Bonds!$H336,6*(32-1))))</f>
        <v>52093</v>
      </c>
      <c r="AK336" s="3">
        <f>IF(33&gt;$C336,"",IF($D336=1,EOMONTH(EDATE(Bonds!$H336,6*(33-1)),0),EDATE(Bonds!$H336,6*(33-1))))</f>
        <v>52277</v>
      </c>
      <c r="AL336" s="3">
        <f>IF(34&gt;$C336,"",IF($D336=1,EOMONTH(EDATE(Bonds!$H336,6*(34-1)),0),EDATE(Bonds!$H336,6*(34-1))))</f>
        <v>52458</v>
      </c>
      <c r="AM336" s="3">
        <f>IF(35&gt;$C336,"",IF($D336=1,EOMONTH(EDATE(Bonds!$H336,6*(35-1)),0),EDATE(Bonds!$H336,6*(35-1))))</f>
        <v>52642</v>
      </c>
      <c r="AN336" s="3">
        <f>IF(36&gt;$C336,"",IF($D336=1,EOMONTH(EDATE(Bonds!$H336,6*(36-1)),0),EDATE(Bonds!$H336,6*(36-1))))</f>
        <v>52824</v>
      </c>
      <c r="AO336" s="3">
        <f>IF(37&gt;$C336,"",IF($D336=1,EOMONTH(EDATE(Bonds!$H336,6*(37-1)),0),EDATE(Bonds!$H336,6*(37-1))))</f>
        <v>53008</v>
      </c>
      <c r="AP336" s="3">
        <f>IF(38&gt;$C336,"",IF($D336=1,EOMONTH(EDATE(Bonds!$H336,6*(38-1)),0),EDATE(Bonds!$H336,6*(38-1))))</f>
        <v>53189</v>
      </c>
      <c r="AQ336" s="3">
        <f>IF(39&gt;$C336,"",IF($D336=1,EOMONTH(EDATE(Bonds!$H336,6*(39-1)),0),EDATE(Bonds!$H336,6*(39-1))))</f>
        <v>53373</v>
      </c>
      <c r="AR336" s="3">
        <f>IF(40&gt;$C336,"",IF($D336=1,EOMONTH(EDATE(Bonds!$H336,6*(40-1)),0),EDATE(Bonds!$H336,6*(40-1))))</f>
        <v>53554</v>
      </c>
      <c r="AS336" s="3">
        <f>IF(41&gt;$C336,"",IF($D336=1,EOMONTH(EDATE(Bonds!$H336,6*(41-1)),0),EDATE(Bonds!$H336,6*(41-1))))</f>
        <v>53738</v>
      </c>
      <c r="AT336" s="3">
        <f>IF(42&gt;$C336,"",IF($D336=1,EOMONTH(EDATE(Bonds!$H336,6*(42-1)),0),EDATE(Bonds!$H336,6*(42-1))))</f>
        <v>53919</v>
      </c>
      <c r="AU336" s="3">
        <f>IF(43&gt;$C336,"",IF($D336=1,EOMONTH(EDATE(Bonds!$H336,6*(43-1)),0),EDATE(Bonds!$H336,6*(43-1))))</f>
        <v>54103</v>
      </c>
      <c r="AV336" s="3">
        <f>IF(44&gt;$C336,"",IF($D336=1,EOMONTH(EDATE(Bonds!$H336,6*(44-1)),0),EDATE(Bonds!$H336,6*(44-1))))</f>
        <v>54285</v>
      </c>
      <c r="AW336" s="3">
        <f>IF(45&gt;$C336,"",IF($D336=1,EOMONTH(EDATE(Bonds!$H336,6*(45-1)),0),EDATE(Bonds!$H336,6*(45-1))))</f>
        <v>54469</v>
      </c>
      <c r="AX336" s="3">
        <f>IF(46&gt;$C336,"",IF($D336=1,EOMONTH(EDATE(Bonds!$H336,6*(46-1)),0),EDATE(Bonds!$H336,6*(46-1))))</f>
        <v>54650</v>
      </c>
      <c r="AY336" s="3">
        <f>IF(47&gt;$C336,"",IF($D336=1,EOMONTH(EDATE(Bonds!$H336,6*(47-1)),0),EDATE(Bonds!$H336,6*(47-1))))</f>
        <v>54834</v>
      </c>
      <c r="AZ336" s="3">
        <f>IF(48&gt;$C336,"",IF($D336=1,EOMONTH(EDATE(Bonds!$H336,6*(48-1)),0),EDATE(Bonds!$H336,6*(48-1))))</f>
        <v>55015</v>
      </c>
      <c r="BA336" s="3" t="str">
        <f>IF(49&gt;$C336,"",IF($D336=1,EOMONTH(EDATE(Bonds!$H336,6*(49-1)),0),EDATE(Bonds!$H336,6*(49-1))))</f>
        <v/>
      </c>
      <c r="BB336" s="3" t="str">
        <f>IF(50&gt;$C336,"",IF($D336=1,EOMONTH(EDATE(Bonds!$H336,6*(50-1)),0),EDATE(Bonds!$H336,6*(50-1))))</f>
        <v/>
      </c>
      <c r="BC336" s="3" t="str">
        <f>IF(51&gt;$C336,"",IF($D336=1,EOMONTH(EDATE(Bonds!$H336,6*(51-1)),0),EDATE(Bonds!$H336,6*(51-1))))</f>
        <v/>
      </c>
      <c r="BD336" s="3" t="str">
        <f>IF(52&gt;$C336,"",IF($D336=1,EOMONTH(EDATE(Bonds!$H336,6*(52-1)),0),EDATE(Bonds!$H336,6*(52-1))))</f>
        <v/>
      </c>
      <c r="BE336" s="3" t="str">
        <f>IF(53&gt;$C336,"",IF($D336=1,EOMONTH(EDATE(Bonds!$H336,6*(53-1)),0),EDATE(Bonds!$H336,6*(53-1))))</f>
        <v/>
      </c>
      <c r="BF336" s="3" t="str">
        <f>IF(54&gt;$C336,"",IF($D336=1,EOMONTH(EDATE(Bonds!$H336,6*(54-1)),0),EDATE(Bonds!$H336,6*(54-1))))</f>
        <v/>
      </c>
      <c r="BG336" s="3" t="str">
        <f>IF(55&gt;$C336,"",IF($D336=1,EOMONTH(EDATE(Bonds!$H336,6*(55-1)),0),EDATE(Bonds!$H336,6*(55-1))))</f>
        <v/>
      </c>
      <c r="BH336" s="3" t="str">
        <f>IF(56&gt;$C336,"",IF($D336=1,EOMONTH(EDATE(Bonds!$H336,6*(56-1)),0),EDATE(Bonds!$H336,6*(56-1))))</f>
        <v/>
      </c>
      <c r="BI336" s="3" t="str">
        <f>IF(57&gt;$C336,"",IF($D336=1,EOMONTH(EDATE(Bonds!$H336,6*(57-1)),0),EDATE(Bonds!$H336,6*(57-1))))</f>
        <v/>
      </c>
      <c r="BJ336" s="3" t="str">
        <f>IF(58&gt;$C336,"",IF($D336=1,EOMONTH(EDATE(Bonds!$H336,6*(58-1)),0),EDATE(Bonds!$H336,6*(58-1))))</f>
        <v/>
      </c>
      <c r="BK336" s="3" t="str">
        <f>IF(59&gt;$C336,"",IF($D336=1,EOMONTH(EDATE(Bonds!$H336,6*(59-1)),0),EDATE(Bonds!$H336,6*(59-1))))</f>
        <v/>
      </c>
      <c r="BL336" s="3" t="str">
        <f>IF(60&gt;$C336,"",IF($D336=1,EOMONTH(EDATE(Bonds!$H336,6*(60-1)),0),EDATE(Bonds!$H336,6*(60-1))))</f>
        <v/>
      </c>
      <c r="BN336" s="7">
        <f t="shared" si="306"/>
        <v>0.67583964406819985</v>
      </c>
      <c r="BO336" s="7">
        <f t="shared" si="307"/>
        <v>0.66159407727007946</v>
      </c>
      <c r="BP336" s="7">
        <f t="shared" si="308"/>
        <v>0.64675469913818573</v>
      </c>
      <c r="BQ336" s="7">
        <f t="shared" si="309"/>
        <v>0.63216207490764242</v>
      </c>
      <c r="BR336" s="7">
        <f t="shared" si="310"/>
        <v>0.61769958003311354</v>
      </c>
      <c r="BS336" s="7">
        <f t="shared" si="311"/>
        <v>0.60382025668445838</v>
      </c>
      <c r="BT336" s="7">
        <f t="shared" si="312"/>
        <v>0.59005356752595006</v>
      </c>
      <c r="BU336" s="7">
        <f t="shared" si="313"/>
        <v>0.57680477278326503</v>
      </c>
      <c r="BV336" s="7">
        <f t="shared" si="314"/>
        <v>0.56357936198070901</v>
      </c>
      <c r="BW336" s="7">
        <f t="shared" si="315"/>
        <v>0.55075668057826377</v>
      </c>
      <c r="BX336" s="7">
        <f t="shared" si="316"/>
        <v>0.53786734400465175</v>
      </c>
      <c r="BY336" s="7">
        <f t="shared" si="317"/>
        <v>0.52523015593083255</v>
      </c>
      <c r="BZ336" s="7">
        <f t="shared" si="318"/>
        <v>0.51254579373373543</v>
      </c>
      <c r="CA336" s="7">
        <f t="shared" si="319"/>
        <v>0.50014746950354838</v>
      </c>
      <c r="CB336" s="7">
        <f t="shared" si="320"/>
        <v>0.48762217970133143</v>
      </c>
      <c r="CC336" s="7">
        <f t="shared" si="321"/>
        <v>0.47538336405368198</v>
      </c>
      <c r="CD336" s="7">
        <f t="shared" si="322"/>
        <v>0.46303579229092717</v>
      </c>
      <c r="CE336" s="7">
        <f t="shared" si="323"/>
        <v>0.45099602548256262</v>
      </c>
      <c r="CF336" s="7">
        <f t="shared" si="324"/>
        <v>0.43888155023796072</v>
      </c>
      <c r="CG336" s="7">
        <f t="shared" si="325"/>
        <v>0.4270401784315967</v>
      </c>
      <c r="CH336" s="7">
        <f t="shared" si="326"/>
        <v>0.41522983357099408</v>
      </c>
      <c r="CI336" s="7">
        <f t="shared" si="327"/>
        <v>0.40378744811676631</v>
      </c>
      <c r="CJ336" s="7">
        <f t="shared" si="328"/>
        <v>0.39235041105279062</v>
      </c>
      <c r="CK336" s="7">
        <f t="shared" si="329"/>
        <v>0.38130669239748993</v>
      </c>
      <c r="CL336" s="7">
        <f t="shared" si="330"/>
        <v>0.3703039724942993</v>
      </c>
      <c r="CM336" s="7">
        <f t="shared" si="331"/>
        <v>0.35971281650990938</v>
      </c>
      <c r="CN336" s="7">
        <f t="shared" si="332"/>
        <v>0.34919238778142081</v>
      </c>
      <c r="CO336" s="7">
        <f t="shared" si="333"/>
        <v>0.33903893281446318</v>
      </c>
      <c r="CP336" s="7">
        <f t="shared" si="334"/>
        <v>0.32903604350103499</v>
      </c>
      <c r="CQ336" s="7">
        <f t="shared" si="335"/>
        <v>0.31945835754979446</v>
      </c>
      <c r="CR336" s="7">
        <f t="shared" si="336"/>
        <v>0.30999187176968079</v>
      </c>
      <c r="CS336" s="7">
        <f t="shared" si="337"/>
        <v>0.30094727991849268</v>
      </c>
      <c r="CT336" s="7">
        <f t="shared" si="338"/>
        <v>0.29202549473608863</v>
      </c>
      <c r="CU336" s="7">
        <f t="shared" si="339"/>
        <v>0.28351700054372642</v>
      </c>
      <c r="CV336" s="7">
        <f t="shared" si="340"/>
        <v>0.27513823546562199</v>
      </c>
      <c r="CW336" s="7">
        <f t="shared" si="341"/>
        <v>0.26711666843587789</v>
      </c>
      <c r="CX336" s="7">
        <f t="shared" si="342"/>
        <v>0.25927271950734843</v>
      </c>
      <c r="CY336" s="7">
        <f t="shared" si="343"/>
        <v>0.25181348646611285</v>
      </c>
      <c r="CZ336" s="7">
        <f t="shared" si="344"/>
        <v>0.24448712620227145</v>
      </c>
      <c r="DA336" s="7">
        <f t="shared" si="345"/>
        <v>0.23752757021815479</v>
      </c>
      <c r="DB336" s="7">
        <f t="shared" si="346"/>
        <v>0.23069861484688808</v>
      </c>
      <c r="DC336" s="7">
        <f t="shared" si="347"/>
        <v>0.224217230644635</v>
      </c>
      <c r="DD336" s="7">
        <f t="shared" si="348"/>
        <v>0.21786245815681585</v>
      </c>
      <c r="DE336" s="7">
        <f t="shared" si="349"/>
        <v>0.21180265110812016</v>
      </c>
      <c r="DF336" s="7">
        <f t="shared" si="350"/>
        <v>0.20589814003856857</v>
      </c>
      <c r="DG336" s="7">
        <f t="shared" si="351"/>
        <v>0.20030114810120223</v>
      </c>
      <c r="DH336" s="7">
        <f t="shared" si="352"/>
        <v>0.19481953436969324</v>
      </c>
      <c r="DI336" s="7">
        <f t="shared" si="353"/>
        <v>27.771527004694843</v>
      </c>
      <c r="DJ336" s="7">
        <f t="shared" si="354"/>
        <v>0</v>
      </c>
      <c r="DK336" s="7">
        <f t="shared" si="355"/>
        <v>0</v>
      </c>
      <c r="DL336" s="7">
        <f t="shared" si="356"/>
        <v>0</v>
      </c>
      <c r="DM336" s="7">
        <f t="shared" si="357"/>
        <v>0</v>
      </c>
      <c r="DN336" s="7">
        <f t="shared" si="358"/>
        <v>0</v>
      </c>
      <c r="DO336" s="7">
        <f t="shared" si="359"/>
        <v>0</v>
      </c>
      <c r="DP336" s="7">
        <f t="shared" si="360"/>
        <v>0</v>
      </c>
      <c r="DQ336" s="7">
        <f t="shared" si="361"/>
        <v>0</v>
      </c>
      <c r="DR336" s="7">
        <f t="shared" si="362"/>
        <v>0</v>
      </c>
      <c r="DS336" s="7">
        <f t="shared" si="363"/>
        <v>0</v>
      </c>
      <c r="DT336" s="7">
        <f t="shared" si="364"/>
        <v>0</v>
      </c>
      <c r="DU336" s="7">
        <f t="shared" si="365"/>
        <v>0</v>
      </c>
    </row>
    <row r="337" spans="1:125" x14ac:dyDescent="0.2">
      <c r="A337" s="3">
        <f>Bonds!A337</f>
        <v>55107</v>
      </c>
      <c r="B337" s="4">
        <f>Bonds!B337</f>
        <v>1.625</v>
      </c>
      <c r="C337">
        <f>Bonds!P337</f>
        <v>49</v>
      </c>
      <c r="D337">
        <f t="shared" si="305"/>
        <v>0</v>
      </c>
      <c r="E337" s="3">
        <f>IF(1&gt;$C337,"",IF($D337=1,EOMONTH(EDATE(Bonds!$H337,6*(1-1)),0),EDATE(Bonds!$H337,6*(1-1))))</f>
        <v>46341</v>
      </c>
      <c r="F337" s="3">
        <f>IF(2&gt;$C337,"",IF($D337=1,EOMONTH(EDATE(Bonds!$H337,6*(2-1)),0),EDATE(Bonds!$H337,6*(2-1))))</f>
        <v>46522</v>
      </c>
      <c r="G337" s="3">
        <f>IF(3&gt;$C337,"",IF($D337=1,EOMONTH(EDATE(Bonds!$H337,6*(3-1)),0),EDATE(Bonds!$H337,6*(3-1))))</f>
        <v>46706</v>
      </c>
      <c r="H337" s="3">
        <f>IF(4&gt;$C337,"",IF($D337=1,EOMONTH(EDATE(Bonds!$H337,6*(4-1)),0),EDATE(Bonds!$H337,6*(4-1))))</f>
        <v>46888</v>
      </c>
      <c r="I337" s="3">
        <f>IF(5&gt;$C337,"",IF($D337=1,EOMONTH(EDATE(Bonds!$H337,6*(5-1)),0),EDATE(Bonds!$H337,6*(5-1))))</f>
        <v>47072</v>
      </c>
      <c r="J337" s="3">
        <f>IF(6&gt;$C337,"",IF($D337=1,EOMONTH(EDATE(Bonds!$H337,6*(6-1)),0),EDATE(Bonds!$H337,6*(6-1))))</f>
        <v>47253</v>
      </c>
      <c r="K337" s="3">
        <f>IF(7&gt;$C337,"",IF($D337=1,EOMONTH(EDATE(Bonds!$H337,6*(7-1)),0),EDATE(Bonds!$H337,6*(7-1))))</f>
        <v>47437</v>
      </c>
      <c r="L337" s="3">
        <f>IF(8&gt;$C337,"",IF($D337=1,EOMONTH(EDATE(Bonds!$H337,6*(8-1)),0),EDATE(Bonds!$H337,6*(8-1))))</f>
        <v>47618</v>
      </c>
      <c r="M337" s="3">
        <f>IF(9&gt;$C337,"",IF($D337=1,EOMONTH(EDATE(Bonds!$H337,6*(9-1)),0),EDATE(Bonds!$H337,6*(9-1))))</f>
        <v>47802</v>
      </c>
      <c r="N337" s="3">
        <f>IF(10&gt;$C337,"",IF($D337=1,EOMONTH(EDATE(Bonds!$H337,6*(10-1)),0),EDATE(Bonds!$H337,6*(10-1))))</f>
        <v>47983</v>
      </c>
      <c r="O337" s="3">
        <f>IF(11&gt;$C337,"",IF($D337=1,EOMONTH(EDATE(Bonds!$H337,6*(11-1)),0),EDATE(Bonds!$H337,6*(11-1))))</f>
        <v>48167</v>
      </c>
      <c r="P337" s="3">
        <f>IF(12&gt;$C337,"",IF($D337=1,EOMONTH(EDATE(Bonds!$H337,6*(12-1)),0),EDATE(Bonds!$H337,6*(12-1))))</f>
        <v>48349</v>
      </c>
      <c r="Q337" s="3">
        <f>IF(13&gt;$C337,"",IF($D337=1,EOMONTH(EDATE(Bonds!$H337,6*(13-1)),0),EDATE(Bonds!$H337,6*(13-1))))</f>
        <v>48533</v>
      </c>
      <c r="R337" s="3">
        <f>IF(14&gt;$C337,"",IF($D337=1,EOMONTH(EDATE(Bonds!$H337,6*(14-1)),0),EDATE(Bonds!$H337,6*(14-1))))</f>
        <v>48714</v>
      </c>
      <c r="S337" s="3">
        <f>IF(15&gt;$C337,"",IF($D337=1,EOMONTH(EDATE(Bonds!$H337,6*(15-1)),0),EDATE(Bonds!$H337,6*(15-1))))</f>
        <v>48898</v>
      </c>
      <c r="T337" s="3">
        <f>IF(16&gt;$C337,"",IF($D337=1,EOMONTH(EDATE(Bonds!$H337,6*(16-1)),0),EDATE(Bonds!$H337,6*(16-1))))</f>
        <v>49079</v>
      </c>
      <c r="U337" s="3">
        <f>IF(17&gt;$C337,"",IF($D337=1,EOMONTH(EDATE(Bonds!$H337,6*(17-1)),0),EDATE(Bonds!$H337,6*(17-1))))</f>
        <v>49263</v>
      </c>
      <c r="V337" s="3">
        <f>IF(18&gt;$C337,"",IF($D337=1,EOMONTH(EDATE(Bonds!$H337,6*(18-1)),0),EDATE(Bonds!$H337,6*(18-1))))</f>
        <v>49444</v>
      </c>
      <c r="W337" s="3">
        <f>IF(19&gt;$C337,"",IF($D337=1,EOMONTH(EDATE(Bonds!$H337,6*(19-1)),0),EDATE(Bonds!$H337,6*(19-1))))</f>
        <v>49628</v>
      </c>
      <c r="X337" s="3">
        <f>IF(20&gt;$C337,"",IF($D337=1,EOMONTH(EDATE(Bonds!$H337,6*(20-1)),0),EDATE(Bonds!$H337,6*(20-1))))</f>
        <v>49810</v>
      </c>
      <c r="Y337" s="3">
        <f>IF(21&gt;$C337,"",IF($D337=1,EOMONTH(EDATE(Bonds!$H337,6*(21-1)),0),EDATE(Bonds!$H337,6*(21-1))))</f>
        <v>49994</v>
      </c>
      <c r="Z337" s="3">
        <f>IF(22&gt;$C337,"",IF($D337=1,EOMONTH(EDATE(Bonds!$H337,6*(22-1)),0),EDATE(Bonds!$H337,6*(22-1))))</f>
        <v>50175</v>
      </c>
      <c r="AA337" s="3">
        <f>IF(23&gt;$C337,"",IF($D337=1,EOMONTH(EDATE(Bonds!$H337,6*(23-1)),0),EDATE(Bonds!$H337,6*(23-1))))</f>
        <v>50359</v>
      </c>
      <c r="AB337" s="3">
        <f>IF(24&gt;$C337,"",IF($D337=1,EOMONTH(EDATE(Bonds!$H337,6*(24-1)),0),EDATE(Bonds!$H337,6*(24-1))))</f>
        <v>50540</v>
      </c>
      <c r="AC337" s="3">
        <f>IF(25&gt;$C337,"",IF($D337=1,EOMONTH(EDATE(Bonds!$H337,6*(25-1)),0),EDATE(Bonds!$H337,6*(25-1))))</f>
        <v>50724</v>
      </c>
      <c r="AD337" s="3">
        <f>IF(26&gt;$C337,"",IF($D337=1,EOMONTH(EDATE(Bonds!$H337,6*(26-1)),0),EDATE(Bonds!$H337,6*(26-1))))</f>
        <v>50905</v>
      </c>
      <c r="AE337" s="3">
        <f>IF(27&gt;$C337,"",IF($D337=1,EOMONTH(EDATE(Bonds!$H337,6*(27-1)),0),EDATE(Bonds!$H337,6*(27-1))))</f>
        <v>51089</v>
      </c>
      <c r="AF337" s="3">
        <f>IF(28&gt;$C337,"",IF($D337=1,EOMONTH(EDATE(Bonds!$H337,6*(28-1)),0),EDATE(Bonds!$H337,6*(28-1))))</f>
        <v>51271</v>
      </c>
      <c r="AG337" s="3">
        <f>IF(29&gt;$C337,"",IF($D337=1,EOMONTH(EDATE(Bonds!$H337,6*(29-1)),0),EDATE(Bonds!$H337,6*(29-1))))</f>
        <v>51455</v>
      </c>
      <c r="AH337" s="3">
        <f>IF(30&gt;$C337,"",IF($D337=1,EOMONTH(EDATE(Bonds!$H337,6*(30-1)),0),EDATE(Bonds!$H337,6*(30-1))))</f>
        <v>51636</v>
      </c>
      <c r="AI337" s="3">
        <f>IF(31&gt;$C337,"",IF($D337=1,EOMONTH(EDATE(Bonds!$H337,6*(31-1)),0),EDATE(Bonds!$H337,6*(31-1))))</f>
        <v>51820</v>
      </c>
      <c r="AJ337" s="3">
        <f>IF(32&gt;$C337,"",IF($D337=1,EOMONTH(EDATE(Bonds!$H337,6*(32-1)),0),EDATE(Bonds!$H337,6*(32-1))))</f>
        <v>52001</v>
      </c>
      <c r="AK337" s="3">
        <f>IF(33&gt;$C337,"",IF($D337=1,EOMONTH(EDATE(Bonds!$H337,6*(33-1)),0),EDATE(Bonds!$H337,6*(33-1))))</f>
        <v>52185</v>
      </c>
      <c r="AL337" s="3">
        <f>IF(34&gt;$C337,"",IF($D337=1,EOMONTH(EDATE(Bonds!$H337,6*(34-1)),0),EDATE(Bonds!$H337,6*(34-1))))</f>
        <v>52366</v>
      </c>
      <c r="AM337" s="3">
        <f>IF(35&gt;$C337,"",IF($D337=1,EOMONTH(EDATE(Bonds!$H337,6*(35-1)),0),EDATE(Bonds!$H337,6*(35-1))))</f>
        <v>52550</v>
      </c>
      <c r="AN337" s="3">
        <f>IF(36&gt;$C337,"",IF($D337=1,EOMONTH(EDATE(Bonds!$H337,6*(36-1)),0),EDATE(Bonds!$H337,6*(36-1))))</f>
        <v>52732</v>
      </c>
      <c r="AO337" s="3">
        <f>IF(37&gt;$C337,"",IF($D337=1,EOMONTH(EDATE(Bonds!$H337,6*(37-1)),0),EDATE(Bonds!$H337,6*(37-1))))</f>
        <v>52916</v>
      </c>
      <c r="AP337" s="3">
        <f>IF(38&gt;$C337,"",IF($D337=1,EOMONTH(EDATE(Bonds!$H337,6*(38-1)),0),EDATE(Bonds!$H337,6*(38-1))))</f>
        <v>53097</v>
      </c>
      <c r="AQ337" s="3">
        <f>IF(39&gt;$C337,"",IF($D337=1,EOMONTH(EDATE(Bonds!$H337,6*(39-1)),0),EDATE(Bonds!$H337,6*(39-1))))</f>
        <v>53281</v>
      </c>
      <c r="AR337" s="3">
        <f>IF(40&gt;$C337,"",IF($D337=1,EOMONTH(EDATE(Bonds!$H337,6*(40-1)),0),EDATE(Bonds!$H337,6*(40-1))))</f>
        <v>53462</v>
      </c>
      <c r="AS337" s="3">
        <f>IF(41&gt;$C337,"",IF($D337=1,EOMONTH(EDATE(Bonds!$H337,6*(41-1)),0),EDATE(Bonds!$H337,6*(41-1))))</f>
        <v>53646</v>
      </c>
      <c r="AT337" s="3">
        <f>IF(42&gt;$C337,"",IF($D337=1,EOMONTH(EDATE(Bonds!$H337,6*(42-1)),0),EDATE(Bonds!$H337,6*(42-1))))</f>
        <v>53827</v>
      </c>
      <c r="AU337" s="3">
        <f>IF(43&gt;$C337,"",IF($D337=1,EOMONTH(EDATE(Bonds!$H337,6*(43-1)),0),EDATE(Bonds!$H337,6*(43-1))))</f>
        <v>54011</v>
      </c>
      <c r="AV337" s="3">
        <f>IF(44&gt;$C337,"",IF($D337=1,EOMONTH(EDATE(Bonds!$H337,6*(44-1)),0),EDATE(Bonds!$H337,6*(44-1))))</f>
        <v>54193</v>
      </c>
      <c r="AW337" s="3">
        <f>IF(45&gt;$C337,"",IF($D337=1,EOMONTH(EDATE(Bonds!$H337,6*(45-1)),0),EDATE(Bonds!$H337,6*(45-1))))</f>
        <v>54377</v>
      </c>
      <c r="AX337" s="3">
        <f>IF(46&gt;$C337,"",IF($D337=1,EOMONTH(EDATE(Bonds!$H337,6*(46-1)),0),EDATE(Bonds!$H337,6*(46-1))))</f>
        <v>54558</v>
      </c>
      <c r="AY337" s="3">
        <f>IF(47&gt;$C337,"",IF($D337=1,EOMONTH(EDATE(Bonds!$H337,6*(47-1)),0),EDATE(Bonds!$H337,6*(47-1))))</f>
        <v>54742</v>
      </c>
      <c r="AZ337" s="3">
        <f>IF(48&gt;$C337,"",IF($D337=1,EOMONTH(EDATE(Bonds!$H337,6*(48-1)),0),EDATE(Bonds!$H337,6*(48-1))))</f>
        <v>54923</v>
      </c>
      <c r="BA337" s="3">
        <f>IF(49&gt;$C337,"",IF($D337=1,EOMONTH(EDATE(Bonds!$H337,6*(49-1)),0),EDATE(Bonds!$H337,6*(49-1))))</f>
        <v>55107</v>
      </c>
      <c r="BB337" s="3" t="str">
        <f>IF(50&gt;$C337,"",IF($D337=1,EOMONTH(EDATE(Bonds!$H337,6*(50-1)),0),EDATE(Bonds!$H337,6*(50-1))))</f>
        <v/>
      </c>
      <c r="BC337" s="3" t="str">
        <f>IF(51&gt;$C337,"",IF($D337=1,EOMONTH(EDATE(Bonds!$H337,6*(51-1)),0),EDATE(Bonds!$H337,6*(51-1))))</f>
        <v/>
      </c>
      <c r="BD337" s="3" t="str">
        <f>IF(52&gt;$C337,"",IF($D337=1,EOMONTH(EDATE(Bonds!$H337,6*(52-1)),0),EDATE(Bonds!$H337,6*(52-1))))</f>
        <v/>
      </c>
      <c r="BE337" s="3" t="str">
        <f>IF(53&gt;$C337,"",IF($D337=1,EOMONTH(EDATE(Bonds!$H337,6*(53-1)),0),EDATE(Bonds!$H337,6*(53-1))))</f>
        <v/>
      </c>
      <c r="BF337" s="3" t="str">
        <f>IF(54&gt;$C337,"",IF($D337=1,EOMONTH(EDATE(Bonds!$H337,6*(54-1)),0),EDATE(Bonds!$H337,6*(54-1))))</f>
        <v/>
      </c>
      <c r="BG337" s="3" t="str">
        <f>IF(55&gt;$C337,"",IF($D337=1,EOMONTH(EDATE(Bonds!$H337,6*(55-1)),0),EDATE(Bonds!$H337,6*(55-1))))</f>
        <v/>
      </c>
      <c r="BH337" s="3" t="str">
        <f>IF(56&gt;$C337,"",IF($D337=1,EOMONTH(EDATE(Bonds!$H337,6*(56-1)),0),EDATE(Bonds!$H337,6*(56-1))))</f>
        <v/>
      </c>
      <c r="BI337" s="3" t="str">
        <f>IF(57&gt;$C337,"",IF($D337=1,EOMONTH(EDATE(Bonds!$H337,6*(57-1)),0),EDATE(Bonds!$H337,6*(57-1))))</f>
        <v/>
      </c>
      <c r="BJ337" s="3" t="str">
        <f>IF(58&gt;$C337,"",IF($D337=1,EOMONTH(EDATE(Bonds!$H337,6*(58-1)),0),EDATE(Bonds!$H337,6*(58-1))))</f>
        <v/>
      </c>
      <c r="BK337" s="3" t="str">
        <f>IF(59&gt;$C337,"",IF($D337=1,EOMONTH(EDATE(Bonds!$H337,6*(59-1)),0),EDATE(Bonds!$H337,6*(59-1))))</f>
        <v/>
      </c>
      <c r="BL337" s="3" t="str">
        <f>IF(60&gt;$C337,"",IF($D337=1,EOMONTH(EDATE(Bonds!$H337,6*(60-1)),0),EDATE(Bonds!$H337,6*(60-1))))</f>
        <v/>
      </c>
      <c r="BN337" s="7">
        <f t="shared" si="306"/>
        <v>0.80683328586251513</v>
      </c>
      <c r="BO337" s="7">
        <f t="shared" si="307"/>
        <v>0.79054055054978767</v>
      </c>
      <c r="BP337" s="7">
        <f t="shared" si="308"/>
        <v>0.77312692319656362</v>
      </c>
      <c r="BQ337" s="7">
        <f t="shared" si="309"/>
        <v>0.75578598992567869</v>
      </c>
      <c r="BR337" s="7">
        <f t="shared" si="310"/>
        <v>0.73850394811412834</v>
      </c>
      <c r="BS337" s="7">
        <f t="shared" si="311"/>
        <v>0.72189162668080253</v>
      </c>
      <c r="BT337" s="7">
        <f t="shared" si="312"/>
        <v>0.70542261518378069</v>
      </c>
      <c r="BU337" s="7">
        <f t="shared" si="313"/>
        <v>0.68959787467712585</v>
      </c>
      <c r="BV337" s="7">
        <f t="shared" si="314"/>
        <v>0.67383127459015435</v>
      </c>
      <c r="BW337" s="7">
        <f t="shared" si="315"/>
        <v>0.65857294288953783</v>
      </c>
      <c r="BX337" s="7">
        <f t="shared" si="316"/>
        <v>0.64325887861549713</v>
      </c>
      <c r="BY337" s="7">
        <f t="shared" si="317"/>
        <v>0.62826144730350297</v>
      </c>
      <c r="BZ337" s="7">
        <f t="shared" si="318"/>
        <v>0.61321870886604812</v>
      </c>
      <c r="CA337" s="7">
        <f t="shared" si="319"/>
        <v>0.59851984265593361</v>
      </c>
      <c r="CB337" s="7">
        <f t="shared" si="320"/>
        <v>0.58367016208996081</v>
      </c>
      <c r="CC337" s="7">
        <f t="shared" si="321"/>
        <v>0.56915592155782924</v>
      </c>
      <c r="CD337" s="7">
        <f t="shared" si="322"/>
        <v>0.55450542494970334</v>
      </c>
      <c r="CE337" s="7">
        <f t="shared" si="323"/>
        <v>0.54021088972030118</v>
      </c>
      <c r="CF337" s="7">
        <f t="shared" si="324"/>
        <v>0.52581685522322485</v>
      </c>
      <c r="CG337" s="7">
        <f t="shared" si="325"/>
        <v>0.51173581926730305</v>
      </c>
      <c r="CH337" s="7">
        <f t="shared" si="326"/>
        <v>0.49767973738472066</v>
      </c>
      <c r="CI337" s="7">
        <f t="shared" si="327"/>
        <v>0.48404990556115279</v>
      </c>
      <c r="CJ337" s="7">
        <f t="shared" si="328"/>
        <v>0.4704148763439186</v>
      </c>
      <c r="CK337" s="7">
        <f t="shared" si="329"/>
        <v>0.45723784946244123</v>
      </c>
      <c r="CL337" s="7">
        <f t="shared" si="330"/>
        <v>0.44409926427850049</v>
      </c>
      <c r="CM337" s="7">
        <f t="shared" si="331"/>
        <v>0.43144249754967479</v>
      </c>
      <c r="CN337" s="7">
        <f t="shared" si="332"/>
        <v>0.41886117396249029</v>
      </c>
      <c r="CO337" s="7">
        <f t="shared" si="333"/>
        <v>0.4067104296669789</v>
      </c>
      <c r="CP337" s="7">
        <f t="shared" si="334"/>
        <v>0.39473221952328713</v>
      </c>
      <c r="CQ337" s="7">
        <f t="shared" si="335"/>
        <v>0.38325635846364259</v>
      </c>
      <c r="CR337" s="7">
        <f t="shared" si="336"/>
        <v>0.37190746666836255</v>
      </c>
      <c r="CS337" s="7">
        <f t="shared" si="337"/>
        <v>0.36105880700909615</v>
      </c>
      <c r="CT337" s="7">
        <f t="shared" si="338"/>
        <v>0.35035238681397768</v>
      </c>
      <c r="CU337" s="7">
        <f t="shared" si="339"/>
        <v>0.34013747745298983</v>
      </c>
      <c r="CV337" s="7">
        <f t="shared" si="340"/>
        <v>0.33007428822100648</v>
      </c>
      <c r="CW337" s="7">
        <f t="shared" si="341"/>
        <v>0.32043656278003896</v>
      </c>
      <c r="CX337" s="7">
        <f t="shared" si="342"/>
        <v>0.31100907632835706</v>
      </c>
      <c r="CY337" s="7">
        <f t="shared" si="343"/>
        <v>0.30204123656460224</v>
      </c>
      <c r="CZ337" s="7">
        <f t="shared" si="344"/>
        <v>0.2932307030145595</v>
      </c>
      <c r="DA337" s="7">
        <f t="shared" si="345"/>
        <v>0.28485918186937437</v>
      </c>
      <c r="DB337" s="7">
        <f t="shared" si="346"/>
        <v>0.27664290097601157</v>
      </c>
      <c r="DC337" s="7">
        <f t="shared" si="347"/>
        <v>0.26884321785833154</v>
      </c>
      <c r="DD337" s="7">
        <f t="shared" si="348"/>
        <v>0.26119451163426982</v>
      </c>
      <c r="DE337" s="7">
        <f t="shared" si="349"/>
        <v>0.25389965076191129</v>
      </c>
      <c r="DF337" s="7">
        <f t="shared" si="350"/>
        <v>0.2467907219918688</v>
      </c>
      <c r="DG337" s="7">
        <f t="shared" si="351"/>
        <v>0.24005119947150216</v>
      </c>
      <c r="DH337" s="7">
        <f t="shared" si="352"/>
        <v>0.2334498920102924</v>
      </c>
      <c r="DI337" s="7">
        <f t="shared" si="353"/>
        <v>0.22719440996692586</v>
      </c>
      <c r="DJ337" s="7">
        <f t="shared" si="354"/>
        <v>27.429632680998786</v>
      </c>
      <c r="DK337" s="7">
        <f t="shared" si="355"/>
        <v>0</v>
      </c>
      <c r="DL337" s="7">
        <f t="shared" si="356"/>
        <v>0</v>
      </c>
      <c r="DM337" s="7">
        <f t="shared" si="357"/>
        <v>0</v>
      </c>
      <c r="DN337" s="7">
        <f t="shared" si="358"/>
        <v>0</v>
      </c>
      <c r="DO337" s="7">
        <f t="shared" si="359"/>
        <v>0</v>
      </c>
      <c r="DP337" s="7">
        <f t="shared" si="360"/>
        <v>0</v>
      </c>
      <c r="DQ337" s="7">
        <f t="shared" si="361"/>
        <v>0</v>
      </c>
      <c r="DR337" s="7">
        <f t="shared" si="362"/>
        <v>0</v>
      </c>
      <c r="DS337" s="7">
        <f t="shared" si="363"/>
        <v>0</v>
      </c>
      <c r="DT337" s="7">
        <f t="shared" si="364"/>
        <v>0</v>
      </c>
      <c r="DU337" s="7">
        <f t="shared" si="365"/>
        <v>0</v>
      </c>
    </row>
    <row r="338" spans="1:125" x14ac:dyDescent="0.2">
      <c r="A338" s="3">
        <f>Bonds!A338</f>
        <v>55199</v>
      </c>
      <c r="B338" s="4">
        <f>Bonds!B338</f>
        <v>1.875</v>
      </c>
      <c r="C338">
        <f>Bonds!P338</f>
        <v>49</v>
      </c>
      <c r="D338">
        <f t="shared" si="305"/>
        <v>0</v>
      </c>
      <c r="E338" s="3">
        <f>IF(1&gt;$C338,"",IF($D338=1,EOMONTH(EDATE(Bonds!$H338,6*(1-1)),0),EDATE(Bonds!$H338,6*(1-1))))</f>
        <v>46433</v>
      </c>
      <c r="F338" s="3">
        <f>IF(2&gt;$C338,"",IF($D338=1,EOMONTH(EDATE(Bonds!$H338,6*(2-1)),0),EDATE(Bonds!$H338,6*(2-1))))</f>
        <v>46614</v>
      </c>
      <c r="G338" s="3">
        <f>IF(3&gt;$C338,"",IF($D338=1,EOMONTH(EDATE(Bonds!$H338,6*(3-1)),0),EDATE(Bonds!$H338,6*(3-1))))</f>
        <v>46798</v>
      </c>
      <c r="H338" s="3">
        <f>IF(4&gt;$C338,"",IF($D338=1,EOMONTH(EDATE(Bonds!$H338,6*(4-1)),0),EDATE(Bonds!$H338,6*(4-1))))</f>
        <v>46980</v>
      </c>
      <c r="I338" s="3">
        <f>IF(5&gt;$C338,"",IF($D338=1,EOMONTH(EDATE(Bonds!$H338,6*(5-1)),0),EDATE(Bonds!$H338,6*(5-1))))</f>
        <v>47164</v>
      </c>
      <c r="J338" s="3">
        <f>IF(6&gt;$C338,"",IF($D338=1,EOMONTH(EDATE(Bonds!$H338,6*(6-1)),0),EDATE(Bonds!$H338,6*(6-1))))</f>
        <v>47345</v>
      </c>
      <c r="K338" s="3">
        <f>IF(7&gt;$C338,"",IF($D338=1,EOMONTH(EDATE(Bonds!$H338,6*(7-1)),0),EDATE(Bonds!$H338,6*(7-1))))</f>
        <v>47529</v>
      </c>
      <c r="L338" s="3">
        <f>IF(8&gt;$C338,"",IF($D338=1,EOMONTH(EDATE(Bonds!$H338,6*(8-1)),0),EDATE(Bonds!$H338,6*(8-1))))</f>
        <v>47710</v>
      </c>
      <c r="M338" s="3">
        <f>IF(9&gt;$C338,"",IF($D338=1,EOMONTH(EDATE(Bonds!$H338,6*(9-1)),0),EDATE(Bonds!$H338,6*(9-1))))</f>
        <v>47894</v>
      </c>
      <c r="N338" s="3">
        <f>IF(10&gt;$C338,"",IF($D338=1,EOMONTH(EDATE(Bonds!$H338,6*(10-1)),0),EDATE(Bonds!$H338,6*(10-1))))</f>
        <v>48075</v>
      </c>
      <c r="O338" s="3">
        <f>IF(11&gt;$C338,"",IF($D338=1,EOMONTH(EDATE(Bonds!$H338,6*(11-1)),0),EDATE(Bonds!$H338,6*(11-1))))</f>
        <v>48259</v>
      </c>
      <c r="P338" s="3">
        <f>IF(12&gt;$C338,"",IF($D338=1,EOMONTH(EDATE(Bonds!$H338,6*(12-1)),0),EDATE(Bonds!$H338,6*(12-1))))</f>
        <v>48441</v>
      </c>
      <c r="Q338" s="3">
        <f>IF(13&gt;$C338,"",IF($D338=1,EOMONTH(EDATE(Bonds!$H338,6*(13-1)),0),EDATE(Bonds!$H338,6*(13-1))))</f>
        <v>48625</v>
      </c>
      <c r="R338" s="3">
        <f>IF(14&gt;$C338,"",IF($D338=1,EOMONTH(EDATE(Bonds!$H338,6*(14-1)),0),EDATE(Bonds!$H338,6*(14-1))))</f>
        <v>48806</v>
      </c>
      <c r="S338" s="3">
        <f>IF(15&gt;$C338,"",IF($D338=1,EOMONTH(EDATE(Bonds!$H338,6*(15-1)),0),EDATE(Bonds!$H338,6*(15-1))))</f>
        <v>48990</v>
      </c>
      <c r="T338" s="3">
        <f>IF(16&gt;$C338,"",IF($D338=1,EOMONTH(EDATE(Bonds!$H338,6*(16-1)),0),EDATE(Bonds!$H338,6*(16-1))))</f>
        <v>49171</v>
      </c>
      <c r="U338" s="3">
        <f>IF(17&gt;$C338,"",IF($D338=1,EOMONTH(EDATE(Bonds!$H338,6*(17-1)),0),EDATE(Bonds!$H338,6*(17-1))))</f>
        <v>49355</v>
      </c>
      <c r="V338" s="3">
        <f>IF(18&gt;$C338,"",IF($D338=1,EOMONTH(EDATE(Bonds!$H338,6*(18-1)),0),EDATE(Bonds!$H338,6*(18-1))))</f>
        <v>49536</v>
      </c>
      <c r="W338" s="3">
        <f>IF(19&gt;$C338,"",IF($D338=1,EOMONTH(EDATE(Bonds!$H338,6*(19-1)),0),EDATE(Bonds!$H338,6*(19-1))))</f>
        <v>49720</v>
      </c>
      <c r="X338" s="3">
        <f>IF(20&gt;$C338,"",IF($D338=1,EOMONTH(EDATE(Bonds!$H338,6*(20-1)),0),EDATE(Bonds!$H338,6*(20-1))))</f>
        <v>49902</v>
      </c>
      <c r="Y338" s="3">
        <f>IF(21&gt;$C338,"",IF($D338=1,EOMONTH(EDATE(Bonds!$H338,6*(21-1)),0),EDATE(Bonds!$H338,6*(21-1))))</f>
        <v>50086</v>
      </c>
      <c r="Z338" s="3">
        <f>IF(22&gt;$C338,"",IF($D338=1,EOMONTH(EDATE(Bonds!$H338,6*(22-1)),0),EDATE(Bonds!$H338,6*(22-1))))</f>
        <v>50267</v>
      </c>
      <c r="AA338" s="3">
        <f>IF(23&gt;$C338,"",IF($D338=1,EOMONTH(EDATE(Bonds!$H338,6*(23-1)),0),EDATE(Bonds!$H338,6*(23-1))))</f>
        <v>50451</v>
      </c>
      <c r="AB338" s="3">
        <f>IF(24&gt;$C338,"",IF($D338=1,EOMONTH(EDATE(Bonds!$H338,6*(24-1)),0),EDATE(Bonds!$H338,6*(24-1))))</f>
        <v>50632</v>
      </c>
      <c r="AC338" s="3">
        <f>IF(25&gt;$C338,"",IF($D338=1,EOMONTH(EDATE(Bonds!$H338,6*(25-1)),0),EDATE(Bonds!$H338,6*(25-1))))</f>
        <v>50816</v>
      </c>
      <c r="AD338" s="3">
        <f>IF(26&gt;$C338,"",IF($D338=1,EOMONTH(EDATE(Bonds!$H338,6*(26-1)),0),EDATE(Bonds!$H338,6*(26-1))))</f>
        <v>50997</v>
      </c>
      <c r="AE338" s="3">
        <f>IF(27&gt;$C338,"",IF($D338=1,EOMONTH(EDATE(Bonds!$H338,6*(27-1)),0),EDATE(Bonds!$H338,6*(27-1))))</f>
        <v>51181</v>
      </c>
      <c r="AF338" s="3">
        <f>IF(28&gt;$C338,"",IF($D338=1,EOMONTH(EDATE(Bonds!$H338,6*(28-1)),0),EDATE(Bonds!$H338,6*(28-1))))</f>
        <v>51363</v>
      </c>
      <c r="AG338" s="3">
        <f>IF(29&gt;$C338,"",IF($D338=1,EOMONTH(EDATE(Bonds!$H338,6*(29-1)),0),EDATE(Bonds!$H338,6*(29-1))))</f>
        <v>51547</v>
      </c>
      <c r="AH338" s="3">
        <f>IF(30&gt;$C338,"",IF($D338=1,EOMONTH(EDATE(Bonds!$H338,6*(30-1)),0),EDATE(Bonds!$H338,6*(30-1))))</f>
        <v>51728</v>
      </c>
      <c r="AI338" s="3">
        <f>IF(31&gt;$C338,"",IF($D338=1,EOMONTH(EDATE(Bonds!$H338,6*(31-1)),0),EDATE(Bonds!$H338,6*(31-1))))</f>
        <v>51912</v>
      </c>
      <c r="AJ338" s="3">
        <f>IF(32&gt;$C338,"",IF($D338=1,EOMONTH(EDATE(Bonds!$H338,6*(32-1)),0),EDATE(Bonds!$H338,6*(32-1))))</f>
        <v>52093</v>
      </c>
      <c r="AK338" s="3">
        <f>IF(33&gt;$C338,"",IF($D338=1,EOMONTH(EDATE(Bonds!$H338,6*(33-1)),0),EDATE(Bonds!$H338,6*(33-1))))</f>
        <v>52277</v>
      </c>
      <c r="AL338" s="3">
        <f>IF(34&gt;$C338,"",IF($D338=1,EOMONTH(EDATE(Bonds!$H338,6*(34-1)),0),EDATE(Bonds!$H338,6*(34-1))))</f>
        <v>52458</v>
      </c>
      <c r="AM338" s="3">
        <f>IF(35&gt;$C338,"",IF($D338=1,EOMONTH(EDATE(Bonds!$H338,6*(35-1)),0),EDATE(Bonds!$H338,6*(35-1))))</f>
        <v>52642</v>
      </c>
      <c r="AN338" s="3">
        <f>IF(36&gt;$C338,"",IF($D338=1,EOMONTH(EDATE(Bonds!$H338,6*(36-1)),0),EDATE(Bonds!$H338,6*(36-1))))</f>
        <v>52824</v>
      </c>
      <c r="AO338" s="3">
        <f>IF(37&gt;$C338,"",IF($D338=1,EOMONTH(EDATE(Bonds!$H338,6*(37-1)),0),EDATE(Bonds!$H338,6*(37-1))))</f>
        <v>53008</v>
      </c>
      <c r="AP338" s="3">
        <f>IF(38&gt;$C338,"",IF($D338=1,EOMONTH(EDATE(Bonds!$H338,6*(38-1)),0),EDATE(Bonds!$H338,6*(38-1))))</f>
        <v>53189</v>
      </c>
      <c r="AQ338" s="3">
        <f>IF(39&gt;$C338,"",IF($D338=1,EOMONTH(EDATE(Bonds!$H338,6*(39-1)),0),EDATE(Bonds!$H338,6*(39-1))))</f>
        <v>53373</v>
      </c>
      <c r="AR338" s="3">
        <f>IF(40&gt;$C338,"",IF($D338=1,EOMONTH(EDATE(Bonds!$H338,6*(40-1)),0),EDATE(Bonds!$H338,6*(40-1))))</f>
        <v>53554</v>
      </c>
      <c r="AS338" s="3">
        <f>IF(41&gt;$C338,"",IF($D338=1,EOMONTH(EDATE(Bonds!$H338,6*(41-1)),0),EDATE(Bonds!$H338,6*(41-1))))</f>
        <v>53738</v>
      </c>
      <c r="AT338" s="3">
        <f>IF(42&gt;$C338,"",IF($D338=1,EOMONTH(EDATE(Bonds!$H338,6*(42-1)),0),EDATE(Bonds!$H338,6*(42-1))))</f>
        <v>53919</v>
      </c>
      <c r="AU338" s="3">
        <f>IF(43&gt;$C338,"",IF($D338=1,EOMONTH(EDATE(Bonds!$H338,6*(43-1)),0),EDATE(Bonds!$H338,6*(43-1))))</f>
        <v>54103</v>
      </c>
      <c r="AV338" s="3">
        <f>IF(44&gt;$C338,"",IF($D338=1,EOMONTH(EDATE(Bonds!$H338,6*(44-1)),0),EDATE(Bonds!$H338,6*(44-1))))</f>
        <v>54285</v>
      </c>
      <c r="AW338" s="3">
        <f>IF(45&gt;$C338,"",IF($D338=1,EOMONTH(EDATE(Bonds!$H338,6*(45-1)),0),EDATE(Bonds!$H338,6*(45-1))))</f>
        <v>54469</v>
      </c>
      <c r="AX338" s="3">
        <f>IF(46&gt;$C338,"",IF($D338=1,EOMONTH(EDATE(Bonds!$H338,6*(46-1)),0),EDATE(Bonds!$H338,6*(46-1))))</f>
        <v>54650</v>
      </c>
      <c r="AY338" s="3">
        <f>IF(47&gt;$C338,"",IF($D338=1,EOMONTH(EDATE(Bonds!$H338,6*(47-1)),0),EDATE(Bonds!$H338,6*(47-1))))</f>
        <v>54834</v>
      </c>
      <c r="AZ338" s="3">
        <f>IF(48&gt;$C338,"",IF($D338=1,EOMONTH(EDATE(Bonds!$H338,6*(48-1)),0),EDATE(Bonds!$H338,6*(48-1))))</f>
        <v>55015</v>
      </c>
      <c r="BA338" s="3">
        <f>IF(49&gt;$C338,"",IF($D338=1,EOMONTH(EDATE(Bonds!$H338,6*(49-1)),0),EDATE(Bonds!$H338,6*(49-1))))</f>
        <v>55199</v>
      </c>
      <c r="BB338" s="3" t="str">
        <f>IF(50&gt;$C338,"",IF($D338=1,EOMONTH(EDATE(Bonds!$H338,6*(50-1)),0),EDATE(Bonds!$H338,6*(50-1))))</f>
        <v/>
      </c>
      <c r="BC338" s="3" t="str">
        <f>IF(51&gt;$C338,"",IF($D338=1,EOMONTH(EDATE(Bonds!$H338,6*(51-1)),0),EDATE(Bonds!$H338,6*(51-1))))</f>
        <v/>
      </c>
      <c r="BD338" s="3" t="str">
        <f>IF(52&gt;$C338,"",IF($D338=1,EOMONTH(EDATE(Bonds!$H338,6*(52-1)),0),EDATE(Bonds!$H338,6*(52-1))))</f>
        <v/>
      </c>
      <c r="BE338" s="3" t="str">
        <f>IF(53&gt;$C338,"",IF($D338=1,EOMONTH(EDATE(Bonds!$H338,6*(53-1)),0),EDATE(Bonds!$H338,6*(53-1))))</f>
        <v/>
      </c>
      <c r="BF338" s="3" t="str">
        <f>IF(54&gt;$C338,"",IF($D338=1,EOMONTH(EDATE(Bonds!$H338,6*(54-1)),0),EDATE(Bonds!$H338,6*(54-1))))</f>
        <v/>
      </c>
      <c r="BG338" s="3" t="str">
        <f>IF(55&gt;$C338,"",IF($D338=1,EOMONTH(EDATE(Bonds!$H338,6*(55-1)),0),EDATE(Bonds!$H338,6*(55-1))))</f>
        <v/>
      </c>
      <c r="BH338" s="3" t="str">
        <f>IF(56&gt;$C338,"",IF($D338=1,EOMONTH(EDATE(Bonds!$H338,6*(56-1)),0),EDATE(Bonds!$H338,6*(56-1))))</f>
        <v/>
      </c>
      <c r="BI338" s="3" t="str">
        <f>IF(57&gt;$C338,"",IF($D338=1,EOMONTH(EDATE(Bonds!$H338,6*(57-1)),0),EDATE(Bonds!$H338,6*(57-1))))</f>
        <v/>
      </c>
      <c r="BJ338" s="3" t="str">
        <f>IF(58&gt;$C338,"",IF($D338=1,EOMONTH(EDATE(Bonds!$H338,6*(58-1)),0),EDATE(Bonds!$H338,6*(58-1))))</f>
        <v/>
      </c>
      <c r="BK338" s="3" t="str">
        <f>IF(59&gt;$C338,"",IF($D338=1,EOMONTH(EDATE(Bonds!$H338,6*(59-1)),0),EDATE(Bonds!$H338,6*(59-1))))</f>
        <v/>
      </c>
      <c r="BL338" s="3" t="str">
        <f>IF(60&gt;$C338,"",IF($D338=1,EOMONTH(EDATE(Bonds!$H338,6*(60-1)),0),EDATE(Bonds!$H338,6*(60-1))))</f>
        <v/>
      </c>
      <c r="BN338" s="7">
        <f t="shared" si="306"/>
        <v>0.92159951463845424</v>
      </c>
      <c r="BO338" s="7">
        <f t="shared" si="307"/>
        <v>0.90217374173192655</v>
      </c>
      <c r="BP338" s="7">
        <f t="shared" si="308"/>
        <v>0.88193822609752603</v>
      </c>
      <c r="BQ338" s="7">
        <f t="shared" si="309"/>
        <v>0.86203919305587606</v>
      </c>
      <c r="BR338" s="7">
        <f t="shared" si="310"/>
        <v>0.84231760913606391</v>
      </c>
      <c r="BS338" s="7">
        <f t="shared" si="311"/>
        <v>0.82339125911517042</v>
      </c>
      <c r="BT338" s="7">
        <f t="shared" si="312"/>
        <v>0.80461850117175004</v>
      </c>
      <c r="BU338" s="7">
        <f t="shared" si="313"/>
        <v>0.78655196288627049</v>
      </c>
      <c r="BV338" s="7">
        <f t="shared" si="314"/>
        <v>0.76851731179187599</v>
      </c>
      <c r="BW338" s="7">
        <f t="shared" si="315"/>
        <v>0.75103183715217781</v>
      </c>
      <c r="BX338" s="7">
        <f t="shared" si="316"/>
        <v>0.73345546909725245</v>
      </c>
      <c r="BY338" s="7">
        <f t="shared" si="317"/>
        <v>0.71622293990568076</v>
      </c>
      <c r="BZ338" s="7">
        <f t="shared" si="318"/>
        <v>0.69892608236418474</v>
      </c>
      <c r="CA338" s="7">
        <f t="shared" si="319"/>
        <v>0.68201927659574779</v>
      </c>
      <c r="CB338" s="7">
        <f t="shared" si="320"/>
        <v>0.66493933595636101</v>
      </c>
      <c r="CC338" s="7">
        <f t="shared" si="321"/>
        <v>0.64825004189138458</v>
      </c>
      <c r="CD338" s="7">
        <f t="shared" si="322"/>
        <v>0.6314124440330825</v>
      </c>
      <c r="CE338" s="7">
        <f t="shared" si="323"/>
        <v>0.61499458020349451</v>
      </c>
      <c r="CF338" s="7">
        <f t="shared" si="324"/>
        <v>0.59847484123358285</v>
      </c>
      <c r="CG338" s="7">
        <f t="shared" si="325"/>
        <v>0.58232751604308641</v>
      </c>
      <c r="CH338" s="7">
        <f t="shared" si="326"/>
        <v>0.56622250032408283</v>
      </c>
      <c r="CI338" s="7">
        <f t="shared" si="327"/>
        <v>0.55061924743195401</v>
      </c>
      <c r="CJ338" s="7">
        <f t="shared" si="328"/>
        <v>0.53502328779925989</v>
      </c>
      <c r="CK338" s="7">
        <f t="shared" si="329"/>
        <v>0.51996367145112266</v>
      </c>
      <c r="CL338" s="7">
        <f t="shared" si="330"/>
        <v>0.5049599624922263</v>
      </c>
      <c r="CM338" s="7">
        <f t="shared" si="331"/>
        <v>0.49051747705896731</v>
      </c>
      <c r="CN338" s="7">
        <f t="shared" si="332"/>
        <v>0.47617143788375565</v>
      </c>
      <c r="CO338" s="7">
        <f t="shared" si="333"/>
        <v>0.46232581747426799</v>
      </c>
      <c r="CP338" s="7">
        <f t="shared" si="334"/>
        <v>0.44868551386504774</v>
      </c>
      <c r="CQ338" s="7">
        <f t="shared" si="335"/>
        <v>0.43562503302244698</v>
      </c>
      <c r="CR338" s="7">
        <f t="shared" si="336"/>
        <v>0.42271618877683748</v>
      </c>
      <c r="CS338" s="7">
        <f t="shared" si="337"/>
        <v>0.41038265443430821</v>
      </c>
      <c r="CT338" s="7">
        <f t="shared" si="338"/>
        <v>0.39821658373102992</v>
      </c>
      <c r="CU338" s="7">
        <f t="shared" si="339"/>
        <v>0.38661409165053601</v>
      </c>
      <c r="CV338" s="7">
        <f t="shared" si="340"/>
        <v>0.37518850290766637</v>
      </c>
      <c r="CW338" s="7">
        <f t="shared" si="341"/>
        <v>0.36425000241256078</v>
      </c>
      <c r="CX338" s="7">
        <f t="shared" si="342"/>
        <v>0.35355370841911149</v>
      </c>
      <c r="CY338" s="7">
        <f t="shared" si="343"/>
        <v>0.3433820269992448</v>
      </c>
      <c r="CZ338" s="7">
        <f t="shared" si="344"/>
        <v>0.33339153573037017</v>
      </c>
      <c r="DA338" s="7">
        <f t="shared" si="345"/>
        <v>0.32390123211566563</v>
      </c>
      <c r="DB338" s="7">
        <f t="shared" si="346"/>
        <v>0.31458902024575647</v>
      </c>
      <c r="DC338" s="7">
        <f t="shared" si="347"/>
        <v>0.3057507690608659</v>
      </c>
      <c r="DD338" s="7">
        <f t="shared" si="348"/>
        <v>0.29708517021383979</v>
      </c>
      <c r="DE338" s="7">
        <f t="shared" si="349"/>
        <v>0.28882179696561838</v>
      </c>
      <c r="DF338" s="7">
        <f t="shared" si="350"/>
        <v>0.28077019096168443</v>
      </c>
      <c r="DG338" s="7">
        <f t="shared" si="351"/>
        <v>0.27313792922891211</v>
      </c>
      <c r="DH338" s="7">
        <f t="shared" si="352"/>
        <v>0.26566300141321808</v>
      </c>
      <c r="DI338" s="7">
        <f t="shared" si="353"/>
        <v>0.25858032592825742</v>
      </c>
      <c r="DJ338" s="7">
        <f t="shared" si="354"/>
        <v>27.093899049286012</v>
      </c>
      <c r="DK338" s="7">
        <f t="shared" si="355"/>
        <v>0</v>
      </c>
      <c r="DL338" s="7">
        <f t="shared" si="356"/>
        <v>0</v>
      </c>
      <c r="DM338" s="7">
        <f t="shared" si="357"/>
        <v>0</v>
      </c>
      <c r="DN338" s="7">
        <f t="shared" si="358"/>
        <v>0</v>
      </c>
      <c r="DO338" s="7">
        <f t="shared" si="359"/>
        <v>0</v>
      </c>
      <c r="DP338" s="7">
        <f t="shared" si="360"/>
        <v>0</v>
      </c>
      <c r="DQ338" s="7">
        <f t="shared" si="361"/>
        <v>0</v>
      </c>
      <c r="DR338" s="7">
        <f t="shared" si="362"/>
        <v>0</v>
      </c>
      <c r="DS338" s="7">
        <f t="shared" si="363"/>
        <v>0</v>
      </c>
      <c r="DT338" s="7">
        <f t="shared" si="364"/>
        <v>0</v>
      </c>
      <c r="DU338" s="7">
        <f t="shared" si="365"/>
        <v>0</v>
      </c>
    </row>
    <row r="339" spans="1:125" x14ac:dyDescent="0.2">
      <c r="A339" s="3">
        <f>Bonds!A339</f>
        <v>55288</v>
      </c>
      <c r="B339" s="4">
        <f>Bonds!B339</f>
        <v>2.375</v>
      </c>
      <c r="C339">
        <f>Bonds!P339</f>
        <v>50</v>
      </c>
      <c r="D339">
        <f t="shared" si="305"/>
        <v>0</v>
      </c>
      <c r="E339" s="3">
        <f>IF(1&gt;$C339,"",IF($D339=1,EOMONTH(EDATE(Bonds!$H339,6*(1-1)),0),EDATE(Bonds!$H339,6*(1-1))))</f>
        <v>46341</v>
      </c>
      <c r="F339" s="3">
        <f>IF(2&gt;$C339,"",IF($D339=1,EOMONTH(EDATE(Bonds!$H339,6*(2-1)),0),EDATE(Bonds!$H339,6*(2-1))))</f>
        <v>46522</v>
      </c>
      <c r="G339" s="3">
        <f>IF(3&gt;$C339,"",IF($D339=1,EOMONTH(EDATE(Bonds!$H339,6*(3-1)),0),EDATE(Bonds!$H339,6*(3-1))))</f>
        <v>46706</v>
      </c>
      <c r="H339" s="3">
        <f>IF(4&gt;$C339,"",IF($D339=1,EOMONTH(EDATE(Bonds!$H339,6*(4-1)),0),EDATE(Bonds!$H339,6*(4-1))))</f>
        <v>46888</v>
      </c>
      <c r="I339" s="3">
        <f>IF(5&gt;$C339,"",IF($D339=1,EOMONTH(EDATE(Bonds!$H339,6*(5-1)),0),EDATE(Bonds!$H339,6*(5-1))))</f>
        <v>47072</v>
      </c>
      <c r="J339" s="3">
        <f>IF(6&gt;$C339,"",IF($D339=1,EOMONTH(EDATE(Bonds!$H339,6*(6-1)),0),EDATE(Bonds!$H339,6*(6-1))))</f>
        <v>47253</v>
      </c>
      <c r="K339" s="3">
        <f>IF(7&gt;$C339,"",IF($D339=1,EOMONTH(EDATE(Bonds!$H339,6*(7-1)),0),EDATE(Bonds!$H339,6*(7-1))))</f>
        <v>47437</v>
      </c>
      <c r="L339" s="3">
        <f>IF(8&gt;$C339,"",IF($D339=1,EOMONTH(EDATE(Bonds!$H339,6*(8-1)),0),EDATE(Bonds!$H339,6*(8-1))))</f>
        <v>47618</v>
      </c>
      <c r="M339" s="3">
        <f>IF(9&gt;$C339,"",IF($D339=1,EOMONTH(EDATE(Bonds!$H339,6*(9-1)),0),EDATE(Bonds!$H339,6*(9-1))))</f>
        <v>47802</v>
      </c>
      <c r="N339" s="3">
        <f>IF(10&gt;$C339,"",IF($D339=1,EOMONTH(EDATE(Bonds!$H339,6*(10-1)),0),EDATE(Bonds!$H339,6*(10-1))))</f>
        <v>47983</v>
      </c>
      <c r="O339" s="3">
        <f>IF(11&gt;$C339,"",IF($D339=1,EOMONTH(EDATE(Bonds!$H339,6*(11-1)),0),EDATE(Bonds!$H339,6*(11-1))))</f>
        <v>48167</v>
      </c>
      <c r="P339" s="3">
        <f>IF(12&gt;$C339,"",IF($D339=1,EOMONTH(EDATE(Bonds!$H339,6*(12-1)),0),EDATE(Bonds!$H339,6*(12-1))))</f>
        <v>48349</v>
      </c>
      <c r="Q339" s="3">
        <f>IF(13&gt;$C339,"",IF($D339=1,EOMONTH(EDATE(Bonds!$H339,6*(13-1)),0),EDATE(Bonds!$H339,6*(13-1))))</f>
        <v>48533</v>
      </c>
      <c r="R339" s="3">
        <f>IF(14&gt;$C339,"",IF($D339=1,EOMONTH(EDATE(Bonds!$H339,6*(14-1)),0),EDATE(Bonds!$H339,6*(14-1))))</f>
        <v>48714</v>
      </c>
      <c r="S339" s="3">
        <f>IF(15&gt;$C339,"",IF($D339=1,EOMONTH(EDATE(Bonds!$H339,6*(15-1)),0),EDATE(Bonds!$H339,6*(15-1))))</f>
        <v>48898</v>
      </c>
      <c r="T339" s="3">
        <f>IF(16&gt;$C339,"",IF($D339=1,EOMONTH(EDATE(Bonds!$H339,6*(16-1)),0),EDATE(Bonds!$H339,6*(16-1))))</f>
        <v>49079</v>
      </c>
      <c r="U339" s="3">
        <f>IF(17&gt;$C339,"",IF($D339=1,EOMONTH(EDATE(Bonds!$H339,6*(17-1)),0),EDATE(Bonds!$H339,6*(17-1))))</f>
        <v>49263</v>
      </c>
      <c r="V339" s="3">
        <f>IF(18&gt;$C339,"",IF($D339=1,EOMONTH(EDATE(Bonds!$H339,6*(18-1)),0),EDATE(Bonds!$H339,6*(18-1))))</f>
        <v>49444</v>
      </c>
      <c r="W339" s="3">
        <f>IF(19&gt;$C339,"",IF($D339=1,EOMONTH(EDATE(Bonds!$H339,6*(19-1)),0),EDATE(Bonds!$H339,6*(19-1))))</f>
        <v>49628</v>
      </c>
      <c r="X339" s="3">
        <f>IF(20&gt;$C339,"",IF($D339=1,EOMONTH(EDATE(Bonds!$H339,6*(20-1)),0),EDATE(Bonds!$H339,6*(20-1))))</f>
        <v>49810</v>
      </c>
      <c r="Y339" s="3">
        <f>IF(21&gt;$C339,"",IF($D339=1,EOMONTH(EDATE(Bonds!$H339,6*(21-1)),0),EDATE(Bonds!$H339,6*(21-1))))</f>
        <v>49994</v>
      </c>
      <c r="Z339" s="3">
        <f>IF(22&gt;$C339,"",IF($D339=1,EOMONTH(EDATE(Bonds!$H339,6*(22-1)),0),EDATE(Bonds!$H339,6*(22-1))))</f>
        <v>50175</v>
      </c>
      <c r="AA339" s="3">
        <f>IF(23&gt;$C339,"",IF($D339=1,EOMONTH(EDATE(Bonds!$H339,6*(23-1)),0),EDATE(Bonds!$H339,6*(23-1))))</f>
        <v>50359</v>
      </c>
      <c r="AB339" s="3">
        <f>IF(24&gt;$C339,"",IF($D339=1,EOMONTH(EDATE(Bonds!$H339,6*(24-1)),0),EDATE(Bonds!$H339,6*(24-1))))</f>
        <v>50540</v>
      </c>
      <c r="AC339" s="3">
        <f>IF(25&gt;$C339,"",IF($D339=1,EOMONTH(EDATE(Bonds!$H339,6*(25-1)),0),EDATE(Bonds!$H339,6*(25-1))))</f>
        <v>50724</v>
      </c>
      <c r="AD339" s="3">
        <f>IF(26&gt;$C339,"",IF($D339=1,EOMONTH(EDATE(Bonds!$H339,6*(26-1)),0),EDATE(Bonds!$H339,6*(26-1))))</f>
        <v>50905</v>
      </c>
      <c r="AE339" s="3">
        <f>IF(27&gt;$C339,"",IF($D339=1,EOMONTH(EDATE(Bonds!$H339,6*(27-1)),0),EDATE(Bonds!$H339,6*(27-1))))</f>
        <v>51089</v>
      </c>
      <c r="AF339" s="3">
        <f>IF(28&gt;$C339,"",IF($D339=1,EOMONTH(EDATE(Bonds!$H339,6*(28-1)),0),EDATE(Bonds!$H339,6*(28-1))))</f>
        <v>51271</v>
      </c>
      <c r="AG339" s="3">
        <f>IF(29&gt;$C339,"",IF($D339=1,EOMONTH(EDATE(Bonds!$H339,6*(29-1)),0),EDATE(Bonds!$H339,6*(29-1))))</f>
        <v>51455</v>
      </c>
      <c r="AH339" s="3">
        <f>IF(30&gt;$C339,"",IF($D339=1,EOMONTH(EDATE(Bonds!$H339,6*(30-1)),0),EDATE(Bonds!$H339,6*(30-1))))</f>
        <v>51636</v>
      </c>
      <c r="AI339" s="3">
        <f>IF(31&gt;$C339,"",IF($D339=1,EOMONTH(EDATE(Bonds!$H339,6*(31-1)),0),EDATE(Bonds!$H339,6*(31-1))))</f>
        <v>51820</v>
      </c>
      <c r="AJ339" s="3">
        <f>IF(32&gt;$C339,"",IF($D339=1,EOMONTH(EDATE(Bonds!$H339,6*(32-1)),0),EDATE(Bonds!$H339,6*(32-1))))</f>
        <v>52001</v>
      </c>
      <c r="AK339" s="3">
        <f>IF(33&gt;$C339,"",IF($D339=1,EOMONTH(EDATE(Bonds!$H339,6*(33-1)),0),EDATE(Bonds!$H339,6*(33-1))))</f>
        <v>52185</v>
      </c>
      <c r="AL339" s="3">
        <f>IF(34&gt;$C339,"",IF($D339=1,EOMONTH(EDATE(Bonds!$H339,6*(34-1)),0),EDATE(Bonds!$H339,6*(34-1))))</f>
        <v>52366</v>
      </c>
      <c r="AM339" s="3">
        <f>IF(35&gt;$C339,"",IF($D339=1,EOMONTH(EDATE(Bonds!$H339,6*(35-1)),0),EDATE(Bonds!$H339,6*(35-1))))</f>
        <v>52550</v>
      </c>
      <c r="AN339" s="3">
        <f>IF(36&gt;$C339,"",IF($D339=1,EOMONTH(EDATE(Bonds!$H339,6*(36-1)),0),EDATE(Bonds!$H339,6*(36-1))))</f>
        <v>52732</v>
      </c>
      <c r="AO339" s="3">
        <f>IF(37&gt;$C339,"",IF($D339=1,EOMONTH(EDATE(Bonds!$H339,6*(37-1)),0),EDATE(Bonds!$H339,6*(37-1))))</f>
        <v>52916</v>
      </c>
      <c r="AP339" s="3">
        <f>IF(38&gt;$C339,"",IF($D339=1,EOMONTH(EDATE(Bonds!$H339,6*(38-1)),0),EDATE(Bonds!$H339,6*(38-1))))</f>
        <v>53097</v>
      </c>
      <c r="AQ339" s="3">
        <f>IF(39&gt;$C339,"",IF($D339=1,EOMONTH(EDATE(Bonds!$H339,6*(39-1)),0),EDATE(Bonds!$H339,6*(39-1))))</f>
        <v>53281</v>
      </c>
      <c r="AR339" s="3">
        <f>IF(40&gt;$C339,"",IF($D339=1,EOMONTH(EDATE(Bonds!$H339,6*(40-1)),0),EDATE(Bonds!$H339,6*(40-1))))</f>
        <v>53462</v>
      </c>
      <c r="AS339" s="3">
        <f>IF(41&gt;$C339,"",IF($D339=1,EOMONTH(EDATE(Bonds!$H339,6*(41-1)),0),EDATE(Bonds!$H339,6*(41-1))))</f>
        <v>53646</v>
      </c>
      <c r="AT339" s="3">
        <f>IF(42&gt;$C339,"",IF($D339=1,EOMONTH(EDATE(Bonds!$H339,6*(42-1)),0),EDATE(Bonds!$H339,6*(42-1))))</f>
        <v>53827</v>
      </c>
      <c r="AU339" s="3">
        <f>IF(43&gt;$C339,"",IF($D339=1,EOMONTH(EDATE(Bonds!$H339,6*(43-1)),0),EDATE(Bonds!$H339,6*(43-1))))</f>
        <v>54011</v>
      </c>
      <c r="AV339" s="3">
        <f>IF(44&gt;$C339,"",IF($D339=1,EOMONTH(EDATE(Bonds!$H339,6*(44-1)),0),EDATE(Bonds!$H339,6*(44-1))))</f>
        <v>54193</v>
      </c>
      <c r="AW339" s="3">
        <f>IF(45&gt;$C339,"",IF($D339=1,EOMONTH(EDATE(Bonds!$H339,6*(45-1)),0),EDATE(Bonds!$H339,6*(45-1))))</f>
        <v>54377</v>
      </c>
      <c r="AX339" s="3">
        <f>IF(46&gt;$C339,"",IF($D339=1,EOMONTH(EDATE(Bonds!$H339,6*(46-1)),0),EDATE(Bonds!$H339,6*(46-1))))</f>
        <v>54558</v>
      </c>
      <c r="AY339" s="3">
        <f>IF(47&gt;$C339,"",IF($D339=1,EOMONTH(EDATE(Bonds!$H339,6*(47-1)),0),EDATE(Bonds!$H339,6*(47-1))))</f>
        <v>54742</v>
      </c>
      <c r="AZ339" s="3">
        <f>IF(48&gt;$C339,"",IF($D339=1,EOMONTH(EDATE(Bonds!$H339,6*(48-1)),0),EDATE(Bonds!$H339,6*(48-1))))</f>
        <v>54923</v>
      </c>
      <c r="BA339" s="3">
        <f>IF(49&gt;$C339,"",IF($D339=1,EOMONTH(EDATE(Bonds!$H339,6*(49-1)),0),EDATE(Bonds!$H339,6*(49-1))))</f>
        <v>55107</v>
      </c>
      <c r="BB339" s="3">
        <f>IF(50&gt;$C339,"",IF($D339=1,EOMONTH(EDATE(Bonds!$H339,6*(50-1)),0),EDATE(Bonds!$H339,6*(50-1))))</f>
        <v>55288</v>
      </c>
      <c r="BC339" s="3" t="str">
        <f>IF(51&gt;$C339,"",IF($D339=1,EOMONTH(EDATE(Bonds!$H339,6*(51-1)),0),EDATE(Bonds!$H339,6*(51-1))))</f>
        <v/>
      </c>
      <c r="BD339" s="3" t="str">
        <f>IF(52&gt;$C339,"",IF($D339=1,EOMONTH(EDATE(Bonds!$H339,6*(52-1)),0),EDATE(Bonds!$H339,6*(52-1))))</f>
        <v/>
      </c>
      <c r="BE339" s="3" t="str">
        <f>IF(53&gt;$C339,"",IF($D339=1,EOMONTH(EDATE(Bonds!$H339,6*(53-1)),0),EDATE(Bonds!$H339,6*(53-1))))</f>
        <v/>
      </c>
      <c r="BF339" s="3" t="str">
        <f>IF(54&gt;$C339,"",IF($D339=1,EOMONTH(EDATE(Bonds!$H339,6*(54-1)),0),EDATE(Bonds!$H339,6*(54-1))))</f>
        <v/>
      </c>
      <c r="BG339" s="3" t="str">
        <f>IF(55&gt;$C339,"",IF($D339=1,EOMONTH(EDATE(Bonds!$H339,6*(55-1)),0),EDATE(Bonds!$H339,6*(55-1))))</f>
        <v/>
      </c>
      <c r="BH339" s="3" t="str">
        <f>IF(56&gt;$C339,"",IF($D339=1,EOMONTH(EDATE(Bonds!$H339,6*(56-1)),0),EDATE(Bonds!$H339,6*(56-1))))</f>
        <v/>
      </c>
      <c r="BI339" s="3" t="str">
        <f>IF(57&gt;$C339,"",IF($D339=1,EOMONTH(EDATE(Bonds!$H339,6*(57-1)),0),EDATE(Bonds!$H339,6*(57-1))))</f>
        <v/>
      </c>
      <c r="BJ339" s="3" t="str">
        <f>IF(58&gt;$C339,"",IF($D339=1,EOMONTH(EDATE(Bonds!$H339,6*(58-1)),0),EDATE(Bonds!$H339,6*(58-1))))</f>
        <v/>
      </c>
      <c r="BK339" s="3" t="str">
        <f>IF(59&gt;$C339,"",IF($D339=1,EOMONTH(EDATE(Bonds!$H339,6*(59-1)),0),EDATE(Bonds!$H339,6*(59-1))))</f>
        <v/>
      </c>
      <c r="BL339" s="3" t="str">
        <f>IF(60&gt;$C339,"",IF($D339=1,EOMONTH(EDATE(Bonds!$H339,6*(60-1)),0),EDATE(Bonds!$H339,6*(60-1))))</f>
        <v/>
      </c>
      <c r="BN339" s="7">
        <f t="shared" si="306"/>
        <v>1.1792178793375221</v>
      </c>
      <c r="BO339" s="7">
        <f t="shared" si="307"/>
        <v>1.1554054200343051</v>
      </c>
      <c r="BP339" s="7">
        <f t="shared" si="308"/>
        <v>1.1299547339026699</v>
      </c>
      <c r="BQ339" s="7">
        <f t="shared" si="309"/>
        <v>1.1046102929682995</v>
      </c>
      <c r="BR339" s="7">
        <f t="shared" si="310"/>
        <v>1.079351924166803</v>
      </c>
      <c r="BS339" s="7">
        <f t="shared" si="311"/>
        <v>1.0550723774565576</v>
      </c>
      <c r="BT339" s="7">
        <f t="shared" si="312"/>
        <v>1.0310022837301409</v>
      </c>
      <c r="BU339" s="7">
        <f t="shared" si="313"/>
        <v>1.0078738168357992</v>
      </c>
      <c r="BV339" s="7">
        <f t="shared" si="314"/>
        <v>0.98483032440099472</v>
      </c>
      <c r="BW339" s="7">
        <f t="shared" si="315"/>
        <v>0.96252968576163223</v>
      </c>
      <c r="BX339" s="7">
        <f t="shared" si="316"/>
        <v>0.94014759182264962</v>
      </c>
      <c r="BY339" s="7">
        <f t="shared" si="317"/>
        <v>0.91822826913588906</v>
      </c>
      <c r="BZ339" s="7">
        <f t="shared" si="318"/>
        <v>0.8962427283426857</v>
      </c>
      <c r="CA339" s="7">
        <f t="shared" si="319"/>
        <v>0.87475977003559524</v>
      </c>
      <c r="CB339" s="7">
        <f t="shared" si="320"/>
        <v>0.8530563907468659</v>
      </c>
      <c r="CC339" s="7">
        <f t="shared" si="321"/>
        <v>0.83184326996913516</v>
      </c>
      <c r="CD339" s="7">
        <f t="shared" si="322"/>
        <v>0.81043100569572035</v>
      </c>
      <c r="CE339" s="7">
        <f t="shared" si="323"/>
        <v>0.78953899266813254</v>
      </c>
      <c r="CF339" s="7">
        <f t="shared" si="324"/>
        <v>0.76850155763394412</v>
      </c>
      <c r="CG339" s="7">
        <f t="shared" si="325"/>
        <v>0.74792158200605818</v>
      </c>
      <c r="CH339" s="7">
        <f t="shared" si="326"/>
        <v>0.72737807771613017</v>
      </c>
      <c r="CI339" s="7">
        <f t="shared" si="327"/>
        <v>0.70745755428168489</v>
      </c>
      <c r="CJ339" s="7">
        <f t="shared" si="328"/>
        <v>0.68752943465649641</v>
      </c>
      <c r="CK339" s="7">
        <f t="shared" si="329"/>
        <v>0.66827070306049108</v>
      </c>
      <c r="CL339" s="7">
        <f t="shared" si="330"/>
        <v>0.64906815548396224</v>
      </c>
      <c r="CM339" s="7">
        <f t="shared" si="331"/>
        <v>0.63056980411106311</v>
      </c>
      <c r="CN339" s="7">
        <f t="shared" si="332"/>
        <v>0.61218171579133196</v>
      </c>
      <c r="CO339" s="7">
        <f t="shared" si="333"/>
        <v>0.59442293566712301</v>
      </c>
      <c r="CP339" s="7">
        <f t="shared" si="334"/>
        <v>0.57691632084172739</v>
      </c>
      <c r="CQ339" s="7">
        <f t="shared" si="335"/>
        <v>0.56014390852378537</v>
      </c>
      <c r="CR339" s="7">
        <f t="shared" si="336"/>
        <v>0.54355706666914527</v>
      </c>
      <c r="CS339" s="7">
        <f t="shared" si="337"/>
        <v>0.52770133332098668</v>
      </c>
      <c r="CT339" s="7">
        <f t="shared" si="338"/>
        <v>0.51205348842042886</v>
      </c>
      <c r="CU339" s="7">
        <f t="shared" si="339"/>
        <v>0.49712400550821589</v>
      </c>
      <c r="CV339" s="7">
        <f t="shared" si="340"/>
        <v>0.48241626739993249</v>
      </c>
      <c r="CW339" s="7">
        <f t="shared" si="341"/>
        <v>0.46833036098621084</v>
      </c>
      <c r="CX339" s="7">
        <f t="shared" si="342"/>
        <v>0.45455172694144497</v>
      </c>
      <c r="CY339" s="7">
        <f t="shared" si="343"/>
        <v>0.44144488420980332</v>
      </c>
      <c r="CZ339" s="7">
        <f t="shared" si="344"/>
        <v>0.42856795055974078</v>
      </c>
      <c r="DA339" s="7">
        <f t="shared" si="345"/>
        <v>0.41633265042447026</v>
      </c>
      <c r="DB339" s="7">
        <f t="shared" si="346"/>
        <v>0.40432423988801686</v>
      </c>
      <c r="DC339" s="7">
        <f t="shared" si="347"/>
        <v>0.39292470302371529</v>
      </c>
      <c r="DD339" s="7">
        <f t="shared" si="348"/>
        <v>0.38174582469624047</v>
      </c>
      <c r="DE339" s="7">
        <f t="shared" si="349"/>
        <v>0.3710841049597165</v>
      </c>
      <c r="DF339" s="7">
        <f t="shared" si="350"/>
        <v>0.36069413214196211</v>
      </c>
      <c r="DG339" s="7">
        <f t="shared" si="351"/>
        <v>0.35084406076604163</v>
      </c>
      <c r="DH339" s="7">
        <f t="shared" si="352"/>
        <v>0.34119599601504275</v>
      </c>
      <c r="DI339" s="7">
        <f t="shared" si="353"/>
        <v>0.33205336841319932</v>
      </c>
      <c r="DJ339" s="7">
        <f t="shared" si="354"/>
        <v>0.32310168688095287</v>
      </c>
      <c r="DK339" s="7">
        <f t="shared" si="355"/>
        <v>26.809084145526274</v>
      </c>
      <c r="DL339" s="7">
        <f t="shared" si="356"/>
        <v>0</v>
      </c>
      <c r="DM339" s="7">
        <f t="shared" si="357"/>
        <v>0</v>
      </c>
      <c r="DN339" s="7">
        <f t="shared" si="358"/>
        <v>0</v>
      </c>
      <c r="DO339" s="7">
        <f t="shared" si="359"/>
        <v>0</v>
      </c>
      <c r="DP339" s="7">
        <f t="shared" si="360"/>
        <v>0</v>
      </c>
      <c r="DQ339" s="7">
        <f t="shared" si="361"/>
        <v>0</v>
      </c>
      <c r="DR339" s="7">
        <f t="shared" si="362"/>
        <v>0</v>
      </c>
      <c r="DS339" s="7">
        <f t="shared" si="363"/>
        <v>0</v>
      </c>
      <c r="DT339" s="7">
        <f t="shared" si="364"/>
        <v>0</v>
      </c>
      <c r="DU339" s="7">
        <f t="shared" si="365"/>
        <v>0</v>
      </c>
    </row>
    <row r="340" spans="1:125" x14ac:dyDescent="0.2">
      <c r="A340" s="3">
        <f>Bonds!A340</f>
        <v>55380</v>
      </c>
      <c r="B340" s="4">
        <f>Bonds!B340</f>
        <v>2</v>
      </c>
      <c r="C340">
        <f>Bonds!P340</f>
        <v>50</v>
      </c>
      <c r="D340">
        <f t="shared" si="305"/>
        <v>0</v>
      </c>
      <c r="E340" s="3">
        <f>IF(1&gt;$C340,"",IF($D340=1,EOMONTH(EDATE(Bonds!$H340,6*(1-1)),0),EDATE(Bonds!$H340,6*(1-1))))</f>
        <v>46433</v>
      </c>
      <c r="F340" s="3">
        <f>IF(2&gt;$C340,"",IF($D340=1,EOMONTH(EDATE(Bonds!$H340,6*(2-1)),0),EDATE(Bonds!$H340,6*(2-1))))</f>
        <v>46614</v>
      </c>
      <c r="G340" s="3">
        <f>IF(3&gt;$C340,"",IF($D340=1,EOMONTH(EDATE(Bonds!$H340,6*(3-1)),0),EDATE(Bonds!$H340,6*(3-1))))</f>
        <v>46798</v>
      </c>
      <c r="H340" s="3">
        <f>IF(4&gt;$C340,"",IF($D340=1,EOMONTH(EDATE(Bonds!$H340,6*(4-1)),0),EDATE(Bonds!$H340,6*(4-1))))</f>
        <v>46980</v>
      </c>
      <c r="I340" s="3">
        <f>IF(5&gt;$C340,"",IF($D340=1,EOMONTH(EDATE(Bonds!$H340,6*(5-1)),0),EDATE(Bonds!$H340,6*(5-1))))</f>
        <v>47164</v>
      </c>
      <c r="J340" s="3">
        <f>IF(6&gt;$C340,"",IF($D340=1,EOMONTH(EDATE(Bonds!$H340,6*(6-1)),0),EDATE(Bonds!$H340,6*(6-1))))</f>
        <v>47345</v>
      </c>
      <c r="K340" s="3">
        <f>IF(7&gt;$C340,"",IF($D340=1,EOMONTH(EDATE(Bonds!$H340,6*(7-1)),0),EDATE(Bonds!$H340,6*(7-1))))</f>
        <v>47529</v>
      </c>
      <c r="L340" s="3">
        <f>IF(8&gt;$C340,"",IF($D340=1,EOMONTH(EDATE(Bonds!$H340,6*(8-1)),0),EDATE(Bonds!$H340,6*(8-1))))</f>
        <v>47710</v>
      </c>
      <c r="M340" s="3">
        <f>IF(9&gt;$C340,"",IF($D340=1,EOMONTH(EDATE(Bonds!$H340,6*(9-1)),0),EDATE(Bonds!$H340,6*(9-1))))</f>
        <v>47894</v>
      </c>
      <c r="N340" s="3">
        <f>IF(10&gt;$C340,"",IF($D340=1,EOMONTH(EDATE(Bonds!$H340,6*(10-1)),0),EDATE(Bonds!$H340,6*(10-1))))</f>
        <v>48075</v>
      </c>
      <c r="O340" s="3">
        <f>IF(11&gt;$C340,"",IF($D340=1,EOMONTH(EDATE(Bonds!$H340,6*(11-1)),0),EDATE(Bonds!$H340,6*(11-1))))</f>
        <v>48259</v>
      </c>
      <c r="P340" s="3">
        <f>IF(12&gt;$C340,"",IF($D340=1,EOMONTH(EDATE(Bonds!$H340,6*(12-1)),0),EDATE(Bonds!$H340,6*(12-1))))</f>
        <v>48441</v>
      </c>
      <c r="Q340" s="3">
        <f>IF(13&gt;$C340,"",IF($D340=1,EOMONTH(EDATE(Bonds!$H340,6*(13-1)),0),EDATE(Bonds!$H340,6*(13-1))))</f>
        <v>48625</v>
      </c>
      <c r="R340" s="3">
        <f>IF(14&gt;$C340,"",IF($D340=1,EOMONTH(EDATE(Bonds!$H340,6*(14-1)),0),EDATE(Bonds!$H340,6*(14-1))))</f>
        <v>48806</v>
      </c>
      <c r="S340" s="3">
        <f>IF(15&gt;$C340,"",IF($D340=1,EOMONTH(EDATE(Bonds!$H340,6*(15-1)),0),EDATE(Bonds!$H340,6*(15-1))))</f>
        <v>48990</v>
      </c>
      <c r="T340" s="3">
        <f>IF(16&gt;$C340,"",IF($D340=1,EOMONTH(EDATE(Bonds!$H340,6*(16-1)),0),EDATE(Bonds!$H340,6*(16-1))))</f>
        <v>49171</v>
      </c>
      <c r="U340" s="3">
        <f>IF(17&gt;$C340,"",IF($D340=1,EOMONTH(EDATE(Bonds!$H340,6*(17-1)),0),EDATE(Bonds!$H340,6*(17-1))))</f>
        <v>49355</v>
      </c>
      <c r="V340" s="3">
        <f>IF(18&gt;$C340,"",IF($D340=1,EOMONTH(EDATE(Bonds!$H340,6*(18-1)),0),EDATE(Bonds!$H340,6*(18-1))))</f>
        <v>49536</v>
      </c>
      <c r="W340" s="3">
        <f>IF(19&gt;$C340,"",IF($D340=1,EOMONTH(EDATE(Bonds!$H340,6*(19-1)),0),EDATE(Bonds!$H340,6*(19-1))))</f>
        <v>49720</v>
      </c>
      <c r="X340" s="3">
        <f>IF(20&gt;$C340,"",IF($D340=1,EOMONTH(EDATE(Bonds!$H340,6*(20-1)),0),EDATE(Bonds!$H340,6*(20-1))))</f>
        <v>49902</v>
      </c>
      <c r="Y340" s="3">
        <f>IF(21&gt;$C340,"",IF($D340=1,EOMONTH(EDATE(Bonds!$H340,6*(21-1)),0),EDATE(Bonds!$H340,6*(21-1))))</f>
        <v>50086</v>
      </c>
      <c r="Z340" s="3">
        <f>IF(22&gt;$C340,"",IF($D340=1,EOMONTH(EDATE(Bonds!$H340,6*(22-1)),0),EDATE(Bonds!$H340,6*(22-1))))</f>
        <v>50267</v>
      </c>
      <c r="AA340" s="3">
        <f>IF(23&gt;$C340,"",IF($D340=1,EOMONTH(EDATE(Bonds!$H340,6*(23-1)),0),EDATE(Bonds!$H340,6*(23-1))))</f>
        <v>50451</v>
      </c>
      <c r="AB340" s="3">
        <f>IF(24&gt;$C340,"",IF($D340=1,EOMONTH(EDATE(Bonds!$H340,6*(24-1)),0),EDATE(Bonds!$H340,6*(24-1))))</f>
        <v>50632</v>
      </c>
      <c r="AC340" s="3">
        <f>IF(25&gt;$C340,"",IF($D340=1,EOMONTH(EDATE(Bonds!$H340,6*(25-1)),0),EDATE(Bonds!$H340,6*(25-1))))</f>
        <v>50816</v>
      </c>
      <c r="AD340" s="3">
        <f>IF(26&gt;$C340,"",IF($D340=1,EOMONTH(EDATE(Bonds!$H340,6*(26-1)),0),EDATE(Bonds!$H340,6*(26-1))))</f>
        <v>50997</v>
      </c>
      <c r="AE340" s="3">
        <f>IF(27&gt;$C340,"",IF($D340=1,EOMONTH(EDATE(Bonds!$H340,6*(27-1)),0),EDATE(Bonds!$H340,6*(27-1))))</f>
        <v>51181</v>
      </c>
      <c r="AF340" s="3">
        <f>IF(28&gt;$C340,"",IF($D340=1,EOMONTH(EDATE(Bonds!$H340,6*(28-1)),0),EDATE(Bonds!$H340,6*(28-1))))</f>
        <v>51363</v>
      </c>
      <c r="AG340" s="3">
        <f>IF(29&gt;$C340,"",IF($D340=1,EOMONTH(EDATE(Bonds!$H340,6*(29-1)),0),EDATE(Bonds!$H340,6*(29-1))))</f>
        <v>51547</v>
      </c>
      <c r="AH340" s="3">
        <f>IF(30&gt;$C340,"",IF($D340=1,EOMONTH(EDATE(Bonds!$H340,6*(30-1)),0),EDATE(Bonds!$H340,6*(30-1))))</f>
        <v>51728</v>
      </c>
      <c r="AI340" s="3">
        <f>IF(31&gt;$C340,"",IF($D340=1,EOMONTH(EDATE(Bonds!$H340,6*(31-1)),0),EDATE(Bonds!$H340,6*(31-1))))</f>
        <v>51912</v>
      </c>
      <c r="AJ340" s="3">
        <f>IF(32&gt;$C340,"",IF($D340=1,EOMONTH(EDATE(Bonds!$H340,6*(32-1)),0),EDATE(Bonds!$H340,6*(32-1))))</f>
        <v>52093</v>
      </c>
      <c r="AK340" s="3">
        <f>IF(33&gt;$C340,"",IF($D340=1,EOMONTH(EDATE(Bonds!$H340,6*(33-1)),0),EDATE(Bonds!$H340,6*(33-1))))</f>
        <v>52277</v>
      </c>
      <c r="AL340" s="3">
        <f>IF(34&gt;$C340,"",IF($D340=1,EOMONTH(EDATE(Bonds!$H340,6*(34-1)),0),EDATE(Bonds!$H340,6*(34-1))))</f>
        <v>52458</v>
      </c>
      <c r="AM340" s="3">
        <f>IF(35&gt;$C340,"",IF($D340=1,EOMONTH(EDATE(Bonds!$H340,6*(35-1)),0),EDATE(Bonds!$H340,6*(35-1))))</f>
        <v>52642</v>
      </c>
      <c r="AN340" s="3">
        <f>IF(36&gt;$C340,"",IF($D340=1,EOMONTH(EDATE(Bonds!$H340,6*(36-1)),0),EDATE(Bonds!$H340,6*(36-1))))</f>
        <v>52824</v>
      </c>
      <c r="AO340" s="3">
        <f>IF(37&gt;$C340,"",IF($D340=1,EOMONTH(EDATE(Bonds!$H340,6*(37-1)),0),EDATE(Bonds!$H340,6*(37-1))))</f>
        <v>53008</v>
      </c>
      <c r="AP340" s="3">
        <f>IF(38&gt;$C340,"",IF($D340=1,EOMONTH(EDATE(Bonds!$H340,6*(38-1)),0),EDATE(Bonds!$H340,6*(38-1))))</f>
        <v>53189</v>
      </c>
      <c r="AQ340" s="3">
        <f>IF(39&gt;$C340,"",IF($D340=1,EOMONTH(EDATE(Bonds!$H340,6*(39-1)),0),EDATE(Bonds!$H340,6*(39-1))))</f>
        <v>53373</v>
      </c>
      <c r="AR340" s="3">
        <f>IF(40&gt;$C340,"",IF($D340=1,EOMONTH(EDATE(Bonds!$H340,6*(40-1)),0),EDATE(Bonds!$H340,6*(40-1))))</f>
        <v>53554</v>
      </c>
      <c r="AS340" s="3">
        <f>IF(41&gt;$C340,"",IF($D340=1,EOMONTH(EDATE(Bonds!$H340,6*(41-1)),0),EDATE(Bonds!$H340,6*(41-1))))</f>
        <v>53738</v>
      </c>
      <c r="AT340" s="3">
        <f>IF(42&gt;$C340,"",IF($D340=1,EOMONTH(EDATE(Bonds!$H340,6*(42-1)),0),EDATE(Bonds!$H340,6*(42-1))))</f>
        <v>53919</v>
      </c>
      <c r="AU340" s="3">
        <f>IF(43&gt;$C340,"",IF($D340=1,EOMONTH(EDATE(Bonds!$H340,6*(43-1)),0),EDATE(Bonds!$H340,6*(43-1))))</f>
        <v>54103</v>
      </c>
      <c r="AV340" s="3">
        <f>IF(44&gt;$C340,"",IF($D340=1,EOMONTH(EDATE(Bonds!$H340,6*(44-1)),0),EDATE(Bonds!$H340,6*(44-1))))</f>
        <v>54285</v>
      </c>
      <c r="AW340" s="3">
        <f>IF(45&gt;$C340,"",IF($D340=1,EOMONTH(EDATE(Bonds!$H340,6*(45-1)),0),EDATE(Bonds!$H340,6*(45-1))))</f>
        <v>54469</v>
      </c>
      <c r="AX340" s="3">
        <f>IF(46&gt;$C340,"",IF($D340=1,EOMONTH(EDATE(Bonds!$H340,6*(46-1)),0),EDATE(Bonds!$H340,6*(46-1))))</f>
        <v>54650</v>
      </c>
      <c r="AY340" s="3">
        <f>IF(47&gt;$C340,"",IF($D340=1,EOMONTH(EDATE(Bonds!$H340,6*(47-1)),0),EDATE(Bonds!$H340,6*(47-1))))</f>
        <v>54834</v>
      </c>
      <c r="AZ340" s="3">
        <f>IF(48&gt;$C340,"",IF($D340=1,EOMONTH(EDATE(Bonds!$H340,6*(48-1)),0),EDATE(Bonds!$H340,6*(48-1))))</f>
        <v>55015</v>
      </c>
      <c r="BA340" s="3">
        <f>IF(49&gt;$C340,"",IF($D340=1,EOMONTH(EDATE(Bonds!$H340,6*(49-1)),0),EDATE(Bonds!$H340,6*(49-1))))</f>
        <v>55199</v>
      </c>
      <c r="BB340" s="3">
        <f>IF(50&gt;$C340,"",IF($D340=1,EOMONTH(EDATE(Bonds!$H340,6*(50-1)),0),EDATE(Bonds!$H340,6*(50-1))))</f>
        <v>55380</v>
      </c>
      <c r="BC340" s="3" t="str">
        <f>IF(51&gt;$C340,"",IF($D340=1,EOMONTH(EDATE(Bonds!$H340,6*(51-1)),0),EDATE(Bonds!$H340,6*(51-1))))</f>
        <v/>
      </c>
      <c r="BD340" s="3" t="str">
        <f>IF(52&gt;$C340,"",IF($D340=1,EOMONTH(EDATE(Bonds!$H340,6*(52-1)),0),EDATE(Bonds!$H340,6*(52-1))))</f>
        <v/>
      </c>
      <c r="BE340" s="3" t="str">
        <f>IF(53&gt;$C340,"",IF($D340=1,EOMONTH(EDATE(Bonds!$H340,6*(53-1)),0),EDATE(Bonds!$H340,6*(53-1))))</f>
        <v/>
      </c>
      <c r="BF340" s="3" t="str">
        <f>IF(54&gt;$C340,"",IF($D340=1,EOMONTH(EDATE(Bonds!$H340,6*(54-1)),0),EDATE(Bonds!$H340,6*(54-1))))</f>
        <v/>
      </c>
      <c r="BG340" s="3" t="str">
        <f>IF(55&gt;$C340,"",IF($D340=1,EOMONTH(EDATE(Bonds!$H340,6*(55-1)),0),EDATE(Bonds!$H340,6*(55-1))))</f>
        <v/>
      </c>
      <c r="BH340" s="3" t="str">
        <f>IF(56&gt;$C340,"",IF($D340=1,EOMONTH(EDATE(Bonds!$H340,6*(56-1)),0),EDATE(Bonds!$H340,6*(56-1))))</f>
        <v/>
      </c>
      <c r="BI340" s="3" t="str">
        <f>IF(57&gt;$C340,"",IF($D340=1,EOMONTH(EDATE(Bonds!$H340,6*(57-1)),0),EDATE(Bonds!$H340,6*(57-1))))</f>
        <v/>
      </c>
      <c r="BJ340" s="3" t="str">
        <f>IF(58&gt;$C340,"",IF($D340=1,EOMONTH(EDATE(Bonds!$H340,6*(58-1)),0),EDATE(Bonds!$H340,6*(58-1))))</f>
        <v/>
      </c>
      <c r="BK340" s="3" t="str">
        <f>IF(59&gt;$C340,"",IF($D340=1,EOMONTH(EDATE(Bonds!$H340,6*(59-1)),0),EDATE(Bonds!$H340,6*(59-1))))</f>
        <v/>
      </c>
      <c r="BL340" s="3" t="str">
        <f>IF(60&gt;$C340,"",IF($D340=1,EOMONTH(EDATE(Bonds!$H340,6*(60-1)),0),EDATE(Bonds!$H340,6*(60-1))))</f>
        <v/>
      </c>
      <c r="BN340" s="7">
        <f t="shared" si="306"/>
        <v>0.9830394822810179</v>
      </c>
      <c r="BO340" s="7">
        <f t="shared" si="307"/>
        <v>0.96231865784738835</v>
      </c>
      <c r="BP340" s="7">
        <f t="shared" si="308"/>
        <v>0.94073410783736111</v>
      </c>
      <c r="BQ340" s="7">
        <f t="shared" si="309"/>
        <v>0.91950847259293444</v>
      </c>
      <c r="BR340" s="7">
        <f t="shared" si="310"/>
        <v>0.89847211641180147</v>
      </c>
      <c r="BS340" s="7">
        <f t="shared" si="311"/>
        <v>0.87828400972284848</v>
      </c>
      <c r="BT340" s="7">
        <f t="shared" si="312"/>
        <v>0.85825973458320004</v>
      </c>
      <c r="BU340" s="7">
        <f t="shared" si="313"/>
        <v>0.83898876041202186</v>
      </c>
      <c r="BV340" s="7">
        <f t="shared" si="314"/>
        <v>0.81975179924466768</v>
      </c>
      <c r="BW340" s="7">
        <f t="shared" si="315"/>
        <v>0.80110062629565637</v>
      </c>
      <c r="BX340" s="7">
        <f t="shared" si="316"/>
        <v>0.7823525003704026</v>
      </c>
      <c r="BY340" s="7">
        <f t="shared" si="317"/>
        <v>0.76397113589939281</v>
      </c>
      <c r="BZ340" s="7">
        <f t="shared" si="318"/>
        <v>0.74552115452179701</v>
      </c>
      <c r="CA340" s="7">
        <f t="shared" si="319"/>
        <v>0.72748722836879764</v>
      </c>
      <c r="CB340" s="7">
        <f t="shared" si="320"/>
        <v>0.70926862502011845</v>
      </c>
      <c r="CC340" s="7">
        <f t="shared" si="321"/>
        <v>0.69146671135081017</v>
      </c>
      <c r="CD340" s="7">
        <f t="shared" si="322"/>
        <v>0.6735066069686213</v>
      </c>
      <c r="CE340" s="7">
        <f t="shared" si="323"/>
        <v>0.65599421888372744</v>
      </c>
      <c r="CF340" s="7">
        <f t="shared" si="324"/>
        <v>0.63837316398248833</v>
      </c>
      <c r="CG340" s="7">
        <f t="shared" si="325"/>
        <v>0.62114935044595887</v>
      </c>
      <c r="CH340" s="7">
        <f t="shared" si="326"/>
        <v>0.60397066701235502</v>
      </c>
      <c r="CI340" s="7">
        <f t="shared" si="327"/>
        <v>0.587327197260751</v>
      </c>
      <c r="CJ340" s="7">
        <f t="shared" si="328"/>
        <v>0.57069150698587723</v>
      </c>
      <c r="CK340" s="7">
        <f t="shared" si="329"/>
        <v>0.55462791621453078</v>
      </c>
      <c r="CL340" s="7">
        <f t="shared" si="330"/>
        <v>0.53862395999170809</v>
      </c>
      <c r="CM340" s="7">
        <f t="shared" si="331"/>
        <v>0.52321864219623182</v>
      </c>
      <c r="CN340" s="7">
        <f t="shared" si="332"/>
        <v>0.50791620040933938</v>
      </c>
      <c r="CO340" s="7">
        <f t="shared" si="333"/>
        <v>0.49314753863921917</v>
      </c>
      <c r="CP340" s="7">
        <f t="shared" si="334"/>
        <v>0.47859788145605092</v>
      </c>
      <c r="CQ340" s="7">
        <f t="shared" si="335"/>
        <v>0.4646667018906101</v>
      </c>
      <c r="CR340" s="7">
        <f t="shared" si="336"/>
        <v>0.45089726802862662</v>
      </c>
      <c r="CS340" s="7">
        <f t="shared" si="337"/>
        <v>0.43774149806326207</v>
      </c>
      <c r="CT340" s="7">
        <f t="shared" si="338"/>
        <v>0.42476435597976525</v>
      </c>
      <c r="CU340" s="7">
        <f t="shared" si="339"/>
        <v>0.41238836442723842</v>
      </c>
      <c r="CV340" s="7">
        <f t="shared" si="340"/>
        <v>0.40020106976817749</v>
      </c>
      <c r="CW340" s="7">
        <f t="shared" si="341"/>
        <v>0.3885333359067315</v>
      </c>
      <c r="CX340" s="7">
        <f t="shared" si="342"/>
        <v>0.37712395564705226</v>
      </c>
      <c r="CY340" s="7">
        <f t="shared" si="343"/>
        <v>0.36627416213252778</v>
      </c>
      <c r="CZ340" s="7">
        <f t="shared" si="344"/>
        <v>0.35561763811239483</v>
      </c>
      <c r="DA340" s="7">
        <f t="shared" si="345"/>
        <v>0.34549464759004334</v>
      </c>
      <c r="DB340" s="7">
        <f t="shared" si="346"/>
        <v>0.33556162159547359</v>
      </c>
      <c r="DC340" s="7">
        <f t="shared" si="347"/>
        <v>0.32613415366492365</v>
      </c>
      <c r="DD340" s="7">
        <f t="shared" si="348"/>
        <v>0.31689084822809577</v>
      </c>
      <c r="DE340" s="7">
        <f t="shared" si="349"/>
        <v>0.30807658342999295</v>
      </c>
      <c r="DF340" s="7">
        <f t="shared" si="350"/>
        <v>0.29948820369246337</v>
      </c>
      <c r="DG340" s="7">
        <f t="shared" si="351"/>
        <v>0.29134712451083961</v>
      </c>
      <c r="DH340" s="7">
        <f t="shared" si="352"/>
        <v>0.28337386817409926</v>
      </c>
      <c r="DI340" s="7">
        <f t="shared" si="353"/>
        <v>0.27581901432347455</v>
      </c>
      <c r="DJ340" s="7">
        <f t="shared" si="354"/>
        <v>0.26842252928085214</v>
      </c>
      <c r="DK340" s="7">
        <f t="shared" si="355"/>
        <v>26.403044754847411</v>
      </c>
      <c r="DL340" s="7">
        <f t="shared" si="356"/>
        <v>0</v>
      </c>
      <c r="DM340" s="7">
        <f t="shared" si="357"/>
        <v>0</v>
      </c>
      <c r="DN340" s="7">
        <f t="shared" si="358"/>
        <v>0</v>
      </c>
      <c r="DO340" s="7">
        <f t="shared" si="359"/>
        <v>0</v>
      </c>
      <c r="DP340" s="7">
        <f t="shared" si="360"/>
        <v>0</v>
      </c>
      <c r="DQ340" s="7">
        <f t="shared" si="361"/>
        <v>0</v>
      </c>
      <c r="DR340" s="7">
        <f t="shared" si="362"/>
        <v>0</v>
      </c>
      <c r="DS340" s="7">
        <f t="shared" si="363"/>
        <v>0</v>
      </c>
      <c r="DT340" s="7">
        <f t="shared" si="364"/>
        <v>0</v>
      </c>
      <c r="DU340" s="7">
        <f t="shared" si="365"/>
        <v>0</v>
      </c>
    </row>
    <row r="341" spans="1:125" x14ac:dyDescent="0.2">
      <c r="A341" s="3">
        <f>Bonds!A341</f>
        <v>55472</v>
      </c>
      <c r="B341" s="4">
        <f>Bonds!B341</f>
        <v>1.875</v>
      </c>
      <c r="C341">
        <f>Bonds!P341</f>
        <v>51</v>
      </c>
      <c r="D341">
        <f t="shared" si="305"/>
        <v>0</v>
      </c>
      <c r="E341" s="3">
        <f>IF(1&gt;$C341,"",IF($D341=1,EOMONTH(EDATE(Bonds!$H341,6*(1-1)),0),EDATE(Bonds!$H341,6*(1-1))))</f>
        <v>46341</v>
      </c>
      <c r="F341" s="3">
        <f>IF(2&gt;$C341,"",IF($D341=1,EOMONTH(EDATE(Bonds!$H341,6*(2-1)),0),EDATE(Bonds!$H341,6*(2-1))))</f>
        <v>46522</v>
      </c>
      <c r="G341" s="3">
        <f>IF(3&gt;$C341,"",IF($D341=1,EOMONTH(EDATE(Bonds!$H341,6*(3-1)),0),EDATE(Bonds!$H341,6*(3-1))))</f>
        <v>46706</v>
      </c>
      <c r="H341" s="3">
        <f>IF(4&gt;$C341,"",IF($D341=1,EOMONTH(EDATE(Bonds!$H341,6*(4-1)),0),EDATE(Bonds!$H341,6*(4-1))))</f>
        <v>46888</v>
      </c>
      <c r="I341" s="3">
        <f>IF(5&gt;$C341,"",IF($D341=1,EOMONTH(EDATE(Bonds!$H341,6*(5-1)),0),EDATE(Bonds!$H341,6*(5-1))))</f>
        <v>47072</v>
      </c>
      <c r="J341" s="3">
        <f>IF(6&gt;$C341,"",IF($D341=1,EOMONTH(EDATE(Bonds!$H341,6*(6-1)),0),EDATE(Bonds!$H341,6*(6-1))))</f>
        <v>47253</v>
      </c>
      <c r="K341" s="3">
        <f>IF(7&gt;$C341,"",IF($D341=1,EOMONTH(EDATE(Bonds!$H341,6*(7-1)),0),EDATE(Bonds!$H341,6*(7-1))))</f>
        <v>47437</v>
      </c>
      <c r="L341" s="3">
        <f>IF(8&gt;$C341,"",IF($D341=1,EOMONTH(EDATE(Bonds!$H341,6*(8-1)),0),EDATE(Bonds!$H341,6*(8-1))))</f>
        <v>47618</v>
      </c>
      <c r="M341" s="3">
        <f>IF(9&gt;$C341,"",IF($D341=1,EOMONTH(EDATE(Bonds!$H341,6*(9-1)),0),EDATE(Bonds!$H341,6*(9-1))))</f>
        <v>47802</v>
      </c>
      <c r="N341" s="3">
        <f>IF(10&gt;$C341,"",IF($D341=1,EOMONTH(EDATE(Bonds!$H341,6*(10-1)),0),EDATE(Bonds!$H341,6*(10-1))))</f>
        <v>47983</v>
      </c>
      <c r="O341" s="3">
        <f>IF(11&gt;$C341,"",IF($D341=1,EOMONTH(EDATE(Bonds!$H341,6*(11-1)),0),EDATE(Bonds!$H341,6*(11-1))))</f>
        <v>48167</v>
      </c>
      <c r="P341" s="3">
        <f>IF(12&gt;$C341,"",IF($D341=1,EOMONTH(EDATE(Bonds!$H341,6*(12-1)),0),EDATE(Bonds!$H341,6*(12-1))))</f>
        <v>48349</v>
      </c>
      <c r="Q341" s="3">
        <f>IF(13&gt;$C341,"",IF($D341=1,EOMONTH(EDATE(Bonds!$H341,6*(13-1)),0),EDATE(Bonds!$H341,6*(13-1))))</f>
        <v>48533</v>
      </c>
      <c r="R341" s="3">
        <f>IF(14&gt;$C341,"",IF($D341=1,EOMONTH(EDATE(Bonds!$H341,6*(14-1)),0),EDATE(Bonds!$H341,6*(14-1))))</f>
        <v>48714</v>
      </c>
      <c r="S341" s="3">
        <f>IF(15&gt;$C341,"",IF($D341=1,EOMONTH(EDATE(Bonds!$H341,6*(15-1)),0),EDATE(Bonds!$H341,6*(15-1))))</f>
        <v>48898</v>
      </c>
      <c r="T341" s="3">
        <f>IF(16&gt;$C341,"",IF($D341=1,EOMONTH(EDATE(Bonds!$H341,6*(16-1)),0),EDATE(Bonds!$H341,6*(16-1))))</f>
        <v>49079</v>
      </c>
      <c r="U341" s="3">
        <f>IF(17&gt;$C341,"",IF($D341=1,EOMONTH(EDATE(Bonds!$H341,6*(17-1)),0),EDATE(Bonds!$H341,6*(17-1))))</f>
        <v>49263</v>
      </c>
      <c r="V341" s="3">
        <f>IF(18&gt;$C341,"",IF($D341=1,EOMONTH(EDATE(Bonds!$H341,6*(18-1)),0),EDATE(Bonds!$H341,6*(18-1))))</f>
        <v>49444</v>
      </c>
      <c r="W341" s="3">
        <f>IF(19&gt;$C341,"",IF($D341=1,EOMONTH(EDATE(Bonds!$H341,6*(19-1)),0),EDATE(Bonds!$H341,6*(19-1))))</f>
        <v>49628</v>
      </c>
      <c r="X341" s="3">
        <f>IF(20&gt;$C341,"",IF($D341=1,EOMONTH(EDATE(Bonds!$H341,6*(20-1)),0),EDATE(Bonds!$H341,6*(20-1))))</f>
        <v>49810</v>
      </c>
      <c r="Y341" s="3">
        <f>IF(21&gt;$C341,"",IF($D341=1,EOMONTH(EDATE(Bonds!$H341,6*(21-1)),0),EDATE(Bonds!$H341,6*(21-1))))</f>
        <v>49994</v>
      </c>
      <c r="Z341" s="3">
        <f>IF(22&gt;$C341,"",IF($D341=1,EOMONTH(EDATE(Bonds!$H341,6*(22-1)),0),EDATE(Bonds!$H341,6*(22-1))))</f>
        <v>50175</v>
      </c>
      <c r="AA341" s="3">
        <f>IF(23&gt;$C341,"",IF($D341=1,EOMONTH(EDATE(Bonds!$H341,6*(23-1)),0),EDATE(Bonds!$H341,6*(23-1))))</f>
        <v>50359</v>
      </c>
      <c r="AB341" s="3">
        <f>IF(24&gt;$C341,"",IF($D341=1,EOMONTH(EDATE(Bonds!$H341,6*(24-1)),0),EDATE(Bonds!$H341,6*(24-1))))</f>
        <v>50540</v>
      </c>
      <c r="AC341" s="3">
        <f>IF(25&gt;$C341,"",IF($D341=1,EOMONTH(EDATE(Bonds!$H341,6*(25-1)),0),EDATE(Bonds!$H341,6*(25-1))))</f>
        <v>50724</v>
      </c>
      <c r="AD341" s="3">
        <f>IF(26&gt;$C341,"",IF($D341=1,EOMONTH(EDATE(Bonds!$H341,6*(26-1)),0),EDATE(Bonds!$H341,6*(26-1))))</f>
        <v>50905</v>
      </c>
      <c r="AE341" s="3">
        <f>IF(27&gt;$C341,"",IF($D341=1,EOMONTH(EDATE(Bonds!$H341,6*(27-1)),0),EDATE(Bonds!$H341,6*(27-1))))</f>
        <v>51089</v>
      </c>
      <c r="AF341" s="3">
        <f>IF(28&gt;$C341,"",IF($D341=1,EOMONTH(EDATE(Bonds!$H341,6*(28-1)),0),EDATE(Bonds!$H341,6*(28-1))))</f>
        <v>51271</v>
      </c>
      <c r="AG341" s="3">
        <f>IF(29&gt;$C341,"",IF($D341=1,EOMONTH(EDATE(Bonds!$H341,6*(29-1)),0),EDATE(Bonds!$H341,6*(29-1))))</f>
        <v>51455</v>
      </c>
      <c r="AH341" s="3">
        <f>IF(30&gt;$C341,"",IF($D341=1,EOMONTH(EDATE(Bonds!$H341,6*(30-1)),0),EDATE(Bonds!$H341,6*(30-1))))</f>
        <v>51636</v>
      </c>
      <c r="AI341" s="3">
        <f>IF(31&gt;$C341,"",IF($D341=1,EOMONTH(EDATE(Bonds!$H341,6*(31-1)),0),EDATE(Bonds!$H341,6*(31-1))))</f>
        <v>51820</v>
      </c>
      <c r="AJ341" s="3">
        <f>IF(32&gt;$C341,"",IF($D341=1,EOMONTH(EDATE(Bonds!$H341,6*(32-1)),0),EDATE(Bonds!$H341,6*(32-1))))</f>
        <v>52001</v>
      </c>
      <c r="AK341" s="3">
        <f>IF(33&gt;$C341,"",IF($D341=1,EOMONTH(EDATE(Bonds!$H341,6*(33-1)),0),EDATE(Bonds!$H341,6*(33-1))))</f>
        <v>52185</v>
      </c>
      <c r="AL341" s="3">
        <f>IF(34&gt;$C341,"",IF($D341=1,EOMONTH(EDATE(Bonds!$H341,6*(34-1)),0),EDATE(Bonds!$H341,6*(34-1))))</f>
        <v>52366</v>
      </c>
      <c r="AM341" s="3">
        <f>IF(35&gt;$C341,"",IF($D341=1,EOMONTH(EDATE(Bonds!$H341,6*(35-1)),0),EDATE(Bonds!$H341,6*(35-1))))</f>
        <v>52550</v>
      </c>
      <c r="AN341" s="3">
        <f>IF(36&gt;$C341,"",IF($D341=1,EOMONTH(EDATE(Bonds!$H341,6*(36-1)),0),EDATE(Bonds!$H341,6*(36-1))))</f>
        <v>52732</v>
      </c>
      <c r="AO341" s="3">
        <f>IF(37&gt;$C341,"",IF($D341=1,EOMONTH(EDATE(Bonds!$H341,6*(37-1)),0),EDATE(Bonds!$H341,6*(37-1))))</f>
        <v>52916</v>
      </c>
      <c r="AP341" s="3">
        <f>IF(38&gt;$C341,"",IF($D341=1,EOMONTH(EDATE(Bonds!$H341,6*(38-1)),0),EDATE(Bonds!$H341,6*(38-1))))</f>
        <v>53097</v>
      </c>
      <c r="AQ341" s="3">
        <f>IF(39&gt;$C341,"",IF($D341=1,EOMONTH(EDATE(Bonds!$H341,6*(39-1)),0),EDATE(Bonds!$H341,6*(39-1))))</f>
        <v>53281</v>
      </c>
      <c r="AR341" s="3">
        <f>IF(40&gt;$C341,"",IF($D341=1,EOMONTH(EDATE(Bonds!$H341,6*(40-1)),0),EDATE(Bonds!$H341,6*(40-1))))</f>
        <v>53462</v>
      </c>
      <c r="AS341" s="3">
        <f>IF(41&gt;$C341,"",IF($D341=1,EOMONTH(EDATE(Bonds!$H341,6*(41-1)),0),EDATE(Bonds!$H341,6*(41-1))))</f>
        <v>53646</v>
      </c>
      <c r="AT341" s="3">
        <f>IF(42&gt;$C341,"",IF($D341=1,EOMONTH(EDATE(Bonds!$H341,6*(42-1)),0),EDATE(Bonds!$H341,6*(42-1))))</f>
        <v>53827</v>
      </c>
      <c r="AU341" s="3">
        <f>IF(43&gt;$C341,"",IF($D341=1,EOMONTH(EDATE(Bonds!$H341,6*(43-1)),0),EDATE(Bonds!$H341,6*(43-1))))</f>
        <v>54011</v>
      </c>
      <c r="AV341" s="3">
        <f>IF(44&gt;$C341,"",IF($D341=1,EOMONTH(EDATE(Bonds!$H341,6*(44-1)),0),EDATE(Bonds!$H341,6*(44-1))))</f>
        <v>54193</v>
      </c>
      <c r="AW341" s="3">
        <f>IF(45&gt;$C341,"",IF($D341=1,EOMONTH(EDATE(Bonds!$H341,6*(45-1)),0),EDATE(Bonds!$H341,6*(45-1))))</f>
        <v>54377</v>
      </c>
      <c r="AX341" s="3">
        <f>IF(46&gt;$C341,"",IF($D341=1,EOMONTH(EDATE(Bonds!$H341,6*(46-1)),0),EDATE(Bonds!$H341,6*(46-1))))</f>
        <v>54558</v>
      </c>
      <c r="AY341" s="3">
        <f>IF(47&gt;$C341,"",IF($D341=1,EOMONTH(EDATE(Bonds!$H341,6*(47-1)),0),EDATE(Bonds!$H341,6*(47-1))))</f>
        <v>54742</v>
      </c>
      <c r="AZ341" s="3">
        <f>IF(48&gt;$C341,"",IF($D341=1,EOMONTH(EDATE(Bonds!$H341,6*(48-1)),0),EDATE(Bonds!$H341,6*(48-1))))</f>
        <v>54923</v>
      </c>
      <c r="BA341" s="3">
        <f>IF(49&gt;$C341,"",IF($D341=1,EOMONTH(EDATE(Bonds!$H341,6*(49-1)),0),EDATE(Bonds!$H341,6*(49-1))))</f>
        <v>55107</v>
      </c>
      <c r="BB341" s="3">
        <f>IF(50&gt;$C341,"",IF($D341=1,EOMONTH(EDATE(Bonds!$H341,6*(50-1)),0),EDATE(Bonds!$H341,6*(50-1))))</f>
        <v>55288</v>
      </c>
      <c r="BC341" s="3">
        <f>IF(51&gt;$C341,"",IF($D341=1,EOMONTH(EDATE(Bonds!$H341,6*(51-1)),0),EDATE(Bonds!$H341,6*(51-1))))</f>
        <v>55472</v>
      </c>
      <c r="BD341" s="3" t="str">
        <f>IF(52&gt;$C341,"",IF($D341=1,EOMONTH(EDATE(Bonds!$H341,6*(52-1)),0),EDATE(Bonds!$H341,6*(52-1))))</f>
        <v/>
      </c>
      <c r="BE341" s="3" t="str">
        <f>IF(53&gt;$C341,"",IF($D341=1,EOMONTH(EDATE(Bonds!$H341,6*(53-1)),0),EDATE(Bonds!$H341,6*(53-1))))</f>
        <v/>
      </c>
      <c r="BF341" s="3" t="str">
        <f>IF(54&gt;$C341,"",IF($D341=1,EOMONTH(EDATE(Bonds!$H341,6*(54-1)),0),EDATE(Bonds!$H341,6*(54-1))))</f>
        <v/>
      </c>
      <c r="BG341" s="3" t="str">
        <f>IF(55&gt;$C341,"",IF($D341=1,EOMONTH(EDATE(Bonds!$H341,6*(55-1)),0),EDATE(Bonds!$H341,6*(55-1))))</f>
        <v/>
      </c>
      <c r="BH341" s="3" t="str">
        <f>IF(56&gt;$C341,"",IF($D341=1,EOMONTH(EDATE(Bonds!$H341,6*(56-1)),0),EDATE(Bonds!$H341,6*(56-1))))</f>
        <v/>
      </c>
      <c r="BI341" s="3" t="str">
        <f>IF(57&gt;$C341,"",IF($D341=1,EOMONTH(EDATE(Bonds!$H341,6*(57-1)),0),EDATE(Bonds!$H341,6*(57-1))))</f>
        <v/>
      </c>
      <c r="BJ341" s="3" t="str">
        <f>IF(58&gt;$C341,"",IF($D341=1,EOMONTH(EDATE(Bonds!$H341,6*(58-1)),0),EDATE(Bonds!$H341,6*(58-1))))</f>
        <v/>
      </c>
      <c r="BK341" s="3" t="str">
        <f>IF(59&gt;$C341,"",IF($D341=1,EOMONTH(EDATE(Bonds!$H341,6*(59-1)),0),EDATE(Bonds!$H341,6*(59-1))))</f>
        <v/>
      </c>
      <c r="BL341" s="3" t="str">
        <f>IF(60&gt;$C341,"",IF($D341=1,EOMONTH(EDATE(Bonds!$H341,6*(60-1)),0),EDATE(Bonds!$H341,6*(60-1))))</f>
        <v/>
      </c>
      <c r="BN341" s="7">
        <f t="shared" si="306"/>
        <v>0.93096148368751741</v>
      </c>
      <c r="BO341" s="7">
        <f t="shared" si="307"/>
        <v>0.91216217371129349</v>
      </c>
      <c r="BP341" s="7">
        <f t="shared" si="308"/>
        <v>0.89206952676526574</v>
      </c>
      <c r="BQ341" s="7">
        <f t="shared" si="309"/>
        <v>0.87206075760655222</v>
      </c>
      <c r="BR341" s="7">
        <f t="shared" si="310"/>
        <v>0.85211994013168657</v>
      </c>
      <c r="BS341" s="7">
        <f t="shared" si="311"/>
        <v>0.83295187693938755</v>
      </c>
      <c r="BT341" s="7">
        <f t="shared" si="312"/>
        <v>0.81394917136590084</v>
      </c>
      <c r="BU341" s="7">
        <f t="shared" si="313"/>
        <v>0.79568985539668369</v>
      </c>
      <c r="BV341" s="7">
        <f t="shared" si="314"/>
        <v>0.77749762452710114</v>
      </c>
      <c r="BW341" s="7">
        <f t="shared" si="315"/>
        <v>0.759891857180236</v>
      </c>
      <c r="BX341" s="7">
        <f t="shared" si="316"/>
        <v>0.74222178301788133</v>
      </c>
      <c r="BY341" s="7">
        <f t="shared" si="317"/>
        <v>0.724917054580965</v>
      </c>
      <c r="BZ341" s="7">
        <f t="shared" si="318"/>
        <v>0.70756004869159395</v>
      </c>
      <c r="CA341" s="7">
        <f t="shared" si="319"/>
        <v>0.69059981844915419</v>
      </c>
      <c r="CB341" s="7">
        <f t="shared" si="320"/>
        <v>0.67346557164226251</v>
      </c>
      <c r="CC341" s="7">
        <f t="shared" si="321"/>
        <v>0.65671837102826458</v>
      </c>
      <c r="CD341" s="7">
        <f t="shared" si="322"/>
        <v>0.63981395186504231</v>
      </c>
      <c r="CE341" s="7">
        <f t="shared" si="323"/>
        <v>0.6233202573695783</v>
      </c>
      <c r="CF341" s="7">
        <f t="shared" si="324"/>
        <v>0.60671175602679794</v>
      </c>
      <c r="CG341" s="7">
        <f t="shared" si="325"/>
        <v>0.59046440684688806</v>
      </c>
      <c r="CH341" s="7">
        <f t="shared" si="326"/>
        <v>0.57424585082852386</v>
      </c>
      <c r="CI341" s="7">
        <f t="shared" si="327"/>
        <v>0.55851912180133012</v>
      </c>
      <c r="CJ341" s="7">
        <f t="shared" si="328"/>
        <v>0.54278639578144461</v>
      </c>
      <c r="CK341" s="7">
        <f t="shared" si="329"/>
        <v>0.52758213399512455</v>
      </c>
      <c r="CL341" s="7">
        <f t="shared" si="330"/>
        <v>0.51242222801365445</v>
      </c>
      <c r="CM341" s="7">
        <f t="shared" si="331"/>
        <v>0.49781826640347088</v>
      </c>
      <c r="CN341" s="7">
        <f t="shared" si="332"/>
        <v>0.48330135457210416</v>
      </c>
      <c r="CO341" s="7">
        <f t="shared" si="333"/>
        <v>0.46928126500036027</v>
      </c>
      <c r="CP341" s="7">
        <f t="shared" si="334"/>
        <v>0.45546025329610051</v>
      </c>
      <c r="CQ341" s="7">
        <f t="shared" si="335"/>
        <v>0.44221887515035685</v>
      </c>
      <c r="CR341" s="7">
        <f t="shared" si="336"/>
        <v>0.42912400000195677</v>
      </c>
      <c r="CS341" s="7">
        <f t="shared" si="337"/>
        <v>0.41660631577972629</v>
      </c>
      <c r="CT341" s="7">
        <f t="shared" si="338"/>
        <v>0.40425275401612809</v>
      </c>
      <c r="CU341" s="7">
        <f t="shared" si="339"/>
        <v>0.39246632013806521</v>
      </c>
      <c r="CV341" s="7">
        <f t="shared" si="340"/>
        <v>0.38085494794731511</v>
      </c>
      <c r="CW341" s="7">
        <f t="shared" si="341"/>
        <v>0.36973449551542958</v>
      </c>
      <c r="CX341" s="7">
        <f t="shared" si="342"/>
        <v>0.35885662653271971</v>
      </c>
      <c r="CY341" s="7">
        <f t="shared" si="343"/>
        <v>0.34850911911300259</v>
      </c>
      <c r="CZ341" s="7">
        <f t="shared" si="344"/>
        <v>0.33834311886295326</v>
      </c>
      <c r="DA341" s="7">
        <f t="shared" si="345"/>
        <v>0.32868367138773968</v>
      </c>
      <c r="DB341" s="7">
        <f t="shared" si="346"/>
        <v>0.31920334728001332</v>
      </c>
      <c r="DC341" s="7">
        <f t="shared" si="347"/>
        <v>0.31020371291345944</v>
      </c>
      <c r="DD341" s="7">
        <f t="shared" si="348"/>
        <v>0.30137828265492672</v>
      </c>
      <c r="DE341" s="7">
        <f t="shared" si="349"/>
        <v>0.29296113549451303</v>
      </c>
      <c r="DF341" s="7">
        <f t="shared" si="350"/>
        <v>0.28475852537523322</v>
      </c>
      <c r="DG341" s="7">
        <f t="shared" si="351"/>
        <v>0.27698215323634867</v>
      </c>
      <c r="DH341" s="7">
        <f t="shared" si="352"/>
        <v>0.26936526001187583</v>
      </c>
      <c r="DI341" s="7">
        <f t="shared" si="353"/>
        <v>0.26214739611568366</v>
      </c>
      <c r="DJ341" s="7">
        <f t="shared" si="354"/>
        <v>0.25508027911654174</v>
      </c>
      <c r="DK341" s="7">
        <f t="shared" si="355"/>
        <v>0.24838558504193584</v>
      </c>
      <c r="DL341" s="7">
        <f t="shared" si="356"/>
        <v>26.037299960003818</v>
      </c>
      <c r="DM341" s="7">
        <f t="shared" si="357"/>
        <v>0</v>
      </c>
      <c r="DN341" s="7">
        <f t="shared" si="358"/>
        <v>0</v>
      </c>
      <c r="DO341" s="7">
        <f t="shared" si="359"/>
        <v>0</v>
      </c>
      <c r="DP341" s="7">
        <f t="shared" si="360"/>
        <v>0</v>
      </c>
      <c r="DQ341" s="7">
        <f t="shared" si="361"/>
        <v>0</v>
      </c>
      <c r="DR341" s="7">
        <f t="shared" si="362"/>
        <v>0</v>
      </c>
      <c r="DS341" s="7">
        <f t="shared" si="363"/>
        <v>0</v>
      </c>
      <c r="DT341" s="7">
        <f t="shared" si="364"/>
        <v>0</v>
      </c>
      <c r="DU341" s="7">
        <f t="shared" si="365"/>
        <v>0</v>
      </c>
    </row>
    <row r="342" spans="1:125" x14ac:dyDescent="0.2">
      <c r="A342" s="3">
        <f>Bonds!A342</f>
        <v>55564</v>
      </c>
      <c r="B342" s="4">
        <f>Bonds!B342</f>
        <v>2.25</v>
      </c>
      <c r="C342">
        <f>Bonds!P342</f>
        <v>51</v>
      </c>
      <c r="D342">
        <f t="shared" si="305"/>
        <v>0</v>
      </c>
      <c r="E342" s="3">
        <f>IF(1&gt;$C342,"",IF($D342=1,EOMONTH(EDATE(Bonds!$H342,6*(1-1)),0),EDATE(Bonds!$H342,6*(1-1))))</f>
        <v>46433</v>
      </c>
      <c r="F342" s="3">
        <f>IF(2&gt;$C342,"",IF($D342=1,EOMONTH(EDATE(Bonds!$H342,6*(2-1)),0),EDATE(Bonds!$H342,6*(2-1))))</f>
        <v>46614</v>
      </c>
      <c r="G342" s="3">
        <f>IF(3&gt;$C342,"",IF($D342=1,EOMONTH(EDATE(Bonds!$H342,6*(3-1)),0),EDATE(Bonds!$H342,6*(3-1))))</f>
        <v>46798</v>
      </c>
      <c r="H342" s="3">
        <f>IF(4&gt;$C342,"",IF($D342=1,EOMONTH(EDATE(Bonds!$H342,6*(4-1)),0),EDATE(Bonds!$H342,6*(4-1))))</f>
        <v>46980</v>
      </c>
      <c r="I342" s="3">
        <f>IF(5&gt;$C342,"",IF($D342=1,EOMONTH(EDATE(Bonds!$H342,6*(5-1)),0),EDATE(Bonds!$H342,6*(5-1))))</f>
        <v>47164</v>
      </c>
      <c r="J342" s="3">
        <f>IF(6&gt;$C342,"",IF($D342=1,EOMONTH(EDATE(Bonds!$H342,6*(6-1)),0),EDATE(Bonds!$H342,6*(6-1))))</f>
        <v>47345</v>
      </c>
      <c r="K342" s="3">
        <f>IF(7&gt;$C342,"",IF($D342=1,EOMONTH(EDATE(Bonds!$H342,6*(7-1)),0),EDATE(Bonds!$H342,6*(7-1))))</f>
        <v>47529</v>
      </c>
      <c r="L342" s="3">
        <f>IF(8&gt;$C342,"",IF($D342=1,EOMONTH(EDATE(Bonds!$H342,6*(8-1)),0),EDATE(Bonds!$H342,6*(8-1))))</f>
        <v>47710</v>
      </c>
      <c r="M342" s="3">
        <f>IF(9&gt;$C342,"",IF($D342=1,EOMONTH(EDATE(Bonds!$H342,6*(9-1)),0),EDATE(Bonds!$H342,6*(9-1))))</f>
        <v>47894</v>
      </c>
      <c r="N342" s="3">
        <f>IF(10&gt;$C342,"",IF($D342=1,EOMONTH(EDATE(Bonds!$H342,6*(10-1)),0),EDATE(Bonds!$H342,6*(10-1))))</f>
        <v>48075</v>
      </c>
      <c r="O342" s="3">
        <f>IF(11&gt;$C342,"",IF($D342=1,EOMONTH(EDATE(Bonds!$H342,6*(11-1)),0),EDATE(Bonds!$H342,6*(11-1))))</f>
        <v>48259</v>
      </c>
      <c r="P342" s="3">
        <f>IF(12&gt;$C342,"",IF($D342=1,EOMONTH(EDATE(Bonds!$H342,6*(12-1)),0),EDATE(Bonds!$H342,6*(12-1))))</f>
        <v>48441</v>
      </c>
      <c r="Q342" s="3">
        <f>IF(13&gt;$C342,"",IF($D342=1,EOMONTH(EDATE(Bonds!$H342,6*(13-1)),0),EDATE(Bonds!$H342,6*(13-1))))</f>
        <v>48625</v>
      </c>
      <c r="R342" s="3">
        <f>IF(14&gt;$C342,"",IF($D342=1,EOMONTH(EDATE(Bonds!$H342,6*(14-1)),0),EDATE(Bonds!$H342,6*(14-1))))</f>
        <v>48806</v>
      </c>
      <c r="S342" s="3">
        <f>IF(15&gt;$C342,"",IF($D342=1,EOMONTH(EDATE(Bonds!$H342,6*(15-1)),0),EDATE(Bonds!$H342,6*(15-1))))</f>
        <v>48990</v>
      </c>
      <c r="T342" s="3">
        <f>IF(16&gt;$C342,"",IF($D342=1,EOMONTH(EDATE(Bonds!$H342,6*(16-1)),0),EDATE(Bonds!$H342,6*(16-1))))</f>
        <v>49171</v>
      </c>
      <c r="U342" s="3">
        <f>IF(17&gt;$C342,"",IF($D342=1,EOMONTH(EDATE(Bonds!$H342,6*(17-1)),0),EDATE(Bonds!$H342,6*(17-1))))</f>
        <v>49355</v>
      </c>
      <c r="V342" s="3">
        <f>IF(18&gt;$C342,"",IF($D342=1,EOMONTH(EDATE(Bonds!$H342,6*(18-1)),0),EDATE(Bonds!$H342,6*(18-1))))</f>
        <v>49536</v>
      </c>
      <c r="W342" s="3">
        <f>IF(19&gt;$C342,"",IF($D342=1,EOMONTH(EDATE(Bonds!$H342,6*(19-1)),0),EDATE(Bonds!$H342,6*(19-1))))</f>
        <v>49720</v>
      </c>
      <c r="X342" s="3">
        <f>IF(20&gt;$C342,"",IF($D342=1,EOMONTH(EDATE(Bonds!$H342,6*(20-1)),0),EDATE(Bonds!$H342,6*(20-1))))</f>
        <v>49902</v>
      </c>
      <c r="Y342" s="3">
        <f>IF(21&gt;$C342,"",IF($D342=1,EOMONTH(EDATE(Bonds!$H342,6*(21-1)),0),EDATE(Bonds!$H342,6*(21-1))))</f>
        <v>50086</v>
      </c>
      <c r="Z342" s="3">
        <f>IF(22&gt;$C342,"",IF($D342=1,EOMONTH(EDATE(Bonds!$H342,6*(22-1)),0),EDATE(Bonds!$H342,6*(22-1))))</f>
        <v>50267</v>
      </c>
      <c r="AA342" s="3">
        <f>IF(23&gt;$C342,"",IF($D342=1,EOMONTH(EDATE(Bonds!$H342,6*(23-1)),0),EDATE(Bonds!$H342,6*(23-1))))</f>
        <v>50451</v>
      </c>
      <c r="AB342" s="3">
        <f>IF(24&gt;$C342,"",IF($D342=1,EOMONTH(EDATE(Bonds!$H342,6*(24-1)),0),EDATE(Bonds!$H342,6*(24-1))))</f>
        <v>50632</v>
      </c>
      <c r="AC342" s="3">
        <f>IF(25&gt;$C342,"",IF($D342=1,EOMONTH(EDATE(Bonds!$H342,6*(25-1)),0),EDATE(Bonds!$H342,6*(25-1))))</f>
        <v>50816</v>
      </c>
      <c r="AD342" s="3">
        <f>IF(26&gt;$C342,"",IF($D342=1,EOMONTH(EDATE(Bonds!$H342,6*(26-1)),0),EDATE(Bonds!$H342,6*(26-1))))</f>
        <v>50997</v>
      </c>
      <c r="AE342" s="3">
        <f>IF(27&gt;$C342,"",IF($D342=1,EOMONTH(EDATE(Bonds!$H342,6*(27-1)),0),EDATE(Bonds!$H342,6*(27-1))))</f>
        <v>51181</v>
      </c>
      <c r="AF342" s="3">
        <f>IF(28&gt;$C342,"",IF($D342=1,EOMONTH(EDATE(Bonds!$H342,6*(28-1)),0),EDATE(Bonds!$H342,6*(28-1))))</f>
        <v>51363</v>
      </c>
      <c r="AG342" s="3">
        <f>IF(29&gt;$C342,"",IF($D342=1,EOMONTH(EDATE(Bonds!$H342,6*(29-1)),0),EDATE(Bonds!$H342,6*(29-1))))</f>
        <v>51547</v>
      </c>
      <c r="AH342" s="3">
        <f>IF(30&gt;$C342,"",IF($D342=1,EOMONTH(EDATE(Bonds!$H342,6*(30-1)),0),EDATE(Bonds!$H342,6*(30-1))))</f>
        <v>51728</v>
      </c>
      <c r="AI342" s="3">
        <f>IF(31&gt;$C342,"",IF($D342=1,EOMONTH(EDATE(Bonds!$H342,6*(31-1)),0),EDATE(Bonds!$H342,6*(31-1))))</f>
        <v>51912</v>
      </c>
      <c r="AJ342" s="3">
        <f>IF(32&gt;$C342,"",IF($D342=1,EOMONTH(EDATE(Bonds!$H342,6*(32-1)),0),EDATE(Bonds!$H342,6*(32-1))))</f>
        <v>52093</v>
      </c>
      <c r="AK342" s="3">
        <f>IF(33&gt;$C342,"",IF($D342=1,EOMONTH(EDATE(Bonds!$H342,6*(33-1)),0),EDATE(Bonds!$H342,6*(33-1))))</f>
        <v>52277</v>
      </c>
      <c r="AL342" s="3">
        <f>IF(34&gt;$C342,"",IF($D342=1,EOMONTH(EDATE(Bonds!$H342,6*(34-1)),0),EDATE(Bonds!$H342,6*(34-1))))</f>
        <v>52458</v>
      </c>
      <c r="AM342" s="3">
        <f>IF(35&gt;$C342,"",IF($D342=1,EOMONTH(EDATE(Bonds!$H342,6*(35-1)),0),EDATE(Bonds!$H342,6*(35-1))))</f>
        <v>52642</v>
      </c>
      <c r="AN342" s="3">
        <f>IF(36&gt;$C342,"",IF($D342=1,EOMONTH(EDATE(Bonds!$H342,6*(36-1)),0),EDATE(Bonds!$H342,6*(36-1))))</f>
        <v>52824</v>
      </c>
      <c r="AO342" s="3">
        <f>IF(37&gt;$C342,"",IF($D342=1,EOMONTH(EDATE(Bonds!$H342,6*(37-1)),0),EDATE(Bonds!$H342,6*(37-1))))</f>
        <v>53008</v>
      </c>
      <c r="AP342" s="3">
        <f>IF(38&gt;$C342,"",IF($D342=1,EOMONTH(EDATE(Bonds!$H342,6*(38-1)),0),EDATE(Bonds!$H342,6*(38-1))))</f>
        <v>53189</v>
      </c>
      <c r="AQ342" s="3">
        <f>IF(39&gt;$C342,"",IF($D342=1,EOMONTH(EDATE(Bonds!$H342,6*(39-1)),0),EDATE(Bonds!$H342,6*(39-1))))</f>
        <v>53373</v>
      </c>
      <c r="AR342" s="3">
        <f>IF(40&gt;$C342,"",IF($D342=1,EOMONTH(EDATE(Bonds!$H342,6*(40-1)),0),EDATE(Bonds!$H342,6*(40-1))))</f>
        <v>53554</v>
      </c>
      <c r="AS342" s="3">
        <f>IF(41&gt;$C342,"",IF($D342=1,EOMONTH(EDATE(Bonds!$H342,6*(41-1)),0),EDATE(Bonds!$H342,6*(41-1))))</f>
        <v>53738</v>
      </c>
      <c r="AT342" s="3">
        <f>IF(42&gt;$C342,"",IF($D342=1,EOMONTH(EDATE(Bonds!$H342,6*(42-1)),0),EDATE(Bonds!$H342,6*(42-1))))</f>
        <v>53919</v>
      </c>
      <c r="AU342" s="3">
        <f>IF(43&gt;$C342,"",IF($D342=1,EOMONTH(EDATE(Bonds!$H342,6*(43-1)),0),EDATE(Bonds!$H342,6*(43-1))))</f>
        <v>54103</v>
      </c>
      <c r="AV342" s="3">
        <f>IF(44&gt;$C342,"",IF($D342=1,EOMONTH(EDATE(Bonds!$H342,6*(44-1)),0),EDATE(Bonds!$H342,6*(44-1))))</f>
        <v>54285</v>
      </c>
      <c r="AW342" s="3">
        <f>IF(45&gt;$C342,"",IF($D342=1,EOMONTH(EDATE(Bonds!$H342,6*(45-1)),0),EDATE(Bonds!$H342,6*(45-1))))</f>
        <v>54469</v>
      </c>
      <c r="AX342" s="3">
        <f>IF(46&gt;$C342,"",IF($D342=1,EOMONTH(EDATE(Bonds!$H342,6*(46-1)),0),EDATE(Bonds!$H342,6*(46-1))))</f>
        <v>54650</v>
      </c>
      <c r="AY342" s="3">
        <f>IF(47&gt;$C342,"",IF($D342=1,EOMONTH(EDATE(Bonds!$H342,6*(47-1)),0),EDATE(Bonds!$H342,6*(47-1))))</f>
        <v>54834</v>
      </c>
      <c r="AZ342" s="3">
        <f>IF(48&gt;$C342,"",IF($D342=1,EOMONTH(EDATE(Bonds!$H342,6*(48-1)),0),EDATE(Bonds!$H342,6*(48-1))))</f>
        <v>55015</v>
      </c>
      <c r="BA342" s="3">
        <f>IF(49&gt;$C342,"",IF($D342=1,EOMONTH(EDATE(Bonds!$H342,6*(49-1)),0),EDATE(Bonds!$H342,6*(49-1))))</f>
        <v>55199</v>
      </c>
      <c r="BB342" s="3">
        <f>IF(50&gt;$C342,"",IF($D342=1,EOMONTH(EDATE(Bonds!$H342,6*(50-1)),0),EDATE(Bonds!$H342,6*(50-1))))</f>
        <v>55380</v>
      </c>
      <c r="BC342" s="3">
        <f>IF(51&gt;$C342,"",IF($D342=1,EOMONTH(EDATE(Bonds!$H342,6*(51-1)),0),EDATE(Bonds!$H342,6*(51-1))))</f>
        <v>55564</v>
      </c>
      <c r="BD342" s="3" t="str">
        <f>IF(52&gt;$C342,"",IF($D342=1,EOMONTH(EDATE(Bonds!$H342,6*(52-1)),0),EDATE(Bonds!$H342,6*(52-1))))</f>
        <v/>
      </c>
      <c r="BE342" s="3" t="str">
        <f>IF(53&gt;$C342,"",IF($D342=1,EOMONTH(EDATE(Bonds!$H342,6*(53-1)),0),EDATE(Bonds!$H342,6*(53-1))))</f>
        <v/>
      </c>
      <c r="BF342" s="3" t="str">
        <f>IF(54&gt;$C342,"",IF($D342=1,EOMONTH(EDATE(Bonds!$H342,6*(54-1)),0),EDATE(Bonds!$H342,6*(54-1))))</f>
        <v/>
      </c>
      <c r="BG342" s="3" t="str">
        <f>IF(55&gt;$C342,"",IF($D342=1,EOMONTH(EDATE(Bonds!$H342,6*(55-1)),0),EDATE(Bonds!$H342,6*(55-1))))</f>
        <v/>
      </c>
      <c r="BH342" s="3" t="str">
        <f>IF(56&gt;$C342,"",IF($D342=1,EOMONTH(EDATE(Bonds!$H342,6*(56-1)),0),EDATE(Bonds!$H342,6*(56-1))))</f>
        <v/>
      </c>
      <c r="BI342" s="3" t="str">
        <f>IF(57&gt;$C342,"",IF($D342=1,EOMONTH(EDATE(Bonds!$H342,6*(57-1)),0),EDATE(Bonds!$H342,6*(57-1))))</f>
        <v/>
      </c>
      <c r="BJ342" s="3" t="str">
        <f>IF(58&gt;$C342,"",IF($D342=1,EOMONTH(EDATE(Bonds!$H342,6*(58-1)),0),EDATE(Bonds!$H342,6*(58-1))))</f>
        <v/>
      </c>
      <c r="BK342" s="3" t="str">
        <f>IF(59&gt;$C342,"",IF($D342=1,EOMONTH(EDATE(Bonds!$H342,6*(59-1)),0),EDATE(Bonds!$H342,6*(59-1))))</f>
        <v/>
      </c>
      <c r="BL342" s="3" t="str">
        <f>IF(60&gt;$C342,"",IF($D342=1,EOMONTH(EDATE(Bonds!$H342,6*(60-1)),0),EDATE(Bonds!$H342,6*(60-1))))</f>
        <v/>
      </c>
      <c r="BN342" s="7">
        <f t="shared" si="306"/>
        <v>1.1059194175661451</v>
      </c>
      <c r="BO342" s="7">
        <f t="shared" si="307"/>
        <v>1.0826084900783119</v>
      </c>
      <c r="BP342" s="7">
        <f t="shared" si="308"/>
        <v>1.0583258713170312</v>
      </c>
      <c r="BQ342" s="7">
        <f t="shared" si="309"/>
        <v>1.0344470316670513</v>
      </c>
      <c r="BR342" s="7">
        <f t="shared" si="310"/>
        <v>1.0107811309632766</v>
      </c>
      <c r="BS342" s="7">
        <f t="shared" si="311"/>
        <v>0.9880695109382045</v>
      </c>
      <c r="BT342" s="7">
        <f t="shared" si="312"/>
        <v>0.96554220140610003</v>
      </c>
      <c r="BU342" s="7">
        <f t="shared" si="313"/>
        <v>0.94386235546352459</v>
      </c>
      <c r="BV342" s="7">
        <f t="shared" si="314"/>
        <v>0.92222077415025117</v>
      </c>
      <c r="BW342" s="7">
        <f t="shared" si="315"/>
        <v>0.90123820458261339</v>
      </c>
      <c r="BX342" s="7">
        <f t="shared" si="316"/>
        <v>0.8801465629167029</v>
      </c>
      <c r="BY342" s="7">
        <f t="shared" si="317"/>
        <v>0.85946752788681691</v>
      </c>
      <c r="BZ342" s="7">
        <f t="shared" si="318"/>
        <v>0.83871129883702167</v>
      </c>
      <c r="CA342" s="7">
        <f t="shared" si="319"/>
        <v>0.81842313191489735</v>
      </c>
      <c r="CB342" s="7">
        <f t="shared" si="320"/>
        <v>0.79792720314763321</v>
      </c>
      <c r="CC342" s="7">
        <f t="shared" si="321"/>
        <v>0.77790005026966147</v>
      </c>
      <c r="CD342" s="7">
        <f t="shared" si="322"/>
        <v>0.75769493283969891</v>
      </c>
      <c r="CE342" s="7">
        <f t="shared" si="323"/>
        <v>0.73799349624419341</v>
      </c>
      <c r="CF342" s="7">
        <f t="shared" si="324"/>
        <v>0.7181698094802994</v>
      </c>
      <c r="CG342" s="7">
        <f t="shared" si="325"/>
        <v>0.69879301925170378</v>
      </c>
      <c r="CH342" s="7">
        <f t="shared" si="326"/>
        <v>0.6794670003888994</v>
      </c>
      <c r="CI342" s="7">
        <f t="shared" si="327"/>
        <v>0.66074309691834487</v>
      </c>
      <c r="CJ342" s="7">
        <f t="shared" si="328"/>
        <v>0.6420279453591119</v>
      </c>
      <c r="CK342" s="7">
        <f t="shared" si="329"/>
        <v>0.62395640574134714</v>
      </c>
      <c r="CL342" s="7">
        <f t="shared" si="330"/>
        <v>0.60595195499067156</v>
      </c>
      <c r="CM342" s="7">
        <f t="shared" si="331"/>
        <v>0.58862097247076084</v>
      </c>
      <c r="CN342" s="7">
        <f t="shared" si="332"/>
        <v>0.57140572546050683</v>
      </c>
      <c r="CO342" s="7">
        <f t="shared" si="333"/>
        <v>0.55479098096912161</v>
      </c>
      <c r="CP342" s="7">
        <f t="shared" si="334"/>
        <v>0.53842261663805724</v>
      </c>
      <c r="CQ342" s="7">
        <f t="shared" si="335"/>
        <v>0.52275003962693634</v>
      </c>
      <c r="CR342" s="7">
        <f t="shared" si="336"/>
        <v>0.5072594265322049</v>
      </c>
      <c r="CS342" s="7">
        <f t="shared" si="337"/>
        <v>0.49245918532116983</v>
      </c>
      <c r="CT342" s="7">
        <f t="shared" si="338"/>
        <v>0.47785990047723592</v>
      </c>
      <c r="CU342" s="7">
        <f t="shared" si="339"/>
        <v>0.46393690998064324</v>
      </c>
      <c r="CV342" s="7">
        <f t="shared" si="340"/>
        <v>0.45022620348919967</v>
      </c>
      <c r="CW342" s="7">
        <f t="shared" si="341"/>
        <v>0.43710000289507295</v>
      </c>
      <c r="CX342" s="7">
        <f t="shared" si="342"/>
        <v>0.42426445010293379</v>
      </c>
      <c r="CY342" s="7">
        <f t="shared" si="343"/>
        <v>0.41205843239909373</v>
      </c>
      <c r="CZ342" s="7">
        <f t="shared" si="344"/>
        <v>0.4000698428764442</v>
      </c>
      <c r="DA342" s="7">
        <f t="shared" si="345"/>
        <v>0.38868147853879875</v>
      </c>
      <c r="DB342" s="7">
        <f t="shared" si="346"/>
        <v>0.37750682429490778</v>
      </c>
      <c r="DC342" s="7">
        <f t="shared" si="347"/>
        <v>0.3669009228730391</v>
      </c>
      <c r="DD342" s="7">
        <f t="shared" si="348"/>
        <v>0.35650220425660772</v>
      </c>
      <c r="DE342" s="7">
        <f t="shared" si="349"/>
        <v>0.34658615635874207</v>
      </c>
      <c r="DF342" s="7">
        <f t="shared" si="350"/>
        <v>0.33692422915402132</v>
      </c>
      <c r="DG342" s="7">
        <f t="shared" si="351"/>
        <v>0.32776551507469454</v>
      </c>
      <c r="DH342" s="7">
        <f t="shared" si="352"/>
        <v>0.31879560169586169</v>
      </c>
      <c r="DI342" s="7">
        <f t="shared" si="353"/>
        <v>0.31029639111390889</v>
      </c>
      <c r="DJ342" s="7">
        <f t="shared" si="354"/>
        <v>0.30197534544095866</v>
      </c>
      <c r="DK342" s="7">
        <f t="shared" si="355"/>
        <v>0.29409332028914192</v>
      </c>
      <c r="DL342" s="7">
        <f t="shared" si="356"/>
        <v>25.742239713539334</v>
      </c>
      <c r="DM342" s="7">
        <f t="shared" si="357"/>
        <v>0</v>
      </c>
      <c r="DN342" s="7">
        <f t="shared" si="358"/>
        <v>0</v>
      </c>
      <c r="DO342" s="7">
        <f t="shared" si="359"/>
        <v>0</v>
      </c>
      <c r="DP342" s="7">
        <f t="shared" si="360"/>
        <v>0</v>
      </c>
      <c r="DQ342" s="7">
        <f t="shared" si="361"/>
        <v>0</v>
      </c>
      <c r="DR342" s="7">
        <f t="shared" si="362"/>
        <v>0</v>
      </c>
      <c r="DS342" s="7">
        <f t="shared" si="363"/>
        <v>0</v>
      </c>
      <c r="DT342" s="7">
        <f t="shared" si="364"/>
        <v>0</v>
      </c>
      <c r="DU342" s="7">
        <f t="shared" si="365"/>
        <v>0</v>
      </c>
    </row>
    <row r="343" spans="1:125" x14ac:dyDescent="0.2">
      <c r="A343" s="3">
        <f>Bonds!A343</f>
        <v>55654</v>
      </c>
      <c r="B343" s="4">
        <f>Bonds!B343</f>
        <v>2.875</v>
      </c>
      <c r="C343">
        <f>Bonds!P343</f>
        <v>52</v>
      </c>
      <c r="D343">
        <f t="shared" si="305"/>
        <v>0</v>
      </c>
      <c r="E343" s="3">
        <f>IF(1&gt;$C343,"",IF($D343=1,EOMONTH(EDATE(Bonds!$H343,6*(1-1)),0),EDATE(Bonds!$H343,6*(1-1))))</f>
        <v>46341</v>
      </c>
      <c r="F343" s="3">
        <f>IF(2&gt;$C343,"",IF($D343=1,EOMONTH(EDATE(Bonds!$H343,6*(2-1)),0),EDATE(Bonds!$H343,6*(2-1))))</f>
        <v>46522</v>
      </c>
      <c r="G343" s="3">
        <f>IF(3&gt;$C343,"",IF($D343=1,EOMONTH(EDATE(Bonds!$H343,6*(3-1)),0),EDATE(Bonds!$H343,6*(3-1))))</f>
        <v>46706</v>
      </c>
      <c r="H343" s="3">
        <f>IF(4&gt;$C343,"",IF($D343=1,EOMONTH(EDATE(Bonds!$H343,6*(4-1)),0),EDATE(Bonds!$H343,6*(4-1))))</f>
        <v>46888</v>
      </c>
      <c r="I343" s="3">
        <f>IF(5&gt;$C343,"",IF($D343=1,EOMONTH(EDATE(Bonds!$H343,6*(5-1)),0),EDATE(Bonds!$H343,6*(5-1))))</f>
        <v>47072</v>
      </c>
      <c r="J343" s="3">
        <f>IF(6&gt;$C343,"",IF($D343=1,EOMONTH(EDATE(Bonds!$H343,6*(6-1)),0),EDATE(Bonds!$H343,6*(6-1))))</f>
        <v>47253</v>
      </c>
      <c r="K343" s="3">
        <f>IF(7&gt;$C343,"",IF($D343=1,EOMONTH(EDATE(Bonds!$H343,6*(7-1)),0),EDATE(Bonds!$H343,6*(7-1))))</f>
        <v>47437</v>
      </c>
      <c r="L343" s="3">
        <f>IF(8&gt;$C343,"",IF($D343=1,EOMONTH(EDATE(Bonds!$H343,6*(8-1)),0),EDATE(Bonds!$H343,6*(8-1))))</f>
        <v>47618</v>
      </c>
      <c r="M343" s="3">
        <f>IF(9&gt;$C343,"",IF($D343=1,EOMONTH(EDATE(Bonds!$H343,6*(9-1)),0),EDATE(Bonds!$H343,6*(9-1))))</f>
        <v>47802</v>
      </c>
      <c r="N343" s="3">
        <f>IF(10&gt;$C343,"",IF($D343=1,EOMONTH(EDATE(Bonds!$H343,6*(10-1)),0),EDATE(Bonds!$H343,6*(10-1))))</f>
        <v>47983</v>
      </c>
      <c r="O343" s="3">
        <f>IF(11&gt;$C343,"",IF($D343=1,EOMONTH(EDATE(Bonds!$H343,6*(11-1)),0),EDATE(Bonds!$H343,6*(11-1))))</f>
        <v>48167</v>
      </c>
      <c r="P343" s="3">
        <f>IF(12&gt;$C343,"",IF($D343=1,EOMONTH(EDATE(Bonds!$H343,6*(12-1)),0),EDATE(Bonds!$H343,6*(12-1))))</f>
        <v>48349</v>
      </c>
      <c r="Q343" s="3">
        <f>IF(13&gt;$C343,"",IF($D343=1,EOMONTH(EDATE(Bonds!$H343,6*(13-1)),0),EDATE(Bonds!$H343,6*(13-1))))</f>
        <v>48533</v>
      </c>
      <c r="R343" s="3">
        <f>IF(14&gt;$C343,"",IF($D343=1,EOMONTH(EDATE(Bonds!$H343,6*(14-1)),0),EDATE(Bonds!$H343,6*(14-1))))</f>
        <v>48714</v>
      </c>
      <c r="S343" s="3">
        <f>IF(15&gt;$C343,"",IF($D343=1,EOMONTH(EDATE(Bonds!$H343,6*(15-1)),0),EDATE(Bonds!$H343,6*(15-1))))</f>
        <v>48898</v>
      </c>
      <c r="T343" s="3">
        <f>IF(16&gt;$C343,"",IF($D343=1,EOMONTH(EDATE(Bonds!$H343,6*(16-1)),0),EDATE(Bonds!$H343,6*(16-1))))</f>
        <v>49079</v>
      </c>
      <c r="U343" s="3">
        <f>IF(17&gt;$C343,"",IF($D343=1,EOMONTH(EDATE(Bonds!$H343,6*(17-1)),0),EDATE(Bonds!$H343,6*(17-1))))</f>
        <v>49263</v>
      </c>
      <c r="V343" s="3">
        <f>IF(18&gt;$C343,"",IF($D343=1,EOMONTH(EDATE(Bonds!$H343,6*(18-1)),0),EDATE(Bonds!$H343,6*(18-1))))</f>
        <v>49444</v>
      </c>
      <c r="W343" s="3">
        <f>IF(19&gt;$C343,"",IF($D343=1,EOMONTH(EDATE(Bonds!$H343,6*(19-1)),0),EDATE(Bonds!$H343,6*(19-1))))</f>
        <v>49628</v>
      </c>
      <c r="X343" s="3">
        <f>IF(20&gt;$C343,"",IF($D343=1,EOMONTH(EDATE(Bonds!$H343,6*(20-1)),0),EDATE(Bonds!$H343,6*(20-1))))</f>
        <v>49810</v>
      </c>
      <c r="Y343" s="3">
        <f>IF(21&gt;$C343,"",IF($D343=1,EOMONTH(EDATE(Bonds!$H343,6*(21-1)),0),EDATE(Bonds!$H343,6*(21-1))))</f>
        <v>49994</v>
      </c>
      <c r="Z343" s="3">
        <f>IF(22&gt;$C343,"",IF($D343=1,EOMONTH(EDATE(Bonds!$H343,6*(22-1)),0),EDATE(Bonds!$H343,6*(22-1))))</f>
        <v>50175</v>
      </c>
      <c r="AA343" s="3">
        <f>IF(23&gt;$C343,"",IF($D343=1,EOMONTH(EDATE(Bonds!$H343,6*(23-1)),0),EDATE(Bonds!$H343,6*(23-1))))</f>
        <v>50359</v>
      </c>
      <c r="AB343" s="3">
        <f>IF(24&gt;$C343,"",IF($D343=1,EOMONTH(EDATE(Bonds!$H343,6*(24-1)),0),EDATE(Bonds!$H343,6*(24-1))))</f>
        <v>50540</v>
      </c>
      <c r="AC343" s="3">
        <f>IF(25&gt;$C343,"",IF($D343=1,EOMONTH(EDATE(Bonds!$H343,6*(25-1)),0),EDATE(Bonds!$H343,6*(25-1))))</f>
        <v>50724</v>
      </c>
      <c r="AD343" s="3">
        <f>IF(26&gt;$C343,"",IF($D343=1,EOMONTH(EDATE(Bonds!$H343,6*(26-1)),0),EDATE(Bonds!$H343,6*(26-1))))</f>
        <v>50905</v>
      </c>
      <c r="AE343" s="3">
        <f>IF(27&gt;$C343,"",IF($D343=1,EOMONTH(EDATE(Bonds!$H343,6*(27-1)),0),EDATE(Bonds!$H343,6*(27-1))))</f>
        <v>51089</v>
      </c>
      <c r="AF343" s="3">
        <f>IF(28&gt;$C343,"",IF($D343=1,EOMONTH(EDATE(Bonds!$H343,6*(28-1)),0),EDATE(Bonds!$H343,6*(28-1))))</f>
        <v>51271</v>
      </c>
      <c r="AG343" s="3">
        <f>IF(29&gt;$C343,"",IF($D343=1,EOMONTH(EDATE(Bonds!$H343,6*(29-1)),0),EDATE(Bonds!$H343,6*(29-1))))</f>
        <v>51455</v>
      </c>
      <c r="AH343" s="3">
        <f>IF(30&gt;$C343,"",IF($D343=1,EOMONTH(EDATE(Bonds!$H343,6*(30-1)),0),EDATE(Bonds!$H343,6*(30-1))))</f>
        <v>51636</v>
      </c>
      <c r="AI343" s="3">
        <f>IF(31&gt;$C343,"",IF($D343=1,EOMONTH(EDATE(Bonds!$H343,6*(31-1)),0),EDATE(Bonds!$H343,6*(31-1))))</f>
        <v>51820</v>
      </c>
      <c r="AJ343" s="3">
        <f>IF(32&gt;$C343,"",IF($D343=1,EOMONTH(EDATE(Bonds!$H343,6*(32-1)),0),EDATE(Bonds!$H343,6*(32-1))))</f>
        <v>52001</v>
      </c>
      <c r="AK343" s="3">
        <f>IF(33&gt;$C343,"",IF($D343=1,EOMONTH(EDATE(Bonds!$H343,6*(33-1)),0),EDATE(Bonds!$H343,6*(33-1))))</f>
        <v>52185</v>
      </c>
      <c r="AL343" s="3">
        <f>IF(34&gt;$C343,"",IF($D343=1,EOMONTH(EDATE(Bonds!$H343,6*(34-1)),0),EDATE(Bonds!$H343,6*(34-1))))</f>
        <v>52366</v>
      </c>
      <c r="AM343" s="3">
        <f>IF(35&gt;$C343,"",IF($D343=1,EOMONTH(EDATE(Bonds!$H343,6*(35-1)),0),EDATE(Bonds!$H343,6*(35-1))))</f>
        <v>52550</v>
      </c>
      <c r="AN343" s="3">
        <f>IF(36&gt;$C343,"",IF($D343=1,EOMONTH(EDATE(Bonds!$H343,6*(36-1)),0),EDATE(Bonds!$H343,6*(36-1))))</f>
        <v>52732</v>
      </c>
      <c r="AO343" s="3">
        <f>IF(37&gt;$C343,"",IF($D343=1,EOMONTH(EDATE(Bonds!$H343,6*(37-1)),0),EDATE(Bonds!$H343,6*(37-1))))</f>
        <v>52916</v>
      </c>
      <c r="AP343" s="3">
        <f>IF(38&gt;$C343,"",IF($D343=1,EOMONTH(EDATE(Bonds!$H343,6*(38-1)),0),EDATE(Bonds!$H343,6*(38-1))))</f>
        <v>53097</v>
      </c>
      <c r="AQ343" s="3">
        <f>IF(39&gt;$C343,"",IF($D343=1,EOMONTH(EDATE(Bonds!$H343,6*(39-1)),0),EDATE(Bonds!$H343,6*(39-1))))</f>
        <v>53281</v>
      </c>
      <c r="AR343" s="3">
        <f>IF(40&gt;$C343,"",IF($D343=1,EOMONTH(EDATE(Bonds!$H343,6*(40-1)),0),EDATE(Bonds!$H343,6*(40-1))))</f>
        <v>53462</v>
      </c>
      <c r="AS343" s="3">
        <f>IF(41&gt;$C343,"",IF($D343=1,EOMONTH(EDATE(Bonds!$H343,6*(41-1)),0),EDATE(Bonds!$H343,6*(41-1))))</f>
        <v>53646</v>
      </c>
      <c r="AT343" s="3">
        <f>IF(42&gt;$C343,"",IF($D343=1,EOMONTH(EDATE(Bonds!$H343,6*(42-1)),0),EDATE(Bonds!$H343,6*(42-1))))</f>
        <v>53827</v>
      </c>
      <c r="AU343" s="3">
        <f>IF(43&gt;$C343,"",IF($D343=1,EOMONTH(EDATE(Bonds!$H343,6*(43-1)),0),EDATE(Bonds!$H343,6*(43-1))))</f>
        <v>54011</v>
      </c>
      <c r="AV343" s="3">
        <f>IF(44&gt;$C343,"",IF($D343=1,EOMONTH(EDATE(Bonds!$H343,6*(44-1)),0),EDATE(Bonds!$H343,6*(44-1))))</f>
        <v>54193</v>
      </c>
      <c r="AW343" s="3">
        <f>IF(45&gt;$C343,"",IF($D343=1,EOMONTH(EDATE(Bonds!$H343,6*(45-1)),0),EDATE(Bonds!$H343,6*(45-1))))</f>
        <v>54377</v>
      </c>
      <c r="AX343" s="3">
        <f>IF(46&gt;$C343,"",IF($D343=1,EOMONTH(EDATE(Bonds!$H343,6*(46-1)),0),EDATE(Bonds!$H343,6*(46-1))))</f>
        <v>54558</v>
      </c>
      <c r="AY343" s="3">
        <f>IF(47&gt;$C343,"",IF($D343=1,EOMONTH(EDATE(Bonds!$H343,6*(47-1)),0),EDATE(Bonds!$H343,6*(47-1))))</f>
        <v>54742</v>
      </c>
      <c r="AZ343" s="3">
        <f>IF(48&gt;$C343,"",IF($D343=1,EOMONTH(EDATE(Bonds!$H343,6*(48-1)),0),EDATE(Bonds!$H343,6*(48-1))))</f>
        <v>54923</v>
      </c>
      <c r="BA343" s="3">
        <f>IF(49&gt;$C343,"",IF($D343=1,EOMONTH(EDATE(Bonds!$H343,6*(49-1)),0),EDATE(Bonds!$H343,6*(49-1))))</f>
        <v>55107</v>
      </c>
      <c r="BB343" s="3">
        <f>IF(50&gt;$C343,"",IF($D343=1,EOMONTH(EDATE(Bonds!$H343,6*(50-1)),0),EDATE(Bonds!$H343,6*(50-1))))</f>
        <v>55288</v>
      </c>
      <c r="BC343" s="3">
        <f>IF(51&gt;$C343,"",IF($D343=1,EOMONTH(EDATE(Bonds!$H343,6*(51-1)),0),EDATE(Bonds!$H343,6*(51-1))))</f>
        <v>55472</v>
      </c>
      <c r="BD343" s="3">
        <f>IF(52&gt;$C343,"",IF($D343=1,EOMONTH(EDATE(Bonds!$H343,6*(52-1)),0),EDATE(Bonds!$H343,6*(52-1))))</f>
        <v>55654</v>
      </c>
      <c r="BE343" s="3" t="str">
        <f>IF(53&gt;$C343,"",IF($D343=1,EOMONTH(EDATE(Bonds!$H343,6*(53-1)),0),EDATE(Bonds!$H343,6*(53-1))))</f>
        <v/>
      </c>
      <c r="BF343" s="3" t="str">
        <f>IF(54&gt;$C343,"",IF($D343=1,EOMONTH(EDATE(Bonds!$H343,6*(54-1)),0),EDATE(Bonds!$H343,6*(54-1))))</f>
        <v/>
      </c>
      <c r="BG343" s="3" t="str">
        <f>IF(55&gt;$C343,"",IF($D343=1,EOMONTH(EDATE(Bonds!$H343,6*(55-1)),0),EDATE(Bonds!$H343,6*(55-1))))</f>
        <v/>
      </c>
      <c r="BH343" s="3" t="str">
        <f>IF(56&gt;$C343,"",IF($D343=1,EOMONTH(EDATE(Bonds!$H343,6*(56-1)),0),EDATE(Bonds!$H343,6*(56-1))))</f>
        <v/>
      </c>
      <c r="BI343" s="3" t="str">
        <f>IF(57&gt;$C343,"",IF($D343=1,EOMONTH(EDATE(Bonds!$H343,6*(57-1)),0),EDATE(Bonds!$H343,6*(57-1))))</f>
        <v/>
      </c>
      <c r="BJ343" s="3" t="str">
        <f>IF(58&gt;$C343,"",IF($D343=1,EOMONTH(EDATE(Bonds!$H343,6*(58-1)),0),EDATE(Bonds!$H343,6*(58-1))))</f>
        <v/>
      </c>
      <c r="BK343" s="3" t="str">
        <f>IF(59&gt;$C343,"",IF($D343=1,EOMONTH(EDATE(Bonds!$H343,6*(59-1)),0),EDATE(Bonds!$H343,6*(59-1))))</f>
        <v/>
      </c>
      <c r="BL343" s="3" t="str">
        <f>IF(60&gt;$C343,"",IF($D343=1,EOMONTH(EDATE(Bonds!$H343,6*(60-1)),0),EDATE(Bonds!$H343,6*(60-1))))</f>
        <v/>
      </c>
      <c r="BN343" s="7">
        <f t="shared" si="306"/>
        <v>1.4274742749875267</v>
      </c>
      <c r="BO343" s="7">
        <f t="shared" si="307"/>
        <v>1.3986486663573166</v>
      </c>
      <c r="BP343" s="7">
        <f t="shared" si="308"/>
        <v>1.3678399410400741</v>
      </c>
      <c r="BQ343" s="7">
        <f t="shared" si="309"/>
        <v>1.3371598283300468</v>
      </c>
      <c r="BR343" s="7">
        <f t="shared" si="310"/>
        <v>1.3065839082019193</v>
      </c>
      <c r="BS343" s="7">
        <f t="shared" si="311"/>
        <v>1.2771928779737276</v>
      </c>
      <c r="BT343" s="7">
        <f t="shared" si="312"/>
        <v>1.2480553960943812</v>
      </c>
      <c r="BU343" s="7">
        <f t="shared" si="313"/>
        <v>1.2200577782749149</v>
      </c>
      <c r="BV343" s="7">
        <f t="shared" si="314"/>
        <v>1.1921630242748884</v>
      </c>
      <c r="BW343" s="7">
        <f t="shared" si="315"/>
        <v>1.1651675143430285</v>
      </c>
      <c r="BX343" s="7">
        <f t="shared" si="316"/>
        <v>1.138073400627418</v>
      </c>
      <c r="BY343" s="7">
        <f t="shared" si="317"/>
        <v>1.111539483690813</v>
      </c>
      <c r="BZ343" s="7">
        <f t="shared" si="318"/>
        <v>1.0849254079937773</v>
      </c>
      <c r="CA343" s="7">
        <f t="shared" si="319"/>
        <v>1.0589197216220363</v>
      </c>
      <c r="CB343" s="7">
        <f t="shared" si="320"/>
        <v>1.0326472098514692</v>
      </c>
      <c r="CC343" s="7">
        <f t="shared" si="321"/>
        <v>1.0069681689100056</v>
      </c>
      <c r="CD343" s="7">
        <f t="shared" si="322"/>
        <v>0.98104805952639829</v>
      </c>
      <c r="CE343" s="7">
        <f t="shared" si="323"/>
        <v>0.95575772796668679</v>
      </c>
      <c r="CF343" s="7">
        <f t="shared" si="324"/>
        <v>0.93029135924109019</v>
      </c>
      <c r="CG343" s="7">
        <f t="shared" si="325"/>
        <v>0.90537875716522842</v>
      </c>
      <c r="CH343" s="7">
        <f t="shared" si="326"/>
        <v>0.88051030460373658</v>
      </c>
      <c r="CI343" s="7">
        <f t="shared" si="327"/>
        <v>0.85639598676203954</v>
      </c>
      <c r="CJ343" s="7">
        <f t="shared" si="328"/>
        <v>0.83227247353154832</v>
      </c>
      <c r="CK343" s="7">
        <f t="shared" si="329"/>
        <v>0.80895927212585761</v>
      </c>
      <c r="CL343" s="7">
        <f t="shared" si="330"/>
        <v>0.78571408295427014</v>
      </c>
      <c r="CM343" s="7">
        <f t="shared" si="331"/>
        <v>0.76332134181865541</v>
      </c>
      <c r="CN343" s="7">
        <f t="shared" si="332"/>
        <v>0.74106207701055971</v>
      </c>
      <c r="CO343" s="7">
        <f t="shared" si="333"/>
        <v>0.71956460633388575</v>
      </c>
      <c r="CP343" s="7">
        <f t="shared" si="334"/>
        <v>0.69837238838735416</v>
      </c>
      <c r="CQ343" s="7">
        <f t="shared" si="335"/>
        <v>0.67806894189721389</v>
      </c>
      <c r="CR343" s="7">
        <f t="shared" si="336"/>
        <v>0.65799013333633372</v>
      </c>
      <c r="CS343" s="7">
        <f t="shared" si="337"/>
        <v>0.63879635086224695</v>
      </c>
      <c r="CT343" s="7">
        <f t="shared" si="338"/>
        <v>0.61985422282472968</v>
      </c>
      <c r="CU343" s="7">
        <f t="shared" si="339"/>
        <v>0.60178169087836664</v>
      </c>
      <c r="CV343" s="7">
        <f t="shared" si="340"/>
        <v>0.58397758685254986</v>
      </c>
      <c r="CW343" s="7">
        <f t="shared" si="341"/>
        <v>0.56692622645699209</v>
      </c>
      <c r="CX343" s="7">
        <f t="shared" si="342"/>
        <v>0.55024682735017016</v>
      </c>
      <c r="CY343" s="7">
        <f t="shared" si="343"/>
        <v>0.53438064930660401</v>
      </c>
      <c r="CZ343" s="7">
        <f t="shared" si="344"/>
        <v>0.51879278225652836</v>
      </c>
      <c r="DA343" s="7">
        <f t="shared" si="345"/>
        <v>0.50398162946120084</v>
      </c>
      <c r="DB343" s="7">
        <f t="shared" si="346"/>
        <v>0.48944513249602045</v>
      </c>
      <c r="DC343" s="7">
        <f t="shared" si="347"/>
        <v>0.47564569313397115</v>
      </c>
      <c r="DD343" s="7">
        <f t="shared" si="348"/>
        <v>0.46211336673755427</v>
      </c>
      <c r="DE343" s="7">
        <f t="shared" si="349"/>
        <v>0.44920707442491997</v>
      </c>
      <c r="DF343" s="7">
        <f t="shared" si="350"/>
        <v>0.43662973890869095</v>
      </c>
      <c r="DG343" s="7">
        <f t="shared" si="351"/>
        <v>0.42470596829573459</v>
      </c>
      <c r="DH343" s="7">
        <f t="shared" si="352"/>
        <v>0.41302673201820961</v>
      </c>
      <c r="DI343" s="7">
        <f t="shared" si="353"/>
        <v>0.40195934071071499</v>
      </c>
      <c r="DJ343" s="7">
        <f t="shared" si="354"/>
        <v>0.39112309464536399</v>
      </c>
      <c r="DK343" s="7">
        <f t="shared" si="355"/>
        <v>0.38085789706430162</v>
      </c>
      <c r="DL343" s="7">
        <f t="shared" si="356"/>
        <v>0.37080984463163336</v>
      </c>
      <c r="DM343" s="7">
        <f t="shared" si="357"/>
        <v>25.491109835142542</v>
      </c>
      <c r="DN343" s="7">
        <f t="shared" si="358"/>
        <v>0</v>
      </c>
      <c r="DO343" s="7">
        <f t="shared" si="359"/>
        <v>0</v>
      </c>
      <c r="DP343" s="7">
        <f t="shared" si="360"/>
        <v>0</v>
      </c>
      <c r="DQ343" s="7">
        <f t="shared" si="361"/>
        <v>0</v>
      </c>
      <c r="DR343" s="7">
        <f t="shared" si="362"/>
        <v>0</v>
      </c>
      <c r="DS343" s="7">
        <f t="shared" si="363"/>
        <v>0</v>
      </c>
      <c r="DT343" s="7">
        <f t="shared" si="364"/>
        <v>0</v>
      </c>
      <c r="DU343" s="7">
        <f t="shared" si="365"/>
        <v>0</v>
      </c>
    </row>
    <row r="344" spans="1:125" x14ac:dyDescent="0.2">
      <c r="A344" s="3">
        <f>Bonds!A344</f>
        <v>55746</v>
      </c>
      <c r="B344" s="4">
        <f>Bonds!B344</f>
        <v>3</v>
      </c>
      <c r="C344">
        <f>Bonds!P344</f>
        <v>52</v>
      </c>
      <c r="D344">
        <f t="shared" si="305"/>
        <v>0</v>
      </c>
      <c r="E344" s="3">
        <f>IF(1&gt;$C344,"",IF($D344=1,EOMONTH(EDATE(Bonds!$H344,6*(1-1)),0),EDATE(Bonds!$H344,6*(1-1))))</f>
        <v>46433</v>
      </c>
      <c r="F344" s="3">
        <f>IF(2&gt;$C344,"",IF($D344=1,EOMONTH(EDATE(Bonds!$H344,6*(2-1)),0),EDATE(Bonds!$H344,6*(2-1))))</f>
        <v>46614</v>
      </c>
      <c r="G344" s="3">
        <f>IF(3&gt;$C344,"",IF($D344=1,EOMONTH(EDATE(Bonds!$H344,6*(3-1)),0),EDATE(Bonds!$H344,6*(3-1))))</f>
        <v>46798</v>
      </c>
      <c r="H344" s="3">
        <f>IF(4&gt;$C344,"",IF($D344=1,EOMONTH(EDATE(Bonds!$H344,6*(4-1)),0),EDATE(Bonds!$H344,6*(4-1))))</f>
        <v>46980</v>
      </c>
      <c r="I344" s="3">
        <f>IF(5&gt;$C344,"",IF($D344=1,EOMONTH(EDATE(Bonds!$H344,6*(5-1)),0),EDATE(Bonds!$H344,6*(5-1))))</f>
        <v>47164</v>
      </c>
      <c r="J344" s="3">
        <f>IF(6&gt;$C344,"",IF($D344=1,EOMONTH(EDATE(Bonds!$H344,6*(6-1)),0),EDATE(Bonds!$H344,6*(6-1))))</f>
        <v>47345</v>
      </c>
      <c r="K344" s="3">
        <f>IF(7&gt;$C344,"",IF($D344=1,EOMONTH(EDATE(Bonds!$H344,6*(7-1)),0),EDATE(Bonds!$H344,6*(7-1))))</f>
        <v>47529</v>
      </c>
      <c r="L344" s="3">
        <f>IF(8&gt;$C344,"",IF($D344=1,EOMONTH(EDATE(Bonds!$H344,6*(8-1)),0),EDATE(Bonds!$H344,6*(8-1))))</f>
        <v>47710</v>
      </c>
      <c r="M344" s="3">
        <f>IF(9&gt;$C344,"",IF($D344=1,EOMONTH(EDATE(Bonds!$H344,6*(9-1)),0),EDATE(Bonds!$H344,6*(9-1))))</f>
        <v>47894</v>
      </c>
      <c r="N344" s="3">
        <f>IF(10&gt;$C344,"",IF($D344=1,EOMONTH(EDATE(Bonds!$H344,6*(10-1)),0),EDATE(Bonds!$H344,6*(10-1))))</f>
        <v>48075</v>
      </c>
      <c r="O344" s="3">
        <f>IF(11&gt;$C344,"",IF($D344=1,EOMONTH(EDATE(Bonds!$H344,6*(11-1)),0),EDATE(Bonds!$H344,6*(11-1))))</f>
        <v>48259</v>
      </c>
      <c r="P344" s="3">
        <f>IF(12&gt;$C344,"",IF($D344=1,EOMONTH(EDATE(Bonds!$H344,6*(12-1)),0),EDATE(Bonds!$H344,6*(12-1))))</f>
        <v>48441</v>
      </c>
      <c r="Q344" s="3">
        <f>IF(13&gt;$C344,"",IF($D344=1,EOMONTH(EDATE(Bonds!$H344,6*(13-1)),0),EDATE(Bonds!$H344,6*(13-1))))</f>
        <v>48625</v>
      </c>
      <c r="R344" s="3">
        <f>IF(14&gt;$C344,"",IF($D344=1,EOMONTH(EDATE(Bonds!$H344,6*(14-1)),0),EDATE(Bonds!$H344,6*(14-1))))</f>
        <v>48806</v>
      </c>
      <c r="S344" s="3">
        <f>IF(15&gt;$C344,"",IF($D344=1,EOMONTH(EDATE(Bonds!$H344,6*(15-1)),0),EDATE(Bonds!$H344,6*(15-1))))</f>
        <v>48990</v>
      </c>
      <c r="T344" s="3">
        <f>IF(16&gt;$C344,"",IF($D344=1,EOMONTH(EDATE(Bonds!$H344,6*(16-1)),0),EDATE(Bonds!$H344,6*(16-1))))</f>
        <v>49171</v>
      </c>
      <c r="U344" s="3">
        <f>IF(17&gt;$C344,"",IF($D344=1,EOMONTH(EDATE(Bonds!$H344,6*(17-1)),0),EDATE(Bonds!$H344,6*(17-1))))</f>
        <v>49355</v>
      </c>
      <c r="V344" s="3">
        <f>IF(18&gt;$C344,"",IF($D344=1,EOMONTH(EDATE(Bonds!$H344,6*(18-1)),0),EDATE(Bonds!$H344,6*(18-1))))</f>
        <v>49536</v>
      </c>
      <c r="W344" s="3">
        <f>IF(19&gt;$C344,"",IF($D344=1,EOMONTH(EDATE(Bonds!$H344,6*(19-1)),0),EDATE(Bonds!$H344,6*(19-1))))</f>
        <v>49720</v>
      </c>
      <c r="X344" s="3">
        <f>IF(20&gt;$C344,"",IF($D344=1,EOMONTH(EDATE(Bonds!$H344,6*(20-1)),0),EDATE(Bonds!$H344,6*(20-1))))</f>
        <v>49902</v>
      </c>
      <c r="Y344" s="3">
        <f>IF(21&gt;$C344,"",IF($D344=1,EOMONTH(EDATE(Bonds!$H344,6*(21-1)),0),EDATE(Bonds!$H344,6*(21-1))))</f>
        <v>50086</v>
      </c>
      <c r="Z344" s="3">
        <f>IF(22&gt;$C344,"",IF($D344=1,EOMONTH(EDATE(Bonds!$H344,6*(22-1)),0),EDATE(Bonds!$H344,6*(22-1))))</f>
        <v>50267</v>
      </c>
      <c r="AA344" s="3">
        <f>IF(23&gt;$C344,"",IF($D344=1,EOMONTH(EDATE(Bonds!$H344,6*(23-1)),0),EDATE(Bonds!$H344,6*(23-1))))</f>
        <v>50451</v>
      </c>
      <c r="AB344" s="3">
        <f>IF(24&gt;$C344,"",IF($D344=1,EOMONTH(EDATE(Bonds!$H344,6*(24-1)),0),EDATE(Bonds!$H344,6*(24-1))))</f>
        <v>50632</v>
      </c>
      <c r="AC344" s="3">
        <f>IF(25&gt;$C344,"",IF($D344=1,EOMONTH(EDATE(Bonds!$H344,6*(25-1)),0),EDATE(Bonds!$H344,6*(25-1))))</f>
        <v>50816</v>
      </c>
      <c r="AD344" s="3">
        <f>IF(26&gt;$C344,"",IF($D344=1,EOMONTH(EDATE(Bonds!$H344,6*(26-1)),0),EDATE(Bonds!$H344,6*(26-1))))</f>
        <v>50997</v>
      </c>
      <c r="AE344" s="3">
        <f>IF(27&gt;$C344,"",IF($D344=1,EOMONTH(EDATE(Bonds!$H344,6*(27-1)),0),EDATE(Bonds!$H344,6*(27-1))))</f>
        <v>51181</v>
      </c>
      <c r="AF344" s="3">
        <f>IF(28&gt;$C344,"",IF($D344=1,EOMONTH(EDATE(Bonds!$H344,6*(28-1)),0),EDATE(Bonds!$H344,6*(28-1))))</f>
        <v>51363</v>
      </c>
      <c r="AG344" s="3">
        <f>IF(29&gt;$C344,"",IF($D344=1,EOMONTH(EDATE(Bonds!$H344,6*(29-1)),0),EDATE(Bonds!$H344,6*(29-1))))</f>
        <v>51547</v>
      </c>
      <c r="AH344" s="3">
        <f>IF(30&gt;$C344,"",IF($D344=1,EOMONTH(EDATE(Bonds!$H344,6*(30-1)),0),EDATE(Bonds!$H344,6*(30-1))))</f>
        <v>51728</v>
      </c>
      <c r="AI344" s="3">
        <f>IF(31&gt;$C344,"",IF($D344=1,EOMONTH(EDATE(Bonds!$H344,6*(31-1)),0),EDATE(Bonds!$H344,6*(31-1))))</f>
        <v>51912</v>
      </c>
      <c r="AJ344" s="3">
        <f>IF(32&gt;$C344,"",IF($D344=1,EOMONTH(EDATE(Bonds!$H344,6*(32-1)),0),EDATE(Bonds!$H344,6*(32-1))))</f>
        <v>52093</v>
      </c>
      <c r="AK344" s="3">
        <f>IF(33&gt;$C344,"",IF($D344=1,EOMONTH(EDATE(Bonds!$H344,6*(33-1)),0),EDATE(Bonds!$H344,6*(33-1))))</f>
        <v>52277</v>
      </c>
      <c r="AL344" s="3">
        <f>IF(34&gt;$C344,"",IF($D344=1,EOMONTH(EDATE(Bonds!$H344,6*(34-1)),0),EDATE(Bonds!$H344,6*(34-1))))</f>
        <v>52458</v>
      </c>
      <c r="AM344" s="3">
        <f>IF(35&gt;$C344,"",IF($D344=1,EOMONTH(EDATE(Bonds!$H344,6*(35-1)),0),EDATE(Bonds!$H344,6*(35-1))))</f>
        <v>52642</v>
      </c>
      <c r="AN344" s="3">
        <f>IF(36&gt;$C344,"",IF($D344=1,EOMONTH(EDATE(Bonds!$H344,6*(36-1)),0),EDATE(Bonds!$H344,6*(36-1))))</f>
        <v>52824</v>
      </c>
      <c r="AO344" s="3">
        <f>IF(37&gt;$C344,"",IF($D344=1,EOMONTH(EDATE(Bonds!$H344,6*(37-1)),0),EDATE(Bonds!$H344,6*(37-1))))</f>
        <v>53008</v>
      </c>
      <c r="AP344" s="3">
        <f>IF(38&gt;$C344,"",IF($D344=1,EOMONTH(EDATE(Bonds!$H344,6*(38-1)),0),EDATE(Bonds!$H344,6*(38-1))))</f>
        <v>53189</v>
      </c>
      <c r="AQ344" s="3">
        <f>IF(39&gt;$C344,"",IF($D344=1,EOMONTH(EDATE(Bonds!$H344,6*(39-1)),0),EDATE(Bonds!$H344,6*(39-1))))</f>
        <v>53373</v>
      </c>
      <c r="AR344" s="3">
        <f>IF(40&gt;$C344,"",IF($D344=1,EOMONTH(EDATE(Bonds!$H344,6*(40-1)),0),EDATE(Bonds!$H344,6*(40-1))))</f>
        <v>53554</v>
      </c>
      <c r="AS344" s="3">
        <f>IF(41&gt;$C344,"",IF($D344=1,EOMONTH(EDATE(Bonds!$H344,6*(41-1)),0),EDATE(Bonds!$H344,6*(41-1))))</f>
        <v>53738</v>
      </c>
      <c r="AT344" s="3">
        <f>IF(42&gt;$C344,"",IF($D344=1,EOMONTH(EDATE(Bonds!$H344,6*(42-1)),0),EDATE(Bonds!$H344,6*(42-1))))</f>
        <v>53919</v>
      </c>
      <c r="AU344" s="3">
        <f>IF(43&gt;$C344,"",IF($D344=1,EOMONTH(EDATE(Bonds!$H344,6*(43-1)),0),EDATE(Bonds!$H344,6*(43-1))))</f>
        <v>54103</v>
      </c>
      <c r="AV344" s="3">
        <f>IF(44&gt;$C344,"",IF($D344=1,EOMONTH(EDATE(Bonds!$H344,6*(44-1)),0),EDATE(Bonds!$H344,6*(44-1))))</f>
        <v>54285</v>
      </c>
      <c r="AW344" s="3">
        <f>IF(45&gt;$C344,"",IF($D344=1,EOMONTH(EDATE(Bonds!$H344,6*(45-1)),0),EDATE(Bonds!$H344,6*(45-1))))</f>
        <v>54469</v>
      </c>
      <c r="AX344" s="3">
        <f>IF(46&gt;$C344,"",IF($D344=1,EOMONTH(EDATE(Bonds!$H344,6*(46-1)),0),EDATE(Bonds!$H344,6*(46-1))))</f>
        <v>54650</v>
      </c>
      <c r="AY344" s="3">
        <f>IF(47&gt;$C344,"",IF($D344=1,EOMONTH(EDATE(Bonds!$H344,6*(47-1)),0),EDATE(Bonds!$H344,6*(47-1))))</f>
        <v>54834</v>
      </c>
      <c r="AZ344" s="3">
        <f>IF(48&gt;$C344,"",IF($D344=1,EOMONTH(EDATE(Bonds!$H344,6*(48-1)),0),EDATE(Bonds!$H344,6*(48-1))))</f>
        <v>55015</v>
      </c>
      <c r="BA344" s="3">
        <f>IF(49&gt;$C344,"",IF($D344=1,EOMONTH(EDATE(Bonds!$H344,6*(49-1)),0),EDATE(Bonds!$H344,6*(49-1))))</f>
        <v>55199</v>
      </c>
      <c r="BB344" s="3">
        <f>IF(50&gt;$C344,"",IF($D344=1,EOMONTH(EDATE(Bonds!$H344,6*(50-1)),0),EDATE(Bonds!$H344,6*(50-1))))</f>
        <v>55380</v>
      </c>
      <c r="BC344" s="3">
        <f>IF(51&gt;$C344,"",IF($D344=1,EOMONTH(EDATE(Bonds!$H344,6*(51-1)),0),EDATE(Bonds!$H344,6*(51-1))))</f>
        <v>55564</v>
      </c>
      <c r="BD344" s="3">
        <f>IF(52&gt;$C344,"",IF($D344=1,EOMONTH(EDATE(Bonds!$H344,6*(52-1)),0),EDATE(Bonds!$H344,6*(52-1))))</f>
        <v>55746</v>
      </c>
      <c r="BE344" s="3" t="str">
        <f>IF(53&gt;$C344,"",IF($D344=1,EOMONTH(EDATE(Bonds!$H344,6*(53-1)),0),EDATE(Bonds!$H344,6*(53-1))))</f>
        <v/>
      </c>
      <c r="BF344" s="3" t="str">
        <f>IF(54&gt;$C344,"",IF($D344=1,EOMONTH(EDATE(Bonds!$H344,6*(54-1)),0),EDATE(Bonds!$H344,6*(54-1))))</f>
        <v/>
      </c>
      <c r="BG344" s="3" t="str">
        <f>IF(55&gt;$C344,"",IF($D344=1,EOMONTH(EDATE(Bonds!$H344,6*(55-1)),0),EDATE(Bonds!$H344,6*(55-1))))</f>
        <v/>
      </c>
      <c r="BH344" s="3" t="str">
        <f>IF(56&gt;$C344,"",IF($D344=1,EOMONTH(EDATE(Bonds!$H344,6*(56-1)),0),EDATE(Bonds!$H344,6*(56-1))))</f>
        <v/>
      </c>
      <c r="BI344" s="3" t="str">
        <f>IF(57&gt;$C344,"",IF($D344=1,EOMONTH(EDATE(Bonds!$H344,6*(57-1)),0),EDATE(Bonds!$H344,6*(57-1))))</f>
        <v/>
      </c>
      <c r="BJ344" s="3" t="str">
        <f>IF(58&gt;$C344,"",IF($D344=1,EOMONTH(EDATE(Bonds!$H344,6*(58-1)),0),EDATE(Bonds!$H344,6*(58-1))))</f>
        <v/>
      </c>
      <c r="BK344" s="3" t="str">
        <f>IF(59&gt;$C344,"",IF($D344=1,EOMONTH(EDATE(Bonds!$H344,6*(59-1)),0),EDATE(Bonds!$H344,6*(59-1))))</f>
        <v/>
      </c>
      <c r="BL344" s="3" t="str">
        <f>IF(60&gt;$C344,"",IF($D344=1,EOMONTH(EDATE(Bonds!$H344,6*(60-1)),0),EDATE(Bonds!$H344,6*(60-1))))</f>
        <v/>
      </c>
      <c r="BN344" s="7">
        <f t="shared" si="306"/>
        <v>1.4745592234215268</v>
      </c>
      <c r="BO344" s="7">
        <f t="shared" si="307"/>
        <v>1.4434779867710825</v>
      </c>
      <c r="BP344" s="7">
        <f t="shared" si="308"/>
        <v>1.4111011617560416</v>
      </c>
      <c r="BQ344" s="7">
        <f t="shared" si="309"/>
        <v>1.3792627088894016</v>
      </c>
      <c r="BR344" s="7">
        <f t="shared" si="310"/>
        <v>1.3477081746177022</v>
      </c>
      <c r="BS344" s="7">
        <f t="shared" si="311"/>
        <v>1.3174260145842727</v>
      </c>
      <c r="BT344" s="7">
        <f t="shared" si="312"/>
        <v>1.2873896018748001</v>
      </c>
      <c r="BU344" s="7">
        <f t="shared" si="313"/>
        <v>1.2584831406180328</v>
      </c>
      <c r="BV344" s="7">
        <f t="shared" si="314"/>
        <v>1.2296276988670014</v>
      </c>
      <c r="BW344" s="7">
        <f t="shared" si="315"/>
        <v>1.2016509394434847</v>
      </c>
      <c r="BX344" s="7">
        <f t="shared" si="316"/>
        <v>1.173528750555604</v>
      </c>
      <c r="BY344" s="7">
        <f t="shared" si="317"/>
        <v>1.1459567038490892</v>
      </c>
      <c r="BZ344" s="7">
        <f t="shared" si="318"/>
        <v>1.1182817317826954</v>
      </c>
      <c r="CA344" s="7">
        <f t="shared" si="319"/>
        <v>1.0912308425531965</v>
      </c>
      <c r="CB344" s="7">
        <f t="shared" si="320"/>
        <v>1.0639029375301776</v>
      </c>
      <c r="CC344" s="7">
        <f t="shared" si="321"/>
        <v>1.0372000670262151</v>
      </c>
      <c r="CD344" s="7">
        <f t="shared" si="322"/>
        <v>1.010259910452932</v>
      </c>
      <c r="CE344" s="7">
        <f t="shared" si="323"/>
        <v>0.98399132832559122</v>
      </c>
      <c r="CF344" s="7">
        <f t="shared" si="324"/>
        <v>0.9575597459737325</v>
      </c>
      <c r="CG344" s="7">
        <f t="shared" si="325"/>
        <v>0.9317240256689383</v>
      </c>
      <c r="CH344" s="7">
        <f t="shared" si="326"/>
        <v>0.90595600051853253</v>
      </c>
      <c r="CI344" s="7">
        <f t="shared" si="327"/>
        <v>0.8809907958911265</v>
      </c>
      <c r="CJ344" s="7">
        <f t="shared" si="328"/>
        <v>0.85603726047881579</v>
      </c>
      <c r="CK344" s="7">
        <f t="shared" si="329"/>
        <v>0.83194187432179612</v>
      </c>
      <c r="CL344" s="7">
        <f t="shared" si="330"/>
        <v>0.80793593998756208</v>
      </c>
      <c r="CM344" s="7">
        <f t="shared" si="331"/>
        <v>0.78482796329434779</v>
      </c>
      <c r="CN344" s="7">
        <f t="shared" si="332"/>
        <v>0.76187430061400907</v>
      </c>
      <c r="CO344" s="7">
        <f t="shared" si="333"/>
        <v>0.73972130795882873</v>
      </c>
      <c r="CP344" s="7">
        <f t="shared" si="334"/>
        <v>0.71789682218407636</v>
      </c>
      <c r="CQ344" s="7">
        <f t="shared" si="335"/>
        <v>0.69700005283591515</v>
      </c>
      <c r="CR344" s="7">
        <f t="shared" si="336"/>
        <v>0.67634590204293987</v>
      </c>
      <c r="CS344" s="7">
        <f t="shared" si="337"/>
        <v>0.65661224709489308</v>
      </c>
      <c r="CT344" s="7">
        <f t="shared" si="338"/>
        <v>0.63714653396964782</v>
      </c>
      <c r="CU344" s="7">
        <f t="shared" si="339"/>
        <v>0.61858254664085766</v>
      </c>
      <c r="CV344" s="7">
        <f t="shared" si="340"/>
        <v>0.60030160465226623</v>
      </c>
      <c r="CW344" s="7">
        <f t="shared" si="341"/>
        <v>0.58280000386009723</v>
      </c>
      <c r="CX344" s="7">
        <f t="shared" si="342"/>
        <v>0.56568593347057838</v>
      </c>
      <c r="CY344" s="7">
        <f t="shared" si="343"/>
        <v>0.54941124319879164</v>
      </c>
      <c r="CZ344" s="7">
        <f t="shared" si="344"/>
        <v>0.53342645716859227</v>
      </c>
      <c r="DA344" s="7">
        <f t="shared" si="345"/>
        <v>0.518241971385065</v>
      </c>
      <c r="DB344" s="7">
        <f t="shared" si="346"/>
        <v>0.50334243239321041</v>
      </c>
      <c r="DC344" s="7">
        <f t="shared" si="347"/>
        <v>0.48920123049738551</v>
      </c>
      <c r="DD344" s="7">
        <f t="shared" si="348"/>
        <v>0.47533627234214365</v>
      </c>
      <c r="DE344" s="7">
        <f t="shared" si="349"/>
        <v>0.46211487514498939</v>
      </c>
      <c r="DF344" s="7">
        <f t="shared" si="350"/>
        <v>0.44923230553869509</v>
      </c>
      <c r="DG344" s="7">
        <f t="shared" si="351"/>
        <v>0.43702068676625938</v>
      </c>
      <c r="DH344" s="7">
        <f t="shared" si="352"/>
        <v>0.4250608022611489</v>
      </c>
      <c r="DI344" s="7">
        <f t="shared" si="353"/>
        <v>0.41372852148521183</v>
      </c>
      <c r="DJ344" s="7">
        <f t="shared" si="354"/>
        <v>0.40263379392127818</v>
      </c>
      <c r="DK344" s="7">
        <f t="shared" si="355"/>
        <v>0.39212442705218925</v>
      </c>
      <c r="DL344" s="7">
        <f t="shared" si="356"/>
        <v>0.38183791911306797</v>
      </c>
      <c r="DM344" s="7">
        <f t="shared" si="357"/>
        <v>25.174928288751588</v>
      </c>
      <c r="DN344" s="7">
        <f t="shared" si="358"/>
        <v>0</v>
      </c>
      <c r="DO344" s="7">
        <f t="shared" si="359"/>
        <v>0</v>
      </c>
      <c r="DP344" s="7">
        <f t="shared" si="360"/>
        <v>0</v>
      </c>
      <c r="DQ344" s="7">
        <f t="shared" si="361"/>
        <v>0</v>
      </c>
      <c r="DR344" s="7">
        <f t="shared" si="362"/>
        <v>0</v>
      </c>
      <c r="DS344" s="7">
        <f t="shared" si="363"/>
        <v>0</v>
      </c>
      <c r="DT344" s="7">
        <f t="shared" si="364"/>
        <v>0</v>
      </c>
      <c r="DU344" s="7">
        <f t="shared" si="365"/>
        <v>0</v>
      </c>
    </row>
    <row r="345" spans="1:125" x14ac:dyDescent="0.2">
      <c r="A345" s="3">
        <f>Bonds!A345</f>
        <v>55838</v>
      </c>
      <c r="B345" s="4">
        <f>Bonds!B345</f>
        <v>4</v>
      </c>
      <c r="C345">
        <f>Bonds!P345</f>
        <v>53</v>
      </c>
      <c r="D345">
        <f t="shared" si="305"/>
        <v>0</v>
      </c>
      <c r="E345" s="3">
        <f>IF(1&gt;$C345,"",IF($D345=1,EOMONTH(EDATE(Bonds!$H345,6*(1-1)),0),EDATE(Bonds!$H345,6*(1-1))))</f>
        <v>46341</v>
      </c>
      <c r="F345" s="3">
        <f>IF(2&gt;$C345,"",IF($D345=1,EOMONTH(EDATE(Bonds!$H345,6*(2-1)),0),EDATE(Bonds!$H345,6*(2-1))))</f>
        <v>46522</v>
      </c>
      <c r="G345" s="3">
        <f>IF(3&gt;$C345,"",IF($D345=1,EOMONTH(EDATE(Bonds!$H345,6*(3-1)),0),EDATE(Bonds!$H345,6*(3-1))))</f>
        <v>46706</v>
      </c>
      <c r="H345" s="3">
        <f>IF(4&gt;$C345,"",IF($D345=1,EOMONTH(EDATE(Bonds!$H345,6*(4-1)),0),EDATE(Bonds!$H345,6*(4-1))))</f>
        <v>46888</v>
      </c>
      <c r="I345" s="3">
        <f>IF(5&gt;$C345,"",IF($D345=1,EOMONTH(EDATE(Bonds!$H345,6*(5-1)),0),EDATE(Bonds!$H345,6*(5-1))))</f>
        <v>47072</v>
      </c>
      <c r="J345" s="3">
        <f>IF(6&gt;$C345,"",IF($D345=1,EOMONTH(EDATE(Bonds!$H345,6*(6-1)),0),EDATE(Bonds!$H345,6*(6-1))))</f>
        <v>47253</v>
      </c>
      <c r="K345" s="3">
        <f>IF(7&gt;$C345,"",IF($D345=1,EOMONTH(EDATE(Bonds!$H345,6*(7-1)),0),EDATE(Bonds!$H345,6*(7-1))))</f>
        <v>47437</v>
      </c>
      <c r="L345" s="3">
        <f>IF(8&gt;$C345,"",IF($D345=1,EOMONTH(EDATE(Bonds!$H345,6*(8-1)),0),EDATE(Bonds!$H345,6*(8-1))))</f>
        <v>47618</v>
      </c>
      <c r="M345" s="3">
        <f>IF(9&gt;$C345,"",IF($D345=1,EOMONTH(EDATE(Bonds!$H345,6*(9-1)),0),EDATE(Bonds!$H345,6*(9-1))))</f>
        <v>47802</v>
      </c>
      <c r="N345" s="3">
        <f>IF(10&gt;$C345,"",IF($D345=1,EOMONTH(EDATE(Bonds!$H345,6*(10-1)),0),EDATE(Bonds!$H345,6*(10-1))))</f>
        <v>47983</v>
      </c>
      <c r="O345" s="3">
        <f>IF(11&gt;$C345,"",IF($D345=1,EOMONTH(EDATE(Bonds!$H345,6*(11-1)),0),EDATE(Bonds!$H345,6*(11-1))))</f>
        <v>48167</v>
      </c>
      <c r="P345" s="3">
        <f>IF(12&gt;$C345,"",IF($D345=1,EOMONTH(EDATE(Bonds!$H345,6*(12-1)),0),EDATE(Bonds!$H345,6*(12-1))))</f>
        <v>48349</v>
      </c>
      <c r="Q345" s="3">
        <f>IF(13&gt;$C345,"",IF($D345=1,EOMONTH(EDATE(Bonds!$H345,6*(13-1)),0),EDATE(Bonds!$H345,6*(13-1))))</f>
        <v>48533</v>
      </c>
      <c r="R345" s="3">
        <f>IF(14&gt;$C345,"",IF($D345=1,EOMONTH(EDATE(Bonds!$H345,6*(14-1)),0),EDATE(Bonds!$H345,6*(14-1))))</f>
        <v>48714</v>
      </c>
      <c r="S345" s="3">
        <f>IF(15&gt;$C345,"",IF($D345=1,EOMONTH(EDATE(Bonds!$H345,6*(15-1)),0),EDATE(Bonds!$H345,6*(15-1))))</f>
        <v>48898</v>
      </c>
      <c r="T345" s="3">
        <f>IF(16&gt;$C345,"",IF($D345=1,EOMONTH(EDATE(Bonds!$H345,6*(16-1)),0),EDATE(Bonds!$H345,6*(16-1))))</f>
        <v>49079</v>
      </c>
      <c r="U345" s="3">
        <f>IF(17&gt;$C345,"",IF($D345=1,EOMONTH(EDATE(Bonds!$H345,6*(17-1)),0),EDATE(Bonds!$H345,6*(17-1))))</f>
        <v>49263</v>
      </c>
      <c r="V345" s="3">
        <f>IF(18&gt;$C345,"",IF($D345=1,EOMONTH(EDATE(Bonds!$H345,6*(18-1)),0),EDATE(Bonds!$H345,6*(18-1))))</f>
        <v>49444</v>
      </c>
      <c r="W345" s="3">
        <f>IF(19&gt;$C345,"",IF($D345=1,EOMONTH(EDATE(Bonds!$H345,6*(19-1)),0),EDATE(Bonds!$H345,6*(19-1))))</f>
        <v>49628</v>
      </c>
      <c r="X345" s="3">
        <f>IF(20&gt;$C345,"",IF($D345=1,EOMONTH(EDATE(Bonds!$H345,6*(20-1)),0),EDATE(Bonds!$H345,6*(20-1))))</f>
        <v>49810</v>
      </c>
      <c r="Y345" s="3">
        <f>IF(21&gt;$C345,"",IF($D345=1,EOMONTH(EDATE(Bonds!$H345,6*(21-1)),0),EDATE(Bonds!$H345,6*(21-1))))</f>
        <v>49994</v>
      </c>
      <c r="Z345" s="3">
        <f>IF(22&gt;$C345,"",IF($D345=1,EOMONTH(EDATE(Bonds!$H345,6*(22-1)),0),EDATE(Bonds!$H345,6*(22-1))))</f>
        <v>50175</v>
      </c>
      <c r="AA345" s="3">
        <f>IF(23&gt;$C345,"",IF($D345=1,EOMONTH(EDATE(Bonds!$H345,6*(23-1)),0),EDATE(Bonds!$H345,6*(23-1))))</f>
        <v>50359</v>
      </c>
      <c r="AB345" s="3">
        <f>IF(24&gt;$C345,"",IF($D345=1,EOMONTH(EDATE(Bonds!$H345,6*(24-1)),0),EDATE(Bonds!$H345,6*(24-1))))</f>
        <v>50540</v>
      </c>
      <c r="AC345" s="3">
        <f>IF(25&gt;$C345,"",IF($D345=1,EOMONTH(EDATE(Bonds!$H345,6*(25-1)),0),EDATE(Bonds!$H345,6*(25-1))))</f>
        <v>50724</v>
      </c>
      <c r="AD345" s="3">
        <f>IF(26&gt;$C345,"",IF($D345=1,EOMONTH(EDATE(Bonds!$H345,6*(26-1)),0),EDATE(Bonds!$H345,6*(26-1))))</f>
        <v>50905</v>
      </c>
      <c r="AE345" s="3">
        <f>IF(27&gt;$C345,"",IF($D345=1,EOMONTH(EDATE(Bonds!$H345,6*(27-1)),0),EDATE(Bonds!$H345,6*(27-1))))</f>
        <v>51089</v>
      </c>
      <c r="AF345" s="3">
        <f>IF(28&gt;$C345,"",IF($D345=1,EOMONTH(EDATE(Bonds!$H345,6*(28-1)),0),EDATE(Bonds!$H345,6*(28-1))))</f>
        <v>51271</v>
      </c>
      <c r="AG345" s="3">
        <f>IF(29&gt;$C345,"",IF($D345=1,EOMONTH(EDATE(Bonds!$H345,6*(29-1)),0),EDATE(Bonds!$H345,6*(29-1))))</f>
        <v>51455</v>
      </c>
      <c r="AH345" s="3">
        <f>IF(30&gt;$C345,"",IF($D345=1,EOMONTH(EDATE(Bonds!$H345,6*(30-1)),0),EDATE(Bonds!$H345,6*(30-1))))</f>
        <v>51636</v>
      </c>
      <c r="AI345" s="3">
        <f>IF(31&gt;$C345,"",IF($D345=1,EOMONTH(EDATE(Bonds!$H345,6*(31-1)),0),EDATE(Bonds!$H345,6*(31-1))))</f>
        <v>51820</v>
      </c>
      <c r="AJ345" s="3">
        <f>IF(32&gt;$C345,"",IF($D345=1,EOMONTH(EDATE(Bonds!$H345,6*(32-1)),0),EDATE(Bonds!$H345,6*(32-1))))</f>
        <v>52001</v>
      </c>
      <c r="AK345" s="3">
        <f>IF(33&gt;$C345,"",IF($D345=1,EOMONTH(EDATE(Bonds!$H345,6*(33-1)),0),EDATE(Bonds!$H345,6*(33-1))))</f>
        <v>52185</v>
      </c>
      <c r="AL345" s="3">
        <f>IF(34&gt;$C345,"",IF($D345=1,EOMONTH(EDATE(Bonds!$H345,6*(34-1)),0),EDATE(Bonds!$H345,6*(34-1))))</f>
        <v>52366</v>
      </c>
      <c r="AM345" s="3">
        <f>IF(35&gt;$C345,"",IF($D345=1,EOMONTH(EDATE(Bonds!$H345,6*(35-1)),0),EDATE(Bonds!$H345,6*(35-1))))</f>
        <v>52550</v>
      </c>
      <c r="AN345" s="3">
        <f>IF(36&gt;$C345,"",IF($D345=1,EOMONTH(EDATE(Bonds!$H345,6*(36-1)),0),EDATE(Bonds!$H345,6*(36-1))))</f>
        <v>52732</v>
      </c>
      <c r="AO345" s="3">
        <f>IF(37&gt;$C345,"",IF($D345=1,EOMONTH(EDATE(Bonds!$H345,6*(37-1)),0),EDATE(Bonds!$H345,6*(37-1))))</f>
        <v>52916</v>
      </c>
      <c r="AP345" s="3">
        <f>IF(38&gt;$C345,"",IF($D345=1,EOMONTH(EDATE(Bonds!$H345,6*(38-1)),0),EDATE(Bonds!$H345,6*(38-1))))</f>
        <v>53097</v>
      </c>
      <c r="AQ345" s="3">
        <f>IF(39&gt;$C345,"",IF($D345=1,EOMONTH(EDATE(Bonds!$H345,6*(39-1)),0),EDATE(Bonds!$H345,6*(39-1))))</f>
        <v>53281</v>
      </c>
      <c r="AR345" s="3">
        <f>IF(40&gt;$C345,"",IF($D345=1,EOMONTH(EDATE(Bonds!$H345,6*(40-1)),0),EDATE(Bonds!$H345,6*(40-1))))</f>
        <v>53462</v>
      </c>
      <c r="AS345" s="3">
        <f>IF(41&gt;$C345,"",IF($D345=1,EOMONTH(EDATE(Bonds!$H345,6*(41-1)),0),EDATE(Bonds!$H345,6*(41-1))))</f>
        <v>53646</v>
      </c>
      <c r="AT345" s="3">
        <f>IF(42&gt;$C345,"",IF($D345=1,EOMONTH(EDATE(Bonds!$H345,6*(42-1)),0),EDATE(Bonds!$H345,6*(42-1))))</f>
        <v>53827</v>
      </c>
      <c r="AU345" s="3">
        <f>IF(43&gt;$C345,"",IF($D345=1,EOMONTH(EDATE(Bonds!$H345,6*(43-1)),0),EDATE(Bonds!$H345,6*(43-1))))</f>
        <v>54011</v>
      </c>
      <c r="AV345" s="3">
        <f>IF(44&gt;$C345,"",IF($D345=1,EOMONTH(EDATE(Bonds!$H345,6*(44-1)),0),EDATE(Bonds!$H345,6*(44-1))))</f>
        <v>54193</v>
      </c>
      <c r="AW345" s="3">
        <f>IF(45&gt;$C345,"",IF($D345=1,EOMONTH(EDATE(Bonds!$H345,6*(45-1)),0),EDATE(Bonds!$H345,6*(45-1))))</f>
        <v>54377</v>
      </c>
      <c r="AX345" s="3">
        <f>IF(46&gt;$C345,"",IF($D345=1,EOMONTH(EDATE(Bonds!$H345,6*(46-1)),0),EDATE(Bonds!$H345,6*(46-1))))</f>
        <v>54558</v>
      </c>
      <c r="AY345" s="3">
        <f>IF(47&gt;$C345,"",IF($D345=1,EOMONTH(EDATE(Bonds!$H345,6*(47-1)),0),EDATE(Bonds!$H345,6*(47-1))))</f>
        <v>54742</v>
      </c>
      <c r="AZ345" s="3">
        <f>IF(48&gt;$C345,"",IF($D345=1,EOMONTH(EDATE(Bonds!$H345,6*(48-1)),0),EDATE(Bonds!$H345,6*(48-1))))</f>
        <v>54923</v>
      </c>
      <c r="BA345" s="3">
        <f>IF(49&gt;$C345,"",IF($D345=1,EOMONTH(EDATE(Bonds!$H345,6*(49-1)),0),EDATE(Bonds!$H345,6*(49-1))))</f>
        <v>55107</v>
      </c>
      <c r="BB345" s="3">
        <f>IF(50&gt;$C345,"",IF($D345=1,EOMONTH(EDATE(Bonds!$H345,6*(50-1)),0),EDATE(Bonds!$H345,6*(50-1))))</f>
        <v>55288</v>
      </c>
      <c r="BC345" s="3">
        <f>IF(51&gt;$C345,"",IF($D345=1,EOMONTH(EDATE(Bonds!$H345,6*(51-1)),0),EDATE(Bonds!$H345,6*(51-1))))</f>
        <v>55472</v>
      </c>
      <c r="BD345" s="3">
        <f>IF(52&gt;$C345,"",IF($D345=1,EOMONTH(EDATE(Bonds!$H345,6*(52-1)),0),EDATE(Bonds!$H345,6*(52-1))))</f>
        <v>55654</v>
      </c>
      <c r="BE345" s="3">
        <f>IF(53&gt;$C345,"",IF($D345=1,EOMONTH(EDATE(Bonds!$H345,6*(53-1)),0),EDATE(Bonds!$H345,6*(53-1))))</f>
        <v>55838</v>
      </c>
      <c r="BF345" s="3" t="str">
        <f>IF(54&gt;$C345,"",IF($D345=1,EOMONTH(EDATE(Bonds!$H345,6*(54-1)),0),EDATE(Bonds!$H345,6*(54-1))))</f>
        <v/>
      </c>
      <c r="BG345" s="3" t="str">
        <f>IF(55&gt;$C345,"",IF($D345=1,EOMONTH(EDATE(Bonds!$H345,6*(55-1)),0),EDATE(Bonds!$H345,6*(55-1))))</f>
        <v/>
      </c>
      <c r="BH345" s="3" t="str">
        <f>IF(56&gt;$C345,"",IF($D345=1,EOMONTH(EDATE(Bonds!$H345,6*(56-1)),0),EDATE(Bonds!$H345,6*(56-1))))</f>
        <v/>
      </c>
      <c r="BI345" s="3" t="str">
        <f>IF(57&gt;$C345,"",IF($D345=1,EOMONTH(EDATE(Bonds!$H345,6*(57-1)),0),EDATE(Bonds!$H345,6*(57-1))))</f>
        <v/>
      </c>
      <c r="BJ345" s="3" t="str">
        <f>IF(58&gt;$C345,"",IF($D345=1,EOMONTH(EDATE(Bonds!$H345,6*(58-1)),0),EDATE(Bonds!$H345,6*(58-1))))</f>
        <v/>
      </c>
      <c r="BK345" s="3" t="str">
        <f>IF(59&gt;$C345,"",IF($D345=1,EOMONTH(EDATE(Bonds!$H345,6*(59-1)),0),EDATE(Bonds!$H345,6*(59-1))))</f>
        <v/>
      </c>
      <c r="BL345" s="3" t="str">
        <f>IF(60&gt;$C345,"",IF($D345=1,EOMONTH(EDATE(Bonds!$H345,6*(60-1)),0),EDATE(Bonds!$H345,6*(60-1))))</f>
        <v/>
      </c>
      <c r="BN345" s="7">
        <f t="shared" si="306"/>
        <v>1.9860511652000372</v>
      </c>
      <c r="BO345" s="7">
        <f t="shared" si="307"/>
        <v>1.9459459705840927</v>
      </c>
      <c r="BP345" s="7">
        <f t="shared" si="308"/>
        <v>1.9030816570992335</v>
      </c>
      <c r="BQ345" s="7">
        <f t="shared" si="309"/>
        <v>1.8603962828939782</v>
      </c>
      <c r="BR345" s="7">
        <f t="shared" si="310"/>
        <v>1.8178558722809313</v>
      </c>
      <c r="BS345" s="7">
        <f t="shared" si="311"/>
        <v>1.77696400413736</v>
      </c>
      <c r="BT345" s="7">
        <f t="shared" si="312"/>
        <v>1.7364248989139217</v>
      </c>
      <c r="BU345" s="7">
        <f t="shared" si="313"/>
        <v>1.6974716915129251</v>
      </c>
      <c r="BV345" s="7">
        <f t="shared" si="314"/>
        <v>1.6586615989911491</v>
      </c>
      <c r="BW345" s="7">
        <f t="shared" si="315"/>
        <v>1.6211026286511701</v>
      </c>
      <c r="BX345" s="7">
        <f t="shared" si="316"/>
        <v>1.5834064704381468</v>
      </c>
      <c r="BY345" s="7">
        <f t="shared" si="317"/>
        <v>1.546489716439392</v>
      </c>
      <c r="BZ345" s="7">
        <f t="shared" si="318"/>
        <v>1.5094614372087338</v>
      </c>
      <c r="CA345" s="7">
        <f t="shared" si="319"/>
        <v>1.4732796126915289</v>
      </c>
      <c r="CB345" s="7">
        <f t="shared" si="320"/>
        <v>1.4367265528368267</v>
      </c>
      <c r="CC345" s="7">
        <f t="shared" si="321"/>
        <v>1.4009991915269644</v>
      </c>
      <c r="CD345" s="7">
        <f t="shared" si="322"/>
        <v>1.3649364306454237</v>
      </c>
      <c r="CE345" s="7">
        <f t="shared" si="323"/>
        <v>1.3297498823884337</v>
      </c>
      <c r="CF345" s="7">
        <f t="shared" si="324"/>
        <v>1.294318412857169</v>
      </c>
      <c r="CG345" s="7">
        <f t="shared" si="325"/>
        <v>1.2596574012733612</v>
      </c>
      <c r="CH345" s="7">
        <f t="shared" si="326"/>
        <v>1.2250578151008509</v>
      </c>
      <c r="CI345" s="7">
        <f t="shared" si="327"/>
        <v>1.1915074598428377</v>
      </c>
      <c r="CJ345" s="7">
        <f t="shared" si="328"/>
        <v>1.1579443110004151</v>
      </c>
      <c r="CK345" s="7">
        <f t="shared" si="329"/>
        <v>1.1255085525229322</v>
      </c>
      <c r="CL345" s="7">
        <f t="shared" si="330"/>
        <v>1.0931674197624628</v>
      </c>
      <c r="CM345" s="7">
        <f t="shared" si="331"/>
        <v>1.0620123016607379</v>
      </c>
      <c r="CN345" s="7">
        <f t="shared" si="332"/>
        <v>1.0310428897538222</v>
      </c>
      <c r="CO345" s="7">
        <f t="shared" si="333"/>
        <v>1.0011333653341019</v>
      </c>
      <c r="CP345" s="7">
        <f t="shared" si="334"/>
        <v>0.97164854036501447</v>
      </c>
      <c r="CQ345" s="7">
        <f t="shared" si="335"/>
        <v>0.94340026698742796</v>
      </c>
      <c r="CR345" s="7">
        <f t="shared" si="336"/>
        <v>0.91546453333750777</v>
      </c>
      <c r="CS345" s="7">
        <f t="shared" si="337"/>
        <v>0.88876014033008277</v>
      </c>
      <c r="CT345" s="7">
        <f t="shared" si="338"/>
        <v>0.86240587523440659</v>
      </c>
      <c r="CU345" s="7">
        <f t="shared" si="339"/>
        <v>0.83726148296120573</v>
      </c>
      <c r="CV345" s="7">
        <f t="shared" si="340"/>
        <v>0.81249055562093897</v>
      </c>
      <c r="CW345" s="7">
        <f t="shared" si="341"/>
        <v>0.78876692376624979</v>
      </c>
      <c r="CX345" s="7">
        <f t="shared" si="342"/>
        <v>0.76556080326980203</v>
      </c>
      <c r="CY345" s="7">
        <f t="shared" si="343"/>
        <v>0.74348612077440557</v>
      </c>
      <c r="CZ345" s="7">
        <f t="shared" si="344"/>
        <v>0.72179865357430029</v>
      </c>
      <c r="DA345" s="7">
        <f t="shared" si="345"/>
        <v>0.70119183229384463</v>
      </c>
      <c r="DB345" s="7">
        <f t="shared" si="346"/>
        <v>0.68096714086402843</v>
      </c>
      <c r="DC345" s="7">
        <f t="shared" si="347"/>
        <v>0.66176792088204683</v>
      </c>
      <c r="DD345" s="7">
        <f t="shared" si="348"/>
        <v>0.64294033633051029</v>
      </c>
      <c r="DE345" s="7">
        <f t="shared" si="349"/>
        <v>0.62498375572162779</v>
      </c>
      <c r="DF345" s="7">
        <f t="shared" si="350"/>
        <v>0.60748485413383091</v>
      </c>
      <c r="DG345" s="7">
        <f t="shared" si="351"/>
        <v>0.5908952602375438</v>
      </c>
      <c r="DH345" s="7">
        <f t="shared" si="352"/>
        <v>0.57464588802533512</v>
      </c>
      <c r="DI345" s="7">
        <f t="shared" si="353"/>
        <v>0.55924777838012518</v>
      </c>
      <c r="DJ345" s="7">
        <f t="shared" si="354"/>
        <v>0.54417126211528899</v>
      </c>
      <c r="DK345" s="7">
        <f t="shared" si="355"/>
        <v>0.52988924808946314</v>
      </c>
      <c r="DL345" s="7">
        <f t="shared" si="356"/>
        <v>0.51590934905270724</v>
      </c>
      <c r="DM345" s="7">
        <f t="shared" si="357"/>
        <v>0.50259735965777041</v>
      </c>
      <c r="DN345" s="7">
        <f t="shared" si="358"/>
        <v>24.971753497711486</v>
      </c>
      <c r="DO345" s="7">
        <f t="shared" si="359"/>
        <v>0</v>
      </c>
      <c r="DP345" s="7">
        <f t="shared" si="360"/>
        <v>0</v>
      </c>
      <c r="DQ345" s="7">
        <f t="shared" si="361"/>
        <v>0</v>
      </c>
      <c r="DR345" s="7">
        <f t="shared" si="362"/>
        <v>0</v>
      </c>
      <c r="DS345" s="7">
        <f t="shared" si="363"/>
        <v>0</v>
      </c>
      <c r="DT345" s="7">
        <f t="shared" si="364"/>
        <v>0</v>
      </c>
      <c r="DU345" s="7">
        <f t="shared" si="365"/>
        <v>0</v>
      </c>
    </row>
    <row r="346" spans="1:125" x14ac:dyDescent="0.2">
      <c r="A346" s="3">
        <f>Bonds!A346</f>
        <v>55930</v>
      </c>
      <c r="B346" s="4">
        <f>Bonds!B346</f>
        <v>3.625</v>
      </c>
      <c r="C346">
        <f>Bonds!P346</f>
        <v>53</v>
      </c>
      <c r="D346">
        <f t="shared" si="305"/>
        <v>0</v>
      </c>
      <c r="E346" s="3">
        <f>IF(1&gt;$C346,"",IF($D346=1,EOMONTH(EDATE(Bonds!$H346,6*(1-1)),0),EDATE(Bonds!$H346,6*(1-1))))</f>
        <v>46433</v>
      </c>
      <c r="F346" s="3">
        <f>IF(2&gt;$C346,"",IF($D346=1,EOMONTH(EDATE(Bonds!$H346,6*(2-1)),0),EDATE(Bonds!$H346,6*(2-1))))</f>
        <v>46614</v>
      </c>
      <c r="G346" s="3">
        <f>IF(3&gt;$C346,"",IF($D346=1,EOMONTH(EDATE(Bonds!$H346,6*(3-1)),0),EDATE(Bonds!$H346,6*(3-1))))</f>
        <v>46798</v>
      </c>
      <c r="H346" s="3">
        <f>IF(4&gt;$C346,"",IF($D346=1,EOMONTH(EDATE(Bonds!$H346,6*(4-1)),0),EDATE(Bonds!$H346,6*(4-1))))</f>
        <v>46980</v>
      </c>
      <c r="I346" s="3">
        <f>IF(5&gt;$C346,"",IF($D346=1,EOMONTH(EDATE(Bonds!$H346,6*(5-1)),0),EDATE(Bonds!$H346,6*(5-1))))</f>
        <v>47164</v>
      </c>
      <c r="J346" s="3">
        <f>IF(6&gt;$C346,"",IF($D346=1,EOMONTH(EDATE(Bonds!$H346,6*(6-1)),0),EDATE(Bonds!$H346,6*(6-1))))</f>
        <v>47345</v>
      </c>
      <c r="K346" s="3">
        <f>IF(7&gt;$C346,"",IF($D346=1,EOMONTH(EDATE(Bonds!$H346,6*(7-1)),0),EDATE(Bonds!$H346,6*(7-1))))</f>
        <v>47529</v>
      </c>
      <c r="L346" s="3">
        <f>IF(8&gt;$C346,"",IF($D346=1,EOMONTH(EDATE(Bonds!$H346,6*(8-1)),0),EDATE(Bonds!$H346,6*(8-1))))</f>
        <v>47710</v>
      </c>
      <c r="M346" s="3">
        <f>IF(9&gt;$C346,"",IF($D346=1,EOMONTH(EDATE(Bonds!$H346,6*(9-1)),0),EDATE(Bonds!$H346,6*(9-1))))</f>
        <v>47894</v>
      </c>
      <c r="N346" s="3">
        <f>IF(10&gt;$C346,"",IF($D346=1,EOMONTH(EDATE(Bonds!$H346,6*(10-1)),0),EDATE(Bonds!$H346,6*(10-1))))</f>
        <v>48075</v>
      </c>
      <c r="O346" s="3">
        <f>IF(11&gt;$C346,"",IF($D346=1,EOMONTH(EDATE(Bonds!$H346,6*(11-1)),0),EDATE(Bonds!$H346,6*(11-1))))</f>
        <v>48259</v>
      </c>
      <c r="P346" s="3">
        <f>IF(12&gt;$C346,"",IF($D346=1,EOMONTH(EDATE(Bonds!$H346,6*(12-1)),0),EDATE(Bonds!$H346,6*(12-1))))</f>
        <v>48441</v>
      </c>
      <c r="Q346" s="3">
        <f>IF(13&gt;$C346,"",IF($D346=1,EOMONTH(EDATE(Bonds!$H346,6*(13-1)),0),EDATE(Bonds!$H346,6*(13-1))))</f>
        <v>48625</v>
      </c>
      <c r="R346" s="3">
        <f>IF(14&gt;$C346,"",IF($D346=1,EOMONTH(EDATE(Bonds!$H346,6*(14-1)),0),EDATE(Bonds!$H346,6*(14-1))))</f>
        <v>48806</v>
      </c>
      <c r="S346" s="3">
        <f>IF(15&gt;$C346,"",IF($D346=1,EOMONTH(EDATE(Bonds!$H346,6*(15-1)),0),EDATE(Bonds!$H346,6*(15-1))))</f>
        <v>48990</v>
      </c>
      <c r="T346" s="3">
        <f>IF(16&gt;$C346,"",IF($D346=1,EOMONTH(EDATE(Bonds!$H346,6*(16-1)),0),EDATE(Bonds!$H346,6*(16-1))))</f>
        <v>49171</v>
      </c>
      <c r="U346" s="3">
        <f>IF(17&gt;$C346,"",IF($D346=1,EOMONTH(EDATE(Bonds!$H346,6*(17-1)),0),EDATE(Bonds!$H346,6*(17-1))))</f>
        <v>49355</v>
      </c>
      <c r="V346" s="3">
        <f>IF(18&gt;$C346,"",IF($D346=1,EOMONTH(EDATE(Bonds!$H346,6*(18-1)),0),EDATE(Bonds!$H346,6*(18-1))))</f>
        <v>49536</v>
      </c>
      <c r="W346" s="3">
        <f>IF(19&gt;$C346,"",IF($D346=1,EOMONTH(EDATE(Bonds!$H346,6*(19-1)),0),EDATE(Bonds!$H346,6*(19-1))))</f>
        <v>49720</v>
      </c>
      <c r="X346" s="3">
        <f>IF(20&gt;$C346,"",IF($D346=1,EOMONTH(EDATE(Bonds!$H346,6*(20-1)),0),EDATE(Bonds!$H346,6*(20-1))))</f>
        <v>49902</v>
      </c>
      <c r="Y346" s="3">
        <f>IF(21&gt;$C346,"",IF($D346=1,EOMONTH(EDATE(Bonds!$H346,6*(21-1)),0),EDATE(Bonds!$H346,6*(21-1))))</f>
        <v>50086</v>
      </c>
      <c r="Z346" s="3">
        <f>IF(22&gt;$C346,"",IF($D346=1,EOMONTH(EDATE(Bonds!$H346,6*(22-1)),0),EDATE(Bonds!$H346,6*(22-1))))</f>
        <v>50267</v>
      </c>
      <c r="AA346" s="3">
        <f>IF(23&gt;$C346,"",IF($D346=1,EOMONTH(EDATE(Bonds!$H346,6*(23-1)),0),EDATE(Bonds!$H346,6*(23-1))))</f>
        <v>50451</v>
      </c>
      <c r="AB346" s="3">
        <f>IF(24&gt;$C346,"",IF($D346=1,EOMONTH(EDATE(Bonds!$H346,6*(24-1)),0),EDATE(Bonds!$H346,6*(24-1))))</f>
        <v>50632</v>
      </c>
      <c r="AC346" s="3">
        <f>IF(25&gt;$C346,"",IF($D346=1,EOMONTH(EDATE(Bonds!$H346,6*(25-1)),0),EDATE(Bonds!$H346,6*(25-1))))</f>
        <v>50816</v>
      </c>
      <c r="AD346" s="3">
        <f>IF(26&gt;$C346,"",IF($D346=1,EOMONTH(EDATE(Bonds!$H346,6*(26-1)),0),EDATE(Bonds!$H346,6*(26-1))))</f>
        <v>50997</v>
      </c>
      <c r="AE346" s="3">
        <f>IF(27&gt;$C346,"",IF($D346=1,EOMONTH(EDATE(Bonds!$H346,6*(27-1)),0),EDATE(Bonds!$H346,6*(27-1))))</f>
        <v>51181</v>
      </c>
      <c r="AF346" s="3">
        <f>IF(28&gt;$C346,"",IF($D346=1,EOMONTH(EDATE(Bonds!$H346,6*(28-1)),0),EDATE(Bonds!$H346,6*(28-1))))</f>
        <v>51363</v>
      </c>
      <c r="AG346" s="3">
        <f>IF(29&gt;$C346,"",IF($D346=1,EOMONTH(EDATE(Bonds!$H346,6*(29-1)),0),EDATE(Bonds!$H346,6*(29-1))))</f>
        <v>51547</v>
      </c>
      <c r="AH346" s="3">
        <f>IF(30&gt;$C346,"",IF($D346=1,EOMONTH(EDATE(Bonds!$H346,6*(30-1)),0),EDATE(Bonds!$H346,6*(30-1))))</f>
        <v>51728</v>
      </c>
      <c r="AI346" s="3">
        <f>IF(31&gt;$C346,"",IF($D346=1,EOMONTH(EDATE(Bonds!$H346,6*(31-1)),0),EDATE(Bonds!$H346,6*(31-1))))</f>
        <v>51912</v>
      </c>
      <c r="AJ346" s="3">
        <f>IF(32&gt;$C346,"",IF($D346=1,EOMONTH(EDATE(Bonds!$H346,6*(32-1)),0),EDATE(Bonds!$H346,6*(32-1))))</f>
        <v>52093</v>
      </c>
      <c r="AK346" s="3">
        <f>IF(33&gt;$C346,"",IF($D346=1,EOMONTH(EDATE(Bonds!$H346,6*(33-1)),0),EDATE(Bonds!$H346,6*(33-1))))</f>
        <v>52277</v>
      </c>
      <c r="AL346" s="3">
        <f>IF(34&gt;$C346,"",IF($D346=1,EOMONTH(EDATE(Bonds!$H346,6*(34-1)),0),EDATE(Bonds!$H346,6*(34-1))))</f>
        <v>52458</v>
      </c>
      <c r="AM346" s="3">
        <f>IF(35&gt;$C346,"",IF($D346=1,EOMONTH(EDATE(Bonds!$H346,6*(35-1)),0),EDATE(Bonds!$H346,6*(35-1))))</f>
        <v>52642</v>
      </c>
      <c r="AN346" s="3">
        <f>IF(36&gt;$C346,"",IF($D346=1,EOMONTH(EDATE(Bonds!$H346,6*(36-1)),0),EDATE(Bonds!$H346,6*(36-1))))</f>
        <v>52824</v>
      </c>
      <c r="AO346" s="3">
        <f>IF(37&gt;$C346,"",IF($D346=1,EOMONTH(EDATE(Bonds!$H346,6*(37-1)),0),EDATE(Bonds!$H346,6*(37-1))))</f>
        <v>53008</v>
      </c>
      <c r="AP346" s="3">
        <f>IF(38&gt;$C346,"",IF($D346=1,EOMONTH(EDATE(Bonds!$H346,6*(38-1)),0),EDATE(Bonds!$H346,6*(38-1))))</f>
        <v>53189</v>
      </c>
      <c r="AQ346" s="3">
        <f>IF(39&gt;$C346,"",IF($D346=1,EOMONTH(EDATE(Bonds!$H346,6*(39-1)),0),EDATE(Bonds!$H346,6*(39-1))))</f>
        <v>53373</v>
      </c>
      <c r="AR346" s="3">
        <f>IF(40&gt;$C346,"",IF($D346=1,EOMONTH(EDATE(Bonds!$H346,6*(40-1)),0),EDATE(Bonds!$H346,6*(40-1))))</f>
        <v>53554</v>
      </c>
      <c r="AS346" s="3">
        <f>IF(41&gt;$C346,"",IF($D346=1,EOMONTH(EDATE(Bonds!$H346,6*(41-1)),0),EDATE(Bonds!$H346,6*(41-1))))</f>
        <v>53738</v>
      </c>
      <c r="AT346" s="3">
        <f>IF(42&gt;$C346,"",IF($D346=1,EOMONTH(EDATE(Bonds!$H346,6*(42-1)),0),EDATE(Bonds!$H346,6*(42-1))))</f>
        <v>53919</v>
      </c>
      <c r="AU346" s="3">
        <f>IF(43&gt;$C346,"",IF($D346=1,EOMONTH(EDATE(Bonds!$H346,6*(43-1)),0),EDATE(Bonds!$H346,6*(43-1))))</f>
        <v>54103</v>
      </c>
      <c r="AV346" s="3">
        <f>IF(44&gt;$C346,"",IF($D346=1,EOMONTH(EDATE(Bonds!$H346,6*(44-1)),0),EDATE(Bonds!$H346,6*(44-1))))</f>
        <v>54285</v>
      </c>
      <c r="AW346" s="3">
        <f>IF(45&gt;$C346,"",IF($D346=1,EOMONTH(EDATE(Bonds!$H346,6*(45-1)),0),EDATE(Bonds!$H346,6*(45-1))))</f>
        <v>54469</v>
      </c>
      <c r="AX346" s="3">
        <f>IF(46&gt;$C346,"",IF($D346=1,EOMONTH(EDATE(Bonds!$H346,6*(46-1)),0),EDATE(Bonds!$H346,6*(46-1))))</f>
        <v>54650</v>
      </c>
      <c r="AY346" s="3">
        <f>IF(47&gt;$C346,"",IF($D346=1,EOMONTH(EDATE(Bonds!$H346,6*(47-1)),0),EDATE(Bonds!$H346,6*(47-1))))</f>
        <v>54834</v>
      </c>
      <c r="AZ346" s="3">
        <f>IF(48&gt;$C346,"",IF($D346=1,EOMONTH(EDATE(Bonds!$H346,6*(48-1)),0),EDATE(Bonds!$H346,6*(48-1))))</f>
        <v>55015</v>
      </c>
      <c r="BA346" s="3">
        <f>IF(49&gt;$C346,"",IF($D346=1,EOMONTH(EDATE(Bonds!$H346,6*(49-1)),0),EDATE(Bonds!$H346,6*(49-1))))</f>
        <v>55199</v>
      </c>
      <c r="BB346" s="3">
        <f>IF(50&gt;$C346,"",IF($D346=1,EOMONTH(EDATE(Bonds!$H346,6*(50-1)),0),EDATE(Bonds!$H346,6*(50-1))))</f>
        <v>55380</v>
      </c>
      <c r="BC346" s="3">
        <f>IF(51&gt;$C346,"",IF($D346=1,EOMONTH(EDATE(Bonds!$H346,6*(51-1)),0),EDATE(Bonds!$H346,6*(51-1))))</f>
        <v>55564</v>
      </c>
      <c r="BD346" s="3">
        <f>IF(52&gt;$C346,"",IF($D346=1,EOMONTH(EDATE(Bonds!$H346,6*(52-1)),0),EDATE(Bonds!$H346,6*(52-1))))</f>
        <v>55746</v>
      </c>
      <c r="BE346" s="3">
        <f>IF(53&gt;$C346,"",IF($D346=1,EOMONTH(EDATE(Bonds!$H346,6*(53-1)),0),EDATE(Bonds!$H346,6*(53-1))))</f>
        <v>55930</v>
      </c>
      <c r="BF346" s="3" t="str">
        <f>IF(54&gt;$C346,"",IF($D346=1,EOMONTH(EDATE(Bonds!$H346,6*(54-1)),0),EDATE(Bonds!$H346,6*(54-1))))</f>
        <v/>
      </c>
      <c r="BG346" s="3" t="str">
        <f>IF(55&gt;$C346,"",IF($D346=1,EOMONTH(EDATE(Bonds!$H346,6*(55-1)),0),EDATE(Bonds!$H346,6*(55-1))))</f>
        <v/>
      </c>
      <c r="BH346" s="3" t="str">
        <f>IF(56&gt;$C346,"",IF($D346=1,EOMONTH(EDATE(Bonds!$H346,6*(56-1)),0),EDATE(Bonds!$H346,6*(56-1))))</f>
        <v/>
      </c>
      <c r="BI346" s="3" t="str">
        <f>IF(57&gt;$C346,"",IF($D346=1,EOMONTH(EDATE(Bonds!$H346,6*(57-1)),0),EDATE(Bonds!$H346,6*(57-1))))</f>
        <v/>
      </c>
      <c r="BJ346" s="3" t="str">
        <f>IF(58&gt;$C346,"",IF($D346=1,EOMONTH(EDATE(Bonds!$H346,6*(58-1)),0),EDATE(Bonds!$H346,6*(58-1))))</f>
        <v/>
      </c>
      <c r="BK346" s="3" t="str">
        <f>IF(59&gt;$C346,"",IF($D346=1,EOMONTH(EDATE(Bonds!$H346,6*(59-1)),0),EDATE(Bonds!$H346,6*(59-1))))</f>
        <v/>
      </c>
      <c r="BL346" s="3" t="str">
        <f>IF(60&gt;$C346,"",IF($D346=1,EOMONTH(EDATE(Bonds!$H346,6*(60-1)),0),EDATE(Bonds!$H346,6*(60-1))))</f>
        <v/>
      </c>
      <c r="BN346" s="7">
        <f t="shared" si="306"/>
        <v>1.7817590616343448</v>
      </c>
      <c r="BO346" s="7">
        <f t="shared" si="307"/>
        <v>1.7442025673483914</v>
      </c>
      <c r="BP346" s="7">
        <f t="shared" si="308"/>
        <v>1.705080570455217</v>
      </c>
      <c r="BQ346" s="7">
        <f t="shared" si="309"/>
        <v>1.6666091065746937</v>
      </c>
      <c r="BR346" s="7">
        <f t="shared" si="310"/>
        <v>1.6284807109963901</v>
      </c>
      <c r="BS346" s="7">
        <f t="shared" si="311"/>
        <v>1.5918897676226629</v>
      </c>
      <c r="BT346" s="7">
        <f t="shared" si="312"/>
        <v>1.5555957689320501</v>
      </c>
      <c r="BU346" s="7">
        <f t="shared" si="313"/>
        <v>1.5206671282467896</v>
      </c>
      <c r="BV346" s="7">
        <f t="shared" si="314"/>
        <v>1.4858001361309601</v>
      </c>
      <c r="BW346" s="7">
        <f t="shared" si="315"/>
        <v>1.4519948851608773</v>
      </c>
      <c r="BX346" s="7">
        <f t="shared" si="316"/>
        <v>1.4180139069213546</v>
      </c>
      <c r="BY346" s="7">
        <f t="shared" si="317"/>
        <v>1.3846976838176495</v>
      </c>
      <c r="BZ346" s="7">
        <f t="shared" si="318"/>
        <v>1.351257092570757</v>
      </c>
      <c r="CA346" s="7">
        <f t="shared" si="319"/>
        <v>1.3185706014184457</v>
      </c>
      <c r="CB346" s="7">
        <f t="shared" si="320"/>
        <v>1.2855493828489646</v>
      </c>
      <c r="CC346" s="7">
        <f t="shared" si="321"/>
        <v>1.2532834143233433</v>
      </c>
      <c r="CD346" s="7">
        <f t="shared" si="322"/>
        <v>1.2207307251306261</v>
      </c>
      <c r="CE346" s="7">
        <f t="shared" si="323"/>
        <v>1.1889895217267561</v>
      </c>
      <c r="CF346" s="7">
        <f t="shared" si="324"/>
        <v>1.1570513597182601</v>
      </c>
      <c r="CG346" s="7">
        <f t="shared" si="325"/>
        <v>1.1258331976833005</v>
      </c>
      <c r="CH346" s="7">
        <f t="shared" si="326"/>
        <v>1.0946968339598935</v>
      </c>
      <c r="CI346" s="7">
        <f t="shared" si="327"/>
        <v>1.0645305450351112</v>
      </c>
      <c r="CJ346" s="7">
        <f t="shared" si="328"/>
        <v>1.0343783564119025</v>
      </c>
      <c r="CK346" s="7">
        <f t="shared" si="329"/>
        <v>1.0052630981388371</v>
      </c>
      <c r="CL346" s="7">
        <f t="shared" si="330"/>
        <v>0.97625592748497092</v>
      </c>
      <c r="CM346" s="7">
        <f t="shared" si="331"/>
        <v>0.94833378898067022</v>
      </c>
      <c r="CN346" s="7">
        <f t="shared" si="332"/>
        <v>0.92059811324192764</v>
      </c>
      <c r="CO346" s="7">
        <f t="shared" si="333"/>
        <v>0.89382991378358478</v>
      </c>
      <c r="CP346" s="7">
        <f t="shared" si="334"/>
        <v>0.86745866013909234</v>
      </c>
      <c r="CQ346" s="7">
        <f t="shared" si="335"/>
        <v>0.84220839717673079</v>
      </c>
      <c r="CR346" s="7">
        <f t="shared" si="336"/>
        <v>0.8172512983018857</v>
      </c>
      <c r="CS346" s="7">
        <f t="shared" si="337"/>
        <v>0.79340646523966252</v>
      </c>
      <c r="CT346" s="7">
        <f t="shared" si="338"/>
        <v>0.76988539521332455</v>
      </c>
      <c r="CU346" s="7">
        <f t="shared" si="339"/>
        <v>0.7474539105243696</v>
      </c>
      <c r="CV346" s="7">
        <f t="shared" si="340"/>
        <v>0.72536443895482172</v>
      </c>
      <c r="CW346" s="7">
        <f t="shared" si="341"/>
        <v>0.70421667133095089</v>
      </c>
      <c r="CX346" s="7">
        <f t="shared" si="342"/>
        <v>0.68353716961028221</v>
      </c>
      <c r="CY346" s="7">
        <f t="shared" si="343"/>
        <v>0.66387191886520658</v>
      </c>
      <c r="CZ346" s="7">
        <f t="shared" si="344"/>
        <v>0.64455696907871562</v>
      </c>
      <c r="DA346" s="7">
        <f t="shared" si="345"/>
        <v>0.6262090487569536</v>
      </c>
      <c r="DB346" s="7">
        <f t="shared" si="346"/>
        <v>0.60820543914179592</v>
      </c>
      <c r="DC346" s="7">
        <f t="shared" si="347"/>
        <v>0.59111815351767416</v>
      </c>
      <c r="DD346" s="7">
        <f t="shared" si="348"/>
        <v>0.57436466241342354</v>
      </c>
      <c r="DE346" s="7">
        <f t="shared" si="349"/>
        <v>0.55838880746686226</v>
      </c>
      <c r="DF346" s="7">
        <f t="shared" si="350"/>
        <v>0.54282236919258986</v>
      </c>
      <c r="DG346" s="7">
        <f t="shared" si="351"/>
        <v>0.52806666317589679</v>
      </c>
      <c r="DH346" s="7">
        <f t="shared" si="352"/>
        <v>0.51361513606555487</v>
      </c>
      <c r="DI346" s="7">
        <f t="shared" si="353"/>
        <v>0.49992196346129764</v>
      </c>
      <c r="DJ346" s="7">
        <f t="shared" si="354"/>
        <v>0.48651583432154449</v>
      </c>
      <c r="DK346" s="7">
        <f t="shared" si="355"/>
        <v>0.47381701602139537</v>
      </c>
      <c r="DL346" s="7">
        <f t="shared" si="356"/>
        <v>0.46138748559495718</v>
      </c>
      <c r="DM346" s="7">
        <f t="shared" si="357"/>
        <v>0.44955229087056409</v>
      </c>
      <c r="DN346" s="7">
        <f t="shared" si="358"/>
        <v>24.605467704576743</v>
      </c>
      <c r="DO346" s="7">
        <f t="shared" si="359"/>
        <v>0</v>
      </c>
      <c r="DP346" s="7">
        <f t="shared" si="360"/>
        <v>0</v>
      </c>
      <c r="DQ346" s="7">
        <f t="shared" si="361"/>
        <v>0</v>
      </c>
      <c r="DR346" s="7">
        <f t="shared" si="362"/>
        <v>0</v>
      </c>
      <c r="DS346" s="7">
        <f t="shared" si="363"/>
        <v>0</v>
      </c>
      <c r="DT346" s="7">
        <f t="shared" si="364"/>
        <v>0</v>
      </c>
      <c r="DU346" s="7">
        <f t="shared" si="365"/>
        <v>0</v>
      </c>
    </row>
    <row r="347" spans="1:125" x14ac:dyDescent="0.2">
      <c r="A347" s="3">
        <f>Bonds!A347</f>
        <v>56019</v>
      </c>
      <c r="B347" s="4">
        <f>Bonds!B347</f>
        <v>3.625</v>
      </c>
      <c r="C347">
        <f>Bonds!P347</f>
        <v>54</v>
      </c>
      <c r="D347">
        <f t="shared" si="305"/>
        <v>0</v>
      </c>
      <c r="E347" s="3">
        <f>IF(1&gt;$C347,"",IF($D347=1,EOMONTH(EDATE(Bonds!$H347,6*(1-1)),0),EDATE(Bonds!$H347,6*(1-1))))</f>
        <v>46341</v>
      </c>
      <c r="F347" s="3">
        <f>IF(2&gt;$C347,"",IF($D347=1,EOMONTH(EDATE(Bonds!$H347,6*(2-1)),0),EDATE(Bonds!$H347,6*(2-1))))</f>
        <v>46522</v>
      </c>
      <c r="G347" s="3">
        <f>IF(3&gt;$C347,"",IF($D347=1,EOMONTH(EDATE(Bonds!$H347,6*(3-1)),0),EDATE(Bonds!$H347,6*(3-1))))</f>
        <v>46706</v>
      </c>
      <c r="H347" s="3">
        <f>IF(4&gt;$C347,"",IF($D347=1,EOMONTH(EDATE(Bonds!$H347,6*(4-1)),0),EDATE(Bonds!$H347,6*(4-1))))</f>
        <v>46888</v>
      </c>
      <c r="I347" s="3">
        <f>IF(5&gt;$C347,"",IF($D347=1,EOMONTH(EDATE(Bonds!$H347,6*(5-1)),0),EDATE(Bonds!$H347,6*(5-1))))</f>
        <v>47072</v>
      </c>
      <c r="J347" s="3">
        <f>IF(6&gt;$C347,"",IF($D347=1,EOMONTH(EDATE(Bonds!$H347,6*(6-1)),0),EDATE(Bonds!$H347,6*(6-1))))</f>
        <v>47253</v>
      </c>
      <c r="K347" s="3">
        <f>IF(7&gt;$C347,"",IF($D347=1,EOMONTH(EDATE(Bonds!$H347,6*(7-1)),0),EDATE(Bonds!$H347,6*(7-1))))</f>
        <v>47437</v>
      </c>
      <c r="L347" s="3">
        <f>IF(8&gt;$C347,"",IF($D347=1,EOMONTH(EDATE(Bonds!$H347,6*(8-1)),0),EDATE(Bonds!$H347,6*(8-1))))</f>
        <v>47618</v>
      </c>
      <c r="M347" s="3">
        <f>IF(9&gt;$C347,"",IF($D347=1,EOMONTH(EDATE(Bonds!$H347,6*(9-1)),0),EDATE(Bonds!$H347,6*(9-1))))</f>
        <v>47802</v>
      </c>
      <c r="N347" s="3">
        <f>IF(10&gt;$C347,"",IF($D347=1,EOMONTH(EDATE(Bonds!$H347,6*(10-1)),0),EDATE(Bonds!$H347,6*(10-1))))</f>
        <v>47983</v>
      </c>
      <c r="O347" s="3">
        <f>IF(11&gt;$C347,"",IF($D347=1,EOMONTH(EDATE(Bonds!$H347,6*(11-1)),0),EDATE(Bonds!$H347,6*(11-1))))</f>
        <v>48167</v>
      </c>
      <c r="P347" s="3">
        <f>IF(12&gt;$C347,"",IF($D347=1,EOMONTH(EDATE(Bonds!$H347,6*(12-1)),0),EDATE(Bonds!$H347,6*(12-1))))</f>
        <v>48349</v>
      </c>
      <c r="Q347" s="3">
        <f>IF(13&gt;$C347,"",IF($D347=1,EOMONTH(EDATE(Bonds!$H347,6*(13-1)),0),EDATE(Bonds!$H347,6*(13-1))))</f>
        <v>48533</v>
      </c>
      <c r="R347" s="3">
        <f>IF(14&gt;$C347,"",IF($D347=1,EOMONTH(EDATE(Bonds!$H347,6*(14-1)),0),EDATE(Bonds!$H347,6*(14-1))))</f>
        <v>48714</v>
      </c>
      <c r="S347" s="3">
        <f>IF(15&gt;$C347,"",IF($D347=1,EOMONTH(EDATE(Bonds!$H347,6*(15-1)),0),EDATE(Bonds!$H347,6*(15-1))))</f>
        <v>48898</v>
      </c>
      <c r="T347" s="3">
        <f>IF(16&gt;$C347,"",IF($D347=1,EOMONTH(EDATE(Bonds!$H347,6*(16-1)),0),EDATE(Bonds!$H347,6*(16-1))))</f>
        <v>49079</v>
      </c>
      <c r="U347" s="3">
        <f>IF(17&gt;$C347,"",IF($D347=1,EOMONTH(EDATE(Bonds!$H347,6*(17-1)),0),EDATE(Bonds!$H347,6*(17-1))))</f>
        <v>49263</v>
      </c>
      <c r="V347" s="3">
        <f>IF(18&gt;$C347,"",IF($D347=1,EOMONTH(EDATE(Bonds!$H347,6*(18-1)),0),EDATE(Bonds!$H347,6*(18-1))))</f>
        <v>49444</v>
      </c>
      <c r="W347" s="3">
        <f>IF(19&gt;$C347,"",IF($D347=1,EOMONTH(EDATE(Bonds!$H347,6*(19-1)),0),EDATE(Bonds!$H347,6*(19-1))))</f>
        <v>49628</v>
      </c>
      <c r="X347" s="3">
        <f>IF(20&gt;$C347,"",IF($D347=1,EOMONTH(EDATE(Bonds!$H347,6*(20-1)),0),EDATE(Bonds!$H347,6*(20-1))))</f>
        <v>49810</v>
      </c>
      <c r="Y347" s="3">
        <f>IF(21&gt;$C347,"",IF($D347=1,EOMONTH(EDATE(Bonds!$H347,6*(21-1)),0),EDATE(Bonds!$H347,6*(21-1))))</f>
        <v>49994</v>
      </c>
      <c r="Z347" s="3">
        <f>IF(22&gt;$C347,"",IF($D347=1,EOMONTH(EDATE(Bonds!$H347,6*(22-1)),0),EDATE(Bonds!$H347,6*(22-1))))</f>
        <v>50175</v>
      </c>
      <c r="AA347" s="3">
        <f>IF(23&gt;$C347,"",IF($D347=1,EOMONTH(EDATE(Bonds!$H347,6*(23-1)),0),EDATE(Bonds!$H347,6*(23-1))))</f>
        <v>50359</v>
      </c>
      <c r="AB347" s="3">
        <f>IF(24&gt;$C347,"",IF($D347=1,EOMONTH(EDATE(Bonds!$H347,6*(24-1)),0),EDATE(Bonds!$H347,6*(24-1))))</f>
        <v>50540</v>
      </c>
      <c r="AC347" s="3">
        <f>IF(25&gt;$C347,"",IF($D347=1,EOMONTH(EDATE(Bonds!$H347,6*(25-1)),0),EDATE(Bonds!$H347,6*(25-1))))</f>
        <v>50724</v>
      </c>
      <c r="AD347" s="3">
        <f>IF(26&gt;$C347,"",IF($D347=1,EOMONTH(EDATE(Bonds!$H347,6*(26-1)),0),EDATE(Bonds!$H347,6*(26-1))))</f>
        <v>50905</v>
      </c>
      <c r="AE347" s="3">
        <f>IF(27&gt;$C347,"",IF($D347=1,EOMONTH(EDATE(Bonds!$H347,6*(27-1)),0),EDATE(Bonds!$H347,6*(27-1))))</f>
        <v>51089</v>
      </c>
      <c r="AF347" s="3">
        <f>IF(28&gt;$C347,"",IF($D347=1,EOMONTH(EDATE(Bonds!$H347,6*(28-1)),0),EDATE(Bonds!$H347,6*(28-1))))</f>
        <v>51271</v>
      </c>
      <c r="AG347" s="3">
        <f>IF(29&gt;$C347,"",IF($D347=1,EOMONTH(EDATE(Bonds!$H347,6*(29-1)),0),EDATE(Bonds!$H347,6*(29-1))))</f>
        <v>51455</v>
      </c>
      <c r="AH347" s="3">
        <f>IF(30&gt;$C347,"",IF($D347=1,EOMONTH(EDATE(Bonds!$H347,6*(30-1)),0),EDATE(Bonds!$H347,6*(30-1))))</f>
        <v>51636</v>
      </c>
      <c r="AI347" s="3">
        <f>IF(31&gt;$C347,"",IF($D347=1,EOMONTH(EDATE(Bonds!$H347,6*(31-1)),0),EDATE(Bonds!$H347,6*(31-1))))</f>
        <v>51820</v>
      </c>
      <c r="AJ347" s="3">
        <f>IF(32&gt;$C347,"",IF($D347=1,EOMONTH(EDATE(Bonds!$H347,6*(32-1)),0),EDATE(Bonds!$H347,6*(32-1))))</f>
        <v>52001</v>
      </c>
      <c r="AK347" s="3">
        <f>IF(33&gt;$C347,"",IF($D347=1,EOMONTH(EDATE(Bonds!$H347,6*(33-1)),0),EDATE(Bonds!$H347,6*(33-1))))</f>
        <v>52185</v>
      </c>
      <c r="AL347" s="3">
        <f>IF(34&gt;$C347,"",IF($D347=1,EOMONTH(EDATE(Bonds!$H347,6*(34-1)),0),EDATE(Bonds!$H347,6*(34-1))))</f>
        <v>52366</v>
      </c>
      <c r="AM347" s="3">
        <f>IF(35&gt;$C347,"",IF($D347=1,EOMONTH(EDATE(Bonds!$H347,6*(35-1)),0),EDATE(Bonds!$H347,6*(35-1))))</f>
        <v>52550</v>
      </c>
      <c r="AN347" s="3">
        <f>IF(36&gt;$C347,"",IF($D347=1,EOMONTH(EDATE(Bonds!$H347,6*(36-1)),0),EDATE(Bonds!$H347,6*(36-1))))</f>
        <v>52732</v>
      </c>
      <c r="AO347" s="3">
        <f>IF(37&gt;$C347,"",IF($D347=1,EOMONTH(EDATE(Bonds!$H347,6*(37-1)),0),EDATE(Bonds!$H347,6*(37-1))))</f>
        <v>52916</v>
      </c>
      <c r="AP347" s="3">
        <f>IF(38&gt;$C347,"",IF($D347=1,EOMONTH(EDATE(Bonds!$H347,6*(38-1)),0),EDATE(Bonds!$H347,6*(38-1))))</f>
        <v>53097</v>
      </c>
      <c r="AQ347" s="3">
        <f>IF(39&gt;$C347,"",IF($D347=1,EOMONTH(EDATE(Bonds!$H347,6*(39-1)),0),EDATE(Bonds!$H347,6*(39-1))))</f>
        <v>53281</v>
      </c>
      <c r="AR347" s="3">
        <f>IF(40&gt;$C347,"",IF($D347=1,EOMONTH(EDATE(Bonds!$H347,6*(40-1)),0),EDATE(Bonds!$H347,6*(40-1))))</f>
        <v>53462</v>
      </c>
      <c r="AS347" s="3">
        <f>IF(41&gt;$C347,"",IF($D347=1,EOMONTH(EDATE(Bonds!$H347,6*(41-1)),0),EDATE(Bonds!$H347,6*(41-1))))</f>
        <v>53646</v>
      </c>
      <c r="AT347" s="3">
        <f>IF(42&gt;$C347,"",IF($D347=1,EOMONTH(EDATE(Bonds!$H347,6*(42-1)),0),EDATE(Bonds!$H347,6*(42-1))))</f>
        <v>53827</v>
      </c>
      <c r="AU347" s="3">
        <f>IF(43&gt;$C347,"",IF($D347=1,EOMONTH(EDATE(Bonds!$H347,6*(43-1)),0),EDATE(Bonds!$H347,6*(43-1))))</f>
        <v>54011</v>
      </c>
      <c r="AV347" s="3">
        <f>IF(44&gt;$C347,"",IF($D347=1,EOMONTH(EDATE(Bonds!$H347,6*(44-1)),0),EDATE(Bonds!$H347,6*(44-1))))</f>
        <v>54193</v>
      </c>
      <c r="AW347" s="3">
        <f>IF(45&gt;$C347,"",IF($D347=1,EOMONTH(EDATE(Bonds!$H347,6*(45-1)),0),EDATE(Bonds!$H347,6*(45-1))))</f>
        <v>54377</v>
      </c>
      <c r="AX347" s="3">
        <f>IF(46&gt;$C347,"",IF($D347=1,EOMONTH(EDATE(Bonds!$H347,6*(46-1)),0),EDATE(Bonds!$H347,6*(46-1))))</f>
        <v>54558</v>
      </c>
      <c r="AY347" s="3">
        <f>IF(47&gt;$C347,"",IF($D347=1,EOMONTH(EDATE(Bonds!$H347,6*(47-1)),0),EDATE(Bonds!$H347,6*(47-1))))</f>
        <v>54742</v>
      </c>
      <c r="AZ347" s="3">
        <f>IF(48&gt;$C347,"",IF($D347=1,EOMONTH(EDATE(Bonds!$H347,6*(48-1)),0),EDATE(Bonds!$H347,6*(48-1))))</f>
        <v>54923</v>
      </c>
      <c r="BA347" s="3">
        <f>IF(49&gt;$C347,"",IF($D347=1,EOMONTH(EDATE(Bonds!$H347,6*(49-1)),0),EDATE(Bonds!$H347,6*(49-1))))</f>
        <v>55107</v>
      </c>
      <c r="BB347" s="3">
        <f>IF(50&gt;$C347,"",IF($D347=1,EOMONTH(EDATE(Bonds!$H347,6*(50-1)),0),EDATE(Bonds!$H347,6*(50-1))))</f>
        <v>55288</v>
      </c>
      <c r="BC347" s="3">
        <f>IF(51&gt;$C347,"",IF($D347=1,EOMONTH(EDATE(Bonds!$H347,6*(51-1)),0),EDATE(Bonds!$H347,6*(51-1))))</f>
        <v>55472</v>
      </c>
      <c r="BD347" s="3">
        <f>IF(52&gt;$C347,"",IF($D347=1,EOMONTH(EDATE(Bonds!$H347,6*(52-1)),0),EDATE(Bonds!$H347,6*(52-1))))</f>
        <v>55654</v>
      </c>
      <c r="BE347" s="3">
        <f>IF(53&gt;$C347,"",IF($D347=1,EOMONTH(EDATE(Bonds!$H347,6*(53-1)),0),EDATE(Bonds!$H347,6*(53-1))))</f>
        <v>55838</v>
      </c>
      <c r="BF347" s="3">
        <f>IF(54&gt;$C347,"",IF($D347=1,EOMONTH(EDATE(Bonds!$H347,6*(54-1)),0),EDATE(Bonds!$H347,6*(54-1))))</f>
        <v>56019</v>
      </c>
      <c r="BG347" s="3" t="str">
        <f>IF(55&gt;$C347,"",IF($D347=1,EOMONTH(EDATE(Bonds!$H347,6*(55-1)),0),EDATE(Bonds!$H347,6*(55-1))))</f>
        <v/>
      </c>
      <c r="BH347" s="3" t="str">
        <f>IF(56&gt;$C347,"",IF($D347=1,EOMONTH(EDATE(Bonds!$H347,6*(56-1)),0),EDATE(Bonds!$H347,6*(56-1))))</f>
        <v/>
      </c>
      <c r="BI347" s="3" t="str">
        <f>IF(57&gt;$C347,"",IF($D347=1,EOMONTH(EDATE(Bonds!$H347,6*(57-1)),0),EDATE(Bonds!$H347,6*(57-1))))</f>
        <v/>
      </c>
      <c r="BJ347" s="3" t="str">
        <f>IF(58&gt;$C347,"",IF($D347=1,EOMONTH(EDATE(Bonds!$H347,6*(58-1)),0),EDATE(Bonds!$H347,6*(58-1))))</f>
        <v/>
      </c>
      <c r="BK347" s="3" t="str">
        <f>IF(59&gt;$C347,"",IF($D347=1,EOMONTH(EDATE(Bonds!$H347,6*(59-1)),0),EDATE(Bonds!$H347,6*(59-1))))</f>
        <v/>
      </c>
      <c r="BL347" s="3" t="str">
        <f>IF(60&gt;$C347,"",IF($D347=1,EOMONTH(EDATE(Bonds!$H347,6*(60-1)),0),EDATE(Bonds!$H347,6*(60-1))))</f>
        <v/>
      </c>
      <c r="BN347" s="7">
        <f t="shared" si="306"/>
        <v>1.7998588684625336</v>
      </c>
      <c r="BO347" s="7">
        <f t="shared" si="307"/>
        <v>1.7635135358418339</v>
      </c>
      <c r="BP347" s="7">
        <f t="shared" si="308"/>
        <v>1.7246677517461804</v>
      </c>
      <c r="BQ347" s="7">
        <f t="shared" si="309"/>
        <v>1.6859841313726678</v>
      </c>
      <c r="BR347" s="7">
        <f t="shared" si="310"/>
        <v>1.6474318842545939</v>
      </c>
      <c r="BS347" s="7">
        <f t="shared" si="311"/>
        <v>1.6103736287494825</v>
      </c>
      <c r="BT347" s="7">
        <f t="shared" si="312"/>
        <v>1.5736350646407415</v>
      </c>
      <c r="BU347" s="7">
        <f t="shared" si="313"/>
        <v>1.5383337204335883</v>
      </c>
      <c r="BV347" s="7">
        <f t="shared" si="314"/>
        <v>1.5031620740857288</v>
      </c>
      <c r="BW347" s="7">
        <f t="shared" si="315"/>
        <v>1.4691242572151229</v>
      </c>
      <c r="BX347" s="7">
        <f t="shared" si="316"/>
        <v>1.4349621138345705</v>
      </c>
      <c r="BY347" s="7">
        <f t="shared" si="317"/>
        <v>1.4015063055231991</v>
      </c>
      <c r="BZ347" s="7">
        <f t="shared" si="318"/>
        <v>1.3679494274704149</v>
      </c>
      <c r="CA347" s="7">
        <f t="shared" si="319"/>
        <v>1.3351596490016979</v>
      </c>
      <c r="CB347" s="7">
        <f t="shared" si="320"/>
        <v>1.3020334385083743</v>
      </c>
      <c r="CC347" s="7">
        <f t="shared" si="321"/>
        <v>1.2696555173213115</v>
      </c>
      <c r="CD347" s="7">
        <f t="shared" si="322"/>
        <v>1.2369736402724152</v>
      </c>
      <c r="CE347" s="7">
        <f t="shared" si="323"/>
        <v>1.205085830914518</v>
      </c>
      <c r="CF347" s="7">
        <f t="shared" si="324"/>
        <v>1.1729760616518095</v>
      </c>
      <c r="CG347" s="7">
        <f t="shared" si="325"/>
        <v>1.1415645199039837</v>
      </c>
      <c r="CH347" s="7">
        <f t="shared" si="326"/>
        <v>1.110208644935146</v>
      </c>
      <c r="CI347" s="7">
        <f t="shared" si="327"/>
        <v>1.0798036354825717</v>
      </c>
      <c r="CJ347" s="7">
        <f t="shared" si="328"/>
        <v>1.0493870318441261</v>
      </c>
      <c r="CK347" s="7">
        <f t="shared" si="329"/>
        <v>1.0199921257239073</v>
      </c>
      <c r="CL347" s="7">
        <f t="shared" si="330"/>
        <v>0.99068297415973194</v>
      </c>
      <c r="CM347" s="7">
        <f t="shared" si="331"/>
        <v>0.96244864838004374</v>
      </c>
      <c r="CN347" s="7">
        <f t="shared" si="332"/>
        <v>0.93438261883940132</v>
      </c>
      <c r="CO347" s="7">
        <f t="shared" si="333"/>
        <v>0.90727711233402986</v>
      </c>
      <c r="CP347" s="7">
        <f t="shared" si="334"/>
        <v>0.88055648970579437</v>
      </c>
      <c r="CQ347" s="7">
        <f t="shared" si="335"/>
        <v>0.85495649195735657</v>
      </c>
      <c r="CR347" s="7">
        <f t="shared" si="336"/>
        <v>0.82963973333711638</v>
      </c>
      <c r="CS347" s="7">
        <f t="shared" si="337"/>
        <v>0.80543887717413754</v>
      </c>
      <c r="CT347" s="7">
        <f t="shared" si="338"/>
        <v>0.78155532443118103</v>
      </c>
      <c r="CU347" s="7">
        <f t="shared" si="339"/>
        <v>0.7587682189335927</v>
      </c>
      <c r="CV347" s="7">
        <f t="shared" si="340"/>
        <v>0.73631956603147597</v>
      </c>
      <c r="CW347" s="7">
        <f t="shared" si="341"/>
        <v>0.71482002466316386</v>
      </c>
      <c r="CX347" s="7">
        <f t="shared" si="342"/>
        <v>0.69378947796325807</v>
      </c>
      <c r="CY347" s="7">
        <f t="shared" si="343"/>
        <v>0.67378429695180508</v>
      </c>
      <c r="CZ347" s="7">
        <f t="shared" si="344"/>
        <v>0.65413002980170964</v>
      </c>
      <c r="DA347" s="7">
        <f t="shared" si="345"/>
        <v>0.63545509801629674</v>
      </c>
      <c r="DB347" s="7">
        <f t="shared" si="346"/>
        <v>0.61712647140802579</v>
      </c>
      <c r="DC347" s="7">
        <f t="shared" si="347"/>
        <v>0.59972717829935496</v>
      </c>
      <c r="DD347" s="7">
        <f t="shared" si="348"/>
        <v>0.58266467979952496</v>
      </c>
      <c r="DE347" s="7">
        <f t="shared" si="349"/>
        <v>0.56639152862272524</v>
      </c>
      <c r="DF347" s="7">
        <f t="shared" si="350"/>
        <v>0.55053314905878425</v>
      </c>
      <c r="DG347" s="7">
        <f t="shared" si="351"/>
        <v>0.53549882959027406</v>
      </c>
      <c r="DH347" s="7">
        <f t="shared" si="352"/>
        <v>0.52077283602295998</v>
      </c>
      <c r="DI347" s="7">
        <f t="shared" si="353"/>
        <v>0.50681829915698839</v>
      </c>
      <c r="DJ347" s="7">
        <f t="shared" si="354"/>
        <v>0.49315520629198062</v>
      </c>
      <c r="DK347" s="7">
        <f t="shared" si="355"/>
        <v>0.48021213108107597</v>
      </c>
      <c r="DL347" s="7">
        <f t="shared" si="356"/>
        <v>0.46754284757901593</v>
      </c>
      <c r="DM347" s="7">
        <f t="shared" si="357"/>
        <v>0.45547885718985442</v>
      </c>
      <c r="DN347" s="7">
        <f t="shared" si="358"/>
        <v>0.4437382668098242</v>
      </c>
      <c r="DO347" s="7">
        <f t="shared" si="359"/>
        <v>24.301330925663191</v>
      </c>
      <c r="DP347" s="7">
        <f t="shared" si="360"/>
        <v>0</v>
      </c>
      <c r="DQ347" s="7">
        <f t="shared" si="361"/>
        <v>0</v>
      </c>
      <c r="DR347" s="7">
        <f t="shared" si="362"/>
        <v>0</v>
      </c>
      <c r="DS347" s="7">
        <f t="shared" si="363"/>
        <v>0</v>
      </c>
      <c r="DT347" s="7">
        <f t="shared" si="364"/>
        <v>0</v>
      </c>
      <c r="DU347" s="7">
        <f t="shared" si="365"/>
        <v>0</v>
      </c>
    </row>
    <row r="348" spans="1:125" x14ac:dyDescent="0.2">
      <c r="A348" s="3">
        <f>Bonds!A348</f>
        <v>56111</v>
      </c>
      <c r="B348" s="4">
        <f>Bonds!B348</f>
        <v>4.125</v>
      </c>
      <c r="C348">
        <f>Bonds!P348</f>
        <v>54</v>
      </c>
      <c r="D348">
        <f t="shared" si="305"/>
        <v>0</v>
      </c>
      <c r="E348" s="3">
        <f>IF(1&gt;$C348,"",IF($D348=1,EOMONTH(EDATE(Bonds!$H348,6*(1-1)),0),EDATE(Bonds!$H348,6*(1-1))))</f>
        <v>46433</v>
      </c>
      <c r="F348" s="3">
        <f>IF(2&gt;$C348,"",IF($D348=1,EOMONTH(EDATE(Bonds!$H348,6*(2-1)),0),EDATE(Bonds!$H348,6*(2-1))))</f>
        <v>46614</v>
      </c>
      <c r="G348" s="3">
        <f>IF(3&gt;$C348,"",IF($D348=1,EOMONTH(EDATE(Bonds!$H348,6*(3-1)),0),EDATE(Bonds!$H348,6*(3-1))))</f>
        <v>46798</v>
      </c>
      <c r="H348" s="3">
        <f>IF(4&gt;$C348,"",IF($D348=1,EOMONTH(EDATE(Bonds!$H348,6*(4-1)),0),EDATE(Bonds!$H348,6*(4-1))))</f>
        <v>46980</v>
      </c>
      <c r="I348" s="3">
        <f>IF(5&gt;$C348,"",IF($D348=1,EOMONTH(EDATE(Bonds!$H348,6*(5-1)),0),EDATE(Bonds!$H348,6*(5-1))))</f>
        <v>47164</v>
      </c>
      <c r="J348" s="3">
        <f>IF(6&gt;$C348,"",IF($D348=1,EOMONTH(EDATE(Bonds!$H348,6*(6-1)),0),EDATE(Bonds!$H348,6*(6-1))))</f>
        <v>47345</v>
      </c>
      <c r="K348" s="3">
        <f>IF(7&gt;$C348,"",IF($D348=1,EOMONTH(EDATE(Bonds!$H348,6*(7-1)),0),EDATE(Bonds!$H348,6*(7-1))))</f>
        <v>47529</v>
      </c>
      <c r="L348" s="3">
        <f>IF(8&gt;$C348,"",IF($D348=1,EOMONTH(EDATE(Bonds!$H348,6*(8-1)),0),EDATE(Bonds!$H348,6*(8-1))))</f>
        <v>47710</v>
      </c>
      <c r="M348" s="3">
        <f>IF(9&gt;$C348,"",IF($D348=1,EOMONTH(EDATE(Bonds!$H348,6*(9-1)),0),EDATE(Bonds!$H348,6*(9-1))))</f>
        <v>47894</v>
      </c>
      <c r="N348" s="3">
        <f>IF(10&gt;$C348,"",IF($D348=1,EOMONTH(EDATE(Bonds!$H348,6*(10-1)),0),EDATE(Bonds!$H348,6*(10-1))))</f>
        <v>48075</v>
      </c>
      <c r="O348" s="3">
        <f>IF(11&gt;$C348,"",IF($D348=1,EOMONTH(EDATE(Bonds!$H348,6*(11-1)),0),EDATE(Bonds!$H348,6*(11-1))))</f>
        <v>48259</v>
      </c>
      <c r="P348" s="3">
        <f>IF(12&gt;$C348,"",IF($D348=1,EOMONTH(EDATE(Bonds!$H348,6*(12-1)),0),EDATE(Bonds!$H348,6*(12-1))))</f>
        <v>48441</v>
      </c>
      <c r="Q348" s="3">
        <f>IF(13&gt;$C348,"",IF($D348=1,EOMONTH(EDATE(Bonds!$H348,6*(13-1)),0),EDATE(Bonds!$H348,6*(13-1))))</f>
        <v>48625</v>
      </c>
      <c r="R348" s="3">
        <f>IF(14&gt;$C348,"",IF($D348=1,EOMONTH(EDATE(Bonds!$H348,6*(14-1)),0),EDATE(Bonds!$H348,6*(14-1))))</f>
        <v>48806</v>
      </c>
      <c r="S348" s="3">
        <f>IF(15&gt;$C348,"",IF($D348=1,EOMONTH(EDATE(Bonds!$H348,6*(15-1)),0),EDATE(Bonds!$H348,6*(15-1))))</f>
        <v>48990</v>
      </c>
      <c r="T348" s="3">
        <f>IF(16&gt;$C348,"",IF($D348=1,EOMONTH(EDATE(Bonds!$H348,6*(16-1)),0),EDATE(Bonds!$H348,6*(16-1))))</f>
        <v>49171</v>
      </c>
      <c r="U348" s="3">
        <f>IF(17&gt;$C348,"",IF($D348=1,EOMONTH(EDATE(Bonds!$H348,6*(17-1)),0),EDATE(Bonds!$H348,6*(17-1))))</f>
        <v>49355</v>
      </c>
      <c r="V348" s="3">
        <f>IF(18&gt;$C348,"",IF($D348=1,EOMONTH(EDATE(Bonds!$H348,6*(18-1)),0),EDATE(Bonds!$H348,6*(18-1))))</f>
        <v>49536</v>
      </c>
      <c r="W348" s="3">
        <f>IF(19&gt;$C348,"",IF($D348=1,EOMONTH(EDATE(Bonds!$H348,6*(19-1)),0),EDATE(Bonds!$H348,6*(19-1))))</f>
        <v>49720</v>
      </c>
      <c r="X348" s="3">
        <f>IF(20&gt;$C348,"",IF($D348=1,EOMONTH(EDATE(Bonds!$H348,6*(20-1)),0),EDATE(Bonds!$H348,6*(20-1))))</f>
        <v>49902</v>
      </c>
      <c r="Y348" s="3">
        <f>IF(21&gt;$C348,"",IF($D348=1,EOMONTH(EDATE(Bonds!$H348,6*(21-1)),0),EDATE(Bonds!$H348,6*(21-1))))</f>
        <v>50086</v>
      </c>
      <c r="Z348" s="3">
        <f>IF(22&gt;$C348,"",IF($D348=1,EOMONTH(EDATE(Bonds!$H348,6*(22-1)),0),EDATE(Bonds!$H348,6*(22-1))))</f>
        <v>50267</v>
      </c>
      <c r="AA348" s="3">
        <f>IF(23&gt;$C348,"",IF($D348=1,EOMONTH(EDATE(Bonds!$H348,6*(23-1)),0),EDATE(Bonds!$H348,6*(23-1))))</f>
        <v>50451</v>
      </c>
      <c r="AB348" s="3">
        <f>IF(24&gt;$C348,"",IF($D348=1,EOMONTH(EDATE(Bonds!$H348,6*(24-1)),0),EDATE(Bonds!$H348,6*(24-1))))</f>
        <v>50632</v>
      </c>
      <c r="AC348" s="3">
        <f>IF(25&gt;$C348,"",IF($D348=1,EOMONTH(EDATE(Bonds!$H348,6*(25-1)),0),EDATE(Bonds!$H348,6*(25-1))))</f>
        <v>50816</v>
      </c>
      <c r="AD348" s="3">
        <f>IF(26&gt;$C348,"",IF($D348=1,EOMONTH(EDATE(Bonds!$H348,6*(26-1)),0),EDATE(Bonds!$H348,6*(26-1))))</f>
        <v>50997</v>
      </c>
      <c r="AE348" s="3">
        <f>IF(27&gt;$C348,"",IF($D348=1,EOMONTH(EDATE(Bonds!$H348,6*(27-1)),0),EDATE(Bonds!$H348,6*(27-1))))</f>
        <v>51181</v>
      </c>
      <c r="AF348" s="3">
        <f>IF(28&gt;$C348,"",IF($D348=1,EOMONTH(EDATE(Bonds!$H348,6*(28-1)),0),EDATE(Bonds!$H348,6*(28-1))))</f>
        <v>51363</v>
      </c>
      <c r="AG348" s="3">
        <f>IF(29&gt;$C348,"",IF($D348=1,EOMONTH(EDATE(Bonds!$H348,6*(29-1)),0),EDATE(Bonds!$H348,6*(29-1))))</f>
        <v>51547</v>
      </c>
      <c r="AH348" s="3">
        <f>IF(30&gt;$C348,"",IF($D348=1,EOMONTH(EDATE(Bonds!$H348,6*(30-1)),0),EDATE(Bonds!$H348,6*(30-1))))</f>
        <v>51728</v>
      </c>
      <c r="AI348" s="3">
        <f>IF(31&gt;$C348,"",IF($D348=1,EOMONTH(EDATE(Bonds!$H348,6*(31-1)),0),EDATE(Bonds!$H348,6*(31-1))))</f>
        <v>51912</v>
      </c>
      <c r="AJ348" s="3">
        <f>IF(32&gt;$C348,"",IF($D348=1,EOMONTH(EDATE(Bonds!$H348,6*(32-1)),0),EDATE(Bonds!$H348,6*(32-1))))</f>
        <v>52093</v>
      </c>
      <c r="AK348" s="3">
        <f>IF(33&gt;$C348,"",IF($D348=1,EOMONTH(EDATE(Bonds!$H348,6*(33-1)),0),EDATE(Bonds!$H348,6*(33-1))))</f>
        <v>52277</v>
      </c>
      <c r="AL348" s="3">
        <f>IF(34&gt;$C348,"",IF($D348=1,EOMONTH(EDATE(Bonds!$H348,6*(34-1)),0),EDATE(Bonds!$H348,6*(34-1))))</f>
        <v>52458</v>
      </c>
      <c r="AM348" s="3">
        <f>IF(35&gt;$C348,"",IF($D348=1,EOMONTH(EDATE(Bonds!$H348,6*(35-1)),0),EDATE(Bonds!$H348,6*(35-1))))</f>
        <v>52642</v>
      </c>
      <c r="AN348" s="3">
        <f>IF(36&gt;$C348,"",IF($D348=1,EOMONTH(EDATE(Bonds!$H348,6*(36-1)),0),EDATE(Bonds!$H348,6*(36-1))))</f>
        <v>52824</v>
      </c>
      <c r="AO348" s="3">
        <f>IF(37&gt;$C348,"",IF($D348=1,EOMONTH(EDATE(Bonds!$H348,6*(37-1)),0),EDATE(Bonds!$H348,6*(37-1))))</f>
        <v>53008</v>
      </c>
      <c r="AP348" s="3">
        <f>IF(38&gt;$C348,"",IF($D348=1,EOMONTH(EDATE(Bonds!$H348,6*(38-1)),0),EDATE(Bonds!$H348,6*(38-1))))</f>
        <v>53189</v>
      </c>
      <c r="AQ348" s="3">
        <f>IF(39&gt;$C348,"",IF($D348=1,EOMONTH(EDATE(Bonds!$H348,6*(39-1)),0),EDATE(Bonds!$H348,6*(39-1))))</f>
        <v>53373</v>
      </c>
      <c r="AR348" s="3">
        <f>IF(40&gt;$C348,"",IF($D348=1,EOMONTH(EDATE(Bonds!$H348,6*(40-1)),0),EDATE(Bonds!$H348,6*(40-1))))</f>
        <v>53554</v>
      </c>
      <c r="AS348" s="3">
        <f>IF(41&gt;$C348,"",IF($D348=1,EOMONTH(EDATE(Bonds!$H348,6*(41-1)),0),EDATE(Bonds!$H348,6*(41-1))))</f>
        <v>53738</v>
      </c>
      <c r="AT348" s="3">
        <f>IF(42&gt;$C348,"",IF($D348=1,EOMONTH(EDATE(Bonds!$H348,6*(42-1)),0),EDATE(Bonds!$H348,6*(42-1))))</f>
        <v>53919</v>
      </c>
      <c r="AU348" s="3">
        <f>IF(43&gt;$C348,"",IF($D348=1,EOMONTH(EDATE(Bonds!$H348,6*(43-1)),0),EDATE(Bonds!$H348,6*(43-1))))</f>
        <v>54103</v>
      </c>
      <c r="AV348" s="3">
        <f>IF(44&gt;$C348,"",IF($D348=1,EOMONTH(EDATE(Bonds!$H348,6*(44-1)),0),EDATE(Bonds!$H348,6*(44-1))))</f>
        <v>54285</v>
      </c>
      <c r="AW348" s="3">
        <f>IF(45&gt;$C348,"",IF($D348=1,EOMONTH(EDATE(Bonds!$H348,6*(45-1)),0),EDATE(Bonds!$H348,6*(45-1))))</f>
        <v>54469</v>
      </c>
      <c r="AX348" s="3">
        <f>IF(46&gt;$C348,"",IF($D348=1,EOMONTH(EDATE(Bonds!$H348,6*(46-1)),0),EDATE(Bonds!$H348,6*(46-1))))</f>
        <v>54650</v>
      </c>
      <c r="AY348" s="3">
        <f>IF(47&gt;$C348,"",IF($D348=1,EOMONTH(EDATE(Bonds!$H348,6*(47-1)),0),EDATE(Bonds!$H348,6*(47-1))))</f>
        <v>54834</v>
      </c>
      <c r="AZ348" s="3">
        <f>IF(48&gt;$C348,"",IF($D348=1,EOMONTH(EDATE(Bonds!$H348,6*(48-1)),0),EDATE(Bonds!$H348,6*(48-1))))</f>
        <v>55015</v>
      </c>
      <c r="BA348" s="3">
        <f>IF(49&gt;$C348,"",IF($D348=1,EOMONTH(EDATE(Bonds!$H348,6*(49-1)),0),EDATE(Bonds!$H348,6*(49-1))))</f>
        <v>55199</v>
      </c>
      <c r="BB348" s="3">
        <f>IF(50&gt;$C348,"",IF($D348=1,EOMONTH(EDATE(Bonds!$H348,6*(50-1)),0),EDATE(Bonds!$H348,6*(50-1))))</f>
        <v>55380</v>
      </c>
      <c r="BC348" s="3">
        <f>IF(51&gt;$C348,"",IF($D348=1,EOMONTH(EDATE(Bonds!$H348,6*(51-1)),0),EDATE(Bonds!$H348,6*(51-1))))</f>
        <v>55564</v>
      </c>
      <c r="BD348" s="3">
        <f>IF(52&gt;$C348,"",IF($D348=1,EOMONTH(EDATE(Bonds!$H348,6*(52-1)),0),EDATE(Bonds!$H348,6*(52-1))))</f>
        <v>55746</v>
      </c>
      <c r="BE348" s="3">
        <f>IF(53&gt;$C348,"",IF($D348=1,EOMONTH(EDATE(Bonds!$H348,6*(53-1)),0),EDATE(Bonds!$H348,6*(53-1))))</f>
        <v>55930</v>
      </c>
      <c r="BF348" s="3">
        <f>IF(54&gt;$C348,"",IF($D348=1,EOMONTH(EDATE(Bonds!$H348,6*(54-1)),0),EDATE(Bonds!$H348,6*(54-1))))</f>
        <v>56111</v>
      </c>
      <c r="BG348" s="3" t="str">
        <f>IF(55&gt;$C348,"",IF($D348=1,EOMONTH(EDATE(Bonds!$H348,6*(55-1)),0),EDATE(Bonds!$H348,6*(55-1))))</f>
        <v/>
      </c>
      <c r="BH348" s="3" t="str">
        <f>IF(56&gt;$C348,"",IF($D348=1,EOMONTH(EDATE(Bonds!$H348,6*(56-1)),0),EDATE(Bonds!$H348,6*(56-1))))</f>
        <v/>
      </c>
      <c r="BI348" s="3" t="str">
        <f>IF(57&gt;$C348,"",IF($D348=1,EOMONTH(EDATE(Bonds!$H348,6*(57-1)),0),EDATE(Bonds!$H348,6*(57-1))))</f>
        <v/>
      </c>
      <c r="BJ348" s="3" t="str">
        <f>IF(58&gt;$C348,"",IF($D348=1,EOMONTH(EDATE(Bonds!$H348,6*(58-1)),0),EDATE(Bonds!$H348,6*(58-1))))</f>
        <v/>
      </c>
      <c r="BK348" s="3" t="str">
        <f>IF(59&gt;$C348,"",IF($D348=1,EOMONTH(EDATE(Bonds!$H348,6*(59-1)),0),EDATE(Bonds!$H348,6*(59-1))))</f>
        <v/>
      </c>
      <c r="BL348" s="3" t="str">
        <f>IF(60&gt;$C348,"",IF($D348=1,EOMONTH(EDATE(Bonds!$H348,6*(60-1)),0),EDATE(Bonds!$H348,6*(60-1))))</f>
        <v/>
      </c>
      <c r="BN348" s="7">
        <f t="shared" si="306"/>
        <v>2.0275189322045994</v>
      </c>
      <c r="BO348" s="7">
        <f t="shared" si="307"/>
        <v>1.9847822318102384</v>
      </c>
      <c r="BP348" s="7">
        <f t="shared" si="308"/>
        <v>1.9402640974145573</v>
      </c>
      <c r="BQ348" s="7">
        <f t="shared" si="309"/>
        <v>1.8964862247229273</v>
      </c>
      <c r="BR348" s="7">
        <f t="shared" si="310"/>
        <v>1.8530987400993406</v>
      </c>
      <c r="BS348" s="7">
        <f t="shared" si="311"/>
        <v>1.8114607700533749</v>
      </c>
      <c r="BT348" s="7">
        <f t="shared" si="312"/>
        <v>1.7701607025778501</v>
      </c>
      <c r="BU348" s="7">
        <f t="shared" si="313"/>
        <v>1.7304143183497951</v>
      </c>
      <c r="BV348" s="7">
        <f t="shared" si="314"/>
        <v>1.690738085942127</v>
      </c>
      <c r="BW348" s="7">
        <f t="shared" si="315"/>
        <v>1.6522700417347913</v>
      </c>
      <c r="BX348" s="7">
        <f t="shared" si="316"/>
        <v>1.6136020320139555</v>
      </c>
      <c r="BY348" s="7">
        <f t="shared" si="317"/>
        <v>1.5756904677924977</v>
      </c>
      <c r="BZ348" s="7">
        <f t="shared" si="318"/>
        <v>1.5376373812012063</v>
      </c>
      <c r="CA348" s="7">
        <f t="shared" si="319"/>
        <v>1.5004424085106451</v>
      </c>
      <c r="CB348" s="7">
        <f t="shared" si="320"/>
        <v>1.4628665391039943</v>
      </c>
      <c r="CC348" s="7">
        <f t="shared" si="321"/>
        <v>1.4261500921610459</v>
      </c>
      <c r="CD348" s="7">
        <f t="shared" si="322"/>
        <v>1.3891073768727815</v>
      </c>
      <c r="CE348" s="7">
        <f t="shared" si="323"/>
        <v>1.3529880764476878</v>
      </c>
      <c r="CF348" s="7">
        <f t="shared" si="324"/>
        <v>1.3166446507138823</v>
      </c>
      <c r="CG348" s="7">
        <f t="shared" si="325"/>
        <v>1.2811205352947901</v>
      </c>
      <c r="CH348" s="7">
        <f t="shared" si="326"/>
        <v>1.2456895007129822</v>
      </c>
      <c r="CI348" s="7">
        <f t="shared" si="327"/>
        <v>1.211362344350299</v>
      </c>
      <c r="CJ348" s="7">
        <f t="shared" si="328"/>
        <v>1.1770512331583718</v>
      </c>
      <c r="CK348" s="7">
        <f t="shared" si="329"/>
        <v>1.1439200771924698</v>
      </c>
      <c r="CL348" s="7">
        <f t="shared" si="330"/>
        <v>1.1109119174828979</v>
      </c>
      <c r="CM348" s="7">
        <f t="shared" si="331"/>
        <v>1.079138449529728</v>
      </c>
      <c r="CN348" s="7">
        <f t="shared" si="332"/>
        <v>1.0475771633442625</v>
      </c>
      <c r="CO348" s="7">
        <f t="shared" si="333"/>
        <v>1.0171167984433895</v>
      </c>
      <c r="CP348" s="7">
        <f t="shared" si="334"/>
        <v>0.98710813050310497</v>
      </c>
      <c r="CQ348" s="7">
        <f t="shared" si="335"/>
        <v>0.95837507264938337</v>
      </c>
      <c r="CR348" s="7">
        <f t="shared" si="336"/>
        <v>0.92997561530904238</v>
      </c>
      <c r="CS348" s="7">
        <f t="shared" si="337"/>
        <v>0.90284183975547805</v>
      </c>
      <c r="CT348" s="7">
        <f t="shared" si="338"/>
        <v>0.87607648420826578</v>
      </c>
      <c r="CU348" s="7">
        <f t="shared" si="339"/>
        <v>0.85055100163117925</v>
      </c>
      <c r="CV348" s="7">
        <f t="shared" si="340"/>
        <v>0.82541470639686609</v>
      </c>
      <c r="CW348" s="7">
        <f t="shared" si="341"/>
        <v>0.80135000530763367</v>
      </c>
      <c r="CX348" s="7">
        <f t="shared" si="342"/>
        <v>0.77781815852204528</v>
      </c>
      <c r="CY348" s="7">
        <f t="shared" si="343"/>
        <v>0.75544045939833859</v>
      </c>
      <c r="CZ348" s="7">
        <f t="shared" si="344"/>
        <v>0.73346137860681437</v>
      </c>
      <c r="DA348" s="7">
        <f t="shared" si="345"/>
        <v>0.71258271065446444</v>
      </c>
      <c r="DB348" s="7">
        <f t="shared" si="346"/>
        <v>0.69209584454066431</v>
      </c>
      <c r="DC348" s="7">
        <f t="shared" si="347"/>
        <v>0.67265169193390506</v>
      </c>
      <c r="DD348" s="7">
        <f t="shared" si="348"/>
        <v>0.65358737447044757</v>
      </c>
      <c r="DE348" s="7">
        <f t="shared" si="349"/>
        <v>0.6354079533243604</v>
      </c>
      <c r="DF348" s="7">
        <f t="shared" si="350"/>
        <v>0.61769442011570574</v>
      </c>
      <c r="DG348" s="7">
        <f t="shared" si="351"/>
        <v>0.60090344430360665</v>
      </c>
      <c r="DH348" s="7">
        <f t="shared" si="352"/>
        <v>0.58445860310907971</v>
      </c>
      <c r="DI348" s="7">
        <f t="shared" si="353"/>
        <v>0.56887671704216625</v>
      </c>
      <c r="DJ348" s="7">
        <f t="shared" si="354"/>
        <v>0.55362146664175749</v>
      </c>
      <c r="DK348" s="7">
        <f t="shared" si="355"/>
        <v>0.53917108719676021</v>
      </c>
      <c r="DL348" s="7">
        <f t="shared" si="356"/>
        <v>0.52502713878046847</v>
      </c>
      <c r="DM348" s="7">
        <f t="shared" si="357"/>
        <v>0.51155950340443501</v>
      </c>
      <c r="DN348" s="7">
        <f t="shared" si="358"/>
        <v>0.49845330524925258</v>
      </c>
      <c r="DO348" s="7">
        <f t="shared" si="359"/>
        <v>24.051739618597878</v>
      </c>
      <c r="DP348" s="7">
        <f t="shared" si="360"/>
        <v>0</v>
      </c>
      <c r="DQ348" s="7">
        <f t="shared" si="361"/>
        <v>0</v>
      </c>
      <c r="DR348" s="7">
        <f t="shared" si="362"/>
        <v>0</v>
      </c>
      <c r="DS348" s="7">
        <f t="shared" si="363"/>
        <v>0</v>
      </c>
      <c r="DT348" s="7">
        <f t="shared" si="364"/>
        <v>0</v>
      </c>
      <c r="DU348" s="7">
        <f t="shared" si="365"/>
        <v>0</v>
      </c>
    </row>
    <row r="349" spans="1:125" x14ac:dyDescent="0.2">
      <c r="A349" s="3">
        <f>Bonds!A349</f>
        <v>56203</v>
      </c>
      <c r="B349" s="4">
        <f>Bonds!B349</f>
        <v>4.75</v>
      </c>
      <c r="C349">
        <f>Bonds!P349</f>
        <v>55</v>
      </c>
      <c r="D349">
        <f t="shared" si="305"/>
        <v>0</v>
      </c>
      <c r="E349" s="3">
        <f>IF(1&gt;$C349,"",IF($D349=1,EOMONTH(EDATE(Bonds!$H349,6*(1-1)),0),EDATE(Bonds!$H349,6*(1-1))))</f>
        <v>46341</v>
      </c>
      <c r="F349" s="3">
        <f>IF(2&gt;$C349,"",IF($D349=1,EOMONTH(EDATE(Bonds!$H349,6*(2-1)),0),EDATE(Bonds!$H349,6*(2-1))))</f>
        <v>46522</v>
      </c>
      <c r="G349" s="3">
        <f>IF(3&gt;$C349,"",IF($D349=1,EOMONTH(EDATE(Bonds!$H349,6*(3-1)),0),EDATE(Bonds!$H349,6*(3-1))))</f>
        <v>46706</v>
      </c>
      <c r="H349" s="3">
        <f>IF(4&gt;$C349,"",IF($D349=1,EOMONTH(EDATE(Bonds!$H349,6*(4-1)),0),EDATE(Bonds!$H349,6*(4-1))))</f>
        <v>46888</v>
      </c>
      <c r="I349" s="3">
        <f>IF(5&gt;$C349,"",IF($D349=1,EOMONTH(EDATE(Bonds!$H349,6*(5-1)),0),EDATE(Bonds!$H349,6*(5-1))))</f>
        <v>47072</v>
      </c>
      <c r="J349" s="3">
        <f>IF(6&gt;$C349,"",IF($D349=1,EOMONTH(EDATE(Bonds!$H349,6*(6-1)),0),EDATE(Bonds!$H349,6*(6-1))))</f>
        <v>47253</v>
      </c>
      <c r="K349" s="3">
        <f>IF(7&gt;$C349,"",IF($D349=1,EOMONTH(EDATE(Bonds!$H349,6*(7-1)),0),EDATE(Bonds!$H349,6*(7-1))))</f>
        <v>47437</v>
      </c>
      <c r="L349" s="3">
        <f>IF(8&gt;$C349,"",IF($D349=1,EOMONTH(EDATE(Bonds!$H349,6*(8-1)),0),EDATE(Bonds!$H349,6*(8-1))))</f>
        <v>47618</v>
      </c>
      <c r="M349" s="3">
        <f>IF(9&gt;$C349,"",IF($D349=1,EOMONTH(EDATE(Bonds!$H349,6*(9-1)),0),EDATE(Bonds!$H349,6*(9-1))))</f>
        <v>47802</v>
      </c>
      <c r="N349" s="3">
        <f>IF(10&gt;$C349,"",IF($D349=1,EOMONTH(EDATE(Bonds!$H349,6*(10-1)),0),EDATE(Bonds!$H349,6*(10-1))))</f>
        <v>47983</v>
      </c>
      <c r="O349" s="3">
        <f>IF(11&gt;$C349,"",IF($D349=1,EOMONTH(EDATE(Bonds!$H349,6*(11-1)),0),EDATE(Bonds!$H349,6*(11-1))))</f>
        <v>48167</v>
      </c>
      <c r="P349" s="3">
        <f>IF(12&gt;$C349,"",IF($D349=1,EOMONTH(EDATE(Bonds!$H349,6*(12-1)),0),EDATE(Bonds!$H349,6*(12-1))))</f>
        <v>48349</v>
      </c>
      <c r="Q349" s="3">
        <f>IF(13&gt;$C349,"",IF($D349=1,EOMONTH(EDATE(Bonds!$H349,6*(13-1)),0),EDATE(Bonds!$H349,6*(13-1))))</f>
        <v>48533</v>
      </c>
      <c r="R349" s="3">
        <f>IF(14&gt;$C349,"",IF($D349=1,EOMONTH(EDATE(Bonds!$H349,6*(14-1)),0),EDATE(Bonds!$H349,6*(14-1))))</f>
        <v>48714</v>
      </c>
      <c r="S349" s="3">
        <f>IF(15&gt;$C349,"",IF($D349=1,EOMONTH(EDATE(Bonds!$H349,6*(15-1)),0),EDATE(Bonds!$H349,6*(15-1))))</f>
        <v>48898</v>
      </c>
      <c r="T349" s="3">
        <f>IF(16&gt;$C349,"",IF($D349=1,EOMONTH(EDATE(Bonds!$H349,6*(16-1)),0),EDATE(Bonds!$H349,6*(16-1))))</f>
        <v>49079</v>
      </c>
      <c r="U349" s="3">
        <f>IF(17&gt;$C349,"",IF($D349=1,EOMONTH(EDATE(Bonds!$H349,6*(17-1)),0),EDATE(Bonds!$H349,6*(17-1))))</f>
        <v>49263</v>
      </c>
      <c r="V349" s="3">
        <f>IF(18&gt;$C349,"",IF($D349=1,EOMONTH(EDATE(Bonds!$H349,6*(18-1)),0),EDATE(Bonds!$H349,6*(18-1))))</f>
        <v>49444</v>
      </c>
      <c r="W349" s="3">
        <f>IF(19&gt;$C349,"",IF($D349=1,EOMONTH(EDATE(Bonds!$H349,6*(19-1)),0),EDATE(Bonds!$H349,6*(19-1))))</f>
        <v>49628</v>
      </c>
      <c r="X349" s="3">
        <f>IF(20&gt;$C349,"",IF($D349=1,EOMONTH(EDATE(Bonds!$H349,6*(20-1)),0),EDATE(Bonds!$H349,6*(20-1))))</f>
        <v>49810</v>
      </c>
      <c r="Y349" s="3">
        <f>IF(21&gt;$C349,"",IF($D349=1,EOMONTH(EDATE(Bonds!$H349,6*(21-1)),0),EDATE(Bonds!$H349,6*(21-1))))</f>
        <v>49994</v>
      </c>
      <c r="Z349" s="3">
        <f>IF(22&gt;$C349,"",IF($D349=1,EOMONTH(EDATE(Bonds!$H349,6*(22-1)),0),EDATE(Bonds!$H349,6*(22-1))))</f>
        <v>50175</v>
      </c>
      <c r="AA349" s="3">
        <f>IF(23&gt;$C349,"",IF($D349=1,EOMONTH(EDATE(Bonds!$H349,6*(23-1)),0),EDATE(Bonds!$H349,6*(23-1))))</f>
        <v>50359</v>
      </c>
      <c r="AB349" s="3">
        <f>IF(24&gt;$C349,"",IF($D349=1,EOMONTH(EDATE(Bonds!$H349,6*(24-1)),0),EDATE(Bonds!$H349,6*(24-1))))</f>
        <v>50540</v>
      </c>
      <c r="AC349" s="3">
        <f>IF(25&gt;$C349,"",IF($D349=1,EOMONTH(EDATE(Bonds!$H349,6*(25-1)),0),EDATE(Bonds!$H349,6*(25-1))))</f>
        <v>50724</v>
      </c>
      <c r="AD349" s="3">
        <f>IF(26&gt;$C349,"",IF($D349=1,EOMONTH(EDATE(Bonds!$H349,6*(26-1)),0),EDATE(Bonds!$H349,6*(26-1))))</f>
        <v>50905</v>
      </c>
      <c r="AE349" s="3">
        <f>IF(27&gt;$C349,"",IF($D349=1,EOMONTH(EDATE(Bonds!$H349,6*(27-1)),0),EDATE(Bonds!$H349,6*(27-1))))</f>
        <v>51089</v>
      </c>
      <c r="AF349" s="3">
        <f>IF(28&gt;$C349,"",IF($D349=1,EOMONTH(EDATE(Bonds!$H349,6*(28-1)),0),EDATE(Bonds!$H349,6*(28-1))))</f>
        <v>51271</v>
      </c>
      <c r="AG349" s="3">
        <f>IF(29&gt;$C349,"",IF($D349=1,EOMONTH(EDATE(Bonds!$H349,6*(29-1)),0),EDATE(Bonds!$H349,6*(29-1))))</f>
        <v>51455</v>
      </c>
      <c r="AH349" s="3">
        <f>IF(30&gt;$C349,"",IF($D349=1,EOMONTH(EDATE(Bonds!$H349,6*(30-1)),0),EDATE(Bonds!$H349,6*(30-1))))</f>
        <v>51636</v>
      </c>
      <c r="AI349" s="3">
        <f>IF(31&gt;$C349,"",IF($D349=1,EOMONTH(EDATE(Bonds!$H349,6*(31-1)),0),EDATE(Bonds!$H349,6*(31-1))))</f>
        <v>51820</v>
      </c>
      <c r="AJ349" s="3">
        <f>IF(32&gt;$C349,"",IF($D349=1,EOMONTH(EDATE(Bonds!$H349,6*(32-1)),0),EDATE(Bonds!$H349,6*(32-1))))</f>
        <v>52001</v>
      </c>
      <c r="AK349" s="3">
        <f>IF(33&gt;$C349,"",IF($D349=1,EOMONTH(EDATE(Bonds!$H349,6*(33-1)),0),EDATE(Bonds!$H349,6*(33-1))))</f>
        <v>52185</v>
      </c>
      <c r="AL349" s="3">
        <f>IF(34&gt;$C349,"",IF($D349=1,EOMONTH(EDATE(Bonds!$H349,6*(34-1)),0),EDATE(Bonds!$H349,6*(34-1))))</f>
        <v>52366</v>
      </c>
      <c r="AM349" s="3">
        <f>IF(35&gt;$C349,"",IF($D349=1,EOMONTH(EDATE(Bonds!$H349,6*(35-1)),0),EDATE(Bonds!$H349,6*(35-1))))</f>
        <v>52550</v>
      </c>
      <c r="AN349" s="3">
        <f>IF(36&gt;$C349,"",IF($D349=1,EOMONTH(EDATE(Bonds!$H349,6*(36-1)),0),EDATE(Bonds!$H349,6*(36-1))))</f>
        <v>52732</v>
      </c>
      <c r="AO349" s="3">
        <f>IF(37&gt;$C349,"",IF($D349=1,EOMONTH(EDATE(Bonds!$H349,6*(37-1)),0),EDATE(Bonds!$H349,6*(37-1))))</f>
        <v>52916</v>
      </c>
      <c r="AP349" s="3">
        <f>IF(38&gt;$C349,"",IF($D349=1,EOMONTH(EDATE(Bonds!$H349,6*(38-1)),0),EDATE(Bonds!$H349,6*(38-1))))</f>
        <v>53097</v>
      </c>
      <c r="AQ349" s="3">
        <f>IF(39&gt;$C349,"",IF($D349=1,EOMONTH(EDATE(Bonds!$H349,6*(39-1)),0),EDATE(Bonds!$H349,6*(39-1))))</f>
        <v>53281</v>
      </c>
      <c r="AR349" s="3">
        <f>IF(40&gt;$C349,"",IF($D349=1,EOMONTH(EDATE(Bonds!$H349,6*(40-1)),0),EDATE(Bonds!$H349,6*(40-1))))</f>
        <v>53462</v>
      </c>
      <c r="AS349" s="3">
        <f>IF(41&gt;$C349,"",IF($D349=1,EOMONTH(EDATE(Bonds!$H349,6*(41-1)),0),EDATE(Bonds!$H349,6*(41-1))))</f>
        <v>53646</v>
      </c>
      <c r="AT349" s="3">
        <f>IF(42&gt;$C349,"",IF($D349=1,EOMONTH(EDATE(Bonds!$H349,6*(42-1)),0),EDATE(Bonds!$H349,6*(42-1))))</f>
        <v>53827</v>
      </c>
      <c r="AU349" s="3">
        <f>IF(43&gt;$C349,"",IF($D349=1,EOMONTH(EDATE(Bonds!$H349,6*(43-1)),0),EDATE(Bonds!$H349,6*(43-1))))</f>
        <v>54011</v>
      </c>
      <c r="AV349" s="3">
        <f>IF(44&gt;$C349,"",IF($D349=1,EOMONTH(EDATE(Bonds!$H349,6*(44-1)),0),EDATE(Bonds!$H349,6*(44-1))))</f>
        <v>54193</v>
      </c>
      <c r="AW349" s="3">
        <f>IF(45&gt;$C349,"",IF($D349=1,EOMONTH(EDATE(Bonds!$H349,6*(45-1)),0),EDATE(Bonds!$H349,6*(45-1))))</f>
        <v>54377</v>
      </c>
      <c r="AX349" s="3">
        <f>IF(46&gt;$C349,"",IF($D349=1,EOMONTH(EDATE(Bonds!$H349,6*(46-1)),0),EDATE(Bonds!$H349,6*(46-1))))</f>
        <v>54558</v>
      </c>
      <c r="AY349" s="3">
        <f>IF(47&gt;$C349,"",IF($D349=1,EOMONTH(EDATE(Bonds!$H349,6*(47-1)),0),EDATE(Bonds!$H349,6*(47-1))))</f>
        <v>54742</v>
      </c>
      <c r="AZ349" s="3">
        <f>IF(48&gt;$C349,"",IF($D349=1,EOMONTH(EDATE(Bonds!$H349,6*(48-1)),0),EDATE(Bonds!$H349,6*(48-1))))</f>
        <v>54923</v>
      </c>
      <c r="BA349" s="3">
        <f>IF(49&gt;$C349,"",IF($D349=1,EOMONTH(EDATE(Bonds!$H349,6*(49-1)),0),EDATE(Bonds!$H349,6*(49-1))))</f>
        <v>55107</v>
      </c>
      <c r="BB349" s="3">
        <f>IF(50&gt;$C349,"",IF($D349=1,EOMONTH(EDATE(Bonds!$H349,6*(50-1)),0),EDATE(Bonds!$H349,6*(50-1))))</f>
        <v>55288</v>
      </c>
      <c r="BC349" s="3">
        <f>IF(51&gt;$C349,"",IF($D349=1,EOMONTH(EDATE(Bonds!$H349,6*(51-1)),0),EDATE(Bonds!$H349,6*(51-1))))</f>
        <v>55472</v>
      </c>
      <c r="BD349" s="3">
        <f>IF(52&gt;$C349,"",IF($D349=1,EOMONTH(EDATE(Bonds!$H349,6*(52-1)),0),EDATE(Bonds!$H349,6*(52-1))))</f>
        <v>55654</v>
      </c>
      <c r="BE349" s="3">
        <f>IF(53&gt;$C349,"",IF($D349=1,EOMONTH(EDATE(Bonds!$H349,6*(53-1)),0),EDATE(Bonds!$H349,6*(53-1))))</f>
        <v>55838</v>
      </c>
      <c r="BF349" s="3">
        <f>IF(54&gt;$C349,"",IF($D349=1,EOMONTH(EDATE(Bonds!$H349,6*(54-1)),0),EDATE(Bonds!$H349,6*(54-1))))</f>
        <v>56019</v>
      </c>
      <c r="BG349" s="3">
        <f>IF(55&gt;$C349,"",IF($D349=1,EOMONTH(EDATE(Bonds!$H349,6*(55-1)),0),EDATE(Bonds!$H349,6*(55-1))))</f>
        <v>56203</v>
      </c>
      <c r="BH349" s="3" t="str">
        <f>IF(56&gt;$C349,"",IF($D349=1,EOMONTH(EDATE(Bonds!$H349,6*(56-1)),0),EDATE(Bonds!$H349,6*(56-1))))</f>
        <v/>
      </c>
      <c r="BI349" s="3" t="str">
        <f>IF(57&gt;$C349,"",IF($D349=1,EOMONTH(EDATE(Bonds!$H349,6*(57-1)),0),EDATE(Bonds!$H349,6*(57-1))))</f>
        <v/>
      </c>
      <c r="BJ349" s="3" t="str">
        <f>IF(58&gt;$C349,"",IF($D349=1,EOMONTH(EDATE(Bonds!$H349,6*(58-1)),0),EDATE(Bonds!$H349,6*(58-1))))</f>
        <v/>
      </c>
      <c r="BK349" s="3" t="str">
        <f>IF(59&gt;$C349,"",IF($D349=1,EOMONTH(EDATE(Bonds!$H349,6*(59-1)),0),EDATE(Bonds!$H349,6*(59-1))))</f>
        <v/>
      </c>
      <c r="BL349" s="3" t="str">
        <f>IF(60&gt;$C349,"",IF($D349=1,EOMONTH(EDATE(Bonds!$H349,6*(60-1)),0),EDATE(Bonds!$H349,6*(60-1))))</f>
        <v/>
      </c>
      <c r="BN349" s="7">
        <f t="shared" si="306"/>
        <v>2.3584357586750442</v>
      </c>
      <c r="BO349" s="7">
        <f t="shared" si="307"/>
        <v>2.3108108400686103</v>
      </c>
      <c r="BP349" s="7">
        <f t="shared" si="308"/>
        <v>2.2599094678053397</v>
      </c>
      <c r="BQ349" s="7">
        <f t="shared" si="309"/>
        <v>2.209220585936599</v>
      </c>
      <c r="BR349" s="7">
        <f t="shared" si="310"/>
        <v>2.1587038483336061</v>
      </c>
      <c r="BS349" s="7">
        <f t="shared" si="311"/>
        <v>2.1101447549131152</v>
      </c>
      <c r="BT349" s="7">
        <f t="shared" si="312"/>
        <v>2.0620045674602818</v>
      </c>
      <c r="BU349" s="7">
        <f t="shared" si="313"/>
        <v>2.0157476336715985</v>
      </c>
      <c r="BV349" s="7">
        <f t="shared" si="314"/>
        <v>1.9696606488019894</v>
      </c>
      <c r="BW349" s="7">
        <f t="shared" si="315"/>
        <v>1.9250593715232645</v>
      </c>
      <c r="BX349" s="7">
        <f t="shared" si="316"/>
        <v>1.8802951836452992</v>
      </c>
      <c r="BY349" s="7">
        <f t="shared" si="317"/>
        <v>1.8364565382717781</v>
      </c>
      <c r="BZ349" s="7">
        <f t="shared" si="318"/>
        <v>1.7924854566853714</v>
      </c>
      <c r="CA349" s="7">
        <f t="shared" si="319"/>
        <v>1.7495195400711905</v>
      </c>
      <c r="CB349" s="7">
        <f t="shared" si="320"/>
        <v>1.7061127814937318</v>
      </c>
      <c r="CC349" s="7">
        <f t="shared" si="321"/>
        <v>1.6636865399382703</v>
      </c>
      <c r="CD349" s="7">
        <f t="shared" si="322"/>
        <v>1.6208620113914407</v>
      </c>
      <c r="CE349" s="7">
        <f t="shared" si="323"/>
        <v>1.5790779853362651</v>
      </c>
      <c r="CF349" s="7">
        <f t="shared" si="324"/>
        <v>1.5370031152678882</v>
      </c>
      <c r="CG349" s="7">
        <f t="shared" si="325"/>
        <v>1.4958431640121164</v>
      </c>
      <c r="CH349" s="7">
        <f t="shared" si="326"/>
        <v>1.4547561554322603</v>
      </c>
      <c r="CI349" s="7">
        <f t="shared" si="327"/>
        <v>1.4149151085633698</v>
      </c>
      <c r="CJ349" s="7">
        <f t="shared" si="328"/>
        <v>1.3750588693129928</v>
      </c>
      <c r="CK349" s="7">
        <f t="shared" si="329"/>
        <v>1.3365414061209822</v>
      </c>
      <c r="CL349" s="7">
        <f t="shared" si="330"/>
        <v>1.2981363109679245</v>
      </c>
      <c r="CM349" s="7">
        <f t="shared" si="331"/>
        <v>1.2611396082221262</v>
      </c>
      <c r="CN349" s="7">
        <f t="shared" si="332"/>
        <v>1.2243634315826639</v>
      </c>
      <c r="CO349" s="7">
        <f t="shared" si="333"/>
        <v>1.188845871334246</v>
      </c>
      <c r="CP349" s="7">
        <f t="shared" si="334"/>
        <v>1.1538326416834548</v>
      </c>
      <c r="CQ349" s="7">
        <f t="shared" si="335"/>
        <v>1.1202878170475707</v>
      </c>
      <c r="CR349" s="7">
        <f t="shared" si="336"/>
        <v>1.0871141333382905</v>
      </c>
      <c r="CS349" s="7">
        <f t="shared" si="337"/>
        <v>1.0554026666419734</v>
      </c>
      <c r="CT349" s="7">
        <f t="shared" si="338"/>
        <v>1.0241069768408577</v>
      </c>
      <c r="CU349" s="7">
        <f t="shared" si="339"/>
        <v>0.99424801101643179</v>
      </c>
      <c r="CV349" s="7">
        <f t="shared" si="340"/>
        <v>0.96483253479986497</v>
      </c>
      <c r="CW349" s="7">
        <f t="shared" si="341"/>
        <v>0.93666072197242167</v>
      </c>
      <c r="CX349" s="7">
        <f t="shared" si="342"/>
        <v>0.90910345388288993</v>
      </c>
      <c r="CY349" s="7">
        <f t="shared" si="343"/>
        <v>0.88288976841960665</v>
      </c>
      <c r="CZ349" s="7">
        <f t="shared" si="344"/>
        <v>0.85713590111948157</v>
      </c>
      <c r="DA349" s="7">
        <f t="shared" si="345"/>
        <v>0.83266530084894053</v>
      </c>
      <c r="DB349" s="7">
        <f t="shared" si="346"/>
        <v>0.80864847977603371</v>
      </c>
      <c r="DC349" s="7">
        <f t="shared" si="347"/>
        <v>0.78584940604743059</v>
      </c>
      <c r="DD349" s="7">
        <f t="shared" si="348"/>
        <v>0.76349164939248093</v>
      </c>
      <c r="DE349" s="7">
        <f t="shared" si="349"/>
        <v>0.742168209919433</v>
      </c>
      <c r="DF349" s="7">
        <f t="shared" si="350"/>
        <v>0.72138826428392422</v>
      </c>
      <c r="DG349" s="7">
        <f t="shared" si="351"/>
        <v>0.70168812153208326</v>
      </c>
      <c r="DH349" s="7">
        <f t="shared" si="352"/>
        <v>0.68239199203008549</v>
      </c>
      <c r="DI349" s="7">
        <f t="shared" si="353"/>
        <v>0.66410673682639865</v>
      </c>
      <c r="DJ349" s="7">
        <f t="shared" si="354"/>
        <v>0.64620337376190573</v>
      </c>
      <c r="DK349" s="7">
        <f t="shared" si="355"/>
        <v>0.62924348210623748</v>
      </c>
      <c r="DL349" s="7">
        <f t="shared" si="356"/>
        <v>0.61264235200008987</v>
      </c>
      <c r="DM349" s="7">
        <f t="shared" si="357"/>
        <v>0.5968343645936024</v>
      </c>
      <c r="DN349" s="7">
        <f t="shared" si="358"/>
        <v>0.58145014271632134</v>
      </c>
      <c r="DO349" s="7">
        <f t="shared" si="359"/>
        <v>0.56688187549122238</v>
      </c>
      <c r="DP349" s="7">
        <f t="shared" si="360"/>
        <v>23.821074677335677</v>
      </c>
      <c r="DQ349" s="7">
        <f t="shared" si="361"/>
        <v>0</v>
      </c>
      <c r="DR349" s="7">
        <f t="shared" si="362"/>
        <v>0</v>
      </c>
      <c r="DS349" s="7">
        <f t="shared" si="363"/>
        <v>0</v>
      </c>
      <c r="DT349" s="7">
        <f t="shared" si="364"/>
        <v>0</v>
      </c>
      <c r="DU349" s="7">
        <f t="shared" si="365"/>
        <v>0</v>
      </c>
    </row>
    <row r="350" spans="1:125" x14ac:dyDescent="0.2">
      <c r="A350" s="3">
        <f>Bonds!A350</f>
        <v>56295</v>
      </c>
      <c r="B350" s="4">
        <f>Bonds!B350</f>
        <v>4.25</v>
      </c>
      <c r="C350">
        <f>Bonds!P350</f>
        <v>55</v>
      </c>
      <c r="D350">
        <f t="shared" si="305"/>
        <v>0</v>
      </c>
      <c r="E350" s="3">
        <f>IF(1&gt;$C350,"",IF($D350=1,EOMONTH(EDATE(Bonds!$H350,6*(1-1)),0),EDATE(Bonds!$H350,6*(1-1))))</f>
        <v>46433</v>
      </c>
      <c r="F350" s="3">
        <f>IF(2&gt;$C350,"",IF($D350=1,EOMONTH(EDATE(Bonds!$H350,6*(2-1)),0),EDATE(Bonds!$H350,6*(2-1))))</f>
        <v>46614</v>
      </c>
      <c r="G350" s="3">
        <f>IF(3&gt;$C350,"",IF($D350=1,EOMONTH(EDATE(Bonds!$H350,6*(3-1)),0),EDATE(Bonds!$H350,6*(3-1))))</f>
        <v>46798</v>
      </c>
      <c r="H350" s="3">
        <f>IF(4&gt;$C350,"",IF($D350=1,EOMONTH(EDATE(Bonds!$H350,6*(4-1)),0),EDATE(Bonds!$H350,6*(4-1))))</f>
        <v>46980</v>
      </c>
      <c r="I350" s="3">
        <f>IF(5&gt;$C350,"",IF($D350=1,EOMONTH(EDATE(Bonds!$H350,6*(5-1)),0),EDATE(Bonds!$H350,6*(5-1))))</f>
        <v>47164</v>
      </c>
      <c r="J350" s="3">
        <f>IF(6&gt;$C350,"",IF($D350=1,EOMONTH(EDATE(Bonds!$H350,6*(6-1)),0),EDATE(Bonds!$H350,6*(6-1))))</f>
        <v>47345</v>
      </c>
      <c r="K350" s="3">
        <f>IF(7&gt;$C350,"",IF($D350=1,EOMONTH(EDATE(Bonds!$H350,6*(7-1)),0),EDATE(Bonds!$H350,6*(7-1))))</f>
        <v>47529</v>
      </c>
      <c r="L350" s="3">
        <f>IF(8&gt;$C350,"",IF($D350=1,EOMONTH(EDATE(Bonds!$H350,6*(8-1)),0),EDATE(Bonds!$H350,6*(8-1))))</f>
        <v>47710</v>
      </c>
      <c r="M350" s="3">
        <f>IF(9&gt;$C350,"",IF($D350=1,EOMONTH(EDATE(Bonds!$H350,6*(9-1)),0),EDATE(Bonds!$H350,6*(9-1))))</f>
        <v>47894</v>
      </c>
      <c r="N350" s="3">
        <f>IF(10&gt;$C350,"",IF($D350=1,EOMONTH(EDATE(Bonds!$H350,6*(10-1)),0),EDATE(Bonds!$H350,6*(10-1))))</f>
        <v>48075</v>
      </c>
      <c r="O350" s="3">
        <f>IF(11&gt;$C350,"",IF($D350=1,EOMONTH(EDATE(Bonds!$H350,6*(11-1)),0),EDATE(Bonds!$H350,6*(11-1))))</f>
        <v>48259</v>
      </c>
      <c r="P350" s="3">
        <f>IF(12&gt;$C350,"",IF($D350=1,EOMONTH(EDATE(Bonds!$H350,6*(12-1)),0),EDATE(Bonds!$H350,6*(12-1))))</f>
        <v>48441</v>
      </c>
      <c r="Q350" s="3">
        <f>IF(13&gt;$C350,"",IF($D350=1,EOMONTH(EDATE(Bonds!$H350,6*(13-1)),0),EDATE(Bonds!$H350,6*(13-1))))</f>
        <v>48625</v>
      </c>
      <c r="R350" s="3">
        <f>IF(14&gt;$C350,"",IF($D350=1,EOMONTH(EDATE(Bonds!$H350,6*(14-1)),0),EDATE(Bonds!$H350,6*(14-1))))</f>
        <v>48806</v>
      </c>
      <c r="S350" s="3">
        <f>IF(15&gt;$C350,"",IF($D350=1,EOMONTH(EDATE(Bonds!$H350,6*(15-1)),0),EDATE(Bonds!$H350,6*(15-1))))</f>
        <v>48990</v>
      </c>
      <c r="T350" s="3">
        <f>IF(16&gt;$C350,"",IF($D350=1,EOMONTH(EDATE(Bonds!$H350,6*(16-1)),0),EDATE(Bonds!$H350,6*(16-1))))</f>
        <v>49171</v>
      </c>
      <c r="U350" s="3">
        <f>IF(17&gt;$C350,"",IF($D350=1,EOMONTH(EDATE(Bonds!$H350,6*(17-1)),0),EDATE(Bonds!$H350,6*(17-1))))</f>
        <v>49355</v>
      </c>
      <c r="V350" s="3">
        <f>IF(18&gt;$C350,"",IF($D350=1,EOMONTH(EDATE(Bonds!$H350,6*(18-1)),0),EDATE(Bonds!$H350,6*(18-1))))</f>
        <v>49536</v>
      </c>
      <c r="W350" s="3">
        <f>IF(19&gt;$C350,"",IF($D350=1,EOMONTH(EDATE(Bonds!$H350,6*(19-1)),0),EDATE(Bonds!$H350,6*(19-1))))</f>
        <v>49720</v>
      </c>
      <c r="X350" s="3">
        <f>IF(20&gt;$C350,"",IF($D350=1,EOMONTH(EDATE(Bonds!$H350,6*(20-1)),0),EDATE(Bonds!$H350,6*(20-1))))</f>
        <v>49902</v>
      </c>
      <c r="Y350" s="3">
        <f>IF(21&gt;$C350,"",IF($D350=1,EOMONTH(EDATE(Bonds!$H350,6*(21-1)),0),EDATE(Bonds!$H350,6*(21-1))))</f>
        <v>50086</v>
      </c>
      <c r="Z350" s="3">
        <f>IF(22&gt;$C350,"",IF($D350=1,EOMONTH(EDATE(Bonds!$H350,6*(22-1)),0),EDATE(Bonds!$H350,6*(22-1))))</f>
        <v>50267</v>
      </c>
      <c r="AA350" s="3">
        <f>IF(23&gt;$C350,"",IF($D350=1,EOMONTH(EDATE(Bonds!$H350,6*(23-1)),0),EDATE(Bonds!$H350,6*(23-1))))</f>
        <v>50451</v>
      </c>
      <c r="AB350" s="3">
        <f>IF(24&gt;$C350,"",IF($D350=1,EOMONTH(EDATE(Bonds!$H350,6*(24-1)),0),EDATE(Bonds!$H350,6*(24-1))))</f>
        <v>50632</v>
      </c>
      <c r="AC350" s="3">
        <f>IF(25&gt;$C350,"",IF($D350=1,EOMONTH(EDATE(Bonds!$H350,6*(25-1)),0),EDATE(Bonds!$H350,6*(25-1))))</f>
        <v>50816</v>
      </c>
      <c r="AD350" s="3">
        <f>IF(26&gt;$C350,"",IF($D350=1,EOMONTH(EDATE(Bonds!$H350,6*(26-1)),0),EDATE(Bonds!$H350,6*(26-1))))</f>
        <v>50997</v>
      </c>
      <c r="AE350" s="3">
        <f>IF(27&gt;$C350,"",IF($D350=1,EOMONTH(EDATE(Bonds!$H350,6*(27-1)),0),EDATE(Bonds!$H350,6*(27-1))))</f>
        <v>51181</v>
      </c>
      <c r="AF350" s="3">
        <f>IF(28&gt;$C350,"",IF($D350=1,EOMONTH(EDATE(Bonds!$H350,6*(28-1)),0),EDATE(Bonds!$H350,6*(28-1))))</f>
        <v>51363</v>
      </c>
      <c r="AG350" s="3">
        <f>IF(29&gt;$C350,"",IF($D350=1,EOMONTH(EDATE(Bonds!$H350,6*(29-1)),0),EDATE(Bonds!$H350,6*(29-1))))</f>
        <v>51547</v>
      </c>
      <c r="AH350" s="3">
        <f>IF(30&gt;$C350,"",IF($D350=1,EOMONTH(EDATE(Bonds!$H350,6*(30-1)),0),EDATE(Bonds!$H350,6*(30-1))))</f>
        <v>51728</v>
      </c>
      <c r="AI350" s="3">
        <f>IF(31&gt;$C350,"",IF($D350=1,EOMONTH(EDATE(Bonds!$H350,6*(31-1)),0),EDATE(Bonds!$H350,6*(31-1))))</f>
        <v>51912</v>
      </c>
      <c r="AJ350" s="3">
        <f>IF(32&gt;$C350,"",IF($D350=1,EOMONTH(EDATE(Bonds!$H350,6*(32-1)),0),EDATE(Bonds!$H350,6*(32-1))))</f>
        <v>52093</v>
      </c>
      <c r="AK350" s="3">
        <f>IF(33&gt;$C350,"",IF($D350=1,EOMONTH(EDATE(Bonds!$H350,6*(33-1)),0),EDATE(Bonds!$H350,6*(33-1))))</f>
        <v>52277</v>
      </c>
      <c r="AL350" s="3">
        <f>IF(34&gt;$C350,"",IF($D350=1,EOMONTH(EDATE(Bonds!$H350,6*(34-1)),0),EDATE(Bonds!$H350,6*(34-1))))</f>
        <v>52458</v>
      </c>
      <c r="AM350" s="3">
        <f>IF(35&gt;$C350,"",IF($D350=1,EOMONTH(EDATE(Bonds!$H350,6*(35-1)),0),EDATE(Bonds!$H350,6*(35-1))))</f>
        <v>52642</v>
      </c>
      <c r="AN350" s="3">
        <f>IF(36&gt;$C350,"",IF($D350=1,EOMONTH(EDATE(Bonds!$H350,6*(36-1)),0),EDATE(Bonds!$H350,6*(36-1))))</f>
        <v>52824</v>
      </c>
      <c r="AO350" s="3">
        <f>IF(37&gt;$C350,"",IF($D350=1,EOMONTH(EDATE(Bonds!$H350,6*(37-1)),0),EDATE(Bonds!$H350,6*(37-1))))</f>
        <v>53008</v>
      </c>
      <c r="AP350" s="3">
        <f>IF(38&gt;$C350,"",IF($D350=1,EOMONTH(EDATE(Bonds!$H350,6*(38-1)),0),EDATE(Bonds!$H350,6*(38-1))))</f>
        <v>53189</v>
      </c>
      <c r="AQ350" s="3">
        <f>IF(39&gt;$C350,"",IF($D350=1,EOMONTH(EDATE(Bonds!$H350,6*(39-1)),0),EDATE(Bonds!$H350,6*(39-1))))</f>
        <v>53373</v>
      </c>
      <c r="AR350" s="3">
        <f>IF(40&gt;$C350,"",IF($D350=1,EOMONTH(EDATE(Bonds!$H350,6*(40-1)),0),EDATE(Bonds!$H350,6*(40-1))))</f>
        <v>53554</v>
      </c>
      <c r="AS350" s="3">
        <f>IF(41&gt;$C350,"",IF($D350=1,EOMONTH(EDATE(Bonds!$H350,6*(41-1)),0),EDATE(Bonds!$H350,6*(41-1))))</f>
        <v>53738</v>
      </c>
      <c r="AT350" s="3">
        <f>IF(42&gt;$C350,"",IF($D350=1,EOMONTH(EDATE(Bonds!$H350,6*(42-1)),0),EDATE(Bonds!$H350,6*(42-1))))</f>
        <v>53919</v>
      </c>
      <c r="AU350" s="3">
        <f>IF(43&gt;$C350,"",IF($D350=1,EOMONTH(EDATE(Bonds!$H350,6*(43-1)),0),EDATE(Bonds!$H350,6*(43-1))))</f>
        <v>54103</v>
      </c>
      <c r="AV350" s="3">
        <f>IF(44&gt;$C350,"",IF($D350=1,EOMONTH(EDATE(Bonds!$H350,6*(44-1)),0),EDATE(Bonds!$H350,6*(44-1))))</f>
        <v>54285</v>
      </c>
      <c r="AW350" s="3">
        <f>IF(45&gt;$C350,"",IF($D350=1,EOMONTH(EDATE(Bonds!$H350,6*(45-1)),0),EDATE(Bonds!$H350,6*(45-1))))</f>
        <v>54469</v>
      </c>
      <c r="AX350" s="3">
        <f>IF(46&gt;$C350,"",IF($D350=1,EOMONTH(EDATE(Bonds!$H350,6*(46-1)),0),EDATE(Bonds!$H350,6*(46-1))))</f>
        <v>54650</v>
      </c>
      <c r="AY350" s="3">
        <f>IF(47&gt;$C350,"",IF($D350=1,EOMONTH(EDATE(Bonds!$H350,6*(47-1)),0),EDATE(Bonds!$H350,6*(47-1))))</f>
        <v>54834</v>
      </c>
      <c r="AZ350" s="3">
        <f>IF(48&gt;$C350,"",IF($D350=1,EOMONTH(EDATE(Bonds!$H350,6*(48-1)),0),EDATE(Bonds!$H350,6*(48-1))))</f>
        <v>55015</v>
      </c>
      <c r="BA350" s="3">
        <f>IF(49&gt;$C350,"",IF($D350=1,EOMONTH(EDATE(Bonds!$H350,6*(49-1)),0),EDATE(Bonds!$H350,6*(49-1))))</f>
        <v>55199</v>
      </c>
      <c r="BB350" s="3">
        <f>IF(50&gt;$C350,"",IF($D350=1,EOMONTH(EDATE(Bonds!$H350,6*(50-1)),0),EDATE(Bonds!$H350,6*(50-1))))</f>
        <v>55380</v>
      </c>
      <c r="BC350" s="3">
        <f>IF(51&gt;$C350,"",IF($D350=1,EOMONTH(EDATE(Bonds!$H350,6*(51-1)),0),EDATE(Bonds!$H350,6*(51-1))))</f>
        <v>55564</v>
      </c>
      <c r="BD350" s="3">
        <f>IF(52&gt;$C350,"",IF($D350=1,EOMONTH(EDATE(Bonds!$H350,6*(52-1)),0),EDATE(Bonds!$H350,6*(52-1))))</f>
        <v>55746</v>
      </c>
      <c r="BE350" s="3">
        <f>IF(53&gt;$C350,"",IF($D350=1,EOMONTH(EDATE(Bonds!$H350,6*(53-1)),0),EDATE(Bonds!$H350,6*(53-1))))</f>
        <v>55930</v>
      </c>
      <c r="BF350" s="3">
        <f>IF(54&gt;$C350,"",IF($D350=1,EOMONTH(EDATE(Bonds!$H350,6*(54-1)),0),EDATE(Bonds!$H350,6*(54-1))))</f>
        <v>56111</v>
      </c>
      <c r="BG350" s="3">
        <f>IF(55&gt;$C350,"",IF($D350=1,EOMONTH(EDATE(Bonds!$H350,6*(55-1)),0),EDATE(Bonds!$H350,6*(55-1))))</f>
        <v>56295</v>
      </c>
      <c r="BH350" s="3" t="str">
        <f>IF(56&gt;$C350,"",IF($D350=1,EOMONTH(EDATE(Bonds!$H350,6*(56-1)),0),EDATE(Bonds!$H350,6*(56-1))))</f>
        <v/>
      </c>
      <c r="BI350" s="3" t="str">
        <f>IF(57&gt;$C350,"",IF($D350=1,EOMONTH(EDATE(Bonds!$H350,6*(57-1)),0),EDATE(Bonds!$H350,6*(57-1))))</f>
        <v/>
      </c>
      <c r="BJ350" s="3" t="str">
        <f>IF(58&gt;$C350,"",IF($D350=1,EOMONTH(EDATE(Bonds!$H350,6*(58-1)),0),EDATE(Bonds!$H350,6*(58-1))))</f>
        <v/>
      </c>
      <c r="BK350" s="3" t="str">
        <f>IF(59&gt;$C350,"",IF($D350=1,EOMONTH(EDATE(Bonds!$H350,6*(59-1)),0),EDATE(Bonds!$H350,6*(59-1))))</f>
        <v/>
      </c>
      <c r="BL350" s="3" t="str">
        <f>IF(60&gt;$C350,"",IF($D350=1,EOMONTH(EDATE(Bonds!$H350,6*(60-1)),0),EDATE(Bonds!$H350,6*(60-1))))</f>
        <v/>
      </c>
      <c r="BN350" s="7">
        <f t="shared" si="306"/>
        <v>2.0889588998471629</v>
      </c>
      <c r="BO350" s="7">
        <f t="shared" si="307"/>
        <v>2.0449271479257001</v>
      </c>
      <c r="BP350" s="7">
        <f t="shared" si="308"/>
        <v>1.9990599791543924</v>
      </c>
      <c r="BQ350" s="7">
        <f t="shared" si="309"/>
        <v>1.9539555042599857</v>
      </c>
      <c r="BR350" s="7">
        <f t="shared" si="310"/>
        <v>1.9092532473750781</v>
      </c>
      <c r="BS350" s="7">
        <f t="shared" si="311"/>
        <v>1.8663535206610531</v>
      </c>
      <c r="BT350" s="7">
        <f t="shared" si="312"/>
        <v>1.8238019359893001</v>
      </c>
      <c r="BU350" s="7">
        <f t="shared" si="313"/>
        <v>1.7828511158755465</v>
      </c>
      <c r="BV350" s="7">
        <f t="shared" si="314"/>
        <v>1.7419725733949187</v>
      </c>
      <c r="BW350" s="7">
        <f t="shared" si="315"/>
        <v>1.7023388308782699</v>
      </c>
      <c r="BX350" s="7">
        <f t="shared" si="316"/>
        <v>1.6624990632871055</v>
      </c>
      <c r="BY350" s="7">
        <f t="shared" si="317"/>
        <v>1.6234386637862097</v>
      </c>
      <c r="BZ350" s="7">
        <f t="shared" si="318"/>
        <v>1.5842324533588186</v>
      </c>
      <c r="CA350" s="7">
        <f t="shared" si="319"/>
        <v>1.545910360283695</v>
      </c>
      <c r="CB350" s="7">
        <f t="shared" si="320"/>
        <v>1.5071958281677518</v>
      </c>
      <c r="CC350" s="7">
        <f t="shared" si="321"/>
        <v>1.4693667616204715</v>
      </c>
      <c r="CD350" s="7">
        <f t="shared" si="322"/>
        <v>1.4312015398083202</v>
      </c>
      <c r="CE350" s="7">
        <f t="shared" si="323"/>
        <v>1.3939877151279207</v>
      </c>
      <c r="CF350" s="7">
        <f t="shared" si="324"/>
        <v>1.3565429734627876</v>
      </c>
      <c r="CG350" s="7">
        <f t="shared" si="325"/>
        <v>1.3199423696976627</v>
      </c>
      <c r="CH350" s="7">
        <f t="shared" si="326"/>
        <v>1.2834376674012544</v>
      </c>
      <c r="CI350" s="7">
        <f t="shared" si="327"/>
        <v>1.248070294179096</v>
      </c>
      <c r="CJ350" s="7">
        <f t="shared" si="328"/>
        <v>1.2127194523449891</v>
      </c>
      <c r="CK350" s="7">
        <f t="shared" si="329"/>
        <v>1.1785843219558778</v>
      </c>
      <c r="CL350" s="7">
        <f t="shared" si="330"/>
        <v>1.1445759149823798</v>
      </c>
      <c r="CM350" s="7">
        <f t="shared" si="331"/>
        <v>1.1118396146669927</v>
      </c>
      <c r="CN350" s="7">
        <f t="shared" si="332"/>
        <v>1.0793219258698461</v>
      </c>
      <c r="CO350" s="7">
        <f t="shared" si="333"/>
        <v>1.0479385196083408</v>
      </c>
      <c r="CP350" s="7">
        <f t="shared" si="334"/>
        <v>1.0170204980941082</v>
      </c>
      <c r="CQ350" s="7">
        <f t="shared" si="335"/>
        <v>0.98741674151754644</v>
      </c>
      <c r="CR350" s="7">
        <f t="shared" si="336"/>
        <v>0.95815669456083152</v>
      </c>
      <c r="CS350" s="7">
        <f t="shared" si="337"/>
        <v>0.93020068338443185</v>
      </c>
      <c r="CT350" s="7">
        <f t="shared" si="338"/>
        <v>0.90262425645700117</v>
      </c>
      <c r="CU350" s="7">
        <f t="shared" si="339"/>
        <v>0.87632527440788166</v>
      </c>
      <c r="CV350" s="7">
        <f t="shared" si="340"/>
        <v>0.85042727325737721</v>
      </c>
      <c r="CW350" s="7">
        <f t="shared" si="341"/>
        <v>0.82563333880180445</v>
      </c>
      <c r="CX350" s="7">
        <f t="shared" si="342"/>
        <v>0.80138840574998604</v>
      </c>
      <c r="CY350" s="7">
        <f t="shared" si="343"/>
        <v>0.77833259453162151</v>
      </c>
      <c r="CZ350" s="7">
        <f t="shared" si="344"/>
        <v>0.75568748098883898</v>
      </c>
      <c r="DA350" s="7">
        <f t="shared" si="345"/>
        <v>0.73417612612884209</v>
      </c>
      <c r="DB350" s="7">
        <f t="shared" si="346"/>
        <v>0.71306844589038143</v>
      </c>
      <c r="DC350" s="7">
        <f t="shared" si="347"/>
        <v>0.69303507653796281</v>
      </c>
      <c r="DD350" s="7">
        <f t="shared" si="348"/>
        <v>0.67339305248470349</v>
      </c>
      <c r="DE350" s="7">
        <f t="shared" si="349"/>
        <v>0.65466273978873502</v>
      </c>
      <c r="DF350" s="7">
        <f t="shared" si="350"/>
        <v>0.63641243284648463</v>
      </c>
      <c r="DG350" s="7">
        <f t="shared" si="351"/>
        <v>0.6191126395855342</v>
      </c>
      <c r="DH350" s="7">
        <f t="shared" si="352"/>
        <v>0.60216946986996089</v>
      </c>
      <c r="DI350" s="7">
        <f t="shared" si="353"/>
        <v>0.58611540543738339</v>
      </c>
      <c r="DJ350" s="7">
        <f t="shared" si="354"/>
        <v>0.5703978747218108</v>
      </c>
      <c r="DK350" s="7">
        <f t="shared" si="355"/>
        <v>0.55550960499060142</v>
      </c>
      <c r="DL350" s="7">
        <f t="shared" si="356"/>
        <v>0.54093705207684628</v>
      </c>
      <c r="DM350" s="7">
        <f t="shared" si="357"/>
        <v>0.52706130653790273</v>
      </c>
      <c r="DN350" s="7">
        <f t="shared" si="358"/>
        <v>0.51355795086286626</v>
      </c>
      <c r="DO350" s="7">
        <f t="shared" si="359"/>
        <v>0.50077106370626323</v>
      </c>
      <c r="DP350" s="7">
        <f t="shared" si="360"/>
        <v>23.465115895519052</v>
      </c>
      <c r="DQ350" s="7">
        <f t="shared" si="361"/>
        <v>0</v>
      </c>
      <c r="DR350" s="7">
        <f t="shared" si="362"/>
        <v>0</v>
      </c>
      <c r="DS350" s="7">
        <f t="shared" si="363"/>
        <v>0</v>
      </c>
      <c r="DT350" s="7">
        <f t="shared" si="364"/>
        <v>0</v>
      </c>
      <c r="DU350" s="7">
        <f t="shared" si="365"/>
        <v>0</v>
      </c>
    </row>
    <row r="351" spans="1:125" x14ac:dyDescent="0.2">
      <c r="A351" s="3">
        <f>Bonds!A351</f>
        <v>56384</v>
      </c>
      <c r="B351" s="4">
        <f>Bonds!B351</f>
        <v>4.625</v>
      </c>
      <c r="C351">
        <f>Bonds!P351</f>
        <v>56</v>
      </c>
      <c r="D351">
        <f t="shared" si="305"/>
        <v>0</v>
      </c>
      <c r="E351" s="3">
        <f>IF(1&gt;$C351,"",IF($D351=1,EOMONTH(EDATE(Bonds!$H351,6*(1-1)),0),EDATE(Bonds!$H351,6*(1-1))))</f>
        <v>46341</v>
      </c>
      <c r="F351" s="3">
        <f>IF(2&gt;$C351,"",IF($D351=1,EOMONTH(EDATE(Bonds!$H351,6*(2-1)),0),EDATE(Bonds!$H351,6*(2-1))))</f>
        <v>46522</v>
      </c>
      <c r="G351" s="3">
        <f>IF(3&gt;$C351,"",IF($D351=1,EOMONTH(EDATE(Bonds!$H351,6*(3-1)),0),EDATE(Bonds!$H351,6*(3-1))))</f>
        <v>46706</v>
      </c>
      <c r="H351" s="3">
        <f>IF(4&gt;$C351,"",IF($D351=1,EOMONTH(EDATE(Bonds!$H351,6*(4-1)),0),EDATE(Bonds!$H351,6*(4-1))))</f>
        <v>46888</v>
      </c>
      <c r="I351" s="3">
        <f>IF(5&gt;$C351,"",IF($D351=1,EOMONTH(EDATE(Bonds!$H351,6*(5-1)),0),EDATE(Bonds!$H351,6*(5-1))))</f>
        <v>47072</v>
      </c>
      <c r="J351" s="3">
        <f>IF(6&gt;$C351,"",IF($D351=1,EOMONTH(EDATE(Bonds!$H351,6*(6-1)),0),EDATE(Bonds!$H351,6*(6-1))))</f>
        <v>47253</v>
      </c>
      <c r="K351" s="3">
        <f>IF(7&gt;$C351,"",IF($D351=1,EOMONTH(EDATE(Bonds!$H351,6*(7-1)),0),EDATE(Bonds!$H351,6*(7-1))))</f>
        <v>47437</v>
      </c>
      <c r="L351" s="3">
        <f>IF(8&gt;$C351,"",IF($D351=1,EOMONTH(EDATE(Bonds!$H351,6*(8-1)),0),EDATE(Bonds!$H351,6*(8-1))))</f>
        <v>47618</v>
      </c>
      <c r="M351" s="3">
        <f>IF(9&gt;$C351,"",IF($D351=1,EOMONTH(EDATE(Bonds!$H351,6*(9-1)),0),EDATE(Bonds!$H351,6*(9-1))))</f>
        <v>47802</v>
      </c>
      <c r="N351" s="3">
        <f>IF(10&gt;$C351,"",IF($D351=1,EOMONTH(EDATE(Bonds!$H351,6*(10-1)),0),EDATE(Bonds!$H351,6*(10-1))))</f>
        <v>47983</v>
      </c>
      <c r="O351" s="3">
        <f>IF(11&gt;$C351,"",IF($D351=1,EOMONTH(EDATE(Bonds!$H351,6*(11-1)),0),EDATE(Bonds!$H351,6*(11-1))))</f>
        <v>48167</v>
      </c>
      <c r="P351" s="3">
        <f>IF(12&gt;$C351,"",IF($D351=1,EOMONTH(EDATE(Bonds!$H351,6*(12-1)),0),EDATE(Bonds!$H351,6*(12-1))))</f>
        <v>48349</v>
      </c>
      <c r="Q351" s="3">
        <f>IF(13&gt;$C351,"",IF($D351=1,EOMONTH(EDATE(Bonds!$H351,6*(13-1)),0),EDATE(Bonds!$H351,6*(13-1))))</f>
        <v>48533</v>
      </c>
      <c r="R351" s="3">
        <f>IF(14&gt;$C351,"",IF($D351=1,EOMONTH(EDATE(Bonds!$H351,6*(14-1)),0),EDATE(Bonds!$H351,6*(14-1))))</f>
        <v>48714</v>
      </c>
      <c r="S351" s="3">
        <f>IF(15&gt;$C351,"",IF($D351=1,EOMONTH(EDATE(Bonds!$H351,6*(15-1)),0),EDATE(Bonds!$H351,6*(15-1))))</f>
        <v>48898</v>
      </c>
      <c r="T351" s="3">
        <f>IF(16&gt;$C351,"",IF($D351=1,EOMONTH(EDATE(Bonds!$H351,6*(16-1)),0),EDATE(Bonds!$H351,6*(16-1))))</f>
        <v>49079</v>
      </c>
      <c r="U351" s="3">
        <f>IF(17&gt;$C351,"",IF($D351=1,EOMONTH(EDATE(Bonds!$H351,6*(17-1)),0),EDATE(Bonds!$H351,6*(17-1))))</f>
        <v>49263</v>
      </c>
      <c r="V351" s="3">
        <f>IF(18&gt;$C351,"",IF($D351=1,EOMONTH(EDATE(Bonds!$H351,6*(18-1)),0),EDATE(Bonds!$H351,6*(18-1))))</f>
        <v>49444</v>
      </c>
      <c r="W351" s="3">
        <f>IF(19&gt;$C351,"",IF($D351=1,EOMONTH(EDATE(Bonds!$H351,6*(19-1)),0),EDATE(Bonds!$H351,6*(19-1))))</f>
        <v>49628</v>
      </c>
      <c r="X351" s="3">
        <f>IF(20&gt;$C351,"",IF($D351=1,EOMONTH(EDATE(Bonds!$H351,6*(20-1)),0),EDATE(Bonds!$H351,6*(20-1))))</f>
        <v>49810</v>
      </c>
      <c r="Y351" s="3">
        <f>IF(21&gt;$C351,"",IF($D351=1,EOMONTH(EDATE(Bonds!$H351,6*(21-1)),0),EDATE(Bonds!$H351,6*(21-1))))</f>
        <v>49994</v>
      </c>
      <c r="Z351" s="3">
        <f>IF(22&gt;$C351,"",IF($D351=1,EOMONTH(EDATE(Bonds!$H351,6*(22-1)),0),EDATE(Bonds!$H351,6*(22-1))))</f>
        <v>50175</v>
      </c>
      <c r="AA351" s="3">
        <f>IF(23&gt;$C351,"",IF($D351=1,EOMONTH(EDATE(Bonds!$H351,6*(23-1)),0),EDATE(Bonds!$H351,6*(23-1))))</f>
        <v>50359</v>
      </c>
      <c r="AB351" s="3">
        <f>IF(24&gt;$C351,"",IF($D351=1,EOMONTH(EDATE(Bonds!$H351,6*(24-1)),0),EDATE(Bonds!$H351,6*(24-1))))</f>
        <v>50540</v>
      </c>
      <c r="AC351" s="3">
        <f>IF(25&gt;$C351,"",IF($D351=1,EOMONTH(EDATE(Bonds!$H351,6*(25-1)),0),EDATE(Bonds!$H351,6*(25-1))))</f>
        <v>50724</v>
      </c>
      <c r="AD351" s="3">
        <f>IF(26&gt;$C351,"",IF($D351=1,EOMONTH(EDATE(Bonds!$H351,6*(26-1)),0),EDATE(Bonds!$H351,6*(26-1))))</f>
        <v>50905</v>
      </c>
      <c r="AE351" s="3">
        <f>IF(27&gt;$C351,"",IF($D351=1,EOMONTH(EDATE(Bonds!$H351,6*(27-1)),0),EDATE(Bonds!$H351,6*(27-1))))</f>
        <v>51089</v>
      </c>
      <c r="AF351" s="3">
        <f>IF(28&gt;$C351,"",IF($D351=1,EOMONTH(EDATE(Bonds!$H351,6*(28-1)),0),EDATE(Bonds!$H351,6*(28-1))))</f>
        <v>51271</v>
      </c>
      <c r="AG351" s="3">
        <f>IF(29&gt;$C351,"",IF($D351=1,EOMONTH(EDATE(Bonds!$H351,6*(29-1)),0),EDATE(Bonds!$H351,6*(29-1))))</f>
        <v>51455</v>
      </c>
      <c r="AH351" s="3">
        <f>IF(30&gt;$C351,"",IF($D351=1,EOMONTH(EDATE(Bonds!$H351,6*(30-1)),0),EDATE(Bonds!$H351,6*(30-1))))</f>
        <v>51636</v>
      </c>
      <c r="AI351" s="3">
        <f>IF(31&gt;$C351,"",IF($D351=1,EOMONTH(EDATE(Bonds!$H351,6*(31-1)),0),EDATE(Bonds!$H351,6*(31-1))))</f>
        <v>51820</v>
      </c>
      <c r="AJ351" s="3">
        <f>IF(32&gt;$C351,"",IF($D351=1,EOMONTH(EDATE(Bonds!$H351,6*(32-1)),0),EDATE(Bonds!$H351,6*(32-1))))</f>
        <v>52001</v>
      </c>
      <c r="AK351" s="3">
        <f>IF(33&gt;$C351,"",IF($D351=1,EOMONTH(EDATE(Bonds!$H351,6*(33-1)),0),EDATE(Bonds!$H351,6*(33-1))))</f>
        <v>52185</v>
      </c>
      <c r="AL351" s="3">
        <f>IF(34&gt;$C351,"",IF($D351=1,EOMONTH(EDATE(Bonds!$H351,6*(34-1)),0),EDATE(Bonds!$H351,6*(34-1))))</f>
        <v>52366</v>
      </c>
      <c r="AM351" s="3">
        <f>IF(35&gt;$C351,"",IF($D351=1,EOMONTH(EDATE(Bonds!$H351,6*(35-1)),0),EDATE(Bonds!$H351,6*(35-1))))</f>
        <v>52550</v>
      </c>
      <c r="AN351" s="3">
        <f>IF(36&gt;$C351,"",IF($D351=1,EOMONTH(EDATE(Bonds!$H351,6*(36-1)),0),EDATE(Bonds!$H351,6*(36-1))))</f>
        <v>52732</v>
      </c>
      <c r="AO351" s="3">
        <f>IF(37&gt;$C351,"",IF($D351=1,EOMONTH(EDATE(Bonds!$H351,6*(37-1)),0),EDATE(Bonds!$H351,6*(37-1))))</f>
        <v>52916</v>
      </c>
      <c r="AP351" s="3">
        <f>IF(38&gt;$C351,"",IF($D351=1,EOMONTH(EDATE(Bonds!$H351,6*(38-1)),0),EDATE(Bonds!$H351,6*(38-1))))</f>
        <v>53097</v>
      </c>
      <c r="AQ351" s="3">
        <f>IF(39&gt;$C351,"",IF($D351=1,EOMONTH(EDATE(Bonds!$H351,6*(39-1)),0),EDATE(Bonds!$H351,6*(39-1))))</f>
        <v>53281</v>
      </c>
      <c r="AR351" s="3">
        <f>IF(40&gt;$C351,"",IF($D351=1,EOMONTH(EDATE(Bonds!$H351,6*(40-1)),0),EDATE(Bonds!$H351,6*(40-1))))</f>
        <v>53462</v>
      </c>
      <c r="AS351" s="3">
        <f>IF(41&gt;$C351,"",IF($D351=1,EOMONTH(EDATE(Bonds!$H351,6*(41-1)),0),EDATE(Bonds!$H351,6*(41-1))))</f>
        <v>53646</v>
      </c>
      <c r="AT351" s="3">
        <f>IF(42&gt;$C351,"",IF($D351=1,EOMONTH(EDATE(Bonds!$H351,6*(42-1)),0),EDATE(Bonds!$H351,6*(42-1))))</f>
        <v>53827</v>
      </c>
      <c r="AU351" s="3">
        <f>IF(43&gt;$C351,"",IF($D351=1,EOMONTH(EDATE(Bonds!$H351,6*(43-1)),0),EDATE(Bonds!$H351,6*(43-1))))</f>
        <v>54011</v>
      </c>
      <c r="AV351" s="3">
        <f>IF(44&gt;$C351,"",IF($D351=1,EOMONTH(EDATE(Bonds!$H351,6*(44-1)),0),EDATE(Bonds!$H351,6*(44-1))))</f>
        <v>54193</v>
      </c>
      <c r="AW351" s="3">
        <f>IF(45&gt;$C351,"",IF($D351=1,EOMONTH(EDATE(Bonds!$H351,6*(45-1)),0),EDATE(Bonds!$H351,6*(45-1))))</f>
        <v>54377</v>
      </c>
      <c r="AX351" s="3">
        <f>IF(46&gt;$C351,"",IF($D351=1,EOMONTH(EDATE(Bonds!$H351,6*(46-1)),0),EDATE(Bonds!$H351,6*(46-1))))</f>
        <v>54558</v>
      </c>
      <c r="AY351" s="3">
        <f>IF(47&gt;$C351,"",IF($D351=1,EOMONTH(EDATE(Bonds!$H351,6*(47-1)),0),EDATE(Bonds!$H351,6*(47-1))))</f>
        <v>54742</v>
      </c>
      <c r="AZ351" s="3">
        <f>IF(48&gt;$C351,"",IF($D351=1,EOMONTH(EDATE(Bonds!$H351,6*(48-1)),0),EDATE(Bonds!$H351,6*(48-1))))</f>
        <v>54923</v>
      </c>
      <c r="BA351" s="3">
        <f>IF(49&gt;$C351,"",IF($D351=1,EOMONTH(EDATE(Bonds!$H351,6*(49-1)),0),EDATE(Bonds!$H351,6*(49-1))))</f>
        <v>55107</v>
      </c>
      <c r="BB351" s="3">
        <f>IF(50&gt;$C351,"",IF($D351=1,EOMONTH(EDATE(Bonds!$H351,6*(50-1)),0),EDATE(Bonds!$H351,6*(50-1))))</f>
        <v>55288</v>
      </c>
      <c r="BC351" s="3">
        <f>IF(51&gt;$C351,"",IF($D351=1,EOMONTH(EDATE(Bonds!$H351,6*(51-1)),0),EDATE(Bonds!$H351,6*(51-1))))</f>
        <v>55472</v>
      </c>
      <c r="BD351" s="3">
        <f>IF(52&gt;$C351,"",IF($D351=1,EOMONTH(EDATE(Bonds!$H351,6*(52-1)),0),EDATE(Bonds!$H351,6*(52-1))))</f>
        <v>55654</v>
      </c>
      <c r="BE351" s="3">
        <f>IF(53&gt;$C351,"",IF($D351=1,EOMONTH(EDATE(Bonds!$H351,6*(53-1)),0),EDATE(Bonds!$H351,6*(53-1))))</f>
        <v>55838</v>
      </c>
      <c r="BF351" s="3">
        <f>IF(54&gt;$C351,"",IF($D351=1,EOMONTH(EDATE(Bonds!$H351,6*(54-1)),0),EDATE(Bonds!$H351,6*(54-1))))</f>
        <v>56019</v>
      </c>
      <c r="BG351" s="3">
        <f>IF(55&gt;$C351,"",IF($D351=1,EOMONTH(EDATE(Bonds!$H351,6*(55-1)),0),EDATE(Bonds!$H351,6*(55-1))))</f>
        <v>56203</v>
      </c>
      <c r="BH351" s="3">
        <f>IF(56&gt;$C351,"",IF($D351=1,EOMONTH(EDATE(Bonds!$H351,6*(56-1)),0),EDATE(Bonds!$H351,6*(56-1))))</f>
        <v>56384</v>
      </c>
      <c r="BI351" s="3" t="str">
        <f>IF(57&gt;$C351,"",IF($D351=1,EOMONTH(EDATE(Bonds!$H351,6*(57-1)),0),EDATE(Bonds!$H351,6*(57-1))))</f>
        <v/>
      </c>
      <c r="BJ351" s="3" t="str">
        <f>IF(58&gt;$C351,"",IF($D351=1,EOMONTH(EDATE(Bonds!$H351,6*(58-1)),0),EDATE(Bonds!$H351,6*(58-1))))</f>
        <v/>
      </c>
      <c r="BK351" s="3" t="str">
        <f>IF(59&gt;$C351,"",IF($D351=1,EOMONTH(EDATE(Bonds!$H351,6*(59-1)),0),EDATE(Bonds!$H351,6*(59-1))))</f>
        <v/>
      </c>
      <c r="BL351" s="3" t="str">
        <f>IF(60&gt;$C351,"",IF($D351=1,EOMONTH(EDATE(Bonds!$H351,6*(60-1)),0),EDATE(Bonds!$H351,6*(60-1))))</f>
        <v/>
      </c>
      <c r="BN351" s="7">
        <f t="shared" si="306"/>
        <v>2.296371659762543</v>
      </c>
      <c r="BO351" s="7">
        <f t="shared" si="307"/>
        <v>2.250000028487857</v>
      </c>
      <c r="BP351" s="7">
        <f t="shared" si="308"/>
        <v>2.2004381660209886</v>
      </c>
      <c r="BQ351" s="7">
        <f t="shared" si="309"/>
        <v>2.1510832020961623</v>
      </c>
      <c r="BR351" s="7">
        <f t="shared" si="310"/>
        <v>2.1018958523248266</v>
      </c>
      <c r="BS351" s="7">
        <f t="shared" si="311"/>
        <v>2.0546146297838224</v>
      </c>
      <c r="BT351" s="7">
        <f t="shared" si="312"/>
        <v>2.0077412893692221</v>
      </c>
      <c r="BU351" s="7">
        <f t="shared" si="313"/>
        <v>1.9627016433118196</v>
      </c>
      <c r="BV351" s="7">
        <f t="shared" si="314"/>
        <v>1.9178274738335161</v>
      </c>
      <c r="BW351" s="7">
        <f t="shared" si="315"/>
        <v>1.8743999143779153</v>
      </c>
      <c r="BX351" s="7">
        <f t="shared" si="316"/>
        <v>1.8308137314441071</v>
      </c>
      <c r="BY351" s="7">
        <f t="shared" si="317"/>
        <v>1.788128734633047</v>
      </c>
      <c r="BZ351" s="7">
        <f t="shared" si="318"/>
        <v>1.7453147867725984</v>
      </c>
      <c r="CA351" s="7">
        <f t="shared" si="319"/>
        <v>1.7034795521745802</v>
      </c>
      <c r="CB351" s="7">
        <f t="shared" si="320"/>
        <v>1.6612150767175808</v>
      </c>
      <c r="CC351" s="7">
        <f t="shared" si="321"/>
        <v>1.6199053152030525</v>
      </c>
      <c r="CD351" s="7">
        <f t="shared" si="322"/>
        <v>1.5782077479337711</v>
      </c>
      <c r="CE351" s="7">
        <f t="shared" si="323"/>
        <v>1.5375233015116265</v>
      </c>
      <c r="CF351" s="7">
        <f t="shared" si="324"/>
        <v>1.4965556648661016</v>
      </c>
      <c r="CG351" s="7">
        <f t="shared" si="325"/>
        <v>1.4564788702223239</v>
      </c>
      <c r="CH351" s="7">
        <f t="shared" si="326"/>
        <v>1.4164730987103589</v>
      </c>
      <c r="CI351" s="7">
        <f t="shared" si="327"/>
        <v>1.3776805004432811</v>
      </c>
      <c r="CJ351" s="7">
        <f t="shared" si="328"/>
        <v>1.3388731095942299</v>
      </c>
      <c r="CK351" s="7">
        <f t="shared" si="329"/>
        <v>1.3013692638546404</v>
      </c>
      <c r="CL351" s="7">
        <f t="shared" si="330"/>
        <v>1.2639748291003476</v>
      </c>
      <c r="CM351" s="7">
        <f t="shared" si="331"/>
        <v>1.2279517237952282</v>
      </c>
      <c r="CN351" s="7">
        <f t="shared" si="332"/>
        <v>1.1921433412778568</v>
      </c>
      <c r="CO351" s="7">
        <f t="shared" si="333"/>
        <v>1.1575604536675552</v>
      </c>
      <c r="CP351" s="7">
        <f t="shared" si="334"/>
        <v>1.123468624797048</v>
      </c>
      <c r="CQ351" s="7">
        <f t="shared" si="335"/>
        <v>1.0908065587042135</v>
      </c>
      <c r="CR351" s="7">
        <f t="shared" si="336"/>
        <v>1.0585058666714933</v>
      </c>
      <c r="CS351" s="7">
        <f t="shared" si="337"/>
        <v>1.0276289122566582</v>
      </c>
      <c r="CT351" s="7">
        <f t="shared" si="338"/>
        <v>0.99715679323978268</v>
      </c>
      <c r="CU351" s="7">
        <f t="shared" si="339"/>
        <v>0.96808358967389407</v>
      </c>
      <c r="CV351" s="7">
        <f t="shared" si="340"/>
        <v>0.93944220493671071</v>
      </c>
      <c r="CW351" s="7">
        <f t="shared" si="341"/>
        <v>0.91201175560472636</v>
      </c>
      <c r="CX351" s="7">
        <f t="shared" si="342"/>
        <v>0.88517967878070858</v>
      </c>
      <c r="CY351" s="7">
        <f t="shared" si="343"/>
        <v>0.85965582714540645</v>
      </c>
      <c r="CZ351" s="7">
        <f t="shared" si="344"/>
        <v>0.83457969319528469</v>
      </c>
      <c r="DA351" s="7">
        <f t="shared" si="345"/>
        <v>0.8107530560897579</v>
      </c>
      <c r="DB351" s="7">
        <f t="shared" si="346"/>
        <v>0.78736825662403287</v>
      </c>
      <c r="DC351" s="7">
        <f t="shared" si="347"/>
        <v>0.76516915851986667</v>
      </c>
      <c r="DD351" s="7">
        <f t="shared" si="348"/>
        <v>0.74339976388215256</v>
      </c>
      <c r="DE351" s="7">
        <f t="shared" si="349"/>
        <v>0.72263746755313218</v>
      </c>
      <c r="DF351" s="7">
        <f t="shared" si="350"/>
        <v>0.70240436259224204</v>
      </c>
      <c r="DG351" s="7">
        <f t="shared" si="351"/>
        <v>0.68322264464965998</v>
      </c>
      <c r="DH351" s="7">
        <f t="shared" si="352"/>
        <v>0.66443430802929371</v>
      </c>
      <c r="DI351" s="7">
        <f t="shared" si="353"/>
        <v>0.64663024375201972</v>
      </c>
      <c r="DJ351" s="7">
        <f t="shared" si="354"/>
        <v>0.62919802182080287</v>
      </c>
      <c r="DK351" s="7">
        <f t="shared" si="355"/>
        <v>0.61268444310344172</v>
      </c>
      <c r="DL351" s="7">
        <f t="shared" si="356"/>
        <v>0.59652018484219271</v>
      </c>
      <c r="DM351" s="7">
        <f t="shared" si="357"/>
        <v>0.58112819710429708</v>
      </c>
      <c r="DN351" s="7">
        <f t="shared" si="358"/>
        <v>0.566148823171155</v>
      </c>
      <c r="DO351" s="7">
        <f t="shared" si="359"/>
        <v>0.55196393139934807</v>
      </c>
      <c r="DP351" s="7">
        <f t="shared" si="360"/>
        <v>0.53808288343188038</v>
      </c>
      <c r="DQ351" s="7">
        <f t="shared" si="361"/>
        <v>23.224995760693151</v>
      </c>
      <c r="DR351" s="7">
        <f t="shared" si="362"/>
        <v>0</v>
      </c>
      <c r="DS351" s="7">
        <f t="shared" si="363"/>
        <v>0</v>
      </c>
      <c r="DT351" s="7">
        <f t="shared" si="364"/>
        <v>0</v>
      </c>
      <c r="DU351" s="7">
        <f t="shared" si="365"/>
        <v>0</v>
      </c>
    </row>
    <row r="352" spans="1:125" x14ac:dyDescent="0.2">
      <c r="A352" s="3">
        <f>Bonds!A352</f>
        <v>56476</v>
      </c>
      <c r="B352" s="4">
        <f>Bonds!B352</f>
        <v>4.25</v>
      </c>
      <c r="C352">
        <f>Bonds!P352</f>
        <v>56</v>
      </c>
      <c r="D352">
        <f t="shared" si="305"/>
        <v>0</v>
      </c>
      <c r="E352" s="3">
        <f>IF(1&gt;$C352,"",IF($D352=1,EOMONTH(EDATE(Bonds!$H352,6*(1-1)),0),EDATE(Bonds!$H352,6*(1-1))))</f>
        <v>46433</v>
      </c>
      <c r="F352" s="3">
        <f>IF(2&gt;$C352,"",IF($D352=1,EOMONTH(EDATE(Bonds!$H352,6*(2-1)),0),EDATE(Bonds!$H352,6*(2-1))))</f>
        <v>46614</v>
      </c>
      <c r="G352" s="3">
        <f>IF(3&gt;$C352,"",IF($D352=1,EOMONTH(EDATE(Bonds!$H352,6*(3-1)),0),EDATE(Bonds!$H352,6*(3-1))))</f>
        <v>46798</v>
      </c>
      <c r="H352" s="3">
        <f>IF(4&gt;$C352,"",IF($D352=1,EOMONTH(EDATE(Bonds!$H352,6*(4-1)),0),EDATE(Bonds!$H352,6*(4-1))))</f>
        <v>46980</v>
      </c>
      <c r="I352" s="3">
        <f>IF(5&gt;$C352,"",IF($D352=1,EOMONTH(EDATE(Bonds!$H352,6*(5-1)),0),EDATE(Bonds!$H352,6*(5-1))))</f>
        <v>47164</v>
      </c>
      <c r="J352" s="3">
        <f>IF(6&gt;$C352,"",IF($D352=1,EOMONTH(EDATE(Bonds!$H352,6*(6-1)),0),EDATE(Bonds!$H352,6*(6-1))))</f>
        <v>47345</v>
      </c>
      <c r="K352" s="3">
        <f>IF(7&gt;$C352,"",IF($D352=1,EOMONTH(EDATE(Bonds!$H352,6*(7-1)),0),EDATE(Bonds!$H352,6*(7-1))))</f>
        <v>47529</v>
      </c>
      <c r="L352" s="3">
        <f>IF(8&gt;$C352,"",IF($D352=1,EOMONTH(EDATE(Bonds!$H352,6*(8-1)),0),EDATE(Bonds!$H352,6*(8-1))))</f>
        <v>47710</v>
      </c>
      <c r="M352" s="3">
        <f>IF(9&gt;$C352,"",IF($D352=1,EOMONTH(EDATE(Bonds!$H352,6*(9-1)),0),EDATE(Bonds!$H352,6*(9-1))))</f>
        <v>47894</v>
      </c>
      <c r="N352" s="3">
        <f>IF(10&gt;$C352,"",IF($D352=1,EOMONTH(EDATE(Bonds!$H352,6*(10-1)),0),EDATE(Bonds!$H352,6*(10-1))))</f>
        <v>48075</v>
      </c>
      <c r="O352" s="3">
        <f>IF(11&gt;$C352,"",IF($D352=1,EOMONTH(EDATE(Bonds!$H352,6*(11-1)),0),EDATE(Bonds!$H352,6*(11-1))))</f>
        <v>48259</v>
      </c>
      <c r="P352" s="3">
        <f>IF(12&gt;$C352,"",IF($D352=1,EOMONTH(EDATE(Bonds!$H352,6*(12-1)),0),EDATE(Bonds!$H352,6*(12-1))))</f>
        <v>48441</v>
      </c>
      <c r="Q352" s="3">
        <f>IF(13&gt;$C352,"",IF($D352=1,EOMONTH(EDATE(Bonds!$H352,6*(13-1)),0),EDATE(Bonds!$H352,6*(13-1))))</f>
        <v>48625</v>
      </c>
      <c r="R352" s="3">
        <f>IF(14&gt;$C352,"",IF($D352=1,EOMONTH(EDATE(Bonds!$H352,6*(14-1)),0),EDATE(Bonds!$H352,6*(14-1))))</f>
        <v>48806</v>
      </c>
      <c r="S352" s="3">
        <f>IF(15&gt;$C352,"",IF($D352=1,EOMONTH(EDATE(Bonds!$H352,6*(15-1)),0),EDATE(Bonds!$H352,6*(15-1))))</f>
        <v>48990</v>
      </c>
      <c r="T352" s="3">
        <f>IF(16&gt;$C352,"",IF($D352=1,EOMONTH(EDATE(Bonds!$H352,6*(16-1)),0),EDATE(Bonds!$H352,6*(16-1))))</f>
        <v>49171</v>
      </c>
      <c r="U352" s="3">
        <f>IF(17&gt;$C352,"",IF($D352=1,EOMONTH(EDATE(Bonds!$H352,6*(17-1)),0),EDATE(Bonds!$H352,6*(17-1))))</f>
        <v>49355</v>
      </c>
      <c r="V352" s="3">
        <f>IF(18&gt;$C352,"",IF($D352=1,EOMONTH(EDATE(Bonds!$H352,6*(18-1)),0),EDATE(Bonds!$H352,6*(18-1))))</f>
        <v>49536</v>
      </c>
      <c r="W352" s="3">
        <f>IF(19&gt;$C352,"",IF($D352=1,EOMONTH(EDATE(Bonds!$H352,6*(19-1)),0),EDATE(Bonds!$H352,6*(19-1))))</f>
        <v>49720</v>
      </c>
      <c r="X352" s="3">
        <f>IF(20&gt;$C352,"",IF($D352=1,EOMONTH(EDATE(Bonds!$H352,6*(20-1)),0),EDATE(Bonds!$H352,6*(20-1))))</f>
        <v>49902</v>
      </c>
      <c r="Y352" s="3">
        <f>IF(21&gt;$C352,"",IF($D352=1,EOMONTH(EDATE(Bonds!$H352,6*(21-1)),0),EDATE(Bonds!$H352,6*(21-1))))</f>
        <v>50086</v>
      </c>
      <c r="Z352" s="3">
        <f>IF(22&gt;$C352,"",IF($D352=1,EOMONTH(EDATE(Bonds!$H352,6*(22-1)),0),EDATE(Bonds!$H352,6*(22-1))))</f>
        <v>50267</v>
      </c>
      <c r="AA352" s="3">
        <f>IF(23&gt;$C352,"",IF($D352=1,EOMONTH(EDATE(Bonds!$H352,6*(23-1)),0),EDATE(Bonds!$H352,6*(23-1))))</f>
        <v>50451</v>
      </c>
      <c r="AB352" s="3">
        <f>IF(24&gt;$C352,"",IF($D352=1,EOMONTH(EDATE(Bonds!$H352,6*(24-1)),0),EDATE(Bonds!$H352,6*(24-1))))</f>
        <v>50632</v>
      </c>
      <c r="AC352" s="3">
        <f>IF(25&gt;$C352,"",IF($D352=1,EOMONTH(EDATE(Bonds!$H352,6*(25-1)),0),EDATE(Bonds!$H352,6*(25-1))))</f>
        <v>50816</v>
      </c>
      <c r="AD352" s="3">
        <f>IF(26&gt;$C352,"",IF($D352=1,EOMONTH(EDATE(Bonds!$H352,6*(26-1)),0),EDATE(Bonds!$H352,6*(26-1))))</f>
        <v>50997</v>
      </c>
      <c r="AE352" s="3">
        <f>IF(27&gt;$C352,"",IF($D352=1,EOMONTH(EDATE(Bonds!$H352,6*(27-1)),0),EDATE(Bonds!$H352,6*(27-1))))</f>
        <v>51181</v>
      </c>
      <c r="AF352" s="3">
        <f>IF(28&gt;$C352,"",IF($D352=1,EOMONTH(EDATE(Bonds!$H352,6*(28-1)),0),EDATE(Bonds!$H352,6*(28-1))))</f>
        <v>51363</v>
      </c>
      <c r="AG352" s="3">
        <f>IF(29&gt;$C352,"",IF($D352=1,EOMONTH(EDATE(Bonds!$H352,6*(29-1)),0),EDATE(Bonds!$H352,6*(29-1))))</f>
        <v>51547</v>
      </c>
      <c r="AH352" s="3">
        <f>IF(30&gt;$C352,"",IF($D352=1,EOMONTH(EDATE(Bonds!$H352,6*(30-1)),0),EDATE(Bonds!$H352,6*(30-1))))</f>
        <v>51728</v>
      </c>
      <c r="AI352" s="3">
        <f>IF(31&gt;$C352,"",IF($D352=1,EOMONTH(EDATE(Bonds!$H352,6*(31-1)),0),EDATE(Bonds!$H352,6*(31-1))))</f>
        <v>51912</v>
      </c>
      <c r="AJ352" s="3">
        <f>IF(32&gt;$C352,"",IF($D352=1,EOMONTH(EDATE(Bonds!$H352,6*(32-1)),0),EDATE(Bonds!$H352,6*(32-1))))</f>
        <v>52093</v>
      </c>
      <c r="AK352" s="3">
        <f>IF(33&gt;$C352,"",IF($D352=1,EOMONTH(EDATE(Bonds!$H352,6*(33-1)),0),EDATE(Bonds!$H352,6*(33-1))))</f>
        <v>52277</v>
      </c>
      <c r="AL352" s="3">
        <f>IF(34&gt;$C352,"",IF($D352=1,EOMONTH(EDATE(Bonds!$H352,6*(34-1)),0),EDATE(Bonds!$H352,6*(34-1))))</f>
        <v>52458</v>
      </c>
      <c r="AM352" s="3">
        <f>IF(35&gt;$C352,"",IF($D352=1,EOMONTH(EDATE(Bonds!$H352,6*(35-1)),0),EDATE(Bonds!$H352,6*(35-1))))</f>
        <v>52642</v>
      </c>
      <c r="AN352" s="3">
        <f>IF(36&gt;$C352,"",IF($D352=1,EOMONTH(EDATE(Bonds!$H352,6*(36-1)),0),EDATE(Bonds!$H352,6*(36-1))))</f>
        <v>52824</v>
      </c>
      <c r="AO352" s="3">
        <f>IF(37&gt;$C352,"",IF($D352=1,EOMONTH(EDATE(Bonds!$H352,6*(37-1)),0),EDATE(Bonds!$H352,6*(37-1))))</f>
        <v>53008</v>
      </c>
      <c r="AP352" s="3">
        <f>IF(38&gt;$C352,"",IF($D352=1,EOMONTH(EDATE(Bonds!$H352,6*(38-1)),0),EDATE(Bonds!$H352,6*(38-1))))</f>
        <v>53189</v>
      </c>
      <c r="AQ352" s="3">
        <f>IF(39&gt;$C352,"",IF($D352=1,EOMONTH(EDATE(Bonds!$H352,6*(39-1)),0),EDATE(Bonds!$H352,6*(39-1))))</f>
        <v>53373</v>
      </c>
      <c r="AR352" s="3">
        <f>IF(40&gt;$C352,"",IF($D352=1,EOMONTH(EDATE(Bonds!$H352,6*(40-1)),0),EDATE(Bonds!$H352,6*(40-1))))</f>
        <v>53554</v>
      </c>
      <c r="AS352" s="3">
        <f>IF(41&gt;$C352,"",IF($D352=1,EOMONTH(EDATE(Bonds!$H352,6*(41-1)),0),EDATE(Bonds!$H352,6*(41-1))))</f>
        <v>53738</v>
      </c>
      <c r="AT352" s="3">
        <f>IF(42&gt;$C352,"",IF($D352=1,EOMONTH(EDATE(Bonds!$H352,6*(42-1)),0),EDATE(Bonds!$H352,6*(42-1))))</f>
        <v>53919</v>
      </c>
      <c r="AU352" s="3">
        <f>IF(43&gt;$C352,"",IF($D352=1,EOMONTH(EDATE(Bonds!$H352,6*(43-1)),0),EDATE(Bonds!$H352,6*(43-1))))</f>
        <v>54103</v>
      </c>
      <c r="AV352" s="3">
        <f>IF(44&gt;$C352,"",IF($D352=1,EOMONTH(EDATE(Bonds!$H352,6*(44-1)),0),EDATE(Bonds!$H352,6*(44-1))))</f>
        <v>54285</v>
      </c>
      <c r="AW352" s="3">
        <f>IF(45&gt;$C352,"",IF($D352=1,EOMONTH(EDATE(Bonds!$H352,6*(45-1)),0),EDATE(Bonds!$H352,6*(45-1))))</f>
        <v>54469</v>
      </c>
      <c r="AX352" s="3">
        <f>IF(46&gt;$C352,"",IF($D352=1,EOMONTH(EDATE(Bonds!$H352,6*(46-1)),0),EDATE(Bonds!$H352,6*(46-1))))</f>
        <v>54650</v>
      </c>
      <c r="AY352" s="3">
        <f>IF(47&gt;$C352,"",IF($D352=1,EOMONTH(EDATE(Bonds!$H352,6*(47-1)),0),EDATE(Bonds!$H352,6*(47-1))))</f>
        <v>54834</v>
      </c>
      <c r="AZ352" s="3">
        <f>IF(48&gt;$C352,"",IF($D352=1,EOMONTH(EDATE(Bonds!$H352,6*(48-1)),0),EDATE(Bonds!$H352,6*(48-1))))</f>
        <v>55015</v>
      </c>
      <c r="BA352" s="3">
        <f>IF(49&gt;$C352,"",IF($D352=1,EOMONTH(EDATE(Bonds!$H352,6*(49-1)),0),EDATE(Bonds!$H352,6*(49-1))))</f>
        <v>55199</v>
      </c>
      <c r="BB352" s="3">
        <f>IF(50&gt;$C352,"",IF($D352=1,EOMONTH(EDATE(Bonds!$H352,6*(50-1)),0),EDATE(Bonds!$H352,6*(50-1))))</f>
        <v>55380</v>
      </c>
      <c r="BC352" s="3">
        <f>IF(51&gt;$C352,"",IF($D352=1,EOMONTH(EDATE(Bonds!$H352,6*(51-1)),0),EDATE(Bonds!$H352,6*(51-1))))</f>
        <v>55564</v>
      </c>
      <c r="BD352" s="3">
        <f>IF(52&gt;$C352,"",IF($D352=1,EOMONTH(EDATE(Bonds!$H352,6*(52-1)),0),EDATE(Bonds!$H352,6*(52-1))))</f>
        <v>55746</v>
      </c>
      <c r="BE352" s="3">
        <f>IF(53&gt;$C352,"",IF($D352=1,EOMONTH(EDATE(Bonds!$H352,6*(53-1)),0),EDATE(Bonds!$H352,6*(53-1))))</f>
        <v>55930</v>
      </c>
      <c r="BF352" s="3">
        <f>IF(54&gt;$C352,"",IF($D352=1,EOMONTH(EDATE(Bonds!$H352,6*(54-1)),0),EDATE(Bonds!$H352,6*(54-1))))</f>
        <v>56111</v>
      </c>
      <c r="BG352" s="3">
        <f>IF(55&gt;$C352,"",IF($D352=1,EOMONTH(EDATE(Bonds!$H352,6*(55-1)),0),EDATE(Bonds!$H352,6*(55-1))))</f>
        <v>56295</v>
      </c>
      <c r="BH352" s="3">
        <f>IF(56&gt;$C352,"",IF($D352=1,EOMONTH(EDATE(Bonds!$H352,6*(56-1)),0),EDATE(Bonds!$H352,6*(56-1))))</f>
        <v>56476</v>
      </c>
      <c r="BI352" s="3" t="str">
        <f>IF(57&gt;$C352,"",IF($D352=1,EOMONTH(EDATE(Bonds!$H352,6*(57-1)),0),EDATE(Bonds!$H352,6*(57-1))))</f>
        <v/>
      </c>
      <c r="BJ352" s="3" t="str">
        <f>IF(58&gt;$C352,"",IF($D352=1,EOMONTH(EDATE(Bonds!$H352,6*(58-1)),0),EDATE(Bonds!$H352,6*(58-1))))</f>
        <v/>
      </c>
      <c r="BK352" s="3" t="str">
        <f>IF(59&gt;$C352,"",IF($D352=1,EOMONTH(EDATE(Bonds!$H352,6*(59-1)),0),EDATE(Bonds!$H352,6*(59-1))))</f>
        <v/>
      </c>
      <c r="BL352" s="3" t="str">
        <f>IF(60&gt;$C352,"",IF($D352=1,EOMONTH(EDATE(Bonds!$H352,6*(60-1)),0),EDATE(Bonds!$H352,6*(60-1))))</f>
        <v/>
      </c>
      <c r="BN352" s="7">
        <f t="shared" si="306"/>
        <v>2.0889588998471629</v>
      </c>
      <c r="BO352" s="7">
        <f t="shared" si="307"/>
        <v>2.0449271479257001</v>
      </c>
      <c r="BP352" s="7">
        <f t="shared" si="308"/>
        <v>1.9990599791543924</v>
      </c>
      <c r="BQ352" s="7">
        <f t="shared" si="309"/>
        <v>1.9539555042599857</v>
      </c>
      <c r="BR352" s="7">
        <f t="shared" si="310"/>
        <v>1.9092532473750781</v>
      </c>
      <c r="BS352" s="7">
        <f t="shared" si="311"/>
        <v>1.8663535206610531</v>
      </c>
      <c r="BT352" s="7">
        <f t="shared" si="312"/>
        <v>1.8238019359893001</v>
      </c>
      <c r="BU352" s="7">
        <f t="shared" si="313"/>
        <v>1.7828511158755465</v>
      </c>
      <c r="BV352" s="7">
        <f t="shared" si="314"/>
        <v>1.7419725733949187</v>
      </c>
      <c r="BW352" s="7">
        <f t="shared" si="315"/>
        <v>1.7023388308782699</v>
      </c>
      <c r="BX352" s="7">
        <f t="shared" si="316"/>
        <v>1.6624990632871055</v>
      </c>
      <c r="BY352" s="7">
        <f t="shared" si="317"/>
        <v>1.6234386637862097</v>
      </c>
      <c r="BZ352" s="7">
        <f t="shared" si="318"/>
        <v>1.5842324533588186</v>
      </c>
      <c r="CA352" s="7">
        <f t="shared" si="319"/>
        <v>1.545910360283695</v>
      </c>
      <c r="CB352" s="7">
        <f t="shared" si="320"/>
        <v>1.5071958281677518</v>
      </c>
      <c r="CC352" s="7">
        <f t="shared" si="321"/>
        <v>1.4693667616204715</v>
      </c>
      <c r="CD352" s="7">
        <f t="shared" si="322"/>
        <v>1.4312015398083202</v>
      </c>
      <c r="CE352" s="7">
        <f t="shared" si="323"/>
        <v>1.3939877151279207</v>
      </c>
      <c r="CF352" s="7">
        <f t="shared" si="324"/>
        <v>1.3565429734627876</v>
      </c>
      <c r="CG352" s="7">
        <f t="shared" si="325"/>
        <v>1.3199423696976627</v>
      </c>
      <c r="CH352" s="7">
        <f t="shared" si="326"/>
        <v>1.2834376674012544</v>
      </c>
      <c r="CI352" s="7">
        <f t="shared" si="327"/>
        <v>1.248070294179096</v>
      </c>
      <c r="CJ352" s="7">
        <f t="shared" si="328"/>
        <v>1.2127194523449891</v>
      </c>
      <c r="CK352" s="7">
        <f t="shared" si="329"/>
        <v>1.1785843219558778</v>
      </c>
      <c r="CL352" s="7">
        <f t="shared" si="330"/>
        <v>1.1445759149823798</v>
      </c>
      <c r="CM352" s="7">
        <f t="shared" si="331"/>
        <v>1.1118396146669927</v>
      </c>
      <c r="CN352" s="7">
        <f t="shared" si="332"/>
        <v>1.0793219258698461</v>
      </c>
      <c r="CO352" s="7">
        <f t="shared" si="333"/>
        <v>1.0479385196083408</v>
      </c>
      <c r="CP352" s="7">
        <f t="shared" si="334"/>
        <v>1.0170204980941082</v>
      </c>
      <c r="CQ352" s="7">
        <f t="shared" si="335"/>
        <v>0.98741674151754644</v>
      </c>
      <c r="CR352" s="7">
        <f t="shared" si="336"/>
        <v>0.95815669456083152</v>
      </c>
      <c r="CS352" s="7">
        <f t="shared" si="337"/>
        <v>0.93020068338443185</v>
      </c>
      <c r="CT352" s="7">
        <f t="shared" si="338"/>
        <v>0.90262425645700117</v>
      </c>
      <c r="CU352" s="7">
        <f t="shared" si="339"/>
        <v>0.87632527440788166</v>
      </c>
      <c r="CV352" s="7">
        <f t="shared" si="340"/>
        <v>0.85042727325737721</v>
      </c>
      <c r="CW352" s="7">
        <f t="shared" si="341"/>
        <v>0.82563333880180445</v>
      </c>
      <c r="CX352" s="7">
        <f t="shared" si="342"/>
        <v>0.80138840574998604</v>
      </c>
      <c r="CY352" s="7">
        <f t="shared" si="343"/>
        <v>0.77833259453162151</v>
      </c>
      <c r="CZ352" s="7">
        <f t="shared" si="344"/>
        <v>0.75568748098883898</v>
      </c>
      <c r="DA352" s="7">
        <f t="shared" si="345"/>
        <v>0.73417612612884209</v>
      </c>
      <c r="DB352" s="7">
        <f t="shared" si="346"/>
        <v>0.71306844589038143</v>
      </c>
      <c r="DC352" s="7">
        <f t="shared" si="347"/>
        <v>0.69303507653796281</v>
      </c>
      <c r="DD352" s="7">
        <f t="shared" si="348"/>
        <v>0.67339305248470349</v>
      </c>
      <c r="DE352" s="7">
        <f t="shared" si="349"/>
        <v>0.65466273978873502</v>
      </c>
      <c r="DF352" s="7">
        <f t="shared" si="350"/>
        <v>0.63641243284648463</v>
      </c>
      <c r="DG352" s="7">
        <f t="shared" si="351"/>
        <v>0.6191126395855342</v>
      </c>
      <c r="DH352" s="7">
        <f t="shared" si="352"/>
        <v>0.60216946986996089</v>
      </c>
      <c r="DI352" s="7">
        <f t="shared" si="353"/>
        <v>0.58611540543738339</v>
      </c>
      <c r="DJ352" s="7">
        <f t="shared" si="354"/>
        <v>0.5703978747218108</v>
      </c>
      <c r="DK352" s="7">
        <f t="shared" si="355"/>
        <v>0.55550960499060142</v>
      </c>
      <c r="DL352" s="7">
        <f t="shared" si="356"/>
        <v>0.54093705207684628</v>
      </c>
      <c r="DM352" s="7">
        <f t="shared" si="357"/>
        <v>0.52706130653790273</v>
      </c>
      <c r="DN352" s="7">
        <f t="shared" si="358"/>
        <v>0.51355795086286626</v>
      </c>
      <c r="DO352" s="7">
        <f t="shared" si="359"/>
        <v>0.50077106370626323</v>
      </c>
      <c r="DP352" s="7">
        <f t="shared" si="360"/>
        <v>0.48825822548815651</v>
      </c>
      <c r="DQ352" s="7">
        <f t="shared" si="361"/>
        <v>22.895693001993397</v>
      </c>
      <c r="DR352" s="7">
        <f t="shared" si="362"/>
        <v>0</v>
      </c>
      <c r="DS352" s="7">
        <f t="shared" si="363"/>
        <v>0</v>
      </c>
      <c r="DT352" s="7">
        <f t="shared" si="364"/>
        <v>0</v>
      </c>
      <c r="DU352" s="7">
        <f t="shared" si="365"/>
        <v>0</v>
      </c>
    </row>
    <row r="353" spans="1:125" x14ac:dyDescent="0.2">
      <c r="A353" s="3">
        <f>Bonds!A353</f>
        <v>56568</v>
      </c>
      <c r="B353" s="4">
        <f>Bonds!B353</f>
        <v>4.5</v>
      </c>
      <c r="C353">
        <f>Bonds!P353</f>
        <v>57</v>
      </c>
      <c r="D353">
        <f t="shared" si="305"/>
        <v>0</v>
      </c>
      <c r="E353" s="3">
        <f>IF(1&gt;$C353,"",IF($D353=1,EOMONTH(EDATE(Bonds!$H353,6*(1-1)),0),EDATE(Bonds!$H353,6*(1-1))))</f>
        <v>46341</v>
      </c>
      <c r="F353" s="3">
        <f>IF(2&gt;$C353,"",IF($D353=1,EOMONTH(EDATE(Bonds!$H353,6*(2-1)),0),EDATE(Bonds!$H353,6*(2-1))))</f>
        <v>46522</v>
      </c>
      <c r="G353" s="3">
        <f>IF(3&gt;$C353,"",IF($D353=1,EOMONTH(EDATE(Bonds!$H353,6*(3-1)),0),EDATE(Bonds!$H353,6*(3-1))))</f>
        <v>46706</v>
      </c>
      <c r="H353" s="3">
        <f>IF(4&gt;$C353,"",IF($D353=1,EOMONTH(EDATE(Bonds!$H353,6*(4-1)),0),EDATE(Bonds!$H353,6*(4-1))))</f>
        <v>46888</v>
      </c>
      <c r="I353" s="3">
        <f>IF(5&gt;$C353,"",IF($D353=1,EOMONTH(EDATE(Bonds!$H353,6*(5-1)),0),EDATE(Bonds!$H353,6*(5-1))))</f>
        <v>47072</v>
      </c>
      <c r="J353" s="3">
        <f>IF(6&gt;$C353,"",IF($D353=1,EOMONTH(EDATE(Bonds!$H353,6*(6-1)),0),EDATE(Bonds!$H353,6*(6-1))))</f>
        <v>47253</v>
      </c>
      <c r="K353" s="3">
        <f>IF(7&gt;$C353,"",IF($D353=1,EOMONTH(EDATE(Bonds!$H353,6*(7-1)),0),EDATE(Bonds!$H353,6*(7-1))))</f>
        <v>47437</v>
      </c>
      <c r="L353" s="3">
        <f>IF(8&gt;$C353,"",IF($D353=1,EOMONTH(EDATE(Bonds!$H353,6*(8-1)),0),EDATE(Bonds!$H353,6*(8-1))))</f>
        <v>47618</v>
      </c>
      <c r="M353" s="3">
        <f>IF(9&gt;$C353,"",IF($D353=1,EOMONTH(EDATE(Bonds!$H353,6*(9-1)),0),EDATE(Bonds!$H353,6*(9-1))))</f>
        <v>47802</v>
      </c>
      <c r="N353" s="3">
        <f>IF(10&gt;$C353,"",IF($D353=1,EOMONTH(EDATE(Bonds!$H353,6*(10-1)),0),EDATE(Bonds!$H353,6*(10-1))))</f>
        <v>47983</v>
      </c>
      <c r="O353" s="3">
        <f>IF(11&gt;$C353,"",IF($D353=1,EOMONTH(EDATE(Bonds!$H353,6*(11-1)),0),EDATE(Bonds!$H353,6*(11-1))))</f>
        <v>48167</v>
      </c>
      <c r="P353" s="3">
        <f>IF(12&gt;$C353,"",IF($D353=1,EOMONTH(EDATE(Bonds!$H353,6*(12-1)),0),EDATE(Bonds!$H353,6*(12-1))))</f>
        <v>48349</v>
      </c>
      <c r="Q353" s="3">
        <f>IF(13&gt;$C353,"",IF($D353=1,EOMONTH(EDATE(Bonds!$H353,6*(13-1)),0),EDATE(Bonds!$H353,6*(13-1))))</f>
        <v>48533</v>
      </c>
      <c r="R353" s="3">
        <f>IF(14&gt;$C353,"",IF($D353=1,EOMONTH(EDATE(Bonds!$H353,6*(14-1)),0),EDATE(Bonds!$H353,6*(14-1))))</f>
        <v>48714</v>
      </c>
      <c r="S353" s="3">
        <f>IF(15&gt;$C353,"",IF($D353=1,EOMONTH(EDATE(Bonds!$H353,6*(15-1)),0),EDATE(Bonds!$H353,6*(15-1))))</f>
        <v>48898</v>
      </c>
      <c r="T353" s="3">
        <f>IF(16&gt;$C353,"",IF($D353=1,EOMONTH(EDATE(Bonds!$H353,6*(16-1)),0),EDATE(Bonds!$H353,6*(16-1))))</f>
        <v>49079</v>
      </c>
      <c r="U353" s="3">
        <f>IF(17&gt;$C353,"",IF($D353=1,EOMONTH(EDATE(Bonds!$H353,6*(17-1)),0),EDATE(Bonds!$H353,6*(17-1))))</f>
        <v>49263</v>
      </c>
      <c r="V353" s="3">
        <f>IF(18&gt;$C353,"",IF($D353=1,EOMONTH(EDATE(Bonds!$H353,6*(18-1)),0),EDATE(Bonds!$H353,6*(18-1))))</f>
        <v>49444</v>
      </c>
      <c r="W353" s="3">
        <f>IF(19&gt;$C353,"",IF($D353=1,EOMONTH(EDATE(Bonds!$H353,6*(19-1)),0),EDATE(Bonds!$H353,6*(19-1))))</f>
        <v>49628</v>
      </c>
      <c r="X353" s="3">
        <f>IF(20&gt;$C353,"",IF($D353=1,EOMONTH(EDATE(Bonds!$H353,6*(20-1)),0),EDATE(Bonds!$H353,6*(20-1))))</f>
        <v>49810</v>
      </c>
      <c r="Y353" s="3">
        <f>IF(21&gt;$C353,"",IF($D353=1,EOMONTH(EDATE(Bonds!$H353,6*(21-1)),0),EDATE(Bonds!$H353,6*(21-1))))</f>
        <v>49994</v>
      </c>
      <c r="Z353" s="3">
        <f>IF(22&gt;$C353,"",IF($D353=1,EOMONTH(EDATE(Bonds!$H353,6*(22-1)),0),EDATE(Bonds!$H353,6*(22-1))))</f>
        <v>50175</v>
      </c>
      <c r="AA353" s="3">
        <f>IF(23&gt;$C353,"",IF($D353=1,EOMONTH(EDATE(Bonds!$H353,6*(23-1)),0),EDATE(Bonds!$H353,6*(23-1))))</f>
        <v>50359</v>
      </c>
      <c r="AB353" s="3">
        <f>IF(24&gt;$C353,"",IF($D353=1,EOMONTH(EDATE(Bonds!$H353,6*(24-1)),0),EDATE(Bonds!$H353,6*(24-1))))</f>
        <v>50540</v>
      </c>
      <c r="AC353" s="3">
        <f>IF(25&gt;$C353,"",IF($D353=1,EOMONTH(EDATE(Bonds!$H353,6*(25-1)),0),EDATE(Bonds!$H353,6*(25-1))))</f>
        <v>50724</v>
      </c>
      <c r="AD353" s="3">
        <f>IF(26&gt;$C353,"",IF($D353=1,EOMONTH(EDATE(Bonds!$H353,6*(26-1)),0),EDATE(Bonds!$H353,6*(26-1))))</f>
        <v>50905</v>
      </c>
      <c r="AE353" s="3">
        <f>IF(27&gt;$C353,"",IF($D353=1,EOMONTH(EDATE(Bonds!$H353,6*(27-1)),0),EDATE(Bonds!$H353,6*(27-1))))</f>
        <v>51089</v>
      </c>
      <c r="AF353" s="3">
        <f>IF(28&gt;$C353,"",IF($D353=1,EOMONTH(EDATE(Bonds!$H353,6*(28-1)),0),EDATE(Bonds!$H353,6*(28-1))))</f>
        <v>51271</v>
      </c>
      <c r="AG353" s="3">
        <f>IF(29&gt;$C353,"",IF($D353=1,EOMONTH(EDATE(Bonds!$H353,6*(29-1)),0),EDATE(Bonds!$H353,6*(29-1))))</f>
        <v>51455</v>
      </c>
      <c r="AH353" s="3">
        <f>IF(30&gt;$C353,"",IF($D353=1,EOMONTH(EDATE(Bonds!$H353,6*(30-1)),0),EDATE(Bonds!$H353,6*(30-1))))</f>
        <v>51636</v>
      </c>
      <c r="AI353" s="3">
        <f>IF(31&gt;$C353,"",IF($D353=1,EOMONTH(EDATE(Bonds!$H353,6*(31-1)),0),EDATE(Bonds!$H353,6*(31-1))))</f>
        <v>51820</v>
      </c>
      <c r="AJ353" s="3">
        <f>IF(32&gt;$C353,"",IF($D353=1,EOMONTH(EDATE(Bonds!$H353,6*(32-1)),0),EDATE(Bonds!$H353,6*(32-1))))</f>
        <v>52001</v>
      </c>
      <c r="AK353" s="3">
        <f>IF(33&gt;$C353,"",IF($D353=1,EOMONTH(EDATE(Bonds!$H353,6*(33-1)),0),EDATE(Bonds!$H353,6*(33-1))))</f>
        <v>52185</v>
      </c>
      <c r="AL353" s="3">
        <f>IF(34&gt;$C353,"",IF($D353=1,EOMONTH(EDATE(Bonds!$H353,6*(34-1)),0),EDATE(Bonds!$H353,6*(34-1))))</f>
        <v>52366</v>
      </c>
      <c r="AM353" s="3">
        <f>IF(35&gt;$C353,"",IF($D353=1,EOMONTH(EDATE(Bonds!$H353,6*(35-1)),0),EDATE(Bonds!$H353,6*(35-1))))</f>
        <v>52550</v>
      </c>
      <c r="AN353" s="3">
        <f>IF(36&gt;$C353,"",IF($D353=1,EOMONTH(EDATE(Bonds!$H353,6*(36-1)),0),EDATE(Bonds!$H353,6*(36-1))))</f>
        <v>52732</v>
      </c>
      <c r="AO353" s="3">
        <f>IF(37&gt;$C353,"",IF($D353=1,EOMONTH(EDATE(Bonds!$H353,6*(37-1)),0),EDATE(Bonds!$H353,6*(37-1))))</f>
        <v>52916</v>
      </c>
      <c r="AP353" s="3">
        <f>IF(38&gt;$C353,"",IF($D353=1,EOMONTH(EDATE(Bonds!$H353,6*(38-1)),0),EDATE(Bonds!$H353,6*(38-1))))</f>
        <v>53097</v>
      </c>
      <c r="AQ353" s="3">
        <f>IF(39&gt;$C353,"",IF($D353=1,EOMONTH(EDATE(Bonds!$H353,6*(39-1)),0),EDATE(Bonds!$H353,6*(39-1))))</f>
        <v>53281</v>
      </c>
      <c r="AR353" s="3">
        <f>IF(40&gt;$C353,"",IF($D353=1,EOMONTH(EDATE(Bonds!$H353,6*(40-1)),0),EDATE(Bonds!$H353,6*(40-1))))</f>
        <v>53462</v>
      </c>
      <c r="AS353" s="3">
        <f>IF(41&gt;$C353,"",IF($D353=1,EOMONTH(EDATE(Bonds!$H353,6*(41-1)),0),EDATE(Bonds!$H353,6*(41-1))))</f>
        <v>53646</v>
      </c>
      <c r="AT353" s="3">
        <f>IF(42&gt;$C353,"",IF($D353=1,EOMONTH(EDATE(Bonds!$H353,6*(42-1)),0),EDATE(Bonds!$H353,6*(42-1))))</f>
        <v>53827</v>
      </c>
      <c r="AU353" s="3">
        <f>IF(43&gt;$C353,"",IF($D353=1,EOMONTH(EDATE(Bonds!$H353,6*(43-1)),0),EDATE(Bonds!$H353,6*(43-1))))</f>
        <v>54011</v>
      </c>
      <c r="AV353" s="3">
        <f>IF(44&gt;$C353,"",IF($D353=1,EOMONTH(EDATE(Bonds!$H353,6*(44-1)),0),EDATE(Bonds!$H353,6*(44-1))))</f>
        <v>54193</v>
      </c>
      <c r="AW353" s="3">
        <f>IF(45&gt;$C353,"",IF($D353=1,EOMONTH(EDATE(Bonds!$H353,6*(45-1)),0),EDATE(Bonds!$H353,6*(45-1))))</f>
        <v>54377</v>
      </c>
      <c r="AX353" s="3">
        <f>IF(46&gt;$C353,"",IF($D353=1,EOMONTH(EDATE(Bonds!$H353,6*(46-1)),0),EDATE(Bonds!$H353,6*(46-1))))</f>
        <v>54558</v>
      </c>
      <c r="AY353" s="3">
        <f>IF(47&gt;$C353,"",IF($D353=1,EOMONTH(EDATE(Bonds!$H353,6*(47-1)),0),EDATE(Bonds!$H353,6*(47-1))))</f>
        <v>54742</v>
      </c>
      <c r="AZ353" s="3">
        <f>IF(48&gt;$C353,"",IF($D353=1,EOMONTH(EDATE(Bonds!$H353,6*(48-1)),0),EDATE(Bonds!$H353,6*(48-1))))</f>
        <v>54923</v>
      </c>
      <c r="BA353" s="3">
        <f>IF(49&gt;$C353,"",IF($D353=1,EOMONTH(EDATE(Bonds!$H353,6*(49-1)),0),EDATE(Bonds!$H353,6*(49-1))))</f>
        <v>55107</v>
      </c>
      <c r="BB353" s="3">
        <f>IF(50&gt;$C353,"",IF($D353=1,EOMONTH(EDATE(Bonds!$H353,6*(50-1)),0),EDATE(Bonds!$H353,6*(50-1))))</f>
        <v>55288</v>
      </c>
      <c r="BC353" s="3">
        <f>IF(51&gt;$C353,"",IF($D353=1,EOMONTH(EDATE(Bonds!$H353,6*(51-1)),0),EDATE(Bonds!$H353,6*(51-1))))</f>
        <v>55472</v>
      </c>
      <c r="BD353" s="3">
        <f>IF(52&gt;$C353,"",IF($D353=1,EOMONTH(EDATE(Bonds!$H353,6*(52-1)),0),EDATE(Bonds!$H353,6*(52-1))))</f>
        <v>55654</v>
      </c>
      <c r="BE353" s="3">
        <f>IF(53&gt;$C353,"",IF($D353=1,EOMONTH(EDATE(Bonds!$H353,6*(53-1)),0),EDATE(Bonds!$H353,6*(53-1))))</f>
        <v>55838</v>
      </c>
      <c r="BF353" s="3">
        <f>IF(54&gt;$C353,"",IF($D353=1,EOMONTH(EDATE(Bonds!$H353,6*(54-1)),0),EDATE(Bonds!$H353,6*(54-1))))</f>
        <v>56019</v>
      </c>
      <c r="BG353" s="3">
        <f>IF(55&gt;$C353,"",IF($D353=1,EOMONTH(EDATE(Bonds!$H353,6*(55-1)),0),EDATE(Bonds!$H353,6*(55-1))))</f>
        <v>56203</v>
      </c>
      <c r="BH353" s="3">
        <f>IF(56&gt;$C353,"",IF($D353=1,EOMONTH(EDATE(Bonds!$H353,6*(56-1)),0),EDATE(Bonds!$H353,6*(56-1))))</f>
        <v>56384</v>
      </c>
      <c r="BI353" s="3">
        <f>IF(57&gt;$C353,"",IF($D353=1,EOMONTH(EDATE(Bonds!$H353,6*(57-1)),0),EDATE(Bonds!$H353,6*(57-1))))</f>
        <v>56568</v>
      </c>
      <c r="BJ353" s="3" t="str">
        <f>IF(58&gt;$C353,"",IF($D353=1,EOMONTH(EDATE(Bonds!$H353,6*(58-1)),0),EDATE(Bonds!$H353,6*(58-1))))</f>
        <v/>
      </c>
      <c r="BK353" s="3" t="str">
        <f>IF(59&gt;$C353,"",IF($D353=1,EOMONTH(EDATE(Bonds!$H353,6*(59-1)),0),EDATE(Bonds!$H353,6*(59-1))))</f>
        <v/>
      </c>
      <c r="BL353" s="3" t="str">
        <f>IF(60&gt;$C353,"",IF($D353=1,EOMONTH(EDATE(Bonds!$H353,6*(60-1)),0),EDATE(Bonds!$H353,6*(60-1))))</f>
        <v/>
      </c>
      <c r="BN353" s="7">
        <f t="shared" si="306"/>
        <v>2.2343075608500418</v>
      </c>
      <c r="BO353" s="7">
        <f t="shared" si="307"/>
        <v>2.1891892169071041</v>
      </c>
      <c r="BP353" s="7">
        <f t="shared" si="308"/>
        <v>2.1409668642366375</v>
      </c>
      <c r="BQ353" s="7">
        <f t="shared" si="309"/>
        <v>2.0929458182557257</v>
      </c>
      <c r="BR353" s="7">
        <f t="shared" si="310"/>
        <v>2.0450878563160475</v>
      </c>
      <c r="BS353" s="7">
        <f t="shared" si="311"/>
        <v>1.99908450465453</v>
      </c>
      <c r="BT353" s="7">
        <f t="shared" si="312"/>
        <v>1.953478011278162</v>
      </c>
      <c r="BU353" s="7">
        <f t="shared" si="313"/>
        <v>1.9096556529520408</v>
      </c>
      <c r="BV353" s="7">
        <f t="shared" si="314"/>
        <v>1.8659942988650426</v>
      </c>
      <c r="BW353" s="7">
        <f t="shared" si="315"/>
        <v>1.8237404572325664</v>
      </c>
      <c r="BX353" s="7">
        <f t="shared" si="316"/>
        <v>1.7813322792429152</v>
      </c>
      <c r="BY353" s="7">
        <f t="shared" si="317"/>
        <v>1.7398009309943161</v>
      </c>
      <c r="BZ353" s="7">
        <f t="shared" si="318"/>
        <v>1.6981441168598255</v>
      </c>
      <c r="CA353" s="7">
        <f t="shared" si="319"/>
        <v>1.65743956427797</v>
      </c>
      <c r="CB353" s="7">
        <f t="shared" si="320"/>
        <v>1.6163173719414301</v>
      </c>
      <c r="CC353" s="7">
        <f t="shared" si="321"/>
        <v>1.5761240904678349</v>
      </c>
      <c r="CD353" s="7">
        <f t="shared" si="322"/>
        <v>1.5355534844761016</v>
      </c>
      <c r="CE353" s="7">
        <f t="shared" si="323"/>
        <v>1.495968617686988</v>
      </c>
      <c r="CF353" s="7">
        <f t="shared" si="324"/>
        <v>1.4561082144643152</v>
      </c>
      <c r="CG353" s="7">
        <f t="shared" si="325"/>
        <v>1.4171145764325315</v>
      </c>
      <c r="CH353" s="7">
        <f t="shared" si="326"/>
        <v>1.3781900419884572</v>
      </c>
      <c r="CI353" s="7">
        <f t="shared" si="327"/>
        <v>1.3404458923231923</v>
      </c>
      <c r="CJ353" s="7">
        <f t="shared" si="328"/>
        <v>1.302687349875467</v>
      </c>
      <c r="CK353" s="7">
        <f t="shared" si="329"/>
        <v>1.2661971215882988</v>
      </c>
      <c r="CL353" s="7">
        <f t="shared" si="330"/>
        <v>1.2298133472327706</v>
      </c>
      <c r="CM353" s="7">
        <f t="shared" si="331"/>
        <v>1.1947638393683302</v>
      </c>
      <c r="CN353" s="7">
        <f t="shared" si="332"/>
        <v>1.1599232509730499</v>
      </c>
      <c r="CO353" s="7">
        <f t="shared" si="333"/>
        <v>1.1262750360008646</v>
      </c>
      <c r="CP353" s="7">
        <f t="shared" si="334"/>
        <v>1.0931046079106412</v>
      </c>
      <c r="CQ353" s="7">
        <f t="shared" si="335"/>
        <v>1.0613253003608565</v>
      </c>
      <c r="CR353" s="7">
        <f t="shared" si="336"/>
        <v>1.0298976000046962</v>
      </c>
      <c r="CS353" s="7">
        <f t="shared" si="337"/>
        <v>0.99985515787134316</v>
      </c>
      <c r="CT353" s="7">
        <f t="shared" si="338"/>
        <v>0.97020660963870742</v>
      </c>
      <c r="CU353" s="7">
        <f t="shared" si="339"/>
        <v>0.94191916833135647</v>
      </c>
      <c r="CV353" s="7">
        <f t="shared" si="340"/>
        <v>0.91405187507355634</v>
      </c>
      <c r="CW353" s="7">
        <f t="shared" si="341"/>
        <v>0.88736278923703105</v>
      </c>
      <c r="CX353" s="7">
        <f t="shared" si="342"/>
        <v>0.86125590367852722</v>
      </c>
      <c r="CY353" s="7">
        <f t="shared" si="343"/>
        <v>0.83642188587120625</v>
      </c>
      <c r="CZ353" s="7">
        <f t="shared" si="344"/>
        <v>0.81202348527108781</v>
      </c>
      <c r="DA353" s="7">
        <f t="shared" si="345"/>
        <v>0.78884081133057515</v>
      </c>
      <c r="DB353" s="7">
        <f t="shared" si="346"/>
        <v>0.76608803347203203</v>
      </c>
      <c r="DC353" s="7">
        <f t="shared" si="347"/>
        <v>0.74448891099230274</v>
      </c>
      <c r="DD353" s="7">
        <f t="shared" si="348"/>
        <v>0.72330787837182409</v>
      </c>
      <c r="DE353" s="7">
        <f t="shared" si="349"/>
        <v>0.70310672518683126</v>
      </c>
      <c r="DF353" s="7">
        <f t="shared" si="350"/>
        <v>0.68342046090055975</v>
      </c>
      <c r="DG353" s="7">
        <f t="shared" si="351"/>
        <v>0.66475716776723681</v>
      </c>
      <c r="DH353" s="7">
        <f t="shared" si="352"/>
        <v>0.64647662402850203</v>
      </c>
      <c r="DI353" s="7">
        <f t="shared" si="353"/>
        <v>0.62915375067764079</v>
      </c>
      <c r="DJ353" s="7">
        <f t="shared" si="354"/>
        <v>0.61219266987970011</v>
      </c>
      <c r="DK353" s="7">
        <f t="shared" si="355"/>
        <v>0.59612540410064607</v>
      </c>
      <c r="DL353" s="7">
        <f t="shared" si="356"/>
        <v>0.58039801768429566</v>
      </c>
      <c r="DM353" s="7">
        <f t="shared" si="357"/>
        <v>0.56542202961499166</v>
      </c>
      <c r="DN353" s="7">
        <f t="shared" si="358"/>
        <v>0.55084750362598867</v>
      </c>
      <c r="DO353" s="7">
        <f t="shared" si="359"/>
        <v>0.53704598730747377</v>
      </c>
      <c r="DP353" s="7">
        <f t="shared" si="360"/>
        <v>0.52354010279858632</v>
      </c>
      <c r="DQ353" s="7">
        <f t="shared" si="361"/>
        <v>0.51075128123699054</v>
      </c>
      <c r="DR353" s="7">
        <f t="shared" si="362"/>
        <v>22.642089240204648</v>
      </c>
      <c r="DS353" s="7">
        <f t="shared" si="363"/>
        <v>0</v>
      </c>
      <c r="DT353" s="7">
        <f t="shared" si="364"/>
        <v>0</v>
      </c>
      <c r="DU353" s="7">
        <f t="shared" si="365"/>
        <v>0</v>
      </c>
    </row>
    <row r="354" spans="1:125" x14ac:dyDescent="0.2">
      <c r="A354" s="3">
        <f>Bonds!A354</f>
        <v>56660</v>
      </c>
      <c r="B354" s="4">
        <f>Bonds!B354</f>
        <v>4.625</v>
      </c>
      <c r="C354">
        <f>Bonds!P354</f>
        <v>57</v>
      </c>
      <c r="D354">
        <f t="shared" si="305"/>
        <v>0</v>
      </c>
      <c r="E354" s="3">
        <f>IF(1&gt;$C354,"",IF($D354=1,EOMONTH(EDATE(Bonds!$H354,6*(1-1)),0),EDATE(Bonds!$H354,6*(1-1))))</f>
        <v>46433</v>
      </c>
      <c r="F354" s="3">
        <f>IF(2&gt;$C354,"",IF($D354=1,EOMONTH(EDATE(Bonds!$H354,6*(2-1)),0),EDATE(Bonds!$H354,6*(2-1))))</f>
        <v>46614</v>
      </c>
      <c r="G354" s="3">
        <f>IF(3&gt;$C354,"",IF($D354=1,EOMONTH(EDATE(Bonds!$H354,6*(3-1)),0),EDATE(Bonds!$H354,6*(3-1))))</f>
        <v>46798</v>
      </c>
      <c r="H354" s="3">
        <f>IF(4&gt;$C354,"",IF($D354=1,EOMONTH(EDATE(Bonds!$H354,6*(4-1)),0),EDATE(Bonds!$H354,6*(4-1))))</f>
        <v>46980</v>
      </c>
      <c r="I354" s="3">
        <f>IF(5&gt;$C354,"",IF($D354=1,EOMONTH(EDATE(Bonds!$H354,6*(5-1)),0),EDATE(Bonds!$H354,6*(5-1))))</f>
        <v>47164</v>
      </c>
      <c r="J354" s="3">
        <f>IF(6&gt;$C354,"",IF($D354=1,EOMONTH(EDATE(Bonds!$H354,6*(6-1)),0),EDATE(Bonds!$H354,6*(6-1))))</f>
        <v>47345</v>
      </c>
      <c r="K354" s="3">
        <f>IF(7&gt;$C354,"",IF($D354=1,EOMONTH(EDATE(Bonds!$H354,6*(7-1)),0),EDATE(Bonds!$H354,6*(7-1))))</f>
        <v>47529</v>
      </c>
      <c r="L354" s="3">
        <f>IF(8&gt;$C354,"",IF($D354=1,EOMONTH(EDATE(Bonds!$H354,6*(8-1)),0),EDATE(Bonds!$H354,6*(8-1))))</f>
        <v>47710</v>
      </c>
      <c r="M354" s="3">
        <f>IF(9&gt;$C354,"",IF($D354=1,EOMONTH(EDATE(Bonds!$H354,6*(9-1)),0),EDATE(Bonds!$H354,6*(9-1))))</f>
        <v>47894</v>
      </c>
      <c r="N354" s="3">
        <f>IF(10&gt;$C354,"",IF($D354=1,EOMONTH(EDATE(Bonds!$H354,6*(10-1)),0),EDATE(Bonds!$H354,6*(10-1))))</f>
        <v>48075</v>
      </c>
      <c r="O354" s="3">
        <f>IF(11&gt;$C354,"",IF($D354=1,EOMONTH(EDATE(Bonds!$H354,6*(11-1)),0),EDATE(Bonds!$H354,6*(11-1))))</f>
        <v>48259</v>
      </c>
      <c r="P354" s="3">
        <f>IF(12&gt;$C354,"",IF($D354=1,EOMONTH(EDATE(Bonds!$H354,6*(12-1)),0),EDATE(Bonds!$H354,6*(12-1))))</f>
        <v>48441</v>
      </c>
      <c r="Q354" s="3">
        <f>IF(13&gt;$C354,"",IF($D354=1,EOMONTH(EDATE(Bonds!$H354,6*(13-1)),0),EDATE(Bonds!$H354,6*(13-1))))</f>
        <v>48625</v>
      </c>
      <c r="R354" s="3">
        <f>IF(14&gt;$C354,"",IF($D354=1,EOMONTH(EDATE(Bonds!$H354,6*(14-1)),0),EDATE(Bonds!$H354,6*(14-1))))</f>
        <v>48806</v>
      </c>
      <c r="S354" s="3">
        <f>IF(15&gt;$C354,"",IF($D354=1,EOMONTH(EDATE(Bonds!$H354,6*(15-1)),0),EDATE(Bonds!$H354,6*(15-1))))</f>
        <v>48990</v>
      </c>
      <c r="T354" s="3">
        <f>IF(16&gt;$C354,"",IF($D354=1,EOMONTH(EDATE(Bonds!$H354,6*(16-1)),0),EDATE(Bonds!$H354,6*(16-1))))</f>
        <v>49171</v>
      </c>
      <c r="U354" s="3">
        <f>IF(17&gt;$C354,"",IF($D354=1,EOMONTH(EDATE(Bonds!$H354,6*(17-1)),0),EDATE(Bonds!$H354,6*(17-1))))</f>
        <v>49355</v>
      </c>
      <c r="V354" s="3">
        <f>IF(18&gt;$C354,"",IF($D354=1,EOMONTH(EDATE(Bonds!$H354,6*(18-1)),0),EDATE(Bonds!$H354,6*(18-1))))</f>
        <v>49536</v>
      </c>
      <c r="W354" s="3">
        <f>IF(19&gt;$C354,"",IF($D354=1,EOMONTH(EDATE(Bonds!$H354,6*(19-1)),0),EDATE(Bonds!$H354,6*(19-1))))</f>
        <v>49720</v>
      </c>
      <c r="X354" s="3">
        <f>IF(20&gt;$C354,"",IF($D354=1,EOMONTH(EDATE(Bonds!$H354,6*(20-1)),0),EDATE(Bonds!$H354,6*(20-1))))</f>
        <v>49902</v>
      </c>
      <c r="Y354" s="3">
        <f>IF(21&gt;$C354,"",IF($D354=1,EOMONTH(EDATE(Bonds!$H354,6*(21-1)),0),EDATE(Bonds!$H354,6*(21-1))))</f>
        <v>50086</v>
      </c>
      <c r="Z354" s="3">
        <f>IF(22&gt;$C354,"",IF($D354=1,EOMONTH(EDATE(Bonds!$H354,6*(22-1)),0),EDATE(Bonds!$H354,6*(22-1))))</f>
        <v>50267</v>
      </c>
      <c r="AA354" s="3">
        <f>IF(23&gt;$C354,"",IF($D354=1,EOMONTH(EDATE(Bonds!$H354,6*(23-1)),0),EDATE(Bonds!$H354,6*(23-1))))</f>
        <v>50451</v>
      </c>
      <c r="AB354" s="3">
        <f>IF(24&gt;$C354,"",IF($D354=1,EOMONTH(EDATE(Bonds!$H354,6*(24-1)),0),EDATE(Bonds!$H354,6*(24-1))))</f>
        <v>50632</v>
      </c>
      <c r="AC354" s="3">
        <f>IF(25&gt;$C354,"",IF($D354=1,EOMONTH(EDATE(Bonds!$H354,6*(25-1)),0),EDATE(Bonds!$H354,6*(25-1))))</f>
        <v>50816</v>
      </c>
      <c r="AD354" s="3">
        <f>IF(26&gt;$C354,"",IF($D354=1,EOMONTH(EDATE(Bonds!$H354,6*(26-1)),0),EDATE(Bonds!$H354,6*(26-1))))</f>
        <v>50997</v>
      </c>
      <c r="AE354" s="3">
        <f>IF(27&gt;$C354,"",IF($D354=1,EOMONTH(EDATE(Bonds!$H354,6*(27-1)),0),EDATE(Bonds!$H354,6*(27-1))))</f>
        <v>51181</v>
      </c>
      <c r="AF354" s="3">
        <f>IF(28&gt;$C354,"",IF($D354=1,EOMONTH(EDATE(Bonds!$H354,6*(28-1)),0),EDATE(Bonds!$H354,6*(28-1))))</f>
        <v>51363</v>
      </c>
      <c r="AG354" s="3">
        <f>IF(29&gt;$C354,"",IF($D354=1,EOMONTH(EDATE(Bonds!$H354,6*(29-1)),0),EDATE(Bonds!$H354,6*(29-1))))</f>
        <v>51547</v>
      </c>
      <c r="AH354" s="3">
        <f>IF(30&gt;$C354,"",IF($D354=1,EOMONTH(EDATE(Bonds!$H354,6*(30-1)),0),EDATE(Bonds!$H354,6*(30-1))))</f>
        <v>51728</v>
      </c>
      <c r="AI354" s="3">
        <f>IF(31&gt;$C354,"",IF($D354=1,EOMONTH(EDATE(Bonds!$H354,6*(31-1)),0),EDATE(Bonds!$H354,6*(31-1))))</f>
        <v>51912</v>
      </c>
      <c r="AJ354" s="3">
        <f>IF(32&gt;$C354,"",IF($D354=1,EOMONTH(EDATE(Bonds!$H354,6*(32-1)),0),EDATE(Bonds!$H354,6*(32-1))))</f>
        <v>52093</v>
      </c>
      <c r="AK354" s="3">
        <f>IF(33&gt;$C354,"",IF($D354=1,EOMONTH(EDATE(Bonds!$H354,6*(33-1)),0),EDATE(Bonds!$H354,6*(33-1))))</f>
        <v>52277</v>
      </c>
      <c r="AL354" s="3">
        <f>IF(34&gt;$C354,"",IF($D354=1,EOMONTH(EDATE(Bonds!$H354,6*(34-1)),0),EDATE(Bonds!$H354,6*(34-1))))</f>
        <v>52458</v>
      </c>
      <c r="AM354" s="3">
        <f>IF(35&gt;$C354,"",IF($D354=1,EOMONTH(EDATE(Bonds!$H354,6*(35-1)),0),EDATE(Bonds!$H354,6*(35-1))))</f>
        <v>52642</v>
      </c>
      <c r="AN354" s="3">
        <f>IF(36&gt;$C354,"",IF($D354=1,EOMONTH(EDATE(Bonds!$H354,6*(36-1)),0),EDATE(Bonds!$H354,6*(36-1))))</f>
        <v>52824</v>
      </c>
      <c r="AO354" s="3">
        <f>IF(37&gt;$C354,"",IF($D354=1,EOMONTH(EDATE(Bonds!$H354,6*(37-1)),0),EDATE(Bonds!$H354,6*(37-1))))</f>
        <v>53008</v>
      </c>
      <c r="AP354" s="3">
        <f>IF(38&gt;$C354,"",IF($D354=1,EOMONTH(EDATE(Bonds!$H354,6*(38-1)),0),EDATE(Bonds!$H354,6*(38-1))))</f>
        <v>53189</v>
      </c>
      <c r="AQ354" s="3">
        <f>IF(39&gt;$C354,"",IF($D354=1,EOMONTH(EDATE(Bonds!$H354,6*(39-1)),0),EDATE(Bonds!$H354,6*(39-1))))</f>
        <v>53373</v>
      </c>
      <c r="AR354" s="3">
        <f>IF(40&gt;$C354,"",IF($D354=1,EOMONTH(EDATE(Bonds!$H354,6*(40-1)),0),EDATE(Bonds!$H354,6*(40-1))))</f>
        <v>53554</v>
      </c>
      <c r="AS354" s="3">
        <f>IF(41&gt;$C354,"",IF($D354=1,EOMONTH(EDATE(Bonds!$H354,6*(41-1)),0),EDATE(Bonds!$H354,6*(41-1))))</f>
        <v>53738</v>
      </c>
      <c r="AT354" s="3">
        <f>IF(42&gt;$C354,"",IF($D354=1,EOMONTH(EDATE(Bonds!$H354,6*(42-1)),0),EDATE(Bonds!$H354,6*(42-1))))</f>
        <v>53919</v>
      </c>
      <c r="AU354" s="3">
        <f>IF(43&gt;$C354,"",IF($D354=1,EOMONTH(EDATE(Bonds!$H354,6*(43-1)),0),EDATE(Bonds!$H354,6*(43-1))))</f>
        <v>54103</v>
      </c>
      <c r="AV354" s="3">
        <f>IF(44&gt;$C354,"",IF($D354=1,EOMONTH(EDATE(Bonds!$H354,6*(44-1)),0),EDATE(Bonds!$H354,6*(44-1))))</f>
        <v>54285</v>
      </c>
      <c r="AW354" s="3">
        <f>IF(45&gt;$C354,"",IF($D354=1,EOMONTH(EDATE(Bonds!$H354,6*(45-1)),0),EDATE(Bonds!$H354,6*(45-1))))</f>
        <v>54469</v>
      </c>
      <c r="AX354" s="3">
        <f>IF(46&gt;$C354,"",IF($D354=1,EOMONTH(EDATE(Bonds!$H354,6*(46-1)),0),EDATE(Bonds!$H354,6*(46-1))))</f>
        <v>54650</v>
      </c>
      <c r="AY354" s="3">
        <f>IF(47&gt;$C354,"",IF($D354=1,EOMONTH(EDATE(Bonds!$H354,6*(47-1)),0),EDATE(Bonds!$H354,6*(47-1))))</f>
        <v>54834</v>
      </c>
      <c r="AZ354" s="3">
        <f>IF(48&gt;$C354,"",IF($D354=1,EOMONTH(EDATE(Bonds!$H354,6*(48-1)),0),EDATE(Bonds!$H354,6*(48-1))))</f>
        <v>55015</v>
      </c>
      <c r="BA354" s="3">
        <f>IF(49&gt;$C354,"",IF($D354=1,EOMONTH(EDATE(Bonds!$H354,6*(49-1)),0),EDATE(Bonds!$H354,6*(49-1))))</f>
        <v>55199</v>
      </c>
      <c r="BB354" s="3">
        <f>IF(50&gt;$C354,"",IF($D354=1,EOMONTH(EDATE(Bonds!$H354,6*(50-1)),0),EDATE(Bonds!$H354,6*(50-1))))</f>
        <v>55380</v>
      </c>
      <c r="BC354" s="3">
        <f>IF(51&gt;$C354,"",IF($D354=1,EOMONTH(EDATE(Bonds!$H354,6*(51-1)),0),EDATE(Bonds!$H354,6*(51-1))))</f>
        <v>55564</v>
      </c>
      <c r="BD354" s="3">
        <f>IF(52&gt;$C354,"",IF($D354=1,EOMONTH(EDATE(Bonds!$H354,6*(52-1)),0),EDATE(Bonds!$H354,6*(52-1))))</f>
        <v>55746</v>
      </c>
      <c r="BE354" s="3">
        <f>IF(53&gt;$C354,"",IF($D354=1,EOMONTH(EDATE(Bonds!$H354,6*(53-1)),0),EDATE(Bonds!$H354,6*(53-1))))</f>
        <v>55930</v>
      </c>
      <c r="BF354" s="3">
        <f>IF(54&gt;$C354,"",IF($D354=1,EOMONTH(EDATE(Bonds!$H354,6*(54-1)),0),EDATE(Bonds!$H354,6*(54-1))))</f>
        <v>56111</v>
      </c>
      <c r="BG354" s="3">
        <f>IF(55&gt;$C354,"",IF($D354=1,EOMONTH(EDATE(Bonds!$H354,6*(55-1)),0),EDATE(Bonds!$H354,6*(55-1))))</f>
        <v>56295</v>
      </c>
      <c r="BH354" s="3">
        <f>IF(56&gt;$C354,"",IF($D354=1,EOMONTH(EDATE(Bonds!$H354,6*(56-1)),0),EDATE(Bonds!$H354,6*(56-1))))</f>
        <v>56476</v>
      </c>
      <c r="BI354" s="3">
        <f>IF(57&gt;$C354,"",IF($D354=1,EOMONTH(EDATE(Bonds!$H354,6*(57-1)),0),EDATE(Bonds!$H354,6*(57-1))))</f>
        <v>56660</v>
      </c>
      <c r="BJ354" s="3" t="str">
        <f>IF(58&gt;$C354,"",IF($D354=1,EOMONTH(EDATE(Bonds!$H354,6*(58-1)),0),EDATE(Bonds!$H354,6*(58-1))))</f>
        <v/>
      </c>
      <c r="BK354" s="3" t="str">
        <f>IF(59&gt;$C354,"",IF($D354=1,EOMONTH(EDATE(Bonds!$H354,6*(59-1)),0),EDATE(Bonds!$H354,6*(59-1))))</f>
        <v/>
      </c>
      <c r="BL354" s="3" t="str">
        <f>IF(60&gt;$C354,"",IF($D354=1,EOMONTH(EDATE(Bonds!$H354,6*(60-1)),0),EDATE(Bonds!$H354,6*(60-1))))</f>
        <v/>
      </c>
      <c r="BN354" s="7">
        <f t="shared" si="306"/>
        <v>2.2732788027748541</v>
      </c>
      <c r="BO354" s="7">
        <f t="shared" si="307"/>
        <v>2.2253618962720854</v>
      </c>
      <c r="BP354" s="7">
        <f t="shared" si="308"/>
        <v>2.1754476243738976</v>
      </c>
      <c r="BQ354" s="7">
        <f t="shared" si="309"/>
        <v>2.1263633428711608</v>
      </c>
      <c r="BR354" s="7">
        <f t="shared" si="310"/>
        <v>2.0777167692022909</v>
      </c>
      <c r="BS354" s="7">
        <f t="shared" si="311"/>
        <v>2.031031772484087</v>
      </c>
      <c r="BT354" s="7">
        <f t="shared" si="312"/>
        <v>1.9847256362236501</v>
      </c>
      <c r="BU354" s="7">
        <f t="shared" si="313"/>
        <v>1.9401615084528006</v>
      </c>
      <c r="BV354" s="7">
        <f t="shared" si="314"/>
        <v>1.895676035753294</v>
      </c>
      <c r="BW354" s="7">
        <f t="shared" si="315"/>
        <v>1.8525451983087053</v>
      </c>
      <c r="BX354" s="7">
        <f t="shared" si="316"/>
        <v>1.8091901571065561</v>
      </c>
      <c r="BY354" s="7">
        <f t="shared" si="317"/>
        <v>1.7666832517673459</v>
      </c>
      <c r="BZ354" s="7">
        <f t="shared" si="318"/>
        <v>1.7240176698316556</v>
      </c>
      <c r="CA354" s="7">
        <f t="shared" si="319"/>
        <v>1.6823142156028446</v>
      </c>
      <c r="CB354" s="7">
        <f t="shared" si="320"/>
        <v>1.6401836953590239</v>
      </c>
      <c r="CC354" s="7">
        <f t="shared" si="321"/>
        <v>1.5990167699987485</v>
      </c>
      <c r="CD354" s="7">
        <f t="shared" si="322"/>
        <v>1.5574840286149367</v>
      </c>
      <c r="CE354" s="7">
        <f t="shared" si="323"/>
        <v>1.5169866311686198</v>
      </c>
      <c r="CF354" s="7">
        <f t="shared" si="324"/>
        <v>1.4762379417095042</v>
      </c>
      <c r="CG354" s="7">
        <f t="shared" si="325"/>
        <v>1.4364078729062799</v>
      </c>
      <c r="CH354" s="7">
        <f t="shared" si="326"/>
        <v>1.396682167466071</v>
      </c>
      <c r="CI354" s="7">
        <f t="shared" si="327"/>
        <v>1.3581941436654867</v>
      </c>
      <c r="CJ354" s="7">
        <f t="shared" si="328"/>
        <v>1.3197241099048411</v>
      </c>
      <c r="CK354" s="7">
        <f t="shared" si="329"/>
        <v>1.2825770562461025</v>
      </c>
      <c r="CL354" s="7">
        <f t="shared" si="330"/>
        <v>1.245567907480825</v>
      </c>
      <c r="CM354" s="7">
        <f t="shared" si="331"/>
        <v>1.2099431100787861</v>
      </c>
      <c r="CN354" s="7">
        <f t="shared" si="332"/>
        <v>1.1745562134465972</v>
      </c>
      <c r="CO354" s="7">
        <f t="shared" si="333"/>
        <v>1.1404036831031943</v>
      </c>
      <c r="CP354" s="7">
        <f t="shared" si="334"/>
        <v>1.1067576008671178</v>
      </c>
      <c r="CQ354" s="7">
        <f t="shared" si="335"/>
        <v>1.0745417481220358</v>
      </c>
      <c r="CR354" s="7">
        <f t="shared" si="336"/>
        <v>1.042699932316199</v>
      </c>
      <c r="CS354" s="7">
        <f t="shared" si="337"/>
        <v>1.0122772142712935</v>
      </c>
      <c r="CT354" s="7">
        <f t="shared" si="338"/>
        <v>0.98226757320320712</v>
      </c>
      <c r="CU354" s="7">
        <f t="shared" si="339"/>
        <v>0.95364809273798889</v>
      </c>
      <c r="CV354" s="7">
        <f t="shared" si="340"/>
        <v>0.92546497383891047</v>
      </c>
      <c r="CW354" s="7">
        <f t="shared" si="341"/>
        <v>0.89848333928431656</v>
      </c>
      <c r="CX354" s="7">
        <f t="shared" si="342"/>
        <v>0.87209914743380834</v>
      </c>
      <c r="CY354" s="7">
        <f t="shared" si="343"/>
        <v>0.8470089999314705</v>
      </c>
      <c r="CZ354" s="7">
        <f t="shared" si="344"/>
        <v>0.82236578813491301</v>
      </c>
      <c r="DA354" s="7">
        <f t="shared" si="345"/>
        <v>0.79895637255197527</v>
      </c>
      <c r="DB354" s="7">
        <f t="shared" si="346"/>
        <v>0.77598624993953269</v>
      </c>
      <c r="DC354" s="7">
        <f t="shared" si="347"/>
        <v>0.75418523035013596</v>
      </c>
      <c r="DD354" s="7">
        <f t="shared" si="348"/>
        <v>0.73281008652747148</v>
      </c>
      <c r="DE354" s="7">
        <f t="shared" si="349"/>
        <v>0.71242709918185865</v>
      </c>
      <c r="DF354" s="7">
        <f t="shared" si="350"/>
        <v>0.69256647103882152</v>
      </c>
      <c r="DG354" s="7">
        <f t="shared" si="351"/>
        <v>0.67374022543131662</v>
      </c>
      <c r="DH354" s="7">
        <f t="shared" si="352"/>
        <v>0.65530207015260455</v>
      </c>
      <c r="DI354" s="7">
        <f t="shared" si="353"/>
        <v>0.63783147062303491</v>
      </c>
      <c r="DJ354" s="7">
        <f t="shared" si="354"/>
        <v>0.62072709896197054</v>
      </c>
      <c r="DK354" s="7">
        <f t="shared" si="355"/>
        <v>0.60452515837212506</v>
      </c>
      <c r="DL354" s="7">
        <f t="shared" si="356"/>
        <v>0.58866679196597982</v>
      </c>
      <c r="DM354" s="7">
        <f t="shared" si="357"/>
        <v>0.57356671593830588</v>
      </c>
      <c r="DN354" s="7">
        <f t="shared" si="358"/>
        <v>0.55887188770370744</v>
      </c>
      <c r="DO354" s="7">
        <f t="shared" si="359"/>
        <v>0.54495674579799236</v>
      </c>
      <c r="DP354" s="7">
        <f t="shared" si="360"/>
        <v>0.53133983361946446</v>
      </c>
      <c r="DQ354" s="7">
        <f t="shared" si="361"/>
        <v>0.51844592476974027</v>
      </c>
      <c r="DR354" s="7">
        <f t="shared" si="362"/>
        <v>22.379490565563135</v>
      </c>
      <c r="DS354" s="7">
        <f t="shared" si="363"/>
        <v>0</v>
      </c>
      <c r="DT354" s="7">
        <f t="shared" si="364"/>
        <v>0</v>
      </c>
      <c r="DU354" s="7">
        <f t="shared" si="365"/>
        <v>0</v>
      </c>
    </row>
    <row r="355" spans="1:125" x14ac:dyDescent="0.2">
      <c r="A355" s="3">
        <f>Bonds!A355</f>
        <v>56749</v>
      </c>
      <c r="B355" s="4">
        <f>Bonds!B355</f>
        <v>4.75</v>
      </c>
      <c r="C355">
        <f>Bonds!P355</f>
        <v>58</v>
      </c>
      <c r="D355">
        <f t="shared" si="305"/>
        <v>0</v>
      </c>
      <c r="E355" s="3">
        <f>IF(1&gt;$C355,"",IF($D355=1,EOMONTH(EDATE(Bonds!$H355,6*(1-1)),0),EDATE(Bonds!$H355,6*(1-1))))</f>
        <v>46341</v>
      </c>
      <c r="F355" s="3">
        <f>IF(2&gt;$C355,"",IF($D355=1,EOMONTH(EDATE(Bonds!$H355,6*(2-1)),0),EDATE(Bonds!$H355,6*(2-1))))</f>
        <v>46522</v>
      </c>
      <c r="G355" s="3">
        <f>IF(3&gt;$C355,"",IF($D355=1,EOMONTH(EDATE(Bonds!$H355,6*(3-1)),0),EDATE(Bonds!$H355,6*(3-1))))</f>
        <v>46706</v>
      </c>
      <c r="H355" s="3">
        <f>IF(4&gt;$C355,"",IF($D355=1,EOMONTH(EDATE(Bonds!$H355,6*(4-1)),0),EDATE(Bonds!$H355,6*(4-1))))</f>
        <v>46888</v>
      </c>
      <c r="I355" s="3">
        <f>IF(5&gt;$C355,"",IF($D355=1,EOMONTH(EDATE(Bonds!$H355,6*(5-1)),0),EDATE(Bonds!$H355,6*(5-1))))</f>
        <v>47072</v>
      </c>
      <c r="J355" s="3">
        <f>IF(6&gt;$C355,"",IF($D355=1,EOMONTH(EDATE(Bonds!$H355,6*(6-1)),0),EDATE(Bonds!$H355,6*(6-1))))</f>
        <v>47253</v>
      </c>
      <c r="K355" s="3">
        <f>IF(7&gt;$C355,"",IF($D355=1,EOMONTH(EDATE(Bonds!$H355,6*(7-1)),0),EDATE(Bonds!$H355,6*(7-1))))</f>
        <v>47437</v>
      </c>
      <c r="L355" s="3">
        <f>IF(8&gt;$C355,"",IF($D355=1,EOMONTH(EDATE(Bonds!$H355,6*(8-1)),0),EDATE(Bonds!$H355,6*(8-1))))</f>
        <v>47618</v>
      </c>
      <c r="M355" s="3">
        <f>IF(9&gt;$C355,"",IF($D355=1,EOMONTH(EDATE(Bonds!$H355,6*(9-1)),0),EDATE(Bonds!$H355,6*(9-1))))</f>
        <v>47802</v>
      </c>
      <c r="N355" s="3">
        <f>IF(10&gt;$C355,"",IF($D355=1,EOMONTH(EDATE(Bonds!$H355,6*(10-1)),0),EDATE(Bonds!$H355,6*(10-1))))</f>
        <v>47983</v>
      </c>
      <c r="O355" s="3">
        <f>IF(11&gt;$C355,"",IF($D355=1,EOMONTH(EDATE(Bonds!$H355,6*(11-1)),0),EDATE(Bonds!$H355,6*(11-1))))</f>
        <v>48167</v>
      </c>
      <c r="P355" s="3">
        <f>IF(12&gt;$C355,"",IF($D355=1,EOMONTH(EDATE(Bonds!$H355,6*(12-1)),0),EDATE(Bonds!$H355,6*(12-1))))</f>
        <v>48349</v>
      </c>
      <c r="Q355" s="3">
        <f>IF(13&gt;$C355,"",IF($D355=1,EOMONTH(EDATE(Bonds!$H355,6*(13-1)),0),EDATE(Bonds!$H355,6*(13-1))))</f>
        <v>48533</v>
      </c>
      <c r="R355" s="3">
        <f>IF(14&gt;$C355,"",IF($D355=1,EOMONTH(EDATE(Bonds!$H355,6*(14-1)),0),EDATE(Bonds!$H355,6*(14-1))))</f>
        <v>48714</v>
      </c>
      <c r="S355" s="3">
        <f>IF(15&gt;$C355,"",IF($D355=1,EOMONTH(EDATE(Bonds!$H355,6*(15-1)),0),EDATE(Bonds!$H355,6*(15-1))))</f>
        <v>48898</v>
      </c>
      <c r="T355" s="3">
        <f>IF(16&gt;$C355,"",IF($D355=1,EOMONTH(EDATE(Bonds!$H355,6*(16-1)),0),EDATE(Bonds!$H355,6*(16-1))))</f>
        <v>49079</v>
      </c>
      <c r="U355" s="3">
        <f>IF(17&gt;$C355,"",IF($D355=1,EOMONTH(EDATE(Bonds!$H355,6*(17-1)),0),EDATE(Bonds!$H355,6*(17-1))))</f>
        <v>49263</v>
      </c>
      <c r="V355" s="3">
        <f>IF(18&gt;$C355,"",IF($D355=1,EOMONTH(EDATE(Bonds!$H355,6*(18-1)),0),EDATE(Bonds!$H355,6*(18-1))))</f>
        <v>49444</v>
      </c>
      <c r="W355" s="3">
        <f>IF(19&gt;$C355,"",IF($D355=1,EOMONTH(EDATE(Bonds!$H355,6*(19-1)),0),EDATE(Bonds!$H355,6*(19-1))))</f>
        <v>49628</v>
      </c>
      <c r="X355" s="3">
        <f>IF(20&gt;$C355,"",IF($D355=1,EOMONTH(EDATE(Bonds!$H355,6*(20-1)),0),EDATE(Bonds!$H355,6*(20-1))))</f>
        <v>49810</v>
      </c>
      <c r="Y355" s="3">
        <f>IF(21&gt;$C355,"",IF($D355=1,EOMONTH(EDATE(Bonds!$H355,6*(21-1)),0),EDATE(Bonds!$H355,6*(21-1))))</f>
        <v>49994</v>
      </c>
      <c r="Z355" s="3">
        <f>IF(22&gt;$C355,"",IF($D355=1,EOMONTH(EDATE(Bonds!$H355,6*(22-1)),0),EDATE(Bonds!$H355,6*(22-1))))</f>
        <v>50175</v>
      </c>
      <c r="AA355" s="3">
        <f>IF(23&gt;$C355,"",IF($D355=1,EOMONTH(EDATE(Bonds!$H355,6*(23-1)),0),EDATE(Bonds!$H355,6*(23-1))))</f>
        <v>50359</v>
      </c>
      <c r="AB355" s="3">
        <f>IF(24&gt;$C355,"",IF($D355=1,EOMONTH(EDATE(Bonds!$H355,6*(24-1)),0),EDATE(Bonds!$H355,6*(24-1))))</f>
        <v>50540</v>
      </c>
      <c r="AC355" s="3">
        <f>IF(25&gt;$C355,"",IF($D355=1,EOMONTH(EDATE(Bonds!$H355,6*(25-1)),0),EDATE(Bonds!$H355,6*(25-1))))</f>
        <v>50724</v>
      </c>
      <c r="AD355" s="3">
        <f>IF(26&gt;$C355,"",IF($D355=1,EOMONTH(EDATE(Bonds!$H355,6*(26-1)),0),EDATE(Bonds!$H355,6*(26-1))))</f>
        <v>50905</v>
      </c>
      <c r="AE355" s="3">
        <f>IF(27&gt;$C355,"",IF($D355=1,EOMONTH(EDATE(Bonds!$H355,6*(27-1)),0),EDATE(Bonds!$H355,6*(27-1))))</f>
        <v>51089</v>
      </c>
      <c r="AF355" s="3">
        <f>IF(28&gt;$C355,"",IF($D355=1,EOMONTH(EDATE(Bonds!$H355,6*(28-1)),0),EDATE(Bonds!$H355,6*(28-1))))</f>
        <v>51271</v>
      </c>
      <c r="AG355" s="3">
        <f>IF(29&gt;$C355,"",IF($D355=1,EOMONTH(EDATE(Bonds!$H355,6*(29-1)),0),EDATE(Bonds!$H355,6*(29-1))))</f>
        <v>51455</v>
      </c>
      <c r="AH355" s="3">
        <f>IF(30&gt;$C355,"",IF($D355=1,EOMONTH(EDATE(Bonds!$H355,6*(30-1)),0),EDATE(Bonds!$H355,6*(30-1))))</f>
        <v>51636</v>
      </c>
      <c r="AI355" s="3">
        <f>IF(31&gt;$C355,"",IF($D355=1,EOMONTH(EDATE(Bonds!$H355,6*(31-1)),0),EDATE(Bonds!$H355,6*(31-1))))</f>
        <v>51820</v>
      </c>
      <c r="AJ355" s="3">
        <f>IF(32&gt;$C355,"",IF($D355=1,EOMONTH(EDATE(Bonds!$H355,6*(32-1)),0),EDATE(Bonds!$H355,6*(32-1))))</f>
        <v>52001</v>
      </c>
      <c r="AK355" s="3">
        <f>IF(33&gt;$C355,"",IF($D355=1,EOMONTH(EDATE(Bonds!$H355,6*(33-1)),0),EDATE(Bonds!$H355,6*(33-1))))</f>
        <v>52185</v>
      </c>
      <c r="AL355" s="3">
        <f>IF(34&gt;$C355,"",IF($D355=1,EOMONTH(EDATE(Bonds!$H355,6*(34-1)),0),EDATE(Bonds!$H355,6*(34-1))))</f>
        <v>52366</v>
      </c>
      <c r="AM355" s="3">
        <f>IF(35&gt;$C355,"",IF($D355=1,EOMONTH(EDATE(Bonds!$H355,6*(35-1)),0),EDATE(Bonds!$H355,6*(35-1))))</f>
        <v>52550</v>
      </c>
      <c r="AN355" s="3">
        <f>IF(36&gt;$C355,"",IF($D355=1,EOMONTH(EDATE(Bonds!$H355,6*(36-1)),0),EDATE(Bonds!$H355,6*(36-1))))</f>
        <v>52732</v>
      </c>
      <c r="AO355" s="3">
        <f>IF(37&gt;$C355,"",IF($D355=1,EOMONTH(EDATE(Bonds!$H355,6*(37-1)),0),EDATE(Bonds!$H355,6*(37-1))))</f>
        <v>52916</v>
      </c>
      <c r="AP355" s="3">
        <f>IF(38&gt;$C355,"",IF($D355=1,EOMONTH(EDATE(Bonds!$H355,6*(38-1)),0),EDATE(Bonds!$H355,6*(38-1))))</f>
        <v>53097</v>
      </c>
      <c r="AQ355" s="3">
        <f>IF(39&gt;$C355,"",IF($D355=1,EOMONTH(EDATE(Bonds!$H355,6*(39-1)),0),EDATE(Bonds!$H355,6*(39-1))))</f>
        <v>53281</v>
      </c>
      <c r="AR355" s="3">
        <f>IF(40&gt;$C355,"",IF($D355=1,EOMONTH(EDATE(Bonds!$H355,6*(40-1)),0),EDATE(Bonds!$H355,6*(40-1))))</f>
        <v>53462</v>
      </c>
      <c r="AS355" s="3">
        <f>IF(41&gt;$C355,"",IF($D355=1,EOMONTH(EDATE(Bonds!$H355,6*(41-1)),0),EDATE(Bonds!$H355,6*(41-1))))</f>
        <v>53646</v>
      </c>
      <c r="AT355" s="3">
        <f>IF(42&gt;$C355,"",IF($D355=1,EOMONTH(EDATE(Bonds!$H355,6*(42-1)),0),EDATE(Bonds!$H355,6*(42-1))))</f>
        <v>53827</v>
      </c>
      <c r="AU355" s="3">
        <f>IF(43&gt;$C355,"",IF($D355=1,EOMONTH(EDATE(Bonds!$H355,6*(43-1)),0),EDATE(Bonds!$H355,6*(43-1))))</f>
        <v>54011</v>
      </c>
      <c r="AV355" s="3">
        <f>IF(44&gt;$C355,"",IF($D355=1,EOMONTH(EDATE(Bonds!$H355,6*(44-1)),0),EDATE(Bonds!$H355,6*(44-1))))</f>
        <v>54193</v>
      </c>
      <c r="AW355" s="3">
        <f>IF(45&gt;$C355,"",IF($D355=1,EOMONTH(EDATE(Bonds!$H355,6*(45-1)),0),EDATE(Bonds!$H355,6*(45-1))))</f>
        <v>54377</v>
      </c>
      <c r="AX355" s="3">
        <f>IF(46&gt;$C355,"",IF($D355=1,EOMONTH(EDATE(Bonds!$H355,6*(46-1)),0),EDATE(Bonds!$H355,6*(46-1))))</f>
        <v>54558</v>
      </c>
      <c r="AY355" s="3">
        <f>IF(47&gt;$C355,"",IF($D355=1,EOMONTH(EDATE(Bonds!$H355,6*(47-1)),0),EDATE(Bonds!$H355,6*(47-1))))</f>
        <v>54742</v>
      </c>
      <c r="AZ355" s="3">
        <f>IF(48&gt;$C355,"",IF($D355=1,EOMONTH(EDATE(Bonds!$H355,6*(48-1)),0),EDATE(Bonds!$H355,6*(48-1))))</f>
        <v>54923</v>
      </c>
      <c r="BA355" s="3">
        <f>IF(49&gt;$C355,"",IF($D355=1,EOMONTH(EDATE(Bonds!$H355,6*(49-1)),0),EDATE(Bonds!$H355,6*(49-1))))</f>
        <v>55107</v>
      </c>
      <c r="BB355" s="3">
        <f>IF(50&gt;$C355,"",IF($D355=1,EOMONTH(EDATE(Bonds!$H355,6*(50-1)),0),EDATE(Bonds!$H355,6*(50-1))))</f>
        <v>55288</v>
      </c>
      <c r="BC355" s="3">
        <f>IF(51&gt;$C355,"",IF($D355=1,EOMONTH(EDATE(Bonds!$H355,6*(51-1)),0),EDATE(Bonds!$H355,6*(51-1))))</f>
        <v>55472</v>
      </c>
      <c r="BD355" s="3">
        <f>IF(52&gt;$C355,"",IF($D355=1,EOMONTH(EDATE(Bonds!$H355,6*(52-1)),0),EDATE(Bonds!$H355,6*(52-1))))</f>
        <v>55654</v>
      </c>
      <c r="BE355" s="3">
        <f>IF(53&gt;$C355,"",IF($D355=1,EOMONTH(EDATE(Bonds!$H355,6*(53-1)),0),EDATE(Bonds!$H355,6*(53-1))))</f>
        <v>55838</v>
      </c>
      <c r="BF355" s="3">
        <f>IF(54&gt;$C355,"",IF($D355=1,EOMONTH(EDATE(Bonds!$H355,6*(54-1)),0),EDATE(Bonds!$H355,6*(54-1))))</f>
        <v>56019</v>
      </c>
      <c r="BG355" s="3">
        <f>IF(55&gt;$C355,"",IF($D355=1,EOMONTH(EDATE(Bonds!$H355,6*(55-1)),0),EDATE(Bonds!$H355,6*(55-1))))</f>
        <v>56203</v>
      </c>
      <c r="BH355" s="3">
        <f>IF(56&gt;$C355,"",IF($D355=1,EOMONTH(EDATE(Bonds!$H355,6*(56-1)),0),EDATE(Bonds!$H355,6*(56-1))))</f>
        <v>56384</v>
      </c>
      <c r="BI355" s="3">
        <f>IF(57&gt;$C355,"",IF($D355=1,EOMONTH(EDATE(Bonds!$H355,6*(57-1)),0),EDATE(Bonds!$H355,6*(57-1))))</f>
        <v>56568</v>
      </c>
      <c r="BJ355" s="3">
        <f>IF(58&gt;$C355,"",IF($D355=1,EOMONTH(EDATE(Bonds!$H355,6*(58-1)),0),EDATE(Bonds!$H355,6*(58-1))))</f>
        <v>56749</v>
      </c>
      <c r="BK355" s="3" t="str">
        <f>IF(59&gt;$C355,"",IF($D355=1,EOMONTH(EDATE(Bonds!$H355,6*(59-1)),0),EDATE(Bonds!$H355,6*(59-1))))</f>
        <v/>
      </c>
      <c r="BL355" s="3" t="str">
        <f>IF(60&gt;$C355,"",IF($D355=1,EOMONTH(EDATE(Bonds!$H355,6*(60-1)),0),EDATE(Bonds!$H355,6*(60-1))))</f>
        <v/>
      </c>
      <c r="BN355" s="7">
        <f t="shared" si="306"/>
        <v>2.3584357586750442</v>
      </c>
      <c r="BO355" s="7">
        <f t="shared" si="307"/>
        <v>2.3108108400686103</v>
      </c>
      <c r="BP355" s="7">
        <f t="shared" si="308"/>
        <v>2.2599094678053397</v>
      </c>
      <c r="BQ355" s="7">
        <f t="shared" si="309"/>
        <v>2.209220585936599</v>
      </c>
      <c r="BR355" s="7">
        <f t="shared" si="310"/>
        <v>2.1587038483336061</v>
      </c>
      <c r="BS355" s="7">
        <f t="shared" si="311"/>
        <v>2.1101447549131152</v>
      </c>
      <c r="BT355" s="7">
        <f t="shared" si="312"/>
        <v>2.0620045674602818</v>
      </c>
      <c r="BU355" s="7">
        <f t="shared" si="313"/>
        <v>2.0157476336715985</v>
      </c>
      <c r="BV355" s="7">
        <f t="shared" si="314"/>
        <v>1.9696606488019894</v>
      </c>
      <c r="BW355" s="7">
        <f t="shared" si="315"/>
        <v>1.9250593715232645</v>
      </c>
      <c r="BX355" s="7">
        <f t="shared" si="316"/>
        <v>1.8802951836452992</v>
      </c>
      <c r="BY355" s="7">
        <f t="shared" si="317"/>
        <v>1.8364565382717781</v>
      </c>
      <c r="BZ355" s="7">
        <f t="shared" si="318"/>
        <v>1.7924854566853714</v>
      </c>
      <c r="CA355" s="7">
        <f t="shared" si="319"/>
        <v>1.7495195400711905</v>
      </c>
      <c r="CB355" s="7">
        <f t="shared" si="320"/>
        <v>1.7061127814937318</v>
      </c>
      <c r="CC355" s="7">
        <f t="shared" si="321"/>
        <v>1.6636865399382703</v>
      </c>
      <c r="CD355" s="7">
        <f t="shared" si="322"/>
        <v>1.6208620113914407</v>
      </c>
      <c r="CE355" s="7">
        <f t="shared" si="323"/>
        <v>1.5790779853362651</v>
      </c>
      <c r="CF355" s="7">
        <f t="shared" si="324"/>
        <v>1.5370031152678882</v>
      </c>
      <c r="CG355" s="7">
        <f t="shared" si="325"/>
        <v>1.4958431640121164</v>
      </c>
      <c r="CH355" s="7">
        <f t="shared" si="326"/>
        <v>1.4547561554322603</v>
      </c>
      <c r="CI355" s="7">
        <f t="shared" si="327"/>
        <v>1.4149151085633698</v>
      </c>
      <c r="CJ355" s="7">
        <f t="shared" si="328"/>
        <v>1.3750588693129928</v>
      </c>
      <c r="CK355" s="7">
        <f t="shared" si="329"/>
        <v>1.3365414061209822</v>
      </c>
      <c r="CL355" s="7">
        <f t="shared" si="330"/>
        <v>1.2981363109679245</v>
      </c>
      <c r="CM355" s="7">
        <f t="shared" si="331"/>
        <v>1.2611396082221262</v>
      </c>
      <c r="CN355" s="7">
        <f t="shared" si="332"/>
        <v>1.2243634315826639</v>
      </c>
      <c r="CO355" s="7">
        <f t="shared" si="333"/>
        <v>1.188845871334246</v>
      </c>
      <c r="CP355" s="7">
        <f t="shared" si="334"/>
        <v>1.1538326416834548</v>
      </c>
      <c r="CQ355" s="7">
        <f t="shared" si="335"/>
        <v>1.1202878170475707</v>
      </c>
      <c r="CR355" s="7">
        <f t="shared" si="336"/>
        <v>1.0871141333382905</v>
      </c>
      <c r="CS355" s="7">
        <f t="shared" si="337"/>
        <v>1.0554026666419734</v>
      </c>
      <c r="CT355" s="7">
        <f t="shared" si="338"/>
        <v>1.0241069768408577</v>
      </c>
      <c r="CU355" s="7">
        <f t="shared" si="339"/>
        <v>0.99424801101643179</v>
      </c>
      <c r="CV355" s="7">
        <f t="shared" si="340"/>
        <v>0.96483253479986497</v>
      </c>
      <c r="CW355" s="7">
        <f t="shared" si="341"/>
        <v>0.93666072197242167</v>
      </c>
      <c r="CX355" s="7">
        <f t="shared" si="342"/>
        <v>0.90910345388288993</v>
      </c>
      <c r="CY355" s="7">
        <f t="shared" si="343"/>
        <v>0.88288976841960665</v>
      </c>
      <c r="CZ355" s="7">
        <f t="shared" si="344"/>
        <v>0.85713590111948157</v>
      </c>
      <c r="DA355" s="7">
        <f t="shared" si="345"/>
        <v>0.83266530084894053</v>
      </c>
      <c r="DB355" s="7">
        <f t="shared" si="346"/>
        <v>0.80864847977603371</v>
      </c>
      <c r="DC355" s="7">
        <f t="shared" si="347"/>
        <v>0.78584940604743059</v>
      </c>
      <c r="DD355" s="7">
        <f t="shared" si="348"/>
        <v>0.76349164939248093</v>
      </c>
      <c r="DE355" s="7">
        <f t="shared" si="349"/>
        <v>0.742168209919433</v>
      </c>
      <c r="DF355" s="7">
        <f t="shared" si="350"/>
        <v>0.72138826428392422</v>
      </c>
      <c r="DG355" s="7">
        <f t="shared" si="351"/>
        <v>0.70168812153208326</v>
      </c>
      <c r="DH355" s="7">
        <f t="shared" si="352"/>
        <v>0.68239199203008549</v>
      </c>
      <c r="DI355" s="7">
        <f t="shared" si="353"/>
        <v>0.66410673682639865</v>
      </c>
      <c r="DJ355" s="7">
        <f t="shared" si="354"/>
        <v>0.64620337376190573</v>
      </c>
      <c r="DK355" s="7">
        <f t="shared" si="355"/>
        <v>0.62924348210623748</v>
      </c>
      <c r="DL355" s="7">
        <f t="shared" si="356"/>
        <v>0.61264235200008987</v>
      </c>
      <c r="DM355" s="7">
        <f t="shared" si="357"/>
        <v>0.5968343645936024</v>
      </c>
      <c r="DN355" s="7">
        <f t="shared" si="358"/>
        <v>0.58145014271632134</v>
      </c>
      <c r="DO355" s="7">
        <f t="shared" si="359"/>
        <v>0.56688187549122238</v>
      </c>
      <c r="DP355" s="7">
        <f t="shared" si="360"/>
        <v>0.55262566406517444</v>
      </c>
      <c r="DQ355" s="7">
        <f t="shared" si="361"/>
        <v>0.53912635241682327</v>
      </c>
      <c r="DR355" s="7">
        <f t="shared" si="362"/>
        <v>0.52591649824436226</v>
      </c>
      <c r="DS355" s="7">
        <f t="shared" si="363"/>
        <v>22.130581510335876</v>
      </c>
      <c r="DT355" s="7">
        <f t="shared" si="364"/>
        <v>0</v>
      </c>
      <c r="DU355" s="7">
        <f t="shared" si="365"/>
        <v>0</v>
      </c>
    </row>
    <row r="356" spans="1:125" x14ac:dyDescent="0.2">
      <c r="A356" s="3">
        <f>Bonds!A356</f>
        <v>56841</v>
      </c>
      <c r="B356" s="4">
        <f>Bonds!B356</f>
        <v>4.75</v>
      </c>
      <c r="C356">
        <f>Bonds!P356</f>
        <v>58</v>
      </c>
      <c r="D356">
        <f t="shared" si="305"/>
        <v>0</v>
      </c>
      <c r="E356" s="3">
        <f>IF(1&gt;$C356,"",IF($D356=1,EOMONTH(EDATE(Bonds!$H356,6*(1-1)),0),EDATE(Bonds!$H356,6*(1-1))))</f>
        <v>46433</v>
      </c>
      <c r="F356" s="3">
        <f>IF(2&gt;$C356,"",IF($D356=1,EOMONTH(EDATE(Bonds!$H356,6*(2-1)),0),EDATE(Bonds!$H356,6*(2-1))))</f>
        <v>46614</v>
      </c>
      <c r="G356" s="3">
        <f>IF(3&gt;$C356,"",IF($D356=1,EOMONTH(EDATE(Bonds!$H356,6*(3-1)),0),EDATE(Bonds!$H356,6*(3-1))))</f>
        <v>46798</v>
      </c>
      <c r="H356" s="3">
        <f>IF(4&gt;$C356,"",IF($D356=1,EOMONTH(EDATE(Bonds!$H356,6*(4-1)),0),EDATE(Bonds!$H356,6*(4-1))))</f>
        <v>46980</v>
      </c>
      <c r="I356" s="3">
        <f>IF(5&gt;$C356,"",IF($D356=1,EOMONTH(EDATE(Bonds!$H356,6*(5-1)),0),EDATE(Bonds!$H356,6*(5-1))))</f>
        <v>47164</v>
      </c>
      <c r="J356" s="3">
        <f>IF(6&gt;$C356,"",IF($D356=1,EOMONTH(EDATE(Bonds!$H356,6*(6-1)),0),EDATE(Bonds!$H356,6*(6-1))))</f>
        <v>47345</v>
      </c>
      <c r="K356" s="3">
        <f>IF(7&gt;$C356,"",IF($D356=1,EOMONTH(EDATE(Bonds!$H356,6*(7-1)),0),EDATE(Bonds!$H356,6*(7-1))))</f>
        <v>47529</v>
      </c>
      <c r="L356" s="3">
        <f>IF(8&gt;$C356,"",IF($D356=1,EOMONTH(EDATE(Bonds!$H356,6*(8-1)),0),EDATE(Bonds!$H356,6*(8-1))))</f>
        <v>47710</v>
      </c>
      <c r="M356" s="3">
        <f>IF(9&gt;$C356,"",IF($D356=1,EOMONTH(EDATE(Bonds!$H356,6*(9-1)),0),EDATE(Bonds!$H356,6*(9-1))))</f>
        <v>47894</v>
      </c>
      <c r="N356" s="3">
        <f>IF(10&gt;$C356,"",IF($D356=1,EOMONTH(EDATE(Bonds!$H356,6*(10-1)),0),EDATE(Bonds!$H356,6*(10-1))))</f>
        <v>48075</v>
      </c>
      <c r="O356" s="3">
        <f>IF(11&gt;$C356,"",IF($D356=1,EOMONTH(EDATE(Bonds!$H356,6*(11-1)),0),EDATE(Bonds!$H356,6*(11-1))))</f>
        <v>48259</v>
      </c>
      <c r="P356" s="3">
        <f>IF(12&gt;$C356,"",IF($D356=1,EOMONTH(EDATE(Bonds!$H356,6*(12-1)),0),EDATE(Bonds!$H356,6*(12-1))))</f>
        <v>48441</v>
      </c>
      <c r="Q356" s="3">
        <f>IF(13&gt;$C356,"",IF($D356=1,EOMONTH(EDATE(Bonds!$H356,6*(13-1)),0),EDATE(Bonds!$H356,6*(13-1))))</f>
        <v>48625</v>
      </c>
      <c r="R356" s="3">
        <f>IF(14&gt;$C356,"",IF($D356=1,EOMONTH(EDATE(Bonds!$H356,6*(14-1)),0),EDATE(Bonds!$H356,6*(14-1))))</f>
        <v>48806</v>
      </c>
      <c r="S356" s="3">
        <f>IF(15&gt;$C356,"",IF($D356=1,EOMONTH(EDATE(Bonds!$H356,6*(15-1)),0),EDATE(Bonds!$H356,6*(15-1))))</f>
        <v>48990</v>
      </c>
      <c r="T356" s="3">
        <f>IF(16&gt;$C356,"",IF($D356=1,EOMONTH(EDATE(Bonds!$H356,6*(16-1)),0),EDATE(Bonds!$H356,6*(16-1))))</f>
        <v>49171</v>
      </c>
      <c r="U356" s="3">
        <f>IF(17&gt;$C356,"",IF($D356=1,EOMONTH(EDATE(Bonds!$H356,6*(17-1)),0),EDATE(Bonds!$H356,6*(17-1))))</f>
        <v>49355</v>
      </c>
      <c r="V356" s="3">
        <f>IF(18&gt;$C356,"",IF($D356=1,EOMONTH(EDATE(Bonds!$H356,6*(18-1)),0),EDATE(Bonds!$H356,6*(18-1))))</f>
        <v>49536</v>
      </c>
      <c r="W356" s="3">
        <f>IF(19&gt;$C356,"",IF($D356=1,EOMONTH(EDATE(Bonds!$H356,6*(19-1)),0),EDATE(Bonds!$H356,6*(19-1))))</f>
        <v>49720</v>
      </c>
      <c r="X356" s="3">
        <f>IF(20&gt;$C356,"",IF($D356=1,EOMONTH(EDATE(Bonds!$H356,6*(20-1)),0),EDATE(Bonds!$H356,6*(20-1))))</f>
        <v>49902</v>
      </c>
      <c r="Y356" s="3">
        <f>IF(21&gt;$C356,"",IF($D356=1,EOMONTH(EDATE(Bonds!$H356,6*(21-1)),0),EDATE(Bonds!$H356,6*(21-1))))</f>
        <v>50086</v>
      </c>
      <c r="Z356" s="3">
        <f>IF(22&gt;$C356,"",IF($D356=1,EOMONTH(EDATE(Bonds!$H356,6*(22-1)),0),EDATE(Bonds!$H356,6*(22-1))))</f>
        <v>50267</v>
      </c>
      <c r="AA356" s="3">
        <f>IF(23&gt;$C356,"",IF($D356=1,EOMONTH(EDATE(Bonds!$H356,6*(23-1)),0),EDATE(Bonds!$H356,6*(23-1))))</f>
        <v>50451</v>
      </c>
      <c r="AB356" s="3">
        <f>IF(24&gt;$C356,"",IF($D356=1,EOMONTH(EDATE(Bonds!$H356,6*(24-1)),0),EDATE(Bonds!$H356,6*(24-1))))</f>
        <v>50632</v>
      </c>
      <c r="AC356" s="3">
        <f>IF(25&gt;$C356,"",IF($D356=1,EOMONTH(EDATE(Bonds!$H356,6*(25-1)),0),EDATE(Bonds!$H356,6*(25-1))))</f>
        <v>50816</v>
      </c>
      <c r="AD356" s="3">
        <f>IF(26&gt;$C356,"",IF($D356=1,EOMONTH(EDATE(Bonds!$H356,6*(26-1)),0),EDATE(Bonds!$H356,6*(26-1))))</f>
        <v>50997</v>
      </c>
      <c r="AE356" s="3">
        <f>IF(27&gt;$C356,"",IF($D356=1,EOMONTH(EDATE(Bonds!$H356,6*(27-1)),0),EDATE(Bonds!$H356,6*(27-1))))</f>
        <v>51181</v>
      </c>
      <c r="AF356" s="3">
        <f>IF(28&gt;$C356,"",IF($D356=1,EOMONTH(EDATE(Bonds!$H356,6*(28-1)),0),EDATE(Bonds!$H356,6*(28-1))))</f>
        <v>51363</v>
      </c>
      <c r="AG356" s="3">
        <f>IF(29&gt;$C356,"",IF($D356=1,EOMONTH(EDATE(Bonds!$H356,6*(29-1)),0),EDATE(Bonds!$H356,6*(29-1))))</f>
        <v>51547</v>
      </c>
      <c r="AH356" s="3">
        <f>IF(30&gt;$C356,"",IF($D356=1,EOMONTH(EDATE(Bonds!$H356,6*(30-1)),0),EDATE(Bonds!$H356,6*(30-1))))</f>
        <v>51728</v>
      </c>
      <c r="AI356" s="3">
        <f>IF(31&gt;$C356,"",IF($D356=1,EOMONTH(EDATE(Bonds!$H356,6*(31-1)),0),EDATE(Bonds!$H356,6*(31-1))))</f>
        <v>51912</v>
      </c>
      <c r="AJ356" s="3">
        <f>IF(32&gt;$C356,"",IF($D356=1,EOMONTH(EDATE(Bonds!$H356,6*(32-1)),0),EDATE(Bonds!$H356,6*(32-1))))</f>
        <v>52093</v>
      </c>
      <c r="AK356" s="3">
        <f>IF(33&gt;$C356,"",IF($D356=1,EOMONTH(EDATE(Bonds!$H356,6*(33-1)),0),EDATE(Bonds!$H356,6*(33-1))))</f>
        <v>52277</v>
      </c>
      <c r="AL356" s="3">
        <f>IF(34&gt;$C356,"",IF($D356=1,EOMONTH(EDATE(Bonds!$H356,6*(34-1)),0),EDATE(Bonds!$H356,6*(34-1))))</f>
        <v>52458</v>
      </c>
      <c r="AM356" s="3">
        <f>IF(35&gt;$C356,"",IF($D356=1,EOMONTH(EDATE(Bonds!$H356,6*(35-1)),0),EDATE(Bonds!$H356,6*(35-1))))</f>
        <v>52642</v>
      </c>
      <c r="AN356" s="3">
        <f>IF(36&gt;$C356,"",IF($D356=1,EOMONTH(EDATE(Bonds!$H356,6*(36-1)),0),EDATE(Bonds!$H356,6*(36-1))))</f>
        <v>52824</v>
      </c>
      <c r="AO356" s="3">
        <f>IF(37&gt;$C356,"",IF($D356=1,EOMONTH(EDATE(Bonds!$H356,6*(37-1)),0),EDATE(Bonds!$H356,6*(37-1))))</f>
        <v>53008</v>
      </c>
      <c r="AP356" s="3">
        <f>IF(38&gt;$C356,"",IF($D356=1,EOMONTH(EDATE(Bonds!$H356,6*(38-1)),0),EDATE(Bonds!$H356,6*(38-1))))</f>
        <v>53189</v>
      </c>
      <c r="AQ356" s="3">
        <f>IF(39&gt;$C356,"",IF($D356=1,EOMONTH(EDATE(Bonds!$H356,6*(39-1)),0),EDATE(Bonds!$H356,6*(39-1))))</f>
        <v>53373</v>
      </c>
      <c r="AR356" s="3">
        <f>IF(40&gt;$C356,"",IF($D356=1,EOMONTH(EDATE(Bonds!$H356,6*(40-1)),0),EDATE(Bonds!$H356,6*(40-1))))</f>
        <v>53554</v>
      </c>
      <c r="AS356" s="3">
        <f>IF(41&gt;$C356,"",IF($D356=1,EOMONTH(EDATE(Bonds!$H356,6*(41-1)),0),EDATE(Bonds!$H356,6*(41-1))))</f>
        <v>53738</v>
      </c>
      <c r="AT356" s="3">
        <f>IF(42&gt;$C356,"",IF($D356=1,EOMONTH(EDATE(Bonds!$H356,6*(42-1)),0),EDATE(Bonds!$H356,6*(42-1))))</f>
        <v>53919</v>
      </c>
      <c r="AU356" s="3">
        <f>IF(43&gt;$C356,"",IF($D356=1,EOMONTH(EDATE(Bonds!$H356,6*(43-1)),0),EDATE(Bonds!$H356,6*(43-1))))</f>
        <v>54103</v>
      </c>
      <c r="AV356" s="3">
        <f>IF(44&gt;$C356,"",IF($D356=1,EOMONTH(EDATE(Bonds!$H356,6*(44-1)),0),EDATE(Bonds!$H356,6*(44-1))))</f>
        <v>54285</v>
      </c>
      <c r="AW356" s="3">
        <f>IF(45&gt;$C356,"",IF($D356=1,EOMONTH(EDATE(Bonds!$H356,6*(45-1)),0),EDATE(Bonds!$H356,6*(45-1))))</f>
        <v>54469</v>
      </c>
      <c r="AX356" s="3">
        <f>IF(46&gt;$C356,"",IF($D356=1,EOMONTH(EDATE(Bonds!$H356,6*(46-1)),0),EDATE(Bonds!$H356,6*(46-1))))</f>
        <v>54650</v>
      </c>
      <c r="AY356" s="3">
        <f>IF(47&gt;$C356,"",IF($D356=1,EOMONTH(EDATE(Bonds!$H356,6*(47-1)),0),EDATE(Bonds!$H356,6*(47-1))))</f>
        <v>54834</v>
      </c>
      <c r="AZ356" s="3">
        <f>IF(48&gt;$C356,"",IF($D356=1,EOMONTH(EDATE(Bonds!$H356,6*(48-1)),0),EDATE(Bonds!$H356,6*(48-1))))</f>
        <v>55015</v>
      </c>
      <c r="BA356" s="3">
        <f>IF(49&gt;$C356,"",IF($D356=1,EOMONTH(EDATE(Bonds!$H356,6*(49-1)),0),EDATE(Bonds!$H356,6*(49-1))))</f>
        <v>55199</v>
      </c>
      <c r="BB356" s="3">
        <f>IF(50&gt;$C356,"",IF($D356=1,EOMONTH(EDATE(Bonds!$H356,6*(50-1)),0),EDATE(Bonds!$H356,6*(50-1))))</f>
        <v>55380</v>
      </c>
      <c r="BC356" s="3">
        <f>IF(51&gt;$C356,"",IF($D356=1,EOMONTH(EDATE(Bonds!$H356,6*(51-1)),0),EDATE(Bonds!$H356,6*(51-1))))</f>
        <v>55564</v>
      </c>
      <c r="BD356" s="3">
        <f>IF(52&gt;$C356,"",IF($D356=1,EOMONTH(EDATE(Bonds!$H356,6*(52-1)),0),EDATE(Bonds!$H356,6*(52-1))))</f>
        <v>55746</v>
      </c>
      <c r="BE356" s="3">
        <f>IF(53&gt;$C356,"",IF($D356=1,EOMONTH(EDATE(Bonds!$H356,6*(53-1)),0),EDATE(Bonds!$H356,6*(53-1))))</f>
        <v>55930</v>
      </c>
      <c r="BF356" s="3">
        <f>IF(54&gt;$C356,"",IF($D356=1,EOMONTH(EDATE(Bonds!$H356,6*(54-1)),0),EDATE(Bonds!$H356,6*(54-1))))</f>
        <v>56111</v>
      </c>
      <c r="BG356" s="3">
        <f>IF(55&gt;$C356,"",IF($D356=1,EOMONTH(EDATE(Bonds!$H356,6*(55-1)),0),EDATE(Bonds!$H356,6*(55-1))))</f>
        <v>56295</v>
      </c>
      <c r="BH356" s="3">
        <f>IF(56&gt;$C356,"",IF($D356=1,EOMONTH(EDATE(Bonds!$H356,6*(56-1)),0),EDATE(Bonds!$H356,6*(56-1))))</f>
        <v>56476</v>
      </c>
      <c r="BI356" s="3">
        <f>IF(57&gt;$C356,"",IF($D356=1,EOMONTH(EDATE(Bonds!$H356,6*(57-1)),0),EDATE(Bonds!$H356,6*(57-1))))</f>
        <v>56660</v>
      </c>
      <c r="BJ356" s="3">
        <f>IF(58&gt;$C356,"",IF($D356=1,EOMONTH(EDATE(Bonds!$H356,6*(58-1)),0),EDATE(Bonds!$H356,6*(58-1))))</f>
        <v>56841</v>
      </c>
      <c r="BK356" s="3" t="str">
        <f>IF(59&gt;$C356,"",IF($D356=1,EOMONTH(EDATE(Bonds!$H356,6*(59-1)),0),EDATE(Bonds!$H356,6*(59-1))))</f>
        <v/>
      </c>
      <c r="BL356" s="3" t="str">
        <f>IF(60&gt;$C356,"",IF($D356=1,EOMONTH(EDATE(Bonds!$H356,6*(60-1)),0),EDATE(Bonds!$H356,6*(60-1))))</f>
        <v/>
      </c>
      <c r="BN356" s="7">
        <f t="shared" si="306"/>
        <v>2.3347187704174175</v>
      </c>
      <c r="BO356" s="7">
        <f t="shared" si="307"/>
        <v>2.2855068123875473</v>
      </c>
      <c r="BP356" s="7">
        <f t="shared" si="308"/>
        <v>2.2342435061137325</v>
      </c>
      <c r="BQ356" s="7">
        <f t="shared" si="309"/>
        <v>2.1838326224082194</v>
      </c>
      <c r="BR356" s="7">
        <f t="shared" si="310"/>
        <v>2.1338712764780285</v>
      </c>
      <c r="BS356" s="7">
        <f t="shared" si="311"/>
        <v>2.0859245230917653</v>
      </c>
      <c r="BT356" s="7">
        <f t="shared" si="312"/>
        <v>2.0383668696351003</v>
      </c>
      <c r="BU356" s="7">
        <f t="shared" si="313"/>
        <v>1.9925983059785519</v>
      </c>
      <c r="BV356" s="7">
        <f t="shared" si="314"/>
        <v>1.9469105232060857</v>
      </c>
      <c r="BW356" s="7">
        <f t="shared" si="315"/>
        <v>1.9026139874521839</v>
      </c>
      <c r="BX356" s="7">
        <f t="shared" si="316"/>
        <v>1.8580871883797061</v>
      </c>
      <c r="BY356" s="7">
        <f t="shared" si="317"/>
        <v>1.8144314477610579</v>
      </c>
      <c r="BZ356" s="7">
        <f t="shared" si="318"/>
        <v>1.7706127419892679</v>
      </c>
      <c r="CA356" s="7">
        <f t="shared" si="319"/>
        <v>1.7277821673758944</v>
      </c>
      <c r="CB356" s="7">
        <f t="shared" si="320"/>
        <v>1.6845129844227813</v>
      </c>
      <c r="CC356" s="7">
        <f t="shared" si="321"/>
        <v>1.6422334394581741</v>
      </c>
      <c r="CD356" s="7">
        <f t="shared" si="322"/>
        <v>1.5995781915504756</v>
      </c>
      <c r="CE356" s="7">
        <f t="shared" si="323"/>
        <v>1.5579862698488527</v>
      </c>
      <c r="CF356" s="7">
        <f t="shared" si="324"/>
        <v>1.5161362644584098</v>
      </c>
      <c r="CG356" s="7">
        <f t="shared" si="325"/>
        <v>1.4752297073091523</v>
      </c>
      <c r="CH356" s="7">
        <f t="shared" si="326"/>
        <v>1.4344303341543432</v>
      </c>
      <c r="CI356" s="7">
        <f t="shared" si="327"/>
        <v>1.3949020934942835</v>
      </c>
      <c r="CJ356" s="7">
        <f t="shared" si="328"/>
        <v>1.3553923290914585</v>
      </c>
      <c r="CK356" s="7">
        <f t="shared" si="329"/>
        <v>1.3172413010095105</v>
      </c>
      <c r="CL356" s="7">
        <f t="shared" si="330"/>
        <v>1.2792319049803067</v>
      </c>
      <c r="CM356" s="7">
        <f t="shared" si="331"/>
        <v>1.2426442752160505</v>
      </c>
      <c r="CN356" s="7">
        <f t="shared" si="332"/>
        <v>1.206300975972181</v>
      </c>
      <c r="CO356" s="7">
        <f t="shared" si="333"/>
        <v>1.1712254042681456</v>
      </c>
      <c r="CP356" s="7">
        <f t="shared" si="334"/>
        <v>1.136669968458121</v>
      </c>
      <c r="CQ356" s="7">
        <f t="shared" si="335"/>
        <v>1.103583416990199</v>
      </c>
      <c r="CR356" s="7">
        <f t="shared" si="336"/>
        <v>1.0708810115679883</v>
      </c>
      <c r="CS356" s="7">
        <f t="shared" si="337"/>
        <v>1.0396360579002475</v>
      </c>
      <c r="CT356" s="7">
        <f t="shared" si="338"/>
        <v>1.0088153454519424</v>
      </c>
      <c r="CU356" s="7">
        <f t="shared" si="339"/>
        <v>0.9794223655146912</v>
      </c>
      <c r="CV356" s="7">
        <f t="shared" si="340"/>
        <v>0.95047754069942147</v>
      </c>
      <c r="CW356" s="7">
        <f t="shared" si="341"/>
        <v>0.92276667277848734</v>
      </c>
      <c r="CX356" s="7">
        <f t="shared" si="342"/>
        <v>0.89566939466174911</v>
      </c>
      <c r="CY356" s="7">
        <f t="shared" si="343"/>
        <v>0.86990113506475353</v>
      </c>
      <c r="CZ356" s="7">
        <f t="shared" si="344"/>
        <v>0.84459189051693773</v>
      </c>
      <c r="DA356" s="7">
        <f t="shared" si="345"/>
        <v>0.82054978802635292</v>
      </c>
      <c r="DB356" s="7">
        <f t="shared" si="346"/>
        <v>0.79695885128924981</v>
      </c>
      <c r="DC356" s="7">
        <f t="shared" si="347"/>
        <v>0.77456861495419371</v>
      </c>
      <c r="DD356" s="7">
        <f t="shared" si="348"/>
        <v>0.75261576454172741</v>
      </c>
      <c r="DE356" s="7">
        <f t="shared" si="349"/>
        <v>0.73168188564623327</v>
      </c>
      <c r="DF356" s="7">
        <f t="shared" si="350"/>
        <v>0.71128448376960052</v>
      </c>
      <c r="DG356" s="7">
        <f t="shared" si="351"/>
        <v>0.69194942071324406</v>
      </c>
      <c r="DH356" s="7">
        <f t="shared" si="352"/>
        <v>0.67301293691348574</v>
      </c>
      <c r="DI356" s="7">
        <f t="shared" si="353"/>
        <v>0.65507015901825205</v>
      </c>
      <c r="DJ356" s="7">
        <f t="shared" si="354"/>
        <v>0.63750350704202385</v>
      </c>
      <c r="DK356" s="7">
        <f t="shared" si="355"/>
        <v>0.62086367616596627</v>
      </c>
      <c r="DL356" s="7">
        <f t="shared" si="356"/>
        <v>0.60457670526235763</v>
      </c>
      <c r="DM356" s="7">
        <f t="shared" si="357"/>
        <v>0.5890685190717736</v>
      </c>
      <c r="DN356" s="7">
        <f t="shared" si="358"/>
        <v>0.57397653331732124</v>
      </c>
      <c r="DO356" s="7">
        <f t="shared" si="359"/>
        <v>0.5596853064952354</v>
      </c>
      <c r="DP356" s="7">
        <f t="shared" si="360"/>
        <v>0.54570036966323376</v>
      </c>
      <c r="DQ356" s="7">
        <f t="shared" si="361"/>
        <v>0.53245797679054407</v>
      </c>
      <c r="DR356" s="7">
        <f t="shared" si="362"/>
        <v>0.51949947555980391</v>
      </c>
      <c r="DS356" s="7">
        <f t="shared" si="363"/>
        <v>21.864227365730436</v>
      </c>
      <c r="DT356" s="7">
        <f t="shared" si="364"/>
        <v>0</v>
      </c>
      <c r="DU356" s="7">
        <f t="shared" si="365"/>
        <v>0</v>
      </c>
    </row>
    <row r="357" spans="1:125" x14ac:dyDescent="0.2">
      <c r="A357" s="3">
        <f>Bonds!A357</f>
        <v>56933</v>
      </c>
      <c r="B357" s="4">
        <f>Bonds!B357</f>
        <v>4.625</v>
      </c>
      <c r="C357">
        <f>Bonds!P357</f>
        <v>59</v>
      </c>
      <c r="D357">
        <f t="shared" si="305"/>
        <v>0</v>
      </c>
      <c r="E357" s="3">
        <f>IF(1&gt;$C357,"",IF($D357=1,EOMONTH(EDATE(Bonds!$H357,6*(1-1)),0),EDATE(Bonds!$H357,6*(1-1))))</f>
        <v>46341</v>
      </c>
      <c r="F357" s="3">
        <f>IF(2&gt;$C357,"",IF($D357=1,EOMONTH(EDATE(Bonds!$H357,6*(2-1)),0),EDATE(Bonds!$H357,6*(2-1))))</f>
        <v>46522</v>
      </c>
      <c r="G357" s="3">
        <f>IF(3&gt;$C357,"",IF($D357=1,EOMONTH(EDATE(Bonds!$H357,6*(3-1)),0),EDATE(Bonds!$H357,6*(3-1))))</f>
        <v>46706</v>
      </c>
      <c r="H357" s="3">
        <f>IF(4&gt;$C357,"",IF($D357=1,EOMONTH(EDATE(Bonds!$H357,6*(4-1)),0),EDATE(Bonds!$H357,6*(4-1))))</f>
        <v>46888</v>
      </c>
      <c r="I357" s="3">
        <f>IF(5&gt;$C357,"",IF($D357=1,EOMONTH(EDATE(Bonds!$H357,6*(5-1)),0),EDATE(Bonds!$H357,6*(5-1))))</f>
        <v>47072</v>
      </c>
      <c r="J357" s="3">
        <f>IF(6&gt;$C357,"",IF($D357=1,EOMONTH(EDATE(Bonds!$H357,6*(6-1)),0),EDATE(Bonds!$H357,6*(6-1))))</f>
        <v>47253</v>
      </c>
      <c r="K357" s="3">
        <f>IF(7&gt;$C357,"",IF($D357=1,EOMONTH(EDATE(Bonds!$H357,6*(7-1)),0),EDATE(Bonds!$H357,6*(7-1))))</f>
        <v>47437</v>
      </c>
      <c r="L357" s="3">
        <f>IF(8&gt;$C357,"",IF($D357=1,EOMONTH(EDATE(Bonds!$H357,6*(8-1)),0),EDATE(Bonds!$H357,6*(8-1))))</f>
        <v>47618</v>
      </c>
      <c r="M357" s="3">
        <f>IF(9&gt;$C357,"",IF($D357=1,EOMONTH(EDATE(Bonds!$H357,6*(9-1)),0),EDATE(Bonds!$H357,6*(9-1))))</f>
        <v>47802</v>
      </c>
      <c r="N357" s="3">
        <f>IF(10&gt;$C357,"",IF($D357=1,EOMONTH(EDATE(Bonds!$H357,6*(10-1)),0),EDATE(Bonds!$H357,6*(10-1))))</f>
        <v>47983</v>
      </c>
      <c r="O357" s="3">
        <f>IF(11&gt;$C357,"",IF($D357=1,EOMONTH(EDATE(Bonds!$H357,6*(11-1)),0),EDATE(Bonds!$H357,6*(11-1))))</f>
        <v>48167</v>
      </c>
      <c r="P357" s="3">
        <f>IF(12&gt;$C357,"",IF($D357=1,EOMONTH(EDATE(Bonds!$H357,6*(12-1)),0),EDATE(Bonds!$H357,6*(12-1))))</f>
        <v>48349</v>
      </c>
      <c r="Q357" s="3">
        <f>IF(13&gt;$C357,"",IF($D357=1,EOMONTH(EDATE(Bonds!$H357,6*(13-1)),0),EDATE(Bonds!$H357,6*(13-1))))</f>
        <v>48533</v>
      </c>
      <c r="R357" s="3">
        <f>IF(14&gt;$C357,"",IF($D357=1,EOMONTH(EDATE(Bonds!$H357,6*(14-1)),0),EDATE(Bonds!$H357,6*(14-1))))</f>
        <v>48714</v>
      </c>
      <c r="S357" s="3">
        <f>IF(15&gt;$C357,"",IF($D357=1,EOMONTH(EDATE(Bonds!$H357,6*(15-1)),0),EDATE(Bonds!$H357,6*(15-1))))</f>
        <v>48898</v>
      </c>
      <c r="T357" s="3">
        <f>IF(16&gt;$C357,"",IF($D357=1,EOMONTH(EDATE(Bonds!$H357,6*(16-1)),0),EDATE(Bonds!$H357,6*(16-1))))</f>
        <v>49079</v>
      </c>
      <c r="U357" s="3">
        <f>IF(17&gt;$C357,"",IF($D357=1,EOMONTH(EDATE(Bonds!$H357,6*(17-1)),0),EDATE(Bonds!$H357,6*(17-1))))</f>
        <v>49263</v>
      </c>
      <c r="V357" s="3">
        <f>IF(18&gt;$C357,"",IF($D357=1,EOMONTH(EDATE(Bonds!$H357,6*(18-1)),0),EDATE(Bonds!$H357,6*(18-1))))</f>
        <v>49444</v>
      </c>
      <c r="W357" s="3">
        <f>IF(19&gt;$C357,"",IF($D357=1,EOMONTH(EDATE(Bonds!$H357,6*(19-1)),0),EDATE(Bonds!$H357,6*(19-1))))</f>
        <v>49628</v>
      </c>
      <c r="X357" s="3">
        <f>IF(20&gt;$C357,"",IF($D357=1,EOMONTH(EDATE(Bonds!$H357,6*(20-1)),0),EDATE(Bonds!$H357,6*(20-1))))</f>
        <v>49810</v>
      </c>
      <c r="Y357" s="3">
        <f>IF(21&gt;$C357,"",IF($D357=1,EOMONTH(EDATE(Bonds!$H357,6*(21-1)),0),EDATE(Bonds!$H357,6*(21-1))))</f>
        <v>49994</v>
      </c>
      <c r="Z357" s="3">
        <f>IF(22&gt;$C357,"",IF($D357=1,EOMONTH(EDATE(Bonds!$H357,6*(22-1)),0),EDATE(Bonds!$H357,6*(22-1))))</f>
        <v>50175</v>
      </c>
      <c r="AA357" s="3">
        <f>IF(23&gt;$C357,"",IF($D357=1,EOMONTH(EDATE(Bonds!$H357,6*(23-1)),0),EDATE(Bonds!$H357,6*(23-1))))</f>
        <v>50359</v>
      </c>
      <c r="AB357" s="3">
        <f>IF(24&gt;$C357,"",IF($D357=1,EOMONTH(EDATE(Bonds!$H357,6*(24-1)),0),EDATE(Bonds!$H357,6*(24-1))))</f>
        <v>50540</v>
      </c>
      <c r="AC357" s="3">
        <f>IF(25&gt;$C357,"",IF($D357=1,EOMONTH(EDATE(Bonds!$H357,6*(25-1)),0),EDATE(Bonds!$H357,6*(25-1))))</f>
        <v>50724</v>
      </c>
      <c r="AD357" s="3">
        <f>IF(26&gt;$C357,"",IF($D357=1,EOMONTH(EDATE(Bonds!$H357,6*(26-1)),0),EDATE(Bonds!$H357,6*(26-1))))</f>
        <v>50905</v>
      </c>
      <c r="AE357" s="3">
        <f>IF(27&gt;$C357,"",IF($D357=1,EOMONTH(EDATE(Bonds!$H357,6*(27-1)),0),EDATE(Bonds!$H357,6*(27-1))))</f>
        <v>51089</v>
      </c>
      <c r="AF357" s="3">
        <f>IF(28&gt;$C357,"",IF($D357=1,EOMONTH(EDATE(Bonds!$H357,6*(28-1)),0),EDATE(Bonds!$H357,6*(28-1))))</f>
        <v>51271</v>
      </c>
      <c r="AG357" s="3">
        <f>IF(29&gt;$C357,"",IF($D357=1,EOMONTH(EDATE(Bonds!$H357,6*(29-1)),0),EDATE(Bonds!$H357,6*(29-1))))</f>
        <v>51455</v>
      </c>
      <c r="AH357" s="3">
        <f>IF(30&gt;$C357,"",IF($D357=1,EOMONTH(EDATE(Bonds!$H357,6*(30-1)),0),EDATE(Bonds!$H357,6*(30-1))))</f>
        <v>51636</v>
      </c>
      <c r="AI357" s="3">
        <f>IF(31&gt;$C357,"",IF($D357=1,EOMONTH(EDATE(Bonds!$H357,6*(31-1)),0),EDATE(Bonds!$H357,6*(31-1))))</f>
        <v>51820</v>
      </c>
      <c r="AJ357" s="3">
        <f>IF(32&gt;$C357,"",IF($D357=1,EOMONTH(EDATE(Bonds!$H357,6*(32-1)),0),EDATE(Bonds!$H357,6*(32-1))))</f>
        <v>52001</v>
      </c>
      <c r="AK357" s="3">
        <f>IF(33&gt;$C357,"",IF($D357=1,EOMONTH(EDATE(Bonds!$H357,6*(33-1)),0),EDATE(Bonds!$H357,6*(33-1))))</f>
        <v>52185</v>
      </c>
      <c r="AL357" s="3">
        <f>IF(34&gt;$C357,"",IF($D357=1,EOMONTH(EDATE(Bonds!$H357,6*(34-1)),0),EDATE(Bonds!$H357,6*(34-1))))</f>
        <v>52366</v>
      </c>
      <c r="AM357" s="3">
        <f>IF(35&gt;$C357,"",IF($D357=1,EOMONTH(EDATE(Bonds!$H357,6*(35-1)),0),EDATE(Bonds!$H357,6*(35-1))))</f>
        <v>52550</v>
      </c>
      <c r="AN357" s="3">
        <f>IF(36&gt;$C357,"",IF($D357=1,EOMONTH(EDATE(Bonds!$H357,6*(36-1)),0),EDATE(Bonds!$H357,6*(36-1))))</f>
        <v>52732</v>
      </c>
      <c r="AO357" s="3">
        <f>IF(37&gt;$C357,"",IF($D357=1,EOMONTH(EDATE(Bonds!$H357,6*(37-1)),0),EDATE(Bonds!$H357,6*(37-1))))</f>
        <v>52916</v>
      </c>
      <c r="AP357" s="3">
        <f>IF(38&gt;$C357,"",IF($D357=1,EOMONTH(EDATE(Bonds!$H357,6*(38-1)),0),EDATE(Bonds!$H357,6*(38-1))))</f>
        <v>53097</v>
      </c>
      <c r="AQ357" s="3">
        <f>IF(39&gt;$C357,"",IF($D357=1,EOMONTH(EDATE(Bonds!$H357,6*(39-1)),0),EDATE(Bonds!$H357,6*(39-1))))</f>
        <v>53281</v>
      </c>
      <c r="AR357" s="3">
        <f>IF(40&gt;$C357,"",IF($D357=1,EOMONTH(EDATE(Bonds!$H357,6*(40-1)),0),EDATE(Bonds!$H357,6*(40-1))))</f>
        <v>53462</v>
      </c>
      <c r="AS357" s="3">
        <f>IF(41&gt;$C357,"",IF($D357=1,EOMONTH(EDATE(Bonds!$H357,6*(41-1)),0),EDATE(Bonds!$H357,6*(41-1))))</f>
        <v>53646</v>
      </c>
      <c r="AT357" s="3">
        <f>IF(42&gt;$C357,"",IF($D357=1,EOMONTH(EDATE(Bonds!$H357,6*(42-1)),0),EDATE(Bonds!$H357,6*(42-1))))</f>
        <v>53827</v>
      </c>
      <c r="AU357" s="3">
        <f>IF(43&gt;$C357,"",IF($D357=1,EOMONTH(EDATE(Bonds!$H357,6*(43-1)),0),EDATE(Bonds!$H357,6*(43-1))))</f>
        <v>54011</v>
      </c>
      <c r="AV357" s="3">
        <f>IF(44&gt;$C357,"",IF($D357=1,EOMONTH(EDATE(Bonds!$H357,6*(44-1)),0),EDATE(Bonds!$H357,6*(44-1))))</f>
        <v>54193</v>
      </c>
      <c r="AW357" s="3">
        <f>IF(45&gt;$C357,"",IF($D357=1,EOMONTH(EDATE(Bonds!$H357,6*(45-1)),0),EDATE(Bonds!$H357,6*(45-1))))</f>
        <v>54377</v>
      </c>
      <c r="AX357" s="3">
        <f>IF(46&gt;$C357,"",IF($D357=1,EOMONTH(EDATE(Bonds!$H357,6*(46-1)),0),EDATE(Bonds!$H357,6*(46-1))))</f>
        <v>54558</v>
      </c>
      <c r="AY357" s="3">
        <f>IF(47&gt;$C357,"",IF($D357=1,EOMONTH(EDATE(Bonds!$H357,6*(47-1)),0),EDATE(Bonds!$H357,6*(47-1))))</f>
        <v>54742</v>
      </c>
      <c r="AZ357" s="3">
        <f>IF(48&gt;$C357,"",IF($D357=1,EOMONTH(EDATE(Bonds!$H357,6*(48-1)),0),EDATE(Bonds!$H357,6*(48-1))))</f>
        <v>54923</v>
      </c>
      <c r="BA357" s="3">
        <f>IF(49&gt;$C357,"",IF($D357=1,EOMONTH(EDATE(Bonds!$H357,6*(49-1)),0),EDATE(Bonds!$H357,6*(49-1))))</f>
        <v>55107</v>
      </c>
      <c r="BB357" s="3">
        <f>IF(50&gt;$C357,"",IF($D357=1,EOMONTH(EDATE(Bonds!$H357,6*(50-1)),0),EDATE(Bonds!$H357,6*(50-1))))</f>
        <v>55288</v>
      </c>
      <c r="BC357" s="3">
        <f>IF(51&gt;$C357,"",IF($D357=1,EOMONTH(EDATE(Bonds!$H357,6*(51-1)),0),EDATE(Bonds!$H357,6*(51-1))))</f>
        <v>55472</v>
      </c>
      <c r="BD357" s="3">
        <f>IF(52&gt;$C357,"",IF($D357=1,EOMONTH(EDATE(Bonds!$H357,6*(52-1)),0),EDATE(Bonds!$H357,6*(52-1))))</f>
        <v>55654</v>
      </c>
      <c r="BE357" s="3">
        <f>IF(53&gt;$C357,"",IF($D357=1,EOMONTH(EDATE(Bonds!$H357,6*(53-1)),0),EDATE(Bonds!$H357,6*(53-1))))</f>
        <v>55838</v>
      </c>
      <c r="BF357" s="3">
        <f>IF(54&gt;$C357,"",IF($D357=1,EOMONTH(EDATE(Bonds!$H357,6*(54-1)),0),EDATE(Bonds!$H357,6*(54-1))))</f>
        <v>56019</v>
      </c>
      <c r="BG357" s="3">
        <f>IF(55&gt;$C357,"",IF($D357=1,EOMONTH(EDATE(Bonds!$H357,6*(55-1)),0),EDATE(Bonds!$H357,6*(55-1))))</f>
        <v>56203</v>
      </c>
      <c r="BH357" s="3">
        <f>IF(56&gt;$C357,"",IF($D357=1,EOMONTH(EDATE(Bonds!$H357,6*(56-1)),0),EDATE(Bonds!$H357,6*(56-1))))</f>
        <v>56384</v>
      </c>
      <c r="BI357" s="3">
        <f>IF(57&gt;$C357,"",IF($D357=1,EOMONTH(EDATE(Bonds!$H357,6*(57-1)),0),EDATE(Bonds!$H357,6*(57-1))))</f>
        <v>56568</v>
      </c>
      <c r="BJ357" s="3">
        <f>IF(58&gt;$C357,"",IF($D357=1,EOMONTH(EDATE(Bonds!$H357,6*(58-1)),0),EDATE(Bonds!$H357,6*(58-1))))</f>
        <v>56749</v>
      </c>
      <c r="BK357" s="3">
        <f>IF(59&gt;$C357,"",IF($D357=1,EOMONTH(EDATE(Bonds!$H357,6*(59-1)),0),EDATE(Bonds!$H357,6*(59-1))))</f>
        <v>56933</v>
      </c>
      <c r="BL357" s="3" t="str">
        <f>IF(60&gt;$C357,"",IF($D357=1,EOMONTH(EDATE(Bonds!$H357,6*(60-1)),0),EDATE(Bonds!$H357,6*(60-1))))</f>
        <v/>
      </c>
      <c r="BN357" s="7">
        <f t="shared" si="306"/>
        <v>2.296371659762543</v>
      </c>
      <c r="BO357" s="7">
        <f t="shared" si="307"/>
        <v>2.250000028487857</v>
      </c>
      <c r="BP357" s="7">
        <f t="shared" si="308"/>
        <v>2.2004381660209886</v>
      </c>
      <c r="BQ357" s="7">
        <f t="shared" si="309"/>
        <v>2.1510832020961623</v>
      </c>
      <c r="BR357" s="7">
        <f t="shared" si="310"/>
        <v>2.1018958523248266</v>
      </c>
      <c r="BS357" s="7">
        <f t="shared" si="311"/>
        <v>2.0546146297838224</v>
      </c>
      <c r="BT357" s="7">
        <f t="shared" si="312"/>
        <v>2.0077412893692221</v>
      </c>
      <c r="BU357" s="7">
        <f t="shared" si="313"/>
        <v>1.9627016433118196</v>
      </c>
      <c r="BV357" s="7">
        <f t="shared" si="314"/>
        <v>1.9178274738335161</v>
      </c>
      <c r="BW357" s="7">
        <f t="shared" si="315"/>
        <v>1.8743999143779153</v>
      </c>
      <c r="BX357" s="7">
        <f t="shared" si="316"/>
        <v>1.8308137314441071</v>
      </c>
      <c r="BY357" s="7">
        <f t="shared" si="317"/>
        <v>1.788128734633047</v>
      </c>
      <c r="BZ357" s="7">
        <f t="shared" si="318"/>
        <v>1.7453147867725984</v>
      </c>
      <c r="CA357" s="7">
        <f t="shared" si="319"/>
        <v>1.7034795521745802</v>
      </c>
      <c r="CB357" s="7">
        <f t="shared" si="320"/>
        <v>1.6612150767175808</v>
      </c>
      <c r="CC357" s="7">
        <f t="shared" si="321"/>
        <v>1.6199053152030525</v>
      </c>
      <c r="CD357" s="7">
        <f t="shared" si="322"/>
        <v>1.5782077479337711</v>
      </c>
      <c r="CE357" s="7">
        <f t="shared" si="323"/>
        <v>1.5375233015116265</v>
      </c>
      <c r="CF357" s="7">
        <f t="shared" si="324"/>
        <v>1.4965556648661016</v>
      </c>
      <c r="CG357" s="7">
        <f t="shared" si="325"/>
        <v>1.4564788702223239</v>
      </c>
      <c r="CH357" s="7">
        <f t="shared" si="326"/>
        <v>1.4164730987103589</v>
      </c>
      <c r="CI357" s="7">
        <f t="shared" si="327"/>
        <v>1.3776805004432811</v>
      </c>
      <c r="CJ357" s="7">
        <f t="shared" si="328"/>
        <v>1.3388731095942299</v>
      </c>
      <c r="CK357" s="7">
        <f t="shared" si="329"/>
        <v>1.3013692638546404</v>
      </c>
      <c r="CL357" s="7">
        <f t="shared" si="330"/>
        <v>1.2639748291003476</v>
      </c>
      <c r="CM357" s="7">
        <f t="shared" si="331"/>
        <v>1.2279517237952282</v>
      </c>
      <c r="CN357" s="7">
        <f t="shared" si="332"/>
        <v>1.1921433412778568</v>
      </c>
      <c r="CO357" s="7">
        <f t="shared" si="333"/>
        <v>1.1575604536675552</v>
      </c>
      <c r="CP357" s="7">
        <f t="shared" si="334"/>
        <v>1.123468624797048</v>
      </c>
      <c r="CQ357" s="7">
        <f t="shared" si="335"/>
        <v>1.0908065587042135</v>
      </c>
      <c r="CR357" s="7">
        <f t="shared" si="336"/>
        <v>1.0585058666714933</v>
      </c>
      <c r="CS357" s="7">
        <f t="shared" si="337"/>
        <v>1.0276289122566582</v>
      </c>
      <c r="CT357" s="7">
        <f t="shared" si="338"/>
        <v>0.99715679323978268</v>
      </c>
      <c r="CU357" s="7">
        <f t="shared" si="339"/>
        <v>0.96808358967389407</v>
      </c>
      <c r="CV357" s="7">
        <f t="shared" si="340"/>
        <v>0.93944220493671071</v>
      </c>
      <c r="CW357" s="7">
        <f t="shared" si="341"/>
        <v>0.91201175560472636</v>
      </c>
      <c r="CX357" s="7">
        <f t="shared" si="342"/>
        <v>0.88517967878070858</v>
      </c>
      <c r="CY357" s="7">
        <f t="shared" si="343"/>
        <v>0.85965582714540645</v>
      </c>
      <c r="CZ357" s="7">
        <f t="shared" si="344"/>
        <v>0.83457969319528469</v>
      </c>
      <c r="DA357" s="7">
        <f t="shared" si="345"/>
        <v>0.8107530560897579</v>
      </c>
      <c r="DB357" s="7">
        <f t="shared" si="346"/>
        <v>0.78736825662403287</v>
      </c>
      <c r="DC357" s="7">
        <f t="shared" si="347"/>
        <v>0.76516915851986667</v>
      </c>
      <c r="DD357" s="7">
        <f t="shared" si="348"/>
        <v>0.74339976388215256</v>
      </c>
      <c r="DE357" s="7">
        <f t="shared" si="349"/>
        <v>0.72263746755313218</v>
      </c>
      <c r="DF357" s="7">
        <f t="shared" si="350"/>
        <v>0.70240436259224204</v>
      </c>
      <c r="DG357" s="7">
        <f t="shared" si="351"/>
        <v>0.68322264464965998</v>
      </c>
      <c r="DH357" s="7">
        <f t="shared" si="352"/>
        <v>0.66443430802929371</v>
      </c>
      <c r="DI357" s="7">
        <f t="shared" si="353"/>
        <v>0.64663024375201972</v>
      </c>
      <c r="DJ357" s="7">
        <f t="shared" si="354"/>
        <v>0.62919802182080287</v>
      </c>
      <c r="DK357" s="7">
        <f t="shared" si="355"/>
        <v>0.61268444310344172</v>
      </c>
      <c r="DL357" s="7">
        <f t="shared" si="356"/>
        <v>0.59652018484219271</v>
      </c>
      <c r="DM357" s="7">
        <f t="shared" si="357"/>
        <v>0.58112819710429708</v>
      </c>
      <c r="DN357" s="7">
        <f t="shared" si="358"/>
        <v>0.566148823171155</v>
      </c>
      <c r="DO357" s="7">
        <f t="shared" si="359"/>
        <v>0.55196393139934807</v>
      </c>
      <c r="DP357" s="7">
        <f t="shared" si="360"/>
        <v>0.53808288343188038</v>
      </c>
      <c r="DQ357" s="7">
        <f t="shared" si="361"/>
        <v>0.52493881682690691</v>
      </c>
      <c r="DR357" s="7">
        <f t="shared" si="362"/>
        <v>0.51207659039582631</v>
      </c>
      <c r="DS357" s="7">
        <f t="shared" si="363"/>
        <v>0.49989714034336225</v>
      </c>
      <c r="DT357" s="7">
        <f t="shared" si="364"/>
        <v>21.589746252371018</v>
      </c>
      <c r="DU357" s="7">
        <f t="shared" si="365"/>
        <v>0</v>
      </c>
    </row>
    <row r="358" spans="1:125" x14ac:dyDescent="0.2">
      <c r="A358" s="3">
        <f>Bonds!A358</f>
        <v>57025</v>
      </c>
      <c r="B358" s="4">
        <f>Bonds!B358</f>
        <v>4.75</v>
      </c>
      <c r="C358">
        <f>Bonds!P358</f>
        <v>59</v>
      </c>
      <c r="D358">
        <f t="shared" si="305"/>
        <v>0</v>
      </c>
      <c r="E358" s="3">
        <f>IF(1&gt;$C358,"",IF($D358=1,EOMONTH(EDATE(Bonds!$H358,6*(1-1)),0),EDATE(Bonds!$H358,6*(1-1))))</f>
        <v>46433</v>
      </c>
      <c r="F358" s="3">
        <f>IF(2&gt;$C358,"",IF($D358=1,EOMONTH(EDATE(Bonds!$H358,6*(2-1)),0),EDATE(Bonds!$H358,6*(2-1))))</f>
        <v>46614</v>
      </c>
      <c r="G358" s="3">
        <f>IF(3&gt;$C358,"",IF($D358=1,EOMONTH(EDATE(Bonds!$H358,6*(3-1)),0),EDATE(Bonds!$H358,6*(3-1))))</f>
        <v>46798</v>
      </c>
      <c r="H358" s="3">
        <f>IF(4&gt;$C358,"",IF($D358=1,EOMONTH(EDATE(Bonds!$H358,6*(4-1)),0),EDATE(Bonds!$H358,6*(4-1))))</f>
        <v>46980</v>
      </c>
      <c r="I358" s="3">
        <f>IF(5&gt;$C358,"",IF($D358=1,EOMONTH(EDATE(Bonds!$H358,6*(5-1)),0),EDATE(Bonds!$H358,6*(5-1))))</f>
        <v>47164</v>
      </c>
      <c r="J358" s="3">
        <f>IF(6&gt;$C358,"",IF($D358=1,EOMONTH(EDATE(Bonds!$H358,6*(6-1)),0),EDATE(Bonds!$H358,6*(6-1))))</f>
        <v>47345</v>
      </c>
      <c r="K358" s="3">
        <f>IF(7&gt;$C358,"",IF($D358=1,EOMONTH(EDATE(Bonds!$H358,6*(7-1)),0),EDATE(Bonds!$H358,6*(7-1))))</f>
        <v>47529</v>
      </c>
      <c r="L358" s="3">
        <f>IF(8&gt;$C358,"",IF($D358=1,EOMONTH(EDATE(Bonds!$H358,6*(8-1)),0),EDATE(Bonds!$H358,6*(8-1))))</f>
        <v>47710</v>
      </c>
      <c r="M358" s="3">
        <f>IF(9&gt;$C358,"",IF($D358=1,EOMONTH(EDATE(Bonds!$H358,6*(9-1)),0),EDATE(Bonds!$H358,6*(9-1))))</f>
        <v>47894</v>
      </c>
      <c r="N358" s="3">
        <f>IF(10&gt;$C358,"",IF($D358=1,EOMONTH(EDATE(Bonds!$H358,6*(10-1)),0),EDATE(Bonds!$H358,6*(10-1))))</f>
        <v>48075</v>
      </c>
      <c r="O358" s="3">
        <f>IF(11&gt;$C358,"",IF($D358=1,EOMONTH(EDATE(Bonds!$H358,6*(11-1)),0),EDATE(Bonds!$H358,6*(11-1))))</f>
        <v>48259</v>
      </c>
      <c r="P358" s="3">
        <f>IF(12&gt;$C358,"",IF($D358=1,EOMONTH(EDATE(Bonds!$H358,6*(12-1)),0),EDATE(Bonds!$H358,6*(12-1))))</f>
        <v>48441</v>
      </c>
      <c r="Q358" s="3">
        <f>IF(13&gt;$C358,"",IF($D358=1,EOMONTH(EDATE(Bonds!$H358,6*(13-1)),0),EDATE(Bonds!$H358,6*(13-1))))</f>
        <v>48625</v>
      </c>
      <c r="R358" s="3">
        <f>IF(14&gt;$C358,"",IF($D358=1,EOMONTH(EDATE(Bonds!$H358,6*(14-1)),0),EDATE(Bonds!$H358,6*(14-1))))</f>
        <v>48806</v>
      </c>
      <c r="S358" s="3">
        <f>IF(15&gt;$C358,"",IF($D358=1,EOMONTH(EDATE(Bonds!$H358,6*(15-1)),0),EDATE(Bonds!$H358,6*(15-1))))</f>
        <v>48990</v>
      </c>
      <c r="T358" s="3">
        <f>IF(16&gt;$C358,"",IF($D358=1,EOMONTH(EDATE(Bonds!$H358,6*(16-1)),0),EDATE(Bonds!$H358,6*(16-1))))</f>
        <v>49171</v>
      </c>
      <c r="U358" s="3">
        <f>IF(17&gt;$C358,"",IF($D358=1,EOMONTH(EDATE(Bonds!$H358,6*(17-1)),0),EDATE(Bonds!$H358,6*(17-1))))</f>
        <v>49355</v>
      </c>
      <c r="V358" s="3">
        <f>IF(18&gt;$C358,"",IF($D358=1,EOMONTH(EDATE(Bonds!$H358,6*(18-1)),0),EDATE(Bonds!$H358,6*(18-1))))</f>
        <v>49536</v>
      </c>
      <c r="W358" s="3">
        <f>IF(19&gt;$C358,"",IF($D358=1,EOMONTH(EDATE(Bonds!$H358,6*(19-1)),0),EDATE(Bonds!$H358,6*(19-1))))</f>
        <v>49720</v>
      </c>
      <c r="X358" s="3">
        <f>IF(20&gt;$C358,"",IF($D358=1,EOMONTH(EDATE(Bonds!$H358,6*(20-1)),0),EDATE(Bonds!$H358,6*(20-1))))</f>
        <v>49902</v>
      </c>
      <c r="Y358" s="3">
        <f>IF(21&gt;$C358,"",IF($D358=1,EOMONTH(EDATE(Bonds!$H358,6*(21-1)),0),EDATE(Bonds!$H358,6*(21-1))))</f>
        <v>50086</v>
      </c>
      <c r="Z358" s="3">
        <f>IF(22&gt;$C358,"",IF($D358=1,EOMONTH(EDATE(Bonds!$H358,6*(22-1)),0),EDATE(Bonds!$H358,6*(22-1))))</f>
        <v>50267</v>
      </c>
      <c r="AA358" s="3">
        <f>IF(23&gt;$C358,"",IF($D358=1,EOMONTH(EDATE(Bonds!$H358,6*(23-1)),0),EDATE(Bonds!$H358,6*(23-1))))</f>
        <v>50451</v>
      </c>
      <c r="AB358" s="3">
        <f>IF(24&gt;$C358,"",IF($D358=1,EOMONTH(EDATE(Bonds!$H358,6*(24-1)),0),EDATE(Bonds!$H358,6*(24-1))))</f>
        <v>50632</v>
      </c>
      <c r="AC358" s="3">
        <f>IF(25&gt;$C358,"",IF($D358=1,EOMONTH(EDATE(Bonds!$H358,6*(25-1)),0),EDATE(Bonds!$H358,6*(25-1))))</f>
        <v>50816</v>
      </c>
      <c r="AD358" s="3">
        <f>IF(26&gt;$C358,"",IF($D358=1,EOMONTH(EDATE(Bonds!$H358,6*(26-1)),0),EDATE(Bonds!$H358,6*(26-1))))</f>
        <v>50997</v>
      </c>
      <c r="AE358" s="3">
        <f>IF(27&gt;$C358,"",IF($D358=1,EOMONTH(EDATE(Bonds!$H358,6*(27-1)),0),EDATE(Bonds!$H358,6*(27-1))))</f>
        <v>51181</v>
      </c>
      <c r="AF358" s="3">
        <f>IF(28&gt;$C358,"",IF($D358=1,EOMONTH(EDATE(Bonds!$H358,6*(28-1)),0),EDATE(Bonds!$H358,6*(28-1))))</f>
        <v>51363</v>
      </c>
      <c r="AG358" s="3">
        <f>IF(29&gt;$C358,"",IF($D358=1,EOMONTH(EDATE(Bonds!$H358,6*(29-1)),0),EDATE(Bonds!$H358,6*(29-1))))</f>
        <v>51547</v>
      </c>
      <c r="AH358" s="3">
        <f>IF(30&gt;$C358,"",IF($D358=1,EOMONTH(EDATE(Bonds!$H358,6*(30-1)),0),EDATE(Bonds!$H358,6*(30-1))))</f>
        <v>51728</v>
      </c>
      <c r="AI358" s="3">
        <f>IF(31&gt;$C358,"",IF($D358=1,EOMONTH(EDATE(Bonds!$H358,6*(31-1)),0),EDATE(Bonds!$H358,6*(31-1))))</f>
        <v>51912</v>
      </c>
      <c r="AJ358" s="3">
        <f>IF(32&gt;$C358,"",IF($D358=1,EOMONTH(EDATE(Bonds!$H358,6*(32-1)),0),EDATE(Bonds!$H358,6*(32-1))))</f>
        <v>52093</v>
      </c>
      <c r="AK358" s="3">
        <f>IF(33&gt;$C358,"",IF($D358=1,EOMONTH(EDATE(Bonds!$H358,6*(33-1)),0),EDATE(Bonds!$H358,6*(33-1))))</f>
        <v>52277</v>
      </c>
      <c r="AL358" s="3">
        <f>IF(34&gt;$C358,"",IF($D358=1,EOMONTH(EDATE(Bonds!$H358,6*(34-1)),0),EDATE(Bonds!$H358,6*(34-1))))</f>
        <v>52458</v>
      </c>
      <c r="AM358" s="3">
        <f>IF(35&gt;$C358,"",IF($D358=1,EOMONTH(EDATE(Bonds!$H358,6*(35-1)),0),EDATE(Bonds!$H358,6*(35-1))))</f>
        <v>52642</v>
      </c>
      <c r="AN358" s="3">
        <f>IF(36&gt;$C358,"",IF($D358=1,EOMONTH(EDATE(Bonds!$H358,6*(36-1)),0),EDATE(Bonds!$H358,6*(36-1))))</f>
        <v>52824</v>
      </c>
      <c r="AO358" s="3">
        <f>IF(37&gt;$C358,"",IF($D358=1,EOMONTH(EDATE(Bonds!$H358,6*(37-1)),0),EDATE(Bonds!$H358,6*(37-1))))</f>
        <v>53008</v>
      </c>
      <c r="AP358" s="3">
        <f>IF(38&gt;$C358,"",IF($D358=1,EOMONTH(EDATE(Bonds!$H358,6*(38-1)),0),EDATE(Bonds!$H358,6*(38-1))))</f>
        <v>53189</v>
      </c>
      <c r="AQ358" s="3">
        <f>IF(39&gt;$C358,"",IF($D358=1,EOMONTH(EDATE(Bonds!$H358,6*(39-1)),0),EDATE(Bonds!$H358,6*(39-1))))</f>
        <v>53373</v>
      </c>
      <c r="AR358" s="3">
        <f>IF(40&gt;$C358,"",IF($D358=1,EOMONTH(EDATE(Bonds!$H358,6*(40-1)),0),EDATE(Bonds!$H358,6*(40-1))))</f>
        <v>53554</v>
      </c>
      <c r="AS358" s="3">
        <f>IF(41&gt;$C358,"",IF($D358=1,EOMONTH(EDATE(Bonds!$H358,6*(41-1)),0),EDATE(Bonds!$H358,6*(41-1))))</f>
        <v>53738</v>
      </c>
      <c r="AT358" s="3">
        <f>IF(42&gt;$C358,"",IF($D358=1,EOMONTH(EDATE(Bonds!$H358,6*(42-1)),0),EDATE(Bonds!$H358,6*(42-1))))</f>
        <v>53919</v>
      </c>
      <c r="AU358" s="3">
        <f>IF(43&gt;$C358,"",IF($D358=1,EOMONTH(EDATE(Bonds!$H358,6*(43-1)),0),EDATE(Bonds!$H358,6*(43-1))))</f>
        <v>54103</v>
      </c>
      <c r="AV358" s="3">
        <f>IF(44&gt;$C358,"",IF($D358=1,EOMONTH(EDATE(Bonds!$H358,6*(44-1)),0),EDATE(Bonds!$H358,6*(44-1))))</f>
        <v>54285</v>
      </c>
      <c r="AW358" s="3">
        <f>IF(45&gt;$C358,"",IF($D358=1,EOMONTH(EDATE(Bonds!$H358,6*(45-1)),0),EDATE(Bonds!$H358,6*(45-1))))</f>
        <v>54469</v>
      </c>
      <c r="AX358" s="3">
        <f>IF(46&gt;$C358,"",IF($D358=1,EOMONTH(EDATE(Bonds!$H358,6*(46-1)),0),EDATE(Bonds!$H358,6*(46-1))))</f>
        <v>54650</v>
      </c>
      <c r="AY358" s="3">
        <f>IF(47&gt;$C358,"",IF($D358=1,EOMONTH(EDATE(Bonds!$H358,6*(47-1)),0),EDATE(Bonds!$H358,6*(47-1))))</f>
        <v>54834</v>
      </c>
      <c r="AZ358" s="3">
        <f>IF(48&gt;$C358,"",IF($D358=1,EOMONTH(EDATE(Bonds!$H358,6*(48-1)),0),EDATE(Bonds!$H358,6*(48-1))))</f>
        <v>55015</v>
      </c>
      <c r="BA358" s="3">
        <f>IF(49&gt;$C358,"",IF($D358=1,EOMONTH(EDATE(Bonds!$H358,6*(49-1)),0),EDATE(Bonds!$H358,6*(49-1))))</f>
        <v>55199</v>
      </c>
      <c r="BB358" s="3">
        <f>IF(50&gt;$C358,"",IF($D358=1,EOMONTH(EDATE(Bonds!$H358,6*(50-1)),0),EDATE(Bonds!$H358,6*(50-1))))</f>
        <v>55380</v>
      </c>
      <c r="BC358" s="3">
        <f>IF(51&gt;$C358,"",IF($D358=1,EOMONTH(EDATE(Bonds!$H358,6*(51-1)),0),EDATE(Bonds!$H358,6*(51-1))))</f>
        <v>55564</v>
      </c>
      <c r="BD358" s="3">
        <f>IF(52&gt;$C358,"",IF($D358=1,EOMONTH(EDATE(Bonds!$H358,6*(52-1)),0),EDATE(Bonds!$H358,6*(52-1))))</f>
        <v>55746</v>
      </c>
      <c r="BE358" s="3">
        <f>IF(53&gt;$C358,"",IF($D358=1,EOMONTH(EDATE(Bonds!$H358,6*(53-1)),0),EDATE(Bonds!$H358,6*(53-1))))</f>
        <v>55930</v>
      </c>
      <c r="BF358" s="3">
        <f>IF(54&gt;$C358,"",IF($D358=1,EOMONTH(EDATE(Bonds!$H358,6*(54-1)),0),EDATE(Bonds!$H358,6*(54-1))))</f>
        <v>56111</v>
      </c>
      <c r="BG358" s="3">
        <f>IF(55&gt;$C358,"",IF($D358=1,EOMONTH(EDATE(Bonds!$H358,6*(55-1)),0),EDATE(Bonds!$H358,6*(55-1))))</f>
        <v>56295</v>
      </c>
      <c r="BH358" s="3">
        <f>IF(56&gt;$C358,"",IF($D358=1,EOMONTH(EDATE(Bonds!$H358,6*(56-1)),0),EDATE(Bonds!$H358,6*(56-1))))</f>
        <v>56476</v>
      </c>
      <c r="BI358" s="3">
        <f>IF(57&gt;$C358,"",IF($D358=1,EOMONTH(EDATE(Bonds!$H358,6*(57-1)),0),EDATE(Bonds!$H358,6*(57-1))))</f>
        <v>56660</v>
      </c>
      <c r="BJ358" s="3">
        <f>IF(58&gt;$C358,"",IF($D358=1,EOMONTH(EDATE(Bonds!$H358,6*(58-1)),0),EDATE(Bonds!$H358,6*(58-1))))</f>
        <v>56841</v>
      </c>
      <c r="BK358" s="3">
        <f>IF(59&gt;$C358,"",IF($D358=1,EOMONTH(EDATE(Bonds!$H358,6*(59-1)),0),EDATE(Bonds!$H358,6*(59-1))))</f>
        <v>57025</v>
      </c>
      <c r="BL358" s="3" t="str">
        <f>IF(60&gt;$C358,"",IF($D358=1,EOMONTH(EDATE(Bonds!$H358,6*(60-1)),0),EDATE(Bonds!$H358,6*(60-1))))</f>
        <v/>
      </c>
      <c r="BN358" s="7">
        <f t="shared" si="306"/>
        <v>2.3347187704174175</v>
      </c>
      <c r="BO358" s="7">
        <f t="shared" si="307"/>
        <v>2.2855068123875473</v>
      </c>
      <c r="BP358" s="7">
        <f t="shared" si="308"/>
        <v>2.2342435061137325</v>
      </c>
      <c r="BQ358" s="7">
        <f t="shared" si="309"/>
        <v>2.1838326224082194</v>
      </c>
      <c r="BR358" s="7">
        <f t="shared" si="310"/>
        <v>2.1338712764780285</v>
      </c>
      <c r="BS358" s="7">
        <f t="shared" si="311"/>
        <v>2.0859245230917653</v>
      </c>
      <c r="BT358" s="7">
        <f t="shared" si="312"/>
        <v>2.0383668696351003</v>
      </c>
      <c r="BU358" s="7">
        <f t="shared" si="313"/>
        <v>1.9925983059785519</v>
      </c>
      <c r="BV358" s="7">
        <f t="shared" si="314"/>
        <v>1.9469105232060857</v>
      </c>
      <c r="BW358" s="7">
        <f t="shared" si="315"/>
        <v>1.9026139874521839</v>
      </c>
      <c r="BX358" s="7">
        <f t="shared" si="316"/>
        <v>1.8580871883797061</v>
      </c>
      <c r="BY358" s="7">
        <f t="shared" si="317"/>
        <v>1.8144314477610579</v>
      </c>
      <c r="BZ358" s="7">
        <f t="shared" si="318"/>
        <v>1.7706127419892679</v>
      </c>
      <c r="CA358" s="7">
        <f t="shared" si="319"/>
        <v>1.7277821673758944</v>
      </c>
      <c r="CB358" s="7">
        <f t="shared" si="320"/>
        <v>1.6845129844227813</v>
      </c>
      <c r="CC358" s="7">
        <f t="shared" si="321"/>
        <v>1.6422334394581741</v>
      </c>
      <c r="CD358" s="7">
        <f t="shared" si="322"/>
        <v>1.5995781915504756</v>
      </c>
      <c r="CE358" s="7">
        <f t="shared" si="323"/>
        <v>1.5579862698488527</v>
      </c>
      <c r="CF358" s="7">
        <f t="shared" si="324"/>
        <v>1.5161362644584098</v>
      </c>
      <c r="CG358" s="7">
        <f t="shared" si="325"/>
        <v>1.4752297073091523</v>
      </c>
      <c r="CH358" s="7">
        <f t="shared" si="326"/>
        <v>1.4344303341543432</v>
      </c>
      <c r="CI358" s="7">
        <f t="shared" si="327"/>
        <v>1.3949020934942835</v>
      </c>
      <c r="CJ358" s="7">
        <f t="shared" si="328"/>
        <v>1.3553923290914585</v>
      </c>
      <c r="CK358" s="7">
        <f t="shared" si="329"/>
        <v>1.3172413010095105</v>
      </c>
      <c r="CL358" s="7">
        <f t="shared" si="330"/>
        <v>1.2792319049803067</v>
      </c>
      <c r="CM358" s="7">
        <f t="shared" si="331"/>
        <v>1.2426442752160505</v>
      </c>
      <c r="CN358" s="7">
        <f t="shared" si="332"/>
        <v>1.206300975972181</v>
      </c>
      <c r="CO358" s="7">
        <f t="shared" si="333"/>
        <v>1.1712254042681456</v>
      </c>
      <c r="CP358" s="7">
        <f t="shared" si="334"/>
        <v>1.136669968458121</v>
      </c>
      <c r="CQ358" s="7">
        <f t="shared" si="335"/>
        <v>1.103583416990199</v>
      </c>
      <c r="CR358" s="7">
        <f t="shared" si="336"/>
        <v>1.0708810115679883</v>
      </c>
      <c r="CS358" s="7">
        <f t="shared" si="337"/>
        <v>1.0396360579002475</v>
      </c>
      <c r="CT358" s="7">
        <f t="shared" si="338"/>
        <v>1.0088153454519424</v>
      </c>
      <c r="CU358" s="7">
        <f t="shared" si="339"/>
        <v>0.9794223655146912</v>
      </c>
      <c r="CV358" s="7">
        <f t="shared" si="340"/>
        <v>0.95047754069942147</v>
      </c>
      <c r="CW358" s="7">
        <f t="shared" si="341"/>
        <v>0.92276667277848734</v>
      </c>
      <c r="CX358" s="7">
        <f t="shared" si="342"/>
        <v>0.89566939466174911</v>
      </c>
      <c r="CY358" s="7">
        <f t="shared" si="343"/>
        <v>0.86990113506475353</v>
      </c>
      <c r="CZ358" s="7">
        <f t="shared" si="344"/>
        <v>0.84459189051693773</v>
      </c>
      <c r="DA358" s="7">
        <f t="shared" si="345"/>
        <v>0.82054978802635292</v>
      </c>
      <c r="DB358" s="7">
        <f t="shared" si="346"/>
        <v>0.79695885128924981</v>
      </c>
      <c r="DC358" s="7">
        <f t="shared" si="347"/>
        <v>0.77456861495419371</v>
      </c>
      <c r="DD358" s="7">
        <f t="shared" si="348"/>
        <v>0.75261576454172741</v>
      </c>
      <c r="DE358" s="7">
        <f t="shared" si="349"/>
        <v>0.73168188564623327</v>
      </c>
      <c r="DF358" s="7">
        <f t="shared" si="350"/>
        <v>0.71128448376960052</v>
      </c>
      <c r="DG358" s="7">
        <f t="shared" si="351"/>
        <v>0.69194942071324406</v>
      </c>
      <c r="DH358" s="7">
        <f t="shared" si="352"/>
        <v>0.67301293691348574</v>
      </c>
      <c r="DI358" s="7">
        <f t="shared" si="353"/>
        <v>0.65507015901825205</v>
      </c>
      <c r="DJ358" s="7">
        <f t="shared" si="354"/>
        <v>0.63750350704202385</v>
      </c>
      <c r="DK358" s="7">
        <f t="shared" si="355"/>
        <v>0.62086367616596627</v>
      </c>
      <c r="DL358" s="7">
        <f t="shared" si="356"/>
        <v>0.60457670526235763</v>
      </c>
      <c r="DM358" s="7">
        <f t="shared" si="357"/>
        <v>0.5890685190717736</v>
      </c>
      <c r="DN358" s="7">
        <f t="shared" si="358"/>
        <v>0.57397653331732124</v>
      </c>
      <c r="DO358" s="7">
        <f t="shared" si="359"/>
        <v>0.5596853064952354</v>
      </c>
      <c r="DP358" s="7">
        <f t="shared" si="360"/>
        <v>0.54570036966323376</v>
      </c>
      <c r="DQ358" s="7">
        <f t="shared" si="361"/>
        <v>0.53245797679054407</v>
      </c>
      <c r="DR358" s="7">
        <f t="shared" si="362"/>
        <v>0.51949947555980391</v>
      </c>
      <c r="DS358" s="7">
        <f t="shared" si="363"/>
        <v>0.5072287178862982</v>
      </c>
      <c r="DT358" s="7">
        <f t="shared" si="364"/>
        <v>21.346604992333969</v>
      </c>
      <c r="DU358" s="7">
        <f t="shared" si="365"/>
        <v>0</v>
      </c>
    </row>
    <row r="359" spans="1:125" x14ac:dyDescent="0.2">
      <c r="A359" s="3">
        <f>Bonds!A359</f>
        <v>57115</v>
      </c>
      <c r="B359" s="4">
        <f>Bonds!B359</f>
        <v>5</v>
      </c>
      <c r="C359">
        <f>Bonds!P359</f>
        <v>60</v>
      </c>
      <c r="D359">
        <f t="shared" si="305"/>
        <v>0</v>
      </c>
      <c r="E359" s="3">
        <f>IF(1&gt;$C359,"",IF($D359=1,EOMONTH(EDATE(Bonds!$H359,6*(1-1)),0),EDATE(Bonds!$H359,6*(1-1))))</f>
        <v>46341</v>
      </c>
      <c r="F359" s="3">
        <f>IF(2&gt;$C359,"",IF($D359=1,EOMONTH(EDATE(Bonds!$H359,6*(2-1)),0),EDATE(Bonds!$H359,6*(2-1))))</f>
        <v>46522</v>
      </c>
      <c r="G359" s="3">
        <f>IF(3&gt;$C359,"",IF($D359=1,EOMONTH(EDATE(Bonds!$H359,6*(3-1)),0),EDATE(Bonds!$H359,6*(3-1))))</f>
        <v>46706</v>
      </c>
      <c r="H359" s="3">
        <f>IF(4&gt;$C359,"",IF($D359=1,EOMONTH(EDATE(Bonds!$H359,6*(4-1)),0),EDATE(Bonds!$H359,6*(4-1))))</f>
        <v>46888</v>
      </c>
      <c r="I359" s="3">
        <f>IF(5&gt;$C359,"",IF($D359=1,EOMONTH(EDATE(Bonds!$H359,6*(5-1)),0),EDATE(Bonds!$H359,6*(5-1))))</f>
        <v>47072</v>
      </c>
      <c r="J359" s="3">
        <f>IF(6&gt;$C359,"",IF($D359=1,EOMONTH(EDATE(Bonds!$H359,6*(6-1)),0),EDATE(Bonds!$H359,6*(6-1))))</f>
        <v>47253</v>
      </c>
      <c r="K359" s="3">
        <f>IF(7&gt;$C359,"",IF($D359=1,EOMONTH(EDATE(Bonds!$H359,6*(7-1)),0),EDATE(Bonds!$H359,6*(7-1))))</f>
        <v>47437</v>
      </c>
      <c r="L359" s="3">
        <f>IF(8&gt;$C359,"",IF($D359=1,EOMONTH(EDATE(Bonds!$H359,6*(8-1)),0),EDATE(Bonds!$H359,6*(8-1))))</f>
        <v>47618</v>
      </c>
      <c r="M359" s="3">
        <f>IF(9&gt;$C359,"",IF($D359=1,EOMONTH(EDATE(Bonds!$H359,6*(9-1)),0),EDATE(Bonds!$H359,6*(9-1))))</f>
        <v>47802</v>
      </c>
      <c r="N359" s="3">
        <f>IF(10&gt;$C359,"",IF($D359=1,EOMONTH(EDATE(Bonds!$H359,6*(10-1)),0),EDATE(Bonds!$H359,6*(10-1))))</f>
        <v>47983</v>
      </c>
      <c r="O359" s="3">
        <f>IF(11&gt;$C359,"",IF($D359=1,EOMONTH(EDATE(Bonds!$H359,6*(11-1)),0),EDATE(Bonds!$H359,6*(11-1))))</f>
        <v>48167</v>
      </c>
      <c r="P359" s="3">
        <f>IF(12&gt;$C359,"",IF($D359=1,EOMONTH(EDATE(Bonds!$H359,6*(12-1)),0),EDATE(Bonds!$H359,6*(12-1))))</f>
        <v>48349</v>
      </c>
      <c r="Q359" s="3">
        <f>IF(13&gt;$C359,"",IF($D359=1,EOMONTH(EDATE(Bonds!$H359,6*(13-1)),0),EDATE(Bonds!$H359,6*(13-1))))</f>
        <v>48533</v>
      </c>
      <c r="R359" s="3">
        <f>IF(14&gt;$C359,"",IF($D359=1,EOMONTH(EDATE(Bonds!$H359,6*(14-1)),0),EDATE(Bonds!$H359,6*(14-1))))</f>
        <v>48714</v>
      </c>
      <c r="S359" s="3">
        <f>IF(15&gt;$C359,"",IF($D359=1,EOMONTH(EDATE(Bonds!$H359,6*(15-1)),0),EDATE(Bonds!$H359,6*(15-1))))</f>
        <v>48898</v>
      </c>
      <c r="T359" s="3">
        <f>IF(16&gt;$C359,"",IF($D359=1,EOMONTH(EDATE(Bonds!$H359,6*(16-1)),0),EDATE(Bonds!$H359,6*(16-1))))</f>
        <v>49079</v>
      </c>
      <c r="U359" s="3">
        <f>IF(17&gt;$C359,"",IF($D359=1,EOMONTH(EDATE(Bonds!$H359,6*(17-1)),0),EDATE(Bonds!$H359,6*(17-1))))</f>
        <v>49263</v>
      </c>
      <c r="V359" s="3">
        <f>IF(18&gt;$C359,"",IF($D359=1,EOMONTH(EDATE(Bonds!$H359,6*(18-1)),0),EDATE(Bonds!$H359,6*(18-1))))</f>
        <v>49444</v>
      </c>
      <c r="W359" s="3">
        <f>IF(19&gt;$C359,"",IF($D359=1,EOMONTH(EDATE(Bonds!$H359,6*(19-1)),0),EDATE(Bonds!$H359,6*(19-1))))</f>
        <v>49628</v>
      </c>
      <c r="X359" s="3">
        <f>IF(20&gt;$C359,"",IF($D359=1,EOMONTH(EDATE(Bonds!$H359,6*(20-1)),0),EDATE(Bonds!$H359,6*(20-1))))</f>
        <v>49810</v>
      </c>
      <c r="Y359" s="3">
        <f>IF(21&gt;$C359,"",IF($D359=1,EOMONTH(EDATE(Bonds!$H359,6*(21-1)),0),EDATE(Bonds!$H359,6*(21-1))))</f>
        <v>49994</v>
      </c>
      <c r="Z359" s="3">
        <f>IF(22&gt;$C359,"",IF($D359=1,EOMONTH(EDATE(Bonds!$H359,6*(22-1)),0),EDATE(Bonds!$H359,6*(22-1))))</f>
        <v>50175</v>
      </c>
      <c r="AA359" s="3">
        <f>IF(23&gt;$C359,"",IF($D359=1,EOMONTH(EDATE(Bonds!$H359,6*(23-1)),0),EDATE(Bonds!$H359,6*(23-1))))</f>
        <v>50359</v>
      </c>
      <c r="AB359" s="3">
        <f>IF(24&gt;$C359,"",IF($D359=1,EOMONTH(EDATE(Bonds!$H359,6*(24-1)),0),EDATE(Bonds!$H359,6*(24-1))))</f>
        <v>50540</v>
      </c>
      <c r="AC359" s="3">
        <f>IF(25&gt;$C359,"",IF($D359=1,EOMONTH(EDATE(Bonds!$H359,6*(25-1)),0),EDATE(Bonds!$H359,6*(25-1))))</f>
        <v>50724</v>
      </c>
      <c r="AD359" s="3">
        <f>IF(26&gt;$C359,"",IF($D359=1,EOMONTH(EDATE(Bonds!$H359,6*(26-1)),0),EDATE(Bonds!$H359,6*(26-1))))</f>
        <v>50905</v>
      </c>
      <c r="AE359" s="3">
        <f>IF(27&gt;$C359,"",IF($D359=1,EOMONTH(EDATE(Bonds!$H359,6*(27-1)),0),EDATE(Bonds!$H359,6*(27-1))))</f>
        <v>51089</v>
      </c>
      <c r="AF359" s="3">
        <f>IF(28&gt;$C359,"",IF($D359=1,EOMONTH(EDATE(Bonds!$H359,6*(28-1)),0),EDATE(Bonds!$H359,6*(28-1))))</f>
        <v>51271</v>
      </c>
      <c r="AG359" s="3">
        <f>IF(29&gt;$C359,"",IF($D359=1,EOMONTH(EDATE(Bonds!$H359,6*(29-1)),0),EDATE(Bonds!$H359,6*(29-1))))</f>
        <v>51455</v>
      </c>
      <c r="AH359" s="3">
        <f>IF(30&gt;$C359,"",IF($D359=1,EOMONTH(EDATE(Bonds!$H359,6*(30-1)),0),EDATE(Bonds!$H359,6*(30-1))))</f>
        <v>51636</v>
      </c>
      <c r="AI359" s="3">
        <f>IF(31&gt;$C359,"",IF($D359=1,EOMONTH(EDATE(Bonds!$H359,6*(31-1)),0),EDATE(Bonds!$H359,6*(31-1))))</f>
        <v>51820</v>
      </c>
      <c r="AJ359" s="3">
        <f>IF(32&gt;$C359,"",IF($D359=1,EOMONTH(EDATE(Bonds!$H359,6*(32-1)),0),EDATE(Bonds!$H359,6*(32-1))))</f>
        <v>52001</v>
      </c>
      <c r="AK359" s="3">
        <f>IF(33&gt;$C359,"",IF($D359=1,EOMONTH(EDATE(Bonds!$H359,6*(33-1)),0),EDATE(Bonds!$H359,6*(33-1))))</f>
        <v>52185</v>
      </c>
      <c r="AL359" s="3">
        <f>IF(34&gt;$C359,"",IF($D359=1,EOMONTH(EDATE(Bonds!$H359,6*(34-1)),0),EDATE(Bonds!$H359,6*(34-1))))</f>
        <v>52366</v>
      </c>
      <c r="AM359" s="3">
        <f>IF(35&gt;$C359,"",IF($D359=1,EOMONTH(EDATE(Bonds!$H359,6*(35-1)),0),EDATE(Bonds!$H359,6*(35-1))))</f>
        <v>52550</v>
      </c>
      <c r="AN359" s="3">
        <f>IF(36&gt;$C359,"",IF($D359=1,EOMONTH(EDATE(Bonds!$H359,6*(36-1)),0),EDATE(Bonds!$H359,6*(36-1))))</f>
        <v>52732</v>
      </c>
      <c r="AO359" s="3">
        <f>IF(37&gt;$C359,"",IF($D359=1,EOMONTH(EDATE(Bonds!$H359,6*(37-1)),0),EDATE(Bonds!$H359,6*(37-1))))</f>
        <v>52916</v>
      </c>
      <c r="AP359" s="3">
        <f>IF(38&gt;$C359,"",IF($D359=1,EOMONTH(EDATE(Bonds!$H359,6*(38-1)),0),EDATE(Bonds!$H359,6*(38-1))))</f>
        <v>53097</v>
      </c>
      <c r="AQ359" s="3">
        <f>IF(39&gt;$C359,"",IF($D359=1,EOMONTH(EDATE(Bonds!$H359,6*(39-1)),0),EDATE(Bonds!$H359,6*(39-1))))</f>
        <v>53281</v>
      </c>
      <c r="AR359" s="3">
        <f>IF(40&gt;$C359,"",IF($D359=1,EOMONTH(EDATE(Bonds!$H359,6*(40-1)),0),EDATE(Bonds!$H359,6*(40-1))))</f>
        <v>53462</v>
      </c>
      <c r="AS359" s="3">
        <f>IF(41&gt;$C359,"",IF($D359=1,EOMONTH(EDATE(Bonds!$H359,6*(41-1)),0),EDATE(Bonds!$H359,6*(41-1))))</f>
        <v>53646</v>
      </c>
      <c r="AT359" s="3">
        <f>IF(42&gt;$C359,"",IF($D359=1,EOMONTH(EDATE(Bonds!$H359,6*(42-1)),0),EDATE(Bonds!$H359,6*(42-1))))</f>
        <v>53827</v>
      </c>
      <c r="AU359" s="3">
        <f>IF(43&gt;$C359,"",IF($D359=1,EOMONTH(EDATE(Bonds!$H359,6*(43-1)),0),EDATE(Bonds!$H359,6*(43-1))))</f>
        <v>54011</v>
      </c>
      <c r="AV359" s="3">
        <f>IF(44&gt;$C359,"",IF($D359=1,EOMONTH(EDATE(Bonds!$H359,6*(44-1)),0),EDATE(Bonds!$H359,6*(44-1))))</f>
        <v>54193</v>
      </c>
      <c r="AW359" s="3">
        <f>IF(45&gt;$C359,"",IF($D359=1,EOMONTH(EDATE(Bonds!$H359,6*(45-1)),0),EDATE(Bonds!$H359,6*(45-1))))</f>
        <v>54377</v>
      </c>
      <c r="AX359" s="3">
        <f>IF(46&gt;$C359,"",IF($D359=1,EOMONTH(EDATE(Bonds!$H359,6*(46-1)),0),EDATE(Bonds!$H359,6*(46-1))))</f>
        <v>54558</v>
      </c>
      <c r="AY359" s="3">
        <f>IF(47&gt;$C359,"",IF($D359=1,EOMONTH(EDATE(Bonds!$H359,6*(47-1)),0),EDATE(Bonds!$H359,6*(47-1))))</f>
        <v>54742</v>
      </c>
      <c r="AZ359" s="3">
        <f>IF(48&gt;$C359,"",IF($D359=1,EOMONTH(EDATE(Bonds!$H359,6*(48-1)),0),EDATE(Bonds!$H359,6*(48-1))))</f>
        <v>54923</v>
      </c>
      <c r="BA359" s="3">
        <f>IF(49&gt;$C359,"",IF($D359=1,EOMONTH(EDATE(Bonds!$H359,6*(49-1)),0),EDATE(Bonds!$H359,6*(49-1))))</f>
        <v>55107</v>
      </c>
      <c r="BB359" s="3">
        <f>IF(50&gt;$C359,"",IF($D359=1,EOMONTH(EDATE(Bonds!$H359,6*(50-1)),0),EDATE(Bonds!$H359,6*(50-1))))</f>
        <v>55288</v>
      </c>
      <c r="BC359" s="3">
        <f>IF(51&gt;$C359,"",IF($D359=1,EOMONTH(EDATE(Bonds!$H359,6*(51-1)),0),EDATE(Bonds!$H359,6*(51-1))))</f>
        <v>55472</v>
      </c>
      <c r="BD359" s="3">
        <f>IF(52&gt;$C359,"",IF($D359=1,EOMONTH(EDATE(Bonds!$H359,6*(52-1)),0),EDATE(Bonds!$H359,6*(52-1))))</f>
        <v>55654</v>
      </c>
      <c r="BE359" s="3">
        <f>IF(53&gt;$C359,"",IF($D359=1,EOMONTH(EDATE(Bonds!$H359,6*(53-1)),0),EDATE(Bonds!$H359,6*(53-1))))</f>
        <v>55838</v>
      </c>
      <c r="BF359" s="3">
        <f>IF(54&gt;$C359,"",IF($D359=1,EOMONTH(EDATE(Bonds!$H359,6*(54-1)),0),EDATE(Bonds!$H359,6*(54-1))))</f>
        <v>56019</v>
      </c>
      <c r="BG359" s="3">
        <f>IF(55&gt;$C359,"",IF($D359=1,EOMONTH(EDATE(Bonds!$H359,6*(55-1)),0),EDATE(Bonds!$H359,6*(55-1))))</f>
        <v>56203</v>
      </c>
      <c r="BH359" s="3">
        <f>IF(56&gt;$C359,"",IF($D359=1,EOMONTH(EDATE(Bonds!$H359,6*(56-1)),0),EDATE(Bonds!$H359,6*(56-1))))</f>
        <v>56384</v>
      </c>
      <c r="BI359" s="3">
        <f>IF(57&gt;$C359,"",IF($D359=1,EOMONTH(EDATE(Bonds!$H359,6*(57-1)),0),EDATE(Bonds!$H359,6*(57-1))))</f>
        <v>56568</v>
      </c>
      <c r="BJ359" s="3">
        <f>IF(58&gt;$C359,"",IF($D359=1,EOMONTH(EDATE(Bonds!$H359,6*(58-1)),0),EDATE(Bonds!$H359,6*(58-1))))</f>
        <v>56749</v>
      </c>
      <c r="BK359" s="3">
        <f>IF(59&gt;$C359,"",IF($D359=1,EOMONTH(EDATE(Bonds!$H359,6*(59-1)),0),EDATE(Bonds!$H359,6*(59-1))))</f>
        <v>56933</v>
      </c>
      <c r="BL359" s="3">
        <f>IF(60&gt;$C359,"",IF($D359=1,EOMONTH(EDATE(Bonds!$H359,6*(60-1)),0),EDATE(Bonds!$H359,6*(60-1))))</f>
        <v>57115</v>
      </c>
      <c r="BN359" s="7">
        <f t="shared" si="306"/>
        <v>2.4825639565000466</v>
      </c>
      <c r="BO359" s="7">
        <f t="shared" si="307"/>
        <v>2.432432463230116</v>
      </c>
      <c r="BP359" s="7">
        <f t="shared" si="308"/>
        <v>2.378852071374042</v>
      </c>
      <c r="BQ359" s="7">
        <f t="shared" si="309"/>
        <v>2.3254953536174727</v>
      </c>
      <c r="BR359" s="7">
        <f t="shared" si="310"/>
        <v>2.2723198403511642</v>
      </c>
      <c r="BS359" s="7">
        <f t="shared" si="311"/>
        <v>2.2212050051716998</v>
      </c>
      <c r="BT359" s="7">
        <f t="shared" si="312"/>
        <v>2.1705311236424021</v>
      </c>
      <c r="BU359" s="7">
        <f t="shared" si="313"/>
        <v>2.1218396143911562</v>
      </c>
      <c r="BV359" s="7">
        <f t="shared" si="314"/>
        <v>2.0733269987389362</v>
      </c>
      <c r="BW359" s="7">
        <f t="shared" si="315"/>
        <v>2.0263782858139625</v>
      </c>
      <c r="BX359" s="7">
        <f t="shared" si="316"/>
        <v>1.9792580880476836</v>
      </c>
      <c r="BY359" s="7">
        <f t="shared" si="317"/>
        <v>1.9331121455492402</v>
      </c>
      <c r="BZ359" s="7">
        <f t="shared" si="318"/>
        <v>1.8868267965109173</v>
      </c>
      <c r="CA359" s="7">
        <f t="shared" si="319"/>
        <v>1.8415995158644112</v>
      </c>
      <c r="CB359" s="7">
        <f t="shared" si="320"/>
        <v>1.7959081910460335</v>
      </c>
      <c r="CC359" s="7">
        <f t="shared" si="321"/>
        <v>1.7512489894087055</v>
      </c>
      <c r="CD359" s="7">
        <f t="shared" si="322"/>
        <v>1.7061705383067796</v>
      </c>
      <c r="CE359" s="7">
        <f t="shared" si="323"/>
        <v>1.6621873529855422</v>
      </c>
      <c r="CF359" s="7">
        <f t="shared" si="324"/>
        <v>1.6178980160714613</v>
      </c>
      <c r="CG359" s="7">
        <f t="shared" si="325"/>
        <v>1.5745717515917015</v>
      </c>
      <c r="CH359" s="7">
        <f t="shared" si="326"/>
        <v>1.5313222688760635</v>
      </c>
      <c r="CI359" s="7">
        <f t="shared" si="327"/>
        <v>1.489384324803547</v>
      </c>
      <c r="CJ359" s="7">
        <f t="shared" si="328"/>
        <v>1.4474303887505189</v>
      </c>
      <c r="CK359" s="7">
        <f t="shared" si="329"/>
        <v>1.4068856906536653</v>
      </c>
      <c r="CL359" s="7">
        <f t="shared" si="330"/>
        <v>1.3664592747030784</v>
      </c>
      <c r="CM359" s="7">
        <f t="shared" si="331"/>
        <v>1.3275153770759225</v>
      </c>
      <c r="CN359" s="7">
        <f t="shared" si="332"/>
        <v>1.2888036121922777</v>
      </c>
      <c r="CO359" s="7">
        <f t="shared" si="333"/>
        <v>1.2514167066676274</v>
      </c>
      <c r="CP359" s="7">
        <f t="shared" si="334"/>
        <v>1.2145606754562681</v>
      </c>
      <c r="CQ359" s="7">
        <f t="shared" si="335"/>
        <v>1.179250333734285</v>
      </c>
      <c r="CR359" s="7">
        <f t="shared" si="336"/>
        <v>1.1443306666718847</v>
      </c>
      <c r="CS359" s="7">
        <f t="shared" si="337"/>
        <v>1.1109501754126034</v>
      </c>
      <c r="CT359" s="7">
        <f t="shared" si="338"/>
        <v>1.0780073440430082</v>
      </c>
      <c r="CU359" s="7">
        <f t="shared" si="339"/>
        <v>1.0465768537015072</v>
      </c>
      <c r="CV359" s="7">
        <f t="shared" si="340"/>
        <v>1.0156131945261737</v>
      </c>
      <c r="CW359" s="7">
        <f t="shared" si="341"/>
        <v>0.9859586547078123</v>
      </c>
      <c r="CX359" s="7">
        <f t="shared" si="342"/>
        <v>0.95695100408725253</v>
      </c>
      <c r="CY359" s="7">
        <f t="shared" si="343"/>
        <v>0.92935765096800693</v>
      </c>
      <c r="CZ359" s="7">
        <f t="shared" si="344"/>
        <v>0.90224831696787533</v>
      </c>
      <c r="DA359" s="7">
        <f t="shared" si="345"/>
        <v>0.87648979036730579</v>
      </c>
      <c r="DB359" s="7">
        <f t="shared" si="346"/>
        <v>0.85120892608003551</v>
      </c>
      <c r="DC359" s="7">
        <f t="shared" si="347"/>
        <v>0.82720990110255854</v>
      </c>
      <c r="DD359" s="7">
        <f t="shared" si="348"/>
        <v>0.80367542041313789</v>
      </c>
      <c r="DE359" s="7">
        <f t="shared" si="349"/>
        <v>0.78122969465203473</v>
      </c>
      <c r="DF359" s="7">
        <f t="shared" si="350"/>
        <v>0.75935606766728858</v>
      </c>
      <c r="DG359" s="7">
        <f t="shared" si="351"/>
        <v>0.73861907529692972</v>
      </c>
      <c r="DH359" s="7">
        <f t="shared" si="352"/>
        <v>0.71830736003166895</v>
      </c>
      <c r="DI359" s="7">
        <f t="shared" si="353"/>
        <v>0.69905972297515651</v>
      </c>
      <c r="DJ359" s="7">
        <f t="shared" si="354"/>
        <v>0.68021407764411124</v>
      </c>
      <c r="DK359" s="7">
        <f t="shared" si="355"/>
        <v>0.6623615601118289</v>
      </c>
      <c r="DL359" s="7">
        <f t="shared" si="356"/>
        <v>0.64488668631588408</v>
      </c>
      <c r="DM359" s="7">
        <f t="shared" si="357"/>
        <v>0.62824669957221302</v>
      </c>
      <c r="DN359" s="7">
        <f t="shared" si="358"/>
        <v>0.61205278180665412</v>
      </c>
      <c r="DO359" s="7">
        <f t="shared" si="359"/>
        <v>0.59671776367497087</v>
      </c>
      <c r="DP359" s="7">
        <f t="shared" si="360"/>
        <v>0.58171122533176256</v>
      </c>
      <c r="DQ359" s="7">
        <f t="shared" si="361"/>
        <v>0.56750142359665612</v>
      </c>
      <c r="DR359" s="7">
        <f t="shared" si="362"/>
        <v>0.55359631394143394</v>
      </c>
      <c r="DS359" s="7">
        <f t="shared" si="363"/>
        <v>0.54042934091174299</v>
      </c>
      <c r="DT359" s="7">
        <f t="shared" si="364"/>
        <v>0.52754419675921849</v>
      </c>
      <c r="DU359" s="7">
        <f t="shared" si="365"/>
        <v>21.126319742432269</v>
      </c>
    </row>
    <row r="360" spans="1:125" x14ac:dyDescent="0.2">
      <c r="A360" s="3">
        <f>Bonds!A360</f>
        <v>57207</v>
      </c>
      <c r="B360" s="4">
        <f>Bonds!B360</f>
        <v>5.125</v>
      </c>
      <c r="C360">
        <f>Bonds!P360</f>
        <v>60</v>
      </c>
      <c r="D360">
        <f t="shared" si="305"/>
        <v>0</v>
      </c>
      <c r="E360" s="3">
        <f>IF(1&gt;$C360,"",IF($D360=1,EOMONTH(EDATE(Bonds!$H360,6*(1-1)),0),EDATE(Bonds!$H360,6*(1-1))))</f>
        <v>46433</v>
      </c>
      <c r="F360" s="3">
        <f>IF(2&gt;$C360,"",IF($D360=1,EOMONTH(EDATE(Bonds!$H360,6*(2-1)),0),EDATE(Bonds!$H360,6*(2-1))))</f>
        <v>46614</v>
      </c>
      <c r="G360" s="3">
        <f>IF(3&gt;$C360,"",IF($D360=1,EOMONTH(EDATE(Bonds!$H360,6*(3-1)),0),EDATE(Bonds!$H360,6*(3-1))))</f>
        <v>46798</v>
      </c>
      <c r="H360" s="3">
        <f>IF(4&gt;$C360,"",IF($D360=1,EOMONTH(EDATE(Bonds!$H360,6*(4-1)),0),EDATE(Bonds!$H360,6*(4-1))))</f>
        <v>46980</v>
      </c>
      <c r="I360" s="3">
        <f>IF(5&gt;$C360,"",IF($D360=1,EOMONTH(EDATE(Bonds!$H360,6*(5-1)),0),EDATE(Bonds!$H360,6*(5-1))))</f>
        <v>47164</v>
      </c>
      <c r="J360" s="3">
        <f>IF(6&gt;$C360,"",IF($D360=1,EOMONTH(EDATE(Bonds!$H360,6*(6-1)),0),EDATE(Bonds!$H360,6*(6-1))))</f>
        <v>47345</v>
      </c>
      <c r="K360" s="3">
        <f>IF(7&gt;$C360,"",IF($D360=1,EOMONTH(EDATE(Bonds!$H360,6*(7-1)),0),EDATE(Bonds!$H360,6*(7-1))))</f>
        <v>47529</v>
      </c>
      <c r="L360" s="3">
        <f>IF(8&gt;$C360,"",IF($D360=1,EOMONTH(EDATE(Bonds!$H360,6*(8-1)),0),EDATE(Bonds!$H360,6*(8-1))))</f>
        <v>47710</v>
      </c>
      <c r="M360" s="3">
        <f>IF(9&gt;$C360,"",IF($D360=1,EOMONTH(EDATE(Bonds!$H360,6*(9-1)),0),EDATE(Bonds!$H360,6*(9-1))))</f>
        <v>47894</v>
      </c>
      <c r="N360" s="3">
        <f>IF(10&gt;$C360,"",IF($D360=1,EOMONTH(EDATE(Bonds!$H360,6*(10-1)),0),EDATE(Bonds!$H360,6*(10-1))))</f>
        <v>48075</v>
      </c>
      <c r="O360" s="3">
        <f>IF(11&gt;$C360,"",IF($D360=1,EOMONTH(EDATE(Bonds!$H360,6*(11-1)),0),EDATE(Bonds!$H360,6*(11-1))))</f>
        <v>48259</v>
      </c>
      <c r="P360" s="3">
        <f>IF(12&gt;$C360,"",IF($D360=1,EOMONTH(EDATE(Bonds!$H360,6*(12-1)),0),EDATE(Bonds!$H360,6*(12-1))))</f>
        <v>48441</v>
      </c>
      <c r="Q360" s="3">
        <f>IF(13&gt;$C360,"",IF($D360=1,EOMONTH(EDATE(Bonds!$H360,6*(13-1)),0),EDATE(Bonds!$H360,6*(13-1))))</f>
        <v>48625</v>
      </c>
      <c r="R360" s="3">
        <f>IF(14&gt;$C360,"",IF($D360=1,EOMONTH(EDATE(Bonds!$H360,6*(14-1)),0),EDATE(Bonds!$H360,6*(14-1))))</f>
        <v>48806</v>
      </c>
      <c r="S360" s="3">
        <f>IF(15&gt;$C360,"",IF($D360=1,EOMONTH(EDATE(Bonds!$H360,6*(15-1)),0),EDATE(Bonds!$H360,6*(15-1))))</f>
        <v>48990</v>
      </c>
      <c r="T360" s="3">
        <f>IF(16&gt;$C360,"",IF($D360=1,EOMONTH(EDATE(Bonds!$H360,6*(16-1)),0),EDATE(Bonds!$H360,6*(16-1))))</f>
        <v>49171</v>
      </c>
      <c r="U360" s="3">
        <f>IF(17&gt;$C360,"",IF($D360=1,EOMONTH(EDATE(Bonds!$H360,6*(17-1)),0),EDATE(Bonds!$H360,6*(17-1))))</f>
        <v>49355</v>
      </c>
      <c r="V360" s="3">
        <f>IF(18&gt;$C360,"",IF($D360=1,EOMONTH(EDATE(Bonds!$H360,6*(18-1)),0),EDATE(Bonds!$H360,6*(18-1))))</f>
        <v>49536</v>
      </c>
      <c r="W360" s="3">
        <f>IF(19&gt;$C360,"",IF($D360=1,EOMONTH(EDATE(Bonds!$H360,6*(19-1)),0),EDATE(Bonds!$H360,6*(19-1))))</f>
        <v>49720</v>
      </c>
      <c r="X360" s="3">
        <f>IF(20&gt;$C360,"",IF($D360=1,EOMONTH(EDATE(Bonds!$H360,6*(20-1)),0),EDATE(Bonds!$H360,6*(20-1))))</f>
        <v>49902</v>
      </c>
      <c r="Y360" s="3">
        <f>IF(21&gt;$C360,"",IF($D360=1,EOMONTH(EDATE(Bonds!$H360,6*(21-1)),0),EDATE(Bonds!$H360,6*(21-1))))</f>
        <v>50086</v>
      </c>
      <c r="Z360" s="3">
        <f>IF(22&gt;$C360,"",IF($D360=1,EOMONTH(EDATE(Bonds!$H360,6*(22-1)),0),EDATE(Bonds!$H360,6*(22-1))))</f>
        <v>50267</v>
      </c>
      <c r="AA360" s="3">
        <f>IF(23&gt;$C360,"",IF($D360=1,EOMONTH(EDATE(Bonds!$H360,6*(23-1)),0),EDATE(Bonds!$H360,6*(23-1))))</f>
        <v>50451</v>
      </c>
      <c r="AB360" s="3">
        <f>IF(24&gt;$C360,"",IF($D360=1,EOMONTH(EDATE(Bonds!$H360,6*(24-1)),0),EDATE(Bonds!$H360,6*(24-1))))</f>
        <v>50632</v>
      </c>
      <c r="AC360" s="3">
        <f>IF(25&gt;$C360,"",IF($D360=1,EOMONTH(EDATE(Bonds!$H360,6*(25-1)),0),EDATE(Bonds!$H360,6*(25-1))))</f>
        <v>50816</v>
      </c>
      <c r="AD360" s="3">
        <f>IF(26&gt;$C360,"",IF($D360=1,EOMONTH(EDATE(Bonds!$H360,6*(26-1)),0),EDATE(Bonds!$H360,6*(26-1))))</f>
        <v>50997</v>
      </c>
      <c r="AE360" s="3">
        <f>IF(27&gt;$C360,"",IF($D360=1,EOMONTH(EDATE(Bonds!$H360,6*(27-1)),0),EDATE(Bonds!$H360,6*(27-1))))</f>
        <v>51181</v>
      </c>
      <c r="AF360" s="3">
        <f>IF(28&gt;$C360,"",IF($D360=1,EOMONTH(EDATE(Bonds!$H360,6*(28-1)),0),EDATE(Bonds!$H360,6*(28-1))))</f>
        <v>51363</v>
      </c>
      <c r="AG360" s="3">
        <f>IF(29&gt;$C360,"",IF($D360=1,EOMONTH(EDATE(Bonds!$H360,6*(29-1)),0),EDATE(Bonds!$H360,6*(29-1))))</f>
        <v>51547</v>
      </c>
      <c r="AH360" s="3">
        <f>IF(30&gt;$C360,"",IF($D360=1,EOMONTH(EDATE(Bonds!$H360,6*(30-1)),0),EDATE(Bonds!$H360,6*(30-1))))</f>
        <v>51728</v>
      </c>
      <c r="AI360" s="3">
        <f>IF(31&gt;$C360,"",IF($D360=1,EOMONTH(EDATE(Bonds!$H360,6*(31-1)),0),EDATE(Bonds!$H360,6*(31-1))))</f>
        <v>51912</v>
      </c>
      <c r="AJ360" s="3">
        <f>IF(32&gt;$C360,"",IF($D360=1,EOMONTH(EDATE(Bonds!$H360,6*(32-1)),0),EDATE(Bonds!$H360,6*(32-1))))</f>
        <v>52093</v>
      </c>
      <c r="AK360" s="3">
        <f>IF(33&gt;$C360,"",IF($D360=1,EOMONTH(EDATE(Bonds!$H360,6*(33-1)),0),EDATE(Bonds!$H360,6*(33-1))))</f>
        <v>52277</v>
      </c>
      <c r="AL360" s="3">
        <f>IF(34&gt;$C360,"",IF($D360=1,EOMONTH(EDATE(Bonds!$H360,6*(34-1)),0),EDATE(Bonds!$H360,6*(34-1))))</f>
        <v>52458</v>
      </c>
      <c r="AM360" s="3">
        <f>IF(35&gt;$C360,"",IF($D360=1,EOMONTH(EDATE(Bonds!$H360,6*(35-1)),0),EDATE(Bonds!$H360,6*(35-1))))</f>
        <v>52642</v>
      </c>
      <c r="AN360" s="3">
        <f>IF(36&gt;$C360,"",IF($D360=1,EOMONTH(EDATE(Bonds!$H360,6*(36-1)),0),EDATE(Bonds!$H360,6*(36-1))))</f>
        <v>52824</v>
      </c>
      <c r="AO360" s="3">
        <f>IF(37&gt;$C360,"",IF($D360=1,EOMONTH(EDATE(Bonds!$H360,6*(37-1)),0),EDATE(Bonds!$H360,6*(37-1))))</f>
        <v>53008</v>
      </c>
      <c r="AP360" s="3">
        <f>IF(38&gt;$C360,"",IF($D360=1,EOMONTH(EDATE(Bonds!$H360,6*(38-1)),0),EDATE(Bonds!$H360,6*(38-1))))</f>
        <v>53189</v>
      </c>
      <c r="AQ360" s="3">
        <f>IF(39&gt;$C360,"",IF($D360=1,EOMONTH(EDATE(Bonds!$H360,6*(39-1)),0),EDATE(Bonds!$H360,6*(39-1))))</f>
        <v>53373</v>
      </c>
      <c r="AR360" s="3">
        <f>IF(40&gt;$C360,"",IF($D360=1,EOMONTH(EDATE(Bonds!$H360,6*(40-1)),0),EDATE(Bonds!$H360,6*(40-1))))</f>
        <v>53554</v>
      </c>
      <c r="AS360" s="3">
        <f>IF(41&gt;$C360,"",IF($D360=1,EOMONTH(EDATE(Bonds!$H360,6*(41-1)),0),EDATE(Bonds!$H360,6*(41-1))))</f>
        <v>53738</v>
      </c>
      <c r="AT360" s="3">
        <f>IF(42&gt;$C360,"",IF($D360=1,EOMONTH(EDATE(Bonds!$H360,6*(42-1)),0),EDATE(Bonds!$H360,6*(42-1))))</f>
        <v>53919</v>
      </c>
      <c r="AU360" s="3">
        <f>IF(43&gt;$C360,"",IF($D360=1,EOMONTH(EDATE(Bonds!$H360,6*(43-1)),0),EDATE(Bonds!$H360,6*(43-1))))</f>
        <v>54103</v>
      </c>
      <c r="AV360" s="3">
        <f>IF(44&gt;$C360,"",IF($D360=1,EOMONTH(EDATE(Bonds!$H360,6*(44-1)),0),EDATE(Bonds!$H360,6*(44-1))))</f>
        <v>54285</v>
      </c>
      <c r="AW360" s="3">
        <f>IF(45&gt;$C360,"",IF($D360=1,EOMONTH(EDATE(Bonds!$H360,6*(45-1)),0),EDATE(Bonds!$H360,6*(45-1))))</f>
        <v>54469</v>
      </c>
      <c r="AX360" s="3">
        <f>IF(46&gt;$C360,"",IF($D360=1,EOMONTH(EDATE(Bonds!$H360,6*(46-1)),0),EDATE(Bonds!$H360,6*(46-1))))</f>
        <v>54650</v>
      </c>
      <c r="AY360" s="3">
        <f>IF(47&gt;$C360,"",IF($D360=1,EOMONTH(EDATE(Bonds!$H360,6*(47-1)),0),EDATE(Bonds!$H360,6*(47-1))))</f>
        <v>54834</v>
      </c>
      <c r="AZ360" s="3">
        <f>IF(48&gt;$C360,"",IF($D360=1,EOMONTH(EDATE(Bonds!$H360,6*(48-1)),0),EDATE(Bonds!$H360,6*(48-1))))</f>
        <v>55015</v>
      </c>
      <c r="BA360" s="3">
        <f>IF(49&gt;$C360,"",IF($D360=1,EOMONTH(EDATE(Bonds!$H360,6*(49-1)),0),EDATE(Bonds!$H360,6*(49-1))))</f>
        <v>55199</v>
      </c>
      <c r="BB360" s="3">
        <f>IF(50&gt;$C360,"",IF($D360=1,EOMONTH(EDATE(Bonds!$H360,6*(50-1)),0),EDATE(Bonds!$H360,6*(50-1))))</f>
        <v>55380</v>
      </c>
      <c r="BC360" s="3">
        <f>IF(51&gt;$C360,"",IF($D360=1,EOMONTH(EDATE(Bonds!$H360,6*(51-1)),0),EDATE(Bonds!$H360,6*(51-1))))</f>
        <v>55564</v>
      </c>
      <c r="BD360" s="3">
        <f>IF(52&gt;$C360,"",IF($D360=1,EOMONTH(EDATE(Bonds!$H360,6*(52-1)),0),EDATE(Bonds!$H360,6*(52-1))))</f>
        <v>55746</v>
      </c>
      <c r="BE360" s="3">
        <f>IF(53&gt;$C360,"",IF($D360=1,EOMONTH(EDATE(Bonds!$H360,6*(53-1)),0),EDATE(Bonds!$H360,6*(53-1))))</f>
        <v>55930</v>
      </c>
      <c r="BF360" s="3">
        <f>IF(54&gt;$C360,"",IF($D360=1,EOMONTH(EDATE(Bonds!$H360,6*(54-1)),0),EDATE(Bonds!$H360,6*(54-1))))</f>
        <v>56111</v>
      </c>
      <c r="BG360" s="3">
        <f>IF(55&gt;$C360,"",IF($D360=1,EOMONTH(EDATE(Bonds!$H360,6*(55-1)),0),EDATE(Bonds!$H360,6*(55-1))))</f>
        <v>56295</v>
      </c>
      <c r="BH360" s="3">
        <f>IF(56&gt;$C360,"",IF($D360=1,EOMONTH(EDATE(Bonds!$H360,6*(56-1)),0),EDATE(Bonds!$H360,6*(56-1))))</f>
        <v>56476</v>
      </c>
      <c r="BI360" s="3">
        <f>IF(57&gt;$C360,"",IF($D360=1,EOMONTH(EDATE(Bonds!$H360,6*(57-1)),0),EDATE(Bonds!$H360,6*(57-1))))</f>
        <v>56660</v>
      </c>
      <c r="BJ360" s="3">
        <f>IF(58&gt;$C360,"",IF($D360=1,EOMONTH(EDATE(Bonds!$H360,6*(58-1)),0),EDATE(Bonds!$H360,6*(58-1))))</f>
        <v>56841</v>
      </c>
      <c r="BK360" s="3">
        <f>IF(59&gt;$C360,"",IF($D360=1,EOMONTH(EDATE(Bonds!$H360,6*(59-1)),0),EDATE(Bonds!$H360,6*(59-1))))</f>
        <v>57025</v>
      </c>
      <c r="BL360" s="3">
        <f>IF(60&gt;$C360,"",IF($D360=1,EOMONTH(EDATE(Bonds!$H360,6*(60-1)),0),EDATE(Bonds!$H360,6*(60-1))))</f>
        <v>57207</v>
      </c>
      <c r="BN360" s="7">
        <f t="shared" si="306"/>
        <v>2.5190386733451082</v>
      </c>
      <c r="BO360" s="7">
        <f t="shared" si="307"/>
        <v>2.4659415607339326</v>
      </c>
      <c r="BP360" s="7">
        <f t="shared" si="308"/>
        <v>2.4106311513332379</v>
      </c>
      <c r="BQ360" s="7">
        <f t="shared" si="309"/>
        <v>2.3562404610193943</v>
      </c>
      <c r="BR360" s="7">
        <f t="shared" si="310"/>
        <v>2.3023347983052411</v>
      </c>
      <c r="BS360" s="7">
        <f t="shared" si="311"/>
        <v>2.2506027749147992</v>
      </c>
      <c r="BT360" s="7">
        <f t="shared" si="312"/>
        <v>2.1992905698694503</v>
      </c>
      <c r="BU360" s="7">
        <f t="shared" si="313"/>
        <v>2.149908698555806</v>
      </c>
      <c r="BV360" s="7">
        <f t="shared" si="314"/>
        <v>2.1006139855644608</v>
      </c>
      <c r="BW360" s="7">
        <f t="shared" si="315"/>
        <v>2.0528203548826194</v>
      </c>
      <c r="BX360" s="7">
        <f t="shared" si="316"/>
        <v>2.0047782821991569</v>
      </c>
      <c r="BY360" s="7">
        <f t="shared" si="317"/>
        <v>1.9576760357421941</v>
      </c>
      <c r="BZ360" s="7">
        <f t="shared" si="318"/>
        <v>1.9103979584621049</v>
      </c>
      <c r="CA360" s="7">
        <f t="shared" si="319"/>
        <v>1.864186022695044</v>
      </c>
      <c r="CB360" s="7">
        <f t="shared" si="320"/>
        <v>1.8175008516140536</v>
      </c>
      <c r="CC360" s="7">
        <f t="shared" si="321"/>
        <v>1.7718834478364511</v>
      </c>
      <c r="CD360" s="7">
        <f t="shared" si="322"/>
        <v>1.7258606803570922</v>
      </c>
      <c r="CE360" s="7">
        <f t="shared" si="323"/>
        <v>1.6809851858895515</v>
      </c>
      <c r="CF360" s="7">
        <f t="shared" si="324"/>
        <v>1.6358312327051263</v>
      </c>
      <c r="CG360" s="7">
        <f t="shared" si="325"/>
        <v>1.5916952105177695</v>
      </c>
      <c r="CH360" s="7">
        <f t="shared" si="326"/>
        <v>1.5476748342191597</v>
      </c>
      <c r="CI360" s="7">
        <f t="shared" si="327"/>
        <v>1.5050259429806745</v>
      </c>
      <c r="CJ360" s="7">
        <f t="shared" si="328"/>
        <v>1.4623969866513105</v>
      </c>
      <c r="CK360" s="7">
        <f t="shared" si="329"/>
        <v>1.421234035299735</v>
      </c>
      <c r="CL360" s="7">
        <f t="shared" si="330"/>
        <v>1.380223897478752</v>
      </c>
      <c r="CM360" s="7">
        <f t="shared" si="331"/>
        <v>1.3407477706278441</v>
      </c>
      <c r="CN360" s="7">
        <f t="shared" si="332"/>
        <v>1.3015352635489321</v>
      </c>
      <c r="CO360" s="7">
        <f t="shared" si="333"/>
        <v>1.263690567762999</v>
      </c>
      <c r="CP360" s="7">
        <f t="shared" si="334"/>
        <v>1.2264070712311306</v>
      </c>
      <c r="CQ360" s="7">
        <f t="shared" si="335"/>
        <v>1.1907084235946883</v>
      </c>
      <c r="CR360" s="7">
        <f t="shared" si="336"/>
        <v>1.1554242493233557</v>
      </c>
      <c r="CS360" s="7">
        <f t="shared" si="337"/>
        <v>1.1217125887871091</v>
      </c>
      <c r="CT360" s="7">
        <f t="shared" si="338"/>
        <v>1.0884586621981485</v>
      </c>
      <c r="CU360" s="7">
        <f t="shared" si="339"/>
        <v>1.0567451838447985</v>
      </c>
      <c r="CV360" s="7">
        <f t="shared" si="340"/>
        <v>1.0255152412809547</v>
      </c>
      <c r="CW360" s="7">
        <f t="shared" si="341"/>
        <v>0.99561667326099945</v>
      </c>
      <c r="CX360" s="7">
        <f t="shared" si="342"/>
        <v>0.96638013634557141</v>
      </c>
      <c r="CY360" s="7">
        <f t="shared" si="343"/>
        <v>0.9385775404646024</v>
      </c>
      <c r="CZ360" s="7">
        <f t="shared" si="344"/>
        <v>0.91127019766301176</v>
      </c>
      <c r="DA360" s="7">
        <f t="shared" si="345"/>
        <v>0.8853300344494861</v>
      </c>
      <c r="DB360" s="7">
        <f t="shared" si="346"/>
        <v>0.85987665533840107</v>
      </c>
      <c r="DC360" s="7">
        <f t="shared" si="347"/>
        <v>0.83571876876636686</v>
      </c>
      <c r="DD360" s="7">
        <f t="shared" si="348"/>
        <v>0.8120327985844954</v>
      </c>
      <c r="DE360" s="7">
        <f t="shared" si="349"/>
        <v>0.7894462450393569</v>
      </c>
      <c r="DF360" s="7">
        <f t="shared" si="350"/>
        <v>0.7674385219619374</v>
      </c>
      <c r="DG360" s="7">
        <f t="shared" si="351"/>
        <v>0.74657700655902648</v>
      </c>
      <c r="DH360" s="7">
        <f t="shared" si="352"/>
        <v>0.7261455371961294</v>
      </c>
      <c r="DI360" s="7">
        <f t="shared" si="353"/>
        <v>0.70678622420390358</v>
      </c>
      <c r="DJ360" s="7">
        <f t="shared" si="354"/>
        <v>0.68783273128218358</v>
      </c>
      <c r="DK360" s="7">
        <f t="shared" si="355"/>
        <v>0.66987922954749002</v>
      </c>
      <c r="DL360" s="7">
        <f t="shared" si="356"/>
        <v>0.65230644515149117</v>
      </c>
      <c r="DM360" s="7">
        <f t="shared" si="357"/>
        <v>0.63557392847217675</v>
      </c>
      <c r="DN360" s="7">
        <f t="shared" si="358"/>
        <v>0.6192904701581623</v>
      </c>
      <c r="DO360" s="7">
        <f t="shared" si="359"/>
        <v>0.60387098858696442</v>
      </c>
      <c r="DP360" s="7">
        <f t="shared" si="360"/>
        <v>0.58878197779454167</v>
      </c>
      <c r="DQ360" s="7">
        <f t="shared" si="361"/>
        <v>0.57449413285295547</v>
      </c>
      <c r="DR360" s="7">
        <f t="shared" si="362"/>
        <v>0.56051259205136739</v>
      </c>
      <c r="DS360" s="7">
        <f t="shared" si="363"/>
        <v>0.54727309035100602</v>
      </c>
      <c r="DT360" s="7">
        <f t="shared" si="364"/>
        <v>0.53431673057734597</v>
      </c>
      <c r="DU360" s="7">
        <f t="shared" si="365"/>
        <v>20.891951791712106</v>
      </c>
    </row>
  </sheetData>
  <mergeCells count="1">
    <mergeCell ref="A2:P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66"/>
  <sheetViews>
    <sheetView workbookViewId="0">
      <pane ySplit="21" topLeftCell="A22" activePane="bottomLeft" state="frozen"/>
      <selection pane="bottomLeft"/>
    </sheetView>
  </sheetViews>
  <sheetFormatPr baseColWidth="10" defaultColWidth="8.83203125" defaultRowHeight="15" x14ac:dyDescent="0.2"/>
  <cols>
    <col min="1" max="1" width="13" customWidth="1"/>
    <col min="2" max="2" width="12" customWidth="1"/>
    <col min="3" max="3" width="10" customWidth="1"/>
    <col min="4" max="5" width="13" customWidth="1"/>
    <col min="6" max="7" width="12" customWidth="1"/>
  </cols>
  <sheetData>
    <row r="1" spans="1:7" ht="19" x14ac:dyDescent="0.25">
      <c r="A1" s="1" t="s">
        <v>167</v>
      </c>
    </row>
    <row r="3" spans="1:7" x14ac:dyDescent="0.2">
      <c r="A3" s="11" t="s">
        <v>168</v>
      </c>
    </row>
    <row r="4" spans="1:7" x14ac:dyDescent="0.2">
      <c r="A4" t="s">
        <v>169</v>
      </c>
      <c r="B4" s="13">
        <v>1.51963004011199E-16</v>
      </c>
      <c r="C4" t="s">
        <v>170</v>
      </c>
    </row>
    <row r="5" spans="1:7" x14ac:dyDescent="0.2">
      <c r="A5" t="s">
        <v>171</v>
      </c>
      <c r="B5" s="13">
        <v>3.6276583575175957E-2</v>
      </c>
      <c r="C5" t="s">
        <v>172</v>
      </c>
    </row>
    <row r="6" spans="1:7" x14ac:dyDescent="0.2">
      <c r="A6" t="s">
        <v>173</v>
      </c>
      <c r="B6" s="13">
        <v>4.4669807223412773E-2</v>
      </c>
      <c r="C6" t="s">
        <v>174</v>
      </c>
    </row>
    <row r="7" spans="1:7" x14ac:dyDescent="0.2">
      <c r="A7" t="s">
        <v>175</v>
      </c>
      <c r="B7" s="13">
        <v>0.16218014328816599</v>
      </c>
      <c r="C7" t="s">
        <v>176</v>
      </c>
    </row>
    <row r="8" spans="1:7" x14ac:dyDescent="0.2">
      <c r="A8" t="s">
        <v>177</v>
      </c>
      <c r="B8" s="13">
        <v>1.7614907879423161</v>
      </c>
      <c r="C8" t="s">
        <v>178</v>
      </c>
    </row>
    <row r="9" spans="1:7" x14ac:dyDescent="0.2">
      <c r="A9" t="s">
        <v>179</v>
      </c>
      <c r="B9" s="13">
        <v>15.92651488538514</v>
      </c>
      <c r="C9" t="s">
        <v>180</v>
      </c>
    </row>
    <row r="11" spans="1:7" x14ac:dyDescent="0.2">
      <c r="A11" t="s">
        <v>181</v>
      </c>
      <c r="B11" s="14">
        <f>Bonds!Y362</f>
        <v>2.8097874681931358E-5</v>
      </c>
      <c r="D11" s="17" t="s">
        <v>182</v>
      </c>
      <c r="E11" s="18"/>
      <c r="F11" s="18"/>
      <c r="G11" s="18"/>
    </row>
    <row r="12" spans="1:7" x14ac:dyDescent="0.2">
      <c r="A12" t="s">
        <v>183</v>
      </c>
      <c r="B12" s="15">
        <f>SUM(Bonds!R8:R360)</f>
        <v>339</v>
      </c>
      <c r="D12" s="18"/>
      <c r="E12" s="18"/>
      <c r="F12" s="18"/>
      <c r="G12" s="18"/>
    </row>
    <row r="13" spans="1:7" x14ac:dyDescent="0.2">
      <c r="A13" t="s">
        <v>184</v>
      </c>
      <c r="B13" s="7">
        <f>SQRT(SUMPRODUCT(Bonds!R8:R360,Bonds!U8:U360,Bonds!U8:U360)/B12)</f>
        <v>0.18499891894425766</v>
      </c>
      <c r="D13" s="18"/>
      <c r="E13" s="18"/>
      <c r="F13" s="18"/>
      <c r="G13" s="18"/>
    </row>
    <row r="14" spans="1:7" x14ac:dyDescent="0.2">
      <c r="A14" t="s">
        <v>185</v>
      </c>
      <c r="B14" s="8">
        <f>SQRT(SUMPRODUCT(Bonds!R8:R360,Bonds!W8:W360,Bonds!W8:W360)/B12)</f>
        <v>2.8813569052826398</v>
      </c>
      <c r="D14" s="18"/>
      <c r="E14" s="18"/>
      <c r="F14" s="18"/>
      <c r="G14" s="18"/>
    </row>
    <row r="15" spans="1:7" x14ac:dyDescent="0.2">
      <c r="A15" t="s">
        <v>186</v>
      </c>
      <c r="B15" s="8">
        <f>SUMPRODUCT(Bonds!R8:R360,ABS(Bonds!W8:W360))/B12</f>
        <v>2.0557419179120058</v>
      </c>
    </row>
    <row r="16" spans="1:7" x14ac:dyDescent="0.2">
      <c r="A16" t="s">
        <v>187</v>
      </c>
      <c r="B16" s="8">
        <f>MAX(INDEX(Bonds!R8:R360*ABS(Bonds!W8:W360),0))</f>
        <v>14.837629341700698</v>
      </c>
    </row>
    <row r="17" spans="1:6" x14ac:dyDescent="0.2">
      <c r="A17" t="s">
        <v>188</v>
      </c>
      <c r="B17" s="4">
        <f>(beta_0+beta_1)*100</f>
        <v>3.6276583575176109</v>
      </c>
    </row>
    <row r="18" spans="1:6" x14ac:dyDescent="0.2">
      <c r="A18" t="s">
        <v>189</v>
      </c>
      <c r="B18" s="4">
        <f>(beta_0+beta_1*(1-EXP(-30/tau_1))/(30/tau_1)+beta_2*((1-EXP(-30/tau_1))/(30/tau_1)-EXP(-30/tau_1))+beta_3*((1-EXP(-30/tau_2))/(30/tau_2)-EXP(-30/tau_2)))*100</f>
        <v>5.3104854199517826</v>
      </c>
    </row>
    <row r="20" spans="1:6" x14ac:dyDescent="0.2">
      <c r="A20" s="11" t="s">
        <v>190</v>
      </c>
    </row>
    <row r="21" spans="1:6" ht="32" customHeight="1" x14ac:dyDescent="0.2">
      <c r="A21" s="2" t="s">
        <v>191</v>
      </c>
      <c r="B21" s="2" t="s">
        <v>192</v>
      </c>
      <c r="C21" s="2" t="s">
        <v>193</v>
      </c>
      <c r="D21" s="2" t="s">
        <v>194</v>
      </c>
      <c r="E21" s="2" t="s">
        <v>195</v>
      </c>
      <c r="F21" s="2" t="s">
        <v>196</v>
      </c>
    </row>
    <row r="22" spans="1:6" x14ac:dyDescent="0.2">
      <c r="A22" s="3">
        <v>46280</v>
      </c>
      <c r="B22">
        <f t="shared" ref="B22:B85" si="0">A22-Settle</f>
        <v>7</v>
      </c>
      <c r="C22" s="7">
        <f t="shared" ref="C22:C85" si="1">B22/365</f>
        <v>1.9178082191780823E-2</v>
      </c>
      <c r="D22" s="7">
        <f t="shared" ref="D22:D85" si="2">(beta_0+beta_1*(1-EXP(-C22/tau_1))/(C22/tau_1)+beta_2*((1-EXP(-C22/tau_1))/(C22/tau_1)-EXP(-C22/tau_1))+beta_3*((1-EXP(-C22/tau_2))/(C22/tau_2)-EXP(-C22/tau_2)))*100</f>
        <v>3.6418797879008751</v>
      </c>
      <c r="E22" s="16">
        <f t="shared" ref="E22:E85" si="3">EXP(-D22/100*C22)</f>
        <v>0.99930180115527634</v>
      </c>
      <c r="F22" s="7">
        <f t="shared" ref="F22:F85" si="4">(beta_0+beta_1*EXP(-C22/tau_1)+beta_2*(C22/tau_1)*EXP(-C22/tau_1)+beta_3*(C22/tau_2)*EXP(-C22/tau_2))*100</f>
        <v>3.6559896015634301</v>
      </c>
    </row>
    <row r="23" spans="1:6" x14ac:dyDescent="0.2">
      <c r="A23" s="3">
        <v>46295</v>
      </c>
      <c r="B23">
        <f t="shared" si="0"/>
        <v>22</v>
      </c>
      <c r="C23" s="7">
        <f t="shared" si="1"/>
        <v>6.0273972602739728E-2</v>
      </c>
      <c r="D23" s="7">
        <f t="shared" si="2"/>
        <v>3.671610089763317</v>
      </c>
      <c r="E23" s="16">
        <f t="shared" si="3"/>
        <v>0.9977894216754406</v>
      </c>
      <c r="F23" s="7">
        <f t="shared" si="4"/>
        <v>3.7144812849980551</v>
      </c>
    </row>
    <row r="24" spans="1:6" x14ac:dyDescent="0.2">
      <c r="A24" s="3">
        <v>46310</v>
      </c>
      <c r="B24">
        <f t="shared" si="0"/>
        <v>37</v>
      </c>
      <c r="C24" s="7">
        <f t="shared" si="1"/>
        <v>0.10136986301369863</v>
      </c>
      <c r="D24" s="7">
        <f t="shared" si="2"/>
        <v>3.7003505157355137</v>
      </c>
      <c r="E24" s="16">
        <f t="shared" si="3"/>
        <v>0.99625598611451027</v>
      </c>
      <c r="F24" s="7">
        <f t="shared" si="4"/>
        <v>3.7700472372875895</v>
      </c>
    </row>
    <row r="25" spans="1:6" x14ac:dyDescent="0.2">
      <c r="A25" s="3">
        <v>46326</v>
      </c>
      <c r="B25">
        <f t="shared" si="0"/>
        <v>53</v>
      </c>
      <c r="C25" s="7">
        <f t="shared" si="1"/>
        <v>0.14520547945205478</v>
      </c>
      <c r="D25" s="7">
        <f t="shared" si="2"/>
        <v>3.7299492637474625</v>
      </c>
      <c r="E25" s="16">
        <f t="shared" si="3"/>
        <v>0.99459854986406848</v>
      </c>
      <c r="F25" s="7">
        <f t="shared" si="4"/>
        <v>3.8262244201659508</v>
      </c>
    </row>
    <row r="26" spans="1:6" x14ac:dyDescent="0.2">
      <c r="A26" s="3">
        <v>46341</v>
      </c>
      <c r="B26">
        <f t="shared" si="0"/>
        <v>68</v>
      </c>
      <c r="C26" s="7">
        <f t="shared" si="1"/>
        <v>0.18630136986301371</v>
      </c>
      <c r="D26" s="7">
        <f t="shared" si="2"/>
        <v>3.7567369114712625</v>
      </c>
      <c r="E26" s="16">
        <f t="shared" si="3"/>
        <v>0.99302558260001861</v>
      </c>
      <c r="F26" s="7">
        <f t="shared" si="4"/>
        <v>3.8761098976725696</v>
      </c>
    </row>
    <row r="27" spans="1:6" x14ac:dyDescent="0.2">
      <c r="A27" s="3">
        <v>46356</v>
      </c>
      <c r="B27">
        <f t="shared" si="0"/>
        <v>83</v>
      </c>
      <c r="C27" s="7">
        <f t="shared" si="1"/>
        <v>0.22739726027397261</v>
      </c>
      <c r="D27" s="7">
        <f t="shared" si="2"/>
        <v>3.7826230239135081</v>
      </c>
      <c r="E27" s="16">
        <f t="shared" si="3"/>
        <v>0.99143530663591672</v>
      </c>
      <c r="F27" s="7">
        <f t="shared" si="4"/>
        <v>3.9234158679696436</v>
      </c>
    </row>
    <row r="28" spans="1:6" x14ac:dyDescent="0.2">
      <c r="A28" s="3">
        <v>46371</v>
      </c>
      <c r="B28">
        <f t="shared" si="0"/>
        <v>98</v>
      </c>
      <c r="C28" s="7">
        <f t="shared" si="1"/>
        <v>0.26849315068493151</v>
      </c>
      <c r="D28" s="7">
        <f t="shared" si="2"/>
        <v>3.8076348512144906</v>
      </c>
      <c r="E28" s="16">
        <f t="shared" si="3"/>
        <v>0.98982884090153</v>
      </c>
      <c r="F28" s="7">
        <f t="shared" si="4"/>
        <v>3.9682475995544615</v>
      </c>
    </row>
    <row r="29" spans="1:6" x14ac:dyDescent="0.2">
      <c r="A29" s="3">
        <v>46387</v>
      </c>
      <c r="B29">
        <f t="shared" si="0"/>
        <v>114</v>
      </c>
      <c r="C29" s="7">
        <f t="shared" si="1"/>
        <v>0.31232876712328766</v>
      </c>
      <c r="D29" s="7">
        <f t="shared" si="2"/>
        <v>3.8333803409869951</v>
      </c>
      <c r="E29" s="16">
        <f t="shared" si="3"/>
        <v>0.98809863861955205</v>
      </c>
      <c r="F29" s="7">
        <f t="shared" si="4"/>
        <v>4.0134554825185305</v>
      </c>
    </row>
    <row r="30" spans="1:6" x14ac:dyDescent="0.2">
      <c r="A30" s="3">
        <v>46402</v>
      </c>
      <c r="B30">
        <f t="shared" si="0"/>
        <v>129</v>
      </c>
      <c r="C30" s="7">
        <f t="shared" si="1"/>
        <v>0.35342465753424657</v>
      </c>
      <c r="D30" s="7">
        <f t="shared" si="2"/>
        <v>3.8566685376523386</v>
      </c>
      <c r="E30" s="16">
        <f t="shared" si="3"/>
        <v>0.98646205594248548</v>
      </c>
      <c r="F30" s="7">
        <f t="shared" si="4"/>
        <v>4.0534921989056309</v>
      </c>
    </row>
    <row r="31" spans="1:6" x14ac:dyDescent="0.2">
      <c r="A31" s="3">
        <v>46418</v>
      </c>
      <c r="B31">
        <f t="shared" si="0"/>
        <v>145</v>
      </c>
      <c r="C31" s="7">
        <f t="shared" si="1"/>
        <v>0.39726027397260272</v>
      </c>
      <c r="D31" s="7">
        <f t="shared" si="2"/>
        <v>3.880633384352155</v>
      </c>
      <c r="E31" s="16">
        <f t="shared" si="3"/>
        <v>0.98470200673579422</v>
      </c>
      <c r="F31" s="7">
        <f t="shared" si="4"/>
        <v>4.0938049849759883</v>
      </c>
    </row>
    <row r="32" spans="1:6" x14ac:dyDescent="0.2">
      <c r="A32" s="3">
        <v>46433</v>
      </c>
      <c r="B32">
        <f t="shared" si="0"/>
        <v>160</v>
      </c>
      <c r="C32" s="7">
        <f t="shared" si="1"/>
        <v>0.43835616438356162</v>
      </c>
      <c r="D32" s="7">
        <f t="shared" si="2"/>
        <v>3.9023050076450594</v>
      </c>
      <c r="E32" s="16">
        <f t="shared" si="3"/>
        <v>0.9830394822810179</v>
      </c>
      <c r="F32" s="7">
        <f t="shared" si="4"/>
        <v>4.1294512298120489</v>
      </c>
    </row>
    <row r="33" spans="1:6" x14ac:dyDescent="0.2">
      <c r="A33" s="3">
        <v>46446</v>
      </c>
      <c r="B33">
        <f t="shared" si="0"/>
        <v>173</v>
      </c>
      <c r="C33" s="7">
        <f t="shared" si="1"/>
        <v>0.47397260273972602</v>
      </c>
      <c r="D33" s="7">
        <f t="shared" si="2"/>
        <v>3.9204831834855138</v>
      </c>
      <c r="E33" s="16">
        <f t="shared" si="3"/>
        <v>0.98158956505918793</v>
      </c>
      <c r="F33" s="7">
        <f t="shared" si="4"/>
        <v>4.1587337918131233</v>
      </c>
    </row>
    <row r="34" spans="1:6" x14ac:dyDescent="0.2">
      <c r="A34" s="3">
        <v>46461</v>
      </c>
      <c r="B34">
        <f t="shared" si="0"/>
        <v>188</v>
      </c>
      <c r="C34" s="7">
        <f t="shared" si="1"/>
        <v>0.51506849315068493</v>
      </c>
      <c r="D34" s="7">
        <f t="shared" si="2"/>
        <v>3.9407817798792264</v>
      </c>
      <c r="E34" s="16">
        <f t="shared" si="3"/>
        <v>0.97990688676961524</v>
      </c>
      <c r="F34" s="7">
        <f t="shared" si="4"/>
        <v>4.1907387369338789</v>
      </c>
    </row>
    <row r="35" spans="1:6" x14ac:dyDescent="0.2">
      <c r="A35" s="3">
        <v>46477</v>
      </c>
      <c r="B35">
        <f t="shared" si="0"/>
        <v>204</v>
      </c>
      <c r="C35" s="7">
        <f t="shared" si="1"/>
        <v>0.55890410958904113</v>
      </c>
      <c r="D35" s="7">
        <f t="shared" si="2"/>
        <v>3.961659238537798</v>
      </c>
      <c r="E35" s="16">
        <f t="shared" si="3"/>
        <v>0.97810145579885199</v>
      </c>
      <c r="F35" s="7">
        <f t="shared" si="4"/>
        <v>4.2228609197289257</v>
      </c>
    </row>
    <row r="36" spans="1:6" x14ac:dyDescent="0.2">
      <c r="A36" s="3">
        <v>46492</v>
      </c>
      <c r="B36">
        <f t="shared" si="0"/>
        <v>219</v>
      </c>
      <c r="C36" s="7">
        <f t="shared" si="1"/>
        <v>0.6</v>
      </c>
      <c r="D36" s="7">
        <f t="shared" si="2"/>
        <v>3.9805289689900061</v>
      </c>
      <c r="E36" s="16">
        <f t="shared" si="3"/>
        <v>0.97639977215649298</v>
      </c>
      <c r="F36" s="7">
        <f t="shared" si="4"/>
        <v>4.2511691042216135</v>
      </c>
    </row>
    <row r="37" spans="1:6" x14ac:dyDescent="0.2">
      <c r="A37" s="3">
        <v>46507</v>
      </c>
      <c r="B37">
        <f t="shared" si="0"/>
        <v>234</v>
      </c>
      <c r="C37" s="7">
        <f t="shared" si="1"/>
        <v>0.64109589041095894</v>
      </c>
      <c r="D37" s="7">
        <f t="shared" si="2"/>
        <v>3.9987402136877201</v>
      </c>
      <c r="E37" s="16">
        <f t="shared" si="3"/>
        <v>0.97469004686357041</v>
      </c>
      <c r="F37" s="7">
        <f t="shared" si="4"/>
        <v>4.2778076421903428</v>
      </c>
    </row>
    <row r="38" spans="1:6" x14ac:dyDescent="0.2">
      <c r="A38" s="3">
        <v>46522</v>
      </c>
      <c r="B38">
        <f t="shared" si="0"/>
        <v>249</v>
      </c>
      <c r="C38" s="7">
        <f t="shared" si="1"/>
        <v>0.68219178082191778</v>
      </c>
      <c r="D38" s="7">
        <f t="shared" si="2"/>
        <v>4.0163136374691994</v>
      </c>
      <c r="E38" s="16">
        <f t="shared" si="3"/>
        <v>0.97297298529204634</v>
      </c>
      <c r="F38" s="7">
        <f t="shared" si="4"/>
        <v>4.3028505445572627</v>
      </c>
    </row>
    <row r="39" spans="1:6" x14ac:dyDescent="0.2">
      <c r="A39" s="3">
        <v>46538</v>
      </c>
      <c r="B39">
        <f t="shared" si="0"/>
        <v>265</v>
      </c>
      <c r="C39" s="7">
        <f t="shared" si="1"/>
        <v>0.72602739726027399</v>
      </c>
      <c r="D39" s="7">
        <f t="shared" si="2"/>
        <v>4.0343782381308024</v>
      </c>
      <c r="E39" s="16">
        <f t="shared" si="3"/>
        <v>0.97113412317335379</v>
      </c>
      <c r="F39" s="7">
        <f t="shared" si="4"/>
        <v>4.3278846407631058</v>
      </c>
    </row>
    <row r="40" spans="1:6" x14ac:dyDescent="0.2">
      <c r="A40" s="3">
        <v>46553</v>
      </c>
      <c r="B40">
        <f t="shared" si="0"/>
        <v>280</v>
      </c>
      <c r="C40" s="7">
        <f t="shared" si="1"/>
        <v>0.76712328767123283</v>
      </c>
      <c r="D40" s="7">
        <f t="shared" si="2"/>
        <v>4.0506965700125761</v>
      </c>
      <c r="E40" s="16">
        <f t="shared" si="3"/>
        <v>0.96940399284021461</v>
      </c>
      <c r="F40" s="7">
        <f t="shared" si="4"/>
        <v>4.3498533518281306</v>
      </c>
    </row>
    <row r="41" spans="1:6" x14ac:dyDescent="0.2">
      <c r="A41" s="3">
        <v>46568</v>
      </c>
      <c r="B41">
        <f t="shared" si="0"/>
        <v>295</v>
      </c>
      <c r="C41" s="7">
        <f t="shared" si="1"/>
        <v>0.80821917808219179</v>
      </c>
      <c r="D41" s="7">
        <f t="shared" si="2"/>
        <v>4.0664369876754192</v>
      </c>
      <c r="E41" s="16">
        <f t="shared" si="3"/>
        <v>0.96766848590744647</v>
      </c>
      <c r="F41" s="7">
        <f t="shared" si="4"/>
        <v>4.3704375251973255</v>
      </c>
    </row>
    <row r="42" spans="1:6" x14ac:dyDescent="0.2">
      <c r="A42" s="3">
        <v>46583</v>
      </c>
      <c r="B42">
        <f t="shared" si="0"/>
        <v>310</v>
      </c>
      <c r="C42" s="7">
        <f t="shared" si="1"/>
        <v>0.84931506849315064</v>
      </c>
      <c r="D42" s="7">
        <f t="shared" si="2"/>
        <v>4.0816179442169673</v>
      </c>
      <c r="E42" s="16">
        <f t="shared" si="3"/>
        <v>0.96592817915103368</v>
      </c>
      <c r="F42" s="7">
        <f t="shared" si="4"/>
        <v>4.389701091948754</v>
      </c>
    </row>
    <row r="43" spans="1:6" x14ac:dyDescent="0.2">
      <c r="A43" s="3">
        <v>46599</v>
      </c>
      <c r="B43">
        <f t="shared" si="0"/>
        <v>326</v>
      </c>
      <c r="C43" s="7">
        <f t="shared" si="1"/>
        <v>0.89315068493150684</v>
      </c>
      <c r="D43" s="7">
        <f t="shared" si="2"/>
        <v>4.0972145224924805</v>
      </c>
      <c r="E43" s="16">
        <f t="shared" si="3"/>
        <v>0.96406717848863921</v>
      </c>
      <c r="F43" s="7">
        <f t="shared" si="4"/>
        <v>4.4088627095575319</v>
      </c>
    </row>
    <row r="44" spans="1:6" x14ac:dyDescent="0.2">
      <c r="A44" s="3">
        <v>46614</v>
      </c>
      <c r="B44">
        <f t="shared" si="0"/>
        <v>341</v>
      </c>
      <c r="C44" s="7">
        <f t="shared" si="1"/>
        <v>0.9342465753424658</v>
      </c>
      <c r="D44" s="7">
        <f t="shared" si="2"/>
        <v>4.1112955633059256</v>
      </c>
      <c r="E44" s="16">
        <f t="shared" si="3"/>
        <v>0.96231865784738835</v>
      </c>
      <c r="F44" s="7">
        <f t="shared" si="4"/>
        <v>4.4255898768481305</v>
      </c>
    </row>
    <row r="45" spans="1:6" x14ac:dyDescent="0.2">
      <c r="A45" s="3">
        <v>46630</v>
      </c>
      <c r="B45">
        <f t="shared" si="0"/>
        <v>357</v>
      </c>
      <c r="C45" s="7">
        <f t="shared" si="1"/>
        <v>0.9780821917808219</v>
      </c>
      <c r="D45" s="7">
        <f t="shared" si="2"/>
        <v>4.1257580322181413</v>
      </c>
      <c r="E45" s="16">
        <f t="shared" si="3"/>
        <v>0.96045004779211196</v>
      </c>
      <c r="F45" s="7">
        <f t="shared" si="4"/>
        <v>4.442178671278044</v>
      </c>
    </row>
    <row r="46" spans="1:6" x14ac:dyDescent="0.2">
      <c r="A46" s="3">
        <v>46645</v>
      </c>
      <c r="B46">
        <f t="shared" si="0"/>
        <v>372</v>
      </c>
      <c r="C46" s="7">
        <f t="shared" si="1"/>
        <v>1.0191780821917809</v>
      </c>
      <c r="D46" s="7">
        <f t="shared" si="2"/>
        <v>4.1388114939723808</v>
      </c>
      <c r="E46" s="16">
        <f t="shared" si="3"/>
        <v>0.95869541674368941</v>
      </c>
      <c r="F46" s="7">
        <f t="shared" si="4"/>
        <v>4.4566135969827103</v>
      </c>
    </row>
    <row r="47" spans="1:6" x14ac:dyDescent="0.2">
      <c r="A47" s="3">
        <v>46660</v>
      </c>
      <c r="B47">
        <f t="shared" si="0"/>
        <v>387</v>
      </c>
      <c r="C47" s="7">
        <f t="shared" si="1"/>
        <v>1.0602739726027397</v>
      </c>
      <c r="D47" s="7">
        <f t="shared" si="2"/>
        <v>4.1513924839599872</v>
      </c>
      <c r="E47" s="16">
        <f t="shared" si="3"/>
        <v>0.95693851809477759</v>
      </c>
      <c r="F47" s="7">
        <f t="shared" si="4"/>
        <v>4.4700216342898447</v>
      </c>
    </row>
    <row r="48" spans="1:6" x14ac:dyDescent="0.2">
      <c r="A48" s="3">
        <v>46675</v>
      </c>
      <c r="B48">
        <f t="shared" si="0"/>
        <v>402</v>
      </c>
      <c r="C48" s="7">
        <f t="shared" si="1"/>
        <v>1.1013698630136985</v>
      </c>
      <c r="D48" s="7">
        <f t="shared" si="2"/>
        <v>4.1635165314464757</v>
      </c>
      <c r="E48" s="16">
        <f t="shared" si="3"/>
        <v>0.95517976910198688</v>
      </c>
      <c r="F48" s="7">
        <f t="shared" si="4"/>
        <v>4.4824537800336879</v>
      </c>
    </row>
    <row r="49" spans="1:6" x14ac:dyDescent="0.2">
      <c r="A49" s="3">
        <v>46691</v>
      </c>
      <c r="B49">
        <f t="shared" si="0"/>
        <v>418</v>
      </c>
      <c r="C49" s="7">
        <f t="shared" si="1"/>
        <v>1.1452054794520548</v>
      </c>
      <c r="D49" s="7">
        <f t="shared" si="2"/>
        <v>4.1759621967338711</v>
      </c>
      <c r="E49" s="16">
        <f t="shared" si="3"/>
        <v>0.95330217503818804</v>
      </c>
      <c r="F49" s="7">
        <f t="shared" si="4"/>
        <v>4.4946943953130658</v>
      </c>
    </row>
    <row r="50" spans="1:6" x14ac:dyDescent="0.2">
      <c r="A50" s="3">
        <v>46706</v>
      </c>
      <c r="B50">
        <f t="shared" si="0"/>
        <v>433</v>
      </c>
      <c r="C50" s="7">
        <f t="shared" si="1"/>
        <v>1.1863013698630136</v>
      </c>
      <c r="D50" s="7">
        <f t="shared" si="2"/>
        <v>4.1871892556038519</v>
      </c>
      <c r="E50" s="16">
        <f t="shared" si="3"/>
        <v>0.95154082854961675</v>
      </c>
      <c r="F50" s="7">
        <f t="shared" si="4"/>
        <v>4.5052633051727726</v>
      </c>
    </row>
    <row r="51" spans="1:6" x14ac:dyDescent="0.2">
      <c r="A51" s="3">
        <v>46721</v>
      </c>
      <c r="B51">
        <f t="shared" si="0"/>
        <v>448</v>
      </c>
      <c r="C51" s="7">
        <f t="shared" si="1"/>
        <v>1.2273972602739727</v>
      </c>
      <c r="D51" s="7">
        <f t="shared" si="2"/>
        <v>4.1980043368386966</v>
      </c>
      <c r="E51" s="16">
        <f t="shared" si="3"/>
        <v>0.9497787747246812</v>
      </c>
      <c r="F51" s="7">
        <f t="shared" si="4"/>
        <v>4.5150012611402159</v>
      </c>
    </row>
    <row r="52" spans="1:6" x14ac:dyDescent="0.2">
      <c r="A52" s="3">
        <v>46736</v>
      </c>
      <c r="B52">
        <f t="shared" si="0"/>
        <v>463</v>
      </c>
      <c r="C52" s="7">
        <f t="shared" si="1"/>
        <v>1.2684931506849315</v>
      </c>
      <c r="D52" s="7">
        <f t="shared" si="2"/>
        <v>4.2084212735407105</v>
      </c>
      <c r="E52" s="16">
        <f t="shared" si="3"/>
        <v>0.94801634472292928</v>
      </c>
      <c r="F52" s="7">
        <f t="shared" si="4"/>
        <v>4.5239519900063874</v>
      </c>
    </row>
    <row r="53" spans="1:6" x14ac:dyDescent="0.2">
      <c r="A53" s="3">
        <v>46752</v>
      </c>
      <c r="B53">
        <f t="shared" si="0"/>
        <v>479</v>
      </c>
      <c r="C53" s="7">
        <f t="shared" si="1"/>
        <v>1.3123287671232877</v>
      </c>
      <c r="D53" s="7">
        <f t="shared" si="2"/>
        <v>4.2191089681590004</v>
      </c>
      <c r="E53" s="16">
        <f t="shared" si="3"/>
        <v>0.94613635607290036</v>
      </c>
      <c r="F53" s="7">
        <f t="shared" si="4"/>
        <v>4.532679118822931</v>
      </c>
    </row>
    <row r="54" spans="1:6" x14ac:dyDescent="0.2">
      <c r="A54" s="3">
        <v>46767</v>
      </c>
      <c r="B54">
        <f t="shared" si="0"/>
        <v>494</v>
      </c>
      <c r="C54" s="7">
        <f t="shared" si="1"/>
        <v>1.3534246575342466</v>
      </c>
      <c r="D54" s="7">
        <f t="shared" si="2"/>
        <v>4.2287452440415052</v>
      </c>
      <c r="E54" s="16">
        <f t="shared" si="3"/>
        <v>0.94437411712119423</v>
      </c>
      <c r="F54" s="7">
        <f t="shared" si="4"/>
        <v>4.540134470393534</v>
      </c>
    </row>
    <row r="55" spans="1:6" x14ac:dyDescent="0.2">
      <c r="A55" s="3">
        <v>46783</v>
      </c>
      <c r="B55">
        <f t="shared" si="0"/>
        <v>510</v>
      </c>
      <c r="C55" s="7">
        <f t="shared" si="1"/>
        <v>1.3972602739726028</v>
      </c>
      <c r="D55" s="7">
        <f t="shared" si="2"/>
        <v>4.2386295220582131</v>
      </c>
      <c r="E55" s="16">
        <f t="shared" si="3"/>
        <v>0.94249497949247452</v>
      </c>
      <c r="F55" s="7">
        <f t="shared" si="4"/>
        <v>4.5473568136498743</v>
      </c>
    </row>
    <row r="56" spans="1:6" x14ac:dyDescent="0.2">
      <c r="A56" s="3">
        <v>46798</v>
      </c>
      <c r="B56">
        <f t="shared" si="0"/>
        <v>525</v>
      </c>
      <c r="C56" s="7">
        <f t="shared" si="1"/>
        <v>1.4383561643835616</v>
      </c>
      <c r="D56" s="7">
        <f t="shared" si="2"/>
        <v>4.2475392563804277</v>
      </c>
      <c r="E56" s="16">
        <f t="shared" si="3"/>
        <v>0.94073410783736111</v>
      </c>
      <c r="F56" s="7">
        <f t="shared" si="4"/>
        <v>4.5534827672331133</v>
      </c>
    </row>
    <row r="57" spans="1:6" x14ac:dyDescent="0.2">
      <c r="A57" s="3">
        <v>46812</v>
      </c>
      <c r="B57">
        <f t="shared" si="0"/>
        <v>539</v>
      </c>
      <c r="C57" s="7">
        <f t="shared" si="1"/>
        <v>1.4767123287671233</v>
      </c>
      <c r="D57" s="7">
        <f t="shared" si="2"/>
        <v>4.255554278722701</v>
      </c>
      <c r="E57" s="16">
        <f t="shared" si="3"/>
        <v>0.93909156173635544</v>
      </c>
      <c r="F57" s="7">
        <f t="shared" si="4"/>
        <v>4.5586695337086924</v>
      </c>
    </row>
    <row r="58" spans="1:6" x14ac:dyDescent="0.2">
      <c r="A58" s="3">
        <v>46827</v>
      </c>
      <c r="B58">
        <f t="shared" si="0"/>
        <v>554</v>
      </c>
      <c r="C58" s="7">
        <f t="shared" si="1"/>
        <v>1.5178082191780822</v>
      </c>
      <c r="D58" s="7">
        <f t="shared" si="2"/>
        <v>4.2638305612318108</v>
      </c>
      <c r="E58" s="16">
        <f t="shared" si="3"/>
        <v>0.93733290591832408</v>
      </c>
      <c r="F58" s="7">
        <f t="shared" si="4"/>
        <v>4.5636906707941174</v>
      </c>
    </row>
    <row r="59" spans="1:6" x14ac:dyDescent="0.2">
      <c r="A59" s="3">
        <v>46843</v>
      </c>
      <c r="B59">
        <f t="shared" si="0"/>
        <v>570</v>
      </c>
      <c r="C59" s="7">
        <f t="shared" si="1"/>
        <v>1.5616438356164384</v>
      </c>
      <c r="D59" s="7">
        <f t="shared" si="2"/>
        <v>4.2723161343247478</v>
      </c>
      <c r="E59" s="16">
        <f t="shared" si="3"/>
        <v>0.9354586253574072</v>
      </c>
      <c r="F59" s="7">
        <f t="shared" si="4"/>
        <v>4.5684717813780891</v>
      </c>
    </row>
    <row r="60" spans="1:6" x14ac:dyDescent="0.2">
      <c r="A60" s="3">
        <v>46858</v>
      </c>
      <c r="B60">
        <f t="shared" si="0"/>
        <v>585</v>
      </c>
      <c r="C60" s="7">
        <f t="shared" si="1"/>
        <v>1.6027397260273972</v>
      </c>
      <c r="D60" s="7">
        <f t="shared" si="2"/>
        <v>4.2799618670642765</v>
      </c>
      <c r="E60" s="16">
        <f t="shared" si="3"/>
        <v>0.93370321416506941</v>
      </c>
      <c r="F60" s="7">
        <f t="shared" si="4"/>
        <v>4.572448852758507</v>
      </c>
    </row>
    <row r="61" spans="1:6" x14ac:dyDescent="0.2">
      <c r="A61" s="3">
        <v>46873</v>
      </c>
      <c r="B61">
        <f t="shared" si="0"/>
        <v>600</v>
      </c>
      <c r="C61" s="7">
        <f t="shared" si="1"/>
        <v>1.6438356164383561</v>
      </c>
      <c r="D61" s="7">
        <f t="shared" si="2"/>
        <v>4.2873189565068675</v>
      </c>
      <c r="E61" s="16">
        <f t="shared" si="3"/>
        <v>0.93194966245424948</v>
      </c>
      <c r="F61" s="7">
        <f t="shared" si="4"/>
        <v>4.5759682348510102</v>
      </c>
    </row>
    <row r="62" spans="1:6" x14ac:dyDescent="0.2">
      <c r="A62" s="3">
        <v>46888</v>
      </c>
      <c r="B62">
        <f t="shared" si="0"/>
        <v>615</v>
      </c>
      <c r="C62" s="7">
        <f t="shared" si="1"/>
        <v>1.6849315068493151</v>
      </c>
      <c r="D62" s="7">
        <f t="shared" si="2"/>
        <v>4.2943977196946497</v>
      </c>
      <c r="E62" s="16">
        <f t="shared" si="3"/>
        <v>0.93019814144698909</v>
      </c>
      <c r="F62" s="7">
        <f t="shared" si="4"/>
        <v>4.5790592445567286</v>
      </c>
    </row>
    <row r="63" spans="1:6" x14ac:dyDescent="0.2">
      <c r="A63" s="3">
        <v>46904</v>
      </c>
      <c r="B63">
        <f t="shared" si="0"/>
        <v>631</v>
      </c>
      <c r="C63" s="7">
        <f t="shared" si="1"/>
        <v>1.7287671232876711</v>
      </c>
      <c r="D63" s="7">
        <f t="shared" si="2"/>
        <v>4.3016529054570798</v>
      </c>
      <c r="E63" s="16">
        <f t="shared" si="3"/>
        <v>0.92833226955804937</v>
      </c>
      <c r="F63" s="7">
        <f t="shared" si="4"/>
        <v>4.5819158450613022</v>
      </c>
    </row>
    <row r="64" spans="1:6" x14ac:dyDescent="0.2">
      <c r="A64" s="3">
        <v>46919</v>
      </c>
      <c r="B64">
        <f t="shared" si="0"/>
        <v>646</v>
      </c>
      <c r="C64" s="7">
        <f t="shared" si="1"/>
        <v>1.7698630136986302</v>
      </c>
      <c r="D64" s="7">
        <f t="shared" si="2"/>
        <v>4.3081878807541729</v>
      </c>
      <c r="E64" s="16">
        <f t="shared" si="3"/>
        <v>0.92658543594304177</v>
      </c>
      <c r="F64" s="7">
        <f t="shared" si="4"/>
        <v>4.5842094457793792</v>
      </c>
    </row>
    <row r="65" spans="1:6" x14ac:dyDescent="0.2">
      <c r="A65" s="3">
        <v>46934</v>
      </c>
      <c r="B65">
        <f t="shared" si="0"/>
        <v>661</v>
      </c>
      <c r="C65" s="7">
        <f t="shared" si="1"/>
        <v>1.810958904109589</v>
      </c>
      <c r="D65" s="7">
        <f t="shared" si="2"/>
        <v>4.314474339961583</v>
      </c>
      <c r="E65" s="16">
        <f t="shared" si="3"/>
        <v>0.92484108407882559</v>
      </c>
      <c r="F65" s="7">
        <f t="shared" si="4"/>
        <v>4.5861574107137804</v>
      </c>
    </row>
    <row r="66" spans="1:6" x14ac:dyDescent="0.2">
      <c r="A66" s="3">
        <v>46949</v>
      </c>
      <c r="B66">
        <f t="shared" si="0"/>
        <v>676</v>
      </c>
      <c r="C66" s="7">
        <f t="shared" si="1"/>
        <v>1.8520547945205479</v>
      </c>
      <c r="D66" s="7">
        <f t="shared" si="2"/>
        <v>4.3205214336349913</v>
      </c>
      <c r="E66" s="16">
        <f t="shared" si="3"/>
        <v>0.92309933871549577</v>
      </c>
      <c r="F66" s="7">
        <f t="shared" si="4"/>
        <v>4.5877845112144282</v>
      </c>
    </row>
    <row r="67" spans="1:6" x14ac:dyDescent="0.2">
      <c r="A67" s="3">
        <v>46965</v>
      </c>
      <c r="B67">
        <f t="shared" si="0"/>
        <v>692</v>
      </c>
      <c r="C67" s="7">
        <f t="shared" si="1"/>
        <v>1.8958904109589041</v>
      </c>
      <c r="D67" s="7">
        <f t="shared" si="2"/>
        <v>4.3267178360584673</v>
      </c>
      <c r="E67" s="16">
        <f t="shared" si="3"/>
        <v>0.92124447888745753</v>
      </c>
      <c r="F67" s="7">
        <f t="shared" si="4"/>
        <v>4.5891931577886087</v>
      </c>
    </row>
    <row r="68" spans="1:6" x14ac:dyDescent="0.2">
      <c r="A68" s="3">
        <v>46980</v>
      </c>
      <c r="B68">
        <f t="shared" si="0"/>
        <v>707</v>
      </c>
      <c r="C68" s="7">
        <f t="shared" si="1"/>
        <v>1.9369863013698629</v>
      </c>
      <c r="D68" s="7">
        <f t="shared" si="2"/>
        <v>4.3322980948766991</v>
      </c>
      <c r="E68" s="16">
        <f t="shared" si="3"/>
        <v>0.91950847259293444</v>
      </c>
      <c r="F68" s="7">
        <f t="shared" si="4"/>
        <v>4.5902312722702732</v>
      </c>
    </row>
    <row r="69" spans="1:6" x14ac:dyDescent="0.2">
      <c r="A69" s="3">
        <v>46996</v>
      </c>
      <c r="B69">
        <f t="shared" si="0"/>
        <v>723</v>
      </c>
      <c r="C69" s="7">
        <f t="shared" si="1"/>
        <v>1.9808219178082191</v>
      </c>
      <c r="D69" s="7">
        <f t="shared" si="2"/>
        <v>4.3380158582376058</v>
      </c>
      <c r="E69" s="16">
        <f t="shared" si="3"/>
        <v>0.91765996184195031</v>
      </c>
      <c r="F69" s="7">
        <f t="shared" si="4"/>
        <v>4.5910622925776519</v>
      </c>
    </row>
    <row r="70" spans="1:6" x14ac:dyDescent="0.2">
      <c r="A70" s="3">
        <v>47011</v>
      </c>
      <c r="B70">
        <f t="shared" si="0"/>
        <v>738</v>
      </c>
      <c r="C70" s="7">
        <f t="shared" si="1"/>
        <v>2.021917808219178</v>
      </c>
      <c r="D70" s="7">
        <f t="shared" si="2"/>
        <v>4.343164957330341</v>
      </c>
      <c r="E70" s="16">
        <f t="shared" si="3"/>
        <v>0.91593010142045861</v>
      </c>
      <c r="F70" s="7">
        <f t="shared" si="4"/>
        <v>4.5916042938987527</v>
      </c>
    </row>
    <row r="71" spans="1:6" x14ac:dyDescent="0.2">
      <c r="A71" s="3">
        <v>47026</v>
      </c>
      <c r="B71">
        <f t="shared" si="0"/>
        <v>753</v>
      </c>
      <c r="C71" s="7">
        <f t="shared" si="1"/>
        <v>2.0630136986301371</v>
      </c>
      <c r="D71" s="7">
        <f t="shared" si="2"/>
        <v>4.3481175948203967</v>
      </c>
      <c r="E71" s="16">
        <f t="shared" si="3"/>
        <v>0.91420333818070088</v>
      </c>
      <c r="F71" s="7">
        <f t="shared" si="4"/>
        <v>4.5919371819828623</v>
      </c>
    </row>
    <row r="72" spans="1:6" x14ac:dyDescent="0.2">
      <c r="A72" s="3">
        <v>47041</v>
      </c>
      <c r="B72">
        <f t="shared" si="0"/>
        <v>768</v>
      </c>
      <c r="C72" s="7">
        <f t="shared" si="1"/>
        <v>2.1041095890410957</v>
      </c>
      <c r="D72" s="7">
        <f t="shared" si="2"/>
        <v>4.3528813848421954</v>
      </c>
      <c r="E72" s="16">
        <f t="shared" si="3"/>
        <v>0.91247974172791868</v>
      </c>
      <c r="F72" s="7">
        <f t="shared" si="4"/>
        <v>4.5920799603109632</v>
      </c>
    </row>
    <row r="73" spans="1:6" x14ac:dyDescent="0.2">
      <c r="A73" s="3">
        <v>47057</v>
      </c>
      <c r="B73">
        <f t="shared" si="0"/>
        <v>784</v>
      </c>
      <c r="C73" s="7">
        <f t="shared" si="1"/>
        <v>2.1479452054794521</v>
      </c>
      <c r="D73" s="7">
        <f t="shared" si="2"/>
        <v>4.3577629275603718</v>
      </c>
      <c r="E73" s="16">
        <f t="shared" si="3"/>
        <v>0.91064479917330621</v>
      </c>
      <c r="F73" s="7">
        <f t="shared" si="4"/>
        <v>4.5920431752466611</v>
      </c>
    </row>
    <row r="74" spans="1:6" x14ac:dyDescent="0.2">
      <c r="A74" s="3">
        <v>47072</v>
      </c>
      <c r="B74">
        <f t="shared" si="0"/>
        <v>799</v>
      </c>
      <c r="C74" s="7">
        <f t="shared" si="1"/>
        <v>2.1890410958904107</v>
      </c>
      <c r="D74" s="7">
        <f t="shared" si="2"/>
        <v>4.3621595912434286</v>
      </c>
      <c r="E74" s="16">
        <f t="shared" si="3"/>
        <v>0.90892793614046563</v>
      </c>
      <c r="F74" s="7">
        <f t="shared" si="4"/>
        <v>4.5918497473902562</v>
      </c>
    </row>
    <row r="75" spans="1:6" x14ac:dyDescent="0.2">
      <c r="A75" s="3">
        <v>47087</v>
      </c>
      <c r="B75">
        <f t="shared" si="0"/>
        <v>814</v>
      </c>
      <c r="C75" s="7">
        <f t="shared" si="1"/>
        <v>2.2301369863013698</v>
      </c>
      <c r="D75" s="7">
        <f t="shared" si="2"/>
        <v>4.3663893652589776</v>
      </c>
      <c r="E75" s="16">
        <f t="shared" si="3"/>
        <v>0.90721440809070253</v>
      </c>
      <c r="F75" s="7">
        <f t="shared" si="4"/>
        <v>4.591519433042679</v>
      </c>
    </row>
    <row r="76" spans="1:6" x14ac:dyDescent="0.2">
      <c r="A76" s="3">
        <v>47102</v>
      </c>
      <c r="B76">
        <f t="shared" si="0"/>
        <v>829</v>
      </c>
      <c r="C76" s="7">
        <f t="shared" si="1"/>
        <v>2.2712328767123289</v>
      </c>
      <c r="D76" s="7">
        <f t="shared" si="2"/>
        <v>4.3704589759855299</v>
      </c>
      <c r="E76" s="16">
        <f t="shared" si="3"/>
        <v>0.90550425634250886</v>
      </c>
      <c r="F76" s="7">
        <f t="shared" si="4"/>
        <v>4.5910680341558612</v>
      </c>
    </row>
    <row r="77" spans="1:6" x14ac:dyDescent="0.2">
      <c r="A77" s="3">
        <v>47118</v>
      </c>
      <c r="B77">
        <f t="shared" si="0"/>
        <v>845</v>
      </c>
      <c r="C77" s="7">
        <f t="shared" si="1"/>
        <v>2.3150684931506849</v>
      </c>
      <c r="D77" s="7">
        <f t="shared" si="2"/>
        <v>4.3746307039415546</v>
      </c>
      <c r="E77" s="16">
        <f t="shared" si="3"/>
        <v>0.90368385550356911</v>
      </c>
      <c r="F77" s="7">
        <f t="shared" si="4"/>
        <v>4.5904700603146535</v>
      </c>
    </row>
    <row r="78" spans="1:6" x14ac:dyDescent="0.2">
      <c r="A78" s="3">
        <v>47133</v>
      </c>
      <c r="B78">
        <f t="shared" si="0"/>
        <v>860</v>
      </c>
      <c r="C78" s="7">
        <f t="shared" si="1"/>
        <v>2.3561643835616439</v>
      </c>
      <c r="D78" s="7">
        <f t="shared" si="2"/>
        <v>4.3783897566008969</v>
      </c>
      <c r="E78" s="16">
        <f t="shared" si="3"/>
        <v>0.90198078661331027</v>
      </c>
      <c r="F78" s="7">
        <f t="shared" si="4"/>
        <v>4.5898154321513518</v>
      </c>
    </row>
    <row r="79" spans="1:6" x14ac:dyDescent="0.2">
      <c r="A79" s="3">
        <v>47149</v>
      </c>
      <c r="B79">
        <f t="shared" si="0"/>
        <v>876</v>
      </c>
      <c r="C79" s="7">
        <f t="shared" si="1"/>
        <v>2.4</v>
      </c>
      <c r="D79" s="7">
        <f t="shared" si="2"/>
        <v>4.382244384817751</v>
      </c>
      <c r="E79" s="16">
        <f t="shared" si="3"/>
        <v>0.9001680010582267</v>
      </c>
      <c r="F79" s="7">
        <f t="shared" si="4"/>
        <v>4.5890326074018581</v>
      </c>
    </row>
    <row r="80" spans="1:6" x14ac:dyDescent="0.2">
      <c r="A80" s="3">
        <v>47164</v>
      </c>
      <c r="B80">
        <f t="shared" si="0"/>
        <v>891</v>
      </c>
      <c r="C80" s="7">
        <f t="shared" si="1"/>
        <v>2.441095890410959</v>
      </c>
      <c r="D80" s="7">
        <f t="shared" si="2"/>
        <v>4.3857190185671913</v>
      </c>
      <c r="E80" s="16">
        <f t="shared" si="3"/>
        <v>0.89847211641180147</v>
      </c>
      <c r="F80" s="7">
        <f t="shared" si="4"/>
        <v>4.5882331788777968</v>
      </c>
    </row>
    <row r="81" spans="1:6" x14ac:dyDescent="0.2">
      <c r="A81" s="3">
        <v>47177</v>
      </c>
      <c r="B81">
        <f t="shared" si="0"/>
        <v>904</v>
      </c>
      <c r="C81" s="7">
        <f t="shared" si="1"/>
        <v>2.4767123287671233</v>
      </c>
      <c r="D81" s="7">
        <f t="shared" si="2"/>
        <v>4.3886260406934881</v>
      </c>
      <c r="E81" s="16">
        <f t="shared" si="3"/>
        <v>0.89700517992982709</v>
      </c>
      <c r="F81" s="7">
        <f t="shared" si="4"/>
        <v>4.5874988478521317</v>
      </c>
    </row>
    <row r="82" spans="1:6" x14ac:dyDescent="0.2">
      <c r="A82" s="3">
        <v>47192</v>
      </c>
      <c r="B82">
        <f t="shared" si="0"/>
        <v>919</v>
      </c>
      <c r="C82" s="7">
        <f t="shared" si="1"/>
        <v>2.5178082191780824</v>
      </c>
      <c r="D82" s="7">
        <f t="shared" si="2"/>
        <v>4.3918648880353874</v>
      </c>
      <c r="E82" s="16">
        <f t="shared" si="3"/>
        <v>0.89531583460910003</v>
      </c>
      <c r="F82" s="7">
        <f t="shared" si="4"/>
        <v>4.5866141948284342</v>
      </c>
    </row>
    <row r="83" spans="1:6" x14ac:dyDescent="0.2">
      <c r="A83" s="3">
        <v>47208</v>
      </c>
      <c r="B83">
        <f t="shared" si="0"/>
        <v>935</v>
      </c>
      <c r="C83" s="7">
        <f t="shared" si="1"/>
        <v>2.5616438356164384</v>
      </c>
      <c r="D83" s="7">
        <f t="shared" si="2"/>
        <v>4.3951891869518125</v>
      </c>
      <c r="E83" s="16">
        <f t="shared" si="3"/>
        <v>0.89351773750151398</v>
      </c>
      <c r="F83" s="7">
        <f t="shared" si="4"/>
        <v>4.5856385678813023</v>
      </c>
    </row>
    <row r="84" spans="1:6" x14ac:dyDescent="0.2">
      <c r="A84" s="3">
        <v>47223</v>
      </c>
      <c r="B84">
        <f t="shared" si="0"/>
        <v>950</v>
      </c>
      <c r="C84" s="7">
        <f t="shared" si="1"/>
        <v>2.6027397260273974</v>
      </c>
      <c r="D84" s="7">
        <f t="shared" si="2"/>
        <v>4.3981889305363495</v>
      </c>
      <c r="E84" s="16">
        <f t="shared" si="3"/>
        <v>0.89183565154836253</v>
      </c>
      <c r="F84" s="7">
        <f t="shared" si="4"/>
        <v>4.5847052084479687</v>
      </c>
    </row>
    <row r="85" spans="1:6" x14ac:dyDescent="0.2">
      <c r="A85" s="3">
        <v>47238</v>
      </c>
      <c r="B85">
        <f t="shared" si="0"/>
        <v>965</v>
      </c>
      <c r="C85" s="7">
        <f t="shared" si="1"/>
        <v>2.6438356164383561</v>
      </c>
      <c r="D85" s="7">
        <f t="shared" si="2"/>
        <v>4.4010808367162095</v>
      </c>
      <c r="E85" s="16">
        <f t="shared" si="3"/>
        <v>0.89015707535149624</v>
      </c>
      <c r="F85" s="7">
        <f t="shared" si="4"/>
        <v>4.583764107272974</v>
      </c>
    </row>
    <row r="86" spans="1:6" x14ac:dyDescent="0.2">
      <c r="A86" s="3">
        <v>47253</v>
      </c>
      <c r="B86">
        <f t="shared" ref="B86:B149" si="5">A86-Settle</f>
        <v>980</v>
      </c>
      <c r="C86" s="7">
        <f t="shared" ref="C86:C149" si="6">B86/365</f>
        <v>2.6849315068493151</v>
      </c>
      <c r="D86" s="7">
        <f t="shared" ref="D86:D149" si="7">(beta_0+beta_1*(1-EXP(-C86/tau_1))/(C86/tau_1)+beta_2*((1-EXP(-C86/tau_1))/(C86/tau_1)-EXP(-C86/tau_1))+beta_3*((1-EXP(-C86/tau_2))/(C86/tau_2)-EXP(-C86/tau_2)))*100</f>
        <v>4.4038698129144658</v>
      </c>
      <c r="E86" s="16">
        <f t="shared" ref="E86:E149" si="8">EXP(-D86/100*C86)</f>
        <v>0.88848200206868</v>
      </c>
      <c r="F86" s="7">
        <f t="shared" ref="F86:F149" si="9">(beta_0+beta_1*EXP(-C86/tau_1)+beta_2*(C86/tau_1)*EXP(-C86/tau_1)+beta_3*(C86/tau_2)*EXP(-C86/tau_2))*100</f>
        <v>4.582824875119897</v>
      </c>
    </row>
    <row r="87" spans="1:6" x14ac:dyDescent="0.2">
      <c r="A87" s="3">
        <v>47269</v>
      </c>
      <c r="B87">
        <f t="shared" si="5"/>
        <v>996</v>
      </c>
      <c r="C87" s="7">
        <f t="shared" si="6"/>
        <v>2.7287671232876711</v>
      </c>
      <c r="D87" s="7">
        <f t="shared" si="7"/>
        <v>4.4067366211235459</v>
      </c>
      <c r="E87" s="16">
        <f t="shared" si="8"/>
        <v>0.88669910662278184</v>
      </c>
      <c r="F87" s="7">
        <f t="shared" si="9"/>
        <v>4.5818353435559107</v>
      </c>
    </row>
    <row r="88" spans="1:6" x14ac:dyDescent="0.2">
      <c r="A88" s="3">
        <v>47284</v>
      </c>
      <c r="B88">
        <f t="shared" si="5"/>
        <v>1011</v>
      </c>
      <c r="C88" s="7">
        <f t="shared" si="6"/>
        <v>2.7698630136986302</v>
      </c>
      <c r="D88" s="7">
        <f t="shared" si="7"/>
        <v>4.409327766156335</v>
      </c>
      <c r="E88" s="16">
        <f t="shared" si="8"/>
        <v>0.88503123664987471</v>
      </c>
      <c r="F88" s="7">
        <f t="shared" si="9"/>
        <v>4.5809283019950264</v>
      </c>
    </row>
    <row r="89" spans="1:6" x14ac:dyDescent="0.2">
      <c r="A89" s="3">
        <v>47299</v>
      </c>
      <c r="B89">
        <f t="shared" si="5"/>
        <v>1026</v>
      </c>
      <c r="C89" s="7">
        <f t="shared" si="6"/>
        <v>2.8109589041095893</v>
      </c>
      <c r="D89" s="7">
        <f t="shared" si="7"/>
        <v>4.4118300831173602</v>
      </c>
      <c r="E89" s="16">
        <f t="shared" si="8"/>
        <v>0.88336682830275426</v>
      </c>
      <c r="F89" s="7">
        <f t="shared" si="9"/>
        <v>4.5800495614666579</v>
      </c>
    </row>
    <row r="90" spans="1:6" x14ac:dyDescent="0.2">
      <c r="A90" s="3">
        <v>47314</v>
      </c>
      <c r="B90">
        <f t="shared" si="5"/>
        <v>1041</v>
      </c>
      <c r="C90" s="7">
        <f t="shared" si="6"/>
        <v>2.8520547945205479</v>
      </c>
      <c r="D90" s="7">
        <f t="shared" si="7"/>
        <v>4.4142478755474714</v>
      </c>
      <c r="E90" s="16">
        <f t="shared" si="8"/>
        <v>0.88170586218937208</v>
      </c>
      <c r="F90" s="7">
        <f t="shared" si="9"/>
        <v>4.5792068099936607</v>
      </c>
    </row>
    <row r="91" spans="1:6" x14ac:dyDescent="0.2">
      <c r="A91" s="3">
        <v>47330</v>
      </c>
      <c r="B91">
        <f t="shared" si="5"/>
        <v>1057</v>
      </c>
      <c r="C91" s="7">
        <f t="shared" si="6"/>
        <v>2.8958904109589043</v>
      </c>
      <c r="D91" s="7">
        <f t="shared" si="7"/>
        <v>4.4167383797310329</v>
      </c>
      <c r="E91" s="16">
        <f t="shared" si="8"/>
        <v>0.87993793428764477</v>
      </c>
      <c r="F91" s="7">
        <f t="shared" si="9"/>
        <v>4.5783557134083273</v>
      </c>
    </row>
    <row r="92" spans="1:6" x14ac:dyDescent="0.2">
      <c r="A92" s="3">
        <v>47345</v>
      </c>
      <c r="B92">
        <f t="shared" si="5"/>
        <v>1072</v>
      </c>
      <c r="C92" s="7">
        <f t="shared" si="6"/>
        <v>2.9369863013698629</v>
      </c>
      <c r="D92" s="7">
        <f t="shared" si="7"/>
        <v>4.4189945354637077</v>
      </c>
      <c r="E92" s="16">
        <f t="shared" si="8"/>
        <v>0.87828400972284848</v>
      </c>
      <c r="F92" s="7">
        <f t="shared" si="9"/>
        <v>4.5776098747947813</v>
      </c>
    </row>
    <row r="93" spans="1:6" x14ac:dyDescent="0.2">
      <c r="A93" s="3">
        <v>47361</v>
      </c>
      <c r="B93">
        <f t="shared" si="5"/>
        <v>1088</v>
      </c>
      <c r="C93" s="7">
        <f t="shared" si="6"/>
        <v>2.9808219178082194</v>
      </c>
      <c r="D93" s="7">
        <f t="shared" si="7"/>
        <v>4.4213216429696462</v>
      </c>
      <c r="E93" s="16">
        <f t="shared" si="8"/>
        <v>0.87652353436760233</v>
      </c>
      <c r="F93" s="7">
        <f t="shared" si="9"/>
        <v>4.5768772407527063</v>
      </c>
    </row>
    <row r="94" spans="1:6" x14ac:dyDescent="0.2">
      <c r="A94" s="3">
        <v>47391</v>
      </c>
      <c r="B94">
        <f t="shared" si="5"/>
        <v>1118</v>
      </c>
      <c r="C94" s="7">
        <f t="shared" si="6"/>
        <v>3.0630136986301371</v>
      </c>
      <c r="D94" s="7">
        <f t="shared" si="7"/>
        <v>4.4254793966328601</v>
      </c>
      <c r="E94" s="16">
        <f t="shared" si="8"/>
        <v>0.87323284529998757</v>
      </c>
      <c r="F94" s="7">
        <f t="shared" si="9"/>
        <v>4.5757033007481196</v>
      </c>
    </row>
    <row r="95" spans="1:6" x14ac:dyDescent="0.2">
      <c r="A95" s="3">
        <v>47422</v>
      </c>
      <c r="B95">
        <f t="shared" si="5"/>
        <v>1149</v>
      </c>
      <c r="C95" s="7">
        <f t="shared" si="6"/>
        <v>3.1479452054794521</v>
      </c>
      <c r="D95" s="7">
        <f t="shared" si="7"/>
        <v>4.4295195225548225</v>
      </c>
      <c r="E95" s="16">
        <f t="shared" si="8"/>
        <v>0.86984621490426905</v>
      </c>
      <c r="F95" s="7">
        <f t="shared" si="9"/>
        <v>4.5748026598278377</v>
      </c>
    </row>
    <row r="96" spans="1:6" x14ac:dyDescent="0.2">
      <c r="A96" s="3">
        <v>47437</v>
      </c>
      <c r="B96">
        <f t="shared" si="5"/>
        <v>1164</v>
      </c>
      <c r="C96" s="7">
        <f t="shared" si="6"/>
        <v>3.1890410958904107</v>
      </c>
      <c r="D96" s="7">
        <f t="shared" si="7"/>
        <v>4.4313896428998429</v>
      </c>
      <c r="E96" s="16">
        <f t="shared" si="8"/>
        <v>0.86821244945696074</v>
      </c>
      <c r="F96" s="7">
        <f t="shared" si="9"/>
        <v>4.5744934640837229</v>
      </c>
    </row>
    <row r="97" spans="1:6" x14ac:dyDescent="0.2">
      <c r="A97" s="3">
        <v>47452</v>
      </c>
      <c r="B97">
        <f t="shared" si="5"/>
        <v>1179</v>
      </c>
      <c r="C97" s="7">
        <f t="shared" si="6"/>
        <v>3.2301369863013698</v>
      </c>
      <c r="D97" s="7">
        <f t="shared" si="7"/>
        <v>4.4332088022738709</v>
      </c>
      <c r="E97" s="16">
        <f t="shared" si="8"/>
        <v>0.8665818470641955</v>
      </c>
      <c r="F97" s="7">
        <f t="shared" si="9"/>
        <v>4.5742727669022649</v>
      </c>
    </row>
    <row r="98" spans="1:6" x14ac:dyDescent="0.2">
      <c r="A98" s="3">
        <v>47483</v>
      </c>
      <c r="B98">
        <f t="shared" si="5"/>
        <v>1210</v>
      </c>
      <c r="C98" s="7">
        <f t="shared" si="6"/>
        <v>3.3150684931506849</v>
      </c>
      <c r="D98" s="7">
        <f t="shared" si="7"/>
        <v>4.4368199247832054</v>
      </c>
      <c r="E98" s="16">
        <f t="shared" si="8"/>
        <v>0.86322179228899043</v>
      </c>
      <c r="F98" s="7">
        <f t="shared" si="9"/>
        <v>4.5741139274499591</v>
      </c>
    </row>
    <row r="99" spans="1:6" x14ac:dyDescent="0.2">
      <c r="A99" s="3">
        <v>47514</v>
      </c>
      <c r="B99">
        <f t="shared" si="5"/>
        <v>1241</v>
      </c>
      <c r="C99" s="7">
        <f t="shared" si="6"/>
        <v>3.4</v>
      </c>
      <c r="D99" s="7">
        <f t="shared" si="7"/>
        <v>4.4402519310933766</v>
      </c>
      <c r="E99" s="16">
        <f t="shared" si="8"/>
        <v>0.85987472783136254</v>
      </c>
      <c r="F99" s="7">
        <f t="shared" si="9"/>
        <v>4.5743812269598765</v>
      </c>
    </row>
    <row r="100" spans="1:6" x14ac:dyDescent="0.2">
      <c r="A100" s="3">
        <v>47529</v>
      </c>
      <c r="B100">
        <f t="shared" si="5"/>
        <v>1256</v>
      </c>
      <c r="C100" s="7">
        <f t="shared" si="6"/>
        <v>3.441095890410959</v>
      </c>
      <c r="D100" s="7">
        <f t="shared" si="7"/>
        <v>4.4418554208678147</v>
      </c>
      <c r="E100" s="16">
        <f t="shared" si="8"/>
        <v>0.85825973458320004</v>
      </c>
      <c r="F100" s="7">
        <f t="shared" si="9"/>
        <v>4.574671626305145</v>
      </c>
    </row>
    <row r="101" spans="1:6" x14ac:dyDescent="0.2">
      <c r="A101" s="3">
        <v>47542</v>
      </c>
      <c r="B101">
        <f t="shared" si="5"/>
        <v>1269</v>
      </c>
      <c r="C101" s="7">
        <f t="shared" si="6"/>
        <v>3.4767123287671233</v>
      </c>
      <c r="D101" s="7">
        <f t="shared" si="7"/>
        <v>4.4432176968076966</v>
      </c>
      <c r="E101" s="16">
        <f t="shared" si="8"/>
        <v>0.85686243076991386</v>
      </c>
      <c r="F101" s="7">
        <f t="shared" si="9"/>
        <v>4.575011137023469</v>
      </c>
    </row>
    <row r="102" spans="1:6" x14ac:dyDescent="0.2">
      <c r="A102" s="3">
        <v>47573</v>
      </c>
      <c r="B102">
        <f t="shared" si="5"/>
        <v>1300</v>
      </c>
      <c r="C102" s="7">
        <f t="shared" si="6"/>
        <v>3.5616438356164384</v>
      </c>
      <c r="D102" s="7">
        <f t="shared" si="7"/>
        <v>4.446373192511559</v>
      </c>
      <c r="E102" s="16">
        <f t="shared" si="8"/>
        <v>0.85353905707756206</v>
      </c>
      <c r="F102" s="7">
        <f t="shared" si="9"/>
        <v>4.5761592071281747</v>
      </c>
    </row>
    <row r="103" spans="1:6" x14ac:dyDescent="0.2">
      <c r="A103" s="3">
        <v>47603</v>
      </c>
      <c r="B103">
        <f t="shared" si="5"/>
        <v>1330</v>
      </c>
      <c r="C103" s="7">
        <f t="shared" si="6"/>
        <v>3.6438356164383561</v>
      </c>
      <c r="D103" s="7">
        <f t="shared" si="7"/>
        <v>4.4493176227197475</v>
      </c>
      <c r="E103" s="16">
        <f t="shared" si="8"/>
        <v>0.85033420856768727</v>
      </c>
      <c r="F103" s="7">
        <f t="shared" si="9"/>
        <v>4.5777378906329309</v>
      </c>
    </row>
    <row r="104" spans="1:6" x14ac:dyDescent="0.2">
      <c r="A104" s="3">
        <v>47618</v>
      </c>
      <c r="B104">
        <f t="shared" si="5"/>
        <v>1345</v>
      </c>
      <c r="C104" s="7">
        <f t="shared" si="6"/>
        <v>3.6849315068493151</v>
      </c>
      <c r="D104" s="7">
        <f t="shared" si="7"/>
        <v>4.4507550959641176</v>
      </c>
      <c r="E104" s="16">
        <f t="shared" si="8"/>
        <v>0.84873584575646255</v>
      </c>
      <c r="F104" s="7">
        <f t="shared" si="9"/>
        <v>4.5787040804650303</v>
      </c>
    </row>
    <row r="105" spans="1:6" x14ac:dyDescent="0.2">
      <c r="A105" s="3">
        <v>47634</v>
      </c>
      <c r="B105">
        <f t="shared" si="5"/>
        <v>1361</v>
      </c>
      <c r="C105" s="7">
        <f t="shared" si="6"/>
        <v>3.7287671232876711</v>
      </c>
      <c r="D105" s="7">
        <f t="shared" si="7"/>
        <v>4.4522659720906974</v>
      </c>
      <c r="E105" s="16">
        <f t="shared" si="8"/>
        <v>0.84703384215572919</v>
      </c>
      <c r="F105" s="7">
        <f t="shared" si="9"/>
        <v>4.5798667565445985</v>
      </c>
    </row>
    <row r="106" spans="1:6" x14ac:dyDescent="0.2">
      <c r="A106" s="3">
        <v>47664</v>
      </c>
      <c r="B106">
        <f t="shared" si="5"/>
        <v>1391</v>
      </c>
      <c r="C106" s="7">
        <f t="shared" si="6"/>
        <v>3.8109589041095893</v>
      </c>
      <c r="D106" s="7">
        <f t="shared" si="7"/>
        <v>4.4550446108221049</v>
      </c>
      <c r="E106" s="16">
        <f t="shared" si="8"/>
        <v>0.84385051139136757</v>
      </c>
      <c r="F106" s="7">
        <f t="shared" si="9"/>
        <v>4.5824190020998135</v>
      </c>
    </row>
    <row r="107" spans="1:6" x14ac:dyDescent="0.2">
      <c r="A107" s="3">
        <v>47695</v>
      </c>
      <c r="B107">
        <f t="shared" si="5"/>
        <v>1422</v>
      </c>
      <c r="C107" s="7">
        <f t="shared" si="6"/>
        <v>3.8958904109589043</v>
      </c>
      <c r="D107" s="7">
        <f t="shared" si="7"/>
        <v>4.4578548256156401</v>
      </c>
      <c r="E107" s="16">
        <f t="shared" si="8"/>
        <v>0.84057160309970735</v>
      </c>
      <c r="F107" s="7">
        <f t="shared" si="9"/>
        <v>4.5855727676218452</v>
      </c>
    </row>
    <row r="108" spans="1:6" x14ac:dyDescent="0.2">
      <c r="A108" s="3">
        <v>47710</v>
      </c>
      <c r="B108">
        <f t="shared" si="5"/>
        <v>1437</v>
      </c>
      <c r="C108" s="7">
        <f t="shared" si="6"/>
        <v>3.9369863013698629</v>
      </c>
      <c r="D108" s="7">
        <f t="shared" si="7"/>
        <v>4.459196846927421</v>
      </c>
      <c r="E108" s="16">
        <f t="shared" si="8"/>
        <v>0.83898876041202186</v>
      </c>
      <c r="F108" s="7">
        <f t="shared" si="9"/>
        <v>4.5872888993160998</v>
      </c>
    </row>
    <row r="109" spans="1:6" x14ac:dyDescent="0.2">
      <c r="A109" s="3">
        <v>47726</v>
      </c>
      <c r="B109">
        <f t="shared" si="5"/>
        <v>1453</v>
      </c>
      <c r="C109" s="7">
        <f t="shared" si="6"/>
        <v>3.9808219178082194</v>
      </c>
      <c r="D109" s="7">
        <f t="shared" si="7"/>
        <v>4.4606180625926184</v>
      </c>
      <c r="E109" s="16">
        <f t="shared" si="8"/>
        <v>0.83730300446080652</v>
      </c>
      <c r="F109" s="7">
        <f t="shared" si="9"/>
        <v>4.5892567394411259</v>
      </c>
    </row>
    <row r="110" spans="1:6" x14ac:dyDescent="0.2">
      <c r="A110" s="3">
        <v>47756</v>
      </c>
      <c r="B110">
        <f t="shared" si="5"/>
        <v>1483</v>
      </c>
      <c r="C110" s="7">
        <f t="shared" si="6"/>
        <v>4.0630136986301366</v>
      </c>
      <c r="D110" s="7">
        <f t="shared" si="7"/>
        <v>4.4632606786835618</v>
      </c>
      <c r="E110" s="16">
        <f t="shared" si="8"/>
        <v>0.83414928588446469</v>
      </c>
      <c r="F110" s="7">
        <f t="shared" si="9"/>
        <v>4.5933293116544522</v>
      </c>
    </row>
    <row r="111" spans="1:6" x14ac:dyDescent="0.2">
      <c r="A111" s="3">
        <v>47787</v>
      </c>
      <c r="B111">
        <f t="shared" si="5"/>
        <v>1514</v>
      </c>
      <c r="C111" s="7">
        <f t="shared" si="6"/>
        <v>4.1479452054794521</v>
      </c>
      <c r="D111" s="7">
        <f t="shared" si="7"/>
        <v>4.4659714539179518</v>
      </c>
      <c r="E111" s="16">
        <f t="shared" si="8"/>
        <v>0.83089981679515401</v>
      </c>
      <c r="F111" s="7">
        <f t="shared" si="9"/>
        <v>4.5980623875161983</v>
      </c>
    </row>
    <row r="112" spans="1:6" x14ac:dyDescent="0.2">
      <c r="A112" s="3">
        <v>47802</v>
      </c>
      <c r="B112">
        <f t="shared" si="5"/>
        <v>1529</v>
      </c>
      <c r="C112" s="7">
        <f t="shared" si="6"/>
        <v>4.1890410958904107</v>
      </c>
      <c r="D112" s="7">
        <f t="shared" si="7"/>
        <v>4.4672793792842089</v>
      </c>
      <c r="E112" s="16">
        <f t="shared" si="8"/>
        <v>0.82933079949557453</v>
      </c>
      <c r="F112" s="7">
        <f t="shared" si="9"/>
        <v>4.600543628482991</v>
      </c>
    </row>
    <row r="113" spans="1:6" x14ac:dyDescent="0.2">
      <c r="A113" s="3">
        <v>47817</v>
      </c>
      <c r="B113">
        <f t="shared" si="5"/>
        <v>1544</v>
      </c>
      <c r="C113" s="7">
        <f t="shared" si="6"/>
        <v>4.2301369863013702</v>
      </c>
      <c r="D113" s="7">
        <f t="shared" si="7"/>
        <v>4.4685866002635954</v>
      </c>
      <c r="E113" s="16">
        <f t="shared" si="8"/>
        <v>0.82776387983840405</v>
      </c>
      <c r="F113" s="7">
        <f t="shared" si="9"/>
        <v>4.6031490102129782</v>
      </c>
    </row>
    <row r="114" spans="1:6" x14ac:dyDescent="0.2">
      <c r="A114" s="3">
        <v>47848</v>
      </c>
      <c r="B114">
        <f t="shared" si="5"/>
        <v>1575</v>
      </c>
      <c r="C114" s="7">
        <f t="shared" si="6"/>
        <v>4.3150684931506849</v>
      </c>
      <c r="D114" s="7">
        <f t="shared" si="7"/>
        <v>4.4712911085259845</v>
      </c>
      <c r="E114" s="16">
        <f t="shared" si="8"/>
        <v>0.82453204326626628</v>
      </c>
      <c r="F114" s="7">
        <f t="shared" si="9"/>
        <v>4.6089247516976446</v>
      </c>
    </row>
    <row r="115" spans="1:6" x14ac:dyDescent="0.2">
      <c r="A115" s="3">
        <v>47879</v>
      </c>
      <c r="B115">
        <f t="shared" si="5"/>
        <v>1606</v>
      </c>
      <c r="C115" s="7">
        <f t="shared" si="6"/>
        <v>4.4000000000000004</v>
      </c>
      <c r="D115" s="7">
        <f t="shared" si="7"/>
        <v>4.4740077508376901</v>
      </c>
      <c r="E115" s="16">
        <f t="shared" si="8"/>
        <v>0.82130861318181114</v>
      </c>
      <c r="F115" s="7">
        <f t="shared" si="9"/>
        <v>4.6152232567406068</v>
      </c>
    </row>
    <row r="116" spans="1:6" x14ac:dyDescent="0.2">
      <c r="A116" s="3">
        <v>47894</v>
      </c>
      <c r="B116">
        <f t="shared" si="5"/>
        <v>1621</v>
      </c>
      <c r="C116" s="7">
        <f t="shared" si="6"/>
        <v>4.441095890410959</v>
      </c>
      <c r="D116" s="7">
        <f t="shared" si="7"/>
        <v>4.4753293622627544</v>
      </c>
      <c r="E116" s="16">
        <f t="shared" si="8"/>
        <v>0.81975179924466768</v>
      </c>
      <c r="F116" s="7">
        <f t="shared" si="9"/>
        <v>4.6184565860906757</v>
      </c>
    </row>
    <row r="117" spans="1:6" x14ac:dyDescent="0.2">
      <c r="A117" s="3">
        <v>47907</v>
      </c>
      <c r="B117">
        <f t="shared" si="5"/>
        <v>1634</v>
      </c>
      <c r="C117" s="7">
        <f t="shared" si="6"/>
        <v>4.4767123287671229</v>
      </c>
      <c r="D117" s="7">
        <f t="shared" si="7"/>
        <v>4.4764795468775933</v>
      </c>
      <c r="E117" s="16">
        <f t="shared" si="8"/>
        <v>0.81840405319734522</v>
      </c>
      <c r="F117" s="7">
        <f t="shared" si="9"/>
        <v>4.6213558114810223</v>
      </c>
    </row>
    <row r="118" spans="1:6" x14ac:dyDescent="0.2">
      <c r="A118" s="3">
        <v>47938</v>
      </c>
      <c r="B118">
        <f t="shared" si="5"/>
        <v>1665</v>
      </c>
      <c r="C118" s="7">
        <f t="shared" si="6"/>
        <v>4.5616438356164384</v>
      </c>
      <c r="D118" s="7">
        <f t="shared" si="7"/>
        <v>4.4792438685648346</v>
      </c>
      <c r="E118" s="16">
        <f t="shared" si="8"/>
        <v>0.81519563482846003</v>
      </c>
      <c r="F118" s="7">
        <f t="shared" si="9"/>
        <v>4.6286289033045751</v>
      </c>
    </row>
    <row r="119" spans="1:6" x14ac:dyDescent="0.2">
      <c r="A119" s="3">
        <v>47968</v>
      </c>
      <c r="B119">
        <f t="shared" si="5"/>
        <v>1695</v>
      </c>
      <c r="C119" s="7">
        <f t="shared" si="6"/>
        <v>4.6438356164383565</v>
      </c>
      <c r="D119" s="7">
        <f t="shared" si="7"/>
        <v>4.4819536608640167</v>
      </c>
      <c r="E119" s="16">
        <f t="shared" si="8"/>
        <v>0.81209775314842036</v>
      </c>
      <c r="F119" s="7">
        <f t="shared" si="9"/>
        <v>4.6361424568707745</v>
      </c>
    </row>
    <row r="120" spans="1:6" x14ac:dyDescent="0.2">
      <c r="A120" s="3">
        <v>47983</v>
      </c>
      <c r="B120">
        <f t="shared" si="5"/>
        <v>1710</v>
      </c>
      <c r="C120" s="7">
        <f t="shared" si="6"/>
        <v>4.6849315068493151</v>
      </c>
      <c r="D120" s="7">
        <f t="shared" si="7"/>
        <v>4.4833233434821347</v>
      </c>
      <c r="E120" s="16">
        <f t="shared" si="8"/>
        <v>0.81055131432558503</v>
      </c>
      <c r="F120" s="7">
        <f t="shared" si="9"/>
        <v>4.6400714648250725</v>
      </c>
    </row>
    <row r="121" spans="1:6" x14ac:dyDescent="0.2">
      <c r="A121" s="3">
        <v>47999</v>
      </c>
      <c r="B121">
        <f t="shared" si="5"/>
        <v>1726</v>
      </c>
      <c r="C121" s="7">
        <f t="shared" si="6"/>
        <v>4.7287671232876711</v>
      </c>
      <c r="D121" s="7">
        <f t="shared" si="7"/>
        <v>4.4847963007186076</v>
      </c>
      <c r="E121" s="16">
        <f t="shared" si="8"/>
        <v>0.80890356397548935</v>
      </c>
      <c r="F121" s="7">
        <f t="shared" si="9"/>
        <v>4.6443870646554348</v>
      </c>
    </row>
    <row r="122" spans="1:6" x14ac:dyDescent="0.2">
      <c r="A122" s="3">
        <v>48029</v>
      </c>
      <c r="B122">
        <f t="shared" si="5"/>
        <v>1756</v>
      </c>
      <c r="C122" s="7">
        <f t="shared" si="6"/>
        <v>4.8109589041095893</v>
      </c>
      <c r="D122" s="7">
        <f t="shared" si="7"/>
        <v>4.4875942018486104</v>
      </c>
      <c r="E122" s="16">
        <f t="shared" si="8"/>
        <v>0.80581885061475444</v>
      </c>
      <c r="F122" s="7">
        <f t="shared" si="9"/>
        <v>4.6528200381449194</v>
      </c>
    </row>
    <row r="123" spans="1:6" x14ac:dyDescent="0.2">
      <c r="A123" s="3">
        <v>48060</v>
      </c>
      <c r="B123">
        <f t="shared" si="5"/>
        <v>1787</v>
      </c>
      <c r="C123" s="7">
        <f t="shared" si="6"/>
        <v>4.8958904109589039</v>
      </c>
      <c r="D123" s="7">
        <f t="shared" si="7"/>
        <v>4.4905393466431871</v>
      </c>
      <c r="E123" s="16">
        <f t="shared" si="8"/>
        <v>0.80263767161869193</v>
      </c>
      <c r="F123" s="7">
        <f t="shared" si="9"/>
        <v>4.661991484528258</v>
      </c>
    </row>
    <row r="124" spans="1:6" x14ac:dyDescent="0.2">
      <c r="A124" s="3">
        <v>48075</v>
      </c>
      <c r="B124">
        <f t="shared" si="5"/>
        <v>1802</v>
      </c>
      <c r="C124" s="7">
        <f t="shared" si="6"/>
        <v>4.9369863013698634</v>
      </c>
      <c r="D124" s="7">
        <f t="shared" si="7"/>
        <v>4.4919856047652926</v>
      </c>
      <c r="E124" s="16">
        <f t="shared" si="8"/>
        <v>0.80110062629565637</v>
      </c>
      <c r="F124" s="7">
        <f t="shared" si="9"/>
        <v>4.6665923322670366</v>
      </c>
    </row>
    <row r="125" spans="1:6" x14ac:dyDescent="0.2">
      <c r="A125" s="3">
        <v>48091</v>
      </c>
      <c r="B125">
        <f t="shared" si="5"/>
        <v>1818</v>
      </c>
      <c r="C125" s="7">
        <f t="shared" si="6"/>
        <v>4.9808219178082194</v>
      </c>
      <c r="D125" s="7">
        <f t="shared" si="7"/>
        <v>4.4935443122930376</v>
      </c>
      <c r="E125" s="16">
        <f t="shared" si="8"/>
        <v>0.79946266959019852</v>
      </c>
      <c r="F125" s="7">
        <f t="shared" si="9"/>
        <v>4.6716147733541655</v>
      </c>
    </row>
    <row r="126" spans="1:6" x14ac:dyDescent="0.2">
      <c r="A126" s="3">
        <v>48121</v>
      </c>
      <c r="B126">
        <f t="shared" si="5"/>
        <v>1848</v>
      </c>
      <c r="C126" s="7">
        <f t="shared" si="6"/>
        <v>5.0630136986301366</v>
      </c>
      <c r="D126" s="7">
        <f t="shared" si="7"/>
        <v>4.4965134980802546</v>
      </c>
      <c r="E126" s="16">
        <f t="shared" si="8"/>
        <v>0.79639570934566484</v>
      </c>
      <c r="F126" s="7">
        <f t="shared" si="9"/>
        <v>4.6813448405310121</v>
      </c>
    </row>
    <row r="127" spans="1:6" x14ac:dyDescent="0.2">
      <c r="A127" s="3">
        <v>48152</v>
      </c>
      <c r="B127">
        <f t="shared" si="5"/>
        <v>1879</v>
      </c>
      <c r="C127" s="7">
        <f t="shared" si="6"/>
        <v>5.1479452054794521</v>
      </c>
      <c r="D127" s="7">
        <f t="shared" si="7"/>
        <v>4.4996486783791285</v>
      </c>
      <c r="E127" s="16">
        <f t="shared" si="8"/>
        <v>0.79323207284522357</v>
      </c>
      <c r="F127" s="7">
        <f t="shared" si="9"/>
        <v>4.6918163831853228</v>
      </c>
    </row>
    <row r="128" spans="1:6" x14ac:dyDescent="0.2">
      <c r="A128" s="3">
        <v>48167</v>
      </c>
      <c r="B128">
        <f t="shared" si="5"/>
        <v>1894</v>
      </c>
      <c r="C128" s="7">
        <f t="shared" si="6"/>
        <v>5.1890410958904107</v>
      </c>
      <c r="D128" s="7">
        <f t="shared" si="7"/>
        <v>4.5011911849691248</v>
      </c>
      <c r="E128" s="16">
        <f t="shared" si="8"/>
        <v>0.79170323521907338</v>
      </c>
      <c r="F128" s="7">
        <f t="shared" si="9"/>
        <v>4.6970311357999481</v>
      </c>
    </row>
    <row r="129" spans="1:6" x14ac:dyDescent="0.2">
      <c r="A129" s="3">
        <v>48182</v>
      </c>
      <c r="B129">
        <f t="shared" si="5"/>
        <v>1909</v>
      </c>
      <c r="C129" s="7">
        <f t="shared" si="6"/>
        <v>5.2301369863013702</v>
      </c>
      <c r="D129" s="7">
        <f t="shared" si="7"/>
        <v>4.5027507969590301</v>
      </c>
      <c r="E129" s="16">
        <f t="shared" si="8"/>
        <v>0.79017563548483105</v>
      </c>
      <c r="F129" s="7">
        <f t="shared" si="9"/>
        <v>4.70234001707035</v>
      </c>
    </row>
    <row r="130" spans="1:6" x14ac:dyDescent="0.2">
      <c r="A130" s="3">
        <v>48213</v>
      </c>
      <c r="B130">
        <f t="shared" si="5"/>
        <v>1940</v>
      </c>
      <c r="C130" s="7">
        <f t="shared" si="6"/>
        <v>5.3150684931506849</v>
      </c>
      <c r="D130" s="7">
        <f t="shared" si="7"/>
        <v>4.5060295780363457</v>
      </c>
      <c r="E130" s="16">
        <f t="shared" si="8"/>
        <v>0.78702240791716194</v>
      </c>
      <c r="F130" s="7">
        <f t="shared" si="9"/>
        <v>4.7136025351266069</v>
      </c>
    </row>
    <row r="131" spans="1:6" x14ac:dyDescent="0.2">
      <c r="A131" s="3">
        <v>48244</v>
      </c>
      <c r="B131">
        <f t="shared" si="5"/>
        <v>1971</v>
      </c>
      <c r="C131" s="7">
        <f t="shared" si="6"/>
        <v>5.4</v>
      </c>
      <c r="D131" s="7">
        <f t="shared" si="7"/>
        <v>4.5093853609162862</v>
      </c>
      <c r="E131" s="16">
        <f t="shared" si="8"/>
        <v>0.78387413823140162</v>
      </c>
      <c r="F131" s="7">
        <f t="shared" si="9"/>
        <v>4.725244186604292</v>
      </c>
    </row>
    <row r="132" spans="1:6" x14ac:dyDescent="0.2">
      <c r="A132" s="3">
        <v>48259</v>
      </c>
      <c r="B132">
        <f t="shared" si="5"/>
        <v>1986</v>
      </c>
      <c r="C132" s="7">
        <f t="shared" si="6"/>
        <v>5.441095890410959</v>
      </c>
      <c r="D132" s="7">
        <f t="shared" si="7"/>
        <v>4.5110374308521095</v>
      </c>
      <c r="E132" s="16">
        <f t="shared" si="8"/>
        <v>0.7823525003704026</v>
      </c>
      <c r="F132" s="7">
        <f t="shared" si="9"/>
        <v>4.7310086859579608</v>
      </c>
    </row>
    <row r="133" spans="1:6" x14ac:dyDescent="0.2">
      <c r="A133" s="3">
        <v>48273</v>
      </c>
      <c r="B133">
        <f t="shared" si="5"/>
        <v>2000</v>
      </c>
      <c r="C133" s="7">
        <f t="shared" si="6"/>
        <v>5.4794520547945202</v>
      </c>
      <c r="D133" s="7">
        <f t="shared" si="7"/>
        <v>4.5125962815774727</v>
      </c>
      <c r="E133" s="16">
        <f t="shared" si="8"/>
        <v>0.78093328941297357</v>
      </c>
      <c r="F133" s="7">
        <f t="shared" si="9"/>
        <v>4.7364640676353558</v>
      </c>
    </row>
    <row r="134" spans="1:6" x14ac:dyDescent="0.2">
      <c r="A134" s="3">
        <v>48304</v>
      </c>
      <c r="B134">
        <f t="shared" si="5"/>
        <v>2031</v>
      </c>
      <c r="C134" s="7">
        <f t="shared" si="6"/>
        <v>5.5643835616438357</v>
      </c>
      <c r="D134" s="7">
        <f t="shared" si="7"/>
        <v>4.5161069395602862</v>
      </c>
      <c r="E134" s="16">
        <f t="shared" si="8"/>
        <v>0.77779404603327806</v>
      </c>
      <c r="F134" s="7">
        <f t="shared" si="9"/>
        <v>4.7487946967164909</v>
      </c>
    </row>
    <row r="135" spans="1:6" x14ac:dyDescent="0.2">
      <c r="A135" s="3">
        <v>48334</v>
      </c>
      <c r="B135">
        <f t="shared" si="5"/>
        <v>2061</v>
      </c>
      <c r="C135" s="7">
        <f t="shared" si="6"/>
        <v>5.646575342465753</v>
      </c>
      <c r="D135" s="7">
        <f t="shared" si="7"/>
        <v>4.5195827362673784</v>
      </c>
      <c r="E135" s="16">
        <f t="shared" si="8"/>
        <v>0.77476025616644539</v>
      </c>
      <c r="F135" s="7">
        <f t="shared" si="9"/>
        <v>4.7610443410063441</v>
      </c>
    </row>
    <row r="136" spans="1:6" x14ac:dyDescent="0.2">
      <c r="A136" s="3">
        <v>48349</v>
      </c>
      <c r="B136">
        <f t="shared" si="5"/>
        <v>2076</v>
      </c>
      <c r="C136" s="7">
        <f t="shared" si="6"/>
        <v>5.6876712328767125</v>
      </c>
      <c r="D136" s="7">
        <f t="shared" si="7"/>
        <v>4.5213498896171282</v>
      </c>
      <c r="E136" s="16">
        <f t="shared" si="8"/>
        <v>0.77324485821969602</v>
      </c>
      <c r="F136" s="7">
        <f t="shared" si="9"/>
        <v>4.7672813958990483</v>
      </c>
    </row>
    <row r="137" spans="1:6" x14ac:dyDescent="0.2">
      <c r="A137" s="3">
        <v>48365</v>
      </c>
      <c r="B137">
        <f t="shared" si="5"/>
        <v>2092</v>
      </c>
      <c r="C137" s="7">
        <f t="shared" si="6"/>
        <v>5.7315068493150685</v>
      </c>
      <c r="D137" s="7">
        <f t="shared" si="7"/>
        <v>4.5232565132296703</v>
      </c>
      <c r="E137" s="16">
        <f t="shared" si="8"/>
        <v>0.77162950738361613</v>
      </c>
      <c r="F137" s="7">
        <f t="shared" si="9"/>
        <v>4.7740140011893182</v>
      </c>
    </row>
    <row r="138" spans="1:6" x14ac:dyDescent="0.2">
      <c r="A138" s="3">
        <v>48395</v>
      </c>
      <c r="B138">
        <f t="shared" si="5"/>
        <v>2122</v>
      </c>
      <c r="C138" s="7">
        <f t="shared" si="6"/>
        <v>5.8136986301369866</v>
      </c>
      <c r="D138" s="7">
        <f t="shared" si="7"/>
        <v>4.526892049237782</v>
      </c>
      <c r="E138" s="16">
        <f t="shared" si="8"/>
        <v>0.7686036430166665</v>
      </c>
      <c r="F138" s="7">
        <f t="shared" si="9"/>
        <v>4.786851936572317</v>
      </c>
    </row>
    <row r="139" spans="1:6" x14ac:dyDescent="0.2">
      <c r="A139" s="3">
        <v>48426</v>
      </c>
      <c r="B139">
        <f t="shared" si="5"/>
        <v>2153</v>
      </c>
      <c r="C139" s="7">
        <f t="shared" si="6"/>
        <v>5.8986301369863012</v>
      </c>
      <c r="D139" s="7">
        <f t="shared" si="7"/>
        <v>4.5307322767785099</v>
      </c>
      <c r="E139" s="16">
        <f t="shared" si="8"/>
        <v>0.76548080485369074</v>
      </c>
      <c r="F139" s="7">
        <f t="shared" si="9"/>
        <v>4.8003983773056236</v>
      </c>
    </row>
    <row r="140" spans="1:6" x14ac:dyDescent="0.2">
      <c r="A140" s="3">
        <v>48441</v>
      </c>
      <c r="B140">
        <f t="shared" si="5"/>
        <v>2168</v>
      </c>
      <c r="C140" s="7">
        <f t="shared" si="6"/>
        <v>5.9397260273972599</v>
      </c>
      <c r="D140" s="7">
        <f t="shared" si="7"/>
        <v>4.5326210253451187</v>
      </c>
      <c r="E140" s="16">
        <f t="shared" si="8"/>
        <v>0.76397113589939281</v>
      </c>
      <c r="F140" s="7">
        <f t="shared" si="9"/>
        <v>4.8070507883504101</v>
      </c>
    </row>
    <row r="141" spans="1:6" x14ac:dyDescent="0.2">
      <c r="A141" s="3">
        <v>48457</v>
      </c>
      <c r="B141">
        <f t="shared" si="5"/>
        <v>2184</v>
      </c>
      <c r="C141" s="7">
        <f t="shared" si="6"/>
        <v>5.9835616438356167</v>
      </c>
      <c r="D141" s="7">
        <f t="shared" si="7"/>
        <v>4.5346576974052617</v>
      </c>
      <c r="E141" s="16">
        <f t="shared" si="8"/>
        <v>0.76236179555394601</v>
      </c>
      <c r="F141" s="7">
        <f t="shared" si="9"/>
        <v>4.8142141689899729</v>
      </c>
    </row>
    <row r="142" spans="1:6" x14ac:dyDescent="0.2">
      <c r="A142" s="3">
        <v>48487</v>
      </c>
      <c r="B142">
        <f t="shared" si="5"/>
        <v>2214</v>
      </c>
      <c r="C142" s="7">
        <f t="shared" si="6"/>
        <v>6.065753424657534</v>
      </c>
      <c r="D142" s="7">
        <f t="shared" si="7"/>
        <v>4.5385376851071886</v>
      </c>
      <c r="E142" s="16">
        <f t="shared" si="8"/>
        <v>0.75934693962982769</v>
      </c>
      <c r="F142" s="7">
        <f t="shared" si="9"/>
        <v>4.8278257778940494</v>
      </c>
    </row>
    <row r="143" spans="1:6" x14ac:dyDescent="0.2">
      <c r="A143" s="3">
        <v>48518</v>
      </c>
      <c r="B143">
        <f t="shared" si="5"/>
        <v>2245</v>
      </c>
      <c r="C143" s="7">
        <f t="shared" si="6"/>
        <v>6.1506849315068495</v>
      </c>
      <c r="D143" s="7">
        <f t="shared" si="7"/>
        <v>4.5426307712659444</v>
      </c>
      <c r="E143" s="16">
        <f t="shared" si="8"/>
        <v>0.75623514988752538</v>
      </c>
      <c r="F143" s="7">
        <f t="shared" si="9"/>
        <v>4.8421253061708924</v>
      </c>
    </row>
    <row r="144" spans="1:6" x14ac:dyDescent="0.2">
      <c r="A144" s="3">
        <v>48533</v>
      </c>
      <c r="B144">
        <f t="shared" si="5"/>
        <v>2260</v>
      </c>
      <c r="C144" s="7">
        <f t="shared" si="6"/>
        <v>6.1917808219178081</v>
      </c>
      <c r="D144" s="7">
        <f t="shared" si="7"/>
        <v>4.5446417686002478</v>
      </c>
      <c r="E144" s="16">
        <f t="shared" si="8"/>
        <v>0.75473071860436691</v>
      </c>
      <c r="F144" s="7">
        <f t="shared" si="9"/>
        <v>4.8491253063209347</v>
      </c>
    </row>
    <row r="145" spans="1:6" x14ac:dyDescent="0.2">
      <c r="A145" s="3">
        <v>48548</v>
      </c>
      <c r="B145">
        <f t="shared" si="5"/>
        <v>2275</v>
      </c>
      <c r="C145" s="7">
        <f t="shared" si="6"/>
        <v>6.2328767123287667</v>
      </c>
      <c r="D145" s="7">
        <f t="shared" si="7"/>
        <v>4.5466725681352056</v>
      </c>
      <c r="E145" s="16">
        <f t="shared" si="8"/>
        <v>0.75322710553005878</v>
      </c>
      <c r="F145" s="7">
        <f t="shared" si="9"/>
        <v>4.8561756720253122</v>
      </c>
    </row>
    <row r="146" spans="1:6" x14ac:dyDescent="0.2">
      <c r="A146" s="3">
        <v>48579</v>
      </c>
      <c r="B146">
        <f t="shared" si="5"/>
        <v>2306</v>
      </c>
      <c r="C146" s="7">
        <f t="shared" si="6"/>
        <v>6.3178082191780822</v>
      </c>
      <c r="D146" s="7">
        <f t="shared" si="7"/>
        <v>4.5509320149246415</v>
      </c>
      <c r="E146" s="16">
        <f t="shared" si="8"/>
        <v>0.75012219662634483</v>
      </c>
      <c r="F146" s="7">
        <f t="shared" si="9"/>
        <v>4.8708985679631036</v>
      </c>
    </row>
    <row r="147" spans="1:6" x14ac:dyDescent="0.2">
      <c r="A147" s="3">
        <v>48610</v>
      </c>
      <c r="B147">
        <f t="shared" si="5"/>
        <v>2337</v>
      </c>
      <c r="C147" s="7">
        <f t="shared" si="6"/>
        <v>6.4027397260273968</v>
      </c>
      <c r="D147" s="7">
        <f t="shared" si="7"/>
        <v>4.5552750503969923</v>
      </c>
      <c r="E147" s="16">
        <f t="shared" si="8"/>
        <v>0.74702068364644847</v>
      </c>
      <c r="F147" s="7">
        <f t="shared" si="9"/>
        <v>4.8858139610581279</v>
      </c>
    </row>
    <row r="148" spans="1:6" x14ac:dyDescent="0.2">
      <c r="A148" s="3">
        <v>48625</v>
      </c>
      <c r="B148">
        <f t="shared" si="5"/>
        <v>2352</v>
      </c>
      <c r="C148" s="7">
        <f t="shared" si="6"/>
        <v>6.4438356164383563</v>
      </c>
      <c r="D148" s="7">
        <f t="shared" si="7"/>
        <v>4.5574062774661268</v>
      </c>
      <c r="E148" s="16">
        <f t="shared" si="8"/>
        <v>0.74552115452179701</v>
      </c>
      <c r="F148" s="7">
        <f t="shared" si="9"/>
        <v>4.8930957356245974</v>
      </c>
    </row>
    <row r="149" spans="1:6" x14ac:dyDescent="0.2">
      <c r="A149" s="3">
        <v>48638</v>
      </c>
      <c r="B149">
        <f t="shared" si="5"/>
        <v>2365</v>
      </c>
      <c r="C149" s="7">
        <f t="shared" si="6"/>
        <v>6.4794520547945202</v>
      </c>
      <c r="D149" s="7">
        <f t="shared" si="7"/>
        <v>4.5592689251863607</v>
      </c>
      <c r="E149" s="16">
        <f t="shared" si="8"/>
        <v>0.74422219164035375</v>
      </c>
      <c r="F149" s="7">
        <f t="shared" si="9"/>
        <v>4.8994389311866149</v>
      </c>
    </row>
    <row r="150" spans="1:6" x14ac:dyDescent="0.2">
      <c r="A150" s="3">
        <v>48669</v>
      </c>
      <c r="B150">
        <f t="shared" ref="B150:B213" si="10">A150-Settle</f>
        <v>2396</v>
      </c>
      <c r="C150" s="7">
        <f t="shared" ref="C150:C213" si="11">B150/365</f>
        <v>6.5643835616438357</v>
      </c>
      <c r="D150" s="7">
        <f t="shared" ref="D150:D213" si="12">(beta_0+beta_1*(1-EXP(-C150/tau_1))/(C150/tau_1)+beta_2*((1-EXP(-C150/tau_1))/(C150/tau_1)-EXP(-C150/tau_1))+beta_3*((1-EXP(-C150/tau_2))/(C150/tau_2)-EXP(-C150/tau_2)))*100</f>
        <v>4.5637685472208904</v>
      </c>
      <c r="E150" s="16">
        <f t="shared" ref="E150:E213" si="13">EXP(-D150/100*C150)</f>
        <v>0.74112700448597169</v>
      </c>
      <c r="F150" s="7">
        <f t="shared" ref="F150:F213" si="14">(beta_0+beta_1*EXP(-C150/tau_1)+beta_2*(C150/tau_1)*EXP(-C150/tau_1)+beta_3*(C150/tau_2)*EXP(-C150/tau_2))*100</f>
        <v>4.9146795538604282</v>
      </c>
    </row>
    <row r="151" spans="1:6" x14ac:dyDescent="0.2">
      <c r="A151" s="3">
        <v>48699</v>
      </c>
      <c r="B151">
        <f t="shared" si="10"/>
        <v>2426</v>
      </c>
      <c r="C151" s="7">
        <f t="shared" si="11"/>
        <v>6.646575342465753</v>
      </c>
      <c r="D151" s="7">
        <f t="shared" si="12"/>
        <v>4.5681998628350176</v>
      </c>
      <c r="E151" s="16">
        <f t="shared" si="13"/>
        <v>0.73813477752889178</v>
      </c>
      <c r="F151" s="7">
        <f t="shared" si="14"/>
        <v>4.9295712817308264</v>
      </c>
    </row>
    <row r="152" spans="1:6" x14ac:dyDescent="0.2">
      <c r="A152" s="3">
        <v>48714</v>
      </c>
      <c r="B152">
        <f t="shared" si="10"/>
        <v>2441</v>
      </c>
      <c r="C152" s="7">
        <f t="shared" si="11"/>
        <v>6.6876712328767125</v>
      </c>
      <c r="D152" s="7">
        <f t="shared" si="12"/>
        <v>4.5704435091645372</v>
      </c>
      <c r="E152" s="16">
        <f t="shared" si="13"/>
        <v>0.73663980634576443</v>
      </c>
      <c r="F152" s="7">
        <f t="shared" si="14"/>
        <v>4.9370657107000815</v>
      </c>
    </row>
    <row r="153" spans="1:6" x14ac:dyDescent="0.2">
      <c r="A153" s="3">
        <v>48730</v>
      </c>
      <c r="B153">
        <f t="shared" si="10"/>
        <v>2457</v>
      </c>
      <c r="C153" s="7">
        <f t="shared" si="11"/>
        <v>6.7315068493150685</v>
      </c>
      <c r="D153" s="7">
        <f t="shared" si="12"/>
        <v>4.572857074310976</v>
      </c>
      <c r="E153" s="16">
        <f t="shared" si="13"/>
        <v>0.73504600700279532</v>
      </c>
      <c r="F153" s="7">
        <f t="shared" si="14"/>
        <v>4.9450930821614563</v>
      </c>
    </row>
    <row r="154" spans="1:6" x14ac:dyDescent="0.2">
      <c r="A154" s="3">
        <v>48760</v>
      </c>
      <c r="B154">
        <f t="shared" si="10"/>
        <v>2487</v>
      </c>
      <c r="C154" s="7">
        <f t="shared" si="11"/>
        <v>6.8136986301369866</v>
      </c>
      <c r="D154" s="7">
        <f t="shared" si="12"/>
        <v>4.577438446460552</v>
      </c>
      <c r="E154" s="16">
        <f t="shared" si="13"/>
        <v>0.7320599564021627</v>
      </c>
      <c r="F154" s="7">
        <f t="shared" si="14"/>
        <v>4.9602305941780545</v>
      </c>
    </row>
    <row r="155" spans="1:6" x14ac:dyDescent="0.2">
      <c r="A155" s="3">
        <v>48791</v>
      </c>
      <c r="B155">
        <f t="shared" si="10"/>
        <v>2518</v>
      </c>
      <c r="C155" s="7">
        <f t="shared" si="11"/>
        <v>6.8986301369863012</v>
      </c>
      <c r="D155" s="7">
        <f t="shared" si="12"/>
        <v>4.5822479795212239</v>
      </c>
      <c r="E155" s="16">
        <f t="shared" si="13"/>
        <v>0.72897755218066462</v>
      </c>
      <c r="F155" s="7">
        <f t="shared" si="14"/>
        <v>4.9759797427795345</v>
      </c>
    </row>
    <row r="156" spans="1:6" x14ac:dyDescent="0.2">
      <c r="A156" s="3">
        <v>48806</v>
      </c>
      <c r="B156">
        <f t="shared" si="10"/>
        <v>2533</v>
      </c>
      <c r="C156" s="7">
        <f t="shared" si="11"/>
        <v>6.9397260273972599</v>
      </c>
      <c r="D156" s="7">
        <f t="shared" si="12"/>
        <v>4.5846022500217032</v>
      </c>
      <c r="E156" s="16">
        <f t="shared" si="13"/>
        <v>0.72748722836879764</v>
      </c>
      <c r="F156" s="7">
        <f t="shared" si="14"/>
        <v>4.9836354479340406</v>
      </c>
    </row>
    <row r="157" spans="1:6" x14ac:dyDescent="0.2">
      <c r="A157" s="3">
        <v>48822</v>
      </c>
      <c r="B157">
        <f t="shared" si="10"/>
        <v>2549</v>
      </c>
      <c r="C157" s="7">
        <f t="shared" si="11"/>
        <v>6.9835616438356167</v>
      </c>
      <c r="D157" s="7">
        <f t="shared" si="12"/>
        <v>4.5871326593658051</v>
      </c>
      <c r="E157" s="16">
        <f t="shared" si="13"/>
        <v>0.72589838686326935</v>
      </c>
      <c r="F157" s="7">
        <f t="shared" si="14"/>
        <v>4.9918245462715056</v>
      </c>
    </row>
    <row r="158" spans="1:6" x14ac:dyDescent="0.2">
      <c r="A158" s="3">
        <v>48898</v>
      </c>
      <c r="B158">
        <f t="shared" si="10"/>
        <v>2625</v>
      </c>
      <c r="C158" s="7">
        <f t="shared" si="11"/>
        <v>7.1917808219178081</v>
      </c>
      <c r="D158" s="7">
        <f t="shared" si="12"/>
        <v>4.5994155003153843</v>
      </c>
      <c r="E158" s="16">
        <f t="shared" si="13"/>
        <v>0.71836327641841335</v>
      </c>
      <c r="F158" s="7">
        <f t="shared" si="14"/>
        <v>5.0309938457988839</v>
      </c>
    </row>
    <row r="159" spans="1:6" x14ac:dyDescent="0.2">
      <c r="A159" s="3">
        <v>48913</v>
      </c>
      <c r="B159">
        <f t="shared" si="10"/>
        <v>2640</v>
      </c>
      <c r="C159" s="7">
        <f t="shared" si="11"/>
        <v>7.2328767123287667</v>
      </c>
      <c r="D159" s="7">
        <f t="shared" si="12"/>
        <v>4.6018897285115061</v>
      </c>
      <c r="E159" s="16">
        <f t="shared" si="13"/>
        <v>0.71687842709934269</v>
      </c>
      <c r="F159" s="7">
        <f t="shared" si="14"/>
        <v>5.0387674045093114</v>
      </c>
    </row>
    <row r="160" spans="1:6" x14ac:dyDescent="0.2">
      <c r="A160" s="3">
        <v>48990</v>
      </c>
      <c r="B160">
        <f t="shared" si="10"/>
        <v>2717</v>
      </c>
      <c r="C160" s="7">
        <f t="shared" si="11"/>
        <v>7.4438356164383563</v>
      </c>
      <c r="D160" s="7">
        <f t="shared" si="12"/>
        <v>4.6148378762832261</v>
      </c>
      <c r="E160" s="16">
        <f t="shared" si="13"/>
        <v>0.70926862502011845</v>
      </c>
      <c r="F160" s="7">
        <f t="shared" si="14"/>
        <v>5.078814290266811</v>
      </c>
    </row>
    <row r="161" spans="1:6" x14ac:dyDescent="0.2">
      <c r="A161" s="3">
        <v>49079</v>
      </c>
      <c r="B161">
        <f t="shared" si="10"/>
        <v>2806</v>
      </c>
      <c r="C161" s="7">
        <f t="shared" si="11"/>
        <v>7.6876712328767125</v>
      </c>
      <c r="D161" s="7">
        <f t="shared" si="12"/>
        <v>4.6302902334259892</v>
      </c>
      <c r="E161" s="16">
        <f t="shared" si="13"/>
        <v>0.7004995957634822</v>
      </c>
      <c r="F161" s="7">
        <f t="shared" si="14"/>
        <v>5.1252317512810164</v>
      </c>
    </row>
    <row r="162" spans="1:6" x14ac:dyDescent="0.2">
      <c r="A162" s="3">
        <v>49095</v>
      </c>
      <c r="B162">
        <f t="shared" si="10"/>
        <v>2822</v>
      </c>
      <c r="C162" s="7">
        <f t="shared" si="11"/>
        <v>7.7315068493150685</v>
      </c>
      <c r="D162" s="7">
        <f t="shared" si="12"/>
        <v>4.6331200699703396</v>
      </c>
      <c r="E162" s="16">
        <f t="shared" si="13"/>
        <v>0.69892628818675162</v>
      </c>
      <c r="F162" s="7">
        <f t="shared" si="14"/>
        <v>5.1335729024827454</v>
      </c>
    </row>
    <row r="163" spans="1:6" x14ac:dyDescent="0.2">
      <c r="A163" s="3">
        <v>49171</v>
      </c>
      <c r="B163">
        <f t="shared" si="10"/>
        <v>2898</v>
      </c>
      <c r="C163" s="7">
        <f t="shared" si="11"/>
        <v>7.9397260273972599</v>
      </c>
      <c r="D163" s="7">
        <f t="shared" si="12"/>
        <v>4.646763219920202</v>
      </c>
      <c r="E163" s="16">
        <f t="shared" si="13"/>
        <v>0.69146671135081017</v>
      </c>
      <c r="F163" s="7">
        <f t="shared" si="14"/>
        <v>5.1731077869010589</v>
      </c>
    </row>
    <row r="164" spans="1:6" x14ac:dyDescent="0.2">
      <c r="A164" s="3">
        <v>49263</v>
      </c>
      <c r="B164">
        <f t="shared" si="10"/>
        <v>2990</v>
      </c>
      <c r="C164" s="7">
        <f t="shared" si="11"/>
        <v>8.1917808219178081</v>
      </c>
      <c r="D164" s="7">
        <f t="shared" si="12"/>
        <v>4.6636907440325759</v>
      </c>
      <c r="E164" s="16">
        <f t="shared" si="13"/>
        <v>0.68246821532271185</v>
      </c>
      <c r="F164" s="7">
        <f t="shared" si="14"/>
        <v>5.220629121512907</v>
      </c>
    </row>
    <row r="165" spans="1:6" x14ac:dyDescent="0.2">
      <c r="A165" s="3">
        <v>49278</v>
      </c>
      <c r="B165">
        <f t="shared" si="10"/>
        <v>3005</v>
      </c>
      <c r="C165" s="7">
        <f t="shared" si="11"/>
        <v>8.2328767123287676</v>
      </c>
      <c r="D165" s="7">
        <f t="shared" si="12"/>
        <v>4.6664900238301028</v>
      </c>
      <c r="E165" s="16">
        <f t="shared" si="13"/>
        <v>0.68100449623396875</v>
      </c>
      <c r="F165" s="7">
        <f t="shared" si="14"/>
        <v>5.2283278195349769</v>
      </c>
    </row>
    <row r="166" spans="1:6" x14ac:dyDescent="0.2">
      <c r="A166" s="3">
        <v>49355</v>
      </c>
      <c r="B166">
        <f t="shared" si="10"/>
        <v>3082</v>
      </c>
      <c r="C166" s="7">
        <f t="shared" si="11"/>
        <v>8.4438356164383563</v>
      </c>
      <c r="D166" s="7">
        <f t="shared" si="12"/>
        <v>4.6810180969050448</v>
      </c>
      <c r="E166" s="16">
        <f t="shared" si="13"/>
        <v>0.67350660696862119</v>
      </c>
      <c r="F166" s="7">
        <f t="shared" si="14"/>
        <v>5.2675709851114512</v>
      </c>
    </row>
    <row r="167" spans="1:6" x14ac:dyDescent="0.2">
      <c r="A167" s="3">
        <v>49444</v>
      </c>
      <c r="B167">
        <f t="shared" si="10"/>
        <v>3171</v>
      </c>
      <c r="C167" s="7">
        <f t="shared" si="11"/>
        <v>8.6876712328767116</v>
      </c>
      <c r="D167" s="7">
        <f t="shared" si="12"/>
        <v>4.6981095787954059</v>
      </c>
      <c r="E167" s="16">
        <f t="shared" si="13"/>
        <v>0.66487494119421686</v>
      </c>
      <c r="F167" s="7">
        <f t="shared" si="14"/>
        <v>5.3122415653557891</v>
      </c>
    </row>
    <row r="168" spans="1:6" x14ac:dyDescent="0.2">
      <c r="A168" s="3">
        <v>49460</v>
      </c>
      <c r="B168">
        <f t="shared" si="10"/>
        <v>3187</v>
      </c>
      <c r="C168" s="7">
        <f t="shared" si="11"/>
        <v>8.7315068493150694</v>
      </c>
      <c r="D168" s="7">
        <f t="shared" si="12"/>
        <v>4.7012127086057758</v>
      </c>
      <c r="E168" s="16">
        <f t="shared" si="13"/>
        <v>0.66332732374557613</v>
      </c>
      <c r="F168" s="7">
        <f t="shared" si="14"/>
        <v>5.3201820459197862</v>
      </c>
    </row>
    <row r="169" spans="1:6" x14ac:dyDescent="0.2">
      <c r="A169" s="3">
        <v>49536</v>
      </c>
      <c r="B169">
        <f t="shared" si="10"/>
        <v>3263</v>
      </c>
      <c r="C169" s="7">
        <f t="shared" si="11"/>
        <v>8.9397260273972599</v>
      </c>
      <c r="D169" s="7">
        <f t="shared" si="12"/>
        <v>4.7160651396032938</v>
      </c>
      <c r="E169" s="16">
        <f t="shared" si="13"/>
        <v>0.65599421888372744</v>
      </c>
      <c r="F169" s="7">
        <f t="shared" si="14"/>
        <v>5.3574788792101504</v>
      </c>
    </row>
    <row r="170" spans="1:6" x14ac:dyDescent="0.2">
      <c r="A170" s="3">
        <v>49628</v>
      </c>
      <c r="B170">
        <f t="shared" si="10"/>
        <v>3355</v>
      </c>
      <c r="C170" s="7">
        <f t="shared" si="11"/>
        <v>9.1917808219178081</v>
      </c>
      <c r="D170" s="7">
        <f t="shared" si="12"/>
        <v>4.7342615594675523</v>
      </c>
      <c r="E170" s="16">
        <f t="shared" si="13"/>
        <v>0.64715920642858449</v>
      </c>
      <c r="F170" s="7">
        <f t="shared" si="14"/>
        <v>5.4016063371505805</v>
      </c>
    </row>
    <row r="171" spans="1:6" x14ac:dyDescent="0.2">
      <c r="A171" s="3">
        <v>49643</v>
      </c>
      <c r="B171">
        <f t="shared" si="10"/>
        <v>3370</v>
      </c>
      <c r="C171" s="7">
        <f t="shared" si="11"/>
        <v>9.2328767123287676</v>
      </c>
      <c r="D171" s="7">
        <f t="shared" si="12"/>
        <v>4.7372477055059123</v>
      </c>
      <c r="E171" s="16">
        <f t="shared" si="13"/>
        <v>0.64572327089379078</v>
      </c>
      <c r="F171" s="7">
        <f t="shared" si="14"/>
        <v>5.4086861579362022</v>
      </c>
    </row>
    <row r="172" spans="1:6" x14ac:dyDescent="0.2">
      <c r="A172" s="3">
        <v>49720</v>
      </c>
      <c r="B172">
        <f t="shared" si="10"/>
        <v>3447</v>
      </c>
      <c r="C172" s="7">
        <f t="shared" si="11"/>
        <v>9.4438356164383563</v>
      </c>
      <c r="D172" s="7">
        <f t="shared" si="12"/>
        <v>4.7526480587730306</v>
      </c>
      <c r="E172" s="16">
        <f t="shared" si="13"/>
        <v>0.63837316398248833</v>
      </c>
      <c r="F172" s="7">
        <f t="shared" si="14"/>
        <v>5.4444868739625472</v>
      </c>
    </row>
    <row r="173" spans="1:6" x14ac:dyDescent="0.2">
      <c r="A173" s="3">
        <v>49810</v>
      </c>
      <c r="B173">
        <f t="shared" si="10"/>
        <v>3537</v>
      </c>
      <c r="C173" s="7">
        <f t="shared" si="11"/>
        <v>9.6904109589041099</v>
      </c>
      <c r="D173" s="7">
        <f t="shared" si="12"/>
        <v>4.7707718721216015</v>
      </c>
      <c r="E173" s="16">
        <f t="shared" si="13"/>
        <v>0.62982870063668062</v>
      </c>
      <c r="F173" s="7">
        <f t="shared" si="14"/>
        <v>5.4851148196788184</v>
      </c>
    </row>
    <row r="174" spans="1:6" x14ac:dyDescent="0.2">
      <c r="A174" s="3">
        <v>49826</v>
      </c>
      <c r="B174">
        <f t="shared" si="10"/>
        <v>3553</v>
      </c>
      <c r="C174" s="7">
        <f t="shared" si="11"/>
        <v>9.7342465753424658</v>
      </c>
      <c r="D174" s="7">
        <f t="shared" si="12"/>
        <v>4.7740046823093856</v>
      </c>
      <c r="E174" s="16">
        <f t="shared" si="13"/>
        <v>0.62831516249375052</v>
      </c>
      <c r="F174" s="7">
        <f t="shared" si="14"/>
        <v>5.4921933193338557</v>
      </c>
    </row>
    <row r="175" spans="1:6" x14ac:dyDescent="0.2">
      <c r="A175" s="3">
        <v>49902</v>
      </c>
      <c r="B175">
        <f t="shared" si="10"/>
        <v>3629</v>
      </c>
      <c r="C175" s="7">
        <f t="shared" si="11"/>
        <v>9.9424657534246581</v>
      </c>
      <c r="D175" s="7">
        <f t="shared" si="12"/>
        <v>4.7893926703959604</v>
      </c>
      <c r="E175" s="16">
        <f t="shared" si="13"/>
        <v>0.62114935044595887</v>
      </c>
      <c r="F175" s="7">
        <f t="shared" si="14"/>
        <v>5.5251962887856827</v>
      </c>
    </row>
    <row r="176" spans="1:6" x14ac:dyDescent="0.2">
      <c r="A176" s="3">
        <v>49994</v>
      </c>
      <c r="B176">
        <f t="shared" si="10"/>
        <v>3721</v>
      </c>
      <c r="C176" s="7">
        <f t="shared" si="11"/>
        <v>10.194520547945206</v>
      </c>
      <c r="D176" s="7">
        <f t="shared" si="12"/>
        <v>4.8080646791677948</v>
      </c>
      <c r="E176" s="16">
        <f t="shared" si="13"/>
        <v>0.61252890755042544</v>
      </c>
      <c r="F176" s="7">
        <f t="shared" si="14"/>
        <v>5.5637274462582207</v>
      </c>
    </row>
    <row r="177" spans="1:6" x14ac:dyDescent="0.2">
      <c r="A177" s="3">
        <v>50009</v>
      </c>
      <c r="B177">
        <f t="shared" si="10"/>
        <v>3736</v>
      </c>
      <c r="C177" s="7">
        <f t="shared" si="11"/>
        <v>10.235616438356164</v>
      </c>
      <c r="D177" s="7">
        <f t="shared" si="12"/>
        <v>4.8111109778962149</v>
      </c>
      <c r="E177" s="16">
        <f t="shared" si="13"/>
        <v>0.61112921186492841</v>
      </c>
      <c r="F177" s="7">
        <f t="shared" si="14"/>
        <v>5.5698576393871662</v>
      </c>
    </row>
    <row r="178" spans="1:6" x14ac:dyDescent="0.2">
      <c r="A178" s="3">
        <v>50086</v>
      </c>
      <c r="B178">
        <f t="shared" si="10"/>
        <v>3813</v>
      </c>
      <c r="C178" s="7">
        <f t="shared" si="11"/>
        <v>10.446575342465753</v>
      </c>
      <c r="D178" s="7">
        <f t="shared" si="12"/>
        <v>4.8267458975381627</v>
      </c>
      <c r="E178" s="16">
        <f t="shared" si="13"/>
        <v>0.60397066701235502</v>
      </c>
      <c r="F178" s="7">
        <f t="shared" si="14"/>
        <v>5.6006369652206995</v>
      </c>
    </row>
    <row r="179" spans="1:6" x14ac:dyDescent="0.2">
      <c r="A179" s="3">
        <v>50175</v>
      </c>
      <c r="B179">
        <f t="shared" si="10"/>
        <v>3902</v>
      </c>
      <c r="C179" s="7">
        <f t="shared" si="11"/>
        <v>10.69041095890411</v>
      </c>
      <c r="D179" s="7">
        <f t="shared" si="12"/>
        <v>4.8447894485092329</v>
      </c>
      <c r="E179" s="16">
        <f t="shared" si="13"/>
        <v>0.59575372992141884</v>
      </c>
      <c r="F179" s="7">
        <f t="shared" si="14"/>
        <v>5.6347448631934798</v>
      </c>
    </row>
    <row r="180" spans="1:6" x14ac:dyDescent="0.2">
      <c r="A180" s="3">
        <v>50191</v>
      </c>
      <c r="B180">
        <f t="shared" si="10"/>
        <v>3918</v>
      </c>
      <c r="C180" s="7">
        <f t="shared" si="11"/>
        <v>10.734246575342466</v>
      </c>
      <c r="D180" s="7">
        <f t="shared" si="12"/>
        <v>4.8480275928432661</v>
      </c>
      <c r="E180" s="16">
        <f t="shared" si="13"/>
        <v>0.5942832414238497</v>
      </c>
      <c r="F180" s="7">
        <f t="shared" si="14"/>
        <v>5.6407065045511526</v>
      </c>
    </row>
    <row r="181" spans="1:6" x14ac:dyDescent="0.2">
      <c r="A181" s="3">
        <v>50267</v>
      </c>
      <c r="B181">
        <f t="shared" si="10"/>
        <v>3994</v>
      </c>
      <c r="C181" s="7">
        <f t="shared" si="11"/>
        <v>10.942465753424658</v>
      </c>
      <c r="D181" s="7">
        <f t="shared" si="12"/>
        <v>4.8633755914181442</v>
      </c>
      <c r="E181" s="16">
        <f t="shared" si="13"/>
        <v>0.58732719726075111</v>
      </c>
      <c r="F181" s="7">
        <f t="shared" si="14"/>
        <v>5.6683053247087081</v>
      </c>
    </row>
    <row r="182" spans="1:6" x14ac:dyDescent="0.2">
      <c r="A182" s="3">
        <v>50359</v>
      </c>
      <c r="B182">
        <f t="shared" si="10"/>
        <v>4086</v>
      </c>
      <c r="C182" s="7">
        <f t="shared" si="11"/>
        <v>11.194520547945206</v>
      </c>
      <c r="D182" s="7">
        <f t="shared" si="12"/>
        <v>4.8818606468953609</v>
      </c>
      <c r="E182" s="16">
        <f t="shared" si="13"/>
        <v>0.57897215550020753</v>
      </c>
      <c r="F182" s="7">
        <f t="shared" si="14"/>
        <v>5.7001050883009992</v>
      </c>
    </row>
    <row r="183" spans="1:6" x14ac:dyDescent="0.2">
      <c r="A183" s="3">
        <v>50374</v>
      </c>
      <c r="B183">
        <f t="shared" si="10"/>
        <v>4101</v>
      </c>
      <c r="C183" s="7">
        <f t="shared" si="11"/>
        <v>11.235616438356164</v>
      </c>
      <c r="D183" s="7">
        <f t="shared" si="12"/>
        <v>4.8848626818168501</v>
      </c>
      <c r="E183" s="16">
        <f t="shared" si="13"/>
        <v>0.57761689905238878</v>
      </c>
      <c r="F183" s="7">
        <f t="shared" si="14"/>
        <v>5.7051209726604073</v>
      </c>
    </row>
    <row r="184" spans="1:6" x14ac:dyDescent="0.2">
      <c r="A184" s="3">
        <v>50451</v>
      </c>
      <c r="B184">
        <f t="shared" si="10"/>
        <v>4178</v>
      </c>
      <c r="C184" s="7">
        <f t="shared" si="11"/>
        <v>11.446575342465753</v>
      </c>
      <c r="D184" s="7">
        <f t="shared" si="12"/>
        <v>4.9002122164717834</v>
      </c>
      <c r="E184" s="16">
        <f t="shared" si="13"/>
        <v>0.57069150698587723</v>
      </c>
      <c r="F184" s="7">
        <f t="shared" si="14"/>
        <v>5.7301179243940954</v>
      </c>
    </row>
    <row r="185" spans="1:6" x14ac:dyDescent="0.2">
      <c r="A185" s="3">
        <v>50540</v>
      </c>
      <c r="B185">
        <f t="shared" si="10"/>
        <v>4267</v>
      </c>
      <c r="C185" s="7">
        <f t="shared" si="11"/>
        <v>11.69041095890411</v>
      </c>
      <c r="D185" s="7">
        <f t="shared" si="12"/>
        <v>4.9178100101001707</v>
      </c>
      <c r="E185" s="16">
        <f t="shared" si="13"/>
        <v>0.56275427626146612</v>
      </c>
      <c r="F185" s="7">
        <f t="shared" si="14"/>
        <v>5.7574350084504253</v>
      </c>
    </row>
    <row r="186" spans="1:6" x14ac:dyDescent="0.2">
      <c r="A186" s="3">
        <v>50556</v>
      </c>
      <c r="B186">
        <f t="shared" si="10"/>
        <v>4283</v>
      </c>
      <c r="C186" s="7">
        <f t="shared" si="11"/>
        <v>11.734246575342466</v>
      </c>
      <c r="D186" s="7">
        <f t="shared" si="12"/>
        <v>4.9209554505861677</v>
      </c>
      <c r="E186" s="16">
        <f t="shared" si="13"/>
        <v>0.56133520056318265</v>
      </c>
      <c r="F186" s="7">
        <f t="shared" si="14"/>
        <v>5.7621660613974379</v>
      </c>
    </row>
    <row r="187" spans="1:6" x14ac:dyDescent="0.2">
      <c r="A187" s="3">
        <v>50632</v>
      </c>
      <c r="B187">
        <f t="shared" si="10"/>
        <v>4359</v>
      </c>
      <c r="C187" s="7">
        <f t="shared" si="11"/>
        <v>11.942465753424658</v>
      </c>
      <c r="D187" s="7">
        <f t="shared" si="12"/>
        <v>4.9358132857492834</v>
      </c>
      <c r="E187" s="16">
        <f t="shared" si="13"/>
        <v>0.55462791621453078</v>
      </c>
      <c r="F187" s="7">
        <f t="shared" si="14"/>
        <v>5.7838882465978889</v>
      </c>
    </row>
    <row r="188" spans="1:6" x14ac:dyDescent="0.2">
      <c r="A188" s="3">
        <v>50724</v>
      </c>
      <c r="B188">
        <f t="shared" si="10"/>
        <v>4451</v>
      </c>
      <c r="C188" s="7">
        <f t="shared" si="11"/>
        <v>12.194520547945206</v>
      </c>
      <c r="D188" s="7">
        <f t="shared" si="12"/>
        <v>4.9536003173677674</v>
      </c>
      <c r="E188" s="16">
        <f t="shared" si="13"/>
        <v>0.54658370988123151</v>
      </c>
      <c r="F188" s="7">
        <f t="shared" si="14"/>
        <v>5.8085241484590453</v>
      </c>
    </row>
    <row r="189" spans="1:6" x14ac:dyDescent="0.2">
      <c r="A189" s="3">
        <v>50739</v>
      </c>
      <c r="B189">
        <f t="shared" si="10"/>
        <v>4466</v>
      </c>
      <c r="C189" s="7">
        <f t="shared" si="11"/>
        <v>12.235616438356164</v>
      </c>
      <c r="D189" s="7">
        <f t="shared" si="12"/>
        <v>4.9564782286427054</v>
      </c>
      <c r="E189" s="16">
        <f t="shared" si="13"/>
        <v>0.54528010353444434</v>
      </c>
      <c r="F189" s="7">
        <f t="shared" si="14"/>
        <v>5.8123686813863964</v>
      </c>
    </row>
    <row r="190" spans="1:6" x14ac:dyDescent="0.2">
      <c r="A190" s="3">
        <v>50816</v>
      </c>
      <c r="B190">
        <f t="shared" si="10"/>
        <v>4543</v>
      </c>
      <c r="C190" s="7">
        <f t="shared" si="11"/>
        <v>12.446575342465753</v>
      </c>
      <c r="D190" s="7">
        <f t="shared" si="12"/>
        <v>4.9711474592917257</v>
      </c>
      <c r="E190" s="16">
        <f t="shared" si="13"/>
        <v>0.53862395999170809</v>
      </c>
      <c r="F190" s="7">
        <f t="shared" si="14"/>
        <v>5.831345609446843</v>
      </c>
    </row>
    <row r="191" spans="1:6" x14ac:dyDescent="0.2">
      <c r="A191" s="3">
        <v>50905</v>
      </c>
      <c r="B191">
        <f t="shared" si="10"/>
        <v>4632</v>
      </c>
      <c r="C191" s="7">
        <f t="shared" si="11"/>
        <v>12.69041095890411</v>
      </c>
      <c r="D191" s="7">
        <f t="shared" si="12"/>
        <v>4.9878737290101167</v>
      </c>
      <c r="E191" s="16">
        <f t="shared" si="13"/>
        <v>0.53100615083036895</v>
      </c>
      <c r="F191" s="7">
        <f t="shared" si="14"/>
        <v>5.8517039798962101</v>
      </c>
    </row>
    <row r="192" spans="1:6" x14ac:dyDescent="0.2">
      <c r="A192" s="3">
        <v>50921</v>
      </c>
      <c r="B192">
        <f t="shared" si="10"/>
        <v>4648</v>
      </c>
      <c r="C192" s="7">
        <f t="shared" si="11"/>
        <v>12.734246575342466</v>
      </c>
      <c r="D192" s="7">
        <f t="shared" si="12"/>
        <v>4.990853334959966</v>
      </c>
      <c r="E192" s="16">
        <f t="shared" si="13"/>
        <v>0.52964539103336272</v>
      </c>
      <c r="F192" s="7">
        <f t="shared" si="14"/>
        <v>5.8551854980305844</v>
      </c>
    </row>
    <row r="193" spans="1:6" x14ac:dyDescent="0.2">
      <c r="A193" s="3">
        <v>50997</v>
      </c>
      <c r="B193">
        <f t="shared" si="10"/>
        <v>4724</v>
      </c>
      <c r="C193" s="7">
        <f t="shared" si="11"/>
        <v>12.942465753424658</v>
      </c>
      <c r="D193" s="7">
        <f t="shared" si="12"/>
        <v>5.0048874820743867</v>
      </c>
      <c r="E193" s="16">
        <f t="shared" si="13"/>
        <v>0.52321864219623182</v>
      </c>
      <c r="F193" s="7">
        <f t="shared" si="14"/>
        <v>5.8709842929390836</v>
      </c>
    </row>
    <row r="194" spans="1:6" x14ac:dyDescent="0.2">
      <c r="A194" s="3">
        <v>51089</v>
      </c>
      <c r="B194">
        <f t="shared" si="10"/>
        <v>4816</v>
      </c>
      <c r="C194" s="7">
        <f t="shared" si="11"/>
        <v>13.194520547945206</v>
      </c>
      <c r="D194" s="7">
        <f t="shared" si="12"/>
        <v>5.0216025192697975</v>
      </c>
      <c r="E194" s="16">
        <f t="shared" si="13"/>
        <v>0.51552144487691109</v>
      </c>
      <c r="F194" s="7">
        <f t="shared" si="14"/>
        <v>5.8884878817221935</v>
      </c>
    </row>
    <row r="195" spans="1:6" x14ac:dyDescent="0.2">
      <c r="A195" s="3">
        <v>51104</v>
      </c>
      <c r="B195">
        <f t="shared" si="10"/>
        <v>4831</v>
      </c>
      <c r="C195" s="7">
        <f t="shared" si="11"/>
        <v>13.235616438356164</v>
      </c>
      <c r="D195" s="7">
        <f t="shared" si="12"/>
        <v>5.0242983357351756</v>
      </c>
      <c r="E195" s="16">
        <f t="shared" si="13"/>
        <v>0.51427514436060195</v>
      </c>
      <c r="F195" s="7">
        <f t="shared" si="14"/>
        <v>5.891174628885496</v>
      </c>
    </row>
    <row r="196" spans="1:6" x14ac:dyDescent="0.2">
      <c r="A196" s="3">
        <v>51181</v>
      </c>
      <c r="B196">
        <f t="shared" si="10"/>
        <v>4908</v>
      </c>
      <c r="C196" s="7">
        <f t="shared" si="11"/>
        <v>13.446575342465753</v>
      </c>
      <c r="D196" s="7">
        <f t="shared" si="12"/>
        <v>5.0380025216958613</v>
      </c>
      <c r="E196" s="16">
        <f t="shared" si="13"/>
        <v>0.50791620040933938</v>
      </c>
      <c r="F196" s="7">
        <f t="shared" si="14"/>
        <v>5.9042352994539868</v>
      </c>
    </row>
    <row r="197" spans="1:6" x14ac:dyDescent="0.2">
      <c r="A197" s="3">
        <v>51271</v>
      </c>
      <c r="B197">
        <f t="shared" si="10"/>
        <v>4998</v>
      </c>
      <c r="C197" s="7">
        <f t="shared" si="11"/>
        <v>13.693150684931506</v>
      </c>
      <c r="D197" s="7">
        <f t="shared" si="12"/>
        <v>5.0537270269068939</v>
      </c>
      <c r="E197" s="16">
        <f t="shared" si="13"/>
        <v>0.50056668266705107</v>
      </c>
      <c r="F197" s="7">
        <f t="shared" si="14"/>
        <v>5.9179637677110177</v>
      </c>
    </row>
    <row r="198" spans="1:6" x14ac:dyDescent="0.2">
      <c r="A198" s="3">
        <v>51287</v>
      </c>
      <c r="B198">
        <f t="shared" si="10"/>
        <v>5014</v>
      </c>
      <c r="C198" s="7">
        <f t="shared" si="11"/>
        <v>13.736986301369862</v>
      </c>
      <c r="D198" s="7">
        <f t="shared" si="12"/>
        <v>5.0564884963064394</v>
      </c>
      <c r="E198" s="16">
        <f t="shared" si="13"/>
        <v>0.49926955831125541</v>
      </c>
      <c r="F198" s="7">
        <f t="shared" si="14"/>
        <v>5.9202326394560236</v>
      </c>
    </row>
    <row r="199" spans="1:6" x14ac:dyDescent="0.2">
      <c r="A199" s="3">
        <v>51363</v>
      </c>
      <c r="B199">
        <f t="shared" si="10"/>
        <v>5090</v>
      </c>
      <c r="C199" s="7">
        <f t="shared" si="11"/>
        <v>13.945205479452055</v>
      </c>
      <c r="D199" s="7">
        <f t="shared" si="12"/>
        <v>5.0694619289467404</v>
      </c>
      <c r="E199" s="16">
        <f t="shared" si="13"/>
        <v>0.49314753863921917</v>
      </c>
      <c r="F199" s="7">
        <f t="shared" si="14"/>
        <v>5.9303092479459956</v>
      </c>
    </row>
    <row r="200" spans="1:6" x14ac:dyDescent="0.2">
      <c r="A200" s="3">
        <v>51455</v>
      </c>
      <c r="B200">
        <f t="shared" si="10"/>
        <v>5182</v>
      </c>
      <c r="C200" s="7">
        <f t="shared" si="11"/>
        <v>14.197260273972603</v>
      </c>
      <c r="D200" s="7">
        <f t="shared" si="12"/>
        <v>5.0848423605993762</v>
      </c>
      <c r="E200" s="16">
        <f t="shared" si="13"/>
        <v>0.48582427018250729</v>
      </c>
      <c r="F200" s="7">
        <f t="shared" si="14"/>
        <v>5.9409764392207247</v>
      </c>
    </row>
    <row r="201" spans="1:6" x14ac:dyDescent="0.2">
      <c r="A201" s="3">
        <v>51470</v>
      </c>
      <c r="B201">
        <f t="shared" si="10"/>
        <v>5197</v>
      </c>
      <c r="C201" s="7">
        <f t="shared" si="11"/>
        <v>14.238356164383562</v>
      </c>
      <c r="D201" s="7">
        <f t="shared" si="12"/>
        <v>5.0873156975176217</v>
      </c>
      <c r="E201" s="16">
        <f t="shared" si="13"/>
        <v>0.48463942012086025</v>
      </c>
      <c r="F201" s="7">
        <f t="shared" si="14"/>
        <v>5.9425585870632469</v>
      </c>
    </row>
    <row r="202" spans="1:6" x14ac:dyDescent="0.2">
      <c r="A202" s="3">
        <v>51547</v>
      </c>
      <c r="B202">
        <f t="shared" si="10"/>
        <v>5274</v>
      </c>
      <c r="C202" s="7">
        <f t="shared" si="11"/>
        <v>14.449315068493151</v>
      </c>
      <c r="D202" s="7">
        <f t="shared" si="12"/>
        <v>5.0998578587883818</v>
      </c>
      <c r="E202" s="16">
        <f t="shared" si="13"/>
        <v>0.47859788145605092</v>
      </c>
      <c r="F202" s="7">
        <f t="shared" si="14"/>
        <v>5.9499957734544369</v>
      </c>
    </row>
    <row r="203" spans="1:6" x14ac:dyDescent="0.2">
      <c r="A203" s="3">
        <v>51636</v>
      </c>
      <c r="B203">
        <f t="shared" si="10"/>
        <v>5363</v>
      </c>
      <c r="C203" s="7">
        <f t="shared" si="11"/>
        <v>14.693150684931506</v>
      </c>
      <c r="D203" s="7">
        <f t="shared" si="12"/>
        <v>5.1140277657196185</v>
      </c>
      <c r="E203" s="16">
        <f t="shared" si="13"/>
        <v>0.47170013349371398</v>
      </c>
      <c r="F203" s="7">
        <f t="shared" si="14"/>
        <v>5.9571830001853927</v>
      </c>
    </row>
    <row r="204" spans="1:6" x14ac:dyDescent="0.2">
      <c r="A204" s="3">
        <v>51652</v>
      </c>
      <c r="B204">
        <f t="shared" si="10"/>
        <v>5379</v>
      </c>
      <c r="C204" s="7">
        <f t="shared" si="11"/>
        <v>14.736986301369862</v>
      </c>
      <c r="D204" s="7">
        <f t="shared" si="12"/>
        <v>5.1165374552067924</v>
      </c>
      <c r="E204" s="16">
        <f t="shared" si="13"/>
        <v>0.47046984007159159</v>
      </c>
      <c r="F204" s="7">
        <f t="shared" si="14"/>
        <v>5.9583170317263727</v>
      </c>
    </row>
    <row r="205" spans="1:6" x14ac:dyDescent="0.2">
      <c r="A205" s="3">
        <v>51728</v>
      </c>
      <c r="B205">
        <f t="shared" si="10"/>
        <v>5455</v>
      </c>
      <c r="C205" s="7">
        <f t="shared" si="11"/>
        <v>14.945205479452055</v>
      </c>
      <c r="D205" s="7">
        <f t="shared" si="12"/>
        <v>5.1282995177201425</v>
      </c>
      <c r="E205" s="16">
        <f t="shared" si="13"/>
        <v>0.4646667018906101</v>
      </c>
      <c r="F205" s="7">
        <f t="shared" si="14"/>
        <v>5.9630550646944096</v>
      </c>
    </row>
    <row r="206" spans="1:6" x14ac:dyDescent="0.2">
      <c r="A206" s="3">
        <v>51820</v>
      </c>
      <c r="B206">
        <f t="shared" si="10"/>
        <v>5547</v>
      </c>
      <c r="C206" s="7">
        <f t="shared" si="11"/>
        <v>15.197260273972603</v>
      </c>
      <c r="D206" s="7">
        <f t="shared" si="12"/>
        <v>5.1421823558985409</v>
      </c>
      <c r="E206" s="16">
        <f t="shared" si="13"/>
        <v>0.45773226666875383</v>
      </c>
      <c r="F206" s="7">
        <f t="shared" si="14"/>
        <v>5.967377875790306</v>
      </c>
    </row>
    <row r="207" spans="1:6" x14ac:dyDescent="0.2">
      <c r="A207" s="3">
        <v>51835</v>
      </c>
      <c r="B207">
        <f t="shared" si="10"/>
        <v>5562</v>
      </c>
      <c r="C207" s="7">
        <f t="shared" si="11"/>
        <v>15.238356164383562</v>
      </c>
      <c r="D207" s="7">
        <f t="shared" si="12"/>
        <v>5.1444085668574004</v>
      </c>
      <c r="E207" s="16">
        <f t="shared" si="13"/>
        <v>0.45661107036359899</v>
      </c>
      <c r="F207" s="7">
        <f t="shared" si="14"/>
        <v>5.9679381876098763</v>
      </c>
    </row>
    <row r="208" spans="1:6" x14ac:dyDescent="0.2">
      <c r="A208" s="3">
        <v>51912</v>
      </c>
      <c r="B208">
        <f t="shared" si="10"/>
        <v>5639</v>
      </c>
      <c r="C208" s="7">
        <f t="shared" si="11"/>
        <v>15.449315068493151</v>
      </c>
      <c r="D208" s="7">
        <f t="shared" si="12"/>
        <v>5.1556703256539853</v>
      </c>
      <c r="E208" s="16">
        <f t="shared" si="13"/>
        <v>0.45089726802862662</v>
      </c>
      <c r="F208" s="7">
        <f t="shared" si="14"/>
        <v>5.9701866227683151</v>
      </c>
    </row>
    <row r="209" spans="1:6" x14ac:dyDescent="0.2">
      <c r="A209" s="3">
        <v>52001</v>
      </c>
      <c r="B209">
        <f t="shared" si="10"/>
        <v>5728</v>
      </c>
      <c r="C209" s="7">
        <f t="shared" si="11"/>
        <v>15.693150684931506</v>
      </c>
      <c r="D209" s="7">
        <f t="shared" si="12"/>
        <v>5.1683379910090999</v>
      </c>
      <c r="E209" s="16">
        <f t="shared" si="13"/>
        <v>0.44438007016504139</v>
      </c>
      <c r="F209" s="7">
        <f t="shared" si="14"/>
        <v>5.9714966853465423</v>
      </c>
    </row>
    <row r="210" spans="1:6" x14ac:dyDescent="0.2">
      <c r="A210" s="3">
        <v>52093</v>
      </c>
      <c r="B210">
        <f t="shared" si="10"/>
        <v>5820</v>
      </c>
      <c r="C210" s="7">
        <f t="shared" si="11"/>
        <v>15.945205479452055</v>
      </c>
      <c r="D210" s="7">
        <f t="shared" si="12"/>
        <v>5.1810353335954762</v>
      </c>
      <c r="E210" s="16">
        <f t="shared" si="13"/>
        <v>0.43774149806326207</v>
      </c>
      <c r="F210" s="7">
        <f t="shared" si="14"/>
        <v>5.9714316795317597</v>
      </c>
    </row>
    <row r="211" spans="1:6" x14ac:dyDescent="0.2">
      <c r="A211" s="3">
        <v>52185</v>
      </c>
      <c r="B211">
        <f t="shared" si="10"/>
        <v>5912</v>
      </c>
      <c r="C211" s="7">
        <f t="shared" si="11"/>
        <v>16.197260273972603</v>
      </c>
      <c r="D211" s="7">
        <f t="shared" si="12"/>
        <v>5.1933254916350968</v>
      </c>
      <c r="E211" s="16">
        <f t="shared" si="13"/>
        <v>0.4312029376172033</v>
      </c>
      <c r="F211" s="7">
        <f t="shared" si="14"/>
        <v>5.9699601035846452</v>
      </c>
    </row>
    <row r="212" spans="1:6" x14ac:dyDescent="0.2">
      <c r="A212" s="3">
        <v>52277</v>
      </c>
      <c r="B212">
        <f t="shared" si="10"/>
        <v>6004</v>
      </c>
      <c r="C212" s="7">
        <f t="shared" si="11"/>
        <v>16.449315068493149</v>
      </c>
      <c r="D212" s="7">
        <f t="shared" si="12"/>
        <v>5.2052059114836489</v>
      </c>
      <c r="E212" s="16">
        <f t="shared" si="13"/>
        <v>0.42476435597976525</v>
      </c>
      <c r="F212" s="7">
        <f t="shared" si="14"/>
        <v>5.967118701837518</v>
      </c>
    </row>
    <row r="213" spans="1:6" x14ac:dyDescent="0.2">
      <c r="A213" s="3">
        <v>52366</v>
      </c>
      <c r="B213">
        <f t="shared" si="10"/>
        <v>6093</v>
      </c>
      <c r="C213" s="7">
        <f t="shared" si="11"/>
        <v>16.693150684931506</v>
      </c>
      <c r="D213" s="7">
        <f t="shared" si="12"/>
        <v>5.2163072705940783</v>
      </c>
      <c r="E213" s="16">
        <f t="shared" si="13"/>
        <v>0.41863074148060286</v>
      </c>
      <c r="F213" s="7">
        <f t="shared" si="14"/>
        <v>5.9631010338350432</v>
      </c>
    </row>
    <row r="214" spans="1:6" x14ac:dyDescent="0.2">
      <c r="A214" s="3">
        <v>52458</v>
      </c>
      <c r="B214">
        <f t="shared" ref="B214:B277" si="15">A214-Settle</f>
        <v>6185</v>
      </c>
      <c r="C214" s="7">
        <f t="shared" ref="C214:C277" si="16">B214/365</f>
        <v>16.945205479452056</v>
      </c>
      <c r="D214" s="7">
        <f t="shared" ref="D214:D277" si="17">(beta_0+beta_1*(1-EXP(-C214/tau_1))/(C214/tau_1)+beta_2*((1-EXP(-C214/tau_1))/(C214/tau_1)-EXP(-C214/tau_1))+beta_3*((1-EXP(-C214/tau_2))/(C214/tau_2)-EXP(-C214/tau_2)))*100</f>
        <v>5.2273768093306847</v>
      </c>
      <c r="E214" s="16">
        <f t="shared" ref="E214:E277" si="18">EXP(-D214/100*C214)</f>
        <v>0.41238836442723842</v>
      </c>
      <c r="F214" s="7">
        <f t="shared" ref="F214:F266" si="19">(beta_0+beta_1*EXP(-C214/tau_1)+beta_2*(C214/tau_1)*EXP(-C214/tau_1)+beta_3*(C214/tau_2)*EXP(-C214/tau_2))*100</f>
        <v>5.9576719882580083</v>
      </c>
    </row>
    <row r="215" spans="1:6" x14ac:dyDescent="0.2">
      <c r="A215" s="3">
        <v>52550</v>
      </c>
      <c r="B215">
        <f t="shared" si="15"/>
        <v>6277</v>
      </c>
      <c r="C215" s="7">
        <f t="shared" si="16"/>
        <v>17.197260273972603</v>
      </c>
      <c r="D215" s="7">
        <f t="shared" si="17"/>
        <v>5.2380330058749118</v>
      </c>
      <c r="E215" s="16">
        <f t="shared" si="18"/>
        <v>0.40624527781046949</v>
      </c>
      <c r="F215" s="7">
        <f t="shared" si="19"/>
        <v>5.9509820319854647</v>
      </c>
    </row>
    <row r="216" spans="1:6" x14ac:dyDescent="0.2">
      <c r="A216" s="3">
        <v>52642</v>
      </c>
      <c r="B216">
        <f t="shared" si="15"/>
        <v>6369</v>
      </c>
      <c r="C216" s="7">
        <f t="shared" si="16"/>
        <v>17.449315068493149</v>
      </c>
      <c r="D216" s="7">
        <f t="shared" si="17"/>
        <v>5.2482758214718777</v>
      </c>
      <c r="E216" s="16">
        <f t="shared" si="18"/>
        <v>0.40020106976817749</v>
      </c>
      <c r="F216" s="7">
        <f t="shared" si="19"/>
        <v>5.9430675230605745</v>
      </c>
    </row>
    <row r="217" spans="1:6" x14ac:dyDescent="0.2">
      <c r="A217" s="3">
        <v>52732</v>
      </c>
      <c r="B217">
        <f t="shared" si="15"/>
        <v>6459</v>
      </c>
      <c r="C217" s="7">
        <f t="shared" si="16"/>
        <v>17.695890410958903</v>
      </c>
      <c r="D217" s="7">
        <f t="shared" si="17"/>
        <v>5.2578964260631516</v>
      </c>
      <c r="E217" s="16">
        <f t="shared" si="18"/>
        <v>0.3943834618831249</v>
      </c>
      <c r="F217" s="7">
        <f t="shared" si="19"/>
        <v>5.9341747984718936</v>
      </c>
    </row>
    <row r="218" spans="1:6" x14ac:dyDescent="0.2">
      <c r="A218" s="3">
        <v>52824</v>
      </c>
      <c r="B218">
        <f t="shared" si="15"/>
        <v>6551</v>
      </c>
      <c r="C218" s="7">
        <f t="shared" si="16"/>
        <v>17.947945205479453</v>
      </c>
      <c r="D218" s="7">
        <f t="shared" si="17"/>
        <v>5.267323336028829</v>
      </c>
      <c r="E218" s="16">
        <f t="shared" si="18"/>
        <v>0.38853333590673145</v>
      </c>
      <c r="F218" s="7">
        <f t="shared" si="19"/>
        <v>5.9239436863718504</v>
      </c>
    </row>
    <row r="219" spans="1:6" x14ac:dyDescent="0.2">
      <c r="A219" s="3">
        <v>52916</v>
      </c>
      <c r="B219">
        <f t="shared" si="15"/>
        <v>6643</v>
      </c>
      <c r="C219" s="7">
        <f t="shared" si="16"/>
        <v>18.2</v>
      </c>
      <c r="D219" s="7">
        <f t="shared" si="17"/>
        <v>5.2763396599723063</v>
      </c>
      <c r="E219" s="16">
        <f t="shared" si="18"/>
        <v>0.38278040163490101</v>
      </c>
      <c r="F219" s="7">
        <f t="shared" si="19"/>
        <v>5.9125943078856107</v>
      </c>
    </row>
    <row r="220" spans="1:6" x14ac:dyDescent="0.2">
      <c r="A220" s="3">
        <v>53008</v>
      </c>
      <c r="B220">
        <f t="shared" si="15"/>
        <v>6735</v>
      </c>
      <c r="C220" s="7">
        <f t="shared" si="16"/>
        <v>18.452054794520549</v>
      </c>
      <c r="D220" s="7">
        <f t="shared" si="17"/>
        <v>5.2849471867226221</v>
      </c>
      <c r="E220" s="16">
        <f t="shared" si="18"/>
        <v>0.37712395564705226</v>
      </c>
      <c r="F220" s="7">
        <f t="shared" si="19"/>
        <v>5.9001615087149499</v>
      </c>
    </row>
    <row r="221" spans="1:6" x14ac:dyDescent="0.2">
      <c r="A221" s="3">
        <v>53097</v>
      </c>
      <c r="B221">
        <f t="shared" si="15"/>
        <v>6824</v>
      </c>
      <c r="C221" s="7">
        <f t="shared" si="16"/>
        <v>18.695890410958903</v>
      </c>
      <c r="D221" s="7">
        <f t="shared" si="17"/>
        <v>5.292887043531703</v>
      </c>
      <c r="E221" s="16">
        <f t="shared" si="18"/>
        <v>0.37174306038720278</v>
      </c>
      <c r="F221" s="7">
        <f t="shared" si="19"/>
        <v>5.8871354653465104</v>
      </c>
    </row>
    <row r="222" spans="1:6" x14ac:dyDescent="0.2">
      <c r="A222" s="3">
        <v>53189</v>
      </c>
      <c r="B222">
        <f t="shared" si="15"/>
        <v>6916</v>
      </c>
      <c r="C222" s="7">
        <f t="shared" si="16"/>
        <v>18.947945205479453</v>
      </c>
      <c r="D222" s="7">
        <f t="shared" si="17"/>
        <v>5.3006969264590156</v>
      </c>
      <c r="E222" s="16">
        <f t="shared" si="18"/>
        <v>0.36627416213252778</v>
      </c>
      <c r="F222" s="7">
        <f t="shared" si="19"/>
        <v>5.8726709465679932</v>
      </c>
    </row>
    <row r="223" spans="1:6" x14ac:dyDescent="0.2">
      <c r="A223" s="3">
        <v>53281</v>
      </c>
      <c r="B223">
        <f t="shared" si="15"/>
        <v>7008</v>
      </c>
      <c r="C223" s="7">
        <f t="shared" si="16"/>
        <v>19.2</v>
      </c>
      <c r="D223" s="7">
        <f t="shared" si="17"/>
        <v>5.3081053786843606</v>
      </c>
      <c r="E223" s="16">
        <f t="shared" si="18"/>
        <v>0.36089932678715014</v>
      </c>
      <c r="F223" s="7">
        <f t="shared" si="19"/>
        <v>5.8572234063949544</v>
      </c>
    </row>
    <row r="224" spans="1:6" x14ac:dyDescent="0.2">
      <c r="A224" s="3">
        <v>53373</v>
      </c>
      <c r="B224">
        <f t="shared" si="15"/>
        <v>7100</v>
      </c>
      <c r="C224" s="7">
        <f t="shared" si="16"/>
        <v>19.452054794520549</v>
      </c>
      <c r="D224" s="7">
        <f t="shared" si="17"/>
        <v>5.3151154801020226</v>
      </c>
      <c r="E224" s="16">
        <f t="shared" si="18"/>
        <v>0.35561763811239483</v>
      </c>
      <c r="F224" s="7">
        <f t="shared" si="19"/>
        <v>5.8408255822867492</v>
      </c>
    </row>
    <row r="225" spans="1:6" x14ac:dyDescent="0.2">
      <c r="A225" s="3">
        <v>53462</v>
      </c>
      <c r="B225">
        <f t="shared" si="15"/>
        <v>7189</v>
      </c>
      <c r="C225" s="7">
        <f t="shared" si="16"/>
        <v>19.695890410958903</v>
      </c>
      <c r="D225" s="7">
        <f t="shared" si="17"/>
        <v>5.3215210527521997</v>
      </c>
      <c r="E225" s="16">
        <f t="shared" si="18"/>
        <v>0.35059591614692232</v>
      </c>
      <c r="F225" s="7">
        <f t="shared" si="19"/>
        <v>5.8240884314151309</v>
      </c>
    </row>
    <row r="226" spans="1:6" x14ac:dyDescent="0.2">
      <c r="A226" s="3">
        <v>53554</v>
      </c>
      <c r="B226">
        <f t="shared" si="15"/>
        <v>7281</v>
      </c>
      <c r="C226" s="7">
        <f t="shared" si="16"/>
        <v>19.947945205479453</v>
      </c>
      <c r="D226" s="7">
        <f t="shared" si="17"/>
        <v>5.3277574042181692</v>
      </c>
      <c r="E226" s="16">
        <f t="shared" si="18"/>
        <v>0.34549464759004334</v>
      </c>
      <c r="F226" s="7">
        <f t="shared" si="19"/>
        <v>5.8059143197431222</v>
      </c>
    </row>
    <row r="227" spans="1:6" x14ac:dyDescent="0.2">
      <c r="A227" s="3">
        <v>53646</v>
      </c>
      <c r="B227">
        <f t="shared" si="15"/>
        <v>7373</v>
      </c>
      <c r="C227" s="7">
        <f t="shared" si="16"/>
        <v>20.2</v>
      </c>
      <c r="D227" s="7">
        <f t="shared" si="17"/>
        <v>5.3336059695925133</v>
      </c>
      <c r="E227" s="16">
        <f t="shared" si="18"/>
        <v>0.34048357043201422</v>
      </c>
      <c r="F227" s="7">
        <f t="shared" si="19"/>
        <v>5.7868835811862782</v>
      </c>
    </row>
    <row r="228" spans="1:6" x14ac:dyDescent="0.2">
      <c r="A228" s="3">
        <v>53738</v>
      </c>
      <c r="B228">
        <f t="shared" si="15"/>
        <v>7465</v>
      </c>
      <c r="C228" s="7">
        <f t="shared" si="16"/>
        <v>20.452054794520549</v>
      </c>
      <c r="D228" s="7">
        <f t="shared" si="17"/>
        <v>5.339070716762337</v>
      </c>
      <c r="E228" s="16">
        <f t="shared" si="18"/>
        <v>0.33556162159547359</v>
      </c>
      <c r="F228" s="7">
        <f t="shared" si="19"/>
        <v>5.7670265691571991</v>
      </c>
    </row>
    <row r="229" spans="1:6" x14ac:dyDescent="0.2">
      <c r="A229" s="3">
        <v>53827</v>
      </c>
      <c r="B229">
        <f t="shared" si="15"/>
        <v>7554</v>
      </c>
      <c r="C229" s="7">
        <f t="shared" si="16"/>
        <v>20.695890410958903</v>
      </c>
      <c r="D229" s="7">
        <f t="shared" si="17"/>
        <v>5.3439959131699428</v>
      </c>
      <c r="E229" s="16">
        <f t="shared" si="18"/>
        <v>0.33088396044102331</v>
      </c>
      <c r="F229" s="7">
        <f t="shared" si="19"/>
        <v>5.7470587640182913</v>
      </c>
    </row>
    <row r="230" spans="1:6" x14ac:dyDescent="0.2">
      <c r="A230" s="3">
        <v>53919</v>
      </c>
      <c r="B230">
        <f t="shared" si="15"/>
        <v>7646</v>
      </c>
      <c r="C230" s="7">
        <f t="shared" si="16"/>
        <v>20.947945205479453</v>
      </c>
      <c r="D230" s="7">
        <f t="shared" si="17"/>
        <v>5.3487177714287641</v>
      </c>
      <c r="E230" s="16">
        <f t="shared" si="18"/>
        <v>0.32613415366492365</v>
      </c>
      <c r="F230" s="7">
        <f t="shared" si="19"/>
        <v>5.7256623580583117</v>
      </c>
    </row>
    <row r="231" spans="1:6" x14ac:dyDescent="0.2">
      <c r="A231" s="3">
        <v>54011</v>
      </c>
      <c r="B231">
        <f t="shared" si="15"/>
        <v>7738</v>
      </c>
      <c r="C231" s="7">
        <f t="shared" si="16"/>
        <v>21.2</v>
      </c>
      <c r="D231" s="7">
        <f t="shared" si="17"/>
        <v>5.3530685336901955</v>
      </c>
      <c r="E231" s="16">
        <f t="shared" si="18"/>
        <v>0.32147016816525514</v>
      </c>
      <c r="F231" s="7">
        <f t="shared" si="19"/>
        <v>5.7035260963690337</v>
      </c>
    </row>
    <row r="232" spans="1:6" x14ac:dyDescent="0.2">
      <c r="A232" s="3">
        <v>54103</v>
      </c>
      <c r="B232">
        <f t="shared" si="15"/>
        <v>7830</v>
      </c>
      <c r="C232" s="7">
        <f t="shared" si="16"/>
        <v>21.452054794520549</v>
      </c>
      <c r="D232" s="7">
        <f t="shared" si="17"/>
        <v>5.3570527521160063</v>
      </c>
      <c r="E232" s="16">
        <f t="shared" si="18"/>
        <v>0.31689084822809577</v>
      </c>
      <c r="F232" s="7">
        <f t="shared" si="19"/>
        <v>5.6806778681361383</v>
      </c>
    </row>
    <row r="233" spans="1:6" x14ac:dyDescent="0.2">
      <c r="A233" s="3">
        <v>54193</v>
      </c>
      <c r="B233">
        <f t="shared" si="15"/>
        <v>7920</v>
      </c>
      <c r="C233" s="7">
        <f t="shared" si="16"/>
        <v>21.698630136986303</v>
      </c>
      <c r="D233" s="7">
        <f t="shared" si="17"/>
        <v>5.3606001560723255</v>
      </c>
      <c r="E233" s="16">
        <f t="shared" si="18"/>
        <v>0.31249187786081389</v>
      </c>
      <c r="F233" s="7">
        <f t="shared" si="19"/>
        <v>5.6576636215566207</v>
      </c>
    </row>
    <row r="234" spans="1:6" x14ac:dyDescent="0.2">
      <c r="A234" s="3">
        <v>54285</v>
      </c>
      <c r="B234">
        <f t="shared" si="15"/>
        <v>8012</v>
      </c>
      <c r="C234" s="7">
        <f t="shared" si="16"/>
        <v>21.950684931506849</v>
      </c>
      <c r="D234" s="7">
        <f t="shared" si="17"/>
        <v>5.3638730777200685</v>
      </c>
      <c r="E234" s="16">
        <f t="shared" si="18"/>
        <v>0.30807658342999295</v>
      </c>
      <c r="F234" s="7">
        <f t="shared" si="19"/>
        <v>5.6334866821269616</v>
      </c>
    </row>
    <row r="235" spans="1:6" x14ac:dyDescent="0.2">
      <c r="A235" s="3">
        <v>54377</v>
      </c>
      <c r="B235">
        <f t="shared" si="15"/>
        <v>8104</v>
      </c>
      <c r="C235" s="7">
        <f t="shared" si="16"/>
        <v>22.202739726027396</v>
      </c>
      <c r="D235" s="7">
        <f t="shared" si="17"/>
        <v>5.3667936065938813</v>
      </c>
      <c r="E235" s="16">
        <f t="shared" si="18"/>
        <v>0.30374242706691545</v>
      </c>
      <c r="F235" s="7">
        <f t="shared" si="19"/>
        <v>5.6086771866404037</v>
      </c>
    </row>
    <row r="236" spans="1:6" x14ac:dyDescent="0.2">
      <c r="A236" s="3">
        <v>54469</v>
      </c>
      <c r="B236">
        <f t="shared" si="15"/>
        <v>8196</v>
      </c>
      <c r="C236" s="7">
        <f t="shared" si="16"/>
        <v>22.454794520547946</v>
      </c>
      <c r="D236" s="7">
        <f t="shared" si="17"/>
        <v>5.369366652491899</v>
      </c>
      <c r="E236" s="16">
        <f t="shared" si="18"/>
        <v>0.29948820369246337</v>
      </c>
      <c r="F236" s="7">
        <f t="shared" si="19"/>
        <v>5.5832605882239168</v>
      </c>
    </row>
    <row r="237" spans="1:6" x14ac:dyDescent="0.2">
      <c r="A237" s="3">
        <v>54558</v>
      </c>
      <c r="B237">
        <f t="shared" si="15"/>
        <v>8285</v>
      </c>
      <c r="C237" s="7">
        <f t="shared" si="16"/>
        <v>22.698630136986303</v>
      </c>
      <c r="D237" s="7">
        <f t="shared" si="17"/>
        <v>5.3715298021256448</v>
      </c>
      <c r="E237" s="16">
        <f t="shared" si="18"/>
        <v>0.2954476301187719</v>
      </c>
      <c r="F237" s="7">
        <f t="shared" si="19"/>
        <v>5.558118461178589</v>
      </c>
    </row>
    <row r="238" spans="1:6" x14ac:dyDescent="0.2">
      <c r="A238" s="3">
        <v>54650</v>
      </c>
      <c r="B238">
        <f t="shared" si="15"/>
        <v>8377</v>
      </c>
      <c r="C238" s="7">
        <f t="shared" si="16"/>
        <v>22.950684931506849</v>
      </c>
      <c r="D238" s="7">
        <f t="shared" si="17"/>
        <v>5.3734337718358569</v>
      </c>
      <c r="E238" s="16">
        <f t="shared" si="18"/>
        <v>0.29134712451083961</v>
      </c>
      <c r="F238" s="7">
        <f t="shared" si="19"/>
        <v>5.5315794484090404</v>
      </c>
    </row>
    <row r="239" spans="1:6" x14ac:dyDescent="0.2">
      <c r="A239" s="3">
        <v>54742</v>
      </c>
      <c r="B239">
        <f t="shared" si="15"/>
        <v>8469</v>
      </c>
      <c r="C239" s="7">
        <f t="shared" si="16"/>
        <v>23.202739726027396</v>
      </c>
      <c r="D239" s="7">
        <f t="shared" si="17"/>
        <v>5.3750051506625374</v>
      </c>
      <c r="E239" s="16">
        <f t="shared" si="18"/>
        <v>0.28732294401266756</v>
      </c>
      <c r="F239" s="7">
        <f t="shared" si="19"/>
        <v>5.5045053678441995</v>
      </c>
    </row>
    <row r="240" spans="1:6" x14ac:dyDescent="0.2">
      <c r="A240" s="3">
        <v>54834</v>
      </c>
      <c r="B240">
        <f t="shared" si="15"/>
        <v>8561</v>
      </c>
      <c r="C240" s="7">
        <f t="shared" si="16"/>
        <v>23.454794520547946</v>
      </c>
      <c r="D240" s="7">
        <f t="shared" si="17"/>
        <v>5.3762490357781427</v>
      </c>
      <c r="E240" s="16">
        <f t="shared" si="18"/>
        <v>0.28337386817409926</v>
      </c>
      <c r="F240" s="7">
        <f t="shared" si="19"/>
        <v>5.4769193426462408</v>
      </c>
    </row>
    <row r="241" spans="1:6" x14ac:dyDescent="0.2">
      <c r="A241" s="3">
        <v>54923</v>
      </c>
      <c r="B241">
        <f t="shared" si="15"/>
        <v>8650</v>
      </c>
      <c r="C241" s="7">
        <f t="shared" si="16"/>
        <v>23.698630136986303</v>
      </c>
      <c r="D241" s="7">
        <f t="shared" si="17"/>
        <v>5.3771455325157591</v>
      </c>
      <c r="E241" s="16">
        <f t="shared" si="18"/>
        <v>0.27962388919006259</v>
      </c>
      <c r="F241" s="7">
        <f t="shared" si="19"/>
        <v>5.4497669214118725</v>
      </c>
    </row>
    <row r="242" spans="1:6" x14ac:dyDescent="0.2">
      <c r="A242" s="3">
        <v>55015</v>
      </c>
      <c r="B242">
        <f t="shared" si="15"/>
        <v>8742</v>
      </c>
      <c r="C242" s="7">
        <f t="shared" si="16"/>
        <v>23.950684931506849</v>
      </c>
      <c r="D242" s="7">
        <f t="shared" si="17"/>
        <v>5.3777600818018794</v>
      </c>
      <c r="E242" s="16">
        <f t="shared" si="18"/>
        <v>0.27581901432347455</v>
      </c>
      <c r="F242" s="7">
        <f t="shared" si="19"/>
        <v>5.4212390164360036</v>
      </c>
    </row>
    <row r="243" spans="1:6" x14ac:dyDescent="0.2">
      <c r="A243" s="3">
        <v>55107</v>
      </c>
      <c r="B243">
        <f t="shared" si="15"/>
        <v>8834</v>
      </c>
      <c r="C243" s="7">
        <f t="shared" si="16"/>
        <v>24.202739726027396</v>
      </c>
      <c r="D243" s="7">
        <f t="shared" si="17"/>
        <v>5.3780623883953895</v>
      </c>
      <c r="E243" s="16">
        <f t="shared" si="18"/>
        <v>0.27208563105764449</v>
      </c>
      <c r="F243" s="7">
        <f t="shared" si="19"/>
        <v>5.3922644782129128</v>
      </c>
    </row>
    <row r="244" spans="1:6" x14ac:dyDescent="0.2">
      <c r="A244" s="3">
        <v>55199</v>
      </c>
      <c r="B244">
        <f t="shared" si="15"/>
        <v>8926</v>
      </c>
      <c r="C244" s="7">
        <f t="shared" si="16"/>
        <v>24.454794520547946</v>
      </c>
      <c r="D244" s="7">
        <f t="shared" si="17"/>
        <v>5.3780576119902435</v>
      </c>
      <c r="E244" s="16">
        <f t="shared" si="18"/>
        <v>0.2684225292808522</v>
      </c>
      <c r="F244" s="7">
        <f t="shared" si="19"/>
        <v>5.3628642327871203</v>
      </c>
    </row>
    <row r="245" spans="1:6" x14ac:dyDescent="0.2">
      <c r="A245" s="3">
        <v>55288</v>
      </c>
      <c r="B245">
        <f t="shared" si="15"/>
        <v>9015</v>
      </c>
      <c r="C245" s="7">
        <f t="shared" si="16"/>
        <v>24.698630136986303</v>
      </c>
      <c r="D245" s="7">
        <f t="shared" si="17"/>
        <v>5.3777656223622907</v>
      </c>
      <c r="E245" s="16">
        <f t="shared" si="18"/>
        <v>0.26494462404473157</v>
      </c>
      <c r="F245" s="7">
        <f t="shared" si="19"/>
        <v>5.3340367816751302</v>
      </c>
    </row>
    <row r="246" spans="1:6" x14ac:dyDescent="0.2">
      <c r="A246" s="3">
        <v>55380</v>
      </c>
      <c r="B246">
        <f t="shared" si="15"/>
        <v>9107</v>
      </c>
      <c r="C246" s="7">
        <f t="shared" si="16"/>
        <v>24.950684931506849</v>
      </c>
      <c r="D246" s="7">
        <f t="shared" si="17"/>
        <v>5.3771717505918399</v>
      </c>
      <c r="E246" s="16">
        <f t="shared" si="18"/>
        <v>0.2614162847014595</v>
      </c>
      <c r="F246" s="7">
        <f t="shared" si="19"/>
        <v>5.303858046847183</v>
      </c>
    </row>
    <row r="247" spans="1:6" x14ac:dyDescent="0.2">
      <c r="A247" s="3">
        <v>55472</v>
      </c>
      <c r="B247">
        <f t="shared" si="15"/>
        <v>9199</v>
      </c>
      <c r="C247" s="7">
        <f t="shared" si="16"/>
        <v>25.202739726027396</v>
      </c>
      <c r="D247" s="7">
        <f t="shared" si="17"/>
        <v>5.3762860877588894</v>
      </c>
      <c r="E247" s="16">
        <f t="shared" si="18"/>
        <v>0.25795467452635362</v>
      </c>
      <c r="F247" s="7">
        <f t="shared" si="19"/>
        <v>5.2733126130397716</v>
      </c>
    </row>
    <row r="248" spans="1:6" x14ac:dyDescent="0.2">
      <c r="A248" s="3">
        <v>55564</v>
      </c>
      <c r="B248">
        <f t="shared" si="15"/>
        <v>9291</v>
      </c>
      <c r="C248" s="7">
        <f t="shared" si="16"/>
        <v>25.454794520547946</v>
      </c>
      <c r="D248" s="7">
        <f t="shared" si="17"/>
        <v>5.3751137646528298</v>
      </c>
      <c r="E248" s="16">
        <f t="shared" si="18"/>
        <v>0.25455861274204533</v>
      </c>
      <c r="F248" s="7">
        <f t="shared" si="19"/>
        <v>5.2424193568402018</v>
      </c>
    </row>
    <row r="249" spans="1:6" x14ac:dyDescent="0.2">
      <c r="A249" s="3">
        <v>55654</v>
      </c>
      <c r="B249">
        <f t="shared" si="15"/>
        <v>9381</v>
      </c>
      <c r="C249" s="7">
        <f t="shared" si="16"/>
        <v>25.701369863013699</v>
      </c>
      <c r="D249" s="7">
        <f t="shared" si="17"/>
        <v>5.3736944574338485</v>
      </c>
      <c r="E249" s="16">
        <f t="shared" si="18"/>
        <v>0.25129867982888521</v>
      </c>
      <c r="F249" s="7">
        <f t="shared" si="19"/>
        <v>5.2118787930404915</v>
      </c>
    </row>
    <row r="250" spans="1:6" x14ac:dyDescent="0.2">
      <c r="A250" s="3">
        <v>55746</v>
      </c>
      <c r="B250">
        <f t="shared" si="15"/>
        <v>9473</v>
      </c>
      <c r="C250" s="7">
        <f t="shared" si="16"/>
        <v>25.953424657534246</v>
      </c>
      <c r="D250" s="7">
        <f t="shared" si="17"/>
        <v>5.3719700840594058</v>
      </c>
      <c r="E250" s="16">
        <f t="shared" si="18"/>
        <v>0.24802885013548367</v>
      </c>
      <c r="F250" s="7">
        <f t="shared" si="19"/>
        <v>5.1803511463464016</v>
      </c>
    </row>
    <row r="251" spans="1:6" x14ac:dyDescent="0.2">
      <c r="A251" s="3">
        <v>55838</v>
      </c>
      <c r="B251">
        <f t="shared" si="15"/>
        <v>9565</v>
      </c>
      <c r="C251" s="7">
        <f t="shared" si="16"/>
        <v>26.205479452054796</v>
      </c>
      <c r="D251" s="7">
        <f t="shared" si="17"/>
        <v>5.3699742065599825</v>
      </c>
      <c r="E251" s="16">
        <f t="shared" si="18"/>
        <v>0.24482111272266163</v>
      </c>
      <c r="F251" s="7">
        <f t="shared" si="19"/>
        <v>5.1485290156464396</v>
      </c>
    </row>
    <row r="252" spans="1:6" x14ac:dyDescent="0.2">
      <c r="A252" s="3">
        <v>55930</v>
      </c>
      <c r="B252">
        <f t="shared" si="15"/>
        <v>9657</v>
      </c>
      <c r="C252" s="7">
        <f t="shared" si="16"/>
        <v>26.457534246575342</v>
      </c>
      <c r="D252" s="7">
        <f t="shared" si="17"/>
        <v>5.3677118603414797</v>
      </c>
      <c r="E252" s="16">
        <f t="shared" si="18"/>
        <v>0.24167432981781944</v>
      </c>
      <c r="F252" s="7">
        <f t="shared" si="19"/>
        <v>5.1164293744871143</v>
      </c>
    </row>
    <row r="253" spans="1:6" x14ac:dyDescent="0.2">
      <c r="A253" s="3">
        <v>56019</v>
      </c>
      <c r="B253">
        <f t="shared" si="15"/>
        <v>9746</v>
      </c>
      <c r="C253" s="7">
        <f t="shared" si="16"/>
        <v>26.701369863013699</v>
      </c>
      <c r="D253" s="7">
        <f t="shared" si="17"/>
        <v>5.3652744194844058</v>
      </c>
      <c r="E253" s="16">
        <f t="shared" si="18"/>
        <v>0.23868710546998836</v>
      </c>
      <c r="F253" s="7">
        <f t="shared" si="19"/>
        <v>5.0851279289061493</v>
      </c>
    </row>
    <row r="254" spans="1:6" x14ac:dyDescent="0.2">
      <c r="A254" s="3">
        <v>56111</v>
      </c>
      <c r="B254">
        <f t="shared" si="15"/>
        <v>9838</v>
      </c>
      <c r="C254" s="7">
        <f t="shared" si="16"/>
        <v>26.953424657534246</v>
      </c>
      <c r="D254" s="7">
        <f t="shared" si="17"/>
        <v>5.3625023971756836</v>
      </c>
      <c r="E254" s="16">
        <f t="shared" si="18"/>
        <v>0.23565697115588857</v>
      </c>
      <c r="F254" s="7">
        <f t="shared" si="19"/>
        <v>5.0525301157768903</v>
      </c>
    </row>
    <row r="255" spans="1:6" x14ac:dyDescent="0.2">
      <c r="A255" s="3">
        <v>56203</v>
      </c>
      <c r="B255">
        <f t="shared" si="15"/>
        <v>9930</v>
      </c>
      <c r="C255" s="7">
        <f t="shared" si="16"/>
        <v>27.205479452054796</v>
      </c>
      <c r="D255" s="7">
        <f t="shared" si="17"/>
        <v>5.3594786492795308</v>
      </c>
      <c r="E255" s="16">
        <f t="shared" si="18"/>
        <v>0.23268449013270504</v>
      </c>
      <c r="F255" s="7">
        <f t="shared" si="19"/>
        <v>5.0197025193172813</v>
      </c>
    </row>
    <row r="256" spans="1:6" x14ac:dyDescent="0.2">
      <c r="A256" s="3">
        <v>56295</v>
      </c>
      <c r="B256">
        <f t="shared" si="15"/>
        <v>10022</v>
      </c>
      <c r="C256" s="7">
        <f t="shared" si="16"/>
        <v>27.457534246575342</v>
      </c>
      <c r="D256" s="7">
        <f t="shared" si="17"/>
        <v>5.3562080690079554</v>
      </c>
      <c r="E256" s="16">
        <f t="shared" si="18"/>
        <v>0.22976857670030895</v>
      </c>
      <c r="F256" s="7">
        <f t="shared" si="19"/>
        <v>4.9866603642168137</v>
      </c>
    </row>
    <row r="257" spans="1:6" x14ac:dyDescent="0.2">
      <c r="A257" s="3">
        <v>56384</v>
      </c>
      <c r="B257">
        <f t="shared" si="15"/>
        <v>10111</v>
      </c>
      <c r="C257" s="7">
        <f t="shared" si="16"/>
        <v>27.701369863013699</v>
      </c>
      <c r="D257" s="7">
        <f t="shared" si="17"/>
        <v>5.3528138149706646</v>
      </c>
      <c r="E257" s="16">
        <f t="shared" si="18"/>
        <v>0.22700056943866245</v>
      </c>
      <c r="F257" s="7">
        <f t="shared" si="19"/>
        <v>4.954505433007963</v>
      </c>
    </row>
    <row r="258" spans="1:6" x14ac:dyDescent="0.2">
      <c r="A258" s="3">
        <v>56476</v>
      </c>
      <c r="B258">
        <f t="shared" si="15"/>
        <v>10203</v>
      </c>
      <c r="C258" s="7">
        <f t="shared" si="16"/>
        <v>27.953424657534246</v>
      </c>
      <c r="D258" s="7">
        <f t="shared" si="17"/>
        <v>5.3490717403798138</v>
      </c>
      <c r="E258" s="16">
        <f t="shared" si="18"/>
        <v>0.22419283233286066</v>
      </c>
      <c r="F258" s="7">
        <f t="shared" si="19"/>
        <v>4.9210839928445456</v>
      </c>
    </row>
    <row r="259" spans="1:6" x14ac:dyDescent="0.2">
      <c r="A259" s="3">
        <v>56568</v>
      </c>
      <c r="B259">
        <f t="shared" si="15"/>
        <v>10295</v>
      </c>
      <c r="C259" s="7">
        <f t="shared" si="16"/>
        <v>28.205479452054796</v>
      </c>
      <c r="D259" s="7">
        <f t="shared" si="17"/>
        <v>5.3450971024282801</v>
      </c>
      <c r="E259" s="16">
        <f t="shared" si="18"/>
        <v>0.22143852557657356</v>
      </c>
      <c r="F259" s="7">
        <f t="shared" si="19"/>
        <v>4.8874907455126539</v>
      </c>
    </row>
    <row r="260" spans="1:6" x14ac:dyDescent="0.2">
      <c r="A260" s="3">
        <v>56660</v>
      </c>
      <c r="B260">
        <f t="shared" si="15"/>
        <v>10387</v>
      </c>
      <c r="C260" s="7">
        <f t="shared" si="16"/>
        <v>28.457534246575342</v>
      </c>
      <c r="D260" s="7">
        <f t="shared" si="17"/>
        <v>5.3408946195765266</v>
      </c>
      <c r="E260" s="16">
        <f t="shared" si="18"/>
        <v>0.21873662128833851</v>
      </c>
      <c r="F260" s="7">
        <f t="shared" si="19"/>
        <v>4.8537393094865831</v>
      </c>
    </row>
    <row r="261" spans="1:6" x14ac:dyDescent="0.2">
      <c r="A261" s="3">
        <v>56749</v>
      </c>
      <c r="B261">
        <f t="shared" si="15"/>
        <v>10476</v>
      </c>
      <c r="C261" s="7">
        <f t="shared" si="16"/>
        <v>28.701369863013699</v>
      </c>
      <c r="D261" s="7">
        <f t="shared" si="17"/>
        <v>5.3366167494834507</v>
      </c>
      <c r="E261" s="16">
        <f t="shared" si="18"/>
        <v>0.21617173636469719</v>
      </c>
      <c r="F261" s="7">
        <f t="shared" si="19"/>
        <v>4.8209503893225936</v>
      </c>
    </row>
    <row r="262" spans="1:6" x14ac:dyDescent="0.2">
      <c r="A262" s="3">
        <v>56841</v>
      </c>
      <c r="B262">
        <f t="shared" si="15"/>
        <v>10568</v>
      </c>
      <c r="C262" s="7">
        <f t="shared" si="16"/>
        <v>28.953424657534246</v>
      </c>
      <c r="D262" s="7">
        <f t="shared" si="17"/>
        <v>5.3319795940221955</v>
      </c>
      <c r="E262" s="16">
        <f t="shared" si="18"/>
        <v>0.21356998647844139</v>
      </c>
      <c r="F262" s="7">
        <f t="shared" si="19"/>
        <v>4.7869260150659656</v>
      </c>
    </row>
    <row r="263" spans="1:6" x14ac:dyDescent="0.2">
      <c r="A263" s="3">
        <v>56933</v>
      </c>
      <c r="B263">
        <f t="shared" si="15"/>
        <v>10660</v>
      </c>
      <c r="C263" s="7">
        <f t="shared" si="16"/>
        <v>29.205479452054796</v>
      </c>
      <c r="D263" s="7">
        <f t="shared" si="17"/>
        <v>5.3271283090710249</v>
      </c>
      <c r="E263" s="16">
        <f t="shared" si="18"/>
        <v>0.2110176787036874</v>
      </c>
      <c r="F263" s="7">
        <f t="shared" si="19"/>
        <v>4.7527816398233886</v>
      </c>
    </row>
    <row r="264" spans="1:6" x14ac:dyDescent="0.2">
      <c r="A264" s="3">
        <v>57025</v>
      </c>
      <c r="B264">
        <f t="shared" si="15"/>
        <v>10752</v>
      </c>
      <c r="C264" s="7">
        <f t="shared" si="16"/>
        <v>29.457534246575342</v>
      </c>
      <c r="D264" s="7">
        <f t="shared" si="17"/>
        <v>5.3220674166843214</v>
      </c>
      <c r="E264" s="16">
        <f t="shared" si="18"/>
        <v>0.20851384607896428</v>
      </c>
      <c r="F264" s="7">
        <f t="shared" si="19"/>
        <v>4.7185294105805475</v>
      </c>
    </row>
    <row r="265" spans="1:6" x14ac:dyDescent="0.2">
      <c r="A265" s="3">
        <v>57115</v>
      </c>
      <c r="B265">
        <f t="shared" si="15"/>
        <v>10842</v>
      </c>
      <c r="C265" s="7">
        <f t="shared" si="16"/>
        <v>29.704109589041096</v>
      </c>
      <c r="D265" s="7">
        <f t="shared" si="17"/>
        <v>5.3169180161344194</v>
      </c>
      <c r="E265" s="16">
        <f t="shared" si="18"/>
        <v>0.20611043651153432</v>
      </c>
      <c r="F265" s="7">
        <f t="shared" si="19"/>
        <v>4.6849287660470651</v>
      </c>
    </row>
    <row r="266" spans="1:6" x14ac:dyDescent="0.2">
      <c r="A266" s="3">
        <v>57207</v>
      </c>
      <c r="B266">
        <f t="shared" si="15"/>
        <v>10934</v>
      </c>
      <c r="C266" s="7">
        <f t="shared" si="16"/>
        <v>29.956164383561642</v>
      </c>
      <c r="D266" s="7">
        <f t="shared" si="17"/>
        <v>5.3114555835857775</v>
      </c>
      <c r="E266" s="16">
        <f t="shared" si="18"/>
        <v>0.20369971277720519</v>
      </c>
      <c r="F266" s="7">
        <f t="shared" si="19"/>
        <v>4.6504975947938627</v>
      </c>
    </row>
  </sheetData>
  <mergeCells count="1">
    <mergeCell ref="D11:G14"/>
  </mergeCells>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9"/>
  <sheetViews>
    <sheetView workbookViewId="0"/>
  </sheetViews>
  <sheetFormatPr baseColWidth="10" defaultColWidth="8.83203125" defaultRowHeight="15" x14ac:dyDescent="0.2"/>
  <cols>
    <col min="1" max="10" width="14" customWidth="1"/>
  </cols>
  <sheetData>
    <row r="1" spans="1:10" ht="19" x14ac:dyDescent="0.25">
      <c r="A1" s="1" t="s">
        <v>197</v>
      </c>
    </row>
    <row r="2" spans="1:10" x14ac:dyDescent="0.2">
      <c r="A2" t="s">
        <v>198</v>
      </c>
    </row>
    <row r="4" spans="1:10" ht="60" customHeight="1" x14ac:dyDescent="0.2">
      <c r="A4" s="17" t="s">
        <v>199</v>
      </c>
      <c r="B4" s="18"/>
      <c r="C4" s="18"/>
      <c r="D4" s="18"/>
      <c r="E4" s="18"/>
      <c r="F4" s="18"/>
      <c r="G4" s="18"/>
      <c r="H4" s="18"/>
      <c r="I4" s="18"/>
      <c r="J4" s="18"/>
    </row>
    <row r="5" spans="1:10" ht="90" customHeight="1" x14ac:dyDescent="0.2">
      <c r="A5" s="17" t="s">
        <v>200</v>
      </c>
      <c r="B5" s="18"/>
      <c r="C5" s="18"/>
      <c r="D5" s="18"/>
      <c r="E5" s="18"/>
      <c r="F5" s="18"/>
      <c r="G5" s="18"/>
      <c r="H5" s="18"/>
      <c r="I5" s="18"/>
      <c r="J5" s="18"/>
    </row>
    <row r="6" spans="1:10" ht="75" customHeight="1" x14ac:dyDescent="0.2">
      <c r="A6" s="17" t="s">
        <v>201</v>
      </c>
      <c r="B6" s="18"/>
      <c r="C6" s="18"/>
      <c r="D6" s="18"/>
      <c r="E6" s="18"/>
      <c r="F6" s="18"/>
      <c r="G6" s="18"/>
      <c r="H6" s="18"/>
      <c r="I6" s="18"/>
      <c r="J6" s="18"/>
    </row>
    <row r="7" spans="1:10" ht="105" customHeight="1" x14ac:dyDescent="0.2">
      <c r="A7" s="17" t="s">
        <v>202</v>
      </c>
      <c r="B7" s="18"/>
      <c r="C7" s="18"/>
      <c r="D7" s="18"/>
      <c r="E7" s="18"/>
      <c r="F7" s="18"/>
      <c r="G7" s="18"/>
      <c r="H7" s="18"/>
      <c r="I7" s="18"/>
      <c r="J7" s="18"/>
    </row>
    <row r="8" spans="1:10" ht="135" customHeight="1" x14ac:dyDescent="0.2">
      <c r="A8" s="17" t="s">
        <v>203</v>
      </c>
      <c r="B8" s="18"/>
      <c r="C8" s="18"/>
      <c r="D8" s="18"/>
      <c r="E8" s="18"/>
      <c r="F8" s="18"/>
      <c r="G8" s="18"/>
      <c r="H8" s="18"/>
      <c r="I8" s="18"/>
      <c r="J8" s="18"/>
    </row>
    <row r="9" spans="1:10" ht="150" customHeight="1" x14ac:dyDescent="0.2">
      <c r="A9" s="17" t="s">
        <v>204</v>
      </c>
      <c r="B9" s="18"/>
      <c r="C9" s="18"/>
      <c r="D9" s="18"/>
      <c r="E9" s="18"/>
      <c r="F9" s="18"/>
      <c r="G9" s="18"/>
      <c r="H9" s="18"/>
      <c r="I9" s="18"/>
      <c r="J9" s="18"/>
    </row>
  </sheetData>
  <mergeCells count="6">
    <mergeCell ref="A5:J5"/>
    <mergeCell ref="A8:J8"/>
    <mergeCell ref="A6:J6"/>
    <mergeCell ref="A9:J9"/>
    <mergeCell ref="A4:J4"/>
    <mergeCell ref="A7:J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8</vt:i4>
      </vt:variant>
    </vt:vector>
  </HeadingPairs>
  <TitlesOfParts>
    <vt:vector size="13" baseType="lpstr">
      <vt:lpstr>Data</vt:lpstr>
      <vt:lpstr>Bonds</vt:lpstr>
      <vt:lpstr>CashFlows</vt:lpstr>
      <vt:lpstr>Curve</vt:lpstr>
      <vt:lpstr>Notes</vt:lpstr>
      <vt:lpstr>beta_0</vt:lpstr>
      <vt:lpstr>beta_1</vt:lpstr>
      <vt:lpstr>beta_2</vt:lpstr>
      <vt:lpstr>beta_3</vt:lpstr>
      <vt:lpstr>MinYears</vt:lpstr>
      <vt:lpstr>Settle</vt:lpstr>
      <vt:lpstr>tau_1</vt:lpstr>
      <vt:lpstr>tau_2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Rajvardhan</cp:lastModifiedBy>
  <dcterms:created xsi:type="dcterms:W3CDTF">2026-09-16T21:54:51Z</dcterms:created>
  <dcterms:modified xsi:type="dcterms:W3CDTF">2026-09-16T21:54:54Z</dcterms:modified>
</cp:coreProperties>
</file>